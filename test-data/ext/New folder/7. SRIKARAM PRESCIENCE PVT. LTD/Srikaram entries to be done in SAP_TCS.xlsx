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7. SRIKARAM PRESCIENCE PVT. LTD\"/>
    </mc:Choice>
  </mc:AlternateContent>
  <xr:revisionPtr revIDLastSave="0" documentId="13_ncr:1_{20410F56-D76B-4686-81B7-B828CAA6A775}" xr6:coauthVersionLast="47" xr6:coauthVersionMax="47" xr10:uidLastSave="{00000000-0000-0000-0000-000000000000}"/>
  <bookViews>
    <workbookView xWindow="-108" yWindow="-108" windowWidth="23256" windowHeight="12576" activeTab="1" xr2:uid="{08CFC468-C01E-4E8D-9ECE-339AEB54932C}"/>
  </bookViews>
  <sheets>
    <sheet name="Sheet1" sheetId="2" r:id="rId1"/>
    <sheet name="Sheet9" sheetId="1" r:id="rId2"/>
  </sheets>
  <externalReferences>
    <externalReference r:id="rId3"/>
  </externalReferences>
  <definedNames>
    <definedName name="_xlnm._FilterDatabase" localSheetId="1" hidden="1">Sheet9!$A$1:$S$277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2" i="2" l="1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R20" i="1"/>
  <c r="N264" i="1" l="1"/>
  <c r="R262" i="1"/>
  <c r="R261" i="1"/>
  <c r="R260" i="1"/>
  <c r="R259" i="1"/>
  <c r="R258" i="1"/>
  <c r="R257" i="1"/>
  <c r="P263" i="1"/>
  <c r="Q263" i="1" s="1"/>
  <c r="R255" i="1"/>
  <c r="N251" i="1"/>
  <c r="R249" i="1"/>
  <c r="R248" i="1"/>
  <c r="R247" i="1"/>
  <c r="R246" i="1"/>
  <c r="P250" i="1"/>
  <c r="R244" i="1"/>
  <c r="N241" i="1"/>
  <c r="R239" i="1"/>
  <c r="R238" i="1"/>
  <c r="R237" i="1"/>
  <c r="R236" i="1"/>
  <c r="R235" i="1"/>
  <c r="R234" i="1"/>
  <c r="P240" i="1"/>
  <c r="R232" i="1"/>
  <c r="N229" i="1"/>
  <c r="P228" i="1"/>
  <c r="R227" i="1"/>
  <c r="R226" i="1"/>
  <c r="R225" i="1"/>
  <c r="R223" i="1"/>
  <c r="N220" i="1"/>
  <c r="P219" i="1"/>
  <c r="R218" i="1"/>
  <c r="R216" i="1"/>
  <c r="N212" i="1"/>
  <c r="R210" i="1"/>
  <c r="R209" i="1"/>
  <c r="R208" i="1"/>
  <c r="R207" i="1"/>
  <c r="R206" i="1"/>
  <c r="R205" i="1"/>
  <c r="P211" i="1"/>
  <c r="R203" i="1"/>
  <c r="N200" i="1"/>
  <c r="P199" i="1"/>
  <c r="R197" i="1"/>
  <c r="N193" i="1"/>
  <c r="P192" i="1"/>
  <c r="R190" i="1"/>
  <c r="R184" i="1"/>
  <c r="R183" i="1"/>
  <c r="R182" i="1"/>
  <c r="P185" i="1"/>
  <c r="N186" i="1"/>
  <c r="R180" i="1"/>
  <c r="N177" i="1"/>
  <c r="R175" i="1"/>
  <c r="R174" i="1"/>
  <c r="P176" i="1"/>
  <c r="R172" i="1"/>
  <c r="N168" i="1"/>
  <c r="P167" i="1"/>
  <c r="R166" i="1"/>
  <c r="R164" i="1"/>
  <c r="N160" i="1"/>
  <c r="P159" i="1"/>
  <c r="R157" i="1"/>
  <c r="N153" i="1"/>
  <c r="P152" i="1"/>
  <c r="R151" i="1"/>
  <c r="R150" i="1"/>
  <c r="R149" i="1"/>
  <c r="R148" i="1"/>
  <c r="R147" i="1"/>
  <c r="R146" i="1"/>
  <c r="R145" i="1"/>
  <c r="R144" i="1"/>
  <c r="R143" i="1"/>
  <c r="R142" i="1"/>
  <c r="R140" i="1"/>
  <c r="N137" i="1"/>
  <c r="P136" i="1"/>
  <c r="R135" i="1"/>
  <c r="R134" i="1"/>
  <c r="R133" i="1"/>
  <c r="R132" i="1"/>
  <c r="R131" i="1"/>
  <c r="R130" i="1"/>
  <c r="R129" i="1"/>
  <c r="R128" i="1"/>
  <c r="R127" i="1"/>
  <c r="R126" i="1"/>
  <c r="R124" i="1"/>
  <c r="N121" i="1"/>
  <c r="P120" i="1"/>
  <c r="R119" i="1"/>
  <c r="R121" i="1" s="1"/>
  <c r="P114" i="1"/>
  <c r="Q114" i="1" s="1"/>
  <c r="N115" i="1"/>
  <c r="R112" i="1"/>
  <c r="N108" i="1"/>
  <c r="P107" i="1"/>
  <c r="P74" i="1"/>
  <c r="P90" i="1"/>
  <c r="R106" i="1"/>
  <c r="R105" i="1"/>
  <c r="R104" i="1"/>
  <c r="R103" i="1"/>
  <c r="R102" i="1"/>
  <c r="R101" i="1"/>
  <c r="R100" i="1"/>
  <c r="R99" i="1"/>
  <c r="R98" i="1"/>
  <c r="R97" i="1"/>
  <c r="R95" i="1"/>
  <c r="N91" i="1"/>
  <c r="R89" i="1"/>
  <c r="R88" i="1"/>
  <c r="R87" i="1"/>
  <c r="R86" i="1"/>
  <c r="R85" i="1"/>
  <c r="R84" i="1"/>
  <c r="R83" i="1"/>
  <c r="R82" i="1"/>
  <c r="R81" i="1"/>
  <c r="R79" i="1"/>
  <c r="N75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8" i="1"/>
  <c r="N34" i="1"/>
  <c r="P33" i="1"/>
  <c r="R32" i="1"/>
  <c r="R31" i="1"/>
  <c r="R30" i="1"/>
  <c r="R29" i="1"/>
  <c r="R28" i="1"/>
  <c r="R26" i="1"/>
  <c r="P21" i="1"/>
  <c r="N22" i="1"/>
  <c r="R19" i="1"/>
  <c r="R22" i="1" s="1"/>
  <c r="N15" i="1"/>
  <c r="P14" i="1"/>
  <c r="R10" i="1"/>
  <c r="R13" i="1"/>
  <c r="R12" i="1"/>
  <c r="R11" i="1"/>
  <c r="R5" i="1"/>
  <c r="R4" i="1"/>
  <c r="R3" i="1"/>
  <c r="N6" i="1"/>
  <c r="Q33" i="1" l="1"/>
  <c r="P39" i="1"/>
  <c r="R39" i="1" s="1"/>
  <c r="Q159" i="1"/>
  <c r="P165" i="1"/>
  <c r="R165" i="1" s="1"/>
  <c r="Q211" i="1"/>
  <c r="P217" i="1"/>
  <c r="R217" i="1" s="1"/>
  <c r="R220" i="1" s="1"/>
  <c r="Q107" i="1"/>
  <c r="P113" i="1"/>
  <c r="R113" i="1" s="1"/>
  <c r="R115" i="1" s="1"/>
  <c r="Q185" i="1"/>
  <c r="P191" i="1"/>
  <c r="R191" i="1" s="1"/>
  <c r="R193" i="1" s="1"/>
  <c r="R160" i="1"/>
  <c r="Q152" i="1"/>
  <c r="P158" i="1"/>
  <c r="R158" i="1" s="1"/>
  <c r="Q219" i="1"/>
  <c r="P224" i="1"/>
  <c r="R224" i="1" s="1"/>
  <c r="Q90" i="1"/>
  <c r="P96" i="1"/>
  <c r="R96" i="1" s="1"/>
  <c r="R108" i="1" s="1"/>
  <c r="Q74" i="1"/>
  <c r="P80" i="1"/>
  <c r="R80" i="1" s="1"/>
  <c r="R91" i="1" s="1"/>
  <c r="Q228" i="1"/>
  <c r="P233" i="1"/>
  <c r="R233" i="1" s="1"/>
  <c r="R241" i="1" s="1"/>
  <c r="Q192" i="1"/>
  <c r="P198" i="1"/>
  <c r="R198" i="1" s="1"/>
  <c r="R200" i="1" s="1"/>
  <c r="Q199" i="1"/>
  <c r="P204" i="1"/>
  <c r="R204" i="1" s="1"/>
  <c r="R212" i="1" s="1"/>
  <c r="Q14" i="1"/>
  <c r="U20" i="1"/>
  <c r="Q120" i="1"/>
  <c r="P125" i="1"/>
  <c r="R125" i="1" s="1"/>
  <c r="R137" i="1" s="1"/>
  <c r="Q176" i="1"/>
  <c r="P181" i="1"/>
  <c r="R181" i="1" s="1"/>
  <c r="R186" i="1" s="1"/>
  <c r="Q240" i="1"/>
  <c r="P245" i="1"/>
  <c r="R245" i="1" s="1"/>
  <c r="R251" i="1" s="1"/>
  <c r="Q21" i="1"/>
  <c r="P27" i="1"/>
  <c r="R27" i="1" s="1"/>
  <c r="R34" i="1" s="1"/>
  <c r="Q167" i="1"/>
  <c r="P173" i="1"/>
  <c r="R173" i="1" s="1"/>
  <c r="Q250" i="1"/>
  <c r="P256" i="1"/>
  <c r="R256" i="1" s="1"/>
  <c r="Q136" i="1"/>
  <c r="P141" i="1"/>
  <c r="R141" i="1" s="1"/>
  <c r="R153" i="1" s="1"/>
  <c r="R264" i="1"/>
  <c r="R229" i="1"/>
  <c r="R177" i="1"/>
  <c r="R168" i="1"/>
  <c r="R75" i="1"/>
  <c r="R15" i="1"/>
  <c r="R6" i="1" l="1"/>
</calcChain>
</file>

<file path=xl/sharedStrings.xml><?xml version="1.0" encoding="utf-8"?>
<sst xmlns="http://schemas.openxmlformats.org/spreadsheetml/2006/main" count="1778" uniqueCount="35">
  <si>
    <t>Company Code</t>
  </si>
  <si>
    <t>Customer</t>
  </si>
  <si>
    <t>Customer Account: Name 1</t>
  </si>
  <si>
    <t>Posting Date</t>
  </si>
  <si>
    <t>Document Number</t>
  </si>
  <si>
    <t>Document Type</t>
  </si>
  <si>
    <t>Document Date</t>
  </si>
  <si>
    <t>Entry Date</t>
  </si>
  <si>
    <t>Document Header Text</t>
  </si>
  <si>
    <t>G/L Account</t>
  </si>
  <si>
    <t>Profit Center</t>
  </si>
  <si>
    <t>Reference</t>
  </si>
  <si>
    <t>Document Currency Key</t>
  </si>
  <si>
    <t>Document Currency Value</t>
  </si>
  <si>
    <t>TDS</t>
  </si>
  <si>
    <t xml:space="preserve">Total </t>
  </si>
  <si>
    <t>Note</t>
  </si>
  <si>
    <t>6779</t>
  </si>
  <si>
    <t>DZ</t>
  </si>
  <si>
    <t>212100</t>
  </si>
  <si>
    <t/>
  </si>
  <si>
    <t>USD</t>
  </si>
  <si>
    <t xml:space="preserve">Payment </t>
  </si>
  <si>
    <t>DR</t>
  </si>
  <si>
    <t>Invoice</t>
  </si>
  <si>
    <t>SRIKARAM PRESCIENCE PVT. LTD.</t>
  </si>
  <si>
    <t>INR</t>
  </si>
  <si>
    <t>Company Code Currency Value</t>
  </si>
  <si>
    <t>Company Code Currency Key</t>
  </si>
  <si>
    <t>Exchange gain</t>
  </si>
  <si>
    <t>Exchange loss</t>
  </si>
  <si>
    <t>Row Labels</t>
  </si>
  <si>
    <t>(blank)</t>
  </si>
  <si>
    <t>Grand Total</t>
  </si>
  <si>
    <t>Sum of 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</si>
</sst>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4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4" fontId="0" fillId="0" borderId="0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4" fontId="0" fillId="0" borderId="0" xfId="0" applyNumberFormat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RIKARAM%20PRESCIENCE%20PVT.%20LTD%20led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Invoices and CN not rec"/>
      <sheetName val="Sheet1"/>
      <sheetName val="DZ"/>
    </sheetNames>
    <sheetDataSet>
      <sheetData sheetId="0"/>
      <sheetData sheetId="1"/>
      <sheetData sheetId="2">
        <row r="1">
          <cell r="D1" t="str">
            <v>Document Number</v>
          </cell>
          <cell r="E1" t="str">
            <v>Document Type</v>
          </cell>
          <cell r="F1" t="str">
            <v>Document Date</v>
          </cell>
          <cell r="G1" t="str">
            <v>Reference</v>
          </cell>
          <cell r="H1" t="str">
            <v>Document Currency Key</v>
          </cell>
          <cell r="I1" t="str">
            <v>Document Currency Value</v>
          </cell>
          <cell r="J1" t="str">
            <v>Company Code Currency Key</v>
          </cell>
          <cell r="K1" t="str">
            <v>Company Code Currency Value</v>
          </cell>
          <cell r="L1" t="str">
            <v>Text</v>
          </cell>
          <cell r="M1" t="str">
            <v>INOVICE TAGGING</v>
          </cell>
          <cell r="Q1" t="str">
            <v>TDS</v>
          </cell>
        </row>
        <row r="2">
          <cell r="D2">
            <v>1400001853</v>
          </cell>
          <cell r="E2" t="str">
            <v>DY</v>
          </cell>
          <cell r="F2">
            <v>45975</v>
          </cell>
          <cell r="G2" t="str">
            <v/>
          </cell>
          <cell r="H2" t="str">
            <v>INR</v>
          </cell>
          <cell r="I2">
            <v>0</v>
          </cell>
          <cell r="J2" t="str">
            <v>INR</v>
          </cell>
          <cell r="K2">
            <v>0</v>
          </cell>
          <cell r="L2" t="str">
            <v/>
          </cell>
          <cell r="M2" t="e">
            <v>#N/A</v>
          </cell>
        </row>
        <row r="3">
          <cell r="D3">
            <v>1600000046</v>
          </cell>
          <cell r="E3" t="str">
            <v>DA</v>
          </cell>
          <cell r="F3">
            <v>45758</v>
          </cell>
          <cell r="G3" t="str">
            <v/>
          </cell>
          <cell r="H3" t="str">
            <v>INR</v>
          </cell>
          <cell r="I3">
            <v>1</v>
          </cell>
          <cell r="J3" t="str">
            <v>INR</v>
          </cell>
          <cell r="K3">
            <v>1</v>
          </cell>
          <cell r="L3" t="str">
            <v>Overpayment</v>
          </cell>
          <cell r="M3" t="e">
            <v>#N/A</v>
          </cell>
        </row>
        <row r="4">
          <cell r="D4">
            <v>1600000046</v>
          </cell>
          <cell r="E4" t="str">
            <v>DA</v>
          </cell>
          <cell r="F4">
            <v>45758</v>
          </cell>
          <cell r="G4" t="str">
            <v/>
          </cell>
          <cell r="H4" t="str">
            <v>INR</v>
          </cell>
          <cell r="I4">
            <v>-1</v>
          </cell>
          <cell r="J4" t="str">
            <v>INR</v>
          </cell>
          <cell r="K4">
            <v>-1</v>
          </cell>
          <cell r="L4" t="str">
            <v>Overpayment</v>
          </cell>
          <cell r="M4" t="e">
            <v>#N/A</v>
          </cell>
        </row>
        <row r="5">
          <cell r="D5">
            <v>1400000021</v>
          </cell>
          <cell r="E5" t="str">
            <v>DZ</v>
          </cell>
          <cell r="F5">
            <v>45796</v>
          </cell>
          <cell r="G5" t="str">
            <v/>
          </cell>
          <cell r="H5" t="str">
            <v>INR</v>
          </cell>
          <cell r="I5">
            <v>-285397.37</v>
          </cell>
          <cell r="J5" t="str">
            <v>INR</v>
          </cell>
          <cell r="K5">
            <v>-283762.44</v>
          </cell>
          <cell r="L5" t="str">
            <v>ICICN22025042926352474</v>
          </cell>
          <cell r="M5" t="e">
            <v>#N/A</v>
          </cell>
        </row>
        <row r="6">
          <cell r="D6">
            <v>1400000116</v>
          </cell>
          <cell r="E6" t="str">
            <v>DZ</v>
          </cell>
          <cell r="F6">
            <v>45832</v>
          </cell>
          <cell r="G6" t="str">
            <v/>
          </cell>
          <cell r="H6" t="str">
            <v>INR</v>
          </cell>
          <cell r="I6">
            <v>-500000</v>
          </cell>
          <cell r="J6" t="str">
            <v>INR</v>
          </cell>
          <cell r="K6">
            <v>-500000</v>
          </cell>
          <cell r="L6" t="str">
            <v/>
          </cell>
          <cell r="M6" t="e">
            <v>#N/A</v>
          </cell>
        </row>
        <row r="7">
          <cell r="D7">
            <v>1400000077</v>
          </cell>
          <cell r="E7" t="str">
            <v>DZ</v>
          </cell>
          <cell r="F7">
            <v>45832</v>
          </cell>
          <cell r="G7" t="str">
            <v/>
          </cell>
          <cell r="H7" t="str">
            <v>INR</v>
          </cell>
          <cell r="I7">
            <v>-324702</v>
          </cell>
          <cell r="J7" t="str">
            <v>INR</v>
          </cell>
          <cell r="K7">
            <v>-324702</v>
          </cell>
          <cell r="L7" t="str">
            <v/>
          </cell>
          <cell r="M7" t="e">
            <v>#N/A</v>
          </cell>
        </row>
        <row r="8">
          <cell r="D8">
            <v>1400000887</v>
          </cell>
          <cell r="E8" t="str">
            <v>DZ</v>
          </cell>
          <cell r="F8">
            <v>45890</v>
          </cell>
          <cell r="G8" t="str">
            <v/>
          </cell>
          <cell r="H8" t="str">
            <v>INR</v>
          </cell>
          <cell r="I8">
            <v>-100000</v>
          </cell>
          <cell r="J8" t="str">
            <v>INR</v>
          </cell>
          <cell r="K8">
            <v>-100000</v>
          </cell>
          <cell r="L8" t="str">
            <v/>
          </cell>
          <cell r="M8" t="e">
            <v>#N/A</v>
          </cell>
        </row>
        <row r="9">
          <cell r="D9">
            <v>1400000904</v>
          </cell>
          <cell r="E9" t="str">
            <v>DZ</v>
          </cell>
          <cell r="F9">
            <v>45890</v>
          </cell>
          <cell r="G9" t="str">
            <v/>
          </cell>
          <cell r="H9" t="str">
            <v>INR</v>
          </cell>
          <cell r="I9">
            <v>-700000</v>
          </cell>
          <cell r="J9" t="str">
            <v>INR</v>
          </cell>
          <cell r="K9">
            <v>-700000</v>
          </cell>
          <cell r="L9" t="str">
            <v/>
          </cell>
          <cell r="M9" t="e">
            <v>#N/A</v>
          </cell>
        </row>
        <row r="10">
          <cell r="D10">
            <v>1400000922</v>
          </cell>
          <cell r="E10" t="str">
            <v>DZ</v>
          </cell>
          <cell r="F10">
            <v>45890</v>
          </cell>
          <cell r="G10" t="str">
            <v/>
          </cell>
          <cell r="H10" t="str">
            <v>INR</v>
          </cell>
          <cell r="I10">
            <v>-150000</v>
          </cell>
          <cell r="J10" t="str">
            <v>INR</v>
          </cell>
          <cell r="K10">
            <v>-150000</v>
          </cell>
          <cell r="L10" t="str">
            <v/>
          </cell>
          <cell r="M10" t="e">
            <v>#N/A</v>
          </cell>
        </row>
        <row r="11">
          <cell r="D11">
            <v>1400000941</v>
          </cell>
          <cell r="E11" t="str">
            <v>DZ</v>
          </cell>
          <cell r="F11">
            <v>45890</v>
          </cell>
          <cell r="G11" t="str">
            <v/>
          </cell>
          <cell r="H11" t="str">
            <v>INR</v>
          </cell>
          <cell r="I11">
            <v>-150000</v>
          </cell>
          <cell r="J11" t="str">
            <v>INR</v>
          </cell>
          <cell r="K11">
            <v>-150000</v>
          </cell>
          <cell r="L11" t="str">
            <v/>
          </cell>
          <cell r="M11" t="e">
            <v>#N/A</v>
          </cell>
        </row>
        <row r="12">
          <cell r="D12">
            <v>1400000955</v>
          </cell>
          <cell r="E12" t="str">
            <v>DZ</v>
          </cell>
          <cell r="F12">
            <v>45890</v>
          </cell>
          <cell r="G12" t="str">
            <v/>
          </cell>
          <cell r="H12" t="str">
            <v>INR</v>
          </cell>
          <cell r="I12">
            <v>-150000</v>
          </cell>
          <cell r="J12" t="str">
            <v>INR</v>
          </cell>
          <cell r="K12">
            <v>-150000</v>
          </cell>
          <cell r="L12" t="str">
            <v/>
          </cell>
          <cell r="M12" t="e">
            <v>#N/A</v>
          </cell>
        </row>
        <row r="13">
          <cell r="D13">
            <v>1400000966</v>
          </cell>
          <cell r="E13" t="str">
            <v>DZ</v>
          </cell>
          <cell r="F13">
            <v>45890</v>
          </cell>
          <cell r="G13" t="str">
            <v/>
          </cell>
          <cell r="H13" t="str">
            <v>INR</v>
          </cell>
          <cell r="I13">
            <v>-150000</v>
          </cell>
          <cell r="J13" t="str">
            <v>INR</v>
          </cell>
          <cell r="K13">
            <v>-150000</v>
          </cell>
          <cell r="L13" t="str">
            <v/>
          </cell>
          <cell r="M13" t="e">
            <v>#N/A</v>
          </cell>
        </row>
        <row r="14">
          <cell r="D14">
            <v>1400001257</v>
          </cell>
          <cell r="E14" t="str">
            <v>DZ</v>
          </cell>
          <cell r="F14">
            <v>45931</v>
          </cell>
          <cell r="G14" t="str">
            <v/>
          </cell>
          <cell r="H14" t="str">
            <v>INR</v>
          </cell>
          <cell r="I14">
            <v>-100000</v>
          </cell>
          <cell r="J14" t="str">
            <v>INR</v>
          </cell>
          <cell r="K14">
            <v>-100000</v>
          </cell>
          <cell r="L14" t="str">
            <v/>
          </cell>
          <cell r="M14" t="e">
            <v>#N/A</v>
          </cell>
        </row>
        <row r="15">
          <cell r="D15">
            <v>1400001259</v>
          </cell>
          <cell r="E15" t="str">
            <v>DZ</v>
          </cell>
          <cell r="F15">
            <v>45931</v>
          </cell>
          <cell r="G15" t="str">
            <v/>
          </cell>
          <cell r="H15" t="str">
            <v>INR</v>
          </cell>
          <cell r="I15">
            <v>-100000</v>
          </cell>
          <cell r="J15" t="str">
            <v>INR</v>
          </cell>
          <cell r="K15">
            <v>-100000</v>
          </cell>
          <cell r="L15" t="str">
            <v/>
          </cell>
          <cell r="M15" t="e">
            <v>#N/A</v>
          </cell>
        </row>
        <row r="16">
          <cell r="D16">
            <v>1400001341</v>
          </cell>
          <cell r="E16" t="str">
            <v>DZ</v>
          </cell>
          <cell r="F16">
            <v>45931</v>
          </cell>
          <cell r="G16" t="str">
            <v/>
          </cell>
          <cell r="H16" t="str">
            <v>INR</v>
          </cell>
          <cell r="I16">
            <v>-450000</v>
          </cell>
          <cell r="J16" t="str">
            <v>INR</v>
          </cell>
          <cell r="K16">
            <v>-450000</v>
          </cell>
          <cell r="L16" t="str">
            <v/>
          </cell>
          <cell r="M16" t="e">
            <v>#N/A</v>
          </cell>
        </row>
        <row r="17">
          <cell r="D17">
            <v>1400001345</v>
          </cell>
          <cell r="E17" t="str">
            <v>DZ</v>
          </cell>
          <cell r="F17">
            <v>45931</v>
          </cell>
          <cell r="G17" t="str">
            <v/>
          </cell>
          <cell r="H17" t="str">
            <v>INR</v>
          </cell>
          <cell r="I17">
            <v>-100000</v>
          </cell>
          <cell r="J17" t="str">
            <v>INR</v>
          </cell>
          <cell r="K17">
            <v>-100000</v>
          </cell>
          <cell r="L17" t="str">
            <v/>
          </cell>
          <cell r="M17" t="e">
            <v>#N/A</v>
          </cell>
        </row>
        <row r="18">
          <cell r="D18">
            <v>1400001406</v>
          </cell>
          <cell r="E18" t="str">
            <v>DZ</v>
          </cell>
          <cell r="F18">
            <v>45944</v>
          </cell>
          <cell r="G18" t="str">
            <v/>
          </cell>
          <cell r="H18" t="str">
            <v>INR</v>
          </cell>
          <cell r="I18">
            <v>-100000</v>
          </cell>
          <cell r="J18" t="str">
            <v>INR</v>
          </cell>
          <cell r="K18">
            <v>-100000</v>
          </cell>
          <cell r="L18" t="str">
            <v/>
          </cell>
          <cell r="M18" t="e">
            <v>#N/A</v>
          </cell>
        </row>
        <row r="19">
          <cell r="D19">
            <v>1400002004</v>
          </cell>
          <cell r="E19" t="str">
            <v>DZ</v>
          </cell>
          <cell r="F19">
            <v>45959</v>
          </cell>
          <cell r="G19" t="str">
            <v/>
          </cell>
          <cell r="H19" t="str">
            <v>INR</v>
          </cell>
          <cell r="I19">
            <v>1000000</v>
          </cell>
          <cell r="J19" t="str">
            <v>INR</v>
          </cell>
          <cell r="K19">
            <v>1000000</v>
          </cell>
          <cell r="L19" t="str">
            <v/>
          </cell>
          <cell r="M19" t="e">
            <v>#N/A</v>
          </cell>
        </row>
        <row r="20">
          <cell r="D20">
            <v>1400001557</v>
          </cell>
          <cell r="E20" t="str">
            <v>DZ</v>
          </cell>
          <cell r="F20">
            <v>45959</v>
          </cell>
          <cell r="G20" t="str">
            <v/>
          </cell>
          <cell r="H20" t="str">
            <v>INR</v>
          </cell>
          <cell r="I20">
            <v>-1000000</v>
          </cell>
          <cell r="J20" t="str">
            <v>INR</v>
          </cell>
          <cell r="K20">
            <v>-1000000</v>
          </cell>
          <cell r="L20" t="str">
            <v/>
          </cell>
          <cell r="M20" t="e">
            <v>#N/A</v>
          </cell>
        </row>
        <row r="21">
          <cell r="D21">
            <v>1400001615</v>
          </cell>
          <cell r="E21" t="str">
            <v>DZ</v>
          </cell>
          <cell r="F21">
            <v>45972</v>
          </cell>
          <cell r="G21" t="str">
            <v/>
          </cell>
          <cell r="H21" t="str">
            <v>INR</v>
          </cell>
          <cell r="I21">
            <v>-100000</v>
          </cell>
          <cell r="J21" t="str">
            <v>INR</v>
          </cell>
          <cell r="K21">
            <v>-100000</v>
          </cell>
          <cell r="L21" t="str">
            <v/>
          </cell>
          <cell r="M21" t="e">
            <v>#N/A</v>
          </cell>
        </row>
        <row r="22">
          <cell r="D22">
            <v>1400001658</v>
          </cell>
          <cell r="E22" t="str">
            <v>DZ</v>
          </cell>
          <cell r="F22">
            <v>45972</v>
          </cell>
          <cell r="G22" t="str">
            <v/>
          </cell>
          <cell r="H22" t="str">
            <v>INR</v>
          </cell>
          <cell r="I22">
            <v>-100000</v>
          </cell>
          <cell r="J22" t="str">
            <v>INR</v>
          </cell>
          <cell r="K22">
            <v>-100000</v>
          </cell>
          <cell r="L22" t="str">
            <v/>
          </cell>
          <cell r="M22" t="e">
            <v>#N/A</v>
          </cell>
        </row>
        <row r="23">
          <cell r="D23">
            <v>1400001934</v>
          </cell>
          <cell r="E23" t="str">
            <v>DZ</v>
          </cell>
          <cell r="F23">
            <v>45977</v>
          </cell>
          <cell r="G23" t="str">
            <v/>
          </cell>
          <cell r="H23" t="str">
            <v>INR</v>
          </cell>
          <cell r="I23">
            <v>-100000</v>
          </cell>
          <cell r="J23" t="str">
            <v>INR</v>
          </cell>
          <cell r="K23">
            <v>-100000</v>
          </cell>
          <cell r="L23" t="str">
            <v/>
          </cell>
          <cell r="M23" t="e">
            <v>#N/A</v>
          </cell>
        </row>
        <row r="24">
          <cell r="D24">
            <v>1400002027</v>
          </cell>
          <cell r="E24" t="str">
            <v>DZ</v>
          </cell>
          <cell r="F24">
            <v>45986</v>
          </cell>
          <cell r="G24" t="str">
            <v/>
          </cell>
          <cell r="H24" t="str">
            <v>INR</v>
          </cell>
          <cell r="I24">
            <v>-100000</v>
          </cell>
          <cell r="J24" t="str">
            <v>INR</v>
          </cell>
          <cell r="K24">
            <v>-100000</v>
          </cell>
          <cell r="L24" t="str">
            <v/>
          </cell>
          <cell r="M24" t="e">
            <v>#N/A</v>
          </cell>
        </row>
        <row r="25">
          <cell r="D25">
            <v>1400002228</v>
          </cell>
          <cell r="E25" t="str">
            <v>DZ</v>
          </cell>
          <cell r="F25">
            <v>45992</v>
          </cell>
          <cell r="G25" t="str">
            <v/>
          </cell>
          <cell r="H25" t="str">
            <v>INR</v>
          </cell>
          <cell r="I25">
            <v>100000</v>
          </cell>
          <cell r="J25" t="str">
            <v>INR</v>
          </cell>
          <cell r="K25">
            <v>100000</v>
          </cell>
          <cell r="L25" t="str">
            <v/>
          </cell>
          <cell r="M25" t="e">
            <v>#N/A</v>
          </cell>
        </row>
        <row r="26">
          <cell r="D26">
            <v>1400002071</v>
          </cell>
          <cell r="E26" t="str">
            <v>DZ</v>
          </cell>
          <cell r="F26">
            <v>45992</v>
          </cell>
          <cell r="G26" t="str">
            <v/>
          </cell>
          <cell r="H26" t="str">
            <v>INR</v>
          </cell>
          <cell r="I26">
            <v>-100000</v>
          </cell>
          <cell r="J26" t="str">
            <v>INR</v>
          </cell>
          <cell r="K26">
            <v>-100000</v>
          </cell>
          <cell r="L26" t="str">
            <v/>
          </cell>
          <cell r="M26" t="e">
            <v>#N/A</v>
          </cell>
        </row>
        <row r="27">
          <cell r="D27">
            <v>1400002099</v>
          </cell>
          <cell r="E27" t="str">
            <v>DZ</v>
          </cell>
          <cell r="F27">
            <v>45994</v>
          </cell>
          <cell r="G27" t="str">
            <v/>
          </cell>
          <cell r="H27" t="str">
            <v>INR</v>
          </cell>
          <cell r="I27">
            <v>-100000</v>
          </cell>
          <cell r="J27" t="str">
            <v>INR</v>
          </cell>
          <cell r="K27">
            <v>-100000</v>
          </cell>
          <cell r="L27" t="str">
            <v/>
          </cell>
          <cell r="M27" t="e">
            <v>#N/A</v>
          </cell>
        </row>
        <row r="28">
          <cell r="D28">
            <v>1400002218</v>
          </cell>
          <cell r="E28" t="str">
            <v>DZ</v>
          </cell>
          <cell r="F28">
            <v>46009</v>
          </cell>
          <cell r="G28" t="str">
            <v/>
          </cell>
          <cell r="H28" t="str">
            <v>INR</v>
          </cell>
          <cell r="I28">
            <v>-100000</v>
          </cell>
          <cell r="J28" t="str">
            <v>INR</v>
          </cell>
          <cell r="K28">
            <v>-100000</v>
          </cell>
          <cell r="L28" t="str">
            <v/>
          </cell>
          <cell r="M28" t="e">
            <v>#N/A</v>
          </cell>
        </row>
        <row r="29">
          <cell r="D29">
            <v>7000000069</v>
          </cell>
          <cell r="E29" t="str">
            <v>XC</v>
          </cell>
          <cell r="F29">
            <v>45701</v>
          </cell>
          <cell r="G29" t="str">
            <v>6779ZP25000105</v>
          </cell>
          <cell r="H29" t="str">
            <v>INR</v>
          </cell>
          <cell r="I29">
            <v>-1</v>
          </cell>
          <cell r="J29" t="str">
            <v>INR</v>
          </cell>
          <cell r="K29">
            <v>-1</v>
          </cell>
          <cell r="L29" t="str">
            <v>Overpayment</v>
          </cell>
          <cell r="M29" t="e">
            <v>#N/A</v>
          </cell>
        </row>
        <row r="30">
          <cell r="D30">
            <v>7000000196</v>
          </cell>
          <cell r="E30" t="str">
            <v>XC</v>
          </cell>
          <cell r="F30">
            <v>45701</v>
          </cell>
          <cell r="G30" t="str">
            <v>6779ZR25000004</v>
          </cell>
          <cell r="H30" t="str">
            <v>INR</v>
          </cell>
          <cell r="I30">
            <v>1</v>
          </cell>
          <cell r="J30" t="str">
            <v>INR</v>
          </cell>
          <cell r="K30">
            <v>1</v>
          </cell>
          <cell r="L30" t="str">
            <v>Overpayment</v>
          </cell>
          <cell r="M30" t="e">
            <v>#N/A</v>
          </cell>
        </row>
        <row r="31">
          <cell r="D31">
            <v>1400000612</v>
          </cell>
          <cell r="E31" t="str">
            <v>DY</v>
          </cell>
          <cell r="F31">
            <v>45861</v>
          </cell>
          <cell r="G31" t="str">
            <v>KNOCK OFF ENTRY</v>
          </cell>
          <cell r="H31" t="str">
            <v>USD</v>
          </cell>
          <cell r="I31">
            <v>0</v>
          </cell>
          <cell r="J31" t="str">
            <v>INR</v>
          </cell>
          <cell r="K31">
            <v>0</v>
          </cell>
          <cell r="L31" t="str">
            <v/>
          </cell>
          <cell r="M31" t="e">
            <v>#N/A</v>
          </cell>
        </row>
        <row r="32">
          <cell r="D32">
            <v>1400000619</v>
          </cell>
          <cell r="E32" t="str">
            <v>DY</v>
          </cell>
          <cell r="F32">
            <v>45861</v>
          </cell>
          <cell r="G32" t="str">
            <v>KNOCK OFF ENTRY</v>
          </cell>
          <cell r="H32" t="str">
            <v>USD</v>
          </cell>
          <cell r="I32">
            <v>0</v>
          </cell>
          <cell r="J32" t="str">
            <v>INR</v>
          </cell>
          <cell r="K32">
            <v>0</v>
          </cell>
          <cell r="L32" t="str">
            <v/>
          </cell>
          <cell r="M32" t="e">
            <v>#N/A</v>
          </cell>
        </row>
        <row r="33">
          <cell r="D33">
            <v>1400000621</v>
          </cell>
          <cell r="E33" t="str">
            <v>DY</v>
          </cell>
          <cell r="F33">
            <v>45861</v>
          </cell>
          <cell r="G33" t="str">
            <v>KNOCK OFF ENTRY</v>
          </cell>
          <cell r="H33" t="str">
            <v>USD</v>
          </cell>
          <cell r="I33">
            <v>0</v>
          </cell>
          <cell r="J33" t="str">
            <v>INR</v>
          </cell>
          <cell r="K33">
            <v>0</v>
          </cell>
          <cell r="L33" t="str">
            <v/>
          </cell>
          <cell r="M33" t="e">
            <v>#N/A</v>
          </cell>
        </row>
        <row r="34">
          <cell r="D34">
            <v>1800000022</v>
          </cell>
          <cell r="E34" t="str">
            <v>DR</v>
          </cell>
          <cell r="F34">
            <v>45707</v>
          </cell>
          <cell r="G34">
            <v>246779410018</v>
          </cell>
          <cell r="H34" t="str">
            <v>USD</v>
          </cell>
          <cell r="I34">
            <v>1800</v>
          </cell>
          <cell r="J34" t="str">
            <v>INR</v>
          </cell>
          <cell r="K34">
            <v>155346.59</v>
          </cell>
          <cell r="L34" t="str">
            <v>Fixed Rental charges for Aug 2024</v>
          </cell>
          <cell r="M34">
            <v>140899</v>
          </cell>
          <cell r="N34">
            <v>14447.589999999997</v>
          </cell>
          <cell r="O34">
            <v>9.3002298923973784E-2</v>
          </cell>
          <cell r="Q34">
            <v>15655</v>
          </cell>
        </row>
        <row r="35">
          <cell r="D35">
            <v>1400000615</v>
          </cell>
          <cell r="E35" t="str">
            <v>DY</v>
          </cell>
          <cell r="F35">
            <v>45861</v>
          </cell>
          <cell r="G35" t="str">
            <v>KNOCK OFF ENTRY</v>
          </cell>
          <cell r="H35" t="str">
            <v>USD</v>
          </cell>
          <cell r="I35">
            <v>1800</v>
          </cell>
          <cell r="J35" t="str">
            <v>INR</v>
          </cell>
          <cell r="K35">
            <v>156459.28</v>
          </cell>
          <cell r="L35" t="str">
            <v/>
          </cell>
          <cell r="M35" t="e">
            <v>#N/A</v>
          </cell>
        </row>
        <row r="36">
          <cell r="D36">
            <v>1400000615</v>
          </cell>
          <cell r="E36" t="str">
            <v>DY</v>
          </cell>
          <cell r="F36">
            <v>45861</v>
          </cell>
          <cell r="G36" t="str">
            <v>KNOCK OFF ENTRY</v>
          </cell>
          <cell r="H36" t="str">
            <v>USD</v>
          </cell>
          <cell r="I36">
            <v>-1800</v>
          </cell>
          <cell r="J36" t="str">
            <v>INR</v>
          </cell>
          <cell r="K36">
            <v>-156459.28</v>
          </cell>
          <cell r="L36" t="str">
            <v/>
          </cell>
          <cell r="M36" t="e">
            <v>#N/A</v>
          </cell>
        </row>
        <row r="37">
          <cell r="D37">
            <v>1400000617</v>
          </cell>
          <cell r="E37" t="str">
            <v>DY</v>
          </cell>
          <cell r="F37">
            <v>45861</v>
          </cell>
          <cell r="G37" t="str">
            <v>KNOCK OFF ENTRY</v>
          </cell>
          <cell r="H37" t="str">
            <v>USD</v>
          </cell>
          <cell r="I37">
            <v>1800</v>
          </cell>
          <cell r="J37" t="str">
            <v>INR</v>
          </cell>
          <cell r="K37">
            <v>156459.28</v>
          </cell>
          <cell r="L37" t="str">
            <v/>
          </cell>
          <cell r="M37" t="e">
            <v>#N/A</v>
          </cell>
        </row>
        <row r="38">
          <cell r="D38">
            <v>1400000617</v>
          </cell>
          <cell r="E38" t="str">
            <v>DY</v>
          </cell>
          <cell r="F38">
            <v>45861</v>
          </cell>
          <cell r="G38" t="str">
            <v>KNOCK OFF ENTRY</v>
          </cell>
          <cell r="H38" t="str">
            <v>USD</v>
          </cell>
          <cell r="I38">
            <v>-1800</v>
          </cell>
          <cell r="J38" t="str">
            <v>INR</v>
          </cell>
          <cell r="K38">
            <v>-156459.28</v>
          </cell>
          <cell r="L38" t="str">
            <v/>
          </cell>
          <cell r="M38" t="e">
            <v>#N/A</v>
          </cell>
        </row>
        <row r="39">
          <cell r="D39">
            <v>1800000110</v>
          </cell>
          <cell r="E39" t="str">
            <v>DR</v>
          </cell>
          <cell r="F39">
            <v>45708</v>
          </cell>
          <cell r="G39">
            <v>246779410038</v>
          </cell>
          <cell r="H39" t="str">
            <v>USD</v>
          </cell>
          <cell r="I39">
            <v>1800</v>
          </cell>
          <cell r="J39" t="str">
            <v>INR</v>
          </cell>
          <cell r="K39">
            <v>155346.59</v>
          </cell>
          <cell r="L39" t="str">
            <v>Fixed Rental charges for Sept 2024</v>
          </cell>
          <cell r="M39">
            <v>140453</v>
          </cell>
          <cell r="N39">
            <v>14893.589999999997</v>
          </cell>
          <cell r="O39">
            <v>9.5873298538448753E-2</v>
          </cell>
          <cell r="Q39">
            <v>15606</v>
          </cell>
        </row>
        <row r="40">
          <cell r="D40">
            <v>1800000179</v>
          </cell>
          <cell r="E40" t="str">
            <v>DR</v>
          </cell>
          <cell r="F40">
            <v>45708</v>
          </cell>
          <cell r="G40">
            <v>246779410106</v>
          </cell>
          <cell r="H40" t="str">
            <v>USD</v>
          </cell>
          <cell r="I40">
            <v>1800</v>
          </cell>
          <cell r="J40" t="str">
            <v>INR</v>
          </cell>
          <cell r="K40">
            <v>155346.59</v>
          </cell>
          <cell r="L40" t="str">
            <v>Fixed Rental charges for Nov 2024</v>
          </cell>
          <cell r="M40">
            <v>140453</v>
          </cell>
          <cell r="N40">
            <v>14893.589999999997</v>
          </cell>
          <cell r="O40">
            <v>9.5873298538448753E-2</v>
          </cell>
          <cell r="Q40">
            <v>15606</v>
          </cell>
        </row>
        <row r="41">
          <cell r="D41">
            <v>1800000222</v>
          </cell>
          <cell r="E41" t="str">
            <v>DR</v>
          </cell>
          <cell r="F41">
            <v>45708</v>
          </cell>
          <cell r="G41">
            <v>246779410149</v>
          </cell>
          <cell r="H41" t="str">
            <v>USD</v>
          </cell>
          <cell r="I41">
            <v>1800</v>
          </cell>
          <cell r="J41" t="str">
            <v>INR</v>
          </cell>
          <cell r="K41">
            <v>155346.59</v>
          </cell>
          <cell r="L41" t="str">
            <v>Fixed Rental charges for Dec 2024</v>
          </cell>
          <cell r="M41">
            <v>140453</v>
          </cell>
          <cell r="N41">
            <v>14893.589999999997</v>
          </cell>
          <cell r="O41">
            <v>9.5873298538448753E-2</v>
          </cell>
          <cell r="Q41">
            <v>15606</v>
          </cell>
        </row>
        <row r="42">
          <cell r="D42">
            <v>1800000265</v>
          </cell>
          <cell r="E42" t="str">
            <v>DR</v>
          </cell>
          <cell r="F42">
            <v>45708</v>
          </cell>
          <cell r="G42">
            <v>246779410192</v>
          </cell>
          <cell r="H42" t="str">
            <v>USD</v>
          </cell>
          <cell r="I42">
            <v>1800</v>
          </cell>
          <cell r="J42" t="str">
            <v>INR</v>
          </cell>
          <cell r="K42">
            <v>155346.59</v>
          </cell>
          <cell r="L42" t="str">
            <v>Fixed Rental charges for Jan 2025</v>
          </cell>
          <cell r="M42">
            <v>140453</v>
          </cell>
          <cell r="N42">
            <v>14893.589999999997</v>
          </cell>
          <cell r="O42">
            <v>9.5873298538448753E-2</v>
          </cell>
          <cell r="Q42">
            <v>15606</v>
          </cell>
        </row>
        <row r="43">
          <cell r="D43">
            <v>1800000308</v>
          </cell>
          <cell r="E43" t="str">
            <v>DR</v>
          </cell>
          <cell r="F43">
            <v>45708</v>
          </cell>
          <cell r="G43">
            <v>246779410235</v>
          </cell>
          <cell r="H43" t="str">
            <v>USD</v>
          </cell>
          <cell r="I43">
            <v>1800</v>
          </cell>
          <cell r="J43" t="str">
            <v>INR</v>
          </cell>
          <cell r="K43">
            <v>155346.59</v>
          </cell>
          <cell r="L43" t="str">
            <v>Fixed Rental charges for Feb 2025</v>
          </cell>
          <cell r="M43">
            <v>140453</v>
          </cell>
          <cell r="N43">
            <v>14893.589999999997</v>
          </cell>
          <cell r="O43">
            <v>9.5873298538448753E-2</v>
          </cell>
          <cell r="Q43">
            <v>15606</v>
          </cell>
        </row>
        <row r="44">
          <cell r="D44">
            <v>1800000080</v>
          </cell>
          <cell r="E44" t="str">
            <v>DR</v>
          </cell>
          <cell r="F44">
            <v>45708</v>
          </cell>
          <cell r="G44">
            <v>246779410292</v>
          </cell>
          <cell r="H44" t="str">
            <v>USD</v>
          </cell>
          <cell r="I44">
            <v>1800</v>
          </cell>
          <cell r="J44" t="str">
            <v>INR</v>
          </cell>
          <cell r="K44">
            <v>155346.59</v>
          </cell>
          <cell r="L44" t="str">
            <v>Fixed Rental charges for Oct 2024</v>
          </cell>
          <cell r="M44">
            <v>140453</v>
          </cell>
          <cell r="N44">
            <v>14893.589999999997</v>
          </cell>
          <cell r="O44">
            <v>9.5873298538448753E-2</v>
          </cell>
          <cell r="Q44">
            <v>15606</v>
          </cell>
        </row>
        <row r="45">
          <cell r="D45">
            <v>1800000347</v>
          </cell>
          <cell r="E45" t="str">
            <v>DR</v>
          </cell>
          <cell r="F45">
            <v>45713</v>
          </cell>
          <cell r="G45">
            <v>246779410321</v>
          </cell>
          <cell r="H45" t="str">
            <v>USD</v>
          </cell>
          <cell r="I45">
            <v>465</v>
          </cell>
          <cell r="J45" t="str">
            <v>INR</v>
          </cell>
          <cell r="K45">
            <v>40131.199999999997</v>
          </cell>
          <cell r="L45" t="str">
            <v>CY Longstanding container Ground Rent charges for</v>
          </cell>
          <cell r="M45">
            <v>36410</v>
          </cell>
          <cell r="N45">
            <v>3721.1999999999971</v>
          </cell>
          <cell r="O45">
            <v>9.2725859181883363E-2</v>
          </cell>
          <cell r="Q45">
            <v>4046</v>
          </cell>
        </row>
        <row r="46">
          <cell r="D46">
            <v>1800000372</v>
          </cell>
          <cell r="E46" t="str">
            <v>DR</v>
          </cell>
          <cell r="F46">
            <v>45716</v>
          </cell>
          <cell r="G46">
            <v>246779410341</v>
          </cell>
          <cell r="H46" t="str">
            <v>USD</v>
          </cell>
          <cell r="I46">
            <v>450</v>
          </cell>
          <cell r="J46" t="str">
            <v>INR</v>
          </cell>
          <cell r="K46">
            <v>38836.65</v>
          </cell>
          <cell r="L46" t="str">
            <v>CY Longstanding container Ground Rent charges for</v>
          </cell>
          <cell r="M46">
            <v>35397</v>
          </cell>
          <cell r="N46">
            <v>3439.6500000000015</v>
          </cell>
          <cell r="O46">
            <v>8.8567113795860394E-2</v>
          </cell>
          <cell r="Q46">
            <v>3933</v>
          </cell>
        </row>
        <row r="47">
          <cell r="D47">
            <v>1800000388</v>
          </cell>
          <cell r="E47" t="str">
            <v>DR</v>
          </cell>
          <cell r="F47">
            <v>45716</v>
          </cell>
          <cell r="G47">
            <v>246779410357</v>
          </cell>
          <cell r="H47" t="str">
            <v>USD</v>
          </cell>
          <cell r="I47">
            <v>450</v>
          </cell>
          <cell r="J47" t="str">
            <v>INR</v>
          </cell>
          <cell r="K47">
            <v>38836.65</v>
          </cell>
          <cell r="L47" t="str">
            <v>CY Longstanding container Ground Rent charges for</v>
          </cell>
          <cell r="M47">
            <v>35397</v>
          </cell>
          <cell r="N47">
            <v>3439.6500000000015</v>
          </cell>
          <cell r="O47">
            <v>8.8567113795860394E-2</v>
          </cell>
          <cell r="Q47">
            <v>3933</v>
          </cell>
        </row>
        <row r="48">
          <cell r="D48">
            <v>1800000376</v>
          </cell>
          <cell r="E48" t="str">
            <v>DR</v>
          </cell>
          <cell r="F48">
            <v>45716</v>
          </cell>
          <cell r="G48">
            <v>246779410345</v>
          </cell>
          <cell r="H48" t="str">
            <v>USD</v>
          </cell>
          <cell r="I48">
            <v>465</v>
          </cell>
          <cell r="J48" t="str">
            <v>INR</v>
          </cell>
          <cell r="K48">
            <v>40131.199999999997</v>
          </cell>
          <cell r="L48" t="str">
            <v>CY Longstanding container Ground Rent charges for</v>
          </cell>
          <cell r="M48">
            <v>36577</v>
          </cell>
          <cell r="N48">
            <v>3554.1999999999971</v>
          </cell>
          <cell r="O48">
            <v>8.8564508412407233E-2</v>
          </cell>
          <cell r="Q48">
            <v>4064</v>
          </cell>
        </row>
        <row r="49">
          <cell r="D49">
            <v>1800000382</v>
          </cell>
          <cell r="E49" t="str">
            <v>DR</v>
          </cell>
          <cell r="F49">
            <v>45716</v>
          </cell>
          <cell r="G49">
            <v>246779410351</v>
          </cell>
          <cell r="H49" t="str">
            <v>USD</v>
          </cell>
          <cell r="I49">
            <v>465</v>
          </cell>
          <cell r="J49" t="str">
            <v>INR</v>
          </cell>
          <cell r="K49">
            <v>40131.199999999997</v>
          </cell>
          <cell r="L49" t="str">
            <v>CY Longstanding container Ground Rent charges for</v>
          </cell>
          <cell r="M49">
            <v>36577</v>
          </cell>
          <cell r="N49">
            <v>3554.1999999999971</v>
          </cell>
          <cell r="O49">
            <v>8.8564508412407233E-2</v>
          </cell>
          <cell r="Q49">
            <v>4064</v>
          </cell>
        </row>
        <row r="50">
          <cell r="D50">
            <v>1800000403</v>
          </cell>
          <cell r="E50" t="str">
            <v>DR</v>
          </cell>
          <cell r="F50">
            <v>45719</v>
          </cell>
          <cell r="G50">
            <v>246779410365</v>
          </cell>
          <cell r="H50" t="str">
            <v>USD</v>
          </cell>
          <cell r="I50">
            <v>1018.38</v>
          </cell>
          <cell r="J50" t="str">
            <v>INR</v>
          </cell>
          <cell r="K50">
            <v>88284.65</v>
          </cell>
          <cell r="L50" t="str">
            <v>Storage Charges for the month of August, 2024</v>
          </cell>
          <cell r="M50">
            <v>80043</v>
          </cell>
          <cell r="N50">
            <v>8241.6499999999942</v>
          </cell>
          <cell r="O50">
            <v>9.3353148027431665E-2</v>
          </cell>
          <cell r="Q50">
            <v>8894</v>
          </cell>
        </row>
        <row r="51">
          <cell r="D51">
            <v>1800000429</v>
          </cell>
          <cell r="E51" t="str">
            <v>DR</v>
          </cell>
          <cell r="F51">
            <v>45719</v>
          </cell>
          <cell r="G51">
            <v>246779410391</v>
          </cell>
          <cell r="H51" t="str">
            <v>USD</v>
          </cell>
          <cell r="I51">
            <v>1894.32</v>
          </cell>
          <cell r="J51" t="str">
            <v>INR</v>
          </cell>
          <cell r="K51">
            <v>164220.99</v>
          </cell>
          <cell r="L51" t="str">
            <v>Storage  for the month of Sept  2024</v>
          </cell>
          <cell r="M51">
            <v>148891</v>
          </cell>
          <cell r="N51">
            <v>15329.989999999991</v>
          </cell>
          <cell r="O51">
            <v>9.3349759978916161E-2</v>
          </cell>
          <cell r="Q51">
            <v>16543</v>
          </cell>
        </row>
        <row r="52">
          <cell r="D52">
            <v>1800000453</v>
          </cell>
          <cell r="E52" t="str">
            <v>DR</v>
          </cell>
          <cell r="F52">
            <v>45719</v>
          </cell>
          <cell r="G52">
            <v>246779410415</v>
          </cell>
          <cell r="H52" t="str">
            <v>USD</v>
          </cell>
          <cell r="I52">
            <v>1930.92</v>
          </cell>
          <cell r="J52" t="str">
            <v>INR</v>
          </cell>
          <cell r="K52">
            <v>167393.89000000001</v>
          </cell>
          <cell r="L52" t="str">
            <v>Storage for the month of Oct 2024</v>
          </cell>
          <cell r="M52">
            <v>151767</v>
          </cell>
          <cell r="N52">
            <v>15626.890000000014</v>
          </cell>
          <cell r="O52">
            <v>9.3354004736971058E-2</v>
          </cell>
          <cell r="Q52">
            <v>16863</v>
          </cell>
        </row>
        <row r="53">
          <cell r="D53">
            <v>1800000922</v>
          </cell>
          <cell r="E53" t="str">
            <v>DR</v>
          </cell>
          <cell r="F53">
            <v>45722</v>
          </cell>
          <cell r="G53">
            <v>246779410862</v>
          </cell>
          <cell r="H53" t="str">
            <v>USD</v>
          </cell>
          <cell r="I53">
            <v>2306.52</v>
          </cell>
          <cell r="J53" t="str">
            <v>INR</v>
          </cell>
          <cell r="K53">
            <v>199955.13</v>
          </cell>
          <cell r="L53" t="str">
            <v>Storage for the month of Nov 2024</v>
          </cell>
          <cell r="M53">
            <v>180778</v>
          </cell>
          <cell r="N53">
            <v>19177.130000000005</v>
          </cell>
          <cell r="O53">
            <v>9.590716677286551E-2</v>
          </cell>
          <cell r="Q53">
            <v>20087</v>
          </cell>
        </row>
        <row r="54">
          <cell r="D54">
            <v>1800000945</v>
          </cell>
          <cell r="E54" t="str">
            <v>DR</v>
          </cell>
          <cell r="F54">
            <v>45722</v>
          </cell>
          <cell r="G54">
            <v>246779410885</v>
          </cell>
          <cell r="H54" t="str">
            <v>USD</v>
          </cell>
          <cell r="I54">
            <v>2390.58</v>
          </cell>
          <cell r="J54" t="str">
            <v>INR</v>
          </cell>
          <cell r="K54">
            <v>207242.39</v>
          </cell>
          <cell r="L54" t="str">
            <v>Storage for the month of Dec 2024</v>
          </cell>
          <cell r="M54">
            <v>187367</v>
          </cell>
          <cell r="N54">
            <v>19875.390000000014</v>
          </cell>
          <cell r="O54">
            <v>9.59040763812848E-2</v>
          </cell>
          <cell r="Q54">
            <v>20819</v>
          </cell>
        </row>
        <row r="55">
          <cell r="D55">
            <v>1800001470</v>
          </cell>
          <cell r="E55" t="str">
            <v>DR</v>
          </cell>
          <cell r="F55">
            <v>45729</v>
          </cell>
          <cell r="G55">
            <v>246779411302</v>
          </cell>
          <cell r="H55" t="str">
            <v>USD</v>
          </cell>
          <cell r="I55">
            <v>35</v>
          </cell>
          <cell r="J55" t="str">
            <v>INR</v>
          </cell>
          <cell r="K55">
            <v>3034.19</v>
          </cell>
          <cell r="L55" t="str">
            <v>Scanning Charges for the month of September, 2024</v>
          </cell>
          <cell r="M55">
            <v>2987</v>
          </cell>
          <cell r="N55">
            <v>47.190000000000055</v>
          </cell>
          <cell r="O55">
            <v>1.5552750486950406E-2</v>
          </cell>
          <cell r="Q55">
            <v>61</v>
          </cell>
        </row>
        <row r="56">
          <cell r="D56">
            <v>1800001793</v>
          </cell>
          <cell r="E56" t="str">
            <v>DR</v>
          </cell>
          <cell r="F56">
            <v>45730</v>
          </cell>
          <cell r="G56">
            <v>246779411458</v>
          </cell>
          <cell r="H56" t="str">
            <v>USD</v>
          </cell>
          <cell r="I56">
            <v>77.2</v>
          </cell>
          <cell r="J56" t="str">
            <v>INR</v>
          </cell>
          <cell r="K56">
            <v>6692.57</v>
          </cell>
          <cell r="L56" t="str">
            <v>VAS Activity Charges for the month of August, 24</v>
          </cell>
          <cell r="M56">
            <v>6589</v>
          </cell>
          <cell r="N56">
            <v>103.56999999999971</v>
          </cell>
          <cell r="O56">
            <v>1.5475370448123773E-2</v>
          </cell>
          <cell r="Q56">
            <v>134</v>
          </cell>
        </row>
        <row r="57">
          <cell r="D57">
            <v>1800001590</v>
          </cell>
          <cell r="E57" t="str">
            <v>DR</v>
          </cell>
          <cell r="F57">
            <v>45730</v>
          </cell>
          <cell r="G57">
            <v>246779412247</v>
          </cell>
          <cell r="H57" t="str">
            <v>USD</v>
          </cell>
          <cell r="I57">
            <v>77.2</v>
          </cell>
          <cell r="J57" t="str">
            <v>INR</v>
          </cell>
          <cell r="K57">
            <v>6692.57</v>
          </cell>
          <cell r="L57" t="str">
            <v>VAS Activity Charges for the month of August, 24</v>
          </cell>
          <cell r="M57">
            <v>6589</v>
          </cell>
          <cell r="N57">
            <v>103.56999999999971</v>
          </cell>
          <cell r="O57">
            <v>1.5475370448123773E-2</v>
          </cell>
          <cell r="Q57">
            <v>134</v>
          </cell>
        </row>
        <row r="58">
          <cell r="D58">
            <v>1800001962</v>
          </cell>
          <cell r="E58" t="str">
            <v>DR</v>
          </cell>
          <cell r="F58">
            <v>45733</v>
          </cell>
          <cell r="G58">
            <v>246779411627</v>
          </cell>
          <cell r="H58" t="str">
            <v>USD</v>
          </cell>
          <cell r="I58">
            <v>61.82</v>
          </cell>
          <cell r="J58" t="str">
            <v>INR</v>
          </cell>
          <cell r="K58">
            <v>5359.25</v>
          </cell>
          <cell r="L58" t="str">
            <v>VAS Activity Charges for the month of September, 2</v>
          </cell>
          <cell r="M58">
            <v>5258</v>
          </cell>
          <cell r="N58">
            <v>101.25</v>
          </cell>
          <cell r="O58">
            <v>1.8892568922890329E-2</v>
          </cell>
          <cell r="Q58">
            <v>107</v>
          </cell>
        </row>
        <row r="59">
          <cell r="D59">
            <v>1800001960</v>
          </cell>
          <cell r="E59" t="str">
            <v>DR</v>
          </cell>
          <cell r="F59">
            <v>45733</v>
          </cell>
          <cell r="G59">
            <v>246779411625</v>
          </cell>
          <cell r="H59" t="str">
            <v>USD</v>
          </cell>
          <cell r="I59">
            <v>69.819999999999993</v>
          </cell>
          <cell r="J59" t="str">
            <v>INR</v>
          </cell>
          <cell r="K59">
            <v>6052.78</v>
          </cell>
          <cell r="L59" t="str">
            <v>VAS Activity Charges for the month of September, 2</v>
          </cell>
          <cell r="M59">
            <v>5939</v>
          </cell>
          <cell r="N59">
            <v>113.77999999999975</v>
          </cell>
          <cell r="O59">
            <v>1.8797973823598373E-2</v>
          </cell>
          <cell r="Q59">
            <v>121</v>
          </cell>
        </row>
        <row r="60">
          <cell r="D60">
            <v>1800001961</v>
          </cell>
          <cell r="E60" t="str">
            <v>DR</v>
          </cell>
          <cell r="F60">
            <v>45733</v>
          </cell>
          <cell r="G60">
            <v>246779411626</v>
          </cell>
          <cell r="H60" t="str">
            <v>USD</v>
          </cell>
          <cell r="I60">
            <v>71.61</v>
          </cell>
          <cell r="J60" t="str">
            <v>INR</v>
          </cell>
          <cell r="K60">
            <v>6207.96</v>
          </cell>
          <cell r="L60" t="str">
            <v>VAS Activity Charges for the month of September, 2</v>
          </cell>
          <cell r="M60">
            <v>6091</v>
          </cell>
          <cell r="N60">
            <v>116.96000000000004</v>
          </cell>
          <cell r="O60">
            <v>1.8840327579430285E-2</v>
          </cell>
          <cell r="Q60">
            <v>124</v>
          </cell>
        </row>
        <row r="61">
          <cell r="D61">
            <v>1800002403</v>
          </cell>
          <cell r="E61" t="str">
            <v>DR</v>
          </cell>
          <cell r="F61">
            <v>45733</v>
          </cell>
          <cell r="G61">
            <v>246779412068</v>
          </cell>
          <cell r="H61" t="str">
            <v>USD</v>
          </cell>
          <cell r="I61">
            <v>122.18</v>
          </cell>
          <cell r="J61" t="str">
            <v>INR</v>
          </cell>
          <cell r="K61">
            <v>10591.94</v>
          </cell>
          <cell r="L61" t="str">
            <v>VAS Activity Charges for the month of December, 24</v>
          </cell>
          <cell r="M61">
            <v>10392</v>
          </cell>
          <cell r="N61">
            <v>199.94000000000051</v>
          </cell>
          <cell r="O61">
            <v>1.8876617503497992E-2</v>
          </cell>
          <cell r="Q61">
            <v>212</v>
          </cell>
        </row>
        <row r="62">
          <cell r="D62">
            <v>1800001959</v>
          </cell>
          <cell r="E62" t="str">
            <v>DR</v>
          </cell>
          <cell r="F62">
            <v>45733</v>
          </cell>
          <cell r="G62">
            <v>246779411624</v>
          </cell>
          <cell r="H62" t="str">
            <v>USD</v>
          </cell>
          <cell r="I62">
            <v>245.69</v>
          </cell>
          <cell r="J62" t="str">
            <v>INR</v>
          </cell>
          <cell r="K62">
            <v>21299.18</v>
          </cell>
          <cell r="L62" t="str">
            <v>VAS Activity Charges for the month of September, 2</v>
          </cell>
          <cell r="M62">
            <v>20898</v>
          </cell>
          <cell r="N62">
            <v>401.18000000000029</v>
          </cell>
          <cell r="O62">
            <v>1.8835466905298717E-2</v>
          </cell>
          <cell r="Q62">
            <v>426</v>
          </cell>
        </row>
        <row r="63">
          <cell r="D63">
            <v>1800003353</v>
          </cell>
          <cell r="E63" t="str">
            <v>DR</v>
          </cell>
          <cell r="F63">
            <v>45735</v>
          </cell>
          <cell r="G63">
            <v>246779413220</v>
          </cell>
          <cell r="H63" t="str">
            <v>USD</v>
          </cell>
          <cell r="I63">
            <v>26.04</v>
          </cell>
          <cell r="J63" t="str">
            <v>INR</v>
          </cell>
          <cell r="K63">
            <v>2257.44</v>
          </cell>
          <cell r="L63" t="str">
            <v>HLBU3011446-Port SSR Shifting Jan 2025. Exch rate</v>
          </cell>
          <cell r="M63">
            <v>2207</v>
          </cell>
          <cell r="N63">
            <v>50.440000000000055</v>
          </cell>
          <cell r="O63">
            <v>2.2343893968388994E-2</v>
          </cell>
          <cell r="Q63">
            <v>45</v>
          </cell>
        </row>
        <row r="64">
          <cell r="D64">
            <v>1600002475</v>
          </cell>
          <cell r="E64" t="str">
            <v>DG</v>
          </cell>
          <cell r="F64">
            <v>45947</v>
          </cell>
          <cell r="G64">
            <v>256779422017</v>
          </cell>
          <cell r="H64" t="str">
            <v>USD</v>
          </cell>
          <cell r="I64">
            <v>-156.08000000000001</v>
          </cell>
          <cell r="J64" t="str">
            <v>INR</v>
          </cell>
          <cell r="K64">
            <v>-13764.82</v>
          </cell>
          <cell r="L64" t="str">
            <v>Credit note raised against 256779418079</v>
          </cell>
          <cell r="M64" t="e">
            <v>#N/A</v>
          </cell>
          <cell r="Q64" t="e">
            <v>#N/A</v>
          </cell>
        </row>
        <row r="65">
          <cell r="D65">
            <v>1800003132</v>
          </cell>
          <cell r="E65" t="str">
            <v>DR</v>
          </cell>
          <cell r="F65">
            <v>45735</v>
          </cell>
          <cell r="G65">
            <v>246779412999</v>
          </cell>
          <cell r="H65" t="str">
            <v>USD</v>
          </cell>
          <cell r="I65">
            <v>186.08</v>
          </cell>
          <cell r="J65" t="str">
            <v>INR</v>
          </cell>
          <cell r="K65">
            <v>16131.51</v>
          </cell>
          <cell r="L65" t="str">
            <v>Fixed Storage Charges for Mar 2025</v>
          </cell>
          <cell r="M65">
            <v>14486</v>
          </cell>
          <cell r="N65">
            <v>1645.5100000000002</v>
          </cell>
          <cell r="O65">
            <v>0.10200594984598467</v>
          </cell>
          <cell r="Q65">
            <v>1610</v>
          </cell>
        </row>
        <row r="66">
          <cell r="D66">
            <v>1800004362</v>
          </cell>
          <cell r="E66" t="str">
            <v>DR</v>
          </cell>
          <cell r="F66">
            <v>45736</v>
          </cell>
          <cell r="G66">
            <v>246779414230</v>
          </cell>
          <cell r="H66" t="str">
            <v>USD</v>
          </cell>
          <cell r="I66">
            <v>1</v>
          </cell>
          <cell r="J66" t="str">
            <v>INR</v>
          </cell>
          <cell r="K66">
            <v>86.69</v>
          </cell>
          <cell r="L66" t="str">
            <v>Loose loading Handling charges for Sep 2024</v>
          </cell>
          <cell r="M66">
            <v>84</v>
          </cell>
          <cell r="N66">
            <v>2.6899999999999977</v>
          </cell>
          <cell r="O66">
            <v>3.1030107278809525E-2</v>
          </cell>
          <cell r="Q66">
            <v>2</v>
          </cell>
        </row>
        <row r="67">
          <cell r="D67">
            <v>1800004038</v>
          </cell>
          <cell r="E67" t="str">
            <v>DR</v>
          </cell>
          <cell r="F67">
            <v>45736</v>
          </cell>
          <cell r="G67">
            <v>246779413894</v>
          </cell>
          <cell r="H67" t="str">
            <v>USD</v>
          </cell>
          <cell r="I67">
            <v>2</v>
          </cell>
          <cell r="J67" t="str">
            <v>INR</v>
          </cell>
          <cell r="K67">
            <v>173.38</v>
          </cell>
          <cell r="L67" t="str">
            <v>Outbound Handling charges for Feb 2025</v>
          </cell>
          <cell r="M67">
            <v>170</v>
          </cell>
          <cell r="N67">
            <v>3.3799999999999955</v>
          </cell>
          <cell r="O67">
            <v>1.9494751413081067E-2</v>
          </cell>
          <cell r="Q67">
            <v>3</v>
          </cell>
        </row>
        <row r="68">
          <cell r="D68">
            <v>1800004055</v>
          </cell>
          <cell r="E68" t="str">
            <v>DR</v>
          </cell>
          <cell r="F68">
            <v>45736</v>
          </cell>
          <cell r="G68">
            <v>246779413911</v>
          </cell>
          <cell r="H68" t="str">
            <v>USD</v>
          </cell>
          <cell r="I68">
            <v>1.99</v>
          </cell>
          <cell r="J68" t="str">
            <v>INR</v>
          </cell>
          <cell r="K68">
            <v>172.52</v>
          </cell>
          <cell r="L68" t="str">
            <v>Outbound Handling charges for Feb 2025</v>
          </cell>
          <cell r="M68">
            <v>169</v>
          </cell>
          <cell r="N68">
            <v>3.5200000000000102</v>
          </cell>
          <cell r="O68">
            <v>2.0403431486204555E-2</v>
          </cell>
          <cell r="Q68">
            <v>3</v>
          </cell>
        </row>
        <row r="69">
          <cell r="D69">
            <v>1800004045</v>
          </cell>
          <cell r="E69" t="str">
            <v>DR</v>
          </cell>
          <cell r="F69">
            <v>45736</v>
          </cell>
          <cell r="G69">
            <v>246779413901</v>
          </cell>
          <cell r="H69" t="str">
            <v>USD</v>
          </cell>
          <cell r="I69">
            <v>1.75</v>
          </cell>
          <cell r="J69" t="str">
            <v>INR</v>
          </cell>
          <cell r="K69">
            <v>151.71</v>
          </cell>
          <cell r="L69" t="str">
            <v>Outbound Handling charges for Feb 2025</v>
          </cell>
          <cell r="M69">
            <v>148</v>
          </cell>
          <cell r="N69">
            <v>3.710000000000008</v>
          </cell>
          <cell r="O69">
            <v>2.4454551446839414E-2</v>
          </cell>
          <cell r="Q69">
            <v>3</v>
          </cell>
        </row>
        <row r="70">
          <cell r="D70">
            <v>1800004037</v>
          </cell>
          <cell r="E70" t="str">
            <v>DR</v>
          </cell>
          <cell r="F70">
            <v>45736</v>
          </cell>
          <cell r="G70">
            <v>246779413893</v>
          </cell>
          <cell r="H70" t="str">
            <v>USD</v>
          </cell>
          <cell r="I70">
            <v>1.75</v>
          </cell>
          <cell r="J70" t="str">
            <v>INR</v>
          </cell>
          <cell r="K70">
            <v>151.71</v>
          </cell>
          <cell r="L70" t="str">
            <v>Outbound Handling charges for Feb 2025</v>
          </cell>
          <cell r="M70">
            <v>148</v>
          </cell>
          <cell r="N70">
            <v>3.710000000000008</v>
          </cell>
          <cell r="O70">
            <v>2.4454551446839414E-2</v>
          </cell>
          <cell r="Q70">
            <v>3</v>
          </cell>
        </row>
        <row r="71">
          <cell r="D71">
            <v>1800004873</v>
          </cell>
          <cell r="E71" t="str">
            <v>DR</v>
          </cell>
          <cell r="F71">
            <v>45736</v>
          </cell>
          <cell r="G71">
            <v>246779414741</v>
          </cell>
          <cell r="H71" t="str">
            <v>USD</v>
          </cell>
          <cell r="I71">
            <v>1.97</v>
          </cell>
          <cell r="J71" t="str">
            <v>INR</v>
          </cell>
          <cell r="K71">
            <v>170.78</v>
          </cell>
          <cell r="L71" t="str">
            <v>Loose Loading Handling charges for Jan 2025</v>
          </cell>
          <cell r="M71">
            <v>167</v>
          </cell>
          <cell r="N71">
            <v>3.7800000000000011</v>
          </cell>
          <cell r="O71">
            <v>2.2133739313736977E-2</v>
          </cell>
          <cell r="Q71">
            <v>3</v>
          </cell>
        </row>
        <row r="72">
          <cell r="D72">
            <v>1800005034</v>
          </cell>
          <cell r="E72" t="str">
            <v>DR</v>
          </cell>
          <cell r="F72">
            <v>45736</v>
          </cell>
          <cell r="G72">
            <v>246779414902</v>
          </cell>
          <cell r="H72" t="str">
            <v>USD</v>
          </cell>
          <cell r="I72">
            <v>3.52</v>
          </cell>
          <cell r="J72" t="str">
            <v>INR</v>
          </cell>
          <cell r="K72">
            <v>305.14999999999998</v>
          </cell>
          <cell r="L72" t="str">
            <v>Outbound Handling charges for Jan 2025</v>
          </cell>
          <cell r="M72">
            <v>298</v>
          </cell>
          <cell r="N72">
            <v>7.1499999999999773</v>
          </cell>
          <cell r="O72">
            <v>2.3431099459282248E-2</v>
          </cell>
          <cell r="Q72">
            <v>6</v>
          </cell>
        </row>
        <row r="73">
          <cell r="D73">
            <v>1800004605</v>
          </cell>
          <cell r="E73" t="str">
            <v>DR</v>
          </cell>
          <cell r="F73">
            <v>45736</v>
          </cell>
          <cell r="G73">
            <v>246779414473</v>
          </cell>
          <cell r="H73" t="str">
            <v>USD</v>
          </cell>
          <cell r="I73">
            <v>6.38</v>
          </cell>
          <cell r="J73" t="str">
            <v>INR</v>
          </cell>
          <cell r="K73">
            <v>553.09</v>
          </cell>
          <cell r="L73" t="str">
            <v>Loose Unloading charges for Jan 2025</v>
          </cell>
          <cell r="M73">
            <v>540</v>
          </cell>
          <cell r="N73">
            <v>13.090000000000032</v>
          </cell>
          <cell r="O73">
            <v>2.3667034298215536E-2</v>
          </cell>
          <cell r="Q73">
            <v>11</v>
          </cell>
        </row>
        <row r="74">
          <cell r="D74">
            <v>1800005033</v>
          </cell>
          <cell r="E74" t="str">
            <v>DR</v>
          </cell>
          <cell r="F74">
            <v>45736</v>
          </cell>
          <cell r="G74">
            <v>246779414901</v>
          </cell>
          <cell r="H74" t="str">
            <v>USD</v>
          </cell>
          <cell r="I74">
            <v>6.13</v>
          </cell>
          <cell r="J74" t="str">
            <v>INR</v>
          </cell>
          <cell r="K74">
            <v>531.41999999999996</v>
          </cell>
          <cell r="L74" t="str">
            <v>Outbound Handling charges for Jan 2025</v>
          </cell>
          <cell r="M74">
            <v>518</v>
          </cell>
          <cell r="N74">
            <v>13.419999999999959</v>
          </cell>
          <cell r="O74">
            <v>2.525309548003455E-2</v>
          </cell>
          <cell r="Q74">
            <v>11</v>
          </cell>
        </row>
        <row r="75">
          <cell r="D75">
            <v>1800004742</v>
          </cell>
          <cell r="E75" t="str">
            <v>DR</v>
          </cell>
          <cell r="F75">
            <v>45736</v>
          </cell>
          <cell r="G75">
            <v>246779414610</v>
          </cell>
          <cell r="H75" t="str">
            <v>USD</v>
          </cell>
          <cell r="I75">
            <v>7</v>
          </cell>
          <cell r="J75" t="str">
            <v>INR</v>
          </cell>
          <cell r="K75">
            <v>606.84</v>
          </cell>
          <cell r="L75" t="str">
            <v>Outbound Handling charges for Oct 2024</v>
          </cell>
          <cell r="M75">
            <v>592</v>
          </cell>
          <cell r="N75">
            <v>14.840000000000032</v>
          </cell>
          <cell r="O75">
            <v>2.4454551446839414E-2</v>
          </cell>
          <cell r="Q75">
            <v>12</v>
          </cell>
        </row>
        <row r="76">
          <cell r="D76">
            <v>1800004361</v>
          </cell>
          <cell r="E76" t="str">
            <v>DR</v>
          </cell>
          <cell r="F76">
            <v>45736</v>
          </cell>
          <cell r="G76">
            <v>246779414229</v>
          </cell>
          <cell r="H76" t="str">
            <v>USD</v>
          </cell>
          <cell r="I76">
            <v>9.1</v>
          </cell>
          <cell r="J76" t="str">
            <v>INR</v>
          </cell>
          <cell r="K76">
            <v>788.89</v>
          </cell>
          <cell r="L76" t="str">
            <v>Outbound Handling charges for Sep 2024</v>
          </cell>
          <cell r="M76">
            <v>769</v>
          </cell>
          <cell r="N76">
            <v>19.889999999999986</v>
          </cell>
          <cell r="O76">
            <v>2.5212640545576679E-2</v>
          </cell>
          <cell r="Q76">
            <v>16</v>
          </cell>
        </row>
        <row r="77">
          <cell r="D77">
            <v>1800004820</v>
          </cell>
          <cell r="E77" t="str">
            <v>DR</v>
          </cell>
          <cell r="F77">
            <v>45736</v>
          </cell>
          <cell r="G77">
            <v>246779414688</v>
          </cell>
          <cell r="H77" t="str">
            <v>USD</v>
          </cell>
          <cell r="I77">
            <v>9.9</v>
          </cell>
          <cell r="J77" t="str">
            <v>INR</v>
          </cell>
          <cell r="K77">
            <v>858.24</v>
          </cell>
          <cell r="L77" t="str">
            <v>Loose handling Charges for Nov 2024</v>
          </cell>
          <cell r="M77">
            <v>837</v>
          </cell>
          <cell r="N77">
            <v>21.240000000000009</v>
          </cell>
          <cell r="O77">
            <v>2.4748322147651016E-2</v>
          </cell>
          <cell r="Q77">
            <v>17</v>
          </cell>
        </row>
        <row r="78">
          <cell r="D78">
            <v>1800004534</v>
          </cell>
          <cell r="E78" t="str">
            <v>DR</v>
          </cell>
          <cell r="F78">
            <v>45736</v>
          </cell>
          <cell r="G78">
            <v>246779414402</v>
          </cell>
          <cell r="H78" t="str">
            <v>USD</v>
          </cell>
          <cell r="I78">
            <v>10.5</v>
          </cell>
          <cell r="J78" t="str">
            <v>INR</v>
          </cell>
          <cell r="K78">
            <v>910.26</v>
          </cell>
          <cell r="L78" t="str">
            <v>Inbound Handling charges for Nov 2024</v>
          </cell>
          <cell r="M78">
            <v>888</v>
          </cell>
          <cell r="N78">
            <v>22.259999999999991</v>
          </cell>
          <cell r="O78">
            <v>2.4454551446839355E-2</v>
          </cell>
          <cell r="Q78">
            <v>18</v>
          </cell>
        </row>
        <row r="79">
          <cell r="D79">
            <v>1800004282</v>
          </cell>
          <cell r="E79" t="str">
            <v>DR</v>
          </cell>
          <cell r="F79">
            <v>45736</v>
          </cell>
          <cell r="G79">
            <v>246779414150</v>
          </cell>
          <cell r="H79" t="str">
            <v>USD</v>
          </cell>
          <cell r="I79">
            <v>12.25</v>
          </cell>
          <cell r="J79" t="str">
            <v>INR</v>
          </cell>
          <cell r="K79">
            <v>1061.97</v>
          </cell>
          <cell r="L79" t="str">
            <v>Inbound Handling charges for  Sep 2024</v>
          </cell>
          <cell r="M79">
            <v>1036</v>
          </cell>
          <cell r="N79">
            <v>25.970000000000027</v>
          </cell>
          <cell r="O79">
            <v>2.445455144683939E-2</v>
          </cell>
          <cell r="Q79">
            <v>21</v>
          </cell>
        </row>
        <row r="80">
          <cell r="D80">
            <v>1800004283</v>
          </cell>
          <cell r="E80" t="str">
            <v>DR</v>
          </cell>
          <cell r="F80">
            <v>45736</v>
          </cell>
          <cell r="G80">
            <v>246779414151</v>
          </cell>
          <cell r="H80" t="str">
            <v>USD</v>
          </cell>
          <cell r="I80">
            <v>15</v>
          </cell>
          <cell r="J80" t="str">
            <v>INR</v>
          </cell>
          <cell r="K80">
            <v>1300.3699999999999</v>
          </cell>
          <cell r="L80" t="str">
            <v>LCL charges for Sep 2024</v>
          </cell>
          <cell r="M80">
            <v>1269</v>
          </cell>
          <cell r="N80">
            <v>31.369999999999891</v>
          </cell>
          <cell r="O80">
            <v>2.4123903196782374E-2</v>
          </cell>
          <cell r="Q80">
            <v>26</v>
          </cell>
        </row>
        <row r="81">
          <cell r="D81">
            <v>1800004535</v>
          </cell>
          <cell r="E81" t="str">
            <v>DR</v>
          </cell>
          <cell r="F81">
            <v>45736</v>
          </cell>
          <cell r="G81">
            <v>246779414403</v>
          </cell>
          <cell r="H81" t="str">
            <v>USD</v>
          </cell>
          <cell r="I81">
            <v>15</v>
          </cell>
          <cell r="J81" t="str">
            <v>INR</v>
          </cell>
          <cell r="K81">
            <v>1300.3699999999999</v>
          </cell>
          <cell r="L81" t="str">
            <v>LCL Movement Charges for Nov 2024</v>
          </cell>
          <cell r="M81">
            <v>1269</v>
          </cell>
          <cell r="N81">
            <v>31.369999999999891</v>
          </cell>
          <cell r="O81">
            <v>2.4123903196782374E-2</v>
          </cell>
          <cell r="Q81">
            <v>26</v>
          </cell>
        </row>
        <row r="82">
          <cell r="D82">
            <v>1800004057</v>
          </cell>
          <cell r="E82" t="str">
            <v>DR</v>
          </cell>
          <cell r="F82">
            <v>45736</v>
          </cell>
          <cell r="G82">
            <v>246779413913</v>
          </cell>
          <cell r="H82" t="str">
            <v>USD</v>
          </cell>
          <cell r="I82">
            <v>14.8</v>
          </cell>
          <cell r="J82" t="str">
            <v>INR</v>
          </cell>
          <cell r="K82">
            <v>1283.03</v>
          </cell>
          <cell r="L82" t="str">
            <v>Outbound Handling charges for Feb 2025</v>
          </cell>
          <cell r="M82">
            <v>1251</v>
          </cell>
          <cell r="N82">
            <v>32.029999999999973</v>
          </cell>
          <cell r="O82">
            <v>2.4964342221148354E-2</v>
          </cell>
          <cell r="Q82">
            <v>26</v>
          </cell>
        </row>
        <row r="83">
          <cell r="D83">
            <v>1800004604</v>
          </cell>
          <cell r="E83" t="str">
            <v>DR</v>
          </cell>
          <cell r="F83">
            <v>45736</v>
          </cell>
          <cell r="G83">
            <v>246779414472</v>
          </cell>
          <cell r="H83" t="str">
            <v>USD</v>
          </cell>
          <cell r="I83">
            <v>18.170000000000002</v>
          </cell>
          <cell r="J83" t="str">
            <v>INR</v>
          </cell>
          <cell r="K83">
            <v>1575.18</v>
          </cell>
          <cell r="L83" t="str">
            <v>Inbound Handling charges for Jan 2025</v>
          </cell>
          <cell r="M83">
            <v>1537</v>
          </cell>
          <cell r="N83">
            <v>38.180000000000064</v>
          </cell>
          <cell r="O83">
            <v>2.4238499727015365E-2</v>
          </cell>
          <cell r="Q83">
            <v>31</v>
          </cell>
        </row>
        <row r="84">
          <cell r="D84">
            <v>1800004198</v>
          </cell>
          <cell r="E84" t="str">
            <v>DR</v>
          </cell>
          <cell r="F84">
            <v>45736</v>
          </cell>
          <cell r="G84">
            <v>246779414066</v>
          </cell>
          <cell r="H84" t="str">
            <v>USD</v>
          </cell>
          <cell r="I84">
            <v>21.13</v>
          </cell>
          <cell r="J84" t="str">
            <v>INR</v>
          </cell>
          <cell r="K84">
            <v>1831.79</v>
          </cell>
          <cell r="L84" t="str">
            <v>Inbound Handling charges for Jan 2025</v>
          </cell>
          <cell r="M84">
            <v>1788</v>
          </cell>
          <cell r="N84">
            <v>43.789999999999964</v>
          </cell>
          <cell r="O84">
            <v>2.3905578696247914E-2</v>
          </cell>
          <cell r="Q84">
            <v>36</v>
          </cell>
        </row>
        <row r="85">
          <cell r="D85">
            <v>1800005031</v>
          </cell>
          <cell r="E85" t="str">
            <v>DR</v>
          </cell>
          <cell r="F85">
            <v>45736</v>
          </cell>
          <cell r="G85">
            <v>246779414899</v>
          </cell>
          <cell r="H85" t="str">
            <v>USD</v>
          </cell>
          <cell r="I85">
            <v>51.6</v>
          </cell>
          <cell r="J85" t="str">
            <v>INR</v>
          </cell>
          <cell r="K85">
            <v>4473.2700000000004</v>
          </cell>
          <cell r="L85" t="str">
            <v>Outbound Handling charges for Jan 2025</v>
          </cell>
          <cell r="M85">
            <v>4384</v>
          </cell>
          <cell r="N85">
            <v>89.270000000000437</v>
          </cell>
          <cell r="O85">
            <v>1.9956318308530546E-2</v>
          </cell>
          <cell r="Q85">
            <v>89</v>
          </cell>
        </row>
        <row r="86">
          <cell r="D86">
            <v>1800005028</v>
          </cell>
          <cell r="E86" t="str">
            <v>DR</v>
          </cell>
          <cell r="F86">
            <v>45736</v>
          </cell>
          <cell r="G86">
            <v>246779414896</v>
          </cell>
          <cell r="H86" t="str">
            <v>USD</v>
          </cell>
          <cell r="I86">
            <v>43</v>
          </cell>
          <cell r="J86" t="str">
            <v>INR</v>
          </cell>
          <cell r="K86">
            <v>3727.72</v>
          </cell>
          <cell r="L86" t="str">
            <v>Outbound Handling charges for Jan 2025</v>
          </cell>
          <cell r="M86">
            <v>3637</v>
          </cell>
          <cell r="N86">
            <v>90.7199999999998</v>
          </cell>
          <cell r="O86">
            <v>2.4336591804105405E-2</v>
          </cell>
          <cell r="Q86">
            <v>74</v>
          </cell>
        </row>
        <row r="87">
          <cell r="D87">
            <v>1800005029</v>
          </cell>
          <cell r="E87" t="str">
            <v>DR</v>
          </cell>
          <cell r="F87">
            <v>45736</v>
          </cell>
          <cell r="G87">
            <v>246779414897</v>
          </cell>
          <cell r="H87" t="str">
            <v>USD</v>
          </cell>
          <cell r="I87">
            <v>47.3</v>
          </cell>
          <cell r="J87" t="str">
            <v>INR</v>
          </cell>
          <cell r="K87">
            <v>4100.5</v>
          </cell>
          <cell r="L87" t="str">
            <v>Outbound Handling charges for Jan 2025</v>
          </cell>
          <cell r="M87">
            <v>4000</v>
          </cell>
          <cell r="N87">
            <v>100.5</v>
          </cell>
          <cell r="O87">
            <v>2.4509206194366542E-2</v>
          </cell>
          <cell r="Q87">
            <v>82</v>
          </cell>
        </row>
        <row r="88">
          <cell r="D88">
            <v>1800004821</v>
          </cell>
          <cell r="E88" t="str">
            <v>DR</v>
          </cell>
          <cell r="F88">
            <v>45736</v>
          </cell>
          <cell r="G88">
            <v>246779414689</v>
          </cell>
          <cell r="H88" t="str">
            <v>USD</v>
          </cell>
          <cell r="I88">
            <v>50.75</v>
          </cell>
          <cell r="J88" t="str">
            <v>INR</v>
          </cell>
          <cell r="K88">
            <v>4399.58</v>
          </cell>
          <cell r="L88" t="str">
            <v>Outbound Handling charges for Nov 2024</v>
          </cell>
          <cell r="M88">
            <v>4292</v>
          </cell>
          <cell r="N88">
            <v>107.57999999999993</v>
          </cell>
          <cell r="O88">
            <v>2.4452334086435507E-2</v>
          </cell>
          <cell r="Q88">
            <v>88</v>
          </cell>
        </row>
        <row r="89">
          <cell r="D89">
            <v>1800005032</v>
          </cell>
          <cell r="E89" t="str">
            <v>DR</v>
          </cell>
          <cell r="F89">
            <v>45736</v>
          </cell>
          <cell r="G89">
            <v>246779414900</v>
          </cell>
          <cell r="H89" t="str">
            <v>USD</v>
          </cell>
          <cell r="I89">
            <v>51.6</v>
          </cell>
          <cell r="J89" t="str">
            <v>INR</v>
          </cell>
          <cell r="K89">
            <v>4473.2700000000004</v>
          </cell>
          <cell r="L89" t="str">
            <v>Outbound Handling charges for Jan 2025</v>
          </cell>
          <cell r="M89">
            <v>4364</v>
          </cell>
          <cell r="N89">
            <v>109.27000000000044</v>
          </cell>
          <cell r="O89">
            <v>2.4427320506028125E-2</v>
          </cell>
          <cell r="Q89">
            <v>89</v>
          </cell>
        </row>
        <row r="90">
          <cell r="D90">
            <v>1800004606</v>
          </cell>
          <cell r="E90" t="str">
            <v>DR</v>
          </cell>
          <cell r="F90">
            <v>45736</v>
          </cell>
          <cell r="G90">
            <v>246779414474</v>
          </cell>
          <cell r="H90" t="str">
            <v>USD</v>
          </cell>
          <cell r="I90">
            <v>60</v>
          </cell>
          <cell r="J90" t="str">
            <v>INR</v>
          </cell>
          <cell r="K90">
            <v>5201.4799999999996</v>
          </cell>
          <cell r="L90" t="str">
            <v>LCL charges for Jan 2025</v>
          </cell>
          <cell r="M90">
            <v>5074</v>
          </cell>
          <cell r="N90">
            <v>127.47999999999956</v>
          </cell>
          <cell r="O90">
            <v>2.4508409145089394E-2</v>
          </cell>
          <cell r="Q90">
            <v>104</v>
          </cell>
        </row>
        <row r="91">
          <cell r="D91">
            <v>1800005027</v>
          </cell>
          <cell r="E91" t="str">
            <v>DR</v>
          </cell>
          <cell r="F91">
            <v>45736</v>
          </cell>
          <cell r="G91">
            <v>246779414895</v>
          </cell>
          <cell r="H91" t="str">
            <v>USD</v>
          </cell>
          <cell r="I91">
            <v>60</v>
          </cell>
          <cell r="J91" t="str">
            <v>INR</v>
          </cell>
          <cell r="K91">
            <v>5201.4799999999996</v>
          </cell>
          <cell r="L91" t="str">
            <v>Outbound Handling charges for Jan 2025</v>
          </cell>
          <cell r="M91">
            <v>5074</v>
          </cell>
          <cell r="N91">
            <v>127.47999999999956</v>
          </cell>
          <cell r="O91">
            <v>2.4508409145089394E-2</v>
          </cell>
          <cell r="Q91">
            <v>104</v>
          </cell>
        </row>
        <row r="92">
          <cell r="D92">
            <v>1800004822</v>
          </cell>
          <cell r="E92" t="str">
            <v>DR</v>
          </cell>
          <cell r="F92">
            <v>45736</v>
          </cell>
          <cell r="G92">
            <v>246779414690</v>
          </cell>
          <cell r="H92" t="str">
            <v>USD</v>
          </cell>
          <cell r="I92">
            <v>60</v>
          </cell>
          <cell r="J92" t="str">
            <v>INR</v>
          </cell>
          <cell r="K92">
            <v>5201.4799999999996</v>
          </cell>
          <cell r="L92" t="str">
            <v>CY-MOVEMENT CHARGES for Nov 2024</v>
          </cell>
          <cell r="M92">
            <v>5074</v>
          </cell>
          <cell r="N92">
            <v>127.47999999999956</v>
          </cell>
          <cell r="O92">
            <v>2.4508409145089394E-2</v>
          </cell>
          <cell r="Q92">
            <v>104</v>
          </cell>
        </row>
        <row r="93">
          <cell r="D93">
            <v>1800005030</v>
          </cell>
          <cell r="E93" t="str">
            <v>DR</v>
          </cell>
          <cell r="F93">
            <v>45736</v>
          </cell>
          <cell r="G93">
            <v>246779414898</v>
          </cell>
          <cell r="H93" t="str">
            <v>USD</v>
          </cell>
          <cell r="I93">
            <v>94.6</v>
          </cell>
          <cell r="J93" t="str">
            <v>INR</v>
          </cell>
          <cell r="K93">
            <v>8200.99</v>
          </cell>
          <cell r="L93" t="str">
            <v>Outbound Handling charges for Jan 2025</v>
          </cell>
          <cell r="M93">
            <v>8001</v>
          </cell>
          <cell r="N93">
            <v>199.98999999999978</v>
          </cell>
          <cell r="O93">
            <v>2.4386080217144491E-2</v>
          </cell>
          <cell r="Q93">
            <v>163</v>
          </cell>
        </row>
        <row r="94">
          <cell r="D94">
            <v>1800004872</v>
          </cell>
          <cell r="E94" t="str">
            <v>DR</v>
          </cell>
          <cell r="F94">
            <v>45736</v>
          </cell>
          <cell r="G94">
            <v>246779414740</v>
          </cell>
          <cell r="H94" t="str">
            <v>USD</v>
          </cell>
          <cell r="I94">
            <v>111.18</v>
          </cell>
          <cell r="J94" t="str">
            <v>INR</v>
          </cell>
          <cell r="K94">
            <v>9638.33</v>
          </cell>
          <cell r="L94" t="str">
            <v>Outbound Handling charges for Jan 2025</v>
          </cell>
          <cell r="M94">
            <v>9403</v>
          </cell>
          <cell r="N94">
            <v>235.32999999999993</v>
          </cell>
          <cell r="O94">
            <v>2.4416055478490562E-2</v>
          </cell>
          <cell r="Q94">
            <v>192</v>
          </cell>
        </row>
        <row r="95">
          <cell r="D95">
            <v>1800004028</v>
          </cell>
          <cell r="E95" t="str">
            <v>DR</v>
          </cell>
          <cell r="F95">
            <v>45736</v>
          </cell>
          <cell r="G95">
            <v>246779413884</v>
          </cell>
          <cell r="H95" t="str">
            <v>USD</v>
          </cell>
          <cell r="I95">
            <v>128.52000000000001</v>
          </cell>
          <cell r="J95" t="str">
            <v>INR</v>
          </cell>
          <cell r="K95">
            <v>11141.56</v>
          </cell>
          <cell r="L95" t="str">
            <v>Outbound Handling charges for Feb 2025</v>
          </cell>
          <cell r="M95">
            <v>10870</v>
          </cell>
          <cell r="N95">
            <v>271.55999999999949</v>
          </cell>
          <cell r="O95">
            <v>2.4373606568559476E-2</v>
          </cell>
          <cell r="Q95">
            <v>222</v>
          </cell>
        </row>
        <row r="96">
          <cell r="D96">
            <v>1800004194</v>
          </cell>
          <cell r="E96" t="str">
            <v>DR</v>
          </cell>
          <cell r="F96">
            <v>45736</v>
          </cell>
          <cell r="G96">
            <v>246779414062</v>
          </cell>
          <cell r="H96" t="str">
            <v>USD</v>
          </cell>
          <cell r="I96">
            <v>251.5</v>
          </cell>
          <cell r="J96" t="str">
            <v>INR</v>
          </cell>
          <cell r="K96">
            <v>21802.85</v>
          </cell>
          <cell r="L96" t="str">
            <v>Inbound Handling charges for Jan 2025</v>
          </cell>
          <cell r="M96">
            <v>21271</v>
          </cell>
          <cell r="N96">
            <v>531.84999999999854</v>
          </cell>
          <cell r="O96">
            <v>2.4393599919276542E-2</v>
          </cell>
          <cell r="Q96">
            <v>434</v>
          </cell>
        </row>
        <row r="97">
          <cell r="D97">
            <v>1800004192</v>
          </cell>
          <cell r="E97" t="str">
            <v>DR</v>
          </cell>
          <cell r="F97">
            <v>45736</v>
          </cell>
          <cell r="G97">
            <v>246779414060</v>
          </cell>
          <cell r="H97" t="str">
            <v>USD</v>
          </cell>
          <cell r="I97">
            <v>273</v>
          </cell>
          <cell r="J97" t="str">
            <v>INR</v>
          </cell>
          <cell r="K97">
            <v>23666.71</v>
          </cell>
          <cell r="L97" t="str">
            <v>Inbound Handling charges for Jan 2025</v>
          </cell>
          <cell r="M97">
            <v>23090</v>
          </cell>
          <cell r="N97">
            <v>576.70999999999913</v>
          </cell>
          <cell r="O97">
            <v>2.4367983551579375E-2</v>
          </cell>
          <cell r="Q97">
            <v>471</v>
          </cell>
        </row>
        <row r="98">
          <cell r="D98">
            <v>1800004193</v>
          </cell>
          <cell r="E98" t="str">
            <v>DR</v>
          </cell>
          <cell r="F98">
            <v>45736</v>
          </cell>
          <cell r="G98">
            <v>246779414061</v>
          </cell>
          <cell r="H98" t="str">
            <v>USD</v>
          </cell>
          <cell r="I98">
            <v>277.3</v>
          </cell>
          <cell r="J98" t="str">
            <v>INR</v>
          </cell>
          <cell r="K98">
            <v>24039.49</v>
          </cell>
          <cell r="L98" t="str">
            <v>Inbound Handling charges for Jan 2025</v>
          </cell>
          <cell r="M98">
            <v>23453</v>
          </cell>
          <cell r="N98">
            <v>586.4900000000016</v>
          </cell>
          <cell r="O98">
            <v>2.4396940201310491E-2</v>
          </cell>
          <cell r="Q98">
            <v>479</v>
          </cell>
        </row>
        <row r="99">
          <cell r="D99">
            <v>1800004197</v>
          </cell>
          <cell r="E99" t="str">
            <v>DR</v>
          </cell>
          <cell r="F99">
            <v>45736</v>
          </cell>
          <cell r="G99">
            <v>246779414065</v>
          </cell>
          <cell r="H99" t="str">
            <v>USD</v>
          </cell>
          <cell r="I99">
            <v>277.3</v>
          </cell>
          <cell r="J99" t="str">
            <v>INR</v>
          </cell>
          <cell r="K99">
            <v>24039.49</v>
          </cell>
          <cell r="L99" t="str">
            <v>Inbound Handling charges for Jan 2025</v>
          </cell>
          <cell r="M99">
            <v>23453</v>
          </cell>
          <cell r="N99">
            <v>586.4900000000016</v>
          </cell>
          <cell r="O99">
            <v>2.4396940201310491E-2</v>
          </cell>
          <cell r="Q99">
            <v>479</v>
          </cell>
        </row>
        <row r="100">
          <cell r="D100">
            <v>1800004196</v>
          </cell>
          <cell r="E100" t="str">
            <v>DR</v>
          </cell>
          <cell r="F100">
            <v>45736</v>
          </cell>
          <cell r="G100">
            <v>246779414064</v>
          </cell>
          <cell r="H100" t="str">
            <v>USD</v>
          </cell>
          <cell r="I100">
            <v>353.2</v>
          </cell>
          <cell r="J100" t="str">
            <v>INR</v>
          </cell>
          <cell r="K100">
            <v>30619.35</v>
          </cell>
          <cell r="L100" t="str">
            <v>Inbound Handling charges for Jan 2025</v>
          </cell>
          <cell r="M100">
            <v>29873</v>
          </cell>
          <cell r="N100">
            <v>746.34999999999854</v>
          </cell>
          <cell r="O100">
            <v>2.4375109203820414E-2</v>
          </cell>
          <cell r="Q100">
            <v>610</v>
          </cell>
        </row>
        <row r="101">
          <cell r="D101">
            <v>1800004195</v>
          </cell>
          <cell r="E101" t="str">
            <v>DR</v>
          </cell>
          <cell r="F101">
            <v>45736</v>
          </cell>
          <cell r="G101">
            <v>246779414063</v>
          </cell>
          <cell r="H101" t="str">
            <v>USD</v>
          </cell>
          <cell r="I101">
            <v>554.6</v>
          </cell>
          <cell r="J101" t="str">
            <v>INR</v>
          </cell>
          <cell r="K101">
            <v>48078.97</v>
          </cell>
          <cell r="L101" t="str">
            <v>Inbound Handling charges for Jan 2025</v>
          </cell>
          <cell r="M101">
            <v>46907</v>
          </cell>
          <cell r="N101">
            <v>1171.9700000000012</v>
          </cell>
          <cell r="O101">
            <v>2.4375938170056496E-2</v>
          </cell>
          <cell r="Q101">
            <v>957</v>
          </cell>
        </row>
        <row r="102">
          <cell r="D102">
            <v>1800003941</v>
          </cell>
          <cell r="E102" t="str">
            <v>DR</v>
          </cell>
          <cell r="F102">
            <v>45736</v>
          </cell>
          <cell r="G102">
            <v>246779413809</v>
          </cell>
          <cell r="H102" t="str">
            <v>USD</v>
          </cell>
          <cell r="I102">
            <v>420</v>
          </cell>
          <cell r="J102" t="str">
            <v>INR</v>
          </cell>
          <cell r="K102">
            <v>36410.33</v>
          </cell>
          <cell r="L102" t="str">
            <v>Ground Rent Feb 25</v>
          </cell>
          <cell r="M102">
            <v>32623</v>
          </cell>
          <cell r="N102">
            <v>3787.3300000000017</v>
          </cell>
          <cell r="O102">
            <v>0.10401800807627949</v>
          </cell>
          <cell r="Q102">
            <v>3625</v>
          </cell>
        </row>
        <row r="103">
          <cell r="D103">
            <v>1800003930</v>
          </cell>
          <cell r="E103" t="str">
            <v>DR</v>
          </cell>
          <cell r="F103">
            <v>45736</v>
          </cell>
          <cell r="G103">
            <v>246779413798</v>
          </cell>
          <cell r="H103" t="str">
            <v>USD</v>
          </cell>
          <cell r="I103">
            <v>465</v>
          </cell>
          <cell r="J103" t="str">
            <v>INR</v>
          </cell>
          <cell r="K103">
            <v>40311.440000000002</v>
          </cell>
          <cell r="L103" t="str">
            <v>Ground Rent Jan 25</v>
          </cell>
          <cell r="M103">
            <v>36118</v>
          </cell>
          <cell r="N103">
            <v>4193.4400000000023</v>
          </cell>
          <cell r="O103">
            <v>0.10402605315017281</v>
          </cell>
          <cell r="Q103">
            <v>4013</v>
          </cell>
        </row>
        <row r="104">
          <cell r="D104">
            <v>1800004451</v>
          </cell>
          <cell r="E104" t="str">
            <v>DR</v>
          </cell>
          <cell r="F104">
            <v>45737</v>
          </cell>
          <cell r="G104">
            <v>246779414319</v>
          </cell>
          <cell r="H104" t="str">
            <v>USD</v>
          </cell>
          <cell r="I104">
            <v>13.25</v>
          </cell>
          <cell r="J104" t="str">
            <v>INR</v>
          </cell>
          <cell r="K104">
            <v>1148.6600000000001</v>
          </cell>
          <cell r="L104" t="str">
            <v>Loose handling Charges for Oct 2024</v>
          </cell>
          <cell r="M104">
            <v>1119</v>
          </cell>
          <cell r="N104">
            <v>29.660000000000082</v>
          </cell>
          <cell r="O104">
            <v>2.582139188271558E-2</v>
          </cell>
          <cell r="Q104">
            <v>23</v>
          </cell>
        </row>
        <row r="105">
          <cell r="D105">
            <v>1800004453</v>
          </cell>
          <cell r="E105" t="str">
            <v>DR</v>
          </cell>
          <cell r="F105">
            <v>45737</v>
          </cell>
          <cell r="G105">
            <v>246779414321</v>
          </cell>
          <cell r="H105" t="str">
            <v>USD</v>
          </cell>
          <cell r="I105">
            <v>30</v>
          </cell>
          <cell r="J105" t="str">
            <v>INR</v>
          </cell>
          <cell r="K105">
            <v>2600.7399999999998</v>
          </cell>
          <cell r="L105" t="str">
            <v>LCL Movement Charges for Oct 2024</v>
          </cell>
          <cell r="M105">
            <v>2535</v>
          </cell>
          <cell r="N105">
            <v>65.739999999999782</v>
          </cell>
          <cell r="O105">
            <v>2.5277421041703434E-2</v>
          </cell>
          <cell r="Q105">
            <v>52</v>
          </cell>
        </row>
        <row r="106">
          <cell r="D106">
            <v>1800004452</v>
          </cell>
          <cell r="E106" t="str">
            <v>DR</v>
          </cell>
          <cell r="F106">
            <v>45737</v>
          </cell>
          <cell r="G106">
            <v>246779414320</v>
          </cell>
          <cell r="H106" t="str">
            <v>USD</v>
          </cell>
          <cell r="I106">
            <v>38.5</v>
          </cell>
          <cell r="J106" t="str">
            <v>INR</v>
          </cell>
          <cell r="K106">
            <v>3337.61</v>
          </cell>
          <cell r="L106" t="str">
            <v>Inbound Handling charges for Oct 2024</v>
          </cell>
          <cell r="M106">
            <v>3253</v>
          </cell>
          <cell r="N106">
            <v>84.610000000000127</v>
          </cell>
          <cell r="O106">
            <v>2.535047534013864E-2</v>
          </cell>
          <cell r="Q106">
            <v>66</v>
          </cell>
        </row>
        <row r="107">
          <cell r="D107">
            <v>1800005194</v>
          </cell>
          <cell r="E107" t="str">
            <v>DR</v>
          </cell>
          <cell r="F107">
            <v>45750</v>
          </cell>
          <cell r="G107">
            <v>256779410140</v>
          </cell>
          <cell r="H107" t="str">
            <v>USD</v>
          </cell>
          <cell r="I107">
            <v>1</v>
          </cell>
          <cell r="J107" t="str">
            <v>INR</v>
          </cell>
          <cell r="K107">
            <v>86.92</v>
          </cell>
          <cell r="L107" t="str">
            <v>Loose loading Handling charges for Mar 25</v>
          </cell>
          <cell r="M107">
            <v>84</v>
          </cell>
          <cell r="N107">
            <v>2.9200000000000017</v>
          </cell>
          <cell r="O107">
            <v>3.3594109526000941E-2</v>
          </cell>
          <cell r="Q107">
            <v>2</v>
          </cell>
        </row>
        <row r="108">
          <cell r="D108">
            <v>1800005193</v>
          </cell>
          <cell r="E108" t="str">
            <v>DR</v>
          </cell>
          <cell r="F108">
            <v>45750</v>
          </cell>
          <cell r="G108">
            <v>256779410139</v>
          </cell>
          <cell r="H108" t="str">
            <v>USD</v>
          </cell>
          <cell r="I108">
            <v>3.5</v>
          </cell>
          <cell r="J108" t="str">
            <v>INR</v>
          </cell>
          <cell r="K108">
            <v>304.23</v>
          </cell>
          <cell r="L108" t="str">
            <v>Outbound Handling charges for Mar 25</v>
          </cell>
          <cell r="M108">
            <v>294</v>
          </cell>
          <cell r="N108">
            <v>10.230000000000018</v>
          </cell>
          <cell r="O108">
            <v>3.3625875160240667E-2</v>
          </cell>
          <cell r="Q108">
            <v>6</v>
          </cell>
        </row>
        <row r="109">
          <cell r="D109">
            <v>1800005142</v>
          </cell>
          <cell r="E109" t="str">
            <v>DR</v>
          </cell>
          <cell r="F109">
            <v>45750</v>
          </cell>
          <cell r="G109">
            <v>256779410088</v>
          </cell>
          <cell r="H109" t="str">
            <v>USD</v>
          </cell>
          <cell r="I109">
            <v>5.25</v>
          </cell>
          <cell r="J109" t="str">
            <v>INR</v>
          </cell>
          <cell r="K109">
            <v>456.34</v>
          </cell>
          <cell r="L109" t="str">
            <v>Inbound Handling charges for Mar 2025</v>
          </cell>
          <cell r="M109">
            <v>441</v>
          </cell>
          <cell r="N109">
            <v>15.339999999999975</v>
          </cell>
          <cell r="O109">
            <v>3.3615286847525912E-2</v>
          </cell>
          <cell r="Q109">
            <v>9</v>
          </cell>
        </row>
        <row r="110">
          <cell r="D110">
            <v>1800005143</v>
          </cell>
          <cell r="E110" t="str">
            <v>DR</v>
          </cell>
          <cell r="F110">
            <v>45750</v>
          </cell>
          <cell r="G110">
            <v>256779410089</v>
          </cell>
          <cell r="H110" t="str">
            <v>USD</v>
          </cell>
          <cell r="I110">
            <v>30</v>
          </cell>
          <cell r="J110" t="str">
            <v>INR</v>
          </cell>
          <cell r="K110">
            <v>2607.65</v>
          </cell>
          <cell r="L110" t="str">
            <v>LCL charges for Mar 2025</v>
          </cell>
          <cell r="M110">
            <v>2518</v>
          </cell>
          <cell r="N110">
            <v>89.650000000000091</v>
          </cell>
          <cell r="O110">
            <v>3.4379613828542974E-2</v>
          </cell>
          <cell r="Q110">
            <v>51</v>
          </cell>
        </row>
        <row r="111">
          <cell r="D111">
            <v>1800005896</v>
          </cell>
          <cell r="E111" t="str">
            <v>DR</v>
          </cell>
          <cell r="F111">
            <v>45751</v>
          </cell>
          <cell r="G111">
            <v>256779410788</v>
          </cell>
          <cell r="H111" t="str">
            <v>USD</v>
          </cell>
          <cell r="I111">
            <v>1394.64</v>
          </cell>
          <cell r="J111" t="str">
            <v>INR</v>
          </cell>
          <cell r="K111">
            <v>121224.65</v>
          </cell>
          <cell r="L111" t="str">
            <v>Storage Charges Feb, 25</v>
          </cell>
          <cell r="M111">
            <v>106977</v>
          </cell>
          <cell r="N111">
            <v>14247.649999999994</v>
          </cell>
          <cell r="O111">
            <v>0.11753096420571224</v>
          </cell>
          <cell r="Q111">
            <v>11886</v>
          </cell>
        </row>
        <row r="112">
          <cell r="D112">
            <v>1800005913</v>
          </cell>
          <cell r="E112" t="str">
            <v>DR</v>
          </cell>
          <cell r="F112">
            <v>45751</v>
          </cell>
          <cell r="G112">
            <v>256779410804</v>
          </cell>
          <cell r="H112" t="str">
            <v>USD</v>
          </cell>
          <cell r="I112">
            <v>2592.75</v>
          </cell>
          <cell r="J112" t="str">
            <v>INR</v>
          </cell>
          <cell r="K112">
            <v>225366.55</v>
          </cell>
          <cell r="L112" t="str">
            <v>Storage Charges Jan, 25</v>
          </cell>
          <cell r="M112">
            <v>198877</v>
          </cell>
          <cell r="N112">
            <v>26489.549999999988</v>
          </cell>
          <cell r="O112">
            <v>0.11753984786118432</v>
          </cell>
          <cell r="Q112">
            <v>22098</v>
          </cell>
        </row>
        <row r="113">
          <cell r="D113">
            <v>1600000605</v>
          </cell>
          <cell r="E113" t="str">
            <v>DG</v>
          </cell>
          <cell r="F113">
            <v>45791</v>
          </cell>
          <cell r="G113">
            <v>256779420314</v>
          </cell>
          <cell r="H113" t="str">
            <v>USD</v>
          </cell>
          <cell r="I113">
            <v>-77.2</v>
          </cell>
          <cell r="J113" t="str">
            <v>INR</v>
          </cell>
          <cell r="K113">
            <v>-6692.57</v>
          </cell>
          <cell r="L113" t="str">
            <v>Credit note against 246779412247</v>
          </cell>
          <cell r="M113" t="e">
            <v>#N/A</v>
          </cell>
          <cell r="Q113" t="e">
            <v>#N/A</v>
          </cell>
        </row>
        <row r="114">
          <cell r="D114">
            <v>1600000704</v>
          </cell>
          <cell r="E114" t="str">
            <v>DG</v>
          </cell>
          <cell r="F114">
            <v>45791</v>
          </cell>
          <cell r="G114">
            <v>256779420413</v>
          </cell>
          <cell r="H114" t="str">
            <v>USD</v>
          </cell>
          <cell r="I114">
            <v>-1800</v>
          </cell>
          <cell r="J114" t="str">
            <v>INR</v>
          </cell>
          <cell r="K114">
            <v>-156459.28</v>
          </cell>
          <cell r="L114" t="str">
            <v>Credit note against 256779410280</v>
          </cell>
          <cell r="M114" t="e">
            <v>#N/A</v>
          </cell>
          <cell r="Q114" t="e">
            <v>#N/A</v>
          </cell>
        </row>
        <row r="115">
          <cell r="D115">
            <v>1600000791</v>
          </cell>
          <cell r="E115" t="str">
            <v>DG</v>
          </cell>
          <cell r="F115">
            <v>45791</v>
          </cell>
          <cell r="G115">
            <v>256779420500</v>
          </cell>
          <cell r="H115" t="str">
            <v>USD</v>
          </cell>
          <cell r="I115">
            <v>-1800</v>
          </cell>
          <cell r="J115" t="str">
            <v>INR</v>
          </cell>
          <cell r="K115">
            <v>-156459.28</v>
          </cell>
          <cell r="L115" t="str">
            <v>Credit note against 256779410239</v>
          </cell>
          <cell r="M115" t="e">
            <v>#N/A</v>
          </cell>
          <cell r="Q115" t="e">
            <v>#N/A</v>
          </cell>
        </row>
        <row r="116">
          <cell r="D116">
            <v>1800006278</v>
          </cell>
          <cell r="E116" t="str">
            <v>DR</v>
          </cell>
          <cell r="F116">
            <v>45762</v>
          </cell>
          <cell r="G116">
            <v>256779411169</v>
          </cell>
          <cell r="H116" t="str">
            <v>USD</v>
          </cell>
          <cell r="I116">
            <v>50</v>
          </cell>
          <cell r="J116" t="str">
            <v>INR</v>
          </cell>
          <cell r="K116">
            <v>4346.09</v>
          </cell>
          <cell r="L116" t="str">
            <v>LCL Charges August 2024</v>
          </cell>
          <cell r="M116">
            <v>4199</v>
          </cell>
          <cell r="N116">
            <v>147.09000000000015</v>
          </cell>
          <cell r="O116">
            <v>3.3844213994648098E-2</v>
          </cell>
          <cell r="Q116">
            <v>86</v>
          </cell>
        </row>
        <row r="117">
          <cell r="D117">
            <v>1800006277</v>
          </cell>
          <cell r="E117" t="str">
            <v>DR</v>
          </cell>
          <cell r="F117">
            <v>45762</v>
          </cell>
          <cell r="G117">
            <v>256779411168</v>
          </cell>
          <cell r="H117" t="str">
            <v>USD</v>
          </cell>
          <cell r="I117">
            <v>60.51</v>
          </cell>
          <cell r="J117" t="str">
            <v>INR</v>
          </cell>
          <cell r="K117">
            <v>5259.64</v>
          </cell>
          <cell r="L117" t="str">
            <v>LCL Charges August 2024</v>
          </cell>
          <cell r="M117">
            <v>5081</v>
          </cell>
          <cell r="N117">
            <v>178.64000000000033</v>
          </cell>
          <cell r="O117">
            <v>3.3964301739282596E-2</v>
          </cell>
          <cell r="Q117">
            <v>104</v>
          </cell>
        </row>
        <row r="118">
          <cell r="D118">
            <v>1800006276</v>
          </cell>
          <cell r="E118" t="str">
            <v>DR</v>
          </cell>
          <cell r="F118">
            <v>45762</v>
          </cell>
          <cell r="G118">
            <v>256779411167</v>
          </cell>
          <cell r="H118" t="str">
            <v>USD</v>
          </cell>
          <cell r="I118">
            <v>68.819999999999993</v>
          </cell>
          <cell r="J118" t="str">
            <v>INR</v>
          </cell>
          <cell r="K118">
            <v>5981.96</v>
          </cell>
          <cell r="L118" t="str">
            <v>LCL Charges August 2024</v>
          </cell>
          <cell r="M118">
            <v>5779</v>
          </cell>
          <cell r="N118">
            <v>202.96000000000004</v>
          </cell>
          <cell r="O118">
            <v>3.392867889454293E-2</v>
          </cell>
          <cell r="Q118">
            <v>118</v>
          </cell>
        </row>
        <row r="119">
          <cell r="D119">
            <v>1800006279</v>
          </cell>
          <cell r="E119" t="str">
            <v>DR</v>
          </cell>
          <cell r="F119">
            <v>45762</v>
          </cell>
          <cell r="G119">
            <v>256779411170</v>
          </cell>
          <cell r="H119" t="str">
            <v>USD</v>
          </cell>
          <cell r="I119">
            <v>120</v>
          </cell>
          <cell r="J119" t="str">
            <v>INR</v>
          </cell>
          <cell r="K119">
            <v>10430.620000000001</v>
          </cell>
          <cell r="L119" t="str">
            <v>Inbound Handling for August 24</v>
          </cell>
          <cell r="M119">
            <v>10077</v>
          </cell>
          <cell r="N119">
            <v>353.6200000000008</v>
          </cell>
          <cell r="O119">
            <v>3.3902107449029953E-2</v>
          </cell>
          <cell r="Q119">
            <v>206</v>
          </cell>
        </row>
        <row r="120">
          <cell r="D120">
            <v>1800006923</v>
          </cell>
          <cell r="E120" t="str">
            <v>DR</v>
          </cell>
          <cell r="F120">
            <v>45763</v>
          </cell>
          <cell r="G120">
            <v>256779411814</v>
          </cell>
          <cell r="H120" t="str">
            <v>USD</v>
          </cell>
          <cell r="I120">
            <v>1</v>
          </cell>
          <cell r="J120" t="str">
            <v>INR</v>
          </cell>
          <cell r="K120">
            <v>86.92</v>
          </cell>
          <cell r="L120" t="str">
            <v>Loose Unloading charges for Dec 2024</v>
          </cell>
          <cell r="M120">
            <v>84</v>
          </cell>
          <cell r="N120">
            <v>2.9200000000000017</v>
          </cell>
          <cell r="O120">
            <v>3.3594109526000941E-2</v>
          </cell>
          <cell r="Q120">
            <v>2</v>
          </cell>
        </row>
        <row r="121">
          <cell r="D121">
            <v>1800007004</v>
          </cell>
          <cell r="E121" t="str">
            <v>DR</v>
          </cell>
          <cell r="F121">
            <v>45763</v>
          </cell>
          <cell r="G121">
            <v>256779411895</v>
          </cell>
          <cell r="H121" t="str">
            <v>USD</v>
          </cell>
          <cell r="I121">
            <v>1</v>
          </cell>
          <cell r="J121" t="str">
            <v>INR</v>
          </cell>
          <cell r="K121">
            <v>86.92</v>
          </cell>
          <cell r="L121" t="str">
            <v>Loose loading Handling charges for Dec 2024</v>
          </cell>
          <cell r="M121">
            <v>84</v>
          </cell>
          <cell r="N121">
            <v>2.9200000000000017</v>
          </cell>
          <cell r="O121">
            <v>3.3594109526000941E-2</v>
          </cell>
          <cell r="Q121">
            <v>2</v>
          </cell>
        </row>
        <row r="122">
          <cell r="D122">
            <v>1800006922</v>
          </cell>
          <cell r="E122" t="str">
            <v>DR</v>
          </cell>
          <cell r="F122">
            <v>45763</v>
          </cell>
          <cell r="G122">
            <v>256779411813</v>
          </cell>
          <cell r="H122" t="str">
            <v>USD</v>
          </cell>
          <cell r="I122">
            <v>1.75</v>
          </cell>
          <cell r="J122" t="str">
            <v>INR</v>
          </cell>
          <cell r="K122">
            <v>152.11000000000001</v>
          </cell>
          <cell r="L122" t="str">
            <v>Inbound Handling charges for Dec 2024</v>
          </cell>
          <cell r="M122">
            <v>147</v>
          </cell>
          <cell r="N122">
            <v>5.1100000000000136</v>
          </cell>
          <cell r="O122">
            <v>3.3594109526001004E-2</v>
          </cell>
          <cell r="Q122">
            <v>3</v>
          </cell>
        </row>
        <row r="123">
          <cell r="D123">
            <v>1800007003</v>
          </cell>
          <cell r="E123" t="str">
            <v>DR</v>
          </cell>
          <cell r="F123">
            <v>45763</v>
          </cell>
          <cell r="G123">
            <v>256779411894</v>
          </cell>
          <cell r="H123" t="str">
            <v>USD</v>
          </cell>
          <cell r="I123">
            <v>7.07</v>
          </cell>
          <cell r="J123" t="str">
            <v>INR</v>
          </cell>
          <cell r="K123">
            <v>614.54</v>
          </cell>
          <cell r="L123" t="str">
            <v>Outbound Handling charges for Dec 2024</v>
          </cell>
          <cell r="M123">
            <v>594</v>
          </cell>
          <cell r="N123">
            <v>20.539999999999964</v>
          </cell>
          <cell r="O123">
            <v>3.3423373580238822E-2</v>
          </cell>
          <cell r="Q123">
            <v>12</v>
          </cell>
        </row>
        <row r="124">
          <cell r="D124">
            <v>1800007214</v>
          </cell>
          <cell r="E124" t="str">
            <v>DR</v>
          </cell>
          <cell r="F124">
            <v>45763</v>
          </cell>
          <cell r="G124">
            <v>256779412105</v>
          </cell>
          <cell r="H124" t="str">
            <v>USD</v>
          </cell>
          <cell r="I124">
            <v>12.85</v>
          </cell>
          <cell r="J124" t="str">
            <v>INR</v>
          </cell>
          <cell r="K124">
            <v>1116.95</v>
          </cell>
          <cell r="L124" t="str">
            <v>VAS Activity - Mar 25, 16-31, Ex Rate. 85.58</v>
          </cell>
          <cell r="M124">
            <v>1078</v>
          </cell>
          <cell r="N124">
            <v>38.950000000000045</v>
          </cell>
          <cell r="O124">
            <v>3.4871748959219344E-2</v>
          </cell>
          <cell r="Q124">
            <v>22</v>
          </cell>
        </row>
        <row r="125">
          <cell r="D125">
            <v>1800006924</v>
          </cell>
          <cell r="E125" t="str">
            <v>DR</v>
          </cell>
          <cell r="F125">
            <v>45763</v>
          </cell>
          <cell r="G125">
            <v>256779411815</v>
          </cell>
          <cell r="H125" t="str">
            <v>USD</v>
          </cell>
          <cell r="I125">
            <v>15</v>
          </cell>
          <cell r="J125" t="str">
            <v>INR</v>
          </cell>
          <cell r="K125">
            <v>1303.83</v>
          </cell>
          <cell r="L125" t="str">
            <v>LCL charges for Dec 2024</v>
          </cell>
          <cell r="M125">
            <v>1259</v>
          </cell>
          <cell r="N125">
            <v>44.829999999999927</v>
          </cell>
          <cell r="O125">
            <v>3.4383316843453464E-2</v>
          </cell>
          <cell r="Q125">
            <v>26</v>
          </cell>
        </row>
        <row r="126">
          <cell r="D126">
            <v>1800007133</v>
          </cell>
          <cell r="E126" t="str">
            <v>DR</v>
          </cell>
          <cell r="F126">
            <v>45763</v>
          </cell>
          <cell r="G126">
            <v>256779412024</v>
          </cell>
          <cell r="H126" t="str">
            <v>USD</v>
          </cell>
          <cell r="I126">
            <v>489.55</v>
          </cell>
          <cell r="J126" t="str">
            <v>INR</v>
          </cell>
          <cell r="K126">
            <v>42552.58</v>
          </cell>
          <cell r="L126" t="str">
            <v>VAS Activity - Jan 25, Ex Rate. 86.64</v>
          </cell>
          <cell r="M126">
            <v>41567</v>
          </cell>
          <cell r="N126">
            <v>985.58000000000175</v>
          </cell>
          <cell r="O126">
            <v>2.316146283022091E-2</v>
          </cell>
          <cell r="Q126">
            <v>848</v>
          </cell>
        </row>
        <row r="127">
          <cell r="D127">
            <v>1800006833</v>
          </cell>
          <cell r="E127" t="str">
            <v>DR</v>
          </cell>
          <cell r="F127">
            <v>45763</v>
          </cell>
          <cell r="G127">
            <v>256779411724</v>
          </cell>
          <cell r="H127" t="str">
            <v>USD</v>
          </cell>
          <cell r="I127">
            <v>620</v>
          </cell>
          <cell r="J127" t="str">
            <v>INR</v>
          </cell>
          <cell r="K127">
            <v>53891.53</v>
          </cell>
          <cell r="L127" t="str">
            <v>CY Longstanding Transportation chgs for 31 MAR 202</v>
          </cell>
          <cell r="M127">
            <v>52814</v>
          </cell>
          <cell r="N127">
            <v>1077.5299999999988</v>
          </cell>
          <cell r="O127">
            <v>1.9994422129043263E-2</v>
          </cell>
          <cell r="Q127">
            <v>1078</v>
          </cell>
        </row>
        <row r="128">
          <cell r="D128">
            <v>1800007220</v>
          </cell>
          <cell r="E128" t="str">
            <v>DR</v>
          </cell>
          <cell r="F128">
            <v>45763</v>
          </cell>
          <cell r="G128">
            <v>256779412111</v>
          </cell>
          <cell r="H128" t="str">
            <v>USD</v>
          </cell>
          <cell r="I128">
            <v>1082.6400000000001</v>
          </cell>
          <cell r="J128" t="str">
            <v>INR</v>
          </cell>
          <cell r="K128">
            <v>94105.04</v>
          </cell>
          <cell r="L128" t="str">
            <v>Storage Charges Mar, 25</v>
          </cell>
          <cell r="M128">
            <v>83452</v>
          </cell>
          <cell r="N128">
            <v>10653.039999999994</v>
          </cell>
          <cell r="O128">
            <v>0.11320371363744168</v>
          </cell>
          <cell r="Q128">
            <v>9272</v>
          </cell>
        </row>
        <row r="129">
          <cell r="D129">
            <v>1800007269</v>
          </cell>
          <cell r="E129" t="str">
            <v>DR</v>
          </cell>
          <cell r="F129">
            <v>45768</v>
          </cell>
          <cell r="G129">
            <v>256779412160</v>
          </cell>
          <cell r="H129" t="str">
            <v>USD</v>
          </cell>
          <cell r="I129">
            <v>188.79</v>
          </cell>
          <cell r="J129" t="str">
            <v>INR</v>
          </cell>
          <cell r="K129">
            <v>16200.07</v>
          </cell>
          <cell r="L129" t="str">
            <v>Fixed Storage Charges for April 2025</v>
          </cell>
          <cell r="M129">
            <v>14552</v>
          </cell>
          <cell r="N129">
            <v>1648.0699999999997</v>
          </cell>
          <cell r="O129">
            <v>0.10173227646547205</v>
          </cell>
          <cell r="Q129">
            <v>1617</v>
          </cell>
        </row>
        <row r="130">
          <cell r="D130">
            <v>1800007770</v>
          </cell>
          <cell r="E130" t="str">
            <v>DR</v>
          </cell>
          <cell r="F130">
            <v>45769</v>
          </cell>
          <cell r="G130">
            <v>256779412661</v>
          </cell>
          <cell r="H130" t="str">
            <v>USD</v>
          </cell>
          <cell r="I130">
            <v>6.05</v>
          </cell>
          <cell r="J130" t="str">
            <v>INR</v>
          </cell>
          <cell r="K130">
            <v>525.88</v>
          </cell>
          <cell r="L130" t="str">
            <v>Outbound Handling charges for 31 Mar 25</v>
          </cell>
          <cell r="M130">
            <v>515</v>
          </cell>
          <cell r="N130">
            <v>10.879999999999995</v>
          </cell>
          <cell r="O130">
            <v>2.0689130600136905E-2</v>
          </cell>
          <cell r="Q130">
            <v>11</v>
          </cell>
        </row>
        <row r="131">
          <cell r="D131">
            <v>1800007676</v>
          </cell>
          <cell r="E131" t="str">
            <v>DR</v>
          </cell>
          <cell r="F131">
            <v>45769</v>
          </cell>
          <cell r="G131">
            <v>256779412567</v>
          </cell>
          <cell r="H131" t="str">
            <v>USD</v>
          </cell>
          <cell r="I131">
            <v>17.75</v>
          </cell>
          <cell r="J131" t="str">
            <v>INR</v>
          </cell>
          <cell r="K131">
            <v>1542.86</v>
          </cell>
          <cell r="L131" t="str">
            <v>Inbound Handling charges for Feb 2025</v>
          </cell>
          <cell r="M131">
            <v>1512</v>
          </cell>
          <cell r="N131">
            <v>30.8599999999999</v>
          </cell>
          <cell r="O131">
            <v>2.0001814811453991E-2</v>
          </cell>
          <cell r="Q131">
            <v>31</v>
          </cell>
        </row>
        <row r="132">
          <cell r="D132">
            <v>1800007727</v>
          </cell>
          <cell r="E132" t="str">
            <v>DR</v>
          </cell>
          <cell r="F132">
            <v>45769</v>
          </cell>
          <cell r="G132">
            <v>256779412618</v>
          </cell>
          <cell r="H132" t="str">
            <v>USD</v>
          </cell>
          <cell r="I132">
            <v>43.02</v>
          </cell>
          <cell r="J132" t="str">
            <v>INR</v>
          </cell>
          <cell r="K132">
            <v>3739.38</v>
          </cell>
          <cell r="L132" t="str">
            <v>Inbound Handling charges for 31 Mar 2025</v>
          </cell>
          <cell r="M132">
            <v>3664</v>
          </cell>
          <cell r="N132">
            <v>75.380000000000109</v>
          </cell>
          <cell r="O132">
            <v>2.0158421984393163E-2</v>
          </cell>
          <cell r="Q132">
            <v>75</v>
          </cell>
        </row>
        <row r="133">
          <cell r="D133">
            <v>1800008001</v>
          </cell>
          <cell r="E133" t="str">
            <v>DR</v>
          </cell>
          <cell r="F133">
            <v>45770</v>
          </cell>
          <cell r="G133">
            <v>256779412892</v>
          </cell>
          <cell r="H133" t="str">
            <v>USD</v>
          </cell>
          <cell r="I133">
            <v>189.2</v>
          </cell>
          <cell r="J133" t="str">
            <v>INR</v>
          </cell>
          <cell r="K133">
            <v>16445.61</v>
          </cell>
          <cell r="L133" t="str">
            <v>Inbound chgs - 01 - 15 Apr 25</v>
          </cell>
          <cell r="M133">
            <v>16117</v>
          </cell>
          <cell r="N133">
            <v>328.61000000000058</v>
          </cell>
          <cell r="O133">
            <v>1.998162427541457E-2</v>
          </cell>
          <cell r="Q133">
            <v>329</v>
          </cell>
        </row>
        <row r="134">
          <cell r="D134">
            <v>1800007888</v>
          </cell>
          <cell r="E134" t="str">
            <v>DR</v>
          </cell>
          <cell r="F134">
            <v>45771</v>
          </cell>
          <cell r="G134">
            <v>256779412779</v>
          </cell>
          <cell r="H134" t="str">
            <v>USD</v>
          </cell>
          <cell r="I134">
            <v>1820.14</v>
          </cell>
          <cell r="J134" t="str">
            <v>INR</v>
          </cell>
          <cell r="K134">
            <v>158209.88</v>
          </cell>
          <cell r="L134" t="str">
            <v>VAS 1-15 April-25,Ex.Rate-85.69</v>
          </cell>
          <cell r="M134">
            <v>140371</v>
          </cell>
          <cell r="N134">
            <v>17838.880000000005</v>
          </cell>
          <cell r="O134">
            <v>0.11275452582354531</v>
          </cell>
          <cell r="Q134">
            <v>15597</v>
          </cell>
        </row>
        <row r="135">
          <cell r="D135">
            <v>1800008362</v>
          </cell>
          <cell r="E135" t="str">
            <v>DR</v>
          </cell>
          <cell r="F135">
            <v>45787</v>
          </cell>
          <cell r="G135">
            <v>256779413245</v>
          </cell>
          <cell r="H135" t="str">
            <v>USD</v>
          </cell>
          <cell r="I135">
            <v>396.79</v>
          </cell>
          <cell r="J135" t="str">
            <v>INR</v>
          </cell>
          <cell r="K135">
            <v>34117.47</v>
          </cell>
          <cell r="L135" t="str">
            <v>VAS - 16-30 April 25, Ex.Rate-85.05</v>
          </cell>
          <cell r="M135">
            <v>33169</v>
          </cell>
          <cell r="N135">
            <v>948.47000000000116</v>
          </cell>
          <cell r="O135">
            <v>2.7800127031693767E-2</v>
          </cell>
          <cell r="Q135">
            <v>677</v>
          </cell>
        </row>
        <row r="136">
          <cell r="D136">
            <v>1800008303</v>
          </cell>
          <cell r="E136" t="str">
            <v>DR</v>
          </cell>
          <cell r="F136">
            <v>45787</v>
          </cell>
          <cell r="G136">
            <v>256779413186</v>
          </cell>
          <cell r="H136" t="str">
            <v>USD</v>
          </cell>
          <cell r="I136">
            <v>450</v>
          </cell>
          <cell r="J136" t="str">
            <v>INR</v>
          </cell>
          <cell r="K136">
            <v>38692.67</v>
          </cell>
          <cell r="L136" t="str">
            <v>CY Ground rent Chgs - 01 - 30 Apr 25</v>
          </cell>
          <cell r="M136">
            <v>34824</v>
          </cell>
          <cell r="N136">
            <v>3868.6699999999983</v>
          </cell>
          <cell r="O136">
            <v>9.9984570721017657E-2</v>
          </cell>
          <cell r="Q136">
            <v>3869</v>
          </cell>
        </row>
        <row r="137">
          <cell r="D137">
            <v>1800008231</v>
          </cell>
          <cell r="E137" t="str">
            <v>DR</v>
          </cell>
          <cell r="F137">
            <v>45787</v>
          </cell>
          <cell r="G137">
            <v>256779413115</v>
          </cell>
          <cell r="H137" t="str">
            <v>USD</v>
          </cell>
          <cell r="I137">
            <v>1800</v>
          </cell>
          <cell r="J137" t="str">
            <v>INR</v>
          </cell>
          <cell r="K137">
            <v>154770.66</v>
          </cell>
          <cell r="L137" t="str">
            <v>Fixed Storage Charges fo MAY 2025</v>
          </cell>
          <cell r="M137">
            <v>139294</v>
          </cell>
          <cell r="N137">
            <v>15476.660000000003</v>
          </cell>
          <cell r="O137">
            <v>9.9997376763787157E-2</v>
          </cell>
          <cell r="Q137">
            <v>15477</v>
          </cell>
        </row>
        <row r="138">
          <cell r="D138">
            <v>1800008552</v>
          </cell>
          <cell r="E138" t="str">
            <v>DR</v>
          </cell>
          <cell r="F138">
            <v>45793</v>
          </cell>
          <cell r="G138">
            <v>256779413316</v>
          </cell>
          <cell r="H138" t="str">
            <v>USD</v>
          </cell>
          <cell r="I138">
            <v>546</v>
          </cell>
          <cell r="J138" t="str">
            <v>INR</v>
          </cell>
          <cell r="K138">
            <v>46947.1</v>
          </cell>
          <cell r="L138" t="str">
            <v>Transportation In Chgs - 16 - 30 Apr 25</v>
          </cell>
          <cell r="M138">
            <v>46008</v>
          </cell>
          <cell r="N138">
            <v>939.09999999999854</v>
          </cell>
          <cell r="O138">
            <v>2.0003365490094141E-2</v>
          </cell>
          <cell r="Q138">
            <v>939</v>
          </cell>
        </row>
        <row r="139">
          <cell r="D139">
            <v>1800008727</v>
          </cell>
          <cell r="E139" t="str">
            <v>DR</v>
          </cell>
          <cell r="F139">
            <v>45797</v>
          </cell>
          <cell r="G139">
            <v>256779413491</v>
          </cell>
          <cell r="H139" t="str">
            <v>USD</v>
          </cell>
          <cell r="I139">
            <v>88.75</v>
          </cell>
          <cell r="J139" t="str">
            <v>INR</v>
          </cell>
          <cell r="K139">
            <v>7631.05</v>
          </cell>
          <cell r="L139" t="str">
            <v>Outbound chgs - 01 - 15 MAY 25</v>
          </cell>
          <cell r="M139">
            <v>7478</v>
          </cell>
          <cell r="N139">
            <v>153.05000000000018</v>
          </cell>
          <cell r="O139">
            <v>2.0056217689570922E-2</v>
          </cell>
          <cell r="Q139">
            <v>153</v>
          </cell>
        </row>
        <row r="140">
          <cell r="D140">
            <v>1800009127</v>
          </cell>
          <cell r="E140" t="str">
            <v>DR</v>
          </cell>
          <cell r="F140">
            <v>45805</v>
          </cell>
          <cell r="G140">
            <v>256779413891</v>
          </cell>
          <cell r="H140" t="str">
            <v>USD</v>
          </cell>
          <cell r="I140">
            <v>1501.8</v>
          </cell>
          <cell r="J140" t="str">
            <v>INR</v>
          </cell>
          <cell r="K140">
            <v>129130.32</v>
          </cell>
          <cell r="L140" t="str">
            <v>Storage Chgs - 01 - 31 Apr 25</v>
          </cell>
          <cell r="M140">
            <v>116217</v>
          </cell>
          <cell r="N140">
            <v>12913.320000000007</v>
          </cell>
          <cell r="O140">
            <v>0.10000223030501285</v>
          </cell>
          <cell r="Q140">
            <v>12913</v>
          </cell>
        </row>
        <row r="141">
          <cell r="D141">
            <v>1800009234</v>
          </cell>
          <cell r="E141" t="str">
            <v>DR</v>
          </cell>
          <cell r="F141">
            <v>45810</v>
          </cell>
          <cell r="G141">
            <v>256779413998</v>
          </cell>
          <cell r="H141" t="str">
            <v>USD</v>
          </cell>
          <cell r="I141">
            <v>190.21</v>
          </cell>
          <cell r="J141" t="str">
            <v>INR</v>
          </cell>
          <cell r="K141">
            <v>16261.2</v>
          </cell>
          <cell r="L141" t="str">
            <v>Outbound chgs - 01 - 15 Apr 25</v>
          </cell>
          <cell r="M141">
            <v>15936</v>
          </cell>
          <cell r="N141">
            <v>325.20000000000073</v>
          </cell>
          <cell r="O141">
            <v>1.9998524094162837E-2</v>
          </cell>
          <cell r="Q141">
            <v>325</v>
          </cell>
        </row>
        <row r="142">
          <cell r="D142">
            <v>1800009158</v>
          </cell>
          <cell r="E142" t="str">
            <v>DR</v>
          </cell>
          <cell r="F142">
            <v>45810</v>
          </cell>
          <cell r="G142">
            <v>256779413922</v>
          </cell>
          <cell r="H142" t="str">
            <v>USD</v>
          </cell>
          <cell r="I142">
            <v>368.88</v>
          </cell>
          <cell r="J142" t="str">
            <v>INR</v>
          </cell>
          <cell r="K142">
            <v>31535.84</v>
          </cell>
          <cell r="L142" t="str">
            <v>Port SSR Charges - Shifting for Aug to D</v>
          </cell>
          <cell r="M142">
            <v>30905</v>
          </cell>
          <cell r="N142">
            <v>630.84000000000015</v>
          </cell>
          <cell r="O142">
            <v>2.0003906666193137E-2</v>
          </cell>
          <cell r="Q142">
            <v>631</v>
          </cell>
        </row>
        <row r="143">
          <cell r="D143">
            <v>1800009500</v>
          </cell>
          <cell r="E143" t="str">
            <v>DR</v>
          </cell>
          <cell r="F143">
            <v>45812</v>
          </cell>
          <cell r="G143">
            <v>256779414264</v>
          </cell>
          <cell r="H143" t="str">
            <v>USD</v>
          </cell>
          <cell r="I143">
            <v>7.02</v>
          </cell>
          <cell r="J143" t="str">
            <v>INR</v>
          </cell>
          <cell r="K143">
            <v>600.15</v>
          </cell>
          <cell r="L143" t="str">
            <v>Detention Chgs - 16 - 31 MAY 25</v>
          </cell>
          <cell r="M143">
            <v>588</v>
          </cell>
          <cell r="N143">
            <v>12.149999999999977</v>
          </cell>
          <cell r="O143">
            <v>2.0244938765308636E-2</v>
          </cell>
          <cell r="Q143">
            <v>12</v>
          </cell>
        </row>
        <row r="144">
          <cell r="D144">
            <v>1800009457</v>
          </cell>
          <cell r="E144" t="str">
            <v>DR</v>
          </cell>
          <cell r="F144">
            <v>45812</v>
          </cell>
          <cell r="G144">
            <v>256779414221</v>
          </cell>
          <cell r="H144" t="str">
            <v>USD</v>
          </cell>
          <cell r="I144">
            <v>46.22</v>
          </cell>
          <cell r="J144" t="str">
            <v>INR</v>
          </cell>
          <cell r="K144">
            <v>3951.38</v>
          </cell>
          <cell r="L144" t="str">
            <v>Outbound chgs - 16 - 31 MAY 25</v>
          </cell>
          <cell r="M144">
            <v>3872</v>
          </cell>
          <cell r="N144">
            <v>79.380000000000109</v>
          </cell>
          <cell r="O144">
            <v>2.0089184031907868E-2</v>
          </cell>
          <cell r="Q144">
            <v>79</v>
          </cell>
        </row>
        <row r="145">
          <cell r="D145">
            <v>1800009412</v>
          </cell>
          <cell r="E145" t="str">
            <v>DR</v>
          </cell>
          <cell r="F145">
            <v>45812</v>
          </cell>
          <cell r="G145">
            <v>256779414176</v>
          </cell>
          <cell r="H145" t="str">
            <v>USD</v>
          </cell>
          <cell r="I145">
            <v>129.31</v>
          </cell>
          <cell r="J145" t="str">
            <v>INR</v>
          </cell>
          <cell r="K145">
            <v>11054.81</v>
          </cell>
          <cell r="L145" t="str">
            <v>PORT SSR Chgs - 16 - 31 May 25</v>
          </cell>
          <cell r="M145">
            <v>10834</v>
          </cell>
          <cell r="N145">
            <v>220.80999999999949</v>
          </cell>
          <cell r="O145">
            <v>1.9974110816920371E-2</v>
          </cell>
          <cell r="Q145">
            <v>221</v>
          </cell>
        </row>
        <row r="146">
          <cell r="D146">
            <v>1800009556</v>
          </cell>
          <cell r="E146" t="str">
            <v>DR</v>
          </cell>
          <cell r="F146">
            <v>45812</v>
          </cell>
          <cell r="G146">
            <v>256779414320</v>
          </cell>
          <cell r="H146" t="str">
            <v>USD</v>
          </cell>
          <cell r="I146">
            <v>611.36</v>
          </cell>
          <cell r="J146" t="str">
            <v>INR</v>
          </cell>
          <cell r="K146">
            <v>52265.64</v>
          </cell>
          <cell r="L146" t="str">
            <v>LCL Chgs - 16-31 MAY 25</v>
          </cell>
          <cell r="M146">
            <v>51221</v>
          </cell>
          <cell r="N146">
            <v>1044.6399999999994</v>
          </cell>
          <cell r="O146">
            <v>1.9987127298163754E-2</v>
          </cell>
          <cell r="Q146">
            <v>1045</v>
          </cell>
        </row>
        <row r="147">
          <cell r="D147">
            <v>1800009468</v>
          </cell>
          <cell r="E147" t="str">
            <v>DR</v>
          </cell>
          <cell r="F147">
            <v>45815</v>
          </cell>
          <cell r="G147">
            <v>256779414232</v>
          </cell>
          <cell r="H147" t="str">
            <v>USD</v>
          </cell>
          <cell r="I147">
            <v>1240.4000000000001</v>
          </cell>
          <cell r="J147" t="str">
            <v>INR</v>
          </cell>
          <cell r="K147">
            <v>106042.76</v>
          </cell>
          <cell r="L147" t="str">
            <v>Unit storage -1-31 May 25</v>
          </cell>
          <cell r="M147">
            <v>95439</v>
          </cell>
          <cell r="N147">
            <v>10603.759999999995</v>
          </cell>
          <cell r="O147">
            <v>9.9995134038382213E-2</v>
          </cell>
          <cell r="Q147">
            <v>10604</v>
          </cell>
        </row>
        <row r="148">
          <cell r="D148">
            <v>1800009610</v>
          </cell>
          <cell r="E148" t="str">
            <v>DR</v>
          </cell>
          <cell r="F148">
            <v>45818</v>
          </cell>
          <cell r="G148">
            <v>256779414374</v>
          </cell>
          <cell r="H148" t="str">
            <v>USD</v>
          </cell>
          <cell r="I148">
            <v>1800</v>
          </cell>
          <cell r="J148" t="str">
            <v>INR</v>
          </cell>
          <cell r="K148">
            <v>153883.4</v>
          </cell>
          <cell r="L148" t="str">
            <v>Fixed Storage Charges fo JUNE 2025</v>
          </cell>
          <cell r="M148">
            <v>138495</v>
          </cell>
          <cell r="N148">
            <v>15388.399999999994</v>
          </cell>
          <cell r="O148">
            <v>0.10000038990560382</v>
          </cell>
          <cell r="Q148">
            <v>15388</v>
          </cell>
        </row>
        <row r="149">
          <cell r="D149">
            <v>1800009578</v>
          </cell>
          <cell r="E149" t="str">
            <v>DR</v>
          </cell>
          <cell r="F149">
            <v>45821</v>
          </cell>
          <cell r="G149">
            <v>256779414342</v>
          </cell>
          <cell r="H149" t="str">
            <v>USD</v>
          </cell>
          <cell r="I149">
            <v>465</v>
          </cell>
          <cell r="J149" t="str">
            <v>INR</v>
          </cell>
          <cell r="K149">
            <v>39753.21</v>
          </cell>
          <cell r="L149" t="str">
            <v>CY Longstanding - March 25,16-31</v>
          </cell>
          <cell r="M149">
            <v>35715</v>
          </cell>
          <cell r="N149">
            <v>4038.2099999999991</v>
          </cell>
          <cell r="O149">
            <v>0.10158198545475948</v>
          </cell>
          <cell r="Q149">
            <v>3968</v>
          </cell>
        </row>
        <row r="150">
          <cell r="D150">
            <v>1800009972</v>
          </cell>
          <cell r="E150" t="str">
            <v>DR</v>
          </cell>
          <cell r="F150">
            <v>45827</v>
          </cell>
          <cell r="G150">
            <v>256779414736</v>
          </cell>
          <cell r="H150" t="str">
            <v>USD</v>
          </cell>
          <cell r="I150">
            <v>110</v>
          </cell>
          <cell r="J150" t="str">
            <v>INR</v>
          </cell>
          <cell r="K150">
            <v>9403.99</v>
          </cell>
          <cell r="L150" t="str">
            <v>Unit to Unit 1-15 June 25</v>
          </cell>
          <cell r="M150">
            <v>9282</v>
          </cell>
          <cell r="N150">
            <v>121.98999999999978</v>
          </cell>
          <cell r="O150">
            <v>1.2972153309393117E-2</v>
          </cell>
          <cell r="Q150">
            <v>189</v>
          </cell>
        </row>
        <row r="151">
          <cell r="D151">
            <v>1800009980</v>
          </cell>
          <cell r="E151" t="str">
            <v>DR</v>
          </cell>
          <cell r="F151">
            <v>45827</v>
          </cell>
          <cell r="G151">
            <v>256779414744</v>
          </cell>
          <cell r="H151" t="str">
            <v>USD</v>
          </cell>
          <cell r="I151">
            <v>287.81</v>
          </cell>
          <cell r="J151" t="str">
            <v>INR</v>
          </cell>
          <cell r="K151">
            <v>24605.1</v>
          </cell>
          <cell r="L151" t="str">
            <v>VAS 1-15 June 25, Exch 86.10</v>
          </cell>
          <cell r="M151">
            <v>24284</v>
          </cell>
          <cell r="N151">
            <v>321.09999999999854</v>
          </cell>
          <cell r="O151">
            <v>1.3050140011623548E-2</v>
          </cell>
          <cell r="Q151">
            <v>496</v>
          </cell>
        </row>
        <row r="152">
          <cell r="D152">
            <v>1800010070</v>
          </cell>
          <cell r="E152" t="str">
            <v>DR</v>
          </cell>
          <cell r="F152">
            <v>45842</v>
          </cell>
          <cell r="G152">
            <v>256779414834</v>
          </cell>
          <cell r="H152" t="str">
            <v>USD</v>
          </cell>
          <cell r="I152">
            <v>15.28</v>
          </cell>
          <cell r="J152" t="str">
            <v>INR</v>
          </cell>
          <cell r="K152">
            <v>1314.09</v>
          </cell>
          <cell r="L152" t="str">
            <v>Outbound chgs - 01 - 15 Jun 25</v>
          </cell>
          <cell r="M152">
            <v>1288</v>
          </cell>
          <cell r="N152">
            <v>26.089999999999918</v>
          </cell>
          <cell r="O152">
            <v>1.9854043482562016E-2</v>
          </cell>
          <cell r="Q152">
            <v>26</v>
          </cell>
        </row>
        <row r="153">
          <cell r="D153">
            <v>1800010121</v>
          </cell>
          <cell r="E153" t="str">
            <v>DR</v>
          </cell>
          <cell r="F153">
            <v>45842</v>
          </cell>
          <cell r="G153">
            <v>256779414881</v>
          </cell>
          <cell r="H153" t="str">
            <v>USD</v>
          </cell>
          <cell r="I153">
            <v>52.22</v>
          </cell>
          <cell r="J153" t="str">
            <v>INR</v>
          </cell>
          <cell r="K153">
            <v>4490.95</v>
          </cell>
          <cell r="L153" t="str">
            <v>LCL chgs - 16 - 30 JUN 25</v>
          </cell>
          <cell r="M153">
            <v>4401</v>
          </cell>
          <cell r="N153">
            <v>89.949999999999818</v>
          </cell>
          <cell r="O153">
            <v>2.0029169774769217E-2</v>
          </cell>
          <cell r="Q153">
            <v>90</v>
          </cell>
        </row>
        <row r="154">
          <cell r="D154">
            <v>1800010005</v>
          </cell>
          <cell r="E154" t="str">
            <v>DR</v>
          </cell>
          <cell r="F154">
            <v>45842</v>
          </cell>
          <cell r="G154">
            <v>256779414769</v>
          </cell>
          <cell r="H154" t="str">
            <v>USD</v>
          </cell>
          <cell r="I154">
            <v>66.790000000000006</v>
          </cell>
          <cell r="J154" t="str">
            <v>INR</v>
          </cell>
          <cell r="K154">
            <v>5743.98</v>
          </cell>
          <cell r="L154" t="str">
            <v>CODC Inbound chgs - 01 - 15 Jun 25</v>
          </cell>
          <cell r="M154">
            <v>5629</v>
          </cell>
          <cell r="N154">
            <v>114.97999999999956</v>
          </cell>
          <cell r="O154">
            <v>2.0017479169495641E-2</v>
          </cell>
          <cell r="Q154">
            <v>115</v>
          </cell>
        </row>
        <row r="155">
          <cell r="D155">
            <v>1800010505</v>
          </cell>
          <cell r="E155" t="str">
            <v>DR</v>
          </cell>
          <cell r="F155">
            <v>45842</v>
          </cell>
          <cell r="G155">
            <v>256779415265</v>
          </cell>
          <cell r="H155" t="str">
            <v>USD</v>
          </cell>
          <cell r="I155">
            <v>164.73</v>
          </cell>
          <cell r="J155" t="str">
            <v>INR</v>
          </cell>
          <cell r="K155">
            <v>14166.89</v>
          </cell>
          <cell r="L155" t="str">
            <v>VAS - 16-30 June 25</v>
          </cell>
          <cell r="M155">
            <v>13884</v>
          </cell>
          <cell r="N155">
            <v>282.88999999999942</v>
          </cell>
          <cell r="O155">
            <v>1.9968391086540478E-2</v>
          </cell>
          <cell r="Q155">
            <v>283</v>
          </cell>
        </row>
        <row r="156">
          <cell r="D156">
            <v>1800010260</v>
          </cell>
          <cell r="E156" t="str">
            <v>DR</v>
          </cell>
          <cell r="F156">
            <v>45842</v>
          </cell>
          <cell r="G156">
            <v>256779415020</v>
          </cell>
          <cell r="H156" t="str">
            <v>USD</v>
          </cell>
          <cell r="I156">
            <v>175.39</v>
          </cell>
          <cell r="J156" t="str">
            <v>INR</v>
          </cell>
          <cell r="K156">
            <v>15083.66</v>
          </cell>
          <cell r="L156" t="str">
            <v>Outbound chgs - 16 - 30 Jun 25</v>
          </cell>
          <cell r="M156">
            <v>14782</v>
          </cell>
          <cell r="N156">
            <v>301.65999999999985</v>
          </cell>
          <cell r="O156">
            <v>1.99991248808313E-2</v>
          </cell>
          <cell r="Q156">
            <v>302</v>
          </cell>
        </row>
        <row r="157">
          <cell r="D157">
            <v>1800010039</v>
          </cell>
          <cell r="E157" t="str">
            <v>DR</v>
          </cell>
          <cell r="F157">
            <v>45842</v>
          </cell>
          <cell r="G157">
            <v>256779414803</v>
          </cell>
          <cell r="H157" t="str">
            <v>USD</v>
          </cell>
          <cell r="I157">
            <v>318.63</v>
          </cell>
          <cell r="J157" t="str">
            <v>INR</v>
          </cell>
          <cell r="K157">
            <v>27402.39</v>
          </cell>
          <cell r="L157" t="str">
            <v>LCL Chgs - 01 - 15 JUN 25</v>
          </cell>
          <cell r="M157">
            <v>26854</v>
          </cell>
          <cell r="N157">
            <v>548.38999999999942</v>
          </cell>
          <cell r="O157">
            <v>2.0012487961816448E-2</v>
          </cell>
          <cell r="Q157">
            <v>548</v>
          </cell>
        </row>
        <row r="158">
          <cell r="D158">
            <v>1800010428</v>
          </cell>
          <cell r="E158" t="str">
            <v>DR</v>
          </cell>
          <cell r="F158">
            <v>45842</v>
          </cell>
          <cell r="G158">
            <v>256779415188</v>
          </cell>
          <cell r="H158" t="str">
            <v>USD</v>
          </cell>
          <cell r="I158">
            <v>1521.18</v>
          </cell>
          <cell r="J158" t="str">
            <v>INR</v>
          </cell>
          <cell r="K158">
            <v>130822.5</v>
          </cell>
          <cell r="L158" t="str">
            <v>Unit Storage - 1-30 June 25</v>
          </cell>
          <cell r="M158">
            <v>117740</v>
          </cell>
          <cell r="N158">
            <v>13082.5</v>
          </cell>
          <cell r="O158">
            <v>0.10000191098626</v>
          </cell>
          <cell r="Q158">
            <v>13082</v>
          </cell>
        </row>
        <row r="159">
          <cell r="D159">
            <v>1800010172</v>
          </cell>
          <cell r="E159" t="str">
            <v>DR</v>
          </cell>
          <cell r="F159">
            <v>45842</v>
          </cell>
          <cell r="G159">
            <v>256779414932</v>
          </cell>
          <cell r="H159" t="str">
            <v>USD</v>
          </cell>
          <cell r="I159">
            <v>1800</v>
          </cell>
          <cell r="J159" t="str">
            <v>INR</v>
          </cell>
          <cell r="K159">
            <v>154801.21</v>
          </cell>
          <cell r="L159" t="str">
            <v>Fixed Storage Charges fo JULY 2025</v>
          </cell>
          <cell r="M159">
            <v>139321</v>
          </cell>
          <cell r="N159">
            <v>15480.209999999992</v>
          </cell>
          <cell r="O159">
            <v>0.1000005749309065</v>
          </cell>
          <cell r="Q159">
            <v>15480</v>
          </cell>
        </row>
        <row r="160">
          <cell r="D160">
            <v>1800010742</v>
          </cell>
          <cell r="E160" t="str">
            <v>DR</v>
          </cell>
          <cell r="F160">
            <v>45856</v>
          </cell>
          <cell r="G160">
            <v>256779415526</v>
          </cell>
          <cell r="H160" t="str">
            <v>USD</v>
          </cell>
          <cell r="I160">
            <v>2.75</v>
          </cell>
          <cell r="J160" t="str">
            <v>INR</v>
          </cell>
          <cell r="K160">
            <v>236.5</v>
          </cell>
          <cell r="L160" t="str">
            <v>Outbound chgs - 01 - 15 Jul 25</v>
          </cell>
          <cell r="M160">
            <v>232</v>
          </cell>
          <cell r="N160">
            <v>4.5</v>
          </cell>
          <cell r="O160">
            <v>1.9027484143763214E-2</v>
          </cell>
          <cell r="Q160">
            <v>5</v>
          </cell>
        </row>
        <row r="161">
          <cell r="D161">
            <v>1800010661</v>
          </cell>
          <cell r="E161" t="str">
            <v>DR</v>
          </cell>
          <cell r="F161">
            <v>45856</v>
          </cell>
          <cell r="G161">
            <v>256779415445</v>
          </cell>
          <cell r="H161" t="str">
            <v>USD</v>
          </cell>
          <cell r="I161">
            <v>26.09</v>
          </cell>
          <cell r="J161" t="str">
            <v>INR</v>
          </cell>
          <cell r="K161">
            <v>2243.7600000000002</v>
          </cell>
          <cell r="L161" t="str">
            <v>CODC Inbound chgs - 01 - 15 July 25</v>
          </cell>
          <cell r="M161">
            <v>2199</v>
          </cell>
          <cell r="N161">
            <v>44.760000000000218</v>
          </cell>
          <cell r="O161">
            <v>1.9948657610439714E-2</v>
          </cell>
          <cell r="Q161">
            <v>45</v>
          </cell>
        </row>
        <row r="162">
          <cell r="D162">
            <v>1800010674</v>
          </cell>
          <cell r="E162" t="str">
            <v>DR</v>
          </cell>
          <cell r="F162">
            <v>45856</v>
          </cell>
          <cell r="G162">
            <v>256779415458</v>
          </cell>
          <cell r="H162" t="str">
            <v>USD</v>
          </cell>
          <cell r="I162">
            <v>73.739999999999995</v>
          </cell>
          <cell r="J162" t="str">
            <v>INR</v>
          </cell>
          <cell r="K162">
            <v>6341.69</v>
          </cell>
          <cell r="L162" t="str">
            <v>CODC Out chgs - 01 - 15 July 25</v>
          </cell>
          <cell r="M162">
            <v>6215</v>
          </cell>
          <cell r="N162">
            <v>126.6899999999996</v>
          </cell>
          <cell r="O162">
            <v>1.9977324656361255E-2</v>
          </cell>
          <cell r="Q162">
            <v>127</v>
          </cell>
        </row>
        <row r="163">
          <cell r="D163">
            <v>1800010772</v>
          </cell>
          <cell r="E163" t="str">
            <v>DR</v>
          </cell>
          <cell r="F163">
            <v>45856</v>
          </cell>
          <cell r="G163">
            <v>256779415434</v>
          </cell>
          <cell r="H163" t="str">
            <v>USD</v>
          </cell>
          <cell r="I163">
            <v>110.95</v>
          </cell>
          <cell r="J163" t="str">
            <v>INR</v>
          </cell>
          <cell r="K163">
            <v>9541.77</v>
          </cell>
          <cell r="L163" t="str">
            <v>PORT SSR Chgs May &amp; June 25</v>
          </cell>
          <cell r="M163">
            <v>9351</v>
          </cell>
          <cell r="N163">
            <v>190.77000000000044</v>
          </cell>
          <cell r="O163">
            <v>1.9993145925755958E-2</v>
          </cell>
          <cell r="Q163">
            <v>191</v>
          </cell>
        </row>
        <row r="164">
          <cell r="D164">
            <v>1800010942</v>
          </cell>
          <cell r="E164" t="str">
            <v>DR</v>
          </cell>
          <cell r="F164">
            <v>45856</v>
          </cell>
          <cell r="G164">
            <v>256779415702</v>
          </cell>
          <cell r="H164" t="str">
            <v>USD</v>
          </cell>
          <cell r="I164">
            <v>200</v>
          </cell>
          <cell r="J164" t="str">
            <v>INR</v>
          </cell>
          <cell r="K164">
            <v>17200.13</v>
          </cell>
          <cell r="L164" t="str">
            <v>Transportation In Chgs - 01 - 15 Jul 25</v>
          </cell>
          <cell r="M164">
            <v>16856</v>
          </cell>
          <cell r="N164">
            <v>344.13000000000102</v>
          </cell>
          <cell r="O164">
            <v>2.0007406920761705E-2</v>
          </cell>
          <cell r="Q164">
            <v>344</v>
          </cell>
        </row>
        <row r="165">
          <cell r="D165">
            <v>1800010702</v>
          </cell>
          <cell r="E165" t="str">
            <v>DR</v>
          </cell>
          <cell r="F165">
            <v>45856</v>
          </cell>
          <cell r="G165">
            <v>256779415486</v>
          </cell>
          <cell r="H165" t="str">
            <v>USD</v>
          </cell>
          <cell r="I165">
            <v>239.19</v>
          </cell>
          <cell r="J165" t="str">
            <v>INR</v>
          </cell>
          <cell r="K165">
            <v>20570.5</v>
          </cell>
          <cell r="L165" t="str">
            <v>LCL chgs - 01 - 15 JUL 25</v>
          </cell>
          <cell r="M165">
            <v>20159</v>
          </cell>
          <cell r="N165">
            <v>411.5</v>
          </cell>
          <cell r="O165">
            <v>2.0004375197491552E-2</v>
          </cell>
          <cell r="Q165">
            <v>411</v>
          </cell>
        </row>
        <row r="166">
          <cell r="D166">
            <v>1800011194</v>
          </cell>
          <cell r="E166" t="str">
            <v>DR</v>
          </cell>
          <cell r="F166">
            <v>45862</v>
          </cell>
          <cell r="G166">
            <v>256779415946</v>
          </cell>
          <cell r="H166" t="str">
            <v>USD</v>
          </cell>
          <cell r="I166">
            <v>29.25</v>
          </cell>
          <cell r="J166" t="str">
            <v>INR</v>
          </cell>
          <cell r="K166">
            <v>2515.52</v>
          </cell>
          <cell r="L166" t="str">
            <v>LCL Chgs - 01-15 MAY 25</v>
          </cell>
          <cell r="M166">
            <v>2466</v>
          </cell>
          <cell r="N166">
            <v>49.519999999999982</v>
          </cell>
          <cell r="O166">
            <v>1.9685790611881433E-2</v>
          </cell>
          <cell r="Q166">
            <v>50</v>
          </cell>
        </row>
        <row r="167">
          <cell r="D167">
            <v>1800011268</v>
          </cell>
          <cell r="E167" t="str">
            <v>DR</v>
          </cell>
          <cell r="F167">
            <v>45863</v>
          </cell>
          <cell r="G167">
            <v>256779416000</v>
          </cell>
          <cell r="H167" t="str">
            <v>USD</v>
          </cell>
          <cell r="I167">
            <v>151.58000000000001</v>
          </cell>
          <cell r="J167" t="str">
            <v>INR</v>
          </cell>
          <cell r="K167">
            <v>13035.98</v>
          </cell>
          <cell r="L167" t="str">
            <v>VAS 16-31 May 25 Ex.85.48</v>
          </cell>
          <cell r="M167">
            <v>12698</v>
          </cell>
          <cell r="N167">
            <v>337.97999999999956</v>
          </cell>
          <cell r="O167">
            <v>2.5926704398134975E-2</v>
          </cell>
          <cell r="Q167">
            <v>259</v>
          </cell>
        </row>
        <row r="168">
          <cell r="D168">
            <v>1800011236</v>
          </cell>
          <cell r="E168" t="str">
            <v>DR</v>
          </cell>
          <cell r="F168">
            <v>45863</v>
          </cell>
          <cell r="G168">
            <v>256779415968</v>
          </cell>
          <cell r="H168" t="str">
            <v>USD</v>
          </cell>
          <cell r="I168">
            <v>465</v>
          </cell>
          <cell r="J168" t="str">
            <v>INR</v>
          </cell>
          <cell r="K168">
            <v>39990.31</v>
          </cell>
          <cell r="L168" t="str">
            <v>CY Ground rent Chgs - 01 - 31 May 25</v>
          </cell>
          <cell r="M168">
            <v>35991</v>
          </cell>
          <cell r="N168">
            <v>3999.3099999999977</v>
          </cell>
          <cell r="O168">
            <v>0.10000697669010312</v>
          </cell>
          <cell r="Q168">
            <v>3999</v>
          </cell>
        </row>
        <row r="169">
          <cell r="D169">
            <v>1800011334</v>
          </cell>
          <cell r="E169" t="str">
            <v>DR</v>
          </cell>
          <cell r="F169">
            <v>45870</v>
          </cell>
          <cell r="G169">
            <v>256779416043</v>
          </cell>
          <cell r="H169" t="str">
            <v>USD</v>
          </cell>
          <cell r="I169">
            <v>1800</v>
          </cell>
          <cell r="J169" t="str">
            <v>INR</v>
          </cell>
          <cell r="K169">
            <v>154854.22</v>
          </cell>
          <cell r="L169" t="str">
            <v>Fixed Storage Charges for August 2025</v>
          </cell>
          <cell r="M169">
            <v>139369</v>
          </cell>
          <cell r="N169">
            <v>15485.220000000001</v>
          </cell>
          <cell r="O169">
            <v>9.9998695547334787E-2</v>
          </cell>
          <cell r="Q169">
            <v>15485</v>
          </cell>
        </row>
        <row r="170">
          <cell r="D170">
            <v>1800011605</v>
          </cell>
          <cell r="E170" t="str">
            <v>DR</v>
          </cell>
          <cell r="F170">
            <v>45877</v>
          </cell>
          <cell r="G170">
            <v>256779416455</v>
          </cell>
          <cell r="H170" t="str">
            <v>USD</v>
          </cell>
          <cell r="I170">
            <v>13.71</v>
          </cell>
          <cell r="J170" t="str">
            <v>INR</v>
          </cell>
          <cell r="K170">
            <v>1179.47</v>
          </cell>
          <cell r="L170" t="str">
            <v>Weighment - 16-31 July 25</v>
          </cell>
          <cell r="M170">
            <v>1155</v>
          </cell>
          <cell r="N170">
            <v>24.470000000000027</v>
          </cell>
          <cell r="O170">
            <v>2.0746606526660303E-2</v>
          </cell>
          <cell r="Q170">
            <v>24</v>
          </cell>
        </row>
        <row r="171">
          <cell r="D171">
            <v>1800011711</v>
          </cell>
          <cell r="E171" t="str">
            <v>DR</v>
          </cell>
          <cell r="F171">
            <v>45877</v>
          </cell>
          <cell r="G171">
            <v>256779416229</v>
          </cell>
          <cell r="H171" t="str">
            <v>USD</v>
          </cell>
          <cell r="I171">
            <v>22.7</v>
          </cell>
          <cell r="J171" t="str">
            <v>INR</v>
          </cell>
          <cell r="K171">
            <v>1952.88</v>
          </cell>
          <cell r="L171" t="str">
            <v>Outbound chgs - 16 - 31 Jul 25</v>
          </cell>
          <cell r="M171">
            <v>1914</v>
          </cell>
          <cell r="N171">
            <v>38.880000000000109</v>
          </cell>
          <cell r="O171">
            <v>1.9909057392159327E-2</v>
          </cell>
          <cell r="Q171">
            <v>39</v>
          </cell>
        </row>
        <row r="172">
          <cell r="D172">
            <v>1800011834</v>
          </cell>
          <cell r="E172" t="str">
            <v>DR</v>
          </cell>
          <cell r="F172">
            <v>45877</v>
          </cell>
          <cell r="G172">
            <v>256779416143</v>
          </cell>
          <cell r="H172" t="str">
            <v>USD</v>
          </cell>
          <cell r="I172">
            <v>26.27</v>
          </cell>
          <cell r="J172" t="str">
            <v>INR</v>
          </cell>
          <cell r="K172">
            <v>2260.0100000000002</v>
          </cell>
          <cell r="L172" t="str">
            <v>Empty Lolo Chgs - 01 - 31 JUL 25</v>
          </cell>
          <cell r="M172">
            <v>2215</v>
          </cell>
          <cell r="N172">
            <v>45.010000000000218</v>
          </cell>
          <cell r="O172">
            <v>1.9915841080349297E-2</v>
          </cell>
          <cell r="Q172">
            <v>45</v>
          </cell>
        </row>
        <row r="173">
          <cell r="D173">
            <v>1800011866</v>
          </cell>
          <cell r="E173" t="str">
            <v>DR</v>
          </cell>
          <cell r="F173">
            <v>45877</v>
          </cell>
          <cell r="G173">
            <v>256779416517</v>
          </cell>
          <cell r="H173" t="str">
            <v>USD</v>
          </cell>
          <cell r="I173">
            <v>56.33</v>
          </cell>
          <cell r="J173" t="str">
            <v>INR</v>
          </cell>
          <cell r="K173">
            <v>4846.08</v>
          </cell>
          <cell r="L173" t="str">
            <v>PORT SSR Chgs July 25</v>
          </cell>
          <cell r="M173">
            <v>4749</v>
          </cell>
          <cell r="N173">
            <v>97.079999999999927</v>
          </cell>
          <cell r="O173">
            <v>2.0032686212361317E-2</v>
          </cell>
          <cell r="Q173">
            <v>97</v>
          </cell>
        </row>
        <row r="174">
          <cell r="D174">
            <v>1800011792</v>
          </cell>
          <cell r="E174" t="str">
            <v>DR</v>
          </cell>
          <cell r="F174">
            <v>45877</v>
          </cell>
          <cell r="G174">
            <v>256779416183</v>
          </cell>
          <cell r="H174" t="str">
            <v>USD</v>
          </cell>
          <cell r="I174">
            <v>102.33</v>
          </cell>
          <cell r="J174" t="str">
            <v>INR</v>
          </cell>
          <cell r="K174">
            <v>8803.4599999999991</v>
          </cell>
          <cell r="L174" t="str">
            <v>LCL chgs - 16 - 31 JUL 25</v>
          </cell>
          <cell r="M174">
            <v>8627</v>
          </cell>
          <cell r="N174">
            <v>176.45999999999913</v>
          </cell>
          <cell r="O174">
            <v>2.0044391636924477E-2</v>
          </cell>
          <cell r="Q174">
            <v>176</v>
          </cell>
        </row>
        <row r="175">
          <cell r="D175">
            <v>1800011597</v>
          </cell>
          <cell r="E175" t="str">
            <v>DR</v>
          </cell>
          <cell r="F175">
            <v>45877</v>
          </cell>
          <cell r="G175">
            <v>256779416447</v>
          </cell>
          <cell r="H175" t="str">
            <v>USD</v>
          </cell>
          <cell r="I175">
            <v>358.32</v>
          </cell>
          <cell r="J175" t="str">
            <v>INR</v>
          </cell>
          <cell r="K175">
            <v>30826.31</v>
          </cell>
          <cell r="L175" t="str">
            <v>VAS 16-31 July 25</v>
          </cell>
          <cell r="M175">
            <v>30209</v>
          </cell>
          <cell r="N175">
            <v>617.31000000000131</v>
          </cell>
          <cell r="O175">
            <v>2.002542633224675E-2</v>
          </cell>
          <cell r="Q175">
            <v>617</v>
          </cell>
        </row>
        <row r="176">
          <cell r="D176">
            <v>1800011650</v>
          </cell>
          <cell r="E176" t="str">
            <v>DR</v>
          </cell>
          <cell r="F176">
            <v>45877</v>
          </cell>
          <cell r="G176">
            <v>256779416081</v>
          </cell>
          <cell r="H176" t="str">
            <v>USD</v>
          </cell>
          <cell r="I176">
            <v>1267.5</v>
          </cell>
          <cell r="J176" t="str">
            <v>INR</v>
          </cell>
          <cell r="K176">
            <v>109043.18</v>
          </cell>
          <cell r="L176" t="str">
            <v>Unit Storage - 1-31 July 25</v>
          </cell>
          <cell r="M176">
            <v>98139</v>
          </cell>
          <cell r="N176">
            <v>10904.179999999993</v>
          </cell>
          <cell r="O176">
            <v>9.9998734446299101E-2</v>
          </cell>
          <cell r="Q176">
            <v>10904</v>
          </cell>
        </row>
        <row r="177">
          <cell r="D177">
            <v>1600002058</v>
          </cell>
          <cell r="E177" t="str">
            <v>DG</v>
          </cell>
          <cell r="F177">
            <v>45873</v>
          </cell>
          <cell r="G177">
            <v>256779421634</v>
          </cell>
          <cell r="H177" t="str">
            <v>USD</v>
          </cell>
          <cell r="I177">
            <v>-239.19</v>
          </cell>
          <cell r="J177" t="str">
            <v>INR</v>
          </cell>
          <cell r="K177">
            <v>-20570.5</v>
          </cell>
          <cell r="L177" t="str">
            <v>Credit note raised against 256779415806</v>
          </cell>
          <cell r="M177" t="e">
            <v>#N/A</v>
          </cell>
          <cell r="Q177" t="e">
            <v>#N/A</v>
          </cell>
        </row>
        <row r="178">
          <cell r="D178">
            <v>1800012252</v>
          </cell>
          <cell r="E178" t="str">
            <v>DR</v>
          </cell>
          <cell r="F178">
            <v>45889</v>
          </cell>
          <cell r="G178">
            <v>256779416848</v>
          </cell>
          <cell r="H178" t="str">
            <v>USD</v>
          </cell>
          <cell r="I178">
            <v>17.75</v>
          </cell>
          <cell r="J178" t="str">
            <v>INR</v>
          </cell>
          <cell r="K178">
            <v>1527.03</v>
          </cell>
          <cell r="L178" t="str">
            <v>LCL chgs - 01 - 15 AUG 25</v>
          </cell>
          <cell r="M178">
            <v>1496</v>
          </cell>
          <cell r="N178">
            <v>31.029999999999973</v>
          </cell>
          <cell r="O178">
            <v>2.0320491411432634E-2</v>
          </cell>
          <cell r="Q178">
            <v>31</v>
          </cell>
        </row>
        <row r="179">
          <cell r="D179">
            <v>1800012221</v>
          </cell>
          <cell r="E179" t="str">
            <v>DR</v>
          </cell>
          <cell r="F179">
            <v>45889</v>
          </cell>
          <cell r="G179">
            <v>256779416883</v>
          </cell>
          <cell r="H179" t="str">
            <v>USD</v>
          </cell>
          <cell r="I179">
            <v>50.05</v>
          </cell>
          <cell r="J179" t="str">
            <v>INR</v>
          </cell>
          <cell r="K179">
            <v>4305.8100000000004</v>
          </cell>
          <cell r="L179" t="str">
            <v>Outbound chgs - 01 - 15 Aug 25</v>
          </cell>
          <cell r="M179">
            <v>4220</v>
          </cell>
          <cell r="N179">
            <v>85.8100000000004</v>
          </cell>
          <cell r="O179">
            <v>1.9928886783206968E-2</v>
          </cell>
          <cell r="Q179">
            <v>86</v>
          </cell>
        </row>
        <row r="180">
          <cell r="D180">
            <v>1800012690</v>
          </cell>
          <cell r="E180" t="str">
            <v>DR</v>
          </cell>
          <cell r="F180">
            <v>45904</v>
          </cell>
          <cell r="G180">
            <v>256779417330</v>
          </cell>
          <cell r="H180" t="str">
            <v>USD</v>
          </cell>
          <cell r="I180">
            <v>13.52</v>
          </cell>
          <cell r="J180" t="str">
            <v>INR</v>
          </cell>
          <cell r="K180">
            <v>1183.19</v>
          </cell>
          <cell r="L180" t="str">
            <v>Outbound chgs - 16 - 31 Aug 25</v>
          </cell>
          <cell r="M180">
            <v>1159</v>
          </cell>
          <cell r="N180">
            <v>24.190000000000055</v>
          </cell>
          <cell r="O180">
            <v>2.0444729925033218E-2</v>
          </cell>
          <cell r="Q180">
            <v>24</v>
          </cell>
        </row>
        <row r="181">
          <cell r="D181">
            <v>1800012463</v>
          </cell>
          <cell r="E181" t="str">
            <v>DR</v>
          </cell>
          <cell r="F181">
            <v>45904</v>
          </cell>
          <cell r="G181">
            <v>256779417163</v>
          </cell>
          <cell r="H181" t="str">
            <v>USD</v>
          </cell>
          <cell r="I181">
            <v>75.13</v>
          </cell>
          <cell r="J181" t="str">
            <v>INR</v>
          </cell>
          <cell r="K181">
            <v>6574.95</v>
          </cell>
          <cell r="L181" t="str">
            <v>VAS -16-31 Aug 25</v>
          </cell>
          <cell r="M181">
            <v>6444</v>
          </cell>
          <cell r="N181">
            <v>130.94999999999982</v>
          </cell>
          <cell r="O181">
            <v>1.9916501266169298E-2</v>
          </cell>
          <cell r="Q181">
            <v>131</v>
          </cell>
        </row>
        <row r="182">
          <cell r="D182">
            <v>1800012589</v>
          </cell>
          <cell r="E182" t="str">
            <v>DR</v>
          </cell>
          <cell r="F182">
            <v>45904</v>
          </cell>
          <cell r="G182">
            <v>256779417247</v>
          </cell>
          <cell r="H182" t="str">
            <v>USD</v>
          </cell>
          <cell r="I182">
            <v>108.12</v>
          </cell>
          <cell r="J182" t="str">
            <v>INR</v>
          </cell>
          <cell r="K182">
            <v>9462.0499999999993</v>
          </cell>
          <cell r="L182" t="str">
            <v>PORT SSR Chgs Aug 25</v>
          </cell>
          <cell r="M182">
            <v>9273</v>
          </cell>
          <cell r="N182">
            <v>189.04999999999927</v>
          </cell>
          <cell r="O182">
            <v>1.997981409948154E-2</v>
          </cell>
          <cell r="Q182">
            <v>189</v>
          </cell>
        </row>
        <row r="183">
          <cell r="D183">
            <v>1800012569</v>
          </cell>
          <cell r="E183" t="str">
            <v>DR</v>
          </cell>
          <cell r="F183">
            <v>45904</v>
          </cell>
          <cell r="G183">
            <v>256779417188</v>
          </cell>
          <cell r="H183" t="str">
            <v>USD</v>
          </cell>
          <cell r="I183">
            <v>140</v>
          </cell>
          <cell r="J183" t="str">
            <v>INR</v>
          </cell>
          <cell r="K183">
            <v>12252.01</v>
          </cell>
          <cell r="L183" t="str">
            <v>Transportation In Chgs - 16 - 31 Aug 25</v>
          </cell>
          <cell r="M183">
            <v>12007</v>
          </cell>
          <cell r="N183">
            <v>245.01000000000022</v>
          </cell>
          <cell r="O183">
            <v>1.9997535098322659E-2</v>
          </cell>
          <cell r="Q183">
            <v>245</v>
          </cell>
        </row>
        <row r="184">
          <cell r="D184">
            <v>1800012650</v>
          </cell>
          <cell r="E184" t="str">
            <v>DR</v>
          </cell>
          <cell r="F184">
            <v>45904</v>
          </cell>
          <cell r="G184">
            <v>256779417290</v>
          </cell>
          <cell r="H184" t="str">
            <v>USD</v>
          </cell>
          <cell r="I184">
            <v>578.4</v>
          </cell>
          <cell r="J184" t="str">
            <v>INR</v>
          </cell>
          <cell r="K184">
            <v>50618.29</v>
          </cell>
          <cell r="L184" t="str">
            <v>LCL chgs - 16 - 31 AUG 25</v>
          </cell>
          <cell r="M184">
            <v>49606</v>
          </cell>
          <cell r="N184">
            <v>1012.2900000000009</v>
          </cell>
          <cell r="O184">
            <v>1.9998502517568271E-2</v>
          </cell>
          <cell r="Q184">
            <v>1012</v>
          </cell>
        </row>
        <row r="185">
          <cell r="D185">
            <v>1800012728</v>
          </cell>
          <cell r="E185" t="str">
            <v>DR</v>
          </cell>
          <cell r="F185">
            <v>45904</v>
          </cell>
          <cell r="G185">
            <v>256779417362</v>
          </cell>
          <cell r="H185" t="str">
            <v>USD</v>
          </cell>
          <cell r="I185">
            <v>1800</v>
          </cell>
          <cell r="J185" t="str">
            <v>INR</v>
          </cell>
          <cell r="K185">
            <v>157525.79</v>
          </cell>
          <cell r="L185" t="str">
            <v>Fixed Storage Charges for September 2025</v>
          </cell>
          <cell r="M185">
            <v>141773</v>
          </cell>
          <cell r="N185">
            <v>15752.790000000008</v>
          </cell>
          <cell r="O185">
            <v>0.10000133946320794</v>
          </cell>
          <cell r="Q185">
            <v>15753</v>
          </cell>
        </row>
        <row r="186">
          <cell r="D186">
            <v>1800012467</v>
          </cell>
          <cell r="E186" t="str">
            <v>DR</v>
          </cell>
          <cell r="F186">
            <v>45906</v>
          </cell>
          <cell r="G186">
            <v>256779417075</v>
          </cell>
          <cell r="H186" t="str">
            <v>USD</v>
          </cell>
          <cell r="I186">
            <v>1099.02</v>
          </cell>
          <cell r="J186" t="str">
            <v>INR</v>
          </cell>
          <cell r="K186">
            <v>96180</v>
          </cell>
          <cell r="L186" t="str">
            <v>Unit-Storage-1-31 Aug 25</v>
          </cell>
          <cell r="M186">
            <v>86562</v>
          </cell>
          <cell r="N186">
            <v>9618</v>
          </cell>
          <cell r="O186">
            <v>0.1</v>
          </cell>
          <cell r="Q186">
            <v>9618</v>
          </cell>
        </row>
        <row r="187">
          <cell r="D187">
            <v>1800012790</v>
          </cell>
          <cell r="E187" t="str">
            <v>DR</v>
          </cell>
          <cell r="F187">
            <v>45917</v>
          </cell>
          <cell r="G187">
            <v>256779417444</v>
          </cell>
          <cell r="H187" t="str">
            <v>USD</v>
          </cell>
          <cell r="I187">
            <v>1326.2</v>
          </cell>
          <cell r="J187" t="str">
            <v>INR</v>
          </cell>
          <cell r="K187">
            <v>116061.5</v>
          </cell>
          <cell r="L187" t="str">
            <v>VAS -1-15 Sept-25</v>
          </cell>
          <cell r="M187">
            <v>113740</v>
          </cell>
          <cell r="N187">
            <v>2321.5</v>
          </cell>
          <cell r="O187">
            <v>2.0002326352838797E-2</v>
          </cell>
          <cell r="Q187">
            <v>2321</v>
          </cell>
        </row>
        <row r="188">
          <cell r="D188">
            <v>1800012995</v>
          </cell>
          <cell r="E188" t="str">
            <v>DR</v>
          </cell>
          <cell r="F188">
            <v>45918</v>
          </cell>
          <cell r="G188">
            <v>256779417530</v>
          </cell>
          <cell r="H188" t="str">
            <v>USD</v>
          </cell>
          <cell r="I188">
            <v>41.3</v>
          </cell>
          <cell r="J188" t="str">
            <v>INR</v>
          </cell>
          <cell r="K188">
            <v>3614.34</v>
          </cell>
          <cell r="L188" t="str">
            <v>Outbound chgs - 01 - 15 Sep 25</v>
          </cell>
          <cell r="M188">
            <v>3542</v>
          </cell>
          <cell r="N188">
            <v>72.340000000000146</v>
          </cell>
          <cell r="O188">
            <v>2.0014719146510884E-2</v>
          </cell>
          <cell r="Q188">
            <v>72</v>
          </cell>
        </row>
        <row r="189">
          <cell r="D189">
            <v>1800012932</v>
          </cell>
          <cell r="E189" t="str">
            <v>DR</v>
          </cell>
          <cell r="F189">
            <v>45918</v>
          </cell>
          <cell r="G189">
            <v>256779417571</v>
          </cell>
          <cell r="H189" t="str">
            <v>USD</v>
          </cell>
          <cell r="I189">
            <v>156.84</v>
          </cell>
          <cell r="J189" t="str">
            <v>INR</v>
          </cell>
          <cell r="K189">
            <v>13725.75</v>
          </cell>
          <cell r="L189" t="str">
            <v>LCL chgs - 01 - 15 SEP 25</v>
          </cell>
          <cell r="M189">
            <v>13451</v>
          </cell>
          <cell r="N189">
            <v>274.75</v>
          </cell>
          <cell r="O189">
            <v>2.0017121104493378E-2</v>
          </cell>
          <cell r="Q189">
            <v>275</v>
          </cell>
        </row>
        <row r="190">
          <cell r="D190">
            <v>1800013308</v>
          </cell>
          <cell r="E190" t="str">
            <v>DR</v>
          </cell>
          <cell r="F190">
            <v>45935</v>
          </cell>
          <cell r="G190">
            <v>256779417904</v>
          </cell>
          <cell r="H190" t="str">
            <v>USD</v>
          </cell>
          <cell r="I190">
            <v>29.9</v>
          </cell>
          <cell r="J190" t="str">
            <v>INR</v>
          </cell>
          <cell r="K190">
            <v>2636.9</v>
          </cell>
          <cell r="L190" t="str">
            <v>Empty Lolo Chgs - 01 - 30 SEP 25</v>
          </cell>
          <cell r="M190">
            <v>2584</v>
          </cell>
          <cell r="N190">
            <v>52.900000000000091</v>
          </cell>
          <cell r="O190">
            <v>2.0061435776859225E-2</v>
          </cell>
          <cell r="Q190">
            <v>53</v>
          </cell>
        </row>
        <row r="191">
          <cell r="D191">
            <v>1800013513</v>
          </cell>
          <cell r="E191" t="str">
            <v>DR</v>
          </cell>
          <cell r="F191">
            <v>45935</v>
          </cell>
          <cell r="G191">
            <v>256779418403</v>
          </cell>
          <cell r="H191" t="str">
            <v>USD</v>
          </cell>
          <cell r="I191">
            <v>51.34</v>
          </cell>
          <cell r="J191" t="str">
            <v>INR</v>
          </cell>
          <cell r="K191">
            <v>4527.71</v>
          </cell>
          <cell r="L191" t="str">
            <v>PORT SSR Chgs Sep 25</v>
          </cell>
          <cell r="M191">
            <v>4437</v>
          </cell>
          <cell r="N191">
            <v>90.710000000000036</v>
          </cell>
          <cell r="O191">
            <v>2.0034410331050363E-2</v>
          </cell>
          <cell r="Q191">
            <v>91</v>
          </cell>
        </row>
        <row r="192">
          <cell r="D192">
            <v>1600001823</v>
          </cell>
          <cell r="E192" t="str">
            <v>DG</v>
          </cell>
          <cell r="F192">
            <v>45862</v>
          </cell>
          <cell r="G192">
            <v>256779421443</v>
          </cell>
          <cell r="H192" t="str">
            <v>USD</v>
          </cell>
          <cell r="I192">
            <v>-29.25</v>
          </cell>
          <cell r="J192" t="str">
            <v>INR</v>
          </cell>
          <cell r="K192">
            <v>-2515.02</v>
          </cell>
          <cell r="L192" t="str">
            <v>Credit Note raised against 256779413888</v>
          </cell>
          <cell r="M192" t="e">
            <v>#N/A</v>
          </cell>
          <cell r="Q192" t="e">
            <v>#N/A</v>
          </cell>
        </row>
        <row r="193">
          <cell r="D193">
            <v>1800013386</v>
          </cell>
          <cell r="E193" t="str">
            <v>DR</v>
          </cell>
          <cell r="F193">
            <v>45935</v>
          </cell>
          <cell r="G193">
            <v>256779417982</v>
          </cell>
          <cell r="H193" t="str">
            <v>USD</v>
          </cell>
          <cell r="I193">
            <v>156.08000000000001</v>
          </cell>
          <cell r="J193" t="str">
            <v>INR</v>
          </cell>
          <cell r="K193">
            <v>13764.82</v>
          </cell>
          <cell r="L193" t="str">
            <v>Outbound chgs - 16 - 30 Sep 25</v>
          </cell>
          <cell r="M193">
            <v>13490</v>
          </cell>
          <cell r="N193">
            <v>274.81999999999971</v>
          </cell>
          <cell r="O193">
            <v>1.9965390030527077E-2</v>
          </cell>
          <cell r="Q193">
            <v>275</v>
          </cell>
        </row>
        <row r="194">
          <cell r="D194">
            <v>1800013347</v>
          </cell>
          <cell r="E194" t="str">
            <v>DR</v>
          </cell>
          <cell r="F194">
            <v>45935</v>
          </cell>
          <cell r="G194">
            <v>256779417943</v>
          </cell>
          <cell r="H194" t="str">
            <v>USD</v>
          </cell>
          <cell r="I194">
            <v>270.85000000000002</v>
          </cell>
          <cell r="J194" t="str">
            <v>INR</v>
          </cell>
          <cell r="K194">
            <v>23886.47</v>
          </cell>
          <cell r="L194" t="str">
            <v>Inbound chgs - 16 - 30 SEP 25</v>
          </cell>
          <cell r="M194">
            <v>23408</v>
          </cell>
          <cell r="N194">
            <v>478.47000000000116</v>
          </cell>
          <cell r="O194">
            <v>2.0031004999901666E-2</v>
          </cell>
          <cell r="Q194">
            <v>478</v>
          </cell>
        </row>
        <row r="195">
          <cell r="D195">
            <v>1800013449</v>
          </cell>
          <cell r="E195" t="str">
            <v>DR</v>
          </cell>
          <cell r="F195">
            <v>45935</v>
          </cell>
          <cell r="G195">
            <v>256779418025</v>
          </cell>
          <cell r="H195" t="str">
            <v>USD</v>
          </cell>
          <cell r="I195">
            <v>1800</v>
          </cell>
          <cell r="J195" t="str">
            <v>INR</v>
          </cell>
          <cell r="K195">
            <v>158743.39000000001</v>
          </cell>
          <cell r="L195" t="str">
            <v>Fixed Storage Charges for October 2025</v>
          </cell>
          <cell r="M195">
            <v>142869</v>
          </cell>
          <cell r="N195">
            <v>15874.390000000014</v>
          </cell>
          <cell r="O195">
            <v>0.10000032127321971</v>
          </cell>
          <cell r="Q195">
            <v>15874</v>
          </cell>
        </row>
        <row r="196">
          <cell r="D196">
            <v>1800013278</v>
          </cell>
          <cell r="E196" t="str">
            <v>DR</v>
          </cell>
          <cell r="F196">
            <v>45936</v>
          </cell>
          <cell r="G196">
            <v>256779418014</v>
          </cell>
          <cell r="H196" t="str">
            <v>USD</v>
          </cell>
          <cell r="I196">
            <v>1329.96</v>
          </cell>
          <cell r="J196" t="str">
            <v>INR</v>
          </cell>
          <cell r="K196">
            <v>117290.2</v>
          </cell>
          <cell r="L196" t="str">
            <v>Unit Storage - 1-30 Sept 2025</v>
          </cell>
          <cell r="M196">
            <v>105561</v>
          </cell>
          <cell r="N196">
            <v>11729.199999999997</v>
          </cell>
          <cell r="O196">
            <v>0.1000015346550692</v>
          </cell>
          <cell r="Q196">
            <v>11729</v>
          </cell>
        </row>
        <row r="197">
          <cell r="D197">
            <v>1800013761</v>
          </cell>
          <cell r="E197" t="str">
            <v>DR</v>
          </cell>
          <cell r="F197">
            <v>45937</v>
          </cell>
          <cell r="G197">
            <v>256779418182</v>
          </cell>
          <cell r="H197" t="str">
            <v>USD</v>
          </cell>
          <cell r="I197">
            <v>559.99</v>
          </cell>
          <cell r="J197" t="str">
            <v>INR</v>
          </cell>
          <cell r="K197">
            <v>49385.95</v>
          </cell>
          <cell r="L197" t="str">
            <v>VAS-16-30 Sept 25</v>
          </cell>
          <cell r="M197">
            <v>48398</v>
          </cell>
          <cell r="N197">
            <v>987.94999999999709</v>
          </cell>
          <cell r="O197">
            <v>2.000467744368585E-2</v>
          </cell>
          <cell r="Q197">
            <v>988</v>
          </cell>
        </row>
        <row r="198">
          <cell r="D198">
            <v>1800014006</v>
          </cell>
          <cell r="E198" t="str">
            <v>DR</v>
          </cell>
          <cell r="F198">
            <v>45948</v>
          </cell>
          <cell r="G198">
            <v>256779418430</v>
          </cell>
          <cell r="H198" t="str">
            <v>USD</v>
          </cell>
          <cell r="I198">
            <v>46.92</v>
          </cell>
          <cell r="J198" t="str">
            <v>INR</v>
          </cell>
          <cell r="K198">
            <v>4137.91</v>
          </cell>
          <cell r="L198" t="str">
            <v>CODC Inbound chgs - 1-15 Oct 25</v>
          </cell>
          <cell r="M198">
            <v>4055</v>
          </cell>
          <cell r="N198">
            <v>82.909999999999854</v>
          </cell>
          <cell r="O198">
            <v>2.0036685186482998E-2</v>
          </cell>
          <cell r="Q198">
            <v>83</v>
          </cell>
        </row>
        <row r="199">
          <cell r="D199">
            <v>1800013929</v>
          </cell>
          <cell r="E199" t="str">
            <v>DR</v>
          </cell>
          <cell r="F199">
            <v>45950</v>
          </cell>
          <cell r="G199">
            <v>256779418706</v>
          </cell>
          <cell r="H199" t="str">
            <v>USD</v>
          </cell>
          <cell r="I199">
            <v>54.34</v>
          </cell>
          <cell r="J199" t="str">
            <v>INR</v>
          </cell>
          <cell r="K199">
            <v>4792.29</v>
          </cell>
          <cell r="L199" t="str">
            <v>Outbound chgs - 01 - 15 Oct 25</v>
          </cell>
          <cell r="M199">
            <v>4696</v>
          </cell>
          <cell r="N199">
            <v>96.289999999999964</v>
          </cell>
          <cell r="O199">
            <v>2.0092690550863986E-2</v>
          </cell>
          <cell r="Q199">
            <v>96</v>
          </cell>
        </row>
        <row r="200">
          <cell r="D200">
            <v>1800013810</v>
          </cell>
          <cell r="E200" t="str">
            <v>DR</v>
          </cell>
          <cell r="F200">
            <v>45950</v>
          </cell>
          <cell r="G200">
            <v>256779418628</v>
          </cell>
          <cell r="H200" t="str">
            <v>USD</v>
          </cell>
          <cell r="I200">
            <v>235</v>
          </cell>
          <cell r="J200" t="str">
            <v>INR</v>
          </cell>
          <cell r="K200">
            <v>20724.830000000002</v>
          </cell>
          <cell r="L200" t="str">
            <v>Transportation In Chgs - 01 - 15 Oct 25</v>
          </cell>
          <cell r="M200">
            <v>20311</v>
          </cell>
          <cell r="N200">
            <v>413.83000000000175</v>
          </cell>
          <cell r="O200">
            <v>1.996783568309133E-2</v>
          </cell>
          <cell r="Q200">
            <v>414</v>
          </cell>
        </row>
        <row r="201">
          <cell r="D201">
            <v>1800013950</v>
          </cell>
          <cell r="E201" t="str">
            <v>DR</v>
          </cell>
          <cell r="F201">
            <v>45951</v>
          </cell>
          <cell r="G201">
            <v>256779418482</v>
          </cell>
          <cell r="H201" t="str">
            <v>USD</v>
          </cell>
          <cell r="I201">
            <v>13.59</v>
          </cell>
          <cell r="J201" t="str">
            <v>INR</v>
          </cell>
          <cell r="K201">
            <v>1198.51</v>
          </cell>
          <cell r="L201" t="str">
            <v>Weighment  -1-15 Oct 2025</v>
          </cell>
          <cell r="M201">
            <v>1175</v>
          </cell>
          <cell r="N201">
            <v>23.509999999999991</v>
          </cell>
          <cell r="O201">
            <v>1.9616023228842473E-2</v>
          </cell>
          <cell r="Q201">
            <v>24</v>
          </cell>
        </row>
        <row r="202">
          <cell r="D202">
            <v>1800014196</v>
          </cell>
          <cell r="E202" t="str">
            <v>DR</v>
          </cell>
          <cell r="F202">
            <v>45958</v>
          </cell>
          <cell r="G202">
            <v>256779418736</v>
          </cell>
          <cell r="H202" t="str">
            <v>USD</v>
          </cell>
          <cell r="I202">
            <v>246.92</v>
          </cell>
          <cell r="J202" t="str">
            <v>INR</v>
          </cell>
          <cell r="K202">
            <v>21776.06</v>
          </cell>
          <cell r="L202" t="str">
            <v>CODC Out chgs -1-15 Oct 25</v>
          </cell>
          <cell r="M202">
            <v>21340</v>
          </cell>
          <cell r="N202">
            <v>436.06000000000131</v>
          </cell>
          <cell r="O202">
            <v>2.0024742767975532E-2</v>
          </cell>
          <cell r="Q202">
            <v>436</v>
          </cell>
        </row>
        <row r="203">
          <cell r="D203">
            <v>1800014414</v>
          </cell>
          <cell r="E203" t="str">
            <v>DR</v>
          </cell>
          <cell r="F203">
            <v>45964</v>
          </cell>
          <cell r="G203">
            <v>256779419136</v>
          </cell>
          <cell r="H203" t="str">
            <v>USD</v>
          </cell>
          <cell r="I203">
            <v>459.88</v>
          </cell>
          <cell r="J203" t="str">
            <v>INR</v>
          </cell>
          <cell r="K203">
            <v>40471</v>
          </cell>
          <cell r="L203" t="str">
            <v>Transportation In Chgs - 16 - 31 OCT 25</v>
          </cell>
          <cell r="M203">
            <v>39662</v>
          </cell>
          <cell r="N203">
            <v>809</v>
          </cell>
          <cell r="O203">
            <v>1.9989622198611352E-2</v>
          </cell>
          <cell r="Q203">
            <v>809</v>
          </cell>
        </row>
        <row r="204">
          <cell r="D204">
            <v>1800014622</v>
          </cell>
          <cell r="E204" t="str">
            <v>DR</v>
          </cell>
          <cell r="F204">
            <v>45966</v>
          </cell>
          <cell r="G204">
            <v>256779419204</v>
          </cell>
          <cell r="H204" t="str">
            <v>USD</v>
          </cell>
          <cell r="I204">
            <v>13.3</v>
          </cell>
          <cell r="J204" t="str">
            <v>INR</v>
          </cell>
          <cell r="K204">
            <v>1170.45</v>
          </cell>
          <cell r="L204" t="str">
            <v>Empty Lolo Chgs - 01 - 31 OCT 25</v>
          </cell>
          <cell r="M204">
            <v>1147</v>
          </cell>
          <cell r="N204">
            <v>23.450000000000045</v>
          </cell>
          <cell r="O204">
            <v>2.00350292622496E-2</v>
          </cell>
          <cell r="Q204">
            <v>23</v>
          </cell>
        </row>
        <row r="205">
          <cell r="D205">
            <v>1800014291</v>
          </cell>
          <cell r="E205" t="str">
            <v>DR</v>
          </cell>
          <cell r="F205">
            <v>45966</v>
          </cell>
          <cell r="G205">
            <v>256779418828</v>
          </cell>
          <cell r="H205" t="str">
            <v>USD</v>
          </cell>
          <cell r="I205">
            <v>13.53</v>
          </cell>
          <cell r="J205" t="str">
            <v>INR</v>
          </cell>
          <cell r="K205">
            <v>1190.69</v>
          </cell>
          <cell r="L205" t="str">
            <v>WEIGHTMENT-16 -31 Oct 25</v>
          </cell>
          <cell r="M205">
            <v>1167</v>
          </cell>
          <cell r="N205">
            <v>23.690000000000055</v>
          </cell>
          <cell r="O205">
            <v>1.9896026673609464E-2</v>
          </cell>
          <cell r="Q205">
            <v>24</v>
          </cell>
        </row>
        <row r="206">
          <cell r="D206">
            <v>1800014599</v>
          </cell>
          <cell r="E206" t="str">
            <v>DR</v>
          </cell>
          <cell r="F206">
            <v>45966</v>
          </cell>
          <cell r="G206">
            <v>256779419098</v>
          </cell>
          <cell r="H206" t="str">
            <v>USD</v>
          </cell>
          <cell r="I206">
            <v>35</v>
          </cell>
          <cell r="J206" t="str">
            <v>INR</v>
          </cell>
          <cell r="K206">
            <v>3080.12</v>
          </cell>
          <cell r="L206" t="str">
            <v>Scanning  Chgs - 16 - 31 Oct 25</v>
          </cell>
          <cell r="M206">
            <v>3018</v>
          </cell>
          <cell r="N206">
            <v>62.119999999999891</v>
          </cell>
          <cell r="O206">
            <v>2.0168045400828505E-2</v>
          </cell>
          <cell r="Q206">
            <v>62</v>
          </cell>
        </row>
        <row r="207">
          <cell r="D207">
            <v>1800014705</v>
          </cell>
          <cell r="E207" t="str">
            <v>DR</v>
          </cell>
          <cell r="F207">
            <v>45966</v>
          </cell>
          <cell r="G207">
            <v>256779419087</v>
          </cell>
          <cell r="H207" t="str">
            <v>USD</v>
          </cell>
          <cell r="I207">
            <v>140</v>
          </cell>
          <cell r="J207" t="str">
            <v>INR</v>
          </cell>
          <cell r="K207">
            <v>12320.47</v>
          </cell>
          <cell r="L207" t="str">
            <v>Transportation In Chgs - 16 - 31 Oct 25</v>
          </cell>
          <cell r="M207">
            <v>12074</v>
          </cell>
          <cell r="N207">
            <v>246.46999999999935</v>
          </cell>
          <cell r="O207">
            <v>2.0004918643525722E-2</v>
          </cell>
          <cell r="Q207">
            <v>246</v>
          </cell>
        </row>
        <row r="208">
          <cell r="D208">
            <v>1800014734</v>
          </cell>
          <cell r="E208" t="str">
            <v>DR</v>
          </cell>
          <cell r="F208">
            <v>45966</v>
          </cell>
          <cell r="G208">
            <v>256779419235</v>
          </cell>
          <cell r="H208" t="str">
            <v>USD</v>
          </cell>
          <cell r="I208">
            <v>146.19</v>
          </cell>
          <cell r="J208" t="str">
            <v>INR</v>
          </cell>
          <cell r="K208">
            <v>12865.22</v>
          </cell>
          <cell r="L208" t="str">
            <v>PORT SSR Chgs Oct 25</v>
          </cell>
          <cell r="M208">
            <v>12608</v>
          </cell>
          <cell r="N208">
            <v>257.21999999999935</v>
          </cell>
          <cell r="O208">
            <v>1.9993439676896263E-2</v>
          </cell>
          <cell r="Q208">
            <v>257</v>
          </cell>
        </row>
        <row r="209">
          <cell r="D209">
            <v>1600001001</v>
          </cell>
          <cell r="E209" t="str">
            <v>DG</v>
          </cell>
          <cell r="F209">
            <v>45799</v>
          </cell>
          <cell r="G209">
            <v>256779420689</v>
          </cell>
          <cell r="H209" t="str">
            <v>USD</v>
          </cell>
          <cell r="I209">
            <v>-368.88</v>
          </cell>
          <cell r="J209" t="str">
            <v>INR</v>
          </cell>
          <cell r="K209">
            <v>-31978.67</v>
          </cell>
          <cell r="L209" t="str">
            <v>Credit Note against 246779413091</v>
          </cell>
          <cell r="M209" t="e">
            <v>#N/A</v>
          </cell>
          <cell r="Q209" t="e">
            <v>#N/A</v>
          </cell>
        </row>
        <row r="210">
          <cell r="D210">
            <v>1600001002</v>
          </cell>
          <cell r="E210" t="str">
            <v>DG</v>
          </cell>
          <cell r="F210">
            <v>45799</v>
          </cell>
          <cell r="G210">
            <v>256779420690</v>
          </cell>
          <cell r="H210" t="str">
            <v>USD</v>
          </cell>
          <cell r="I210">
            <v>-190.41</v>
          </cell>
          <cell r="J210" t="str">
            <v>INR</v>
          </cell>
          <cell r="K210">
            <v>-16550.78</v>
          </cell>
          <cell r="L210" t="str">
            <v>Credit Note against 256779412933</v>
          </cell>
          <cell r="M210" t="e">
            <v>#N/A</v>
          </cell>
          <cell r="Q210" t="e">
            <v>#N/A</v>
          </cell>
        </row>
        <row r="211">
          <cell r="D211">
            <v>1800014766</v>
          </cell>
          <cell r="E211" t="str">
            <v>DR</v>
          </cell>
          <cell r="F211">
            <v>45966</v>
          </cell>
          <cell r="G211">
            <v>256779419267</v>
          </cell>
          <cell r="H211" t="str">
            <v>USD</v>
          </cell>
          <cell r="I211">
            <v>197.23</v>
          </cell>
          <cell r="J211" t="str">
            <v>INR</v>
          </cell>
          <cell r="K211">
            <v>17356.91</v>
          </cell>
          <cell r="L211" t="str">
            <v>Detention Chgs - OCT 25</v>
          </cell>
          <cell r="M211">
            <v>17010</v>
          </cell>
          <cell r="N211">
            <v>346.90999999999985</v>
          </cell>
          <cell r="O211">
            <v>1.9986852498514993E-2</v>
          </cell>
          <cell r="Q211">
            <v>347</v>
          </cell>
        </row>
        <row r="212">
          <cell r="D212">
            <v>1800014530</v>
          </cell>
          <cell r="E212" t="str">
            <v>DR</v>
          </cell>
          <cell r="F212">
            <v>45966</v>
          </cell>
          <cell r="G212">
            <v>256779419179</v>
          </cell>
          <cell r="H212" t="str">
            <v>USD</v>
          </cell>
          <cell r="I212">
            <v>322.64</v>
          </cell>
          <cell r="J212" t="str">
            <v>INR</v>
          </cell>
          <cell r="K212">
            <v>28393.41</v>
          </cell>
          <cell r="L212" t="str">
            <v>Outbound chgs - 16 - 31 Oct 25</v>
          </cell>
          <cell r="M212">
            <v>27825</v>
          </cell>
          <cell r="N212">
            <v>568.40999999999985</v>
          </cell>
          <cell r="O212">
            <v>2.0019081892594087E-2</v>
          </cell>
          <cell r="Q212">
            <v>568</v>
          </cell>
        </row>
        <row r="213">
          <cell r="D213">
            <v>1800014539</v>
          </cell>
          <cell r="E213" t="str">
            <v>DR</v>
          </cell>
          <cell r="F213">
            <v>45966</v>
          </cell>
          <cell r="G213">
            <v>256779418871</v>
          </cell>
          <cell r="H213" t="str">
            <v>USD</v>
          </cell>
          <cell r="I213">
            <v>1068.54</v>
          </cell>
          <cell r="J213" t="str">
            <v>INR</v>
          </cell>
          <cell r="K213">
            <v>94035.14</v>
          </cell>
          <cell r="L213" t="str">
            <v>Unit Storage - 1-31 Oct 2025</v>
          </cell>
          <cell r="M213">
            <v>84631</v>
          </cell>
          <cell r="N213">
            <v>9404.14</v>
          </cell>
          <cell r="O213">
            <v>0.10000665708585109</v>
          </cell>
          <cell r="Q213">
            <v>9404</v>
          </cell>
        </row>
        <row r="214">
          <cell r="D214">
            <v>1800014252</v>
          </cell>
          <cell r="E214" t="str">
            <v>DR</v>
          </cell>
          <cell r="F214">
            <v>45966</v>
          </cell>
          <cell r="G214">
            <v>256779418791</v>
          </cell>
          <cell r="H214" t="str">
            <v>USD</v>
          </cell>
          <cell r="I214">
            <v>1800</v>
          </cell>
          <cell r="J214" t="str">
            <v>INR</v>
          </cell>
          <cell r="K214">
            <v>158406.1</v>
          </cell>
          <cell r="L214" t="str">
            <v>Fixed Storage Charges for November 2025</v>
          </cell>
          <cell r="M214">
            <v>142565</v>
          </cell>
          <cell r="N214">
            <v>15841.100000000006</v>
          </cell>
          <cell r="O214">
            <v>0.10000309331521959</v>
          </cell>
          <cell r="Q214">
            <v>15841</v>
          </cell>
        </row>
        <row r="215">
          <cell r="D215">
            <v>1800003224</v>
          </cell>
          <cell r="E215" t="str">
            <v>DR</v>
          </cell>
          <cell r="F215">
            <v>45735</v>
          </cell>
          <cell r="G215">
            <v>246779413091</v>
          </cell>
          <cell r="H215" t="str">
            <v>USD</v>
          </cell>
          <cell r="I215">
            <v>368.88</v>
          </cell>
          <cell r="J215" t="str">
            <v>INR</v>
          </cell>
          <cell r="K215">
            <v>31978.67</v>
          </cell>
          <cell r="L215" t="str">
            <v>Port SSR Charges - Shifting for Aug to Dec,24.</v>
          </cell>
          <cell r="M215" t="e">
            <v>#N/A</v>
          </cell>
          <cell r="Q215" t="e">
            <v>#N/A</v>
          </cell>
        </row>
        <row r="216">
          <cell r="D216">
            <v>1800011046</v>
          </cell>
          <cell r="E216" t="str">
            <v>DR</v>
          </cell>
          <cell r="F216">
            <v>45856</v>
          </cell>
          <cell r="G216">
            <v>256779415806</v>
          </cell>
          <cell r="H216" t="str">
            <v>USD</v>
          </cell>
          <cell r="I216">
            <v>239.19</v>
          </cell>
          <cell r="J216" t="str">
            <v>INR</v>
          </cell>
          <cell r="K216">
            <v>20570.5</v>
          </cell>
          <cell r="L216" t="str">
            <v>LCL chgs - 01 - 15 JUL 25</v>
          </cell>
          <cell r="M216" t="e">
            <v>#N/A</v>
          </cell>
          <cell r="O216">
            <v>0</v>
          </cell>
          <cell r="Q216" t="e">
            <v>#N/A</v>
          </cell>
        </row>
        <row r="217">
          <cell r="D217">
            <v>1800015423</v>
          </cell>
          <cell r="E217" t="str">
            <v>DR</v>
          </cell>
          <cell r="F217">
            <v>45999</v>
          </cell>
          <cell r="G217">
            <v>256779419872</v>
          </cell>
          <cell r="H217" t="str">
            <v>USD</v>
          </cell>
          <cell r="I217">
            <v>42.73</v>
          </cell>
          <cell r="J217" t="str">
            <v>INR</v>
          </cell>
          <cell r="K217">
            <v>3790.16</v>
          </cell>
          <cell r="L217" t="str">
            <v>LCL Chgs - 16 - 30 NOV 25</v>
          </cell>
          <cell r="M217" t="e">
            <v>#N/A</v>
          </cell>
          <cell r="O217">
            <v>0</v>
          </cell>
          <cell r="Q217" t="e">
            <v>#N/A</v>
          </cell>
        </row>
        <row r="218">
          <cell r="D218">
            <v>1800009124</v>
          </cell>
          <cell r="E218" t="str">
            <v>DR</v>
          </cell>
          <cell r="F218">
            <v>45797</v>
          </cell>
          <cell r="G218">
            <v>256779413888</v>
          </cell>
          <cell r="H218" t="str">
            <v>USD</v>
          </cell>
          <cell r="I218">
            <v>29.25</v>
          </cell>
          <cell r="J218" t="str">
            <v>INR</v>
          </cell>
          <cell r="K218">
            <v>2515.02</v>
          </cell>
          <cell r="L218" t="str">
            <v>LCL Chgs - 01-15 MAY 25</v>
          </cell>
          <cell r="M218" t="e">
            <v>#N/A</v>
          </cell>
          <cell r="O218">
            <v>0</v>
          </cell>
          <cell r="Q218" t="e">
            <v>#N/A</v>
          </cell>
        </row>
        <row r="219">
          <cell r="D219">
            <v>1800005055</v>
          </cell>
          <cell r="E219" t="str">
            <v>DR</v>
          </cell>
          <cell r="F219">
            <v>45750</v>
          </cell>
          <cell r="G219">
            <v>256779410001</v>
          </cell>
          <cell r="H219" t="str">
            <v>USD</v>
          </cell>
          <cell r="I219">
            <v>450</v>
          </cell>
          <cell r="J219" t="str">
            <v>INR</v>
          </cell>
          <cell r="K219">
            <v>39114.82</v>
          </cell>
          <cell r="L219" t="str">
            <v>CY Longstanding container Ground Rent charges for</v>
          </cell>
          <cell r="M219" t="e">
            <v>#N/A</v>
          </cell>
          <cell r="O219">
            <v>0</v>
          </cell>
          <cell r="Q219" t="e">
            <v>#N/A</v>
          </cell>
        </row>
        <row r="220">
          <cell r="D220">
            <v>1800005061</v>
          </cell>
          <cell r="E220" t="str">
            <v>DR</v>
          </cell>
          <cell r="F220">
            <v>45750</v>
          </cell>
          <cell r="G220">
            <v>256779410007</v>
          </cell>
          <cell r="H220" t="str">
            <v>USD</v>
          </cell>
          <cell r="I220">
            <v>465</v>
          </cell>
          <cell r="J220" t="str">
            <v>INR</v>
          </cell>
          <cell r="K220">
            <v>40418.65</v>
          </cell>
          <cell r="L220" t="str">
            <v>CY Longstanding container Ground Rent charges for</v>
          </cell>
          <cell r="M220" t="e">
            <v>#N/A</v>
          </cell>
          <cell r="O220">
            <v>0</v>
          </cell>
          <cell r="Q220" t="e">
            <v>#N/A</v>
          </cell>
        </row>
        <row r="221">
          <cell r="D221">
            <v>1800005067</v>
          </cell>
          <cell r="E221" t="str">
            <v>DR</v>
          </cell>
          <cell r="F221">
            <v>45750</v>
          </cell>
          <cell r="G221">
            <v>256779410013</v>
          </cell>
          <cell r="H221" t="str">
            <v>USD</v>
          </cell>
          <cell r="I221">
            <v>450</v>
          </cell>
          <cell r="J221" t="str">
            <v>INR</v>
          </cell>
          <cell r="K221">
            <v>39114.82</v>
          </cell>
          <cell r="L221" t="str">
            <v>CY Longstanding container Ground Rent charges for</v>
          </cell>
          <cell r="M221" t="e">
            <v>#N/A</v>
          </cell>
          <cell r="O221">
            <v>0</v>
          </cell>
          <cell r="Q221" t="e">
            <v>#N/A</v>
          </cell>
        </row>
        <row r="222">
          <cell r="D222">
            <v>1800005327</v>
          </cell>
          <cell r="E222" t="str">
            <v>DR</v>
          </cell>
          <cell r="F222">
            <v>45750</v>
          </cell>
          <cell r="G222">
            <v>256779410219</v>
          </cell>
          <cell r="H222" t="str">
            <v>USD</v>
          </cell>
          <cell r="I222">
            <v>465</v>
          </cell>
          <cell r="J222" t="str">
            <v>INR</v>
          </cell>
          <cell r="K222">
            <v>40418.65</v>
          </cell>
          <cell r="L222" t="str">
            <v>CY Longstanding container Ground Rent charges for</v>
          </cell>
          <cell r="M222" t="e">
            <v>#N/A</v>
          </cell>
          <cell r="O222">
            <v>0</v>
          </cell>
          <cell r="Q222" t="e">
            <v>#N/A</v>
          </cell>
        </row>
        <row r="223">
          <cell r="D223">
            <v>1800005388</v>
          </cell>
          <cell r="E223" t="str">
            <v>DR</v>
          </cell>
          <cell r="F223">
            <v>45750</v>
          </cell>
          <cell r="G223">
            <v>256779410280</v>
          </cell>
          <cell r="H223" t="str">
            <v>USD</v>
          </cell>
          <cell r="I223">
            <v>1800</v>
          </cell>
          <cell r="J223" t="str">
            <v>INR</v>
          </cell>
          <cell r="K223">
            <v>156459.28</v>
          </cell>
          <cell r="L223" t="str">
            <v>Fixed Rental charges for Feb 2025</v>
          </cell>
          <cell r="M223" t="e">
            <v>#N/A</v>
          </cell>
          <cell r="O223">
            <v>0</v>
          </cell>
          <cell r="Q223" t="e">
            <v>#N/A</v>
          </cell>
        </row>
        <row r="224">
          <cell r="D224">
            <v>1800005347</v>
          </cell>
          <cell r="E224" t="str">
            <v>DR</v>
          </cell>
          <cell r="F224">
            <v>45750</v>
          </cell>
          <cell r="G224">
            <v>256779410239</v>
          </cell>
          <cell r="H224" t="str">
            <v>USD</v>
          </cell>
          <cell r="I224">
            <v>1800</v>
          </cell>
          <cell r="J224" t="str">
            <v>INR</v>
          </cell>
          <cell r="K224">
            <v>156459.28</v>
          </cell>
          <cell r="L224" t="str">
            <v>Fixed Rental charges for Jan 2025</v>
          </cell>
          <cell r="M224" t="e">
            <v>#N/A</v>
          </cell>
          <cell r="O224">
            <v>0</v>
          </cell>
          <cell r="Q224" t="e">
            <v>#N/A</v>
          </cell>
        </row>
        <row r="225">
          <cell r="D225">
            <v>1800013967</v>
          </cell>
          <cell r="E225" t="str">
            <v>DR</v>
          </cell>
          <cell r="F225">
            <v>45951</v>
          </cell>
          <cell r="G225">
            <v>256779418497</v>
          </cell>
          <cell r="H225" t="str">
            <v>USD</v>
          </cell>
          <cell r="I225">
            <v>13.59</v>
          </cell>
          <cell r="J225" t="str">
            <v>INR</v>
          </cell>
          <cell r="K225">
            <v>1198.51</v>
          </cell>
          <cell r="L225" t="str">
            <v>Weighment  -1-15 Oct 2025</v>
          </cell>
          <cell r="M225" t="e">
            <v>#N/A</v>
          </cell>
          <cell r="O225">
            <v>0</v>
          </cell>
          <cell r="Q225" t="e">
            <v>#N/A</v>
          </cell>
        </row>
        <row r="226">
          <cell r="D226">
            <v>1800014968</v>
          </cell>
          <cell r="E226" t="str">
            <v>DR</v>
          </cell>
          <cell r="F226">
            <v>45981</v>
          </cell>
          <cell r="G226">
            <v>256779419469</v>
          </cell>
          <cell r="H226" t="str">
            <v>USD</v>
          </cell>
          <cell r="I226">
            <v>2040.23</v>
          </cell>
          <cell r="J226" t="str">
            <v>INR</v>
          </cell>
          <cell r="K226">
            <v>179547.16</v>
          </cell>
          <cell r="L226" t="str">
            <v>VAS-Nov 1-15, 2025</v>
          </cell>
          <cell r="M226" t="e">
            <v>#N/A</v>
          </cell>
          <cell r="O226">
            <v>0</v>
          </cell>
          <cell r="Q226" t="e">
            <v>#N/A</v>
          </cell>
        </row>
        <row r="227">
          <cell r="D227">
            <v>1800015080</v>
          </cell>
          <cell r="E227" t="str">
            <v>DR</v>
          </cell>
          <cell r="F227">
            <v>45981</v>
          </cell>
          <cell r="G227">
            <v>256779419593</v>
          </cell>
          <cell r="H227" t="str">
            <v>USD</v>
          </cell>
          <cell r="I227">
            <v>65.05</v>
          </cell>
          <cell r="J227" t="str">
            <v>INR</v>
          </cell>
          <cell r="K227">
            <v>5724.62</v>
          </cell>
          <cell r="L227" t="str">
            <v>LCL Chgs - 01 - 15 NOV 25</v>
          </cell>
          <cell r="M227" t="e">
            <v>#N/A</v>
          </cell>
          <cell r="O227">
            <v>0</v>
          </cell>
          <cell r="Q227" t="e">
            <v>#N/A</v>
          </cell>
        </row>
        <row r="228">
          <cell r="D228">
            <v>1800015135</v>
          </cell>
          <cell r="E228" t="str">
            <v>DR</v>
          </cell>
          <cell r="F228">
            <v>45981</v>
          </cell>
          <cell r="G228">
            <v>256779419634</v>
          </cell>
          <cell r="H228" t="str">
            <v>USD</v>
          </cell>
          <cell r="I228">
            <v>42.21</v>
          </cell>
          <cell r="J228" t="str">
            <v>INR</v>
          </cell>
          <cell r="K228">
            <v>3714.62</v>
          </cell>
          <cell r="L228" t="str">
            <v>Outbound chgs - 01 - 15 Nov 25</v>
          </cell>
          <cell r="M228" t="e">
            <v>#N/A</v>
          </cell>
          <cell r="O228">
            <v>0</v>
          </cell>
          <cell r="Q228" t="e">
            <v>#N/A</v>
          </cell>
        </row>
        <row r="229">
          <cell r="D229">
            <v>1800015293</v>
          </cell>
          <cell r="E229" t="str">
            <v>DR</v>
          </cell>
          <cell r="F229">
            <v>45996</v>
          </cell>
          <cell r="G229">
            <v>256779419922</v>
          </cell>
          <cell r="H229" t="str">
            <v>USD</v>
          </cell>
          <cell r="I229">
            <v>161.41</v>
          </cell>
          <cell r="J229" t="str">
            <v>INR</v>
          </cell>
          <cell r="K229">
            <v>14317.09</v>
          </cell>
          <cell r="L229" t="str">
            <v>Outbound chgs - 16 - 30 Nov 25</v>
          </cell>
          <cell r="M229" t="e">
            <v>#N/A</v>
          </cell>
          <cell r="O229">
            <v>0</v>
          </cell>
          <cell r="Q229" t="e">
            <v>#N/A</v>
          </cell>
        </row>
        <row r="230">
          <cell r="D230">
            <v>1800008042</v>
          </cell>
          <cell r="E230" t="str">
            <v>DR</v>
          </cell>
          <cell r="F230">
            <v>45770</v>
          </cell>
          <cell r="G230">
            <v>256779412933</v>
          </cell>
          <cell r="H230" t="str">
            <v>USD</v>
          </cell>
          <cell r="I230">
            <v>190.41</v>
          </cell>
          <cell r="J230" t="str">
            <v>INR</v>
          </cell>
          <cell r="K230">
            <v>16550.78</v>
          </cell>
          <cell r="L230" t="str">
            <v>Outbound chgs - 01 - 15 Apr 25</v>
          </cell>
          <cell r="M230" t="e">
            <v>#N/A</v>
          </cell>
          <cell r="O230">
            <v>0</v>
          </cell>
          <cell r="Q230" t="e">
            <v>#N/A</v>
          </cell>
        </row>
        <row r="231">
          <cell r="D231">
            <v>1800013432</v>
          </cell>
          <cell r="E231" t="str">
            <v>DR</v>
          </cell>
          <cell r="F231">
            <v>45935</v>
          </cell>
          <cell r="G231">
            <v>256779418079</v>
          </cell>
          <cell r="H231" t="str">
            <v>USD</v>
          </cell>
          <cell r="I231">
            <v>156.08000000000001</v>
          </cell>
          <cell r="J231" t="str">
            <v>INR</v>
          </cell>
          <cell r="K231">
            <v>13764.82</v>
          </cell>
          <cell r="L231" t="str">
            <v>Outbound chgs - 16 - 30 Sep 25</v>
          </cell>
          <cell r="M231" t="e">
            <v>#N/A</v>
          </cell>
          <cell r="O231">
            <v>0</v>
          </cell>
          <cell r="Q231" t="e">
            <v>#N/A</v>
          </cell>
        </row>
        <row r="232">
          <cell r="D232">
            <v>1800015673</v>
          </cell>
          <cell r="E232" t="str">
            <v>DR</v>
          </cell>
          <cell r="F232">
            <v>46024</v>
          </cell>
          <cell r="G232">
            <v>256779440006</v>
          </cell>
          <cell r="H232" t="str">
            <v>USD</v>
          </cell>
          <cell r="I232">
            <v>871.08</v>
          </cell>
          <cell r="J232" t="str">
            <v>INR</v>
          </cell>
          <cell r="K232">
            <v>79044.53</v>
          </cell>
          <cell r="L232" t="str">
            <v>Unit Storage - 1-30 Nov 2025</v>
          </cell>
          <cell r="M232" t="e">
            <v>#N/A</v>
          </cell>
          <cell r="O232">
            <v>0</v>
          </cell>
          <cell r="Q232" t="e">
            <v>#N/A</v>
          </cell>
        </row>
        <row r="233">
          <cell r="D233">
            <v>1800015698</v>
          </cell>
          <cell r="E233" t="str">
            <v>DR</v>
          </cell>
          <cell r="F233">
            <v>46024</v>
          </cell>
          <cell r="G233">
            <v>256779440031</v>
          </cell>
          <cell r="H233" t="str">
            <v>USD</v>
          </cell>
          <cell r="I233">
            <v>1800</v>
          </cell>
          <cell r="J233" t="str">
            <v>INR</v>
          </cell>
          <cell r="K233">
            <v>163337.65</v>
          </cell>
          <cell r="L233" t="str">
            <v>Fixed Storage Charges for December 2025</v>
          </cell>
          <cell r="M233" t="e">
            <v>#N/A</v>
          </cell>
          <cell r="O233">
            <v>0</v>
          </cell>
          <cell r="Q233" t="e">
            <v>#N/A</v>
          </cell>
        </row>
        <row r="234">
          <cell r="D234">
            <v>1600002702</v>
          </cell>
          <cell r="E234" t="str">
            <v>DG</v>
          </cell>
          <cell r="F234">
            <v>46027</v>
          </cell>
          <cell r="G234">
            <v>256779422172</v>
          </cell>
          <cell r="H234" t="str">
            <v>USD</v>
          </cell>
          <cell r="I234">
            <v>-13.59</v>
          </cell>
          <cell r="J234" t="str">
            <v>INR</v>
          </cell>
          <cell r="K234">
            <v>-1233.2</v>
          </cell>
          <cell r="L234" t="str">
            <v>Credit note for Duplicate invoice -256779418497</v>
          </cell>
          <cell r="M234" t="e">
            <v>#N/A</v>
          </cell>
          <cell r="Q234" t="e">
            <v>#N/A</v>
          </cell>
        </row>
        <row r="235">
          <cell r="D235">
            <v>1800015969</v>
          </cell>
          <cell r="E235" t="str">
            <v>DR</v>
          </cell>
          <cell r="F235">
            <v>46027</v>
          </cell>
          <cell r="G235">
            <v>256779440083</v>
          </cell>
          <cell r="H235" t="str">
            <v>USD</v>
          </cell>
          <cell r="I235">
            <v>31.82</v>
          </cell>
          <cell r="J235" t="str">
            <v>INR</v>
          </cell>
          <cell r="K235">
            <v>2887.45</v>
          </cell>
          <cell r="L235" t="str">
            <v>Outbound chgs - 01 - 15 Dec 25</v>
          </cell>
          <cell r="M235" t="e">
            <v>#N/A</v>
          </cell>
          <cell r="O235">
            <v>0</v>
          </cell>
          <cell r="Q235" t="e">
            <v>#N/A</v>
          </cell>
        </row>
        <row r="236">
          <cell r="D236">
            <v>1800016056</v>
          </cell>
          <cell r="E236" t="str">
            <v>DR</v>
          </cell>
          <cell r="F236">
            <v>46027</v>
          </cell>
          <cell r="G236">
            <v>256779440103</v>
          </cell>
          <cell r="H236" t="str">
            <v>USD</v>
          </cell>
          <cell r="I236">
            <v>347.44</v>
          </cell>
          <cell r="J236" t="str">
            <v>INR</v>
          </cell>
          <cell r="K236">
            <v>31527.8</v>
          </cell>
          <cell r="L236" t="str">
            <v>VAS DEC 25 -1-15</v>
          </cell>
          <cell r="M236" t="e">
            <v>#N/A</v>
          </cell>
          <cell r="O236">
            <v>0</v>
          </cell>
          <cell r="Q236" t="e">
            <v>#N/A</v>
          </cell>
        </row>
        <row r="237">
          <cell r="D237">
            <v>1800016092</v>
          </cell>
          <cell r="E237" t="str">
            <v>DR</v>
          </cell>
          <cell r="F237">
            <v>46027</v>
          </cell>
          <cell r="G237">
            <v>256779440120</v>
          </cell>
          <cell r="H237" t="str">
            <v>USD</v>
          </cell>
          <cell r="I237">
            <v>360.71</v>
          </cell>
          <cell r="J237" t="str">
            <v>INR</v>
          </cell>
          <cell r="K237">
            <v>32731.96</v>
          </cell>
          <cell r="L237" t="str">
            <v>LCL Chgs - 01 - 15 DEC 25</v>
          </cell>
          <cell r="M237" t="e">
            <v>#N/A</v>
          </cell>
          <cell r="O237">
            <v>0</v>
          </cell>
          <cell r="Q237" t="e">
            <v>#N/A</v>
          </cell>
        </row>
        <row r="238">
          <cell r="D238">
            <v>1400002412</v>
          </cell>
          <cell r="E238" t="str">
            <v>DZ</v>
          </cell>
          <cell r="F238">
            <v>46030</v>
          </cell>
          <cell r="G238" t="str">
            <v/>
          </cell>
          <cell r="H238" t="str">
            <v>INR</v>
          </cell>
          <cell r="I238">
            <v>-200000</v>
          </cell>
          <cell r="J238" t="str">
            <v>INR</v>
          </cell>
          <cell r="K238">
            <v>-200000</v>
          </cell>
          <cell r="L238" t="str">
            <v/>
          </cell>
          <cell r="M238" t="e">
            <v>#N/A</v>
          </cell>
        </row>
        <row r="239">
          <cell r="D239">
            <v>1400002418</v>
          </cell>
          <cell r="E239" t="str">
            <v>DZ</v>
          </cell>
          <cell r="F239">
            <v>46031</v>
          </cell>
          <cell r="G239" t="str">
            <v/>
          </cell>
          <cell r="H239" t="str">
            <v>INR</v>
          </cell>
          <cell r="I239">
            <v>-100000</v>
          </cell>
          <cell r="J239" t="str">
            <v>INR</v>
          </cell>
          <cell r="K239">
            <v>-100000</v>
          </cell>
          <cell r="L239" t="str">
            <v/>
          </cell>
          <cell r="M239" t="e">
            <v>#N/A</v>
          </cell>
        </row>
        <row r="240">
          <cell r="D240">
            <v>1800016286</v>
          </cell>
          <cell r="E240" t="str">
            <v>DR</v>
          </cell>
          <cell r="F240">
            <v>46028</v>
          </cell>
          <cell r="G240">
            <v>256779440163</v>
          </cell>
          <cell r="H240" t="str">
            <v>USD</v>
          </cell>
          <cell r="I240">
            <v>55.03</v>
          </cell>
          <cell r="J240" t="str">
            <v>INR</v>
          </cell>
          <cell r="K240">
            <v>4993.59</v>
          </cell>
          <cell r="L240" t="str">
            <v>PORT SSR Chgs Dec 25</v>
          </cell>
          <cell r="M240" t="e">
            <v>#N/A</v>
          </cell>
          <cell r="O240">
            <v>0</v>
          </cell>
          <cell r="Q240" t="e">
            <v>#N/A</v>
          </cell>
        </row>
        <row r="241">
          <cell r="D241">
            <v>1800016506</v>
          </cell>
          <cell r="E241" t="str">
            <v>DR</v>
          </cell>
          <cell r="F241">
            <v>46028</v>
          </cell>
          <cell r="G241">
            <v>256779440212</v>
          </cell>
          <cell r="H241" t="str">
            <v>USD</v>
          </cell>
          <cell r="I241">
            <v>16.75</v>
          </cell>
          <cell r="J241" t="str">
            <v>INR</v>
          </cell>
          <cell r="K241">
            <v>1519.95</v>
          </cell>
          <cell r="L241" t="str">
            <v>LCL Chgs - 16 - 31 DEC 25</v>
          </cell>
          <cell r="M241" t="e">
            <v>#N/A</v>
          </cell>
          <cell r="O241">
            <v>0</v>
          </cell>
          <cell r="Q241" t="e">
            <v>#N/A</v>
          </cell>
        </row>
        <row r="242">
          <cell r="D242">
            <v>1800016424</v>
          </cell>
          <cell r="E242" t="str">
            <v>DR</v>
          </cell>
          <cell r="F242">
            <v>46034</v>
          </cell>
          <cell r="G242">
            <v>256779440231</v>
          </cell>
          <cell r="H242" t="str">
            <v>USD</v>
          </cell>
          <cell r="I242">
            <v>45.04</v>
          </cell>
          <cell r="J242" t="str">
            <v>INR</v>
          </cell>
          <cell r="K242">
            <v>4087.07</v>
          </cell>
          <cell r="L242" t="str">
            <v>Outbound chgs - 16 - 31 Dec 25</v>
          </cell>
          <cell r="M242" t="e">
            <v>#N/A</v>
          </cell>
          <cell r="O242">
            <v>0</v>
          </cell>
          <cell r="Q242" t="e">
            <v>#N/A</v>
          </cell>
        </row>
        <row r="243">
          <cell r="D243">
            <v>1800016347</v>
          </cell>
          <cell r="E243" t="str">
            <v>DR</v>
          </cell>
          <cell r="F243">
            <v>46028</v>
          </cell>
          <cell r="G243">
            <v>256779440237</v>
          </cell>
          <cell r="H243" t="str">
            <v>USD</v>
          </cell>
          <cell r="I243">
            <v>730.62</v>
          </cell>
          <cell r="J243" t="str">
            <v>INR</v>
          </cell>
          <cell r="K243">
            <v>66298.75</v>
          </cell>
          <cell r="L243" t="str">
            <v>Unit Storage - 1-31 DEC 2025</v>
          </cell>
          <cell r="M243" t="e">
            <v>#N/A</v>
          </cell>
          <cell r="O243">
            <v>0</v>
          </cell>
          <cell r="Q243" t="e">
            <v>#N/A</v>
          </cell>
        </row>
        <row r="244">
          <cell r="D244">
            <v>1800016700</v>
          </cell>
          <cell r="E244" t="str">
            <v>DR</v>
          </cell>
          <cell r="F244">
            <v>46034</v>
          </cell>
          <cell r="G244">
            <v>256779440289</v>
          </cell>
          <cell r="H244" t="str">
            <v>USD</v>
          </cell>
          <cell r="I244">
            <v>126.24</v>
          </cell>
          <cell r="J244" t="str">
            <v>INR</v>
          </cell>
          <cell r="K244">
            <v>11455.41</v>
          </cell>
          <cell r="L244" t="str">
            <v>VAS-Dec 25 - 16-31</v>
          </cell>
          <cell r="M244" t="e">
            <v>#N/A</v>
          </cell>
          <cell r="O244">
            <v>0</v>
          </cell>
          <cell r="Q244" t="e">
            <v>#N/A</v>
          </cell>
        </row>
        <row r="245">
          <cell r="D245">
            <v>1800016613</v>
          </cell>
          <cell r="E245" t="str">
            <v>DR</v>
          </cell>
          <cell r="F245">
            <v>46028</v>
          </cell>
          <cell r="G245">
            <v>256779440322</v>
          </cell>
          <cell r="H245" t="str">
            <v>USD</v>
          </cell>
          <cell r="I245">
            <v>1800</v>
          </cell>
          <cell r="J245" t="str">
            <v>INR</v>
          </cell>
          <cell r="K245">
            <v>163337.65</v>
          </cell>
          <cell r="L245" t="str">
            <v>Fixed Storage Charges for January 2026</v>
          </cell>
          <cell r="M245" t="e">
            <v>#N/A</v>
          </cell>
          <cell r="O245">
            <v>0</v>
          </cell>
          <cell r="Q245" t="e">
            <v>#N/A</v>
          </cell>
        </row>
        <row r="246">
          <cell r="D246">
            <v>1800016780</v>
          </cell>
          <cell r="E246" t="str">
            <v>DR</v>
          </cell>
          <cell r="F246">
            <v>46035</v>
          </cell>
          <cell r="G246">
            <v>256779440367</v>
          </cell>
          <cell r="H246" t="str">
            <v>USD</v>
          </cell>
          <cell r="I246">
            <v>696.85</v>
          </cell>
          <cell r="J246" t="str">
            <v>INR</v>
          </cell>
          <cell r="K246">
            <v>63234.36</v>
          </cell>
          <cell r="L246" t="str">
            <v>VAS - NOV 25,16-30</v>
          </cell>
          <cell r="M246" t="e">
            <v>#N/A</v>
          </cell>
          <cell r="O246">
            <v>0</v>
          </cell>
          <cell r="Q246" t="e">
            <v>#N/A</v>
          </cell>
        </row>
        <row r="247">
          <cell r="D247">
            <v>1400002489</v>
          </cell>
          <cell r="E247" t="str">
            <v>DZ</v>
          </cell>
          <cell r="F247">
            <v>46041</v>
          </cell>
          <cell r="G247" t="str">
            <v/>
          </cell>
          <cell r="H247" t="str">
            <v>INR</v>
          </cell>
          <cell r="I247">
            <v>-150000</v>
          </cell>
          <cell r="J247" t="str">
            <v>INR</v>
          </cell>
          <cell r="K247">
            <v>-150000</v>
          </cell>
          <cell r="L247" t="str">
            <v/>
          </cell>
          <cell r="M247" t="e">
            <v>#N/A</v>
          </cell>
        </row>
        <row r="248">
          <cell r="D248">
            <v>1400002521</v>
          </cell>
          <cell r="E248" t="str">
            <v>DZ</v>
          </cell>
          <cell r="F248">
            <v>46045</v>
          </cell>
          <cell r="G248" t="str">
            <v/>
          </cell>
          <cell r="H248" t="str">
            <v>INR</v>
          </cell>
          <cell r="I248">
            <v>-150000</v>
          </cell>
          <cell r="J248" t="str">
            <v>INR</v>
          </cell>
          <cell r="K248">
            <v>-150000</v>
          </cell>
          <cell r="L248" t="str">
            <v/>
          </cell>
          <cell r="M248" t="e">
            <v>#N/A</v>
          </cell>
        </row>
        <row r="249">
          <cell r="D249">
            <v>1800017067</v>
          </cell>
          <cell r="E249" t="str">
            <v>DR</v>
          </cell>
          <cell r="F249">
            <v>46045</v>
          </cell>
          <cell r="G249">
            <v>256779440415</v>
          </cell>
          <cell r="H249" t="str">
            <v>USD</v>
          </cell>
          <cell r="I249">
            <v>16.75</v>
          </cell>
          <cell r="J249" t="str">
            <v>INR</v>
          </cell>
          <cell r="K249">
            <v>1519.95</v>
          </cell>
          <cell r="L249" t="str">
            <v>LCL Chgs - 01 - 15 JAN 26</v>
          </cell>
          <cell r="M249" t="e">
            <v>#N/A</v>
          </cell>
          <cell r="O249">
            <v>0</v>
          </cell>
          <cell r="Q249" t="e">
            <v>#N/A</v>
          </cell>
        </row>
        <row r="250">
          <cell r="D250">
            <v>1800017113</v>
          </cell>
          <cell r="E250" t="str">
            <v>DR</v>
          </cell>
          <cell r="F250">
            <v>46045</v>
          </cell>
          <cell r="G250">
            <v>256779440432</v>
          </cell>
          <cell r="H250" t="str">
            <v>USD</v>
          </cell>
          <cell r="I250">
            <v>3.5</v>
          </cell>
          <cell r="J250" t="str">
            <v>INR</v>
          </cell>
          <cell r="K250">
            <v>317.60000000000002</v>
          </cell>
          <cell r="L250" t="str">
            <v>Outbound chgs - 01 - 15 JAN 26</v>
          </cell>
          <cell r="M250" t="e">
            <v>#N/A</v>
          </cell>
          <cell r="O250">
            <v>0</v>
          </cell>
          <cell r="Q250" t="e">
            <v>#N/A</v>
          </cell>
        </row>
        <row r="251">
          <cell r="D251">
            <v>1800017154</v>
          </cell>
          <cell r="E251" t="str">
            <v>DR</v>
          </cell>
          <cell r="F251">
            <v>46049</v>
          </cell>
          <cell r="G251">
            <v>256779440447</v>
          </cell>
          <cell r="H251" t="str">
            <v>USD</v>
          </cell>
          <cell r="I251">
            <v>176.58</v>
          </cell>
          <cell r="J251" t="str">
            <v>INR</v>
          </cell>
          <cell r="K251">
            <v>16023.42</v>
          </cell>
          <cell r="L251" t="str">
            <v>VAS-1-15 Jan 2026</v>
          </cell>
          <cell r="M251" t="e">
            <v>#N/A</v>
          </cell>
          <cell r="O251">
            <v>0</v>
          </cell>
          <cell r="Q251" t="e">
            <v>#N/A</v>
          </cell>
        </row>
        <row r="255">
          <cell r="D255" t="str">
            <v/>
          </cell>
          <cell r="E255" t="str">
            <v/>
          </cell>
          <cell r="G255" t="str">
            <v/>
          </cell>
          <cell r="H255" t="str">
            <v>INR</v>
          </cell>
          <cell r="I255">
            <v>-4960099.37</v>
          </cell>
          <cell r="J255" t="str">
            <v>INR</v>
          </cell>
          <cell r="K255">
            <v>2247562.39</v>
          </cell>
          <cell r="L255" t="str">
            <v/>
          </cell>
        </row>
        <row r="256">
          <cell r="D256" t="str">
            <v/>
          </cell>
          <cell r="E256" t="str">
            <v/>
          </cell>
          <cell r="G256" t="str">
            <v/>
          </cell>
          <cell r="H256" t="str">
            <v>USD</v>
          </cell>
          <cell r="I256">
            <v>82782.03</v>
          </cell>
          <cell r="J256" t="str">
            <v/>
          </cell>
          <cell r="L256" t="str">
            <v/>
          </cell>
        </row>
        <row r="257">
          <cell r="D257" t="str">
            <v/>
          </cell>
          <cell r="E257" t="str">
            <v/>
          </cell>
          <cell r="G257" t="str">
            <v/>
          </cell>
          <cell r="H257" t="str">
            <v>INR</v>
          </cell>
          <cell r="I257">
            <v>-4960099.37</v>
          </cell>
          <cell r="J257" t="str">
            <v>INR</v>
          </cell>
          <cell r="K257">
            <v>2247562.39</v>
          </cell>
          <cell r="L257" t="str">
            <v/>
          </cell>
        </row>
        <row r="258">
          <cell r="D258" t="str">
            <v/>
          </cell>
          <cell r="E258" t="str">
            <v/>
          </cell>
          <cell r="G258" t="str">
            <v/>
          </cell>
          <cell r="H258" t="str">
            <v>USD</v>
          </cell>
          <cell r="I258">
            <v>82782.03</v>
          </cell>
          <cell r="J258" t="str">
            <v/>
          </cell>
          <cell r="L258" t="str">
            <v/>
          </cell>
        </row>
        <row r="260">
          <cell r="D260">
            <v>1400002594</v>
          </cell>
          <cell r="E260" t="str">
            <v>DZ</v>
          </cell>
          <cell r="F260">
            <v>46055</v>
          </cell>
          <cell r="G260" t="str">
            <v>2168964</v>
          </cell>
          <cell r="H260" t="str">
            <v>INR</v>
          </cell>
          <cell r="I260">
            <v>-200000</v>
          </cell>
          <cell r="J260" t="str">
            <v>INR</v>
          </cell>
          <cell r="K260">
            <v>-200000</v>
          </cell>
          <cell r="L260" t="str">
            <v/>
          </cell>
          <cell r="M260" t="e">
            <v>#N/A</v>
          </cell>
        </row>
        <row r="261">
          <cell r="D261">
            <v>1400002602</v>
          </cell>
          <cell r="E261" t="str">
            <v>DZ</v>
          </cell>
          <cell r="F261">
            <v>46055</v>
          </cell>
          <cell r="G261" t="str">
            <v>2168967</v>
          </cell>
          <cell r="H261" t="str">
            <v>INR</v>
          </cell>
          <cell r="I261">
            <v>-200000</v>
          </cell>
          <cell r="J261" t="str">
            <v>INR</v>
          </cell>
          <cell r="K261">
            <v>-200000</v>
          </cell>
          <cell r="L261" t="str">
            <v/>
          </cell>
          <cell r="M261" t="e">
            <v>#N/A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an.vakharia" refreshedDate="46105.541360648145" createdVersion="7" refreshedVersion="7" minRefreshableVersion="3" recordCount="263" xr:uid="{EFDE2CB3-1A45-4A55-BF98-9B3F333C5E53}">
  <cacheSource type="worksheet">
    <worksheetSource ref="A1:S264" sheet="Sheet9"/>
  </cacheSource>
  <cacheFields count="19">
    <cacheField name="Company Code" numFmtId="0">
      <sharedItems containsBlank="1"/>
    </cacheField>
    <cacheField name="Customer" numFmtId="0">
      <sharedItems containsBlank="1"/>
    </cacheField>
    <cacheField name="Customer Account: Name 1" numFmtId="0">
      <sharedItems containsBlank="1"/>
    </cacheField>
    <cacheField name="Posting Date" numFmtId="0">
      <sharedItems containsDate="1" containsBlank="1" containsMixedTypes="1" minDate="2025-02-20T00:00:00" maxDate="2026-01-24T00:00:00"/>
    </cacheField>
    <cacheField name="Document Number" numFmtId="0">
      <sharedItems containsBlank="1" containsMixedTypes="1" containsNumber="1" containsInteger="1" minValue="1400000077" maxValue="1800012690" count="161">
        <n v="1400000077"/>
        <n v="1800000110"/>
        <n v="1800000372"/>
        <n v="1800000429"/>
        <m/>
        <s v="Document Number"/>
        <n v="1400000116"/>
        <n v="1800000179"/>
        <n v="1800000222"/>
        <n v="1800000265"/>
        <n v="1800000308"/>
        <n v="1400000887"/>
        <n v="1800000080"/>
        <n v="1800000388"/>
        <n v="1800000376"/>
        <n v="1800000382"/>
        <n v="1800000453"/>
        <n v="1800000922"/>
        <n v="1800000945"/>
        <n v="1400000922"/>
        <n v="1800001470"/>
        <n v="1800001793"/>
        <n v="1800001590"/>
        <n v="1800001962"/>
        <n v="1800001960"/>
        <n v="1800001961"/>
        <n v="1800002403"/>
        <n v="1800001959"/>
        <n v="1800003353"/>
        <n v="1800003132"/>
        <n v="1800004362"/>
        <n v="1800004038"/>
        <n v="1800004055"/>
        <n v="1800004045"/>
        <n v="1800004037"/>
        <n v="1800004873"/>
        <n v="1800005034"/>
        <n v="1800004605"/>
        <n v="1800005033"/>
        <n v="1800004742"/>
        <n v="1800004361"/>
        <n v="1800004820"/>
        <n v="1800004534"/>
        <n v="1800004282"/>
        <n v="1800004283"/>
        <n v="1800004535"/>
        <n v="1800004057"/>
        <n v="1800004604"/>
        <n v="1800004198"/>
        <n v="1800005031"/>
        <n v="1800005028"/>
        <n v="1800005029"/>
        <n v="1800004821"/>
        <n v="1800005032"/>
        <n v="1800004606"/>
        <n v="1400000941"/>
        <n v="1800005027"/>
        <n v="1800004822"/>
        <n v="1800005030"/>
        <n v="1800004872"/>
        <n v="1800004028"/>
        <n v="1800004194"/>
        <n v="1800004192"/>
        <n v="1800004193"/>
        <n v="1800004197"/>
        <n v="1800004196"/>
        <n v="1400000955"/>
        <n v="1800004195"/>
        <n v="1800003941"/>
        <n v="1800003930"/>
        <n v="1800004451"/>
        <n v="1800004453"/>
        <n v="1800004452"/>
        <n v="1800005194"/>
        <n v="1800005193"/>
        <n v="1800005142"/>
        <n v="1800005143"/>
        <n v="1800005896"/>
        <n v="1400000966"/>
        <n v="1800005913"/>
        <n v="1400001257"/>
        <n v="1400001259"/>
        <n v="1800006278"/>
        <n v="1800006277"/>
        <n v="1800006276"/>
        <n v="1800006279"/>
        <n v="1800006923"/>
        <n v="1800007004"/>
        <n v="1800006922"/>
        <n v="1800007003"/>
        <n v="1800007214"/>
        <n v="1800006924"/>
        <n v="1800007133"/>
        <n v="1400001341"/>
        <n v="1800006833"/>
        <n v="1800007220"/>
        <n v="1800007269"/>
        <n v="1800007770"/>
        <n v="1800007676"/>
        <n v="1800007727"/>
        <n v="1800008001"/>
        <n v="1800007888"/>
        <n v="1800008362"/>
        <n v="1800008303"/>
        <n v="1800008231"/>
        <n v="1400001345"/>
        <n v="1800008552"/>
        <n v="1400001406"/>
        <n v="1800008727"/>
        <n v="1800009127"/>
        <n v="1400001615"/>
        <n v="1800009234"/>
        <n v="1800009158"/>
        <n v="1800009500"/>
        <n v="1400001658"/>
        <n v="1800009457"/>
        <n v="1800009412"/>
        <n v="1800009556"/>
        <n v="1800009468"/>
        <n v="1400001934"/>
        <n v="1800009610"/>
        <n v="1400002027"/>
        <n v="1800009578"/>
        <n v="1400002099"/>
        <n v="1800009972"/>
        <n v="1800009980"/>
        <n v="1800010070"/>
        <n v="1800010121"/>
        <n v="1800010005"/>
        <n v="1800010505"/>
        <n v="1800010260"/>
        <n v="1400002218"/>
        <n v="1800010039"/>
        <n v="1800010428"/>
        <n v="1400002412"/>
        <n v="1800010172"/>
        <n v="1800010742"/>
        <n v="1800010661"/>
        <n v="1800010674"/>
        <n v="1400002418"/>
        <n v="1800010772"/>
        <n v="1800010942"/>
        <n v="1800010702"/>
        <n v="1800011194"/>
        <n v="1800011268"/>
        <n v="1800011236"/>
        <n v="1800011334"/>
        <n v="1400002489"/>
        <n v="1800011605"/>
        <n v="1800011711"/>
        <n v="1800011834"/>
        <n v="1800011866"/>
        <n v="1800011792"/>
        <n v="1400002521"/>
        <n v="1800011597"/>
        <n v="1800011650"/>
        <n v="1800012252"/>
        <n v="1800012221"/>
        <n v="1800012690"/>
        <n v="1800012463"/>
        <n v="1800012589"/>
      </sharedItems>
    </cacheField>
    <cacheField name="Document Type" numFmtId="0">
      <sharedItems containsBlank="1"/>
    </cacheField>
    <cacheField name="Document Date" numFmtId="0">
      <sharedItems containsDate="1" containsBlank="1" containsMixedTypes="1" minDate="2025-02-20T00:00:00" maxDate="2026-01-24T00:00:00"/>
    </cacheField>
    <cacheField name="Entry Date" numFmtId="0">
      <sharedItems containsDate="1" containsBlank="1" containsMixedTypes="1" minDate="2025-02-20T00:00:00" maxDate="2026-01-24T00:00:00"/>
    </cacheField>
    <cacheField name="Document Header Text" numFmtId="0">
      <sharedItems containsBlank="1"/>
    </cacheField>
    <cacheField name="G/L Account" numFmtId="0">
      <sharedItems containsBlank="1"/>
    </cacheField>
    <cacheField name="Profit Center" numFmtId="0">
      <sharedItems containsBlank="1"/>
    </cacheField>
    <cacheField name="Reference" numFmtId="0">
      <sharedItems containsBlank="1" containsMixedTypes="1" containsNumber="1" containsInteger="1" minValue="246779410038" maxValue="256779417330"/>
    </cacheField>
    <cacheField name="Document Currency Key" numFmtId="0">
      <sharedItems containsBlank="1"/>
    </cacheField>
    <cacheField name="Document Currency Value" numFmtId="0">
      <sharedItems containsBlank="1" containsMixedTypes="1" containsNumber="1" minValue="0" maxValue="9808.02"/>
    </cacheField>
    <cacheField name="Company Code Currency Key" numFmtId="0">
      <sharedItems containsBlank="1"/>
    </cacheField>
    <cacheField name="Company Code Currency Value" numFmtId="0">
      <sharedItems containsBlank="1" containsMixedTypes="1" containsNumber="1" minValue="-700000" maxValue="199955.13"/>
    </cacheField>
    <cacheField name="TDS" numFmtId="0">
      <sharedItems containsBlank="1" containsMixedTypes="1" containsNumber="1" minValue="1.3469387755102042" maxValue="20087" count="128">
        <m/>
        <n v="15606"/>
        <n v="3933"/>
        <n v="16543"/>
        <s v="TDS"/>
        <n v="8737.8888888888887"/>
        <n v="6868"/>
        <n v="4243.1111111111113"/>
        <n v="11362.777777777779"/>
        <n v="4064"/>
        <n v="16863"/>
        <n v="20087"/>
        <n v="17404.333333333336"/>
        <n v="3414.2222222222222"/>
        <n v="61"/>
        <n v="134"/>
        <n v="107"/>
        <n v="121"/>
        <n v="124"/>
        <n v="212"/>
        <n v="426"/>
        <n v="45"/>
        <n v="1610"/>
        <n v="2"/>
        <n v="3"/>
        <n v="6"/>
        <n v="11"/>
        <n v="12"/>
        <n v="16"/>
        <n v="17"/>
        <n v="18"/>
        <n v="21"/>
        <n v="26"/>
        <n v="31"/>
        <n v="36"/>
        <n v="89"/>
        <n v="74"/>
        <n v="82"/>
        <n v="88"/>
        <n v="75.122448979591837"/>
        <n v="28.428571428571431"/>
        <n v="104"/>
        <n v="163"/>
        <n v="192"/>
        <n v="222"/>
        <n v="434"/>
        <n v="471"/>
        <n v="479"/>
        <n v="386.08163265306126"/>
        <n v="223.57142857142858"/>
        <n v="957"/>
        <n v="3625"/>
        <n v="4013"/>
        <n v="23"/>
        <n v="52"/>
        <n v="66"/>
        <n v="9"/>
        <n v="51"/>
        <n v="1461.4444444444443"/>
        <n v="10424.888888888891"/>
        <n v="6241.7777777777774"/>
        <n v="11111.111111111111"/>
        <n v="4744.5555555555557"/>
        <n v="86"/>
        <n v="118"/>
        <n v="206"/>
        <n v="22"/>
        <n v="590.14285714285722"/>
        <n v="258.16326530612247"/>
        <n v="1078"/>
        <n v="9272"/>
        <n v="1617"/>
        <n v="75"/>
        <n v="329"/>
        <n v="15597"/>
        <n v="677"/>
        <n v="3869"/>
        <n v="6262.2222222222226"/>
        <n v="9214.8888888888887"/>
        <n v="348.28571428571428"/>
        <n v="590.65306122448976"/>
        <n v="153"/>
        <n v="7064.4444444444443"/>
        <n v="5848.5555555555557"/>
        <n v="325"/>
        <n v="631"/>
        <n v="10.653061224489795"/>
        <n v="1.3469387755102042"/>
        <n v="79.380000000000109"/>
        <n v="220.80999999999949"/>
        <n v="1044.6399999999994"/>
        <n v="3778.5555555555557"/>
        <n v="6825.7777777777783"/>
        <n v="4285.3333333333339"/>
        <n v="11103"/>
        <n v="8.1111111111111125"/>
        <n v="3960.2222222222222"/>
        <n v="189"/>
        <n v="496"/>
        <n v="90"/>
        <n v="115"/>
        <n v="283"/>
        <n v="114.08163265306122"/>
        <n v="187.59183673469391"/>
        <n v="548"/>
        <n v="7106"/>
        <n v="5976.2222222222226"/>
        <n v="15480"/>
        <n v="5"/>
        <n v="91.061224489795919"/>
        <n v="35.775510204081634"/>
        <n v="191"/>
        <n v="344"/>
        <n v="411"/>
        <n v="50"/>
        <n v="259"/>
        <n v="3999"/>
        <n v="80.666666666666671"/>
        <n v="15404.777777777779"/>
        <n v="24"/>
        <n v="39"/>
        <n v="97"/>
        <n v="27.020408163265305"/>
        <n v="149.04081632653063"/>
        <n v="617"/>
        <n v="10904"/>
        <n v="131"/>
        <n v="21.020408163265305"/>
      </sharedItems>
    </cacheField>
    <cacheField name="Total " numFmtId="0">
      <sharedItems containsBlank="1" containsMixedTypes="1" containsNumber="1" minValue="-700000" maxValue="179868.13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s v="6779"/>
    <m/>
    <s v="SRIKARAM PRESCIENCE PVT. LTD."/>
    <d v="2025-07-01T00:00:00"/>
    <x v="0"/>
    <s v="DZ"/>
    <d v="2025-06-24T00:00:00"/>
    <d v="2025-06-24T00:00:00"/>
    <m/>
    <s v="212100"/>
    <m/>
    <s v=""/>
    <m/>
    <m/>
    <s v="INR"/>
    <n v="-324702"/>
    <x v="0"/>
    <n v="-324702"/>
    <s v="Payment "/>
  </r>
  <r>
    <s v="6779"/>
    <m/>
    <s v="SRIKARAM PRESCIENCE PVT. LTD."/>
    <d v="2025-02-20T00:00:00"/>
    <x v="1"/>
    <s v="DR"/>
    <d v="2025-02-20T00:00:00"/>
    <d v="2025-02-20T00:00:00"/>
    <m/>
    <s v="212100"/>
    <m/>
    <n v="246779410038"/>
    <s v="USD"/>
    <n v="1800"/>
    <s v="INR"/>
    <n v="155346.59"/>
    <x v="1"/>
    <n v="139740.59"/>
    <s v="Invoice"/>
  </r>
  <r>
    <s v="6779"/>
    <m/>
    <s v="SRIKARAM PRESCIENCE PVT. LTD."/>
    <d v="2025-02-28T00:00:00"/>
    <x v="2"/>
    <s v="DR"/>
    <d v="2025-02-28T00:00:00"/>
    <d v="2025-02-28T00:00:00"/>
    <m/>
    <s v="212100"/>
    <m/>
    <n v="246779410341"/>
    <s v="USD"/>
    <n v="450"/>
    <s v="INR"/>
    <n v="38836.65"/>
    <x v="2"/>
    <n v="34903.65"/>
    <s v="Invoice"/>
  </r>
  <r>
    <s v="6779"/>
    <m/>
    <s v="SRIKARAM PRESCIENCE PVT. LTD."/>
    <d v="2025-03-03T00:00:00"/>
    <x v="3"/>
    <s v="DR"/>
    <d v="2025-03-03T00:00:00"/>
    <d v="2025-03-03T00:00:00"/>
    <m/>
    <s v="212100"/>
    <m/>
    <n v="246779410391"/>
    <s v="USD"/>
    <n v="1894.32"/>
    <s v="INR"/>
    <n v="164220.99"/>
    <x v="3"/>
    <n v="147677.99"/>
    <s v="Invoice"/>
  </r>
  <r>
    <m/>
    <m/>
    <m/>
    <m/>
    <x v="4"/>
    <m/>
    <m/>
    <m/>
    <m/>
    <m/>
    <m/>
    <s v="Total "/>
    <s v="USD"/>
    <n v="4144.32"/>
    <m/>
    <m/>
    <x v="0"/>
    <n v="-2379.7700000000186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7-01T00:00:00"/>
    <x v="6"/>
    <s v="DZ"/>
    <d v="2025-06-24T00:00:00"/>
    <d v="2025-06-24T00:00:00"/>
    <m/>
    <s v="212100"/>
    <m/>
    <s v=""/>
    <m/>
    <m/>
    <s v="INR"/>
    <n v="-500000"/>
    <x v="0"/>
    <n v="-500000"/>
    <s v="Payment "/>
  </r>
  <r>
    <s v="6779"/>
    <m/>
    <s v="SRIKARAM PRESCIENCE PVT. LTD."/>
    <d v="2025-02-20T00:00:00"/>
    <x v="7"/>
    <s v="DR"/>
    <d v="2025-02-20T00:00:00"/>
    <d v="2025-02-20T00:00:00"/>
    <m/>
    <s v="212100"/>
    <m/>
    <n v="246779410106"/>
    <s v="USD"/>
    <n v="1800"/>
    <s v="INR"/>
    <n v="155346.59"/>
    <x v="1"/>
    <n v="139740.59"/>
    <s v="Invoice"/>
  </r>
  <r>
    <s v="6779"/>
    <m/>
    <s v="SRIKARAM PRESCIENCE PVT. LTD."/>
    <d v="2025-02-20T00:00:00"/>
    <x v="8"/>
    <s v="DR"/>
    <d v="2025-02-20T00:00:00"/>
    <d v="2025-02-20T00:00:00"/>
    <m/>
    <s v="212100"/>
    <m/>
    <n v="246779410149"/>
    <s v="USD"/>
    <n v="1800"/>
    <s v="INR"/>
    <n v="155346.59"/>
    <x v="1"/>
    <n v="139740.59"/>
    <s v="Invoice"/>
  </r>
  <r>
    <s v="6779"/>
    <m/>
    <s v="SRIKARAM PRESCIENCE PVT. LTD."/>
    <d v="2025-02-20T00:00:00"/>
    <x v="9"/>
    <s v="DR"/>
    <d v="2025-02-20T00:00:00"/>
    <d v="2025-02-20T00:00:00"/>
    <m/>
    <s v="212100"/>
    <m/>
    <n v="246779410192"/>
    <s v="USD"/>
    <n v="1800"/>
    <s v="INR"/>
    <n v="155346.59"/>
    <x v="1"/>
    <n v="139740.59"/>
    <s v="Invoice"/>
  </r>
  <r>
    <s v="6779"/>
    <m/>
    <s v="SRIKARAM PRESCIENCE PVT. LTD."/>
    <d v="2025-02-20T00:00:00"/>
    <x v="10"/>
    <s v="DR"/>
    <d v="2025-02-20T00:00:00"/>
    <d v="2025-02-20T00:00:00"/>
    <m/>
    <s v="212100"/>
    <m/>
    <n v="246779410235"/>
    <s v="USD"/>
    <n v="1800"/>
    <s v="INR"/>
    <n v="87378.888888888891"/>
    <x v="5"/>
    <n v="78641"/>
    <s v="Invoice"/>
  </r>
  <r>
    <m/>
    <m/>
    <m/>
    <m/>
    <x v="4"/>
    <m/>
    <m/>
    <m/>
    <m/>
    <m/>
    <m/>
    <s v="Total "/>
    <s v="USD"/>
    <n v="7200"/>
    <m/>
    <m/>
    <x v="0"/>
    <n v="-2137.2300000000396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8-21T00:00:00"/>
    <x v="11"/>
    <s v="DZ"/>
    <d v="2025-08-21T00:00:00"/>
    <d v="2025-08-21T00:00:00"/>
    <m/>
    <s v="212100"/>
    <m/>
    <s v=""/>
    <m/>
    <m/>
    <s v="INR"/>
    <n v="-100000"/>
    <x v="0"/>
    <n v="-100000"/>
    <s v="Payment "/>
  </r>
  <r>
    <s v="6779"/>
    <m/>
    <s v="SRIKARAM PRESCIENCE PVT. LTD."/>
    <d v="2025-02-20T00:00:00"/>
    <x v="10"/>
    <s v="DR"/>
    <d v="2025-02-20T00:00:00"/>
    <d v="2025-02-20T00:00:00"/>
    <m/>
    <s v="212100"/>
    <m/>
    <n v="246779410235"/>
    <s v="USD"/>
    <n v="1800"/>
    <s v="INR"/>
    <n v="67967.701111111106"/>
    <x v="6"/>
    <n v="61099.701111111106"/>
    <s v="Invoice"/>
  </r>
  <r>
    <s v="6779"/>
    <m/>
    <s v="SRIKARAM PRESCIENCE PVT. LTD."/>
    <d v="2025-02-20T00:00:00"/>
    <x v="12"/>
    <s v="DR"/>
    <d v="2025-02-20T00:00:00"/>
    <d v="2025-02-20T00:00:00"/>
    <m/>
    <s v="212100"/>
    <m/>
    <n v="246779410292"/>
    <s v="USD"/>
    <n v="1800"/>
    <s v="INR"/>
    <n v="42431.111111111109"/>
    <x v="7"/>
    <n v="38188"/>
    <s v="Invoice"/>
  </r>
  <r>
    <m/>
    <m/>
    <m/>
    <m/>
    <x v="4"/>
    <m/>
    <m/>
    <m/>
    <m/>
    <m/>
    <m/>
    <s v="Total "/>
    <s v="USD"/>
    <n v="1800"/>
    <m/>
    <m/>
    <x v="0"/>
    <n v="-712.298888888894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8-21T00:00:00"/>
    <x v="11"/>
    <s v="DZ"/>
    <d v="2025-08-21T00:00:00"/>
    <d v="2025-08-21T00:00:00"/>
    <m/>
    <s v="212100"/>
    <m/>
    <s v=""/>
    <m/>
    <m/>
    <s v="INR"/>
    <n v="-700000"/>
    <x v="0"/>
    <n v="-700000"/>
    <s v="Payment "/>
  </r>
  <r>
    <s v="6779"/>
    <m/>
    <s v="SRIKARAM PRESCIENCE PVT. LTD."/>
    <d v="2025-02-20T00:00:00"/>
    <x v="12"/>
    <s v="DR"/>
    <d v="2025-02-20T00:00:00"/>
    <d v="2025-02-20T00:00:00"/>
    <m/>
    <s v="212100"/>
    <m/>
    <n v="246779410292"/>
    <s v="USD"/>
    <n v="1800"/>
    <s v="INR"/>
    <n v="112915.47888888889"/>
    <x v="8"/>
    <n v="101552.70111111111"/>
    <s v="Invoice"/>
  </r>
  <r>
    <s v="6779"/>
    <m/>
    <s v="SRIKARAM PRESCIENCE PVT. LTD."/>
    <d v="2025-02-28T00:00:00"/>
    <x v="13"/>
    <s v="DR"/>
    <d v="2025-02-28T00:00:00"/>
    <d v="2025-02-28T00:00:00"/>
    <m/>
    <s v="212100"/>
    <m/>
    <n v="246779410357"/>
    <s v="USD"/>
    <n v="450"/>
    <s v="INR"/>
    <n v="38836.65"/>
    <x v="2"/>
    <n v="34903.65"/>
    <s v="Invoice"/>
  </r>
  <r>
    <s v="6779"/>
    <m/>
    <s v="SRIKARAM PRESCIENCE PVT. LTD."/>
    <d v="2025-02-28T00:00:00"/>
    <x v="14"/>
    <s v="DR"/>
    <d v="2025-02-28T00:00:00"/>
    <d v="2025-02-28T00:00:00"/>
    <m/>
    <s v="212100"/>
    <m/>
    <n v="246779410345"/>
    <s v="USD"/>
    <n v="465"/>
    <s v="INR"/>
    <n v="40131.199999999997"/>
    <x v="9"/>
    <n v="36067.199999999997"/>
    <s v="Invoice"/>
  </r>
  <r>
    <s v="6779"/>
    <m/>
    <s v="SRIKARAM PRESCIENCE PVT. LTD."/>
    <d v="2025-02-28T00:00:00"/>
    <x v="15"/>
    <s v="DR"/>
    <d v="2025-02-28T00:00:00"/>
    <d v="2025-02-28T00:00:00"/>
    <m/>
    <s v="212100"/>
    <m/>
    <n v="246779410351"/>
    <s v="USD"/>
    <n v="465"/>
    <s v="INR"/>
    <n v="40131.199999999997"/>
    <x v="9"/>
    <n v="36067.199999999997"/>
    <s v="Invoice"/>
  </r>
  <r>
    <s v="6779"/>
    <m/>
    <s v="SRIKARAM PRESCIENCE PVT. LTD."/>
    <d v="2025-03-03T00:00:00"/>
    <x v="16"/>
    <s v="DR"/>
    <d v="2025-03-03T00:00:00"/>
    <d v="2025-03-03T00:00:00"/>
    <m/>
    <s v="212100"/>
    <m/>
    <n v="246779410415"/>
    <s v="USD"/>
    <n v="1930.92"/>
    <s v="INR"/>
    <n v="167393.89000000001"/>
    <x v="10"/>
    <n v="150530.89000000001"/>
    <s v="Invoice"/>
  </r>
  <r>
    <s v="6779"/>
    <m/>
    <s v="SRIKARAM PRESCIENCE PVT. LTD."/>
    <d v="2025-03-06T00:00:00"/>
    <x v="17"/>
    <s v="DR"/>
    <d v="2025-03-06T00:00:00"/>
    <d v="2025-03-06T00:00:00"/>
    <m/>
    <s v="212100"/>
    <m/>
    <n v="246779410862"/>
    <s v="USD"/>
    <n v="2306.52"/>
    <s v="INR"/>
    <n v="199955.13"/>
    <x v="11"/>
    <n v="179868.13"/>
    <s v="Invoice"/>
  </r>
  <r>
    <s v="6779"/>
    <m/>
    <s v="SRIKARAM PRESCIENCE PVT. LTD."/>
    <d v="2025-03-06T00:00:00"/>
    <x v="18"/>
    <s v="DR"/>
    <d v="2025-03-06T00:00:00"/>
    <d v="2025-03-06T00:00:00"/>
    <m/>
    <s v="212100"/>
    <m/>
    <n v="246779410885"/>
    <s v="USD"/>
    <n v="2390.58"/>
    <s v="INR"/>
    <n v="174043.33333333334"/>
    <x v="12"/>
    <n v="156639"/>
    <s v="Invoice"/>
  </r>
  <r>
    <m/>
    <m/>
    <m/>
    <m/>
    <x v="4"/>
    <m/>
    <m/>
    <m/>
    <m/>
    <m/>
    <m/>
    <s v="Total "/>
    <s v="USD"/>
    <n v="9808.02"/>
    <m/>
    <m/>
    <x v="0"/>
    <n v="-4371.2288888889016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8-21T00:00:00"/>
    <x v="19"/>
    <s v="DZ"/>
    <d v="2025-08-21T00:00:00"/>
    <d v="2025-08-21T00:00:00"/>
    <m/>
    <s v="212100"/>
    <m/>
    <s v=""/>
    <m/>
    <m/>
    <s v="INR"/>
    <n v="-150000"/>
    <x v="0"/>
    <n v="-150000"/>
    <s v="Payment "/>
  </r>
  <r>
    <s v="6779"/>
    <m/>
    <s v="SRIKARAM PRESCIENCE PVT. LTD."/>
    <d v="2025-03-06T00:00:00"/>
    <x v="18"/>
    <s v="DR"/>
    <d v="2025-03-06T00:00:00"/>
    <d v="2025-03-06T00:00:00"/>
    <m/>
    <s v="212100"/>
    <m/>
    <n v="246779410885"/>
    <s v="USD"/>
    <n v="2390.58"/>
    <s v="INR"/>
    <n v="33199.056666666671"/>
    <x v="13"/>
    <n v="29784.834444444448"/>
    <s v="Invoice"/>
  </r>
  <r>
    <s v="6779"/>
    <m/>
    <s v="SRIKARAM PRESCIENCE PVT. LTD."/>
    <d v="2025-03-13T00:00:00"/>
    <x v="20"/>
    <s v="DR"/>
    <d v="2025-03-13T00:00:00"/>
    <d v="2025-03-13T00:00:00"/>
    <m/>
    <s v="212100"/>
    <m/>
    <n v="246779411302"/>
    <s v="USD"/>
    <n v="35"/>
    <s v="INR"/>
    <n v="3034.19"/>
    <x v="14"/>
    <n v="2973.19"/>
    <s v="Invoice"/>
  </r>
  <r>
    <s v="6779"/>
    <m/>
    <s v="SRIKARAM PRESCIENCE PVT. LTD."/>
    <d v="2025-03-14T00:00:00"/>
    <x v="21"/>
    <s v="DR"/>
    <d v="2025-03-14T00:00:00"/>
    <d v="2025-03-14T00:00:00"/>
    <m/>
    <s v="212100"/>
    <m/>
    <n v="246779411458"/>
    <s v="USD"/>
    <n v="77.2"/>
    <s v="INR"/>
    <n v="6692.57"/>
    <x v="15"/>
    <n v="6558.57"/>
    <s v="Invoice"/>
  </r>
  <r>
    <s v="6779"/>
    <m/>
    <s v="SRIKARAM PRESCIENCE PVT. LTD."/>
    <d v="2025-03-14T00:00:00"/>
    <x v="22"/>
    <s v="DR"/>
    <d v="2025-03-14T00:00:00"/>
    <d v="2025-03-14T00:00:00"/>
    <m/>
    <s v="212100"/>
    <m/>
    <n v="246779412247"/>
    <s v="USD"/>
    <n v="77.2"/>
    <s v="INR"/>
    <n v="6692.57"/>
    <x v="15"/>
    <n v="6558.57"/>
    <s v="Invoice"/>
  </r>
  <r>
    <s v="6779"/>
    <m/>
    <s v="SRIKARAM PRESCIENCE PVT. LTD."/>
    <d v="2025-03-17T00:00:00"/>
    <x v="23"/>
    <s v="DR"/>
    <d v="2025-03-17T00:00:00"/>
    <d v="2025-03-17T00:00:00"/>
    <m/>
    <s v="212100"/>
    <m/>
    <n v="246779411627"/>
    <s v="USD"/>
    <n v="61.82"/>
    <s v="INR"/>
    <n v="5359.25"/>
    <x v="16"/>
    <n v="5252.25"/>
    <s v="Invoice"/>
  </r>
  <r>
    <s v="6779"/>
    <m/>
    <s v="SRIKARAM PRESCIENCE PVT. LTD."/>
    <d v="2025-03-17T00:00:00"/>
    <x v="24"/>
    <s v="DR"/>
    <d v="2025-03-17T00:00:00"/>
    <d v="2025-03-17T00:00:00"/>
    <m/>
    <s v="212100"/>
    <m/>
    <n v="246779411625"/>
    <s v="USD"/>
    <n v="69.819999999999993"/>
    <s v="INR"/>
    <n v="6052.78"/>
    <x v="17"/>
    <n v="5931.78"/>
    <s v="Invoice"/>
  </r>
  <r>
    <s v="6779"/>
    <m/>
    <s v="SRIKARAM PRESCIENCE PVT. LTD."/>
    <d v="2025-03-17T00:00:00"/>
    <x v="25"/>
    <s v="DR"/>
    <d v="2025-03-17T00:00:00"/>
    <d v="2025-03-17T00:00:00"/>
    <m/>
    <s v="212100"/>
    <m/>
    <n v="246779411626"/>
    <s v="USD"/>
    <n v="71.61"/>
    <s v="INR"/>
    <n v="6207.96"/>
    <x v="18"/>
    <n v="6083.96"/>
    <s v="Invoice"/>
  </r>
  <r>
    <s v="6779"/>
    <m/>
    <s v="SRIKARAM PRESCIENCE PVT. LTD."/>
    <d v="2025-03-17T00:00:00"/>
    <x v="26"/>
    <s v="DR"/>
    <d v="2025-03-17T00:00:00"/>
    <d v="2025-03-17T00:00:00"/>
    <m/>
    <s v="212100"/>
    <m/>
    <n v="246779412068"/>
    <s v="USD"/>
    <n v="122.18"/>
    <s v="INR"/>
    <n v="10591.94"/>
    <x v="19"/>
    <n v="10379.94"/>
    <s v="Invoice"/>
  </r>
  <r>
    <s v="6779"/>
    <m/>
    <s v="SRIKARAM PRESCIENCE PVT. LTD."/>
    <d v="2025-03-17T00:00:00"/>
    <x v="27"/>
    <s v="DR"/>
    <d v="2025-03-17T00:00:00"/>
    <d v="2025-03-17T00:00:00"/>
    <m/>
    <s v="212100"/>
    <m/>
    <n v="246779411624"/>
    <s v="USD"/>
    <n v="245.69"/>
    <s v="INR"/>
    <n v="21299.18"/>
    <x v="20"/>
    <n v="20873.18"/>
    <s v="Invoice"/>
  </r>
  <r>
    <s v="6779"/>
    <m/>
    <s v="SRIKARAM PRESCIENCE PVT. LTD."/>
    <d v="2025-03-19T00:00:00"/>
    <x v="28"/>
    <s v="DR"/>
    <d v="2025-03-19T00:00:00"/>
    <d v="2025-03-19T00:00:00"/>
    <m/>
    <s v="212100"/>
    <m/>
    <n v="246779413220"/>
    <s v="USD"/>
    <n v="26.04"/>
    <s v="INR"/>
    <n v="2257.44"/>
    <x v="21"/>
    <n v="2212.44"/>
    <s v="Invoice"/>
  </r>
  <r>
    <s v="6779"/>
    <m/>
    <s v="SRIKARAM PRESCIENCE PVT. LTD."/>
    <d v="2025-03-19T00:00:00"/>
    <x v="29"/>
    <s v="DR"/>
    <d v="2025-03-19T00:00:00"/>
    <d v="2025-03-19T00:00:00"/>
    <m/>
    <s v="212100"/>
    <m/>
    <n v="246779412999"/>
    <s v="USD"/>
    <n v="186.08"/>
    <s v="INR"/>
    <n v="16131.51"/>
    <x v="22"/>
    <n v="14521.51"/>
    <s v="Invoice"/>
  </r>
  <r>
    <s v="6779"/>
    <m/>
    <s v="SRIKARAM PRESCIENCE PVT. LTD."/>
    <d v="2025-03-20T00:00:00"/>
    <x v="30"/>
    <s v="DR"/>
    <d v="2025-03-20T00:00:00"/>
    <d v="2025-03-20T00:00:00"/>
    <m/>
    <s v="212100"/>
    <m/>
    <n v="246779414230"/>
    <s v="USD"/>
    <n v="1"/>
    <s v="INR"/>
    <n v="86.69"/>
    <x v="23"/>
    <n v="84.69"/>
    <s v="Invoice"/>
  </r>
  <r>
    <s v="6779"/>
    <m/>
    <s v="SRIKARAM PRESCIENCE PVT. LTD."/>
    <d v="2025-03-20T00:00:00"/>
    <x v="31"/>
    <s v="DR"/>
    <d v="2025-03-20T00:00:00"/>
    <d v="2025-03-20T00:00:00"/>
    <m/>
    <s v="212100"/>
    <m/>
    <n v="246779413894"/>
    <s v="USD"/>
    <n v="2"/>
    <s v="INR"/>
    <n v="173.38"/>
    <x v="24"/>
    <n v="170.38"/>
    <s v="Invoice"/>
  </r>
  <r>
    <s v="6779"/>
    <m/>
    <s v="SRIKARAM PRESCIENCE PVT. LTD."/>
    <d v="2025-03-20T00:00:00"/>
    <x v="32"/>
    <s v="DR"/>
    <d v="2025-03-20T00:00:00"/>
    <d v="2025-03-20T00:00:00"/>
    <m/>
    <s v="212100"/>
    <m/>
    <n v="246779413911"/>
    <s v="USD"/>
    <n v="1.99"/>
    <s v="INR"/>
    <n v="172.52"/>
    <x v="24"/>
    <n v="169.52"/>
    <s v="Invoice"/>
  </r>
  <r>
    <s v="6779"/>
    <m/>
    <s v="SRIKARAM PRESCIENCE PVT. LTD."/>
    <d v="2025-03-20T00:00:00"/>
    <x v="33"/>
    <s v="DR"/>
    <d v="2025-03-20T00:00:00"/>
    <d v="2025-03-20T00:00:00"/>
    <m/>
    <s v="212100"/>
    <m/>
    <n v="246779413901"/>
    <s v="USD"/>
    <n v="1.75"/>
    <s v="INR"/>
    <n v="151.71"/>
    <x v="24"/>
    <n v="148.71"/>
    <s v="Invoice"/>
  </r>
  <r>
    <s v="6779"/>
    <m/>
    <s v="SRIKARAM PRESCIENCE PVT. LTD."/>
    <d v="2025-03-20T00:00:00"/>
    <x v="34"/>
    <s v="DR"/>
    <d v="2025-03-20T00:00:00"/>
    <d v="2025-03-20T00:00:00"/>
    <m/>
    <s v="212100"/>
    <m/>
    <n v="246779413893"/>
    <s v="USD"/>
    <n v="1.75"/>
    <s v="INR"/>
    <n v="151.71"/>
    <x v="24"/>
    <n v="148.71"/>
    <s v="Invoice"/>
  </r>
  <r>
    <s v="6779"/>
    <m/>
    <s v="SRIKARAM PRESCIENCE PVT. LTD."/>
    <d v="2025-03-20T00:00:00"/>
    <x v="35"/>
    <s v="DR"/>
    <d v="2025-03-20T00:00:00"/>
    <d v="2025-03-20T00:00:00"/>
    <m/>
    <s v="212100"/>
    <m/>
    <n v="246779414741"/>
    <s v="USD"/>
    <n v="1.97"/>
    <s v="INR"/>
    <n v="170.78"/>
    <x v="24"/>
    <n v="167.78"/>
    <s v="Invoice"/>
  </r>
  <r>
    <s v="6779"/>
    <m/>
    <s v="SRIKARAM PRESCIENCE PVT. LTD."/>
    <d v="2025-03-20T00:00:00"/>
    <x v="36"/>
    <s v="DR"/>
    <d v="2025-03-20T00:00:00"/>
    <d v="2025-03-20T00:00:00"/>
    <m/>
    <s v="212100"/>
    <m/>
    <n v="246779414902"/>
    <s v="USD"/>
    <n v="3.52"/>
    <s v="INR"/>
    <n v="305.14999999999998"/>
    <x v="25"/>
    <n v="299.14999999999998"/>
    <s v="Invoice"/>
  </r>
  <r>
    <s v="6779"/>
    <m/>
    <s v="SRIKARAM PRESCIENCE PVT. LTD."/>
    <d v="2025-03-20T00:00:00"/>
    <x v="37"/>
    <s v="DR"/>
    <d v="2025-03-20T00:00:00"/>
    <d v="2025-03-20T00:00:00"/>
    <m/>
    <s v="212100"/>
    <m/>
    <n v="246779414473"/>
    <s v="USD"/>
    <n v="6.38"/>
    <s v="INR"/>
    <n v="553.09"/>
    <x v="26"/>
    <n v="542.09"/>
    <s v="Invoice"/>
  </r>
  <r>
    <s v="6779"/>
    <m/>
    <s v="SRIKARAM PRESCIENCE PVT. LTD."/>
    <d v="2025-03-20T00:00:00"/>
    <x v="38"/>
    <s v="DR"/>
    <d v="2025-03-20T00:00:00"/>
    <d v="2025-03-20T00:00:00"/>
    <m/>
    <s v="212100"/>
    <m/>
    <n v="246779414901"/>
    <s v="USD"/>
    <n v="6.13"/>
    <s v="INR"/>
    <n v="531.41999999999996"/>
    <x v="26"/>
    <n v="520.41999999999996"/>
    <s v="Invoice"/>
  </r>
  <r>
    <s v="6779"/>
    <m/>
    <s v="SRIKARAM PRESCIENCE PVT. LTD."/>
    <d v="2025-03-20T00:00:00"/>
    <x v="39"/>
    <s v="DR"/>
    <d v="2025-03-20T00:00:00"/>
    <d v="2025-03-20T00:00:00"/>
    <m/>
    <s v="212100"/>
    <m/>
    <n v="246779414610"/>
    <s v="USD"/>
    <n v="7"/>
    <s v="INR"/>
    <n v="606.84"/>
    <x v="27"/>
    <n v="594.84"/>
    <s v="Invoice"/>
  </r>
  <r>
    <s v="6779"/>
    <m/>
    <s v="SRIKARAM PRESCIENCE PVT. LTD."/>
    <d v="2025-03-20T00:00:00"/>
    <x v="40"/>
    <s v="DR"/>
    <d v="2025-03-20T00:00:00"/>
    <d v="2025-03-20T00:00:00"/>
    <m/>
    <s v="212100"/>
    <m/>
    <n v="246779414229"/>
    <s v="USD"/>
    <n v="9.1"/>
    <s v="INR"/>
    <n v="788.89"/>
    <x v="28"/>
    <n v="772.89"/>
    <s v="Invoice"/>
  </r>
  <r>
    <s v="6779"/>
    <m/>
    <s v="SRIKARAM PRESCIENCE PVT. LTD."/>
    <d v="2025-03-20T00:00:00"/>
    <x v="41"/>
    <s v="DR"/>
    <d v="2025-03-20T00:00:00"/>
    <d v="2025-03-20T00:00:00"/>
    <m/>
    <s v="212100"/>
    <m/>
    <n v="246779414688"/>
    <s v="USD"/>
    <n v="9.9"/>
    <s v="INR"/>
    <n v="858.24"/>
    <x v="29"/>
    <n v="841.24"/>
    <s v="Invoice"/>
  </r>
  <r>
    <s v="6779"/>
    <m/>
    <s v="SRIKARAM PRESCIENCE PVT. LTD."/>
    <d v="2025-03-20T00:00:00"/>
    <x v="42"/>
    <s v="DR"/>
    <d v="2025-03-20T00:00:00"/>
    <d v="2025-03-20T00:00:00"/>
    <m/>
    <s v="212100"/>
    <m/>
    <n v="246779414402"/>
    <s v="USD"/>
    <n v="10.5"/>
    <s v="INR"/>
    <n v="910.26"/>
    <x v="30"/>
    <n v="892.26"/>
    <s v="Invoice"/>
  </r>
  <r>
    <s v="6779"/>
    <m/>
    <s v="SRIKARAM PRESCIENCE PVT. LTD."/>
    <d v="2025-03-20T00:00:00"/>
    <x v="43"/>
    <s v="DR"/>
    <d v="2025-03-20T00:00:00"/>
    <d v="2025-03-20T00:00:00"/>
    <m/>
    <s v="212100"/>
    <m/>
    <n v="246779414150"/>
    <s v="USD"/>
    <n v="12.25"/>
    <s v="INR"/>
    <n v="1061.97"/>
    <x v="31"/>
    <n v="1040.97"/>
    <s v="Invoice"/>
  </r>
  <r>
    <s v="6779"/>
    <m/>
    <s v="SRIKARAM PRESCIENCE PVT. LTD."/>
    <d v="2025-03-20T00:00:00"/>
    <x v="44"/>
    <s v="DR"/>
    <d v="2025-03-20T00:00:00"/>
    <d v="2025-03-20T00:00:00"/>
    <m/>
    <s v="212100"/>
    <m/>
    <n v="246779414151"/>
    <s v="USD"/>
    <n v="15"/>
    <s v="INR"/>
    <n v="1300.3699999999999"/>
    <x v="32"/>
    <n v="1274.3699999999999"/>
    <s v="Invoice"/>
  </r>
  <r>
    <s v="6779"/>
    <m/>
    <s v="SRIKARAM PRESCIENCE PVT. LTD."/>
    <d v="2025-03-20T00:00:00"/>
    <x v="45"/>
    <s v="DR"/>
    <d v="2025-03-20T00:00:00"/>
    <d v="2025-03-20T00:00:00"/>
    <m/>
    <s v="212100"/>
    <m/>
    <n v="246779414403"/>
    <s v="USD"/>
    <n v="15"/>
    <s v="INR"/>
    <n v="1300.3699999999999"/>
    <x v="32"/>
    <n v="1274.3699999999999"/>
    <s v="Invoice"/>
  </r>
  <r>
    <s v="6779"/>
    <m/>
    <s v="SRIKARAM PRESCIENCE PVT. LTD."/>
    <d v="2025-03-20T00:00:00"/>
    <x v="46"/>
    <s v="DR"/>
    <d v="2025-03-20T00:00:00"/>
    <d v="2025-03-20T00:00:00"/>
    <m/>
    <s v="212100"/>
    <m/>
    <n v="246779413913"/>
    <s v="USD"/>
    <n v="14.8"/>
    <s v="INR"/>
    <n v="1283.03"/>
    <x v="32"/>
    <n v="1257.03"/>
    <s v="Invoice"/>
  </r>
  <r>
    <s v="6779"/>
    <m/>
    <s v="SRIKARAM PRESCIENCE PVT. LTD."/>
    <d v="2025-03-20T00:00:00"/>
    <x v="47"/>
    <s v="DR"/>
    <d v="2025-03-20T00:00:00"/>
    <d v="2025-03-20T00:00:00"/>
    <m/>
    <s v="212100"/>
    <m/>
    <n v="246779414472"/>
    <s v="USD"/>
    <n v="18.170000000000002"/>
    <s v="INR"/>
    <n v="1575.18"/>
    <x v="33"/>
    <n v="1544.18"/>
    <s v="Invoice"/>
  </r>
  <r>
    <s v="6779"/>
    <m/>
    <s v="SRIKARAM PRESCIENCE PVT. LTD."/>
    <d v="2025-03-20T00:00:00"/>
    <x v="48"/>
    <s v="DR"/>
    <d v="2025-03-20T00:00:00"/>
    <d v="2025-03-20T00:00:00"/>
    <m/>
    <s v="212100"/>
    <m/>
    <n v="246779414066"/>
    <s v="USD"/>
    <n v="21.13"/>
    <s v="INR"/>
    <n v="1831.79"/>
    <x v="34"/>
    <n v="1795.79"/>
    <s v="Invoice"/>
  </r>
  <r>
    <s v="6779"/>
    <m/>
    <s v="SRIKARAM PRESCIENCE PVT. LTD."/>
    <d v="2025-03-20T00:00:00"/>
    <x v="49"/>
    <s v="DR"/>
    <d v="2025-03-20T00:00:00"/>
    <d v="2025-03-20T00:00:00"/>
    <m/>
    <s v="212100"/>
    <m/>
    <n v="246779414899"/>
    <s v="USD"/>
    <n v="51.6"/>
    <s v="INR"/>
    <n v="4473.2700000000004"/>
    <x v="35"/>
    <n v="4384.2700000000004"/>
    <s v="Invoice"/>
  </r>
  <r>
    <s v="6779"/>
    <m/>
    <s v="SRIKARAM PRESCIENCE PVT. LTD."/>
    <d v="2025-03-20T00:00:00"/>
    <x v="50"/>
    <s v="DR"/>
    <d v="2025-03-20T00:00:00"/>
    <d v="2025-03-20T00:00:00"/>
    <m/>
    <s v="212100"/>
    <m/>
    <n v="246779414896"/>
    <s v="USD"/>
    <n v="43"/>
    <s v="INR"/>
    <n v="3727.72"/>
    <x v="36"/>
    <n v="3653.72"/>
    <s v="Invoice"/>
  </r>
  <r>
    <s v="6779"/>
    <m/>
    <s v="SRIKARAM PRESCIENCE PVT. LTD."/>
    <d v="2025-03-20T00:00:00"/>
    <x v="51"/>
    <s v="DR"/>
    <d v="2025-03-20T00:00:00"/>
    <d v="2025-03-20T00:00:00"/>
    <m/>
    <s v="212100"/>
    <m/>
    <n v="246779414897"/>
    <s v="USD"/>
    <n v="47.3"/>
    <s v="INR"/>
    <n v="4100.5"/>
    <x v="37"/>
    <n v="4018.5"/>
    <s v="Invoice"/>
  </r>
  <r>
    <s v="6779"/>
    <m/>
    <s v="SRIKARAM PRESCIENCE PVT. LTD."/>
    <d v="2025-03-20T00:00:00"/>
    <x v="52"/>
    <s v="DR"/>
    <d v="2025-03-20T00:00:00"/>
    <d v="2025-03-20T00:00:00"/>
    <m/>
    <s v="212100"/>
    <m/>
    <n v="246779414689"/>
    <s v="USD"/>
    <n v="50.75"/>
    <s v="INR"/>
    <n v="4399.58"/>
    <x v="38"/>
    <n v="4311.58"/>
    <s v="Invoice"/>
  </r>
  <r>
    <s v="6779"/>
    <m/>
    <s v="SRIKARAM PRESCIENCE PVT. LTD."/>
    <d v="2025-03-20T00:00:00"/>
    <x v="53"/>
    <s v="DR"/>
    <d v="2025-03-20T00:00:00"/>
    <d v="2025-03-20T00:00:00"/>
    <m/>
    <s v="212100"/>
    <m/>
    <n v="246779414900"/>
    <s v="USD"/>
    <n v="51.6"/>
    <s v="INR"/>
    <n v="4473.2700000000004"/>
    <x v="35"/>
    <n v="4384.2700000000004"/>
    <s v="Invoice"/>
  </r>
  <r>
    <s v="6779"/>
    <m/>
    <s v="SRIKARAM PRESCIENCE PVT. LTD."/>
    <d v="2025-03-20T00:00:00"/>
    <x v="54"/>
    <s v="DR"/>
    <d v="2025-03-20T00:00:00"/>
    <d v="2025-03-20T00:00:00"/>
    <m/>
    <s v="212100"/>
    <m/>
    <n v="246779414474"/>
    <s v="USD"/>
    <n v="60"/>
    <s v="INR"/>
    <n v="3756.1224489795918"/>
    <x v="39"/>
    <n v="3681"/>
    <s v="Invoice"/>
  </r>
  <r>
    <m/>
    <m/>
    <m/>
    <m/>
    <x v="4"/>
    <m/>
    <m/>
    <m/>
    <m/>
    <m/>
    <m/>
    <s v="Total "/>
    <s v="USD"/>
    <n v="3826.81"/>
    <m/>
    <m/>
    <x v="0"/>
    <n v="-897.0455555555327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8-21T00:00:00"/>
    <x v="55"/>
    <s v="DZ"/>
    <d v="2025-08-21T00:00:00"/>
    <d v="2025-08-21T00:00:00"/>
    <m/>
    <s v="212100"/>
    <m/>
    <s v=""/>
    <m/>
    <m/>
    <s v="INR"/>
    <n v="-150000"/>
    <x v="0"/>
    <n v="-150000"/>
    <s v="Payment "/>
  </r>
  <r>
    <s v="6779"/>
    <m/>
    <s v="SRIKARAM PRESCIENCE PVT. LTD."/>
    <d v="2025-03-20T00:00:00"/>
    <x v="54"/>
    <s v="DR"/>
    <d v="2025-03-20T00:00:00"/>
    <d v="2025-03-20T00:00:00"/>
    <m/>
    <s v="212100"/>
    <m/>
    <n v="246779414474"/>
    <s v="USD"/>
    <n v="60"/>
    <s v="INR"/>
    <n v="1445.3575510204078"/>
    <x v="40"/>
    <n v="1416.9289795918364"/>
    <s v="Invoice"/>
  </r>
  <r>
    <s v="6779"/>
    <m/>
    <s v="SRIKARAM PRESCIENCE PVT. LTD."/>
    <d v="2025-03-20T00:00:00"/>
    <x v="56"/>
    <s v="DR"/>
    <d v="2025-03-20T00:00:00"/>
    <d v="2025-03-20T00:00:00"/>
    <m/>
    <s v="212100"/>
    <m/>
    <n v="246779414895"/>
    <s v="USD"/>
    <n v="60"/>
    <s v="INR"/>
    <n v="5201.4799999999996"/>
    <x v="41"/>
    <n v="5097.4799999999996"/>
    <s v="Invoice"/>
  </r>
  <r>
    <s v="6779"/>
    <m/>
    <s v="SRIKARAM PRESCIENCE PVT. LTD."/>
    <d v="2025-03-20T00:00:00"/>
    <x v="57"/>
    <s v="DR"/>
    <d v="2025-03-20T00:00:00"/>
    <d v="2025-03-20T00:00:00"/>
    <m/>
    <s v="212100"/>
    <m/>
    <n v="246779414690"/>
    <s v="USD"/>
    <n v="60"/>
    <s v="INR"/>
    <n v="5201.4799999999996"/>
    <x v="41"/>
    <n v="5097.4799999999996"/>
    <s v="Invoice"/>
  </r>
  <r>
    <s v="6779"/>
    <m/>
    <s v="SRIKARAM PRESCIENCE PVT. LTD."/>
    <d v="2025-03-20T00:00:00"/>
    <x v="58"/>
    <s v="DR"/>
    <d v="2025-03-20T00:00:00"/>
    <d v="2025-03-20T00:00:00"/>
    <m/>
    <s v="212100"/>
    <m/>
    <n v="246779414898"/>
    <s v="USD"/>
    <n v="94.6"/>
    <s v="INR"/>
    <n v="8200.99"/>
    <x v="42"/>
    <n v="8037.99"/>
    <s v="Invoice"/>
  </r>
  <r>
    <s v="6779"/>
    <m/>
    <s v="SRIKARAM PRESCIENCE PVT. LTD."/>
    <d v="2025-03-20T00:00:00"/>
    <x v="59"/>
    <s v="DR"/>
    <d v="2025-03-20T00:00:00"/>
    <d v="2025-03-20T00:00:00"/>
    <m/>
    <s v="212100"/>
    <m/>
    <n v="246779414740"/>
    <s v="USD"/>
    <n v="111.18"/>
    <s v="INR"/>
    <n v="9638.33"/>
    <x v="43"/>
    <n v="9446.33"/>
    <s v="Invoice"/>
  </r>
  <r>
    <s v="6779"/>
    <m/>
    <s v="SRIKARAM PRESCIENCE PVT. LTD."/>
    <d v="2025-03-20T00:00:00"/>
    <x v="60"/>
    <s v="DR"/>
    <d v="2025-03-20T00:00:00"/>
    <d v="2025-03-20T00:00:00"/>
    <m/>
    <s v="212100"/>
    <m/>
    <n v="246779413884"/>
    <s v="USD"/>
    <n v="128.52000000000001"/>
    <s v="INR"/>
    <n v="11141.56"/>
    <x v="44"/>
    <n v="10919.56"/>
    <s v="Invoice"/>
  </r>
  <r>
    <s v="6779"/>
    <m/>
    <s v="SRIKARAM PRESCIENCE PVT. LTD."/>
    <d v="2025-03-20T00:00:00"/>
    <x v="61"/>
    <s v="DR"/>
    <d v="2025-03-20T00:00:00"/>
    <d v="2025-03-20T00:00:00"/>
    <m/>
    <s v="212100"/>
    <m/>
    <n v="246779414062"/>
    <s v="USD"/>
    <n v="251.5"/>
    <s v="INR"/>
    <n v="21802.85"/>
    <x v="45"/>
    <n v="21368.85"/>
    <s v="Invoice"/>
  </r>
  <r>
    <s v="6779"/>
    <m/>
    <s v="SRIKARAM PRESCIENCE PVT. LTD."/>
    <d v="2025-03-20T00:00:00"/>
    <x v="62"/>
    <s v="DR"/>
    <d v="2025-03-20T00:00:00"/>
    <d v="2025-03-20T00:00:00"/>
    <m/>
    <s v="212100"/>
    <m/>
    <n v="246779414060"/>
    <s v="USD"/>
    <n v="273"/>
    <s v="INR"/>
    <n v="23666.71"/>
    <x v="46"/>
    <n v="23195.71"/>
    <s v="Invoice"/>
  </r>
  <r>
    <s v="6779"/>
    <m/>
    <s v="SRIKARAM PRESCIENCE PVT. LTD."/>
    <d v="2025-03-20T00:00:00"/>
    <x v="63"/>
    <s v="DR"/>
    <d v="2025-03-20T00:00:00"/>
    <d v="2025-03-20T00:00:00"/>
    <m/>
    <s v="212100"/>
    <m/>
    <n v="246779414061"/>
    <s v="USD"/>
    <n v="277.3"/>
    <s v="INR"/>
    <n v="24039.49"/>
    <x v="47"/>
    <n v="23560.49"/>
    <s v="Invoice"/>
  </r>
  <r>
    <s v="6779"/>
    <m/>
    <s v="SRIKARAM PRESCIENCE PVT. LTD."/>
    <d v="2025-03-20T00:00:00"/>
    <x v="64"/>
    <s v="DR"/>
    <d v="2025-03-20T00:00:00"/>
    <d v="2025-03-20T00:00:00"/>
    <m/>
    <s v="212100"/>
    <m/>
    <n v="246779414065"/>
    <s v="USD"/>
    <n v="277.3"/>
    <s v="INR"/>
    <n v="24039.49"/>
    <x v="47"/>
    <n v="23560.49"/>
    <s v="Invoice"/>
  </r>
  <r>
    <s v="6779"/>
    <m/>
    <s v="SRIKARAM PRESCIENCE PVT. LTD."/>
    <d v="2025-03-20T00:00:00"/>
    <x v="65"/>
    <s v="DR"/>
    <d v="2025-03-20T00:00:00"/>
    <d v="2025-03-20T00:00:00"/>
    <m/>
    <s v="212100"/>
    <m/>
    <n v="246779414064"/>
    <s v="USD"/>
    <n v="353.2"/>
    <s v="INR"/>
    <n v="19304.081632653062"/>
    <x v="48"/>
    <n v="18918"/>
    <s v="Invoice"/>
  </r>
  <r>
    <m/>
    <m/>
    <m/>
    <m/>
    <x v="4"/>
    <m/>
    <m/>
    <m/>
    <m/>
    <m/>
    <m/>
    <s v="Total "/>
    <s v="USD"/>
    <n v="1946.6000000000001"/>
    <m/>
    <m/>
    <x v="0"/>
    <n v="619.30897959187496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8-21T00:00:00"/>
    <x v="66"/>
    <s v="DZ"/>
    <d v="2025-08-21T00:00:00"/>
    <d v="2025-08-21T00:00:00"/>
    <m/>
    <s v="212100"/>
    <m/>
    <s v=""/>
    <m/>
    <m/>
    <s v="INR"/>
    <n v="-150000"/>
    <x v="0"/>
    <n v="-150000"/>
    <s v="Payment "/>
  </r>
  <r>
    <s v="6779"/>
    <m/>
    <s v="SRIKARAM PRESCIENCE PVT. LTD."/>
    <d v="2025-03-20T00:00:00"/>
    <x v="65"/>
    <s v="DR"/>
    <d v="2025-03-20T00:00:00"/>
    <d v="2025-03-20T00:00:00"/>
    <m/>
    <s v="212100"/>
    <m/>
    <n v="246779414064"/>
    <s v="USD"/>
    <n v="353.2"/>
    <s v="INR"/>
    <n v="11315.268367346936"/>
    <x v="49"/>
    <n v="11091.696938775507"/>
    <s v="Invoice"/>
  </r>
  <r>
    <s v="6779"/>
    <m/>
    <s v="SRIKARAM PRESCIENCE PVT. LTD."/>
    <d v="2025-03-20T00:00:00"/>
    <x v="67"/>
    <s v="DR"/>
    <d v="2025-03-20T00:00:00"/>
    <d v="2025-03-20T00:00:00"/>
    <m/>
    <s v="212100"/>
    <m/>
    <n v="246779414063"/>
    <s v="USD"/>
    <n v="554.6"/>
    <s v="INR"/>
    <n v="48078.97"/>
    <x v="50"/>
    <n v="47121.97"/>
    <s v="Invoice"/>
  </r>
  <r>
    <s v="6779"/>
    <m/>
    <s v="SRIKARAM PRESCIENCE PVT. LTD."/>
    <d v="2025-03-20T00:00:00"/>
    <x v="68"/>
    <s v="DR"/>
    <d v="2025-03-20T00:00:00"/>
    <d v="2025-03-20T00:00:00"/>
    <m/>
    <s v="212100"/>
    <m/>
    <n v="246779413809"/>
    <s v="USD"/>
    <n v="420"/>
    <s v="INR"/>
    <n v="36410.33"/>
    <x v="51"/>
    <n v="32785.33"/>
    <s v="Invoice"/>
  </r>
  <r>
    <s v="6779"/>
    <m/>
    <s v="SRIKARAM PRESCIENCE PVT. LTD."/>
    <d v="2025-03-20T00:00:00"/>
    <x v="69"/>
    <s v="DR"/>
    <d v="2025-03-20T00:00:00"/>
    <d v="2025-03-20T00:00:00"/>
    <m/>
    <s v="212100"/>
    <m/>
    <n v="246779413798"/>
    <s v="USD"/>
    <n v="465"/>
    <s v="INR"/>
    <n v="40311.440000000002"/>
    <x v="52"/>
    <n v="36298.44"/>
    <s v="Invoice"/>
  </r>
  <r>
    <s v="6779"/>
    <m/>
    <s v="SRIKARAM PRESCIENCE PVT. LTD."/>
    <d v="2025-03-21T00:00:00"/>
    <x v="70"/>
    <s v="DR"/>
    <d v="2025-03-21T00:00:00"/>
    <d v="2025-03-21T00:00:00"/>
    <m/>
    <s v="212100"/>
    <m/>
    <n v="246779414319"/>
    <s v="USD"/>
    <n v="13.25"/>
    <s v="INR"/>
    <n v="1148.6600000000001"/>
    <x v="53"/>
    <n v="1125.6600000000001"/>
    <s v="Invoice"/>
  </r>
  <r>
    <s v="6779"/>
    <m/>
    <s v="SRIKARAM PRESCIENCE PVT. LTD."/>
    <d v="2025-03-21T00:00:00"/>
    <x v="71"/>
    <s v="DR"/>
    <d v="2025-03-21T00:00:00"/>
    <d v="2025-03-21T00:00:00"/>
    <m/>
    <s v="212100"/>
    <m/>
    <n v="246779414321"/>
    <s v="USD"/>
    <n v="30"/>
    <s v="INR"/>
    <n v="2600.7399999999998"/>
    <x v="54"/>
    <n v="2548.7399999999998"/>
    <s v="Invoice"/>
  </r>
  <r>
    <s v="6779"/>
    <m/>
    <s v="SRIKARAM PRESCIENCE PVT. LTD."/>
    <d v="2025-03-21T00:00:00"/>
    <x v="72"/>
    <s v="DR"/>
    <d v="2025-03-21T00:00:00"/>
    <d v="2025-03-21T00:00:00"/>
    <m/>
    <s v="212100"/>
    <m/>
    <n v="246779414320"/>
    <s v="USD"/>
    <n v="38.5"/>
    <s v="INR"/>
    <n v="3337.61"/>
    <x v="55"/>
    <n v="3271.61"/>
    <s v="Invoice"/>
  </r>
  <r>
    <s v="6779"/>
    <m/>
    <s v="SRIKARAM PRESCIENCE PVT. LTD."/>
    <d v="2025-04-03T00:00:00"/>
    <x v="73"/>
    <s v="DR"/>
    <d v="2025-04-03T00:00:00"/>
    <d v="2025-04-03T00:00:00"/>
    <m/>
    <s v="212100"/>
    <m/>
    <n v="256779410140"/>
    <s v="USD"/>
    <n v="1"/>
    <s v="INR"/>
    <n v="86.92"/>
    <x v="23"/>
    <n v="84.92"/>
    <s v="Invoice"/>
  </r>
  <r>
    <s v="6779"/>
    <m/>
    <s v="SRIKARAM PRESCIENCE PVT. LTD."/>
    <d v="2025-04-03T00:00:00"/>
    <x v="74"/>
    <s v="DR"/>
    <d v="2025-04-03T00:00:00"/>
    <d v="2025-04-03T00:00:00"/>
    <m/>
    <s v="212100"/>
    <m/>
    <n v="256779410139"/>
    <s v="USD"/>
    <n v="3.5"/>
    <s v="INR"/>
    <n v="304.23"/>
    <x v="25"/>
    <n v="298.23"/>
    <s v="Invoice"/>
  </r>
  <r>
    <s v="6779"/>
    <m/>
    <s v="SRIKARAM PRESCIENCE PVT. LTD."/>
    <d v="2025-04-03T00:00:00"/>
    <x v="75"/>
    <s v="DR"/>
    <d v="2025-04-03T00:00:00"/>
    <d v="2025-04-03T00:00:00"/>
    <m/>
    <s v="212100"/>
    <m/>
    <n v="256779410088"/>
    <s v="USD"/>
    <n v="5.25"/>
    <s v="INR"/>
    <n v="456.34"/>
    <x v="56"/>
    <n v="447.34"/>
    <s v="Invoice"/>
  </r>
  <r>
    <s v="6779"/>
    <m/>
    <s v="SRIKARAM PRESCIENCE PVT. LTD."/>
    <d v="2025-04-03T00:00:00"/>
    <x v="76"/>
    <s v="DR"/>
    <d v="2025-04-03T00:00:00"/>
    <d v="2025-04-03T00:00:00"/>
    <m/>
    <s v="212100"/>
    <m/>
    <n v="256779410089"/>
    <s v="USD"/>
    <n v="30"/>
    <s v="INR"/>
    <n v="2607.65"/>
    <x v="57"/>
    <n v="2556.65"/>
    <s v="Invoice"/>
  </r>
  <r>
    <s v="6779"/>
    <m/>
    <s v="SRIKARAM PRESCIENCE PVT. LTD."/>
    <d v="2025-04-04T00:00:00"/>
    <x v="77"/>
    <s v="DR"/>
    <d v="2025-04-04T00:00:00"/>
    <d v="2025-04-04T00:00:00"/>
    <m/>
    <s v="212100"/>
    <m/>
    <n v="256779410788"/>
    <s v="USD"/>
    <n v="1394.64"/>
    <s v="INR"/>
    <n v="14614.444444444443"/>
    <x v="58"/>
    <n v="13153"/>
    <s v="Invoice"/>
  </r>
  <r>
    <m/>
    <m/>
    <m/>
    <m/>
    <x v="4"/>
    <m/>
    <m/>
    <m/>
    <m/>
    <m/>
    <m/>
    <s v="Total "/>
    <s v="USD"/>
    <n v="3308.94"/>
    <m/>
    <m/>
    <x v="0"/>
    <n v="783.58693877551559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8-21T00:00:00"/>
    <x v="78"/>
    <s v="DZ"/>
    <d v="2025-08-21T00:00:00"/>
    <d v="2025-08-21T00:00:00"/>
    <m/>
    <s v="212100"/>
    <m/>
    <s v=""/>
    <m/>
    <m/>
    <s v="INR"/>
    <n v="-150000"/>
    <x v="0"/>
    <n v="-150000"/>
    <s v="Payment "/>
  </r>
  <r>
    <s v="6779"/>
    <m/>
    <s v="SRIKARAM PRESCIENCE PVT. LTD."/>
    <d v="2025-04-04T00:00:00"/>
    <x v="77"/>
    <s v="DR"/>
    <d v="2025-04-04T00:00:00"/>
    <d v="2025-04-04T00:00:00"/>
    <m/>
    <s v="212100"/>
    <m/>
    <n v="256779410788"/>
    <s v="USD"/>
    <n v="1394.64"/>
    <s v="INR"/>
    <n v="106610.20555555556"/>
    <x v="59"/>
    <n v="96185.316666666666"/>
    <s v="Invoice"/>
  </r>
  <r>
    <s v="6779"/>
    <m/>
    <s v="SRIKARAM PRESCIENCE PVT. LTD."/>
    <d v="2025-04-04T00:00:00"/>
    <x v="79"/>
    <s v="DR"/>
    <d v="2025-04-04T00:00:00"/>
    <d v="2025-04-04T00:00:00"/>
    <m/>
    <s v="212100"/>
    <m/>
    <n v="256779410804"/>
    <s v="USD"/>
    <n v="2592.75"/>
    <s v="INR"/>
    <n v="62417.777777777774"/>
    <x v="60"/>
    <n v="56176"/>
    <s v="Invoice"/>
  </r>
  <r>
    <m/>
    <m/>
    <m/>
    <m/>
    <x v="4"/>
    <m/>
    <m/>
    <m/>
    <m/>
    <m/>
    <m/>
    <s v="Total "/>
    <s v="USD"/>
    <n v="1394.64"/>
    <m/>
    <m/>
    <x v="0"/>
    <n v="2361.3166666666657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0-01T00:00:00"/>
    <x v="80"/>
    <s v="DZ"/>
    <d v="2025-10-01T00:00:00"/>
    <d v="2025-10-01T00:00:00"/>
    <m/>
    <s v="212100"/>
    <m/>
    <s v=""/>
    <m/>
    <m/>
    <s v="INR"/>
    <n v="-100000"/>
    <x v="0"/>
    <n v="-100000"/>
    <s v="Payment "/>
  </r>
  <r>
    <s v="6779"/>
    <m/>
    <s v="SRIKARAM PRESCIENCE PVT. LTD."/>
    <d v="2025-04-04T00:00:00"/>
    <x v="79"/>
    <s v="DR"/>
    <d v="2025-04-04T00:00:00"/>
    <d v="2025-04-04T00:00:00"/>
    <m/>
    <s v="212100"/>
    <m/>
    <n v="256779410804"/>
    <s v="USD"/>
    <n v="2592.75"/>
    <s v="INR"/>
    <n v="111111.11111111111"/>
    <x v="61"/>
    <n v="100000"/>
    <s v="Invoice"/>
  </r>
  <r>
    <m/>
    <m/>
    <m/>
    <m/>
    <x v="4"/>
    <m/>
    <m/>
    <m/>
    <m/>
    <m/>
    <m/>
    <s v="Total "/>
    <s v="USD"/>
    <n v="0"/>
    <m/>
    <m/>
    <x v="0"/>
    <n v="0"/>
    <s v="Exchange loss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0-01T00:00:00"/>
    <x v="81"/>
    <s v="DZ"/>
    <d v="2025-10-01T00:00:00"/>
    <d v="2025-10-01T00:00:00"/>
    <m/>
    <s v="212100"/>
    <m/>
    <s v=""/>
    <m/>
    <m/>
    <s v="INR"/>
    <n v="-100000"/>
    <x v="0"/>
    <n v="-100000"/>
    <s v="Payment "/>
  </r>
  <r>
    <s v="6779"/>
    <m/>
    <s v="SRIKARAM PRESCIENCE PVT. LTD."/>
    <d v="2025-04-04T00:00:00"/>
    <x v="79"/>
    <s v="DR"/>
    <d v="2025-04-04T00:00:00"/>
    <d v="2025-04-04T00:00:00"/>
    <m/>
    <s v="212100"/>
    <m/>
    <n v="256779410804"/>
    <s v="USD"/>
    <n v="2592.75"/>
    <s v="INR"/>
    <n v="51837.661111111105"/>
    <x v="62"/>
    <n v="47093.10555555555"/>
    <s v="Invoice"/>
  </r>
  <r>
    <s v="6779"/>
    <m/>
    <s v="SRIKARAM PRESCIENCE PVT. LTD."/>
    <d v="2025-04-15T00:00:00"/>
    <x v="82"/>
    <s v="DR"/>
    <d v="2025-04-15T00:00:00"/>
    <d v="2025-04-15T00:00:00"/>
    <m/>
    <s v="212100"/>
    <m/>
    <n v="256779411169"/>
    <s v="USD"/>
    <n v="50"/>
    <s v="INR"/>
    <n v="4346.09"/>
    <x v="63"/>
    <n v="4260.09"/>
    <s v="Invoice"/>
  </r>
  <r>
    <s v="6779"/>
    <m/>
    <s v="SRIKARAM PRESCIENCE PVT. LTD."/>
    <d v="2025-04-15T00:00:00"/>
    <x v="83"/>
    <s v="DR"/>
    <d v="2025-04-15T00:00:00"/>
    <d v="2025-04-15T00:00:00"/>
    <m/>
    <s v="212100"/>
    <m/>
    <n v="256779411168"/>
    <s v="USD"/>
    <n v="60.51"/>
    <s v="INR"/>
    <n v="5259.64"/>
    <x v="41"/>
    <n v="5155.6400000000003"/>
    <s v="Invoice"/>
  </r>
  <r>
    <s v="6779"/>
    <m/>
    <s v="SRIKARAM PRESCIENCE PVT. LTD."/>
    <d v="2025-04-15T00:00:00"/>
    <x v="84"/>
    <s v="DR"/>
    <d v="2025-04-15T00:00:00"/>
    <d v="2025-04-15T00:00:00"/>
    <m/>
    <s v="212100"/>
    <m/>
    <n v="256779411167"/>
    <s v="USD"/>
    <n v="68.819999999999993"/>
    <s v="INR"/>
    <n v="5981.96"/>
    <x v="64"/>
    <n v="5863.96"/>
    <s v="Invoice"/>
  </r>
  <r>
    <s v="6779"/>
    <m/>
    <s v="SRIKARAM PRESCIENCE PVT. LTD."/>
    <d v="2025-04-15T00:00:00"/>
    <x v="85"/>
    <s v="DR"/>
    <d v="2025-04-15T00:00:00"/>
    <d v="2025-04-15T00:00:00"/>
    <m/>
    <s v="212100"/>
    <m/>
    <n v="256779411170"/>
    <s v="USD"/>
    <n v="120"/>
    <s v="INR"/>
    <n v="10430.620000000001"/>
    <x v="65"/>
    <n v="10224.620000000001"/>
    <s v="Invoice"/>
  </r>
  <r>
    <s v="6779"/>
    <m/>
    <s v="SRIKARAM PRESCIENCE PVT. LTD."/>
    <d v="2025-04-16T00:00:00"/>
    <x v="86"/>
    <s v="DR"/>
    <d v="2025-04-16T00:00:00"/>
    <d v="2025-04-16T00:00:00"/>
    <m/>
    <s v="212100"/>
    <m/>
    <n v="256779411814"/>
    <s v="USD"/>
    <n v="1"/>
    <s v="INR"/>
    <n v="86.92"/>
    <x v="23"/>
    <n v="84.92"/>
    <s v="Invoice"/>
  </r>
  <r>
    <s v="6779"/>
    <m/>
    <s v="SRIKARAM PRESCIENCE PVT. LTD."/>
    <d v="2025-04-16T00:00:00"/>
    <x v="87"/>
    <s v="DR"/>
    <d v="2025-04-16T00:00:00"/>
    <d v="2025-04-16T00:00:00"/>
    <m/>
    <s v="212100"/>
    <m/>
    <n v="256779411895"/>
    <s v="USD"/>
    <n v="1"/>
    <s v="INR"/>
    <n v="86.92"/>
    <x v="23"/>
    <n v="84.92"/>
    <s v="Invoice"/>
  </r>
  <r>
    <s v="6779"/>
    <m/>
    <s v="SRIKARAM PRESCIENCE PVT. LTD."/>
    <d v="2025-04-16T00:00:00"/>
    <x v="88"/>
    <s v="DR"/>
    <d v="2025-04-16T00:00:00"/>
    <d v="2025-04-16T00:00:00"/>
    <m/>
    <s v="212100"/>
    <m/>
    <n v="256779411813"/>
    <s v="USD"/>
    <n v="1.75"/>
    <s v="INR"/>
    <n v="152.11000000000001"/>
    <x v="24"/>
    <n v="149.11000000000001"/>
    <s v="Invoice"/>
  </r>
  <r>
    <s v="6779"/>
    <m/>
    <s v="SRIKARAM PRESCIENCE PVT. LTD."/>
    <d v="2025-04-16T00:00:00"/>
    <x v="89"/>
    <s v="DR"/>
    <d v="2025-04-16T00:00:00"/>
    <d v="2025-04-16T00:00:00"/>
    <m/>
    <s v="212100"/>
    <m/>
    <n v="256779411894"/>
    <s v="USD"/>
    <n v="7.07"/>
    <s v="INR"/>
    <n v="614.54"/>
    <x v="27"/>
    <n v="602.54"/>
    <s v="Invoice"/>
  </r>
  <r>
    <s v="6779"/>
    <m/>
    <s v="SRIKARAM PRESCIENCE PVT. LTD."/>
    <d v="2025-04-16T00:00:00"/>
    <x v="90"/>
    <s v="DR"/>
    <d v="2025-04-16T00:00:00"/>
    <d v="2025-04-16T00:00:00"/>
    <m/>
    <s v="212100"/>
    <m/>
    <n v="256779412105"/>
    <s v="USD"/>
    <n v="12.85"/>
    <s v="INR"/>
    <n v="1116.95"/>
    <x v="66"/>
    <n v="1094.95"/>
    <s v="Invoice"/>
  </r>
  <r>
    <s v="6779"/>
    <m/>
    <s v="SRIKARAM PRESCIENCE PVT. LTD."/>
    <d v="2025-04-16T00:00:00"/>
    <x v="91"/>
    <s v="DR"/>
    <d v="2025-04-16T00:00:00"/>
    <d v="2025-04-16T00:00:00"/>
    <m/>
    <s v="212100"/>
    <m/>
    <n v="256779411815"/>
    <s v="USD"/>
    <n v="15"/>
    <s v="INR"/>
    <n v="1303.83"/>
    <x v="32"/>
    <n v="1277.83"/>
    <s v="Invoice"/>
  </r>
  <r>
    <s v="6779"/>
    <m/>
    <s v="SRIKARAM PRESCIENCE PVT. LTD."/>
    <d v="2025-04-16T00:00:00"/>
    <x v="92"/>
    <s v="DR"/>
    <d v="2025-04-16T00:00:00"/>
    <d v="2025-04-16T00:00:00"/>
    <m/>
    <s v="212100"/>
    <m/>
    <n v="256779412024"/>
    <s v="USD"/>
    <n v="489.55"/>
    <s v="INR"/>
    <n v="29507.142857142859"/>
    <x v="67"/>
    <n v="28917"/>
    <s v="Invoice"/>
  </r>
  <r>
    <m/>
    <m/>
    <m/>
    <m/>
    <x v="4"/>
    <m/>
    <m/>
    <m/>
    <m/>
    <m/>
    <m/>
    <s v="Total "/>
    <s v="USD"/>
    <n v="3420.3000000000006"/>
    <m/>
    <m/>
    <x v="0"/>
    <n v="4808.6855555555449"/>
    <s v="Exchange loss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0-01T00:00:00"/>
    <x v="93"/>
    <s v="DZ"/>
    <d v="2025-10-01T00:00:00"/>
    <d v="2025-10-01T00:00:00"/>
    <m/>
    <s v="212100"/>
    <m/>
    <s v=""/>
    <m/>
    <m/>
    <s v="INR"/>
    <n v="-450000"/>
    <x v="0"/>
    <n v="-450000"/>
    <s v="Payment "/>
  </r>
  <r>
    <s v="6779"/>
    <m/>
    <s v="SRIKARAM PRESCIENCE PVT. LTD."/>
    <d v="2025-04-16T00:00:00"/>
    <x v="92"/>
    <s v="DR"/>
    <d v="2025-04-16T00:00:00"/>
    <d v="2025-04-16T00:00:00"/>
    <m/>
    <s v="212100"/>
    <m/>
    <n v="256779412024"/>
    <s v="USD"/>
    <n v="489.55"/>
    <s v="INR"/>
    <n v="13045.437142857143"/>
    <x v="68"/>
    <n v="12787.273877551021"/>
    <s v="Invoice"/>
  </r>
  <r>
    <s v="6779"/>
    <m/>
    <s v="SRIKARAM PRESCIENCE PVT. LTD."/>
    <d v="2025-04-16T00:00:00"/>
    <x v="94"/>
    <s v="DR"/>
    <d v="2025-04-16T00:00:00"/>
    <d v="2025-04-16T00:00:00"/>
    <m/>
    <s v="212100"/>
    <m/>
    <n v="256779411724"/>
    <s v="USD"/>
    <n v="620"/>
    <s v="INR"/>
    <n v="53891.53"/>
    <x v="69"/>
    <n v="52813.53"/>
    <s v="Invoice"/>
  </r>
  <r>
    <s v="6779"/>
    <m/>
    <s v="SRIKARAM PRESCIENCE PVT. LTD."/>
    <d v="2025-04-16T00:00:00"/>
    <x v="95"/>
    <s v="DR"/>
    <d v="2025-04-16T00:00:00"/>
    <d v="2025-04-16T00:00:00"/>
    <m/>
    <s v="212100"/>
    <m/>
    <n v="256779412111"/>
    <s v="USD"/>
    <n v="1082.6400000000001"/>
    <s v="INR"/>
    <n v="94105.04"/>
    <x v="70"/>
    <n v="84833.04"/>
    <s v="Invoice"/>
  </r>
  <r>
    <s v="6779"/>
    <m/>
    <s v="SRIKARAM PRESCIENCE PVT. LTD."/>
    <d v="2025-04-21T00:00:00"/>
    <x v="96"/>
    <s v="DR"/>
    <d v="2025-04-21T00:00:00"/>
    <d v="2025-04-21T00:00:00"/>
    <m/>
    <s v="212100"/>
    <m/>
    <n v="256779412160"/>
    <s v="USD"/>
    <n v="188.79"/>
    <s v="INR"/>
    <n v="16200.07"/>
    <x v="71"/>
    <n v="14583.07"/>
    <s v="Invoice"/>
  </r>
  <r>
    <s v="6779"/>
    <m/>
    <s v="SRIKARAM PRESCIENCE PVT. LTD."/>
    <d v="2025-04-22T00:00:00"/>
    <x v="97"/>
    <s v="DR"/>
    <d v="2025-04-22T00:00:00"/>
    <d v="2025-04-22T00:00:00"/>
    <m/>
    <s v="212100"/>
    <m/>
    <n v="256779412661"/>
    <s v="USD"/>
    <n v="6.05"/>
    <s v="INR"/>
    <n v="525.88"/>
    <x v="26"/>
    <n v="514.88"/>
    <s v="Invoice"/>
  </r>
  <r>
    <s v="6779"/>
    <m/>
    <s v="SRIKARAM PRESCIENCE PVT. LTD."/>
    <d v="2025-04-22T00:00:00"/>
    <x v="98"/>
    <s v="DR"/>
    <d v="2025-04-22T00:00:00"/>
    <d v="2025-04-22T00:00:00"/>
    <m/>
    <s v="212100"/>
    <m/>
    <n v="256779412567"/>
    <s v="USD"/>
    <n v="17.75"/>
    <s v="INR"/>
    <n v="1542.86"/>
    <x v="33"/>
    <n v="1511.86"/>
    <s v="Invoice"/>
  </r>
  <r>
    <s v="6779"/>
    <m/>
    <s v="SRIKARAM PRESCIENCE PVT. LTD."/>
    <d v="2025-04-22T00:00:00"/>
    <x v="99"/>
    <s v="DR"/>
    <d v="2025-04-22T00:00:00"/>
    <d v="2025-04-22T00:00:00"/>
    <m/>
    <s v="212100"/>
    <m/>
    <n v="256779412618"/>
    <s v="USD"/>
    <n v="43.02"/>
    <s v="INR"/>
    <n v="3739.38"/>
    <x v="72"/>
    <n v="3664.38"/>
    <s v="Invoice"/>
  </r>
  <r>
    <s v="6779"/>
    <m/>
    <s v="SRIKARAM PRESCIENCE PVT. LTD."/>
    <d v="2025-04-23T00:00:00"/>
    <x v="100"/>
    <s v="DR"/>
    <d v="2025-04-23T00:00:00"/>
    <d v="2025-04-23T00:00:00"/>
    <m/>
    <s v="212100"/>
    <m/>
    <n v="256779412892"/>
    <s v="USD"/>
    <n v="189.2"/>
    <s v="INR"/>
    <n v="16445.61"/>
    <x v="73"/>
    <n v="16116.61"/>
    <s v="Invoice"/>
  </r>
  <r>
    <s v="6779"/>
    <m/>
    <s v="SRIKARAM PRESCIENCE PVT. LTD."/>
    <d v="2025-04-24T00:00:00"/>
    <x v="101"/>
    <s v="DR"/>
    <d v="2025-04-24T00:00:00"/>
    <d v="2025-04-24T00:00:00"/>
    <m/>
    <s v="212100"/>
    <m/>
    <n v="256779412779"/>
    <s v="USD"/>
    <n v="1820.14"/>
    <s v="INR"/>
    <n v="158209.88"/>
    <x v="74"/>
    <n v="142612.88"/>
    <s v="Invoice"/>
  </r>
  <r>
    <s v="6779"/>
    <m/>
    <s v="SRIKARAM PRESCIENCE PVT. LTD."/>
    <d v="2025-05-10T00:00:00"/>
    <x v="102"/>
    <s v="DR"/>
    <d v="2025-05-10T00:00:00"/>
    <d v="2025-05-10T00:00:00"/>
    <m/>
    <s v="212100"/>
    <m/>
    <n v="256779413245"/>
    <s v="USD"/>
    <n v="396.79"/>
    <s v="INR"/>
    <n v="34117.47"/>
    <x v="75"/>
    <n v="33440.47"/>
    <s v="Invoice"/>
  </r>
  <r>
    <s v="6779"/>
    <m/>
    <s v="SRIKARAM PRESCIENCE PVT. LTD."/>
    <d v="2025-05-10T00:00:00"/>
    <x v="103"/>
    <s v="DR"/>
    <d v="2025-05-10T00:00:00"/>
    <d v="2025-05-10T00:00:00"/>
    <m/>
    <s v="212100"/>
    <m/>
    <n v="256779413186"/>
    <s v="USD"/>
    <n v="450"/>
    <s v="INR"/>
    <n v="38692.67"/>
    <x v="76"/>
    <n v="34823.67"/>
    <s v="Invoice"/>
  </r>
  <r>
    <s v="6779"/>
    <m/>
    <s v="SRIKARAM PRESCIENCE PVT. LTD."/>
    <d v="2025-05-10T00:00:00"/>
    <x v="104"/>
    <s v="DR"/>
    <d v="2025-05-10T00:00:00"/>
    <d v="2025-05-10T00:00:00"/>
    <m/>
    <s v="212100"/>
    <m/>
    <n v="256779413115"/>
    <s v="USD"/>
    <n v="1800"/>
    <s v="INR"/>
    <n v="62622.222222222219"/>
    <x v="77"/>
    <n v="56360"/>
    <s v="Invoice"/>
  </r>
  <r>
    <m/>
    <m/>
    <m/>
    <m/>
    <x v="4"/>
    <m/>
    <m/>
    <m/>
    <m/>
    <m/>
    <m/>
    <s v="Total "/>
    <s v="USD"/>
    <n v="7103.93"/>
    <m/>
    <m/>
    <x v="0"/>
    <n v="4061.6638775509637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0-01T00:00:00"/>
    <x v="105"/>
    <s v="DZ"/>
    <d v="2025-10-01T00:00:00"/>
    <d v="2025-10-01T00:00:00"/>
    <m/>
    <s v="212100"/>
    <m/>
    <s v=""/>
    <m/>
    <m/>
    <s v="INR"/>
    <n v="-100000"/>
    <x v="0"/>
    <n v="-100000"/>
    <s v="Payment "/>
  </r>
  <r>
    <s v="6779"/>
    <m/>
    <s v="SRIKARAM PRESCIENCE PVT. LTD."/>
    <d v="2025-05-10T00:00:00"/>
    <x v="104"/>
    <s v="DR"/>
    <d v="2025-05-10T00:00:00"/>
    <d v="2025-05-10T00:00:00"/>
    <m/>
    <s v="212100"/>
    <m/>
    <n v="256779413115"/>
    <s v="USD"/>
    <n v="1800"/>
    <s v="INR"/>
    <n v="92148.437777777785"/>
    <x v="78"/>
    <n v="82933.548888888894"/>
    <s v="Invoice"/>
  </r>
  <r>
    <s v="6779"/>
    <m/>
    <s v="SRIKARAM PRESCIENCE PVT. LTD."/>
    <d v="2025-05-16T00:00:00"/>
    <x v="106"/>
    <s v="DR"/>
    <d v="2025-05-16T00:00:00"/>
    <d v="2025-05-16T00:00:00"/>
    <m/>
    <s v="212100"/>
    <m/>
    <n v="256779413316"/>
    <s v="USD"/>
    <n v="546"/>
    <s v="INR"/>
    <n v="17414.285714285714"/>
    <x v="79"/>
    <n v="17066"/>
    <s v="Invoice"/>
  </r>
  <r>
    <m/>
    <m/>
    <m/>
    <m/>
    <x v="4"/>
    <m/>
    <m/>
    <m/>
    <m/>
    <m/>
    <m/>
    <s v="Total "/>
    <s v="USD"/>
    <n v="2346"/>
    <m/>
    <m/>
    <x v="0"/>
    <n v="-0.45111111110600177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0-14T00:00:00"/>
    <x v="107"/>
    <s v="DZ"/>
    <d v="2025-10-14T00:00:00"/>
    <d v="2025-10-14T00:00:00"/>
    <m/>
    <s v="212100"/>
    <m/>
    <s v=""/>
    <m/>
    <m/>
    <s v="INR"/>
    <n v="-100000"/>
    <x v="0"/>
    <n v="-100000"/>
    <s v="Payment "/>
  </r>
  <r>
    <s v="6779"/>
    <m/>
    <s v="SRIKARAM PRESCIENCE PVT. LTD."/>
    <d v="2025-05-16T00:00:00"/>
    <x v="106"/>
    <s v="DR"/>
    <d v="2025-05-16T00:00:00"/>
    <d v="2025-05-16T00:00:00"/>
    <m/>
    <s v="212100"/>
    <m/>
    <n v="256779413316"/>
    <s v="USD"/>
    <n v="546"/>
    <s v="INR"/>
    <n v="29532.814285714285"/>
    <x v="80"/>
    <n v="28942.161224489795"/>
    <s v="Invoice"/>
  </r>
  <r>
    <s v="6779"/>
    <m/>
    <s v="SRIKARAM PRESCIENCE PVT. LTD."/>
    <d v="2025-05-20T00:00:00"/>
    <x v="108"/>
    <s v="DR"/>
    <d v="2025-05-20T00:00:00"/>
    <d v="2025-05-20T00:00:00"/>
    <m/>
    <s v="212100"/>
    <m/>
    <n v="256779413491"/>
    <s v="USD"/>
    <n v="88.75"/>
    <s v="INR"/>
    <n v="7631.05"/>
    <x v="81"/>
    <n v="7478.05"/>
    <s v="Invoice"/>
  </r>
  <r>
    <s v="6779"/>
    <m/>
    <s v="SRIKARAM PRESCIENCE PVT. LTD."/>
    <d v="2025-05-28T00:00:00"/>
    <x v="109"/>
    <s v="DR"/>
    <d v="2025-05-28T00:00:00"/>
    <d v="2025-05-28T00:00:00"/>
    <m/>
    <s v="212100"/>
    <m/>
    <n v="256779413891"/>
    <s v="USD"/>
    <n v="1501.8"/>
    <s v="INR"/>
    <n v="70644.444444444438"/>
    <x v="82"/>
    <n v="63580"/>
    <s v="Invoice"/>
  </r>
  <r>
    <m/>
    <m/>
    <m/>
    <m/>
    <x v="4"/>
    <m/>
    <m/>
    <m/>
    <m/>
    <m/>
    <m/>
    <s v="Total "/>
    <s v="USD"/>
    <n v="2136.5500000000002"/>
    <m/>
    <m/>
    <x v="0"/>
    <n v="0.21122448980167974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1-11T00:00:00"/>
    <x v="110"/>
    <s v="DZ"/>
    <d v="2025-11-11T00:00:00"/>
    <d v="2025-11-11T00:00:00"/>
    <m/>
    <s v="212100"/>
    <m/>
    <s v=""/>
    <m/>
    <m/>
    <s v="INR"/>
    <n v="-100000"/>
    <x v="0"/>
    <n v="-100000"/>
    <s v="Payment "/>
  </r>
  <r>
    <s v="6779"/>
    <m/>
    <s v="SRIKARAM PRESCIENCE PVT. LTD."/>
    <d v="2025-05-28T00:00:00"/>
    <x v="109"/>
    <s v="DR"/>
    <d v="2025-05-28T00:00:00"/>
    <d v="2025-05-28T00:00:00"/>
    <m/>
    <s v="212100"/>
    <m/>
    <n v="256779413891"/>
    <s v="USD"/>
    <n v="1501.8"/>
    <s v="INR"/>
    <n v="58485.875555555569"/>
    <x v="83"/>
    <n v="52637.320000000014"/>
    <s v="Invoice"/>
  </r>
  <r>
    <s v="6779"/>
    <m/>
    <s v="SRIKARAM PRESCIENCE PVT. LTD."/>
    <d v="2025-06-02T00:00:00"/>
    <x v="111"/>
    <s v="DR"/>
    <d v="2025-06-02T00:00:00"/>
    <d v="2025-06-02T00:00:00"/>
    <m/>
    <s v="212100"/>
    <m/>
    <n v="256779413998"/>
    <s v="USD"/>
    <n v="190.21"/>
    <s v="INR"/>
    <n v="16261.2"/>
    <x v="84"/>
    <n v="15936.2"/>
    <s v="Invoice"/>
  </r>
  <r>
    <s v="6779"/>
    <m/>
    <s v="SRIKARAM PRESCIENCE PVT. LTD."/>
    <d v="2025-06-02T00:00:00"/>
    <x v="112"/>
    <s v="DR"/>
    <d v="2025-06-02T00:00:00"/>
    <d v="2025-06-02T00:00:00"/>
    <m/>
    <s v="212100"/>
    <m/>
    <n v="256779413922"/>
    <s v="USD"/>
    <n v="368.88"/>
    <s v="INR"/>
    <n v="31535.84"/>
    <x v="85"/>
    <n v="30904.84"/>
    <s v="Invoice"/>
  </r>
  <r>
    <s v="6779"/>
    <m/>
    <s v="SRIKARAM PRESCIENCE PVT. LTD."/>
    <d v="2025-06-04T00:00:00"/>
    <x v="113"/>
    <s v="DR"/>
    <d v="2025-06-04T00:00:00"/>
    <d v="2025-06-04T00:00:00"/>
    <m/>
    <s v="212100"/>
    <m/>
    <n v="256779414264"/>
    <s v="USD"/>
    <n v="7.02"/>
    <s v="INR"/>
    <n v="532.65306122448976"/>
    <x v="86"/>
    <n v="522"/>
    <s v="Invoice"/>
  </r>
  <r>
    <m/>
    <m/>
    <m/>
    <m/>
    <x v="4"/>
    <m/>
    <m/>
    <m/>
    <m/>
    <m/>
    <m/>
    <s v="Total "/>
    <s v="USD"/>
    <n v="2067.91"/>
    <m/>
    <m/>
    <x v="0"/>
    <n v="0.36000000001513399"/>
    <s v="Exchange loss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1-11T00:00:00"/>
    <x v="114"/>
    <s v="DZ"/>
    <d v="2025-11-11T00:00:00"/>
    <d v="2025-11-11T00:00:00"/>
    <m/>
    <s v="212100"/>
    <m/>
    <s v=""/>
    <m/>
    <m/>
    <s v="INR"/>
    <n v="-100000"/>
    <x v="0"/>
    <n v="-100000"/>
    <s v="Payment "/>
  </r>
  <r>
    <s v="6779"/>
    <m/>
    <s v="SRIKARAM PRESCIENCE PVT. LTD."/>
    <d v="2025-06-04T00:00:00"/>
    <x v="113"/>
    <s v="DR"/>
    <d v="2025-06-04T00:00:00"/>
    <d v="2025-06-04T00:00:00"/>
    <m/>
    <s v="212100"/>
    <m/>
    <n v="256779414264"/>
    <s v="USD"/>
    <n v="7.02"/>
    <s v="INR"/>
    <n v="67.496938775510216"/>
    <x v="87"/>
    <n v="66.150000000000006"/>
    <s v="Invoice"/>
  </r>
  <r>
    <s v="6779"/>
    <m/>
    <s v="SRIKARAM PRESCIENCE PVT. LTD."/>
    <d v="2025-06-04T00:00:00"/>
    <x v="115"/>
    <s v="DR"/>
    <d v="2025-06-04T00:00:00"/>
    <d v="2025-06-04T00:00:00"/>
    <m/>
    <s v="212100"/>
    <m/>
    <n v="256779414221"/>
    <s v="USD"/>
    <n v="46.22"/>
    <s v="INR"/>
    <n v="3951.38"/>
    <x v="88"/>
    <n v="3872"/>
    <s v="Invoice"/>
  </r>
  <r>
    <s v="6779"/>
    <m/>
    <s v="SRIKARAM PRESCIENCE PVT. LTD."/>
    <d v="2025-06-04T00:00:00"/>
    <x v="116"/>
    <s v="DR"/>
    <d v="2025-06-04T00:00:00"/>
    <d v="2025-06-04T00:00:00"/>
    <m/>
    <s v="212100"/>
    <m/>
    <n v="256779414176"/>
    <s v="USD"/>
    <n v="129.31"/>
    <s v="INR"/>
    <n v="11054.81"/>
    <x v="89"/>
    <n v="10834"/>
    <s v="Invoice"/>
  </r>
  <r>
    <s v="6779"/>
    <m/>
    <s v="SRIKARAM PRESCIENCE PVT. LTD."/>
    <d v="2025-06-04T00:00:00"/>
    <x v="117"/>
    <s v="DR"/>
    <d v="2025-06-04T00:00:00"/>
    <d v="2025-06-04T00:00:00"/>
    <m/>
    <s v="212100"/>
    <m/>
    <n v="256779414320"/>
    <s v="USD"/>
    <n v="611.36"/>
    <s v="INR"/>
    <n v="52265.64"/>
    <x v="90"/>
    <n v="51221"/>
    <s v="Invoice"/>
  </r>
  <r>
    <s v="6779"/>
    <m/>
    <s v="SRIKARAM PRESCIENCE PVT. LTD."/>
    <d v="2025-06-07T00:00:00"/>
    <x v="118"/>
    <s v="DR"/>
    <d v="2025-06-07T00:00:00"/>
    <d v="2025-06-07T00:00:00"/>
    <m/>
    <s v="212100"/>
    <m/>
    <n v="256779414232"/>
    <s v="USD"/>
    <n v="1240.4000000000001"/>
    <s v="INR"/>
    <n v="37785.555555555555"/>
    <x v="91"/>
    <n v="34007"/>
    <s v="Invoice"/>
  </r>
  <r>
    <m/>
    <m/>
    <m/>
    <m/>
    <x v="4"/>
    <m/>
    <m/>
    <m/>
    <m/>
    <m/>
    <m/>
    <s v="Total "/>
    <s v="USD"/>
    <n v="7.02"/>
    <m/>
    <m/>
    <x v="0"/>
    <n v="0.14999999999417923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1-16T00:00:00"/>
    <x v="119"/>
    <s v="DZ"/>
    <d v="2025-11-16T00:00:00"/>
    <d v="2025-11-16T00:00:00"/>
    <m/>
    <s v="212100"/>
    <m/>
    <s v=""/>
    <m/>
    <m/>
    <s v="INR"/>
    <n v="-100000"/>
    <x v="0"/>
    <n v="-100000"/>
    <s v="Payment "/>
  </r>
  <r>
    <s v="6779"/>
    <m/>
    <s v="SRIKARAM PRESCIENCE PVT. LTD."/>
    <d v="2025-06-07T00:00:00"/>
    <x v="118"/>
    <s v="DR"/>
    <d v="2025-06-07T00:00:00"/>
    <d v="2025-06-07T00:00:00"/>
    <m/>
    <s v="212100"/>
    <m/>
    <n v="256779414232"/>
    <s v="USD"/>
    <n v="1240.4000000000001"/>
    <s v="INR"/>
    <n v="68257.204444444447"/>
    <x v="92"/>
    <n v="61431.426666666666"/>
    <s v="Invoice"/>
  </r>
  <r>
    <s v="6779"/>
    <m/>
    <s v="SRIKARAM PRESCIENCE PVT. LTD."/>
    <d v="2025-06-10T00:00:00"/>
    <x v="120"/>
    <s v="DR"/>
    <d v="2025-06-10T00:00:00"/>
    <d v="2025-06-10T00:00:00"/>
    <m/>
    <s v="212100"/>
    <m/>
    <n v="256779414374"/>
    <s v="USD"/>
    <n v="1800"/>
    <s v="INR"/>
    <n v="42853.333333333336"/>
    <x v="93"/>
    <n v="38568"/>
    <s v="Invoice"/>
  </r>
  <r>
    <m/>
    <m/>
    <m/>
    <m/>
    <x v="4"/>
    <m/>
    <m/>
    <m/>
    <m/>
    <m/>
    <m/>
    <s v="Total "/>
    <s v="USD"/>
    <n v="3040.4"/>
    <m/>
    <m/>
    <x v="0"/>
    <n v="-0.57333333333372138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1-25T00:00:00"/>
    <x v="121"/>
    <s v="DZ"/>
    <d v="2025-11-25T00:00:00"/>
    <d v="2025-11-25T00:00:00"/>
    <m/>
    <s v="212100"/>
    <m/>
    <s v=""/>
    <m/>
    <m/>
    <s v="INR"/>
    <n v="-100000"/>
    <x v="0"/>
    <n v="-100000"/>
    <s v="Payment "/>
  </r>
  <r>
    <s v="6779"/>
    <m/>
    <s v="SRIKARAM PRESCIENCE PVT. LTD."/>
    <d v="2025-06-10T00:00:00"/>
    <x v="120"/>
    <s v="DR"/>
    <d v="2025-06-10T00:00:00"/>
    <d v="2025-06-10T00:00:00"/>
    <m/>
    <s v="212100"/>
    <m/>
    <n v="256779414374"/>
    <s v="USD"/>
    <n v="1800"/>
    <s v="INR"/>
    <n v="111030.06666666665"/>
    <x v="94"/>
    <n v="99927.066666666651"/>
    <s v="Invoice"/>
  </r>
  <r>
    <s v="6779"/>
    <m/>
    <s v="SRIKARAM PRESCIENCE PVT. LTD."/>
    <d v="2025-06-13T00:00:00"/>
    <x v="122"/>
    <s v="DR"/>
    <d v="2025-06-13T00:00:00"/>
    <d v="2025-06-13T00:00:00"/>
    <m/>
    <s v="212100"/>
    <m/>
    <n v="256779414342"/>
    <s v="USD"/>
    <n v="465"/>
    <s v="INR"/>
    <n v="81.111111111111114"/>
    <x v="95"/>
    <n v="73"/>
    <s v="Invoice"/>
  </r>
  <r>
    <m/>
    <m/>
    <m/>
    <m/>
    <x v="4"/>
    <m/>
    <m/>
    <m/>
    <m/>
    <m/>
    <m/>
    <s v="Total "/>
    <s v="USD"/>
    <n v="2265"/>
    <m/>
    <m/>
    <x v="0"/>
    <n v="6.6666666651144624E-2"/>
    <s v="Exchange loss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2-03T00:00:00"/>
    <x v="123"/>
    <s v="DZ"/>
    <d v="2025-12-03T00:00:00"/>
    <d v="2025-12-03T00:00:00"/>
    <m/>
    <s v="212100"/>
    <m/>
    <s v=""/>
    <m/>
    <m/>
    <s v="INR"/>
    <n v="-100000"/>
    <x v="0"/>
    <n v="-100000"/>
    <s v="Payment "/>
  </r>
  <r>
    <s v="6779"/>
    <m/>
    <s v="SRIKARAM PRESCIENCE PVT. LTD."/>
    <d v="2025-06-13T00:00:00"/>
    <x v="122"/>
    <s v="DR"/>
    <d v="2025-06-13T00:00:00"/>
    <d v="2025-06-13T00:00:00"/>
    <m/>
    <s v="212100"/>
    <m/>
    <n v="256779414342"/>
    <s v="USD"/>
    <n v="465"/>
    <s v="INR"/>
    <n v="39672.09888888889"/>
    <x v="96"/>
    <n v="35711.876666666671"/>
    <s v="Invoice"/>
  </r>
  <r>
    <s v="6779"/>
    <m/>
    <s v="SRIKARAM PRESCIENCE PVT. LTD."/>
    <d v="2025-06-19T00:00:00"/>
    <x v="124"/>
    <s v="DR"/>
    <d v="2025-06-19T00:00:00"/>
    <d v="2025-06-19T00:00:00"/>
    <m/>
    <s v="212100"/>
    <m/>
    <n v="256779414736"/>
    <s v="USD"/>
    <n v="110"/>
    <s v="INR"/>
    <n v="9403.99"/>
    <x v="97"/>
    <n v="9214.99"/>
    <s v="Invoice"/>
  </r>
  <r>
    <s v="6779"/>
    <m/>
    <s v="SRIKARAM PRESCIENCE PVT. LTD."/>
    <d v="2025-06-19T00:00:00"/>
    <x v="125"/>
    <s v="DR"/>
    <d v="2025-06-19T00:00:00"/>
    <d v="2025-06-19T00:00:00"/>
    <m/>
    <s v="212100"/>
    <m/>
    <n v="256779414744"/>
    <s v="USD"/>
    <n v="287.81"/>
    <s v="INR"/>
    <n v="24605.1"/>
    <x v="98"/>
    <n v="24109.1"/>
    <s v="Invoice"/>
  </r>
  <r>
    <s v="6779"/>
    <m/>
    <s v="SRIKARAM PRESCIENCE PVT. LTD."/>
    <d v="2025-07-04T00:00:00"/>
    <x v="126"/>
    <s v="DR"/>
    <d v="2025-07-04T00:00:00"/>
    <d v="2025-07-04T00:00:00"/>
    <m/>
    <s v="212100"/>
    <m/>
    <n v="256779414834"/>
    <s v="USD"/>
    <n v="15.28"/>
    <s v="INR"/>
    <n v="1314.09"/>
    <x v="32"/>
    <n v="1288.0899999999999"/>
    <s v="Invoice"/>
  </r>
  <r>
    <s v="6779"/>
    <m/>
    <s v="SRIKARAM PRESCIENCE PVT. LTD."/>
    <d v="2025-07-04T00:00:00"/>
    <x v="127"/>
    <s v="DR"/>
    <d v="2025-07-04T00:00:00"/>
    <d v="2025-07-04T00:00:00"/>
    <m/>
    <s v="212100"/>
    <m/>
    <n v="256779414881"/>
    <s v="USD"/>
    <n v="52.22"/>
    <s v="INR"/>
    <n v="4490.95"/>
    <x v="99"/>
    <n v="4400.95"/>
    <s v="Invoice"/>
  </r>
  <r>
    <s v="6779"/>
    <m/>
    <s v="SRIKARAM PRESCIENCE PVT. LTD."/>
    <d v="2025-07-04T00:00:00"/>
    <x v="128"/>
    <s v="DR"/>
    <d v="2025-07-04T00:00:00"/>
    <d v="2025-07-04T00:00:00"/>
    <m/>
    <s v="212100"/>
    <m/>
    <n v="256779414769"/>
    <s v="USD"/>
    <n v="66.790000000000006"/>
    <s v="INR"/>
    <n v="5743.98"/>
    <x v="100"/>
    <n v="5628.98"/>
    <s v="Invoice"/>
  </r>
  <r>
    <s v="6779"/>
    <m/>
    <s v="SRIKARAM PRESCIENCE PVT. LTD."/>
    <d v="2025-07-04T00:00:00"/>
    <x v="129"/>
    <s v="DR"/>
    <d v="2025-07-04T00:00:00"/>
    <d v="2025-07-04T00:00:00"/>
    <m/>
    <s v="212100"/>
    <m/>
    <n v="256779415265"/>
    <s v="USD"/>
    <n v="164.73"/>
    <s v="INR"/>
    <n v="14166.89"/>
    <x v="101"/>
    <n v="13883.89"/>
    <s v="Invoice"/>
  </r>
  <r>
    <s v="6779"/>
    <m/>
    <s v="SRIKARAM PRESCIENCE PVT. LTD."/>
    <d v="2025-07-04T00:00:00"/>
    <x v="130"/>
    <s v="DR"/>
    <d v="2025-07-04T00:00:00"/>
    <d v="2025-07-04T00:00:00"/>
    <m/>
    <s v="212100"/>
    <m/>
    <n v="256779415020"/>
    <s v="USD"/>
    <n v="175.39"/>
    <s v="INR"/>
    <n v="5704.0816326530612"/>
    <x v="102"/>
    <n v="5590"/>
    <s v="Invoice"/>
  </r>
  <r>
    <m/>
    <m/>
    <m/>
    <m/>
    <x v="4"/>
    <m/>
    <m/>
    <m/>
    <m/>
    <m/>
    <m/>
    <s v="Total "/>
    <s v="USD"/>
    <n v="1337.2199999999998"/>
    <m/>
    <m/>
    <x v="0"/>
    <n v="-172.12333333333299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2-18T00:00:00"/>
    <x v="131"/>
    <s v="DZ"/>
    <d v="2025-12-18T00:00:00"/>
    <d v="2025-12-18T00:00:00"/>
    <m/>
    <s v="212100"/>
    <m/>
    <s v=""/>
    <m/>
    <m/>
    <s v="INR"/>
    <n v="-100000"/>
    <x v="0"/>
    <n v="-100000"/>
    <s v="Payment "/>
  </r>
  <r>
    <s v="6779"/>
    <m/>
    <s v="SRIKARAM PRESCIENCE PVT. LTD."/>
    <d v="2025-07-04T00:00:00"/>
    <x v="130"/>
    <s v="DR"/>
    <d v="2025-07-04T00:00:00"/>
    <d v="2025-07-04T00:00:00"/>
    <m/>
    <s v="212100"/>
    <m/>
    <n v="256779415020"/>
    <s v="USD"/>
    <n v="175.39"/>
    <s v="INR"/>
    <n v="9379.5783673469377"/>
    <x v="103"/>
    <n v="9191.9865306122447"/>
    <s v="Invoice"/>
  </r>
  <r>
    <s v="6779"/>
    <m/>
    <s v="SRIKARAM PRESCIENCE PVT. LTD."/>
    <d v="2025-07-04T00:00:00"/>
    <x v="132"/>
    <s v="DR"/>
    <d v="2025-07-04T00:00:00"/>
    <d v="2025-07-04T00:00:00"/>
    <m/>
    <s v="212100"/>
    <m/>
    <n v="256779414803"/>
    <s v="USD"/>
    <n v="318.63"/>
    <s v="INR"/>
    <n v="27402.39"/>
    <x v="104"/>
    <n v="26854.39"/>
    <s v="Invoice"/>
  </r>
  <r>
    <s v="6779"/>
    <m/>
    <s v="SRIKARAM PRESCIENCE PVT. LTD."/>
    <d v="2025-07-04T00:00:00"/>
    <x v="133"/>
    <s v="DR"/>
    <d v="2025-07-04T00:00:00"/>
    <d v="2025-07-04T00:00:00"/>
    <m/>
    <s v="212100"/>
    <m/>
    <n v="256779415188"/>
    <s v="USD"/>
    <n v="1521.18"/>
    <s v="INR"/>
    <n v="71060"/>
    <x v="105"/>
    <n v="63954"/>
    <s v="Invoice"/>
  </r>
  <r>
    <m/>
    <m/>
    <m/>
    <m/>
    <x v="4"/>
    <m/>
    <m/>
    <m/>
    <m/>
    <m/>
    <m/>
    <s v="Total "/>
    <s v="USD"/>
    <n v="2015.2"/>
    <m/>
    <m/>
    <x v="0"/>
    <n v="0.37653061225137208"/>
    <s v="Exchange loss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6-01-08T00:00:00"/>
    <x v="134"/>
    <s v="DZ"/>
    <d v="2026-01-08T00:00:00"/>
    <d v="2026-01-08T00:00:00"/>
    <m/>
    <s v="212100"/>
    <m/>
    <s v=""/>
    <m/>
    <m/>
    <s v="INR"/>
    <n v="-200000"/>
    <x v="0"/>
    <n v="-200000"/>
    <s v="Payment "/>
  </r>
  <r>
    <s v="6779"/>
    <m/>
    <s v="SRIKARAM PRESCIENCE PVT. LTD."/>
    <d v="2025-07-04T00:00:00"/>
    <x v="133"/>
    <s v="DR"/>
    <d v="2025-07-04T00:00:00"/>
    <d v="2025-07-04T00:00:00"/>
    <m/>
    <s v="212100"/>
    <m/>
    <n v="256779415188"/>
    <s v="USD"/>
    <n v="1521.18"/>
    <s v="INR"/>
    <n v="59762.5"/>
    <x v="106"/>
    <n v="53786.277777777781"/>
    <s v="Invoice"/>
  </r>
  <r>
    <s v="6779"/>
    <m/>
    <s v="SRIKARAM PRESCIENCE PVT. LTD."/>
    <d v="2025-07-04T00:00:00"/>
    <x v="135"/>
    <s v="DR"/>
    <d v="2025-07-04T00:00:00"/>
    <d v="2025-07-04T00:00:00"/>
    <m/>
    <s v="212100"/>
    <m/>
    <n v="256779414932"/>
    <s v="USD"/>
    <n v="1800"/>
    <s v="INR"/>
    <n v="154801.21"/>
    <x v="107"/>
    <n v="139321.21"/>
    <s v="Invoice"/>
  </r>
  <r>
    <s v="6779"/>
    <m/>
    <s v="SRIKARAM PRESCIENCE PVT. LTD."/>
    <d v="2025-07-18T00:00:00"/>
    <x v="136"/>
    <s v="DR"/>
    <d v="2025-07-18T00:00:00"/>
    <d v="2025-07-18T00:00:00"/>
    <m/>
    <s v="212100"/>
    <m/>
    <n v="256779415526"/>
    <s v="USD"/>
    <n v="2.75"/>
    <s v="INR"/>
    <n v="236.5"/>
    <x v="108"/>
    <n v="231.5"/>
    <s v="Invoice"/>
  </r>
  <r>
    <s v="6779"/>
    <m/>
    <s v="SRIKARAM PRESCIENCE PVT. LTD."/>
    <d v="2025-07-18T00:00:00"/>
    <x v="137"/>
    <s v="DR"/>
    <d v="2025-07-18T00:00:00"/>
    <d v="2025-07-18T00:00:00"/>
    <m/>
    <s v="212100"/>
    <m/>
    <n v="256779415445"/>
    <s v="USD"/>
    <n v="26.09"/>
    <s v="INR"/>
    <n v="2243.7600000000002"/>
    <x v="21"/>
    <n v="2198.7600000000002"/>
    <s v="Invoice"/>
  </r>
  <r>
    <s v="6779"/>
    <m/>
    <s v="SRIKARAM PRESCIENCE PVT. LTD."/>
    <d v="2025-07-18T00:00:00"/>
    <x v="138"/>
    <s v="DR"/>
    <d v="2025-07-18T00:00:00"/>
    <d v="2025-07-18T00:00:00"/>
    <m/>
    <s v="212100"/>
    <m/>
    <n v="256779415458"/>
    <s v="USD"/>
    <n v="73.739999999999995"/>
    <s v="INR"/>
    <n v="4553.0612244897957"/>
    <x v="109"/>
    <n v="4462"/>
    <s v="Invoice"/>
  </r>
  <r>
    <m/>
    <m/>
    <m/>
    <m/>
    <x v="4"/>
    <m/>
    <m/>
    <m/>
    <m/>
    <m/>
    <m/>
    <s v="Total "/>
    <s v="USD"/>
    <n v="3423.76"/>
    <m/>
    <m/>
    <x v="0"/>
    <n v="-0.25222222222691926"/>
    <s v="Exchange gain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6-01-09T00:00:00"/>
    <x v="139"/>
    <s v="DZ"/>
    <d v="2026-01-09T00:00:00"/>
    <d v="2026-01-09T00:00:00"/>
    <m/>
    <s v="212100"/>
    <m/>
    <s v=""/>
    <m/>
    <m/>
    <s v="INR"/>
    <n v="-100000"/>
    <x v="0"/>
    <n v="-100000"/>
    <s v="Payment "/>
  </r>
  <r>
    <s v="6779"/>
    <m/>
    <s v="SRIKARAM PRESCIENCE PVT. LTD."/>
    <d v="2025-07-18T00:00:00"/>
    <x v="138"/>
    <s v="DR"/>
    <d v="2025-07-18T00:00:00"/>
    <d v="2025-07-18T00:00:00"/>
    <m/>
    <s v="212100"/>
    <m/>
    <n v="256779415458"/>
    <s v="USD"/>
    <n v="73.739999999999995"/>
    <s v="INR"/>
    <n v="1788.6287755102039"/>
    <x v="110"/>
    <n v="1752.8532653061222"/>
    <s v="Invoice"/>
  </r>
  <r>
    <s v="6779"/>
    <m/>
    <s v="SRIKARAM PRESCIENCE PVT. LTD."/>
    <d v="2025-07-18T00:00:00"/>
    <x v="140"/>
    <s v="DR"/>
    <d v="2025-07-18T00:00:00"/>
    <d v="2025-07-18T00:00:00"/>
    <m/>
    <s v="212100"/>
    <m/>
    <n v="256779415434"/>
    <s v="USD"/>
    <n v="110.95"/>
    <s v="INR"/>
    <n v="9541.77"/>
    <x v="111"/>
    <n v="9350.77"/>
    <s v="Invoice"/>
  </r>
  <r>
    <s v="6779"/>
    <m/>
    <s v="SRIKARAM PRESCIENCE PVT. LTD."/>
    <d v="2025-07-18T00:00:00"/>
    <x v="141"/>
    <s v="DR"/>
    <d v="2025-07-18T00:00:00"/>
    <d v="2025-07-18T00:00:00"/>
    <m/>
    <s v="212100"/>
    <m/>
    <n v="256779415702"/>
    <s v="USD"/>
    <n v="200"/>
    <s v="INR"/>
    <n v="17200.13"/>
    <x v="112"/>
    <n v="16856.13"/>
    <s v="Invoice"/>
  </r>
  <r>
    <s v="6779"/>
    <m/>
    <s v="SRIKARAM PRESCIENCE PVT. LTD."/>
    <d v="2025-07-18T00:00:00"/>
    <x v="142"/>
    <s v="DR"/>
    <d v="2025-07-18T00:00:00"/>
    <d v="2025-07-18T00:00:00"/>
    <m/>
    <s v="212100"/>
    <m/>
    <n v="256779415486"/>
    <s v="USD"/>
    <n v="239.19"/>
    <s v="INR"/>
    <n v="20570.5"/>
    <x v="113"/>
    <n v="20159.5"/>
    <s v="Invoice"/>
  </r>
  <r>
    <s v="6779"/>
    <m/>
    <s v="SRIKARAM PRESCIENCE PVT. LTD."/>
    <d v="2025-07-24T00:00:00"/>
    <x v="143"/>
    <s v="DR"/>
    <d v="2025-07-24T00:00:00"/>
    <d v="2025-07-24T00:00:00"/>
    <m/>
    <s v="212100"/>
    <m/>
    <n v="256779415946"/>
    <s v="USD"/>
    <n v="29.25"/>
    <s v="INR"/>
    <n v="2515.52"/>
    <x v="114"/>
    <n v="2465.52"/>
    <s v="Invoice"/>
  </r>
  <r>
    <s v="6779"/>
    <m/>
    <s v="SRIKARAM PRESCIENCE PVT. LTD."/>
    <d v="2025-07-25T00:00:00"/>
    <x v="144"/>
    <s v="DR"/>
    <d v="2025-07-25T00:00:00"/>
    <d v="2025-07-25T00:00:00"/>
    <m/>
    <s v="212100"/>
    <m/>
    <n v="256779416000"/>
    <s v="USD"/>
    <n v="151.58000000000001"/>
    <s v="INR"/>
    <n v="13035.98"/>
    <x v="115"/>
    <n v="12776.98"/>
    <s v="Invoice"/>
  </r>
  <r>
    <s v="6779"/>
    <m/>
    <s v="SRIKARAM PRESCIENCE PVT. LTD."/>
    <d v="2025-07-25T00:00:00"/>
    <x v="145"/>
    <s v="DR"/>
    <d v="2025-07-25T00:00:00"/>
    <d v="2025-07-25T00:00:00"/>
    <m/>
    <s v="212100"/>
    <m/>
    <n v="256779415968"/>
    <s v="USD"/>
    <n v="465"/>
    <s v="INR"/>
    <n v="39990.31"/>
    <x v="116"/>
    <n v="35991.31"/>
    <s v="Invoice"/>
  </r>
  <r>
    <s v="6779"/>
    <m/>
    <s v="SRIKARAM PRESCIENCE PVT. LTD."/>
    <d v="2025-08-01T00:00:00"/>
    <x v="146"/>
    <s v="DR"/>
    <d v="2025-08-01T00:00:00"/>
    <d v="2025-08-01T00:00:00"/>
    <m/>
    <s v="212100"/>
    <m/>
    <n v="256779416043"/>
    <s v="USD"/>
    <n v="1800"/>
    <s v="INR"/>
    <n v="806.66666666666663"/>
    <x v="117"/>
    <n v="726"/>
    <s v="Invoice"/>
  </r>
  <r>
    <m/>
    <m/>
    <m/>
    <m/>
    <x v="4"/>
    <m/>
    <m/>
    <m/>
    <m/>
    <m/>
    <m/>
    <s v="Total "/>
    <s v="USD"/>
    <n v="3069.71"/>
    <m/>
    <m/>
    <x v="0"/>
    <n v="79.063265306132962"/>
    <s v="Exchange loss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6-01-19T00:00:00"/>
    <x v="147"/>
    <s v="DZ"/>
    <d v="2026-01-19T00:00:00"/>
    <d v="2026-01-19T00:00:00"/>
    <m/>
    <s v="212100"/>
    <m/>
    <s v=""/>
    <m/>
    <m/>
    <s v="INR"/>
    <n v="-150000"/>
    <x v="0"/>
    <n v="-150000"/>
    <s v="Payment "/>
  </r>
  <r>
    <s v="6779"/>
    <m/>
    <s v="SRIKARAM PRESCIENCE PVT. LTD."/>
    <d v="2025-08-01T00:00:00"/>
    <x v="146"/>
    <s v="DR"/>
    <d v="2025-08-01T00:00:00"/>
    <d v="2025-08-01T00:00:00"/>
    <m/>
    <s v="212100"/>
    <m/>
    <n v="256779416043"/>
    <s v="USD"/>
    <n v="1800"/>
    <s v="INR"/>
    <n v="154047.55333333334"/>
    <x v="118"/>
    <n v="138642.77555555556"/>
    <s v="Invoice"/>
  </r>
  <r>
    <s v="6779"/>
    <m/>
    <s v="SRIKARAM PRESCIENCE PVT. LTD."/>
    <d v="2025-08-08T00:00:00"/>
    <x v="148"/>
    <s v="DR"/>
    <d v="2025-08-08T00:00:00"/>
    <d v="2025-08-08T00:00:00"/>
    <m/>
    <s v="212100"/>
    <m/>
    <n v="256779416455"/>
    <s v="USD"/>
    <n v="13.71"/>
    <s v="INR"/>
    <n v="1179.47"/>
    <x v="119"/>
    <n v="1155.47"/>
    <s v="Invoice"/>
  </r>
  <r>
    <s v="6779"/>
    <m/>
    <s v="SRIKARAM PRESCIENCE PVT. LTD."/>
    <d v="2025-08-08T00:00:00"/>
    <x v="149"/>
    <s v="DR"/>
    <d v="2025-08-08T00:00:00"/>
    <d v="2025-08-08T00:00:00"/>
    <m/>
    <s v="212100"/>
    <m/>
    <n v="256779416229"/>
    <s v="USD"/>
    <n v="22.7"/>
    <s v="INR"/>
    <n v="1952.88"/>
    <x v="120"/>
    <n v="1913.88"/>
    <s v="Invoice"/>
  </r>
  <r>
    <s v="6779"/>
    <m/>
    <s v="SRIKARAM PRESCIENCE PVT. LTD."/>
    <d v="2025-08-08T00:00:00"/>
    <x v="150"/>
    <s v="DR"/>
    <d v="2025-08-08T00:00:00"/>
    <d v="2025-08-08T00:00:00"/>
    <m/>
    <s v="212100"/>
    <m/>
    <n v="256779416143"/>
    <s v="USD"/>
    <n v="26.27"/>
    <s v="INR"/>
    <n v="2260.0100000000002"/>
    <x v="21"/>
    <n v="2215.0100000000002"/>
    <s v="Invoice"/>
  </r>
  <r>
    <s v="6779"/>
    <m/>
    <s v="SRIKARAM PRESCIENCE PVT. LTD."/>
    <d v="2025-08-08T00:00:00"/>
    <x v="151"/>
    <s v="DR"/>
    <d v="2025-08-08T00:00:00"/>
    <d v="2025-08-08T00:00:00"/>
    <m/>
    <s v="212100"/>
    <m/>
    <n v="256779416517"/>
    <s v="USD"/>
    <n v="56.33"/>
    <s v="INR"/>
    <n v="4846.08"/>
    <x v="121"/>
    <n v="4749.08"/>
    <s v="Invoice"/>
  </r>
  <r>
    <s v="6779"/>
    <m/>
    <s v="SRIKARAM PRESCIENCE PVT. LTD."/>
    <d v="2025-08-08T00:00:00"/>
    <x v="152"/>
    <s v="DR"/>
    <d v="2025-08-08T00:00:00"/>
    <d v="2025-08-08T00:00:00"/>
    <m/>
    <s v="212100"/>
    <m/>
    <n v="256779416183"/>
    <s v="USD"/>
    <n v="102.33"/>
    <s v="INR"/>
    <n v="1351.0204081632653"/>
    <x v="122"/>
    <n v="1324"/>
    <s v="Invoice"/>
  </r>
  <r>
    <m/>
    <m/>
    <m/>
    <m/>
    <x v="4"/>
    <m/>
    <m/>
    <m/>
    <m/>
    <m/>
    <m/>
    <s v="Total "/>
    <s v="USD"/>
    <n v="2021.34"/>
    <m/>
    <m/>
    <x v="0"/>
    <n v="0.21555555556187755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6-01-23T00:00:00"/>
    <x v="153"/>
    <s v="DZ"/>
    <d v="2026-01-23T00:00:00"/>
    <d v="2026-01-23T00:00:00"/>
    <m/>
    <s v="212100"/>
    <m/>
    <s v=""/>
    <m/>
    <m/>
    <s v="INR"/>
    <n v="-150000"/>
    <x v="0"/>
    <n v="-150000"/>
    <s v="Payment "/>
  </r>
  <r>
    <s v="6779"/>
    <m/>
    <s v="SRIKARAM PRESCIENCE PVT. LTD."/>
    <d v="2025-08-08T00:00:00"/>
    <x v="152"/>
    <s v="DR"/>
    <d v="2025-08-08T00:00:00"/>
    <d v="2025-08-08T00:00:00"/>
    <m/>
    <s v="212100"/>
    <m/>
    <n v="256779416183"/>
    <s v="USD"/>
    <n v="102.33"/>
    <s v="INR"/>
    <n v="7452.4395918367336"/>
    <x v="123"/>
    <n v="7303.3987755102025"/>
    <s v="Invoice"/>
  </r>
  <r>
    <s v="6779"/>
    <m/>
    <s v="SRIKARAM PRESCIENCE PVT. LTD."/>
    <d v="2025-08-08T00:00:00"/>
    <x v="154"/>
    <s v="DR"/>
    <d v="2025-08-08T00:00:00"/>
    <d v="2025-08-08T00:00:00"/>
    <m/>
    <s v="212100"/>
    <m/>
    <n v="256779416447"/>
    <s v="USD"/>
    <n v="358.32"/>
    <s v="INR"/>
    <n v="30826.31"/>
    <x v="124"/>
    <n v="30209.31"/>
    <s v="Invoice"/>
  </r>
  <r>
    <s v="6779"/>
    <m/>
    <s v="SRIKARAM PRESCIENCE PVT. LTD."/>
    <d v="2025-08-08T00:00:00"/>
    <x v="155"/>
    <s v="DR"/>
    <d v="2025-08-08T00:00:00"/>
    <d v="2025-08-08T00:00:00"/>
    <m/>
    <s v="212100"/>
    <m/>
    <n v="256779416081"/>
    <s v="USD"/>
    <n v="1267.5"/>
    <s v="INR"/>
    <n v="109043.18"/>
    <x v="125"/>
    <n v="98139.18"/>
    <s v="Invoice"/>
  </r>
  <r>
    <s v="6779"/>
    <m/>
    <s v="SRIKARAM PRESCIENCE PVT. LTD."/>
    <d v="2025-08-20T00:00:00"/>
    <x v="156"/>
    <s v="DR"/>
    <d v="2025-08-20T00:00:00"/>
    <d v="2025-08-20T00:00:00"/>
    <m/>
    <s v="212100"/>
    <m/>
    <n v="256779416848"/>
    <s v="USD"/>
    <n v="17.75"/>
    <s v="INR"/>
    <n v="1527.03"/>
    <x v="33"/>
    <n v="1496.03"/>
    <s v="Invoice"/>
  </r>
  <r>
    <s v="6779"/>
    <m/>
    <s v="SRIKARAM PRESCIENCE PVT. LTD."/>
    <d v="2025-08-20T00:00:00"/>
    <x v="157"/>
    <s v="DR"/>
    <d v="2025-08-20T00:00:00"/>
    <d v="2025-08-20T00:00:00"/>
    <m/>
    <s v="212100"/>
    <m/>
    <n v="256779416883"/>
    <s v="USD"/>
    <n v="50.05"/>
    <s v="INR"/>
    <n v="4305.8100000000004"/>
    <x v="63"/>
    <n v="4219.8100000000004"/>
    <s v="Invoice"/>
  </r>
  <r>
    <s v="6779"/>
    <m/>
    <s v="SRIKARAM PRESCIENCE PVT. LTD."/>
    <d v="2025-09-04T00:00:00"/>
    <x v="158"/>
    <s v="DR"/>
    <d v="2025-09-04T00:00:00"/>
    <d v="2025-09-04T00:00:00"/>
    <m/>
    <s v="212100"/>
    <m/>
    <n v="256779417330"/>
    <s v="USD"/>
    <n v="13.52"/>
    <s v="INR"/>
    <n v="1183.19"/>
    <x v="119"/>
    <n v="1159.19"/>
    <s v="Invoice"/>
  </r>
  <r>
    <s v="6779"/>
    <m/>
    <s v="SRIKARAM PRESCIENCE PVT. LTD."/>
    <d v="2025-09-04T00:00:00"/>
    <x v="159"/>
    <s v="DR"/>
    <d v="2025-09-04T00:00:00"/>
    <d v="2025-09-04T00:00:00"/>
    <m/>
    <s v="212100"/>
    <m/>
    <n v="256779417163"/>
    <s v="USD"/>
    <n v="75.13"/>
    <s v="INR"/>
    <n v="6574.95"/>
    <x v="126"/>
    <n v="6443.95"/>
    <s v="Invoice"/>
  </r>
  <r>
    <s v="6779"/>
    <m/>
    <s v="SRIKARAM PRESCIENCE PVT. LTD."/>
    <d v="2025-09-04T00:00:00"/>
    <x v="160"/>
    <s v="DR"/>
    <d v="2025-09-04T00:00:00"/>
    <d v="2025-09-04T00:00:00"/>
    <m/>
    <s v="212100"/>
    <m/>
    <n v="256779417247"/>
    <s v="USD"/>
    <n v="108.12"/>
    <s v="INR"/>
    <n v="1051.0204081632653"/>
    <x v="127"/>
    <n v="1030"/>
    <s v="Invoice"/>
  </r>
  <r>
    <m/>
    <m/>
    <m/>
    <m/>
    <x v="4"/>
    <m/>
    <m/>
    <m/>
    <m/>
    <m/>
    <m/>
    <s v="Total "/>
    <s v="USD"/>
    <n v="1992.7199999999998"/>
    <m/>
    <m/>
    <x v="0"/>
    <n v="0.86877551019006205"/>
    <s v="Exchange lo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E6C34-1228-4AAE-BA40-4ABF849A1018}" name="PivotTable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5" firstHeaderRow="1" firstDataRow="1" firstDataCol="1"/>
  <pivotFields count="19">
    <pivotField showAll="0"/>
    <pivotField showAll="0"/>
    <pivotField showAll="0"/>
    <pivotField showAll="0"/>
    <pivotField axis="axisRow" showAll="0">
      <items count="162">
        <item x="0"/>
        <item x="6"/>
        <item x="11"/>
        <item x="19"/>
        <item x="55"/>
        <item x="66"/>
        <item x="78"/>
        <item x="80"/>
        <item x="81"/>
        <item x="93"/>
        <item x="105"/>
        <item x="107"/>
        <item x="110"/>
        <item x="114"/>
        <item x="119"/>
        <item x="121"/>
        <item x="123"/>
        <item x="131"/>
        <item x="134"/>
        <item x="139"/>
        <item x="147"/>
        <item x="153"/>
        <item x="12"/>
        <item x="1"/>
        <item x="7"/>
        <item x="8"/>
        <item x="9"/>
        <item x="10"/>
        <item x="2"/>
        <item x="14"/>
        <item x="15"/>
        <item x="13"/>
        <item x="3"/>
        <item x="16"/>
        <item x="17"/>
        <item x="18"/>
        <item x="20"/>
        <item x="22"/>
        <item x="21"/>
        <item x="27"/>
        <item x="24"/>
        <item x="25"/>
        <item x="23"/>
        <item x="26"/>
        <item x="29"/>
        <item x="28"/>
        <item x="69"/>
        <item x="68"/>
        <item x="60"/>
        <item x="34"/>
        <item x="31"/>
        <item x="33"/>
        <item x="32"/>
        <item x="46"/>
        <item x="62"/>
        <item x="63"/>
        <item x="61"/>
        <item x="67"/>
        <item x="65"/>
        <item x="64"/>
        <item x="48"/>
        <item x="43"/>
        <item x="44"/>
        <item x="40"/>
        <item x="30"/>
        <item x="70"/>
        <item x="72"/>
        <item x="71"/>
        <item x="42"/>
        <item x="45"/>
        <item x="47"/>
        <item x="37"/>
        <item x="54"/>
        <item x="39"/>
        <item x="41"/>
        <item x="52"/>
        <item x="57"/>
        <item x="59"/>
        <item x="35"/>
        <item x="56"/>
        <item x="50"/>
        <item x="51"/>
        <item x="58"/>
        <item x="49"/>
        <item x="53"/>
        <item x="38"/>
        <item x="36"/>
        <item x="75"/>
        <item x="76"/>
        <item x="74"/>
        <item x="73"/>
        <item x="77"/>
        <item x="79"/>
        <item x="84"/>
        <item x="83"/>
        <item x="82"/>
        <item x="85"/>
        <item x="94"/>
        <item x="88"/>
        <item x="86"/>
        <item x="91"/>
        <item x="89"/>
        <item x="87"/>
        <item x="92"/>
        <item x="90"/>
        <item x="95"/>
        <item x="96"/>
        <item x="98"/>
        <item x="99"/>
        <item x="97"/>
        <item x="101"/>
        <item x="100"/>
        <item x="104"/>
        <item x="103"/>
        <item x="102"/>
        <item x="106"/>
        <item x="108"/>
        <item x="109"/>
        <item x="112"/>
        <item x="111"/>
        <item x="116"/>
        <item x="115"/>
        <item x="118"/>
        <item x="113"/>
        <item x="117"/>
        <item x="122"/>
        <item x="120"/>
        <item x="124"/>
        <item x="125"/>
        <item x="128"/>
        <item x="132"/>
        <item x="126"/>
        <item x="127"/>
        <item x="135"/>
        <item x="130"/>
        <item x="133"/>
        <item x="129"/>
        <item x="137"/>
        <item x="138"/>
        <item x="142"/>
        <item x="136"/>
        <item x="140"/>
        <item x="141"/>
        <item x="143"/>
        <item x="145"/>
        <item x="144"/>
        <item x="146"/>
        <item x="154"/>
        <item x="148"/>
        <item x="155"/>
        <item x="149"/>
        <item x="152"/>
        <item x="150"/>
        <item x="151"/>
        <item x="157"/>
        <item x="156"/>
        <item x="159"/>
        <item x="160"/>
        <item x="158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29">
        <item x="87"/>
        <item x="23"/>
        <item x="24"/>
        <item x="108"/>
        <item x="25"/>
        <item x="95"/>
        <item x="56"/>
        <item x="86"/>
        <item x="26"/>
        <item x="27"/>
        <item x="28"/>
        <item x="29"/>
        <item x="30"/>
        <item x="31"/>
        <item x="127"/>
        <item x="66"/>
        <item x="53"/>
        <item x="119"/>
        <item x="32"/>
        <item x="122"/>
        <item x="40"/>
        <item x="33"/>
        <item x="110"/>
        <item x="34"/>
        <item x="120"/>
        <item x="21"/>
        <item x="114"/>
        <item x="57"/>
        <item x="54"/>
        <item x="14"/>
        <item x="55"/>
        <item x="36"/>
        <item x="72"/>
        <item x="39"/>
        <item x="88"/>
        <item x="117"/>
        <item x="37"/>
        <item x="63"/>
        <item x="38"/>
        <item x="35"/>
        <item x="99"/>
        <item x="109"/>
        <item x="121"/>
        <item x="41"/>
        <item x="16"/>
        <item x="102"/>
        <item x="100"/>
        <item x="64"/>
        <item x="17"/>
        <item x="18"/>
        <item x="126"/>
        <item x="15"/>
        <item x="123"/>
        <item x="81"/>
        <item x="42"/>
        <item x="103"/>
        <item x="97"/>
        <item x="111"/>
        <item x="43"/>
        <item x="65"/>
        <item x="19"/>
        <item x="89"/>
        <item x="44"/>
        <item x="49"/>
        <item x="68"/>
        <item x="115"/>
        <item x="101"/>
        <item x="84"/>
        <item x="73"/>
        <item x="112"/>
        <item x="79"/>
        <item x="48"/>
        <item x="113"/>
        <item x="20"/>
        <item x="45"/>
        <item x="46"/>
        <item x="47"/>
        <item x="98"/>
        <item x="104"/>
        <item x="67"/>
        <item x="80"/>
        <item x="124"/>
        <item x="85"/>
        <item x="75"/>
        <item x="50"/>
        <item x="90"/>
        <item x="69"/>
        <item x="58"/>
        <item x="22"/>
        <item x="71"/>
        <item x="13"/>
        <item x="51"/>
        <item x="91"/>
        <item x="76"/>
        <item x="2"/>
        <item x="96"/>
        <item x="116"/>
        <item x="52"/>
        <item x="9"/>
        <item x="7"/>
        <item x="93"/>
        <item x="62"/>
        <item x="83"/>
        <item x="106"/>
        <item x="60"/>
        <item x="77"/>
        <item x="92"/>
        <item x="6"/>
        <item x="82"/>
        <item x="105"/>
        <item x="5"/>
        <item x="78"/>
        <item x="70"/>
        <item x="59"/>
        <item x="125"/>
        <item x="94"/>
        <item x="61"/>
        <item x="8"/>
        <item x="118"/>
        <item x="107"/>
        <item x="74"/>
        <item x="1"/>
        <item x="3"/>
        <item x="10"/>
        <item x="12"/>
        <item x="11"/>
        <item x="4"/>
        <item x="0"/>
        <item t="default"/>
      </items>
    </pivotField>
    <pivotField showAll="0"/>
    <pivotField showAll="0"/>
  </pivotFields>
  <rowFields count="1">
    <field x="4"/>
  </rowFields>
  <rowItems count="1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 t="grand">
      <x/>
    </i>
  </rowItems>
  <colItems count="1">
    <i/>
  </colItems>
  <dataFields count="1">
    <dataField name="Sum of TDS" fld="16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BA52-0D64-4898-8A85-E56AE3EE7E9F}">
  <dimension ref="A3:D165"/>
  <sheetViews>
    <sheetView topLeftCell="A26" workbookViewId="0">
      <selection activeCell="D26" sqref="D26"/>
    </sheetView>
  </sheetViews>
  <sheetFormatPr defaultRowHeight="13.2" x14ac:dyDescent="0.25"/>
  <cols>
    <col min="1" max="1" width="16.21875" bestFit="1" customWidth="1"/>
    <col min="2" max="2" width="12" bestFit="1" customWidth="1"/>
  </cols>
  <sheetData>
    <row r="3" spans="1:2" x14ac:dyDescent="0.25">
      <c r="A3" s="16" t="s">
        <v>31</v>
      </c>
      <c r="B3" t="s">
        <v>34</v>
      </c>
    </row>
    <row r="4" spans="1:2" x14ac:dyDescent="0.25">
      <c r="A4" s="17">
        <v>1400000077</v>
      </c>
      <c r="B4" s="18"/>
    </row>
    <row r="5" spans="1:2" x14ac:dyDescent="0.25">
      <c r="A5" s="17">
        <v>1400000116</v>
      </c>
      <c r="B5" s="18"/>
    </row>
    <row r="6" spans="1:2" x14ac:dyDescent="0.25">
      <c r="A6" s="17">
        <v>1400000887</v>
      </c>
      <c r="B6" s="18"/>
    </row>
    <row r="7" spans="1:2" x14ac:dyDescent="0.25">
      <c r="A7" s="17">
        <v>1400000922</v>
      </c>
      <c r="B7" s="18"/>
    </row>
    <row r="8" spans="1:2" x14ac:dyDescent="0.25">
      <c r="A8" s="17">
        <v>1400000941</v>
      </c>
      <c r="B8" s="18"/>
    </row>
    <row r="9" spans="1:2" x14ac:dyDescent="0.25">
      <c r="A9" s="17">
        <v>1400000955</v>
      </c>
      <c r="B9" s="18"/>
    </row>
    <row r="10" spans="1:2" x14ac:dyDescent="0.25">
      <c r="A10" s="17">
        <v>1400000966</v>
      </c>
      <c r="B10" s="18"/>
    </row>
    <row r="11" spans="1:2" x14ac:dyDescent="0.25">
      <c r="A11" s="17">
        <v>1400001257</v>
      </c>
      <c r="B11" s="18"/>
    </row>
    <row r="12" spans="1:2" x14ac:dyDescent="0.25">
      <c r="A12" s="17">
        <v>1400001259</v>
      </c>
      <c r="B12" s="18"/>
    </row>
    <row r="13" spans="1:2" x14ac:dyDescent="0.25">
      <c r="A13" s="17">
        <v>1400001341</v>
      </c>
      <c r="B13" s="18"/>
    </row>
    <row r="14" spans="1:2" x14ac:dyDescent="0.25">
      <c r="A14" s="17">
        <v>1400001345</v>
      </c>
      <c r="B14" s="18"/>
    </row>
    <row r="15" spans="1:2" x14ac:dyDescent="0.25">
      <c r="A15" s="17">
        <v>1400001406</v>
      </c>
      <c r="B15" s="18"/>
    </row>
    <row r="16" spans="1:2" x14ac:dyDescent="0.25">
      <c r="A16" s="17">
        <v>1400001615</v>
      </c>
      <c r="B16" s="18"/>
    </row>
    <row r="17" spans="1:4" x14ac:dyDescent="0.25">
      <c r="A17" s="17">
        <v>1400001658</v>
      </c>
      <c r="B17" s="18"/>
    </row>
    <row r="18" spans="1:4" x14ac:dyDescent="0.25">
      <c r="A18" s="17">
        <v>1400001934</v>
      </c>
      <c r="B18" s="18"/>
    </row>
    <row r="19" spans="1:4" x14ac:dyDescent="0.25">
      <c r="A19" s="17">
        <v>1400002027</v>
      </c>
      <c r="B19" s="18"/>
    </row>
    <row r="20" spans="1:4" x14ac:dyDescent="0.25">
      <c r="A20" s="17">
        <v>1400002099</v>
      </c>
      <c r="B20" s="18"/>
    </row>
    <row r="21" spans="1:4" x14ac:dyDescent="0.25">
      <c r="A21" s="17">
        <v>1400002218</v>
      </c>
      <c r="B21" s="18"/>
    </row>
    <row r="22" spans="1:4" x14ac:dyDescent="0.25">
      <c r="A22" s="17">
        <v>1400002412</v>
      </c>
      <c r="B22" s="18"/>
    </row>
    <row r="23" spans="1:4" x14ac:dyDescent="0.25">
      <c r="A23" s="17">
        <v>1400002418</v>
      </c>
      <c r="B23" s="18"/>
    </row>
    <row r="24" spans="1:4" x14ac:dyDescent="0.25">
      <c r="A24" s="17">
        <v>1400002489</v>
      </c>
      <c r="B24" s="18"/>
    </row>
    <row r="25" spans="1:4" x14ac:dyDescent="0.25">
      <c r="A25" s="17">
        <v>1400002521</v>
      </c>
      <c r="B25" s="18"/>
    </row>
    <row r="26" spans="1:4" x14ac:dyDescent="0.25">
      <c r="A26" s="17">
        <v>1800000080</v>
      </c>
      <c r="B26" s="18">
        <v>15605.888888888891</v>
      </c>
      <c r="C26">
        <f>VLOOKUP(A26,[1]Sheet1!$D:$Q,14,0)</f>
        <v>15606</v>
      </c>
      <c r="D26">
        <f>B26-C26</f>
        <v>-0.11111111110949423</v>
      </c>
    </row>
    <row r="27" spans="1:4" x14ac:dyDescent="0.25">
      <c r="A27" s="17">
        <v>1800000110</v>
      </c>
      <c r="B27" s="18">
        <v>15606</v>
      </c>
      <c r="C27">
        <f>VLOOKUP(A27,[1]Sheet1!$D:$Q,14,0)</f>
        <v>15606</v>
      </c>
      <c r="D27">
        <f t="shared" ref="D27:D90" si="0">B27-C27</f>
        <v>0</v>
      </c>
    </row>
    <row r="28" spans="1:4" x14ac:dyDescent="0.25">
      <c r="A28" s="17">
        <v>1800000179</v>
      </c>
      <c r="B28" s="18">
        <v>15606</v>
      </c>
      <c r="C28">
        <f>VLOOKUP(A28,[1]Sheet1!$D:$Q,14,0)</f>
        <v>15606</v>
      </c>
      <c r="D28">
        <f t="shared" si="0"/>
        <v>0</v>
      </c>
    </row>
    <row r="29" spans="1:4" x14ac:dyDescent="0.25">
      <c r="A29" s="17">
        <v>1800000222</v>
      </c>
      <c r="B29" s="18">
        <v>15606</v>
      </c>
      <c r="C29">
        <f>VLOOKUP(A29,[1]Sheet1!$D:$Q,14,0)</f>
        <v>15606</v>
      </c>
      <c r="D29">
        <f t="shared" si="0"/>
        <v>0</v>
      </c>
    </row>
    <row r="30" spans="1:4" x14ac:dyDescent="0.25">
      <c r="A30" s="17">
        <v>1800000265</v>
      </c>
      <c r="B30" s="18">
        <v>15606</v>
      </c>
      <c r="C30">
        <f>VLOOKUP(A30,[1]Sheet1!$D:$Q,14,0)</f>
        <v>15606</v>
      </c>
      <c r="D30">
        <f t="shared" si="0"/>
        <v>0</v>
      </c>
    </row>
    <row r="31" spans="1:4" x14ac:dyDescent="0.25">
      <c r="A31" s="17">
        <v>1800000308</v>
      </c>
      <c r="B31" s="18">
        <v>15605.888888888889</v>
      </c>
      <c r="C31">
        <f>VLOOKUP(A31,[1]Sheet1!$D:$Q,14,0)</f>
        <v>15606</v>
      </c>
      <c r="D31">
        <f t="shared" si="0"/>
        <v>-0.11111111111131322</v>
      </c>
    </row>
    <row r="32" spans="1:4" x14ac:dyDescent="0.25">
      <c r="A32" s="17">
        <v>1800000372</v>
      </c>
      <c r="B32" s="18">
        <v>3933</v>
      </c>
      <c r="C32">
        <f>VLOOKUP(A32,[1]Sheet1!$D:$Q,14,0)</f>
        <v>3933</v>
      </c>
      <c r="D32">
        <f t="shared" si="0"/>
        <v>0</v>
      </c>
    </row>
    <row r="33" spans="1:4" x14ac:dyDescent="0.25">
      <c r="A33" s="17">
        <v>1800000376</v>
      </c>
      <c r="B33" s="18">
        <v>4064</v>
      </c>
      <c r="C33">
        <f>VLOOKUP(A33,[1]Sheet1!$D:$Q,14,0)</f>
        <v>4064</v>
      </c>
      <c r="D33">
        <f t="shared" si="0"/>
        <v>0</v>
      </c>
    </row>
    <row r="34" spans="1:4" x14ac:dyDescent="0.25">
      <c r="A34" s="17">
        <v>1800000382</v>
      </c>
      <c r="B34" s="18">
        <v>4064</v>
      </c>
      <c r="C34">
        <f>VLOOKUP(A34,[1]Sheet1!$D:$Q,14,0)</f>
        <v>4064</v>
      </c>
      <c r="D34">
        <f t="shared" si="0"/>
        <v>0</v>
      </c>
    </row>
    <row r="35" spans="1:4" x14ac:dyDescent="0.25">
      <c r="A35" s="17">
        <v>1800000388</v>
      </c>
      <c r="B35" s="18">
        <v>3933</v>
      </c>
      <c r="C35">
        <f>VLOOKUP(A35,[1]Sheet1!$D:$Q,14,0)</f>
        <v>3933</v>
      </c>
      <c r="D35">
        <f t="shared" si="0"/>
        <v>0</v>
      </c>
    </row>
    <row r="36" spans="1:4" x14ac:dyDescent="0.25">
      <c r="A36" s="17">
        <v>1800000429</v>
      </c>
      <c r="B36" s="18">
        <v>16543</v>
      </c>
      <c r="C36">
        <f>VLOOKUP(A36,[1]Sheet1!$D:$Q,14,0)</f>
        <v>16543</v>
      </c>
      <c r="D36">
        <f t="shared" si="0"/>
        <v>0</v>
      </c>
    </row>
    <row r="37" spans="1:4" x14ac:dyDescent="0.25">
      <c r="A37" s="17">
        <v>1800000453</v>
      </c>
      <c r="B37" s="18">
        <v>16863</v>
      </c>
      <c r="C37">
        <f>VLOOKUP(A37,[1]Sheet1!$D:$Q,14,0)</f>
        <v>16863</v>
      </c>
      <c r="D37">
        <f t="shared" si="0"/>
        <v>0</v>
      </c>
    </row>
    <row r="38" spans="1:4" x14ac:dyDescent="0.25">
      <c r="A38" s="17">
        <v>1800000922</v>
      </c>
      <c r="B38" s="18">
        <v>20087</v>
      </c>
      <c r="C38">
        <f>VLOOKUP(A38,[1]Sheet1!$D:$Q,14,0)</f>
        <v>20087</v>
      </c>
      <c r="D38">
        <f t="shared" si="0"/>
        <v>0</v>
      </c>
    </row>
    <row r="39" spans="1:4" x14ac:dyDescent="0.25">
      <c r="A39" s="17">
        <v>1800000945</v>
      </c>
      <c r="B39" s="18">
        <v>20818.555555555558</v>
      </c>
      <c r="C39">
        <f>VLOOKUP(A39,[1]Sheet1!$D:$Q,14,0)</f>
        <v>20819</v>
      </c>
      <c r="D39">
        <f t="shared" si="0"/>
        <v>-0.44444444444161491</v>
      </c>
    </row>
    <row r="40" spans="1:4" x14ac:dyDescent="0.25">
      <c r="A40" s="17">
        <v>1800001470</v>
      </c>
      <c r="B40" s="18">
        <v>61</v>
      </c>
      <c r="C40">
        <f>VLOOKUP(A40,[1]Sheet1!$D:$Q,14,0)</f>
        <v>61</v>
      </c>
      <c r="D40">
        <f t="shared" si="0"/>
        <v>0</v>
      </c>
    </row>
    <row r="41" spans="1:4" x14ac:dyDescent="0.25">
      <c r="A41" s="17">
        <v>1800001590</v>
      </c>
      <c r="B41" s="18">
        <v>134</v>
      </c>
      <c r="C41">
        <f>VLOOKUP(A41,[1]Sheet1!$D:$Q,14,0)</f>
        <v>134</v>
      </c>
      <c r="D41">
        <f t="shared" si="0"/>
        <v>0</v>
      </c>
    </row>
    <row r="42" spans="1:4" x14ac:dyDescent="0.25">
      <c r="A42" s="17">
        <v>1800001793</v>
      </c>
      <c r="B42" s="18">
        <v>134</v>
      </c>
      <c r="C42">
        <f>VLOOKUP(A42,[1]Sheet1!$D:$Q,14,0)</f>
        <v>134</v>
      </c>
      <c r="D42">
        <f t="shared" si="0"/>
        <v>0</v>
      </c>
    </row>
    <row r="43" spans="1:4" x14ac:dyDescent="0.25">
      <c r="A43" s="17">
        <v>1800001959</v>
      </c>
      <c r="B43" s="18">
        <v>426</v>
      </c>
      <c r="C43">
        <f>VLOOKUP(A43,[1]Sheet1!$D:$Q,14,0)</f>
        <v>426</v>
      </c>
      <c r="D43">
        <f t="shared" si="0"/>
        <v>0</v>
      </c>
    </row>
    <row r="44" spans="1:4" x14ac:dyDescent="0.25">
      <c r="A44" s="17">
        <v>1800001960</v>
      </c>
      <c r="B44" s="18">
        <v>121</v>
      </c>
      <c r="C44">
        <f>VLOOKUP(A44,[1]Sheet1!$D:$Q,14,0)</f>
        <v>121</v>
      </c>
      <c r="D44">
        <f t="shared" si="0"/>
        <v>0</v>
      </c>
    </row>
    <row r="45" spans="1:4" x14ac:dyDescent="0.25">
      <c r="A45" s="17">
        <v>1800001961</v>
      </c>
      <c r="B45" s="18">
        <v>124</v>
      </c>
      <c r="C45">
        <f>VLOOKUP(A45,[1]Sheet1!$D:$Q,14,0)</f>
        <v>124</v>
      </c>
      <c r="D45">
        <f t="shared" si="0"/>
        <v>0</v>
      </c>
    </row>
    <row r="46" spans="1:4" x14ac:dyDescent="0.25">
      <c r="A46" s="17">
        <v>1800001962</v>
      </c>
      <c r="B46" s="18">
        <v>107</v>
      </c>
      <c r="C46">
        <f>VLOOKUP(A46,[1]Sheet1!$D:$Q,14,0)</f>
        <v>107</v>
      </c>
      <c r="D46">
        <f t="shared" si="0"/>
        <v>0</v>
      </c>
    </row>
    <row r="47" spans="1:4" x14ac:dyDescent="0.25">
      <c r="A47" s="17">
        <v>1800002403</v>
      </c>
      <c r="B47" s="18">
        <v>212</v>
      </c>
      <c r="C47">
        <f>VLOOKUP(A47,[1]Sheet1!$D:$Q,14,0)</f>
        <v>212</v>
      </c>
      <c r="D47">
        <f t="shared" si="0"/>
        <v>0</v>
      </c>
    </row>
    <row r="48" spans="1:4" x14ac:dyDescent="0.25">
      <c r="A48" s="17">
        <v>1800003132</v>
      </c>
      <c r="B48" s="18">
        <v>1610</v>
      </c>
      <c r="C48">
        <f>VLOOKUP(A48,[1]Sheet1!$D:$Q,14,0)</f>
        <v>1610</v>
      </c>
      <c r="D48">
        <f t="shared" si="0"/>
        <v>0</v>
      </c>
    </row>
    <row r="49" spans="1:4" x14ac:dyDescent="0.25">
      <c r="A49" s="17">
        <v>1800003353</v>
      </c>
      <c r="B49" s="18">
        <v>45</v>
      </c>
      <c r="C49">
        <f>VLOOKUP(A49,[1]Sheet1!$D:$Q,14,0)</f>
        <v>45</v>
      </c>
      <c r="D49">
        <f t="shared" si="0"/>
        <v>0</v>
      </c>
    </row>
    <row r="50" spans="1:4" x14ac:dyDescent="0.25">
      <c r="A50" s="17">
        <v>1800003930</v>
      </c>
      <c r="B50" s="18">
        <v>4013</v>
      </c>
      <c r="C50">
        <f>VLOOKUP(A50,[1]Sheet1!$D:$Q,14,0)</f>
        <v>4013</v>
      </c>
      <c r="D50">
        <f t="shared" si="0"/>
        <v>0</v>
      </c>
    </row>
    <row r="51" spans="1:4" x14ac:dyDescent="0.25">
      <c r="A51" s="17">
        <v>1800003941</v>
      </c>
      <c r="B51" s="18">
        <v>3625</v>
      </c>
      <c r="C51">
        <f>VLOOKUP(A51,[1]Sheet1!$D:$Q,14,0)</f>
        <v>3625</v>
      </c>
      <c r="D51">
        <f t="shared" si="0"/>
        <v>0</v>
      </c>
    </row>
    <row r="52" spans="1:4" x14ac:dyDescent="0.25">
      <c r="A52" s="17">
        <v>1800004028</v>
      </c>
      <c r="B52" s="18">
        <v>222</v>
      </c>
      <c r="C52">
        <f>VLOOKUP(A52,[1]Sheet1!$D:$Q,14,0)</f>
        <v>222</v>
      </c>
      <c r="D52">
        <f t="shared" si="0"/>
        <v>0</v>
      </c>
    </row>
    <row r="53" spans="1:4" x14ac:dyDescent="0.25">
      <c r="A53" s="17">
        <v>1800004037</v>
      </c>
      <c r="B53" s="18">
        <v>3</v>
      </c>
      <c r="C53">
        <f>VLOOKUP(A53,[1]Sheet1!$D:$Q,14,0)</f>
        <v>3</v>
      </c>
      <c r="D53">
        <f t="shared" si="0"/>
        <v>0</v>
      </c>
    </row>
    <row r="54" spans="1:4" x14ac:dyDescent="0.25">
      <c r="A54" s="17">
        <v>1800004038</v>
      </c>
      <c r="B54" s="18">
        <v>3</v>
      </c>
      <c r="C54">
        <f>VLOOKUP(A54,[1]Sheet1!$D:$Q,14,0)</f>
        <v>3</v>
      </c>
      <c r="D54">
        <f t="shared" si="0"/>
        <v>0</v>
      </c>
    </row>
    <row r="55" spans="1:4" x14ac:dyDescent="0.25">
      <c r="A55" s="17">
        <v>1800004045</v>
      </c>
      <c r="B55" s="18">
        <v>3</v>
      </c>
      <c r="C55">
        <f>VLOOKUP(A55,[1]Sheet1!$D:$Q,14,0)</f>
        <v>3</v>
      </c>
      <c r="D55">
        <f t="shared" si="0"/>
        <v>0</v>
      </c>
    </row>
    <row r="56" spans="1:4" x14ac:dyDescent="0.25">
      <c r="A56" s="17">
        <v>1800004055</v>
      </c>
      <c r="B56" s="18">
        <v>3</v>
      </c>
      <c r="C56">
        <f>VLOOKUP(A56,[1]Sheet1!$D:$Q,14,0)</f>
        <v>3</v>
      </c>
      <c r="D56">
        <f t="shared" si="0"/>
        <v>0</v>
      </c>
    </row>
    <row r="57" spans="1:4" x14ac:dyDescent="0.25">
      <c r="A57" s="17">
        <v>1800004057</v>
      </c>
      <c r="B57" s="18">
        <v>26</v>
      </c>
      <c r="C57">
        <f>VLOOKUP(A57,[1]Sheet1!$D:$Q,14,0)</f>
        <v>26</v>
      </c>
      <c r="D57">
        <f t="shared" si="0"/>
        <v>0</v>
      </c>
    </row>
    <row r="58" spans="1:4" x14ac:dyDescent="0.25">
      <c r="A58" s="17">
        <v>1800004192</v>
      </c>
      <c r="B58" s="18">
        <v>471</v>
      </c>
      <c r="C58">
        <f>VLOOKUP(A58,[1]Sheet1!$D:$Q,14,0)</f>
        <v>471</v>
      </c>
      <c r="D58">
        <f t="shared" si="0"/>
        <v>0</v>
      </c>
    </row>
    <row r="59" spans="1:4" x14ac:dyDescent="0.25">
      <c r="A59" s="17">
        <v>1800004193</v>
      </c>
      <c r="B59" s="18">
        <v>479</v>
      </c>
      <c r="C59">
        <f>VLOOKUP(A59,[1]Sheet1!$D:$Q,14,0)</f>
        <v>479</v>
      </c>
      <c r="D59">
        <f t="shared" si="0"/>
        <v>0</v>
      </c>
    </row>
    <row r="60" spans="1:4" x14ac:dyDescent="0.25">
      <c r="A60" s="17">
        <v>1800004194</v>
      </c>
      <c r="B60" s="18">
        <v>434</v>
      </c>
      <c r="C60">
        <f>VLOOKUP(A60,[1]Sheet1!$D:$Q,14,0)</f>
        <v>434</v>
      </c>
      <c r="D60">
        <f t="shared" si="0"/>
        <v>0</v>
      </c>
    </row>
    <row r="61" spans="1:4" x14ac:dyDescent="0.25">
      <c r="A61" s="17">
        <v>1800004195</v>
      </c>
      <c r="B61" s="18">
        <v>957</v>
      </c>
      <c r="C61">
        <f>VLOOKUP(A61,[1]Sheet1!$D:$Q,14,0)</f>
        <v>957</v>
      </c>
      <c r="D61">
        <f t="shared" si="0"/>
        <v>0</v>
      </c>
    </row>
    <row r="62" spans="1:4" x14ac:dyDescent="0.25">
      <c r="A62" s="17">
        <v>1800004196</v>
      </c>
      <c r="B62" s="18">
        <v>609.65306122448987</v>
      </c>
      <c r="C62">
        <f>VLOOKUP(A62,[1]Sheet1!$D:$Q,14,0)</f>
        <v>610</v>
      </c>
      <c r="D62">
        <f t="shared" si="0"/>
        <v>-0.3469387755101252</v>
      </c>
    </row>
    <row r="63" spans="1:4" x14ac:dyDescent="0.25">
      <c r="A63" s="17">
        <v>1800004197</v>
      </c>
      <c r="B63" s="18">
        <v>479</v>
      </c>
      <c r="C63">
        <f>VLOOKUP(A63,[1]Sheet1!$D:$Q,14,0)</f>
        <v>479</v>
      </c>
      <c r="D63">
        <f t="shared" si="0"/>
        <v>0</v>
      </c>
    </row>
    <row r="64" spans="1:4" x14ac:dyDescent="0.25">
      <c r="A64" s="17">
        <v>1800004198</v>
      </c>
      <c r="B64" s="18">
        <v>36</v>
      </c>
      <c r="C64">
        <f>VLOOKUP(A64,[1]Sheet1!$D:$Q,14,0)</f>
        <v>36</v>
      </c>
      <c r="D64">
        <f t="shared" si="0"/>
        <v>0</v>
      </c>
    </row>
    <row r="65" spans="1:4" x14ac:dyDescent="0.25">
      <c r="A65" s="17">
        <v>1800004282</v>
      </c>
      <c r="B65" s="18">
        <v>21</v>
      </c>
      <c r="C65">
        <f>VLOOKUP(A65,[1]Sheet1!$D:$Q,14,0)</f>
        <v>21</v>
      </c>
      <c r="D65">
        <f t="shared" si="0"/>
        <v>0</v>
      </c>
    </row>
    <row r="66" spans="1:4" x14ac:dyDescent="0.25">
      <c r="A66" s="17">
        <v>1800004283</v>
      </c>
      <c r="B66" s="18">
        <v>26</v>
      </c>
      <c r="C66">
        <f>VLOOKUP(A66,[1]Sheet1!$D:$Q,14,0)</f>
        <v>26</v>
      </c>
      <c r="D66">
        <f t="shared" si="0"/>
        <v>0</v>
      </c>
    </row>
    <row r="67" spans="1:4" x14ac:dyDescent="0.25">
      <c r="A67" s="17">
        <v>1800004361</v>
      </c>
      <c r="B67" s="18">
        <v>16</v>
      </c>
      <c r="C67">
        <f>VLOOKUP(A67,[1]Sheet1!$D:$Q,14,0)</f>
        <v>16</v>
      </c>
      <c r="D67">
        <f t="shared" si="0"/>
        <v>0</v>
      </c>
    </row>
    <row r="68" spans="1:4" x14ac:dyDescent="0.25">
      <c r="A68" s="17">
        <v>1800004362</v>
      </c>
      <c r="B68" s="18">
        <v>2</v>
      </c>
      <c r="C68">
        <f>VLOOKUP(A68,[1]Sheet1!$D:$Q,14,0)</f>
        <v>2</v>
      </c>
      <c r="D68">
        <f t="shared" si="0"/>
        <v>0</v>
      </c>
    </row>
    <row r="69" spans="1:4" x14ac:dyDescent="0.25">
      <c r="A69" s="17">
        <v>1800004451</v>
      </c>
      <c r="B69" s="18">
        <v>23</v>
      </c>
      <c r="C69">
        <f>VLOOKUP(A69,[1]Sheet1!$D:$Q,14,0)</f>
        <v>23</v>
      </c>
      <c r="D69">
        <f t="shared" si="0"/>
        <v>0</v>
      </c>
    </row>
    <row r="70" spans="1:4" x14ac:dyDescent="0.25">
      <c r="A70" s="17">
        <v>1800004452</v>
      </c>
      <c r="B70" s="18">
        <v>66</v>
      </c>
      <c r="C70">
        <f>VLOOKUP(A70,[1]Sheet1!$D:$Q,14,0)</f>
        <v>66</v>
      </c>
      <c r="D70">
        <f t="shared" si="0"/>
        <v>0</v>
      </c>
    </row>
    <row r="71" spans="1:4" x14ac:dyDescent="0.25">
      <c r="A71" s="17">
        <v>1800004453</v>
      </c>
      <c r="B71" s="18">
        <v>52</v>
      </c>
      <c r="C71">
        <f>VLOOKUP(A71,[1]Sheet1!$D:$Q,14,0)</f>
        <v>52</v>
      </c>
      <c r="D71">
        <f t="shared" si="0"/>
        <v>0</v>
      </c>
    </row>
    <row r="72" spans="1:4" x14ac:dyDescent="0.25">
      <c r="A72" s="17">
        <v>1800004534</v>
      </c>
      <c r="B72" s="18">
        <v>18</v>
      </c>
      <c r="C72">
        <f>VLOOKUP(A72,[1]Sheet1!$D:$Q,14,0)</f>
        <v>18</v>
      </c>
      <c r="D72">
        <f t="shared" si="0"/>
        <v>0</v>
      </c>
    </row>
    <row r="73" spans="1:4" x14ac:dyDescent="0.25">
      <c r="A73" s="17">
        <v>1800004535</v>
      </c>
      <c r="B73" s="18">
        <v>26</v>
      </c>
      <c r="C73">
        <f>VLOOKUP(A73,[1]Sheet1!$D:$Q,14,0)</f>
        <v>26</v>
      </c>
      <c r="D73">
        <f t="shared" si="0"/>
        <v>0</v>
      </c>
    </row>
    <row r="74" spans="1:4" x14ac:dyDescent="0.25">
      <c r="A74" s="17">
        <v>1800004604</v>
      </c>
      <c r="B74" s="18">
        <v>31</v>
      </c>
      <c r="C74">
        <f>VLOOKUP(A74,[1]Sheet1!$D:$Q,14,0)</f>
        <v>31</v>
      </c>
      <c r="D74">
        <f t="shared" si="0"/>
        <v>0</v>
      </c>
    </row>
    <row r="75" spans="1:4" x14ac:dyDescent="0.25">
      <c r="A75" s="17">
        <v>1800004605</v>
      </c>
      <c r="B75" s="18">
        <v>11</v>
      </c>
      <c r="C75">
        <f>VLOOKUP(A75,[1]Sheet1!$D:$Q,14,0)</f>
        <v>11</v>
      </c>
      <c r="D75">
        <f t="shared" si="0"/>
        <v>0</v>
      </c>
    </row>
    <row r="76" spans="1:4" x14ac:dyDescent="0.25">
      <c r="A76" s="17">
        <v>1800004606</v>
      </c>
      <c r="B76" s="18">
        <v>103.55102040816327</v>
      </c>
      <c r="C76">
        <f>VLOOKUP(A76,[1]Sheet1!$D:$Q,14,0)</f>
        <v>104</v>
      </c>
      <c r="D76">
        <f t="shared" si="0"/>
        <v>-0.44897959183673208</v>
      </c>
    </row>
    <row r="77" spans="1:4" x14ac:dyDescent="0.25">
      <c r="A77" s="17">
        <v>1800004742</v>
      </c>
      <c r="B77" s="18">
        <v>12</v>
      </c>
      <c r="C77">
        <f>VLOOKUP(A77,[1]Sheet1!$D:$Q,14,0)</f>
        <v>12</v>
      </c>
      <c r="D77">
        <f t="shared" si="0"/>
        <v>0</v>
      </c>
    </row>
    <row r="78" spans="1:4" x14ac:dyDescent="0.25">
      <c r="A78" s="17">
        <v>1800004820</v>
      </c>
      <c r="B78" s="18">
        <v>17</v>
      </c>
      <c r="C78">
        <f>VLOOKUP(A78,[1]Sheet1!$D:$Q,14,0)</f>
        <v>17</v>
      </c>
      <c r="D78">
        <f t="shared" si="0"/>
        <v>0</v>
      </c>
    </row>
    <row r="79" spans="1:4" x14ac:dyDescent="0.25">
      <c r="A79" s="17">
        <v>1800004821</v>
      </c>
      <c r="B79" s="18">
        <v>88</v>
      </c>
      <c r="C79">
        <f>VLOOKUP(A79,[1]Sheet1!$D:$Q,14,0)</f>
        <v>88</v>
      </c>
      <c r="D79">
        <f t="shared" si="0"/>
        <v>0</v>
      </c>
    </row>
    <row r="80" spans="1:4" x14ac:dyDescent="0.25">
      <c r="A80" s="17">
        <v>1800004822</v>
      </c>
      <c r="B80" s="18">
        <v>104</v>
      </c>
      <c r="C80">
        <f>VLOOKUP(A80,[1]Sheet1!$D:$Q,14,0)</f>
        <v>104</v>
      </c>
      <c r="D80">
        <f t="shared" si="0"/>
        <v>0</v>
      </c>
    </row>
    <row r="81" spans="1:4" x14ac:dyDescent="0.25">
      <c r="A81" s="17">
        <v>1800004872</v>
      </c>
      <c r="B81" s="18">
        <v>192</v>
      </c>
      <c r="C81">
        <f>VLOOKUP(A81,[1]Sheet1!$D:$Q,14,0)</f>
        <v>192</v>
      </c>
      <c r="D81">
        <f t="shared" si="0"/>
        <v>0</v>
      </c>
    </row>
    <row r="82" spans="1:4" x14ac:dyDescent="0.25">
      <c r="A82" s="17">
        <v>1800004873</v>
      </c>
      <c r="B82" s="18">
        <v>3</v>
      </c>
      <c r="C82">
        <f>VLOOKUP(A82,[1]Sheet1!$D:$Q,14,0)</f>
        <v>3</v>
      </c>
      <c r="D82">
        <f t="shared" si="0"/>
        <v>0</v>
      </c>
    </row>
    <row r="83" spans="1:4" x14ac:dyDescent="0.25">
      <c r="A83" s="17">
        <v>1800005027</v>
      </c>
      <c r="B83" s="18">
        <v>104</v>
      </c>
      <c r="C83">
        <f>VLOOKUP(A83,[1]Sheet1!$D:$Q,14,0)</f>
        <v>104</v>
      </c>
      <c r="D83">
        <f t="shared" si="0"/>
        <v>0</v>
      </c>
    </row>
    <row r="84" spans="1:4" x14ac:dyDescent="0.25">
      <c r="A84" s="17">
        <v>1800005028</v>
      </c>
      <c r="B84" s="18">
        <v>74</v>
      </c>
      <c r="C84">
        <f>VLOOKUP(A84,[1]Sheet1!$D:$Q,14,0)</f>
        <v>74</v>
      </c>
      <c r="D84">
        <f t="shared" si="0"/>
        <v>0</v>
      </c>
    </row>
    <row r="85" spans="1:4" x14ac:dyDescent="0.25">
      <c r="A85" s="17">
        <v>1800005029</v>
      </c>
      <c r="B85" s="18">
        <v>82</v>
      </c>
      <c r="C85">
        <f>VLOOKUP(A85,[1]Sheet1!$D:$Q,14,0)</f>
        <v>82</v>
      </c>
      <c r="D85">
        <f t="shared" si="0"/>
        <v>0</v>
      </c>
    </row>
    <row r="86" spans="1:4" x14ac:dyDescent="0.25">
      <c r="A86" s="17">
        <v>1800005030</v>
      </c>
      <c r="B86" s="18">
        <v>163</v>
      </c>
      <c r="C86">
        <f>VLOOKUP(A86,[1]Sheet1!$D:$Q,14,0)</f>
        <v>163</v>
      </c>
      <c r="D86">
        <f t="shared" si="0"/>
        <v>0</v>
      </c>
    </row>
    <row r="87" spans="1:4" x14ac:dyDescent="0.25">
      <c r="A87" s="17">
        <v>1800005031</v>
      </c>
      <c r="B87" s="18">
        <v>89</v>
      </c>
      <c r="C87">
        <f>VLOOKUP(A87,[1]Sheet1!$D:$Q,14,0)</f>
        <v>89</v>
      </c>
      <c r="D87">
        <f t="shared" si="0"/>
        <v>0</v>
      </c>
    </row>
    <row r="88" spans="1:4" x14ac:dyDescent="0.25">
      <c r="A88" s="17">
        <v>1800005032</v>
      </c>
      <c r="B88" s="18">
        <v>89</v>
      </c>
      <c r="C88">
        <f>VLOOKUP(A88,[1]Sheet1!$D:$Q,14,0)</f>
        <v>89</v>
      </c>
      <c r="D88">
        <f t="shared" si="0"/>
        <v>0</v>
      </c>
    </row>
    <row r="89" spans="1:4" x14ac:dyDescent="0.25">
      <c r="A89" s="17">
        <v>1800005033</v>
      </c>
      <c r="B89" s="18">
        <v>11</v>
      </c>
      <c r="C89">
        <f>VLOOKUP(A89,[1]Sheet1!$D:$Q,14,0)</f>
        <v>11</v>
      </c>
      <c r="D89">
        <f t="shared" si="0"/>
        <v>0</v>
      </c>
    </row>
    <row r="90" spans="1:4" x14ac:dyDescent="0.25">
      <c r="A90" s="17">
        <v>1800005034</v>
      </c>
      <c r="B90" s="18">
        <v>6</v>
      </c>
      <c r="C90">
        <f>VLOOKUP(A90,[1]Sheet1!$D:$Q,14,0)</f>
        <v>6</v>
      </c>
      <c r="D90">
        <f t="shared" si="0"/>
        <v>0</v>
      </c>
    </row>
    <row r="91" spans="1:4" x14ac:dyDescent="0.25">
      <c r="A91" s="17">
        <v>1800005142</v>
      </c>
      <c r="B91" s="18">
        <v>9</v>
      </c>
      <c r="C91">
        <f>VLOOKUP(A91,[1]Sheet1!$D:$Q,14,0)</f>
        <v>9</v>
      </c>
      <c r="D91">
        <f t="shared" ref="D91:D154" si="1">B91-C91</f>
        <v>0</v>
      </c>
    </row>
    <row r="92" spans="1:4" x14ac:dyDescent="0.25">
      <c r="A92" s="17">
        <v>1800005143</v>
      </c>
      <c r="B92" s="18">
        <v>51</v>
      </c>
      <c r="C92">
        <f>VLOOKUP(A92,[1]Sheet1!$D:$Q,14,0)</f>
        <v>51</v>
      </c>
      <c r="D92">
        <f t="shared" si="1"/>
        <v>0</v>
      </c>
    </row>
    <row r="93" spans="1:4" x14ac:dyDescent="0.25">
      <c r="A93" s="17">
        <v>1800005193</v>
      </c>
      <c r="B93" s="18">
        <v>6</v>
      </c>
      <c r="C93">
        <f>VLOOKUP(A93,[1]Sheet1!$D:$Q,14,0)</f>
        <v>6</v>
      </c>
      <c r="D93">
        <f t="shared" si="1"/>
        <v>0</v>
      </c>
    </row>
    <row r="94" spans="1:4" x14ac:dyDescent="0.25">
      <c r="A94" s="17">
        <v>1800005194</v>
      </c>
      <c r="B94" s="18">
        <v>2</v>
      </c>
      <c r="C94">
        <f>VLOOKUP(A94,[1]Sheet1!$D:$Q,14,0)</f>
        <v>2</v>
      </c>
      <c r="D94">
        <f t="shared" si="1"/>
        <v>0</v>
      </c>
    </row>
    <row r="95" spans="1:4" x14ac:dyDescent="0.25">
      <c r="A95" s="17">
        <v>1800005896</v>
      </c>
      <c r="B95" s="18">
        <v>11886.333333333336</v>
      </c>
      <c r="C95">
        <f>VLOOKUP(A95,[1]Sheet1!$D:$Q,14,0)</f>
        <v>11886</v>
      </c>
      <c r="D95">
        <f t="shared" si="1"/>
        <v>0.33333333333575865</v>
      </c>
    </row>
    <row r="96" spans="1:4" x14ac:dyDescent="0.25">
      <c r="A96" s="17">
        <v>1800005913</v>
      </c>
      <c r="B96" s="18">
        <v>22097.444444444445</v>
      </c>
      <c r="C96">
        <f>VLOOKUP(A96,[1]Sheet1!$D:$Q,14,0)</f>
        <v>22098</v>
      </c>
      <c r="D96">
        <f t="shared" si="1"/>
        <v>-0.55555555555474712</v>
      </c>
    </row>
    <row r="97" spans="1:4" x14ac:dyDescent="0.25">
      <c r="A97" s="17">
        <v>1800006276</v>
      </c>
      <c r="B97" s="18">
        <v>118</v>
      </c>
      <c r="C97">
        <f>VLOOKUP(A97,[1]Sheet1!$D:$Q,14,0)</f>
        <v>118</v>
      </c>
      <c r="D97">
        <f t="shared" si="1"/>
        <v>0</v>
      </c>
    </row>
    <row r="98" spans="1:4" x14ac:dyDescent="0.25">
      <c r="A98" s="17">
        <v>1800006277</v>
      </c>
      <c r="B98" s="18">
        <v>104</v>
      </c>
      <c r="C98">
        <f>VLOOKUP(A98,[1]Sheet1!$D:$Q,14,0)</f>
        <v>104</v>
      </c>
      <c r="D98">
        <f t="shared" si="1"/>
        <v>0</v>
      </c>
    </row>
    <row r="99" spans="1:4" x14ac:dyDescent="0.25">
      <c r="A99" s="17">
        <v>1800006278</v>
      </c>
      <c r="B99" s="18">
        <v>86</v>
      </c>
      <c r="C99">
        <f>VLOOKUP(A99,[1]Sheet1!$D:$Q,14,0)</f>
        <v>86</v>
      </c>
      <c r="D99">
        <f t="shared" si="1"/>
        <v>0</v>
      </c>
    </row>
    <row r="100" spans="1:4" x14ac:dyDescent="0.25">
      <c r="A100" s="17">
        <v>1800006279</v>
      </c>
      <c r="B100" s="18">
        <v>206</v>
      </c>
      <c r="C100">
        <f>VLOOKUP(A100,[1]Sheet1!$D:$Q,14,0)</f>
        <v>206</v>
      </c>
      <c r="D100">
        <f t="shared" si="1"/>
        <v>0</v>
      </c>
    </row>
    <row r="101" spans="1:4" x14ac:dyDescent="0.25">
      <c r="A101" s="17">
        <v>1800006833</v>
      </c>
      <c r="B101" s="18">
        <v>1078</v>
      </c>
      <c r="C101">
        <f>VLOOKUP(A101,[1]Sheet1!$D:$Q,14,0)</f>
        <v>1078</v>
      </c>
      <c r="D101">
        <f t="shared" si="1"/>
        <v>0</v>
      </c>
    </row>
    <row r="102" spans="1:4" x14ac:dyDescent="0.25">
      <c r="A102" s="17">
        <v>1800006922</v>
      </c>
      <c r="B102" s="18">
        <v>3</v>
      </c>
      <c r="C102">
        <f>VLOOKUP(A102,[1]Sheet1!$D:$Q,14,0)</f>
        <v>3</v>
      </c>
      <c r="D102">
        <f t="shared" si="1"/>
        <v>0</v>
      </c>
    </row>
    <row r="103" spans="1:4" x14ac:dyDescent="0.25">
      <c r="A103" s="17">
        <v>1800006923</v>
      </c>
      <c r="B103" s="18">
        <v>2</v>
      </c>
      <c r="C103">
        <f>VLOOKUP(A103,[1]Sheet1!$D:$Q,14,0)</f>
        <v>2</v>
      </c>
      <c r="D103">
        <f t="shared" si="1"/>
        <v>0</v>
      </c>
    </row>
    <row r="104" spans="1:4" x14ac:dyDescent="0.25">
      <c r="A104" s="17">
        <v>1800006924</v>
      </c>
      <c r="B104" s="18">
        <v>26</v>
      </c>
      <c r="C104">
        <f>VLOOKUP(A104,[1]Sheet1!$D:$Q,14,0)</f>
        <v>26</v>
      </c>
      <c r="D104">
        <f t="shared" si="1"/>
        <v>0</v>
      </c>
    </row>
    <row r="105" spans="1:4" x14ac:dyDescent="0.25">
      <c r="A105" s="17">
        <v>1800007003</v>
      </c>
      <c r="B105" s="18">
        <v>12</v>
      </c>
      <c r="C105">
        <f>VLOOKUP(A105,[1]Sheet1!$D:$Q,14,0)</f>
        <v>12</v>
      </c>
      <c r="D105">
        <f t="shared" si="1"/>
        <v>0</v>
      </c>
    </row>
    <row r="106" spans="1:4" x14ac:dyDescent="0.25">
      <c r="A106" s="17">
        <v>1800007004</v>
      </c>
      <c r="B106" s="18">
        <v>2</v>
      </c>
      <c r="C106">
        <f>VLOOKUP(A106,[1]Sheet1!$D:$Q,14,0)</f>
        <v>2</v>
      </c>
      <c r="D106">
        <f t="shared" si="1"/>
        <v>0</v>
      </c>
    </row>
    <row r="107" spans="1:4" x14ac:dyDescent="0.25">
      <c r="A107" s="17">
        <v>1800007133</v>
      </c>
      <c r="B107" s="18">
        <v>848.30612244897975</v>
      </c>
      <c r="C107">
        <f>VLOOKUP(A107,[1]Sheet1!$D:$Q,14,0)</f>
        <v>848</v>
      </c>
      <c r="D107">
        <f t="shared" si="1"/>
        <v>0.30612244897974961</v>
      </c>
    </row>
    <row r="108" spans="1:4" x14ac:dyDescent="0.25">
      <c r="A108" s="17">
        <v>1800007214</v>
      </c>
      <c r="B108" s="18">
        <v>22</v>
      </c>
      <c r="C108">
        <f>VLOOKUP(A108,[1]Sheet1!$D:$Q,14,0)</f>
        <v>22</v>
      </c>
      <c r="D108">
        <f t="shared" si="1"/>
        <v>0</v>
      </c>
    </row>
    <row r="109" spans="1:4" x14ac:dyDescent="0.25">
      <c r="A109" s="17">
        <v>1800007220</v>
      </c>
      <c r="B109" s="18">
        <v>9272</v>
      </c>
      <c r="C109">
        <f>VLOOKUP(A109,[1]Sheet1!$D:$Q,14,0)</f>
        <v>9272</v>
      </c>
      <c r="D109">
        <f t="shared" si="1"/>
        <v>0</v>
      </c>
    </row>
    <row r="110" spans="1:4" x14ac:dyDescent="0.25">
      <c r="A110" s="17">
        <v>1800007269</v>
      </c>
      <c r="B110" s="18">
        <v>1617</v>
      </c>
      <c r="C110">
        <f>VLOOKUP(A110,[1]Sheet1!$D:$Q,14,0)</f>
        <v>1617</v>
      </c>
      <c r="D110">
        <f t="shared" si="1"/>
        <v>0</v>
      </c>
    </row>
    <row r="111" spans="1:4" x14ac:dyDescent="0.25">
      <c r="A111" s="17">
        <v>1800007676</v>
      </c>
      <c r="B111" s="18">
        <v>31</v>
      </c>
      <c r="C111">
        <f>VLOOKUP(A111,[1]Sheet1!$D:$Q,14,0)</f>
        <v>31</v>
      </c>
      <c r="D111">
        <f t="shared" si="1"/>
        <v>0</v>
      </c>
    </row>
    <row r="112" spans="1:4" x14ac:dyDescent="0.25">
      <c r="A112" s="17">
        <v>1800007727</v>
      </c>
      <c r="B112" s="18">
        <v>75</v>
      </c>
      <c r="C112">
        <f>VLOOKUP(A112,[1]Sheet1!$D:$Q,14,0)</f>
        <v>75</v>
      </c>
      <c r="D112">
        <f t="shared" si="1"/>
        <v>0</v>
      </c>
    </row>
    <row r="113" spans="1:4" x14ac:dyDescent="0.25">
      <c r="A113" s="17">
        <v>1800007770</v>
      </c>
      <c r="B113" s="18">
        <v>11</v>
      </c>
      <c r="C113">
        <f>VLOOKUP(A113,[1]Sheet1!$D:$Q,14,0)</f>
        <v>11</v>
      </c>
      <c r="D113">
        <f t="shared" si="1"/>
        <v>0</v>
      </c>
    </row>
    <row r="114" spans="1:4" x14ac:dyDescent="0.25">
      <c r="A114" s="17">
        <v>1800007888</v>
      </c>
      <c r="B114" s="18">
        <v>15597</v>
      </c>
      <c r="C114">
        <f>VLOOKUP(A114,[1]Sheet1!$D:$Q,14,0)</f>
        <v>15597</v>
      </c>
      <c r="D114">
        <f t="shared" si="1"/>
        <v>0</v>
      </c>
    </row>
    <row r="115" spans="1:4" x14ac:dyDescent="0.25">
      <c r="A115" s="17">
        <v>1800008001</v>
      </c>
      <c r="B115" s="18">
        <v>329</v>
      </c>
      <c r="C115">
        <f>VLOOKUP(A115,[1]Sheet1!$D:$Q,14,0)</f>
        <v>329</v>
      </c>
      <c r="D115">
        <f t="shared" si="1"/>
        <v>0</v>
      </c>
    </row>
    <row r="116" spans="1:4" x14ac:dyDescent="0.25">
      <c r="A116" s="17">
        <v>1800008231</v>
      </c>
      <c r="B116" s="18">
        <v>15477.111111111111</v>
      </c>
      <c r="C116">
        <f>VLOOKUP(A116,[1]Sheet1!$D:$Q,14,0)</f>
        <v>15477</v>
      </c>
      <c r="D116">
        <f t="shared" si="1"/>
        <v>0.11111111111131322</v>
      </c>
    </row>
    <row r="117" spans="1:4" x14ac:dyDescent="0.25">
      <c r="A117" s="17">
        <v>1800008303</v>
      </c>
      <c r="B117" s="18">
        <v>3869</v>
      </c>
      <c r="C117">
        <f>VLOOKUP(A117,[1]Sheet1!$D:$Q,14,0)</f>
        <v>3869</v>
      </c>
      <c r="D117">
        <f t="shared" si="1"/>
        <v>0</v>
      </c>
    </row>
    <row r="118" spans="1:4" x14ac:dyDescent="0.25">
      <c r="A118" s="17">
        <v>1800008362</v>
      </c>
      <c r="B118" s="18">
        <v>677</v>
      </c>
      <c r="C118">
        <f>VLOOKUP(A118,[1]Sheet1!$D:$Q,14,0)</f>
        <v>677</v>
      </c>
      <c r="D118">
        <f t="shared" si="1"/>
        <v>0</v>
      </c>
    </row>
    <row r="119" spans="1:4" x14ac:dyDescent="0.25">
      <c r="A119" s="17">
        <v>1800008552</v>
      </c>
      <c r="B119" s="18">
        <v>938.9387755102041</v>
      </c>
      <c r="C119">
        <f>VLOOKUP(A119,[1]Sheet1!$D:$Q,14,0)</f>
        <v>939</v>
      </c>
      <c r="D119">
        <f t="shared" si="1"/>
        <v>-6.1224489795904447E-2</v>
      </c>
    </row>
    <row r="120" spans="1:4" x14ac:dyDescent="0.25">
      <c r="A120" s="17">
        <v>1800008727</v>
      </c>
      <c r="B120" s="18">
        <v>153</v>
      </c>
      <c r="C120">
        <f>VLOOKUP(A120,[1]Sheet1!$D:$Q,14,0)</f>
        <v>153</v>
      </c>
      <c r="D120">
        <f t="shared" si="1"/>
        <v>0</v>
      </c>
    </row>
    <row r="121" spans="1:4" x14ac:dyDescent="0.25">
      <c r="A121" s="17">
        <v>1800009127</v>
      </c>
      <c r="B121" s="18">
        <v>12913</v>
      </c>
      <c r="C121">
        <f>VLOOKUP(A121,[1]Sheet1!$D:$Q,14,0)</f>
        <v>12913</v>
      </c>
      <c r="D121">
        <f t="shared" si="1"/>
        <v>0</v>
      </c>
    </row>
    <row r="122" spans="1:4" x14ac:dyDescent="0.25">
      <c r="A122" s="17">
        <v>1800009158</v>
      </c>
      <c r="B122" s="18">
        <v>631</v>
      </c>
      <c r="C122">
        <f>VLOOKUP(A122,[1]Sheet1!$D:$Q,14,0)</f>
        <v>631</v>
      </c>
      <c r="D122">
        <f t="shared" si="1"/>
        <v>0</v>
      </c>
    </row>
    <row r="123" spans="1:4" x14ac:dyDescent="0.25">
      <c r="A123" s="17">
        <v>1800009234</v>
      </c>
      <c r="B123" s="18">
        <v>325</v>
      </c>
      <c r="C123">
        <f>VLOOKUP(A123,[1]Sheet1!$D:$Q,14,0)</f>
        <v>325</v>
      </c>
      <c r="D123">
        <f t="shared" si="1"/>
        <v>0</v>
      </c>
    </row>
    <row r="124" spans="1:4" x14ac:dyDescent="0.25">
      <c r="A124" s="17">
        <v>1800009412</v>
      </c>
      <c r="B124" s="18">
        <v>220.80999999999949</v>
      </c>
      <c r="C124">
        <f>VLOOKUP(A124,[1]Sheet1!$D:$Q,14,0)</f>
        <v>221</v>
      </c>
      <c r="D124">
        <f t="shared" si="1"/>
        <v>-0.19000000000050932</v>
      </c>
    </row>
    <row r="125" spans="1:4" x14ac:dyDescent="0.25">
      <c r="A125" s="17">
        <v>1800009457</v>
      </c>
      <c r="B125" s="18">
        <v>79.380000000000109</v>
      </c>
      <c r="C125">
        <f>VLOOKUP(A125,[1]Sheet1!$D:$Q,14,0)</f>
        <v>79</v>
      </c>
      <c r="D125">
        <f t="shared" si="1"/>
        <v>0.38000000000010914</v>
      </c>
    </row>
    <row r="126" spans="1:4" x14ac:dyDescent="0.25">
      <c r="A126" s="17">
        <v>1800009468</v>
      </c>
      <c r="B126" s="18">
        <v>10604.333333333334</v>
      </c>
      <c r="C126">
        <f>VLOOKUP(A126,[1]Sheet1!$D:$Q,14,0)</f>
        <v>10604</v>
      </c>
      <c r="D126">
        <f t="shared" si="1"/>
        <v>0.33333333333393966</v>
      </c>
    </row>
    <row r="127" spans="1:4" x14ac:dyDescent="0.25">
      <c r="A127" s="17">
        <v>1800009500</v>
      </c>
      <c r="B127" s="18">
        <v>12</v>
      </c>
      <c r="C127">
        <f>VLOOKUP(A127,[1]Sheet1!$D:$Q,14,0)</f>
        <v>12</v>
      </c>
      <c r="D127">
        <f t="shared" si="1"/>
        <v>0</v>
      </c>
    </row>
    <row r="128" spans="1:4" x14ac:dyDescent="0.25">
      <c r="A128" s="17">
        <v>1800009556</v>
      </c>
      <c r="B128" s="18">
        <v>1044.6399999999994</v>
      </c>
      <c r="C128">
        <f>VLOOKUP(A128,[1]Sheet1!$D:$Q,14,0)</f>
        <v>1045</v>
      </c>
      <c r="D128">
        <f t="shared" si="1"/>
        <v>-0.36000000000058208</v>
      </c>
    </row>
    <row r="129" spans="1:4" x14ac:dyDescent="0.25">
      <c r="A129" s="17">
        <v>1800009578</v>
      </c>
      <c r="B129" s="18">
        <v>3968.3333333333335</v>
      </c>
      <c r="C129">
        <f>VLOOKUP(A129,[1]Sheet1!$D:$Q,14,0)</f>
        <v>3968</v>
      </c>
      <c r="D129">
        <f t="shared" si="1"/>
        <v>0.33333333333348492</v>
      </c>
    </row>
    <row r="130" spans="1:4" x14ac:dyDescent="0.25">
      <c r="A130" s="17">
        <v>1800009610</v>
      </c>
      <c r="B130" s="18">
        <v>15388.333333333334</v>
      </c>
      <c r="C130">
        <f>VLOOKUP(A130,[1]Sheet1!$D:$Q,14,0)</f>
        <v>15388</v>
      </c>
      <c r="D130">
        <f t="shared" si="1"/>
        <v>0.33333333333393966</v>
      </c>
    </row>
    <row r="131" spans="1:4" x14ac:dyDescent="0.25">
      <c r="A131" s="17">
        <v>1800009972</v>
      </c>
      <c r="B131" s="18">
        <v>189</v>
      </c>
      <c r="C131">
        <f>VLOOKUP(A131,[1]Sheet1!$D:$Q,14,0)</f>
        <v>189</v>
      </c>
      <c r="D131">
        <f t="shared" si="1"/>
        <v>0</v>
      </c>
    </row>
    <row r="132" spans="1:4" x14ac:dyDescent="0.25">
      <c r="A132" s="17">
        <v>1800009980</v>
      </c>
      <c r="B132" s="18">
        <v>496</v>
      </c>
      <c r="C132">
        <f>VLOOKUP(A132,[1]Sheet1!$D:$Q,14,0)</f>
        <v>496</v>
      </c>
      <c r="D132">
        <f t="shared" si="1"/>
        <v>0</v>
      </c>
    </row>
    <row r="133" spans="1:4" x14ac:dyDescent="0.25">
      <c r="A133" s="17">
        <v>1800010005</v>
      </c>
      <c r="B133" s="18">
        <v>115</v>
      </c>
      <c r="C133">
        <f>VLOOKUP(A133,[1]Sheet1!$D:$Q,14,0)</f>
        <v>115</v>
      </c>
      <c r="D133">
        <f t="shared" si="1"/>
        <v>0</v>
      </c>
    </row>
    <row r="134" spans="1:4" x14ac:dyDescent="0.25">
      <c r="A134" s="17">
        <v>1800010039</v>
      </c>
      <c r="B134" s="18">
        <v>548</v>
      </c>
      <c r="C134">
        <f>VLOOKUP(A134,[1]Sheet1!$D:$Q,14,0)</f>
        <v>548</v>
      </c>
      <c r="D134">
        <f t="shared" si="1"/>
        <v>0</v>
      </c>
    </row>
    <row r="135" spans="1:4" x14ac:dyDescent="0.25">
      <c r="A135" s="17">
        <v>1800010070</v>
      </c>
      <c r="B135" s="18">
        <v>26</v>
      </c>
      <c r="C135">
        <f>VLOOKUP(A135,[1]Sheet1!$D:$Q,14,0)</f>
        <v>26</v>
      </c>
      <c r="D135">
        <f t="shared" si="1"/>
        <v>0</v>
      </c>
    </row>
    <row r="136" spans="1:4" x14ac:dyDescent="0.25">
      <c r="A136" s="17">
        <v>1800010121</v>
      </c>
      <c r="B136" s="18">
        <v>90</v>
      </c>
      <c r="C136">
        <f>VLOOKUP(A136,[1]Sheet1!$D:$Q,14,0)</f>
        <v>90</v>
      </c>
      <c r="D136">
        <f t="shared" si="1"/>
        <v>0</v>
      </c>
    </row>
    <row r="137" spans="1:4" x14ac:dyDescent="0.25">
      <c r="A137" s="17">
        <v>1800010172</v>
      </c>
      <c r="B137" s="18">
        <v>15480</v>
      </c>
      <c r="C137">
        <f>VLOOKUP(A137,[1]Sheet1!$D:$Q,14,0)</f>
        <v>15480</v>
      </c>
      <c r="D137">
        <f t="shared" si="1"/>
        <v>0</v>
      </c>
    </row>
    <row r="138" spans="1:4" x14ac:dyDescent="0.25">
      <c r="A138" s="17">
        <v>1800010260</v>
      </c>
      <c r="B138" s="18">
        <v>301.67346938775512</v>
      </c>
      <c r="C138">
        <f>VLOOKUP(A138,[1]Sheet1!$D:$Q,14,0)</f>
        <v>302</v>
      </c>
      <c r="D138">
        <f t="shared" si="1"/>
        <v>-0.32653061224488056</v>
      </c>
    </row>
    <row r="139" spans="1:4" x14ac:dyDescent="0.25">
      <c r="A139" s="17">
        <v>1800010428</v>
      </c>
      <c r="B139" s="18">
        <v>13082.222222222223</v>
      </c>
      <c r="C139">
        <f>VLOOKUP(A139,[1]Sheet1!$D:$Q,14,0)</f>
        <v>13082</v>
      </c>
      <c r="D139">
        <f t="shared" si="1"/>
        <v>0.22222222222262644</v>
      </c>
    </row>
    <row r="140" spans="1:4" x14ac:dyDescent="0.25">
      <c r="A140" s="17">
        <v>1800010505</v>
      </c>
      <c r="B140" s="18">
        <v>283</v>
      </c>
      <c r="C140">
        <f>VLOOKUP(A140,[1]Sheet1!$D:$Q,14,0)</f>
        <v>283</v>
      </c>
      <c r="D140">
        <f t="shared" si="1"/>
        <v>0</v>
      </c>
    </row>
    <row r="141" spans="1:4" x14ac:dyDescent="0.25">
      <c r="A141" s="17">
        <v>1800010661</v>
      </c>
      <c r="B141" s="18">
        <v>45</v>
      </c>
      <c r="C141">
        <f>VLOOKUP(A141,[1]Sheet1!$D:$Q,14,0)</f>
        <v>45</v>
      </c>
      <c r="D141">
        <f t="shared" si="1"/>
        <v>0</v>
      </c>
    </row>
    <row r="142" spans="1:4" x14ac:dyDescent="0.25">
      <c r="A142" s="17">
        <v>1800010674</v>
      </c>
      <c r="B142" s="18">
        <v>126.83673469387756</v>
      </c>
      <c r="C142">
        <f>VLOOKUP(A142,[1]Sheet1!$D:$Q,14,0)</f>
        <v>127</v>
      </c>
      <c r="D142">
        <f t="shared" si="1"/>
        <v>-0.16326530612244028</v>
      </c>
    </row>
    <row r="143" spans="1:4" x14ac:dyDescent="0.25">
      <c r="A143" s="17">
        <v>1800010702</v>
      </c>
      <c r="B143" s="18">
        <v>411</v>
      </c>
      <c r="C143">
        <f>VLOOKUP(A143,[1]Sheet1!$D:$Q,14,0)</f>
        <v>411</v>
      </c>
      <c r="D143">
        <f t="shared" si="1"/>
        <v>0</v>
      </c>
    </row>
    <row r="144" spans="1:4" x14ac:dyDescent="0.25">
      <c r="A144" s="17">
        <v>1800010742</v>
      </c>
      <c r="B144" s="18">
        <v>5</v>
      </c>
      <c r="C144">
        <f>VLOOKUP(A144,[1]Sheet1!$D:$Q,14,0)</f>
        <v>5</v>
      </c>
      <c r="D144">
        <f t="shared" si="1"/>
        <v>0</v>
      </c>
    </row>
    <row r="145" spans="1:4" x14ac:dyDescent="0.25">
      <c r="A145" s="17">
        <v>1800010772</v>
      </c>
      <c r="B145" s="18">
        <v>191</v>
      </c>
      <c r="C145">
        <f>VLOOKUP(A145,[1]Sheet1!$D:$Q,14,0)</f>
        <v>191</v>
      </c>
      <c r="D145">
        <f t="shared" si="1"/>
        <v>0</v>
      </c>
    </row>
    <row r="146" spans="1:4" x14ac:dyDescent="0.25">
      <c r="A146" s="17">
        <v>1800010942</v>
      </c>
      <c r="B146" s="18">
        <v>344</v>
      </c>
      <c r="C146">
        <f>VLOOKUP(A146,[1]Sheet1!$D:$Q,14,0)</f>
        <v>344</v>
      </c>
      <c r="D146">
        <f t="shared" si="1"/>
        <v>0</v>
      </c>
    </row>
    <row r="147" spans="1:4" x14ac:dyDescent="0.25">
      <c r="A147" s="17">
        <v>1800011194</v>
      </c>
      <c r="B147" s="18">
        <v>50</v>
      </c>
      <c r="C147">
        <f>VLOOKUP(A147,[1]Sheet1!$D:$Q,14,0)</f>
        <v>50</v>
      </c>
      <c r="D147">
        <f t="shared" si="1"/>
        <v>0</v>
      </c>
    </row>
    <row r="148" spans="1:4" x14ac:dyDescent="0.25">
      <c r="A148" s="17">
        <v>1800011236</v>
      </c>
      <c r="B148" s="18">
        <v>3999</v>
      </c>
      <c r="C148">
        <f>VLOOKUP(A148,[1]Sheet1!$D:$Q,14,0)</f>
        <v>3999</v>
      </c>
      <c r="D148">
        <f t="shared" si="1"/>
        <v>0</v>
      </c>
    </row>
    <row r="149" spans="1:4" x14ac:dyDescent="0.25">
      <c r="A149" s="17">
        <v>1800011268</v>
      </c>
      <c r="B149" s="18">
        <v>259</v>
      </c>
      <c r="C149">
        <f>VLOOKUP(A149,[1]Sheet1!$D:$Q,14,0)</f>
        <v>259</v>
      </c>
      <c r="D149">
        <f t="shared" si="1"/>
        <v>0</v>
      </c>
    </row>
    <row r="150" spans="1:4" x14ac:dyDescent="0.25">
      <c r="A150" s="17">
        <v>1800011334</v>
      </c>
      <c r="B150" s="18">
        <v>15485.444444444445</v>
      </c>
      <c r="C150">
        <f>VLOOKUP(A150,[1]Sheet1!$D:$Q,14,0)</f>
        <v>15485</v>
      </c>
      <c r="D150">
        <f t="shared" si="1"/>
        <v>0.44444444444525288</v>
      </c>
    </row>
    <row r="151" spans="1:4" x14ac:dyDescent="0.25">
      <c r="A151" s="17">
        <v>1800011597</v>
      </c>
      <c r="B151" s="18">
        <v>617</v>
      </c>
      <c r="C151">
        <f>VLOOKUP(A151,[1]Sheet1!$D:$Q,14,0)</f>
        <v>617</v>
      </c>
      <c r="D151">
        <f t="shared" si="1"/>
        <v>0</v>
      </c>
    </row>
    <row r="152" spans="1:4" x14ac:dyDescent="0.25">
      <c r="A152" s="17">
        <v>1800011605</v>
      </c>
      <c r="B152" s="18">
        <v>24</v>
      </c>
      <c r="C152">
        <f>VLOOKUP(A152,[1]Sheet1!$D:$Q,14,0)</f>
        <v>24</v>
      </c>
      <c r="D152">
        <f t="shared" si="1"/>
        <v>0</v>
      </c>
    </row>
    <row r="153" spans="1:4" x14ac:dyDescent="0.25">
      <c r="A153" s="17">
        <v>1800011650</v>
      </c>
      <c r="B153" s="18">
        <v>10904</v>
      </c>
      <c r="C153">
        <f>VLOOKUP(A153,[1]Sheet1!$D:$Q,14,0)</f>
        <v>10904</v>
      </c>
      <c r="D153">
        <f t="shared" si="1"/>
        <v>0</v>
      </c>
    </row>
    <row r="154" spans="1:4" x14ac:dyDescent="0.25">
      <c r="A154" s="17">
        <v>1800011711</v>
      </c>
      <c r="B154" s="18">
        <v>39</v>
      </c>
      <c r="C154">
        <f>VLOOKUP(A154,[1]Sheet1!$D:$Q,14,0)</f>
        <v>39</v>
      </c>
      <c r="D154">
        <f t="shared" si="1"/>
        <v>0</v>
      </c>
    </row>
    <row r="155" spans="1:4" x14ac:dyDescent="0.25">
      <c r="A155" s="17">
        <v>1800011792</v>
      </c>
      <c r="B155" s="18">
        <v>176.06122448979593</v>
      </c>
      <c r="C155">
        <f>VLOOKUP(A155,[1]Sheet1!$D:$Q,14,0)</f>
        <v>176</v>
      </c>
      <c r="D155">
        <f t="shared" ref="D155:D162" si="2">B155-C155</f>
        <v>6.1224489795932868E-2</v>
      </c>
    </row>
    <row r="156" spans="1:4" x14ac:dyDescent="0.25">
      <c r="A156" s="17">
        <v>1800011834</v>
      </c>
      <c r="B156" s="18">
        <v>45</v>
      </c>
      <c r="C156">
        <f>VLOOKUP(A156,[1]Sheet1!$D:$Q,14,0)</f>
        <v>45</v>
      </c>
      <c r="D156">
        <f t="shared" si="2"/>
        <v>0</v>
      </c>
    </row>
    <row r="157" spans="1:4" x14ac:dyDescent="0.25">
      <c r="A157" s="17">
        <v>1800011866</v>
      </c>
      <c r="B157" s="18">
        <v>97</v>
      </c>
      <c r="C157">
        <f>VLOOKUP(A157,[1]Sheet1!$D:$Q,14,0)</f>
        <v>97</v>
      </c>
      <c r="D157">
        <f t="shared" si="2"/>
        <v>0</v>
      </c>
    </row>
    <row r="158" spans="1:4" x14ac:dyDescent="0.25">
      <c r="A158" s="17">
        <v>1800012221</v>
      </c>
      <c r="B158" s="18">
        <v>86</v>
      </c>
      <c r="C158">
        <f>VLOOKUP(A158,[1]Sheet1!$D:$Q,14,0)</f>
        <v>86</v>
      </c>
      <c r="D158">
        <f t="shared" si="2"/>
        <v>0</v>
      </c>
    </row>
    <row r="159" spans="1:4" x14ac:dyDescent="0.25">
      <c r="A159" s="17">
        <v>1800012252</v>
      </c>
      <c r="B159" s="18">
        <v>31</v>
      </c>
      <c r="C159">
        <f>VLOOKUP(A159,[1]Sheet1!$D:$Q,14,0)</f>
        <v>31</v>
      </c>
      <c r="D159">
        <f t="shared" si="2"/>
        <v>0</v>
      </c>
    </row>
    <row r="160" spans="1:4" x14ac:dyDescent="0.25">
      <c r="A160" s="17">
        <v>1800012463</v>
      </c>
      <c r="B160" s="18">
        <v>131</v>
      </c>
      <c r="C160">
        <f>VLOOKUP(A160,[1]Sheet1!$D:$Q,14,0)</f>
        <v>131</v>
      </c>
      <c r="D160">
        <f t="shared" si="2"/>
        <v>0</v>
      </c>
    </row>
    <row r="161" spans="1:4" x14ac:dyDescent="0.25">
      <c r="A161" s="17">
        <v>1800012589</v>
      </c>
      <c r="B161" s="18">
        <v>21.020408163265305</v>
      </c>
      <c r="C161">
        <f>VLOOKUP(A161,[1]Sheet1!$D:$Q,14,0)</f>
        <v>189</v>
      </c>
      <c r="D161">
        <f t="shared" si="2"/>
        <v>-167.9795918367347</v>
      </c>
    </row>
    <row r="162" spans="1:4" x14ac:dyDescent="0.25">
      <c r="A162" s="17">
        <v>1800012690</v>
      </c>
      <c r="B162" s="18">
        <v>24</v>
      </c>
      <c r="C162">
        <f>VLOOKUP(A162,[1]Sheet1!$D:$Q,14,0)</f>
        <v>24</v>
      </c>
      <c r="D162">
        <f t="shared" si="2"/>
        <v>0</v>
      </c>
    </row>
    <row r="163" spans="1:4" x14ac:dyDescent="0.25">
      <c r="A163" s="17" t="s">
        <v>4</v>
      </c>
      <c r="B163" s="18">
        <v>0</v>
      </c>
    </row>
    <row r="164" spans="1:4" x14ac:dyDescent="0.25">
      <c r="A164" s="17" t="s">
        <v>32</v>
      </c>
      <c r="B164" s="18"/>
    </row>
    <row r="165" spans="1:4" x14ac:dyDescent="0.25">
      <c r="A165" s="17" t="s">
        <v>33</v>
      </c>
      <c r="B165" s="18">
        <v>393223.75970521546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DEA2-5E90-4A7E-AC04-18C4F62A0527}">
  <dimension ref="A1:U264"/>
  <sheetViews>
    <sheetView tabSelected="1" workbookViewId="0"/>
  </sheetViews>
  <sheetFormatPr defaultColWidth="8.77734375" defaultRowHeight="13.2" x14ac:dyDescent="0.25"/>
  <cols>
    <col min="1" max="1" width="13.21875" style="3" bestFit="1" customWidth="1"/>
    <col min="2" max="2" width="9.77734375" style="3" bestFit="1" customWidth="1"/>
    <col min="3" max="3" width="24.5546875" style="3" bestFit="1" customWidth="1"/>
    <col min="4" max="4" width="11.109375" style="3" bestFit="1" customWidth="1"/>
    <col min="5" max="5" width="15.6640625" style="3" bestFit="1" customWidth="1"/>
    <col min="6" max="6" width="8.21875" style="3" bestFit="1" customWidth="1"/>
    <col min="7" max="7" width="13.21875" style="3" bestFit="1" customWidth="1"/>
    <col min="8" max="8" width="9.88671875" style="3" bestFit="1" customWidth="1"/>
    <col min="9" max="9" width="19.33203125" style="3" bestFit="1" customWidth="1"/>
    <col min="10" max="11" width="19.33203125" style="3" customWidth="1"/>
    <col min="12" max="12" width="12.88671875" style="3" bestFit="1" customWidth="1"/>
    <col min="13" max="13" width="8.21875" style="3" bestFit="1" customWidth="1"/>
    <col min="14" max="14" width="8.5546875" style="3" bestFit="1" customWidth="1"/>
    <col min="15" max="15" width="8.5546875" style="3" customWidth="1"/>
    <col min="16" max="16" width="12.33203125" style="3" bestFit="1" customWidth="1"/>
    <col min="17" max="17" width="9" style="3" bestFit="1" customWidth="1"/>
    <col min="18" max="18" width="11.33203125" style="3" bestFit="1" customWidth="1"/>
    <col min="19" max="20" width="8.77734375" style="3"/>
    <col min="21" max="21" width="9.109375" style="3" bestFit="1" customWidth="1"/>
    <col min="22" max="16384" width="8.77734375" style="3"/>
  </cols>
  <sheetData>
    <row r="1" spans="1:19" ht="52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28</v>
      </c>
      <c r="P1" s="2" t="s">
        <v>27</v>
      </c>
      <c r="Q1" s="2" t="s">
        <v>14</v>
      </c>
      <c r="R1" s="2" t="s">
        <v>15</v>
      </c>
      <c r="S1" s="2" t="s">
        <v>16</v>
      </c>
    </row>
    <row r="2" spans="1:19" x14ac:dyDescent="0.25">
      <c r="A2" s="4" t="s">
        <v>17</v>
      </c>
      <c r="B2" s="4"/>
      <c r="C2" s="4" t="s">
        <v>25</v>
      </c>
      <c r="D2" s="5">
        <v>45839</v>
      </c>
      <c r="E2" s="4">
        <v>1400000077</v>
      </c>
      <c r="F2" s="4" t="s">
        <v>18</v>
      </c>
      <c r="G2" s="5">
        <v>45832</v>
      </c>
      <c r="H2" s="5">
        <v>45832</v>
      </c>
      <c r="I2" s="4"/>
      <c r="J2" s="4" t="s">
        <v>19</v>
      </c>
      <c r="K2" s="4"/>
      <c r="L2" s="4" t="s">
        <v>20</v>
      </c>
      <c r="O2" s="4" t="s">
        <v>26</v>
      </c>
      <c r="P2" s="4">
        <v>-324702</v>
      </c>
      <c r="Q2" s="4"/>
      <c r="R2" s="4">
        <v>-324702</v>
      </c>
      <c r="S2" s="7" t="s">
        <v>22</v>
      </c>
    </row>
    <row r="3" spans="1:19" x14ac:dyDescent="0.25">
      <c r="A3" s="4" t="s">
        <v>17</v>
      </c>
      <c r="B3" s="4"/>
      <c r="C3" s="4" t="s">
        <v>25</v>
      </c>
      <c r="D3" s="5">
        <v>45708</v>
      </c>
      <c r="E3" s="4">
        <v>1800000110</v>
      </c>
      <c r="F3" s="4" t="s">
        <v>23</v>
      </c>
      <c r="G3" s="5">
        <v>45708</v>
      </c>
      <c r="H3" s="5">
        <v>45708</v>
      </c>
      <c r="I3" s="4"/>
      <c r="J3" s="4" t="s">
        <v>19</v>
      </c>
      <c r="K3" s="4"/>
      <c r="L3" s="4">
        <v>246779410038</v>
      </c>
      <c r="M3" s="4" t="s">
        <v>21</v>
      </c>
      <c r="N3" s="6">
        <v>1800</v>
      </c>
      <c r="O3" s="6" t="s">
        <v>26</v>
      </c>
      <c r="P3" s="6">
        <v>155346.59</v>
      </c>
      <c r="Q3" s="4">
        <v>15606</v>
      </c>
      <c r="R3" s="8">
        <f>P3-Q3</f>
        <v>139740.59</v>
      </c>
      <c r="S3" s="7" t="s">
        <v>24</v>
      </c>
    </row>
    <row r="4" spans="1:19" x14ac:dyDescent="0.25">
      <c r="A4" s="4" t="s">
        <v>17</v>
      </c>
      <c r="B4" s="4"/>
      <c r="C4" s="4" t="s">
        <v>25</v>
      </c>
      <c r="D4" s="5">
        <v>45716</v>
      </c>
      <c r="E4" s="4">
        <v>1800000372</v>
      </c>
      <c r="F4" s="4" t="s">
        <v>23</v>
      </c>
      <c r="G4" s="5">
        <v>45716</v>
      </c>
      <c r="H4" s="5">
        <v>45716</v>
      </c>
      <c r="I4" s="4"/>
      <c r="J4" s="4" t="s">
        <v>19</v>
      </c>
      <c r="K4" s="4"/>
      <c r="L4" s="4">
        <v>246779410341</v>
      </c>
      <c r="M4" s="4" t="s">
        <v>21</v>
      </c>
      <c r="N4" s="6">
        <v>450</v>
      </c>
      <c r="O4" s="6" t="s">
        <v>26</v>
      </c>
      <c r="P4" s="6">
        <v>38836.65</v>
      </c>
      <c r="Q4" s="4">
        <v>3933</v>
      </c>
      <c r="R4" s="8">
        <f t="shared" ref="R4:R5" si="0">P4-Q4</f>
        <v>34903.65</v>
      </c>
      <c r="S4" s="7" t="s">
        <v>24</v>
      </c>
    </row>
    <row r="5" spans="1:19" x14ac:dyDescent="0.25">
      <c r="A5" s="4" t="s">
        <v>17</v>
      </c>
      <c r="B5" s="4"/>
      <c r="C5" s="4" t="s">
        <v>25</v>
      </c>
      <c r="D5" s="5">
        <v>45719</v>
      </c>
      <c r="E5" s="4">
        <v>1800000429</v>
      </c>
      <c r="F5" s="4" t="s">
        <v>23</v>
      </c>
      <c r="G5" s="5">
        <v>45719</v>
      </c>
      <c r="H5" s="5">
        <v>45719</v>
      </c>
      <c r="I5" s="4"/>
      <c r="J5" s="4" t="s">
        <v>19</v>
      </c>
      <c r="K5" s="4"/>
      <c r="L5" s="4">
        <v>246779410391</v>
      </c>
      <c r="M5" s="4" t="s">
        <v>21</v>
      </c>
      <c r="N5" s="6">
        <v>1894.32</v>
      </c>
      <c r="O5" s="6" t="s">
        <v>26</v>
      </c>
      <c r="P5" s="6">
        <v>164220.99</v>
      </c>
      <c r="Q5" s="4">
        <v>16543</v>
      </c>
      <c r="R5" s="8">
        <f t="shared" si="0"/>
        <v>147677.99</v>
      </c>
      <c r="S5" s="7" t="s">
        <v>24</v>
      </c>
    </row>
    <row r="6" spans="1:19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" t="s">
        <v>15</v>
      </c>
      <c r="M6" s="9" t="s">
        <v>21</v>
      </c>
      <c r="N6" s="11">
        <f>SUM(N3:N5)</f>
        <v>4144.32</v>
      </c>
      <c r="O6" s="11"/>
      <c r="P6" s="11"/>
      <c r="Q6" s="9"/>
      <c r="R6" s="11">
        <f>SUM(R2:R5)</f>
        <v>-2379.7700000000186</v>
      </c>
      <c r="S6" s="9" t="s">
        <v>29</v>
      </c>
    </row>
    <row r="8" spans="1:19" x14ac:dyDescent="0.25">
      <c r="L8" s="7"/>
      <c r="M8" s="7"/>
      <c r="N8" s="8"/>
      <c r="O8" s="13"/>
      <c r="P8" s="13"/>
    </row>
    <row r="9" spans="1:19" ht="52.8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2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2" t="s">
        <v>12</v>
      </c>
      <c r="N9" s="2" t="s">
        <v>13</v>
      </c>
      <c r="O9" s="2" t="s">
        <v>28</v>
      </c>
      <c r="P9" s="2" t="s">
        <v>27</v>
      </c>
      <c r="Q9" s="2" t="s">
        <v>14</v>
      </c>
      <c r="R9" s="2" t="s">
        <v>15</v>
      </c>
      <c r="S9" s="2" t="s">
        <v>16</v>
      </c>
    </row>
    <row r="10" spans="1:19" x14ac:dyDescent="0.25">
      <c r="A10" s="4" t="s">
        <v>17</v>
      </c>
      <c r="B10" s="4"/>
      <c r="C10" s="4" t="s">
        <v>25</v>
      </c>
      <c r="D10" s="5">
        <v>45839</v>
      </c>
      <c r="E10" s="4">
        <v>1400000116</v>
      </c>
      <c r="F10" s="4" t="s">
        <v>18</v>
      </c>
      <c r="G10" s="5">
        <v>45832</v>
      </c>
      <c r="H10" s="5">
        <v>45832</v>
      </c>
      <c r="I10" s="4"/>
      <c r="J10" s="4" t="s">
        <v>19</v>
      </c>
      <c r="K10" s="4"/>
      <c r="L10" s="4" t="s">
        <v>20</v>
      </c>
      <c r="O10" s="3" t="s">
        <v>26</v>
      </c>
      <c r="P10" s="12">
        <v>-500000</v>
      </c>
      <c r="Q10" s="4"/>
      <c r="R10" s="8">
        <f>P10-Q10</f>
        <v>-500000</v>
      </c>
      <c r="S10" s="7" t="s">
        <v>22</v>
      </c>
    </row>
    <row r="11" spans="1:19" x14ac:dyDescent="0.25">
      <c r="A11" s="4" t="s">
        <v>17</v>
      </c>
      <c r="B11" s="4"/>
      <c r="C11" s="4" t="s">
        <v>25</v>
      </c>
      <c r="D11" s="5">
        <v>45708</v>
      </c>
      <c r="E11" s="4">
        <v>1800000179</v>
      </c>
      <c r="F11" s="4" t="s">
        <v>23</v>
      </c>
      <c r="G11" s="5">
        <v>45708</v>
      </c>
      <c r="H11" s="5">
        <v>45708</v>
      </c>
      <c r="I11" s="4"/>
      <c r="J11" s="4" t="s">
        <v>19</v>
      </c>
      <c r="K11" s="4"/>
      <c r="L11" s="4">
        <v>246779410106</v>
      </c>
      <c r="M11" s="4" t="s">
        <v>21</v>
      </c>
      <c r="N11" s="6">
        <v>1800</v>
      </c>
      <c r="O11" s="6" t="s">
        <v>26</v>
      </c>
      <c r="P11" s="6">
        <v>155346.59</v>
      </c>
      <c r="Q11" s="4">
        <v>15606</v>
      </c>
      <c r="R11" s="8">
        <f>P11-Q11</f>
        <v>139740.59</v>
      </c>
      <c r="S11" s="7" t="s">
        <v>24</v>
      </c>
    </row>
    <row r="12" spans="1:19" x14ac:dyDescent="0.25">
      <c r="A12" s="4" t="s">
        <v>17</v>
      </c>
      <c r="B12" s="4"/>
      <c r="C12" s="4" t="s">
        <v>25</v>
      </c>
      <c r="D12" s="5">
        <v>45708</v>
      </c>
      <c r="E12" s="4">
        <v>1800000222</v>
      </c>
      <c r="F12" s="4" t="s">
        <v>23</v>
      </c>
      <c r="G12" s="5">
        <v>45708</v>
      </c>
      <c r="H12" s="5">
        <v>45708</v>
      </c>
      <c r="I12" s="4"/>
      <c r="J12" s="4" t="s">
        <v>19</v>
      </c>
      <c r="K12" s="4"/>
      <c r="L12" s="4">
        <v>246779410149</v>
      </c>
      <c r="M12" s="4" t="s">
        <v>21</v>
      </c>
      <c r="N12" s="6">
        <v>1800</v>
      </c>
      <c r="O12" s="6" t="s">
        <v>26</v>
      </c>
      <c r="P12" s="6">
        <v>155346.59</v>
      </c>
      <c r="Q12" s="4">
        <v>15606</v>
      </c>
      <c r="R12" s="8">
        <f t="shared" ref="R12:R13" si="1">P12-Q12</f>
        <v>139740.59</v>
      </c>
      <c r="S12" s="7" t="s">
        <v>24</v>
      </c>
    </row>
    <row r="13" spans="1:19" x14ac:dyDescent="0.25">
      <c r="A13" s="4" t="s">
        <v>17</v>
      </c>
      <c r="B13" s="4"/>
      <c r="C13" s="4" t="s">
        <v>25</v>
      </c>
      <c r="D13" s="5">
        <v>45708</v>
      </c>
      <c r="E13" s="4">
        <v>1800000265</v>
      </c>
      <c r="F13" s="4" t="s">
        <v>23</v>
      </c>
      <c r="G13" s="5">
        <v>45708</v>
      </c>
      <c r="H13" s="5">
        <v>45708</v>
      </c>
      <c r="I13" s="4"/>
      <c r="J13" s="4" t="s">
        <v>19</v>
      </c>
      <c r="K13" s="4"/>
      <c r="L13" s="4">
        <v>246779410192</v>
      </c>
      <c r="M13" s="4" t="s">
        <v>21</v>
      </c>
      <c r="N13" s="6">
        <v>1800</v>
      </c>
      <c r="O13" s="6" t="s">
        <v>26</v>
      </c>
      <c r="P13" s="6">
        <v>155346.59</v>
      </c>
      <c r="Q13" s="4">
        <v>15606</v>
      </c>
      <c r="R13" s="8">
        <f t="shared" si="1"/>
        <v>139740.59</v>
      </c>
      <c r="S13" s="7" t="s">
        <v>24</v>
      </c>
    </row>
    <row r="14" spans="1:19" x14ac:dyDescent="0.25">
      <c r="A14" s="4" t="s">
        <v>17</v>
      </c>
      <c r="B14" s="4"/>
      <c r="C14" s="4" t="s">
        <v>25</v>
      </c>
      <c r="D14" s="5">
        <v>45708</v>
      </c>
      <c r="E14" s="4">
        <v>1800000308</v>
      </c>
      <c r="F14" s="4" t="s">
        <v>23</v>
      </c>
      <c r="G14" s="5">
        <v>45708</v>
      </c>
      <c r="H14" s="5">
        <v>45708</v>
      </c>
      <c r="I14" s="4"/>
      <c r="J14" s="4" t="s">
        <v>19</v>
      </c>
      <c r="K14" s="4"/>
      <c r="L14" s="4">
        <v>246779410235</v>
      </c>
      <c r="M14" s="4" t="s">
        <v>21</v>
      </c>
      <c r="N14" s="6">
        <v>1800</v>
      </c>
      <c r="O14" s="6" t="s">
        <v>26</v>
      </c>
      <c r="P14" s="6">
        <f>R14/0.9</f>
        <v>87378.888888888891</v>
      </c>
      <c r="Q14" s="14">
        <f>P14*10%</f>
        <v>8737.8888888888887</v>
      </c>
      <c r="R14" s="8">
        <v>78641</v>
      </c>
      <c r="S14" s="7" t="s">
        <v>24</v>
      </c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0" t="s">
        <v>15</v>
      </c>
      <c r="M15" s="9" t="s">
        <v>21</v>
      </c>
      <c r="N15" s="11">
        <f>SUM(N11:N14)</f>
        <v>7200</v>
      </c>
      <c r="O15" s="11"/>
      <c r="P15" s="11"/>
      <c r="Q15" s="9"/>
      <c r="R15" s="11">
        <f>SUM(R10:R14)</f>
        <v>-2137.2300000000396</v>
      </c>
      <c r="S15" s="9" t="s">
        <v>29</v>
      </c>
    </row>
    <row r="18" spans="1:21" ht="52.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2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2" t="s">
        <v>12</v>
      </c>
      <c r="N18" s="2" t="s">
        <v>13</v>
      </c>
      <c r="O18" s="2" t="s">
        <v>28</v>
      </c>
      <c r="P18" s="2" t="s">
        <v>27</v>
      </c>
      <c r="Q18" s="2" t="s">
        <v>14</v>
      </c>
      <c r="R18" s="2" t="s">
        <v>15</v>
      </c>
      <c r="S18" s="2" t="s">
        <v>16</v>
      </c>
    </row>
    <row r="19" spans="1:21" x14ac:dyDescent="0.25">
      <c r="A19" s="4" t="s">
        <v>17</v>
      </c>
      <c r="B19" s="4"/>
      <c r="C19" s="4" t="s">
        <v>25</v>
      </c>
      <c r="D19" s="5">
        <v>45890</v>
      </c>
      <c r="E19" s="4">
        <v>1400000887</v>
      </c>
      <c r="F19" s="4" t="s">
        <v>18</v>
      </c>
      <c r="G19" s="5">
        <v>45890</v>
      </c>
      <c r="H19" s="5">
        <v>45890</v>
      </c>
      <c r="I19" s="4"/>
      <c r="J19" s="4" t="s">
        <v>19</v>
      </c>
      <c r="K19" s="4"/>
      <c r="L19" s="4" t="s">
        <v>20</v>
      </c>
      <c r="O19" s="3" t="s">
        <v>26</v>
      </c>
      <c r="P19" s="12">
        <v>-100000</v>
      </c>
      <c r="Q19" s="4"/>
      <c r="R19" s="8">
        <f>P19-Q19</f>
        <v>-100000</v>
      </c>
      <c r="S19" s="7" t="s">
        <v>22</v>
      </c>
    </row>
    <row r="20" spans="1:21" x14ac:dyDescent="0.25">
      <c r="A20" s="4" t="s">
        <v>17</v>
      </c>
      <c r="B20" s="4"/>
      <c r="C20" s="4" t="s">
        <v>25</v>
      </c>
      <c r="D20" s="5">
        <v>45708</v>
      </c>
      <c r="E20" s="4">
        <v>1800000308</v>
      </c>
      <c r="F20" s="4" t="s">
        <v>23</v>
      </c>
      <c r="G20" s="5">
        <v>45708</v>
      </c>
      <c r="H20" s="5">
        <v>45708</v>
      </c>
      <c r="I20" s="4"/>
      <c r="J20" s="4" t="s">
        <v>19</v>
      </c>
      <c r="K20" s="4"/>
      <c r="L20" s="4">
        <v>246779410235</v>
      </c>
      <c r="M20" s="4" t="s">
        <v>21</v>
      </c>
      <c r="N20" s="6">
        <v>1800</v>
      </c>
      <c r="O20" s="6" t="s">
        <v>26</v>
      </c>
      <c r="P20" s="6">
        <v>67967.701111111106</v>
      </c>
      <c r="Q20" s="14">
        <v>6868</v>
      </c>
      <c r="R20" s="8">
        <f>P20-Q20</f>
        <v>61099.701111111106</v>
      </c>
      <c r="S20" s="7" t="s">
        <v>24</v>
      </c>
      <c r="T20" s="3">
        <v>155346.59</v>
      </c>
      <c r="U20" s="15">
        <f>T20-P14</f>
        <v>67967.701111111106</v>
      </c>
    </row>
    <row r="21" spans="1:21" x14ac:dyDescent="0.25">
      <c r="A21" s="4" t="s">
        <v>17</v>
      </c>
      <c r="B21" s="4"/>
      <c r="C21" s="4" t="s">
        <v>25</v>
      </c>
      <c r="D21" s="5">
        <v>45708</v>
      </c>
      <c r="E21" s="4">
        <v>1800000080</v>
      </c>
      <c r="F21" s="4" t="s">
        <v>23</v>
      </c>
      <c r="G21" s="5">
        <v>45708</v>
      </c>
      <c r="H21" s="5">
        <v>45708</v>
      </c>
      <c r="I21" s="4"/>
      <c r="J21" s="4" t="s">
        <v>19</v>
      </c>
      <c r="K21" s="4"/>
      <c r="L21" s="4">
        <v>246779410292</v>
      </c>
      <c r="M21" s="4" t="s">
        <v>21</v>
      </c>
      <c r="N21" s="6">
        <v>1800</v>
      </c>
      <c r="O21" s="6" t="s">
        <v>26</v>
      </c>
      <c r="P21" s="6">
        <f>R21/0.9</f>
        <v>42431.111111111109</v>
      </c>
      <c r="Q21" s="14">
        <f>P21*10%</f>
        <v>4243.1111111111113</v>
      </c>
      <c r="R21" s="8">
        <v>38188</v>
      </c>
      <c r="S21" s="7" t="s">
        <v>24</v>
      </c>
    </row>
    <row r="22" spans="1:2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10" t="s">
        <v>15</v>
      </c>
      <c r="M22" s="9" t="s">
        <v>21</v>
      </c>
      <c r="N22" s="11">
        <f>SUM(N20:N20)</f>
        <v>1800</v>
      </c>
      <c r="O22" s="11"/>
      <c r="P22" s="11"/>
      <c r="Q22" s="9"/>
      <c r="R22" s="11">
        <f>SUM(R19:R21)</f>
        <v>-712.298888888894</v>
      </c>
      <c r="S22" s="9" t="s">
        <v>29</v>
      </c>
    </row>
    <row r="25" spans="1:21" ht="52.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2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2" t="s">
        <v>12</v>
      </c>
      <c r="N25" s="2" t="s">
        <v>13</v>
      </c>
      <c r="O25" s="2" t="s">
        <v>28</v>
      </c>
      <c r="P25" s="2" t="s">
        <v>27</v>
      </c>
      <c r="Q25" s="2" t="s">
        <v>14</v>
      </c>
      <c r="R25" s="2" t="s">
        <v>15</v>
      </c>
      <c r="S25" s="2" t="s">
        <v>16</v>
      </c>
    </row>
    <row r="26" spans="1:21" x14ac:dyDescent="0.25">
      <c r="A26" s="4" t="s">
        <v>17</v>
      </c>
      <c r="B26" s="4"/>
      <c r="C26" s="4" t="s">
        <v>25</v>
      </c>
      <c r="D26" s="5">
        <v>45890</v>
      </c>
      <c r="E26" s="4">
        <v>1400000887</v>
      </c>
      <c r="F26" s="4" t="s">
        <v>18</v>
      </c>
      <c r="G26" s="5">
        <v>45890</v>
      </c>
      <c r="H26" s="5">
        <v>45890</v>
      </c>
      <c r="I26" s="4"/>
      <c r="J26" s="4" t="s">
        <v>19</v>
      </c>
      <c r="K26" s="4"/>
      <c r="L26" s="4" t="s">
        <v>20</v>
      </c>
      <c r="O26" s="3" t="s">
        <v>26</v>
      </c>
      <c r="P26" s="12">
        <v>-700000</v>
      </c>
      <c r="Q26" s="4"/>
      <c r="R26" s="8">
        <f>P26-Q26</f>
        <v>-700000</v>
      </c>
      <c r="S26" s="7" t="s">
        <v>22</v>
      </c>
    </row>
    <row r="27" spans="1:21" x14ac:dyDescent="0.25">
      <c r="A27" s="4" t="s">
        <v>17</v>
      </c>
      <c r="B27" s="4"/>
      <c r="C27" s="4" t="s">
        <v>25</v>
      </c>
      <c r="D27" s="5">
        <v>45708</v>
      </c>
      <c r="E27" s="4">
        <v>1800000080</v>
      </c>
      <c r="F27" s="4" t="s">
        <v>23</v>
      </c>
      <c r="G27" s="5">
        <v>45708</v>
      </c>
      <c r="H27" s="5">
        <v>45708</v>
      </c>
      <c r="I27" s="4"/>
      <c r="J27" s="4" t="s">
        <v>19</v>
      </c>
      <c r="K27" s="4"/>
      <c r="L27" s="4">
        <v>246779410292</v>
      </c>
      <c r="M27" s="4" t="s">
        <v>21</v>
      </c>
      <c r="N27" s="6">
        <v>1800</v>
      </c>
      <c r="O27" s="6" t="s">
        <v>26</v>
      </c>
      <c r="P27" s="6">
        <f>T27-P21</f>
        <v>112915.47888888889</v>
      </c>
      <c r="Q27" s="14">
        <v>11362.777777777779</v>
      </c>
      <c r="R27" s="8">
        <f>P27-Q27</f>
        <v>101552.70111111111</v>
      </c>
      <c r="S27" s="7" t="s">
        <v>24</v>
      </c>
      <c r="T27" s="3">
        <v>155346.59</v>
      </c>
    </row>
    <row r="28" spans="1:21" x14ac:dyDescent="0.25">
      <c r="A28" s="4" t="s">
        <v>17</v>
      </c>
      <c r="B28" s="4"/>
      <c r="C28" s="4" t="s">
        <v>25</v>
      </c>
      <c r="D28" s="5">
        <v>45716</v>
      </c>
      <c r="E28" s="4">
        <v>1800000388</v>
      </c>
      <c r="F28" s="4" t="s">
        <v>23</v>
      </c>
      <c r="G28" s="5">
        <v>45716</v>
      </c>
      <c r="H28" s="5">
        <v>45716</v>
      </c>
      <c r="I28" s="4"/>
      <c r="J28" s="4" t="s">
        <v>19</v>
      </c>
      <c r="K28" s="4"/>
      <c r="L28" s="4">
        <v>246779410357</v>
      </c>
      <c r="M28" s="4" t="s">
        <v>21</v>
      </c>
      <c r="N28" s="6">
        <v>450</v>
      </c>
      <c r="O28" s="6" t="s">
        <v>26</v>
      </c>
      <c r="P28" s="6">
        <v>38836.65</v>
      </c>
      <c r="Q28" s="14">
        <v>3933</v>
      </c>
      <c r="R28" s="8">
        <f>P28-Q28</f>
        <v>34903.65</v>
      </c>
      <c r="S28" s="7" t="s">
        <v>24</v>
      </c>
    </row>
    <row r="29" spans="1:21" x14ac:dyDescent="0.25">
      <c r="A29" s="4" t="s">
        <v>17</v>
      </c>
      <c r="B29" s="4"/>
      <c r="C29" s="4" t="s">
        <v>25</v>
      </c>
      <c r="D29" s="5">
        <v>45716</v>
      </c>
      <c r="E29" s="4">
        <v>1800000376</v>
      </c>
      <c r="F29" s="4" t="s">
        <v>23</v>
      </c>
      <c r="G29" s="5">
        <v>45716</v>
      </c>
      <c r="H29" s="5">
        <v>45716</v>
      </c>
      <c r="I29" s="4"/>
      <c r="J29" s="4" t="s">
        <v>19</v>
      </c>
      <c r="K29" s="4"/>
      <c r="L29" s="4">
        <v>246779410345</v>
      </c>
      <c r="M29" s="4" t="s">
        <v>21</v>
      </c>
      <c r="N29" s="6">
        <v>465</v>
      </c>
      <c r="O29" s="6" t="s">
        <v>26</v>
      </c>
      <c r="P29" s="6">
        <v>40131.199999999997</v>
      </c>
      <c r="Q29" s="14">
        <v>4064</v>
      </c>
      <c r="R29" s="8">
        <f t="shared" ref="R29:R32" si="2">P29-Q29</f>
        <v>36067.199999999997</v>
      </c>
      <c r="S29" s="7" t="s">
        <v>24</v>
      </c>
    </row>
    <row r="30" spans="1:21" x14ac:dyDescent="0.25">
      <c r="A30" s="4" t="s">
        <v>17</v>
      </c>
      <c r="B30" s="4"/>
      <c r="C30" s="4" t="s">
        <v>25</v>
      </c>
      <c r="D30" s="5">
        <v>45716</v>
      </c>
      <c r="E30" s="4">
        <v>1800000382</v>
      </c>
      <c r="F30" s="4" t="s">
        <v>23</v>
      </c>
      <c r="G30" s="5">
        <v>45716</v>
      </c>
      <c r="H30" s="5">
        <v>45716</v>
      </c>
      <c r="I30" s="4"/>
      <c r="J30" s="4" t="s">
        <v>19</v>
      </c>
      <c r="K30" s="4"/>
      <c r="L30" s="4">
        <v>246779410351</v>
      </c>
      <c r="M30" s="4" t="s">
        <v>21</v>
      </c>
      <c r="N30" s="6">
        <v>465</v>
      </c>
      <c r="O30" s="6" t="s">
        <v>26</v>
      </c>
      <c r="P30" s="6">
        <v>40131.199999999997</v>
      </c>
      <c r="Q30" s="14">
        <v>4064</v>
      </c>
      <c r="R30" s="8">
        <f t="shared" si="2"/>
        <v>36067.199999999997</v>
      </c>
      <c r="S30" s="7" t="s">
        <v>24</v>
      </c>
    </row>
    <row r="31" spans="1:21" x14ac:dyDescent="0.25">
      <c r="A31" s="4" t="s">
        <v>17</v>
      </c>
      <c r="B31" s="4"/>
      <c r="C31" s="4" t="s">
        <v>25</v>
      </c>
      <c r="D31" s="5">
        <v>45719</v>
      </c>
      <c r="E31" s="4">
        <v>1800000453</v>
      </c>
      <c r="F31" s="4" t="s">
        <v>23</v>
      </c>
      <c r="G31" s="5">
        <v>45719</v>
      </c>
      <c r="H31" s="5">
        <v>45719</v>
      </c>
      <c r="I31" s="4"/>
      <c r="J31" s="4" t="s">
        <v>19</v>
      </c>
      <c r="K31" s="4"/>
      <c r="L31" s="4">
        <v>246779410415</v>
      </c>
      <c r="M31" s="4" t="s">
        <v>21</v>
      </c>
      <c r="N31" s="6">
        <v>1930.92</v>
      </c>
      <c r="O31" s="6" t="s">
        <v>26</v>
      </c>
      <c r="P31" s="6">
        <v>167393.89000000001</v>
      </c>
      <c r="Q31" s="14">
        <v>16863</v>
      </c>
      <c r="R31" s="8">
        <f t="shared" si="2"/>
        <v>150530.89000000001</v>
      </c>
      <c r="S31" s="7" t="s">
        <v>24</v>
      </c>
    </row>
    <row r="32" spans="1:21" x14ac:dyDescent="0.25">
      <c r="A32" s="4" t="s">
        <v>17</v>
      </c>
      <c r="B32" s="4"/>
      <c r="C32" s="4" t="s">
        <v>25</v>
      </c>
      <c r="D32" s="5">
        <v>45722</v>
      </c>
      <c r="E32" s="4">
        <v>1800000922</v>
      </c>
      <c r="F32" s="4" t="s">
        <v>23</v>
      </c>
      <c r="G32" s="5">
        <v>45722</v>
      </c>
      <c r="H32" s="5">
        <v>45722</v>
      </c>
      <c r="I32" s="4"/>
      <c r="J32" s="4" t="s">
        <v>19</v>
      </c>
      <c r="K32" s="4"/>
      <c r="L32" s="4">
        <v>246779410862</v>
      </c>
      <c r="M32" s="4" t="s">
        <v>21</v>
      </c>
      <c r="N32" s="6">
        <v>2306.52</v>
      </c>
      <c r="O32" s="6" t="s">
        <v>26</v>
      </c>
      <c r="P32" s="6">
        <v>199955.13</v>
      </c>
      <c r="Q32" s="14">
        <v>20087</v>
      </c>
      <c r="R32" s="8">
        <f t="shared" si="2"/>
        <v>179868.13</v>
      </c>
      <c r="S32" s="7" t="s">
        <v>24</v>
      </c>
    </row>
    <row r="33" spans="1:20" x14ac:dyDescent="0.25">
      <c r="A33" s="4" t="s">
        <v>17</v>
      </c>
      <c r="B33" s="4"/>
      <c r="C33" s="4" t="s">
        <v>25</v>
      </c>
      <c r="D33" s="5">
        <v>45722</v>
      </c>
      <c r="E33" s="4">
        <v>1800000945</v>
      </c>
      <c r="F33" s="4" t="s">
        <v>23</v>
      </c>
      <c r="G33" s="5">
        <v>45722</v>
      </c>
      <c r="H33" s="5">
        <v>45722</v>
      </c>
      <c r="I33" s="4"/>
      <c r="J33" s="4" t="s">
        <v>19</v>
      </c>
      <c r="K33" s="4"/>
      <c r="L33" s="4">
        <v>246779410885</v>
      </c>
      <c r="M33" s="4" t="s">
        <v>21</v>
      </c>
      <c r="N33" s="6">
        <v>2390.58</v>
      </c>
      <c r="O33" s="6" t="s">
        <v>26</v>
      </c>
      <c r="P33" s="6">
        <f>R33/0.9</f>
        <v>174043.33333333334</v>
      </c>
      <c r="Q33" s="14">
        <f>P33*10%</f>
        <v>17404.333333333336</v>
      </c>
      <c r="R33" s="8">
        <v>156639</v>
      </c>
      <c r="S33" s="7" t="s">
        <v>24</v>
      </c>
    </row>
    <row r="34" spans="1:2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10" t="s">
        <v>15</v>
      </c>
      <c r="M34" s="9" t="s">
        <v>21</v>
      </c>
      <c r="N34" s="11">
        <f>SUM(N27:N33)</f>
        <v>9808.02</v>
      </c>
      <c r="O34" s="11"/>
      <c r="P34" s="11"/>
      <c r="Q34" s="9"/>
      <c r="R34" s="11">
        <f>SUM(R26:R33)</f>
        <v>-4371.2288888889016</v>
      </c>
      <c r="S34" s="9" t="s">
        <v>29</v>
      </c>
    </row>
    <row r="37" spans="1:20" ht="52.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2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2" t="s">
        <v>12</v>
      </c>
      <c r="N37" s="2" t="s">
        <v>13</v>
      </c>
      <c r="O37" s="2" t="s">
        <v>28</v>
      </c>
      <c r="P37" s="2" t="s">
        <v>27</v>
      </c>
      <c r="Q37" s="2" t="s">
        <v>14</v>
      </c>
      <c r="R37" s="2" t="s">
        <v>15</v>
      </c>
      <c r="S37" s="2" t="s">
        <v>16</v>
      </c>
    </row>
    <row r="38" spans="1:20" x14ac:dyDescent="0.25">
      <c r="A38" s="4" t="s">
        <v>17</v>
      </c>
      <c r="B38" s="4"/>
      <c r="C38" s="4" t="s">
        <v>25</v>
      </c>
      <c r="D38" s="5">
        <v>45890</v>
      </c>
      <c r="E38" s="4">
        <v>1400000922</v>
      </c>
      <c r="F38" s="4" t="s">
        <v>18</v>
      </c>
      <c r="G38" s="5">
        <v>45890</v>
      </c>
      <c r="H38" s="5">
        <v>45890</v>
      </c>
      <c r="I38" s="4"/>
      <c r="J38" s="4" t="s">
        <v>19</v>
      </c>
      <c r="K38" s="4"/>
      <c r="L38" s="4" t="s">
        <v>20</v>
      </c>
      <c r="O38" s="3" t="s">
        <v>26</v>
      </c>
      <c r="P38" s="12">
        <v>-150000</v>
      </c>
      <c r="Q38" s="4"/>
      <c r="R38" s="8">
        <f>P38-Q38</f>
        <v>-150000</v>
      </c>
      <c r="S38" s="7" t="s">
        <v>22</v>
      </c>
    </row>
    <row r="39" spans="1:20" x14ac:dyDescent="0.25">
      <c r="A39" s="4" t="s">
        <v>17</v>
      </c>
      <c r="B39" s="4"/>
      <c r="C39" s="4" t="s">
        <v>25</v>
      </c>
      <c r="D39" s="5">
        <v>45722</v>
      </c>
      <c r="E39" s="4">
        <v>1800000945</v>
      </c>
      <c r="F39" s="4" t="s">
        <v>23</v>
      </c>
      <c r="G39" s="5">
        <v>45722</v>
      </c>
      <c r="H39" s="5">
        <v>45722</v>
      </c>
      <c r="I39" s="4"/>
      <c r="J39" s="4" t="s">
        <v>19</v>
      </c>
      <c r="K39" s="4"/>
      <c r="L39" s="4">
        <v>246779410885</v>
      </c>
      <c r="M39" s="4" t="s">
        <v>21</v>
      </c>
      <c r="N39" s="6">
        <v>2390.58</v>
      </c>
      <c r="O39" s="6" t="s">
        <v>26</v>
      </c>
      <c r="P39" s="6">
        <f>T39-P33</f>
        <v>33199.056666666671</v>
      </c>
      <c r="Q39" s="14">
        <v>3414.2222222222222</v>
      </c>
      <c r="R39" s="8">
        <f>P39-Q39</f>
        <v>29784.834444444448</v>
      </c>
      <c r="S39" s="7" t="s">
        <v>24</v>
      </c>
      <c r="T39" s="3">
        <v>207242.39</v>
      </c>
    </row>
    <row r="40" spans="1:20" x14ac:dyDescent="0.25">
      <c r="A40" s="4" t="s">
        <v>17</v>
      </c>
      <c r="B40" s="4"/>
      <c r="C40" s="4" t="s">
        <v>25</v>
      </c>
      <c r="D40" s="5">
        <v>45729</v>
      </c>
      <c r="E40" s="4">
        <v>1800001470</v>
      </c>
      <c r="F40" s="4" t="s">
        <v>23</v>
      </c>
      <c r="G40" s="5">
        <v>45729</v>
      </c>
      <c r="H40" s="5">
        <v>45729</v>
      </c>
      <c r="I40" s="4"/>
      <c r="J40" s="4" t="s">
        <v>19</v>
      </c>
      <c r="K40" s="4"/>
      <c r="L40" s="4">
        <v>246779411302</v>
      </c>
      <c r="M40" s="4" t="s">
        <v>21</v>
      </c>
      <c r="N40" s="6">
        <v>35</v>
      </c>
      <c r="O40" s="6" t="s">
        <v>26</v>
      </c>
      <c r="P40" s="6">
        <v>3034.19</v>
      </c>
      <c r="Q40" s="14">
        <v>61</v>
      </c>
      <c r="R40" s="8">
        <f>P40-Q40</f>
        <v>2973.19</v>
      </c>
      <c r="S40" s="7" t="s">
        <v>24</v>
      </c>
    </row>
    <row r="41" spans="1:20" x14ac:dyDescent="0.25">
      <c r="A41" s="4" t="s">
        <v>17</v>
      </c>
      <c r="B41" s="4"/>
      <c r="C41" s="4" t="s">
        <v>25</v>
      </c>
      <c r="D41" s="5">
        <v>45730</v>
      </c>
      <c r="E41" s="4">
        <v>1800001793</v>
      </c>
      <c r="F41" s="4" t="s">
        <v>23</v>
      </c>
      <c r="G41" s="5">
        <v>45730</v>
      </c>
      <c r="H41" s="5">
        <v>45730</v>
      </c>
      <c r="I41" s="4"/>
      <c r="J41" s="4" t="s">
        <v>19</v>
      </c>
      <c r="K41" s="4"/>
      <c r="L41" s="4">
        <v>246779411458</v>
      </c>
      <c r="M41" s="4" t="s">
        <v>21</v>
      </c>
      <c r="N41" s="6">
        <v>77.2</v>
      </c>
      <c r="O41" s="6" t="s">
        <v>26</v>
      </c>
      <c r="P41" s="6">
        <v>6692.57</v>
      </c>
      <c r="Q41" s="14">
        <v>134</v>
      </c>
      <c r="R41" s="8">
        <f t="shared" ref="R41:R73" si="3">P41-Q41</f>
        <v>6558.57</v>
      </c>
      <c r="S41" s="7" t="s">
        <v>24</v>
      </c>
    </row>
    <row r="42" spans="1:20" x14ac:dyDescent="0.25">
      <c r="A42" s="4" t="s">
        <v>17</v>
      </c>
      <c r="B42" s="4"/>
      <c r="C42" s="4" t="s">
        <v>25</v>
      </c>
      <c r="D42" s="5">
        <v>45730</v>
      </c>
      <c r="E42" s="4">
        <v>1800001590</v>
      </c>
      <c r="F42" s="4" t="s">
        <v>23</v>
      </c>
      <c r="G42" s="5">
        <v>45730</v>
      </c>
      <c r="H42" s="5">
        <v>45730</v>
      </c>
      <c r="I42" s="4"/>
      <c r="J42" s="4" t="s">
        <v>19</v>
      </c>
      <c r="K42" s="4"/>
      <c r="L42" s="4">
        <v>246779412247</v>
      </c>
      <c r="M42" s="4" t="s">
        <v>21</v>
      </c>
      <c r="N42" s="6">
        <v>77.2</v>
      </c>
      <c r="O42" s="6" t="s">
        <v>26</v>
      </c>
      <c r="P42" s="6">
        <v>6692.57</v>
      </c>
      <c r="Q42" s="14">
        <v>134</v>
      </c>
      <c r="R42" s="8">
        <f t="shared" si="3"/>
        <v>6558.57</v>
      </c>
      <c r="S42" s="7" t="s">
        <v>24</v>
      </c>
    </row>
    <row r="43" spans="1:20" x14ac:dyDescent="0.25">
      <c r="A43" s="4" t="s">
        <v>17</v>
      </c>
      <c r="B43" s="4"/>
      <c r="C43" s="4" t="s">
        <v>25</v>
      </c>
      <c r="D43" s="5">
        <v>45733</v>
      </c>
      <c r="E43" s="4">
        <v>1800001962</v>
      </c>
      <c r="F43" s="4" t="s">
        <v>23</v>
      </c>
      <c r="G43" s="5">
        <v>45733</v>
      </c>
      <c r="H43" s="5">
        <v>45733</v>
      </c>
      <c r="I43" s="4"/>
      <c r="J43" s="4" t="s">
        <v>19</v>
      </c>
      <c r="K43" s="4"/>
      <c r="L43" s="4">
        <v>246779411627</v>
      </c>
      <c r="M43" s="4" t="s">
        <v>21</v>
      </c>
      <c r="N43" s="6">
        <v>61.82</v>
      </c>
      <c r="O43" s="6" t="s">
        <v>26</v>
      </c>
      <c r="P43" s="6">
        <v>5359.25</v>
      </c>
      <c r="Q43" s="14">
        <v>107</v>
      </c>
      <c r="R43" s="8">
        <f t="shared" si="3"/>
        <v>5252.25</v>
      </c>
      <c r="S43" s="7" t="s">
        <v>24</v>
      </c>
    </row>
    <row r="44" spans="1:20" x14ac:dyDescent="0.25">
      <c r="A44" s="4" t="s">
        <v>17</v>
      </c>
      <c r="B44" s="4"/>
      <c r="C44" s="4" t="s">
        <v>25</v>
      </c>
      <c r="D44" s="5">
        <v>45733</v>
      </c>
      <c r="E44" s="4">
        <v>1800001960</v>
      </c>
      <c r="F44" s="4" t="s">
        <v>23</v>
      </c>
      <c r="G44" s="5">
        <v>45733</v>
      </c>
      <c r="H44" s="5">
        <v>45733</v>
      </c>
      <c r="I44" s="4"/>
      <c r="J44" s="4" t="s">
        <v>19</v>
      </c>
      <c r="K44" s="4"/>
      <c r="L44" s="4">
        <v>246779411625</v>
      </c>
      <c r="M44" s="4" t="s">
        <v>21</v>
      </c>
      <c r="N44" s="6">
        <v>69.819999999999993</v>
      </c>
      <c r="O44" s="6" t="s">
        <v>26</v>
      </c>
      <c r="P44" s="6">
        <v>6052.78</v>
      </c>
      <c r="Q44" s="14">
        <v>121</v>
      </c>
      <c r="R44" s="8">
        <f t="shared" si="3"/>
        <v>5931.78</v>
      </c>
      <c r="S44" s="7" t="s">
        <v>24</v>
      </c>
    </row>
    <row r="45" spans="1:20" x14ac:dyDescent="0.25">
      <c r="A45" s="4" t="s">
        <v>17</v>
      </c>
      <c r="B45" s="4"/>
      <c r="C45" s="4" t="s">
        <v>25</v>
      </c>
      <c r="D45" s="5">
        <v>45733</v>
      </c>
      <c r="E45" s="4">
        <v>1800001961</v>
      </c>
      <c r="F45" s="4" t="s">
        <v>23</v>
      </c>
      <c r="G45" s="5">
        <v>45733</v>
      </c>
      <c r="H45" s="5">
        <v>45733</v>
      </c>
      <c r="I45" s="4"/>
      <c r="J45" s="4" t="s">
        <v>19</v>
      </c>
      <c r="K45" s="4"/>
      <c r="L45" s="4">
        <v>246779411626</v>
      </c>
      <c r="M45" s="4" t="s">
        <v>21</v>
      </c>
      <c r="N45" s="6">
        <v>71.61</v>
      </c>
      <c r="O45" s="6" t="s">
        <v>26</v>
      </c>
      <c r="P45" s="6">
        <v>6207.96</v>
      </c>
      <c r="Q45" s="14">
        <v>124</v>
      </c>
      <c r="R45" s="8">
        <f t="shared" si="3"/>
        <v>6083.96</v>
      </c>
      <c r="S45" s="7" t="s">
        <v>24</v>
      </c>
    </row>
    <row r="46" spans="1:20" x14ac:dyDescent="0.25">
      <c r="A46" s="4" t="s">
        <v>17</v>
      </c>
      <c r="B46" s="4"/>
      <c r="C46" s="4" t="s">
        <v>25</v>
      </c>
      <c r="D46" s="5">
        <v>45733</v>
      </c>
      <c r="E46" s="4">
        <v>1800002403</v>
      </c>
      <c r="F46" s="4" t="s">
        <v>23</v>
      </c>
      <c r="G46" s="5">
        <v>45733</v>
      </c>
      <c r="H46" s="5">
        <v>45733</v>
      </c>
      <c r="I46" s="4"/>
      <c r="J46" s="4" t="s">
        <v>19</v>
      </c>
      <c r="K46" s="4"/>
      <c r="L46" s="4">
        <v>246779412068</v>
      </c>
      <c r="M46" s="4" t="s">
        <v>21</v>
      </c>
      <c r="N46" s="6">
        <v>122.18</v>
      </c>
      <c r="O46" s="6" t="s">
        <v>26</v>
      </c>
      <c r="P46" s="6">
        <v>10591.94</v>
      </c>
      <c r="Q46" s="14">
        <v>212</v>
      </c>
      <c r="R46" s="8">
        <f t="shared" si="3"/>
        <v>10379.94</v>
      </c>
      <c r="S46" s="7" t="s">
        <v>24</v>
      </c>
    </row>
    <row r="47" spans="1:20" x14ac:dyDescent="0.25">
      <c r="A47" s="4" t="s">
        <v>17</v>
      </c>
      <c r="B47" s="4"/>
      <c r="C47" s="4" t="s">
        <v>25</v>
      </c>
      <c r="D47" s="5">
        <v>45733</v>
      </c>
      <c r="E47" s="4">
        <v>1800001959</v>
      </c>
      <c r="F47" s="4" t="s">
        <v>23</v>
      </c>
      <c r="G47" s="5">
        <v>45733</v>
      </c>
      <c r="H47" s="5">
        <v>45733</v>
      </c>
      <c r="I47" s="4"/>
      <c r="J47" s="4" t="s">
        <v>19</v>
      </c>
      <c r="K47" s="4"/>
      <c r="L47" s="4">
        <v>246779411624</v>
      </c>
      <c r="M47" s="4" t="s">
        <v>21</v>
      </c>
      <c r="N47" s="6">
        <v>245.69</v>
      </c>
      <c r="O47" s="6" t="s">
        <v>26</v>
      </c>
      <c r="P47" s="6">
        <v>21299.18</v>
      </c>
      <c r="Q47" s="14">
        <v>426</v>
      </c>
      <c r="R47" s="8">
        <f t="shared" si="3"/>
        <v>20873.18</v>
      </c>
      <c r="S47" s="7" t="s">
        <v>24</v>
      </c>
    </row>
    <row r="48" spans="1:20" x14ac:dyDescent="0.25">
      <c r="A48" s="4" t="s">
        <v>17</v>
      </c>
      <c r="B48" s="4"/>
      <c r="C48" s="4" t="s">
        <v>25</v>
      </c>
      <c r="D48" s="5">
        <v>45735</v>
      </c>
      <c r="E48" s="4">
        <v>1800003353</v>
      </c>
      <c r="F48" s="4" t="s">
        <v>23</v>
      </c>
      <c r="G48" s="5">
        <v>45735</v>
      </c>
      <c r="H48" s="5">
        <v>45735</v>
      </c>
      <c r="I48" s="4"/>
      <c r="J48" s="4" t="s">
        <v>19</v>
      </c>
      <c r="K48" s="4"/>
      <c r="L48" s="4">
        <v>246779413220</v>
      </c>
      <c r="M48" s="4" t="s">
        <v>21</v>
      </c>
      <c r="N48" s="6">
        <v>26.04</v>
      </c>
      <c r="O48" s="6" t="s">
        <v>26</v>
      </c>
      <c r="P48" s="6">
        <v>2257.44</v>
      </c>
      <c r="Q48" s="14">
        <v>45</v>
      </c>
      <c r="R48" s="8">
        <f t="shared" si="3"/>
        <v>2212.44</v>
      </c>
      <c r="S48" s="7" t="s">
        <v>24</v>
      </c>
    </row>
    <row r="49" spans="1:19" x14ac:dyDescent="0.25">
      <c r="A49" s="4" t="s">
        <v>17</v>
      </c>
      <c r="B49" s="4"/>
      <c r="C49" s="4" t="s">
        <v>25</v>
      </c>
      <c r="D49" s="5">
        <v>45735</v>
      </c>
      <c r="E49" s="4">
        <v>1800003132</v>
      </c>
      <c r="F49" s="4" t="s">
        <v>23</v>
      </c>
      <c r="G49" s="5">
        <v>45735</v>
      </c>
      <c r="H49" s="5">
        <v>45735</v>
      </c>
      <c r="I49" s="4"/>
      <c r="J49" s="4" t="s">
        <v>19</v>
      </c>
      <c r="K49" s="4"/>
      <c r="L49" s="4">
        <v>246779412999</v>
      </c>
      <c r="M49" s="4" t="s">
        <v>21</v>
      </c>
      <c r="N49" s="6">
        <v>186.08</v>
      </c>
      <c r="O49" s="6" t="s">
        <v>26</v>
      </c>
      <c r="P49" s="6">
        <v>16131.51</v>
      </c>
      <c r="Q49" s="14">
        <v>1610</v>
      </c>
      <c r="R49" s="8">
        <f t="shared" si="3"/>
        <v>14521.51</v>
      </c>
      <c r="S49" s="7" t="s">
        <v>24</v>
      </c>
    </row>
    <row r="50" spans="1:19" x14ac:dyDescent="0.25">
      <c r="A50" s="4" t="s">
        <v>17</v>
      </c>
      <c r="B50" s="4"/>
      <c r="C50" s="4" t="s">
        <v>25</v>
      </c>
      <c r="D50" s="5">
        <v>45736</v>
      </c>
      <c r="E50" s="4">
        <v>1800004362</v>
      </c>
      <c r="F50" s="4" t="s">
        <v>23</v>
      </c>
      <c r="G50" s="5">
        <v>45736</v>
      </c>
      <c r="H50" s="5">
        <v>45736</v>
      </c>
      <c r="I50" s="4"/>
      <c r="J50" s="4" t="s">
        <v>19</v>
      </c>
      <c r="K50" s="4"/>
      <c r="L50" s="4">
        <v>246779414230</v>
      </c>
      <c r="M50" s="4" t="s">
        <v>21</v>
      </c>
      <c r="N50" s="6">
        <v>1</v>
      </c>
      <c r="O50" s="6" t="s">
        <v>26</v>
      </c>
      <c r="P50" s="6">
        <v>86.69</v>
      </c>
      <c r="Q50" s="14">
        <v>2</v>
      </c>
      <c r="R50" s="8">
        <f t="shared" si="3"/>
        <v>84.69</v>
      </c>
      <c r="S50" s="7" t="s">
        <v>24</v>
      </c>
    </row>
    <row r="51" spans="1:19" x14ac:dyDescent="0.25">
      <c r="A51" s="4" t="s">
        <v>17</v>
      </c>
      <c r="B51" s="4"/>
      <c r="C51" s="4" t="s">
        <v>25</v>
      </c>
      <c r="D51" s="5">
        <v>45736</v>
      </c>
      <c r="E51" s="4">
        <v>1800004038</v>
      </c>
      <c r="F51" s="4" t="s">
        <v>23</v>
      </c>
      <c r="G51" s="5">
        <v>45736</v>
      </c>
      <c r="H51" s="5">
        <v>45736</v>
      </c>
      <c r="I51" s="4"/>
      <c r="J51" s="4" t="s">
        <v>19</v>
      </c>
      <c r="K51" s="4"/>
      <c r="L51" s="4">
        <v>246779413894</v>
      </c>
      <c r="M51" s="4" t="s">
        <v>21</v>
      </c>
      <c r="N51" s="6">
        <v>2</v>
      </c>
      <c r="O51" s="6" t="s">
        <v>26</v>
      </c>
      <c r="P51" s="6">
        <v>173.38</v>
      </c>
      <c r="Q51" s="14">
        <v>3</v>
      </c>
      <c r="R51" s="8">
        <f t="shared" si="3"/>
        <v>170.38</v>
      </c>
      <c r="S51" s="7" t="s">
        <v>24</v>
      </c>
    </row>
    <row r="52" spans="1:19" x14ac:dyDescent="0.25">
      <c r="A52" s="4" t="s">
        <v>17</v>
      </c>
      <c r="B52" s="4"/>
      <c r="C52" s="4" t="s">
        <v>25</v>
      </c>
      <c r="D52" s="5">
        <v>45736</v>
      </c>
      <c r="E52" s="4">
        <v>1800004055</v>
      </c>
      <c r="F52" s="4" t="s">
        <v>23</v>
      </c>
      <c r="G52" s="5">
        <v>45736</v>
      </c>
      <c r="H52" s="5">
        <v>45736</v>
      </c>
      <c r="I52" s="4"/>
      <c r="J52" s="4" t="s">
        <v>19</v>
      </c>
      <c r="K52" s="4"/>
      <c r="L52" s="4">
        <v>246779413911</v>
      </c>
      <c r="M52" s="4" t="s">
        <v>21</v>
      </c>
      <c r="N52" s="6">
        <v>1.99</v>
      </c>
      <c r="O52" s="6" t="s">
        <v>26</v>
      </c>
      <c r="P52" s="6">
        <v>172.52</v>
      </c>
      <c r="Q52" s="14">
        <v>3</v>
      </c>
      <c r="R52" s="8">
        <f t="shared" si="3"/>
        <v>169.52</v>
      </c>
      <c r="S52" s="7" t="s">
        <v>24</v>
      </c>
    </row>
    <row r="53" spans="1:19" x14ac:dyDescent="0.25">
      <c r="A53" s="4" t="s">
        <v>17</v>
      </c>
      <c r="B53" s="4"/>
      <c r="C53" s="4" t="s">
        <v>25</v>
      </c>
      <c r="D53" s="5">
        <v>45736</v>
      </c>
      <c r="E53" s="4">
        <v>1800004045</v>
      </c>
      <c r="F53" s="4" t="s">
        <v>23</v>
      </c>
      <c r="G53" s="5">
        <v>45736</v>
      </c>
      <c r="H53" s="5">
        <v>45736</v>
      </c>
      <c r="I53" s="4"/>
      <c r="J53" s="4" t="s">
        <v>19</v>
      </c>
      <c r="K53" s="4"/>
      <c r="L53" s="4">
        <v>246779413901</v>
      </c>
      <c r="M53" s="4" t="s">
        <v>21</v>
      </c>
      <c r="N53" s="6">
        <v>1.75</v>
      </c>
      <c r="O53" s="6" t="s">
        <v>26</v>
      </c>
      <c r="P53" s="6">
        <v>151.71</v>
      </c>
      <c r="Q53" s="14">
        <v>3</v>
      </c>
      <c r="R53" s="8">
        <f t="shared" si="3"/>
        <v>148.71</v>
      </c>
      <c r="S53" s="7" t="s">
        <v>24</v>
      </c>
    </row>
    <row r="54" spans="1:19" x14ac:dyDescent="0.25">
      <c r="A54" s="4" t="s">
        <v>17</v>
      </c>
      <c r="B54" s="4"/>
      <c r="C54" s="4" t="s">
        <v>25</v>
      </c>
      <c r="D54" s="5">
        <v>45736</v>
      </c>
      <c r="E54" s="4">
        <v>1800004037</v>
      </c>
      <c r="F54" s="4" t="s">
        <v>23</v>
      </c>
      <c r="G54" s="5">
        <v>45736</v>
      </c>
      <c r="H54" s="5">
        <v>45736</v>
      </c>
      <c r="I54" s="4"/>
      <c r="J54" s="4" t="s">
        <v>19</v>
      </c>
      <c r="K54" s="4"/>
      <c r="L54" s="4">
        <v>246779413893</v>
      </c>
      <c r="M54" s="4" t="s">
        <v>21</v>
      </c>
      <c r="N54" s="6">
        <v>1.75</v>
      </c>
      <c r="O54" s="6" t="s">
        <v>26</v>
      </c>
      <c r="P54" s="6">
        <v>151.71</v>
      </c>
      <c r="Q54" s="14">
        <v>3</v>
      </c>
      <c r="R54" s="8">
        <f t="shared" si="3"/>
        <v>148.71</v>
      </c>
      <c r="S54" s="7" t="s">
        <v>24</v>
      </c>
    </row>
    <row r="55" spans="1:19" x14ac:dyDescent="0.25">
      <c r="A55" s="4" t="s">
        <v>17</v>
      </c>
      <c r="B55" s="4"/>
      <c r="C55" s="4" t="s">
        <v>25</v>
      </c>
      <c r="D55" s="5">
        <v>45736</v>
      </c>
      <c r="E55" s="4">
        <v>1800004873</v>
      </c>
      <c r="F55" s="4" t="s">
        <v>23</v>
      </c>
      <c r="G55" s="5">
        <v>45736</v>
      </c>
      <c r="H55" s="5">
        <v>45736</v>
      </c>
      <c r="I55" s="4"/>
      <c r="J55" s="4" t="s">
        <v>19</v>
      </c>
      <c r="K55" s="4"/>
      <c r="L55" s="4">
        <v>246779414741</v>
      </c>
      <c r="M55" s="4" t="s">
        <v>21</v>
      </c>
      <c r="N55" s="6">
        <v>1.97</v>
      </c>
      <c r="O55" s="6" t="s">
        <v>26</v>
      </c>
      <c r="P55" s="6">
        <v>170.78</v>
      </c>
      <c r="Q55" s="14">
        <v>3</v>
      </c>
      <c r="R55" s="8">
        <f t="shared" si="3"/>
        <v>167.78</v>
      </c>
      <c r="S55" s="7" t="s">
        <v>24</v>
      </c>
    </row>
    <row r="56" spans="1:19" x14ac:dyDescent="0.25">
      <c r="A56" s="4" t="s">
        <v>17</v>
      </c>
      <c r="B56" s="4"/>
      <c r="C56" s="4" t="s">
        <v>25</v>
      </c>
      <c r="D56" s="5">
        <v>45736</v>
      </c>
      <c r="E56" s="4">
        <v>1800005034</v>
      </c>
      <c r="F56" s="4" t="s">
        <v>23</v>
      </c>
      <c r="G56" s="5">
        <v>45736</v>
      </c>
      <c r="H56" s="5">
        <v>45736</v>
      </c>
      <c r="I56" s="4"/>
      <c r="J56" s="4" t="s">
        <v>19</v>
      </c>
      <c r="K56" s="4"/>
      <c r="L56" s="4">
        <v>246779414902</v>
      </c>
      <c r="M56" s="4" t="s">
        <v>21</v>
      </c>
      <c r="N56" s="6">
        <v>3.52</v>
      </c>
      <c r="O56" s="6" t="s">
        <v>26</v>
      </c>
      <c r="P56" s="6">
        <v>305.14999999999998</v>
      </c>
      <c r="Q56" s="14">
        <v>6</v>
      </c>
      <c r="R56" s="8">
        <f t="shared" si="3"/>
        <v>299.14999999999998</v>
      </c>
      <c r="S56" s="7" t="s">
        <v>24</v>
      </c>
    </row>
    <row r="57" spans="1:19" x14ac:dyDescent="0.25">
      <c r="A57" s="4" t="s">
        <v>17</v>
      </c>
      <c r="B57" s="4"/>
      <c r="C57" s="4" t="s">
        <v>25</v>
      </c>
      <c r="D57" s="5">
        <v>45736</v>
      </c>
      <c r="E57" s="4">
        <v>1800004605</v>
      </c>
      <c r="F57" s="4" t="s">
        <v>23</v>
      </c>
      <c r="G57" s="5">
        <v>45736</v>
      </c>
      <c r="H57" s="5">
        <v>45736</v>
      </c>
      <c r="I57" s="4"/>
      <c r="J57" s="4" t="s">
        <v>19</v>
      </c>
      <c r="K57" s="4"/>
      <c r="L57" s="4">
        <v>246779414473</v>
      </c>
      <c r="M57" s="4" t="s">
        <v>21</v>
      </c>
      <c r="N57" s="6">
        <v>6.38</v>
      </c>
      <c r="O57" s="6" t="s">
        <v>26</v>
      </c>
      <c r="P57" s="6">
        <v>553.09</v>
      </c>
      <c r="Q57" s="14">
        <v>11</v>
      </c>
      <c r="R57" s="8">
        <f t="shared" si="3"/>
        <v>542.09</v>
      </c>
      <c r="S57" s="7" t="s">
        <v>24</v>
      </c>
    </row>
    <row r="58" spans="1:19" x14ac:dyDescent="0.25">
      <c r="A58" s="4" t="s">
        <v>17</v>
      </c>
      <c r="B58" s="4"/>
      <c r="C58" s="4" t="s">
        <v>25</v>
      </c>
      <c r="D58" s="5">
        <v>45736</v>
      </c>
      <c r="E58" s="4">
        <v>1800005033</v>
      </c>
      <c r="F58" s="4" t="s">
        <v>23</v>
      </c>
      <c r="G58" s="5">
        <v>45736</v>
      </c>
      <c r="H58" s="5">
        <v>45736</v>
      </c>
      <c r="I58" s="4"/>
      <c r="J58" s="4" t="s">
        <v>19</v>
      </c>
      <c r="K58" s="4"/>
      <c r="L58" s="4">
        <v>246779414901</v>
      </c>
      <c r="M58" s="4" t="s">
        <v>21</v>
      </c>
      <c r="N58" s="6">
        <v>6.13</v>
      </c>
      <c r="O58" s="6" t="s">
        <v>26</v>
      </c>
      <c r="P58" s="6">
        <v>531.41999999999996</v>
      </c>
      <c r="Q58" s="14">
        <v>11</v>
      </c>
      <c r="R58" s="8">
        <f t="shared" si="3"/>
        <v>520.41999999999996</v>
      </c>
      <c r="S58" s="7" t="s">
        <v>24</v>
      </c>
    </row>
    <row r="59" spans="1:19" x14ac:dyDescent="0.25">
      <c r="A59" s="4" t="s">
        <v>17</v>
      </c>
      <c r="B59" s="4"/>
      <c r="C59" s="4" t="s">
        <v>25</v>
      </c>
      <c r="D59" s="5">
        <v>45736</v>
      </c>
      <c r="E59" s="4">
        <v>1800004742</v>
      </c>
      <c r="F59" s="4" t="s">
        <v>23</v>
      </c>
      <c r="G59" s="5">
        <v>45736</v>
      </c>
      <c r="H59" s="5">
        <v>45736</v>
      </c>
      <c r="I59" s="4"/>
      <c r="J59" s="4" t="s">
        <v>19</v>
      </c>
      <c r="K59" s="4"/>
      <c r="L59" s="4">
        <v>246779414610</v>
      </c>
      <c r="M59" s="4" t="s">
        <v>21</v>
      </c>
      <c r="N59" s="6">
        <v>7</v>
      </c>
      <c r="O59" s="6" t="s">
        <v>26</v>
      </c>
      <c r="P59" s="6">
        <v>606.84</v>
      </c>
      <c r="Q59" s="14">
        <v>12</v>
      </c>
      <c r="R59" s="8">
        <f t="shared" si="3"/>
        <v>594.84</v>
      </c>
      <c r="S59" s="7" t="s">
        <v>24</v>
      </c>
    </row>
    <row r="60" spans="1:19" x14ac:dyDescent="0.25">
      <c r="A60" s="4" t="s">
        <v>17</v>
      </c>
      <c r="B60" s="4"/>
      <c r="C60" s="4" t="s">
        <v>25</v>
      </c>
      <c r="D60" s="5">
        <v>45736</v>
      </c>
      <c r="E60" s="4">
        <v>1800004361</v>
      </c>
      <c r="F60" s="4" t="s">
        <v>23</v>
      </c>
      <c r="G60" s="5">
        <v>45736</v>
      </c>
      <c r="H60" s="5">
        <v>45736</v>
      </c>
      <c r="I60" s="4"/>
      <c r="J60" s="4" t="s">
        <v>19</v>
      </c>
      <c r="K60" s="4"/>
      <c r="L60" s="4">
        <v>246779414229</v>
      </c>
      <c r="M60" s="4" t="s">
        <v>21</v>
      </c>
      <c r="N60" s="6">
        <v>9.1</v>
      </c>
      <c r="O60" s="6" t="s">
        <v>26</v>
      </c>
      <c r="P60" s="6">
        <v>788.89</v>
      </c>
      <c r="Q60" s="14">
        <v>16</v>
      </c>
      <c r="R60" s="8">
        <f t="shared" si="3"/>
        <v>772.89</v>
      </c>
      <c r="S60" s="7" t="s">
        <v>24</v>
      </c>
    </row>
    <row r="61" spans="1:19" x14ac:dyDescent="0.25">
      <c r="A61" s="4" t="s">
        <v>17</v>
      </c>
      <c r="B61" s="4"/>
      <c r="C61" s="4" t="s">
        <v>25</v>
      </c>
      <c r="D61" s="5">
        <v>45736</v>
      </c>
      <c r="E61" s="4">
        <v>1800004820</v>
      </c>
      <c r="F61" s="4" t="s">
        <v>23</v>
      </c>
      <c r="G61" s="5">
        <v>45736</v>
      </c>
      <c r="H61" s="5">
        <v>45736</v>
      </c>
      <c r="I61" s="4"/>
      <c r="J61" s="4" t="s">
        <v>19</v>
      </c>
      <c r="K61" s="4"/>
      <c r="L61" s="4">
        <v>246779414688</v>
      </c>
      <c r="M61" s="4" t="s">
        <v>21</v>
      </c>
      <c r="N61" s="6">
        <v>9.9</v>
      </c>
      <c r="O61" s="6" t="s">
        <v>26</v>
      </c>
      <c r="P61" s="6">
        <v>858.24</v>
      </c>
      <c r="Q61" s="14">
        <v>17</v>
      </c>
      <c r="R61" s="8">
        <f t="shared" si="3"/>
        <v>841.24</v>
      </c>
      <c r="S61" s="7" t="s">
        <v>24</v>
      </c>
    </row>
    <row r="62" spans="1:19" x14ac:dyDescent="0.25">
      <c r="A62" s="4" t="s">
        <v>17</v>
      </c>
      <c r="B62" s="4"/>
      <c r="C62" s="4" t="s">
        <v>25</v>
      </c>
      <c r="D62" s="5">
        <v>45736</v>
      </c>
      <c r="E62" s="4">
        <v>1800004534</v>
      </c>
      <c r="F62" s="4" t="s">
        <v>23</v>
      </c>
      <c r="G62" s="5">
        <v>45736</v>
      </c>
      <c r="H62" s="5">
        <v>45736</v>
      </c>
      <c r="I62" s="4"/>
      <c r="J62" s="4" t="s">
        <v>19</v>
      </c>
      <c r="K62" s="4"/>
      <c r="L62" s="4">
        <v>246779414402</v>
      </c>
      <c r="M62" s="4" t="s">
        <v>21</v>
      </c>
      <c r="N62" s="6">
        <v>10.5</v>
      </c>
      <c r="O62" s="6" t="s">
        <v>26</v>
      </c>
      <c r="P62" s="6">
        <v>910.26</v>
      </c>
      <c r="Q62" s="14">
        <v>18</v>
      </c>
      <c r="R62" s="8">
        <f t="shared" si="3"/>
        <v>892.26</v>
      </c>
      <c r="S62" s="7" t="s">
        <v>24</v>
      </c>
    </row>
    <row r="63" spans="1:19" x14ac:dyDescent="0.25">
      <c r="A63" s="4" t="s">
        <v>17</v>
      </c>
      <c r="B63" s="4"/>
      <c r="C63" s="4" t="s">
        <v>25</v>
      </c>
      <c r="D63" s="5">
        <v>45736</v>
      </c>
      <c r="E63" s="4">
        <v>1800004282</v>
      </c>
      <c r="F63" s="4" t="s">
        <v>23</v>
      </c>
      <c r="G63" s="5">
        <v>45736</v>
      </c>
      <c r="H63" s="5">
        <v>45736</v>
      </c>
      <c r="I63" s="4"/>
      <c r="J63" s="4" t="s">
        <v>19</v>
      </c>
      <c r="K63" s="4"/>
      <c r="L63" s="4">
        <v>246779414150</v>
      </c>
      <c r="M63" s="4" t="s">
        <v>21</v>
      </c>
      <c r="N63" s="6">
        <v>12.25</v>
      </c>
      <c r="O63" s="6" t="s">
        <v>26</v>
      </c>
      <c r="P63" s="6">
        <v>1061.97</v>
      </c>
      <c r="Q63" s="14">
        <v>21</v>
      </c>
      <c r="R63" s="8">
        <f t="shared" si="3"/>
        <v>1040.97</v>
      </c>
      <c r="S63" s="7" t="s">
        <v>24</v>
      </c>
    </row>
    <row r="64" spans="1:19" x14ac:dyDescent="0.25">
      <c r="A64" s="4" t="s">
        <v>17</v>
      </c>
      <c r="B64" s="4"/>
      <c r="C64" s="4" t="s">
        <v>25</v>
      </c>
      <c r="D64" s="5">
        <v>45736</v>
      </c>
      <c r="E64" s="4">
        <v>1800004283</v>
      </c>
      <c r="F64" s="4" t="s">
        <v>23</v>
      </c>
      <c r="G64" s="5">
        <v>45736</v>
      </c>
      <c r="H64" s="5">
        <v>45736</v>
      </c>
      <c r="I64" s="4"/>
      <c r="J64" s="4" t="s">
        <v>19</v>
      </c>
      <c r="K64" s="4"/>
      <c r="L64" s="4">
        <v>246779414151</v>
      </c>
      <c r="M64" s="4" t="s">
        <v>21</v>
      </c>
      <c r="N64" s="6">
        <v>15</v>
      </c>
      <c r="O64" s="6" t="s">
        <v>26</v>
      </c>
      <c r="P64" s="6">
        <v>1300.3699999999999</v>
      </c>
      <c r="Q64" s="14">
        <v>26</v>
      </c>
      <c r="R64" s="8">
        <f t="shared" si="3"/>
        <v>1274.3699999999999</v>
      </c>
      <c r="S64" s="7" t="s">
        <v>24</v>
      </c>
    </row>
    <row r="65" spans="1:20" x14ac:dyDescent="0.25">
      <c r="A65" s="4" t="s">
        <v>17</v>
      </c>
      <c r="B65" s="4"/>
      <c r="C65" s="4" t="s">
        <v>25</v>
      </c>
      <c r="D65" s="5">
        <v>45736</v>
      </c>
      <c r="E65" s="4">
        <v>1800004535</v>
      </c>
      <c r="F65" s="4" t="s">
        <v>23</v>
      </c>
      <c r="G65" s="5">
        <v>45736</v>
      </c>
      <c r="H65" s="5">
        <v>45736</v>
      </c>
      <c r="I65" s="4"/>
      <c r="J65" s="4" t="s">
        <v>19</v>
      </c>
      <c r="K65" s="4"/>
      <c r="L65" s="4">
        <v>246779414403</v>
      </c>
      <c r="M65" s="4" t="s">
        <v>21</v>
      </c>
      <c r="N65" s="6">
        <v>15</v>
      </c>
      <c r="O65" s="6" t="s">
        <v>26</v>
      </c>
      <c r="P65" s="6">
        <v>1300.3699999999999</v>
      </c>
      <c r="Q65" s="14">
        <v>26</v>
      </c>
      <c r="R65" s="8">
        <f t="shared" si="3"/>
        <v>1274.3699999999999</v>
      </c>
      <c r="S65" s="7" t="s">
        <v>24</v>
      </c>
    </row>
    <row r="66" spans="1:20" x14ac:dyDescent="0.25">
      <c r="A66" s="4" t="s">
        <v>17</v>
      </c>
      <c r="B66" s="4"/>
      <c r="C66" s="4" t="s">
        <v>25</v>
      </c>
      <c r="D66" s="5">
        <v>45736</v>
      </c>
      <c r="E66" s="4">
        <v>1800004057</v>
      </c>
      <c r="F66" s="4" t="s">
        <v>23</v>
      </c>
      <c r="G66" s="5">
        <v>45736</v>
      </c>
      <c r="H66" s="5">
        <v>45736</v>
      </c>
      <c r="I66" s="4"/>
      <c r="J66" s="4" t="s">
        <v>19</v>
      </c>
      <c r="K66" s="4"/>
      <c r="L66" s="4">
        <v>246779413913</v>
      </c>
      <c r="M66" s="4" t="s">
        <v>21</v>
      </c>
      <c r="N66" s="6">
        <v>14.8</v>
      </c>
      <c r="O66" s="6" t="s">
        <v>26</v>
      </c>
      <c r="P66" s="6">
        <v>1283.03</v>
      </c>
      <c r="Q66" s="14">
        <v>26</v>
      </c>
      <c r="R66" s="8">
        <f t="shared" si="3"/>
        <v>1257.03</v>
      </c>
      <c r="S66" s="7" t="s">
        <v>24</v>
      </c>
    </row>
    <row r="67" spans="1:20" x14ac:dyDescent="0.25">
      <c r="A67" s="4" t="s">
        <v>17</v>
      </c>
      <c r="B67" s="4"/>
      <c r="C67" s="4" t="s">
        <v>25</v>
      </c>
      <c r="D67" s="5">
        <v>45736</v>
      </c>
      <c r="E67" s="4">
        <v>1800004604</v>
      </c>
      <c r="F67" s="4" t="s">
        <v>23</v>
      </c>
      <c r="G67" s="5">
        <v>45736</v>
      </c>
      <c r="H67" s="5">
        <v>45736</v>
      </c>
      <c r="I67" s="4"/>
      <c r="J67" s="4" t="s">
        <v>19</v>
      </c>
      <c r="K67" s="4"/>
      <c r="L67" s="4">
        <v>246779414472</v>
      </c>
      <c r="M67" s="4" t="s">
        <v>21</v>
      </c>
      <c r="N67" s="6">
        <v>18.170000000000002</v>
      </c>
      <c r="O67" s="6" t="s">
        <v>26</v>
      </c>
      <c r="P67" s="6">
        <v>1575.18</v>
      </c>
      <c r="Q67" s="14">
        <v>31</v>
      </c>
      <c r="R67" s="8">
        <f t="shared" si="3"/>
        <v>1544.18</v>
      </c>
      <c r="S67" s="7" t="s">
        <v>24</v>
      </c>
    </row>
    <row r="68" spans="1:20" x14ac:dyDescent="0.25">
      <c r="A68" s="4" t="s">
        <v>17</v>
      </c>
      <c r="B68" s="4"/>
      <c r="C68" s="4" t="s">
        <v>25</v>
      </c>
      <c r="D68" s="5">
        <v>45736</v>
      </c>
      <c r="E68" s="4">
        <v>1800004198</v>
      </c>
      <c r="F68" s="4" t="s">
        <v>23</v>
      </c>
      <c r="G68" s="5">
        <v>45736</v>
      </c>
      <c r="H68" s="5">
        <v>45736</v>
      </c>
      <c r="I68" s="4"/>
      <c r="J68" s="4" t="s">
        <v>19</v>
      </c>
      <c r="K68" s="4"/>
      <c r="L68" s="4">
        <v>246779414066</v>
      </c>
      <c r="M68" s="4" t="s">
        <v>21</v>
      </c>
      <c r="N68" s="6">
        <v>21.13</v>
      </c>
      <c r="O68" s="6" t="s">
        <v>26</v>
      </c>
      <c r="P68" s="6">
        <v>1831.79</v>
      </c>
      <c r="Q68" s="14">
        <v>36</v>
      </c>
      <c r="R68" s="8">
        <f t="shared" si="3"/>
        <v>1795.79</v>
      </c>
      <c r="S68" s="7" t="s">
        <v>24</v>
      </c>
    </row>
    <row r="69" spans="1:20" x14ac:dyDescent="0.25">
      <c r="A69" s="4" t="s">
        <v>17</v>
      </c>
      <c r="B69" s="4"/>
      <c r="C69" s="4" t="s">
        <v>25</v>
      </c>
      <c r="D69" s="5">
        <v>45736</v>
      </c>
      <c r="E69" s="4">
        <v>1800005031</v>
      </c>
      <c r="F69" s="4" t="s">
        <v>23</v>
      </c>
      <c r="G69" s="5">
        <v>45736</v>
      </c>
      <c r="H69" s="5">
        <v>45736</v>
      </c>
      <c r="I69" s="4"/>
      <c r="J69" s="4" t="s">
        <v>19</v>
      </c>
      <c r="K69" s="4"/>
      <c r="L69" s="4">
        <v>246779414899</v>
      </c>
      <c r="M69" s="4" t="s">
        <v>21</v>
      </c>
      <c r="N69" s="6">
        <v>51.6</v>
      </c>
      <c r="O69" s="6" t="s">
        <v>26</v>
      </c>
      <c r="P69" s="6">
        <v>4473.2700000000004</v>
      </c>
      <c r="Q69" s="14">
        <v>89</v>
      </c>
      <c r="R69" s="8">
        <f t="shared" si="3"/>
        <v>4384.2700000000004</v>
      </c>
      <c r="S69" s="7" t="s">
        <v>24</v>
      </c>
    </row>
    <row r="70" spans="1:20" x14ac:dyDescent="0.25">
      <c r="A70" s="4" t="s">
        <v>17</v>
      </c>
      <c r="B70" s="4"/>
      <c r="C70" s="4" t="s">
        <v>25</v>
      </c>
      <c r="D70" s="5">
        <v>45736</v>
      </c>
      <c r="E70" s="4">
        <v>1800005028</v>
      </c>
      <c r="F70" s="4" t="s">
        <v>23</v>
      </c>
      <c r="G70" s="5">
        <v>45736</v>
      </c>
      <c r="H70" s="5">
        <v>45736</v>
      </c>
      <c r="I70" s="4"/>
      <c r="J70" s="4" t="s">
        <v>19</v>
      </c>
      <c r="K70" s="4"/>
      <c r="L70" s="4">
        <v>246779414896</v>
      </c>
      <c r="M70" s="4" t="s">
        <v>21</v>
      </c>
      <c r="N70" s="6">
        <v>43</v>
      </c>
      <c r="O70" s="6" t="s">
        <v>26</v>
      </c>
      <c r="P70" s="6">
        <v>3727.72</v>
      </c>
      <c r="Q70" s="14">
        <v>74</v>
      </c>
      <c r="R70" s="8">
        <f t="shared" si="3"/>
        <v>3653.72</v>
      </c>
      <c r="S70" s="7" t="s">
        <v>24</v>
      </c>
    </row>
    <row r="71" spans="1:20" x14ac:dyDescent="0.25">
      <c r="A71" s="4" t="s">
        <v>17</v>
      </c>
      <c r="B71" s="4"/>
      <c r="C71" s="4" t="s">
        <v>25</v>
      </c>
      <c r="D71" s="5">
        <v>45736</v>
      </c>
      <c r="E71" s="4">
        <v>1800005029</v>
      </c>
      <c r="F71" s="4" t="s">
        <v>23</v>
      </c>
      <c r="G71" s="5">
        <v>45736</v>
      </c>
      <c r="H71" s="5">
        <v>45736</v>
      </c>
      <c r="I71" s="4"/>
      <c r="J71" s="4" t="s">
        <v>19</v>
      </c>
      <c r="K71" s="4"/>
      <c r="L71" s="4">
        <v>246779414897</v>
      </c>
      <c r="M71" s="4" t="s">
        <v>21</v>
      </c>
      <c r="N71" s="6">
        <v>47.3</v>
      </c>
      <c r="O71" s="6" t="s">
        <v>26</v>
      </c>
      <c r="P71" s="6">
        <v>4100.5</v>
      </c>
      <c r="Q71" s="14">
        <v>82</v>
      </c>
      <c r="R71" s="8">
        <f t="shared" si="3"/>
        <v>4018.5</v>
      </c>
      <c r="S71" s="7" t="s">
        <v>24</v>
      </c>
    </row>
    <row r="72" spans="1:20" x14ac:dyDescent="0.25">
      <c r="A72" s="4" t="s">
        <v>17</v>
      </c>
      <c r="B72" s="4"/>
      <c r="C72" s="4" t="s">
        <v>25</v>
      </c>
      <c r="D72" s="5">
        <v>45736</v>
      </c>
      <c r="E72" s="4">
        <v>1800004821</v>
      </c>
      <c r="F72" s="4" t="s">
        <v>23</v>
      </c>
      <c r="G72" s="5">
        <v>45736</v>
      </c>
      <c r="H72" s="5">
        <v>45736</v>
      </c>
      <c r="I72" s="4"/>
      <c r="J72" s="4" t="s">
        <v>19</v>
      </c>
      <c r="K72" s="4"/>
      <c r="L72" s="4">
        <v>246779414689</v>
      </c>
      <c r="M72" s="4" t="s">
        <v>21</v>
      </c>
      <c r="N72" s="6">
        <v>50.75</v>
      </c>
      <c r="O72" s="6" t="s">
        <v>26</v>
      </c>
      <c r="P72" s="6">
        <v>4399.58</v>
      </c>
      <c r="Q72" s="14">
        <v>88</v>
      </c>
      <c r="R72" s="8">
        <f t="shared" si="3"/>
        <v>4311.58</v>
      </c>
      <c r="S72" s="7" t="s">
        <v>24</v>
      </c>
    </row>
    <row r="73" spans="1:20" x14ac:dyDescent="0.25">
      <c r="A73" s="4" t="s">
        <v>17</v>
      </c>
      <c r="B73" s="4"/>
      <c r="C73" s="4" t="s">
        <v>25</v>
      </c>
      <c r="D73" s="5">
        <v>45736</v>
      </c>
      <c r="E73" s="4">
        <v>1800005032</v>
      </c>
      <c r="F73" s="4" t="s">
        <v>23</v>
      </c>
      <c r="G73" s="5">
        <v>45736</v>
      </c>
      <c r="H73" s="5">
        <v>45736</v>
      </c>
      <c r="I73" s="4"/>
      <c r="J73" s="4" t="s">
        <v>19</v>
      </c>
      <c r="K73" s="4"/>
      <c r="L73" s="4">
        <v>246779414900</v>
      </c>
      <c r="M73" s="4" t="s">
        <v>21</v>
      </c>
      <c r="N73" s="6">
        <v>51.6</v>
      </c>
      <c r="O73" s="6" t="s">
        <v>26</v>
      </c>
      <c r="P73" s="6">
        <v>4473.2700000000004</v>
      </c>
      <c r="Q73" s="14">
        <v>89</v>
      </c>
      <c r="R73" s="8">
        <f t="shared" si="3"/>
        <v>4384.2700000000004</v>
      </c>
      <c r="S73" s="7" t="s">
        <v>24</v>
      </c>
    </row>
    <row r="74" spans="1:20" x14ac:dyDescent="0.25">
      <c r="A74" s="4" t="s">
        <v>17</v>
      </c>
      <c r="B74" s="4"/>
      <c r="C74" s="4" t="s">
        <v>25</v>
      </c>
      <c r="D74" s="5">
        <v>45736</v>
      </c>
      <c r="E74" s="4">
        <v>1800004606</v>
      </c>
      <c r="F74" s="4" t="s">
        <v>23</v>
      </c>
      <c r="G74" s="5">
        <v>45736</v>
      </c>
      <c r="H74" s="5">
        <v>45736</v>
      </c>
      <c r="I74" s="4"/>
      <c r="J74" s="4" t="s">
        <v>19</v>
      </c>
      <c r="K74" s="4"/>
      <c r="L74" s="4">
        <v>246779414474</v>
      </c>
      <c r="M74" s="4" t="s">
        <v>21</v>
      </c>
      <c r="N74" s="6">
        <v>60</v>
      </c>
      <c r="O74" s="6" t="s">
        <v>26</v>
      </c>
      <c r="P74" s="6">
        <f>R74/0.98</f>
        <v>3756.1224489795918</v>
      </c>
      <c r="Q74" s="14">
        <f>P74*0.02</f>
        <v>75.122448979591837</v>
      </c>
      <c r="R74" s="8">
        <v>3681</v>
      </c>
      <c r="S74" s="7" t="s">
        <v>24</v>
      </c>
    </row>
    <row r="75" spans="1:20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10" t="s">
        <v>15</v>
      </c>
      <c r="M75" s="9" t="s">
        <v>21</v>
      </c>
      <c r="N75" s="11">
        <f>SUM(N39:N74)</f>
        <v>3826.81</v>
      </c>
      <c r="O75" s="11"/>
      <c r="P75" s="11"/>
      <c r="Q75" s="9"/>
      <c r="R75" s="11">
        <f>SUM(R38:R74)</f>
        <v>-897.0455555555327</v>
      </c>
      <c r="S75" s="9" t="s">
        <v>30</v>
      </c>
    </row>
    <row r="78" spans="1:20" ht="52.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2" t="s">
        <v>5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10</v>
      </c>
      <c r="L78" s="1" t="s">
        <v>11</v>
      </c>
      <c r="M78" s="2" t="s">
        <v>12</v>
      </c>
      <c r="N78" s="2" t="s">
        <v>13</v>
      </c>
      <c r="O78" s="2" t="s">
        <v>28</v>
      </c>
      <c r="P78" s="2" t="s">
        <v>27</v>
      </c>
      <c r="Q78" s="2" t="s">
        <v>14</v>
      </c>
      <c r="R78" s="2" t="s">
        <v>15</v>
      </c>
      <c r="S78" s="2" t="s">
        <v>16</v>
      </c>
    </row>
    <row r="79" spans="1:20" x14ac:dyDescent="0.25">
      <c r="A79" s="4" t="s">
        <v>17</v>
      </c>
      <c r="B79" s="4"/>
      <c r="C79" s="4" t="s">
        <v>25</v>
      </c>
      <c r="D79" s="5">
        <v>45890</v>
      </c>
      <c r="E79" s="4">
        <v>1400000941</v>
      </c>
      <c r="F79" s="4" t="s">
        <v>18</v>
      </c>
      <c r="G79" s="5">
        <v>45890</v>
      </c>
      <c r="H79" s="5">
        <v>45890</v>
      </c>
      <c r="I79" s="4"/>
      <c r="J79" s="4" t="s">
        <v>19</v>
      </c>
      <c r="K79" s="4"/>
      <c r="L79" s="4" t="s">
        <v>20</v>
      </c>
      <c r="O79" s="3" t="s">
        <v>26</v>
      </c>
      <c r="P79" s="12">
        <v>-150000</v>
      </c>
      <c r="Q79" s="4"/>
      <c r="R79" s="8">
        <f>P79-Q79</f>
        <v>-150000</v>
      </c>
      <c r="S79" s="7" t="s">
        <v>22</v>
      </c>
    </row>
    <row r="80" spans="1:20" x14ac:dyDescent="0.25">
      <c r="A80" s="4" t="s">
        <v>17</v>
      </c>
      <c r="B80" s="4"/>
      <c r="C80" s="4" t="s">
        <v>25</v>
      </c>
      <c r="D80" s="5">
        <v>45736</v>
      </c>
      <c r="E80" s="4">
        <v>1800004606</v>
      </c>
      <c r="F80" s="4" t="s">
        <v>23</v>
      </c>
      <c r="G80" s="5">
        <v>45736</v>
      </c>
      <c r="H80" s="5">
        <v>45736</v>
      </c>
      <c r="I80" s="4"/>
      <c r="J80" s="4" t="s">
        <v>19</v>
      </c>
      <c r="K80" s="4"/>
      <c r="L80" s="4">
        <v>246779414474</v>
      </c>
      <c r="M80" s="4" t="s">
        <v>21</v>
      </c>
      <c r="N80" s="6">
        <v>60</v>
      </c>
      <c r="O80" s="6" t="s">
        <v>26</v>
      </c>
      <c r="P80" s="6">
        <f>T80-P74</f>
        <v>1445.3575510204078</v>
      </c>
      <c r="Q80" s="14">
        <v>28.428571428571431</v>
      </c>
      <c r="R80" s="8">
        <f>P80-Q80</f>
        <v>1416.9289795918364</v>
      </c>
      <c r="S80" s="7" t="s">
        <v>24</v>
      </c>
      <c r="T80" s="3">
        <v>5201.4799999999996</v>
      </c>
    </row>
    <row r="81" spans="1:20" x14ac:dyDescent="0.25">
      <c r="A81" s="4" t="s">
        <v>17</v>
      </c>
      <c r="B81" s="4"/>
      <c r="C81" s="4" t="s">
        <v>25</v>
      </c>
      <c r="D81" s="5">
        <v>45736</v>
      </c>
      <c r="E81" s="4">
        <v>1800005027</v>
      </c>
      <c r="F81" s="4" t="s">
        <v>23</v>
      </c>
      <c r="G81" s="5">
        <v>45736</v>
      </c>
      <c r="H81" s="5">
        <v>45736</v>
      </c>
      <c r="I81" s="4"/>
      <c r="J81" s="4" t="s">
        <v>19</v>
      </c>
      <c r="K81" s="4"/>
      <c r="L81" s="4">
        <v>246779414895</v>
      </c>
      <c r="M81" s="4" t="s">
        <v>21</v>
      </c>
      <c r="N81" s="6">
        <v>60</v>
      </c>
      <c r="O81" s="6" t="s">
        <v>26</v>
      </c>
      <c r="P81" s="6">
        <v>5201.4799999999996</v>
      </c>
      <c r="Q81" s="14">
        <v>104</v>
      </c>
      <c r="R81" s="8">
        <f>P81-Q81</f>
        <v>5097.4799999999996</v>
      </c>
      <c r="S81" s="7" t="s">
        <v>24</v>
      </c>
    </row>
    <row r="82" spans="1:20" x14ac:dyDescent="0.25">
      <c r="A82" s="4" t="s">
        <v>17</v>
      </c>
      <c r="B82" s="4"/>
      <c r="C82" s="4" t="s">
        <v>25</v>
      </c>
      <c r="D82" s="5">
        <v>45736</v>
      </c>
      <c r="E82" s="4">
        <v>1800004822</v>
      </c>
      <c r="F82" s="4" t="s">
        <v>23</v>
      </c>
      <c r="G82" s="5">
        <v>45736</v>
      </c>
      <c r="H82" s="5">
        <v>45736</v>
      </c>
      <c r="I82" s="4"/>
      <c r="J82" s="4" t="s">
        <v>19</v>
      </c>
      <c r="K82" s="4"/>
      <c r="L82" s="4">
        <v>246779414690</v>
      </c>
      <c r="M82" s="4" t="s">
        <v>21</v>
      </c>
      <c r="N82" s="6">
        <v>60</v>
      </c>
      <c r="O82" s="6" t="s">
        <v>26</v>
      </c>
      <c r="P82" s="6">
        <v>5201.4799999999996</v>
      </c>
      <c r="Q82" s="14">
        <v>104</v>
      </c>
      <c r="R82" s="8">
        <f t="shared" ref="R82:R89" si="4">P82-Q82</f>
        <v>5097.4799999999996</v>
      </c>
      <c r="S82" s="7" t="s">
        <v>24</v>
      </c>
    </row>
    <row r="83" spans="1:20" x14ac:dyDescent="0.25">
      <c r="A83" s="4" t="s">
        <v>17</v>
      </c>
      <c r="B83" s="4"/>
      <c r="C83" s="4" t="s">
        <v>25</v>
      </c>
      <c r="D83" s="5">
        <v>45736</v>
      </c>
      <c r="E83" s="4">
        <v>1800005030</v>
      </c>
      <c r="F83" s="4" t="s">
        <v>23</v>
      </c>
      <c r="G83" s="5">
        <v>45736</v>
      </c>
      <c r="H83" s="5">
        <v>45736</v>
      </c>
      <c r="I83" s="4"/>
      <c r="J83" s="4" t="s">
        <v>19</v>
      </c>
      <c r="K83" s="4"/>
      <c r="L83" s="4">
        <v>246779414898</v>
      </c>
      <c r="M83" s="4" t="s">
        <v>21</v>
      </c>
      <c r="N83" s="6">
        <v>94.6</v>
      </c>
      <c r="O83" s="6" t="s">
        <v>26</v>
      </c>
      <c r="P83" s="6">
        <v>8200.99</v>
      </c>
      <c r="Q83" s="14">
        <v>163</v>
      </c>
      <c r="R83" s="8">
        <f t="shared" si="4"/>
        <v>8037.99</v>
      </c>
      <c r="S83" s="7" t="s">
        <v>24</v>
      </c>
    </row>
    <row r="84" spans="1:20" x14ac:dyDescent="0.25">
      <c r="A84" s="4" t="s">
        <v>17</v>
      </c>
      <c r="B84" s="4"/>
      <c r="C84" s="4" t="s">
        <v>25</v>
      </c>
      <c r="D84" s="5">
        <v>45736</v>
      </c>
      <c r="E84" s="4">
        <v>1800004872</v>
      </c>
      <c r="F84" s="4" t="s">
        <v>23</v>
      </c>
      <c r="G84" s="5">
        <v>45736</v>
      </c>
      <c r="H84" s="5">
        <v>45736</v>
      </c>
      <c r="I84" s="4"/>
      <c r="J84" s="4" t="s">
        <v>19</v>
      </c>
      <c r="K84" s="4"/>
      <c r="L84" s="4">
        <v>246779414740</v>
      </c>
      <c r="M84" s="4" t="s">
        <v>21</v>
      </c>
      <c r="N84" s="6">
        <v>111.18</v>
      </c>
      <c r="O84" s="6" t="s">
        <v>26</v>
      </c>
      <c r="P84" s="6">
        <v>9638.33</v>
      </c>
      <c r="Q84" s="14">
        <v>192</v>
      </c>
      <c r="R84" s="8">
        <f t="shared" si="4"/>
        <v>9446.33</v>
      </c>
      <c r="S84" s="7" t="s">
        <v>24</v>
      </c>
    </row>
    <row r="85" spans="1:20" x14ac:dyDescent="0.25">
      <c r="A85" s="4" t="s">
        <v>17</v>
      </c>
      <c r="B85" s="4"/>
      <c r="C85" s="4" t="s">
        <v>25</v>
      </c>
      <c r="D85" s="5">
        <v>45736</v>
      </c>
      <c r="E85" s="4">
        <v>1800004028</v>
      </c>
      <c r="F85" s="4" t="s">
        <v>23</v>
      </c>
      <c r="G85" s="5">
        <v>45736</v>
      </c>
      <c r="H85" s="5">
        <v>45736</v>
      </c>
      <c r="I85" s="4"/>
      <c r="J85" s="4" t="s">
        <v>19</v>
      </c>
      <c r="K85" s="4"/>
      <c r="L85" s="4">
        <v>246779413884</v>
      </c>
      <c r="M85" s="4" t="s">
        <v>21</v>
      </c>
      <c r="N85" s="6">
        <v>128.52000000000001</v>
      </c>
      <c r="O85" s="6" t="s">
        <v>26</v>
      </c>
      <c r="P85" s="6">
        <v>11141.56</v>
      </c>
      <c r="Q85" s="14">
        <v>222</v>
      </c>
      <c r="R85" s="8">
        <f t="shared" si="4"/>
        <v>10919.56</v>
      </c>
      <c r="S85" s="7" t="s">
        <v>24</v>
      </c>
    </row>
    <row r="86" spans="1:20" x14ac:dyDescent="0.25">
      <c r="A86" s="4" t="s">
        <v>17</v>
      </c>
      <c r="B86" s="4"/>
      <c r="C86" s="4" t="s">
        <v>25</v>
      </c>
      <c r="D86" s="5">
        <v>45736</v>
      </c>
      <c r="E86" s="4">
        <v>1800004194</v>
      </c>
      <c r="F86" s="4" t="s">
        <v>23</v>
      </c>
      <c r="G86" s="5">
        <v>45736</v>
      </c>
      <c r="H86" s="5">
        <v>45736</v>
      </c>
      <c r="I86" s="4"/>
      <c r="J86" s="4" t="s">
        <v>19</v>
      </c>
      <c r="K86" s="4"/>
      <c r="L86" s="4">
        <v>246779414062</v>
      </c>
      <c r="M86" s="4" t="s">
        <v>21</v>
      </c>
      <c r="N86" s="6">
        <v>251.5</v>
      </c>
      <c r="O86" s="6" t="s">
        <v>26</v>
      </c>
      <c r="P86" s="6">
        <v>21802.85</v>
      </c>
      <c r="Q86" s="14">
        <v>434</v>
      </c>
      <c r="R86" s="8">
        <f t="shared" si="4"/>
        <v>21368.85</v>
      </c>
      <c r="S86" s="7" t="s">
        <v>24</v>
      </c>
    </row>
    <row r="87" spans="1:20" x14ac:dyDescent="0.25">
      <c r="A87" s="4" t="s">
        <v>17</v>
      </c>
      <c r="B87" s="4"/>
      <c r="C87" s="4" t="s">
        <v>25</v>
      </c>
      <c r="D87" s="5">
        <v>45736</v>
      </c>
      <c r="E87" s="4">
        <v>1800004192</v>
      </c>
      <c r="F87" s="4" t="s">
        <v>23</v>
      </c>
      <c r="G87" s="5">
        <v>45736</v>
      </c>
      <c r="H87" s="5">
        <v>45736</v>
      </c>
      <c r="I87" s="4"/>
      <c r="J87" s="4" t="s">
        <v>19</v>
      </c>
      <c r="K87" s="4"/>
      <c r="L87" s="4">
        <v>246779414060</v>
      </c>
      <c r="M87" s="4" t="s">
        <v>21</v>
      </c>
      <c r="N87" s="6">
        <v>273</v>
      </c>
      <c r="O87" s="6" t="s">
        <v>26</v>
      </c>
      <c r="P87" s="6">
        <v>23666.71</v>
      </c>
      <c r="Q87" s="14">
        <v>471</v>
      </c>
      <c r="R87" s="8">
        <f t="shared" si="4"/>
        <v>23195.71</v>
      </c>
      <c r="S87" s="7" t="s">
        <v>24</v>
      </c>
    </row>
    <row r="88" spans="1:20" x14ac:dyDescent="0.25">
      <c r="A88" s="4" t="s">
        <v>17</v>
      </c>
      <c r="B88" s="4"/>
      <c r="C88" s="4" t="s">
        <v>25</v>
      </c>
      <c r="D88" s="5">
        <v>45736</v>
      </c>
      <c r="E88" s="4">
        <v>1800004193</v>
      </c>
      <c r="F88" s="4" t="s">
        <v>23</v>
      </c>
      <c r="G88" s="5">
        <v>45736</v>
      </c>
      <c r="H88" s="5">
        <v>45736</v>
      </c>
      <c r="I88" s="4"/>
      <c r="J88" s="4" t="s">
        <v>19</v>
      </c>
      <c r="K88" s="4"/>
      <c r="L88" s="4">
        <v>246779414061</v>
      </c>
      <c r="M88" s="4" t="s">
        <v>21</v>
      </c>
      <c r="N88" s="6">
        <v>277.3</v>
      </c>
      <c r="O88" s="6" t="s">
        <v>26</v>
      </c>
      <c r="P88" s="6">
        <v>24039.49</v>
      </c>
      <c r="Q88" s="14">
        <v>479</v>
      </c>
      <c r="R88" s="8">
        <f t="shared" si="4"/>
        <v>23560.49</v>
      </c>
      <c r="S88" s="7" t="s">
        <v>24</v>
      </c>
    </row>
    <row r="89" spans="1:20" x14ac:dyDescent="0.25">
      <c r="A89" s="4" t="s">
        <v>17</v>
      </c>
      <c r="B89" s="4"/>
      <c r="C89" s="4" t="s">
        <v>25</v>
      </c>
      <c r="D89" s="5">
        <v>45736</v>
      </c>
      <c r="E89" s="4">
        <v>1800004197</v>
      </c>
      <c r="F89" s="4" t="s">
        <v>23</v>
      </c>
      <c r="G89" s="5">
        <v>45736</v>
      </c>
      <c r="H89" s="5">
        <v>45736</v>
      </c>
      <c r="I89" s="4"/>
      <c r="J89" s="4" t="s">
        <v>19</v>
      </c>
      <c r="K89" s="4"/>
      <c r="L89" s="4">
        <v>246779414065</v>
      </c>
      <c r="M89" s="4" t="s">
        <v>21</v>
      </c>
      <c r="N89" s="6">
        <v>277.3</v>
      </c>
      <c r="O89" s="6" t="s">
        <v>26</v>
      </c>
      <c r="P89" s="6">
        <v>24039.49</v>
      </c>
      <c r="Q89" s="14">
        <v>479</v>
      </c>
      <c r="R89" s="8">
        <f t="shared" si="4"/>
        <v>23560.49</v>
      </c>
      <c r="S89" s="7" t="s">
        <v>24</v>
      </c>
    </row>
    <row r="90" spans="1:20" x14ac:dyDescent="0.25">
      <c r="A90" s="4" t="s">
        <v>17</v>
      </c>
      <c r="B90" s="4"/>
      <c r="C90" s="4" t="s">
        <v>25</v>
      </c>
      <c r="D90" s="5">
        <v>45736</v>
      </c>
      <c r="E90" s="4">
        <v>1800004196</v>
      </c>
      <c r="F90" s="4" t="s">
        <v>23</v>
      </c>
      <c r="G90" s="5">
        <v>45736</v>
      </c>
      <c r="H90" s="5">
        <v>45736</v>
      </c>
      <c r="I90" s="4"/>
      <c r="J90" s="4" t="s">
        <v>19</v>
      </c>
      <c r="K90" s="4"/>
      <c r="L90" s="4">
        <v>246779414064</v>
      </c>
      <c r="M90" s="4" t="s">
        <v>21</v>
      </c>
      <c r="N90" s="6">
        <v>353.2</v>
      </c>
      <c r="O90" s="6" t="s">
        <v>26</v>
      </c>
      <c r="P90" s="6">
        <f>R90/0.98</f>
        <v>19304.081632653062</v>
      </c>
      <c r="Q90" s="14">
        <f>P90*0.02</f>
        <v>386.08163265306126</v>
      </c>
      <c r="R90" s="8">
        <v>18918</v>
      </c>
      <c r="S90" s="7" t="s">
        <v>24</v>
      </c>
    </row>
    <row r="91" spans="1:20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10" t="s">
        <v>15</v>
      </c>
      <c r="M91" s="9" t="s">
        <v>21</v>
      </c>
      <c r="N91" s="11">
        <f>SUM(N80:N90)</f>
        <v>1946.6000000000001</v>
      </c>
      <c r="O91" s="11"/>
      <c r="P91" s="11"/>
      <c r="Q91" s="9"/>
      <c r="R91" s="11">
        <f>SUM(R79:R90)</f>
        <v>619.30897959187496</v>
      </c>
      <c r="S91" s="9" t="s">
        <v>30</v>
      </c>
    </row>
    <row r="94" spans="1:20" ht="52.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2" t="s">
        <v>5</v>
      </c>
      <c r="G94" s="1" t="s">
        <v>6</v>
      </c>
      <c r="H94" s="1" t="s">
        <v>7</v>
      </c>
      <c r="I94" s="1" t="s">
        <v>8</v>
      </c>
      <c r="J94" s="1" t="s">
        <v>9</v>
      </c>
      <c r="K94" s="1" t="s">
        <v>10</v>
      </c>
      <c r="L94" s="1" t="s">
        <v>11</v>
      </c>
      <c r="M94" s="2" t="s">
        <v>12</v>
      </c>
      <c r="N94" s="2" t="s">
        <v>13</v>
      </c>
      <c r="O94" s="2" t="s">
        <v>28</v>
      </c>
      <c r="P94" s="2" t="s">
        <v>27</v>
      </c>
      <c r="Q94" s="2" t="s">
        <v>14</v>
      </c>
      <c r="R94" s="2" t="s">
        <v>15</v>
      </c>
      <c r="S94" s="2" t="s">
        <v>16</v>
      </c>
    </row>
    <row r="95" spans="1:20" x14ac:dyDescent="0.25">
      <c r="A95" s="4" t="s">
        <v>17</v>
      </c>
      <c r="B95" s="4"/>
      <c r="C95" s="4" t="s">
        <v>25</v>
      </c>
      <c r="D95" s="5">
        <v>45890</v>
      </c>
      <c r="E95" s="3">
        <v>1400000955</v>
      </c>
      <c r="F95" s="4" t="s">
        <v>18</v>
      </c>
      <c r="G95" s="5">
        <v>45890</v>
      </c>
      <c r="H95" s="5">
        <v>45890</v>
      </c>
      <c r="I95" s="4"/>
      <c r="J95" s="4" t="s">
        <v>19</v>
      </c>
      <c r="K95" s="4"/>
      <c r="L95" s="4" t="s">
        <v>20</v>
      </c>
      <c r="O95" s="3" t="s">
        <v>26</v>
      </c>
      <c r="P95" s="12">
        <v>-150000</v>
      </c>
      <c r="Q95" s="4"/>
      <c r="R95" s="8">
        <f>P95-Q95</f>
        <v>-150000</v>
      </c>
      <c r="S95" s="7" t="s">
        <v>22</v>
      </c>
    </row>
    <row r="96" spans="1:20" x14ac:dyDescent="0.25">
      <c r="A96" s="4" t="s">
        <v>17</v>
      </c>
      <c r="B96" s="4"/>
      <c r="C96" s="4" t="s">
        <v>25</v>
      </c>
      <c r="D96" s="5">
        <v>45736</v>
      </c>
      <c r="E96" s="4">
        <v>1800004196</v>
      </c>
      <c r="F96" s="4" t="s">
        <v>23</v>
      </c>
      <c r="G96" s="5">
        <v>45736</v>
      </c>
      <c r="H96" s="5">
        <v>45736</v>
      </c>
      <c r="I96" s="4"/>
      <c r="J96" s="4" t="s">
        <v>19</v>
      </c>
      <c r="K96" s="4"/>
      <c r="L96" s="4">
        <v>246779414064</v>
      </c>
      <c r="M96" s="4" t="s">
        <v>21</v>
      </c>
      <c r="N96" s="6">
        <v>353.2</v>
      </c>
      <c r="O96" s="6" t="s">
        <v>26</v>
      </c>
      <c r="P96" s="6">
        <f>T96-P90</f>
        <v>11315.268367346936</v>
      </c>
      <c r="Q96" s="14">
        <v>223.57142857142858</v>
      </c>
      <c r="R96" s="8">
        <f>P96-Q96</f>
        <v>11091.696938775507</v>
      </c>
      <c r="S96" s="7" t="s">
        <v>24</v>
      </c>
      <c r="T96" s="3">
        <v>30619.35</v>
      </c>
    </row>
    <row r="97" spans="1:19" x14ac:dyDescent="0.25">
      <c r="A97" s="4" t="s">
        <v>17</v>
      </c>
      <c r="B97" s="4"/>
      <c r="C97" s="4" t="s">
        <v>25</v>
      </c>
      <c r="D97" s="5">
        <v>45736</v>
      </c>
      <c r="E97" s="4">
        <v>1800004195</v>
      </c>
      <c r="F97" s="4" t="s">
        <v>23</v>
      </c>
      <c r="G97" s="5">
        <v>45736</v>
      </c>
      <c r="H97" s="5">
        <v>45736</v>
      </c>
      <c r="I97" s="4"/>
      <c r="J97" s="4" t="s">
        <v>19</v>
      </c>
      <c r="K97" s="4"/>
      <c r="L97" s="4">
        <v>246779414063</v>
      </c>
      <c r="M97" s="4" t="s">
        <v>21</v>
      </c>
      <c r="N97" s="6">
        <v>554.6</v>
      </c>
      <c r="O97" s="6" t="s">
        <v>26</v>
      </c>
      <c r="P97" s="6">
        <v>48078.97</v>
      </c>
      <c r="Q97" s="14">
        <v>957</v>
      </c>
      <c r="R97" s="8">
        <f>P97-Q97</f>
        <v>47121.97</v>
      </c>
      <c r="S97" s="7" t="s">
        <v>24</v>
      </c>
    </row>
    <row r="98" spans="1:19" x14ac:dyDescent="0.25">
      <c r="A98" s="4" t="s">
        <v>17</v>
      </c>
      <c r="B98" s="4"/>
      <c r="C98" s="4" t="s">
        <v>25</v>
      </c>
      <c r="D98" s="5">
        <v>45736</v>
      </c>
      <c r="E98" s="4">
        <v>1800003941</v>
      </c>
      <c r="F98" s="4" t="s">
        <v>23</v>
      </c>
      <c r="G98" s="5">
        <v>45736</v>
      </c>
      <c r="H98" s="5">
        <v>45736</v>
      </c>
      <c r="I98" s="4"/>
      <c r="J98" s="4" t="s">
        <v>19</v>
      </c>
      <c r="K98" s="4"/>
      <c r="L98" s="4">
        <v>246779413809</v>
      </c>
      <c r="M98" s="4" t="s">
        <v>21</v>
      </c>
      <c r="N98" s="6">
        <v>420</v>
      </c>
      <c r="O98" s="6" t="s">
        <v>26</v>
      </c>
      <c r="P98" s="6">
        <v>36410.33</v>
      </c>
      <c r="Q98" s="14">
        <v>3625</v>
      </c>
      <c r="R98" s="8">
        <f t="shared" ref="R98:R106" si="5">P98-Q98</f>
        <v>32785.33</v>
      </c>
      <c r="S98" s="7" t="s">
        <v>24</v>
      </c>
    </row>
    <row r="99" spans="1:19" x14ac:dyDescent="0.25">
      <c r="A99" s="4" t="s">
        <v>17</v>
      </c>
      <c r="B99" s="4"/>
      <c r="C99" s="4" t="s">
        <v>25</v>
      </c>
      <c r="D99" s="5">
        <v>45736</v>
      </c>
      <c r="E99" s="4">
        <v>1800003930</v>
      </c>
      <c r="F99" s="4" t="s">
        <v>23</v>
      </c>
      <c r="G99" s="5">
        <v>45736</v>
      </c>
      <c r="H99" s="5">
        <v>45736</v>
      </c>
      <c r="I99" s="4"/>
      <c r="J99" s="4" t="s">
        <v>19</v>
      </c>
      <c r="K99" s="4"/>
      <c r="L99" s="4">
        <v>246779413798</v>
      </c>
      <c r="M99" s="4" t="s">
        <v>21</v>
      </c>
      <c r="N99" s="6">
        <v>465</v>
      </c>
      <c r="O99" s="6" t="s">
        <v>26</v>
      </c>
      <c r="P99" s="6">
        <v>40311.440000000002</v>
      </c>
      <c r="Q99" s="14">
        <v>4013</v>
      </c>
      <c r="R99" s="8">
        <f t="shared" si="5"/>
        <v>36298.44</v>
      </c>
      <c r="S99" s="7" t="s">
        <v>24</v>
      </c>
    </row>
    <row r="100" spans="1:19" x14ac:dyDescent="0.25">
      <c r="A100" s="4" t="s">
        <v>17</v>
      </c>
      <c r="B100" s="4"/>
      <c r="C100" s="4" t="s">
        <v>25</v>
      </c>
      <c r="D100" s="5">
        <v>45737</v>
      </c>
      <c r="E100" s="4">
        <v>1800004451</v>
      </c>
      <c r="F100" s="4" t="s">
        <v>23</v>
      </c>
      <c r="G100" s="5">
        <v>45737</v>
      </c>
      <c r="H100" s="5">
        <v>45737</v>
      </c>
      <c r="I100" s="4"/>
      <c r="J100" s="4" t="s">
        <v>19</v>
      </c>
      <c r="K100" s="4"/>
      <c r="L100" s="4">
        <v>246779414319</v>
      </c>
      <c r="M100" s="4" t="s">
        <v>21</v>
      </c>
      <c r="N100" s="6">
        <v>13.25</v>
      </c>
      <c r="O100" s="6" t="s">
        <v>26</v>
      </c>
      <c r="P100" s="6">
        <v>1148.6600000000001</v>
      </c>
      <c r="Q100" s="14">
        <v>23</v>
      </c>
      <c r="R100" s="8">
        <f t="shared" si="5"/>
        <v>1125.6600000000001</v>
      </c>
      <c r="S100" s="7" t="s">
        <v>24</v>
      </c>
    </row>
    <row r="101" spans="1:19" x14ac:dyDescent="0.25">
      <c r="A101" s="4" t="s">
        <v>17</v>
      </c>
      <c r="B101" s="4"/>
      <c r="C101" s="4" t="s">
        <v>25</v>
      </c>
      <c r="D101" s="5">
        <v>45737</v>
      </c>
      <c r="E101" s="4">
        <v>1800004453</v>
      </c>
      <c r="F101" s="4" t="s">
        <v>23</v>
      </c>
      <c r="G101" s="5">
        <v>45737</v>
      </c>
      <c r="H101" s="5">
        <v>45737</v>
      </c>
      <c r="I101" s="4"/>
      <c r="J101" s="4" t="s">
        <v>19</v>
      </c>
      <c r="K101" s="4"/>
      <c r="L101" s="4">
        <v>246779414321</v>
      </c>
      <c r="M101" s="4" t="s">
        <v>21</v>
      </c>
      <c r="N101" s="6">
        <v>30</v>
      </c>
      <c r="O101" s="6" t="s">
        <v>26</v>
      </c>
      <c r="P101" s="6">
        <v>2600.7399999999998</v>
      </c>
      <c r="Q101" s="14">
        <v>52</v>
      </c>
      <c r="R101" s="8">
        <f t="shared" si="5"/>
        <v>2548.7399999999998</v>
      </c>
      <c r="S101" s="7" t="s">
        <v>24</v>
      </c>
    </row>
    <row r="102" spans="1:19" x14ac:dyDescent="0.25">
      <c r="A102" s="4" t="s">
        <v>17</v>
      </c>
      <c r="B102" s="4"/>
      <c r="C102" s="4" t="s">
        <v>25</v>
      </c>
      <c r="D102" s="5">
        <v>45737</v>
      </c>
      <c r="E102" s="4">
        <v>1800004452</v>
      </c>
      <c r="F102" s="4" t="s">
        <v>23</v>
      </c>
      <c r="G102" s="5">
        <v>45737</v>
      </c>
      <c r="H102" s="5">
        <v>45737</v>
      </c>
      <c r="I102" s="4"/>
      <c r="J102" s="4" t="s">
        <v>19</v>
      </c>
      <c r="K102" s="4"/>
      <c r="L102" s="4">
        <v>246779414320</v>
      </c>
      <c r="M102" s="4" t="s">
        <v>21</v>
      </c>
      <c r="N102" s="6">
        <v>38.5</v>
      </c>
      <c r="O102" s="6" t="s">
        <v>26</v>
      </c>
      <c r="P102" s="6">
        <v>3337.61</v>
      </c>
      <c r="Q102" s="14">
        <v>66</v>
      </c>
      <c r="R102" s="8">
        <f t="shared" si="5"/>
        <v>3271.61</v>
      </c>
      <c r="S102" s="7" t="s">
        <v>24</v>
      </c>
    </row>
    <row r="103" spans="1:19" x14ac:dyDescent="0.25">
      <c r="A103" s="4" t="s">
        <v>17</v>
      </c>
      <c r="B103" s="4"/>
      <c r="C103" s="4" t="s">
        <v>25</v>
      </c>
      <c r="D103" s="5">
        <v>45750</v>
      </c>
      <c r="E103" s="4">
        <v>1800005194</v>
      </c>
      <c r="F103" s="4" t="s">
        <v>23</v>
      </c>
      <c r="G103" s="5">
        <v>45750</v>
      </c>
      <c r="H103" s="5">
        <v>45750</v>
      </c>
      <c r="I103" s="4"/>
      <c r="J103" s="4" t="s">
        <v>19</v>
      </c>
      <c r="K103" s="4"/>
      <c r="L103" s="4">
        <v>256779410140</v>
      </c>
      <c r="M103" s="4" t="s">
        <v>21</v>
      </c>
      <c r="N103" s="6">
        <v>1</v>
      </c>
      <c r="O103" s="6" t="s">
        <v>26</v>
      </c>
      <c r="P103" s="6">
        <v>86.92</v>
      </c>
      <c r="Q103" s="14">
        <v>2</v>
      </c>
      <c r="R103" s="8">
        <f t="shared" si="5"/>
        <v>84.92</v>
      </c>
      <c r="S103" s="7" t="s">
        <v>24</v>
      </c>
    </row>
    <row r="104" spans="1:19" x14ac:dyDescent="0.25">
      <c r="A104" s="4" t="s">
        <v>17</v>
      </c>
      <c r="B104" s="4"/>
      <c r="C104" s="4" t="s">
        <v>25</v>
      </c>
      <c r="D104" s="5">
        <v>45750</v>
      </c>
      <c r="E104" s="4">
        <v>1800005193</v>
      </c>
      <c r="F104" s="4" t="s">
        <v>23</v>
      </c>
      <c r="G104" s="5">
        <v>45750</v>
      </c>
      <c r="H104" s="5">
        <v>45750</v>
      </c>
      <c r="I104" s="4"/>
      <c r="J104" s="4" t="s">
        <v>19</v>
      </c>
      <c r="K104" s="4"/>
      <c r="L104" s="4">
        <v>256779410139</v>
      </c>
      <c r="M104" s="4" t="s">
        <v>21</v>
      </c>
      <c r="N104" s="6">
        <v>3.5</v>
      </c>
      <c r="O104" s="6" t="s">
        <v>26</v>
      </c>
      <c r="P104" s="6">
        <v>304.23</v>
      </c>
      <c r="Q104" s="14">
        <v>6</v>
      </c>
      <c r="R104" s="8">
        <f t="shared" si="5"/>
        <v>298.23</v>
      </c>
      <c r="S104" s="7" t="s">
        <v>24</v>
      </c>
    </row>
    <row r="105" spans="1:19" x14ac:dyDescent="0.25">
      <c r="A105" s="4" t="s">
        <v>17</v>
      </c>
      <c r="B105" s="4"/>
      <c r="C105" s="4" t="s">
        <v>25</v>
      </c>
      <c r="D105" s="5">
        <v>45750</v>
      </c>
      <c r="E105" s="4">
        <v>1800005142</v>
      </c>
      <c r="F105" s="4" t="s">
        <v>23</v>
      </c>
      <c r="G105" s="5">
        <v>45750</v>
      </c>
      <c r="H105" s="5">
        <v>45750</v>
      </c>
      <c r="I105" s="4"/>
      <c r="J105" s="4" t="s">
        <v>19</v>
      </c>
      <c r="K105" s="4"/>
      <c r="L105" s="4">
        <v>256779410088</v>
      </c>
      <c r="M105" s="4" t="s">
        <v>21</v>
      </c>
      <c r="N105" s="6">
        <v>5.25</v>
      </c>
      <c r="O105" s="6" t="s">
        <v>26</v>
      </c>
      <c r="P105" s="6">
        <v>456.34</v>
      </c>
      <c r="Q105" s="14">
        <v>9</v>
      </c>
      <c r="R105" s="8">
        <f t="shared" si="5"/>
        <v>447.34</v>
      </c>
      <c r="S105" s="7" t="s">
        <v>24</v>
      </c>
    </row>
    <row r="106" spans="1:19" x14ac:dyDescent="0.25">
      <c r="A106" s="4" t="s">
        <v>17</v>
      </c>
      <c r="B106" s="4"/>
      <c r="C106" s="4" t="s">
        <v>25</v>
      </c>
      <c r="D106" s="5">
        <v>45750</v>
      </c>
      <c r="E106" s="4">
        <v>1800005143</v>
      </c>
      <c r="F106" s="4" t="s">
        <v>23</v>
      </c>
      <c r="G106" s="5">
        <v>45750</v>
      </c>
      <c r="H106" s="5">
        <v>45750</v>
      </c>
      <c r="I106" s="4"/>
      <c r="J106" s="4" t="s">
        <v>19</v>
      </c>
      <c r="K106" s="4"/>
      <c r="L106" s="4">
        <v>256779410089</v>
      </c>
      <c r="M106" s="4" t="s">
        <v>21</v>
      </c>
      <c r="N106" s="6">
        <v>30</v>
      </c>
      <c r="O106" s="6" t="s">
        <v>26</v>
      </c>
      <c r="P106" s="6">
        <v>2607.65</v>
      </c>
      <c r="Q106" s="14">
        <v>51</v>
      </c>
      <c r="R106" s="8">
        <f t="shared" si="5"/>
        <v>2556.65</v>
      </c>
      <c r="S106" s="7" t="s">
        <v>24</v>
      </c>
    </row>
    <row r="107" spans="1:19" x14ac:dyDescent="0.25">
      <c r="A107" s="4" t="s">
        <v>17</v>
      </c>
      <c r="B107" s="4"/>
      <c r="C107" s="4" t="s">
        <v>25</v>
      </c>
      <c r="D107" s="5">
        <v>45751</v>
      </c>
      <c r="E107" s="4">
        <v>1800005896</v>
      </c>
      <c r="F107" s="4" t="s">
        <v>23</v>
      </c>
      <c r="G107" s="5">
        <v>45751</v>
      </c>
      <c r="H107" s="5">
        <v>45751</v>
      </c>
      <c r="I107" s="4"/>
      <c r="J107" s="4" t="s">
        <v>19</v>
      </c>
      <c r="K107" s="4"/>
      <c r="L107" s="4">
        <v>256779410788</v>
      </c>
      <c r="M107" s="4" t="s">
        <v>21</v>
      </c>
      <c r="N107" s="6">
        <v>1394.64</v>
      </c>
      <c r="O107" s="6" t="s">
        <v>26</v>
      </c>
      <c r="P107" s="6">
        <f>R107/0.9</f>
        <v>14614.444444444443</v>
      </c>
      <c r="Q107" s="14">
        <f>P107*0.1</f>
        <v>1461.4444444444443</v>
      </c>
      <c r="R107" s="8">
        <v>13153</v>
      </c>
      <c r="S107" s="7" t="s">
        <v>24</v>
      </c>
    </row>
    <row r="108" spans="1:19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0" t="s">
        <v>15</v>
      </c>
      <c r="M108" s="9" t="s">
        <v>21</v>
      </c>
      <c r="N108" s="11">
        <f>SUM(N95:N107)</f>
        <v>3308.94</v>
      </c>
      <c r="O108" s="11"/>
      <c r="P108" s="11"/>
      <c r="Q108" s="9"/>
      <c r="R108" s="11">
        <f>SUM(R95:R107)</f>
        <v>783.58693877551559</v>
      </c>
      <c r="S108" s="9" t="s">
        <v>30</v>
      </c>
    </row>
    <row r="111" spans="1:19" ht="52.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2" t="s">
        <v>5</v>
      </c>
      <c r="G111" s="1" t="s">
        <v>6</v>
      </c>
      <c r="H111" s="1" t="s">
        <v>7</v>
      </c>
      <c r="I111" s="1" t="s">
        <v>8</v>
      </c>
      <c r="J111" s="1" t="s">
        <v>9</v>
      </c>
      <c r="K111" s="1" t="s">
        <v>10</v>
      </c>
      <c r="L111" s="1" t="s">
        <v>11</v>
      </c>
      <c r="M111" s="2" t="s">
        <v>12</v>
      </c>
      <c r="N111" s="2" t="s">
        <v>13</v>
      </c>
      <c r="O111" s="2" t="s">
        <v>28</v>
      </c>
      <c r="P111" s="2" t="s">
        <v>27</v>
      </c>
      <c r="Q111" s="2" t="s">
        <v>14</v>
      </c>
      <c r="R111" s="2" t="s">
        <v>15</v>
      </c>
      <c r="S111" s="2" t="s">
        <v>16</v>
      </c>
    </row>
    <row r="112" spans="1:19" x14ac:dyDescent="0.25">
      <c r="A112" s="4" t="s">
        <v>17</v>
      </c>
      <c r="B112" s="4"/>
      <c r="C112" s="4" t="s">
        <v>25</v>
      </c>
      <c r="D112" s="5">
        <v>45890</v>
      </c>
      <c r="E112" s="4">
        <v>1400000966</v>
      </c>
      <c r="F112" s="4" t="s">
        <v>18</v>
      </c>
      <c r="G112" s="5">
        <v>45890</v>
      </c>
      <c r="H112" s="5">
        <v>45890</v>
      </c>
      <c r="I112" s="4"/>
      <c r="J112" s="4" t="s">
        <v>19</v>
      </c>
      <c r="K112" s="4"/>
      <c r="L112" s="4" t="s">
        <v>20</v>
      </c>
      <c r="O112" s="3" t="s">
        <v>26</v>
      </c>
      <c r="P112" s="12">
        <v>-150000</v>
      </c>
      <c r="Q112" s="4"/>
      <c r="R112" s="8">
        <f>P112-Q112</f>
        <v>-150000</v>
      </c>
      <c r="S112" s="7" t="s">
        <v>22</v>
      </c>
    </row>
    <row r="113" spans="1:20" x14ac:dyDescent="0.25">
      <c r="A113" s="4" t="s">
        <v>17</v>
      </c>
      <c r="B113" s="4"/>
      <c r="C113" s="4" t="s">
        <v>25</v>
      </c>
      <c r="D113" s="5">
        <v>45751</v>
      </c>
      <c r="E113" s="4">
        <v>1800005896</v>
      </c>
      <c r="F113" s="4" t="s">
        <v>23</v>
      </c>
      <c r="G113" s="5">
        <v>45751</v>
      </c>
      <c r="H113" s="5">
        <v>45751</v>
      </c>
      <c r="I113" s="4"/>
      <c r="J113" s="4" t="s">
        <v>19</v>
      </c>
      <c r="K113" s="4"/>
      <c r="L113" s="4">
        <v>256779410788</v>
      </c>
      <c r="M113" s="4" t="s">
        <v>21</v>
      </c>
      <c r="N113" s="6">
        <v>1394.64</v>
      </c>
      <c r="O113" s="6" t="s">
        <v>26</v>
      </c>
      <c r="P113" s="6">
        <f>T113-P107</f>
        <v>106610.20555555556</v>
      </c>
      <c r="Q113" s="14">
        <v>10424.888888888891</v>
      </c>
      <c r="R113" s="8">
        <f>P113-Q113</f>
        <v>96185.316666666666</v>
      </c>
      <c r="S113" s="7" t="s">
        <v>24</v>
      </c>
      <c r="T113" s="3">
        <v>121224.65</v>
      </c>
    </row>
    <row r="114" spans="1:20" x14ac:dyDescent="0.25">
      <c r="A114" s="4" t="s">
        <v>17</v>
      </c>
      <c r="B114" s="4"/>
      <c r="C114" s="4" t="s">
        <v>25</v>
      </c>
      <c r="D114" s="5">
        <v>45751</v>
      </c>
      <c r="E114" s="4">
        <v>1800005913</v>
      </c>
      <c r="F114" s="4" t="s">
        <v>23</v>
      </c>
      <c r="G114" s="5">
        <v>45751</v>
      </c>
      <c r="H114" s="5">
        <v>45751</v>
      </c>
      <c r="I114" s="4"/>
      <c r="J114" s="4" t="s">
        <v>19</v>
      </c>
      <c r="K114" s="4"/>
      <c r="L114" s="4">
        <v>256779410804</v>
      </c>
      <c r="M114" s="4" t="s">
        <v>21</v>
      </c>
      <c r="N114" s="6">
        <v>2592.75</v>
      </c>
      <c r="O114" s="6" t="s">
        <v>26</v>
      </c>
      <c r="P114" s="6">
        <f>R114/0.9</f>
        <v>62417.777777777774</v>
      </c>
      <c r="Q114" s="14">
        <f>P114*0.1</f>
        <v>6241.7777777777774</v>
      </c>
      <c r="R114" s="8">
        <v>56176</v>
      </c>
      <c r="S114" s="7" t="s">
        <v>24</v>
      </c>
    </row>
    <row r="115" spans="1:20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0" t="s">
        <v>15</v>
      </c>
      <c r="M115" s="9" t="s">
        <v>21</v>
      </c>
      <c r="N115" s="11">
        <f>SUM(N112:N113)</f>
        <v>1394.64</v>
      </c>
      <c r="O115" s="11"/>
      <c r="P115" s="11"/>
      <c r="Q115" s="9"/>
      <c r="R115" s="11">
        <f>SUM(R112:R114)</f>
        <v>2361.3166666666657</v>
      </c>
      <c r="S115" s="9" t="s">
        <v>30</v>
      </c>
    </row>
    <row r="118" spans="1:20" ht="52.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2" t="s">
        <v>5</v>
      </c>
      <c r="G118" s="1" t="s">
        <v>6</v>
      </c>
      <c r="H118" s="1" t="s">
        <v>7</v>
      </c>
      <c r="I118" s="1" t="s">
        <v>8</v>
      </c>
      <c r="J118" s="1" t="s">
        <v>9</v>
      </c>
      <c r="K118" s="1" t="s">
        <v>10</v>
      </c>
      <c r="L118" s="1" t="s">
        <v>11</v>
      </c>
      <c r="M118" s="2" t="s">
        <v>12</v>
      </c>
      <c r="N118" s="2" t="s">
        <v>13</v>
      </c>
      <c r="O118" s="2" t="s">
        <v>28</v>
      </c>
      <c r="P118" s="2" t="s">
        <v>27</v>
      </c>
      <c r="Q118" s="2" t="s">
        <v>14</v>
      </c>
      <c r="R118" s="2" t="s">
        <v>15</v>
      </c>
      <c r="S118" s="2" t="s">
        <v>16</v>
      </c>
    </row>
    <row r="119" spans="1:20" x14ac:dyDescent="0.25">
      <c r="A119" s="4" t="s">
        <v>17</v>
      </c>
      <c r="B119" s="4"/>
      <c r="C119" s="4" t="s">
        <v>25</v>
      </c>
      <c r="D119" s="5">
        <v>45931</v>
      </c>
      <c r="E119" s="4">
        <v>1400001257</v>
      </c>
      <c r="F119" s="4" t="s">
        <v>18</v>
      </c>
      <c r="G119" s="5">
        <v>45931</v>
      </c>
      <c r="H119" s="5">
        <v>45931</v>
      </c>
      <c r="I119" s="4"/>
      <c r="J119" s="4" t="s">
        <v>19</v>
      </c>
      <c r="K119" s="4"/>
      <c r="L119" s="4" t="s">
        <v>20</v>
      </c>
      <c r="O119" s="3" t="s">
        <v>26</v>
      </c>
      <c r="P119" s="12">
        <v>-100000</v>
      </c>
      <c r="Q119" s="4"/>
      <c r="R119" s="8">
        <f>P119-Q119</f>
        <v>-100000</v>
      </c>
      <c r="S119" s="7" t="s">
        <v>22</v>
      </c>
    </row>
    <row r="120" spans="1:20" x14ac:dyDescent="0.25">
      <c r="A120" s="4" t="s">
        <v>17</v>
      </c>
      <c r="B120" s="4"/>
      <c r="C120" s="4" t="s">
        <v>25</v>
      </c>
      <c r="D120" s="5">
        <v>45751</v>
      </c>
      <c r="E120" s="4">
        <v>1800005913</v>
      </c>
      <c r="F120" s="4" t="s">
        <v>23</v>
      </c>
      <c r="G120" s="5">
        <v>45751</v>
      </c>
      <c r="H120" s="5">
        <v>45751</v>
      </c>
      <c r="I120" s="4"/>
      <c r="J120" s="4" t="s">
        <v>19</v>
      </c>
      <c r="K120" s="4"/>
      <c r="L120" s="4">
        <v>256779410804</v>
      </c>
      <c r="M120" s="4" t="s">
        <v>21</v>
      </c>
      <c r="N120" s="6">
        <v>2592.75</v>
      </c>
      <c r="O120" s="6" t="s">
        <v>26</v>
      </c>
      <c r="P120" s="6">
        <f>R120/0.9</f>
        <v>111111.11111111111</v>
      </c>
      <c r="Q120" s="14">
        <f>P120*0.1</f>
        <v>11111.111111111111</v>
      </c>
      <c r="R120" s="8">
        <v>100000</v>
      </c>
      <c r="S120" s="7" t="s">
        <v>24</v>
      </c>
    </row>
    <row r="121" spans="1:20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0" t="s">
        <v>15</v>
      </c>
      <c r="M121" s="9" t="s">
        <v>21</v>
      </c>
      <c r="N121" s="11">
        <f>SUM(N119:N119)</f>
        <v>0</v>
      </c>
      <c r="O121" s="11"/>
      <c r="P121" s="11"/>
      <c r="Q121" s="9"/>
      <c r="R121" s="11">
        <f>SUM(R119:R120)</f>
        <v>0</v>
      </c>
      <c r="S121" s="9" t="s">
        <v>30</v>
      </c>
    </row>
    <row r="123" spans="1:20" ht="52.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2" t="s">
        <v>5</v>
      </c>
      <c r="G123" s="1" t="s">
        <v>6</v>
      </c>
      <c r="H123" s="1" t="s">
        <v>7</v>
      </c>
      <c r="I123" s="1" t="s">
        <v>8</v>
      </c>
      <c r="J123" s="1" t="s">
        <v>9</v>
      </c>
      <c r="K123" s="1" t="s">
        <v>10</v>
      </c>
      <c r="L123" s="1" t="s">
        <v>11</v>
      </c>
      <c r="M123" s="2" t="s">
        <v>12</v>
      </c>
      <c r="N123" s="2" t="s">
        <v>13</v>
      </c>
      <c r="O123" s="2" t="s">
        <v>28</v>
      </c>
      <c r="P123" s="2" t="s">
        <v>27</v>
      </c>
      <c r="Q123" s="2" t="s">
        <v>14</v>
      </c>
      <c r="R123" s="2" t="s">
        <v>15</v>
      </c>
      <c r="S123" s="2" t="s">
        <v>16</v>
      </c>
    </row>
    <row r="124" spans="1:20" x14ac:dyDescent="0.25">
      <c r="A124" s="4" t="s">
        <v>17</v>
      </c>
      <c r="B124" s="4"/>
      <c r="C124" s="4" t="s">
        <v>25</v>
      </c>
      <c r="D124" s="5">
        <v>45931</v>
      </c>
      <c r="E124" s="4">
        <v>1400001259</v>
      </c>
      <c r="F124" s="4" t="s">
        <v>18</v>
      </c>
      <c r="G124" s="5">
        <v>45931</v>
      </c>
      <c r="H124" s="5">
        <v>45931</v>
      </c>
      <c r="I124" s="4"/>
      <c r="J124" s="4" t="s">
        <v>19</v>
      </c>
      <c r="K124" s="4"/>
      <c r="L124" s="4" t="s">
        <v>20</v>
      </c>
      <c r="O124" s="3" t="s">
        <v>26</v>
      </c>
      <c r="P124" s="12">
        <v>-100000</v>
      </c>
      <c r="Q124" s="4"/>
      <c r="R124" s="8">
        <f>P124-Q124</f>
        <v>-100000</v>
      </c>
      <c r="S124" s="7" t="s">
        <v>22</v>
      </c>
    </row>
    <row r="125" spans="1:20" x14ac:dyDescent="0.25">
      <c r="A125" s="4" t="s">
        <v>17</v>
      </c>
      <c r="B125" s="4"/>
      <c r="C125" s="4" t="s">
        <v>25</v>
      </c>
      <c r="D125" s="5">
        <v>45751</v>
      </c>
      <c r="E125" s="4">
        <v>1800005913</v>
      </c>
      <c r="F125" s="4" t="s">
        <v>23</v>
      </c>
      <c r="G125" s="5">
        <v>45751</v>
      </c>
      <c r="H125" s="5">
        <v>45751</v>
      </c>
      <c r="I125" s="4"/>
      <c r="J125" s="4" t="s">
        <v>19</v>
      </c>
      <c r="K125" s="4"/>
      <c r="L125" s="4">
        <v>256779410804</v>
      </c>
      <c r="M125" s="4" t="s">
        <v>21</v>
      </c>
      <c r="N125" s="6">
        <v>2592.75</v>
      </c>
      <c r="O125" s="6" t="s">
        <v>26</v>
      </c>
      <c r="P125" s="6">
        <f>T125-P120-P114</f>
        <v>51837.661111111105</v>
      </c>
      <c r="Q125" s="14">
        <v>4744.5555555555557</v>
      </c>
      <c r="R125" s="8">
        <f>P125-Q125</f>
        <v>47093.10555555555</v>
      </c>
      <c r="S125" s="7" t="s">
        <v>24</v>
      </c>
      <c r="T125" s="3">
        <v>225366.55</v>
      </c>
    </row>
    <row r="126" spans="1:20" x14ac:dyDescent="0.25">
      <c r="A126" s="4" t="s">
        <v>17</v>
      </c>
      <c r="B126" s="4"/>
      <c r="C126" s="4" t="s">
        <v>25</v>
      </c>
      <c r="D126" s="5">
        <v>45762</v>
      </c>
      <c r="E126" s="4">
        <v>1800006278</v>
      </c>
      <c r="F126" s="4" t="s">
        <v>23</v>
      </c>
      <c r="G126" s="5">
        <v>45762</v>
      </c>
      <c r="H126" s="5">
        <v>45762</v>
      </c>
      <c r="I126" s="4"/>
      <c r="J126" s="4" t="s">
        <v>19</v>
      </c>
      <c r="K126" s="4"/>
      <c r="L126" s="4">
        <v>256779411169</v>
      </c>
      <c r="M126" s="4" t="s">
        <v>21</v>
      </c>
      <c r="N126" s="6">
        <v>50</v>
      </c>
      <c r="O126" s="6" t="s">
        <v>26</v>
      </c>
      <c r="P126" s="6">
        <v>4346.09</v>
      </c>
      <c r="Q126" s="14">
        <v>86</v>
      </c>
      <c r="R126" s="8">
        <f>P126-Q126</f>
        <v>4260.09</v>
      </c>
      <c r="S126" s="7" t="s">
        <v>24</v>
      </c>
    </row>
    <row r="127" spans="1:20" x14ac:dyDescent="0.25">
      <c r="A127" s="4" t="s">
        <v>17</v>
      </c>
      <c r="B127" s="4"/>
      <c r="C127" s="4" t="s">
        <v>25</v>
      </c>
      <c r="D127" s="5">
        <v>45762</v>
      </c>
      <c r="E127" s="4">
        <v>1800006277</v>
      </c>
      <c r="F127" s="4" t="s">
        <v>23</v>
      </c>
      <c r="G127" s="5">
        <v>45762</v>
      </c>
      <c r="H127" s="5">
        <v>45762</v>
      </c>
      <c r="I127" s="4"/>
      <c r="J127" s="4" t="s">
        <v>19</v>
      </c>
      <c r="K127" s="4"/>
      <c r="L127" s="4">
        <v>256779411168</v>
      </c>
      <c r="M127" s="4" t="s">
        <v>21</v>
      </c>
      <c r="N127" s="6">
        <v>60.51</v>
      </c>
      <c r="O127" s="6" t="s">
        <v>26</v>
      </c>
      <c r="P127" s="6">
        <v>5259.64</v>
      </c>
      <c r="Q127" s="14">
        <v>104</v>
      </c>
      <c r="R127" s="8">
        <f t="shared" ref="R127:R135" si="6">P127-Q127</f>
        <v>5155.6400000000003</v>
      </c>
      <c r="S127" s="7" t="s">
        <v>24</v>
      </c>
    </row>
    <row r="128" spans="1:20" x14ac:dyDescent="0.25">
      <c r="A128" s="4" t="s">
        <v>17</v>
      </c>
      <c r="B128" s="4"/>
      <c r="C128" s="4" t="s">
        <v>25</v>
      </c>
      <c r="D128" s="5">
        <v>45762</v>
      </c>
      <c r="E128" s="4">
        <v>1800006276</v>
      </c>
      <c r="F128" s="4" t="s">
        <v>23</v>
      </c>
      <c r="G128" s="5">
        <v>45762</v>
      </c>
      <c r="H128" s="5">
        <v>45762</v>
      </c>
      <c r="I128" s="4"/>
      <c r="J128" s="4" t="s">
        <v>19</v>
      </c>
      <c r="K128" s="4"/>
      <c r="L128" s="4">
        <v>256779411167</v>
      </c>
      <c r="M128" s="4" t="s">
        <v>21</v>
      </c>
      <c r="N128" s="6">
        <v>68.819999999999993</v>
      </c>
      <c r="O128" s="6" t="s">
        <v>26</v>
      </c>
      <c r="P128" s="6">
        <v>5981.96</v>
      </c>
      <c r="Q128" s="14">
        <v>118</v>
      </c>
      <c r="R128" s="8">
        <f t="shared" si="6"/>
        <v>5863.96</v>
      </c>
      <c r="S128" s="7" t="s">
        <v>24</v>
      </c>
    </row>
    <row r="129" spans="1:20" x14ac:dyDescent="0.25">
      <c r="A129" s="4" t="s">
        <v>17</v>
      </c>
      <c r="B129" s="4"/>
      <c r="C129" s="4" t="s">
        <v>25</v>
      </c>
      <c r="D129" s="5">
        <v>45762</v>
      </c>
      <c r="E129" s="4">
        <v>1800006279</v>
      </c>
      <c r="F129" s="4" t="s">
        <v>23</v>
      </c>
      <c r="G129" s="5">
        <v>45762</v>
      </c>
      <c r="H129" s="5">
        <v>45762</v>
      </c>
      <c r="I129" s="4"/>
      <c r="J129" s="4" t="s">
        <v>19</v>
      </c>
      <c r="K129" s="4"/>
      <c r="L129" s="4">
        <v>256779411170</v>
      </c>
      <c r="M129" s="4" t="s">
        <v>21</v>
      </c>
      <c r="N129" s="6">
        <v>120</v>
      </c>
      <c r="O129" s="6" t="s">
        <v>26</v>
      </c>
      <c r="P129" s="6">
        <v>10430.620000000001</v>
      </c>
      <c r="Q129" s="14">
        <v>206</v>
      </c>
      <c r="R129" s="8">
        <f t="shared" si="6"/>
        <v>10224.620000000001</v>
      </c>
      <c r="S129" s="7" t="s">
        <v>24</v>
      </c>
    </row>
    <row r="130" spans="1:20" x14ac:dyDescent="0.25">
      <c r="A130" s="4" t="s">
        <v>17</v>
      </c>
      <c r="B130" s="4"/>
      <c r="C130" s="4" t="s">
        <v>25</v>
      </c>
      <c r="D130" s="5">
        <v>45763</v>
      </c>
      <c r="E130" s="4">
        <v>1800006923</v>
      </c>
      <c r="F130" s="4" t="s">
        <v>23</v>
      </c>
      <c r="G130" s="5">
        <v>45763</v>
      </c>
      <c r="H130" s="5">
        <v>45763</v>
      </c>
      <c r="I130" s="4"/>
      <c r="J130" s="4" t="s">
        <v>19</v>
      </c>
      <c r="K130" s="4"/>
      <c r="L130" s="4">
        <v>256779411814</v>
      </c>
      <c r="M130" s="4" t="s">
        <v>21</v>
      </c>
      <c r="N130" s="6">
        <v>1</v>
      </c>
      <c r="O130" s="6" t="s">
        <v>26</v>
      </c>
      <c r="P130" s="6">
        <v>86.92</v>
      </c>
      <c r="Q130" s="14">
        <v>2</v>
      </c>
      <c r="R130" s="8">
        <f t="shared" si="6"/>
        <v>84.92</v>
      </c>
      <c r="S130" s="7" t="s">
        <v>24</v>
      </c>
    </row>
    <row r="131" spans="1:20" x14ac:dyDescent="0.25">
      <c r="A131" s="4" t="s">
        <v>17</v>
      </c>
      <c r="B131" s="4"/>
      <c r="C131" s="4" t="s">
        <v>25</v>
      </c>
      <c r="D131" s="5">
        <v>45763</v>
      </c>
      <c r="E131" s="4">
        <v>1800007004</v>
      </c>
      <c r="F131" s="4" t="s">
        <v>23</v>
      </c>
      <c r="G131" s="5">
        <v>45763</v>
      </c>
      <c r="H131" s="5">
        <v>45763</v>
      </c>
      <c r="I131" s="4"/>
      <c r="J131" s="4" t="s">
        <v>19</v>
      </c>
      <c r="K131" s="4"/>
      <c r="L131" s="4">
        <v>256779411895</v>
      </c>
      <c r="M131" s="4" t="s">
        <v>21</v>
      </c>
      <c r="N131" s="6">
        <v>1</v>
      </c>
      <c r="O131" s="6" t="s">
        <v>26</v>
      </c>
      <c r="P131" s="6">
        <v>86.92</v>
      </c>
      <c r="Q131" s="14">
        <v>2</v>
      </c>
      <c r="R131" s="8">
        <f t="shared" si="6"/>
        <v>84.92</v>
      </c>
      <c r="S131" s="7" t="s">
        <v>24</v>
      </c>
    </row>
    <row r="132" spans="1:20" x14ac:dyDescent="0.25">
      <c r="A132" s="4" t="s">
        <v>17</v>
      </c>
      <c r="B132" s="4"/>
      <c r="C132" s="4" t="s">
        <v>25</v>
      </c>
      <c r="D132" s="5">
        <v>45763</v>
      </c>
      <c r="E132" s="4">
        <v>1800006922</v>
      </c>
      <c r="F132" s="4" t="s">
        <v>23</v>
      </c>
      <c r="G132" s="5">
        <v>45763</v>
      </c>
      <c r="H132" s="5">
        <v>45763</v>
      </c>
      <c r="I132" s="4"/>
      <c r="J132" s="4" t="s">
        <v>19</v>
      </c>
      <c r="K132" s="4"/>
      <c r="L132" s="4">
        <v>256779411813</v>
      </c>
      <c r="M132" s="4" t="s">
        <v>21</v>
      </c>
      <c r="N132" s="6">
        <v>1.75</v>
      </c>
      <c r="O132" s="6" t="s">
        <v>26</v>
      </c>
      <c r="P132" s="6">
        <v>152.11000000000001</v>
      </c>
      <c r="Q132" s="14">
        <v>3</v>
      </c>
      <c r="R132" s="8">
        <f t="shared" si="6"/>
        <v>149.11000000000001</v>
      </c>
      <c r="S132" s="7" t="s">
        <v>24</v>
      </c>
    </row>
    <row r="133" spans="1:20" x14ac:dyDescent="0.25">
      <c r="A133" s="4" t="s">
        <v>17</v>
      </c>
      <c r="B133" s="4"/>
      <c r="C133" s="4" t="s">
        <v>25</v>
      </c>
      <c r="D133" s="5">
        <v>45763</v>
      </c>
      <c r="E133" s="4">
        <v>1800007003</v>
      </c>
      <c r="F133" s="4" t="s">
        <v>23</v>
      </c>
      <c r="G133" s="5">
        <v>45763</v>
      </c>
      <c r="H133" s="5">
        <v>45763</v>
      </c>
      <c r="I133" s="4"/>
      <c r="J133" s="4" t="s">
        <v>19</v>
      </c>
      <c r="K133" s="4"/>
      <c r="L133" s="4">
        <v>256779411894</v>
      </c>
      <c r="M133" s="4" t="s">
        <v>21</v>
      </c>
      <c r="N133" s="6">
        <v>7.07</v>
      </c>
      <c r="O133" s="6" t="s">
        <v>26</v>
      </c>
      <c r="P133" s="6">
        <v>614.54</v>
      </c>
      <c r="Q133" s="14">
        <v>12</v>
      </c>
      <c r="R133" s="8">
        <f t="shared" si="6"/>
        <v>602.54</v>
      </c>
      <c r="S133" s="7" t="s">
        <v>24</v>
      </c>
    </row>
    <row r="134" spans="1:20" x14ac:dyDescent="0.25">
      <c r="A134" s="4" t="s">
        <v>17</v>
      </c>
      <c r="B134" s="4"/>
      <c r="C134" s="4" t="s">
        <v>25</v>
      </c>
      <c r="D134" s="5">
        <v>45763</v>
      </c>
      <c r="E134" s="4">
        <v>1800007214</v>
      </c>
      <c r="F134" s="4" t="s">
        <v>23</v>
      </c>
      <c r="G134" s="5">
        <v>45763</v>
      </c>
      <c r="H134" s="5">
        <v>45763</v>
      </c>
      <c r="I134" s="4"/>
      <c r="J134" s="4" t="s">
        <v>19</v>
      </c>
      <c r="K134" s="4"/>
      <c r="L134" s="4">
        <v>256779412105</v>
      </c>
      <c r="M134" s="4" t="s">
        <v>21</v>
      </c>
      <c r="N134" s="6">
        <v>12.85</v>
      </c>
      <c r="O134" s="6" t="s">
        <v>26</v>
      </c>
      <c r="P134" s="6">
        <v>1116.95</v>
      </c>
      <c r="Q134" s="14">
        <v>22</v>
      </c>
      <c r="R134" s="8">
        <f t="shared" si="6"/>
        <v>1094.95</v>
      </c>
      <c r="S134" s="7" t="s">
        <v>24</v>
      </c>
    </row>
    <row r="135" spans="1:20" x14ac:dyDescent="0.25">
      <c r="A135" s="4" t="s">
        <v>17</v>
      </c>
      <c r="B135" s="4"/>
      <c r="C135" s="4" t="s">
        <v>25</v>
      </c>
      <c r="D135" s="5">
        <v>45763</v>
      </c>
      <c r="E135" s="4">
        <v>1800006924</v>
      </c>
      <c r="F135" s="4" t="s">
        <v>23</v>
      </c>
      <c r="G135" s="5">
        <v>45763</v>
      </c>
      <c r="H135" s="5">
        <v>45763</v>
      </c>
      <c r="I135" s="4"/>
      <c r="J135" s="4" t="s">
        <v>19</v>
      </c>
      <c r="K135" s="4"/>
      <c r="L135" s="4">
        <v>256779411815</v>
      </c>
      <c r="M135" s="4" t="s">
        <v>21</v>
      </c>
      <c r="N135" s="6">
        <v>15</v>
      </c>
      <c r="O135" s="6" t="s">
        <v>26</v>
      </c>
      <c r="P135" s="6">
        <v>1303.83</v>
      </c>
      <c r="Q135" s="14">
        <v>26</v>
      </c>
      <c r="R135" s="8">
        <f t="shared" si="6"/>
        <v>1277.83</v>
      </c>
      <c r="S135" s="7" t="s">
        <v>24</v>
      </c>
    </row>
    <row r="136" spans="1:20" x14ac:dyDescent="0.25">
      <c r="A136" s="4" t="s">
        <v>17</v>
      </c>
      <c r="B136" s="4"/>
      <c r="C136" s="4" t="s">
        <v>25</v>
      </c>
      <c r="D136" s="5">
        <v>45763</v>
      </c>
      <c r="E136" s="4">
        <v>1800007133</v>
      </c>
      <c r="F136" s="4" t="s">
        <v>23</v>
      </c>
      <c r="G136" s="5">
        <v>45763</v>
      </c>
      <c r="H136" s="5">
        <v>45763</v>
      </c>
      <c r="I136" s="4"/>
      <c r="J136" s="4" t="s">
        <v>19</v>
      </c>
      <c r="K136" s="4"/>
      <c r="L136" s="4">
        <v>256779412024</v>
      </c>
      <c r="M136" s="4" t="s">
        <v>21</v>
      </c>
      <c r="N136" s="6">
        <v>489.55</v>
      </c>
      <c r="O136" s="6" t="s">
        <v>26</v>
      </c>
      <c r="P136" s="6">
        <f>R136/0.98</f>
        <v>29507.142857142859</v>
      </c>
      <c r="Q136" s="14">
        <f>P136*0.02</f>
        <v>590.14285714285722</v>
      </c>
      <c r="R136" s="8">
        <v>28917</v>
      </c>
      <c r="S136" s="7" t="s">
        <v>24</v>
      </c>
    </row>
    <row r="137" spans="1:20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0" t="s">
        <v>15</v>
      </c>
      <c r="M137" s="9" t="s">
        <v>21</v>
      </c>
      <c r="N137" s="11">
        <f>SUM(N125:N136)</f>
        <v>3420.3000000000006</v>
      </c>
      <c r="O137" s="11"/>
      <c r="P137" s="11"/>
      <c r="Q137" s="9"/>
      <c r="R137" s="11">
        <f>SUM(R124:R136)</f>
        <v>4808.6855555555449</v>
      </c>
      <c r="S137" s="9" t="s">
        <v>30</v>
      </c>
    </row>
    <row r="139" spans="1:20" ht="52.8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 t="s">
        <v>4</v>
      </c>
      <c r="F139" s="2" t="s">
        <v>5</v>
      </c>
      <c r="G139" s="1" t="s">
        <v>6</v>
      </c>
      <c r="H139" s="1" t="s">
        <v>7</v>
      </c>
      <c r="I139" s="1" t="s">
        <v>8</v>
      </c>
      <c r="J139" s="1" t="s">
        <v>9</v>
      </c>
      <c r="K139" s="1" t="s">
        <v>10</v>
      </c>
      <c r="L139" s="1" t="s">
        <v>11</v>
      </c>
      <c r="M139" s="2" t="s">
        <v>12</v>
      </c>
      <c r="N139" s="2" t="s">
        <v>13</v>
      </c>
      <c r="O139" s="2" t="s">
        <v>28</v>
      </c>
      <c r="P139" s="2" t="s">
        <v>27</v>
      </c>
      <c r="Q139" s="2" t="s">
        <v>14</v>
      </c>
      <c r="R139" s="2" t="s">
        <v>15</v>
      </c>
      <c r="S139" s="2" t="s">
        <v>16</v>
      </c>
    </row>
    <row r="140" spans="1:20" x14ac:dyDescent="0.25">
      <c r="A140" s="4" t="s">
        <v>17</v>
      </c>
      <c r="B140" s="4"/>
      <c r="C140" s="4" t="s">
        <v>25</v>
      </c>
      <c r="D140" s="5">
        <v>45931</v>
      </c>
      <c r="E140" s="4">
        <v>1400001341</v>
      </c>
      <c r="F140" s="4" t="s">
        <v>18</v>
      </c>
      <c r="G140" s="5">
        <v>45931</v>
      </c>
      <c r="H140" s="5">
        <v>45931</v>
      </c>
      <c r="I140" s="4"/>
      <c r="J140" s="4" t="s">
        <v>19</v>
      </c>
      <c r="K140" s="4"/>
      <c r="L140" s="4" t="s">
        <v>20</v>
      </c>
      <c r="O140" s="3" t="s">
        <v>26</v>
      </c>
      <c r="P140" s="12">
        <v>-450000</v>
      </c>
      <c r="Q140" s="4"/>
      <c r="R140" s="8">
        <f>P140-Q140</f>
        <v>-450000</v>
      </c>
      <c r="S140" s="7" t="s">
        <v>22</v>
      </c>
    </row>
    <row r="141" spans="1:20" x14ac:dyDescent="0.25">
      <c r="A141" s="4" t="s">
        <v>17</v>
      </c>
      <c r="B141" s="4"/>
      <c r="C141" s="4" t="s">
        <v>25</v>
      </c>
      <c r="D141" s="5">
        <v>45763</v>
      </c>
      <c r="E141" s="4">
        <v>1800007133</v>
      </c>
      <c r="F141" s="4" t="s">
        <v>23</v>
      </c>
      <c r="G141" s="5">
        <v>45763</v>
      </c>
      <c r="H141" s="5">
        <v>45763</v>
      </c>
      <c r="I141" s="4"/>
      <c r="J141" s="4" t="s">
        <v>19</v>
      </c>
      <c r="K141" s="4"/>
      <c r="L141" s="4">
        <v>256779412024</v>
      </c>
      <c r="M141" s="4" t="s">
        <v>21</v>
      </c>
      <c r="N141" s="6">
        <v>489.55</v>
      </c>
      <c r="O141" s="6" t="s">
        <v>26</v>
      </c>
      <c r="P141" s="6">
        <f>T141-P136</f>
        <v>13045.437142857143</v>
      </c>
      <c r="Q141" s="14">
        <v>258.16326530612247</v>
      </c>
      <c r="R141" s="8">
        <f>P141-Q141</f>
        <v>12787.273877551021</v>
      </c>
      <c r="S141" s="7" t="s">
        <v>24</v>
      </c>
      <c r="T141" s="3">
        <v>42552.58</v>
      </c>
    </row>
    <row r="142" spans="1:20" x14ac:dyDescent="0.25">
      <c r="A142" s="4" t="s">
        <v>17</v>
      </c>
      <c r="B142" s="4"/>
      <c r="C142" s="4" t="s">
        <v>25</v>
      </c>
      <c r="D142" s="5">
        <v>45763</v>
      </c>
      <c r="E142" s="4">
        <v>1800006833</v>
      </c>
      <c r="F142" s="4" t="s">
        <v>23</v>
      </c>
      <c r="G142" s="5">
        <v>45763</v>
      </c>
      <c r="H142" s="5">
        <v>45763</v>
      </c>
      <c r="I142" s="4"/>
      <c r="J142" s="4" t="s">
        <v>19</v>
      </c>
      <c r="K142" s="4"/>
      <c r="L142" s="4">
        <v>256779411724</v>
      </c>
      <c r="M142" s="4" t="s">
        <v>21</v>
      </c>
      <c r="N142" s="6">
        <v>620</v>
      </c>
      <c r="O142" s="6" t="s">
        <v>26</v>
      </c>
      <c r="P142" s="6">
        <v>53891.53</v>
      </c>
      <c r="Q142" s="14">
        <v>1078</v>
      </c>
      <c r="R142" s="8">
        <f>P142-Q142</f>
        <v>52813.53</v>
      </c>
      <c r="S142" s="7" t="s">
        <v>24</v>
      </c>
    </row>
    <row r="143" spans="1:20" x14ac:dyDescent="0.25">
      <c r="A143" s="4" t="s">
        <v>17</v>
      </c>
      <c r="B143" s="4"/>
      <c r="C143" s="4" t="s">
        <v>25</v>
      </c>
      <c r="D143" s="5">
        <v>45763</v>
      </c>
      <c r="E143" s="4">
        <v>1800007220</v>
      </c>
      <c r="F143" s="4" t="s">
        <v>23</v>
      </c>
      <c r="G143" s="5">
        <v>45763</v>
      </c>
      <c r="H143" s="5">
        <v>45763</v>
      </c>
      <c r="I143" s="4"/>
      <c r="J143" s="4" t="s">
        <v>19</v>
      </c>
      <c r="K143" s="4"/>
      <c r="L143" s="4">
        <v>256779412111</v>
      </c>
      <c r="M143" s="4" t="s">
        <v>21</v>
      </c>
      <c r="N143" s="6">
        <v>1082.6400000000001</v>
      </c>
      <c r="O143" s="6" t="s">
        <v>26</v>
      </c>
      <c r="P143" s="6">
        <v>94105.04</v>
      </c>
      <c r="Q143" s="14">
        <v>9272</v>
      </c>
      <c r="R143" s="8">
        <f t="shared" ref="R143:R151" si="7">P143-Q143</f>
        <v>84833.04</v>
      </c>
      <c r="S143" s="7" t="s">
        <v>24</v>
      </c>
    </row>
    <row r="144" spans="1:20" x14ac:dyDescent="0.25">
      <c r="A144" s="4" t="s">
        <v>17</v>
      </c>
      <c r="B144" s="4"/>
      <c r="C144" s="4" t="s">
        <v>25</v>
      </c>
      <c r="D144" s="5">
        <v>45768</v>
      </c>
      <c r="E144" s="4">
        <v>1800007269</v>
      </c>
      <c r="F144" s="4" t="s">
        <v>23</v>
      </c>
      <c r="G144" s="5">
        <v>45768</v>
      </c>
      <c r="H144" s="5">
        <v>45768</v>
      </c>
      <c r="I144" s="4"/>
      <c r="J144" s="4" t="s">
        <v>19</v>
      </c>
      <c r="K144" s="4"/>
      <c r="L144" s="4">
        <v>256779412160</v>
      </c>
      <c r="M144" s="4" t="s">
        <v>21</v>
      </c>
      <c r="N144" s="6">
        <v>188.79</v>
      </c>
      <c r="O144" s="6" t="s">
        <v>26</v>
      </c>
      <c r="P144" s="6">
        <v>16200.07</v>
      </c>
      <c r="Q144" s="14">
        <v>1617</v>
      </c>
      <c r="R144" s="8">
        <f t="shared" si="7"/>
        <v>14583.07</v>
      </c>
      <c r="S144" s="7" t="s">
        <v>24</v>
      </c>
    </row>
    <row r="145" spans="1:20" x14ac:dyDescent="0.25">
      <c r="A145" s="4" t="s">
        <v>17</v>
      </c>
      <c r="B145" s="4"/>
      <c r="C145" s="4" t="s">
        <v>25</v>
      </c>
      <c r="D145" s="5">
        <v>45769</v>
      </c>
      <c r="E145" s="4">
        <v>1800007770</v>
      </c>
      <c r="F145" s="4" t="s">
        <v>23</v>
      </c>
      <c r="G145" s="5">
        <v>45769</v>
      </c>
      <c r="H145" s="5">
        <v>45769</v>
      </c>
      <c r="I145" s="4"/>
      <c r="J145" s="4" t="s">
        <v>19</v>
      </c>
      <c r="K145" s="4"/>
      <c r="L145" s="4">
        <v>256779412661</v>
      </c>
      <c r="M145" s="4" t="s">
        <v>21</v>
      </c>
      <c r="N145" s="6">
        <v>6.05</v>
      </c>
      <c r="O145" s="6" t="s">
        <v>26</v>
      </c>
      <c r="P145" s="6">
        <v>525.88</v>
      </c>
      <c r="Q145" s="14">
        <v>11</v>
      </c>
      <c r="R145" s="8">
        <f t="shared" si="7"/>
        <v>514.88</v>
      </c>
      <c r="S145" s="7" t="s">
        <v>24</v>
      </c>
    </row>
    <row r="146" spans="1:20" x14ac:dyDescent="0.25">
      <c r="A146" s="4" t="s">
        <v>17</v>
      </c>
      <c r="B146" s="4"/>
      <c r="C146" s="4" t="s">
        <v>25</v>
      </c>
      <c r="D146" s="5">
        <v>45769</v>
      </c>
      <c r="E146" s="4">
        <v>1800007676</v>
      </c>
      <c r="F146" s="4" t="s">
        <v>23</v>
      </c>
      <c r="G146" s="5">
        <v>45769</v>
      </c>
      <c r="H146" s="5">
        <v>45769</v>
      </c>
      <c r="I146" s="4"/>
      <c r="J146" s="4" t="s">
        <v>19</v>
      </c>
      <c r="K146" s="4"/>
      <c r="L146" s="4">
        <v>256779412567</v>
      </c>
      <c r="M146" s="4" t="s">
        <v>21</v>
      </c>
      <c r="N146" s="6">
        <v>17.75</v>
      </c>
      <c r="O146" s="6" t="s">
        <v>26</v>
      </c>
      <c r="P146" s="6">
        <v>1542.86</v>
      </c>
      <c r="Q146" s="14">
        <v>31</v>
      </c>
      <c r="R146" s="8">
        <f t="shared" si="7"/>
        <v>1511.86</v>
      </c>
      <c r="S146" s="7" t="s">
        <v>24</v>
      </c>
    </row>
    <row r="147" spans="1:20" x14ac:dyDescent="0.25">
      <c r="A147" s="4" t="s">
        <v>17</v>
      </c>
      <c r="B147" s="4"/>
      <c r="C147" s="4" t="s">
        <v>25</v>
      </c>
      <c r="D147" s="5">
        <v>45769</v>
      </c>
      <c r="E147" s="4">
        <v>1800007727</v>
      </c>
      <c r="F147" s="4" t="s">
        <v>23</v>
      </c>
      <c r="G147" s="5">
        <v>45769</v>
      </c>
      <c r="H147" s="5">
        <v>45769</v>
      </c>
      <c r="I147" s="4"/>
      <c r="J147" s="4" t="s">
        <v>19</v>
      </c>
      <c r="K147" s="4"/>
      <c r="L147" s="4">
        <v>256779412618</v>
      </c>
      <c r="M147" s="4" t="s">
        <v>21</v>
      </c>
      <c r="N147" s="6">
        <v>43.02</v>
      </c>
      <c r="O147" s="6" t="s">
        <v>26</v>
      </c>
      <c r="P147" s="6">
        <v>3739.38</v>
      </c>
      <c r="Q147" s="14">
        <v>75</v>
      </c>
      <c r="R147" s="8">
        <f t="shared" si="7"/>
        <v>3664.38</v>
      </c>
      <c r="S147" s="7" t="s">
        <v>24</v>
      </c>
    </row>
    <row r="148" spans="1:20" x14ac:dyDescent="0.25">
      <c r="A148" s="4" t="s">
        <v>17</v>
      </c>
      <c r="B148" s="4"/>
      <c r="C148" s="4" t="s">
        <v>25</v>
      </c>
      <c r="D148" s="5">
        <v>45770</v>
      </c>
      <c r="E148" s="4">
        <v>1800008001</v>
      </c>
      <c r="F148" s="4" t="s">
        <v>23</v>
      </c>
      <c r="G148" s="5">
        <v>45770</v>
      </c>
      <c r="H148" s="5">
        <v>45770</v>
      </c>
      <c r="I148" s="4"/>
      <c r="J148" s="4" t="s">
        <v>19</v>
      </c>
      <c r="K148" s="4"/>
      <c r="L148" s="4">
        <v>256779412892</v>
      </c>
      <c r="M148" s="4" t="s">
        <v>21</v>
      </c>
      <c r="N148" s="6">
        <v>189.2</v>
      </c>
      <c r="O148" s="6" t="s">
        <v>26</v>
      </c>
      <c r="P148" s="6">
        <v>16445.61</v>
      </c>
      <c r="Q148" s="14">
        <v>329</v>
      </c>
      <c r="R148" s="8">
        <f t="shared" si="7"/>
        <v>16116.61</v>
      </c>
      <c r="S148" s="7" t="s">
        <v>24</v>
      </c>
    </row>
    <row r="149" spans="1:20" x14ac:dyDescent="0.25">
      <c r="A149" s="4" t="s">
        <v>17</v>
      </c>
      <c r="B149" s="4"/>
      <c r="C149" s="4" t="s">
        <v>25</v>
      </c>
      <c r="D149" s="5">
        <v>45771</v>
      </c>
      <c r="E149" s="4">
        <v>1800007888</v>
      </c>
      <c r="F149" s="4" t="s">
        <v>23</v>
      </c>
      <c r="G149" s="5">
        <v>45771</v>
      </c>
      <c r="H149" s="5">
        <v>45771</v>
      </c>
      <c r="I149" s="4"/>
      <c r="J149" s="4" t="s">
        <v>19</v>
      </c>
      <c r="K149" s="4"/>
      <c r="L149" s="4">
        <v>256779412779</v>
      </c>
      <c r="M149" s="4" t="s">
        <v>21</v>
      </c>
      <c r="N149" s="6">
        <v>1820.14</v>
      </c>
      <c r="O149" s="6" t="s">
        <v>26</v>
      </c>
      <c r="P149" s="6">
        <v>158209.88</v>
      </c>
      <c r="Q149" s="14">
        <v>15597</v>
      </c>
      <c r="R149" s="8">
        <f t="shared" si="7"/>
        <v>142612.88</v>
      </c>
      <c r="S149" s="7" t="s">
        <v>24</v>
      </c>
    </row>
    <row r="150" spans="1:20" x14ac:dyDescent="0.25">
      <c r="A150" s="4" t="s">
        <v>17</v>
      </c>
      <c r="B150" s="4"/>
      <c r="C150" s="4" t="s">
        <v>25</v>
      </c>
      <c r="D150" s="5">
        <v>45787</v>
      </c>
      <c r="E150" s="4">
        <v>1800008362</v>
      </c>
      <c r="F150" s="4" t="s">
        <v>23</v>
      </c>
      <c r="G150" s="5">
        <v>45787</v>
      </c>
      <c r="H150" s="5">
        <v>45787</v>
      </c>
      <c r="I150" s="4"/>
      <c r="J150" s="4" t="s">
        <v>19</v>
      </c>
      <c r="K150" s="4"/>
      <c r="L150" s="4">
        <v>256779413245</v>
      </c>
      <c r="M150" s="4" t="s">
        <v>21</v>
      </c>
      <c r="N150" s="6">
        <v>396.79</v>
      </c>
      <c r="O150" s="6" t="s">
        <v>26</v>
      </c>
      <c r="P150" s="6">
        <v>34117.47</v>
      </c>
      <c r="Q150" s="14">
        <v>677</v>
      </c>
      <c r="R150" s="8">
        <f t="shared" si="7"/>
        <v>33440.47</v>
      </c>
      <c r="S150" s="7" t="s">
        <v>24</v>
      </c>
    </row>
    <row r="151" spans="1:20" x14ac:dyDescent="0.25">
      <c r="A151" s="4" t="s">
        <v>17</v>
      </c>
      <c r="B151" s="4"/>
      <c r="C151" s="4" t="s">
        <v>25</v>
      </c>
      <c r="D151" s="5">
        <v>45787</v>
      </c>
      <c r="E151" s="4">
        <v>1800008303</v>
      </c>
      <c r="F151" s="4" t="s">
        <v>23</v>
      </c>
      <c r="G151" s="5">
        <v>45787</v>
      </c>
      <c r="H151" s="5">
        <v>45787</v>
      </c>
      <c r="I151" s="4"/>
      <c r="J151" s="4" t="s">
        <v>19</v>
      </c>
      <c r="K151" s="4"/>
      <c r="L151" s="4">
        <v>256779413186</v>
      </c>
      <c r="M151" s="4" t="s">
        <v>21</v>
      </c>
      <c r="N151" s="6">
        <v>450</v>
      </c>
      <c r="O151" s="6" t="s">
        <v>26</v>
      </c>
      <c r="P151" s="6">
        <v>38692.67</v>
      </c>
      <c r="Q151" s="14">
        <v>3869</v>
      </c>
      <c r="R151" s="8">
        <f t="shared" si="7"/>
        <v>34823.67</v>
      </c>
      <c r="S151" s="7" t="s">
        <v>24</v>
      </c>
    </row>
    <row r="152" spans="1:20" x14ac:dyDescent="0.25">
      <c r="A152" s="4" t="s">
        <v>17</v>
      </c>
      <c r="B152" s="4"/>
      <c r="C152" s="4" t="s">
        <v>25</v>
      </c>
      <c r="D152" s="5">
        <v>45787</v>
      </c>
      <c r="E152" s="4">
        <v>1800008231</v>
      </c>
      <c r="F152" s="4" t="s">
        <v>23</v>
      </c>
      <c r="G152" s="5">
        <v>45787</v>
      </c>
      <c r="H152" s="5">
        <v>45787</v>
      </c>
      <c r="I152" s="4"/>
      <c r="J152" s="4" t="s">
        <v>19</v>
      </c>
      <c r="K152" s="4"/>
      <c r="L152" s="4">
        <v>256779413115</v>
      </c>
      <c r="M152" s="4" t="s">
        <v>21</v>
      </c>
      <c r="N152" s="6">
        <v>1800</v>
      </c>
      <c r="O152" s="6" t="s">
        <v>26</v>
      </c>
      <c r="P152" s="6">
        <f>R152/0.9</f>
        <v>62622.222222222219</v>
      </c>
      <c r="Q152" s="14">
        <f>P152*0.1</f>
        <v>6262.2222222222226</v>
      </c>
      <c r="R152" s="8">
        <v>56360</v>
      </c>
      <c r="S152" s="7" t="s">
        <v>24</v>
      </c>
    </row>
    <row r="153" spans="1:20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0" t="s">
        <v>15</v>
      </c>
      <c r="M153" s="9" t="s">
        <v>21</v>
      </c>
      <c r="N153" s="11">
        <f>SUM(N141:N152)</f>
        <v>7103.93</v>
      </c>
      <c r="O153" s="11"/>
      <c r="P153" s="11"/>
      <c r="Q153" s="9"/>
      <c r="R153" s="11">
        <f>SUM(R140:R152)</f>
        <v>4061.6638775509637</v>
      </c>
      <c r="S153" s="9" t="s">
        <v>30</v>
      </c>
    </row>
    <row r="156" spans="1:20" ht="52.8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2" t="s">
        <v>5</v>
      </c>
      <c r="G156" s="1" t="s">
        <v>6</v>
      </c>
      <c r="H156" s="1" t="s">
        <v>7</v>
      </c>
      <c r="I156" s="1" t="s">
        <v>8</v>
      </c>
      <c r="J156" s="1" t="s">
        <v>9</v>
      </c>
      <c r="K156" s="1" t="s">
        <v>10</v>
      </c>
      <c r="L156" s="1" t="s">
        <v>11</v>
      </c>
      <c r="M156" s="2" t="s">
        <v>12</v>
      </c>
      <c r="N156" s="2" t="s">
        <v>13</v>
      </c>
      <c r="O156" s="2" t="s">
        <v>28</v>
      </c>
      <c r="P156" s="2" t="s">
        <v>27</v>
      </c>
      <c r="Q156" s="2" t="s">
        <v>14</v>
      </c>
      <c r="R156" s="2" t="s">
        <v>15</v>
      </c>
      <c r="S156" s="2" t="s">
        <v>16</v>
      </c>
    </row>
    <row r="157" spans="1:20" x14ac:dyDescent="0.25">
      <c r="A157" s="4" t="s">
        <v>17</v>
      </c>
      <c r="B157" s="4"/>
      <c r="C157" s="4" t="s">
        <v>25</v>
      </c>
      <c r="D157" s="5">
        <v>45931</v>
      </c>
      <c r="E157" s="4">
        <v>1400001345</v>
      </c>
      <c r="F157" s="4" t="s">
        <v>18</v>
      </c>
      <c r="G157" s="5">
        <v>45931</v>
      </c>
      <c r="H157" s="5">
        <v>45931</v>
      </c>
      <c r="I157" s="4"/>
      <c r="J157" s="4" t="s">
        <v>19</v>
      </c>
      <c r="K157" s="4"/>
      <c r="L157" s="4" t="s">
        <v>20</v>
      </c>
      <c r="O157" s="3" t="s">
        <v>26</v>
      </c>
      <c r="P157" s="12">
        <v>-100000</v>
      </c>
      <c r="Q157" s="4"/>
      <c r="R157" s="8">
        <f>P157-Q157</f>
        <v>-100000</v>
      </c>
      <c r="S157" s="7" t="s">
        <v>22</v>
      </c>
    </row>
    <row r="158" spans="1:20" x14ac:dyDescent="0.25">
      <c r="A158" s="4" t="s">
        <v>17</v>
      </c>
      <c r="B158" s="4"/>
      <c r="C158" s="4" t="s">
        <v>25</v>
      </c>
      <c r="D158" s="5">
        <v>45787</v>
      </c>
      <c r="E158" s="4">
        <v>1800008231</v>
      </c>
      <c r="F158" s="4" t="s">
        <v>23</v>
      </c>
      <c r="G158" s="5">
        <v>45787</v>
      </c>
      <c r="H158" s="5">
        <v>45787</v>
      </c>
      <c r="I158" s="4"/>
      <c r="J158" s="4" t="s">
        <v>19</v>
      </c>
      <c r="K158" s="4"/>
      <c r="L158" s="4">
        <v>256779413115</v>
      </c>
      <c r="M158" s="4" t="s">
        <v>21</v>
      </c>
      <c r="N158" s="6">
        <v>1800</v>
      </c>
      <c r="O158" s="6" t="s">
        <v>26</v>
      </c>
      <c r="P158" s="6">
        <f>T158-P152</f>
        <v>92148.437777777785</v>
      </c>
      <c r="Q158" s="14">
        <v>9214.8888888888887</v>
      </c>
      <c r="R158" s="8">
        <f>P158-Q158</f>
        <v>82933.548888888894</v>
      </c>
      <c r="S158" s="7" t="s">
        <v>24</v>
      </c>
      <c r="T158" s="3">
        <v>154770.66</v>
      </c>
    </row>
    <row r="159" spans="1:20" x14ac:dyDescent="0.25">
      <c r="A159" s="4" t="s">
        <v>17</v>
      </c>
      <c r="B159" s="4"/>
      <c r="C159" s="4" t="s">
        <v>25</v>
      </c>
      <c r="D159" s="5">
        <v>45793</v>
      </c>
      <c r="E159" s="4">
        <v>1800008552</v>
      </c>
      <c r="F159" s="4" t="s">
        <v>23</v>
      </c>
      <c r="G159" s="5">
        <v>45793</v>
      </c>
      <c r="H159" s="5">
        <v>45793</v>
      </c>
      <c r="I159" s="4"/>
      <c r="J159" s="4" t="s">
        <v>19</v>
      </c>
      <c r="K159" s="4"/>
      <c r="L159" s="4">
        <v>256779413316</v>
      </c>
      <c r="M159" s="4" t="s">
        <v>21</v>
      </c>
      <c r="N159" s="6">
        <v>546</v>
      </c>
      <c r="O159" s="6" t="s">
        <v>26</v>
      </c>
      <c r="P159" s="6">
        <f>R159/0.98</f>
        <v>17414.285714285714</v>
      </c>
      <c r="Q159" s="14">
        <f>P159*0.02</f>
        <v>348.28571428571428</v>
      </c>
      <c r="R159" s="8">
        <v>17066</v>
      </c>
      <c r="S159" s="7" t="s">
        <v>24</v>
      </c>
    </row>
    <row r="160" spans="1:20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0" t="s">
        <v>15</v>
      </c>
      <c r="M160" s="9" t="s">
        <v>21</v>
      </c>
      <c r="N160" s="11">
        <f>SUM(N157:N159)</f>
        <v>2346</v>
      </c>
      <c r="O160" s="11"/>
      <c r="P160" s="11"/>
      <c r="Q160" s="9"/>
      <c r="R160" s="11">
        <f>SUM(R157:R159)</f>
        <v>-0.45111111110600177</v>
      </c>
      <c r="S160" s="9" t="s">
        <v>29</v>
      </c>
    </row>
    <row r="163" spans="1:20" ht="52.8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 t="s">
        <v>4</v>
      </c>
      <c r="F163" s="2" t="s">
        <v>5</v>
      </c>
      <c r="G163" s="1" t="s">
        <v>6</v>
      </c>
      <c r="H163" s="1" t="s">
        <v>7</v>
      </c>
      <c r="I163" s="1" t="s">
        <v>8</v>
      </c>
      <c r="J163" s="1" t="s">
        <v>9</v>
      </c>
      <c r="K163" s="1" t="s">
        <v>10</v>
      </c>
      <c r="L163" s="1" t="s">
        <v>11</v>
      </c>
      <c r="M163" s="2" t="s">
        <v>12</v>
      </c>
      <c r="N163" s="2" t="s">
        <v>13</v>
      </c>
      <c r="O163" s="2" t="s">
        <v>28</v>
      </c>
      <c r="P163" s="2" t="s">
        <v>27</v>
      </c>
      <c r="Q163" s="2" t="s">
        <v>14</v>
      </c>
      <c r="R163" s="2" t="s">
        <v>15</v>
      </c>
      <c r="S163" s="2" t="s">
        <v>16</v>
      </c>
    </row>
    <row r="164" spans="1:20" x14ac:dyDescent="0.25">
      <c r="A164" s="4" t="s">
        <v>17</v>
      </c>
      <c r="B164" s="4"/>
      <c r="C164" s="4" t="s">
        <v>25</v>
      </c>
      <c r="D164" s="5">
        <v>45944</v>
      </c>
      <c r="E164" s="4">
        <v>1400001406</v>
      </c>
      <c r="F164" s="4" t="s">
        <v>18</v>
      </c>
      <c r="G164" s="5">
        <v>45944</v>
      </c>
      <c r="H164" s="5">
        <v>45944</v>
      </c>
      <c r="I164" s="4"/>
      <c r="J164" s="4" t="s">
        <v>19</v>
      </c>
      <c r="K164" s="4"/>
      <c r="L164" s="4" t="s">
        <v>20</v>
      </c>
      <c r="O164" s="3" t="s">
        <v>26</v>
      </c>
      <c r="P164" s="12">
        <v>-100000</v>
      </c>
      <c r="Q164" s="4"/>
      <c r="R164" s="8">
        <f>P164-Q164</f>
        <v>-100000</v>
      </c>
      <c r="S164" s="7" t="s">
        <v>22</v>
      </c>
    </row>
    <row r="165" spans="1:20" x14ac:dyDescent="0.25">
      <c r="A165" s="4" t="s">
        <v>17</v>
      </c>
      <c r="B165" s="4"/>
      <c r="C165" s="4" t="s">
        <v>25</v>
      </c>
      <c r="D165" s="5">
        <v>45793</v>
      </c>
      <c r="E165" s="4">
        <v>1800008552</v>
      </c>
      <c r="F165" s="4" t="s">
        <v>23</v>
      </c>
      <c r="G165" s="5">
        <v>45793</v>
      </c>
      <c r="H165" s="5">
        <v>45793</v>
      </c>
      <c r="I165" s="4"/>
      <c r="J165" s="4" t="s">
        <v>19</v>
      </c>
      <c r="K165" s="4"/>
      <c r="L165" s="4">
        <v>256779413316</v>
      </c>
      <c r="M165" s="4" t="s">
        <v>21</v>
      </c>
      <c r="N165" s="6">
        <v>546</v>
      </c>
      <c r="O165" s="6" t="s">
        <v>26</v>
      </c>
      <c r="P165" s="6">
        <f>T165-P159</f>
        <v>29532.814285714285</v>
      </c>
      <c r="Q165" s="14">
        <v>590.65306122448976</v>
      </c>
      <c r="R165" s="8">
        <f>P165-Q165</f>
        <v>28942.161224489795</v>
      </c>
      <c r="S165" s="7" t="s">
        <v>24</v>
      </c>
      <c r="T165" s="3">
        <v>46947.1</v>
      </c>
    </row>
    <row r="166" spans="1:20" x14ac:dyDescent="0.25">
      <c r="A166" s="4" t="s">
        <v>17</v>
      </c>
      <c r="B166" s="4"/>
      <c r="C166" s="4" t="s">
        <v>25</v>
      </c>
      <c r="D166" s="5">
        <v>45797</v>
      </c>
      <c r="E166" s="4">
        <v>1800008727</v>
      </c>
      <c r="F166" s="4" t="s">
        <v>23</v>
      </c>
      <c r="G166" s="5">
        <v>45797</v>
      </c>
      <c r="H166" s="5">
        <v>45797</v>
      </c>
      <c r="I166" s="4"/>
      <c r="J166" s="4" t="s">
        <v>19</v>
      </c>
      <c r="K166" s="4"/>
      <c r="L166" s="4">
        <v>256779413491</v>
      </c>
      <c r="M166" s="4" t="s">
        <v>21</v>
      </c>
      <c r="N166" s="6">
        <v>88.75</v>
      </c>
      <c r="O166" s="6" t="s">
        <v>26</v>
      </c>
      <c r="P166" s="6">
        <v>7631.05</v>
      </c>
      <c r="Q166" s="14">
        <v>153</v>
      </c>
      <c r="R166" s="8">
        <f>P166-Q166</f>
        <v>7478.05</v>
      </c>
      <c r="S166" s="7" t="s">
        <v>24</v>
      </c>
    </row>
    <row r="167" spans="1:20" x14ac:dyDescent="0.25">
      <c r="A167" s="4" t="s">
        <v>17</v>
      </c>
      <c r="B167" s="4"/>
      <c r="C167" s="4" t="s">
        <v>25</v>
      </c>
      <c r="D167" s="5">
        <v>45805</v>
      </c>
      <c r="E167" s="4">
        <v>1800009127</v>
      </c>
      <c r="F167" s="4" t="s">
        <v>23</v>
      </c>
      <c r="G167" s="5">
        <v>45805</v>
      </c>
      <c r="H167" s="5">
        <v>45805</v>
      </c>
      <c r="I167" s="4"/>
      <c r="J167" s="4" t="s">
        <v>19</v>
      </c>
      <c r="K167" s="4"/>
      <c r="L167" s="4">
        <v>256779413891</v>
      </c>
      <c r="M167" s="4" t="s">
        <v>21</v>
      </c>
      <c r="N167" s="6">
        <v>1501.8</v>
      </c>
      <c r="O167" s="6" t="s">
        <v>26</v>
      </c>
      <c r="P167" s="6">
        <f>R167/0.9</f>
        <v>70644.444444444438</v>
      </c>
      <c r="Q167" s="14">
        <f>P167*0.1</f>
        <v>7064.4444444444443</v>
      </c>
      <c r="R167" s="8">
        <v>63580</v>
      </c>
      <c r="S167" s="7" t="s">
        <v>24</v>
      </c>
    </row>
    <row r="168" spans="1:20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0" t="s">
        <v>15</v>
      </c>
      <c r="M168" s="9" t="s">
        <v>21</v>
      </c>
      <c r="N168" s="11">
        <f>SUM(N164:N167)</f>
        <v>2136.5500000000002</v>
      </c>
      <c r="O168" s="11"/>
      <c r="P168" s="11"/>
      <c r="Q168" s="9"/>
      <c r="R168" s="11">
        <f>SUM(R164:R167)</f>
        <v>0.21122448980167974</v>
      </c>
      <c r="S168" s="9" t="s">
        <v>30</v>
      </c>
    </row>
    <row r="171" spans="1:20" ht="52.8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2" t="s">
        <v>5</v>
      </c>
      <c r="G171" s="1" t="s">
        <v>6</v>
      </c>
      <c r="H171" s="1" t="s">
        <v>7</v>
      </c>
      <c r="I171" s="1" t="s">
        <v>8</v>
      </c>
      <c r="J171" s="1" t="s">
        <v>9</v>
      </c>
      <c r="K171" s="1" t="s">
        <v>10</v>
      </c>
      <c r="L171" s="1" t="s">
        <v>11</v>
      </c>
      <c r="M171" s="2" t="s">
        <v>12</v>
      </c>
      <c r="N171" s="2" t="s">
        <v>13</v>
      </c>
      <c r="O171" s="2" t="s">
        <v>28</v>
      </c>
      <c r="P171" s="2" t="s">
        <v>27</v>
      </c>
      <c r="Q171" s="2" t="s">
        <v>14</v>
      </c>
      <c r="R171" s="2" t="s">
        <v>15</v>
      </c>
      <c r="S171" s="2" t="s">
        <v>16</v>
      </c>
    </row>
    <row r="172" spans="1:20" x14ac:dyDescent="0.25">
      <c r="A172" s="4" t="s">
        <v>17</v>
      </c>
      <c r="B172" s="4"/>
      <c r="C172" s="4" t="s">
        <v>25</v>
      </c>
      <c r="D172" s="5">
        <v>45972</v>
      </c>
      <c r="E172" s="4">
        <v>1400001615</v>
      </c>
      <c r="F172" s="4" t="s">
        <v>18</v>
      </c>
      <c r="G172" s="5">
        <v>45972</v>
      </c>
      <c r="H172" s="5">
        <v>45972</v>
      </c>
      <c r="I172" s="4"/>
      <c r="J172" s="4" t="s">
        <v>19</v>
      </c>
      <c r="K172" s="4"/>
      <c r="L172" s="4" t="s">
        <v>20</v>
      </c>
      <c r="O172" s="3" t="s">
        <v>26</v>
      </c>
      <c r="P172" s="12">
        <v>-100000</v>
      </c>
      <c r="Q172" s="4"/>
      <c r="R172" s="8">
        <f>P172-Q172</f>
        <v>-100000</v>
      </c>
      <c r="S172" s="7" t="s">
        <v>22</v>
      </c>
    </row>
    <row r="173" spans="1:20" x14ac:dyDescent="0.25">
      <c r="A173" s="4" t="s">
        <v>17</v>
      </c>
      <c r="B173" s="4"/>
      <c r="C173" s="4" t="s">
        <v>25</v>
      </c>
      <c r="D173" s="5">
        <v>45805</v>
      </c>
      <c r="E173" s="4">
        <v>1800009127</v>
      </c>
      <c r="F173" s="4" t="s">
        <v>23</v>
      </c>
      <c r="G173" s="5">
        <v>45805</v>
      </c>
      <c r="H173" s="5">
        <v>45805</v>
      </c>
      <c r="I173" s="4"/>
      <c r="J173" s="4" t="s">
        <v>19</v>
      </c>
      <c r="K173" s="4"/>
      <c r="L173" s="4">
        <v>256779413891</v>
      </c>
      <c r="M173" s="4" t="s">
        <v>21</v>
      </c>
      <c r="N173" s="6">
        <v>1501.8</v>
      </c>
      <c r="O173" s="6" t="s">
        <v>26</v>
      </c>
      <c r="P173" s="6">
        <f>T173-P167</f>
        <v>58485.875555555569</v>
      </c>
      <c r="Q173" s="14">
        <v>5848.5555555555557</v>
      </c>
      <c r="R173" s="8">
        <f>P173-Q173</f>
        <v>52637.320000000014</v>
      </c>
      <c r="S173" s="7" t="s">
        <v>24</v>
      </c>
      <c r="T173" s="3">
        <v>129130.32</v>
      </c>
    </row>
    <row r="174" spans="1:20" x14ac:dyDescent="0.25">
      <c r="A174" s="4" t="s">
        <v>17</v>
      </c>
      <c r="B174" s="4"/>
      <c r="C174" s="4" t="s">
        <v>25</v>
      </c>
      <c r="D174" s="5">
        <v>45810</v>
      </c>
      <c r="E174" s="4">
        <v>1800009234</v>
      </c>
      <c r="F174" s="4" t="s">
        <v>23</v>
      </c>
      <c r="G174" s="5">
        <v>45810</v>
      </c>
      <c r="H174" s="5">
        <v>45810</v>
      </c>
      <c r="I174" s="4"/>
      <c r="J174" s="4" t="s">
        <v>19</v>
      </c>
      <c r="K174" s="4"/>
      <c r="L174" s="4">
        <v>256779413998</v>
      </c>
      <c r="M174" s="4" t="s">
        <v>21</v>
      </c>
      <c r="N174" s="6">
        <v>190.21</v>
      </c>
      <c r="O174" s="6" t="s">
        <v>26</v>
      </c>
      <c r="P174" s="6">
        <v>16261.2</v>
      </c>
      <c r="Q174" s="14">
        <v>325</v>
      </c>
      <c r="R174" s="8">
        <f>P174-Q174</f>
        <v>15936.2</v>
      </c>
      <c r="S174" s="7" t="s">
        <v>24</v>
      </c>
    </row>
    <row r="175" spans="1:20" x14ac:dyDescent="0.25">
      <c r="A175" s="4" t="s">
        <v>17</v>
      </c>
      <c r="B175" s="4"/>
      <c r="C175" s="4" t="s">
        <v>25</v>
      </c>
      <c r="D175" s="5">
        <v>45810</v>
      </c>
      <c r="E175" s="4">
        <v>1800009158</v>
      </c>
      <c r="F175" s="4" t="s">
        <v>23</v>
      </c>
      <c r="G175" s="5">
        <v>45810</v>
      </c>
      <c r="H175" s="5">
        <v>45810</v>
      </c>
      <c r="I175" s="4"/>
      <c r="J175" s="4" t="s">
        <v>19</v>
      </c>
      <c r="K175" s="4"/>
      <c r="L175" s="4">
        <v>256779413922</v>
      </c>
      <c r="M175" s="4" t="s">
        <v>21</v>
      </c>
      <c r="N175" s="6">
        <v>368.88</v>
      </c>
      <c r="O175" s="6" t="s">
        <v>26</v>
      </c>
      <c r="P175" s="6">
        <v>31535.84</v>
      </c>
      <c r="Q175" s="14">
        <v>631</v>
      </c>
      <c r="R175" s="8">
        <f>P175-Q175</f>
        <v>30904.84</v>
      </c>
      <c r="S175" s="7" t="s">
        <v>24</v>
      </c>
    </row>
    <row r="176" spans="1:20" x14ac:dyDescent="0.25">
      <c r="A176" s="4" t="s">
        <v>17</v>
      </c>
      <c r="B176" s="4"/>
      <c r="C176" s="4" t="s">
        <v>25</v>
      </c>
      <c r="D176" s="5">
        <v>45812</v>
      </c>
      <c r="E176" s="4">
        <v>1800009500</v>
      </c>
      <c r="F176" s="4" t="s">
        <v>23</v>
      </c>
      <c r="G176" s="5">
        <v>45812</v>
      </c>
      <c r="H176" s="5">
        <v>45812</v>
      </c>
      <c r="I176" s="4"/>
      <c r="J176" s="4" t="s">
        <v>19</v>
      </c>
      <c r="K176" s="4"/>
      <c r="L176" s="4">
        <v>256779414264</v>
      </c>
      <c r="M176" s="4" t="s">
        <v>21</v>
      </c>
      <c r="N176" s="6">
        <v>7.02</v>
      </c>
      <c r="O176" s="6" t="s">
        <v>26</v>
      </c>
      <c r="P176" s="6">
        <f>R176/0.98</f>
        <v>532.65306122448976</v>
      </c>
      <c r="Q176" s="14">
        <f>P176*0.02</f>
        <v>10.653061224489795</v>
      </c>
      <c r="R176" s="8">
        <v>522</v>
      </c>
      <c r="S176" s="7" t="s">
        <v>24</v>
      </c>
    </row>
    <row r="177" spans="1:20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0" t="s">
        <v>15</v>
      </c>
      <c r="M177" s="9" t="s">
        <v>21</v>
      </c>
      <c r="N177" s="11">
        <f>SUM(N173:N176)</f>
        <v>2067.91</v>
      </c>
      <c r="O177" s="11"/>
      <c r="P177" s="11"/>
      <c r="Q177" s="9"/>
      <c r="R177" s="11">
        <f>SUM(R172:R176)</f>
        <v>0.36000000001513399</v>
      </c>
      <c r="S177" s="9" t="s">
        <v>30</v>
      </c>
    </row>
    <row r="179" spans="1:20" ht="52.8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2" t="s">
        <v>5</v>
      </c>
      <c r="G179" s="1" t="s">
        <v>6</v>
      </c>
      <c r="H179" s="1" t="s">
        <v>7</v>
      </c>
      <c r="I179" s="1" t="s">
        <v>8</v>
      </c>
      <c r="J179" s="1" t="s">
        <v>9</v>
      </c>
      <c r="K179" s="1" t="s">
        <v>10</v>
      </c>
      <c r="L179" s="1" t="s">
        <v>11</v>
      </c>
      <c r="M179" s="2" t="s">
        <v>12</v>
      </c>
      <c r="N179" s="2" t="s">
        <v>13</v>
      </c>
      <c r="O179" s="2" t="s">
        <v>28</v>
      </c>
      <c r="P179" s="2" t="s">
        <v>27</v>
      </c>
      <c r="Q179" s="2" t="s">
        <v>14</v>
      </c>
      <c r="R179" s="2" t="s">
        <v>15</v>
      </c>
      <c r="S179" s="2" t="s">
        <v>16</v>
      </c>
    </row>
    <row r="180" spans="1:20" x14ac:dyDescent="0.25">
      <c r="A180" s="4" t="s">
        <v>17</v>
      </c>
      <c r="B180" s="4"/>
      <c r="C180" s="4" t="s">
        <v>25</v>
      </c>
      <c r="D180" s="5">
        <v>45972</v>
      </c>
      <c r="E180" s="4">
        <v>1400001658</v>
      </c>
      <c r="F180" s="4" t="s">
        <v>18</v>
      </c>
      <c r="G180" s="5">
        <v>45972</v>
      </c>
      <c r="H180" s="5">
        <v>45972</v>
      </c>
      <c r="I180" s="4"/>
      <c r="J180" s="4" t="s">
        <v>19</v>
      </c>
      <c r="K180" s="4"/>
      <c r="L180" s="4" t="s">
        <v>20</v>
      </c>
      <c r="O180" s="3" t="s">
        <v>26</v>
      </c>
      <c r="P180" s="12">
        <v>-100000</v>
      </c>
      <c r="Q180" s="4"/>
      <c r="R180" s="8">
        <f>P180-Q180</f>
        <v>-100000</v>
      </c>
      <c r="S180" s="7" t="s">
        <v>22</v>
      </c>
    </row>
    <row r="181" spans="1:20" x14ac:dyDescent="0.25">
      <c r="A181" s="4" t="s">
        <v>17</v>
      </c>
      <c r="B181" s="4"/>
      <c r="C181" s="4" t="s">
        <v>25</v>
      </c>
      <c r="D181" s="5">
        <v>45812</v>
      </c>
      <c r="E181" s="4">
        <v>1800009500</v>
      </c>
      <c r="F181" s="4" t="s">
        <v>23</v>
      </c>
      <c r="G181" s="5">
        <v>45812</v>
      </c>
      <c r="H181" s="5">
        <v>45812</v>
      </c>
      <c r="I181" s="4"/>
      <c r="J181" s="4" t="s">
        <v>19</v>
      </c>
      <c r="K181" s="4"/>
      <c r="L181" s="4">
        <v>256779414264</v>
      </c>
      <c r="M181" s="4" t="s">
        <v>21</v>
      </c>
      <c r="N181" s="6">
        <v>7.02</v>
      </c>
      <c r="O181" s="6" t="s">
        <v>26</v>
      </c>
      <c r="P181" s="6">
        <f>T181-P176</f>
        <v>67.496938775510216</v>
      </c>
      <c r="Q181" s="14">
        <v>1.3469387755102042</v>
      </c>
      <c r="R181" s="8">
        <f>P181-Q181</f>
        <v>66.150000000000006</v>
      </c>
      <c r="S181" s="7" t="s">
        <v>24</v>
      </c>
      <c r="T181" s="3">
        <v>600.15</v>
      </c>
    </row>
    <row r="182" spans="1:20" x14ac:dyDescent="0.25">
      <c r="A182" s="4" t="s">
        <v>17</v>
      </c>
      <c r="B182" s="4"/>
      <c r="C182" s="4" t="s">
        <v>25</v>
      </c>
      <c r="D182" s="5">
        <v>45812</v>
      </c>
      <c r="E182" s="4">
        <v>1800009457</v>
      </c>
      <c r="F182" s="4" t="s">
        <v>23</v>
      </c>
      <c r="G182" s="5">
        <v>45812</v>
      </c>
      <c r="H182" s="5">
        <v>45812</v>
      </c>
      <c r="I182" s="4"/>
      <c r="J182" s="4" t="s">
        <v>19</v>
      </c>
      <c r="K182" s="4"/>
      <c r="L182" s="4">
        <v>256779414221</v>
      </c>
      <c r="M182" s="4" t="s">
        <v>21</v>
      </c>
      <c r="N182" s="6">
        <v>46.22</v>
      </c>
      <c r="O182" s="6" t="s">
        <v>26</v>
      </c>
      <c r="P182" s="6">
        <v>3951.38</v>
      </c>
      <c r="Q182" s="14">
        <v>79.380000000000109</v>
      </c>
      <c r="R182" s="8">
        <f>P182-Q182</f>
        <v>3872</v>
      </c>
      <c r="S182" s="7" t="s">
        <v>24</v>
      </c>
    </row>
    <row r="183" spans="1:20" x14ac:dyDescent="0.25">
      <c r="A183" s="4" t="s">
        <v>17</v>
      </c>
      <c r="B183" s="4"/>
      <c r="C183" s="4" t="s">
        <v>25</v>
      </c>
      <c r="D183" s="5">
        <v>45812</v>
      </c>
      <c r="E183" s="4">
        <v>1800009412</v>
      </c>
      <c r="F183" s="4" t="s">
        <v>23</v>
      </c>
      <c r="G183" s="5">
        <v>45812</v>
      </c>
      <c r="H183" s="5">
        <v>45812</v>
      </c>
      <c r="I183" s="4"/>
      <c r="J183" s="4" t="s">
        <v>19</v>
      </c>
      <c r="K183" s="4"/>
      <c r="L183" s="4">
        <v>256779414176</v>
      </c>
      <c r="M183" s="4" t="s">
        <v>21</v>
      </c>
      <c r="N183" s="6">
        <v>129.31</v>
      </c>
      <c r="O183" s="6" t="s">
        <v>26</v>
      </c>
      <c r="P183" s="6">
        <v>11054.81</v>
      </c>
      <c r="Q183" s="14">
        <v>220.80999999999949</v>
      </c>
      <c r="R183" s="8">
        <f t="shared" ref="R183:R184" si="8">P183-Q183</f>
        <v>10834</v>
      </c>
      <c r="S183" s="7" t="s">
        <v>24</v>
      </c>
    </row>
    <row r="184" spans="1:20" x14ac:dyDescent="0.25">
      <c r="A184" s="4" t="s">
        <v>17</v>
      </c>
      <c r="B184" s="4"/>
      <c r="C184" s="4" t="s">
        <v>25</v>
      </c>
      <c r="D184" s="5">
        <v>45812</v>
      </c>
      <c r="E184" s="4">
        <v>1800009556</v>
      </c>
      <c r="F184" s="4" t="s">
        <v>23</v>
      </c>
      <c r="G184" s="5">
        <v>45812</v>
      </c>
      <c r="H184" s="5">
        <v>45812</v>
      </c>
      <c r="I184" s="4"/>
      <c r="J184" s="4" t="s">
        <v>19</v>
      </c>
      <c r="K184" s="4"/>
      <c r="L184" s="4">
        <v>256779414320</v>
      </c>
      <c r="M184" s="4" t="s">
        <v>21</v>
      </c>
      <c r="N184" s="6">
        <v>611.36</v>
      </c>
      <c r="O184" s="6" t="s">
        <v>26</v>
      </c>
      <c r="P184" s="6">
        <v>52265.64</v>
      </c>
      <c r="Q184" s="14">
        <v>1044.6399999999994</v>
      </c>
      <c r="R184" s="8">
        <f t="shared" si="8"/>
        <v>51221</v>
      </c>
      <c r="S184" s="7" t="s">
        <v>24</v>
      </c>
    </row>
    <row r="185" spans="1:20" x14ac:dyDescent="0.25">
      <c r="A185" s="4" t="s">
        <v>17</v>
      </c>
      <c r="B185" s="4"/>
      <c r="C185" s="4" t="s">
        <v>25</v>
      </c>
      <c r="D185" s="5">
        <v>45815</v>
      </c>
      <c r="E185" s="4">
        <v>1800009468</v>
      </c>
      <c r="F185" s="4" t="s">
        <v>23</v>
      </c>
      <c r="G185" s="5">
        <v>45815</v>
      </c>
      <c r="H185" s="5">
        <v>45815</v>
      </c>
      <c r="I185" s="4"/>
      <c r="J185" s="4" t="s">
        <v>19</v>
      </c>
      <c r="K185" s="4"/>
      <c r="L185" s="4">
        <v>256779414232</v>
      </c>
      <c r="M185" s="4" t="s">
        <v>21</v>
      </c>
      <c r="N185" s="6">
        <v>1240.4000000000001</v>
      </c>
      <c r="O185" s="6" t="s">
        <v>26</v>
      </c>
      <c r="P185" s="6">
        <f>R185/0.9</f>
        <v>37785.555555555555</v>
      </c>
      <c r="Q185" s="14">
        <f>P185*0.1</f>
        <v>3778.5555555555557</v>
      </c>
      <c r="R185" s="8">
        <v>34007</v>
      </c>
      <c r="S185" s="7" t="s">
        <v>24</v>
      </c>
    </row>
    <row r="186" spans="1:20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0" t="s">
        <v>15</v>
      </c>
      <c r="M186" s="9" t="s">
        <v>21</v>
      </c>
      <c r="N186" s="11">
        <f>SUM(N181:N181)</f>
        <v>7.02</v>
      </c>
      <c r="O186" s="11"/>
      <c r="P186" s="11"/>
      <c r="Q186" s="9"/>
      <c r="R186" s="11">
        <f>SUM(R180:R185)</f>
        <v>0.14999999999417923</v>
      </c>
      <c r="S186" s="9" t="s">
        <v>30</v>
      </c>
    </row>
    <row r="189" spans="1:20" ht="52.8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2" t="s">
        <v>5</v>
      </c>
      <c r="G189" s="1" t="s">
        <v>6</v>
      </c>
      <c r="H189" s="1" t="s">
        <v>7</v>
      </c>
      <c r="I189" s="1" t="s">
        <v>8</v>
      </c>
      <c r="J189" s="1" t="s">
        <v>9</v>
      </c>
      <c r="K189" s="1" t="s">
        <v>10</v>
      </c>
      <c r="L189" s="1" t="s">
        <v>11</v>
      </c>
      <c r="M189" s="2" t="s">
        <v>12</v>
      </c>
      <c r="N189" s="2" t="s">
        <v>13</v>
      </c>
      <c r="O189" s="2" t="s">
        <v>28</v>
      </c>
      <c r="P189" s="2" t="s">
        <v>27</v>
      </c>
      <c r="Q189" s="2" t="s">
        <v>14</v>
      </c>
      <c r="R189" s="2" t="s">
        <v>15</v>
      </c>
      <c r="S189" s="2" t="s">
        <v>16</v>
      </c>
    </row>
    <row r="190" spans="1:20" x14ac:dyDescent="0.25">
      <c r="A190" s="4" t="s">
        <v>17</v>
      </c>
      <c r="B190" s="4"/>
      <c r="C190" s="4" t="s">
        <v>25</v>
      </c>
      <c r="D190" s="5">
        <v>45977</v>
      </c>
      <c r="E190" s="4">
        <v>1400001934</v>
      </c>
      <c r="F190" s="4" t="s">
        <v>18</v>
      </c>
      <c r="G190" s="5">
        <v>45977</v>
      </c>
      <c r="H190" s="5">
        <v>45977</v>
      </c>
      <c r="I190" s="4"/>
      <c r="J190" s="4" t="s">
        <v>19</v>
      </c>
      <c r="K190" s="4"/>
      <c r="L190" s="4" t="s">
        <v>20</v>
      </c>
      <c r="O190" s="3" t="s">
        <v>26</v>
      </c>
      <c r="P190" s="12">
        <v>-100000</v>
      </c>
      <c r="Q190" s="4"/>
      <c r="R190" s="8">
        <f>P190-Q190</f>
        <v>-100000</v>
      </c>
      <c r="S190" s="7" t="s">
        <v>22</v>
      </c>
    </row>
    <row r="191" spans="1:20" x14ac:dyDescent="0.25">
      <c r="A191" s="4" t="s">
        <v>17</v>
      </c>
      <c r="B191" s="4"/>
      <c r="C191" s="4" t="s">
        <v>25</v>
      </c>
      <c r="D191" s="5">
        <v>45815</v>
      </c>
      <c r="E191" s="4">
        <v>1800009468</v>
      </c>
      <c r="F191" s="4" t="s">
        <v>23</v>
      </c>
      <c r="G191" s="5">
        <v>45815</v>
      </c>
      <c r="H191" s="5">
        <v>45815</v>
      </c>
      <c r="I191" s="4"/>
      <c r="J191" s="4" t="s">
        <v>19</v>
      </c>
      <c r="K191" s="4"/>
      <c r="L191" s="4">
        <v>256779414232</v>
      </c>
      <c r="M191" s="4" t="s">
        <v>21</v>
      </c>
      <c r="N191" s="6">
        <v>1240.4000000000001</v>
      </c>
      <c r="O191" s="6" t="s">
        <v>26</v>
      </c>
      <c r="P191" s="6">
        <f>T191-P185</f>
        <v>68257.204444444447</v>
      </c>
      <c r="Q191" s="14">
        <v>6825.7777777777783</v>
      </c>
      <c r="R191" s="8">
        <f>P191-Q191</f>
        <v>61431.426666666666</v>
      </c>
      <c r="S191" s="7" t="s">
        <v>24</v>
      </c>
      <c r="T191" s="3">
        <v>106042.76</v>
      </c>
    </row>
    <row r="192" spans="1:20" x14ac:dyDescent="0.25">
      <c r="A192" s="4" t="s">
        <v>17</v>
      </c>
      <c r="B192" s="4"/>
      <c r="C192" s="4" t="s">
        <v>25</v>
      </c>
      <c r="D192" s="5">
        <v>45818</v>
      </c>
      <c r="E192" s="4">
        <v>1800009610</v>
      </c>
      <c r="F192" s="4" t="s">
        <v>23</v>
      </c>
      <c r="G192" s="5">
        <v>45818</v>
      </c>
      <c r="H192" s="5">
        <v>45818</v>
      </c>
      <c r="I192" s="4"/>
      <c r="J192" s="4" t="s">
        <v>19</v>
      </c>
      <c r="K192" s="4"/>
      <c r="L192" s="4">
        <v>256779414374</v>
      </c>
      <c r="M192" s="4" t="s">
        <v>21</v>
      </c>
      <c r="N192" s="6">
        <v>1800</v>
      </c>
      <c r="O192" s="6" t="s">
        <v>26</v>
      </c>
      <c r="P192" s="6">
        <f>R192/0.9</f>
        <v>42853.333333333336</v>
      </c>
      <c r="Q192" s="14">
        <f>P192*0.1</f>
        <v>4285.3333333333339</v>
      </c>
      <c r="R192" s="8">
        <v>38568</v>
      </c>
      <c r="S192" s="7" t="s">
        <v>24</v>
      </c>
    </row>
    <row r="193" spans="1:20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0" t="s">
        <v>15</v>
      </c>
      <c r="M193" s="9" t="s">
        <v>21</v>
      </c>
      <c r="N193" s="11">
        <f>SUM(N191:N192)</f>
        <v>3040.4</v>
      </c>
      <c r="O193" s="11"/>
      <c r="P193" s="11"/>
      <c r="Q193" s="9"/>
      <c r="R193" s="11">
        <f>SUM(R190:R192)</f>
        <v>-0.57333333333372138</v>
      </c>
      <c r="S193" s="9" t="s">
        <v>29</v>
      </c>
    </row>
    <row r="196" spans="1:20" ht="52.8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 t="s">
        <v>4</v>
      </c>
      <c r="F196" s="2" t="s">
        <v>5</v>
      </c>
      <c r="G196" s="1" t="s">
        <v>6</v>
      </c>
      <c r="H196" s="1" t="s">
        <v>7</v>
      </c>
      <c r="I196" s="1" t="s">
        <v>8</v>
      </c>
      <c r="J196" s="1" t="s">
        <v>9</v>
      </c>
      <c r="K196" s="1" t="s">
        <v>10</v>
      </c>
      <c r="L196" s="1" t="s">
        <v>11</v>
      </c>
      <c r="M196" s="2" t="s">
        <v>12</v>
      </c>
      <c r="N196" s="2" t="s">
        <v>13</v>
      </c>
      <c r="O196" s="2" t="s">
        <v>28</v>
      </c>
      <c r="P196" s="2" t="s">
        <v>27</v>
      </c>
      <c r="Q196" s="2" t="s">
        <v>14</v>
      </c>
      <c r="R196" s="2" t="s">
        <v>15</v>
      </c>
      <c r="S196" s="2" t="s">
        <v>16</v>
      </c>
    </row>
    <row r="197" spans="1:20" x14ac:dyDescent="0.25">
      <c r="A197" s="4" t="s">
        <v>17</v>
      </c>
      <c r="B197" s="4"/>
      <c r="C197" s="4" t="s">
        <v>25</v>
      </c>
      <c r="D197" s="5">
        <v>45986</v>
      </c>
      <c r="E197" s="4">
        <v>1400002027</v>
      </c>
      <c r="F197" s="4" t="s">
        <v>18</v>
      </c>
      <c r="G197" s="5">
        <v>45986</v>
      </c>
      <c r="H197" s="5">
        <v>45986</v>
      </c>
      <c r="I197" s="4"/>
      <c r="J197" s="4" t="s">
        <v>19</v>
      </c>
      <c r="K197" s="4"/>
      <c r="L197" s="4" t="s">
        <v>20</v>
      </c>
      <c r="O197" s="3" t="s">
        <v>26</v>
      </c>
      <c r="P197" s="12">
        <v>-100000</v>
      </c>
      <c r="Q197" s="4"/>
      <c r="R197" s="8">
        <f>P197-Q197</f>
        <v>-100000</v>
      </c>
      <c r="S197" s="7" t="s">
        <v>22</v>
      </c>
    </row>
    <row r="198" spans="1:20" x14ac:dyDescent="0.25">
      <c r="A198" s="4" t="s">
        <v>17</v>
      </c>
      <c r="B198" s="4"/>
      <c r="C198" s="4" t="s">
        <v>25</v>
      </c>
      <c r="D198" s="5">
        <v>45818</v>
      </c>
      <c r="E198" s="4">
        <v>1800009610</v>
      </c>
      <c r="F198" s="4" t="s">
        <v>23</v>
      </c>
      <c r="G198" s="5">
        <v>45818</v>
      </c>
      <c r="H198" s="5">
        <v>45818</v>
      </c>
      <c r="I198" s="4"/>
      <c r="J198" s="4" t="s">
        <v>19</v>
      </c>
      <c r="K198" s="4"/>
      <c r="L198" s="4">
        <v>256779414374</v>
      </c>
      <c r="M198" s="4" t="s">
        <v>21</v>
      </c>
      <c r="N198" s="6">
        <v>1800</v>
      </c>
      <c r="O198" s="6" t="s">
        <v>26</v>
      </c>
      <c r="P198" s="6">
        <f>T198-P192</f>
        <v>111030.06666666665</v>
      </c>
      <c r="Q198" s="14">
        <v>11103</v>
      </c>
      <c r="R198" s="8">
        <f>P198-Q198</f>
        <v>99927.066666666651</v>
      </c>
      <c r="S198" s="7" t="s">
        <v>24</v>
      </c>
      <c r="T198" s="3">
        <v>153883.4</v>
      </c>
    </row>
    <row r="199" spans="1:20" x14ac:dyDescent="0.25">
      <c r="A199" s="4" t="s">
        <v>17</v>
      </c>
      <c r="B199" s="4"/>
      <c r="C199" s="4" t="s">
        <v>25</v>
      </c>
      <c r="D199" s="5">
        <v>45821</v>
      </c>
      <c r="E199" s="4">
        <v>1800009578</v>
      </c>
      <c r="F199" s="4" t="s">
        <v>23</v>
      </c>
      <c r="G199" s="5">
        <v>45821</v>
      </c>
      <c r="H199" s="5">
        <v>45821</v>
      </c>
      <c r="I199" s="4"/>
      <c r="J199" s="4" t="s">
        <v>19</v>
      </c>
      <c r="K199" s="4"/>
      <c r="L199" s="4">
        <v>256779414342</v>
      </c>
      <c r="M199" s="4" t="s">
        <v>21</v>
      </c>
      <c r="N199" s="6">
        <v>465</v>
      </c>
      <c r="O199" s="6" t="s">
        <v>26</v>
      </c>
      <c r="P199" s="6">
        <f>R199/0.9</f>
        <v>81.111111111111114</v>
      </c>
      <c r="Q199" s="14">
        <f>P199*0.1</f>
        <v>8.1111111111111125</v>
      </c>
      <c r="R199" s="8">
        <v>73</v>
      </c>
      <c r="S199" s="7" t="s">
        <v>24</v>
      </c>
    </row>
    <row r="200" spans="1:20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0" t="s">
        <v>15</v>
      </c>
      <c r="M200" s="9" t="s">
        <v>21</v>
      </c>
      <c r="N200" s="11">
        <f>SUM(N198:N199)</f>
        <v>2265</v>
      </c>
      <c r="O200" s="11"/>
      <c r="P200" s="11"/>
      <c r="Q200" s="9"/>
      <c r="R200" s="11">
        <f>SUM(R197:R199)</f>
        <v>6.6666666651144624E-2</v>
      </c>
      <c r="S200" s="9" t="s">
        <v>30</v>
      </c>
    </row>
    <row r="202" spans="1:20" ht="52.8" x14ac:dyDescent="0.25">
      <c r="A202" s="1" t="s">
        <v>0</v>
      </c>
      <c r="B202" s="1" t="s">
        <v>1</v>
      </c>
      <c r="C202" s="1" t="s">
        <v>2</v>
      </c>
      <c r="D202" s="1" t="s">
        <v>3</v>
      </c>
      <c r="E202" s="1" t="s">
        <v>4</v>
      </c>
      <c r="F202" s="2" t="s">
        <v>5</v>
      </c>
      <c r="G202" s="1" t="s">
        <v>6</v>
      </c>
      <c r="H202" s="1" t="s">
        <v>7</v>
      </c>
      <c r="I202" s="1" t="s">
        <v>8</v>
      </c>
      <c r="J202" s="1" t="s">
        <v>9</v>
      </c>
      <c r="K202" s="1" t="s">
        <v>10</v>
      </c>
      <c r="L202" s="1" t="s">
        <v>11</v>
      </c>
      <c r="M202" s="2" t="s">
        <v>12</v>
      </c>
      <c r="N202" s="2" t="s">
        <v>13</v>
      </c>
      <c r="O202" s="2" t="s">
        <v>28</v>
      </c>
      <c r="P202" s="2" t="s">
        <v>27</v>
      </c>
      <c r="Q202" s="2" t="s">
        <v>14</v>
      </c>
      <c r="R202" s="2" t="s">
        <v>15</v>
      </c>
      <c r="S202" s="2" t="s">
        <v>16</v>
      </c>
    </row>
    <row r="203" spans="1:20" x14ac:dyDescent="0.25">
      <c r="A203" s="4" t="s">
        <v>17</v>
      </c>
      <c r="B203" s="4"/>
      <c r="C203" s="4" t="s">
        <v>25</v>
      </c>
      <c r="D203" s="5">
        <v>45994</v>
      </c>
      <c r="E203" s="4">
        <v>1400002099</v>
      </c>
      <c r="F203" s="4" t="s">
        <v>18</v>
      </c>
      <c r="G203" s="5">
        <v>45994</v>
      </c>
      <c r="H203" s="5">
        <v>45994</v>
      </c>
      <c r="I203" s="4"/>
      <c r="J203" s="4" t="s">
        <v>19</v>
      </c>
      <c r="K203" s="4"/>
      <c r="L203" s="4" t="s">
        <v>20</v>
      </c>
      <c r="O203" s="3" t="s">
        <v>26</v>
      </c>
      <c r="P203" s="12">
        <v>-100000</v>
      </c>
      <c r="Q203" s="4"/>
      <c r="R203" s="8">
        <f>P203-Q203</f>
        <v>-100000</v>
      </c>
      <c r="S203" s="7" t="s">
        <v>22</v>
      </c>
    </row>
    <row r="204" spans="1:20" x14ac:dyDescent="0.25">
      <c r="A204" s="4" t="s">
        <v>17</v>
      </c>
      <c r="B204" s="4"/>
      <c r="C204" s="4" t="s">
        <v>25</v>
      </c>
      <c r="D204" s="5">
        <v>45821</v>
      </c>
      <c r="E204" s="4">
        <v>1800009578</v>
      </c>
      <c r="F204" s="4" t="s">
        <v>23</v>
      </c>
      <c r="G204" s="5">
        <v>45821</v>
      </c>
      <c r="H204" s="5">
        <v>45821</v>
      </c>
      <c r="I204" s="4"/>
      <c r="J204" s="4" t="s">
        <v>19</v>
      </c>
      <c r="K204" s="4"/>
      <c r="L204" s="4">
        <v>256779414342</v>
      </c>
      <c r="M204" s="4" t="s">
        <v>21</v>
      </c>
      <c r="N204" s="6">
        <v>465</v>
      </c>
      <c r="O204" s="6" t="s">
        <v>26</v>
      </c>
      <c r="P204" s="6">
        <f>T204-P199</f>
        <v>39672.09888888889</v>
      </c>
      <c r="Q204" s="14">
        <v>3960.2222222222222</v>
      </c>
      <c r="R204" s="8">
        <f>P204-Q204</f>
        <v>35711.876666666671</v>
      </c>
      <c r="S204" s="7" t="s">
        <v>24</v>
      </c>
      <c r="T204" s="3">
        <v>39753.21</v>
      </c>
    </row>
    <row r="205" spans="1:20" x14ac:dyDescent="0.25">
      <c r="A205" s="4" t="s">
        <v>17</v>
      </c>
      <c r="B205" s="4"/>
      <c r="C205" s="4" t="s">
        <v>25</v>
      </c>
      <c r="D205" s="5">
        <v>45827</v>
      </c>
      <c r="E205" s="4">
        <v>1800009972</v>
      </c>
      <c r="F205" s="4" t="s">
        <v>23</v>
      </c>
      <c r="G205" s="5">
        <v>45827</v>
      </c>
      <c r="H205" s="5">
        <v>45827</v>
      </c>
      <c r="I205" s="4"/>
      <c r="J205" s="4" t="s">
        <v>19</v>
      </c>
      <c r="K205" s="4"/>
      <c r="L205" s="4">
        <v>256779414736</v>
      </c>
      <c r="M205" s="4" t="s">
        <v>21</v>
      </c>
      <c r="N205" s="6">
        <v>110</v>
      </c>
      <c r="O205" s="6" t="s">
        <v>26</v>
      </c>
      <c r="P205" s="6">
        <v>9403.99</v>
      </c>
      <c r="Q205" s="14">
        <v>189</v>
      </c>
      <c r="R205" s="8">
        <f>P205-Q205</f>
        <v>9214.99</v>
      </c>
      <c r="S205" s="7" t="s">
        <v>24</v>
      </c>
    </row>
    <row r="206" spans="1:20" x14ac:dyDescent="0.25">
      <c r="A206" s="4" t="s">
        <v>17</v>
      </c>
      <c r="B206" s="4"/>
      <c r="C206" s="4" t="s">
        <v>25</v>
      </c>
      <c r="D206" s="5">
        <v>45827</v>
      </c>
      <c r="E206" s="4">
        <v>1800009980</v>
      </c>
      <c r="F206" s="4" t="s">
        <v>23</v>
      </c>
      <c r="G206" s="5">
        <v>45827</v>
      </c>
      <c r="H206" s="5">
        <v>45827</v>
      </c>
      <c r="I206" s="4"/>
      <c r="J206" s="4" t="s">
        <v>19</v>
      </c>
      <c r="K206" s="4"/>
      <c r="L206" s="4">
        <v>256779414744</v>
      </c>
      <c r="M206" s="4" t="s">
        <v>21</v>
      </c>
      <c r="N206" s="6">
        <v>287.81</v>
      </c>
      <c r="O206" s="6" t="s">
        <v>26</v>
      </c>
      <c r="P206" s="6">
        <v>24605.1</v>
      </c>
      <c r="Q206" s="14">
        <v>496</v>
      </c>
      <c r="R206" s="8">
        <f t="shared" ref="R206:R210" si="9">P206-Q206</f>
        <v>24109.1</v>
      </c>
      <c r="S206" s="7" t="s">
        <v>24</v>
      </c>
    </row>
    <row r="207" spans="1:20" x14ac:dyDescent="0.25">
      <c r="A207" s="4" t="s">
        <v>17</v>
      </c>
      <c r="B207" s="4"/>
      <c r="C207" s="4" t="s">
        <v>25</v>
      </c>
      <c r="D207" s="5">
        <v>45842</v>
      </c>
      <c r="E207" s="4">
        <v>1800010070</v>
      </c>
      <c r="F207" s="4" t="s">
        <v>23</v>
      </c>
      <c r="G207" s="5">
        <v>45842</v>
      </c>
      <c r="H207" s="5">
        <v>45842</v>
      </c>
      <c r="I207" s="4"/>
      <c r="J207" s="4" t="s">
        <v>19</v>
      </c>
      <c r="K207" s="4"/>
      <c r="L207" s="4">
        <v>256779414834</v>
      </c>
      <c r="M207" s="4" t="s">
        <v>21</v>
      </c>
      <c r="N207" s="6">
        <v>15.28</v>
      </c>
      <c r="O207" s="6" t="s">
        <v>26</v>
      </c>
      <c r="P207" s="6">
        <v>1314.09</v>
      </c>
      <c r="Q207" s="14">
        <v>26</v>
      </c>
      <c r="R207" s="8">
        <f t="shared" si="9"/>
        <v>1288.0899999999999</v>
      </c>
      <c r="S207" s="7" t="s">
        <v>24</v>
      </c>
    </row>
    <row r="208" spans="1:20" x14ac:dyDescent="0.25">
      <c r="A208" s="4" t="s">
        <v>17</v>
      </c>
      <c r="B208" s="4"/>
      <c r="C208" s="4" t="s">
        <v>25</v>
      </c>
      <c r="D208" s="5">
        <v>45842</v>
      </c>
      <c r="E208" s="4">
        <v>1800010121</v>
      </c>
      <c r="F208" s="4" t="s">
        <v>23</v>
      </c>
      <c r="G208" s="5">
        <v>45842</v>
      </c>
      <c r="H208" s="5">
        <v>45842</v>
      </c>
      <c r="I208" s="4"/>
      <c r="J208" s="4" t="s">
        <v>19</v>
      </c>
      <c r="K208" s="4"/>
      <c r="L208" s="4">
        <v>256779414881</v>
      </c>
      <c r="M208" s="4" t="s">
        <v>21</v>
      </c>
      <c r="N208" s="6">
        <v>52.22</v>
      </c>
      <c r="O208" s="6" t="s">
        <v>26</v>
      </c>
      <c r="P208" s="6">
        <v>4490.95</v>
      </c>
      <c r="Q208" s="14">
        <v>90</v>
      </c>
      <c r="R208" s="8">
        <f t="shared" si="9"/>
        <v>4400.95</v>
      </c>
      <c r="S208" s="7" t="s">
        <v>24</v>
      </c>
    </row>
    <row r="209" spans="1:20" x14ac:dyDescent="0.25">
      <c r="A209" s="4" t="s">
        <v>17</v>
      </c>
      <c r="B209" s="4"/>
      <c r="C209" s="4" t="s">
        <v>25</v>
      </c>
      <c r="D209" s="5">
        <v>45842</v>
      </c>
      <c r="E209" s="4">
        <v>1800010005</v>
      </c>
      <c r="F209" s="4" t="s">
        <v>23</v>
      </c>
      <c r="G209" s="5">
        <v>45842</v>
      </c>
      <c r="H209" s="5">
        <v>45842</v>
      </c>
      <c r="I209" s="4"/>
      <c r="J209" s="4" t="s">
        <v>19</v>
      </c>
      <c r="K209" s="4"/>
      <c r="L209" s="4">
        <v>256779414769</v>
      </c>
      <c r="M209" s="4" t="s">
        <v>21</v>
      </c>
      <c r="N209" s="6">
        <v>66.790000000000006</v>
      </c>
      <c r="O209" s="6" t="s">
        <v>26</v>
      </c>
      <c r="P209" s="6">
        <v>5743.98</v>
      </c>
      <c r="Q209" s="14">
        <v>115</v>
      </c>
      <c r="R209" s="8">
        <f t="shared" si="9"/>
        <v>5628.98</v>
      </c>
      <c r="S209" s="7" t="s">
        <v>24</v>
      </c>
    </row>
    <row r="210" spans="1:20" x14ac:dyDescent="0.25">
      <c r="A210" s="4" t="s">
        <v>17</v>
      </c>
      <c r="B210" s="4"/>
      <c r="C210" s="4" t="s">
        <v>25</v>
      </c>
      <c r="D210" s="5">
        <v>45842</v>
      </c>
      <c r="E210" s="4">
        <v>1800010505</v>
      </c>
      <c r="F210" s="4" t="s">
        <v>23</v>
      </c>
      <c r="G210" s="5">
        <v>45842</v>
      </c>
      <c r="H210" s="5">
        <v>45842</v>
      </c>
      <c r="I210" s="4"/>
      <c r="J210" s="4" t="s">
        <v>19</v>
      </c>
      <c r="K210" s="4"/>
      <c r="L210" s="4">
        <v>256779415265</v>
      </c>
      <c r="M210" s="4" t="s">
        <v>21</v>
      </c>
      <c r="N210" s="6">
        <v>164.73</v>
      </c>
      <c r="O210" s="6" t="s">
        <v>26</v>
      </c>
      <c r="P210" s="6">
        <v>14166.89</v>
      </c>
      <c r="Q210" s="14">
        <v>283</v>
      </c>
      <c r="R210" s="8">
        <f t="shared" si="9"/>
        <v>13883.89</v>
      </c>
      <c r="S210" s="7" t="s">
        <v>24</v>
      </c>
    </row>
    <row r="211" spans="1:20" x14ac:dyDescent="0.25">
      <c r="A211" s="4" t="s">
        <v>17</v>
      </c>
      <c r="B211" s="4"/>
      <c r="C211" s="4" t="s">
        <v>25</v>
      </c>
      <c r="D211" s="5">
        <v>45842</v>
      </c>
      <c r="E211" s="4">
        <v>1800010260</v>
      </c>
      <c r="F211" s="4" t="s">
        <v>23</v>
      </c>
      <c r="G211" s="5">
        <v>45842</v>
      </c>
      <c r="H211" s="5">
        <v>45842</v>
      </c>
      <c r="I211" s="4"/>
      <c r="J211" s="4" t="s">
        <v>19</v>
      </c>
      <c r="K211" s="4"/>
      <c r="L211" s="4">
        <v>256779415020</v>
      </c>
      <c r="M211" s="4" t="s">
        <v>21</v>
      </c>
      <c r="N211" s="6">
        <v>175.39</v>
      </c>
      <c r="O211" s="6" t="s">
        <v>26</v>
      </c>
      <c r="P211" s="6">
        <f>R211/0.98</f>
        <v>5704.0816326530612</v>
      </c>
      <c r="Q211" s="14">
        <f>P211*0.02</f>
        <v>114.08163265306122</v>
      </c>
      <c r="R211" s="8">
        <v>5590</v>
      </c>
      <c r="S211" s="7" t="s">
        <v>24</v>
      </c>
    </row>
    <row r="212" spans="1:20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0" t="s">
        <v>15</v>
      </c>
      <c r="M212" s="9" t="s">
        <v>21</v>
      </c>
      <c r="N212" s="11">
        <f>SUM(N204:N211)</f>
        <v>1337.2199999999998</v>
      </c>
      <c r="O212" s="11"/>
      <c r="P212" s="11"/>
      <c r="Q212" s="9"/>
      <c r="R212" s="11">
        <f>SUM(R203:R211)</f>
        <v>-172.12333333333299</v>
      </c>
      <c r="S212" s="9" t="s">
        <v>29</v>
      </c>
    </row>
    <row r="215" spans="1:20" ht="52.8" x14ac:dyDescent="0.25">
      <c r="A215" s="1" t="s">
        <v>0</v>
      </c>
      <c r="B215" s="1" t="s">
        <v>1</v>
      </c>
      <c r="C215" s="1" t="s">
        <v>2</v>
      </c>
      <c r="D215" s="1" t="s">
        <v>3</v>
      </c>
      <c r="E215" s="1" t="s">
        <v>4</v>
      </c>
      <c r="F215" s="2" t="s">
        <v>5</v>
      </c>
      <c r="G215" s="1" t="s">
        <v>6</v>
      </c>
      <c r="H215" s="1" t="s">
        <v>7</v>
      </c>
      <c r="I215" s="1" t="s">
        <v>8</v>
      </c>
      <c r="J215" s="1" t="s">
        <v>9</v>
      </c>
      <c r="K215" s="1" t="s">
        <v>10</v>
      </c>
      <c r="L215" s="1" t="s">
        <v>11</v>
      </c>
      <c r="M215" s="2" t="s">
        <v>12</v>
      </c>
      <c r="N215" s="2" t="s">
        <v>13</v>
      </c>
      <c r="O215" s="2" t="s">
        <v>28</v>
      </c>
      <c r="P215" s="2" t="s">
        <v>27</v>
      </c>
      <c r="Q215" s="2" t="s">
        <v>14</v>
      </c>
      <c r="R215" s="2" t="s">
        <v>15</v>
      </c>
      <c r="S215" s="2" t="s">
        <v>16</v>
      </c>
    </row>
    <row r="216" spans="1:20" x14ac:dyDescent="0.25">
      <c r="A216" s="4" t="s">
        <v>17</v>
      </c>
      <c r="B216" s="4"/>
      <c r="C216" s="4" t="s">
        <v>25</v>
      </c>
      <c r="D216" s="5">
        <v>46009</v>
      </c>
      <c r="E216" s="4">
        <v>1400002218</v>
      </c>
      <c r="F216" s="4" t="s">
        <v>18</v>
      </c>
      <c r="G216" s="5">
        <v>46009</v>
      </c>
      <c r="H216" s="5">
        <v>46009</v>
      </c>
      <c r="I216" s="4"/>
      <c r="J216" s="4" t="s">
        <v>19</v>
      </c>
      <c r="K216" s="4"/>
      <c r="L216" s="4" t="s">
        <v>20</v>
      </c>
      <c r="O216" s="3" t="s">
        <v>26</v>
      </c>
      <c r="P216" s="12">
        <v>-100000</v>
      </c>
      <c r="Q216" s="4"/>
      <c r="R216" s="8">
        <f>P216-Q216</f>
        <v>-100000</v>
      </c>
      <c r="S216" s="7" t="s">
        <v>22</v>
      </c>
    </row>
    <row r="217" spans="1:20" x14ac:dyDescent="0.25">
      <c r="A217" s="4" t="s">
        <v>17</v>
      </c>
      <c r="B217" s="4"/>
      <c r="C217" s="4" t="s">
        <v>25</v>
      </c>
      <c r="D217" s="5">
        <v>45842</v>
      </c>
      <c r="E217" s="4">
        <v>1800010260</v>
      </c>
      <c r="F217" s="4" t="s">
        <v>23</v>
      </c>
      <c r="G217" s="5">
        <v>45842</v>
      </c>
      <c r="H217" s="5">
        <v>45842</v>
      </c>
      <c r="I217" s="4"/>
      <c r="J217" s="4" t="s">
        <v>19</v>
      </c>
      <c r="K217" s="4"/>
      <c r="L217" s="4">
        <v>256779415020</v>
      </c>
      <c r="M217" s="4" t="s">
        <v>21</v>
      </c>
      <c r="N217" s="6">
        <v>175.39</v>
      </c>
      <c r="O217" s="6" t="s">
        <v>26</v>
      </c>
      <c r="P217" s="6">
        <f>T217-P211</f>
        <v>9379.5783673469377</v>
      </c>
      <c r="Q217" s="14">
        <v>187.59183673469391</v>
      </c>
      <c r="R217" s="8">
        <f>P217-Q217</f>
        <v>9191.9865306122447</v>
      </c>
      <c r="S217" s="7" t="s">
        <v>24</v>
      </c>
      <c r="T217" s="3">
        <v>15083.66</v>
      </c>
    </row>
    <row r="218" spans="1:20" x14ac:dyDescent="0.25">
      <c r="A218" s="4" t="s">
        <v>17</v>
      </c>
      <c r="B218" s="4"/>
      <c r="C218" s="4" t="s">
        <v>25</v>
      </c>
      <c r="D218" s="5">
        <v>45842</v>
      </c>
      <c r="E218" s="4">
        <v>1800010039</v>
      </c>
      <c r="F218" s="4" t="s">
        <v>23</v>
      </c>
      <c r="G218" s="5">
        <v>45842</v>
      </c>
      <c r="H218" s="5">
        <v>45842</v>
      </c>
      <c r="I218" s="4"/>
      <c r="J218" s="4" t="s">
        <v>19</v>
      </c>
      <c r="K218" s="4"/>
      <c r="L218" s="4">
        <v>256779414803</v>
      </c>
      <c r="M218" s="4" t="s">
        <v>21</v>
      </c>
      <c r="N218" s="6">
        <v>318.63</v>
      </c>
      <c r="O218" s="6" t="s">
        <v>26</v>
      </c>
      <c r="P218" s="6">
        <v>27402.39</v>
      </c>
      <c r="Q218" s="14">
        <v>548</v>
      </c>
      <c r="R218" s="8">
        <f>P218-Q218</f>
        <v>26854.39</v>
      </c>
      <c r="S218" s="7" t="s">
        <v>24</v>
      </c>
    </row>
    <row r="219" spans="1:20" x14ac:dyDescent="0.25">
      <c r="A219" s="4" t="s">
        <v>17</v>
      </c>
      <c r="B219" s="4"/>
      <c r="C219" s="4" t="s">
        <v>25</v>
      </c>
      <c r="D219" s="5">
        <v>45842</v>
      </c>
      <c r="E219" s="4">
        <v>1800010428</v>
      </c>
      <c r="F219" s="4" t="s">
        <v>23</v>
      </c>
      <c r="G219" s="5">
        <v>45842</v>
      </c>
      <c r="H219" s="5">
        <v>45842</v>
      </c>
      <c r="I219" s="4"/>
      <c r="J219" s="4" t="s">
        <v>19</v>
      </c>
      <c r="K219" s="4"/>
      <c r="L219" s="4">
        <v>256779415188</v>
      </c>
      <c r="M219" s="4" t="s">
        <v>21</v>
      </c>
      <c r="N219" s="6">
        <v>1521.18</v>
      </c>
      <c r="O219" s="6" t="s">
        <v>26</v>
      </c>
      <c r="P219" s="6">
        <f>R219/0.9</f>
        <v>71060</v>
      </c>
      <c r="Q219" s="14">
        <f>P219*0.1</f>
        <v>7106</v>
      </c>
      <c r="R219" s="8">
        <v>63954</v>
      </c>
      <c r="S219" s="7" t="s">
        <v>24</v>
      </c>
    </row>
    <row r="220" spans="1:20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0" t="s">
        <v>15</v>
      </c>
      <c r="M220" s="9" t="s">
        <v>21</v>
      </c>
      <c r="N220" s="11">
        <f>SUM(N217:N219)</f>
        <v>2015.2</v>
      </c>
      <c r="O220" s="11"/>
      <c r="P220" s="11"/>
      <c r="Q220" s="9"/>
      <c r="R220" s="11">
        <f>SUM(R216:R219)</f>
        <v>0.37653061225137208</v>
      </c>
      <c r="S220" s="9" t="s">
        <v>30</v>
      </c>
    </row>
    <row r="222" spans="1:20" ht="52.8" x14ac:dyDescent="0.25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2" t="s">
        <v>5</v>
      </c>
      <c r="G222" s="1" t="s">
        <v>6</v>
      </c>
      <c r="H222" s="1" t="s">
        <v>7</v>
      </c>
      <c r="I222" s="1" t="s">
        <v>8</v>
      </c>
      <c r="J222" s="1" t="s">
        <v>9</v>
      </c>
      <c r="K222" s="1" t="s">
        <v>10</v>
      </c>
      <c r="L222" s="1" t="s">
        <v>11</v>
      </c>
      <c r="M222" s="2" t="s">
        <v>12</v>
      </c>
      <c r="N222" s="2" t="s">
        <v>13</v>
      </c>
      <c r="O222" s="2" t="s">
        <v>28</v>
      </c>
      <c r="P222" s="2" t="s">
        <v>27</v>
      </c>
      <c r="Q222" s="2" t="s">
        <v>14</v>
      </c>
      <c r="R222" s="2" t="s">
        <v>15</v>
      </c>
      <c r="S222" s="2" t="s">
        <v>16</v>
      </c>
    </row>
    <row r="223" spans="1:20" x14ac:dyDescent="0.25">
      <c r="A223" s="4" t="s">
        <v>17</v>
      </c>
      <c r="B223" s="4"/>
      <c r="C223" s="4" t="s">
        <v>25</v>
      </c>
      <c r="D223" s="5">
        <v>46030</v>
      </c>
      <c r="E223" s="4">
        <v>1400002412</v>
      </c>
      <c r="F223" s="4" t="s">
        <v>18</v>
      </c>
      <c r="G223" s="5">
        <v>46030</v>
      </c>
      <c r="H223" s="5">
        <v>46030</v>
      </c>
      <c r="I223" s="4"/>
      <c r="J223" s="4" t="s">
        <v>19</v>
      </c>
      <c r="K223" s="4"/>
      <c r="L223" s="4" t="s">
        <v>20</v>
      </c>
      <c r="O223" s="3" t="s">
        <v>26</v>
      </c>
      <c r="P223" s="12">
        <v>-200000</v>
      </c>
      <c r="Q223" s="4"/>
      <c r="R223" s="8">
        <f>P223-Q223</f>
        <v>-200000</v>
      </c>
      <c r="S223" s="7" t="s">
        <v>22</v>
      </c>
    </row>
    <row r="224" spans="1:20" x14ac:dyDescent="0.25">
      <c r="A224" s="4" t="s">
        <v>17</v>
      </c>
      <c r="B224" s="4"/>
      <c r="C224" s="4" t="s">
        <v>25</v>
      </c>
      <c r="D224" s="5">
        <v>45842</v>
      </c>
      <c r="E224" s="4">
        <v>1800010428</v>
      </c>
      <c r="F224" s="4" t="s">
        <v>23</v>
      </c>
      <c r="G224" s="5">
        <v>45842</v>
      </c>
      <c r="H224" s="5">
        <v>45842</v>
      </c>
      <c r="I224" s="4"/>
      <c r="J224" s="4" t="s">
        <v>19</v>
      </c>
      <c r="K224" s="4"/>
      <c r="L224" s="4">
        <v>256779415188</v>
      </c>
      <c r="M224" s="4" t="s">
        <v>21</v>
      </c>
      <c r="N224" s="6">
        <v>1521.18</v>
      </c>
      <c r="O224" s="6" t="s">
        <v>26</v>
      </c>
      <c r="P224" s="6">
        <f>T224-P219</f>
        <v>59762.5</v>
      </c>
      <c r="Q224" s="14">
        <v>5976.2222222222226</v>
      </c>
      <c r="R224" s="8">
        <f>P224-Q224</f>
        <v>53786.277777777781</v>
      </c>
      <c r="S224" s="7" t="s">
        <v>24</v>
      </c>
      <c r="T224" s="3">
        <v>130822.5</v>
      </c>
    </row>
    <row r="225" spans="1:20" x14ac:dyDescent="0.25">
      <c r="A225" s="4" t="s">
        <v>17</v>
      </c>
      <c r="B225" s="4"/>
      <c r="C225" s="4" t="s">
        <v>25</v>
      </c>
      <c r="D225" s="5">
        <v>45842</v>
      </c>
      <c r="E225" s="4">
        <v>1800010172</v>
      </c>
      <c r="F225" s="4" t="s">
        <v>23</v>
      </c>
      <c r="G225" s="5">
        <v>45842</v>
      </c>
      <c r="H225" s="5">
        <v>45842</v>
      </c>
      <c r="I225" s="4"/>
      <c r="J225" s="4" t="s">
        <v>19</v>
      </c>
      <c r="K225" s="4"/>
      <c r="L225" s="4">
        <v>256779414932</v>
      </c>
      <c r="M225" s="4" t="s">
        <v>21</v>
      </c>
      <c r="N225" s="6">
        <v>1800</v>
      </c>
      <c r="O225" s="6" t="s">
        <v>26</v>
      </c>
      <c r="P225" s="6">
        <v>154801.21</v>
      </c>
      <c r="Q225" s="14">
        <v>15480</v>
      </c>
      <c r="R225" s="8">
        <f>P225-Q225</f>
        <v>139321.21</v>
      </c>
      <c r="S225" s="7" t="s">
        <v>24</v>
      </c>
    </row>
    <row r="226" spans="1:20" x14ac:dyDescent="0.25">
      <c r="A226" s="4" t="s">
        <v>17</v>
      </c>
      <c r="B226" s="4"/>
      <c r="C226" s="4" t="s">
        <v>25</v>
      </c>
      <c r="D226" s="5">
        <v>45856</v>
      </c>
      <c r="E226" s="4">
        <v>1800010742</v>
      </c>
      <c r="F226" s="4" t="s">
        <v>23</v>
      </c>
      <c r="G226" s="5">
        <v>45856</v>
      </c>
      <c r="H226" s="5">
        <v>45856</v>
      </c>
      <c r="I226" s="4"/>
      <c r="J226" s="4" t="s">
        <v>19</v>
      </c>
      <c r="K226" s="4"/>
      <c r="L226" s="4">
        <v>256779415526</v>
      </c>
      <c r="M226" s="4" t="s">
        <v>21</v>
      </c>
      <c r="N226" s="6">
        <v>2.75</v>
      </c>
      <c r="O226" s="6" t="s">
        <v>26</v>
      </c>
      <c r="P226" s="6">
        <v>236.5</v>
      </c>
      <c r="Q226" s="14">
        <v>5</v>
      </c>
      <c r="R226" s="8">
        <f t="shared" ref="R226:R227" si="10">P226-Q226</f>
        <v>231.5</v>
      </c>
      <c r="S226" s="7" t="s">
        <v>24</v>
      </c>
    </row>
    <row r="227" spans="1:20" x14ac:dyDescent="0.25">
      <c r="A227" s="4" t="s">
        <v>17</v>
      </c>
      <c r="B227" s="4"/>
      <c r="C227" s="4" t="s">
        <v>25</v>
      </c>
      <c r="D227" s="5">
        <v>45856</v>
      </c>
      <c r="E227" s="4">
        <v>1800010661</v>
      </c>
      <c r="F227" s="4" t="s">
        <v>23</v>
      </c>
      <c r="G227" s="5">
        <v>45856</v>
      </c>
      <c r="H227" s="5">
        <v>45856</v>
      </c>
      <c r="I227" s="4"/>
      <c r="J227" s="4" t="s">
        <v>19</v>
      </c>
      <c r="K227" s="4"/>
      <c r="L227" s="4">
        <v>256779415445</v>
      </c>
      <c r="M227" s="4" t="s">
        <v>21</v>
      </c>
      <c r="N227" s="6">
        <v>26.09</v>
      </c>
      <c r="O227" s="6" t="s">
        <v>26</v>
      </c>
      <c r="P227" s="6">
        <v>2243.7600000000002</v>
      </c>
      <c r="Q227" s="14">
        <v>45</v>
      </c>
      <c r="R227" s="8">
        <f t="shared" si="10"/>
        <v>2198.7600000000002</v>
      </c>
      <c r="S227" s="7" t="s">
        <v>24</v>
      </c>
    </row>
    <row r="228" spans="1:20" x14ac:dyDescent="0.25">
      <c r="A228" s="4" t="s">
        <v>17</v>
      </c>
      <c r="B228" s="4"/>
      <c r="C228" s="4" t="s">
        <v>25</v>
      </c>
      <c r="D228" s="5">
        <v>45856</v>
      </c>
      <c r="E228" s="4">
        <v>1800010674</v>
      </c>
      <c r="F228" s="4" t="s">
        <v>23</v>
      </c>
      <c r="G228" s="5">
        <v>45856</v>
      </c>
      <c r="H228" s="5">
        <v>45856</v>
      </c>
      <c r="I228" s="4"/>
      <c r="J228" s="4" t="s">
        <v>19</v>
      </c>
      <c r="K228" s="4"/>
      <c r="L228" s="4">
        <v>256779415458</v>
      </c>
      <c r="M228" s="4" t="s">
        <v>21</v>
      </c>
      <c r="N228" s="6">
        <v>73.739999999999995</v>
      </c>
      <c r="O228" s="6" t="s">
        <v>26</v>
      </c>
      <c r="P228" s="6">
        <f>R228/0.98</f>
        <v>4553.0612244897957</v>
      </c>
      <c r="Q228" s="14">
        <f>P228*0.02</f>
        <v>91.061224489795919</v>
      </c>
      <c r="R228" s="8">
        <v>4462</v>
      </c>
      <c r="S228" s="7" t="s">
        <v>24</v>
      </c>
    </row>
    <row r="229" spans="1:20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0" t="s">
        <v>15</v>
      </c>
      <c r="M229" s="9" t="s">
        <v>21</v>
      </c>
      <c r="N229" s="11">
        <f>SUM(N224:N228)</f>
        <v>3423.76</v>
      </c>
      <c r="O229" s="11"/>
      <c r="P229" s="11"/>
      <c r="Q229" s="9"/>
      <c r="R229" s="11">
        <f>SUM(R223:R228)</f>
        <v>-0.25222222222691926</v>
      </c>
      <c r="S229" s="9" t="s">
        <v>29</v>
      </c>
    </row>
    <row r="231" spans="1:20" ht="52.8" x14ac:dyDescent="0.25">
      <c r="A231" s="1" t="s">
        <v>0</v>
      </c>
      <c r="B231" s="1" t="s">
        <v>1</v>
      </c>
      <c r="C231" s="1" t="s">
        <v>2</v>
      </c>
      <c r="D231" s="1" t="s">
        <v>3</v>
      </c>
      <c r="E231" s="1" t="s">
        <v>4</v>
      </c>
      <c r="F231" s="2" t="s">
        <v>5</v>
      </c>
      <c r="G231" s="1" t="s">
        <v>6</v>
      </c>
      <c r="H231" s="1" t="s">
        <v>7</v>
      </c>
      <c r="I231" s="1" t="s">
        <v>8</v>
      </c>
      <c r="J231" s="1" t="s">
        <v>9</v>
      </c>
      <c r="K231" s="1" t="s">
        <v>10</v>
      </c>
      <c r="L231" s="1" t="s">
        <v>11</v>
      </c>
      <c r="M231" s="2" t="s">
        <v>12</v>
      </c>
      <c r="N231" s="2" t="s">
        <v>13</v>
      </c>
      <c r="O231" s="2" t="s">
        <v>28</v>
      </c>
      <c r="P231" s="2" t="s">
        <v>27</v>
      </c>
      <c r="Q231" s="2" t="s">
        <v>14</v>
      </c>
      <c r="R231" s="2" t="s">
        <v>15</v>
      </c>
      <c r="S231" s="2" t="s">
        <v>16</v>
      </c>
    </row>
    <row r="232" spans="1:20" x14ac:dyDescent="0.25">
      <c r="A232" s="4" t="s">
        <v>17</v>
      </c>
      <c r="B232" s="4"/>
      <c r="C232" s="4" t="s">
        <v>25</v>
      </c>
      <c r="D232" s="5">
        <v>46031</v>
      </c>
      <c r="E232" s="4">
        <v>1400002418</v>
      </c>
      <c r="F232" s="4" t="s">
        <v>18</v>
      </c>
      <c r="G232" s="5">
        <v>46031</v>
      </c>
      <c r="H232" s="5">
        <v>46031</v>
      </c>
      <c r="I232" s="4"/>
      <c r="J232" s="4" t="s">
        <v>19</v>
      </c>
      <c r="K232" s="4"/>
      <c r="L232" s="4" t="s">
        <v>20</v>
      </c>
      <c r="O232" s="3" t="s">
        <v>26</v>
      </c>
      <c r="P232" s="12">
        <v>-100000</v>
      </c>
      <c r="Q232" s="4"/>
      <c r="R232" s="8">
        <f>P232-Q232</f>
        <v>-100000</v>
      </c>
      <c r="S232" s="7" t="s">
        <v>22</v>
      </c>
    </row>
    <row r="233" spans="1:20" x14ac:dyDescent="0.25">
      <c r="A233" s="4" t="s">
        <v>17</v>
      </c>
      <c r="B233" s="4"/>
      <c r="C233" s="4" t="s">
        <v>25</v>
      </c>
      <c r="D233" s="5">
        <v>45856</v>
      </c>
      <c r="E233" s="4">
        <v>1800010674</v>
      </c>
      <c r="F233" s="4" t="s">
        <v>23</v>
      </c>
      <c r="G233" s="5">
        <v>45856</v>
      </c>
      <c r="H233" s="5">
        <v>45856</v>
      </c>
      <c r="I233" s="4"/>
      <c r="J233" s="4" t="s">
        <v>19</v>
      </c>
      <c r="K233" s="4"/>
      <c r="L233" s="4">
        <v>256779415458</v>
      </c>
      <c r="M233" s="4" t="s">
        <v>21</v>
      </c>
      <c r="N233" s="6">
        <v>73.739999999999995</v>
      </c>
      <c r="O233" s="6" t="s">
        <v>26</v>
      </c>
      <c r="P233" s="6">
        <f>T233-P228</f>
        <v>1788.6287755102039</v>
      </c>
      <c r="Q233" s="14">
        <v>35.775510204081634</v>
      </c>
      <c r="R233" s="8">
        <f>P233-Q233</f>
        <v>1752.8532653061222</v>
      </c>
      <c r="S233" s="7" t="s">
        <v>24</v>
      </c>
      <c r="T233" s="3">
        <v>6341.69</v>
      </c>
    </row>
    <row r="234" spans="1:20" x14ac:dyDescent="0.25">
      <c r="A234" s="4" t="s">
        <v>17</v>
      </c>
      <c r="B234" s="4"/>
      <c r="C234" s="4" t="s">
        <v>25</v>
      </c>
      <c r="D234" s="5">
        <v>45856</v>
      </c>
      <c r="E234" s="4">
        <v>1800010772</v>
      </c>
      <c r="F234" s="4" t="s">
        <v>23</v>
      </c>
      <c r="G234" s="5">
        <v>45856</v>
      </c>
      <c r="H234" s="5">
        <v>45856</v>
      </c>
      <c r="I234" s="4"/>
      <c r="J234" s="4" t="s">
        <v>19</v>
      </c>
      <c r="K234" s="4"/>
      <c r="L234" s="4">
        <v>256779415434</v>
      </c>
      <c r="M234" s="4" t="s">
        <v>21</v>
      </c>
      <c r="N234" s="6">
        <v>110.95</v>
      </c>
      <c r="O234" s="6" t="s">
        <v>26</v>
      </c>
      <c r="P234" s="6">
        <v>9541.77</v>
      </c>
      <c r="Q234" s="14">
        <v>191</v>
      </c>
      <c r="R234" s="8">
        <f>P234-Q234</f>
        <v>9350.77</v>
      </c>
      <c r="S234" s="7" t="s">
        <v>24</v>
      </c>
    </row>
    <row r="235" spans="1:20" x14ac:dyDescent="0.25">
      <c r="A235" s="4" t="s">
        <v>17</v>
      </c>
      <c r="B235" s="4"/>
      <c r="C235" s="4" t="s">
        <v>25</v>
      </c>
      <c r="D235" s="5">
        <v>45856</v>
      </c>
      <c r="E235" s="4">
        <v>1800010942</v>
      </c>
      <c r="F235" s="4" t="s">
        <v>23</v>
      </c>
      <c r="G235" s="5">
        <v>45856</v>
      </c>
      <c r="H235" s="5">
        <v>45856</v>
      </c>
      <c r="I235" s="4"/>
      <c r="J235" s="4" t="s">
        <v>19</v>
      </c>
      <c r="K235" s="4"/>
      <c r="L235" s="4">
        <v>256779415702</v>
      </c>
      <c r="M235" s="4" t="s">
        <v>21</v>
      </c>
      <c r="N235" s="6">
        <v>200</v>
      </c>
      <c r="O235" s="6" t="s">
        <v>26</v>
      </c>
      <c r="P235" s="6">
        <v>17200.13</v>
      </c>
      <c r="Q235" s="14">
        <v>344</v>
      </c>
      <c r="R235" s="8">
        <f t="shared" ref="R235:R239" si="11">P235-Q235</f>
        <v>16856.13</v>
      </c>
      <c r="S235" s="7" t="s">
        <v>24</v>
      </c>
    </row>
    <row r="236" spans="1:20" x14ac:dyDescent="0.25">
      <c r="A236" s="4" t="s">
        <v>17</v>
      </c>
      <c r="B236" s="4"/>
      <c r="C236" s="4" t="s">
        <v>25</v>
      </c>
      <c r="D236" s="5">
        <v>45856</v>
      </c>
      <c r="E236" s="4">
        <v>1800010702</v>
      </c>
      <c r="F236" s="4" t="s">
        <v>23</v>
      </c>
      <c r="G236" s="5">
        <v>45856</v>
      </c>
      <c r="H236" s="5">
        <v>45856</v>
      </c>
      <c r="I236" s="4"/>
      <c r="J236" s="4" t="s">
        <v>19</v>
      </c>
      <c r="K236" s="4"/>
      <c r="L236" s="4">
        <v>256779415486</v>
      </c>
      <c r="M236" s="4" t="s">
        <v>21</v>
      </c>
      <c r="N236" s="6">
        <v>239.19</v>
      </c>
      <c r="O236" s="6" t="s">
        <v>26</v>
      </c>
      <c r="P236" s="6">
        <v>20570.5</v>
      </c>
      <c r="Q236" s="14">
        <v>411</v>
      </c>
      <c r="R236" s="8">
        <f t="shared" si="11"/>
        <v>20159.5</v>
      </c>
      <c r="S236" s="7" t="s">
        <v>24</v>
      </c>
    </row>
    <row r="237" spans="1:20" x14ac:dyDescent="0.25">
      <c r="A237" s="4" t="s">
        <v>17</v>
      </c>
      <c r="B237" s="4"/>
      <c r="C237" s="4" t="s">
        <v>25</v>
      </c>
      <c r="D237" s="5">
        <v>45862</v>
      </c>
      <c r="E237" s="4">
        <v>1800011194</v>
      </c>
      <c r="F237" s="4" t="s">
        <v>23</v>
      </c>
      <c r="G237" s="5">
        <v>45862</v>
      </c>
      <c r="H237" s="5">
        <v>45862</v>
      </c>
      <c r="I237" s="4"/>
      <c r="J237" s="4" t="s">
        <v>19</v>
      </c>
      <c r="K237" s="4"/>
      <c r="L237" s="4">
        <v>256779415946</v>
      </c>
      <c r="M237" s="4" t="s">
        <v>21</v>
      </c>
      <c r="N237" s="6">
        <v>29.25</v>
      </c>
      <c r="O237" s="6" t="s">
        <v>26</v>
      </c>
      <c r="P237" s="6">
        <v>2515.52</v>
      </c>
      <c r="Q237" s="14">
        <v>50</v>
      </c>
      <c r="R237" s="8">
        <f t="shared" si="11"/>
        <v>2465.52</v>
      </c>
      <c r="S237" s="7" t="s">
        <v>24</v>
      </c>
    </row>
    <row r="238" spans="1:20" x14ac:dyDescent="0.25">
      <c r="A238" s="4" t="s">
        <v>17</v>
      </c>
      <c r="B238" s="4"/>
      <c r="C238" s="4" t="s">
        <v>25</v>
      </c>
      <c r="D238" s="5">
        <v>45863</v>
      </c>
      <c r="E238" s="4">
        <v>1800011268</v>
      </c>
      <c r="F238" s="4" t="s">
        <v>23</v>
      </c>
      <c r="G238" s="5">
        <v>45863</v>
      </c>
      <c r="H238" s="5">
        <v>45863</v>
      </c>
      <c r="I238" s="4"/>
      <c r="J238" s="4" t="s">
        <v>19</v>
      </c>
      <c r="K238" s="4"/>
      <c r="L238" s="4">
        <v>256779416000</v>
      </c>
      <c r="M238" s="4" t="s">
        <v>21</v>
      </c>
      <c r="N238" s="6">
        <v>151.58000000000001</v>
      </c>
      <c r="O238" s="6" t="s">
        <v>26</v>
      </c>
      <c r="P238" s="6">
        <v>13035.98</v>
      </c>
      <c r="Q238" s="14">
        <v>259</v>
      </c>
      <c r="R238" s="8">
        <f t="shared" si="11"/>
        <v>12776.98</v>
      </c>
      <c r="S238" s="7" t="s">
        <v>24</v>
      </c>
    </row>
    <row r="239" spans="1:20" x14ac:dyDescent="0.25">
      <c r="A239" s="4" t="s">
        <v>17</v>
      </c>
      <c r="B239" s="4"/>
      <c r="C239" s="4" t="s">
        <v>25</v>
      </c>
      <c r="D239" s="5">
        <v>45863</v>
      </c>
      <c r="E239" s="4">
        <v>1800011236</v>
      </c>
      <c r="F239" s="4" t="s">
        <v>23</v>
      </c>
      <c r="G239" s="5">
        <v>45863</v>
      </c>
      <c r="H239" s="5">
        <v>45863</v>
      </c>
      <c r="I239" s="4"/>
      <c r="J239" s="4" t="s">
        <v>19</v>
      </c>
      <c r="K239" s="4"/>
      <c r="L239" s="4">
        <v>256779415968</v>
      </c>
      <c r="M239" s="4" t="s">
        <v>21</v>
      </c>
      <c r="N239" s="6">
        <v>465</v>
      </c>
      <c r="O239" s="6" t="s">
        <v>26</v>
      </c>
      <c r="P239" s="6">
        <v>39990.31</v>
      </c>
      <c r="Q239" s="14">
        <v>3999</v>
      </c>
      <c r="R239" s="8">
        <f t="shared" si="11"/>
        <v>35991.31</v>
      </c>
      <c r="S239" s="7" t="s">
        <v>24</v>
      </c>
    </row>
    <row r="240" spans="1:20" x14ac:dyDescent="0.25">
      <c r="A240" s="4" t="s">
        <v>17</v>
      </c>
      <c r="B240" s="4"/>
      <c r="C240" s="4" t="s">
        <v>25</v>
      </c>
      <c r="D240" s="5">
        <v>45870</v>
      </c>
      <c r="E240" s="4">
        <v>1800011334</v>
      </c>
      <c r="F240" s="4" t="s">
        <v>23</v>
      </c>
      <c r="G240" s="5">
        <v>45870</v>
      </c>
      <c r="H240" s="5">
        <v>45870</v>
      </c>
      <c r="I240" s="4"/>
      <c r="J240" s="4" t="s">
        <v>19</v>
      </c>
      <c r="K240" s="4"/>
      <c r="L240" s="4">
        <v>256779416043</v>
      </c>
      <c r="M240" s="4" t="s">
        <v>21</v>
      </c>
      <c r="N240" s="6">
        <v>1800</v>
      </c>
      <c r="O240" s="6" t="s">
        <v>26</v>
      </c>
      <c r="P240" s="6">
        <f>R240/0.9</f>
        <v>806.66666666666663</v>
      </c>
      <c r="Q240" s="14">
        <f>P240*0.1</f>
        <v>80.666666666666671</v>
      </c>
      <c r="R240" s="8">
        <v>726</v>
      </c>
      <c r="S240" s="7" t="s">
        <v>24</v>
      </c>
    </row>
    <row r="241" spans="1:20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0" t="s">
        <v>15</v>
      </c>
      <c r="M241" s="9" t="s">
        <v>21</v>
      </c>
      <c r="N241" s="11">
        <f>SUM(N232:N240)</f>
        <v>3069.71</v>
      </c>
      <c r="O241" s="11"/>
      <c r="P241" s="11"/>
      <c r="Q241" s="9"/>
      <c r="R241" s="11">
        <f>SUM(R232:R240)</f>
        <v>79.063265306132962</v>
      </c>
      <c r="S241" s="9" t="s">
        <v>30</v>
      </c>
    </row>
    <row r="243" spans="1:20" ht="52.8" x14ac:dyDescent="0.25">
      <c r="A243" s="1" t="s">
        <v>0</v>
      </c>
      <c r="B243" s="1" t="s">
        <v>1</v>
      </c>
      <c r="C243" s="1" t="s">
        <v>2</v>
      </c>
      <c r="D243" s="1" t="s">
        <v>3</v>
      </c>
      <c r="E243" s="1" t="s">
        <v>4</v>
      </c>
      <c r="F243" s="2" t="s">
        <v>5</v>
      </c>
      <c r="G243" s="1" t="s">
        <v>6</v>
      </c>
      <c r="H243" s="1" t="s">
        <v>7</v>
      </c>
      <c r="I243" s="1" t="s">
        <v>8</v>
      </c>
      <c r="J243" s="1" t="s">
        <v>9</v>
      </c>
      <c r="K243" s="1" t="s">
        <v>10</v>
      </c>
      <c r="L243" s="1" t="s">
        <v>11</v>
      </c>
      <c r="M243" s="2" t="s">
        <v>12</v>
      </c>
      <c r="N243" s="2" t="s">
        <v>13</v>
      </c>
      <c r="O243" s="2" t="s">
        <v>28</v>
      </c>
      <c r="P243" s="2" t="s">
        <v>27</v>
      </c>
      <c r="Q243" s="2" t="s">
        <v>14</v>
      </c>
      <c r="R243" s="2" t="s">
        <v>15</v>
      </c>
      <c r="S243" s="2" t="s">
        <v>16</v>
      </c>
    </row>
    <row r="244" spans="1:20" x14ac:dyDescent="0.25">
      <c r="A244" s="4" t="s">
        <v>17</v>
      </c>
      <c r="B244" s="4"/>
      <c r="C244" s="4" t="s">
        <v>25</v>
      </c>
      <c r="D244" s="5">
        <v>46041</v>
      </c>
      <c r="E244" s="4">
        <v>1400002489</v>
      </c>
      <c r="F244" s="4" t="s">
        <v>18</v>
      </c>
      <c r="G244" s="5">
        <v>46041</v>
      </c>
      <c r="H244" s="5">
        <v>46041</v>
      </c>
      <c r="I244" s="4"/>
      <c r="J244" s="4" t="s">
        <v>19</v>
      </c>
      <c r="K244" s="4"/>
      <c r="L244" s="4" t="s">
        <v>20</v>
      </c>
      <c r="O244" s="3" t="s">
        <v>26</v>
      </c>
      <c r="P244" s="12">
        <v>-150000</v>
      </c>
      <c r="Q244" s="4"/>
      <c r="R244" s="8">
        <f>P244-Q244</f>
        <v>-150000</v>
      </c>
      <c r="S244" s="7" t="s">
        <v>22</v>
      </c>
    </row>
    <row r="245" spans="1:20" x14ac:dyDescent="0.25">
      <c r="A245" s="4" t="s">
        <v>17</v>
      </c>
      <c r="B245" s="4"/>
      <c r="C245" s="4" t="s">
        <v>25</v>
      </c>
      <c r="D245" s="5">
        <v>45870</v>
      </c>
      <c r="E245" s="4">
        <v>1800011334</v>
      </c>
      <c r="F245" s="4" t="s">
        <v>23</v>
      </c>
      <c r="G245" s="5">
        <v>45870</v>
      </c>
      <c r="H245" s="5">
        <v>45870</v>
      </c>
      <c r="I245" s="4"/>
      <c r="J245" s="4" t="s">
        <v>19</v>
      </c>
      <c r="K245" s="4"/>
      <c r="L245" s="4">
        <v>256779416043</v>
      </c>
      <c r="M245" s="4" t="s">
        <v>21</v>
      </c>
      <c r="N245" s="6">
        <v>1800</v>
      </c>
      <c r="O245" s="6" t="s">
        <v>26</v>
      </c>
      <c r="P245" s="6">
        <f>T245-P240</f>
        <v>154047.55333333334</v>
      </c>
      <c r="Q245" s="14">
        <v>15404.777777777779</v>
      </c>
      <c r="R245" s="8">
        <f>P245-Q245</f>
        <v>138642.77555555556</v>
      </c>
      <c r="S245" s="7" t="s">
        <v>24</v>
      </c>
      <c r="T245" s="3">
        <v>154854.22</v>
      </c>
    </row>
    <row r="246" spans="1:20" x14ac:dyDescent="0.25">
      <c r="A246" s="4" t="s">
        <v>17</v>
      </c>
      <c r="B246" s="4"/>
      <c r="C246" s="4" t="s">
        <v>25</v>
      </c>
      <c r="D246" s="5">
        <v>45877</v>
      </c>
      <c r="E246" s="4">
        <v>1800011605</v>
      </c>
      <c r="F246" s="4" t="s">
        <v>23</v>
      </c>
      <c r="G246" s="5">
        <v>45877</v>
      </c>
      <c r="H246" s="5">
        <v>45877</v>
      </c>
      <c r="I246" s="4"/>
      <c r="J246" s="4" t="s">
        <v>19</v>
      </c>
      <c r="K246" s="4"/>
      <c r="L246" s="4">
        <v>256779416455</v>
      </c>
      <c r="M246" s="4" t="s">
        <v>21</v>
      </c>
      <c r="N246" s="6">
        <v>13.71</v>
      </c>
      <c r="O246" s="6" t="s">
        <v>26</v>
      </c>
      <c r="P246" s="6">
        <v>1179.47</v>
      </c>
      <c r="Q246" s="14">
        <v>24</v>
      </c>
      <c r="R246" s="8">
        <f>P246-Q246</f>
        <v>1155.47</v>
      </c>
      <c r="S246" s="7" t="s">
        <v>24</v>
      </c>
    </row>
    <row r="247" spans="1:20" x14ac:dyDescent="0.25">
      <c r="A247" s="4" t="s">
        <v>17</v>
      </c>
      <c r="B247" s="4"/>
      <c r="C247" s="4" t="s">
        <v>25</v>
      </c>
      <c r="D247" s="5">
        <v>45877</v>
      </c>
      <c r="E247" s="4">
        <v>1800011711</v>
      </c>
      <c r="F247" s="4" t="s">
        <v>23</v>
      </c>
      <c r="G247" s="5">
        <v>45877</v>
      </c>
      <c r="H247" s="5">
        <v>45877</v>
      </c>
      <c r="I247" s="4"/>
      <c r="J247" s="4" t="s">
        <v>19</v>
      </c>
      <c r="K247" s="4"/>
      <c r="L247" s="4">
        <v>256779416229</v>
      </c>
      <c r="M247" s="4" t="s">
        <v>21</v>
      </c>
      <c r="N247" s="6">
        <v>22.7</v>
      </c>
      <c r="O247" s="6" t="s">
        <v>26</v>
      </c>
      <c r="P247" s="6">
        <v>1952.88</v>
      </c>
      <c r="Q247" s="14">
        <v>39</v>
      </c>
      <c r="R247" s="8">
        <f t="shared" ref="R247:R249" si="12">P247-Q247</f>
        <v>1913.88</v>
      </c>
      <c r="S247" s="7" t="s">
        <v>24</v>
      </c>
    </row>
    <row r="248" spans="1:20" x14ac:dyDescent="0.25">
      <c r="A248" s="4" t="s">
        <v>17</v>
      </c>
      <c r="B248" s="4"/>
      <c r="C248" s="4" t="s">
        <v>25</v>
      </c>
      <c r="D248" s="5">
        <v>45877</v>
      </c>
      <c r="E248" s="4">
        <v>1800011834</v>
      </c>
      <c r="F248" s="4" t="s">
        <v>23</v>
      </c>
      <c r="G248" s="5">
        <v>45877</v>
      </c>
      <c r="H248" s="5">
        <v>45877</v>
      </c>
      <c r="I248" s="4"/>
      <c r="J248" s="4" t="s">
        <v>19</v>
      </c>
      <c r="K248" s="4"/>
      <c r="L248" s="4">
        <v>256779416143</v>
      </c>
      <c r="M248" s="4" t="s">
        <v>21</v>
      </c>
      <c r="N248" s="6">
        <v>26.27</v>
      </c>
      <c r="O248" s="6" t="s">
        <v>26</v>
      </c>
      <c r="P248" s="6">
        <v>2260.0100000000002</v>
      </c>
      <c r="Q248" s="14">
        <v>45</v>
      </c>
      <c r="R248" s="8">
        <f t="shared" si="12"/>
        <v>2215.0100000000002</v>
      </c>
      <c r="S248" s="7" t="s">
        <v>24</v>
      </c>
    </row>
    <row r="249" spans="1:20" x14ac:dyDescent="0.25">
      <c r="A249" s="4" t="s">
        <v>17</v>
      </c>
      <c r="B249" s="4"/>
      <c r="C249" s="4" t="s">
        <v>25</v>
      </c>
      <c r="D249" s="5">
        <v>45877</v>
      </c>
      <c r="E249" s="4">
        <v>1800011866</v>
      </c>
      <c r="F249" s="4" t="s">
        <v>23</v>
      </c>
      <c r="G249" s="5">
        <v>45877</v>
      </c>
      <c r="H249" s="5">
        <v>45877</v>
      </c>
      <c r="I249" s="4"/>
      <c r="J249" s="4" t="s">
        <v>19</v>
      </c>
      <c r="K249" s="4"/>
      <c r="L249" s="4">
        <v>256779416517</v>
      </c>
      <c r="M249" s="4" t="s">
        <v>21</v>
      </c>
      <c r="N249" s="6">
        <v>56.33</v>
      </c>
      <c r="O249" s="6" t="s">
        <v>26</v>
      </c>
      <c r="P249" s="6">
        <v>4846.08</v>
      </c>
      <c r="Q249" s="14">
        <v>97</v>
      </c>
      <c r="R249" s="8">
        <f t="shared" si="12"/>
        <v>4749.08</v>
      </c>
      <c r="S249" s="7" t="s">
        <v>24</v>
      </c>
    </row>
    <row r="250" spans="1:20" x14ac:dyDescent="0.25">
      <c r="A250" s="4" t="s">
        <v>17</v>
      </c>
      <c r="B250" s="4"/>
      <c r="C250" s="4" t="s">
        <v>25</v>
      </c>
      <c r="D250" s="5">
        <v>45877</v>
      </c>
      <c r="E250" s="4">
        <v>1800011792</v>
      </c>
      <c r="F250" s="4" t="s">
        <v>23</v>
      </c>
      <c r="G250" s="5">
        <v>45877</v>
      </c>
      <c r="H250" s="5">
        <v>45877</v>
      </c>
      <c r="I250" s="4"/>
      <c r="J250" s="4" t="s">
        <v>19</v>
      </c>
      <c r="K250" s="4"/>
      <c r="L250" s="4">
        <v>256779416183</v>
      </c>
      <c r="M250" s="4" t="s">
        <v>21</v>
      </c>
      <c r="N250" s="6">
        <v>102.33</v>
      </c>
      <c r="O250" s="6" t="s">
        <v>26</v>
      </c>
      <c r="P250" s="6">
        <f>R250/0.98</f>
        <v>1351.0204081632653</v>
      </c>
      <c r="Q250" s="14">
        <f>P250*0.02</f>
        <v>27.020408163265305</v>
      </c>
      <c r="R250" s="8">
        <v>1324</v>
      </c>
      <c r="S250" s="7" t="s">
        <v>24</v>
      </c>
    </row>
    <row r="251" spans="1:20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0" t="s">
        <v>15</v>
      </c>
      <c r="M251" s="9" t="s">
        <v>21</v>
      </c>
      <c r="N251" s="11">
        <f>SUM(N245:N250)</f>
        <v>2021.34</v>
      </c>
      <c r="O251" s="11"/>
      <c r="P251" s="11"/>
      <c r="Q251" s="9"/>
      <c r="R251" s="11">
        <f>SUM(R244:R250)</f>
        <v>0.21555555556187755</v>
      </c>
      <c r="S251" s="9" t="s">
        <v>30</v>
      </c>
    </row>
    <row r="254" spans="1:20" ht="52.8" x14ac:dyDescent="0.25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</v>
      </c>
      <c r="F254" s="2" t="s">
        <v>5</v>
      </c>
      <c r="G254" s="1" t="s">
        <v>6</v>
      </c>
      <c r="H254" s="1" t="s">
        <v>7</v>
      </c>
      <c r="I254" s="1" t="s">
        <v>8</v>
      </c>
      <c r="J254" s="1" t="s">
        <v>9</v>
      </c>
      <c r="K254" s="1" t="s">
        <v>10</v>
      </c>
      <c r="L254" s="1" t="s">
        <v>11</v>
      </c>
      <c r="M254" s="2" t="s">
        <v>12</v>
      </c>
      <c r="N254" s="2" t="s">
        <v>13</v>
      </c>
      <c r="O254" s="2" t="s">
        <v>28</v>
      </c>
      <c r="P254" s="2" t="s">
        <v>27</v>
      </c>
      <c r="Q254" s="2" t="s">
        <v>14</v>
      </c>
      <c r="R254" s="2" t="s">
        <v>15</v>
      </c>
      <c r="S254" s="2" t="s">
        <v>16</v>
      </c>
    </row>
    <row r="255" spans="1:20" x14ac:dyDescent="0.25">
      <c r="A255" s="4" t="s">
        <v>17</v>
      </c>
      <c r="B255" s="4"/>
      <c r="C255" s="4" t="s">
        <v>25</v>
      </c>
      <c r="D255" s="5">
        <v>46045</v>
      </c>
      <c r="E255" s="4">
        <v>1400002521</v>
      </c>
      <c r="F255" s="4" t="s">
        <v>18</v>
      </c>
      <c r="G255" s="5">
        <v>46045</v>
      </c>
      <c r="H255" s="5">
        <v>46045</v>
      </c>
      <c r="I255" s="4"/>
      <c r="J255" s="4" t="s">
        <v>19</v>
      </c>
      <c r="K255" s="4"/>
      <c r="L255" s="4" t="s">
        <v>20</v>
      </c>
      <c r="O255" s="3" t="s">
        <v>26</v>
      </c>
      <c r="P255" s="12">
        <v>-150000</v>
      </c>
      <c r="Q255" s="4"/>
      <c r="R255" s="8">
        <f>P255-Q255</f>
        <v>-150000</v>
      </c>
      <c r="S255" s="7" t="s">
        <v>22</v>
      </c>
    </row>
    <row r="256" spans="1:20" x14ac:dyDescent="0.25">
      <c r="A256" s="4" t="s">
        <v>17</v>
      </c>
      <c r="B256" s="4"/>
      <c r="C256" s="4" t="s">
        <v>25</v>
      </c>
      <c r="D256" s="5">
        <v>45877</v>
      </c>
      <c r="E256" s="4">
        <v>1800011792</v>
      </c>
      <c r="F256" s="4" t="s">
        <v>23</v>
      </c>
      <c r="G256" s="5">
        <v>45877</v>
      </c>
      <c r="H256" s="5">
        <v>45877</v>
      </c>
      <c r="I256" s="4"/>
      <c r="J256" s="4" t="s">
        <v>19</v>
      </c>
      <c r="K256" s="4"/>
      <c r="L256" s="4">
        <v>256779416183</v>
      </c>
      <c r="M256" s="4" t="s">
        <v>21</v>
      </c>
      <c r="N256" s="6">
        <v>102.33</v>
      </c>
      <c r="O256" s="6" t="s">
        <v>26</v>
      </c>
      <c r="P256" s="6">
        <f>T256-P250</f>
        <v>7452.4395918367336</v>
      </c>
      <c r="Q256" s="14">
        <v>149.04081632653063</v>
      </c>
      <c r="R256" s="8">
        <f>P256-Q256</f>
        <v>7303.3987755102025</v>
      </c>
      <c r="S256" s="7" t="s">
        <v>24</v>
      </c>
      <c r="T256" s="3">
        <v>8803.4599999999991</v>
      </c>
    </row>
    <row r="257" spans="1:19" x14ac:dyDescent="0.25">
      <c r="A257" s="4" t="s">
        <v>17</v>
      </c>
      <c r="B257" s="4"/>
      <c r="C257" s="4" t="s">
        <v>25</v>
      </c>
      <c r="D257" s="5">
        <v>45877</v>
      </c>
      <c r="E257" s="4">
        <v>1800011597</v>
      </c>
      <c r="F257" s="4" t="s">
        <v>23</v>
      </c>
      <c r="G257" s="5">
        <v>45877</v>
      </c>
      <c r="H257" s="5">
        <v>45877</v>
      </c>
      <c r="I257" s="4"/>
      <c r="J257" s="4" t="s">
        <v>19</v>
      </c>
      <c r="K257" s="4"/>
      <c r="L257" s="4">
        <v>256779416447</v>
      </c>
      <c r="M257" s="4" t="s">
        <v>21</v>
      </c>
      <c r="N257" s="6">
        <v>358.32</v>
      </c>
      <c r="O257" s="6" t="s">
        <v>26</v>
      </c>
      <c r="P257" s="6">
        <v>30826.31</v>
      </c>
      <c r="Q257" s="14">
        <v>617</v>
      </c>
      <c r="R257" s="8">
        <f>P257-Q257</f>
        <v>30209.31</v>
      </c>
      <c r="S257" s="7" t="s">
        <v>24</v>
      </c>
    </row>
    <row r="258" spans="1:19" x14ac:dyDescent="0.25">
      <c r="A258" s="4" t="s">
        <v>17</v>
      </c>
      <c r="B258" s="4"/>
      <c r="C258" s="4" t="s">
        <v>25</v>
      </c>
      <c r="D258" s="5">
        <v>45877</v>
      </c>
      <c r="E258" s="4">
        <v>1800011650</v>
      </c>
      <c r="F258" s="4" t="s">
        <v>23</v>
      </c>
      <c r="G258" s="5">
        <v>45877</v>
      </c>
      <c r="H258" s="5">
        <v>45877</v>
      </c>
      <c r="I258" s="4"/>
      <c r="J258" s="4" t="s">
        <v>19</v>
      </c>
      <c r="K258" s="4"/>
      <c r="L258" s="4">
        <v>256779416081</v>
      </c>
      <c r="M258" s="4" t="s">
        <v>21</v>
      </c>
      <c r="N258" s="6">
        <v>1267.5</v>
      </c>
      <c r="O258" s="6" t="s">
        <v>26</v>
      </c>
      <c r="P258" s="6">
        <v>109043.18</v>
      </c>
      <c r="Q258" s="14">
        <v>10904</v>
      </c>
      <c r="R258" s="8">
        <f t="shared" ref="R258:R262" si="13">P258-Q258</f>
        <v>98139.18</v>
      </c>
      <c r="S258" s="7" t="s">
        <v>24</v>
      </c>
    </row>
    <row r="259" spans="1:19" x14ac:dyDescent="0.25">
      <c r="A259" s="4" t="s">
        <v>17</v>
      </c>
      <c r="B259" s="4"/>
      <c r="C259" s="4" t="s">
        <v>25</v>
      </c>
      <c r="D259" s="5">
        <v>45889</v>
      </c>
      <c r="E259" s="4">
        <v>1800012252</v>
      </c>
      <c r="F259" s="4" t="s">
        <v>23</v>
      </c>
      <c r="G259" s="5">
        <v>45889</v>
      </c>
      <c r="H259" s="5">
        <v>45889</v>
      </c>
      <c r="I259" s="4"/>
      <c r="J259" s="4" t="s">
        <v>19</v>
      </c>
      <c r="K259" s="4"/>
      <c r="L259" s="4">
        <v>256779416848</v>
      </c>
      <c r="M259" s="4" t="s">
        <v>21</v>
      </c>
      <c r="N259" s="6">
        <v>17.75</v>
      </c>
      <c r="O259" s="6" t="s">
        <v>26</v>
      </c>
      <c r="P259" s="6">
        <v>1527.03</v>
      </c>
      <c r="Q259" s="14">
        <v>31</v>
      </c>
      <c r="R259" s="8">
        <f t="shared" si="13"/>
        <v>1496.03</v>
      </c>
      <c r="S259" s="7" t="s">
        <v>24</v>
      </c>
    </row>
    <row r="260" spans="1:19" x14ac:dyDescent="0.25">
      <c r="A260" s="4" t="s">
        <v>17</v>
      </c>
      <c r="B260" s="4"/>
      <c r="C260" s="4" t="s">
        <v>25</v>
      </c>
      <c r="D260" s="5">
        <v>45889</v>
      </c>
      <c r="E260" s="4">
        <v>1800012221</v>
      </c>
      <c r="F260" s="4" t="s">
        <v>23</v>
      </c>
      <c r="G260" s="5">
        <v>45889</v>
      </c>
      <c r="H260" s="5">
        <v>45889</v>
      </c>
      <c r="I260" s="4"/>
      <c r="J260" s="4" t="s">
        <v>19</v>
      </c>
      <c r="K260" s="4"/>
      <c r="L260" s="4">
        <v>256779416883</v>
      </c>
      <c r="M260" s="4" t="s">
        <v>21</v>
      </c>
      <c r="N260" s="6">
        <v>50.05</v>
      </c>
      <c r="O260" s="6" t="s">
        <v>26</v>
      </c>
      <c r="P260" s="6">
        <v>4305.8100000000004</v>
      </c>
      <c r="Q260" s="14">
        <v>86</v>
      </c>
      <c r="R260" s="8">
        <f t="shared" si="13"/>
        <v>4219.8100000000004</v>
      </c>
      <c r="S260" s="7" t="s">
        <v>24</v>
      </c>
    </row>
    <row r="261" spans="1:19" x14ac:dyDescent="0.25">
      <c r="A261" s="4" t="s">
        <v>17</v>
      </c>
      <c r="B261" s="4"/>
      <c r="C261" s="4" t="s">
        <v>25</v>
      </c>
      <c r="D261" s="5">
        <v>45904</v>
      </c>
      <c r="E261" s="4">
        <v>1800012690</v>
      </c>
      <c r="F261" s="4" t="s">
        <v>23</v>
      </c>
      <c r="G261" s="5">
        <v>45904</v>
      </c>
      <c r="H261" s="5">
        <v>45904</v>
      </c>
      <c r="I261" s="4"/>
      <c r="J261" s="4" t="s">
        <v>19</v>
      </c>
      <c r="K261" s="4"/>
      <c r="L261" s="4">
        <v>256779417330</v>
      </c>
      <c r="M261" s="4" t="s">
        <v>21</v>
      </c>
      <c r="N261" s="6">
        <v>13.52</v>
      </c>
      <c r="O261" s="6" t="s">
        <v>26</v>
      </c>
      <c r="P261" s="6">
        <v>1183.19</v>
      </c>
      <c r="Q261" s="14">
        <v>24</v>
      </c>
      <c r="R261" s="8">
        <f t="shared" si="13"/>
        <v>1159.19</v>
      </c>
      <c r="S261" s="7" t="s">
        <v>24</v>
      </c>
    </row>
    <row r="262" spans="1:19" x14ac:dyDescent="0.25">
      <c r="A262" s="4" t="s">
        <v>17</v>
      </c>
      <c r="B262" s="4"/>
      <c r="C262" s="4" t="s">
        <v>25</v>
      </c>
      <c r="D262" s="5">
        <v>45904</v>
      </c>
      <c r="E262" s="4">
        <v>1800012463</v>
      </c>
      <c r="F262" s="4" t="s">
        <v>23</v>
      </c>
      <c r="G262" s="5">
        <v>45904</v>
      </c>
      <c r="H262" s="5">
        <v>45904</v>
      </c>
      <c r="I262" s="4"/>
      <c r="J262" s="4" t="s">
        <v>19</v>
      </c>
      <c r="K262" s="4"/>
      <c r="L262" s="4">
        <v>256779417163</v>
      </c>
      <c r="M262" s="4" t="s">
        <v>21</v>
      </c>
      <c r="N262" s="6">
        <v>75.13</v>
      </c>
      <c r="O262" s="6" t="s">
        <v>26</v>
      </c>
      <c r="P262" s="6">
        <v>6574.95</v>
      </c>
      <c r="Q262" s="14">
        <v>131</v>
      </c>
      <c r="R262" s="8">
        <f t="shared" si="13"/>
        <v>6443.95</v>
      </c>
      <c r="S262" s="7" t="s">
        <v>24</v>
      </c>
    </row>
    <row r="263" spans="1:19" x14ac:dyDescent="0.25">
      <c r="A263" s="4" t="s">
        <v>17</v>
      </c>
      <c r="B263" s="4"/>
      <c r="C263" s="4" t="s">
        <v>25</v>
      </c>
      <c r="D263" s="5">
        <v>45904</v>
      </c>
      <c r="E263" s="4">
        <v>1800012589</v>
      </c>
      <c r="F263" s="4" t="s">
        <v>23</v>
      </c>
      <c r="G263" s="5">
        <v>45904</v>
      </c>
      <c r="H263" s="5">
        <v>45904</v>
      </c>
      <c r="I263" s="4"/>
      <c r="J263" s="4" t="s">
        <v>19</v>
      </c>
      <c r="K263" s="4"/>
      <c r="L263" s="4">
        <v>256779417247</v>
      </c>
      <c r="M263" s="4" t="s">
        <v>21</v>
      </c>
      <c r="N263" s="6">
        <v>108.12</v>
      </c>
      <c r="O263" s="6" t="s">
        <v>26</v>
      </c>
      <c r="P263" s="6">
        <f>R263/0.98</f>
        <v>1051.0204081632653</v>
      </c>
      <c r="Q263" s="14">
        <f>P263*0.02</f>
        <v>21.020408163265305</v>
      </c>
      <c r="R263" s="8">
        <v>1030</v>
      </c>
      <c r="S263" s="7" t="s">
        <v>24</v>
      </c>
    </row>
    <row r="264" spans="1:19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0" t="s">
        <v>15</v>
      </c>
      <c r="M264" s="9" t="s">
        <v>21</v>
      </c>
      <c r="N264" s="11">
        <f>SUM(N256:N263)</f>
        <v>1992.7199999999998</v>
      </c>
      <c r="O264" s="11"/>
      <c r="P264" s="11"/>
      <c r="Q264" s="9"/>
      <c r="R264" s="11">
        <f>SUM(R255:R263)</f>
        <v>0.86877551019006205</v>
      </c>
      <c r="S264" s="9" t="s">
        <v>30</v>
      </c>
    </row>
  </sheetData>
  <autoFilter ref="A1:S277" xr:uid="{9A64DEA2-5E90-4A7E-AC04-18C4F62A05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karan.vakharia</cp:lastModifiedBy>
  <dcterms:created xsi:type="dcterms:W3CDTF">2026-01-19T10:42:57Z</dcterms:created>
  <dcterms:modified xsi:type="dcterms:W3CDTF">2026-03-24T07:31:28Z</dcterms:modified>
</cp:coreProperties>
</file>