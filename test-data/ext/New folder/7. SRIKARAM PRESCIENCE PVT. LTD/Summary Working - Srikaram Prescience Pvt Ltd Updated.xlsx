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Server\2. Tax &amp; Assurance\Capital Land\7. SRIKARAM PRESCIENCE PVT. LTD\"/>
    </mc:Choice>
  </mc:AlternateContent>
  <xr:revisionPtr revIDLastSave="0" documentId="13_ncr:1_{7EB7D57F-0815-4160-A906-3DC3C2C530A8}" xr6:coauthVersionLast="47" xr6:coauthVersionMax="47" xr10:uidLastSave="{00000000-0000-0000-0000-000000000000}"/>
  <bookViews>
    <workbookView xWindow="-110" yWindow="-110" windowWidth="21820" windowHeight="14020" tabRatio="964" firstSheet="1" activeTab="1" xr2:uid="{00000000-000D-0000-FFFF-FFFF00000000}"/>
  </bookViews>
  <sheets>
    <sheet name="Pivot-Srikaram" sheetId="9" state="hidden" r:id="rId1"/>
    <sheet name="Summary" sheetId="18" r:id="rId2"/>
    <sheet name="Pending Invoices Booked" sheetId="24" r:id="rId3"/>
    <sheet name="Updated CustomerLedger" sheetId="23" r:id="rId4"/>
    <sheet name="New CN Issued By CL Team " sheetId="22" r:id="rId5"/>
    <sheet name="Biling Reco" sheetId="13" r:id="rId6"/>
    <sheet name="26AS Reco" sheetId="12" state="hidden" r:id="rId7"/>
    <sheet name="Payment Reco" sheetId="11" r:id="rId8"/>
    <sheet name="TDS not in our Books" sheetId="21" r:id="rId9"/>
    <sheet name="CN not in customer books" sheetId="20" r:id="rId10"/>
    <sheet name="Invoices not in customer books" sheetId="19" r:id="rId11"/>
    <sheet name="SRIKARAM BOOKS" sheetId="4" r:id="rId12"/>
    <sheet name="Ascendus Sales Ledger" sheetId="1" r:id="rId13"/>
    <sheet name="Srikaram summary" sheetId="10" r:id="rId14"/>
    <sheet name="Pivot Ascendus" sheetId="14" state="hidden" r:id="rId15"/>
    <sheet name="Sheet15" sheetId="15" state="hidden" r:id="rId16"/>
    <sheet name="ASCENDUS WORKING" sheetId="16" state="hidden" r:id="rId17"/>
    <sheet name="Customer Billing" sheetId="17" state="hidden" r:id="rId18"/>
  </sheets>
  <definedNames>
    <definedName name="_xlnm._FilterDatabase" localSheetId="12" hidden="1">'Ascendus Sales Ledger'!$A$1:$S$251</definedName>
    <definedName name="_xlnm._FilterDatabase" localSheetId="16" hidden="1">'ASCENDUS WORKING'!$A$1:$C$211</definedName>
    <definedName name="_xlnm._FilterDatabase" localSheetId="7" hidden="1">'Payment Reco'!$A$4:$C$4</definedName>
    <definedName name="_xlnm._FilterDatabase" localSheetId="2" hidden="1">'Pending Invoices Booked'!$A$1:$P$42</definedName>
    <definedName name="_xlnm._FilterDatabase" localSheetId="15" hidden="1">Sheet15!$A$1:$D$29</definedName>
    <definedName name="_xlnm._FilterDatabase" localSheetId="11" hidden="1">'SRIKARAM BOOKS'!$A$2:$P$1084</definedName>
    <definedName name="_xlnm._FilterDatabase" localSheetId="3" hidden="1">'Updated CustomerLedger'!$A$1:$C$190</definedName>
  </definedNames>
  <calcPr calcId="191029"/>
  <pivotCaches>
    <pivotCache cacheId="11" r:id="rId19"/>
    <pivotCache cacheId="12" r:id="rId20"/>
    <pivotCache cacheId="13" r:id="rId21"/>
    <pivotCache cacheId="14" r:id="rId2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2" i="24" l="1"/>
  <c r="P29" i="24"/>
  <c r="P26" i="24"/>
  <c r="P25" i="24"/>
  <c r="P22" i="24"/>
  <c r="P21" i="24"/>
  <c r="P20" i="24"/>
  <c r="P19" i="24"/>
  <c r="P18" i="24"/>
  <c r="P17" i="24"/>
  <c r="P16" i="24"/>
  <c r="P15" i="24"/>
  <c r="P14" i="24"/>
  <c r="P13" i="24"/>
  <c r="P11" i="24"/>
  <c r="P10" i="24"/>
  <c r="P9" i="24"/>
  <c r="P8" i="24"/>
  <c r="P7" i="24"/>
  <c r="P6" i="24"/>
  <c r="P5" i="24"/>
  <c r="P4" i="24"/>
  <c r="P3" i="24"/>
  <c r="P2" i="24"/>
  <c r="O35" i="24"/>
  <c r="P35" i="24" s="1"/>
  <c r="O34" i="24"/>
  <c r="P34" i="24" s="1"/>
  <c r="O33" i="24"/>
  <c r="P33" i="24" s="1"/>
  <c r="O31" i="24"/>
  <c r="P31" i="24" s="1"/>
  <c r="O22" i="24"/>
  <c r="O21" i="24"/>
  <c r="N42" i="24"/>
  <c r="O42" i="24" s="1"/>
  <c r="P42" i="24" s="1"/>
  <c r="N41" i="24"/>
  <c r="O41" i="24" s="1"/>
  <c r="P41" i="24" s="1"/>
  <c r="N40" i="24"/>
  <c r="O40" i="24" s="1"/>
  <c r="P40" i="24" s="1"/>
  <c r="N39" i="24"/>
  <c r="O39" i="24" s="1"/>
  <c r="P39" i="24" s="1"/>
  <c r="N38" i="24"/>
  <c r="O38" i="24" s="1"/>
  <c r="P38" i="24" s="1"/>
  <c r="N37" i="24"/>
  <c r="O37" i="24" s="1"/>
  <c r="P37" i="24" s="1"/>
  <c r="N36" i="24"/>
  <c r="O36" i="24" s="1"/>
  <c r="P36" i="24" s="1"/>
  <c r="N35" i="24"/>
  <c r="N34" i="24"/>
  <c r="N33" i="24"/>
  <c r="N32" i="24"/>
  <c r="O32" i="24" s="1"/>
  <c r="N31" i="24"/>
  <c r="N30" i="24"/>
  <c r="O30" i="24" s="1"/>
  <c r="P30" i="24" s="1"/>
  <c r="N29" i="24"/>
  <c r="N28" i="24"/>
  <c r="O28" i="24" s="1"/>
  <c r="P28" i="24" s="1"/>
  <c r="N27" i="24"/>
  <c r="O27" i="24" s="1"/>
  <c r="P27" i="24" s="1"/>
  <c r="N26" i="24"/>
  <c r="N25" i="24"/>
  <c r="N24" i="24"/>
  <c r="O24" i="24" s="1"/>
  <c r="P24" i="24" s="1"/>
  <c r="N23" i="24"/>
  <c r="O23" i="24" s="1"/>
  <c r="P23" i="24" s="1"/>
  <c r="N22" i="24"/>
  <c r="N21" i="24"/>
  <c r="N20" i="24"/>
  <c r="N19" i="24"/>
  <c r="N18" i="24"/>
  <c r="N17" i="24"/>
  <c r="N16" i="24"/>
  <c r="N15" i="24"/>
  <c r="N14" i="24"/>
  <c r="N13" i="24"/>
  <c r="N12" i="24"/>
  <c r="O12" i="24" s="1"/>
  <c r="P12" i="24" s="1"/>
  <c r="N11" i="24"/>
  <c r="N10" i="24"/>
  <c r="N9" i="24"/>
  <c r="N8" i="24"/>
  <c r="N7" i="24"/>
  <c r="N6" i="24"/>
  <c r="N5" i="24"/>
  <c r="N4" i="24"/>
  <c r="N3" i="24"/>
  <c r="N2" i="24"/>
  <c r="B7" i="18"/>
  <c r="U7" i="22"/>
  <c r="K13" i="20"/>
  <c r="B6" i="18" l="1"/>
  <c r="B10" i="18" l="1"/>
  <c r="N10" i="20"/>
  <c r="N9" i="20"/>
  <c r="N8" i="20"/>
  <c r="N7" i="20"/>
  <c r="N6" i="20"/>
  <c r="N5" i="20"/>
  <c r="N4" i="20"/>
  <c r="N3" i="20"/>
  <c r="N2" i="20"/>
  <c r="B4" i="18"/>
  <c r="B11" i="18"/>
  <c r="K11" i="20"/>
  <c r="K34" i="19"/>
  <c r="G5" i="11"/>
  <c r="D22" i="13"/>
  <c r="B13" i="18" l="1"/>
  <c r="M22" i="13" l="1"/>
  <c r="M21" i="13"/>
  <c r="M20" i="13"/>
  <c r="M19" i="13"/>
  <c r="M18" i="13"/>
  <c r="M17" i="13"/>
  <c r="M16" i="13"/>
  <c r="M15" i="13"/>
  <c r="M14" i="13"/>
  <c r="M13" i="13"/>
  <c r="M12" i="13"/>
  <c r="M11" i="13"/>
  <c r="M10" i="13"/>
  <c r="M9" i="13"/>
  <c r="M8" i="13"/>
  <c r="M7" i="13"/>
  <c r="M6" i="13"/>
  <c r="M5" i="13"/>
  <c r="M4" i="13"/>
  <c r="K22" i="13"/>
  <c r="E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K4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G33" i="11" l="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G8" i="11"/>
  <c r="G7" i="11"/>
  <c r="G6" i="11"/>
  <c r="S16" i="11"/>
  <c r="S15" i="11"/>
  <c r="S14" i="11"/>
  <c r="S13" i="11"/>
  <c r="S12" i="11"/>
  <c r="S11" i="11"/>
  <c r="S10" i="11"/>
  <c r="S9" i="11"/>
  <c r="S8" i="11"/>
  <c r="S7" i="11"/>
  <c r="S6" i="11"/>
  <c r="S5" i="11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3" i="4"/>
  <c r="H154" i="4"/>
  <c r="H155" i="4"/>
  <c r="H156" i="4"/>
  <c r="H159" i="4"/>
  <c r="H160" i="4"/>
  <c r="H161" i="4"/>
  <c r="H162" i="4"/>
  <c r="H165" i="4"/>
  <c r="H166" i="4"/>
  <c r="H167" i="4"/>
  <c r="H168" i="4"/>
  <c r="H171" i="4"/>
  <c r="H172" i="4"/>
  <c r="H173" i="4"/>
  <c r="H174" i="4"/>
  <c r="H177" i="4"/>
  <c r="H178" i="4"/>
  <c r="H179" i="4"/>
  <c r="H180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5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6" i="4"/>
  <c r="H607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4" i="4"/>
  <c r="H645" i="4"/>
  <c r="H647" i="4"/>
  <c r="H648" i="4"/>
  <c r="H649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7" i="4"/>
  <c r="H728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5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2" i="4"/>
  <c r="H773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3" i="4"/>
  <c r="H855" i="4"/>
  <c r="H856" i="4"/>
  <c r="H857" i="4"/>
  <c r="H858" i="4"/>
  <c r="H859" i="4"/>
  <c r="H860" i="4"/>
  <c r="H861" i="4"/>
  <c r="H862" i="4"/>
  <c r="H863" i="4"/>
  <c r="H865" i="4"/>
  <c r="H866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3" i="4"/>
  <c r="H925" i="4"/>
  <c r="H926" i="4"/>
  <c r="H927" i="4"/>
  <c r="H928" i="4"/>
  <c r="H929" i="4"/>
  <c r="H930" i="4"/>
  <c r="H931" i="4"/>
  <c r="H932" i="4"/>
  <c r="H933" i="4"/>
  <c r="H935" i="4"/>
  <c r="H936" i="4"/>
  <c r="H938" i="4"/>
  <c r="H939" i="4"/>
  <c r="H940" i="4"/>
  <c r="H941" i="4"/>
  <c r="H943" i="4"/>
  <c r="H944" i="4"/>
  <c r="H946" i="4"/>
  <c r="H947" i="4"/>
  <c r="H948" i="4"/>
  <c r="H949" i="4"/>
  <c r="H951" i="4"/>
  <c r="H952" i="4"/>
  <c r="H954" i="4"/>
  <c r="H955" i="4"/>
  <c r="H956" i="4"/>
  <c r="H957" i="4"/>
  <c r="H958" i="4"/>
  <c r="H959" i="4"/>
  <c r="H960" i="4"/>
  <c r="H961" i="4"/>
  <c r="H962" i="4"/>
  <c r="H964" i="4"/>
  <c r="H966" i="4"/>
  <c r="H967" i="4"/>
  <c r="H968" i="4"/>
  <c r="H969" i="4"/>
  <c r="H970" i="4"/>
  <c r="H971" i="4"/>
  <c r="H972" i="4"/>
  <c r="H973" i="4"/>
  <c r="H974" i="4"/>
  <c r="H976" i="4"/>
  <c r="H977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G1" i="4"/>
  <c r="F1" i="4"/>
  <c r="P1" i="4"/>
  <c r="O1" i="4"/>
  <c r="N1" i="4"/>
  <c r="G34" i="11" l="1"/>
  <c r="S17" i="11"/>
  <c r="H1" i="4"/>
  <c r="L16" i="10" l="1"/>
  <c r="K16" i="10"/>
  <c r="J16" i="10"/>
  <c r="I16" i="10"/>
</calcChain>
</file>

<file path=xl/sharedStrings.xml><?xml version="1.0" encoding="utf-8"?>
<sst xmlns="http://schemas.openxmlformats.org/spreadsheetml/2006/main" count="12980" uniqueCount="795">
  <si>
    <t/>
  </si>
  <si>
    <t>DZ</t>
  </si>
  <si>
    <t>INR</t>
  </si>
  <si>
    <t>100222376</t>
  </si>
  <si>
    <t>212100</t>
  </si>
  <si>
    <t>1400000116</t>
  </si>
  <si>
    <t>1400000887</t>
  </si>
  <si>
    <t>1400000904</t>
  </si>
  <si>
    <t>1400000922</t>
  </si>
  <si>
    <t>1400000941</t>
  </si>
  <si>
    <t>1400000955</t>
  </si>
  <si>
    <t>1400000966</t>
  </si>
  <si>
    <t>1400001257</t>
  </si>
  <si>
    <t>1400001259</t>
  </si>
  <si>
    <t>1400001341</t>
  </si>
  <si>
    <t>1400001345</t>
  </si>
  <si>
    <t>1400001406</t>
  </si>
  <si>
    <t>1400001615</t>
  </si>
  <si>
    <t>1400001658</t>
  </si>
  <si>
    <t>1400001934</t>
  </si>
  <si>
    <t>1400002027</t>
  </si>
  <si>
    <t>1400002099</t>
  </si>
  <si>
    <t>1400002218</t>
  </si>
  <si>
    <t>1400002412</t>
  </si>
  <si>
    <t>1400002418</t>
  </si>
  <si>
    <t>1400002489</t>
  </si>
  <si>
    <t>1400002521</t>
  </si>
  <si>
    <t>1800009980</t>
  </si>
  <si>
    <t>DR</t>
  </si>
  <si>
    <t>VAS 1-15 June 25, Exch 86.10</t>
  </si>
  <si>
    <t>O0</t>
  </si>
  <si>
    <t>1800010505</t>
  </si>
  <si>
    <t>VAS - 16-30 June 25</t>
  </si>
  <si>
    <t>1800011268</t>
  </si>
  <si>
    <t>VAS 16-31 May 25 Ex.85.48</t>
  </si>
  <si>
    <t>1800012690</t>
  </si>
  <si>
    <t>Outbound chgs - 16 - 31 Aug 25</t>
  </si>
  <si>
    <t>1800012932</t>
  </si>
  <si>
    <t>LCL chgs - 01 - 15 SEP 25</t>
  </si>
  <si>
    <t>1800012995</t>
  </si>
  <si>
    <t>Outbound chgs - 01 - 15 Sep 25</t>
  </si>
  <si>
    <t>1800012790</t>
  </si>
  <si>
    <t>VAS -1-15 Sept-25</t>
  </si>
  <si>
    <t>1800013308</t>
  </si>
  <si>
    <t>Empty Lolo Chgs - 01 - 30 SEP 25</t>
  </si>
  <si>
    <t>1800013386</t>
  </si>
  <si>
    <t>Outbound chgs - 16 - 30 Sep 25</t>
  </si>
  <si>
    <t>1800013449</t>
  </si>
  <si>
    <t>Fixed Storage Charges for October 2025</t>
  </si>
  <si>
    <t>1800013278</t>
  </si>
  <si>
    <t>Unit Storage - 1-30 Sept 2025</t>
  </si>
  <si>
    <t>1800013761</t>
  </si>
  <si>
    <t>VAS-16-30 Sept 25</t>
  </si>
  <si>
    <t>1800013513</t>
  </si>
  <si>
    <t>PORT SSR Chgs Sep 25</t>
  </si>
  <si>
    <t>1800014006</t>
  </si>
  <si>
    <t>CODC Inbound chgs - 1-15 Oct 25</t>
  </si>
  <si>
    <t>1800013950</t>
  </si>
  <si>
    <t>Weighment  -1-15 Oct 2025</t>
  </si>
  <si>
    <t>1800013967</t>
  </si>
  <si>
    <t>1800013810</t>
  </si>
  <si>
    <t>Transportation In Chgs - 01 - 15 Oct 25</t>
  </si>
  <si>
    <t>1800013929</t>
  </si>
  <si>
    <t>Outbound chgs - 01 - 15 Oct 25</t>
  </si>
  <si>
    <t>1800014252</t>
  </si>
  <si>
    <t>Fixed Storage Charges for November 2025</t>
  </si>
  <si>
    <t>1800014291</t>
  </si>
  <si>
    <t>WEIGHTMENT-16 -31 Oct 25</t>
  </si>
  <si>
    <t>1800014539</t>
  </si>
  <si>
    <t>Unit Storage - 1-31 Oct 2025</t>
  </si>
  <si>
    <t>1800014705</t>
  </si>
  <si>
    <t>Transportation In Chgs - 16 - 31 Oct 25</t>
  </si>
  <si>
    <t>1800014599</t>
  </si>
  <si>
    <t>Scanning  Chgs - 16 - 31 Oct 25</t>
  </si>
  <si>
    <t>1800014414</t>
  </si>
  <si>
    <t>Transportation In Chgs - 16 - 31 OCT 25</t>
  </si>
  <si>
    <t>1800014530</t>
  </si>
  <si>
    <t>Outbound chgs - 16 - 31 Oct 25</t>
  </si>
  <si>
    <t>1800014622</t>
  </si>
  <si>
    <t>Empty Lolo Chgs - 01 - 31 OCT 25</t>
  </si>
  <si>
    <t>1800014766</t>
  </si>
  <si>
    <t>Detention Chgs - OCT 25</t>
  </si>
  <si>
    <t>1800014968</t>
  </si>
  <si>
    <t>VAS-Nov 1-15, 2025</t>
  </si>
  <si>
    <t>1800015080</t>
  </si>
  <si>
    <t>LCL Chgs - 01 - 15 NOV 25</t>
  </si>
  <si>
    <t>1800015135</t>
  </si>
  <si>
    <t>Outbound chgs - 01 - 15 Nov 25</t>
  </si>
  <si>
    <t>1800015673</t>
  </si>
  <si>
    <t>Unit Storage - 1-30 Nov 2025</t>
  </si>
  <si>
    <t>1800015698</t>
  </si>
  <si>
    <t>Fixed Storage Charges for December 2025</t>
  </si>
  <si>
    <t>1800015423</t>
  </si>
  <si>
    <t>LCL Chgs - 16 - 30 NOV 25</t>
  </si>
  <si>
    <t>1800015293</t>
  </si>
  <si>
    <t>Outbound chgs - 16 - 30 Nov 25</t>
  </si>
  <si>
    <t>1600002702</t>
  </si>
  <si>
    <t>DG</t>
  </si>
  <si>
    <t>Credit note for Duplicate invoice -256779418497</t>
  </si>
  <si>
    <t>1800016613</t>
  </si>
  <si>
    <t>Fixed Storage Charges for January 2026</t>
  </si>
  <si>
    <t>1800016780</t>
  </si>
  <si>
    <t>VAS - NOV 25,16-30</t>
  </si>
  <si>
    <t>1800000080</t>
  </si>
  <si>
    <t>Fixed Rental charges for Oct 2024</t>
  </si>
  <si>
    <t>1800000110</t>
  </si>
  <si>
    <t>Fixed Rental charges for Sept 2024</t>
  </si>
  <si>
    <t>1800000179</t>
  </si>
  <si>
    <t>Fixed Rental charges for Nov 2024</t>
  </si>
  <si>
    <t>1800000222</t>
  </si>
  <si>
    <t>Fixed Rental charges for Dec 2024</t>
  </si>
  <si>
    <t>1800000265</t>
  </si>
  <si>
    <t>Fixed Rental charges for Jan 2025</t>
  </si>
  <si>
    <t>1800000308</t>
  </si>
  <si>
    <t>Fixed Rental charges for Feb 2025</t>
  </si>
  <si>
    <t>1800000372</t>
  </si>
  <si>
    <t>CY Longstanding container Ground Rent charges for</t>
  </si>
  <si>
    <t>1800000376</t>
  </si>
  <si>
    <t>1800000382</t>
  </si>
  <si>
    <t>1800000388</t>
  </si>
  <si>
    <t>1800000429</t>
  </si>
  <si>
    <t>Storage  for the month of Sept  2024</t>
  </si>
  <si>
    <t>1800000453</t>
  </si>
  <si>
    <t>Storage for the month of Oct 2024</t>
  </si>
  <si>
    <t>1800000922</t>
  </si>
  <si>
    <t>Storage for the month of Nov 2024</t>
  </si>
  <si>
    <t>1800000945</t>
  </si>
  <si>
    <t>Storage for the month of Dec 2024</t>
  </si>
  <si>
    <t>1800001470</t>
  </si>
  <si>
    <t>Scanning Charges for the month of September, 2024</t>
  </si>
  <si>
    <t>1800001793</t>
  </si>
  <si>
    <t>VAS Activity Charges for the month of August, 24</t>
  </si>
  <si>
    <t>1800001959</t>
  </si>
  <si>
    <t>VAS Activity Charges for the month of September, 2</t>
  </si>
  <si>
    <t>1800001960</t>
  </si>
  <si>
    <t>1800001961</t>
  </si>
  <si>
    <t>1800001962</t>
  </si>
  <si>
    <t>1800002403</t>
  </si>
  <si>
    <t>VAS Activity Charges for the month of December, 24</t>
  </si>
  <si>
    <t>1800003132</t>
  </si>
  <si>
    <t>Fixed Storage Charges for Mar 2025</t>
  </si>
  <si>
    <t>1800003353</t>
  </si>
  <si>
    <t>HLBU3011446-Port SSR Shifting Jan 2025. Exch rate</t>
  </si>
  <si>
    <t>1800003930</t>
  </si>
  <si>
    <t>Ground Rent Jan 25</t>
  </si>
  <si>
    <t>1800003941</t>
  </si>
  <si>
    <t>Ground Rent Feb 25</t>
  </si>
  <si>
    <t>1800004028</t>
  </si>
  <si>
    <t>Outbound Handling charges for Feb 2025</t>
  </si>
  <si>
    <t>1800004037</t>
  </si>
  <si>
    <t>1800004038</t>
  </si>
  <si>
    <t>1800004045</t>
  </si>
  <si>
    <t>1800004055</t>
  </si>
  <si>
    <t>1800004057</t>
  </si>
  <si>
    <t>1800004192</t>
  </si>
  <si>
    <t>Inbound Handling charges for Jan 2025</t>
  </si>
  <si>
    <t>1800004193</t>
  </si>
  <si>
    <t>1800004194</t>
  </si>
  <si>
    <t>1800004195</t>
  </si>
  <si>
    <t>1800004196</t>
  </si>
  <si>
    <t>1800004197</t>
  </si>
  <si>
    <t>1800004198</t>
  </si>
  <si>
    <t>1800004282</t>
  </si>
  <si>
    <t>Inbound Handling charges for  Sep 2024</t>
  </si>
  <si>
    <t>1800004283</t>
  </si>
  <si>
    <t>LCL charges for Sep 2024</t>
  </si>
  <si>
    <t>1800004361</t>
  </si>
  <si>
    <t>Outbound Handling charges for Sep 2024</t>
  </si>
  <si>
    <t>1800004362</t>
  </si>
  <si>
    <t>Loose loading Handling charges for Sep 2024</t>
  </si>
  <si>
    <t>1800004451</t>
  </si>
  <si>
    <t>Loose handling Charges for Oct 2024</t>
  </si>
  <si>
    <t>1800004452</t>
  </si>
  <si>
    <t>Inbound Handling charges for Oct 2024</t>
  </si>
  <si>
    <t>1800004453</t>
  </si>
  <si>
    <t>LCL Movement Charges for Oct 2024</t>
  </si>
  <si>
    <t>1800004534</t>
  </si>
  <si>
    <t>Inbound Handling charges for Nov 2024</t>
  </si>
  <si>
    <t>1800004535</t>
  </si>
  <si>
    <t>LCL Movement Charges for Nov 2024</t>
  </si>
  <si>
    <t>1800004604</t>
  </si>
  <si>
    <t>1800004605</t>
  </si>
  <si>
    <t>Loose Unloading charges for Jan 2025</t>
  </si>
  <si>
    <t>1800004606</t>
  </si>
  <si>
    <t>LCL charges for Jan 2025</t>
  </si>
  <si>
    <t>1800004742</t>
  </si>
  <si>
    <t>Outbound Handling charges for Oct 2024</t>
  </si>
  <si>
    <t>1800004820</t>
  </si>
  <si>
    <t>Loose handling Charges for Nov 2024</t>
  </si>
  <si>
    <t>1800004821</t>
  </si>
  <si>
    <t>Outbound Handling charges for Nov 2024</t>
  </si>
  <si>
    <t>1800004822</t>
  </si>
  <si>
    <t>CY-MOVEMENT CHARGES for Nov 2024</t>
  </si>
  <si>
    <t>1800004872</t>
  </si>
  <si>
    <t>Outbound Handling charges for Jan 2025</t>
  </si>
  <si>
    <t>1800004873</t>
  </si>
  <si>
    <t>Loose Loading Handling charges for Jan 2025</t>
  </si>
  <si>
    <t>1800005027</t>
  </si>
  <si>
    <t>1800005028</t>
  </si>
  <si>
    <t>1800005029</t>
  </si>
  <si>
    <t>1800005030</t>
  </si>
  <si>
    <t>1800005031</t>
  </si>
  <si>
    <t>1800005032</t>
  </si>
  <si>
    <t>1800005033</t>
  </si>
  <si>
    <t>1800005034</t>
  </si>
  <si>
    <t>1800005055</t>
  </si>
  <si>
    <t>1800005061</t>
  </si>
  <si>
    <t>1800005067</t>
  </si>
  <si>
    <t>1800005142</t>
  </si>
  <si>
    <t>Inbound Handling charges for Mar 2025</t>
  </si>
  <si>
    <t>1800005143</t>
  </si>
  <si>
    <t>LCL charges for Mar 2025</t>
  </si>
  <si>
    <t>1800005193</t>
  </si>
  <si>
    <t>Outbound Handling charges for Mar 25</t>
  </si>
  <si>
    <t>1800005194</t>
  </si>
  <si>
    <t>Loose loading Handling charges for Mar 25</t>
  </si>
  <si>
    <t>1800005327</t>
  </si>
  <si>
    <t>1800005896</t>
  </si>
  <si>
    <t>Storage Charges Feb, 25</t>
  </si>
  <si>
    <t>1800005913</t>
  </si>
  <si>
    <t>Storage Charges Jan, 25</t>
  </si>
  <si>
    <t>1800006276</t>
  </si>
  <si>
    <t>LCL Charges August 2024</t>
  </si>
  <si>
    <t>1800006277</t>
  </si>
  <si>
    <t>1800006278</t>
  </si>
  <si>
    <t>1800006279</t>
  </si>
  <si>
    <t>Inbound Handling for August 24</t>
  </si>
  <si>
    <t>1800006833</t>
  </si>
  <si>
    <t>CY Longstanding Transportation chgs for 31 MAR 202</t>
  </si>
  <si>
    <t>1800006922</t>
  </si>
  <si>
    <t>Inbound Handling charges for Dec 2024</t>
  </si>
  <si>
    <t>1800006923</t>
  </si>
  <si>
    <t>Loose Unloading charges for Dec 2024</t>
  </si>
  <si>
    <t>1800006924</t>
  </si>
  <si>
    <t>LCL charges for Dec 2024</t>
  </si>
  <si>
    <t>1800007003</t>
  </si>
  <si>
    <t>Outbound Handling charges for Dec 2024</t>
  </si>
  <si>
    <t>1800007004</t>
  </si>
  <si>
    <t>Loose loading Handling charges for Dec 2024</t>
  </si>
  <si>
    <t>1800007133</t>
  </si>
  <si>
    <t>VAS Activity - Jan 25, Ex Rate. 86.64</t>
  </si>
  <si>
    <t>1800007214</t>
  </si>
  <si>
    <t>VAS Activity - Mar 25, 16-31, Ex Rate. 85.58</t>
  </si>
  <si>
    <t>1800007220</t>
  </si>
  <si>
    <t>Storage Charges Mar, 25</t>
  </si>
  <si>
    <t>1800007269</t>
  </si>
  <si>
    <t>Fixed Storage Charges for April 2025</t>
  </si>
  <si>
    <t>1800007676</t>
  </si>
  <si>
    <t>Inbound Handling charges for Feb 2025</t>
  </si>
  <si>
    <t>1800007727</t>
  </si>
  <si>
    <t>Inbound Handling charges for 31 Mar 2025</t>
  </si>
  <si>
    <t>1800007770</t>
  </si>
  <si>
    <t>Outbound Handling charges for 31 Mar 25</t>
  </si>
  <si>
    <t>1800007888</t>
  </si>
  <si>
    <t>VAS 1-15 April-25,Ex.Rate-85.69</t>
  </si>
  <si>
    <t>1800008001</t>
  </si>
  <si>
    <t>Inbound chgs - 01 - 15 Apr 25</t>
  </si>
  <si>
    <t>1800008231</t>
  </si>
  <si>
    <t>Fixed Storage Charges fo MAY 2025</t>
  </si>
  <si>
    <t>1800008303</t>
  </si>
  <si>
    <t>CY Ground rent Chgs - 01 - 30 Apr 25</t>
  </si>
  <si>
    <t>1800008362</t>
  </si>
  <si>
    <t>VAS - 16-30 April 25, Ex.Rate-85.05</t>
  </si>
  <si>
    <t>1800008552</t>
  </si>
  <si>
    <t>Transportation In Chgs - 16 - 30 Apr 25</t>
  </si>
  <si>
    <t>1800008727</t>
  </si>
  <si>
    <t>Outbound chgs - 01 - 15 MAY 25</t>
  </si>
  <si>
    <t>1800009127</t>
  </si>
  <si>
    <t>Storage Chgs - 01 - 31 Apr 25</t>
  </si>
  <si>
    <t>1800009158</t>
  </si>
  <si>
    <t>Port SSR Charges - Shifting for Aug to D</t>
  </si>
  <si>
    <t>1800009234</t>
  </si>
  <si>
    <t>Outbound chgs - 01 - 15 Apr 25</t>
  </si>
  <si>
    <t>1800009412</t>
  </si>
  <si>
    <t>PORT SSR Chgs - 16 - 31 May 25</t>
  </si>
  <si>
    <t>1800009457</t>
  </si>
  <si>
    <t>Outbound chgs - 16 - 31 MAY 25</t>
  </si>
  <si>
    <t>1800009468</t>
  </si>
  <si>
    <t>Unit storage -1-31 May 25</t>
  </si>
  <si>
    <t>1800009500</t>
  </si>
  <si>
    <t>Detention Chgs - 16 - 31 MAY 25</t>
  </si>
  <si>
    <t>1800009556</t>
  </si>
  <si>
    <t>LCL Chgs - 16-31 MAY 25</t>
  </si>
  <si>
    <t>1800009578</t>
  </si>
  <si>
    <t>CY Longstanding - March 25,16-31</t>
  </si>
  <si>
    <t>1800009610</t>
  </si>
  <si>
    <t>Fixed Storage Charges fo JUNE 2025</t>
  </si>
  <si>
    <t>1800009972</t>
  </si>
  <si>
    <t>Unit to Unit 1-15 June 25</t>
  </si>
  <si>
    <t>1800010005</t>
  </si>
  <si>
    <t>CODC Inbound chgs - 01 - 15 Jun 25</t>
  </si>
  <si>
    <t>1800010039</t>
  </si>
  <si>
    <t>LCL Chgs - 01 - 15 JUN 25</t>
  </si>
  <si>
    <t>1800010070</t>
  </si>
  <si>
    <t>Outbound chgs - 01 - 15 Jun 25</t>
  </si>
  <si>
    <t>1800010121</t>
  </si>
  <si>
    <t>LCL chgs - 16 - 30 JUN 25</t>
  </si>
  <si>
    <t>1800010172</t>
  </si>
  <si>
    <t>Fixed Storage Charges fo JULY 2025</t>
  </si>
  <si>
    <t>1800010260</t>
  </si>
  <si>
    <t>Outbound chgs - 16 - 30 Jun 25</t>
  </si>
  <si>
    <t>1800010428</t>
  </si>
  <si>
    <t>Unit Storage - 1-30 June 25</t>
  </si>
  <si>
    <t>1800010661</t>
  </si>
  <si>
    <t>CODC Inbound chgs - 01 - 15 July 25</t>
  </si>
  <si>
    <t>1800010674</t>
  </si>
  <si>
    <t>CODC Out chgs - 01 - 15 July 25</t>
  </si>
  <si>
    <t>1800010702</t>
  </si>
  <si>
    <t>LCL chgs - 01 - 15 JUL 25</t>
  </si>
  <si>
    <t>1800010742</t>
  </si>
  <si>
    <t>Outbound chgs - 01 - 15 Jul 25</t>
  </si>
  <si>
    <t>1800010772</t>
  </si>
  <si>
    <t>PORT SSR Chgs May &amp; June 25</t>
  </si>
  <si>
    <t>1800010942</t>
  </si>
  <si>
    <t>Transportation In Chgs - 01 - 15 Jul 25</t>
  </si>
  <si>
    <t>1800011194</t>
  </si>
  <si>
    <t>LCL Chgs - 01-15 MAY 25</t>
  </si>
  <si>
    <t>1800011236</t>
  </si>
  <si>
    <t>CY Ground rent Chgs - 01 - 31 May 25</t>
  </si>
  <si>
    <t>1800011334</t>
  </si>
  <si>
    <t>Fixed Storage Charges for August 2025</t>
  </si>
  <si>
    <t>1800011597</t>
  </si>
  <si>
    <t>VAS 16-31 July 25</t>
  </si>
  <si>
    <t>1800011605</t>
  </si>
  <si>
    <t>Weighment - 16-31 July 25</t>
  </si>
  <si>
    <t>1800011650</t>
  </si>
  <si>
    <t>Unit Storage - 1-31 July 25</t>
  </si>
  <si>
    <t>1800011711</t>
  </si>
  <si>
    <t>Outbound chgs - 16 - 31 Jul 25</t>
  </si>
  <si>
    <t>1800011792</t>
  </si>
  <si>
    <t>LCL chgs - 16 - 31 JUL 25</t>
  </si>
  <si>
    <t>1800011834</t>
  </si>
  <si>
    <t>Empty Lolo Chgs - 01 - 31 JUL 25</t>
  </si>
  <si>
    <t>1800011866</t>
  </si>
  <si>
    <t>PORT SSR Chgs July 25</t>
  </si>
  <si>
    <t>1800012221</t>
  </si>
  <si>
    <t>Outbound chgs - 01 - 15 Aug 25</t>
  </si>
  <si>
    <t>1800012252</t>
  </si>
  <si>
    <t>LCL chgs - 01 - 15 AUG 25</t>
  </si>
  <si>
    <t>1800012463</t>
  </si>
  <si>
    <t>VAS -16-31 Aug 25</t>
  </si>
  <si>
    <t>1800012467</t>
  </si>
  <si>
    <t>Unit-Storage-1-31 Aug 25</t>
  </si>
  <si>
    <t>1800012569</t>
  </si>
  <si>
    <t>Transportation In Chgs - 16 - 31 Aug 25</t>
  </si>
  <si>
    <t>1800012589</t>
  </si>
  <si>
    <t>PORT SSR Chgs Aug 25</t>
  </si>
  <si>
    <t>1800012650</t>
  </si>
  <si>
    <t>LCL chgs - 16 - 31 AUG 25</t>
  </si>
  <si>
    <t>1800012728</t>
  </si>
  <si>
    <t>Fixed Storage Charges for September 2025</t>
  </si>
  <si>
    <t>1800013347</t>
  </si>
  <si>
    <t>Inbound chgs - 16 - 30 SEP 25</t>
  </si>
  <si>
    <t>1800014196</t>
  </si>
  <si>
    <t>CODC Out chgs -1-15 Oct 25</t>
  </si>
  <si>
    <t>1800014734</t>
  </si>
  <si>
    <t>PORT SSR Chgs Oct 25</t>
  </si>
  <si>
    <t>1800015969</t>
  </si>
  <si>
    <t>Outbound chgs - 01 - 15 Dec 25</t>
  </si>
  <si>
    <t>1800016056</t>
  </si>
  <si>
    <t>VAS DEC 25 -1-15</t>
  </si>
  <si>
    <t>1800016092</t>
  </si>
  <si>
    <t>LCL Chgs - 01 - 15 DEC 25</t>
  </si>
  <si>
    <t>1800016286</t>
  </si>
  <si>
    <t>PORT SSR Chgs Dec 25</t>
  </si>
  <si>
    <t>1800016347</t>
  </si>
  <si>
    <t>Unit Storage - 1-31 DEC 2025</t>
  </si>
  <si>
    <t>1800016424</t>
  </si>
  <si>
    <t>Outbound chgs - 16 - 31 Dec 25</t>
  </si>
  <si>
    <t>1800016506</t>
  </si>
  <si>
    <t>LCL Chgs - 16 - 31 DEC 25</t>
  </si>
  <si>
    <t>1800016700</t>
  </si>
  <si>
    <t>VAS-Dec 25 - 16-31</t>
  </si>
  <si>
    <t>1800017067</t>
  </si>
  <si>
    <t>LCL Chgs - 01 - 15 JAN 26</t>
  </si>
  <si>
    <t>1800017113</t>
  </si>
  <si>
    <t>Outbound chgs - 01 - 15 JAN 26</t>
  </si>
  <si>
    <t>1800017154</t>
  </si>
  <si>
    <t>VAS-1-15 Jan 2026</t>
  </si>
  <si>
    <t>1400000021</t>
  </si>
  <si>
    <t>ICICN22025042926352474</t>
  </si>
  <si>
    <t>1800000022</t>
  </si>
  <si>
    <t>Fixed Rental charges for Aug 2024</t>
  </si>
  <si>
    <t>1800000347</t>
  </si>
  <si>
    <t>1800000403</t>
  </si>
  <si>
    <t>Storage Charges for the month of August, 2024</t>
  </si>
  <si>
    <t>1400000612</t>
  </si>
  <si>
    <t>DY</t>
  </si>
  <si>
    <t>1600000605</t>
  </si>
  <si>
    <t>Credit note against 246779412247</t>
  </si>
  <si>
    <t>1800001590</t>
  </si>
  <si>
    <t>1400000615</t>
  </si>
  <si>
    <t>1600000704</t>
  </si>
  <si>
    <t>Credit note against 256779410280</t>
  </si>
  <si>
    <t>1800005388</t>
  </si>
  <si>
    <t>1400000617</t>
  </si>
  <si>
    <t>1600000791</t>
  </si>
  <si>
    <t>Credit note against 256779410239</t>
  </si>
  <si>
    <t>1800005347</t>
  </si>
  <si>
    <t>1400000619</t>
  </si>
  <si>
    <t>1600001001</t>
  </si>
  <si>
    <t>Credit Note against 246779413091</t>
  </si>
  <si>
    <t>1800003224</t>
  </si>
  <si>
    <t>Port SSR Charges - Shifting for Aug to Dec,24.</t>
  </si>
  <si>
    <t>O2</t>
  </si>
  <si>
    <t>1400000621</t>
  </si>
  <si>
    <t>1600001002</t>
  </si>
  <si>
    <t>Credit Note against 256779412933</t>
  </si>
  <si>
    <t>1800008042</t>
  </si>
  <si>
    <t>1400001853</t>
  </si>
  <si>
    <t>1800013432</t>
  </si>
  <si>
    <t>1600002475</t>
  </si>
  <si>
    <t>Credit note raised against 256779418079</t>
  </si>
  <si>
    <t>1600001823</t>
  </si>
  <si>
    <t>Credit Note raised against 256779413888</t>
  </si>
  <si>
    <t>1600002058</t>
  </si>
  <si>
    <t>Credit note raised against 256779415806</t>
  </si>
  <si>
    <t>1800009124</t>
  </si>
  <si>
    <t>1800011046</t>
  </si>
  <si>
    <t>1400001557</t>
  </si>
  <si>
    <t>1400002004</t>
  </si>
  <si>
    <t>1400002071</t>
  </si>
  <si>
    <t>1400002228</t>
  </si>
  <si>
    <t>1600000046</t>
  </si>
  <si>
    <t>DA</t>
  </si>
  <si>
    <t>Overpayment</t>
  </si>
  <si>
    <t>7000000069</t>
  </si>
  <si>
    <t>XC</t>
  </si>
  <si>
    <t>7000000196</t>
  </si>
  <si>
    <t>Account 100222376</t>
  </si>
  <si>
    <t>Cleared/Open Items Symbol</t>
  </si>
  <si>
    <t>Document Number</t>
  </si>
  <si>
    <t>Document Type</t>
  </si>
  <si>
    <t>Document Date</t>
  </si>
  <si>
    <t>Special G/L Ind.</t>
  </si>
  <si>
    <t>Net Due Date Symbol</t>
  </si>
  <si>
    <t>Amount in Local Currency</t>
  </si>
  <si>
    <t>Local Currency</t>
  </si>
  <si>
    <t>Clearing Document</t>
  </si>
  <si>
    <t>Text</t>
  </si>
  <si>
    <t>Customer</t>
  </si>
  <si>
    <t>Posting Date</t>
  </si>
  <si>
    <t>Tax Code</t>
  </si>
  <si>
    <t>Processor</t>
  </si>
  <si>
    <t>Contract Number</t>
  </si>
  <si>
    <t>G/L Account</t>
  </si>
  <si>
    <t>Row Labels</t>
  </si>
  <si>
    <t>(blank)</t>
  </si>
  <si>
    <t>Grand Total</t>
  </si>
  <si>
    <t>2025</t>
  </si>
  <si>
    <t>Qtr1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</si>
  <si>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</si>
  <si>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</si>
  <si>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</si>
  <si>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</si>
  <si>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</si>
  <si>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</si>
  <si>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</si>
  <si>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</si>
  <si>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</si>
  <si>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</si>
  <si>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</si>
  <si>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</si>
  <si>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</si>
  <si>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</si>
  <si>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2026</t>
  </si>
  <si>
    <t>Jan</t>
  </si>
  <si>
    <t>Sum of Amount in Local Currency</t>
  </si>
  <si>
    <t>Years</t>
  </si>
  <si>
    <t>Quarters</t>
  </si>
  <si>
    <t>Total</t>
  </si>
  <si>
    <t>Date</t>
  </si>
  <si>
    <t>Particulars</t>
  </si>
  <si>
    <t>Month</t>
  </si>
  <si>
    <t>Debit Amount (USD)</t>
  </si>
  <si>
    <t>Credit Amount (USD)</t>
  </si>
  <si>
    <t>Vch Type</t>
  </si>
  <si>
    <t>Vch No.</t>
  </si>
  <si>
    <t>Debit</t>
  </si>
  <si>
    <t>Credit</t>
  </si>
  <si>
    <t>Dr</t>
  </si>
  <si>
    <t>(as per details)</t>
  </si>
  <si>
    <t>August, 2024</t>
  </si>
  <si>
    <t>Journal 1</t>
  </si>
  <si>
    <t>90</t>
  </si>
  <si>
    <t>Space Expense / Storage - E</t>
  </si>
  <si>
    <t>TDS on Rent</t>
  </si>
  <si>
    <t>Round Off</t>
  </si>
  <si>
    <t>New Ref</t>
  </si>
  <si>
    <t>Cr</t>
  </si>
  <si>
    <t>September, 2024</t>
  </si>
  <si>
    <t>92</t>
  </si>
  <si>
    <t>October, 2024</t>
  </si>
  <si>
    <t>93</t>
  </si>
  <si>
    <t>November, 2024</t>
  </si>
  <si>
    <t>94</t>
  </si>
  <si>
    <t>December, 2024</t>
  </si>
  <si>
    <t>96</t>
  </si>
  <si>
    <t>January, 2025</t>
  </si>
  <si>
    <t>97</t>
  </si>
  <si>
    <t>February, 2025</t>
  </si>
  <si>
    <t>98</t>
  </si>
  <si>
    <t>99</t>
  </si>
  <si>
    <t>Ground Rent Charges-E</t>
  </si>
  <si>
    <t>100</t>
  </si>
  <si>
    <t>101</t>
  </si>
  <si>
    <t>102</t>
  </si>
  <si>
    <t>103</t>
  </si>
  <si>
    <t>104</t>
  </si>
  <si>
    <t>105</t>
  </si>
  <si>
    <t>106</t>
  </si>
  <si>
    <t>108</t>
  </si>
  <si>
    <t>109</t>
  </si>
  <si>
    <t>March, 2025</t>
  </si>
  <si>
    <t>112</t>
  </si>
  <si>
    <t>113</t>
  </si>
  <si>
    <t>114</t>
  </si>
  <si>
    <t>Srikaram Prescience Pvt. Ltd- Noida</t>
  </si>
  <si>
    <t>, 0</t>
  </si>
  <si>
    <t>Journal</t>
  </si>
  <si>
    <t>25</t>
  </si>
  <si>
    <t>Agst Ref</t>
  </si>
  <si>
    <t>63</t>
  </si>
  <si>
    <t>5</t>
  </si>
  <si>
    <t>VOS Activity - E</t>
  </si>
  <si>
    <t>TDS on Contract</t>
  </si>
  <si>
    <t>6</t>
  </si>
  <si>
    <t>7</t>
  </si>
  <si>
    <t>8</t>
  </si>
  <si>
    <t>9</t>
  </si>
  <si>
    <t>10</t>
  </si>
  <si>
    <t>11</t>
  </si>
  <si>
    <t>12</t>
  </si>
  <si>
    <t>Inbound Handling - E</t>
  </si>
  <si>
    <t>Transportation Charges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</si>
  <si>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</si>
  <si>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</si>
  <si>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</si>
  <si>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</si>
  <si>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</si>
  <si>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</si>
  <si>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</si>
  <si>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</si>
  <si>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</si>
  <si>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Outbound Handling Charges - E</t>
  </si>
  <si>
    <t>22</t>
  </si>
  <si>
    <t>23</t>
  </si>
  <si>
    <t>24</t>
  </si>
  <si>
    <t>April, 2025</t>
  </si>
  <si>
    <t>27</t>
  </si>
  <si>
    <t>Provision for Expenses</t>
  </si>
  <si>
    <t>123</t>
  </si>
  <si>
    <t>138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</si>
  <si>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</si>
  <si>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</si>
  <si>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</si>
  <si>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</si>
  <si>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</si>
  <si>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</si>
  <si>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</si>
  <si>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</si>
  <si>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</si>
  <si>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</si>
  <si>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</si>
  <si>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</si>
  <si>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</si>
  <si>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</si>
  <si>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</si>
  <si>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</si>
  <si>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</si>
  <si>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</si>
  <si>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</si>
  <si>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</si>
  <si>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</si>
  <si>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</si>
  <si>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</si>
  <si>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</si>
  <si>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</si>
  <si>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</si>
  <si>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</si>
  <si>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</si>
  <si>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57</t>
  </si>
  <si>
    <t>58</t>
  </si>
  <si>
    <t>59</t>
  </si>
  <si>
    <t>60</t>
  </si>
  <si>
    <t>61</t>
  </si>
  <si>
    <t>172</t>
  </si>
  <si>
    <t>185</t>
  </si>
  <si>
    <t>194</t>
  </si>
  <si>
    <t>199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</si>
  <si>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</si>
  <si>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</si>
  <si>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</si>
  <si>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</si>
  <si>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</si>
  <si>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</si>
  <si>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</si>
  <si>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</si>
  <si>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</si>
  <si>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Transportation Charges- IB-E (RCM)</t>
  </si>
  <si>
    <t>RCM IGST Input @ 5%</t>
  </si>
  <si>
    <t>RCM IGST Liability @ 5%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</si>
  <si>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</si>
  <si>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</si>
  <si>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</si>
  <si>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</si>
  <si>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</si>
  <si>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</si>
  <si>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</si>
  <si>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</si>
  <si>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</si>
  <si>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218</t>
  </si>
  <si>
    <t>85</t>
  </si>
  <si>
    <t>86</t>
  </si>
  <si>
    <t>May, 2025</t>
  </si>
  <si>
    <t>87</t>
  </si>
  <si>
    <t>88</t>
  </si>
  <si>
    <t>89</t>
  </si>
  <si>
    <t>June, 2025</t>
  </si>
  <si>
    <t>91</t>
  </si>
  <si>
    <t>95</t>
  </si>
  <si>
    <t>279</t>
  </si>
  <si>
    <t>290</t>
  </si>
  <si>
    <t>304</t>
  </si>
  <si>
    <t>July, 2025</t>
  </si>
  <si>
    <t>110</t>
  </si>
  <si>
    <t>111</t>
  </si>
  <si>
    <t>August, 2025</t>
  </si>
  <si>
    <t>115</t>
  </si>
  <si>
    <t>116</t>
  </si>
  <si>
    <t>117</t>
  </si>
  <si>
    <t>118</t>
  </si>
  <si>
    <t>119</t>
  </si>
  <si>
    <t>120</t>
  </si>
  <si>
    <t>121</t>
  </si>
  <si>
    <t>122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</si>
  <si>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</si>
  <si>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</si>
  <si>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</si>
  <si>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</si>
  <si>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</si>
  <si>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</si>
  <si>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</si>
  <si>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</si>
  <si>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</si>
  <si>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</si>
  <si>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</si>
  <si>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</si>
  <si>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323</t>
  </si>
  <si>
    <t>338</t>
  </si>
  <si>
    <t>349</t>
  </si>
  <si>
    <t>141</t>
  </si>
  <si>
    <t>142</t>
  </si>
  <si>
    <t>143</t>
  </si>
  <si>
    <t>144</t>
  </si>
  <si>
    <t>145</t>
  </si>
  <si>
    <t>September, 2025</t>
  </si>
  <si>
    <t>146</t>
  </si>
  <si>
    <t>147</t>
  </si>
  <si>
    <t>148</t>
  </si>
  <si>
    <t>149</t>
  </si>
  <si>
    <t>150</t>
  </si>
  <si>
    <t>151</t>
  </si>
  <si>
    <t>152</t>
  </si>
  <si>
    <t>October, 2025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</si>
  <si>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</si>
  <si>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</si>
  <si>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</si>
  <si>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</si>
  <si>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</si>
  <si>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</si>
  <si>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</si>
  <si>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</si>
  <si>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</si>
  <si>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</si>
  <si>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</si>
  <si>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</si>
  <si>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</si>
  <si>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Detention Charges - E</t>
  </si>
  <si>
    <t>166</t>
  </si>
  <si>
    <t>371</t>
  </si>
  <si>
    <t>167</t>
  </si>
  <si>
    <t>168</t>
  </si>
  <si>
    <t>169</t>
  </si>
  <si>
    <t>376</t>
  </si>
  <si>
    <t>397</t>
  </si>
  <si>
    <t>171</t>
  </si>
  <si>
    <t>November, 2025</t>
  </si>
  <si>
    <t>173</t>
  </si>
  <si>
    <t>430</t>
  </si>
  <si>
    <t>446</t>
  </si>
  <si>
    <t>465</t>
  </si>
  <si>
    <t>475</t>
  </si>
  <si>
    <t>489</t>
  </si>
  <si>
    <t>499</t>
  </si>
  <si>
    <t>Closing Balance</t>
  </si>
  <si>
    <t>Ledger</t>
  </si>
  <si>
    <t>Sum of Credit</t>
  </si>
  <si>
    <t>Sum of Debit</t>
  </si>
  <si>
    <t>TDS</t>
  </si>
  <si>
    <t>Sum of TDS</t>
  </si>
  <si>
    <t>TDS Tagging</t>
  </si>
  <si>
    <t>Invoice</t>
  </si>
  <si>
    <t>Amount</t>
  </si>
  <si>
    <t>As per Customer</t>
  </si>
  <si>
    <t>Sum of Amount</t>
  </si>
  <si>
    <t>Payment</t>
  </si>
  <si>
    <t>As per Ascendus</t>
  </si>
  <si>
    <t>&gt;&gt; Not In Customers Books</t>
  </si>
  <si>
    <t>&gt;&gt;Not in Ascendus Books</t>
  </si>
  <si>
    <t>&gt;&gt;Less in Ascendus books</t>
  </si>
  <si>
    <t>Remarks for Customers books</t>
  </si>
  <si>
    <t>Remarks for Ascendus Books</t>
  </si>
  <si>
    <t>Diffrence</t>
  </si>
  <si>
    <t>M</t>
  </si>
  <si>
    <t>Months</t>
  </si>
  <si>
    <t>2024</t>
  </si>
  <si>
    <t>As per Customer Books</t>
  </si>
  <si>
    <t>Gross Amount</t>
  </si>
  <si>
    <t>Net Amount</t>
  </si>
  <si>
    <t>DG- credit note</t>
  </si>
  <si>
    <t>DR- sales</t>
  </si>
  <si>
    <t>As per Ascendus Books</t>
  </si>
  <si>
    <t>Add: Invoices not recorded in customer books</t>
  </si>
  <si>
    <t>Derived balance</t>
  </si>
  <si>
    <t>Balance as per Ascent</t>
  </si>
  <si>
    <t>Difference</t>
  </si>
  <si>
    <t xml:space="preserve">Balance as per Srikaram </t>
  </si>
  <si>
    <t>Customer Account: Name 1</t>
  </si>
  <si>
    <t>Fiscal Year</t>
  </si>
  <si>
    <t>Reference</t>
  </si>
  <si>
    <t>Document Currency Key</t>
  </si>
  <si>
    <t>Document Currency Value</t>
  </si>
  <si>
    <t>Company Code Currency Key</t>
  </si>
  <si>
    <t>Company Code Currency Value</t>
  </si>
  <si>
    <t>INOVICE TAGGING</t>
  </si>
  <si>
    <t>SRIKARAM PRESCIENCE PVT. LTD.</t>
  </si>
  <si>
    <t>USD</t>
  </si>
  <si>
    <t>Reconciliation of Ledger as on 31st January 2026</t>
  </si>
  <si>
    <t>Add: Exchange gain loss</t>
  </si>
  <si>
    <t>Add: Diffrence in Payment recorded in both books</t>
  </si>
  <si>
    <t>Add: TDS entries given by BMAC</t>
  </si>
  <si>
    <t>Add: TDS entries pending</t>
  </si>
  <si>
    <t>Not Selected</t>
  </si>
  <si>
    <t>6779</t>
  </si>
  <si>
    <t>3</t>
  </si>
  <si>
    <t>1600002927</t>
  </si>
  <si>
    <t>2185944</t>
  </si>
  <si>
    <t>256779422397</t>
  </si>
  <si>
    <t>Trade Debtors (Ctrl)</t>
  </si>
  <si>
    <t>6779224500</t>
  </si>
  <si>
    <t>NA</t>
  </si>
  <si>
    <t>1</t>
  </si>
  <si>
    <t>CN against Duplicate - 256779410001</t>
  </si>
  <si>
    <t>1600002928</t>
  </si>
  <si>
    <t>256779422398</t>
  </si>
  <si>
    <t>CN against Duplicate - 256779410013</t>
  </si>
  <si>
    <t>1600002929</t>
  </si>
  <si>
    <t>256779422399</t>
  </si>
  <si>
    <t>CN against Duplicate - 256779410219</t>
  </si>
  <si>
    <t>1600002930</t>
  </si>
  <si>
    <t>256779422400</t>
  </si>
  <si>
    <t>CN against Duplicate - 256779410007</t>
  </si>
  <si>
    <t>Cleared Item</t>
  </si>
  <si>
    <t>Company Code</t>
  </si>
  <si>
    <t>Posting period</t>
  </si>
  <si>
    <t>Entry Date</t>
  </si>
  <si>
    <t>Document Header Text</t>
  </si>
  <si>
    <t>G/L Account: Short Text</t>
  </si>
  <si>
    <t>Posting Key</t>
  </si>
  <si>
    <t>Profit Center</t>
  </si>
  <si>
    <t>Trading Partner No.</t>
  </si>
  <si>
    <t>Assignment</t>
  </si>
  <si>
    <t>Item</t>
  </si>
  <si>
    <t>Reference Key 1</t>
  </si>
  <si>
    <t>Reference Key 2</t>
  </si>
  <si>
    <t>Reference Key 3</t>
  </si>
  <si>
    <t>Baseline Payment Dte</t>
  </si>
  <si>
    <t>Clearing Date</t>
  </si>
  <si>
    <t>In INR</t>
  </si>
  <si>
    <t>In USD</t>
  </si>
  <si>
    <t>Inv No</t>
  </si>
  <si>
    <t>Remarks</t>
  </si>
  <si>
    <t>Credit Note</t>
  </si>
  <si>
    <t>will be adjusted with Invoice</t>
  </si>
  <si>
    <t>Sales</t>
  </si>
  <si>
    <t>will be adjusted with credit note</t>
  </si>
  <si>
    <t>Will be recorded in the books</t>
  </si>
  <si>
    <t>need credit notes for the same</t>
  </si>
  <si>
    <t>Vlookup</t>
  </si>
  <si>
    <t>Rate</t>
  </si>
  <si>
    <t>&gt;&gt; Pending Invoices Booked By Customer &amp; CN Issued By Capital Land</t>
  </si>
  <si>
    <t>&gt;&gt; Working For Knocking Off Done</t>
  </si>
  <si>
    <t>&gt;&gt; Pending Due to Outstanding Payable by customer</t>
  </si>
  <si>
    <t>&gt;&gt; Payment Received on 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</si>
</sst>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5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vertical="top" indent="2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1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NumberFormat="1" applyAlignment="1">
      <alignment vertical="top"/>
    </xf>
    <xf numFmtId="165" fontId="0" fillId="0" borderId="1" xfId="1" applyNumberFormat="1" applyFont="1" applyBorder="1"/>
    <xf numFmtId="0" fontId="0" fillId="0" borderId="1" xfId="0" applyBorder="1"/>
    <xf numFmtId="14" fontId="0" fillId="0" borderId="0" xfId="0" applyNumberFormat="1"/>
    <xf numFmtId="0" fontId="0" fillId="0" borderId="0" xfId="0"/>
    <xf numFmtId="165" fontId="0" fillId="0" borderId="0" xfId="1" applyNumberFormat="1" applyFont="1"/>
    <xf numFmtId="165" fontId="4" fillId="0" borderId="0" xfId="1" applyNumberFormat="1" applyFont="1"/>
    <xf numFmtId="14" fontId="0" fillId="0" borderId="1" xfId="0" applyNumberFormat="1" applyBorder="1"/>
    <xf numFmtId="0" fontId="0" fillId="0" borderId="1" xfId="0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5" borderId="1" xfId="0" applyFill="1" applyBorder="1"/>
    <xf numFmtId="14" fontId="0" fillId="0" borderId="1" xfId="0" applyNumberFormat="1" applyFill="1" applyBorder="1"/>
    <xf numFmtId="0" fontId="0" fillId="0" borderId="1" xfId="0" applyFill="1" applyBorder="1"/>
    <xf numFmtId="165" fontId="0" fillId="0" borderId="1" xfId="1" applyNumberFormat="1" applyFont="1" applyFill="1" applyBorder="1"/>
    <xf numFmtId="165" fontId="0" fillId="0" borderId="1" xfId="0" applyNumberFormat="1" applyFill="1" applyBorder="1" applyAlignment="1">
      <alignment vertical="top"/>
    </xf>
    <xf numFmtId="0" fontId="0" fillId="0" borderId="0" xfId="0" applyFill="1" applyAlignment="1">
      <alignment vertical="top"/>
    </xf>
    <xf numFmtId="14" fontId="0" fillId="0" borderId="0" xfId="0" applyNumberFormat="1" applyAlignment="1">
      <alignment vertical="top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/>
    </xf>
    <xf numFmtId="43" fontId="0" fillId="0" borderId="1" xfId="1" applyFont="1" applyBorder="1" applyAlignment="1">
      <alignment vertical="top"/>
    </xf>
    <xf numFmtId="165" fontId="0" fillId="0" borderId="1" xfId="1" applyNumberFormat="1" applyFont="1" applyBorder="1" applyAlignment="1">
      <alignment vertical="top"/>
    </xf>
    <xf numFmtId="165" fontId="5" fillId="0" borderId="1" xfId="1" applyNumberFormat="1" applyFont="1" applyBorder="1" applyAlignment="1">
      <alignment vertical="top"/>
    </xf>
    <xf numFmtId="165" fontId="0" fillId="0" borderId="0" xfId="0" applyNumberFormat="1" applyAlignment="1">
      <alignment vertical="top"/>
    </xf>
    <xf numFmtId="165" fontId="5" fillId="0" borderId="0" xfId="0" applyNumberFormat="1" applyFont="1" applyAlignment="1">
      <alignment vertical="top"/>
    </xf>
    <xf numFmtId="43" fontId="0" fillId="0" borderId="0" xfId="1" applyFont="1" applyAlignment="1">
      <alignment vertical="top"/>
    </xf>
    <xf numFmtId="165" fontId="0" fillId="0" borderId="0" xfId="1" applyNumberFormat="1" applyFont="1" applyAlignment="1">
      <alignment vertical="top"/>
    </xf>
    <xf numFmtId="0" fontId="0" fillId="0" borderId="1" xfId="0" applyNumberFormat="1" applyBorder="1"/>
    <xf numFmtId="0" fontId="0" fillId="0" borderId="1" xfId="0" applyNumberFormat="1" applyFill="1" applyBorder="1"/>
    <xf numFmtId="0" fontId="0" fillId="0" borderId="1" xfId="0" applyNumberFormat="1" applyBorder="1" applyAlignment="1">
      <alignment vertical="top"/>
    </xf>
    <xf numFmtId="0" fontId="0" fillId="0" borderId="0" xfId="0" applyBorder="1" applyAlignment="1">
      <alignment vertical="top"/>
    </xf>
    <xf numFmtId="14" fontId="0" fillId="0" borderId="0" xfId="0" applyNumberFormat="1" applyBorder="1" applyAlignment="1">
      <alignment vertical="top"/>
    </xf>
    <xf numFmtId="14" fontId="0" fillId="0" borderId="1" xfId="0" applyNumberFormat="1" applyBorder="1" applyAlignment="1">
      <alignment vertical="top"/>
    </xf>
    <xf numFmtId="14" fontId="0" fillId="0" borderId="1" xfId="1" applyNumberFormat="1" applyFont="1" applyBorder="1"/>
    <xf numFmtId="14" fontId="0" fillId="6" borderId="1" xfId="1" applyNumberFormat="1" applyFont="1" applyFill="1" applyBorder="1"/>
    <xf numFmtId="14" fontId="0" fillId="5" borderId="1" xfId="1" applyNumberFormat="1" applyFont="1" applyFill="1" applyBorder="1"/>
    <xf numFmtId="0" fontId="0" fillId="6" borderId="1" xfId="0" applyFill="1" applyBorder="1"/>
    <xf numFmtId="14" fontId="0" fillId="0" borderId="9" xfId="0" applyNumberFormat="1" applyBorder="1"/>
    <xf numFmtId="165" fontId="0" fillId="0" borderId="10" xfId="1" applyNumberFormat="1" applyFont="1" applyBorder="1"/>
    <xf numFmtId="14" fontId="0" fillId="5" borderId="9" xfId="0" applyNumberFormat="1" applyFill="1" applyBorder="1"/>
    <xf numFmtId="165" fontId="0" fillId="5" borderId="10" xfId="1" applyNumberFormat="1" applyFont="1" applyFill="1" applyBorder="1"/>
    <xf numFmtId="14" fontId="0" fillId="6" borderId="9" xfId="0" applyNumberFormat="1" applyFill="1" applyBorder="1"/>
    <xf numFmtId="165" fontId="0" fillId="6" borderId="10" xfId="1" applyNumberFormat="1" applyFont="1" applyFill="1" applyBorder="1"/>
    <xf numFmtId="14" fontId="0" fillId="5" borderId="11" xfId="0" applyNumberFormat="1" applyFill="1" applyBorder="1"/>
    <xf numFmtId="0" fontId="0" fillId="5" borderId="12" xfId="0" applyFill="1" applyBorder="1"/>
    <xf numFmtId="165" fontId="0" fillId="5" borderId="13" xfId="1" applyNumberFormat="1" applyFont="1" applyFill="1" applyBorder="1"/>
    <xf numFmtId="165" fontId="0" fillId="0" borderId="9" xfId="1" applyNumberFormat="1" applyFont="1" applyBorder="1"/>
    <xf numFmtId="165" fontId="0" fillId="5" borderId="9" xfId="1" applyNumberFormat="1" applyFont="1" applyFill="1" applyBorder="1"/>
    <xf numFmtId="165" fontId="0" fillId="6" borderId="9" xfId="1" applyNumberFormat="1" applyFont="1" applyFill="1" applyBorder="1"/>
    <xf numFmtId="0" fontId="0" fillId="0" borderId="9" xfId="0" applyBorder="1" applyAlignment="1">
      <alignment vertical="top"/>
    </xf>
    <xf numFmtId="0" fontId="0" fillId="5" borderId="11" xfId="0" applyFill="1" applyBorder="1" applyAlignment="1">
      <alignment vertical="top"/>
    </xf>
    <xf numFmtId="0" fontId="0" fillId="5" borderId="12" xfId="0" applyFill="1" applyBorder="1" applyAlignment="1">
      <alignment vertical="top"/>
    </xf>
    <xf numFmtId="165" fontId="0" fillId="0" borderId="3" xfId="1" applyNumberFormat="1" applyFont="1" applyBorder="1" applyAlignment="1">
      <alignment vertical="top"/>
    </xf>
    <xf numFmtId="165" fontId="0" fillId="5" borderId="3" xfId="1" applyNumberFormat="1" applyFont="1" applyFill="1" applyBorder="1" applyAlignment="1">
      <alignment vertical="top"/>
    </xf>
    <xf numFmtId="165" fontId="0" fillId="6" borderId="3" xfId="1" applyNumberFormat="1" applyFont="1" applyFill="1" applyBorder="1" applyAlignment="1">
      <alignment vertical="top"/>
    </xf>
    <xf numFmtId="0" fontId="0" fillId="5" borderId="15" xfId="0" applyFill="1" applyBorder="1" applyAlignment="1">
      <alignment vertical="top"/>
    </xf>
    <xf numFmtId="165" fontId="0" fillId="0" borderId="0" xfId="0" applyNumberFormat="1" applyFill="1" applyAlignment="1">
      <alignment vertical="top"/>
    </xf>
    <xf numFmtId="15" fontId="0" fillId="0" borderId="1" xfId="0" applyNumberFormat="1" applyBorder="1"/>
    <xf numFmtId="14" fontId="0" fillId="0" borderId="1" xfId="1" applyNumberFormat="1" applyFont="1" applyFill="1" applyBorder="1"/>
    <xf numFmtId="15" fontId="0" fillId="0" borderId="0" xfId="0" applyNumberFormat="1" applyAlignment="1">
      <alignment vertical="top"/>
    </xf>
    <xf numFmtId="0" fontId="4" fillId="0" borderId="17" xfId="2" applyFont="1" applyBorder="1"/>
    <xf numFmtId="0" fontId="4" fillId="0" borderId="5" xfId="2" applyFont="1" applyBorder="1"/>
    <xf numFmtId="0" fontId="2" fillId="0" borderId="0" xfId="2"/>
    <xf numFmtId="43" fontId="0" fillId="0" borderId="19" xfId="3" applyFont="1" applyBorder="1"/>
    <xf numFmtId="43" fontId="0" fillId="0" borderId="20" xfId="3" applyFont="1" applyBorder="1"/>
    <xf numFmtId="43" fontId="0" fillId="0" borderId="21" xfId="3" applyFont="1" applyBorder="1"/>
    <xf numFmtId="43" fontId="0" fillId="0" borderId="22" xfId="3" applyFont="1" applyBorder="1"/>
    <xf numFmtId="43" fontId="0" fillId="0" borderId="23" xfId="3" applyFont="1" applyBorder="1"/>
    <xf numFmtId="43" fontId="4" fillId="0" borderId="17" xfId="3" applyFont="1" applyBorder="1"/>
    <xf numFmtId="43" fontId="0" fillId="0" borderId="0" xfId="3" applyFont="1"/>
    <xf numFmtId="43" fontId="2" fillId="0" borderId="0" xfId="2" applyNumberFormat="1"/>
    <xf numFmtId="43" fontId="6" fillId="0" borderId="18" xfId="3" applyFont="1" applyBorder="1"/>
    <xf numFmtId="0" fontId="0" fillId="7" borderId="6" xfId="0" applyFill="1" applyBorder="1" applyAlignment="1">
      <alignment horizontal="center" vertical="top"/>
    </xf>
    <xf numFmtId="0" fontId="0" fillId="7" borderId="7" xfId="0" applyFill="1" applyBorder="1" applyAlignment="1">
      <alignment horizontal="center" vertical="top"/>
    </xf>
    <xf numFmtId="0" fontId="0" fillId="7" borderId="8" xfId="0" applyFill="1" applyBorder="1" applyAlignment="1">
      <alignment horizontal="center" vertical="top"/>
    </xf>
    <xf numFmtId="165" fontId="6" fillId="7" borderId="9" xfId="1" applyNumberFormat="1" applyFont="1" applyFill="1" applyBorder="1" applyAlignment="1">
      <alignment vertical="top"/>
    </xf>
    <xf numFmtId="165" fontId="6" fillId="7" borderId="1" xfId="1" applyNumberFormat="1" applyFont="1" applyFill="1" applyBorder="1"/>
    <xf numFmtId="165" fontId="6" fillId="7" borderId="10" xfId="1" applyNumberFormat="1" applyFont="1" applyFill="1" applyBorder="1"/>
    <xf numFmtId="165" fontId="0" fillId="7" borderId="9" xfId="1" applyNumberFormat="1" applyFont="1" applyFill="1" applyBorder="1" applyAlignment="1">
      <alignment vertical="top"/>
    </xf>
    <xf numFmtId="0" fontId="0" fillId="7" borderId="1" xfId="0" applyFill="1" applyBorder="1" applyAlignment="1">
      <alignment vertical="top"/>
    </xf>
    <xf numFmtId="0" fontId="6" fillId="7" borderId="10" xfId="0" applyFont="1" applyFill="1" applyBorder="1" applyAlignment="1">
      <alignment vertical="top"/>
    </xf>
    <xf numFmtId="165" fontId="0" fillId="7" borderId="10" xfId="1" applyNumberFormat="1" applyFont="1" applyFill="1" applyBorder="1"/>
    <xf numFmtId="0" fontId="6" fillId="7" borderId="1" xfId="0" applyFont="1" applyFill="1" applyBorder="1" applyAlignment="1">
      <alignment vertical="top"/>
    </xf>
    <xf numFmtId="0" fontId="0" fillId="7" borderId="10" xfId="0" applyFill="1" applyBorder="1" applyAlignment="1">
      <alignment vertical="top"/>
    </xf>
    <xf numFmtId="165" fontId="0" fillId="7" borderId="11" xfId="1" applyNumberFormat="1" applyFont="1" applyFill="1" applyBorder="1" applyAlignment="1">
      <alignment vertical="top"/>
    </xf>
    <xf numFmtId="0" fontId="0" fillId="7" borderId="12" xfId="0" applyFill="1" applyBorder="1" applyAlignment="1">
      <alignment vertical="top"/>
    </xf>
    <xf numFmtId="0" fontId="6" fillId="7" borderId="13" xfId="0" applyFont="1" applyFill="1" applyBorder="1" applyAlignment="1">
      <alignment vertical="top"/>
    </xf>
    <xf numFmtId="43" fontId="4" fillId="0" borderId="5" xfId="1" applyFont="1" applyBorder="1"/>
    <xf numFmtId="0" fontId="0" fillId="4" borderId="24" xfId="0" applyFill="1" applyBorder="1" applyAlignment="1">
      <alignment vertical="top"/>
    </xf>
    <xf numFmtId="14" fontId="0" fillId="4" borderId="24" xfId="0" applyNumberFormat="1" applyFill="1" applyBorder="1" applyAlignment="1">
      <alignment horizontal="right" vertical="top"/>
    </xf>
    <xf numFmtId="4" fontId="0" fillId="4" borderId="24" xfId="0" applyNumberFormat="1" applyFill="1" applyBorder="1" applyAlignment="1">
      <alignment horizontal="right" vertical="top"/>
    </xf>
    <xf numFmtId="0" fontId="0" fillId="0" borderId="0" xfId="0" applyBorder="1" applyAlignment="1">
      <alignment vertical="top" indent="2"/>
    </xf>
    <xf numFmtId="14" fontId="0" fillId="0" borderId="0" xfId="0" applyNumberFormat="1" applyBorder="1" applyAlignment="1">
      <alignment horizontal="right" vertical="top"/>
    </xf>
    <xf numFmtId="4" fontId="0" fillId="0" borderId="0" xfId="0" applyNumberFormat="1" applyBorder="1" applyAlignment="1">
      <alignment horizontal="right" vertical="top"/>
    </xf>
    <xf numFmtId="0" fontId="0" fillId="0" borderId="0" xfId="0" applyFill="1" applyBorder="1" applyAlignment="1">
      <alignment vertical="top" indent="2"/>
    </xf>
    <xf numFmtId="0" fontId="0" fillId="0" borderId="0" xfId="0" applyFill="1" applyBorder="1" applyAlignment="1">
      <alignment vertical="top"/>
    </xf>
    <xf numFmtId="14" fontId="0" fillId="0" borderId="0" xfId="0" applyNumberFormat="1" applyFill="1" applyBorder="1" applyAlignment="1">
      <alignment horizontal="right" vertical="top"/>
    </xf>
    <xf numFmtId="4" fontId="0" fillId="0" borderId="0" xfId="0" applyNumberFormat="1" applyFill="1" applyBorder="1" applyAlignment="1">
      <alignment horizontal="right" vertical="top"/>
    </xf>
    <xf numFmtId="14" fontId="0" fillId="0" borderId="0" xfId="0" applyNumberFormat="1" applyFill="1" applyBorder="1" applyAlignment="1">
      <alignment vertical="top"/>
    </xf>
    <xf numFmtId="4" fontId="0" fillId="0" borderId="0" xfId="0" applyNumberFormat="1" applyAlignment="1">
      <alignment vertical="top"/>
    </xf>
    <xf numFmtId="1" fontId="0" fillId="2" borderId="1" xfId="0" applyNumberFormat="1" applyFill="1" applyBorder="1" applyAlignment="1">
      <alignment vertical="top" wrapText="1"/>
    </xf>
    <xf numFmtId="1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4" fillId="0" borderId="17" xfId="2" applyFont="1" applyBorder="1" applyAlignment="1">
      <alignment horizontal="center"/>
    </xf>
    <xf numFmtId="0" fontId="4" fillId="0" borderId="25" xfId="2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1" fillId="0" borderId="0" xfId="2" applyFont="1"/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49" fontId="9" fillId="0" borderId="1" xfId="0" applyNumberFormat="1" applyFont="1" applyBorder="1" applyAlignment="1">
      <alignment vertical="top"/>
    </xf>
    <xf numFmtId="1" fontId="8" fillId="0" borderId="1" xfId="0" applyNumberFormat="1" applyFont="1" applyBorder="1" applyAlignment="1">
      <alignment vertical="top"/>
    </xf>
    <xf numFmtId="1" fontId="9" fillId="0" borderId="1" xfId="0" applyNumberFormat="1" applyFont="1" applyBorder="1" applyAlignment="1">
      <alignment vertical="top"/>
    </xf>
    <xf numFmtId="165" fontId="9" fillId="0" borderId="1" xfId="1" applyNumberFormat="1" applyFont="1" applyBorder="1" applyAlignment="1">
      <alignment horizontal="right" vertical="top"/>
    </xf>
    <xf numFmtId="165" fontId="10" fillId="0" borderId="1" xfId="1" applyNumberFormat="1" applyFont="1" applyBorder="1" applyAlignment="1">
      <alignment horizontal="right" vertical="top"/>
    </xf>
    <xf numFmtId="165" fontId="9" fillId="0" borderId="1" xfId="1" applyNumberFormat="1" applyFont="1" applyBorder="1" applyAlignment="1">
      <alignment vertical="top"/>
    </xf>
    <xf numFmtId="0" fontId="5" fillId="0" borderId="1" xfId="0" applyFont="1" applyBorder="1"/>
    <xf numFmtId="0" fontId="0" fillId="8" borderId="1" xfId="0" applyFill="1" applyBorder="1" applyAlignment="1">
      <alignment vertical="top"/>
    </xf>
    <xf numFmtId="14" fontId="0" fillId="8" borderId="1" xfId="0" applyNumberFormat="1" applyFill="1" applyBorder="1" applyAlignment="1">
      <alignment horizontal="right" vertical="top"/>
    </xf>
    <xf numFmtId="1" fontId="0" fillId="8" borderId="1" xfId="0" applyNumberFormat="1" applyFill="1" applyBorder="1" applyAlignment="1">
      <alignment vertical="top"/>
    </xf>
    <xf numFmtId="4" fontId="0" fillId="8" borderId="1" xfId="0" applyNumberFormat="1" applyFill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0" fontId="0" fillId="5" borderId="1" xfId="0" applyFill="1" applyBorder="1" applyAlignment="1">
      <alignment vertical="top"/>
    </xf>
    <xf numFmtId="14" fontId="0" fillId="5" borderId="1" xfId="0" applyNumberFormat="1" applyFill="1" applyBorder="1" applyAlignment="1">
      <alignment horizontal="right" vertical="top"/>
    </xf>
    <xf numFmtId="1" fontId="0" fillId="5" borderId="1" xfId="0" applyNumberFormat="1" applyFill="1" applyBorder="1" applyAlignment="1">
      <alignment vertical="top"/>
    </xf>
    <xf numFmtId="4" fontId="0" fillId="5" borderId="1" xfId="0" applyNumberFormat="1" applyFill="1" applyBorder="1" applyAlignment="1">
      <alignment horizontal="right" vertical="top"/>
    </xf>
    <xf numFmtId="0" fontId="0" fillId="6" borderId="1" xfId="0" applyFill="1" applyBorder="1" applyAlignment="1">
      <alignment vertical="top"/>
    </xf>
    <xf numFmtId="14" fontId="0" fillId="6" borderId="1" xfId="0" applyNumberFormat="1" applyFill="1" applyBorder="1" applyAlignment="1">
      <alignment horizontal="right" vertical="top"/>
    </xf>
    <xf numFmtId="1" fontId="0" fillId="6" borderId="1" xfId="0" applyNumberFormat="1" applyFill="1" applyBorder="1" applyAlignment="1">
      <alignment vertical="top"/>
    </xf>
    <xf numFmtId="4" fontId="0" fillId="6" borderId="1" xfId="0" applyNumberFormat="1" applyFill="1" applyBorder="1" applyAlignment="1">
      <alignment horizontal="right" vertical="top"/>
    </xf>
    <xf numFmtId="0" fontId="0" fillId="8" borderId="1" xfId="0" applyFill="1" applyBorder="1"/>
    <xf numFmtId="9" fontId="0" fillId="0" borderId="1" xfId="4" applyFont="1" applyBorder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165" fontId="5" fillId="2" borderId="1" xfId="1" applyNumberFormat="1" applyFont="1" applyFill="1" applyBorder="1" applyAlignment="1">
      <alignment vertical="top" wrapText="1"/>
    </xf>
  </cellXfs>
  <cellStyles count="5">
    <cellStyle name="Comma" xfId="1" builtinId="3"/>
    <cellStyle name="Comma 2" xfId="3" xr:uid="{1014E819-53C8-4F0B-BCEC-69E1AB5D3703}"/>
    <cellStyle name="Normal" xfId="0" builtinId="0"/>
    <cellStyle name="Normal 2" xfId="2" xr:uid="{CCD90ABE-BCED-4F1A-AA56-837742FB1934}"/>
    <cellStyle name="Percent" xfId="4" builtinId="5"/>
  </cellStyles>
  <dxfs count="1">
    <dxf>
      <fill>
        <patternFill patternType="solid">
          <fgColor rgb="FF00B05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2" name="Picture@5C\Qopen@" descr="@5C\Qopen@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</xdr:row>
      <xdr:rowOff>0</xdr:rowOff>
    </xdr:from>
    <xdr:to>
      <xdr:col>5</xdr:col>
      <xdr:colOff>152400</xdr:colOff>
      <xdr:row>1</xdr:row>
      <xdr:rowOff>133350</xdr:rowOff>
    </xdr:to>
    <xdr:pic>
      <xdr:nvPicPr>
        <xdr:cNvPr id="3" name="Picture@AG\QOverdue@" descr="@AG\QOverdue@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4" name="Picture@5C\Qopen@" descr="@5C\Qopen@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152400</xdr:colOff>
      <xdr:row>2</xdr:row>
      <xdr:rowOff>133350</xdr:rowOff>
    </xdr:to>
    <xdr:pic>
      <xdr:nvPicPr>
        <xdr:cNvPr id="5" name="Picture@AG\QOverdue@" descr="@AG\QOverdue@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6" name="Picture@5C\Qopen@" descr="@5C\Qopen@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</xdr:row>
      <xdr:rowOff>0</xdr:rowOff>
    </xdr:from>
    <xdr:to>
      <xdr:col>5</xdr:col>
      <xdr:colOff>152400</xdr:colOff>
      <xdr:row>3</xdr:row>
      <xdr:rowOff>133350</xdr:rowOff>
    </xdr:to>
    <xdr:pic>
      <xdr:nvPicPr>
        <xdr:cNvPr id="7" name="Picture@AG\QOverdue@" descr="@AG\QOverdue@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8" name="Picture@5C\Qopen@" descr="@5C\Qopen@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</xdr:row>
      <xdr:rowOff>0</xdr:rowOff>
    </xdr:from>
    <xdr:to>
      <xdr:col>5</xdr:col>
      <xdr:colOff>152400</xdr:colOff>
      <xdr:row>4</xdr:row>
      <xdr:rowOff>133350</xdr:rowOff>
    </xdr:to>
    <xdr:pic>
      <xdr:nvPicPr>
        <xdr:cNvPr id="9" name="Picture@AG\QOverdue@" descr="@AG\QOverdue@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10" name="Picture@5C\Qopen@" descr="@5C\Qopen@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</xdr:row>
      <xdr:rowOff>0</xdr:rowOff>
    </xdr:from>
    <xdr:to>
      <xdr:col>5</xdr:col>
      <xdr:colOff>152400</xdr:colOff>
      <xdr:row>5</xdr:row>
      <xdr:rowOff>133350</xdr:rowOff>
    </xdr:to>
    <xdr:pic>
      <xdr:nvPicPr>
        <xdr:cNvPr id="11" name="Picture@AG\QOverdue@" descr="@AG\QOverdue@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12" name="Picture@5C\Qopen@" descr="@5C\Qopen@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</xdr:row>
      <xdr:rowOff>0</xdr:rowOff>
    </xdr:from>
    <xdr:to>
      <xdr:col>5</xdr:col>
      <xdr:colOff>152400</xdr:colOff>
      <xdr:row>6</xdr:row>
      <xdr:rowOff>133350</xdr:rowOff>
    </xdr:to>
    <xdr:pic>
      <xdr:nvPicPr>
        <xdr:cNvPr id="13" name="Picture@AG\QOverdue@" descr="@AG\QOverdue@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14" name="Picture@5C\Qopen@" descr="@5C\Qopen@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5</xdr:col>
      <xdr:colOff>152400</xdr:colOff>
      <xdr:row>7</xdr:row>
      <xdr:rowOff>133350</xdr:rowOff>
    </xdr:to>
    <xdr:pic>
      <xdr:nvPicPr>
        <xdr:cNvPr id="15" name="Picture@AG\QOverdue@" descr="@AG\QOverdue@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16" name="Picture@5C\Qopen@" descr="@5C\Qopen@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</xdr:row>
      <xdr:rowOff>0</xdr:rowOff>
    </xdr:from>
    <xdr:to>
      <xdr:col>5</xdr:col>
      <xdr:colOff>152400</xdr:colOff>
      <xdr:row>8</xdr:row>
      <xdr:rowOff>133350</xdr:rowOff>
    </xdr:to>
    <xdr:pic>
      <xdr:nvPicPr>
        <xdr:cNvPr id="17" name="Picture@AG\QOverdue@" descr="@AG\QOverdue@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18" name="Picture@5C\Qopen@" descr="@5C\Qopen@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</xdr:row>
      <xdr:rowOff>0</xdr:rowOff>
    </xdr:from>
    <xdr:to>
      <xdr:col>5</xdr:col>
      <xdr:colOff>152400</xdr:colOff>
      <xdr:row>9</xdr:row>
      <xdr:rowOff>133350</xdr:rowOff>
    </xdr:to>
    <xdr:pic>
      <xdr:nvPicPr>
        <xdr:cNvPr id="19" name="Picture@AG\QOverdue@" descr="@AG\QOverdue@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0" name="Picture@5C\Qopen@" descr="@5C\Qopen@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</xdr:row>
      <xdr:rowOff>0</xdr:rowOff>
    </xdr:from>
    <xdr:to>
      <xdr:col>5</xdr:col>
      <xdr:colOff>152400</xdr:colOff>
      <xdr:row>10</xdr:row>
      <xdr:rowOff>133350</xdr:rowOff>
    </xdr:to>
    <xdr:pic>
      <xdr:nvPicPr>
        <xdr:cNvPr id="21" name="Picture@AG\QOverdue@" descr="@AG\QOverdue@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22" name="Picture@5C\Qopen@" descr="@5C\Qopen@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</xdr:row>
      <xdr:rowOff>0</xdr:rowOff>
    </xdr:from>
    <xdr:to>
      <xdr:col>5</xdr:col>
      <xdr:colOff>152400</xdr:colOff>
      <xdr:row>11</xdr:row>
      <xdr:rowOff>133350</xdr:rowOff>
    </xdr:to>
    <xdr:pic>
      <xdr:nvPicPr>
        <xdr:cNvPr id="23" name="Picture@AG\QOverdue@" descr="@AG\QOverdue@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24" name="Picture@5C\Qopen@" descr="@5C\Qopen@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152400</xdr:colOff>
      <xdr:row>12</xdr:row>
      <xdr:rowOff>133350</xdr:rowOff>
    </xdr:to>
    <xdr:pic>
      <xdr:nvPicPr>
        <xdr:cNvPr id="25" name="Picture@AG\QOverdue@" descr="@AG\QOverdue@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26" name="Picture@5C\Qopen@" descr="@5C\Qopen@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</xdr:row>
      <xdr:rowOff>0</xdr:rowOff>
    </xdr:from>
    <xdr:to>
      <xdr:col>5</xdr:col>
      <xdr:colOff>152400</xdr:colOff>
      <xdr:row>13</xdr:row>
      <xdr:rowOff>133350</xdr:rowOff>
    </xdr:to>
    <xdr:pic>
      <xdr:nvPicPr>
        <xdr:cNvPr id="27" name="Picture@AG\QOverdue@" descr="@AG\QOverdue@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28" name="Picture@5C\Qopen@" descr="@5C\Qopen@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</xdr:row>
      <xdr:rowOff>0</xdr:rowOff>
    </xdr:from>
    <xdr:to>
      <xdr:col>5</xdr:col>
      <xdr:colOff>152400</xdr:colOff>
      <xdr:row>14</xdr:row>
      <xdr:rowOff>133350</xdr:rowOff>
    </xdr:to>
    <xdr:pic>
      <xdr:nvPicPr>
        <xdr:cNvPr id="29" name="Picture@AG\QOverdue@" descr="@AG\QOverdue@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30" name="Picture@5C\Qopen@" descr="@5C\Qopen@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</xdr:row>
      <xdr:rowOff>0</xdr:rowOff>
    </xdr:from>
    <xdr:to>
      <xdr:col>5</xdr:col>
      <xdr:colOff>152400</xdr:colOff>
      <xdr:row>15</xdr:row>
      <xdr:rowOff>133350</xdr:rowOff>
    </xdr:to>
    <xdr:pic>
      <xdr:nvPicPr>
        <xdr:cNvPr id="31" name="Picture@AG\QOverdue@" descr="@AG\QOverdue@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32" name="Picture@5C\Qopen@" descr="@5C\Qopen@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</xdr:row>
      <xdr:rowOff>0</xdr:rowOff>
    </xdr:from>
    <xdr:to>
      <xdr:col>5</xdr:col>
      <xdr:colOff>152400</xdr:colOff>
      <xdr:row>16</xdr:row>
      <xdr:rowOff>133350</xdr:rowOff>
    </xdr:to>
    <xdr:pic>
      <xdr:nvPicPr>
        <xdr:cNvPr id="33" name="Picture@AG\QOverdue@" descr="@AG\QOverdue@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34" name="Picture@5C\Qopen@" descr="@5C\Qopen@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</xdr:row>
      <xdr:rowOff>0</xdr:rowOff>
    </xdr:from>
    <xdr:to>
      <xdr:col>5</xdr:col>
      <xdr:colOff>152400</xdr:colOff>
      <xdr:row>17</xdr:row>
      <xdr:rowOff>133350</xdr:rowOff>
    </xdr:to>
    <xdr:pic>
      <xdr:nvPicPr>
        <xdr:cNvPr id="35" name="Picture@AG\QOverdue@" descr="@AG\QOverdue@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36" name="Picture@5C\Qopen@" descr="@5C\Qopen@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152400</xdr:colOff>
      <xdr:row>18</xdr:row>
      <xdr:rowOff>133350</xdr:rowOff>
    </xdr:to>
    <xdr:pic>
      <xdr:nvPicPr>
        <xdr:cNvPr id="37" name="Picture@AG\QOverdue@" descr="@AG\QOverdue@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38" name="Picture@5C\Qopen@" descr="@5C\Qopen@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</xdr:row>
      <xdr:rowOff>0</xdr:rowOff>
    </xdr:from>
    <xdr:to>
      <xdr:col>5</xdr:col>
      <xdr:colOff>152400</xdr:colOff>
      <xdr:row>19</xdr:row>
      <xdr:rowOff>133350</xdr:rowOff>
    </xdr:to>
    <xdr:pic>
      <xdr:nvPicPr>
        <xdr:cNvPr id="39" name="Picture@AG\QOverdue@" descr="@AG\QOverdue@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40" name="Picture@5C\Qopen@" descr="@5C\Qopen@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152400</xdr:colOff>
      <xdr:row>20</xdr:row>
      <xdr:rowOff>133350</xdr:rowOff>
    </xdr:to>
    <xdr:pic>
      <xdr:nvPicPr>
        <xdr:cNvPr id="41" name="Picture@AG\QOverdue@" descr="@AG\QOverdue@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42" name="Picture@5C\Qopen@" descr="@5C\Qopen@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</xdr:row>
      <xdr:rowOff>0</xdr:rowOff>
    </xdr:from>
    <xdr:to>
      <xdr:col>5</xdr:col>
      <xdr:colOff>152400</xdr:colOff>
      <xdr:row>21</xdr:row>
      <xdr:rowOff>133350</xdr:rowOff>
    </xdr:to>
    <xdr:pic>
      <xdr:nvPicPr>
        <xdr:cNvPr id="43" name="Picture@AG\QOverdue@" descr="@AG\QOverdue@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44" name="Picture@5C\Qopen@" descr="@5C\Qopen@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22</xdr:row>
      <xdr:rowOff>0</xdr:rowOff>
    </xdr:from>
    <xdr:to>
      <xdr:col>5</xdr:col>
      <xdr:colOff>152400</xdr:colOff>
      <xdr:row>22</xdr:row>
      <xdr:rowOff>133350</xdr:rowOff>
    </xdr:to>
    <xdr:pic>
      <xdr:nvPicPr>
        <xdr:cNvPr id="45" name="Picture@AG\QOverdue@" descr="@AG\QOverdue@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46" name="Picture@5C\Qopen@" descr="@5C\Qopen@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23</xdr:row>
      <xdr:rowOff>0</xdr:rowOff>
    </xdr:from>
    <xdr:to>
      <xdr:col>5</xdr:col>
      <xdr:colOff>152400</xdr:colOff>
      <xdr:row>23</xdr:row>
      <xdr:rowOff>133350</xdr:rowOff>
    </xdr:to>
    <xdr:pic>
      <xdr:nvPicPr>
        <xdr:cNvPr id="47" name="Picture@AG\QOverdue@" descr="@AG\QOverdue@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48" name="Picture@5C\Qopen@" descr="@5C\Qopen@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152400</xdr:colOff>
      <xdr:row>24</xdr:row>
      <xdr:rowOff>133350</xdr:rowOff>
    </xdr:to>
    <xdr:pic>
      <xdr:nvPicPr>
        <xdr:cNvPr id="49" name="Picture@AG\QOverdue@" descr="@AG\QOverdue@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50" name="Picture@5C\Qopen@" descr="@5C\Qopen@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25</xdr:row>
      <xdr:rowOff>0</xdr:rowOff>
    </xdr:from>
    <xdr:to>
      <xdr:col>5</xdr:col>
      <xdr:colOff>152400</xdr:colOff>
      <xdr:row>25</xdr:row>
      <xdr:rowOff>133350</xdr:rowOff>
    </xdr:to>
    <xdr:pic>
      <xdr:nvPicPr>
        <xdr:cNvPr id="51" name="Picture@AG\QOverdue@" descr="@AG\QOverdue@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52" name="Picture@5C\Qopen@" descr="@5C\Qopen@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152400</xdr:colOff>
      <xdr:row>26</xdr:row>
      <xdr:rowOff>133350</xdr:rowOff>
    </xdr:to>
    <xdr:pic>
      <xdr:nvPicPr>
        <xdr:cNvPr id="53" name="Picture@AG\QOverdue@" descr="@AG\QOverdue@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54" name="Picture@5C\Qopen@" descr="@5C\Qopen@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27</xdr:row>
      <xdr:rowOff>0</xdr:rowOff>
    </xdr:from>
    <xdr:to>
      <xdr:col>5</xdr:col>
      <xdr:colOff>152400</xdr:colOff>
      <xdr:row>27</xdr:row>
      <xdr:rowOff>133350</xdr:rowOff>
    </xdr:to>
    <xdr:pic>
      <xdr:nvPicPr>
        <xdr:cNvPr id="55" name="Picture@AG\QOverdue@" descr="@AG\QOverdue@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56" name="Picture@5C\Qopen@" descr="@5C\Qopen@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28</xdr:row>
      <xdr:rowOff>0</xdr:rowOff>
    </xdr:from>
    <xdr:to>
      <xdr:col>5</xdr:col>
      <xdr:colOff>152400</xdr:colOff>
      <xdr:row>28</xdr:row>
      <xdr:rowOff>133350</xdr:rowOff>
    </xdr:to>
    <xdr:pic>
      <xdr:nvPicPr>
        <xdr:cNvPr id="57" name="Picture@AG\QOverdue@" descr="@AG\QOverdue@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58" name="Picture@5C\Qopen@" descr="@5C\Qopen@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29</xdr:row>
      <xdr:rowOff>0</xdr:rowOff>
    </xdr:from>
    <xdr:to>
      <xdr:col>5</xdr:col>
      <xdr:colOff>152400</xdr:colOff>
      <xdr:row>29</xdr:row>
      <xdr:rowOff>133350</xdr:rowOff>
    </xdr:to>
    <xdr:pic>
      <xdr:nvPicPr>
        <xdr:cNvPr id="59" name="Picture@AG\QOverdue@" descr="@AG\QOverdue@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60" name="Picture@5C\Qopen@" descr="@5C\Qopen@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30</xdr:row>
      <xdr:rowOff>0</xdr:rowOff>
    </xdr:from>
    <xdr:to>
      <xdr:col>5</xdr:col>
      <xdr:colOff>152400</xdr:colOff>
      <xdr:row>30</xdr:row>
      <xdr:rowOff>133350</xdr:rowOff>
    </xdr:to>
    <xdr:pic>
      <xdr:nvPicPr>
        <xdr:cNvPr id="61" name="Picture@AG\QOverdue@" descr="@AG\QOverdue@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62" name="Picture@5C\Qopen@" descr="@5C\Qopen@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31</xdr:row>
      <xdr:rowOff>0</xdr:rowOff>
    </xdr:from>
    <xdr:to>
      <xdr:col>5</xdr:col>
      <xdr:colOff>152400</xdr:colOff>
      <xdr:row>31</xdr:row>
      <xdr:rowOff>133350</xdr:rowOff>
    </xdr:to>
    <xdr:pic>
      <xdr:nvPicPr>
        <xdr:cNvPr id="63" name="Picture@AG\QOverdue@" descr="@AG\QOverdue@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64" name="Picture@5C\Qopen@" descr="@5C\Qopen@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152400</xdr:colOff>
      <xdr:row>32</xdr:row>
      <xdr:rowOff>133350</xdr:rowOff>
    </xdr:to>
    <xdr:pic>
      <xdr:nvPicPr>
        <xdr:cNvPr id="65" name="Picture@AG\QOverdue@" descr="@AG\QOverdue@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66" name="Picture@5C\Qopen@" descr="@5C\Qopen@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33</xdr:row>
      <xdr:rowOff>0</xdr:rowOff>
    </xdr:from>
    <xdr:to>
      <xdr:col>5</xdr:col>
      <xdr:colOff>152400</xdr:colOff>
      <xdr:row>33</xdr:row>
      <xdr:rowOff>133350</xdr:rowOff>
    </xdr:to>
    <xdr:pic>
      <xdr:nvPicPr>
        <xdr:cNvPr id="67" name="Picture@AG\QOverdue@" descr="@AG\QOverdue@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68" name="Picture@5C\Qopen@" descr="@5C\Qopen@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152400</xdr:colOff>
      <xdr:row>34</xdr:row>
      <xdr:rowOff>133350</xdr:rowOff>
    </xdr:to>
    <xdr:pic>
      <xdr:nvPicPr>
        <xdr:cNvPr id="69" name="Picture@AG\QOverdue@" descr="@AG\QOverdue@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70" name="Picture@5C\Qopen@" descr="@5C\Qopen@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35</xdr:row>
      <xdr:rowOff>0</xdr:rowOff>
    </xdr:from>
    <xdr:to>
      <xdr:col>5</xdr:col>
      <xdr:colOff>152400</xdr:colOff>
      <xdr:row>35</xdr:row>
      <xdr:rowOff>133350</xdr:rowOff>
    </xdr:to>
    <xdr:pic>
      <xdr:nvPicPr>
        <xdr:cNvPr id="71" name="Picture@AG\QOverdue@" descr="@AG\QOverdue@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72" name="Picture@5C\Qopen@" descr="@5C\Qopen@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152400</xdr:colOff>
      <xdr:row>36</xdr:row>
      <xdr:rowOff>133350</xdr:rowOff>
    </xdr:to>
    <xdr:pic>
      <xdr:nvPicPr>
        <xdr:cNvPr id="73" name="Picture@AG\QOverdue@" descr="@AG\QOverdue@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74" name="Picture@5C\Qopen@" descr="@5C\Qopen@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37</xdr:row>
      <xdr:rowOff>0</xdr:rowOff>
    </xdr:from>
    <xdr:to>
      <xdr:col>5</xdr:col>
      <xdr:colOff>152400</xdr:colOff>
      <xdr:row>37</xdr:row>
      <xdr:rowOff>133350</xdr:rowOff>
    </xdr:to>
    <xdr:pic>
      <xdr:nvPicPr>
        <xdr:cNvPr id="75" name="Picture@AG\QOverdue@" descr="@AG\QOverdue@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76" name="Picture@5C\Qopen@" descr="@5C\Qopen@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38</xdr:row>
      <xdr:rowOff>0</xdr:rowOff>
    </xdr:from>
    <xdr:to>
      <xdr:col>5</xdr:col>
      <xdr:colOff>152400</xdr:colOff>
      <xdr:row>38</xdr:row>
      <xdr:rowOff>133350</xdr:rowOff>
    </xdr:to>
    <xdr:pic>
      <xdr:nvPicPr>
        <xdr:cNvPr id="77" name="Picture@AG\QOverdue@" descr="@AG\QOverdue@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78" name="Picture@5C\Qopen@" descr="@5C\Qopen@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39</xdr:row>
      <xdr:rowOff>0</xdr:rowOff>
    </xdr:from>
    <xdr:to>
      <xdr:col>5</xdr:col>
      <xdr:colOff>152400</xdr:colOff>
      <xdr:row>39</xdr:row>
      <xdr:rowOff>133350</xdr:rowOff>
    </xdr:to>
    <xdr:pic>
      <xdr:nvPicPr>
        <xdr:cNvPr id="79" name="Picture@AG\QOverdue@" descr="@AG\QOverdue@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80" name="Picture@5C\Qopen@" descr="@5C\Qopen@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40</xdr:row>
      <xdr:rowOff>0</xdr:rowOff>
    </xdr:from>
    <xdr:to>
      <xdr:col>5</xdr:col>
      <xdr:colOff>152400</xdr:colOff>
      <xdr:row>40</xdr:row>
      <xdr:rowOff>133350</xdr:rowOff>
    </xdr:to>
    <xdr:pic>
      <xdr:nvPicPr>
        <xdr:cNvPr id="81" name="Picture@AG\QOverdue@" descr="@AG\QOverdue@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82" name="Picture@5C\Qopen@" descr="@5C\Qopen@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41</xdr:row>
      <xdr:rowOff>0</xdr:rowOff>
    </xdr:from>
    <xdr:to>
      <xdr:col>5</xdr:col>
      <xdr:colOff>152400</xdr:colOff>
      <xdr:row>41</xdr:row>
      <xdr:rowOff>133350</xdr:rowOff>
    </xdr:to>
    <xdr:pic>
      <xdr:nvPicPr>
        <xdr:cNvPr id="83" name="Picture@AG\QOverdue@" descr="@AG\QOverdue@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84" name="Picture@5C\Qopen@" descr="@5C\Qopen@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42</xdr:row>
      <xdr:rowOff>0</xdr:rowOff>
    </xdr:from>
    <xdr:to>
      <xdr:col>5</xdr:col>
      <xdr:colOff>152400</xdr:colOff>
      <xdr:row>42</xdr:row>
      <xdr:rowOff>133350</xdr:rowOff>
    </xdr:to>
    <xdr:pic>
      <xdr:nvPicPr>
        <xdr:cNvPr id="85" name="Picture@AG\QOverdue@" descr="@AG\QOverdue@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86" name="Picture@5C\Qopen@" descr="@5C\Qopen@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43</xdr:row>
      <xdr:rowOff>0</xdr:rowOff>
    </xdr:from>
    <xdr:to>
      <xdr:col>5</xdr:col>
      <xdr:colOff>152400</xdr:colOff>
      <xdr:row>43</xdr:row>
      <xdr:rowOff>133350</xdr:rowOff>
    </xdr:to>
    <xdr:pic>
      <xdr:nvPicPr>
        <xdr:cNvPr id="87" name="Picture@AG\QOverdue@" descr="@AG\QOverdue@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88" name="Picture@5C\Qopen@" descr="@5C\Qopen@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44</xdr:row>
      <xdr:rowOff>0</xdr:rowOff>
    </xdr:from>
    <xdr:to>
      <xdr:col>5</xdr:col>
      <xdr:colOff>152400</xdr:colOff>
      <xdr:row>44</xdr:row>
      <xdr:rowOff>133350</xdr:rowOff>
    </xdr:to>
    <xdr:pic>
      <xdr:nvPicPr>
        <xdr:cNvPr id="89" name="Picture@AG\QOverdue@" descr="@AG\QOverdue@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90" name="Picture@5C\Qopen@" descr="@5C\Qopen@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45</xdr:row>
      <xdr:rowOff>0</xdr:rowOff>
    </xdr:from>
    <xdr:to>
      <xdr:col>5</xdr:col>
      <xdr:colOff>152400</xdr:colOff>
      <xdr:row>45</xdr:row>
      <xdr:rowOff>133350</xdr:rowOff>
    </xdr:to>
    <xdr:pic>
      <xdr:nvPicPr>
        <xdr:cNvPr id="91" name="Picture@AG\QOverdue@" descr="@AG\QOverdue@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92" name="Picture@5C\Qopen@" descr="@5C\Qopen@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46</xdr:row>
      <xdr:rowOff>0</xdr:rowOff>
    </xdr:from>
    <xdr:to>
      <xdr:col>5</xdr:col>
      <xdr:colOff>152400</xdr:colOff>
      <xdr:row>46</xdr:row>
      <xdr:rowOff>133350</xdr:rowOff>
    </xdr:to>
    <xdr:pic>
      <xdr:nvPicPr>
        <xdr:cNvPr id="93" name="Picture@AG\QOverdue@" descr="@AG\QOverdue@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94" name="Picture@5C\Qopen@" descr="@5C\Qopen@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47</xdr:row>
      <xdr:rowOff>0</xdr:rowOff>
    </xdr:from>
    <xdr:to>
      <xdr:col>5</xdr:col>
      <xdr:colOff>152400</xdr:colOff>
      <xdr:row>47</xdr:row>
      <xdr:rowOff>133350</xdr:rowOff>
    </xdr:to>
    <xdr:pic>
      <xdr:nvPicPr>
        <xdr:cNvPr id="95" name="Picture@AG\QOverdue@" descr="@AG\QOverdue@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96" name="Picture@5C\Qopen@" descr="@5C\Qopen@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152400</xdr:colOff>
      <xdr:row>48</xdr:row>
      <xdr:rowOff>133350</xdr:rowOff>
    </xdr:to>
    <xdr:pic>
      <xdr:nvPicPr>
        <xdr:cNvPr id="97" name="Picture@AG\QOverdue@" descr="@AG\QOverdue@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98" name="Picture@5C\Qopen@" descr="@5C\Qopen@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49</xdr:row>
      <xdr:rowOff>0</xdr:rowOff>
    </xdr:from>
    <xdr:to>
      <xdr:col>5</xdr:col>
      <xdr:colOff>152400</xdr:colOff>
      <xdr:row>49</xdr:row>
      <xdr:rowOff>133350</xdr:rowOff>
    </xdr:to>
    <xdr:pic>
      <xdr:nvPicPr>
        <xdr:cNvPr id="99" name="Picture@AG\QOverdue@" descr="@AG\QOverdue@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100" name="Picture@5C\Qopen@" descr="@5C\Qopen@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50</xdr:row>
      <xdr:rowOff>0</xdr:rowOff>
    </xdr:from>
    <xdr:to>
      <xdr:col>5</xdr:col>
      <xdr:colOff>152400</xdr:colOff>
      <xdr:row>50</xdr:row>
      <xdr:rowOff>133350</xdr:rowOff>
    </xdr:to>
    <xdr:pic>
      <xdr:nvPicPr>
        <xdr:cNvPr id="101" name="Picture@AG\QOverdue@" descr="@AG\QOverdue@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102" name="Picture@5C\Qopen@" descr="@5C\Qopen@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152400</xdr:colOff>
      <xdr:row>51</xdr:row>
      <xdr:rowOff>133350</xdr:rowOff>
    </xdr:to>
    <xdr:pic>
      <xdr:nvPicPr>
        <xdr:cNvPr id="103" name="Picture@AG\QOverdue@" descr="@AG\QOverdue@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104" name="Picture@5C\Qopen@" descr="@5C\Qopen@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52</xdr:row>
      <xdr:rowOff>0</xdr:rowOff>
    </xdr:from>
    <xdr:to>
      <xdr:col>5</xdr:col>
      <xdr:colOff>152400</xdr:colOff>
      <xdr:row>52</xdr:row>
      <xdr:rowOff>133350</xdr:rowOff>
    </xdr:to>
    <xdr:pic>
      <xdr:nvPicPr>
        <xdr:cNvPr id="105" name="Picture@AG\QOverdue@" descr="@AG\QOverdue@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106" name="Picture@5C\Qopen@" descr="@5C\Qopen@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152400</xdr:colOff>
      <xdr:row>53</xdr:row>
      <xdr:rowOff>133350</xdr:rowOff>
    </xdr:to>
    <xdr:pic>
      <xdr:nvPicPr>
        <xdr:cNvPr id="107" name="Picture@AG\QOverdue@" descr="@AG\QOverdue@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108" name="Picture@5C\Qopen@" descr="@5C\Qopen@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54</xdr:row>
      <xdr:rowOff>0</xdr:rowOff>
    </xdr:from>
    <xdr:to>
      <xdr:col>5</xdr:col>
      <xdr:colOff>152400</xdr:colOff>
      <xdr:row>54</xdr:row>
      <xdr:rowOff>133350</xdr:rowOff>
    </xdr:to>
    <xdr:pic>
      <xdr:nvPicPr>
        <xdr:cNvPr id="109" name="Picture@AG\QOverdue@" descr="@AG\QOverdue@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110" name="Picture@5C\Qopen@" descr="@5C\Qopen@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55</xdr:row>
      <xdr:rowOff>0</xdr:rowOff>
    </xdr:from>
    <xdr:to>
      <xdr:col>5</xdr:col>
      <xdr:colOff>152400</xdr:colOff>
      <xdr:row>55</xdr:row>
      <xdr:rowOff>133350</xdr:rowOff>
    </xdr:to>
    <xdr:pic>
      <xdr:nvPicPr>
        <xdr:cNvPr id="111" name="Picture@AG\QOverdue@" descr="@AG\QOverdue@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112" name="Picture@5C\Qopen@" descr="@5C\Qopen@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56</xdr:row>
      <xdr:rowOff>0</xdr:rowOff>
    </xdr:from>
    <xdr:to>
      <xdr:col>5</xdr:col>
      <xdr:colOff>152400</xdr:colOff>
      <xdr:row>56</xdr:row>
      <xdr:rowOff>133350</xdr:rowOff>
    </xdr:to>
    <xdr:pic>
      <xdr:nvPicPr>
        <xdr:cNvPr id="113" name="Picture@AG\QOverdue@" descr="@AG\QOverdue@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114" name="Picture@5C\Qopen@" descr="@5C\Qopen@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57</xdr:row>
      <xdr:rowOff>0</xdr:rowOff>
    </xdr:from>
    <xdr:to>
      <xdr:col>5</xdr:col>
      <xdr:colOff>152400</xdr:colOff>
      <xdr:row>57</xdr:row>
      <xdr:rowOff>133350</xdr:rowOff>
    </xdr:to>
    <xdr:pic>
      <xdr:nvPicPr>
        <xdr:cNvPr id="115" name="Picture@AG\QOverdue@" descr="@AG\QOverdue@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116" name="Picture@5C\Qopen@" descr="@5C\Qopen@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58</xdr:row>
      <xdr:rowOff>0</xdr:rowOff>
    </xdr:from>
    <xdr:to>
      <xdr:col>5</xdr:col>
      <xdr:colOff>152400</xdr:colOff>
      <xdr:row>58</xdr:row>
      <xdr:rowOff>133350</xdr:rowOff>
    </xdr:to>
    <xdr:pic>
      <xdr:nvPicPr>
        <xdr:cNvPr id="117" name="Picture@AG\QOverdue@" descr="@AG\QOverdue@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118" name="Picture@5C\Qopen@" descr="@5C\Qopen@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59</xdr:row>
      <xdr:rowOff>0</xdr:rowOff>
    </xdr:from>
    <xdr:to>
      <xdr:col>5</xdr:col>
      <xdr:colOff>152400</xdr:colOff>
      <xdr:row>59</xdr:row>
      <xdr:rowOff>133350</xdr:rowOff>
    </xdr:to>
    <xdr:pic>
      <xdr:nvPicPr>
        <xdr:cNvPr id="119" name="Picture@AG\QOverdue@" descr="@AG\QOverdue@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120" name="Picture@5C\Qopen@" descr="@5C\Qopen@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60</xdr:row>
      <xdr:rowOff>0</xdr:rowOff>
    </xdr:from>
    <xdr:to>
      <xdr:col>5</xdr:col>
      <xdr:colOff>152400</xdr:colOff>
      <xdr:row>60</xdr:row>
      <xdr:rowOff>133350</xdr:rowOff>
    </xdr:to>
    <xdr:pic>
      <xdr:nvPicPr>
        <xdr:cNvPr id="121" name="Picture@AG\QOverdue@" descr="@AG\QOverdue@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122" name="Picture@5C\Qopen@" descr="@5C\Qopen@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61</xdr:row>
      <xdr:rowOff>0</xdr:rowOff>
    </xdr:from>
    <xdr:to>
      <xdr:col>5</xdr:col>
      <xdr:colOff>152400</xdr:colOff>
      <xdr:row>61</xdr:row>
      <xdr:rowOff>133350</xdr:rowOff>
    </xdr:to>
    <xdr:pic>
      <xdr:nvPicPr>
        <xdr:cNvPr id="123" name="Picture@AG\QOverdue@" descr="@AG\QOverdue@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124" name="Picture@5C\Qopen@" descr="@5C\Qopen@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62</xdr:row>
      <xdr:rowOff>0</xdr:rowOff>
    </xdr:from>
    <xdr:to>
      <xdr:col>5</xdr:col>
      <xdr:colOff>152400</xdr:colOff>
      <xdr:row>62</xdr:row>
      <xdr:rowOff>133350</xdr:rowOff>
    </xdr:to>
    <xdr:pic>
      <xdr:nvPicPr>
        <xdr:cNvPr id="125" name="Picture@AG\QOverdue@" descr="@AG\QOverdue@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126" name="Picture@5C\Qopen@" descr="@5C\Qopen@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63</xdr:row>
      <xdr:rowOff>0</xdr:rowOff>
    </xdr:from>
    <xdr:to>
      <xdr:col>5</xdr:col>
      <xdr:colOff>152400</xdr:colOff>
      <xdr:row>63</xdr:row>
      <xdr:rowOff>133350</xdr:rowOff>
    </xdr:to>
    <xdr:pic>
      <xdr:nvPicPr>
        <xdr:cNvPr id="127" name="Picture@AG\QOverdue@" descr="@AG\QOverdue@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128" name="Picture@5C\Qopen@" descr="@5C\Qopen@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64</xdr:row>
      <xdr:rowOff>0</xdr:rowOff>
    </xdr:from>
    <xdr:to>
      <xdr:col>5</xdr:col>
      <xdr:colOff>152400</xdr:colOff>
      <xdr:row>64</xdr:row>
      <xdr:rowOff>133350</xdr:rowOff>
    </xdr:to>
    <xdr:pic>
      <xdr:nvPicPr>
        <xdr:cNvPr id="129" name="Picture@AG\QOverdue@" descr="@AG\QOverdue@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130" name="Picture@5C\Qopen@" descr="@5C\Qopen@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65</xdr:row>
      <xdr:rowOff>0</xdr:rowOff>
    </xdr:from>
    <xdr:to>
      <xdr:col>5</xdr:col>
      <xdr:colOff>152400</xdr:colOff>
      <xdr:row>65</xdr:row>
      <xdr:rowOff>133350</xdr:rowOff>
    </xdr:to>
    <xdr:pic>
      <xdr:nvPicPr>
        <xdr:cNvPr id="131" name="Picture@AG\QOverdue@" descr="@AG\QOverdue@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132" name="Picture@5C\Qopen@" descr="@5C\Qopen@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66</xdr:row>
      <xdr:rowOff>0</xdr:rowOff>
    </xdr:from>
    <xdr:to>
      <xdr:col>5</xdr:col>
      <xdr:colOff>152400</xdr:colOff>
      <xdr:row>66</xdr:row>
      <xdr:rowOff>133350</xdr:rowOff>
    </xdr:to>
    <xdr:pic>
      <xdr:nvPicPr>
        <xdr:cNvPr id="133" name="Picture@AG\QOverdue@" descr="@AG\QOverdue@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134" name="Picture@5C\Qopen@" descr="@5C\Qopen@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67</xdr:row>
      <xdr:rowOff>0</xdr:rowOff>
    </xdr:from>
    <xdr:to>
      <xdr:col>5</xdr:col>
      <xdr:colOff>152400</xdr:colOff>
      <xdr:row>67</xdr:row>
      <xdr:rowOff>133350</xdr:rowOff>
    </xdr:to>
    <xdr:pic>
      <xdr:nvPicPr>
        <xdr:cNvPr id="135" name="Picture@AG\QOverdue@" descr="@AG\QOverdue@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136" name="Picture@5C\Qopen@" descr="@5C\Qopen@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68</xdr:row>
      <xdr:rowOff>0</xdr:rowOff>
    </xdr:from>
    <xdr:to>
      <xdr:col>5</xdr:col>
      <xdr:colOff>152400</xdr:colOff>
      <xdr:row>68</xdr:row>
      <xdr:rowOff>133350</xdr:rowOff>
    </xdr:to>
    <xdr:pic>
      <xdr:nvPicPr>
        <xdr:cNvPr id="137" name="Picture@AG\QOverdue@" descr="@AG\QOverdue@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138" name="Picture@5C\Qopen@" descr="@5C\Qopen@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69</xdr:row>
      <xdr:rowOff>0</xdr:rowOff>
    </xdr:from>
    <xdr:to>
      <xdr:col>5</xdr:col>
      <xdr:colOff>152400</xdr:colOff>
      <xdr:row>69</xdr:row>
      <xdr:rowOff>133350</xdr:rowOff>
    </xdr:to>
    <xdr:pic>
      <xdr:nvPicPr>
        <xdr:cNvPr id="139" name="Picture@AG\QOverdue@" descr="@AG\QOverdue@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140" name="Picture@5C\Qopen@" descr="@5C\Qopen@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70</xdr:row>
      <xdr:rowOff>0</xdr:rowOff>
    </xdr:from>
    <xdr:to>
      <xdr:col>5</xdr:col>
      <xdr:colOff>152400</xdr:colOff>
      <xdr:row>70</xdr:row>
      <xdr:rowOff>133350</xdr:rowOff>
    </xdr:to>
    <xdr:pic>
      <xdr:nvPicPr>
        <xdr:cNvPr id="141" name="Picture@AG\QOverdue@" descr="@AG\QOverdue@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142" name="Picture@5C\Qopen@" descr="@5C\Qopen@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152400</xdr:colOff>
      <xdr:row>71</xdr:row>
      <xdr:rowOff>133350</xdr:rowOff>
    </xdr:to>
    <xdr:pic>
      <xdr:nvPicPr>
        <xdr:cNvPr id="143" name="Picture@AG\QOverdue@" descr="@AG\QOverdue@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144" name="Picture@5C\Qopen@" descr="@5C\Qopen@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152400</xdr:colOff>
      <xdr:row>72</xdr:row>
      <xdr:rowOff>133350</xdr:rowOff>
    </xdr:to>
    <xdr:pic>
      <xdr:nvPicPr>
        <xdr:cNvPr id="145" name="Picture@AG\QOverdue@" descr="@AG\QOverdue@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146" name="Picture@5C\Qopen@" descr="@5C\Qopen@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73</xdr:row>
      <xdr:rowOff>0</xdr:rowOff>
    </xdr:from>
    <xdr:to>
      <xdr:col>5</xdr:col>
      <xdr:colOff>152400</xdr:colOff>
      <xdr:row>73</xdr:row>
      <xdr:rowOff>133350</xdr:rowOff>
    </xdr:to>
    <xdr:pic>
      <xdr:nvPicPr>
        <xdr:cNvPr id="147" name="Picture@AG\QOverdue@" descr="@AG\QOverdue@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148" name="Picture@5C\Qopen@" descr="@5C\Qopen@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74</xdr:row>
      <xdr:rowOff>0</xdr:rowOff>
    </xdr:from>
    <xdr:to>
      <xdr:col>5</xdr:col>
      <xdr:colOff>152400</xdr:colOff>
      <xdr:row>74</xdr:row>
      <xdr:rowOff>133350</xdr:rowOff>
    </xdr:to>
    <xdr:pic>
      <xdr:nvPicPr>
        <xdr:cNvPr id="149" name="Picture@AG\QOverdue@" descr="@AG\QOverdue@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150" name="Picture@5C\Qopen@" descr="@5C\Qopen@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75</xdr:row>
      <xdr:rowOff>0</xdr:rowOff>
    </xdr:from>
    <xdr:to>
      <xdr:col>5</xdr:col>
      <xdr:colOff>152400</xdr:colOff>
      <xdr:row>75</xdr:row>
      <xdr:rowOff>133350</xdr:rowOff>
    </xdr:to>
    <xdr:pic>
      <xdr:nvPicPr>
        <xdr:cNvPr id="151" name="Picture@AG\QOverdue@" descr="@AG\QOverdue@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152" name="Picture@5C\Qopen@" descr="@5C\Qopen@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152400</xdr:colOff>
      <xdr:row>76</xdr:row>
      <xdr:rowOff>133350</xdr:rowOff>
    </xdr:to>
    <xdr:pic>
      <xdr:nvPicPr>
        <xdr:cNvPr id="153" name="Picture@AG\QOverdue@" descr="@AG\QOverdue@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154" name="Picture@5C\Qopen@" descr="@5C\Qopen@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77</xdr:row>
      <xdr:rowOff>0</xdr:rowOff>
    </xdr:from>
    <xdr:to>
      <xdr:col>5</xdr:col>
      <xdr:colOff>152400</xdr:colOff>
      <xdr:row>77</xdr:row>
      <xdr:rowOff>133350</xdr:rowOff>
    </xdr:to>
    <xdr:pic>
      <xdr:nvPicPr>
        <xdr:cNvPr id="155" name="Picture@AG\QOverdue@" descr="@AG\QOverdue@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156" name="Picture@5C\Qopen@" descr="@5C\Qopen@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152400</xdr:colOff>
      <xdr:row>78</xdr:row>
      <xdr:rowOff>133350</xdr:rowOff>
    </xdr:to>
    <xdr:pic>
      <xdr:nvPicPr>
        <xdr:cNvPr id="157" name="Picture@AG\QOverdue@" descr="@AG\QOverdue@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158" name="Picture@5C\Qopen@" descr="@5C\Qopen@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79</xdr:row>
      <xdr:rowOff>0</xdr:rowOff>
    </xdr:from>
    <xdr:to>
      <xdr:col>5</xdr:col>
      <xdr:colOff>152400</xdr:colOff>
      <xdr:row>79</xdr:row>
      <xdr:rowOff>133350</xdr:rowOff>
    </xdr:to>
    <xdr:pic>
      <xdr:nvPicPr>
        <xdr:cNvPr id="159" name="Picture@AG\QOverdue@" descr="@AG\QOverdue@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160" name="Picture@5C\Qopen@" descr="@5C\Qopen@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152400</xdr:colOff>
      <xdr:row>80</xdr:row>
      <xdr:rowOff>133350</xdr:rowOff>
    </xdr:to>
    <xdr:pic>
      <xdr:nvPicPr>
        <xdr:cNvPr id="161" name="Picture@AG\QOverdue@" descr="@AG\QOverdue@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162" name="Picture@5C\Qopen@" descr="@5C\Qopen@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81</xdr:row>
      <xdr:rowOff>0</xdr:rowOff>
    </xdr:from>
    <xdr:to>
      <xdr:col>5</xdr:col>
      <xdr:colOff>152400</xdr:colOff>
      <xdr:row>81</xdr:row>
      <xdr:rowOff>133350</xdr:rowOff>
    </xdr:to>
    <xdr:pic>
      <xdr:nvPicPr>
        <xdr:cNvPr id="163" name="Picture@AG\QOverdue@" descr="@AG\QOverdue@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164" name="Picture@5C\Qopen@" descr="@5C\Qopen@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82</xdr:row>
      <xdr:rowOff>0</xdr:rowOff>
    </xdr:from>
    <xdr:to>
      <xdr:col>5</xdr:col>
      <xdr:colOff>152400</xdr:colOff>
      <xdr:row>82</xdr:row>
      <xdr:rowOff>133350</xdr:rowOff>
    </xdr:to>
    <xdr:pic>
      <xdr:nvPicPr>
        <xdr:cNvPr id="165" name="Picture@AG\QOverdue@" descr="@AG\QOverdue@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166" name="Picture@5C\Qopen@" descr="@5C\Qopen@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83</xdr:row>
      <xdr:rowOff>0</xdr:rowOff>
    </xdr:from>
    <xdr:to>
      <xdr:col>5</xdr:col>
      <xdr:colOff>152400</xdr:colOff>
      <xdr:row>83</xdr:row>
      <xdr:rowOff>133350</xdr:rowOff>
    </xdr:to>
    <xdr:pic>
      <xdr:nvPicPr>
        <xdr:cNvPr id="167" name="Picture@AG\QOverdue@" descr="@AG\QOverdue@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168" name="Picture@5C\Qopen@" descr="@5C\Qopen@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84</xdr:row>
      <xdr:rowOff>0</xdr:rowOff>
    </xdr:from>
    <xdr:to>
      <xdr:col>5</xdr:col>
      <xdr:colOff>152400</xdr:colOff>
      <xdr:row>84</xdr:row>
      <xdr:rowOff>133350</xdr:rowOff>
    </xdr:to>
    <xdr:pic>
      <xdr:nvPicPr>
        <xdr:cNvPr id="169" name="Picture@AG\QOverdue@" descr="@AG\QOverdue@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170" name="Picture@5C\Qopen@" descr="@5C\Qopen@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85</xdr:row>
      <xdr:rowOff>0</xdr:rowOff>
    </xdr:from>
    <xdr:to>
      <xdr:col>5</xdr:col>
      <xdr:colOff>152400</xdr:colOff>
      <xdr:row>85</xdr:row>
      <xdr:rowOff>133350</xdr:rowOff>
    </xdr:to>
    <xdr:pic>
      <xdr:nvPicPr>
        <xdr:cNvPr id="171" name="Picture@AG\QOverdue@" descr="@AG\QOverdue@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172" name="Picture@5C\Qopen@" descr="@5C\Qopen@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86</xdr:row>
      <xdr:rowOff>0</xdr:rowOff>
    </xdr:from>
    <xdr:to>
      <xdr:col>5</xdr:col>
      <xdr:colOff>152400</xdr:colOff>
      <xdr:row>86</xdr:row>
      <xdr:rowOff>133350</xdr:rowOff>
    </xdr:to>
    <xdr:pic>
      <xdr:nvPicPr>
        <xdr:cNvPr id="173" name="Picture@AG\QOverdue@" descr="@AG\QOverdue@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174" name="Picture@5C\Qopen@" descr="@5C\Qopen@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87</xdr:row>
      <xdr:rowOff>0</xdr:rowOff>
    </xdr:from>
    <xdr:to>
      <xdr:col>5</xdr:col>
      <xdr:colOff>152400</xdr:colOff>
      <xdr:row>87</xdr:row>
      <xdr:rowOff>133350</xdr:rowOff>
    </xdr:to>
    <xdr:pic>
      <xdr:nvPicPr>
        <xdr:cNvPr id="175" name="Picture@AG\QOverdue@" descr="@AG\QOverdue@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176" name="Picture@5C\Qopen@" descr="@5C\Qopen@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88</xdr:row>
      <xdr:rowOff>0</xdr:rowOff>
    </xdr:from>
    <xdr:to>
      <xdr:col>5</xdr:col>
      <xdr:colOff>152400</xdr:colOff>
      <xdr:row>88</xdr:row>
      <xdr:rowOff>133350</xdr:rowOff>
    </xdr:to>
    <xdr:pic>
      <xdr:nvPicPr>
        <xdr:cNvPr id="177" name="Picture@AG\QOverdue@" descr="@AG\QOverdue@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178" name="Picture@5C\Qopen@" descr="@5C\Qopen@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5</xdr:col>
      <xdr:colOff>152400</xdr:colOff>
      <xdr:row>89</xdr:row>
      <xdr:rowOff>133350</xdr:rowOff>
    </xdr:to>
    <xdr:pic>
      <xdr:nvPicPr>
        <xdr:cNvPr id="179" name="Picture@AG\QOverdue@" descr="@AG\QOverdue@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180" name="Picture@5C\Qopen@" descr="@5C\Qopen@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90</xdr:row>
      <xdr:rowOff>0</xdr:rowOff>
    </xdr:from>
    <xdr:to>
      <xdr:col>5</xdr:col>
      <xdr:colOff>152400</xdr:colOff>
      <xdr:row>90</xdr:row>
      <xdr:rowOff>133350</xdr:rowOff>
    </xdr:to>
    <xdr:pic>
      <xdr:nvPicPr>
        <xdr:cNvPr id="181" name="Picture@AG\QOverdue@" descr="@AG\QOverdue@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182" name="Picture@5C\Qopen@" descr="@5C\Qopen@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91</xdr:row>
      <xdr:rowOff>0</xdr:rowOff>
    </xdr:from>
    <xdr:to>
      <xdr:col>5</xdr:col>
      <xdr:colOff>152400</xdr:colOff>
      <xdr:row>91</xdr:row>
      <xdr:rowOff>133350</xdr:rowOff>
    </xdr:to>
    <xdr:pic>
      <xdr:nvPicPr>
        <xdr:cNvPr id="183" name="Picture@AG\QOverdue@" descr="@AG\QOverdue@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184" name="Picture@5C\Qopen@" descr="@5C\Qopen@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92</xdr:row>
      <xdr:rowOff>0</xdr:rowOff>
    </xdr:from>
    <xdr:to>
      <xdr:col>5</xdr:col>
      <xdr:colOff>152400</xdr:colOff>
      <xdr:row>92</xdr:row>
      <xdr:rowOff>133350</xdr:rowOff>
    </xdr:to>
    <xdr:pic>
      <xdr:nvPicPr>
        <xdr:cNvPr id="185" name="Picture@AG\QOverdue@" descr="@AG\QOverdue@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186" name="Picture@5C\Qopen@" descr="@5C\Qopen@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93</xdr:row>
      <xdr:rowOff>0</xdr:rowOff>
    </xdr:from>
    <xdr:to>
      <xdr:col>5</xdr:col>
      <xdr:colOff>152400</xdr:colOff>
      <xdr:row>93</xdr:row>
      <xdr:rowOff>133350</xdr:rowOff>
    </xdr:to>
    <xdr:pic>
      <xdr:nvPicPr>
        <xdr:cNvPr id="187" name="Picture@AG\QOverdue@" descr="@AG\QOverdue@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188" name="Picture@5C\Qopen@" descr="@5C\Qopen@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94</xdr:row>
      <xdr:rowOff>0</xdr:rowOff>
    </xdr:from>
    <xdr:to>
      <xdr:col>5</xdr:col>
      <xdr:colOff>152400</xdr:colOff>
      <xdr:row>94</xdr:row>
      <xdr:rowOff>133350</xdr:rowOff>
    </xdr:to>
    <xdr:pic>
      <xdr:nvPicPr>
        <xdr:cNvPr id="189" name="Picture@AG\QOverdue@" descr="@AG\QOverdue@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190" name="Picture@5C\Qopen@" descr="@5C\Qopen@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95</xdr:row>
      <xdr:rowOff>0</xdr:rowOff>
    </xdr:from>
    <xdr:to>
      <xdr:col>5</xdr:col>
      <xdr:colOff>152400</xdr:colOff>
      <xdr:row>95</xdr:row>
      <xdr:rowOff>133350</xdr:rowOff>
    </xdr:to>
    <xdr:pic>
      <xdr:nvPicPr>
        <xdr:cNvPr id="191" name="Picture@AG\QOverdue@" descr="@AG\QOverdue@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192" name="Picture@5C\Qopen@" descr="@5C\Qopen@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96</xdr:row>
      <xdr:rowOff>0</xdr:rowOff>
    </xdr:from>
    <xdr:to>
      <xdr:col>5</xdr:col>
      <xdr:colOff>152400</xdr:colOff>
      <xdr:row>96</xdr:row>
      <xdr:rowOff>133350</xdr:rowOff>
    </xdr:to>
    <xdr:pic>
      <xdr:nvPicPr>
        <xdr:cNvPr id="193" name="Picture@AG\QOverdue@" descr="@AG\QOverdue@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194" name="Picture@5C\Qopen@" descr="@5C\Qopen@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97</xdr:row>
      <xdr:rowOff>0</xdr:rowOff>
    </xdr:from>
    <xdr:to>
      <xdr:col>5</xdr:col>
      <xdr:colOff>152400</xdr:colOff>
      <xdr:row>97</xdr:row>
      <xdr:rowOff>133350</xdr:rowOff>
    </xdr:to>
    <xdr:pic>
      <xdr:nvPicPr>
        <xdr:cNvPr id="195" name="Picture@AG\QOverdue@" descr="@AG\QOverdue@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196" name="Picture@5C\Qopen@" descr="@5C\Qopen@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98</xdr:row>
      <xdr:rowOff>0</xdr:rowOff>
    </xdr:from>
    <xdr:to>
      <xdr:col>5</xdr:col>
      <xdr:colOff>152400</xdr:colOff>
      <xdr:row>98</xdr:row>
      <xdr:rowOff>133350</xdr:rowOff>
    </xdr:to>
    <xdr:pic>
      <xdr:nvPicPr>
        <xdr:cNvPr id="197" name="Picture@AG\QOverdue@" descr="@AG\QOverdue@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198" name="Picture@5C\Qopen@" descr="@5C\Qopen@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99</xdr:row>
      <xdr:rowOff>0</xdr:rowOff>
    </xdr:from>
    <xdr:to>
      <xdr:col>5</xdr:col>
      <xdr:colOff>152400</xdr:colOff>
      <xdr:row>99</xdr:row>
      <xdr:rowOff>133350</xdr:rowOff>
    </xdr:to>
    <xdr:pic>
      <xdr:nvPicPr>
        <xdr:cNvPr id="199" name="Picture@AG\QOverdue@" descr="@AG\QOverdue@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200" name="Picture@5C\Qopen@" descr="@5C\Qopen@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100</xdr:row>
      <xdr:rowOff>0</xdr:rowOff>
    </xdr:from>
    <xdr:to>
      <xdr:col>5</xdr:col>
      <xdr:colOff>152400</xdr:colOff>
      <xdr:row>100</xdr:row>
      <xdr:rowOff>133350</xdr:rowOff>
    </xdr:to>
    <xdr:pic>
      <xdr:nvPicPr>
        <xdr:cNvPr id="201" name="Picture@AG\QOverdue@" descr="@AG\QOverdue@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202" name="Picture@5C\Qopen@" descr="@5C\Qopen@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101</xdr:row>
      <xdr:rowOff>0</xdr:rowOff>
    </xdr:from>
    <xdr:to>
      <xdr:col>5</xdr:col>
      <xdr:colOff>152400</xdr:colOff>
      <xdr:row>101</xdr:row>
      <xdr:rowOff>133350</xdr:rowOff>
    </xdr:to>
    <xdr:pic>
      <xdr:nvPicPr>
        <xdr:cNvPr id="203" name="Picture@AG\QOverdue@" descr="@AG\QOverdue@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204" name="Picture@5C\Qopen@" descr="@5C\Qopen@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102</xdr:row>
      <xdr:rowOff>0</xdr:rowOff>
    </xdr:from>
    <xdr:to>
      <xdr:col>5</xdr:col>
      <xdr:colOff>152400</xdr:colOff>
      <xdr:row>102</xdr:row>
      <xdr:rowOff>133350</xdr:rowOff>
    </xdr:to>
    <xdr:pic>
      <xdr:nvPicPr>
        <xdr:cNvPr id="205" name="Picture@AG\QOverdue@" descr="@AG\QOverdue@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206" name="Picture@5C\Qopen@" descr="@5C\Qopen@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103</xdr:row>
      <xdr:rowOff>0</xdr:rowOff>
    </xdr:from>
    <xdr:to>
      <xdr:col>5</xdr:col>
      <xdr:colOff>152400</xdr:colOff>
      <xdr:row>103</xdr:row>
      <xdr:rowOff>133350</xdr:rowOff>
    </xdr:to>
    <xdr:pic>
      <xdr:nvPicPr>
        <xdr:cNvPr id="207" name="Picture@AG\QOverdue@" descr="@AG\QOverdue@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208" name="Picture@5C\Qopen@" descr="@5C\Qopen@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104</xdr:row>
      <xdr:rowOff>0</xdr:rowOff>
    </xdr:from>
    <xdr:to>
      <xdr:col>5</xdr:col>
      <xdr:colOff>152400</xdr:colOff>
      <xdr:row>104</xdr:row>
      <xdr:rowOff>133350</xdr:rowOff>
    </xdr:to>
    <xdr:pic>
      <xdr:nvPicPr>
        <xdr:cNvPr id="209" name="Picture@AG\QOverdue@" descr="@AG\QOverdue@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210" name="Picture@5C\Qopen@" descr="@5C\Qopen@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105</xdr:row>
      <xdr:rowOff>0</xdr:rowOff>
    </xdr:from>
    <xdr:to>
      <xdr:col>5</xdr:col>
      <xdr:colOff>152400</xdr:colOff>
      <xdr:row>105</xdr:row>
      <xdr:rowOff>133350</xdr:rowOff>
    </xdr:to>
    <xdr:pic>
      <xdr:nvPicPr>
        <xdr:cNvPr id="211" name="Picture@AG\QOverdue@" descr="@AG\QOverdue@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212" name="Picture@5C\Qopen@" descr="@5C\Qopen@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106</xdr:row>
      <xdr:rowOff>0</xdr:rowOff>
    </xdr:from>
    <xdr:to>
      <xdr:col>5</xdr:col>
      <xdr:colOff>152400</xdr:colOff>
      <xdr:row>106</xdr:row>
      <xdr:rowOff>133350</xdr:rowOff>
    </xdr:to>
    <xdr:pic>
      <xdr:nvPicPr>
        <xdr:cNvPr id="213" name="Picture@AG\QOverdue@" descr="@AG\QOverdue@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214" name="Picture@5C\Qopen@" descr="@5C\Qopen@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107</xdr:row>
      <xdr:rowOff>0</xdr:rowOff>
    </xdr:from>
    <xdr:to>
      <xdr:col>5</xdr:col>
      <xdr:colOff>152400</xdr:colOff>
      <xdr:row>107</xdr:row>
      <xdr:rowOff>133350</xdr:rowOff>
    </xdr:to>
    <xdr:pic>
      <xdr:nvPicPr>
        <xdr:cNvPr id="215" name="Picture@AG\QOverdue@" descr="@AG\QOverdue@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216" name="Picture@5C\Qopen@" descr="@5C\Qopen@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108</xdr:row>
      <xdr:rowOff>0</xdr:rowOff>
    </xdr:from>
    <xdr:to>
      <xdr:col>5</xdr:col>
      <xdr:colOff>152400</xdr:colOff>
      <xdr:row>108</xdr:row>
      <xdr:rowOff>133350</xdr:rowOff>
    </xdr:to>
    <xdr:pic>
      <xdr:nvPicPr>
        <xdr:cNvPr id="217" name="Picture@AG\QOverdue@" descr="@AG\QOverdue@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218" name="Picture@5C\Qopen@" descr="@5C\Qopen@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109</xdr:row>
      <xdr:rowOff>0</xdr:rowOff>
    </xdr:from>
    <xdr:to>
      <xdr:col>5</xdr:col>
      <xdr:colOff>152400</xdr:colOff>
      <xdr:row>109</xdr:row>
      <xdr:rowOff>133350</xdr:rowOff>
    </xdr:to>
    <xdr:pic>
      <xdr:nvPicPr>
        <xdr:cNvPr id="219" name="Picture@AG\QOverdue@" descr="@AG\QOverdue@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220" name="Picture@5C\Qopen@" descr="@5C\Qopen@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110</xdr:row>
      <xdr:rowOff>0</xdr:rowOff>
    </xdr:from>
    <xdr:to>
      <xdr:col>5</xdr:col>
      <xdr:colOff>152400</xdr:colOff>
      <xdr:row>110</xdr:row>
      <xdr:rowOff>133350</xdr:rowOff>
    </xdr:to>
    <xdr:pic>
      <xdr:nvPicPr>
        <xdr:cNvPr id="221" name="Picture@AG\QOverdue@" descr="@AG\QOverdue@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222" name="Picture@5C\Qopen@" descr="@5C\Qopen@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111</xdr:row>
      <xdr:rowOff>0</xdr:rowOff>
    </xdr:from>
    <xdr:to>
      <xdr:col>5</xdr:col>
      <xdr:colOff>152400</xdr:colOff>
      <xdr:row>111</xdr:row>
      <xdr:rowOff>133350</xdr:rowOff>
    </xdr:to>
    <xdr:pic>
      <xdr:nvPicPr>
        <xdr:cNvPr id="223" name="Picture@AG\QOverdue@" descr="@AG\QOverdue@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224" name="Picture@5C\Qopen@" descr="@5C\Qopen@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112</xdr:row>
      <xdr:rowOff>0</xdr:rowOff>
    </xdr:from>
    <xdr:to>
      <xdr:col>5</xdr:col>
      <xdr:colOff>152400</xdr:colOff>
      <xdr:row>112</xdr:row>
      <xdr:rowOff>133350</xdr:rowOff>
    </xdr:to>
    <xdr:pic>
      <xdr:nvPicPr>
        <xdr:cNvPr id="225" name="Picture@AG\QOverdue@" descr="@AG\QOverdue@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226" name="Picture@5C\Qopen@" descr="@5C\Qopen@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113</xdr:row>
      <xdr:rowOff>0</xdr:rowOff>
    </xdr:from>
    <xdr:to>
      <xdr:col>5</xdr:col>
      <xdr:colOff>152400</xdr:colOff>
      <xdr:row>113</xdr:row>
      <xdr:rowOff>133350</xdr:rowOff>
    </xdr:to>
    <xdr:pic>
      <xdr:nvPicPr>
        <xdr:cNvPr id="227" name="Picture@AG\QOverdue@" descr="@AG\QOverdue@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228" name="Picture@5C\Qopen@" descr="@5C\Qopen@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114</xdr:row>
      <xdr:rowOff>0</xdr:rowOff>
    </xdr:from>
    <xdr:to>
      <xdr:col>5</xdr:col>
      <xdr:colOff>152400</xdr:colOff>
      <xdr:row>114</xdr:row>
      <xdr:rowOff>133350</xdr:rowOff>
    </xdr:to>
    <xdr:pic>
      <xdr:nvPicPr>
        <xdr:cNvPr id="229" name="Picture@AG\QOverdue@" descr="@AG\QOverdue@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230" name="Picture@5C\Qopen@" descr="@5C\Qopen@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115</xdr:row>
      <xdr:rowOff>0</xdr:rowOff>
    </xdr:from>
    <xdr:to>
      <xdr:col>5</xdr:col>
      <xdr:colOff>152400</xdr:colOff>
      <xdr:row>115</xdr:row>
      <xdr:rowOff>133350</xdr:rowOff>
    </xdr:to>
    <xdr:pic>
      <xdr:nvPicPr>
        <xdr:cNvPr id="231" name="Picture@AG\QOverdue@" descr="@AG\QOverdue@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232" name="Picture@5C\Qopen@" descr="@5C\Qopen@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116</xdr:row>
      <xdr:rowOff>0</xdr:rowOff>
    </xdr:from>
    <xdr:to>
      <xdr:col>5</xdr:col>
      <xdr:colOff>152400</xdr:colOff>
      <xdr:row>116</xdr:row>
      <xdr:rowOff>133350</xdr:rowOff>
    </xdr:to>
    <xdr:pic>
      <xdr:nvPicPr>
        <xdr:cNvPr id="233" name="Picture@AG\QOverdue@" descr="@AG\QOverdue@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234" name="Picture@5C\Qopen@" descr="@5C\Qopen@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117</xdr:row>
      <xdr:rowOff>0</xdr:rowOff>
    </xdr:from>
    <xdr:to>
      <xdr:col>5</xdr:col>
      <xdr:colOff>152400</xdr:colOff>
      <xdr:row>117</xdr:row>
      <xdr:rowOff>133350</xdr:rowOff>
    </xdr:to>
    <xdr:pic>
      <xdr:nvPicPr>
        <xdr:cNvPr id="235" name="Picture@AG\QOverdue@" descr="@AG\QOverdue@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236" name="Picture@5C\Qopen@" descr="@5C\Qopen@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118</xdr:row>
      <xdr:rowOff>0</xdr:rowOff>
    </xdr:from>
    <xdr:to>
      <xdr:col>5</xdr:col>
      <xdr:colOff>152400</xdr:colOff>
      <xdr:row>118</xdr:row>
      <xdr:rowOff>133350</xdr:rowOff>
    </xdr:to>
    <xdr:pic>
      <xdr:nvPicPr>
        <xdr:cNvPr id="237" name="Picture@AG\QOverdue@" descr="@AG\QOverdue@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238" name="Picture@5C\Qopen@" descr="@5C\Qopen@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119</xdr:row>
      <xdr:rowOff>0</xdr:rowOff>
    </xdr:from>
    <xdr:to>
      <xdr:col>5</xdr:col>
      <xdr:colOff>152400</xdr:colOff>
      <xdr:row>119</xdr:row>
      <xdr:rowOff>133350</xdr:rowOff>
    </xdr:to>
    <xdr:pic>
      <xdr:nvPicPr>
        <xdr:cNvPr id="239" name="Picture@AG\QOverdue@" descr="@AG\QOverdue@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240" name="Picture@5C\Qopen@" descr="@5C\Qopen@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120</xdr:row>
      <xdr:rowOff>0</xdr:rowOff>
    </xdr:from>
    <xdr:to>
      <xdr:col>5</xdr:col>
      <xdr:colOff>152400</xdr:colOff>
      <xdr:row>120</xdr:row>
      <xdr:rowOff>133350</xdr:rowOff>
    </xdr:to>
    <xdr:pic>
      <xdr:nvPicPr>
        <xdr:cNvPr id="241" name="Picture@AG\QOverdue@" descr="@AG\QOverdue@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242" name="Picture@5C\Qopen@" descr="@5C\Qopen@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121</xdr:row>
      <xdr:rowOff>0</xdr:rowOff>
    </xdr:from>
    <xdr:to>
      <xdr:col>5</xdr:col>
      <xdr:colOff>152400</xdr:colOff>
      <xdr:row>121</xdr:row>
      <xdr:rowOff>133350</xdr:rowOff>
    </xdr:to>
    <xdr:pic>
      <xdr:nvPicPr>
        <xdr:cNvPr id="243" name="Picture@AG\QOverdue@" descr="@AG\QOverdue@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244" name="Picture@5C\Qopen@" descr="@5C\Qopen@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122</xdr:row>
      <xdr:rowOff>0</xdr:rowOff>
    </xdr:from>
    <xdr:to>
      <xdr:col>5</xdr:col>
      <xdr:colOff>152400</xdr:colOff>
      <xdr:row>122</xdr:row>
      <xdr:rowOff>133350</xdr:rowOff>
    </xdr:to>
    <xdr:pic>
      <xdr:nvPicPr>
        <xdr:cNvPr id="245" name="Picture@AG\QOverdue@" descr="@AG\QOverdue@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246" name="Picture@5C\Qopen@" descr="@5C\Qopen@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123</xdr:row>
      <xdr:rowOff>0</xdr:rowOff>
    </xdr:from>
    <xdr:to>
      <xdr:col>5</xdr:col>
      <xdr:colOff>152400</xdr:colOff>
      <xdr:row>123</xdr:row>
      <xdr:rowOff>133350</xdr:rowOff>
    </xdr:to>
    <xdr:pic>
      <xdr:nvPicPr>
        <xdr:cNvPr id="247" name="Picture@AG\QOverdue@" descr="@AG\QOverdue@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248" name="Picture@5C\Qopen@" descr="@5C\Qopen@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124</xdr:row>
      <xdr:rowOff>0</xdr:rowOff>
    </xdr:from>
    <xdr:to>
      <xdr:col>5</xdr:col>
      <xdr:colOff>152400</xdr:colOff>
      <xdr:row>124</xdr:row>
      <xdr:rowOff>133350</xdr:rowOff>
    </xdr:to>
    <xdr:pic>
      <xdr:nvPicPr>
        <xdr:cNvPr id="249" name="Picture@AG\QOverdue@" descr="@AG\QOverdue@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250" name="Picture@5C\Qopen@" descr="@5C\Qopen@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125</xdr:row>
      <xdr:rowOff>0</xdr:rowOff>
    </xdr:from>
    <xdr:to>
      <xdr:col>5</xdr:col>
      <xdr:colOff>152400</xdr:colOff>
      <xdr:row>125</xdr:row>
      <xdr:rowOff>133350</xdr:rowOff>
    </xdr:to>
    <xdr:pic>
      <xdr:nvPicPr>
        <xdr:cNvPr id="251" name="Picture@AG\QOverdue@" descr="@AG\QOverdue@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252" name="Picture@5C\Qopen@" descr="@5C\Qopen@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126</xdr:row>
      <xdr:rowOff>0</xdr:rowOff>
    </xdr:from>
    <xdr:to>
      <xdr:col>5</xdr:col>
      <xdr:colOff>152400</xdr:colOff>
      <xdr:row>126</xdr:row>
      <xdr:rowOff>133350</xdr:rowOff>
    </xdr:to>
    <xdr:pic>
      <xdr:nvPicPr>
        <xdr:cNvPr id="253" name="Picture@AG\QOverdue@" descr="@AG\QOverdue@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254" name="Picture@5C\Qopen@" descr="@5C\Qopen@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127</xdr:row>
      <xdr:rowOff>0</xdr:rowOff>
    </xdr:from>
    <xdr:to>
      <xdr:col>5</xdr:col>
      <xdr:colOff>152400</xdr:colOff>
      <xdr:row>127</xdr:row>
      <xdr:rowOff>133350</xdr:rowOff>
    </xdr:to>
    <xdr:pic>
      <xdr:nvPicPr>
        <xdr:cNvPr id="255" name="Picture@AG\QOverdue@" descr="@AG\QOverdue@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256" name="Picture@5C\Qopen@" descr="@5C\Qopen@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128</xdr:row>
      <xdr:rowOff>0</xdr:rowOff>
    </xdr:from>
    <xdr:to>
      <xdr:col>5</xdr:col>
      <xdr:colOff>152400</xdr:colOff>
      <xdr:row>128</xdr:row>
      <xdr:rowOff>133350</xdr:rowOff>
    </xdr:to>
    <xdr:pic>
      <xdr:nvPicPr>
        <xdr:cNvPr id="257" name="Picture@AG\QOverdue@" descr="@AG\QOverdue@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258" name="Picture@5C\Qopen@" descr="@5C\Qopen@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129</xdr:row>
      <xdr:rowOff>0</xdr:rowOff>
    </xdr:from>
    <xdr:to>
      <xdr:col>5</xdr:col>
      <xdr:colOff>152400</xdr:colOff>
      <xdr:row>129</xdr:row>
      <xdr:rowOff>133350</xdr:rowOff>
    </xdr:to>
    <xdr:pic>
      <xdr:nvPicPr>
        <xdr:cNvPr id="259" name="Picture@AG\QOverdue@" descr="@AG\QOverdue@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260" name="Picture@5C\Qopen@" descr="@5C\Qopen@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130</xdr:row>
      <xdr:rowOff>0</xdr:rowOff>
    </xdr:from>
    <xdr:to>
      <xdr:col>5</xdr:col>
      <xdr:colOff>152400</xdr:colOff>
      <xdr:row>130</xdr:row>
      <xdr:rowOff>133350</xdr:rowOff>
    </xdr:to>
    <xdr:pic>
      <xdr:nvPicPr>
        <xdr:cNvPr id="261" name="Picture@AG\QOverdue@" descr="@AG\QOverdue@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262" name="Picture@5C\Qopen@" descr="@5C\Qopen@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131</xdr:row>
      <xdr:rowOff>0</xdr:rowOff>
    </xdr:from>
    <xdr:to>
      <xdr:col>5</xdr:col>
      <xdr:colOff>152400</xdr:colOff>
      <xdr:row>131</xdr:row>
      <xdr:rowOff>133350</xdr:rowOff>
    </xdr:to>
    <xdr:pic>
      <xdr:nvPicPr>
        <xdr:cNvPr id="263" name="Picture@AG\QOverdue@" descr="@AG\QOverdue@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264" name="Picture@5C\Qopen@" descr="@5C\Qopen@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132</xdr:row>
      <xdr:rowOff>0</xdr:rowOff>
    </xdr:from>
    <xdr:to>
      <xdr:col>5</xdr:col>
      <xdr:colOff>152400</xdr:colOff>
      <xdr:row>132</xdr:row>
      <xdr:rowOff>133350</xdr:rowOff>
    </xdr:to>
    <xdr:pic>
      <xdr:nvPicPr>
        <xdr:cNvPr id="265" name="Picture@AG\QOverdue@" descr="@AG\QOverdue@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266" name="Picture@5C\Qopen@" descr="@5C\Qopen@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133</xdr:row>
      <xdr:rowOff>0</xdr:rowOff>
    </xdr:from>
    <xdr:to>
      <xdr:col>5</xdr:col>
      <xdr:colOff>152400</xdr:colOff>
      <xdr:row>133</xdr:row>
      <xdr:rowOff>133350</xdr:rowOff>
    </xdr:to>
    <xdr:pic>
      <xdr:nvPicPr>
        <xdr:cNvPr id="267" name="Picture@AG\QOverdue@" descr="@AG\QOverdue@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268" name="Picture@5C\Qopen@" descr="@5C\Qopen@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134</xdr:row>
      <xdr:rowOff>0</xdr:rowOff>
    </xdr:from>
    <xdr:to>
      <xdr:col>5</xdr:col>
      <xdr:colOff>152400</xdr:colOff>
      <xdr:row>134</xdr:row>
      <xdr:rowOff>133350</xdr:rowOff>
    </xdr:to>
    <xdr:pic>
      <xdr:nvPicPr>
        <xdr:cNvPr id="269" name="Picture@AG\QOverdue@" descr="@AG\QOverdue@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270" name="Picture@5C\Qopen@" descr="@5C\Qopen@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135</xdr:row>
      <xdr:rowOff>0</xdr:rowOff>
    </xdr:from>
    <xdr:to>
      <xdr:col>5</xdr:col>
      <xdr:colOff>152400</xdr:colOff>
      <xdr:row>135</xdr:row>
      <xdr:rowOff>133350</xdr:rowOff>
    </xdr:to>
    <xdr:pic>
      <xdr:nvPicPr>
        <xdr:cNvPr id="271" name="Picture@AG\QOverdue@" descr="@AG\QOverdue@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272" name="Picture@5C\Qopen@" descr="@5C\Qopen@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136</xdr:row>
      <xdr:rowOff>0</xdr:rowOff>
    </xdr:from>
    <xdr:to>
      <xdr:col>5</xdr:col>
      <xdr:colOff>152400</xdr:colOff>
      <xdr:row>136</xdr:row>
      <xdr:rowOff>133350</xdr:rowOff>
    </xdr:to>
    <xdr:pic>
      <xdr:nvPicPr>
        <xdr:cNvPr id="273" name="Picture@AG\QOverdue@" descr="@AG\QOverdue@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274" name="Picture@5C\Qopen@" descr="@5C\Qopen@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137</xdr:row>
      <xdr:rowOff>0</xdr:rowOff>
    </xdr:from>
    <xdr:to>
      <xdr:col>5</xdr:col>
      <xdr:colOff>152400</xdr:colOff>
      <xdr:row>137</xdr:row>
      <xdr:rowOff>133350</xdr:rowOff>
    </xdr:to>
    <xdr:pic>
      <xdr:nvPicPr>
        <xdr:cNvPr id="275" name="Picture@AG\QOverdue@" descr="@AG\QOverdue@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276" name="Picture@5C\Qopen@" descr="@5C\Qopen@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138</xdr:row>
      <xdr:rowOff>0</xdr:rowOff>
    </xdr:from>
    <xdr:to>
      <xdr:col>5</xdr:col>
      <xdr:colOff>152400</xdr:colOff>
      <xdr:row>138</xdr:row>
      <xdr:rowOff>133350</xdr:rowOff>
    </xdr:to>
    <xdr:pic>
      <xdr:nvPicPr>
        <xdr:cNvPr id="277" name="Picture@AG\QOverdue@" descr="@AG\QOverdue@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278" name="Picture@5C\Qopen@" descr="@5C\Qopen@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139</xdr:row>
      <xdr:rowOff>0</xdr:rowOff>
    </xdr:from>
    <xdr:to>
      <xdr:col>5</xdr:col>
      <xdr:colOff>152400</xdr:colOff>
      <xdr:row>139</xdr:row>
      <xdr:rowOff>133350</xdr:rowOff>
    </xdr:to>
    <xdr:pic>
      <xdr:nvPicPr>
        <xdr:cNvPr id="279" name="Picture@AG\QOverdue@" descr="@AG\QOverdue@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280" name="Picture@5C\Qopen@" descr="@5C\Qopen@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140</xdr:row>
      <xdr:rowOff>0</xdr:rowOff>
    </xdr:from>
    <xdr:to>
      <xdr:col>5</xdr:col>
      <xdr:colOff>152400</xdr:colOff>
      <xdr:row>140</xdr:row>
      <xdr:rowOff>133350</xdr:rowOff>
    </xdr:to>
    <xdr:pic>
      <xdr:nvPicPr>
        <xdr:cNvPr id="281" name="Picture@AG\QOverdue@" descr="@AG\QOverdue@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282" name="Picture@5C\Qopen@" descr="@5C\Qopen@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141</xdr:row>
      <xdr:rowOff>0</xdr:rowOff>
    </xdr:from>
    <xdr:to>
      <xdr:col>5</xdr:col>
      <xdr:colOff>152400</xdr:colOff>
      <xdr:row>141</xdr:row>
      <xdr:rowOff>133350</xdr:rowOff>
    </xdr:to>
    <xdr:pic>
      <xdr:nvPicPr>
        <xdr:cNvPr id="283" name="Picture@AG\QOverdue@" descr="@AG\QOverdue@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284" name="Picture@5C\Qopen@" descr="@5C\Qopen@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142</xdr:row>
      <xdr:rowOff>0</xdr:rowOff>
    </xdr:from>
    <xdr:to>
      <xdr:col>5</xdr:col>
      <xdr:colOff>152400</xdr:colOff>
      <xdr:row>142</xdr:row>
      <xdr:rowOff>133350</xdr:rowOff>
    </xdr:to>
    <xdr:pic>
      <xdr:nvPicPr>
        <xdr:cNvPr id="285" name="Picture@AG\QOverdue@" descr="@AG\QOverdue@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286" name="Picture@5C\Qopen@" descr="@5C\Qopen@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143</xdr:row>
      <xdr:rowOff>0</xdr:rowOff>
    </xdr:from>
    <xdr:to>
      <xdr:col>5</xdr:col>
      <xdr:colOff>152400</xdr:colOff>
      <xdr:row>143</xdr:row>
      <xdr:rowOff>133350</xdr:rowOff>
    </xdr:to>
    <xdr:pic>
      <xdr:nvPicPr>
        <xdr:cNvPr id="287" name="Picture@AG\QOverdue@" descr="@AG\QOverdue@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288" name="Picture@5C\Qopen@" descr="@5C\Qopen@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144</xdr:row>
      <xdr:rowOff>0</xdr:rowOff>
    </xdr:from>
    <xdr:to>
      <xdr:col>5</xdr:col>
      <xdr:colOff>152400</xdr:colOff>
      <xdr:row>144</xdr:row>
      <xdr:rowOff>133350</xdr:rowOff>
    </xdr:to>
    <xdr:pic>
      <xdr:nvPicPr>
        <xdr:cNvPr id="289" name="Picture@AG\QOverdue@" descr="@AG\QOverdue@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290" name="Picture@5C\Qopen@" descr="@5C\Qopen@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145</xdr:row>
      <xdr:rowOff>0</xdr:rowOff>
    </xdr:from>
    <xdr:to>
      <xdr:col>5</xdr:col>
      <xdr:colOff>152400</xdr:colOff>
      <xdr:row>145</xdr:row>
      <xdr:rowOff>133350</xdr:rowOff>
    </xdr:to>
    <xdr:pic>
      <xdr:nvPicPr>
        <xdr:cNvPr id="291" name="Picture@AG\QOverdue@" descr="@AG\QOverdue@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292" name="Picture@5C\Qopen@" descr="@5C\Qopen@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146</xdr:row>
      <xdr:rowOff>0</xdr:rowOff>
    </xdr:from>
    <xdr:to>
      <xdr:col>5</xdr:col>
      <xdr:colOff>152400</xdr:colOff>
      <xdr:row>146</xdr:row>
      <xdr:rowOff>133350</xdr:rowOff>
    </xdr:to>
    <xdr:pic>
      <xdr:nvPicPr>
        <xdr:cNvPr id="293" name="Picture@AG\QOverdue@" descr="@AG\QOverdue@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294" name="Picture@5C\Qopen@" descr="@5C\Qopen@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147</xdr:row>
      <xdr:rowOff>0</xdr:rowOff>
    </xdr:from>
    <xdr:to>
      <xdr:col>5</xdr:col>
      <xdr:colOff>152400</xdr:colOff>
      <xdr:row>147</xdr:row>
      <xdr:rowOff>133350</xdr:rowOff>
    </xdr:to>
    <xdr:pic>
      <xdr:nvPicPr>
        <xdr:cNvPr id="295" name="Picture@AG\QOverdue@" descr="@AG\QOverdue@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296" name="Picture@5C\Qopen@" descr="@5C\Qopen@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148</xdr:row>
      <xdr:rowOff>0</xdr:rowOff>
    </xdr:from>
    <xdr:to>
      <xdr:col>5</xdr:col>
      <xdr:colOff>152400</xdr:colOff>
      <xdr:row>148</xdr:row>
      <xdr:rowOff>133350</xdr:rowOff>
    </xdr:to>
    <xdr:pic>
      <xdr:nvPicPr>
        <xdr:cNvPr id="297" name="Picture@AG\QOverdue@" descr="@AG\QOverdue@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298" name="Picture@5C\Qopen@" descr="@5C\Qopen@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149</xdr:row>
      <xdr:rowOff>0</xdr:rowOff>
    </xdr:from>
    <xdr:to>
      <xdr:col>5</xdr:col>
      <xdr:colOff>152400</xdr:colOff>
      <xdr:row>149</xdr:row>
      <xdr:rowOff>133350</xdr:rowOff>
    </xdr:to>
    <xdr:pic>
      <xdr:nvPicPr>
        <xdr:cNvPr id="299" name="Picture@AG\QOverdue@" descr="@AG\QOverdue@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300" name="Picture@5C\Qopen@" descr="@5C\Qopen@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150</xdr:row>
      <xdr:rowOff>0</xdr:rowOff>
    </xdr:from>
    <xdr:to>
      <xdr:col>5</xdr:col>
      <xdr:colOff>152400</xdr:colOff>
      <xdr:row>150</xdr:row>
      <xdr:rowOff>133350</xdr:rowOff>
    </xdr:to>
    <xdr:pic>
      <xdr:nvPicPr>
        <xdr:cNvPr id="301" name="Picture@AG\QOverdue@" descr="@AG\QOverdue@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302" name="Picture@5C\Qopen@" descr="@5C\Qopen@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151</xdr:row>
      <xdr:rowOff>0</xdr:rowOff>
    </xdr:from>
    <xdr:to>
      <xdr:col>5</xdr:col>
      <xdr:colOff>152400</xdr:colOff>
      <xdr:row>151</xdr:row>
      <xdr:rowOff>133350</xdr:rowOff>
    </xdr:to>
    <xdr:pic>
      <xdr:nvPicPr>
        <xdr:cNvPr id="303" name="Picture@AG\QOverdue@" descr="@AG\QOverdue@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304" name="Picture@5C\Qopen@" descr="@5C\Qopen@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152</xdr:row>
      <xdr:rowOff>0</xdr:rowOff>
    </xdr:from>
    <xdr:to>
      <xdr:col>5</xdr:col>
      <xdr:colOff>152400</xdr:colOff>
      <xdr:row>152</xdr:row>
      <xdr:rowOff>133350</xdr:rowOff>
    </xdr:to>
    <xdr:pic>
      <xdr:nvPicPr>
        <xdr:cNvPr id="305" name="Picture@AG\QOverdue@" descr="@AG\QOverdue@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306" name="Picture@5C\Qopen@" descr="@5C\Qopen@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153</xdr:row>
      <xdr:rowOff>0</xdr:rowOff>
    </xdr:from>
    <xdr:to>
      <xdr:col>5</xdr:col>
      <xdr:colOff>152400</xdr:colOff>
      <xdr:row>153</xdr:row>
      <xdr:rowOff>133350</xdr:rowOff>
    </xdr:to>
    <xdr:pic>
      <xdr:nvPicPr>
        <xdr:cNvPr id="307" name="Picture@AG\QOverdue@" descr="@AG\QOverdue@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308" name="Picture@5C\Qopen@" descr="@5C\Qopen@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154</xdr:row>
      <xdr:rowOff>0</xdr:rowOff>
    </xdr:from>
    <xdr:to>
      <xdr:col>5</xdr:col>
      <xdr:colOff>152400</xdr:colOff>
      <xdr:row>154</xdr:row>
      <xdr:rowOff>133350</xdr:rowOff>
    </xdr:to>
    <xdr:pic>
      <xdr:nvPicPr>
        <xdr:cNvPr id="309" name="Picture@AG\QOverdue@" descr="@AG\QOverdue@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310" name="Picture@5C\Qopen@" descr="@5C\Qopen@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155</xdr:row>
      <xdr:rowOff>0</xdr:rowOff>
    </xdr:from>
    <xdr:to>
      <xdr:col>5</xdr:col>
      <xdr:colOff>152400</xdr:colOff>
      <xdr:row>155</xdr:row>
      <xdr:rowOff>133350</xdr:rowOff>
    </xdr:to>
    <xdr:pic>
      <xdr:nvPicPr>
        <xdr:cNvPr id="311" name="Picture@AG\QOverdue@" descr="@AG\QOverdue@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312" name="Picture@5C\Qopen@" descr="@5C\Qopen@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156</xdr:row>
      <xdr:rowOff>0</xdr:rowOff>
    </xdr:from>
    <xdr:to>
      <xdr:col>5</xdr:col>
      <xdr:colOff>152400</xdr:colOff>
      <xdr:row>156</xdr:row>
      <xdr:rowOff>133350</xdr:rowOff>
    </xdr:to>
    <xdr:pic>
      <xdr:nvPicPr>
        <xdr:cNvPr id="313" name="Picture@AG\QOverdue@" descr="@AG\QOverdue@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314" name="Picture@5C\Qopen@" descr="@5C\Qopen@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157</xdr:row>
      <xdr:rowOff>0</xdr:rowOff>
    </xdr:from>
    <xdr:to>
      <xdr:col>5</xdr:col>
      <xdr:colOff>152400</xdr:colOff>
      <xdr:row>157</xdr:row>
      <xdr:rowOff>133350</xdr:rowOff>
    </xdr:to>
    <xdr:pic>
      <xdr:nvPicPr>
        <xdr:cNvPr id="315" name="Picture@AG\QOverdue@" descr="@AG\QOverdue@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316" name="Picture@5C\Qopen@" descr="@5C\Qopen@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158</xdr:row>
      <xdr:rowOff>0</xdr:rowOff>
    </xdr:from>
    <xdr:to>
      <xdr:col>5</xdr:col>
      <xdr:colOff>152400</xdr:colOff>
      <xdr:row>158</xdr:row>
      <xdr:rowOff>133350</xdr:rowOff>
    </xdr:to>
    <xdr:pic>
      <xdr:nvPicPr>
        <xdr:cNvPr id="317" name="Picture@AG\QOverdue@" descr="@AG\QOverdue@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318" name="Picture@5C\Qopen@" descr="@5C\Qopen@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159</xdr:row>
      <xdr:rowOff>0</xdr:rowOff>
    </xdr:from>
    <xdr:to>
      <xdr:col>5</xdr:col>
      <xdr:colOff>152400</xdr:colOff>
      <xdr:row>159</xdr:row>
      <xdr:rowOff>133350</xdr:rowOff>
    </xdr:to>
    <xdr:pic>
      <xdr:nvPicPr>
        <xdr:cNvPr id="319" name="Picture@AG\QOverdue@" descr="@AG\QOverdue@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320" name="Picture@5C\Qopen@" descr="@5C\Qopen@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160</xdr:row>
      <xdr:rowOff>0</xdr:rowOff>
    </xdr:from>
    <xdr:to>
      <xdr:col>5</xdr:col>
      <xdr:colOff>152400</xdr:colOff>
      <xdr:row>160</xdr:row>
      <xdr:rowOff>133350</xdr:rowOff>
    </xdr:to>
    <xdr:pic>
      <xdr:nvPicPr>
        <xdr:cNvPr id="321" name="Picture@AG\QOverdue@" descr="@AG\QOverdue@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322" name="Picture@5C\Qopen@" descr="@5C\Qopen@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161</xdr:row>
      <xdr:rowOff>0</xdr:rowOff>
    </xdr:from>
    <xdr:to>
      <xdr:col>5</xdr:col>
      <xdr:colOff>152400</xdr:colOff>
      <xdr:row>161</xdr:row>
      <xdr:rowOff>133350</xdr:rowOff>
    </xdr:to>
    <xdr:pic>
      <xdr:nvPicPr>
        <xdr:cNvPr id="323" name="Picture@AG\QOverdue@" descr="@AG\QOverdue@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324" name="Picture@5C\Qopen@" descr="@5C\Qopen@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162</xdr:row>
      <xdr:rowOff>0</xdr:rowOff>
    </xdr:from>
    <xdr:to>
      <xdr:col>5</xdr:col>
      <xdr:colOff>152400</xdr:colOff>
      <xdr:row>162</xdr:row>
      <xdr:rowOff>133350</xdr:rowOff>
    </xdr:to>
    <xdr:pic>
      <xdr:nvPicPr>
        <xdr:cNvPr id="325" name="Picture@AG\QOverdue@" descr="@AG\QOverdue@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326" name="Picture@5C\Qopen@" descr="@5C\Qopen@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163</xdr:row>
      <xdr:rowOff>0</xdr:rowOff>
    </xdr:from>
    <xdr:to>
      <xdr:col>5</xdr:col>
      <xdr:colOff>152400</xdr:colOff>
      <xdr:row>163</xdr:row>
      <xdr:rowOff>133350</xdr:rowOff>
    </xdr:to>
    <xdr:pic>
      <xdr:nvPicPr>
        <xdr:cNvPr id="327" name="Picture@AG\QOverdue@" descr="@AG\QOverdue@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328" name="Picture@5C\Qopen@" descr="@5C\Qopen@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164</xdr:row>
      <xdr:rowOff>0</xdr:rowOff>
    </xdr:from>
    <xdr:to>
      <xdr:col>5</xdr:col>
      <xdr:colOff>152400</xdr:colOff>
      <xdr:row>164</xdr:row>
      <xdr:rowOff>133350</xdr:rowOff>
    </xdr:to>
    <xdr:pic>
      <xdr:nvPicPr>
        <xdr:cNvPr id="329" name="Picture@AG\QOverdue@" descr="@AG\QOverdue@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330" name="Picture@5C\Qopen@" descr="@5C\Qopen@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165</xdr:row>
      <xdr:rowOff>0</xdr:rowOff>
    </xdr:from>
    <xdr:to>
      <xdr:col>5</xdr:col>
      <xdr:colOff>152400</xdr:colOff>
      <xdr:row>165</xdr:row>
      <xdr:rowOff>133350</xdr:rowOff>
    </xdr:to>
    <xdr:pic>
      <xdr:nvPicPr>
        <xdr:cNvPr id="331" name="Picture@AG\QOverdue@" descr="@AG\QOverdue@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332" name="Picture@5C\Qopen@" descr="@5C\Qopen@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166</xdr:row>
      <xdr:rowOff>0</xdr:rowOff>
    </xdr:from>
    <xdr:to>
      <xdr:col>5</xdr:col>
      <xdr:colOff>152400</xdr:colOff>
      <xdr:row>166</xdr:row>
      <xdr:rowOff>133350</xdr:rowOff>
    </xdr:to>
    <xdr:pic>
      <xdr:nvPicPr>
        <xdr:cNvPr id="333" name="Picture@AG\QOverdue@" descr="@AG\QOverdue@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334" name="Picture@5C\Qopen@" descr="@5C\Qopen@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167</xdr:row>
      <xdr:rowOff>0</xdr:rowOff>
    </xdr:from>
    <xdr:to>
      <xdr:col>5</xdr:col>
      <xdr:colOff>152400</xdr:colOff>
      <xdr:row>167</xdr:row>
      <xdr:rowOff>133350</xdr:rowOff>
    </xdr:to>
    <xdr:pic>
      <xdr:nvPicPr>
        <xdr:cNvPr id="335" name="Picture@AG\QOverdue@" descr="@AG\QOverdue@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336" name="Picture@5C\Qopen@" descr="@5C\Qopen@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168</xdr:row>
      <xdr:rowOff>0</xdr:rowOff>
    </xdr:from>
    <xdr:to>
      <xdr:col>5</xdr:col>
      <xdr:colOff>152400</xdr:colOff>
      <xdr:row>168</xdr:row>
      <xdr:rowOff>133350</xdr:rowOff>
    </xdr:to>
    <xdr:pic>
      <xdr:nvPicPr>
        <xdr:cNvPr id="337" name="Picture@AG\QOverdue@" descr="@AG\QOverdue@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338" name="Picture@5C\Qopen@" descr="@5C\Qopen@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169</xdr:row>
      <xdr:rowOff>0</xdr:rowOff>
    </xdr:from>
    <xdr:to>
      <xdr:col>5</xdr:col>
      <xdr:colOff>152400</xdr:colOff>
      <xdr:row>169</xdr:row>
      <xdr:rowOff>133350</xdr:rowOff>
    </xdr:to>
    <xdr:pic>
      <xdr:nvPicPr>
        <xdr:cNvPr id="339" name="Picture@AG\QOverdue@" descr="@AG\QOverdue@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340" name="Picture@5C\Qopen@" descr="@5C\Qopen@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170</xdr:row>
      <xdr:rowOff>0</xdr:rowOff>
    </xdr:from>
    <xdr:to>
      <xdr:col>5</xdr:col>
      <xdr:colOff>152400</xdr:colOff>
      <xdr:row>170</xdr:row>
      <xdr:rowOff>133350</xdr:rowOff>
    </xdr:to>
    <xdr:pic>
      <xdr:nvPicPr>
        <xdr:cNvPr id="341" name="Picture@AG\QOverdue@" descr="@AG\QOverdue@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342" name="Picture@5C\Qopen@" descr="@5C\Qopen@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171</xdr:row>
      <xdr:rowOff>0</xdr:rowOff>
    </xdr:from>
    <xdr:to>
      <xdr:col>5</xdr:col>
      <xdr:colOff>152400</xdr:colOff>
      <xdr:row>171</xdr:row>
      <xdr:rowOff>133350</xdr:rowOff>
    </xdr:to>
    <xdr:pic>
      <xdr:nvPicPr>
        <xdr:cNvPr id="343" name="Picture@AG\QOverdue@" descr="@AG\QOverdue@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344" name="Picture@5C\Qopen@" descr="@5C\Qopen@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172</xdr:row>
      <xdr:rowOff>0</xdr:rowOff>
    </xdr:from>
    <xdr:to>
      <xdr:col>5</xdr:col>
      <xdr:colOff>152400</xdr:colOff>
      <xdr:row>172</xdr:row>
      <xdr:rowOff>133350</xdr:rowOff>
    </xdr:to>
    <xdr:pic>
      <xdr:nvPicPr>
        <xdr:cNvPr id="345" name="Picture@AG\QOverdue@" descr="@AG\QOverdue@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346" name="Picture@5C\Qopen@" descr="@5C\Qopen@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173</xdr:row>
      <xdr:rowOff>0</xdr:rowOff>
    </xdr:from>
    <xdr:to>
      <xdr:col>5</xdr:col>
      <xdr:colOff>152400</xdr:colOff>
      <xdr:row>173</xdr:row>
      <xdr:rowOff>133350</xdr:rowOff>
    </xdr:to>
    <xdr:pic>
      <xdr:nvPicPr>
        <xdr:cNvPr id="347" name="Picture@AG\QOverdue@" descr="@AG\QOverdue@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348" name="Picture@5C\Qopen@" descr="@5C\Qopen@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174</xdr:row>
      <xdr:rowOff>0</xdr:rowOff>
    </xdr:from>
    <xdr:to>
      <xdr:col>5</xdr:col>
      <xdr:colOff>152400</xdr:colOff>
      <xdr:row>174</xdr:row>
      <xdr:rowOff>133350</xdr:rowOff>
    </xdr:to>
    <xdr:pic>
      <xdr:nvPicPr>
        <xdr:cNvPr id="349" name="Picture@AG\QOverdue@" descr="@AG\QOverdue@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350" name="Picture@5C\Qopen@" descr="@5C\Qopen@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175</xdr:row>
      <xdr:rowOff>0</xdr:rowOff>
    </xdr:from>
    <xdr:to>
      <xdr:col>5</xdr:col>
      <xdr:colOff>152400</xdr:colOff>
      <xdr:row>175</xdr:row>
      <xdr:rowOff>133350</xdr:rowOff>
    </xdr:to>
    <xdr:pic>
      <xdr:nvPicPr>
        <xdr:cNvPr id="351" name="Picture@AG\QOverdue@" descr="@AG\QOverdue@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352" name="Picture@5C\Qopen@" descr="@5C\Qopen@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176</xdr:row>
      <xdr:rowOff>0</xdr:rowOff>
    </xdr:from>
    <xdr:to>
      <xdr:col>5</xdr:col>
      <xdr:colOff>152400</xdr:colOff>
      <xdr:row>176</xdr:row>
      <xdr:rowOff>133350</xdr:rowOff>
    </xdr:to>
    <xdr:pic>
      <xdr:nvPicPr>
        <xdr:cNvPr id="353" name="Picture@AG\QOverdue@" descr="@AG\QOverdue@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354" name="Picture@5C\Qopen@" descr="@5C\Qopen@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177</xdr:row>
      <xdr:rowOff>0</xdr:rowOff>
    </xdr:from>
    <xdr:to>
      <xdr:col>5</xdr:col>
      <xdr:colOff>152400</xdr:colOff>
      <xdr:row>177</xdr:row>
      <xdr:rowOff>133350</xdr:rowOff>
    </xdr:to>
    <xdr:pic>
      <xdr:nvPicPr>
        <xdr:cNvPr id="355" name="Picture@AG\QOverdue@" descr="@AG\QOverdue@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356" name="Picture@5C\Qopen@" descr="@5C\Qopen@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178</xdr:row>
      <xdr:rowOff>0</xdr:rowOff>
    </xdr:from>
    <xdr:to>
      <xdr:col>5</xdr:col>
      <xdr:colOff>152400</xdr:colOff>
      <xdr:row>178</xdr:row>
      <xdr:rowOff>133350</xdr:rowOff>
    </xdr:to>
    <xdr:pic>
      <xdr:nvPicPr>
        <xdr:cNvPr id="357" name="Picture@AG\QOverdue@" descr="@AG\QOverdue@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358" name="Picture@5C\Qopen@" descr="@5C\Qopen@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179</xdr:row>
      <xdr:rowOff>0</xdr:rowOff>
    </xdr:from>
    <xdr:to>
      <xdr:col>5</xdr:col>
      <xdr:colOff>152400</xdr:colOff>
      <xdr:row>179</xdr:row>
      <xdr:rowOff>133350</xdr:rowOff>
    </xdr:to>
    <xdr:pic>
      <xdr:nvPicPr>
        <xdr:cNvPr id="359" name="Picture@AG\QOverdue@" descr="@AG\QOverdue@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360" name="Picture@5C\Qopen@" descr="@5C\Qopen@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180</xdr:row>
      <xdr:rowOff>0</xdr:rowOff>
    </xdr:from>
    <xdr:to>
      <xdr:col>5</xdr:col>
      <xdr:colOff>152400</xdr:colOff>
      <xdr:row>180</xdr:row>
      <xdr:rowOff>133350</xdr:rowOff>
    </xdr:to>
    <xdr:pic>
      <xdr:nvPicPr>
        <xdr:cNvPr id="361" name="Picture@AG\QOverdue@" descr="@AG\QOverdue@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362" name="Picture@5C\Qopen@" descr="@5C\Qopen@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181</xdr:row>
      <xdr:rowOff>0</xdr:rowOff>
    </xdr:from>
    <xdr:to>
      <xdr:col>5</xdr:col>
      <xdr:colOff>152400</xdr:colOff>
      <xdr:row>181</xdr:row>
      <xdr:rowOff>133350</xdr:rowOff>
    </xdr:to>
    <xdr:pic>
      <xdr:nvPicPr>
        <xdr:cNvPr id="363" name="Picture@AG\QOverdue@" descr="@AG\QOverdue@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364" name="Picture@5C\Qopen@" descr="@5C\Qopen@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182</xdr:row>
      <xdr:rowOff>0</xdr:rowOff>
    </xdr:from>
    <xdr:to>
      <xdr:col>5</xdr:col>
      <xdr:colOff>152400</xdr:colOff>
      <xdr:row>182</xdr:row>
      <xdr:rowOff>133350</xdr:rowOff>
    </xdr:to>
    <xdr:pic>
      <xdr:nvPicPr>
        <xdr:cNvPr id="365" name="Picture@AG\QOverdue@" descr="@AG\QOverdue@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366" name="Picture@5C\Qopen@" descr="@5C\Qopen@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183</xdr:row>
      <xdr:rowOff>0</xdr:rowOff>
    </xdr:from>
    <xdr:to>
      <xdr:col>5</xdr:col>
      <xdr:colOff>152400</xdr:colOff>
      <xdr:row>183</xdr:row>
      <xdr:rowOff>133350</xdr:rowOff>
    </xdr:to>
    <xdr:pic>
      <xdr:nvPicPr>
        <xdr:cNvPr id="367" name="Picture@AG\QOverdue@" descr="@AG\QOverdue@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368" name="Picture@5C\Qopen@" descr="@5C\Qopen@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184</xdr:row>
      <xdr:rowOff>0</xdr:rowOff>
    </xdr:from>
    <xdr:to>
      <xdr:col>5</xdr:col>
      <xdr:colOff>152400</xdr:colOff>
      <xdr:row>184</xdr:row>
      <xdr:rowOff>133350</xdr:rowOff>
    </xdr:to>
    <xdr:pic>
      <xdr:nvPicPr>
        <xdr:cNvPr id="369" name="Picture@AG\QOverdue@" descr="@AG\QOverdue@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370" name="Picture@5C\Qopen@" descr="@5C\Qopen@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185</xdr:row>
      <xdr:rowOff>0</xdr:rowOff>
    </xdr:from>
    <xdr:to>
      <xdr:col>5</xdr:col>
      <xdr:colOff>152400</xdr:colOff>
      <xdr:row>185</xdr:row>
      <xdr:rowOff>133350</xdr:rowOff>
    </xdr:to>
    <xdr:pic>
      <xdr:nvPicPr>
        <xdr:cNvPr id="371" name="Picture@AG\QOverdue@" descr="@AG\QOverdue@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372" name="Picture@5C\Qopen@" descr="@5C\Qopen@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186</xdr:row>
      <xdr:rowOff>0</xdr:rowOff>
    </xdr:from>
    <xdr:to>
      <xdr:col>5</xdr:col>
      <xdr:colOff>152400</xdr:colOff>
      <xdr:row>186</xdr:row>
      <xdr:rowOff>133350</xdr:rowOff>
    </xdr:to>
    <xdr:pic>
      <xdr:nvPicPr>
        <xdr:cNvPr id="373" name="Picture@AG\QOverdue@" descr="@AG\QOverdue@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374" name="Picture@5C\Qopen@" descr="@5C\Qopen@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187</xdr:row>
      <xdr:rowOff>0</xdr:rowOff>
    </xdr:from>
    <xdr:to>
      <xdr:col>5</xdr:col>
      <xdr:colOff>152400</xdr:colOff>
      <xdr:row>187</xdr:row>
      <xdr:rowOff>133350</xdr:rowOff>
    </xdr:to>
    <xdr:pic>
      <xdr:nvPicPr>
        <xdr:cNvPr id="375" name="Picture@AG\QOverdue@" descr="@AG\QOverdue@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376" name="Picture@5C\Qopen@" descr="@5C\Qopen@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188</xdr:row>
      <xdr:rowOff>0</xdr:rowOff>
    </xdr:from>
    <xdr:to>
      <xdr:col>5</xdr:col>
      <xdr:colOff>152400</xdr:colOff>
      <xdr:row>188</xdr:row>
      <xdr:rowOff>133350</xdr:rowOff>
    </xdr:to>
    <xdr:pic>
      <xdr:nvPicPr>
        <xdr:cNvPr id="377" name="Picture@AG\QOverdue@" descr="@AG\QOverdue@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378" name="Picture@5C\Qopen@" descr="@5C\Qopen@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189</xdr:row>
      <xdr:rowOff>0</xdr:rowOff>
    </xdr:from>
    <xdr:to>
      <xdr:col>5</xdr:col>
      <xdr:colOff>152400</xdr:colOff>
      <xdr:row>189</xdr:row>
      <xdr:rowOff>133350</xdr:rowOff>
    </xdr:to>
    <xdr:pic>
      <xdr:nvPicPr>
        <xdr:cNvPr id="379" name="Picture@AG\QOverdue@" descr="@AG\QOverdue@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380" name="Picture@5C\Qopen@" descr="@5C\Qopen@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190</xdr:row>
      <xdr:rowOff>0</xdr:rowOff>
    </xdr:from>
    <xdr:to>
      <xdr:col>5</xdr:col>
      <xdr:colOff>152400</xdr:colOff>
      <xdr:row>190</xdr:row>
      <xdr:rowOff>133350</xdr:rowOff>
    </xdr:to>
    <xdr:pic>
      <xdr:nvPicPr>
        <xdr:cNvPr id="381" name="Picture@AG\QOverdue@" descr="@AG\QOverdue@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382" name="Picture@5C\Qopen@" descr="@5C\Qopen@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191</xdr:row>
      <xdr:rowOff>0</xdr:rowOff>
    </xdr:from>
    <xdr:to>
      <xdr:col>5</xdr:col>
      <xdr:colOff>152400</xdr:colOff>
      <xdr:row>191</xdr:row>
      <xdr:rowOff>133350</xdr:rowOff>
    </xdr:to>
    <xdr:pic>
      <xdr:nvPicPr>
        <xdr:cNvPr id="383" name="Picture@AG\QOverdue@" descr="@AG\QOverdue@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384" name="Picture@5C\Qopen@" descr="@5C\Qopen@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192</xdr:row>
      <xdr:rowOff>0</xdr:rowOff>
    </xdr:from>
    <xdr:to>
      <xdr:col>5</xdr:col>
      <xdr:colOff>152400</xdr:colOff>
      <xdr:row>192</xdr:row>
      <xdr:rowOff>133350</xdr:rowOff>
    </xdr:to>
    <xdr:pic>
      <xdr:nvPicPr>
        <xdr:cNvPr id="385" name="Picture@AG\QOverdue@" descr="@AG\QOverdue@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386" name="Picture@5C\Qopen@" descr="@5C\Qopen@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193</xdr:row>
      <xdr:rowOff>0</xdr:rowOff>
    </xdr:from>
    <xdr:to>
      <xdr:col>5</xdr:col>
      <xdr:colOff>152400</xdr:colOff>
      <xdr:row>193</xdr:row>
      <xdr:rowOff>133350</xdr:rowOff>
    </xdr:to>
    <xdr:pic>
      <xdr:nvPicPr>
        <xdr:cNvPr id="387" name="Picture@AG\QOverdue@" descr="@AG\QOverdue@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388" name="Picture@5C\Qopen@" descr="@5C\Qopen@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194</xdr:row>
      <xdr:rowOff>0</xdr:rowOff>
    </xdr:from>
    <xdr:to>
      <xdr:col>5</xdr:col>
      <xdr:colOff>152400</xdr:colOff>
      <xdr:row>194</xdr:row>
      <xdr:rowOff>133350</xdr:rowOff>
    </xdr:to>
    <xdr:pic>
      <xdr:nvPicPr>
        <xdr:cNvPr id="389" name="Picture@AG\QOverdue@" descr="@AG\QOverdue@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390" name="Picture@5C\Qopen@" descr="@5C\Qopen@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195</xdr:row>
      <xdr:rowOff>0</xdr:rowOff>
    </xdr:from>
    <xdr:to>
      <xdr:col>5</xdr:col>
      <xdr:colOff>152400</xdr:colOff>
      <xdr:row>195</xdr:row>
      <xdr:rowOff>133350</xdr:rowOff>
    </xdr:to>
    <xdr:pic>
      <xdr:nvPicPr>
        <xdr:cNvPr id="391" name="Picture@AG\QOverdue@" descr="@AG\QOverdue@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392" name="Picture@5C\Qopen@" descr="@5C\Qopen@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196</xdr:row>
      <xdr:rowOff>0</xdr:rowOff>
    </xdr:from>
    <xdr:to>
      <xdr:col>5</xdr:col>
      <xdr:colOff>152400</xdr:colOff>
      <xdr:row>196</xdr:row>
      <xdr:rowOff>133350</xdr:rowOff>
    </xdr:to>
    <xdr:pic>
      <xdr:nvPicPr>
        <xdr:cNvPr id="393" name="Picture@AG\QOverdue@" descr="@AG\QOverdue@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394" name="Picture@5C\Qopen@" descr="@5C\Qopen@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197</xdr:row>
      <xdr:rowOff>0</xdr:rowOff>
    </xdr:from>
    <xdr:to>
      <xdr:col>5</xdr:col>
      <xdr:colOff>152400</xdr:colOff>
      <xdr:row>197</xdr:row>
      <xdr:rowOff>133350</xdr:rowOff>
    </xdr:to>
    <xdr:pic>
      <xdr:nvPicPr>
        <xdr:cNvPr id="395" name="Picture@AG\QOverdue@" descr="@AG\QOverdue@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396" name="Picture@5C\Qopen@" descr="@5C\Qopen@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198</xdr:row>
      <xdr:rowOff>0</xdr:rowOff>
    </xdr:from>
    <xdr:to>
      <xdr:col>5</xdr:col>
      <xdr:colOff>152400</xdr:colOff>
      <xdr:row>198</xdr:row>
      <xdr:rowOff>133350</xdr:rowOff>
    </xdr:to>
    <xdr:pic>
      <xdr:nvPicPr>
        <xdr:cNvPr id="397" name="Picture@AG\QOverdue@" descr="@AG\QOverdue@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398" name="Picture@5C\Qopen@" descr="@5C\Qopen@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199</xdr:row>
      <xdr:rowOff>0</xdr:rowOff>
    </xdr:from>
    <xdr:to>
      <xdr:col>5</xdr:col>
      <xdr:colOff>152400</xdr:colOff>
      <xdr:row>199</xdr:row>
      <xdr:rowOff>133350</xdr:rowOff>
    </xdr:to>
    <xdr:pic>
      <xdr:nvPicPr>
        <xdr:cNvPr id="399" name="Picture@AG\QOverdue@" descr="@AG\QOverdue@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400" name="Picture@5C\Qopen@" descr="@5C\Qopen@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200</xdr:row>
      <xdr:rowOff>0</xdr:rowOff>
    </xdr:from>
    <xdr:to>
      <xdr:col>5</xdr:col>
      <xdr:colOff>152400</xdr:colOff>
      <xdr:row>200</xdr:row>
      <xdr:rowOff>133350</xdr:rowOff>
    </xdr:to>
    <xdr:pic>
      <xdr:nvPicPr>
        <xdr:cNvPr id="401" name="Picture@AG\QOverdue@" descr="@AG\QOverdue@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402" name="Picture@5C\Qopen@" descr="@5C\Qopen@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201</xdr:row>
      <xdr:rowOff>0</xdr:rowOff>
    </xdr:from>
    <xdr:to>
      <xdr:col>5</xdr:col>
      <xdr:colOff>152400</xdr:colOff>
      <xdr:row>201</xdr:row>
      <xdr:rowOff>133350</xdr:rowOff>
    </xdr:to>
    <xdr:pic>
      <xdr:nvPicPr>
        <xdr:cNvPr id="403" name="Picture@AG\QOverdue@" descr="@AG\QOverdue@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404" name="Picture@5C\Qopen@" descr="@5C\Qopen@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202</xdr:row>
      <xdr:rowOff>0</xdr:rowOff>
    </xdr:from>
    <xdr:to>
      <xdr:col>5</xdr:col>
      <xdr:colOff>152400</xdr:colOff>
      <xdr:row>202</xdr:row>
      <xdr:rowOff>133350</xdr:rowOff>
    </xdr:to>
    <xdr:pic>
      <xdr:nvPicPr>
        <xdr:cNvPr id="405" name="Picture@AG\QOverdue@" descr="@AG\QOverdue@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406" name="Picture@5C\Qopen@" descr="@5C\Qopen@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203</xdr:row>
      <xdr:rowOff>0</xdr:rowOff>
    </xdr:from>
    <xdr:to>
      <xdr:col>5</xdr:col>
      <xdr:colOff>152400</xdr:colOff>
      <xdr:row>203</xdr:row>
      <xdr:rowOff>133350</xdr:rowOff>
    </xdr:to>
    <xdr:pic>
      <xdr:nvPicPr>
        <xdr:cNvPr id="407" name="Picture@AG\QOverdue@" descr="@AG\QOverdue@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408" name="Picture@5C\Qopen@" descr="@5C\Qopen@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204</xdr:row>
      <xdr:rowOff>0</xdr:rowOff>
    </xdr:from>
    <xdr:to>
      <xdr:col>5</xdr:col>
      <xdr:colOff>152400</xdr:colOff>
      <xdr:row>204</xdr:row>
      <xdr:rowOff>133350</xdr:rowOff>
    </xdr:to>
    <xdr:pic>
      <xdr:nvPicPr>
        <xdr:cNvPr id="409" name="Picture@AG\QOverdue@" descr="@AG\QOverdue@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410" name="Picture@5C\Qopen@" descr="@5C\Qopen@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205</xdr:row>
      <xdr:rowOff>0</xdr:rowOff>
    </xdr:from>
    <xdr:to>
      <xdr:col>5</xdr:col>
      <xdr:colOff>152400</xdr:colOff>
      <xdr:row>205</xdr:row>
      <xdr:rowOff>133350</xdr:rowOff>
    </xdr:to>
    <xdr:pic>
      <xdr:nvPicPr>
        <xdr:cNvPr id="411" name="Picture@AG\QOverdue@" descr="@AG\QOverdue@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412" name="Picture@5C\Qopen@" descr="@5C\Qopen@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206</xdr:row>
      <xdr:rowOff>0</xdr:rowOff>
    </xdr:from>
    <xdr:to>
      <xdr:col>5</xdr:col>
      <xdr:colOff>152400</xdr:colOff>
      <xdr:row>206</xdr:row>
      <xdr:rowOff>133350</xdr:rowOff>
    </xdr:to>
    <xdr:pic>
      <xdr:nvPicPr>
        <xdr:cNvPr id="413" name="Picture@AG\QOverdue@" descr="@AG\QOverdue@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414" name="Picture@5C\Qopen@" descr="@5C\Qopen@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207</xdr:row>
      <xdr:rowOff>0</xdr:rowOff>
    </xdr:from>
    <xdr:to>
      <xdr:col>5</xdr:col>
      <xdr:colOff>152400</xdr:colOff>
      <xdr:row>207</xdr:row>
      <xdr:rowOff>133350</xdr:rowOff>
    </xdr:to>
    <xdr:pic>
      <xdr:nvPicPr>
        <xdr:cNvPr id="415" name="Picture@AG\QOverdue@" descr="@AG\QOverdue@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416" name="Picture@5C\Qopen@" descr="@5C\Qopen@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208</xdr:row>
      <xdr:rowOff>0</xdr:rowOff>
    </xdr:from>
    <xdr:to>
      <xdr:col>5</xdr:col>
      <xdr:colOff>152400</xdr:colOff>
      <xdr:row>208</xdr:row>
      <xdr:rowOff>133350</xdr:rowOff>
    </xdr:to>
    <xdr:pic>
      <xdr:nvPicPr>
        <xdr:cNvPr id="417" name="Picture@AG\QOverdue@" descr="@AG\QOverdue@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418" name="Picture@5C\Qopen@" descr="@5C\Qopen@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209</xdr:row>
      <xdr:rowOff>0</xdr:rowOff>
    </xdr:from>
    <xdr:to>
      <xdr:col>5</xdr:col>
      <xdr:colOff>152400</xdr:colOff>
      <xdr:row>209</xdr:row>
      <xdr:rowOff>133350</xdr:rowOff>
    </xdr:to>
    <xdr:pic>
      <xdr:nvPicPr>
        <xdr:cNvPr id="419" name="Picture@AG\QOverdue@" descr="@AG\QOverdue@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420" name="Picture@5C\Qopen@" descr="@5C\Qopen@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210</xdr:row>
      <xdr:rowOff>0</xdr:rowOff>
    </xdr:from>
    <xdr:to>
      <xdr:col>5</xdr:col>
      <xdr:colOff>152400</xdr:colOff>
      <xdr:row>210</xdr:row>
      <xdr:rowOff>133350</xdr:rowOff>
    </xdr:to>
    <xdr:pic>
      <xdr:nvPicPr>
        <xdr:cNvPr id="421" name="Picture@AG\QOverdue@" descr="@AG\QOverdue@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422" name="Picture@5C\Qopen@" descr="@5C\Qopen@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211</xdr:row>
      <xdr:rowOff>0</xdr:rowOff>
    </xdr:from>
    <xdr:to>
      <xdr:col>5</xdr:col>
      <xdr:colOff>152400</xdr:colOff>
      <xdr:row>211</xdr:row>
      <xdr:rowOff>133350</xdr:rowOff>
    </xdr:to>
    <xdr:pic>
      <xdr:nvPicPr>
        <xdr:cNvPr id="423" name="Picture@AG\QOverdue@" descr="@AG\QOverdue@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424" name="Picture@5C\Qopen@" descr="@5C\Qopen@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212</xdr:row>
      <xdr:rowOff>0</xdr:rowOff>
    </xdr:from>
    <xdr:to>
      <xdr:col>5</xdr:col>
      <xdr:colOff>152400</xdr:colOff>
      <xdr:row>212</xdr:row>
      <xdr:rowOff>133350</xdr:rowOff>
    </xdr:to>
    <xdr:pic>
      <xdr:nvPicPr>
        <xdr:cNvPr id="425" name="Picture@FR\QNot due@" descr="@FR\QNot due@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426" name="Picture@5C\Qopen@" descr="@5C\Qopen@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213</xdr:row>
      <xdr:rowOff>0</xdr:rowOff>
    </xdr:from>
    <xdr:to>
      <xdr:col>5</xdr:col>
      <xdr:colOff>152400</xdr:colOff>
      <xdr:row>213</xdr:row>
      <xdr:rowOff>133350</xdr:rowOff>
    </xdr:to>
    <xdr:pic>
      <xdr:nvPicPr>
        <xdr:cNvPr id="427" name="Picture@FR\QNot due@" descr="@FR\QNot due@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428" name="Picture@5C\Qopen@" descr="@5C\Qopen@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5</xdr:col>
      <xdr:colOff>0</xdr:colOff>
      <xdr:row>214</xdr:row>
      <xdr:rowOff>0</xdr:rowOff>
    </xdr:from>
    <xdr:to>
      <xdr:col>5</xdr:col>
      <xdr:colOff>152400</xdr:colOff>
      <xdr:row>214</xdr:row>
      <xdr:rowOff>133350</xdr:rowOff>
    </xdr:to>
    <xdr:pic>
      <xdr:nvPicPr>
        <xdr:cNvPr id="429" name="Picture@FR\QNot due@" descr="@FR\QNot due@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431" name="Picture@5B\QCleared@" descr="@5B\QCleared@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432" name="Picture@5B\QCleared@" descr="@5B\QCleared@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433" name="Picture@5B\QCleared@" descr="@5B\QCleared@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434" name="Picture@5B\QCleared@" descr="@5B\QCleared@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435" name="Picture@5B\QCleared@" descr="@5B\QCleared@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436" name="Picture@5B\QCleared@" descr="@5B\QCleared@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437" name="Picture@5B\QCleared@" descr="@5B\QCleared@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438" name="Picture@5B\QCleared@" descr="@5B\QCleared@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439" name="Picture@5B\QCleared@" descr="@5B\QCleared@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440" name="Picture@5B\QCleared@" descr="@5B\QCleared@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441" name="Picture@5B\QCleared@" descr="@5B\QCleared@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442" name="Picture@5B\QCleared@" descr="@5B\QCleared@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443" name="Picture@5B\QCleared@" descr="@5B\QCleared@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444" name="Picture@5B\QCleared@" descr="@5B\QCleared@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445" name="Picture@5B\QCleared@" descr="@5B\QCleared@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446" name="Picture@5B\QCleared@" descr="@5B\QCleared@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447" name="Picture@5B\QCleared@" descr="@5B\QCleared@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448" name="Picture@5B\QCleared@" descr="@5B\QCleared@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449" name="Picture@5B\QCleared@" descr="@5B\QCleared@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450" name="Picture@5B\QCleared@" descr="@5B\QCleared@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451" name="Picture@5B\QCleared@" descr="@5B\QCleared@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452" name="Picture@5B\QCleared@" descr="@5B\QCleared@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453" name="Picture@5B\QCleared@" descr="@5B\QCleared@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454" name="Picture@5B\QCleared@" descr="@5B\QCleared@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455" name="Picture@5B\QCleared@" descr="@5B\QCleared@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456" name="Picture@5B\QCleared@" descr="@5B\QCleared@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457" name="Picture@5B\QCleared@" descr="@5B\QCleared@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458" name="Picture@5B\QCleared@" descr="@5B\QCleared@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459" name="Picture@5B\QCleared@" descr="@5B\QCleared@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460" name="Picture@5B\QCleared@" descr="@5B\QCleared@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461" name="Picture@5B\QCleared@" descr="@5B\QCleared@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462" name="Picture@5B\QCleared@" descr="@5B\QCleared@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463" name="Picture@5B\QCleared@" descr="@5B\QCleared@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464" name="Picture@5B\QCleared@" descr="@5B\QCleared@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465" name="Picture@5B\QCleared@" descr="@5B\QCleared@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466" name="Picture@5B\QCleared@" descr="@5B\QCleared@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467" name="Picture@5B\QCleared@" descr="@5B\QCleared@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5.712642824074" createdVersion="7" refreshedVersion="7" minRefreshableVersion="3" recordCount="1082" xr:uid="{2B1F2101-E993-4372-AAC4-5CE9E5C63DA1}">
  <cacheSource type="worksheet">
    <worksheetSource ref="A2:P1084" sheet="SRIKARAM BOOKS"/>
  </cacheSource>
  <cacheFields count="16">
    <cacheField name="Date" numFmtId="14">
      <sharedItems containsDate="1" containsBlank="1" containsMixedTypes="1" minDate="2025-02-19T00:00:00" maxDate="2026-02-01T00:00:00" count="46">
        <d v="2025-02-19T00:00:00"/>
        <s v=""/>
        <m/>
        <d v="2025-02-20T00:00:00"/>
        <d v="2025-03-01T00:00:00"/>
        <d v="2025-03-03T00:00:00"/>
        <d v="2025-03-06T00:00:00"/>
        <d v="2025-03-19T00:00:00"/>
        <d v="2025-03-20T00:00:00"/>
        <d v="2025-04-29T00:00:00"/>
        <d v="2025-05-26T00:00:00"/>
        <d v="2025-06-01T00:00:00"/>
        <d v="2025-06-02T00:00:00"/>
        <d v="2025-06-10T00:00:00"/>
        <d v="2025-06-13T00:00:00"/>
        <d v="2025-06-18T00:00:00"/>
        <d v="2025-06-27T00:00:00"/>
        <d v="2025-07-01T00:00:00"/>
        <d v="2025-07-02T00:00:00"/>
        <d v="2025-07-04T00:00:00"/>
        <d v="2025-07-11T00:00:00"/>
        <d v="2025-07-19T00:00:00"/>
        <d v="2025-07-25T00:00:00"/>
        <d v="2025-08-01T00:00:00"/>
        <d v="2025-08-02T00:00:00"/>
        <d v="2025-09-09T00:00:00"/>
        <d v="2025-09-18T00:00:00"/>
        <d v="2025-09-29T00:00:00"/>
        <d v="2025-10-01T00:00:00"/>
        <d v="2025-10-02T00:00:00"/>
        <d v="2025-10-07T00:00:00"/>
        <d v="2025-10-17T00:00:00"/>
        <d v="2025-10-29T00:00:00"/>
        <d v="2025-11-01T00:00:00"/>
        <d v="2025-11-03T00:00:00"/>
        <d v="2025-11-05T00:00:00"/>
        <d v="2025-11-06T00:00:00"/>
        <d v="2025-11-14T00:00:00"/>
        <d v="2025-11-26T00:00:00"/>
        <d v="2025-12-01T00:00:00"/>
        <d v="2025-12-15T00:00:00"/>
        <d v="2025-12-30T00:00:00"/>
        <d v="2026-01-06T00:00:00"/>
        <d v="2026-01-14T00:00:00"/>
        <d v="2026-01-21T00:00:00"/>
        <d v="2026-01-31T00:00:00"/>
      </sharedItems>
    </cacheField>
    <cacheField name="Particulars" numFmtId="0">
      <sharedItems containsBlank="1"/>
    </cacheField>
    <cacheField name="Ledger" numFmtId="0">
      <sharedItems/>
    </cacheField>
    <cacheField name="1" numFmtId="0">
      <sharedItems containsBlank="1"/>
    </cacheField>
    <cacheField name=" 2 " numFmtId="165">
      <sharedItems/>
    </cacheField>
    <cacheField name=" 3 " numFmtId="165">
      <sharedItems containsMixedTypes="1" containsNumber="1" containsInteger="1" minValue="39" maxValue="198877"/>
    </cacheField>
    <cacheField name=" 4 " numFmtId="165">
      <sharedItems containsBlank="1"/>
    </cacheField>
    <cacheField name=" 5 " numFmtId="165">
      <sharedItems containsBlank="1"/>
    </cacheField>
    <cacheField name="Month" numFmtId="165">
      <sharedItems containsBlank="1"/>
    </cacheField>
    <cacheField name="Debit Amount (USD)" numFmtId="165">
      <sharedItems containsBlank="1"/>
    </cacheField>
    <cacheField name="Credit Amount (USD)" numFmtId="165">
      <sharedItems containsString="0" containsBlank="1" containsNumber="1" minValue="0.01" maxValue="220975.16"/>
    </cacheField>
    <cacheField name="Vch Type" numFmtId="165">
      <sharedItems containsBlank="1" containsMixedTypes="1" containsNumber="1" minValue="0.01" maxValue="22098"/>
    </cacheField>
    <cacheField name="Vch No." numFmtId="165">
      <sharedItems containsBlank="1"/>
    </cacheField>
    <cacheField name="Debit" numFmtId="165">
      <sharedItems containsString="0" containsBlank="1" containsNumber="1" containsInteger="1" minValue="100000" maxValue="700000"/>
    </cacheField>
    <cacheField name="Credit" numFmtId="165">
      <sharedItems containsString="0" containsBlank="1" containsNumber="1" containsInteger="1" minValue="84" maxValue="198877"/>
    </cacheField>
    <cacheField name="TDS" numFmtId="165">
      <sharedItems containsSemiMixedTypes="0" containsString="0" containsNumber="1" containsInteger="1" minValue="0" maxValue="220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5.71361770833" createdVersion="7" refreshedVersion="7" minRefreshableVersion="3" recordCount="44" xr:uid="{5BBAAD47-0C45-4B36-9F3D-BBDDFDCF9289}">
  <cacheSource type="worksheet">
    <worksheetSource ref="F3:I47" sheet="Pivot-Srikaram"/>
  </cacheSource>
  <cacheFields count="6">
    <cacheField name="Date" numFmtId="14">
      <sharedItems containsSemiMixedTypes="0" containsNonDate="0" containsDate="1" containsString="0" minDate="2025-02-19T00:00:00" maxDate="2026-02-01T00:00:00" count="44">
        <d v="2025-02-19T00:00:00"/>
        <d v="2025-02-20T00:00:00"/>
        <d v="2025-03-01T00:00:00"/>
        <d v="2025-03-03T00:00:00"/>
        <d v="2025-03-06T00:00:00"/>
        <d v="2025-03-19T00:00:00"/>
        <d v="2025-03-20T00:00:00"/>
        <d v="2025-04-29T00:00:00"/>
        <d v="2025-05-26T00:00:00"/>
        <d v="2025-06-01T00:00:00"/>
        <d v="2025-06-02T00:00:00"/>
        <d v="2025-06-10T00:00:00"/>
        <d v="2025-06-13T00:00:00"/>
        <d v="2025-06-18T00:00:00"/>
        <d v="2025-06-27T00:00:00"/>
        <d v="2025-07-01T00:00:00"/>
        <d v="2025-07-02T00:00:00"/>
        <d v="2025-07-04T00:00:00"/>
        <d v="2025-07-11T00:00:00"/>
        <d v="2025-07-19T00:00:00"/>
        <d v="2025-07-25T00:00:00"/>
        <d v="2025-08-01T00:00:00"/>
        <d v="2025-08-02T00:00:00"/>
        <d v="2025-09-09T00:00:00"/>
        <d v="2025-09-18T00:00:00"/>
        <d v="2025-09-29T00:00:00"/>
        <d v="2025-10-01T00:00:00"/>
        <d v="2025-10-02T00:00:00"/>
        <d v="2025-10-07T00:00:00"/>
        <d v="2025-10-17T00:00:00"/>
        <d v="2025-10-29T00:00:00"/>
        <d v="2025-11-01T00:00:00"/>
        <d v="2025-11-03T00:00:00"/>
        <d v="2025-11-05T00:00:00"/>
        <d v="2025-11-06T00:00:00"/>
        <d v="2025-11-14T00:00:00"/>
        <d v="2025-11-26T00:00:00"/>
        <d v="2025-12-01T00:00:00"/>
        <d v="2025-12-15T00:00:00"/>
        <d v="2025-12-30T00:00:00"/>
        <d v="2026-01-06T00:00:00"/>
        <d v="2026-01-14T00:00:00"/>
        <d v="2026-01-21T00:00:00"/>
        <d v="2026-01-31T00:00:00"/>
      </sharedItems>
      <fieldGroup par="5" base="0">
        <rangePr groupBy="months" startDate="2025-02-19T00:00:00" endDate="2026-02-01T00:00:00"/>
        <groupItems count="14">
          <s v="&lt;19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2-2026"/>
        </groupItems>
      </fieldGroup>
    </cacheField>
    <cacheField name="Debit" numFmtId="0">
      <sharedItems containsString="0" containsBlank="1" containsNumber="1" containsInteger="1" minValue="100000" maxValue="700000"/>
    </cacheField>
    <cacheField name="Credit" numFmtId="0">
      <sharedItems containsString="0" containsBlank="1" containsNumber="1" containsInteger="1" minValue="14486" maxValue="646777"/>
    </cacheField>
    <cacheField name="TDS" numFmtId="0">
      <sharedItems containsSemiMixedTypes="0" containsString="0" containsNumber="1" containsInteger="1" minValue="0" maxValue="71863"/>
    </cacheField>
    <cacheField name="Quarters" numFmtId="0" databaseField="0">
      <fieldGroup base="0">
        <rangePr groupBy="quarters" startDate="2025-02-19T00:00:00" endDate="2026-02-01T00:00:00"/>
        <groupItems count="6">
          <s v="&lt;19-02-2025"/>
          <s v="Qtr1"/>
          <s v="Qtr2"/>
          <s v="Qtr3"/>
          <s v="Qtr4"/>
          <s v="&gt;01-02-2026"/>
        </groupItems>
      </fieldGroup>
    </cacheField>
    <cacheField name="Years" numFmtId="0" databaseField="0">
      <fieldGroup base="0">
        <rangePr groupBy="years" startDate="2025-02-19T00:00:00" endDate="2026-02-01T00:00:00"/>
        <groupItems count="4">
          <s v="&lt;19-02-2025"/>
          <s v="2025"/>
          <s v="2026"/>
          <s v="&gt;01-02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5.793726504628" createdVersion="7" refreshedVersion="7" minRefreshableVersion="3" recordCount="250" xr:uid="{B8A4E112-3AD6-4162-BEB0-9BEA3CAD7571}">
  <cacheSource type="worksheet">
    <worksheetSource ref="A1:E251" sheet="Pivot Ascendus"/>
  </cacheSource>
  <cacheFields count="7">
    <cacheField name="Document Type" numFmtId="0">
      <sharedItems count="7">
        <s v="DZ"/>
        <s v="DR"/>
        <s v="DG"/>
        <s v="DY"/>
        <s v="DA"/>
        <s v="XC"/>
        <s v="" u="1"/>
      </sharedItems>
    </cacheField>
    <cacheField name="Document Date" numFmtId="14">
      <sharedItems containsSemiMixedTypes="0" containsNonDate="0" containsDate="1" containsString="0" minDate="2025-02-13T00:00:00" maxDate="2026-01-28T00:00:00" count="83">
        <d v="2025-06-24T00:00:00"/>
        <d v="2025-08-21T00:00:00"/>
        <d v="2025-10-01T00:00:00"/>
        <d v="2025-10-14T00:00:00"/>
        <d v="2025-11-11T00:00:00"/>
        <d v="2025-11-16T00:00:00"/>
        <d v="2025-11-25T00:00:00"/>
        <d v="2025-12-03T00:00:00"/>
        <d v="2025-12-18T00:00:00"/>
        <d v="2026-01-08T00:00:00"/>
        <d v="2026-01-09T00:00:00"/>
        <d v="2026-01-19T00:00:00"/>
        <d v="2026-01-23T00:00:00"/>
        <d v="2025-06-19T00:00:00"/>
        <d v="2025-07-04T00:00:00"/>
        <d v="2025-07-25T00:00:00"/>
        <d v="2025-09-04T00:00:00"/>
        <d v="2025-09-18T00:00:00"/>
        <d v="2025-09-17T00:00:00"/>
        <d v="2025-10-05T00:00:00"/>
        <d v="2025-10-06T00:00:00"/>
        <d v="2025-10-07T00:00:00"/>
        <d v="2025-10-18T00:00:00"/>
        <d v="2025-10-21T00:00:00"/>
        <d v="2025-10-20T00:00:00"/>
        <d v="2025-11-05T00:00:00"/>
        <d v="2025-11-03T00:00:00"/>
        <d v="2025-11-20T00:00:00"/>
        <d v="2026-01-02T00:00:00"/>
        <d v="2025-12-08T00:00:00"/>
        <d v="2025-12-05T00:00:00"/>
        <d v="2026-01-05T00:00:00"/>
        <d v="2026-01-06T00:00:00"/>
        <d v="2026-01-13T00:00:00"/>
        <d v="2025-02-20T00:00:00"/>
        <d v="2025-02-28T00:00:00"/>
        <d v="2025-03-03T00:00:00"/>
        <d v="2025-03-06T00:00:00"/>
        <d v="2025-03-13T00:00:00"/>
        <d v="2025-03-14T00:00:00"/>
        <d v="2025-03-17T00:00:00"/>
        <d v="2025-03-19T00:00:00"/>
        <d v="2025-03-20T00:00:00"/>
        <d v="2025-03-21T00:00:00"/>
        <d v="2025-04-03T00:00:00"/>
        <d v="2025-04-04T00:00:00"/>
        <d v="2025-04-15T00:00:00"/>
        <d v="2025-04-16T00:00:00"/>
        <d v="2025-04-21T00:00:00"/>
        <d v="2025-04-22T00:00:00"/>
        <d v="2025-04-24T00:00:00"/>
        <d v="2025-04-23T00:00:00"/>
        <d v="2025-05-10T00:00:00"/>
        <d v="2025-05-16T00:00:00"/>
        <d v="2025-05-20T00:00:00"/>
        <d v="2025-05-28T00:00:00"/>
        <d v="2025-06-02T00:00:00"/>
        <d v="2025-06-04T00:00:00"/>
        <d v="2025-06-07T00:00:00"/>
        <d v="2025-06-13T00:00:00"/>
        <d v="2025-06-10T00:00:00"/>
        <d v="2025-07-18T00:00:00"/>
        <d v="2025-07-24T00:00:00"/>
        <d v="2025-08-01T00:00:00"/>
        <d v="2025-08-08T00:00:00"/>
        <d v="2025-08-20T00:00:00"/>
        <d v="2025-09-06T00:00:00"/>
        <d v="2025-10-28T00:00:00"/>
        <d v="2026-01-12T00:00:00"/>
        <d v="2026-01-27T00:00:00"/>
        <d v="2025-05-19T00:00:00"/>
        <d v="2025-02-19T00:00:00"/>
        <d v="2025-02-25T00:00:00"/>
        <d v="2025-07-23T00:00:00"/>
        <d v="2025-05-14T00:00:00"/>
        <d v="2025-05-22T00:00:00"/>
        <d v="2025-11-14T00:00:00"/>
        <d v="2025-10-17T00:00:00"/>
        <d v="2025-08-04T00:00:00"/>
        <d v="2025-10-29T00:00:00"/>
        <d v="2025-12-01T00:00:00"/>
        <d v="2025-04-11T00:00:00"/>
        <d v="2025-02-13T00:00:00"/>
      </sharedItems>
      <fieldGroup par="6" base="1">
        <rangePr groupBy="months" startDate="2025-02-13T00:00:00" endDate="2026-01-28T00:00:00"/>
        <groupItems count="14">
          <s v="&lt;13-02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1-2026"/>
        </groupItems>
      </fieldGroup>
    </cacheField>
    <cacheField name="Amount in Local Currency" numFmtId="0">
      <sharedItems containsSemiMixedTypes="0" containsString="0" containsNumber="1" minValue="-1000000" maxValue="1000000"/>
    </cacheField>
    <cacheField name="Local Currency" numFmtId="0">
      <sharedItems/>
    </cacheField>
    <cacheField name="Text" numFmtId="0">
      <sharedItems/>
    </cacheField>
    <cacheField name="Quarters" numFmtId="0" databaseField="0">
      <fieldGroup base="1">
        <rangePr groupBy="quarters" startDate="2025-02-13T00:00:00" endDate="2026-01-28T00:00:00"/>
        <groupItems count="6">
          <s v="&lt;13-02-2025"/>
          <s v="Qtr1"/>
          <s v="Qtr2"/>
          <s v="Qtr3"/>
          <s v="Qtr4"/>
          <s v="&gt;28-01-2026"/>
        </groupItems>
      </fieldGroup>
    </cacheField>
    <cacheField name="Years" numFmtId="0" databaseField="0">
      <fieldGroup base="1">
        <rangePr groupBy="years" startDate="2025-02-13T00:00:00" endDate="2026-01-28T00:00:00"/>
        <groupItems count="4">
          <s v="&lt;13-02-2025"/>
          <s v="2025"/>
          <s v="2026"/>
          <s v="&gt;28-01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uroy Gonsalves" refreshedDate="46055.821747685186" createdVersion="7" refreshedVersion="7" minRefreshableVersion="3" recordCount="169" xr:uid="{60734103-BD5D-4AA9-A700-DD2097032D0D}">
  <cacheSource type="worksheet">
    <worksheetSource ref="A1:H170" sheet="Customer Billing"/>
  </cacheSource>
  <cacheFields count="10">
    <cacheField name="Date" numFmtId="14">
      <sharedItems containsSemiMixedTypes="0" containsNonDate="0" containsDate="1" containsString="0" minDate="2025-02-19T00:00:00" maxDate="2025-12-02T00:00:00"/>
    </cacheField>
    <cacheField name="Particulars" numFmtId="0">
      <sharedItems/>
    </cacheField>
    <cacheField name="M" numFmtId="14">
      <sharedItems/>
    </cacheField>
    <cacheField name="Credit Amount (USD)" numFmtId="165">
      <sharedItems containsSemiMixedTypes="0" containsString="0" containsNumber="1" minValue="0.97" maxValue="2333.4699999999998"/>
    </cacheField>
    <cacheField name="Vch Type" numFmtId="165">
      <sharedItems/>
    </cacheField>
    <cacheField name="Credit" numFmtId="165">
      <sharedItems containsSemiMixedTypes="0" containsString="0" containsNumber="1" containsInteger="1" minValue="84" maxValue="198877"/>
    </cacheField>
    <cacheField name="TDS" numFmtId="165">
      <sharedItems containsSemiMixedTypes="0" containsString="0" containsNumber="1" containsInteger="1" minValue="2" maxValue="22098"/>
    </cacheField>
    <cacheField name="Months" numFmtId="15">
      <sharedItems containsSemiMixedTypes="0" containsNonDate="0" containsDate="1" containsString="0" minDate="2024-08-01T00:00:00" maxDate="2025-11-02T00:00:00" count="16"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</sharedItems>
      <fieldGroup par="9" base="7">
        <rangePr groupBy="months" startDate="2024-08-01T00:00:00" endDate="2025-11-02T00:00:00"/>
        <groupItems count="14">
          <s v="&lt;01-08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11-2025"/>
        </groupItems>
      </fieldGroup>
    </cacheField>
    <cacheField name="Quarters" numFmtId="0" databaseField="0">
      <fieldGroup base="7">
        <rangePr groupBy="quarters" startDate="2024-08-01T00:00:00" endDate="2025-11-02T00:00:00"/>
        <groupItems count="6">
          <s v="&lt;01-08-2024"/>
          <s v="Qtr1"/>
          <s v="Qtr2"/>
          <s v="Qtr3"/>
          <s v="Qtr4"/>
          <s v="&gt;02-11-2025"/>
        </groupItems>
      </fieldGroup>
    </cacheField>
    <cacheField name="Years" numFmtId="0" databaseField="0">
      <fieldGroup base="7">
        <rangePr groupBy="years" startDate="2024-08-01T00:00:00" endDate="2025-11-02T00:00:00"/>
        <groupItems count="4">
          <s v="&lt;01-08-2024"/>
          <s v="2024"/>
          <s v="2025"/>
          <s v="&gt;02-1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2">
  <r>
    <x v="0"/>
    <s v="Dr"/>
    <s v="(as per details)"/>
    <m/>
    <s v=""/>
    <s v=""/>
    <s v=""/>
    <s v=""/>
    <s v="August, 2024"/>
    <m/>
    <n v="1620.01"/>
    <s v="Journal 1"/>
    <s v="90"/>
    <m/>
    <n v="140899"/>
    <n v="15655"/>
  </r>
  <r>
    <x v="1"/>
    <m/>
    <s v="Space Expense / Storage - E"/>
    <m/>
    <s v=""/>
    <s v=""/>
    <s v=""/>
    <s v=""/>
    <s v=""/>
    <s v=""/>
    <n v="156553.56"/>
    <m/>
    <m/>
    <m/>
    <m/>
    <n v="0"/>
  </r>
  <r>
    <x v="1"/>
    <m/>
    <s v="TDS on Rent"/>
    <m/>
    <s v=""/>
    <s v=""/>
    <s v=""/>
    <s v=""/>
    <s v=""/>
    <s v=""/>
    <m/>
    <n v="15655"/>
    <m/>
    <m/>
    <m/>
    <n v="0"/>
  </r>
  <r>
    <x v="1"/>
    <m/>
    <s v="Round Off"/>
    <m/>
    <s v=""/>
    <s v=""/>
    <s v=""/>
    <s v=""/>
    <s v=""/>
    <s v=""/>
    <n v="0.44"/>
    <m/>
    <m/>
    <m/>
    <m/>
    <n v="0"/>
  </r>
  <r>
    <x v="2"/>
    <m/>
    <s v="New Ref"/>
    <s v="246779410018"/>
    <s v=""/>
    <n v="140899"/>
    <s v="Cr"/>
    <m/>
    <m/>
    <m/>
    <m/>
    <m/>
    <m/>
    <m/>
    <m/>
    <n v="0"/>
  </r>
  <r>
    <x v="3"/>
    <s v="Dr"/>
    <s v="(as per details)"/>
    <m/>
    <s v=""/>
    <s v=""/>
    <s v=""/>
    <s v=""/>
    <s v="September, 2024"/>
    <m/>
    <n v="1620"/>
    <s v="Journal 1"/>
    <s v="92"/>
    <m/>
    <n v="140453"/>
    <n v="15606"/>
  </r>
  <r>
    <x v="1"/>
    <m/>
    <s v="Space Expense / Storage - E"/>
    <m/>
    <s v=""/>
    <s v=""/>
    <s v=""/>
    <s v=""/>
    <s v=""/>
    <s v=""/>
    <n v="156059.1"/>
    <m/>
    <m/>
    <m/>
    <m/>
    <n v="0"/>
  </r>
  <r>
    <x v="1"/>
    <m/>
    <s v="TDS on Rent"/>
    <m/>
    <s v=""/>
    <s v=""/>
    <s v=""/>
    <s v=""/>
    <s v=""/>
    <s v=""/>
    <m/>
    <n v="15606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46779410038"/>
    <s v=""/>
    <n v="140453"/>
    <s v="Cr"/>
    <m/>
    <m/>
    <m/>
    <m/>
    <m/>
    <m/>
    <m/>
    <m/>
    <n v="0"/>
  </r>
  <r>
    <x v="3"/>
    <s v="Dr"/>
    <s v="(as per details)"/>
    <m/>
    <s v=""/>
    <s v=""/>
    <s v=""/>
    <s v=""/>
    <s v="October, 2024"/>
    <m/>
    <n v="1620"/>
    <s v="Journal 1"/>
    <s v="93"/>
    <m/>
    <n v="140453"/>
    <n v="15606"/>
  </r>
  <r>
    <x v="1"/>
    <m/>
    <s v="Space Expense / Storage - E"/>
    <m/>
    <s v=""/>
    <s v=""/>
    <s v=""/>
    <s v=""/>
    <s v=""/>
    <s v=""/>
    <n v="156059.1"/>
    <m/>
    <m/>
    <m/>
    <m/>
    <n v="0"/>
  </r>
  <r>
    <x v="1"/>
    <m/>
    <s v="TDS on Rent"/>
    <m/>
    <s v=""/>
    <s v=""/>
    <s v=""/>
    <s v=""/>
    <s v=""/>
    <s v=""/>
    <m/>
    <n v="15606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46779410292"/>
    <s v=""/>
    <n v="140453"/>
    <s v="Cr"/>
    <m/>
    <m/>
    <m/>
    <m/>
    <m/>
    <m/>
    <m/>
    <m/>
    <n v="0"/>
  </r>
  <r>
    <x v="3"/>
    <s v="Dr"/>
    <s v="(as per details)"/>
    <m/>
    <s v=""/>
    <s v=""/>
    <s v=""/>
    <s v=""/>
    <s v="November, 2024"/>
    <m/>
    <n v="1620"/>
    <s v="Journal 1"/>
    <s v="94"/>
    <m/>
    <n v="140453"/>
    <n v="15606"/>
  </r>
  <r>
    <x v="1"/>
    <m/>
    <s v="Space Expense / Storage - E"/>
    <m/>
    <s v=""/>
    <s v=""/>
    <s v=""/>
    <s v=""/>
    <s v=""/>
    <s v=""/>
    <n v="156059.1"/>
    <m/>
    <m/>
    <m/>
    <m/>
    <n v="0"/>
  </r>
  <r>
    <x v="1"/>
    <m/>
    <s v="TDS on Rent"/>
    <m/>
    <s v=""/>
    <s v=""/>
    <s v=""/>
    <s v=""/>
    <s v=""/>
    <s v=""/>
    <m/>
    <n v="15606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46779410106"/>
    <s v=""/>
    <n v="140453"/>
    <s v="Cr"/>
    <m/>
    <m/>
    <m/>
    <m/>
    <m/>
    <m/>
    <m/>
    <m/>
    <n v="0"/>
  </r>
  <r>
    <x v="4"/>
    <s v="Dr"/>
    <s v="(as per details)"/>
    <m/>
    <s v=""/>
    <s v=""/>
    <s v=""/>
    <s v=""/>
    <s v="December, 2024"/>
    <m/>
    <n v="1620"/>
    <s v="Journal 1"/>
    <s v="96"/>
    <m/>
    <n v="140453"/>
    <n v="15606"/>
  </r>
  <r>
    <x v="1"/>
    <m/>
    <s v="Space Expense / Storage - E"/>
    <m/>
    <s v=""/>
    <s v=""/>
    <s v=""/>
    <s v=""/>
    <s v=""/>
    <s v=""/>
    <n v="156059.1"/>
    <m/>
    <m/>
    <m/>
    <m/>
    <n v="0"/>
  </r>
  <r>
    <x v="1"/>
    <m/>
    <s v="TDS on Rent"/>
    <m/>
    <s v=""/>
    <s v=""/>
    <s v=""/>
    <s v=""/>
    <s v=""/>
    <s v=""/>
    <m/>
    <n v="15606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46779410149"/>
    <s v=""/>
    <n v="140453"/>
    <s v="Cr"/>
    <m/>
    <m/>
    <m/>
    <m/>
    <m/>
    <m/>
    <m/>
    <m/>
    <n v="0"/>
  </r>
  <r>
    <x v="4"/>
    <s v="Dr"/>
    <s v="(as per details)"/>
    <m/>
    <s v=""/>
    <s v=""/>
    <s v=""/>
    <s v=""/>
    <s v="January, 2025"/>
    <m/>
    <n v="1620"/>
    <s v="Journal 1"/>
    <s v="97"/>
    <m/>
    <n v="140453"/>
    <n v="15606"/>
  </r>
  <r>
    <x v="1"/>
    <m/>
    <s v="Space Expense / Storage - E"/>
    <m/>
    <s v=""/>
    <s v=""/>
    <s v=""/>
    <s v=""/>
    <s v=""/>
    <s v=""/>
    <n v="156059.1"/>
    <m/>
    <m/>
    <m/>
    <m/>
    <n v="0"/>
  </r>
  <r>
    <x v="1"/>
    <m/>
    <s v="TDS on Rent"/>
    <m/>
    <s v=""/>
    <s v=""/>
    <s v=""/>
    <s v=""/>
    <s v=""/>
    <s v=""/>
    <m/>
    <n v="15606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46779410192"/>
    <s v=""/>
    <n v="140453"/>
    <s v="Cr"/>
    <m/>
    <m/>
    <m/>
    <m/>
    <m/>
    <m/>
    <m/>
    <m/>
    <n v="0"/>
  </r>
  <r>
    <x v="4"/>
    <s v="Dr"/>
    <s v="(as per details)"/>
    <m/>
    <s v=""/>
    <s v=""/>
    <s v=""/>
    <s v=""/>
    <s v="February, 2025"/>
    <m/>
    <n v="1620"/>
    <s v="Journal 1"/>
    <s v="98"/>
    <m/>
    <n v="140453"/>
    <n v="15606"/>
  </r>
  <r>
    <x v="1"/>
    <m/>
    <s v="Space Expense / Storage - E"/>
    <m/>
    <s v=""/>
    <s v=""/>
    <s v=""/>
    <s v=""/>
    <s v=""/>
    <s v=""/>
    <n v="156059.1"/>
    <m/>
    <m/>
    <m/>
    <m/>
    <n v="0"/>
  </r>
  <r>
    <x v="1"/>
    <m/>
    <s v="TDS on Rent"/>
    <m/>
    <s v=""/>
    <s v=""/>
    <s v=""/>
    <s v=""/>
    <s v=""/>
    <s v=""/>
    <m/>
    <n v="15606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46779410235"/>
    <s v=""/>
    <n v="140453"/>
    <s v="Cr"/>
    <m/>
    <m/>
    <m/>
    <m/>
    <m/>
    <m/>
    <m/>
    <m/>
    <n v="0"/>
  </r>
  <r>
    <x v="4"/>
    <s v="Dr"/>
    <s v="(as per details)"/>
    <m/>
    <s v=""/>
    <s v=""/>
    <s v=""/>
    <s v=""/>
    <s v="August, 2024"/>
    <m/>
    <n v="418.5"/>
    <s v="Journal 1"/>
    <s v="99"/>
    <m/>
    <n v="36410"/>
    <n v="4046"/>
  </r>
  <r>
    <x v="1"/>
    <m/>
    <s v="Ground Rent Charges-E"/>
    <m/>
    <s v=""/>
    <s v=""/>
    <s v=""/>
    <s v=""/>
    <s v=""/>
    <s v=""/>
    <n v="40456.019999999997"/>
    <m/>
    <m/>
    <m/>
    <m/>
    <n v="0"/>
  </r>
  <r>
    <x v="1"/>
    <m/>
    <s v="TDS on Rent"/>
    <m/>
    <s v=""/>
    <s v=""/>
    <s v=""/>
    <s v=""/>
    <s v=""/>
    <s v=""/>
    <m/>
    <n v="4046"/>
    <m/>
    <m/>
    <m/>
    <n v="0"/>
  </r>
  <r>
    <x v="1"/>
    <m/>
    <s v="Round Off"/>
    <m/>
    <s v=""/>
    <s v=""/>
    <s v=""/>
    <s v=""/>
    <s v=""/>
    <s v=""/>
    <m/>
    <n v="0.02"/>
    <m/>
    <m/>
    <m/>
    <n v="0"/>
  </r>
  <r>
    <x v="2"/>
    <m/>
    <s v="New Ref"/>
    <s v="246779410321"/>
    <s v=""/>
    <n v="36410"/>
    <s v="Cr"/>
    <m/>
    <m/>
    <m/>
    <m/>
    <m/>
    <m/>
    <m/>
    <m/>
    <n v="0"/>
  </r>
  <r>
    <x v="4"/>
    <s v="Dr"/>
    <s v="(as per details)"/>
    <m/>
    <s v=""/>
    <s v=""/>
    <s v=""/>
    <s v=""/>
    <s v="September, 2024"/>
    <m/>
    <n v="405"/>
    <s v="Journal 1"/>
    <s v="100"/>
    <m/>
    <n v="35397"/>
    <n v="3933"/>
  </r>
  <r>
    <x v="1"/>
    <m/>
    <s v="Ground Rent Charges-E"/>
    <m/>
    <s v=""/>
    <s v=""/>
    <s v=""/>
    <s v=""/>
    <s v=""/>
    <s v=""/>
    <n v="39330.269999999997"/>
    <m/>
    <m/>
    <m/>
    <m/>
    <n v="0"/>
  </r>
  <r>
    <x v="1"/>
    <m/>
    <s v="TDS on Rent"/>
    <m/>
    <s v=""/>
    <s v=""/>
    <s v=""/>
    <s v=""/>
    <s v=""/>
    <s v=""/>
    <m/>
    <n v="3933"/>
    <m/>
    <m/>
    <m/>
    <n v="0"/>
  </r>
  <r>
    <x v="1"/>
    <m/>
    <s v="Round Off"/>
    <m/>
    <s v=""/>
    <s v=""/>
    <s v=""/>
    <s v=""/>
    <s v=""/>
    <s v=""/>
    <m/>
    <n v="0.27"/>
    <m/>
    <m/>
    <m/>
    <n v="0"/>
  </r>
  <r>
    <x v="2"/>
    <m/>
    <s v="New Ref"/>
    <s v="246779410341"/>
    <s v=""/>
    <n v="35397"/>
    <s v="Cr"/>
    <m/>
    <m/>
    <m/>
    <m/>
    <m/>
    <m/>
    <m/>
    <m/>
    <n v="0"/>
  </r>
  <r>
    <x v="4"/>
    <s v="Dr"/>
    <s v="(as per details)"/>
    <m/>
    <s v=""/>
    <s v=""/>
    <s v=""/>
    <s v=""/>
    <s v="October, 2024"/>
    <m/>
    <n v="418.5"/>
    <s v="Journal 1"/>
    <s v="101"/>
    <m/>
    <n v="36577"/>
    <n v="4064"/>
  </r>
  <r>
    <x v="1"/>
    <m/>
    <s v="Ground Rent Charges-E"/>
    <m/>
    <s v=""/>
    <s v=""/>
    <s v=""/>
    <s v=""/>
    <s v=""/>
    <s v=""/>
    <n v="40641.279999999999"/>
    <m/>
    <m/>
    <m/>
    <m/>
    <n v="0"/>
  </r>
  <r>
    <x v="1"/>
    <m/>
    <s v="TDS on Rent"/>
    <m/>
    <s v=""/>
    <s v=""/>
    <s v=""/>
    <s v=""/>
    <s v=""/>
    <s v=""/>
    <m/>
    <n v="4064"/>
    <m/>
    <m/>
    <m/>
    <n v="0"/>
  </r>
  <r>
    <x v="1"/>
    <m/>
    <s v="Round Off"/>
    <m/>
    <s v=""/>
    <s v=""/>
    <s v=""/>
    <s v=""/>
    <s v=""/>
    <s v=""/>
    <m/>
    <n v="0.28000000000000003"/>
    <m/>
    <m/>
    <m/>
    <n v="0"/>
  </r>
  <r>
    <x v="2"/>
    <m/>
    <s v="New Ref"/>
    <s v="246779410345"/>
    <s v=""/>
    <n v="36577"/>
    <s v="Cr"/>
    <m/>
    <m/>
    <m/>
    <m/>
    <m/>
    <m/>
    <m/>
    <m/>
    <n v="0"/>
  </r>
  <r>
    <x v="4"/>
    <s v="Dr"/>
    <s v="(as per details)"/>
    <m/>
    <s v=""/>
    <s v=""/>
    <s v=""/>
    <s v=""/>
    <s v="November, 2024"/>
    <m/>
    <n v="405"/>
    <s v="Journal 1"/>
    <s v="102"/>
    <m/>
    <n v="35397"/>
    <n v="3933"/>
  </r>
  <r>
    <x v="1"/>
    <m/>
    <s v="Ground Rent Charges-E"/>
    <m/>
    <s v=""/>
    <s v=""/>
    <s v=""/>
    <s v=""/>
    <s v=""/>
    <s v=""/>
    <n v="39330.269999999997"/>
    <m/>
    <m/>
    <m/>
    <m/>
    <n v="0"/>
  </r>
  <r>
    <x v="1"/>
    <m/>
    <s v="TDS on Rent"/>
    <m/>
    <s v=""/>
    <s v=""/>
    <s v=""/>
    <s v=""/>
    <s v=""/>
    <s v=""/>
    <m/>
    <n v="3933"/>
    <m/>
    <m/>
    <m/>
    <n v="0"/>
  </r>
  <r>
    <x v="1"/>
    <m/>
    <s v="Round Off"/>
    <m/>
    <s v=""/>
    <s v=""/>
    <s v=""/>
    <s v=""/>
    <s v=""/>
    <s v=""/>
    <m/>
    <n v="0.27"/>
    <m/>
    <m/>
    <m/>
    <n v="0"/>
  </r>
  <r>
    <x v="2"/>
    <m/>
    <s v="New Ref"/>
    <s v="246779410357"/>
    <s v=""/>
    <n v="35397"/>
    <s v="Cr"/>
    <m/>
    <m/>
    <m/>
    <m/>
    <m/>
    <m/>
    <m/>
    <m/>
    <n v="0"/>
  </r>
  <r>
    <x v="4"/>
    <s v="Dr"/>
    <s v="(as per details)"/>
    <m/>
    <s v=""/>
    <s v=""/>
    <s v=""/>
    <s v=""/>
    <s v="December, 2024"/>
    <m/>
    <n v="418.5"/>
    <s v="Journal 1"/>
    <s v="103"/>
    <m/>
    <n v="36577"/>
    <n v="4064"/>
  </r>
  <r>
    <x v="1"/>
    <m/>
    <s v="Ground Rent Charges-E"/>
    <m/>
    <s v=""/>
    <s v=""/>
    <s v=""/>
    <s v=""/>
    <s v=""/>
    <s v=""/>
    <n v="40641.279999999999"/>
    <m/>
    <m/>
    <m/>
    <m/>
    <n v="0"/>
  </r>
  <r>
    <x v="1"/>
    <m/>
    <s v="TDS on Rent"/>
    <m/>
    <s v=""/>
    <s v=""/>
    <s v=""/>
    <s v=""/>
    <s v=""/>
    <s v=""/>
    <m/>
    <n v="4064"/>
    <m/>
    <m/>
    <m/>
    <n v="0"/>
  </r>
  <r>
    <x v="1"/>
    <m/>
    <s v="Round Off"/>
    <m/>
    <s v=""/>
    <s v=""/>
    <s v=""/>
    <s v=""/>
    <s v=""/>
    <s v=""/>
    <m/>
    <n v="0.28000000000000003"/>
    <m/>
    <m/>
    <m/>
    <n v="0"/>
  </r>
  <r>
    <x v="2"/>
    <m/>
    <s v="New Ref"/>
    <s v="246779410351"/>
    <s v=""/>
    <n v="36577"/>
    <s v="Cr"/>
    <m/>
    <m/>
    <m/>
    <m/>
    <m/>
    <m/>
    <m/>
    <m/>
    <n v="0"/>
  </r>
  <r>
    <x v="5"/>
    <s v="Dr"/>
    <s v="(as per details)"/>
    <m/>
    <s v=""/>
    <s v=""/>
    <s v=""/>
    <s v=""/>
    <s v="August, 2024"/>
    <m/>
    <n v="916.54"/>
    <s v="Journal 1"/>
    <s v="104"/>
    <m/>
    <n v="80043"/>
    <n v="8894"/>
  </r>
  <r>
    <x v="1"/>
    <m/>
    <s v="Space Expense / Storage - E"/>
    <m/>
    <s v=""/>
    <s v=""/>
    <s v=""/>
    <s v=""/>
    <s v=""/>
    <s v=""/>
    <n v="88936.55"/>
    <m/>
    <m/>
    <m/>
    <m/>
    <n v="0"/>
  </r>
  <r>
    <x v="1"/>
    <m/>
    <s v="TDS on Rent"/>
    <m/>
    <s v=""/>
    <s v=""/>
    <s v=""/>
    <s v=""/>
    <s v=""/>
    <s v=""/>
    <m/>
    <n v="8894"/>
    <m/>
    <m/>
    <m/>
    <n v="0"/>
  </r>
  <r>
    <x v="1"/>
    <m/>
    <s v="Round Off"/>
    <m/>
    <s v=""/>
    <s v=""/>
    <s v=""/>
    <s v=""/>
    <s v=""/>
    <s v=""/>
    <n v="0.45"/>
    <m/>
    <m/>
    <m/>
    <m/>
    <n v="0"/>
  </r>
  <r>
    <x v="2"/>
    <m/>
    <s v="New Ref"/>
    <s v="246779410365"/>
    <s v=""/>
    <n v="80043"/>
    <s v="Cr"/>
    <m/>
    <m/>
    <m/>
    <m/>
    <m/>
    <m/>
    <m/>
    <m/>
    <n v="0"/>
  </r>
  <r>
    <x v="5"/>
    <s v="Dr"/>
    <s v="(as per details)"/>
    <m/>
    <s v=""/>
    <s v=""/>
    <s v=""/>
    <s v=""/>
    <s v="September, 2024"/>
    <m/>
    <n v="1704.9"/>
    <s v="Journal 1"/>
    <s v="105"/>
    <m/>
    <n v="148891"/>
    <n v="16543"/>
  </r>
  <r>
    <x v="1"/>
    <m/>
    <s v="Space Expense / Storage - E"/>
    <m/>
    <s v=""/>
    <s v=""/>
    <s v=""/>
    <s v=""/>
    <s v=""/>
    <s v=""/>
    <n v="165433.62"/>
    <m/>
    <m/>
    <m/>
    <m/>
    <n v="0"/>
  </r>
  <r>
    <x v="1"/>
    <m/>
    <s v="TDS on Rent"/>
    <m/>
    <s v=""/>
    <s v=""/>
    <s v=""/>
    <s v=""/>
    <s v=""/>
    <s v=""/>
    <m/>
    <n v="16543"/>
    <m/>
    <m/>
    <m/>
    <n v="0"/>
  </r>
  <r>
    <x v="1"/>
    <m/>
    <s v="Round Off"/>
    <m/>
    <s v=""/>
    <s v=""/>
    <s v=""/>
    <s v=""/>
    <s v=""/>
    <s v=""/>
    <n v="0.38"/>
    <m/>
    <m/>
    <m/>
    <m/>
    <n v="0"/>
  </r>
  <r>
    <x v="2"/>
    <m/>
    <s v="New Ref"/>
    <s v="246779410391"/>
    <s v=""/>
    <n v="148891"/>
    <s v="Cr"/>
    <m/>
    <m/>
    <m/>
    <m/>
    <m/>
    <m/>
    <m/>
    <m/>
    <n v="0"/>
  </r>
  <r>
    <x v="5"/>
    <s v="Dr"/>
    <s v="(as per details)"/>
    <m/>
    <s v=""/>
    <s v=""/>
    <s v=""/>
    <s v=""/>
    <s v="October, 2024"/>
    <m/>
    <n v="1737.83"/>
    <s v="Journal 1"/>
    <s v="106"/>
    <m/>
    <n v="151767"/>
    <n v="16863"/>
  </r>
  <r>
    <x v="1"/>
    <m/>
    <s v="Space Expense / Storage - E"/>
    <m/>
    <s v=""/>
    <s v=""/>
    <s v=""/>
    <s v=""/>
    <s v=""/>
    <s v=""/>
    <n v="168629.95"/>
    <m/>
    <m/>
    <m/>
    <m/>
    <n v="0"/>
  </r>
  <r>
    <x v="1"/>
    <m/>
    <s v="TDS on Rent"/>
    <m/>
    <s v=""/>
    <s v=""/>
    <s v=""/>
    <s v=""/>
    <s v=""/>
    <s v=""/>
    <m/>
    <n v="16863"/>
    <m/>
    <m/>
    <m/>
    <n v="0"/>
  </r>
  <r>
    <x v="1"/>
    <m/>
    <s v="Round Off"/>
    <m/>
    <s v=""/>
    <s v=""/>
    <s v=""/>
    <s v=""/>
    <s v=""/>
    <s v=""/>
    <n v="0.05"/>
    <m/>
    <m/>
    <m/>
    <m/>
    <n v="0"/>
  </r>
  <r>
    <x v="2"/>
    <m/>
    <s v="New Ref"/>
    <s v="246779410415"/>
    <s v=""/>
    <n v="151767"/>
    <s v="Cr"/>
    <m/>
    <m/>
    <m/>
    <m/>
    <m/>
    <m/>
    <m/>
    <m/>
    <n v="0"/>
  </r>
  <r>
    <x v="6"/>
    <s v="Dr"/>
    <s v="(as per details)"/>
    <m/>
    <s v=""/>
    <s v=""/>
    <s v=""/>
    <s v=""/>
    <s v="November, 2024"/>
    <m/>
    <n v="2075.86"/>
    <s v="Journal 1"/>
    <s v="108"/>
    <m/>
    <n v="180778"/>
    <n v="20087"/>
  </r>
  <r>
    <x v="1"/>
    <m/>
    <s v="Space Expense / Storage - E"/>
    <m/>
    <s v=""/>
    <s v=""/>
    <s v=""/>
    <s v=""/>
    <s v=""/>
    <s v=""/>
    <n v="200865.37"/>
    <m/>
    <m/>
    <m/>
    <m/>
    <n v="0"/>
  </r>
  <r>
    <x v="1"/>
    <m/>
    <s v="TDS on Rent"/>
    <m/>
    <s v=""/>
    <s v=""/>
    <s v=""/>
    <s v=""/>
    <s v=""/>
    <s v=""/>
    <m/>
    <n v="20087"/>
    <m/>
    <m/>
    <m/>
    <n v="0"/>
  </r>
  <r>
    <x v="1"/>
    <m/>
    <s v="Round Off"/>
    <m/>
    <s v=""/>
    <s v=""/>
    <s v=""/>
    <s v=""/>
    <s v=""/>
    <s v=""/>
    <m/>
    <n v="0.37"/>
    <m/>
    <m/>
    <m/>
    <n v="0"/>
  </r>
  <r>
    <x v="2"/>
    <m/>
    <s v="New Ref"/>
    <s v="246779410862"/>
    <s v=""/>
    <n v="180778"/>
    <s v="Cr"/>
    <m/>
    <m/>
    <m/>
    <m/>
    <m/>
    <m/>
    <m/>
    <m/>
    <n v="0"/>
  </r>
  <r>
    <x v="6"/>
    <s v="Dr"/>
    <s v="(as per details)"/>
    <m/>
    <s v=""/>
    <s v=""/>
    <s v=""/>
    <s v=""/>
    <s v="December, 2024"/>
    <m/>
    <n v="2151.52"/>
    <s v="Journal 1"/>
    <s v="109"/>
    <m/>
    <n v="187367"/>
    <n v="20819"/>
  </r>
  <r>
    <x v="1"/>
    <m/>
    <s v="Space Expense / Storage - E"/>
    <m/>
    <s v=""/>
    <s v=""/>
    <s v=""/>
    <s v=""/>
    <s v=""/>
    <s v=""/>
    <n v="208185.81"/>
    <m/>
    <m/>
    <m/>
    <m/>
    <n v="0"/>
  </r>
  <r>
    <x v="1"/>
    <m/>
    <s v="TDS on Rent"/>
    <m/>
    <s v=""/>
    <s v=""/>
    <s v=""/>
    <s v=""/>
    <s v=""/>
    <s v=""/>
    <m/>
    <n v="20819"/>
    <m/>
    <m/>
    <m/>
    <n v="0"/>
  </r>
  <r>
    <x v="1"/>
    <m/>
    <s v="Round Off"/>
    <m/>
    <s v=""/>
    <s v=""/>
    <s v=""/>
    <s v=""/>
    <s v=""/>
    <s v=""/>
    <n v="0.19"/>
    <m/>
    <m/>
    <m/>
    <m/>
    <n v="0"/>
  </r>
  <r>
    <x v="2"/>
    <m/>
    <s v="New Ref"/>
    <s v="246779410885"/>
    <s v=""/>
    <n v="187367"/>
    <s v="Cr"/>
    <m/>
    <m/>
    <m/>
    <m/>
    <m/>
    <m/>
    <m/>
    <m/>
    <n v="0"/>
  </r>
  <r>
    <x v="7"/>
    <s v="Dr"/>
    <s v="(as per details)"/>
    <m/>
    <s v=""/>
    <s v=""/>
    <s v=""/>
    <s v=""/>
    <s v="March, 2025"/>
    <m/>
    <n v="167.47"/>
    <s v="Journal 1"/>
    <s v="112"/>
    <m/>
    <n v="14486"/>
    <n v="1610"/>
  </r>
  <r>
    <x v="1"/>
    <m/>
    <s v="Space Expense / Storage - E"/>
    <m/>
    <s v=""/>
    <s v=""/>
    <s v=""/>
    <s v=""/>
    <s v=""/>
    <s v=""/>
    <n v="16096.22"/>
    <m/>
    <m/>
    <m/>
    <m/>
    <n v="0"/>
  </r>
  <r>
    <x v="1"/>
    <m/>
    <s v="TDS on Rent"/>
    <m/>
    <s v=""/>
    <s v=""/>
    <s v=""/>
    <s v=""/>
    <s v=""/>
    <s v=""/>
    <m/>
    <n v="1610"/>
    <m/>
    <m/>
    <m/>
    <n v="0"/>
  </r>
  <r>
    <x v="1"/>
    <m/>
    <s v="Round Off"/>
    <m/>
    <s v=""/>
    <s v=""/>
    <s v=""/>
    <s v=""/>
    <s v=""/>
    <s v=""/>
    <m/>
    <n v="0.22"/>
    <m/>
    <m/>
    <m/>
    <n v="0"/>
  </r>
  <r>
    <x v="2"/>
    <m/>
    <s v="New Ref"/>
    <s v="246779412999"/>
    <s v=""/>
    <n v="14486"/>
    <s v="Cr"/>
    <m/>
    <m/>
    <m/>
    <m/>
    <m/>
    <m/>
    <m/>
    <m/>
    <n v="0"/>
  </r>
  <r>
    <x v="8"/>
    <s v="Dr"/>
    <s v="(as per details)"/>
    <m/>
    <s v=""/>
    <s v=""/>
    <s v=""/>
    <s v=""/>
    <s v="January, 2025"/>
    <m/>
    <n v="418.5"/>
    <s v="Journal 1"/>
    <s v="113"/>
    <m/>
    <n v="36118"/>
    <n v="4013"/>
  </r>
  <r>
    <x v="1"/>
    <m/>
    <s v="Ground Rent Charges-E"/>
    <m/>
    <s v=""/>
    <s v=""/>
    <s v=""/>
    <s v=""/>
    <s v=""/>
    <s v=""/>
    <n v="40131.360000000001"/>
    <m/>
    <m/>
    <m/>
    <m/>
    <n v="0"/>
  </r>
  <r>
    <x v="1"/>
    <m/>
    <s v="TDS on Rent"/>
    <m/>
    <s v=""/>
    <s v=""/>
    <s v=""/>
    <s v=""/>
    <s v=""/>
    <s v=""/>
    <m/>
    <n v="4013"/>
    <m/>
    <m/>
    <m/>
    <n v="0"/>
  </r>
  <r>
    <x v="1"/>
    <m/>
    <s v="Round Off"/>
    <m/>
    <s v=""/>
    <s v=""/>
    <s v=""/>
    <s v=""/>
    <s v=""/>
    <s v=""/>
    <m/>
    <n v="0.36"/>
    <m/>
    <m/>
    <m/>
    <n v="0"/>
  </r>
  <r>
    <x v="2"/>
    <m/>
    <s v="New Ref"/>
    <s v="246779413798"/>
    <s v=""/>
    <n v="36118"/>
    <s v="Cr"/>
    <m/>
    <m/>
    <m/>
    <m/>
    <m/>
    <m/>
    <m/>
    <m/>
    <n v="0"/>
  </r>
  <r>
    <x v="8"/>
    <s v="Dr"/>
    <s v="(as per details)"/>
    <m/>
    <s v=""/>
    <s v=""/>
    <s v=""/>
    <s v=""/>
    <s v="February, 2025"/>
    <m/>
    <n v="378"/>
    <s v="Journal 1"/>
    <s v="114"/>
    <m/>
    <n v="32623"/>
    <n v="3625"/>
  </r>
  <r>
    <x v="1"/>
    <m/>
    <s v="Ground Rent Charges-E"/>
    <m/>
    <s v=""/>
    <s v=""/>
    <s v=""/>
    <s v=""/>
    <s v=""/>
    <s v=""/>
    <n v="36247.68"/>
    <m/>
    <m/>
    <m/>
    <m/>
    <n v="0"/>
  </r>
  <r>
    <x v="1"/>
    <m/>
    <s v="TDS on Rent"/>
    <m/>
    <s v=""/>
    <s v=""/>
    <s v=""/>
    <s v=""/>
    <s v=""/>
    <s v=""/>
    <m/>
    <n v="3625"/>
    <m/>
    <m/>
    <m/>
    <n v="0"/>
  </r>
  <r>
    <x v="1"/>
    <m/>
    <s v="Round Off"/>
    <m/>
    <s v=""/>
    <s v=""/>
    <s v=""/>
    <s v=""/>
    <s v=""/>
    <s v=""/>
    <n v="0.32"/>
    <m/>
    <m/>
    <m/>
    <m/>
    <n v="0"/>
  </r>
  <r>
    <x v="2"/>
    <m/>
    <s v="New Ref"/>
    <s v="246779413809"/>
    <s v=""/>
    <n v="32623"/>
    <s v="Cr"/>
    <m/>
    <m/>
    <m/>
    <m/>
    <m/>
    <m/>
    <m/>
    <m/>
    <n v="0"/>
  </r>
  <r>
    <x v="9"/>
    <s v="Cr"/>
    <s v="Srikaram Prescience Pvt. Ltd- Noida"/>
    <m/>
    <s v=""/>
    <s v=""/>
    <s v=""/>
    <s v=""/>
    <s v=", 0"/>
    <m/>
    <m/>
    <s v="Journal"/>
    <s v="25"/>
    <n v="257391"/>
    <m/>
    <n v="0"/>
  </r>
  <r>
    <x v="2"/>
    <m/>
    <s v="Agst Ref"/>
    <s v="246779410018"/>
    <s v=""/>
    <n v="140899"/>
    <s v="Dr"/>
    <m/>
    <m/>
    <m/>
    <m/>
    <m/>
    <m/>
    <m/>
    <m/>
    <n v="0"/>
  </r>
  <r>
    <x v="2"/>
    <m/>
    <s v="Agst Ref"/>
    <s v="246779410321"/>
    <s v=""/>
    <n v="36410"/>
    <s v="Dr"/>
    <m/>
    <m/>
    <m/>
    <m/>
    <m/>
    <m/>
    <m/>
    <m/>
    <n v="0"/>
  </r>
  <r>
    <x v="2"/>
    <m/>
    <s v="Agst Ref"/>
    <s v="246779410365"/>
    <s v=""/>
    <n v="80043"/>
    <s v="Dr"/>
    <m/>
    <m/>
    <m/>
    <m/>
    <m/>
    <m/>
    <m/>
    <m/>
    <n v="0"/>
  </r>
  <r>
    <x v="2"/>
    <m/>
    <s v="Agst Ref"/>
    <s v="246779410038"/>
    <s v=""/>
    <n v="39"/>
    <s v="Dr"/>
    <m/>
    <m/>
    <m/>
    <m/>
    <m/>
    <m/>
    <m/>
    <m/>
    <n v="0"/>
  </r>
  <r>
    <x v="10"/>
    <s v="Cr"/>
    <s v="Srikaram Prescience Pvt. Ltd- Noida"/>
    <m/>
    <s v=""/>
    <s v=""/>
    <s v=""/>
    <s v=""/>
    <s v=", 0"/>
    <m/>
    <m/>
    <s v="Journal"/>
    <s v="63"/>
    <n v="324702"/>
    <m/>
    <n v="0"/>
  </r>
  <r>
    <x v="2"/>
    <m/>
    <s v="Agst Ref"/>
    <s v="246779410038"/>
    <s v=""/>
    <n v="140414"/>
    <s v="Dr"/>
    <m/>
    <m/>
    <m/>
    <m/>
    <m/>
    <m/>
    <m/>
    <m/>
    <n v="0"/>
  </r>
  <r>
    <x v="2"/>
    <m/>
    <s v="Agst Ref"/>
    <s v="246779410341"/>
    <s v=""/>
    <n v="35397"/>
    <s v="Dr"/>
    <m/>
    <m/>
    <m/>
    <m/>
    <m/>
    <m/>
    <m/>
    <m/>
    <n v="0"/>
  </r>
  <r>
    <x v="2"/>
    <m/>
    <s v="Agst Ref"/>
    <s v="246779410391"/>
    <s v=""/>
    <n v="148891"/>
    <s v="Dr"/>
    <m/>
    <m/>
    <m/>
    <m/>
    <m/>
    <m/>
    <m/>
    <m/>
    <n v="0"/>
  </r>
  <r>
    <x v="11"/>
    <s v="Dr"/>
    <s v="(as per details)"/>
    <m/>
    <s v=""/>
    <s v=""/>
    <s v=""/>
    <s v=""/>
    <s v="March, 2025"/>
    <m/>
    <n v="75.66"/>
    <s v="Journal 1"/>
    <s v="5"/>
    <m/>
    <n v="6589"/>
    <n v="134"/>
  </r>
  <r>
    <x v="1"/>
    <m/>
    <s v="VOS Activity - E"/>
    <m/>
    <s v=""/>
    <s v=""/>
    <s v=""/>
    <s v=""/>
    <s v=""/>
    <s v=""/>
    <n v="6722.83"/>
    <m/>
    <m/>
    <m/>
    <m/>
    <n v="0"/>
  </r>
  <r>
    <x v="1"/>
    <m/>
    <s v="TDS on Contract"/>
    <m/>
    <s v=""/>
    <s v=""/>
    <s v=""/>
    <s v=""/>
    <s v=""/>
    <s v=""/>
    <m/>
    <n v="134"/>
    <m/>
    <m/>
    <m/>
    <n v="0"/>
  </r>
  <r>
    <x v="1"/>
    <m/>
    <s v="Round Off"/>
    <m/>
    <s v=""/>
    <s v=""/>
    <s v=""/>
    <s v=""/>
    <s v=""/>
    <s v=""/>
    <n v="0.17"/>
    <m/>
    <m/>
    <m/>
    <m/>
    <n v="0"/>
  </r>
  <r>
    <x v="2"/>
    <m/>
    <s v="New Ref"/>
    <s v="246779411458"/>
    <s v=""/>
    <n v="6589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240.78"/>
    <s v="Journal 1"/>
    <s v="6"/>
    <m/>
    <n v="20898"/>
    <n v="426"/>
  </r>
  <r>
    <x v="1"/>
    <m/>
    <s v="VOS Activity - E"/>
    <m/>
    <s v=""/>
    <s v=""/>
    <s v=""/>
    <s v=""/>
    <s v=""/>
    <s v=""/>
    <n v="21323.93"/>
    <m/>
    <m/>
    <m/>
    <m/>
    <n v="0"/>
  </r>
  <r>
    <x v="1"/>
    <m/>
    <s v="TDS on Contract"/>
    <m/>
    <s v=""/>
    <s v=""/>
    <s v=""/>
    <s v=""/>
    <s v=""/>
    <s v=""/>
    <m/>
    <n v="426"/>
    <m/>
    <m/>
    <m/>
    <n v="0"/>
  </r>
  <r>
    <x v="1"/>
    <m/>
    <s v="Round Off"/>
    <m/>
    <s v=""/>
    <s v=""/>
    <s v=""/>
    <s v=""/>
    <s v=""/>
    <s v=""/>
    <n v="7.0000000000000007E-2"/>
    <m/>
    <m/>
    <m/>
    <m/>
    <n v="0"/>
  </r>
  <r>
    <x v="2"/>
    <m/>
    <s v="New Ref"/>
    <s v="246779411624"/>
    <s v=""/>
    <n v="20898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68.430000000000007"/>
    <s v="Journal 1"/>
    <s v="7"/>
    <m/>
    <n v="5939"/>
    <n v="121"/>
  </r>
  <r>
    <x v="1"/>
    <m/>
    <s v="VOS Activity - E"/>
    <m/>
    <s v=""/>
    <s v=""/>
    <s v=""/>
    <s v=""/>
    <s v=""/>
    <s v=""/>
    <n v="6059.82"/>
    <m/>
    <m/>
    <m/>
    <m/>
    <n v="0"/>
  </r>
  <r>
    <x v="1"/>
    <m/>
    <s v="TDS on Contract"/>
    <m/>
    <s v=""/>
    <s v=""/>
    <s v=""/>
    <s v=""/>
    <s v=""/>
    <s v=""/>
    <m/>
    <n v="121"/>
    <m/>
    <m/>
    <m/>
    <n v="0"/>
  </r>
  <r>
    <x v="1"/>
    <m/>
    <s v="Round Off"/>
    <m/>
    <s v=""/>
    <s v=""/>
    <s v=""/>
    <s v=""/>
    <s v=""/>
    <s v=""/>
    <n v="0.18"/>
    <m/>
    <m/>
    <m/>
    <m/>
    <n v="0"/>
  </r>
  <r>
    <x v="2"/>
    <m/>
    <s v="New Ref"/>
    <s v="246779411625"/>
    <s v=""/>
    <n v="5939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70.180000000000007"/>
    <s v="Journal 1"/>
    <s v="8"/>
    <m/>
    <n v="6091"/>
    <n v="124"/>
  </r>
  <r>
    <x v="1"/>
    <m/>
    <s v="VOS Activity - E"/>
    <m/>
    <s v=""/>
    <s v=""/>
    <s v=""/>
    <s v=""/>
    <s v=""/>
    <s v=""/>
    <n v="6215.18"/>
    <m/>
    <m/>
    <m/>
    <m/>
    <n v="0"/>
  </r>
  <r>
    <x v="1"/>
    <m/>
    <s v="TDS on Contract"/>
    <m/>
    <s v=""/>
    <s v=""/>
    <s v=""/>
    <s v=""/>
    <s v=""/>
    <s v=""/>
    <m/>
    <n v="124"/>
    <m/>
    <m/>
    <m/>
    <n v="0"/>
  </r>
  <r>
    <x v="1"/>
    <m/>
    <s v="Round Off"/>
    <m/>
    <s v=""/>
    <s v=""/>
    <s v=""/>
    <s v=""/>
    <s v=""/>
    <s v=""/>
    <m/>
    <n v="0.18"/>
    <m/>
    <m/>
    <m/>
    <n v="0"/>
  </r>
  <r>
    <x v="2"/>
    <m/>
    <s v="New Ref"/>
    <s v="246779411626"/>
    <s v=""/>
    <n v="6091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60.58"/>
    <s v="Journal 1"/>
    <s v="9"/>
    <m/>
    <n v="5258"/>
    <n v="107"/>
  </r>
  <r>
    <x v="1"/>
    <m/>
    <s v="VOS Activity - E"/>
    <m/>
    <s v=""/>
    <s v=""/>
    <s v=""/>
    <s v=""/>
    <s v=""/>
    <s v=""/>
    <n v="5365.48"/>
    <m/>
    <m/>
    <m/>
    <m/>
    <n v="0"/>
  </r>
  <r>
    <x v="1"/>
    <m/>
    <s v="TDS on Contract"/>
    <m/>
    <s v=""/>
    <s v=""/>
    <s v=""/>
    <s v=""/>
    <s v=""/>
    <s v=""/>
    <m/>
    <n v="107"/>
    <m/>
    <m/>
    <m/>
    <n v="0"/>
  </r>
  <r>
    <x v="1"/>
    <m/>
    <s v="Round Off"/>
    <m/>
    <s v=""/>
    <s v=""/>
    <s v=""/>
    <s v=""/>
    <s v=""/>
    <s v=""/>
    <m/>
    <n v="0.48"/>
    <m/>
    <m/>
    <m/>
    <n v="0"/>
  </r>
  <r>
    <x v="2"/>
    <m/>
    <s v="New Ref"/>
    <s v="246779411627"/>
    <s v=""/>
    <n v="5258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119.73"/>
    <s v="Journal 1"/>
    <s v="10"/>
    <m/>
    <n v="10392"/>
    <n v="212"/>
  </r>
  <r>
    <x v="1"/>
    <m/>
    <s v="VOS Activity - E"/>
    <m/>
    <s v=""/>
    <s v=""/>
    <s v=""/>
    <s v=""/>
    <s v=""/>
    <s v=""/>
    <n v="10604.25"/>
    <m/>
    <m/>
    <m/>
    <m/>
    <n v="0"/>
  </r>
  <r>
    <x v="1"/>
    <m/>
    <s v="TDS on Contract"/>
    <m/>
    <s v=""/>
    <s v=""/>
    <s v=""/>
    <s v=""/>
    <s v=""/>
    <s v=""/>
    <m/>
    <n v="212"/>
    <m/>
    <m/>
    <m/>
    <n v="0"/>
  </r>
  <r>
    <x v="1"/>
    <m/>
    <s v="Round Off"/>
    <m/>
    <s v=""/>
    <s v=""/>
    <s v=""/>
    <s v=""/>
    <s v=""/>
    <s v=""/>
    <m/>
    <n v="0.25"/>
    <m/>
    <m/>
    <m/>
    <n v="0"/>
  </r>
  <r>
    <x v="2"/>
    <m/>
    <s v="New Ref"/>
    <s v="246779412068"/>
    <s v=""/>
    <n v="10392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75.66"/>
    <s v="Journal 1"/>
    <s v="11"/>
    <m/>
    <n v="6589"/>
    <n v="134"/>
  </r>
  <r>
    <x v="1"/>
    <m/>
    <s v="VOS Activity - E"/>
    <m/>
    <s v=""/>
    <s v=""/>
    <s v=""/>
    <s v=""/>
    <s v=""/>
    <s v=""/>
    <n v="6722.83"/>
    <m/>
    <m/>
    <m/>
    <m/>
    <n v="0"/>
  </r>
  <r>
    <x v="1"/>
    <m/>
    <s v="TDS on Contract"/>
    <m/>
    <s v=""/>
    <s v=""/>
    <s v=""/>
    <s v=""/>
    <s v=""/>
    <s v=""/>
    <m/>
    <n v="134"/>
    <m/>
    <m/>
    <m/>
    <n v="0"/>
  </r>
  <r>
    <x v="1"/>
    <m/>
    <s v="Round Off"/>
    <m/>
    <s v=""/>
    <s v=""/>
    <s v=""/>
    <s v=""/>
    <s v=""/>
    <s v=""/>
    <n v="0.17"/>
    <m/>
    <m/>
    <m/>
    <m/>
    <n v="0"/>
  </r>
  <r>
    <x v="2"/>
    <m/>
    <s v="New Ref"/>
    <s v="246779412247"/>
    <s v=""/>
    <n v="6589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267.54000000000002"/>
    <s v="Journal 1"/>
    <s v="12"/>
    <m/>
    <n v="23090"/>
    <n v="471"/>
  </r>
  <r>
    <x v="1"/>
    <m/>
    <s v="Inbound Handling - E"/>
    <m/>
    <s v=""/>
    <s v=""/>
    <s v=""/>
    <s v=""/>
    <s v=""/>
    <s v=""/>
    <n v="6300.19"/>
    <m/>
    <m/>
    <m/>
    <m/>
    <n v="0"/>
  </r>
  <r>
    <x v="1"/>
    <m/>
    <s v="Transportation Charges"/>
    <m/>
    <s v=""/>
    <s v=""/>
    <s v=""/>
    <s v=""/>
    <s v=""/>
    <s v=""/>
    <n v="17260.8"/>
    <m/>
    <m/>
    <m/>
    <m/>
    <n v="0"/>
  </r>
  <r>
    <x v="1"/>
    <m/>
    <s v="TDS on Contract"/>
    <m/>
    <s v=""/>
    <s v=""/>
    <s v=""/>
    <s v=""/>
    <s v=""/>
    <s v=""/>
    <m/>
    <n v="471"/>
    <m/>
    <m/>
    <m/>
    <n v="0"/>
  </r>
  <r>
    <x v="1"/>
    <m/>
    <s v="Round Off"/>
    <m/>
    <s v=""/>
    <s v=""/>
    <s v=""/>
    <s v=""/>
    <s v=""/>
    <s v=""/>
    <n v="0.01"/>
    <m/>
    <m/>
    <m/>
    <m/>
    <n v="0"/>
  </r>
  <r>
    <x v="2"/>
    <m/>
    <s v="New Ref"/>
    <s v="246779414060"/>
    <s v=""/>
    <n v="23090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271.75"/>
    <s v="Journal 1"/>
    <s v="13"/>
    <m/>
    <n v="23453"/>
    <n v="479"/>
  </r>
  <r>
    <x v="1"/>
    <m/>
    <s v="Inbound Handling - E"/>
    <m/>
    <s v=""/>
    <s v=""/>
    <s v=""/>
    <s v=""/>
    <s v=""/>
    <s v=""/>
    <n v="6671.3"/>
    <m/>
    <m/>
    <m/>
    <m/>
    <n v="0"/>
  </r>
  <r>
    <x v="1"/>
    <m/>
    <s v="Transportation Charges"/>
    <m/>
    <s v=""/>
    <s v=""/>
    <s v=""/>
    <s v=""/>
    <s v=""/>
    <s v=""/>
    <n v="17260.8"/>
    <m/>
    <m/>
    <m/>
    <m/>
    <n v="0"/>
  </r>
  <r>
    <x v="1"/>
    <m/>
    <s v="TDS on Contract"/>
    <m/>
    <s v=""/>
    <s v=""/>
    <s v=""/>
    <s v=""/>
    <s v=""/>
    <s v=""/>
    <m/>
    <n v="479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46779414061"/>
    <s v=""/>
    <n v="23453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246.47"/>
    <s v="Journal 1"/>
    <s v="14"/>
    <m/>
    <n v="21271"/>
    <n v="434"/>
  </r>
  <r>
    <x v="1"/>
    <m/>
    <s v="Inbound Handling - E"/>
    <m/>
    <s v=""/>
    <s v=""/>
    <s v=""/>
    <s v=""/>
    <s v=""/>
    <s v=""/>
    <n v="4444.66"/>
    <m/>
    <m/>
    <m/>
    <m/>
    <n v="0"/>
  </r>
  <r>
    <x v="1"/>
    <m/>
    <s v="Transportation Charges"/>
    <m/>
    <s v=""/>
    <s v=""/>
    <s v=""/>
    <s v=""/>
    <s v=""/>
    <s v=""/>
    <n v="17260.8"/>
    <m/>
    <m/>
    <m/>
    <m/>
    <n v="0"/>
  </r>
  <r>
    <x v="1"/>
    <m/>
    <s v="TDS on Contract"/>
    <m/>
    <s v=""/>
    <s v=""/>
    <s v=""/>
    <s v=""/>
    <s v=""/>
    <s v=""/>
    <m/>
    <n v="434"/>
    <m/>
    <m/>
    <m/>
    <n v="0"/>
  </r>
  <r>
    <x v="1"/>
    <m/>
    <s v="Round Off"/>
    <m/>
    <s v=""/>
    <s v=""/>
    <s v=""/>
    <s v=""/>
    <s v=""/>
    <s v=""/>
    <m/>
    <n v="0.46"/>
    <m/>
    <m/>
    <m/>
    <n v="0"/>
  </r>
  <r>
    <x v="2"/>
    <m/>
    <s v="New Ref"/>
    <s v="246779414062"/>
    <s v=""/>
    <n v="21271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543.51"/>
    <s v="Journal 1"/>
    <s v="15"/>
    <m/>
    <n v="46907"/>
    <n v="957"/>
  </r>
  <r>
    <x v="1"/>
    <m/>
    <s v="Inbound Handling - E"/>
    <m/>
    <s v=""/>
    <s v=""/>
    <s v=""/>
    <s v=""/>
    <s v=""/>
    <s v=""/>
    <n v="13342.6"/>
    <m/>
    <m/>
    <m/>
    <m/>
    <n v="0"/>
  </r>
  <r>
    <x v="1"/>
    <m/>
    <s v="Transportation Charges"/>
    <m/>
    <s v=""/>
    <s v=""/>
    <s v=""/>
    <s v=""/>
    <s v=""/>
    <s v=""/>
    <n v="34521.599999999999"/>
    <m/>
    <m/>
    <m/>
    <m/>
    <n v="0"/>
  </r>
  <r>
    <x v="1"/>
    <m/>
    <s v="TDS on Contract"/>
    <m/>
    <s v=""/>
    <s v=""/>
    <s v=""/>
    <s v=""/>
    <s v=""/>
    <s v=""/>
    <m/>
    <n v="957"/>
    <m/>
    <m/>
    <m/>
    <n v="0"/>
  </r>
  <r>
    <x v="1"/>
    <m/>
    <s v="Round Off"/>
    <m/>
    <s v=""/>
    <s v=""/>
    <s v=""/>
    <s v=""/>
    <s v=""/>
    <s v=""/>
    <m/>
    <n v="0.2"/>
    <m/>
    <m/>
    <m/>
    <n v="0"/>
  </r>
  <r>
    <x v="2"/>
    <m/>
    <s v="New Ref"/>
    <s v="246779414063"/>
    <s v=""/>
    <n v="46907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346.14"/>
    <s v="Journal 1"/>
    <s v="16"/>
    <m/>
    <n v="29873"/>
    <n v="610"/>
  </r>
  <r>
    <x v="1"/>
    <m/>
    <s v="Inbound Handling - E"/>
    <m/>
    <s v=""/>
    <s v=""/>
    <s v=""/>
    <s v=""/>
    <s v=""/>
    <s v=""/>
    <n v="11495.69"/>
    <m/>
    <m/>
    <m/>
    <m/>
    <n v="0"/>
  </r>
  <r>
    <x v="1"/>
    <m/>
    <s v="Transportation Charges"/>
    <m/>
    <s v=""/>
    <s v=""/>
    <s v=""/>
    <s v=""/>
    <s v=""/>
    <s v=""/>
    <n v="18986.88"/>
    <m/>
    <m/>
    <m/>
    <m/>
    <n v="0"/>
  </r>
  <r>
    <x v="1"/>
    <m/>
    <s v="TDS on Contract"/>
    <m/>
    <s v=""/>
    <s v=""/>
    <s v=""/>
    <s v=""/>
    <s v=""/>
    <s v=""/>
    <m/>
    <n v="610"/>
    <m/>
    <m/>
    <m/>
    <n v="0"/>
  </r>
  <r>
    <x v="1"/>
    <m/>
    <s v="Round Off"/>
    <m/>
    <s v=""/>
    <s v=""/>
    <s v=""/>
    <s v=""/>
    <s v=""/>
    <s v=""/>
    <n v="0.43"/>
    <m/>
    <m/>
    <m/>
    <m/>
    <n v="0"/>
  </r>
  <r>
    <x v="2"/>
    <m/>
    <s v="New Ref"/>
    <s v="246779414064"/>
    <s v=""/>
    <n v="29873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271.75"/>
    <s v="Journal 1"/>
    <s v="17"/>
    <m/>
    <n v="23453"/>
    <n v="479"/>
  </r>
  <r>
    <x v="1"/>
    <m/>
    <s v="Inbound Handling - E"/>
    <m/>
    <s v=""/>
    <s v=""/>
    <s v=""/>
    <s v=""/>
    <s v=""/>
    <s v=""/>
    <n v="6671.3"/>
    <m/>
    <m/>
    <m/>
    <m/>
    <n v="0"/>
  </r>
  <r>
    <x v="1"/>
    <m/>
    <s v="Transportation Charges"/>
    <m/>
    <s v=""/>
    <s v=""/>
    <s v=""/>
    <s v=""/>
    <s v=""/>
    <s v=""/>
    <n v="17260.8"/>
    <m/>
    <m/>
    <m/>
    <m/>
    <n v="0"/>
  </r>
  <r>
    <x v="1"/>
    <m/>
    <s v="TDS on Contract"/>
    <m/>
    <s v=""/>
    <s v=""/>
    <s v=""/>
    <s v=""/>
    <s v=""/>
    <s v=""/>
    <m/>
    <n v="479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46779414065"/>
    <s v=""/>
    <n v="23453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20.72"/>
    <s v="Journal 1"/>
    <s v="18"/>
    <m/>
    <n v="1788"/>
    <n v="36"/>
  </r>
  <r>
    <x v="1"/>
    <m/>
    <s v="Inbound Handling - E"/>
    <m/>
    <s v=""/>
    <s v=""/>
    <s v=""/>
    <s v=""/>
    <s v=""/>
    <s v=""/>
    <n v="1823.6"/>
    <m/>
    <m/>
    <m/>
    <m/>
    <n v="0"/>
  </r>
  <r>
    <x v="1"/>
    <m/>
    <s v="TDS on Contract"/>
    <m/>
    <s v=""/>
    <s v=""/>
    <s v=""/>
    <s v=""/>
    <s v=""/>
    <s v=""/>
    <m/>
    <n v="36"/>
    <m/>
    <m/>
    <m/>
    <n v="0"/>
  </r>
  <r>
    <x v="1"/>
    <m/>
    <s v="Round Off"/>
    <m/>
    <s v=""/>
    <s v=""/>
    <s v=""/>
    <s v=""/>
    <s v=""/>
    <s v=""/>
    <n v="0.4"/>
    <m/>
    <m/>
    <m/>
    <m/>
    <n v="0"/>
  </r>
  <r>
    <x v="2"/>
    <m/>
    <s v="New Ref"/>
    <s v="246779414066"/>
    <s v=""/>
    <n v="1788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34.299999999999997"/>
    <s v="Journal 1"/>
    <s v="19"/>
    <m/>
    <n v="2987"/>
    <n v="61"/>
  </r>
  <r>
    <x v="1"/>
    <m/>
    <s v="Inbound Handling - E"/>
    <m/>
    <s v=""/>
    <s v=""/>
    <s v=""/>
    <s v=""/>
    <s v=""/>
    <s v=""/>
    <n v="3047.92"/>
    <m/>
    <m/>
    <m/>
    <m/>
    <n v="0"/>
  </r>
  <r>
    <x v="1"/>
    <m/>
    <s v="TDS on Contract"/>
    <m/>
    <s v=""/>
    <s v=""/>
    <s v=""/>
    <s v=""/>
    <s v=""/>
    <s v=""/>
    <m/>
    <n v="61"/>
    <m/>
    <m/>
    <m/>
    <n v="0"/>
  </r>
  <r>
    <x v="1"/>
    <m/>
    <s v="Round Off"/>
    <m/>
    <s v=""/>
    <s v=""/>
    <s v=""/>
    <s v=""/>
    <s v=""/>
    <s v=""/>
    <n v="0.08"/>
    <m/>
    <m/>
    <m/>
    <m/>
    <n v="0"/>
  </r>
  <r>
    <x v="2"/>
    <m/>
    <s v="New Ref"/>
    <s v="246779411302"/>
    <s v=""/>
    <n v="2987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25.51"/>
    <s v="Journal 1"/>
    <s v="20"/>
    <m/>
    <n v="2207"/>
    <n v="45"/>
  </r>
  <r>
    <x v="1"/>
    <m/>
    <s v="Inbound Handling - E"/>
    <m/>
    <s v=""/>
    <s v=""/>
    <s v=""/>
    <s v=""/>
    <s v=""/>
    <s v=""/>
    <n v="2252.5"/>
    <m/>
    <m/>
    <m/>
    <m/>
    <n v="0"/>
  </r>
  <r>
    <x v="1"/>
    <m/>
    <s v="TDS on Contract"/>
    <m/>
    <s v=""/>
    <s v=""/>
    <s v=""/>
    <s v=""/>
    <s v=""/>
    <s v=""/>
    <m/>
    <n v="45"/>
    <m/>
    <m/>
    <m/>
    <n v="0"/>
  </r>
  <r>
    <x v="1"/>
    <m/>
    <s v="Round Off"/>
    <m/>
    <s v=""/>
    <s v=""/>
    <s v=""/>
    <s v=""/>
    <s v=""/>
    <s v=""/>
    <m/>
    <n v="0.5"/>
    <m/>
    <m/>
    <m/>
    <n v="0"/>
  </r>
  <r>
    <x v="2"/>
    <m/>
    <s v="New Ref"/>
    <s v="246779413220"/>
    <s v=""/>
    <n v="2207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125.95"/>
    <s v="Journal 1"/>
    <s v="21"/>
    <m/>
    <n v="10870"/>
    <n v="222"/>
  </r>
  <r>
    <x v="1"/>
    <m/>
    <s v="Outbound Handling Charges - E"/>
    <m/>
    <s v=""/>
    <s v=""/>
    <s v=""/>
    <s v=""/>
    <s v=""/>
    <s v=""/>
    <n v="11091.79"/>
    <m/>
    <m/>
    <m/>
    <m/>
    <n v="0"/>
  </r>
  <r>
    <x v="1"/>
    <m/>
    <s v="TDS on Contract"/>
    <m/>
    <s v=""/>
    <s v=""/>
    <s v=""/>
    <s v=""/>
    <s v=""/>
    <s v=""/>
    <m/>
    <n v="222"/>
    <m/>
    <m/>
    <m/>
    <n v="0"/>
  </r>
  <r>
    <x v="1"/>
    <m/>
    <s v="Round Off"/>
    <m/>
    <s v=""/>
    <s v=""/>
    <s v=""/>
    <s v=""/>
    <s v=""/>
    <s v=""/>
    <n v="0.21"/>
    <m/>
    <m/>
    <m/>
    <m/>
    <n v="0"/>
  </r>
  <r>
    <x v="2"/>
    <m/>
    <s v="New Ref"/>
    <s v="246779413884"/>
    <s v=""/>
    <n v="10870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1.71"/>
    <s v="Journal 1"/>
    <s v="22"/>
    <m/>
    <n v="148"/>
    <n v="3"/>
  </r>
  <r>
    <x v="1"/>
    <m/>
    <s v="Outbound Handling Charges - E"/>
    <m/>
    <s v=""/>
    <s v=""/>
    <s v=""/>
    <s v=""/>
    <s v=""/>
    <s v=""/>
    <n v="151.03"/>
    <m/>
    <m/>
    <m/>
    <m/>
    <n v="0"/>
  </r>
  <r>
    <x v="1"/>
    <m/>
    <s v="TDS on Contract"/>
    <m/>
    <s v=""/>
    <s v=""/>
    <s v=""/>
    <s v=""/>
    <s v=""/>
    <s v=""/>
    <m/>
    <n v="3"/>
    <m/>
    <m/>
    <m/>
    <n v="0"/>
  </r>
  <r>
    <x v="1"/>
    <m/>
    <s v="Round Off"/>
    <m/>
    <s v=""/>
    <s v=""/>
    <s v=""/>
    <s v=""/>
    <s v=""/>
    <s v=""/>
    <m/>
    <n v="0.03"/>
    <m/>
    <m/>
    <m/>
    <n v="0"/>
  </r>
  <r>
    <x v="2"/>
    <m/>
    <s v="New Ref"/>
    <s v="246779413893"/>
    <s v=""/>
    <n v="148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1.97"/>
    <s v="Journal 1"/>
    <s v="23"/>
    <m/>
    <n v="170"/>
    <n v="3"/>
  </r>
  <r>
    <x v="1"/>
    <m/>
    <s v="Outbound Handling Charges - E"/>
    <m/>
    <s v=""/>
    <s v=""/>
    <s v=""/>
    <s v=""/>
    <s v=""/>
    <s v=""/>
    <n v="172.61"/>
    <m/>
    <m/>
    <m/>
    <m/>
    <n v="0"/>
  </r>
  <r>
    <x v="1"/>
    <m/>
    <s v="TDS on Contract"/>
    <m/>
    <s v=""/>
    <s v=""/>
    <s v=""/>
    <s v=""/>
    <s v=""/>
    <s v=""/>
    <m/>
    <n v="3"/>
    <m/>
    <m/>
    <m/>
    <n v="0"/>
  </r>
  <r>
    <x v="1"/>
    <m/>
    <s v="Round Off"/>
    <m/>
    <s v=""/>
    <s v=""/>
    <s v=""/>
    <s v=""/>
    <s v=""/>
    <s v=""/>
    <n v="0.39"/>
    <m/>
    <m/>
    <m/>
    <m/>
    <n v="0"/>
  </r>
  <r>
    <x v="2"/>
    <m/>
    <s v="New Ref"/>
    <s v="246779413894"/>
    <s v=""/>
    <n v="170"/>
    <s v="Cr"/>
    <m/>
    <m/>
    <m/>
    <m/>
    <m/>
    <m/>
    <m/>
    <m/>
    <n v="0"/>
  </r>
  <r>
    <x v="11"/>
    <s v="Dr"/>
    <s v="(as per details)"/>
    <m/>
    <s v=""/>
    <s v=""/>
    <s v=""/>
    <s v=""/>
    <s v="March, 2025"/>
    <m/>
    <n v="1.71"/>
    <s v="Journal 1"/>
    <s v="24"/>
    <m/>
    <n v="148"/>
    <n v="3"/>
  </r>
  <r>
    <x v="1"/>
    <m/>
    <s v="Outbound Handling Charges - E"/>
    <m/>
    <s v=""/>
    <s v=""/>
    <s v=""/>
    <s v=""/>
    <s v=""/>
    <s v=""/>
    <n v="151.03"/>
    <m/>
    <m/>
    <m/>
    <m/>
    <n v="0"/>
  </r>
  <r>
    <x v="1"/>
    <m/>
    <s v="TDS on Contract"/>
    <m/>
    <s v=""/>
    <s v=""/>
    <s v=""/>
    <s v=""/>
    <s v=""/>
    <s v=""/>
    <m/>
    <n v="3"/>
    <m/>
    <m/>
    <m/>
    <n v="0"/>
  </r>
  <r>
    <x v="1"/>
    <m/>
    <s v="Round Off"/>
    <m/>
    <s v=""/>
    <s v=""/>
    <s v=""/>
    <s v=""/>
    <s v=""/>
    <s v=""/>
    <m/>
    <n v="0.03"/>
    <m/>
    <m/>
    <m/>
    <n v="0"/>
  </r>
  <r>
    <x v="2"/>
    <m/>
    <s v="New Ref"/>
    <s v="246779413901"/>
    <s v=""/>
    <n v="148"/>
    <s v="Cr"/>
    <m/>
    <m/>
    <m/>
    <m/>
    <m/>
    <m/>
    <m/>
    <m/>
    <n v="0"/>
  </r>
  <r>
    <x v="12"/>
    <s v="Dr"/>
    <s v="(as per details)"/>
    <m/>
    <s v=""/>
    <s v=""/>
    <s v=""/>
    <s v=""/>
    <s v="April, 2025"/>
    <m/>
    <n v="405.01"/>
    <s v="Journal 1"/>
    <s v="25"/>
    <m/>
    <n v="34824"/>
    <n v="3869"/>
  </r>
  <r>
    <x v="1"/>
    <m/>
    <s v="Ground Rent Charges-E"/>
    <m/>
    <s v=""/>
    <s v=""/>
    <s v=""/>
    <s v=""/>
    <s v=""/>
    <s v=""/>
    <n v="38692.67"/>
    <m/>
    <m/>
    <m/>
    <m/>
    <n v="0"/>
  </r>
  <r>
    <x v="1"/>
    <m/>
    <s v="TDS on Rent"/>
    <m/>
    <s v=""/>
    <s v=""/>
    <s v=""/>
    <s v=""/>
    <s v=""/>
    <s v=""/>
    <m/>
    <n v="3869"/>
    <m/>
    <m/>
    <m/>
    <n v="0"/>
  </r>
  <r>
    <x v="1"/>
    <m/>
    <s v="Round Off"/>
    <m/>
    <s v=""/>
    <s v=""/>
    <s v=""/>
    <s v=""/>
    <s v=""/>
    <s v=""/>
    <n v="0.33"/>
    <m/>
    <m/>
    <m/>
    <m/>
    <n v="0"/>
  </r>
  <r>
    <x v="2"/>
    <m/>
    <s v="New Ref"/>
    <s v="256779413186"/>
    <s v=""/>
    <n v="34824"/>
    <s v="Cr"/>
    <m/>
    <m/>
    <m/>
    <m/>
    <m/>
    <m/>
    <m/>
    <m/>
    <n v="0"/>
  </r>
  <r>
    <x v="13"/>
    <s v="Cr"/>
    <s v="Srikaram Prescience Pvt. Ltd- Noida"/>
    <m/>
    <s v=""/>
    <s v=""/>
    <s v=""/>
    <s v=""/>
    <s v=", 0"/>
    <m/>
    <m/>
    <s v="Journal"/>
    <s v="108"/>
    <n v="500000"/>
    <m/>
    <n v="0"/>
  </r>
  <r>
    <x v="2"/>
    <m/>
    <s v="Agst Ref"/>
    <s v="246779410292"/>
    <s v=""/>
    <n v="140453"/>
    <s v="Dr"/>
    <m/>
    <m/>
    <m/>
    <m/>
    <m/>
    <m/>
    <m/>
    <m/>
    <n v="0"/>
  </r>
  <r>
    <x v="2"/>
    <m/>
    <s v="Agst Ref"/>
    <s v="246779410106"/>
    <s v=""/>
    <n v="140453"/>
    <s v="Dr"/>
    <m/>
    <m/>
    <m/>
    <m/>
    <m/>
    <m/>
    <m/>
    <m/>
    <n v="0"/>
  </r>
  <r>
    <x v="2"/>
    <m/>
    <s v="Agst Ref"/>
    <s v="246779410149"/>
    <s v=""/>
    <n v="140453"/>
    <s v="Dr"/>
    <m/>
    <m/>
    <m/>
    <m/>
    <m/>
    <m/>
    <m/>
    <m/>
    <n v="0"/>
  </r>
  <r>
    <x v="2"/>
    <m/>
    <s v="Agst Ref"/>
    <s v="246779410192"/>
    <s v=""/>
    <n v="78641"/>
    <s v="Dr"/>
    <m/>
    <m/>
    <m/>
    <m/>
    <m/>
    <m/>
    <m/>
    <m/>
    <n v="0"/>
  </r>
  <r>
    <x v="14"/>
    <s v="Dr"/>
    <s v="(as per details)"/>
    <m/>
    <s v=""/>
    <s v=""/>
    <s v=""/>
    <s v=""/>
    <s v="March, 2025"/>
    <m/>
    <n v="417.76"/>
    <s v="Journal 1"/>
    <s v="27"/>
    <m/>
    <n v="35715"/>
    <n v="3968"/>
  </r>
  <r>
    <x v="1"/>
    <m/>
    <s v="Provision for Expenses"/>
    <m/>
    <s v=""/>
    <s v=""/>
    <s v=""/>
    <s v=""/>
    <s v=""/>
    <s v=""/>
    <n v="39683.21"/>
    <m/>
    <m/>
    <m/>
    <m/>
    <n v="0"/>
  </r>
  <r>
    <x v="1"/>
    <m/>
    <s v="TDS on Rent"/>
    <m/>
    <s v=""/>
    <s v=""/>
    <s v=""/>
    <s v=""/>
    <s v=""/>
    <s v=""/>
    <m/>
    <n v="3968"/>
    <m/>
    <m/>
    <m/>
    <n v="0"/>
  </r>
  <r>
    <x v="1"/>
    <m/>
    <s v="Round Off"/>
    <m/>
    <s v=""/>
    <s v=""/>
    <s v=""/>
    <s v=""/>
    <s v=""/>
    <s v=""/>
    <m/>
    <n v="0.21"/>
    <m/>
    <m/>
    <m/>
    <n v="0"/>
  </r>
  <r>
    <x v="2"/>
    <m/>
    <s v="New Ref"/>
    <s v="256779414342"/>
    <s v=""/>
    <n v="35715"/>
    <s v="Cr"/>
    <m/>
    <m/>
    <m/>
    <m/>
    <m/>
    <m/>
    <m/>
    <m/>
    <n v="0"/>
  </r>
  <r>
    <x v="15"/>
    <s v="Cr"/>
    <s v="Srikaram Prescience Pvt. Ltd- Noida"/>
    <m/>
    <s v=""/>
    <s v=""/>
    <s v=""/>
    <s v=""/>
    <s v=", 0"/>
    <m/>
    <m/>
    <s v="Journal"/>
    <s v="123"/>
    <n v="100000"/>
    <m/>
    <n v="0"/>
  </r>
  <r>
    <x v="2"/>
    <m/>
    <s v="Agst Ref"/>
    <s v="246779410192"/>
    <s v=""/>
    <n v="61812"/>
    <s v="Dr"/>
    <m/>
    <m/>
    <m/>
    <m/>
    <m/>
    <m/>
    <m/>
    <m/>
    <n v="0"/>
  </r>
  <r>
    <x v="2"/>
    <m/>
    <s v="Agst Ref"/>
    <s v="246779410235"/>
    <s v=""/>
    <n v="38188"/>
    <s v="Dr"/>
    <m/>
    <m/>
    <m/>
    <m/>
    <m/>
    <m/>
    <m/>
    <m/>
    <n v="0"/>
  </r>
  <r>
    <x v="16"/>
    <s v="Cr"/>
    <s v="Srikaram Prescience Pvt. Ltd- Noida"/>
    <m/>
    <s v=""/>
    <s v=""/>
    <s v=""/>
    <s v=""/>
    <s v=", 0"/>
    <m/>
    <m/>
    <s v="Journal"/>
    <s v="138"/>
    <n v="700000"/>
    <m/>
    <n v="0"/>
  </r>
  <r>
    <x v="2"/>
    <m/>
    <s v="Agst Ref"/>
    <s v="246779410235"/>
    <s v=""/>
    <n v="102265"/>
    <s v="Dr"/>
    <m/>
    <m/>
    <m/>
    <m/>
    <m/>
    <m/>
    <m/>
    <m/>
    <n v="0"/>
  </r>
  <r>
    <x v="2"/>
    <m/>
    <s v="Agst Ref"/>
    <s v="246779410345"/>
    <s v=""/>
    <n v="36577"/>
    <s v="Dr"/>
    <m/>
    <m/>
    <m/>
    <m/>
    <m/>
    <m/>
    <m/>
    <m/>
    <n v="0"/>
  </r>
  <r>
    <x v="2"/>
    <m/>
    <s v="Agst Ref"/>
    <s v="246779410351"/>
    <s v=""/>
    <n v="36577"/>
    <s v="Dr"/>
    <m/>
    <m/>
    <m/>
    <m/>
    <m/>
    <m/>
    <m/>
    <m/>
    <n v="0"/>
  </r>
  <r>
    <x v="2"/>
    <m/>
    <s v="Agst Ref"/>
    <s v="246779410357"/>
    <s v=""/>
    <n v="35397"/>
    <s v="Dr"/>
    <m/>
    <m/>
    <m/>
    <m/>
    <m/>
    <m/>
    <m/>
    <m/>
    <n v="0"/>
  </r>
  <r>
    <x v="2"/>
    <m/>
    <s v="Agst Ref"/>
    <s v="246779410415"/>
    <s v=""/>
    <n v="151767"/>
    <s v="Dr"/>
    <m/>
    <m/>
    <m/>
    <m/>
    <m/>
    <m/>
    <m/>
    <m/>
    <n v="0"/>
  </r>
  <r>
    <x v="2"/>
    <m/>
    <s v="Agst Ref"/>
    <s v="246779410862"/>
    <s v=""/>
    <n v="180778"/>
    <s v="Dr"/>
    <m/>
    <m/>
    <m/>
    <m/>
    <m/>
    <m/>
    <m/>
    <m/>
    <n v="0"/>
  </r>
  <r>
    <x v="2"/>
    <m/>
    <s v="Agst Ref"/>
    <s v="246779410885"/>
    <s v=""/>
    <n v="156639"/>
    <s v="Dr"/>
    <m/>
    <m/>
    <m/>
    <m/>
    <m/>
    <m/>
    <m/>
    <m/>
    <n v="0"/>
  </r>
  <r>
    <x v="17"/>
    <s v="Dr"/>
    <s v="(as per details)"/>
    <m/>
    <s v=""/>
    <s v=""/>
    <s v=""/>
    <s v=""/>
    <s v="March, 2025"/>
    <m/>
    <n v="1.96"/>
    <s v="Journal 1"/>
    <s v="28"/>
    <m/>
    <n v="169"/>
    <n v="3"/>
  </r>
  <r>
    <x v="1"/>
    <m/>
    <s v="Outbound Handling Charges - E"/>
    <m/>
    <s v=""/>
    <s v=""/>
    <s v=""/>
    <s v=""/>
    <s v=""/>
    <s v=""/>
    <n v="171.74"/>
    <m/>
    <m/>
    <m/>
    <m/>
    <n v="0"/>
  </r>
  <r>
    <x v="1"/>
    <m/>
    <s v="TDS on Contract"/>
    <m/>
    <s v=""/>
    <s v=""/>
    <s v=""/>
    <s v=""/>
    <s v=""/>
    <s v=""/>
    <m/>
    <n v="3"/>
    <m/>
    <m/>
    <m/>
    <n v="0"/>
  </r>
  <r>
    <x v="1"/>
    <m/>
    <s v="Round Off"/>
    <m/>
    <s v=""/>
    <s v=""/>
    <s v=""/>
    <s v=""/>
    <s v=""/>
    <s v=""/>
    <n v="0.26"/>
    <m/>
    <m/>
    <m/>
    <m/>
    <n v="0"/>
  </r>
  <r>
    <x v="2"/>
    <m/>
    <s v="New Ref"/>
    <s v="246779413911"/>
    <s v=""/>
    <n v="169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14.5"/>
    <s v="Journal 1"/>
    <s v="29"/>
    <m/>
    <n v="1251"/>
    <n v="26"/>
  </r>
  <r>
    <x v="1"/>
    <m/>
    <s v="Outbound Handling Charges - E"/>
    <m/>
    <s v=""/>
    <s v=""/>
    <s v=""/>
    <s v=""/>
    <s v=""/>
    <s v=""/>
    <n v="1277.3"/>
    <m/>
    <m/>
    <m/>
    <m/>
    <n v="0"/>
  </r>
  <r>
    <x v="1"/>
    <m/>
    <s v="TDS on Contract"/>
    <m/>
    <s v=""/>
    <s v=""/>
    <s v=""/>
    <s v=""/>
    <s v=""/>
    <s v=""/>
    <m/>
    <n v="26"/>
    <m/>
    <m/>
    <m/>
    <n v="0"/>
  </r>
  <r>
    <x v="1"/>
    <m/>
    <s v="Round Off"/>
    <m/>
    <s v=""/>
    <s v=""/>
    <s v=""/>
    <s v=""/>
    <s v=""/>
    <s v=""/>
    <m/>
    <n v="0.3"/>
    <m/>
    <m/>
    <m/>
    <n v="0"/>
  </r>
  <r>
    <x v="2"/>
    <m/>
    <s v="New Ref"/>
    <s v="246779413913"/>
    <s v=""/>
    <n v="1251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12"/>
    <s v="Journal 1"/>
    <s v="30"/>
    <m/>
    <n v="1036"/>
    <n v="21"/>
  </r>
  <r>
    <x v="1"/>
    <m/>
    <s v="Inbound Handling - E"/>
    <m/>
    <s v=""/>
    <s v=""/>
    <s v=""/>
    <s v=""/>
    <s v=""/>
    <s v=""/>
    <n v="1057.22"/>
    <m/>
    <m/>
    <m/>
    <m/>
    <n v="0"/>
  </r>
  <r>
    <x v="1"/>
    <m/>
    <s v="TDS on Contract"/>
    <m/>
    <s v=""/>
    <s v=""/>
    <s v=""/>
    <s v=""/>
    <s v=""/>
    <s v=""/>
    <m/>
    <n v="21"/>
    <m/>
    <m/>
    <m/>
    <n v="0"/>
  </r>
  <r>
    <x v="1"/>
    <m/>
    <s v="Round Off"/>
    <m/>
    <s v=""/>
    <s v=""/>
    <s v=""/>
    <s v=""/>
    <s v=""/>
    <s v=""/>
    <m/>
    <n v="0.22"/>
    <m/>
    <m/>
    <m/>
    <n v="0"/>
  </r>
  <r>
    <x v="2"/>
    <m/>
    <s v="New Ref"/>
    <s v="246779414150"/>
    <s v=""/>
    <n v="1036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14.7"/>
    <s v="Journal 1"/>
    <s v="31"/>
    <m/>
    <n v="1269"/>
    <n v="26"/>
  </r>
  <r>
    <x v="1"/>
    <m/>
    <s v="Inbound Handling - E"/>
    <m/>
    <s v=""/>
    <s v=""/>
    <s v=""/>
    <s v=""/>
    <s v=""/>
    <s v=""/>
    <n v="1294.56"/>
    <m/>
    <m/>
    <m/>
    <m/>
    <n v="0"/>
  </r>
  <r>
    <x v="1"/>
    <m/>
    <s v="TDS on Contract"/>
    <m/>
    <s v=""/>
    <s v=""/>
    <s v=""/>
    <s v=""/>
    <s v=""/>
    <s v=""/>
    <m/>
    <n v="26"/>
    <m/>
    <m/>
    <m/>
    <n v="0"/>
  </r>
  <r>
    <x v="1"/>
    <m/>
    <s v="Round Off"/>
    <m/>
    <s v=""/>
    <s v=""/>
    <s v=""/>
    <s v=""/>
    <s v=""/>
    <s v=""/>
    <n v="0.44"/>
    <m/>
    <m/>
    <m/>
    <m/>
    <n v="0"/>
  </r>
  <r>
    <x v="2"/>
    <m/>
    <s v="New Ref"/>
    <s v="246779414151"/>
    <s v=""/>
    <n v="1269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8.91"/>
    <s v="Journal 1"/>
    <s v="32"/>
    <m/>
    <n v="769"/>
    <n v="16"/>
  </r>
  <r>
    <x v="1"/>
    <m/>
    <s v="Outbound Handling Charges - E"/>
    <m/>
    <s v=""/>
    <s v=""/>
    <s v=""/>
    <s v=""/>
    <s v=""/>
    <s v=""/>
    <n v="785.37"/>
    <m/>
    <m/>
    <m/>
    <m/>
    <n v="0"/>
  </r>
  <r>
    <x v="1"/>
    <m/>
    <s v="TDS on Contract"/>
    <m/>
    <s v=""/>
    <s v=""/>
    <s v=""/>
    <s v=""/>
    <s v=""/>
    <s v=""/>
    <m/>
    <n v="16"/>
    <m/>
    <m/>
    <m/>
    <n v="0"/>
  </r>
  <r>
    <x v="1"/>
    <m/>
    <s v="Round Off"/>
    <m/>
    <s v=""/>
    <s v=""/>
    <s v=""/>
    <s v=""/>
    <s v=""/>
    <s v=""/>
    <m/>
    <n v="0.37"/>
    <m/>
    <m/>
    <m/>
    <n v="0"/>
  </r>
  <r>
    <x v="2"/>
    <m/>
    <s v="New Ref"/>
    <s v="246779414229"/>
    <s v=""/>
    <n v="769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0.97"/>
    <s v="Journal 1"/>
    <s v="33"/>
    <m/>
    <n v="84"/>
    <n v="2"/>
  </r>
  <r>
    <x v="1"/>
    <m/>
    <s v="Inbound Handling - E"/>
    <m/>
    <s v=""/>
    <s v=""/>
    <s v=""/>
    <s v=""/>
    <s v=""/>
    <s v=""/>
    <n v="86.3"/>
    <m/>
    <m/>
    <m/>
    <m/>
    <n v="0"/>
  </r>
  <r>
    <x v="1"/>
    <m/>
    <s v="TDS on Contract"/>
    <m/>
    <s v=""/>
    <s v=""/>
    <s v=""/>
    <s v=""/>
    <s v=""/>
    <s v=""/>
    <m/>
    <n v="2"/>
    <m/>
    <m/>
    <m/>
    <n v="0"/>
  </r>
  <r>
    <x v="1"/>
    <m/>
    <s v="Round Off"/>
    <m/>
    <s v=""/>
    <s v=""/>
    <s v=""/>
    <s v=""/>
    <s v=""/>
    <s v=""/>
    <m/>
    <n v="0.3"/>
    <m/>
    <m/>
    <m/>
    <n v="0"/>
  </r>
  <r>
    <x v="2"/>
    <m/>
    <s v="New Ref"/>
    <s v="246779414230"/>
    <s v=""/>
    <n v="84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12.98"/>
    <s v="Journal 1"/>
    <s v="34"/>
    <m/>
    <n v="1119"/>
    <n v="23"/>
  </r>
  <r>
    <x v="1"/>
    <m/>
    <s v="Inbound Handling - E"/>
    <m/>
    <s v=""/>
    <s v=""/>
    <s v=""/>
    <s v=""/>
    <s v=""/>
    <s v=""/>
    <n v="1142.3900000000001"/>
    <m/>
    <m/>
    <m/>
    <m/>
    <n v="0"/>
  </r>
  <r>
    <x v="1"/>
    <m/>
    <s v="TDS on Contract"/>
    <m/>
    <s v=""/>
    <s v=""/>
    <s v=""/>
    <s v=""/>
    <s v=""/>
    <s v=""/>
    <m/>
    <n v="23"/>
    <m/>
    <m/>
    <m/>
    <n v="0"/>
  </r>
  <r>
    <x v="1"/>
    <m/>
    <s v="Round Off"/>
    <m/>
    <s v=""/>
    <s v=""/>
    <s v=""/>
    <s v=""/>
    <s v=""/>
    <s v=""/>
    <m/>
    <n v="0.39"/>
    <m/>
    <m/>
    <m/>
    <n v="0"/>
  </r>
  <r>
    <x v="2"/>
    <m/>
    <s v="New Ref"/>
    <s v="246779414319"/>
    <s v=""/>
    <n v="1119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37.729999999999997"/>
    <s v="Journal 1"/>
    <s v="35"/>
    <m/>
    <n v="3253"/>
    <n v="66"/>
  </r>
  <r>
    <x v="1"/>
    <m/>
    <s v="Inbound Handling - E"/>
    <m/>
    <s v=""/>
    <s v=""/>
    <s v=""/>
    <s v=""/>
    <s v=""/>
    <s v=""/>
    <n v="3319.41"/>
    <m/>
    <m/>
    <m/>
    <m/>
    <n v="0"/>
  </r>
  <r>
    <x v="1"/>
    <m/>
    <s v="TDS on Contract"/>
    <m/>
    <s v=""/>
    <s v=""/>
    <s v=""/>
    <s v=""/>
    <s v=""/>
    <s v=""/>
    <m/>
    <n v="66"/>
    <m/>
    <m/>
    <m/>
    <n v="0"/>
  </r>
  <r>
    <x v="1"/>
    <m/>
    <s v="Round Off"/>
    <m/>
    <s v=""/>
    <s v=""/>
    <s v=""/>
    <s v=""/>
    <s v=""/>
    <s v=""/>
    <m/>
    <n v="0.41"/>
    <m/>
    <m/>
    <m/>
    <n v="0"/>
  </r>
  <r>
    <x v="2"/>
    <m/>
    <s v="New Ref"/>
    <s v="246779414320"/>
    <s v=""/>
    <n v="3253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29.4"/>
    <s v="Journal 1"/>
    <s v="36"/>
    <m/>
    <n v="2535"/>
    <n v="52"/>
  </r>
  <r>
    <x v="1"/>
    <m/>
    <s v="Inbound Handling - E"/>
    <m/>
    <s v=""/>
    <s v=""/>
    <s v=""/>
    <s v=""/>
    <s v=""/>
    <s v=""/>
    <n v="2586.5500000000002"/>
    <m/>
    <m/>
    <m/>
    <m/>
    <n v="0"/>
  </r>
  <r>
    <x v="1"/>
    <m/>
    <s v="TDS on Contract"/>
    <m/>
    <s v=""/>
    <s v=""/>
    <s v=""/>
    <s v=""/>
    <s v=""/>
    <s v=""/>
    <m/>
    <n v="52"/>
    <m/>
    <m/>
    <m/>
    <n v="0"/>
  </r>
  <r>
    <x v="1"/>
    <m/>
    <s v="Round Off"/>
    <m/>
    <s v=""/>
    <s v=""/>
    <s v=""/>
    <s v=""/>
    <s v=""/>
    <s v=""/>
    <n v="0.45"/>
    <m/>
    <m/>
    <m/>
    <m/>
    <n v="0"/>
  </r>
  <r>
    <x v="2"/>
    <m/>
    <s v="New Ref"/>
    <s v="246779414321"/>
    <s v=""/>
    <n v="2535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10.29"/>
    <s v="Journal 1"/>
    <s v="37"/>
    <m/>
    <n v="888"/>
    <n v="18"/>
  </r>
  <r>
    <x v="1"/>
    <m/>
    <s v="Inbound Handling - E"/>
    <m/>
    <s v=""/>
    <s v=""/>
    <s v=""/>
    <s v=""/>
    <s v=""/>
    <s v=""/>
    <n v="906.19"/>
    <m/>
    <m/>
    <m/>
    <m/>
    <n v="0"/>
  </r>
  <r>
    <x v="1"/>
    <m/>
    <s v="TDS on Contract"/>
    <m/>
    <s v=""/>
    <s v=""/>
    <s v=""/>
    <s v=""/>
    <s v=""/>
    <s v=""/>
    <m/>
    <n v="18"/>
    <m/>
    <m/>
    <m/>
    <n v="0"/>
  </r>
  <r>
    <x v="1"/>
    <m/>
    <s v="Round Off"/>
    <m/>
    <s v=""/>
    <s v=""/>
    <s v=""/>
    <s v=""/>
    <s v=""/>
    <s v=""/>
    <m/>
    <n v="0.19"/>
    <m/>
    <m/>
    <m/>
    <n v="0"/>
  </r>
  <r>
    <x v="2"/>
    <m/>
    <s v="New Ref"/>
    <s v="246779414402"/>
    <s v=""/>
    <n v="888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14.7"/>
    <s v="Journal 1"/>
    <s v="38"/>
    <m/>
    <n v="1269"/>
    <n v="26"/>
  </r>
  <r>
    <x v="1"/>
    <m/>
    <s v="Inbound Handling - E"/>
    <m/>
    <s v=""/>
    <s v=""/>
    <s v=""/>
    <s v=""/>
    <s v=""/>
    <s v=""/>
    <n v="1294.56"/>
    <m/>
    <m/>
    <m/>
    <m/>
    <n v="0"/>
  </r>
  <r>
    <x v="1"/>
    <m/>
    <s v="TDS on Contract"/>
    <m/>
    <s v=""/>
    <s v=""/>
    <s v=""/>
    <s v=""/>
    <s v=""/>
    <s v=""/>
    <m/>
    <n v="26"/>
    <m/>
    <m/>
    <m/>
    <n v="0"/>
  </r>
  <r>
    <x v="1"/>
    <m/>
    <s v="Round Off"/>
    <m/>
    <s v=""/>
    <s v=""/>
    <s v=""/>
    <s v=""/>
    <s v=""/>
    <s v=""/>
    <n v="0.44"/>
    <m/>
    <m/>
    <m/>
    <m/>
    <n v="0"/>
  </r>
  <r>
    <x v="2"/>
    <m/>
    <s v="New Ref"/>
    <s v="246779414403"/>
    <s v=""/>
    <n v="1269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17.809999999999999"/>
    <s v="Journal 1"/>
    <s v="39"/>
    <m/>
    <n v="1537"/>
    <n v="31"/>
  </r>
  <r>
    <x v="1"/>
    <m/>
    <s v="Inbound Handling - E"/>
    <m/>
    <s v=""/>
    <s v=""/>
    <s v=""/>
    <s v=""/>
    <s v=""/>
    <s v=""/>
    <n v="1568.14"/>
    <m/>
    <m/>
    <m/>
    <m/>
    <n v="0"/>
  </r>
  <r>
    <x v="1"/>
    <m/>
    <s v="TDS on Contract"/>
    <m/>
    <s v=""/>
    <s v=""/>
    <s v=""/>
    <s v=""/>
    <s v=""/>
    <s v=""/>
    <m/>
    <n v="31"/>
    <m/>
    <m/>
    <m/>
    <n v="0"/>
  </r>
  <r>
    <x v="1"/>
    <m/>
    <s v="Round Off"/>
    <m/>
    <s v=""/>
    <s v=""/>
    <s v=""/>
    <s v=""/>
    <s v=""/>
    <s v=""/>
    <m/>
    <n v="0.14000000000000001"/>
    <m/>
    <m/>
    <m/>
    <n v="0"/>
  </r>
  <r>
    <x v="2"/>
    <m/>
    <s v="New Ref"/>
    <s v="246779414472"/>
    <s v=""/>
    <n v="1537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6.26"/>
    <s v="Journal 1"/>
    <s v="40"/>
    <m/>
    <n v="540"/>
    <n v="11"/>
  </r>
  <r>
    <x v="1"/>
    <m/>
    <s v="Inbound Handling - E"/>
    <m/>
    <s v=""/>
    <s v=""/>
    <s v=""/>
    <s v=""/>
    <s v=""/>
    <s v=""/>
    <n v="550.62"/>
    <m/>
    <m/>
    <m/>
    <m/>
    <n v="0"/>
  </r>
  <r>
    <x v="1"/>
    <m/>
    <s v="TDS on Contract"/>
    <m/>
    <s v=""/>
    <s v=""/>
    <s v=""/>
    <s v=""/>
    <s v=""/>
    <s v=""/>
    <m/>
    <n v="11"/>
    <m/>
    <m/>
    <m/>
    <n v="0"/>
  </r>
  <r>
    <x v="1"/>
    <m/>
    <s v="Round Off"/>
    <m/>
    <s v=""/>
    <s v=""/>
    <s v=""/>
    <s v=""/>
    <s v=""/>
    <s v=""/>
    <n v="0.38"/>
    <m/>
    <m/>
    <m/>
    <m/>
    <n v="0"/>
  </r>
  <r>
    <x v="2"/>
    <m/>
    <s v="New Ref"/>
    <s v="246779414473"/>
    <s v=""/>
    <n v="540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58.79"/>
    <s v="Journal 1"/>
    <s v="41"/>
    <m/>
    <n v="5074"/>
    <n v="104"/>
  </r>
  <r>
    <x v="1"/>
    <m/>
    <s v="Inbound Handling - E"/>
    <m/>
    <s v=""/>
    <s v=""/>
    <s v=""/>
    <s v=""/>
    <s v=""/>
    <s v=""/>
    <n v="5178.24"/>
    <m/>
    <m/>
    <m/>
    <m/>
    <n v="0"/>
  </r>
  <r>
    <x v="1"/>
    <m/>
    <s v="TDS on Contract"/>
    <m/>
    <s v=""/>
    <s v=""/>
    <s v=""/>
    <s v=""/>
    <s v=""/>
    <s v=""/>
    <m/>
    <n v="104"/>
    <m/>
    <m/>
    <m/>
    <n v="0"/>
  </r>
  <r>
    <x v="1"/>
    <m/>
    <s v="Round Off"/>
    <m/>
    <s v=""/>
    <s v=""/>
    <s v=""/>
    <s v=""/>
    <s v=""/>
    <s v=""/>
    <m/>
    <n v="0.24"/>
    <m/>
    <m/>
    <m/>
    <n v="0"/>
  </r>
  <r>
    <x v="2"/>
    <m/>
    <s v="New Ref"/>
    <s v="246779414474"/>
    <s v=""/>
    <n v="5074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6.86"/>
    <s v="Journal 1"/>
    <s v="42"/>
    <m/>
    <n v="592"/>
    <n v="12"/>
  </r>
  <r>
    <x v="1"/>
    <m/>
    <s v="Outbound Handling Charges - E"/>
    <m/>
    <s v=""/>
    <s v=""/>
    <s v=""/>
    <s v=""/>
    <s v=""/>
    <s v=""/>
    <n v="604.13"/>
    <m/>
    <m/>
    <m/>
    <m/>
    <n v="0"/>
  </r>
  <r>
    <x v="1"/>
    <m/>
    <s v="TDS on Contract"/>
    <m/>
    <s v=""/>
    <s v=""/>
    <s v=""/>
    <s v=""/>
    <s v=""/>
    <s v=""/>
    <m/>
    <n v="12"/>
    <m/>
    <m/>
    <m/>
    <n v="0"/>
  </r>
  <r>
    <x v="1"/>
    <m/>
    <s v="Round Off"/>
    <m/>
    <s v=""/>
    <s v=""/>
    <s v=""/>
    <s v=""/>
    <s v=""/>
    <s v=""/>
    <m/>
    <n v="0.13"/>
    <m/>
    <m/>
    <m/>
    <n v="0"/>
  </r>
  <r>
    <x v="2"/>
    <m/>
    <s v="New Ref"/>
    <s v="246779414610"/>
    <s v=""/>
    <n v="592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9.6999999999999993"/>
    <s v="Journal 1"/>
    <s v="43"/>
    <m/>
    <n v="837"/>
    <n v="17"/>
  </r>
  <r>
    <x v="1"/>
    <m/>
    <s v="Inbound Handling - E"/>
    <m/>
    <s v=""/>
    <s v=""/>
    <s v=""/>
    <s v=""/>
    <s v=""/>
    <s v=""/>
    <n v="854.41"/>
    <m/>
    <m/>
    <m/>
    <m/>
    <n v="0"/>
  </r>
  <r>
    <x v="1"/>
    <m/>
    <s v="TDS on Contract"/>
    <m/>
    <s v=""/>
    <s v=""/>
    <s v=""/>
    <s v=""/>
    <s v=""/>
    <s v=""/>
    <m/>
    <n v="17"/>
    <m/>
    <m/>
    <m/>
    <n v="0"/>
  </r>
  <r>
    <x v="1"/>
    <m/>
    <s v="Round Off"/>
    <m/>
    <s v=""/>
    <s v=""/>
    <s v=""/>
    <s v=""/>
    <s v=""/>
    <s v=""/>
    <m/>
    <n v="0.41"/>
    <m/>
    <m/>
    <m/>
    <n v="0"/>
  </r>
  <r>
    <x v="2"/>
    <m/>
    <s v="New Ref"/>
    <s v="246779414688"/>
    <s v=""/>
    <n v="837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49.73"/>
    <s v="Journal 1"/>
    <s v="44"/>
    <m/>
    <n v="4292"/>
    <n v="88"/>
  </r>
  <r>
    <x v="1"/>
    <m/>
    <s v="Outbound Handling Charges - E"/>
    <m/>
    <s v=""/>
    <s v=""/>
    <s v=""/>
    <s v=""/>
    <s v=""/>
    <s v=""/>
    <n v="4379.93"/>
    <m/>
    <m/>
    <m/>
    <m/>
    <n v="0"/>
  </r>
  <r>
    <x v="1"/>
    <m/>
    <s v="TDS on Contract"/>
    <m/>
    <s v=""/>
    <s v=""/>
    <s v=""/>
    <s v=""/>
    <s v=""/>
    <s v=""/>
    <m/>
    <n v="88"/>
    <m/>
    <m/>
    <m/>
    <n v="0"/>
  </r>
  <r>
    <x v="1"/>
    <m/>
    <s v="Round Off"/>
    <m/>
    <s v=""/>
    <s v=""/>
    <s v=""/>
    <s v=""/>
    <s v=""/>
    <s v=""/>
    <n v="7.0000000000000007E-2"/>
    <m/>
    <m/>
    <m/>
    <m/>
    <n v="0"/>
  </r>
  <r>
    <x v="2"/>
    <m/>
    <s v="New Ref"/>
    <s v="246779414689"/>
    <s v=""/>
    <n v="4292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58.79"/>
    <s v="Journal 1"/>
    <s v="45"/>
    <m/>
    <n v="5074"/>
    <n v="104"/>
  </r>
  <r>
    <x v="1"/>
    <m/>
    <s v="Outbound Handling Charges - E"/>
    <m/>
    <s v=""/>
    <s v=""/>
    <s v=""/>
    <s v=""/>
    <s v=""/>
    <s v=""/>
    <n v="5178.24"/>
    <m/>
    <m/>
    <m/>
    <m/>
    <n v="0"/>
  </r>
  <r>
    <x v="1"/>
    <m/>
    <s v="TDS on Contract"/>
    <m/>
    <s v=""/>
    <s v=""/>
    <s v=""/>
    <s v=""/>
    <s v=""/>
    <s v=""/>
    <m/>
    <n v="104"/>
    <m/>
    <m/>
    <m/>
    <n v="0"/>
  </r>
  <r>
    <x v="1"/>
    <m/>
    <s v="Round Off"/>
    <m/>
    <s v=""/>
    <s v=""/>
    <s v=""/>
    <s v=""/>
    <s v=""/>
    <s v=""/>
    <m/>
    <n v="0.24"/>
    <m/>
    <m/>
    <m/>
    <n v="0"/>
  </r>
  <r>
    <x v="2"/>
    <m/>
    <s v="New Ref"/>
    <s v="246779414690"/>
    <s v=""/>
    <n v="5074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108.95"/>
    <s v="Journal 1"/>
    <s v="46"/>
    <m/>
    <n v="9403"/>
    <n v="192"/>
  </r>
  <r>
    <x v="1"/>
    <m/>
    <s v="Outbound Handling Charges - E"/>
    <m/>
    <s v=""/>
    <s v=""/>
    <s v=""/>
    <s v=""/>
    <s v=""/>
    <s v=""/>
    <n v="9595.2800000000007"/>
    <m/>
    <m/>
    <m/>
    <m/>
    <n v="0"/>
  </r>
  <r>
    <x v="1"/>
    <m/>
    <s v="TDS on Contract"/>
    <m/>
    <s v=""/>
    <s v=""/>
    <s v=""/>
    <s v=""/>
    <s v=""/>
    <s v=""/>
    <m/>
    <n v="192"/>
    <m/>
    <m/>
    <m/>
    <n v="0"/>
  </r>
  <r>
    <x v="1"/>
    <m/>
    <s v="Round Off"/>
    <m/>
    <s v=""/>
    <s v=""/>
    <s v=""/>
    <s v=""/>
    <s v=""/>
    <s v=""/>
    <m/>
    <n v="0.28000000000000003"/>
    <m/>
    <m/>
    <m/>
    <n v="0"/>
  </r>
  <r>
    <x v="2"/>
    <m/>
    <s v="New Ref"/>
    <s v="246779414740"/>
    <s v=""/>
    <n v="9403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1.94"/>
    <s v="Journal 1"/>
    <s v="47"/>
    <m/>
    <n v="167"/>
    <n v="3"/>
  </r>
  <r>
    <x v="1"/>
    <m/>
    <s v="Inbound Handling - E"/>
    <m/>
    <s v=""/>
    <s v=""/>
    <s v=""/>
    <s v=""/>
    <s v=""/>
    <s v=""/>
    <n v="170.02"/>
    <m/>
    <m/>
    <m/>
    <m/>
    <n v="0"/>
  </r>
  <r>
    <x v="1"/>
    <m/>
    <s v="TDS on Contract"/>
    <m/>
    <s v=""/>
    <s v=""/>
    <s v=""/>
    <s v=""/>
    <s v=""/>
    <s v=""/>
    <m/>
    <n v="3"/>
    <m/>
    <m/>
    <m/>
    <n v="0"/>
  </r>
  <r>
    <x v="1"/>
    <m/>
    <s v="Round Off"/>
    <m/>
    <s v=""/>
    <s v=""/>
    <s v=""/>
    <s v=""/>
    <s v=""/>
    <s v=""/>
    <m/>
    <n v="0.02"/>
    <m/>
    <m/>
    <m/>
    <n v="0"/>
  </r>
  <r>
    <x v="2"/>
    <m/>
    <s v="New Ref"/>
    <s v="246779414741"/>
    <s v=""/>
    <n v="167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58.79"/>
    <s v="Journal 1"/>
    <s v="48"/>
    <m/>
    <n v="5074"/>
    <n v="104"/>
  </r>
  <r>
    <x v="1"/>
    <m/>
    <s v="Outbound Handling Charges - E"/>
    <m/>
    <s v=""/>
    <s v=""/>
    <s v=""/>
    <s v=""/>
    <s v=""/>
    <s v=""/>
    <n v="5178.24"/>
    <m/>
    <m/>
    <m/>
    <m/>
    <n v="0"/>
  </r>
  <r>
    <x v="1"/>
    <m/>
    <s v="TDS on Contract"/>
    <m/>
    <s v=""/>
    <s v=""/>
    <s v=""/>
    <s v=""/>
    <s v=""/>
    <s v=""/>
    <m/>
    <n v="104"/>
    <m/>
    <m/>
    <m/>
    <n v="0"/>
  </r>
  <r>
    <x v="1"/>
    <m/>
    <s v="Round Off"/>
    <m/>
    <s v=""/>
    <s v=""/>
    <s v=""/>
    <s v=""/>
    <s v=""/>
    <s v=""/>
    <m/>
    <n v="0.24"/>
    <m/>
    <m/>
    <m/>
    <n v="0"/>
  </r>
  <r>
    <x v="2"/>
    <m/>
    <s v="New Ref"/>
    <s v="246779414895"/>
    <s v=""/>
    <n v="5074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42.14"/>
    <s v="Journal 1"/>
    <s v="49"/>
    <m/>
    <n v="3637"/>
    <n v="74"/>
  </r>
  <r>
    <x v="1"/>
    <m/>
    <s v="Outbound Handling Charges - E"/>
    <m/>
    <s v=""/>
    <s v=""/>
    <s v=""/>
    <s v=""/>
    <s v=""/>
    <s v=""/>
    <n v="3711.07"/>
    <m/>
    <m/>
    <m/>
    <m/>
    <n v="0"/>
  </r>
  <r>
    <x v="1"/>
    <m/>
    <s v="TDS on Contract"/>
    <m/>
    <s v=""/>
    <s v=""/>
    <s v=""/>
    <s v=""/>
    <s v=""/>
    <s v=""/>
    <m/>
    <n v="74"/>
    <m/>
    <m/>
    <m/>
    <n v="0"/>
  </r>
  <r>
    <x v="1"/>
    <m/>
    <s v="Round Off"/>
    <m/>
    <s v=""/>
    <s v=""/>
    <s v=""/>
    <s v=""/>
    <s v=""/>
    <s v=""/>
    <m/>
    <n v="7.0000000000000007E-2"/>
    <m/>
    <m/>
    <m/>
    <n v="0"/>
  </r>
  <r>
    <x v="2"/>
    <m/>
    <s v="New Ref"/>
    <s v="246779414896"/>
    <s v=""/>
    <n v="3637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46.35"/>
    <s v="Journal 1"/>
    <s v="50"/>
    <m/>
    <n v="4000"/>
    <n v="82"/>
  </r>
  <r>
    <x v="1"/>
    <m/>
    <s v="Outbound Handling Charges - E"/>
    <m/>
    <s v=""/>
    <s v=""/>
    <s v=""/>
    <s v=""/>
    <s v=""/>
    <s v=""/>
    <n v="4082.18"/>
    <m/>
    <m/>
    <m/>
    <m/>
    <n v="0"/>
  </r>
  <r>
    <x v="1"/>
    <m/>
    <s v="TDS on Contract"/>
    <m/>
    <s v=""/>
    <s v=""/>
    <s v=""/>
    <s v=""/>
    <s v=""/>
    <s v=""/>
    <m/>
    <n v="82"/>
    <m/>
    <m/>
    <m/>
    <n v="0"/>
  </r>
  <r>
    <x v="1"/>
    <m/>
    <s v="Round Off"/>
    <m/>
    <s v=""/>
    <s v=""/>
    <s v=""/>
    <s v=""/>
    <s v=""/>
    <s v=""/>
    <m/>
    <n v="0.18"/>
    <m/>
    <m/>
    <m/>
    <n v="0"/>
  </r>
  <r>
    <x v="2"/>
    <m/>
    <s v="New Ref"/>
    <s v="246779414897"/>
    <s v=""/>
    <n v="4000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92.71"/>
    <s v="Journal 1"/>
    <s v="51"/>
    <m/>
    <n v="8001"/>
    <n v="163"/>
  </r>
  <r>
    <x v="1"/>
    <m/>
    <s v="Outbound Handling Charges - E"/>
    <m/>
    <s v=""/>
    <s v=""/>
    <s v=""/>
    <s v=""/>
    <s v=""/>
    <s v=""/>
    <n v="8164.36"/>
    <m/>
    <m/>
    <m/>
    <m/>
    <n v="0"/>
  </r>
  <r>
    <x v="1"/>
    <m/>
    <s v="TDS on Contract"/>
    <m/>
    <s v=""/>
    <s v=""/>
    <s v=""/>
    <s v=""/>
    <s v=""/>
    <s v=""/>
    <m/>
    <n v="163"/>
    <m/>
    <m/>
    <m/>
    <n v="0"/>
  </r>
  <r>
    <x v="1"/>
    <m/>
    <s v="Round Off"/>
    <m/>
    <s v=""/>
    <s v=""/>
    <s v=""/>
    <s v=""/>
    <s v=""/>
    <s v=""/>
    <m/>
    <n v="0.36"/>
    <m/>
    <m/>
    <m/>
    <n v="0"/>
  </r>
  <r>
    <x v="2"/>
    <m/>
    <s v="New Ref"/>
    <s v="246779414898"/>
    <s v=""/>
    <n v="8001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50.57"/>
    <s v="Journal 1"/>
    <s v="52"/>
    <m/>
    <n v="4384"/>
    <n v="89"/>
  </r>
  <r>
    <x v="1"/>
    <m/>
    <s v="Outbound Handling Charges - E"/>
    <m/>
    <s v=""/>
    <s v=""/>
    <s v=""/>
    <s v=""/>
    <s v=""/>
    <s v=""/>
    <n v="4473.2700000000004"/>
    <m/>
    <m/>
    <m/>
    <m/>
    <n v="0"/>
  </r>
  <r>
    <x v="1"/>
    <m/>
    <s v="TDS on Contract"/>
    <m/>
    <s v=""/>
    <s v=""/>
    <s v=""/>
    <s v=""/>
    <s v=""/>
    <s v=""/>
    <m/>
    <n v="89"/>
    <m/>
    <m/>
    <m/>
    <n v="0"/>
  </r>
  <r>
    <x v="1"/>
    <m/>
    <s v="Round Off"/>
    <m/>
    <s v=""/>
    <s v=""/>
    <s v=""/>
    <s v=""/>
    <s v=""/>
    <s v=""/>
    <m/>
    <n v="0.27"/>
    <m/>
    <m/>
    <m/>
    <n v="0"/>
  </r>
  <r>
    <x v="2"/>
    <m/>
    <s v="New Ref"/>
    <s v="246779414899"/>
    <s v=""/>
    <n v="4384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50.57"/>
    <s v="Journal 1"/>
    <s v="53"/>
    <m/>
    <n v="4364"/>
    <n v="89"/>
  </r>
  <r>
    <x v="1"/>
    <m/>
    <s v="Outbound Handling Charges - E"/>
    <m/>
    <s v=""/>
    <s v=""/>
    <s v=""/>
    <s v=""/>
    <s v=""/>
    <s v=""/>
    <n v="4453.29"/>
    <m/>
    <m/>
    <m/>
    <m/>
    <n v="0"/>
  </r>
  <r>
    <x v="1"/>
    <m/>
    <s v="TDS on Contract"/>
    <m/>
    <s v=""/>
    <s v=""/>
    <s v=""/>
    <s v=""/>
    <s v=""/>
    <s v=""/>
    <m/>
    <n v="89"/>
    <m/>
    <m/>
    <m/>
    <n v="0"/>
  </r>
  <r>
    <x v="1"/>
    <m/>
    <s v="Round Off"/>
    <m/>
    <s v=""/>
    <s v=""/>
    <s v=""/>
    <s v=""/>
    <s v=""/>
    <s v=""/>
    <m/>
    <n v="0.28999999999999998"/>
    <m/>
    <m/>
    <m/>
    <n v="0"/>
  </r>
  <r>
    <x v="2"/>
    <m/>
    <s v="New Ref"/>
    <s v="246779414900"/>
    <s v=""/>
    <n v="4364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6"/>
    <s v="Journal 1"/>
    <s v="54"/>
    <m/>
    <n v="518"/>
    <n v="11"/>
  </r>
  <r>
    <x v="1"/>
    <m/>
    <s v="Outbound Handling Charges - E"/>
    <m/>
    <s v=""/>
    <s v=""/>
    <s v=""/>
    <s v=""/>
    <s v=""/>
    <s v=""/>
    <n v="529.04"/>
    <m/>
    <m/>
    <m/>
    <m/>
    <n v="0"/>
  </r>
  <r>
    <x v="1"/>
    <m/>
    <s v="TDS on Contract"/>
    <m/>
    <s v=""/>
    <s v=""/>
    <s v=""/>
    <s v=""/>
    <s v=""/>
    <s v=""/>
    <m/>
    <n v="11"/>
    <m/>
    <m/>
    <m/>
    <n v="0"/>
  </r>
  <r>
    <x v="1"/>
    <m/>
    <s v="Round Off"/>
    <m/>
    <s v=""/>
    <s v=""/>
    <s v=""/>
    <s v=""/>
    <s v=""/>
    <s v=""/>
    <m/>
    <n v="0.04"/>
    <m/>
    <m/>
    <m/>
    <n v="0"/>
  </r>
  <r>
    <x v="2"/>
    <m/>
    <s v="New Ref"/>
    <s v="246779414901"/>
    <s v=""/>
    <n v="518"/>
    <s v="Cr"/>
    <m/>
    <m/>
    <m/>
    <m/>
    <m/>
    <m/>
    <m/>
    <m/>
    <n v="0"/>
  </r>
  <r>
    <x v="17"/>
    <s v="Dr"/>
    <s v="(as per details)"/>
    <m/>
    <s v=""/>
    <s v=""/>
    <s v=""/>
    <s v=""/>
    <s v="March, 2025"/>
    <m/>
    <n v="3.45"/>
    <s v="Journal 1"/>
    <s v="55"/>
    <m/>
    <n v="298"/>
    <n v="6"/>
  </r>
  <r>
    <x v="1"/>
    <m/>
    <s v="Outbound Handling Charges - E"/>
    <m/>
    <s v=""/>
    <s v=""/>
    <s v=""/>
    <s v=""/>
    <s v=""/>
    <s v=""/>
    <n v="303.79000000000002"/>
    <m/>
    <m/>
    <m/>
    <m/>
    <n v="0"/>
  </r>
  <r>
    <x v="1"/>
    <m/>
    <s v="TDS on Contract"/>
    <m/>
    <s v=""/>
    <s v=""/>
    <s v=""/>
    <s v=""/>
    <s v=""/>
    <s v=""/>
    <m/>
    <n v="6"/>
    <m/>
    <m/>
    <m/>
    <n v="0"/>
  </r>
  <r>
    <x v="1"/>
    <m/>
    <s v="Round Off"/>
    <m/>
    <s v=""/>
    <s v=""/>
    <s v=""/>
    <s v=""/>
    <s v=""/>
    <s v=""/>
    <n v="0.21"/>
    <m/>
    <m/>
    <m/>
    <m/>
    <n v="0"/>
  </r>
  <r>
    <x v="2"/>
    <m/>
    <s v="New Ref"/>
    <s v="246779414902"/>
    <s v=""/>
    <n v="298"/>
    <s v="Cr"/>
    <m/>
    <m/>
    <m/>
    <m/>
    <m/>
    <m/>
    <m/>
    <m/>
    <n v="0"/>
  </r>
  <r>
    <x v="18"/>
    <s v="Dr"/>
    <s v="(as per details)"/>
    <m/>
    <s v=""/>
    <s v=""/>
    <s v=""/>
    <s v=""/>
    <s v="February, 2025"/>
    <m/>
    <n v="1255.18"/>
    <s v="Journal 1"/>
    <s v="57"/>
    <m/>
    <n v="106977"/>
    <n v="11886"/>
  </r>
  <r>
    <x v="1"/>
    <m/>
    <s v="Provision for Expenses"/>
    <m/>
    <s v=""/>
    <s v=""/>
    <s v=""/>
    <s v=""/>
    <s v=""/>
    <s v=""/>
    <n v="118862.52"/>
    <m/>
    <m/>
    <m/>
    <m/>
    <n v="0"/>
  </r>
  <r>
    <x v="1"/>
    <m/>
    <s v="TDS on Rent"/>
    <m/>
    <s v=""/>
    <s v=""/>
    <s v=""/>
    <s v=""/>
    <s v=""/>
    <s v=""/>
    <m/>
    <n v="11886"/>
    <m/>
    <m/>
    <m/>
    <n v="0"/>
  </r>
  <r>
    <x v="1"/>
    <m/>
    <s v="Round Off"/>
    <m/>
    <s v=""/>
    <s v=""/>
    <s v=""/>
    <s v=""/>
    <s v=""/>
    <s v=""/>
    <n v="0.48"/>
    <m/>
    <m/>
    <m/>
    <m/>
    <n v="0"/>
  </r>
  <r>
    <x v="2"/>
    <m/>
    <s v="New Ref"/>
    <s v="256779410788"/>
    <s v=""/>
    <n v="106977"/>
    <s v="Cr"/>
    <m/>
    <m/>
    <m/>
    <m/>
    <m/>
    <m/>
    <m/>
    <m/>
    <n v="0"/>
  </r>
  <r>
    <x v="18"/>
    <s v="Dr"/>
    <s v="(as per details)"/>
    <m/>
    <s v=""/>
    <s v=""/>
    <s v=""/>
    <s v=""/>
    <s v="January, 2025"/>
    <m/>
    <n v="2333.4699999999998"/>
    <s v="Journal 1"/>
    <s v="58"/>
    <m/>
    <n v="198877"/>
    <n v="22098"/>
  </r>
  <r>
    <x v="1"/>
    <m/>
    <s v="Provision for Expenses"/>
    <m/>
    <s v=""/>
    <s v=""/>
    <s v=""/>
    <s v=""/>
    <s v=""/>
    <s v=""/>
    <n v="220975.16"/>
    <m/>
    <m/>
    <m/>
    <m/>
    <n v="0"/>
  </r>
  <r>
    <x v="1"/>
    <m/>
    <s v="TDS on Rent"/>
    <m/>
    <s v=""/>
    <s v=""/>
    <s v=""/>
    <s v=""/>
    <s v=""/>
    <s v=""/>
    <m/>
    <n v="22098"/>
    <m/>
    <m/>
    <m/>
    <n v="0"/>
  </r>
  <r>
    <x v="1"/>
    <m/>
    <s v="Round Off"/>
    <m/>
    <s v=""/>
    <s v=""/>
    <s v=""/>
    <s v=""/>
    <s v=""/>
    <s v=""/>
    <m/>
    <n v="0.16"/>
    <m/>
    <m/>
    <m/>
    <n v="0"/>
  </r>
  <r>
    <x v="2"/>
    <m/>
    <s v="New Ref"/>
    <s v="256779410804"/>
    <s v=""/>
    <n v="198877"/>
    <s v="Cr"/>
    <m/>
    <m/>
    <m/>
    <m/>
    <m/>
    <m/>
    <m/>
    <m/>
    <n v="0"/>
  </r>
  <r>
    <x v="18"/>
    <s v="Dr"/>
    <s v="(as per details)"/>
    <m/>
    <s v=""/>
    <s v=""/>
    <s v=""/>
    <s v=""/>
    <s v="March, 2025"/>
    <m/>
    <n v="974.38"/>
    <s v="Journal 1"/>
    <s v="59"/>
    <m/>
    <n v="83452"/>
    <n v="9272"/>
  </r>
  <r>
    <x v="1"/>
    <m/>
    <s v="Provision for Expenses"/>
    <m/>
    <s v=""/>
    <s v=""/>
    <s v=""/>
    <s v=""/>
    <s v=""/>
    <s v=""/>
    <n v="92724.22"/>
    <m/>
    <m/>
    <m/>
    <m/>
    <n v="0"/>
  </r>
  <r>
    <x v="1"/>
    <m/>
    <s v="TDS on Rent"/>
    <m/>
    <s v=""/>
    <s v=""/>
    <s v=""/>
    <s v=""/>
    <s v=""/>
    <s v=""/>
    <m/>
    <n v="9272"/>
    <m/>
    <m/>
    <m/>
    <n v="0"/>
  </r>
  <r>
    <x v="1"/>
    <m/>
    <s v="Round Off"/>
    <m/>
    <s v=""/>
    <s v=""/>
    <s v=""/>
    <s v=""/>
    <s v=""/>
    <s v=""/>
    <m/>
    <n v="0.22"/>
    <m/>
    <m/>
    <m/>
    <n v="0"/>
  </r>
  <r>
    <x v="2"/>
    <m/>
    <s v="New Ref"/>
    <s v="256779412111"/>
    <s v=""/>
    <n v="83452"/>
    <s v="Cr"/>
    <m/>
    <m/>
    <m/>
    <m/>
    <m/>
    <m/>
    <m/>
    <m/>
    <n v="0"/>
  </r>
  <r>
    <x v="18"/>
    <s v="Dr"/>
    <s v="(as per details)"/>
    <m/>
    <s v=""/>
    <s v=""/>
    <s v=""/>
    <s v=""/>
    <s v="April, 2025"/>
    <m/>
    <n v="169.91"/>
    <s v="Journal 1"/>
    <s v="60"/>
    <m/>
    <n v="14552"/>
    <n v="1617"/>
  </r>
  <r>
    <x v="1"/>
    <m/>
    <s v="Space Expense / Storage - E"/>
    <m/>
    <s v=""/>
    <s v=""/>
    <s v=""/>
    <s v=""/>
    <s v=""/>
    <s v=""/>
    <n v="16169.18"/>
    <m/>
    <m/>
    <m/>
    <m/>
    <n v="0"/>
  </r>
  <r>
    <x v="1"/>
    <m/>
    <s v="TDS on Rent"/>
    <m/>
    <s v=""/>
    <s v=""/>
    <s v=""/>
    <s v=""/>
    <s v=""/>
    <s v=""/>
    <m/>
    <n v="1617"/>
    <m/>
    <m/>
    <m/>
    <n v="0"/>
  </r>
  <r>
    <x v="1"/>
    <m/>
    <s v="Round Off"/>
    <m/>
    <s v=""/>
    <s v=""/>
    <s v=""/>
    <s v=""/>
    <s v=""/>
    <s v=""/>
    <m/>
    <n v="0.18"/>
    <m/>
    <m/>
    <m/>
    <n v="0"/>
  </r>
  <r>
    <x v="2"/>
    <m/>
    <s v="New Ref"/>
    <s v="256779412160"/>
    <s v=""/>
    <n v="14552"/>
    <s v="Cr"/>
    <m/>
    <m/>
    <m/>
    <m/>
    <m/>
    <m/>
    <m/>
    <m/>
    <n v="0"/>
  </r>
  <r>
    <x v="18"/>
    <s v="Dr"/>
    <s v="(as per details)"/>
    <m/>
    <s v=""/>
    <s v=""/>
    <s v=""/>
    <s v=""/>
    <s v="April, 2025"/>
    <m/>
    <n v="1638.13"/>
    <s v="Journal 1"/>
    <s v="61"/>
    <m/>
    <n v="140371"/>
    <n v="15597"/>
  </r>
  <r>
    <x v="1"/>
    <m/>
    <s v="VOS Activity - E"/>
    <m/>
    <s v=""/>
    <s v=""/>
    <s v=""/>
    <s v=""/>
    <s v=""/>
    <s v=""/>
    <n v="155967.79999999999"/>
    <m/>
    <m/>
    <m/>
    <m/>
    <n v="0"/>
  </r>
  <r>
    <x v="1"/>
    <m/>
    <s v="TDS on Rent"/>
    <m/>
    <s v=""/>
    <s v=""/>
    <s v=""/>
    <s v=""/>
    <s v=""/>
    <s v=""/>
    <m/>
    <n v="15597"/>
    <m/>
    <m/>
    <m/>
    <n v="0"/>
  </r>
  <r>
    <x v="1"/>
    <m/>
    <s v="Round Off"/>
    <m/>
    <s v=""/>
    <s v=""/>
    <s v=""/>
    <s v=""/>
    <s v=""/>
    <s v=""/>
    <n v="0.2"/>
    <m/>
    <m/>
    <m/>
    <m/>
    <n v="0"/>
  </r>
  <r>
    <x v="2"/>
    <m/>
    <s v="New Ref"/>
    <s v="256779412779"/>
    <s v=""/>
    <n v="140371"/>
    <s v="Cr"/>
    <m/>
    <m/>
    <m/>
    <m/>
    <m/>
    <m/>
    <m/>
    <m/>
    <n v="0"/>
  </r>
  <r>
    <x v="19"/>
    <s v="Cr"/>
    <s v="Srikaram Prescience Pvt. Ltd- Noida"/>
    <m/>
    <s v=""/>
    <s v=""/>
    <s v=""/>
    <s v=""/>
    <s v=", 0"/>
    <m/>
    <m/>
    <s v="Journal"/>
    <s v="172"/>
    <n v="150000"/>
    <m/>
    <n v="0"/>
  </r>
  <r>
    <x v="2"/>
    <m/>
    <s v="Agst Ref"/>
    <s v="246779410885"/>
    <s v=""/>
    <n v="30728"/>
    <s v="Dr"/>
    <m/>
    <m/>
    <m/>
    <m/>
    <m/>
    <m/>
    <m/>
    <m/>
    <n v="0"/>
  </r>
  <r>
    <x v="2"/>
    <m/>
    <s v="Agst Ref"/>
    <s v="246779411458"/>
    <s v=""/>
    <n v="6589"/>
    <s v="Dr"/>
    <m/>
    <m/>
    <m/>
    <m/>
    <m/>
    <m/>
    <m/>
    <m/>
    <n v="0"/>
  </r>
  <r>
    <x v="2"/>
    <m/>
    <s v="Agst Ref"/>
    <s v="246779411624"/>
    <s v=""/>
    <n v="20898"/>
    <s v="Dr"/>
    <m/>
    <m/>
    <m/>
    <m/>
    <m/>
    <m/>
    <m/>
    <m/>
    <n v="0"/>
  </r>
  <r>
    <x v="2"/>
    <m/>
    <s v="Agst Ref"/>
    <s v="246779411625"/>
    <s v=""/>
    <n v="5939"/>
    <s v="Dr"/>
    <m/>
    <m/>
    <m/>
    <m/>
    <m/>
    <m/>
    <m/>
    <m/>
    <n v="0"/>
  </r>
  <r>
    <x v="2"/>
    <m/>
    <s v="Agst Ref"/>
    <s v="246779411626"/>
    <s v=""/>
    <n v="6091"/>
    <s v="Dr"/>
    <m/>
    <m/>
    <m/>
    <m/>
    <m/>
    <m/>
    <m/>
    <m/>
    <n v="0"/>
  </r>
  <r>
    <x v="2"/>
    <m/>
    <s v="Agst Ref"/>
    <s v="246779411627"/>
    <s v=""/>
    <n v="5258"/>
    <s v="Dr"/>
    <m/>
    <m/>
    <m/>
    <m/>
    <m/>
    <m/>
    <m/>
    <m/>
    <n v="0"/>
  </r>
  <r>
    <x v="2"/>
    <m/>
    <s v="Agst Ref"/>
    <s v="246779412068"/>
    <s v=""/>
    <n v="10392"/>
    <s v="Dr"/>
    <m/>
    <m/>
    <m/>
    <m/>
    <m/>
    <m/>
    <m/>
    <m/>
    <n v="0"/>
  </r>
  <r>
    <x v="2"/>
    <m/>
    <s v="Agst Ref"/>
    <s v="246779412247"/>
    <s v=""/>
    <n v="6589"/>
    <s v="Dr"/>
    <m/>
    <m/>
    <m/>
    <m/>
    <m/>
    <m/>
    <m/>
    <m/>
    <n v="0"/>
  </r>
  <r>
    <x v="2"/>
    <m/>
    <s v="Agst Ref"/>
    <s v="246779414060"/>
    <s v=""/>
    <n v="23090"/>
    <s v="Dr"/>
    <m/>
    <m/>
    <m/>
    <m/>
    <m/>
    <m/>
    <m/>
    <m/>
    <n v="0"/>
  </r>
  <r>
    <x v="2"/>
    <m/>
    <s v="Agst Ref"/>
    <s v="246779414061"/>
    <s v=""/>
    <n v="23453"/>
    <s v="Dr"/>
    <m/>
    <m/>
    <m/>
    <m/>
    <m/>
    <m/>
    <m/>
    <m/>
    <n v="0"/>
  </r>
  <r>
    <x v="2"/>
    <m/>
    <s v="Agst Ref"/>
    <s v="246779414062"/>
    <s v=""/>
    <n v="10973"/>
    <s v="Dr"/>
    <m/>
    <m/>
    <m/>
    <m/>
    <m/>
    <m/>
    <m/>
    <m/>
    <n v="0"/>
  </r>
  <r>
    <x v="20"/>
    <s v="Cr"/>
    <s v="Srikaram Prescience Pvt. Ltd- Noida"/>
    <m/>
    <s v=""/>
    <s v=""/>
    <s v=""/>
    <s v=""/>
    <s v=", 0"/>
    <m/>
    <m/>
    <s v="Journal"/>
    <s v="185"/>
    <n v="150000"/>
    <m/>
    <n v="0"/>
  </r>
  <r>
    <x v="2"/>
    <m/>
    <s v="Agst Ref"/>
    <s v="246779414062"/>
    <s v=""/>
    <n v="10298"/>
    <s v="Dr"/>
    <m/>
    <m/>
    <m/>
    <m/>
    <m/>
    <m/>
    <m/>
    <m/>
    <n v="0"/>
  </r>
  <r>
    <x v="2"/>
    <m/>
    <s v="Agst Ref"/>
    <s v="246779414063"/>
    <s v=""/>
    <n v="46907"/>
    <s v="Dr"/>
    <m/>
    <m/>
    <m/>
    <m/>
    <m/>
    <m/>
    <m/>
    <m/>
    <n v="0"/>
  </r>
  <r>
    <x v="2"/>
    <m/>
    <s v="Agst Ref"/>
    <s v="246779414064"/>
    <s v=""/>
    <n v="29873"/>
    <s v="Dr"/>
    <m/>
    <m/>
    <m/>
    <m/>
    <m/>
    <m/>
    <m/>
    <m/>
    <n v="0"/>
  </r>
  <r>
    <x v="2"/>
    <m/>
    <s v="Agst Ref"/>
    <s v="246779414065"/>
    <s v=""/>
    <n v="23453"/>
    <s v="Dr"/>
    <m/>
    <m/>
    <m/>
    <m/>
    <m/>
    <m/>
    <m/>
    <m/>
    <n v="0"/>
  </r>
  <r>
    <x v="2"/>
    <m/>
    <s v="Agst Ref"/>
    <s v="246779414066"/>
    <s v=""/>
    <n v="1788"/>
    <s v="Dr"/>
    <m/>
    <m/>
    <m/>
    <m/>
    <m/>
    <m/>
    <m/>
    <m/>
    <n v="0"/>
  </r>
  <r>
    <x v="2"/>
    <m/>
    <s v="Agst Ref"/>
    <s v="246779411302"/>
    <s v=""/>
    <n v="2987"/>
    <s v="Dr"/>
    <m/>
    <m/>
    <m/>
    <m/>
    <m/>
    <m/>
    <m/>
    <m/>
    <n v="0"/>
  </r>
  <r>
    <x v="2"/>
    <m/>
    <s v="Agst Ref"/>
    <s v="246779413220"/>
    <s v=""/>
    <n v="2207"/>
    <s v="Dr"/>
    <m/>
    <m/>
    <m/>
    <m/>
    <m/>
    <m/>
    <m/>
    <m/>
    <n v="0"/>
  </r>
  <r>
    <x v="2"/>
    <m/>
    <s v="Agst Ref"/>
    <s v="246779413884"/>
    <s v=""/>
    <n v="10870"/>
    <s v="Dr"/>
    <m/>
    <m/>
    <m/>
    <m/>
    <m/>
    <m/>
    <m/>
    <m/>
    <n v="0"/>
  </r>
  <r>
    <x v="2"/>
    <m/>
    <s v="Agst Ref"/>
    <s v="246779413893"/>
    <s v=""/>
    <n v="148"/>
    <s v="Dr"/>
    <m/>
    <m/>
    <m/>
    <m/>
    <m/>
    <m/>
    <m/>
    <m/>
    <n v="0"/>
  </r>
  <r>
    <x v="2"/>
    <m/>
    <s v="Agst Ref"/>
    <s v="246779413894"/>
    <s v=""/>
    <n v="170"/>
    <s v="Dr"/>
    <m/>
    <m/>
    <m/>
    <m/>
    <m/>
    <m/>
    <m/>
    <m/>
    <n v="0"/>
  </r>
  <r>
    <x v="2"/>
    <m/>
    <s v="Agst Ref"/>
    <s v="246779413901"/>
    <s v=""/>
    <n v="148"/>
    <s v="Dr"/>
    <m/>
    <m/>
    <m/>
    <m/>
    <m/>
    <m/>
    <m/>
    <m/>
    <n v="0"/>
  </r>
  <r>
    <x v="2"/>
    <m/>
    <s v="Agst Ref"/>
    <s v="246779413911"/>
    <s v=""/>
    <n v="169"/>
    <s v="Dr"/>
    <m/>
    <m/>
    <m/>
    <m/>
    <m/>
    <m/>
    <m/>
    <m/>
    <n v="0"/>
  </r>
  <r>
    <x v="2"/>
    <m/>
    <s v="Agst Ref"/>
    <s v="246779413913"/>
    <s v=""/>
    <n v="1251"/>
    <s v="Dr"/>
    <m/>
    <m/>
    <m/>
    <m/>
    <m/>
    <m/>
    <m/>
    <m/>
    <n v="0"/>
  </r>
  <r>
    <x v="2"/>
    <m/>
    <s v="Agst Ref"/>
    <s v="246779414150"/>
    <s v=""/>
    <n v="1036"/>
    <s v="Dr"/>
    <m/>
    <m/>
    <m/>
    <m/>
    <m/>
    <m/>
    <m/>
    <m/>
    <n v="0"/>
  </r>
  <r>
    <x v="2"/>
    <m/>
    <s v="Agst Ref"/>
    <s v="246779414151"/>
    <s v=""/>
    <n v="1269"/>
    <s v="Dr"/>
    <m/>
    <m/>
    <m/>
    <m/>
    <m/>
    <m/>
    <m/>
    <m/>
    <n v="0"/>
  </r>
  <r>
    <x v="2"/>
    <m/>
    <s v="Agst Ref"/>
    <s v="246779414229"/>
    <s v=""/>
    <n v="769"/>
    <s v="Dr"/>
    <m/>
    <m/>
    <m/>
    <m/>
    <m/>
    <m/>
    <m/>
    <m/>
    <n v="0"/>
  </r>
  <r>
    <x v="2"/>
    <m/>
    <s v="Agst Ref"/>
    <s v="246779414230"/>
    <s v=""/>
    <n v="84"/>
    <s v="Dr"/>
    <m/>
    <m/>
    <m/>
    <m/>
    <m/>
    <m/>
    <m/>
    <m/>
    <n v="0"/>
  </r>
  <r>
    <x v="2"/>
    <m/>
    <s v="Agst Ref"/>
    <s v="246779414319"/>
    <s v=""/>
    <n v="1119"/>
    <s v="Dr"/>
    <m/>
    <m/>
    <m/>
    <m/>
    <m/>
    <m/>
    <m/>
    <m/>
    <n v="0"/>
  </r>
  <r>
    <x v="2"/>
    <m/>
    <s v="Agst Ref"/>
    <s v="246779414320"/>
    <s v=""/>
    <n v="3253"/>
    <s v="Dr"/>
    <m/>
    <m/>
    <m/>
    <m/>
    <m/>
    <m/>
    <m/>
    <m/>
    <n v="0"/>
  </r>
  <r>
    <x v="2"/>
    <m/>
    <s v="Agst Ref"/>
    <s v="246779414321"/>
    <s v=""/>
    <n v="2535"/>
    <s v="Dr"/>
    <m/>
    <m/>
    <m/>
    <m/>
    <m/>
    <m/>
    <m/>
    <m/>
    <n v="0"/>
  </r>
  <r>
    <x v="2"/>
    <m/>
    <s v="Agst Ref"/>
    <s v="246779414402"/>
    <s v=""/>
    <n v="888"/>
    <s v="Dr"/>
    <m/>
    <m/>
    <m/>
    <m/>
    <m/>
    <m/>
    <m/>
    <m/>
    <n v="0"/>
  </r>
  <r>
    <x v="2"/>
    <m/>
    <s v="Agst Ref"/>
    <s v="246779414403"/>
    <s v=""/>
    <n v="1269"/>
    <s v="Dr"/>
    <m/>
    <m/>
    <m/>
    <m/>
    <m/>
    <m/>
    <m/>
    <m/>
    <n v="0"/>
  </r>
  <r>
    <x v="2"/>
    <m/>
    <s v="Agst Ref"/>
    <s v="246779414472"/>
    <s v=""/>
    <n v="1537"/>
    <s v="Dr"/>
    <m/>
    <m/>
    <m/>
    <m/>
    <m/>
    <m/>
    <m/>
    <m/>
    <n v="0"/>
  </r>
  <r>
    <x v="2"/>
    <m/>
    <s v="Agst Ref"/>
    <s v="246779414473"/>
    <s v=""/>
    <n v="540"/>
    <s v="Dr"/>
    <m/>
    <m/>
    <m/>
    <m/>
    <m/>
    <m/>
    <m/>
    <m/>
    <n v="0"/>
  </r>
  <r>
    <x v="2"/>
    <m/>
    <s v="Agst Ref"/>
    <s v="246779414474"/>
    <s v=""/>
    <n v="5074"/>
    <s v="Dr"/>
    <m/>
    <m/>
    <m/>
    <m/>
    <m/>
    <m/>
    <m/>
    <m/>
    <n v="0"/>
  </r>
  <r>
    <x v="2"/>
    <m/>
    <s v="Agst Ref"/>
    <s v="246779414610"/>
    <s v=""/>
    <n v="358"/>
    <s v="Dr"/>
    <m/>
    <m/>
    <m/>
    <m/>
    <m/>
    <m/>
    <m/>
    <m/>
    <n v="0"/>
  </r>
  <r>
    <x v="21"/>
    <s v="Cr"/>
    <s v="Srikaram Prescience Pvt. Ltd- Noida"/>
    <m/>
    <s v=""/>
    <s v=""/>
    <s v=""/>
    <s v=""/>
    <s v=", 0"/>
    <m/>
    <m/>
    <s v="Journal"/>
    <s v="194"/>
    <n v="150000"/>
    <m/>
    <n v="0"/>
  </r>
  <r>
    <x v="2"/>
    <m/>
    <s v="Agst Ref"/>
    <s v="246779414610"/>
    <s v=""/>
    <n v="234"/>
    <s v="Dr"/>
    <m/>
    <m/>
    <m/>
    <m/>
    <m/>
    <m/>
    <m/>
    <m/>
    <n v="0"/>
  </r>
  <r>
    <x v="2"/>
    <m/>
    <s v="Agst Ref"/>
    <s v="246779414688"/>
    <s v=""/>
    <n v="837"/>
    <s v="Dr"/>
    <m/>
    <m/>
    <m/>
    <m/>
    <m/>
    <m/>
    <m/>
    <m/>
    <n v="0"/>
  </r>
  <r>
    <x v="2"/>
    <m/>
    <s v="Agst Ref"/>
    <s v="246779414689"/>
    <s v=""/>
    <n v="4292"/>
    <s v="Dr"/>
    <m/>
    <m/>
    <m/>
    <m/>
    <m/>
    <m/>
    <m/>
    <m/>
    <n v="0"/>
  </r>
  <r>
    <x v="2"/>
    <m/>
    <s v="Agst Ref"/>
    <s v="246779414690"/>
    <s v=""/>
    <n v="5074"/>
    <s v="Dr"/>
    <m/>
    <m/>
    <m/>
    <m/>
    <m/>
    <m/>
    <m/>
    <m/>
    <n v="0"/>
  </r>
  <r>
    <x v="2"/>
    <m/>
    <s v="Agst Ref"/>
    <s v="246779414740"/>
    <s v=""/>
    <n v="9403"/>
    <s v="Dr"/>
    <m/>
    <m/>
    <m/>
    <m/>
    <m/>
    <m/>
    <m/>
    <m/>
    <n v="0"/>
  </r>
  <r>
    <x v="2"/>
    <m/>
    <s v="Agst Ref"/>
    <s v="246779414741"/>
    <s v=""/>
    <n v="167"/>
    <s v="Dr"/>
    <m/>
    <m/>
    <m/>
    <m/>
    <m/>
    <m/>
    <m/>
    <m/>
    <n v="0"/>
  </r>
  <r>
    <x v="2"/>
    <m/>
    <s v="Agst Ref"/>
    <s v="246779414895"/>
    <s v=""/>
    <n v="5074"/>
    <s v="Dr"/>
    <m/>
    <m/>
    <m/>
    <m/>
    <m/>
    <m/>
    <m/>
    <m/>
    <n v="0"/>
  </r>
  <r>
    <x v="2"/>
    <m/>
    <s v="Agst Ref"/>
    <s v="246779414896"/>
    <s v=""/>
    <n v="3637"/>
    <s v="Dr"/>
    <m/>
    <m/>
    <m/>
    <m/>
    <m/>
    <m/>
    <m/>
    <m/>
    <n v="0"/>
  </r>
  <r>
    <x v="2"/>
    <m/>
    <s v="Agst Ref"/>
    <s v="246779414897"/>
    <s v=""/>
    <n v="4000"/>
    <s v="Dr"/>
    <m/>
    <m/>
    <m/>
    <m/>
    <m/>
    <m/>
    <m/>
    <m/>
    <n v="0"/>
  </r>
  <r>
    <x v="2"/>
    <m/>
    <s v="Agst Ref"/>
    <s v="246779414898"/>
    <s v=""/>
    <n v="8001"/>
    <s v="Dr"/>
    <m/>
    <m/>
    <m/>
    <m/>
    <m/>
    <m/>
    <m/>
    <m/>
    <n v="0"/>
  </r>
  <r>
    <x v="2"/>
    <m/>
    <s v="Agst Ref"/>
    <s v="246779412999"/>
    <s v=""/>
    <n v="14486"/>
    <s v="Dr"/>
    <m/>
    <m/>
    <m/>
    <m/>
    <m/>
    <m/>
    <m/>
    <m/>
    <n v="0"/>
  </r>
  <r>
    <x v="2"/>
    <m/>
    <s v="Agst Ref"/>
    <s v="246779413798"/>
    <s v=""/>
    <n v="36118"/>
    <s v="Dr"/>
    <m/>
    <m/>
    <m/>
    <m/>
    <m/>
    <m/>
    <m/>
    <m/>
    <n v="0"/>
  </r>
  <r>
    <x v="2"/>
    <m/>
    <s v="Agst Ref"/>
    <s v="246779413809"/>
    <s v=""/>
    <n v="32623"/>
    <s v="Dr"/>
    <m/>
    <m/>
    <m/>
    <m/>
    <m/>
    <m/>
    <m/>
    <m/>
    <n v="0"/>
  </r>
  <r>
    <x v="2"/>
    <m/>
    <s v="Agst Ref"/>
    <s v="246779414899"/>
    <s v=""/>
    <n v="4384"/>
    <s v="Dr"/>
    <m/>
    <m/>
    <m/>
    <m/>
    <m/>
    <m/>
    <m/>
    <m/>
    <n v="0"/>
  </r>
  <r>
    <x v="2"/>
    <m/>
    <s v="Agst Ref"/>
    <s v="246779414900"/>
    <s v=""/>
    <n v="4364"/>
    <s v="Dr"/>
    <m/>
    <m/>
    <m/>
    <m/>
    <m/>
    <m/>
    <m/>
    <m/>
    <n v="0"/>
  </r>
  <r>
    <x v="2"/>
    <m/>
    <s v="Agst Ref"/>
    <s v="246779414901"/>
    <s v=""/>
    <n v="518"/>
    <s v="Dr"/>
    <m/>
    <m/>
    <m/>
    <m/>
    <m/>
    <m/>
    <m/>
    <m/>
    <n v="0"/>
  </r>
  <r>
    <x v="2"/>
    <m/>
    <s v="Agst Ref"/>
    <s v="246779414902"/>
    <s v=""/>
    <n v="298"/>
    <s v="Dr"/>
    <m/>
    <m/>
    <m/>
    <m/>
    <m/>
    <m/>
    <m/>
    <m/>
    <n v="0"/>
  </r>
  <r>
    <x v="2"/>
    <m/>
    <s v="Agst Ref"/>
    <s v="256779410788"/>
    <s v=""/>
    <n v="16490"/>
    <s v="Dr"/>
    <m/>
    <m/>
    <m/>
    <m/>
    <m/>
    <m/>
    <m/>
    <m/>
    <n v="0"/>
  </r>
  <r>
    <x v="22"/>
    <s v="Cr"/>
    <s v="Srikaram Prescience Pvt. Ltd- Noida"/>
    <m/>
    <s v=""/>
    <s v=""/>
    <s v=""/>
    <s v=""/>
    <s v=", 0"/>
    <m/>
    <m/>
    <s v="Journal"/>
    <s v="199"/>
    <n v="150000"/>
    <m/>
    <n v="0"/>
  </r>
  <r>
    <x v="2"/>
    <m/>
    <s v="Agst Ref"/>
    <s v="256779410788"/>
    <s v=""/>
    <n v="90487"/>
    <s v="Dr"/>
    <m/>
    <m/>
    <m/>
    <m/>
    <m/>
    <m/>
    <m/>
    <m/>
    <n v="0"/>
  </r>
  <r>
    <x v="2"/>
    <m/>
    <s v="Agst Ref"/>
    <s v="256779410804"/>
    <s v=""/>
    <n v="59513"/>
    <s v="Dr"/>
    <m/>
    <m/>
    <m/>
    <m/>
    <m/>
    <m/>
    <m/>
    <m/>
    <n v="0"/>
  </r>
  <r>
    <x v="23"/>
    <s v="Dr"/>
    <s v="(as per details)"/>
    <m/>
    <s v=""/>
    <s v=""/>
    <s v=""/>
    <s v=""/>
    <s v="April, 2025"/>
    <m/>
    <n v="5.15"/>
    <s v="Journal 1"/>
    <s v="67"/>
    <m/>
    <n v="441"/>
    <n v="9"/>
  </r>
  <r>
    <x v="1"/>
    <m/>
    <s v="Inbound Handling - E"/>
    <m/>
    <s v=""/>
    <s v=""/>
    <s v=""/>
    <s v=""/>
    <s v=""/>
    <s v=""/>
    <n v="449.65"/>
    <m/>
    <m/>
    <m/>
    <m/>
    <n v="0"/>
  </r>
  <r>
    <x v="1"/>
    <m/>
    <s v="TDS on Contract"/>
    <m/>
    <s v=""/>
    <s v=""/>
    <s v=""/>
    <s v=""/>
    <s v=""/>
    <s v=""/>
    <m/>
    <n v="9"/>
    <m/>
    <m/>
    <m/>
    <n v="0"/>
  </r>
  <r>
    <x v="1"/>
    <m/>
    <s v="Round Off"/>
    <m/>
    <s v=""/>
    <s v=""/>
    <s v=""/>
    <s v=""/>
    <s v=""/>
    <s v=""/>
    <n v="0.35"/>
    <m/>
    <m/>
    <m/>
    <m/>
    <n v="0"/>
  </r>
  <r>
    <x v="2"/>
    <m/>
    <s v="New Ref"/>
    <s v="256779410088"/>
    <s v=""/>
    <n v="441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29.4"/>
    <s v="Journal 1"/>
    <s v="68"/>
    <m/>
    <n v="2518"/>
    <n v="51"/>
  </r>
  <r>
    <x v="1"/>
    <m/>
    <s v="Inbound Handling - E"/>
    <m/>
    <s v=""/>
    <s v=""/>
    <s v=""/>
    <s v=""/>
    <s v=""/>
    <s v=""/>
    <n v="2569.4"/>
    <m/>
    <m/>
    <m/>
    <m/>
    <n v="0"/>
  </r>
  <r>
    <x v="1"/>
    <m/>
    <s v="TDS on Contract"/>
    <m/>
    <s v=""/>
    <s v=""/>
    <s v=""/>
    <s v=""/>
    <s v=""/>
    <s v=""/>
    <m/>
    <n v="51"/>
    <m/>
    <m/>
    <m/>
    <n v="0"/>
  </r>
  <r>
    <x v="1"/>
    <m/>
    <s v="Round Off"/>
    <m/>
    <s v=""/>
    <s v=""/>
    <s v=""/>
    <s v=""/>
    <s v=""/>
    <s v=""/>
    <m/>
    <n v="0.4"/>
    <m/>
    <m/>
    <m/>
    <n v="0"/>
  </r>
  <r>
    <x v="2"/>
    <m/>
    <s v="New Ref"/>
    <s v="256779410089"/>
    <s v=""/>
    <n v="2518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3.43"/>
    <s v="Journal 1"/>
    <s v="69"/>
    <m/>
    <n v="294"/>
    <n v="6"/>
  </r>
  <r>
    <x v="1"/>
    <m/>
    <s v="Inbound Handling - E"/>
    <m/>
    <s v=""/>
    <s v=""/>
    <s v=""/>
    <s v=""/>
    <s v=""/>
    <s v=""/>
    <n v="299.76"/>
    <m/>
    <m/>
    <m/>
    <m/>
    <n v="0"/>
  </r>
  <r>
    <x v="1"/>
    <m/>
    <s v="TDS on Contract"/>
    <m/>
    <s v=""/>
    <s v=""/>
    <s v=""/>
    <s v=""/>
    <s v=""/>
    <s v=""/>
    <m/>
    <n v="6"/>
    <m/>
    <m/>
    <m/>
    <n v="0"/>
  </r>
  <r>
    <x v="1"/>
    <m/>
    <s v="Round Off"/>
    <m/>
    <s v=""/>
    <s v=""/>
    <s v=""/>
    <s v=""/>
    <s v=""/>
    <s v=""/>
    <n v="0.24"/>
    <m/>
    <m/>
    <m/>
    <m/>
    <n v="0"/>
  </r>
  <r>
    <x v="2"/>
    <m/>
    <s v="New Ref"/>
    <s v="256779410139"/>
    <s v=""/>
    <n v="294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0.98"/>
    <s v="Journal 1"/>
    <s v="70"/>
    <m/>
    <n v="84"/>
    <n v="2"/>
  </r>
  <r>
    <x v="1"/>
    <m/>
    <s v="Inbound Handling - E"/>
    <m/>
    <s v=""/>
    <s v=""/>
    <s v=""/>
    <s v=""/>
    <s v=""/>
    <s v=""/>
    <n v="85.65"/>
    <m/>
    <m/>
    <m/>
    <m/>
    <n v="0"/>
  </r>
  <r>
    <x v="1"/>
    <m/>
    <s v="TDS on Contract"/>
    <m/>
    <s v=""/>
    <s v=""/>
    <s v=""/>
    <s v=""/>
    <s v=""/>
    <s v=""/>
    <m/>
    <n v="2"/>
    <m/>
    <m/>
    <m/>
    <n v="0"/>
  </r>
  <r>
    <x v="1"/>
    <m/>
    <s v="Round Off"/>
    <m/>
    <s v=""/>
    <s v=""/>
    <s v=""/>
    <s v=""/>
    <s v=""/>
    <s v=""/>
    <n v="0.35"/>
    <m/>
    <m/>
    <m/>
    <m/>
    <n v="0"/>
  </r>
  <r>
    <x v="2"/>
    <m/>
    <s v="New Ref"/>
    <s v="256779410140"/>
    <s v=""/>
    <n v="84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67.44"/>
    <s v="Journal 1"/>
    <s v="71"/>
    <m/>
    <n v="5779"/>
    <n v="118"/>
  </r>
  <r>
    <x v="1"/>
    <m/>
    <s v="Inbound Handling - E"/>
    <m/>
    <s v=""/>
    <s v=""/>
    <s v=""/>
    <s v=""/>
    <s v=""/>
    <s v=""/>
    <n v="5897.22"/>
    <m/>
    <m/>
    <m/>
    <m/>
    <n v="0"/>
  </r>
  <r>
    <x v="1"/>
    <m/>
    <s v="TDS on Contract"/>
    <m/>
    <s v=""/>
    <s v=""/>
    <s v=""/>
    <s v=""/>
    <s v=""/>
    <s v=""/>
    <m/>
    <n v="118"/>
    <m/>
    <m/>
    <m/>
    <n v="0"/>
  </r>
  <r>
    <x v="1"/>
    <m/>
    <s v="Round Off"/>
    <m/>
    <s v=""/>
    <s v=""/>
    <s v=""/>
    <s v=""/>
    <s v=""/>
    <s v=""/>
    <m/>
    <n v="0.22"/>
    <m/>
    <m/>
    <m/>
    <n v="0"/>
  </r>
  <r>
    <x v="2"/>
    <m/>
    <s v="New Ref"/>
    <s v="256779411167"/>
    <s v=""/>
    <n v="5779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59.29"/>
    <s v="Journal 1"/>
    <s v="72"/>
    <m/>
    <n v="5081"/>
    <n v="104"/>
  </r>
  <r>
    <x v="1"/>
    <m/>
    <s v="Inbound Handling - E"/>
    <m/>
    <s v=""/>
    <s v=""/>
    <s v=""/>
    <s v=""/>
    <s v=""/>
    <s v=""/>
    <n v="5185.13"/>
    <m/>
    <m/>
    <m/>
    <m/>
    <n v="0"/>
  </r>
  <r>
    <x v="1"/>
    <m/>
    <s v="TDS on Contract"/>
    <m/>
    <s v=""/>
    <s v=""/>
    <s v=""/>
    <s v=""/>
    <s v=""/>
    <s v=""/>
    <m/>
    <n v="104"/>
    <m/>
    <m/>
    <m/>
    <n v="0"/>
  </r>
  <r>
    <x v="1"/>
    <m/>
    <s v="Round Off"/>
    <m/>
    <s v=""/>
    <s v=""/>
    <s v=""/>
    <s v=""/>
    <s v=""/>
    <s v=""/>
    <m/>
    <n v="0.13"/>
    <m/>
    <m/>
    <m/>
    <n v="0"/>
  </r>
  <r>
    <x v="2"/>
    <m/>
    <s v="New Ref"/>
    <s v="256779411168"/>
    <s v=""/>
    <n v="5081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49"/>
    <s v="Journal 1"/>
    <s v="73"/>
    <m/>
    <n v="4199"/>
    <n v="86"/>
  </r>
  <r>
    <x v="1"/>
    <m/>
    <s v="Inbound Handling - E"/>
    <m/>
    <s v=""/>
    <s v=""/>
    <s v=""/>
    <s v=""/>
    <s v=""/>
    <s v=""/>
    <n v="4284.53"/>
    <m/>
    <m/>
    <m/>
    <m/>
    <n v="0"/>
  </r>
  <r>
    <x v="1"/>
    <m/>
    <s v="TDS on Contract"/>
    <m/>
    <s v=""/>
    <s v=""/>
    <s v=""/>
    <s v=""/>
    <s v=""/>
    <s v=""/>
    <m/>
    <n v="86"/>
    <m/>
    <m/>
    <m/>
    <n v="0"/>
  </r>
  <r>
    <x v="1"/>
    <m/>
    <s v="Round Off"/>
    <m/>
    <s v=""/>
    <s v=""/>
    <s v=""/>
    <s v=""/>
    <s v=""/>
    <s v=""/>
    <n v="0.47"/>
    <m/>
    <m/>
    <m/>
    <m/>
    <n v="0"/>
  </r>
  <r>
    <x v="2"/>
    <m/>
    <s v="New Ref"/>
    <s v="256779411169"/>
    <s v=""/>
    <n v="4199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117.6"/>
    <s v="Journal 1"/>
    <s v="74"/>
    <m/>
    <n v="10077"/>
    <n v="206"/>
  </r>
  <r>
    <x v="1"/>
    <m/>
    <s v="Inbound Handling - E"/>
    <m/>
    <s v=""/>
    <s v=""/>
    <s v=""/>
    <s v=""/>
    <s v=""/>
    <s v=""/>
    <n v="10282.86"/>
    <m/>
    <m/>
    <m/>
    <m/>
    <n v="0"/>
  </r>
  <r>
    <x v="1"/>
    <m/>
    <s v="TDS on Contract"/>
    <m/>
    <s v=""/>
    <s v=""/>
    <s v=""/>
    <s v=""/>
    <s v=""/>
    <s v=""/>
    <m/>
    <n v="206"/>
    <m/>
    <m/>
    <m/>
    <n v="0"/>
  </r>
  <r>
    <x v="1"/>
    <m/>
    <s v="Round Off"/>
    <m/>
    <s v=""/>
    <s v=""/>
    <s v=""/>
    <s v=""/>
    <s v=""/>
    <s v=""/>
    <n v="0.14000000000000001"/>
    <m/>
    <m/>
    <m/>
    <m/>
    <n v="0"/>
  </r>
  <r>
    <x v="2"/>
    <m/>
    <s v="New Ref"/>
    <s v="256779411170"/>
    <s v=""/>
    <n v="10077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607.6"/>
    <s v="Journal 1"/>
    <s v="75"/>
    <m/>
    <n v="52814"/>
    <n v="1078"/>
  </r>
  <r>
    <x v="1"/>
    <m/>
    <s v="Transportation Charges- IB-E (RCM)"/>
    <m/>
    <s v=""/>
    <s v=""/>
    <s v=""/>
    <s v=""/>
    <s v=""/>
    <s v=""/>
    <n v="53891.53"/>
    <m/>
    <m/>
    <m/>
    <m/>
    <n v="0"/>
  </r>
  <r>
    <x v="1"/>
    <m/>
    <s v="RCM IGST Input @ 5%"/>
    <m/>
    <s v=""/>
    <s v=""/>
    <s v=""/>
    <s v=""/>
    <s v=""/>
    <s v=""/>
    <n v="2694.55"/>
    <m/>
    <m/>
    <m/>
    <m/>
    <n v="0"/>
  </r>
  <r>
    <x v="1"/>
    <m/>
    <s v="RCM IGST Liability @ 5%"/>
    <m/>
    <s v=""/>
    <s v=""/>
    <s v=""/>
    <s v=""/>
    <s v=""/>
    <s v=""/>
    <m/>
    <n v="2694.55"/>
    <m/>
    <m/>
    <m/>
    <n v="0"/>
  </r>
  <r>
    <x v="1"/>
    <m/>
    <s v="TDS on Contract"/>
    <m/>
    <s v=""/>
    <s v=""/>
    <s v=""/>
    <s v=""/>
    <s v=""/>
    <s v=""/>
    <m/>
    <n v="1078"/>
    <m/>
    <m/>
    <m/>
    <n v="0"/>
  </r>
  <r>
    <x v="1"/>
    <m/>
    <s v="Round Off"/>
    <m/>
    <s v=""/>
    <s v=""/>
    <s v=""/>
    <s v=""/>
    <s v=""/>
    <s v=""/>
    <n v="0.47"/>
    <m/>
    <m/>
    <m/>
    <m/>
    <n v="0"/>
  </r>
  <r>
    <x v="2"/>
    <m/>
    <s v="New Ref"/>
    <s v="256779411724"/>
    <s v=""/>
    <n v="52814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1.72"/>
    <s v="Journal 1"/>
    <s v="76"/>
    <m/>
    <n v="147"/>
    <n v="3"/>
  </r>
  <r>
    <x v="1"/>
    <m/>
    <s v="Inbound Handling - E"/>
    <m/>
    <s v=""/>
    <s v=""/>
    <s v=""/>
    <s v=""/>
    <s v=""/>
    <s v=""/>
    <n v="149.88"/>
    <m/>
    <m/>
    <m/>
    <m/>
    <n v="0"/>
  </r>
  <r>
    <x v="1"/>
    <m/>
    <s v="TDS on Contract"/>
    <m/>
    <s v=""/>
    <s v=""/>
    <s v=""/>
    <s v=""/>
    <s v=""/>
    <s v=""/>
    <m/>
    <n v="3"/>
    <m/>
    <m/>
    <m/>
    <n v="0"/>
  </r>
  <r>
    <x v="1"/>
    <m/>
    <s v="Round Off"/>
    <m/>
    <s v=""/>
    <s v=""/>
    <s v=""/>
    <s v=""/>
    <s v=""/>
    <s v=""/>
    <n v="0.12"/>
    <m/>
    <m/>
    <m/>
    <m/>
    <n v="0"/>
  </r>
  <r>
    <x v="2"/>
    <m/>
    <s v="New Ref"/>
    <s v="256779411813"/>
    <s v=""/>
    <n v="147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0.98"/>
    <s v="Journal 1"/>
    <s v="77"/>
    <m/>
    <n v="84"/>
    <n v="2"/>
  </r>
  <r>
    <x v="1"/>
    <m/>
    <s v="Inbound Handling - E"/>
    <m/>
    <s v=""/>
    <s v=""/>
    <s v=""/>
    <s v=""/>
    <s v=""/>
    <s v=""/>
    <n v="85.65"/>
    <m/>
    <m/>
    <m/>
    <m/>
    <n v="0"/>
  </r>
  <r>
    <x v="1"/>
    <m/>
    <s v="TDS on Contract"/>
    <m/>
    <s v=""/>
    <s v=""/>
    <s v=""/>
    <s v=""/>
    <s v=""/>
    <s v=""/>
    <m/>
    <n v="2"/>
    <m/>
    <m/>
    <m/>
    <n v="0"/>
  </r>
  <r>
    <x v="1"/>
    <m/>
    <s v="Round Off"/>
    <m/>
    <s v=""/>
    <s v=""/>
    <s v=""/>
    <s v=""/>
    <s v=""/>
    <s v=""/>
    <n v="0.35"/>
    <m/>
    <m/>
    <m/>
    <m/>
    <n v="0"/>
  </r>
  <r>
    <x v="2"/>
    <m/>
    <s v="New Ref"/>
    <s v="256779411814"/>
    <s v=""/>
    <n v="84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14.7"/>
    <s v="Journal 1"/>
    <s v="78"/>
    <m/>
    <n v="1259"/>
    <n v="26"/>
  </r>
  <r>
    <x v="1"/>
    <m/>
    <s v="Inbound Handling - E"/>
    <m/>
    <s v=""/>
    <s v=""/>
    <s v=""/>
    <s v=""/>
    <s v=""/>
    <s v=""/>
    <n v="1284.7"/>
    <m/>
    <m/>
    <m/>
    <m/>
    <n v="0"/>
  </r>
  <r>
    <x v="1"/>
    <m/>
    <s v="TDS on Contract"/>
    <m/>
    <s v=""/>
    <s v=""/>
    <s v=""/>
    <s v=""/>
    <s v=""/>
    <s v=""/>
    <m/>
    <n v="26"/>
    <m/>
    <m/>
    <m/>
    <n v="0"/>
  </r>
  <r>
    <x v="1"/>
    <m/>
    <s v="Round Off"/>
    <m/>
    <s v=""/>
    <s v=""/>
    <s v=""/>
    <s v=""/>
    <s v=""/>
    <s v=""/>
    <n v="0.3"/>
    <m/>
    <m/>
    <m/>
    <m/>
    <n v="0"/>
  </r>
  <r>
    <x v="2"/>
    <m/>
    <s v="New Ref"/>
    <s v="256779411815"/>
    <s v=""/>
    <n v="1259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6.94"/>
    <s v="Journal 1"/>
    <s v="79"/>
    <m/>
    <n v="594"/>
    <n v="12"/>
  </r>
  <r>
    <x v="1"/>
    <m/>
    <s v="Outbound Handling Charges - E"/>
    <m/>
    <s v=""/>
    <s v=""/>
    <s v=""/>
    <s v=""/>
    <s v=""/>
    <s v=""/>
    <n v="605.52"/>
    <m/>
    <m/>
    <m/>
    <m/>
    <n v="0"/>
  </r>
  <r>
    <x v="1"/>
    <m/>
    <s v="TDS on Contract"/>
    <m/>
    <s v=""/>
    <s v=""/>
    <s v=""/>
    <s v=""/>
    <s v=""/>
    <s v=""/>
    <m/>
    <n v="12"/>
    <m/>
    <m/>
    <m/>
    <n v="0"/>
  </r>
  <r>
    <x v="1"/>
    <m/>
    <s v="Round Off"/>
    <m/>
    <s v=""/>
    <s v=""/>
    <s v=""/>
    <s v=""/>
    <s v=""/>
    <s v=""/>
    <n v="0.48"/>
    <m/>
    <m/>
    <m/>
    <m/>
    <n v="0"/>
  </r>
  <r>
    <x v="2"/>
    <m/>
    <s v="New Ref"/>
    <s v="256779411894"/>
    <s v=""/>
    <n v="594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0.98"/>
    <s v="Journal 1"/>
    <s v="80"/>
    <m/>
    <n v="84"/>
    <n v="2"/>
  </r>
  <r>
    <x v="1"/>
    <m/>
    <s v="Inbound Handling - E"/>
    <m/>
    <s v=""/>
    <s v=""/>
    <s v=""/>
    <s v=""/>
    <s v=""/>
    <s v=""/>
    <n v="85.65"/>
    <m/>
    <m/>
    <m/>
    <m/>
    <n v="0"/>
  </r>
  <r>
    <x v="1"/>
    <m/>
    <s v="TDS on Contract"/>
    <m/>
    <s v=""/>
    <s v=""/>
    <s v=""/>
    <s v=""/>
    <s v=""/>
    <s v=""/>
    <m/>
    <n v="2"/>
    <m/>
    <m/>
    <m/>
    <n v="0"/>
  </r>
  <r>
    <x v="1"/>
    <m/>
    <s v="Round Off"/>
    <m/>
    <s v=""/>
    <s v=""/>
    <s v=""/>
    <s v=""/>
    <s v=""/>
    <s v=""/>
    <n v="0.35"/>
    <m/>
    <m/>
    <m/>
    <m/>
    <n v="0"/>
  </r>
  <r>
    <x v="2"/>
    <m/>
    <s v="New Ref"/>
    <s v="256779411895"/>
    <s v=""/>
    <n v="84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479.77"/>
    <s v="Journal 1"/>
    <s v="81"/>
    <m/>
    <n v="41567"/>
    <n v="848"/>
  </r>
  <r>
    <x v="1"/>
    <m/>
    <s v="VOS Activity - E"/>
    <m/>
    <s v=""/>
    <s v=""/>
    <s v=""/>
    <s v=""/>
    <s v=""/>
    <s v=""/>
    <n v="42414.61"/>
    <m/>
    <m/>
    <m/>
    <m/>
    <n v="0"/>
  </r>
  <r>
    <x v="1"/>
    <m/>
    <s v="TDS on Contract"/>
    <m/>
    <s v=""/>
    <s v=""/>
    <s v=""/>
    <s v=""/>
    <s v=""/>
    <s v=""/>
    <m/>
    <n v="848"/>
    <m/>
    <m/>
    <m/>
    <n v="0"/>
  </r>
  <r>
    <x v="1"/>
    <m/>
    <s v="Round Off"/>
    <m/>
    <s v=""/>
    <s v=""/>
    <s v=""/>
    <s v=""/>
    <s v=""/>
    <s v=""/>
    <n v="0.39"/>
    <m/>
    <m/>
    <m/>
    <m/>
    <n v="0"/>
  </r>
  <r>
    <x v="2"/>
    <m/>
    <s v="New Ref"/>
    <s v="256779412024"/>
    <s v=""/>
    <n v="41567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12.6"/>
    <s v="Journal 1"/>
    <s v="82"/>
    <m/>
    <n v="1078"/>
    <n v="22"/>
  </r>
  <r>
    <x v="1"/>
    <m/>
    <s v="VOS Activity - E"/>
    <m/>
    <s v=""/>
    <s v=""/>
    <s v=""/>
    <s v=""/>
    <s v=""/>
    <s v=""/>
    <n v="1099.7"/>
    <m/>
    <m/>
    <m/>
    <m/>
    <n v="0"/>
  </r>
  <r>
    <x v="1"/>
    <m/>
    <s v="TDS on Contract"/>
    <m/>
    <s v=""/>
    <s v=""/>
    <s v=""/>
    <s v=""/>
    <s v=""/>
    <s v=""/>
    <m/>
    <n v="22"/>
    <m/>
    <m/>
    <m/>
    <n v="0"/>
  </r>
  <r>
    <x v="1"/>
    <m/>
    <s v="Round Off"/>
    <m/>
    <s v=""/>
    <s v=""/>
    <s v=""/>
    <s v=""/>
    <s v=""/>
    <s v=""/>
    <n v="0.3"/>
    <m/>
    <m/>
    <m/>
    <m/>
    <n v="0"/>
  </r>
  <r>
    <x v="2"/>
    <m/>
    <s v="New Ref"/>
    <s v="256779412105"/>
    <s v=""/>
    <n v="1078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17.39"/>
    <s v="Journal 1"/>
    <s v="83"/>
    <m/>
    <n v="1512"/>
    <n v="31"/>
  </r>
  <r>
    <x v="1"/>
    <m/>
    <s v="Inbound Handling - E"/>
    <m/>
    <s v=""/>
    <s v=""/>
    <s v=""/>
    <s v=""/>
    <s v=""/>
    <s v=""/>
    <n v="1542.86"/>
    <m/>
    <m/>
    <m/>
    <m/>
    <n v="0"/>
  </r>
  <r>
    <x v="1"/>
    <m/>
    <s v="TDS on Contract"/>
    <m/>
    <s v=""/>
    <s v=""/>
    <s v=""/>
    <s v=""/>
    <s v=""/>
    <s v=""/>
    <m/>
    <n v="31"/>
    <m/>
    <m/>
    <m/>
    <n v="0"/>
  </r>
  <r>
    <x v="1"/>
    <m/>
    <s v="Round Off"/>
    <m/>
    <s v=""/>
    <s v=""/>
    <s v=""/>
    <s v=""/>
    <s v=""/>
    <s v=""/>
    <n v="0.14000000000000001"/>
    <m/>
    <m/>
    <m/>
    <m/>
    <n v="0"/>
  </r>
  <r>
    <x v="2"/>
    <m/>
    <s v="New Ref"/>
    <s v="256779412567"/>
    <s v=""/>
    <n v="1512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42.15"/>
    <s v="Journal 1"/>
    <s v="84"/>
    <m/>
    <n v="3664"/>
    <n v="75"/>
  </r>
  <r>
    <x v="1"/>
    <m/>
    <s v="Inbound Handling - E"/>
    <m/>
    <s v=""/>
    <s v=""/>
    <s v=""/>
    <s v=""/>
    <s v=""/>
    <s v=""/>
    <n v="3739.38"/>
    <m/>
    <m/>
    <m/>
    <m/>
    <n v="0"/>
  </r>
  <r>
    <x v="1"/>
    <m/>
    <s v="TDS on Contract"/>
    <m/>
    <s v=""/>
    <s v=""/>
    <s v=""/>
    <s v=""/>
    <s v=""/>
    <s v=""/>
    <m/>
    <n v="75"/>
    <m/>
    <m/>
    <m/>
    <n v="0"/>
  </r>
  <r>
    <x v="1"/>
    <m/>
    <s v="Round Off"/>
    <m/>
    <s v=""/>
    <s v=""/>
    <s v=""/>
    <s v=""/>
    <s v=""/>
    <s v=""/>
    <m/>
    <n v="0.38"/>
    <m/>
    <m/>
    <m/>
    <n v="0"/>
  </r>
  <r>
    <x v="2"/>
    <m/>
    <s v="New Ref"/>
    <s v="256779412618"/>
    <s v=""/>
    <n v="3664"/>
    <s v="Cr"/>
    <m/>
    <m/>
    <m/>
    <m/>
    <m/>
    <m/>
    <m/>
    <m/>
    <n v="0"/>
  </r>
  <r>
    <x v="23"/>
    <s v="Cr"/>
    <s v="Srikaram Prescience Pvt. Ltd- Noida"/>
    <m/>
    <s v=""/>
    <s v=""/>
    <s v=""/>
    <s v=""/>
    <s v=", 0"/>
    <m/>
    <m/>
    <s v="Journal"/>
    <s v="218"/>
    <n v="450000"/>
    <m/>
    <n v="0"/>
  </r>
  <r>
    <x v="2"/>
    <m/>
    <s v="Agst Ref"/>
    <s v="256779410804"/>
    <s v=""/>
    <n v="139364"/>
    <s v="Dr"/>
    <m/>
    <m/>
    <m/>
    <m/>
    <m/>
    <m/>
    <m/>
    <m/>
    <n v="0"/>
  </r>
  <r>
    <x v="2"/>
    <m/>
    <s v="Agst Ref"/>
    <s v="256779410088"/>
    <s v=""/>
    <n v="441"/>
    <s v="Dr"/>
    <m/>
    <m/>
    <m/>
    <m/>
    <m/>
    <m/>
    <m/>
    <m/>
    <n v="0"/>
  </r>
  <r>
    <x v="2"/>
    <m/>
    <s v="Agst Ref"/>
    <s v="256779410089"/>
    <s v=""/>
    <n v="2518"/>
    <s v="Dr"/>
    <m/>
    <m/>
    <m/>
    <m/>
    <m/>
    <m/>
    <m/>
    <m/>
    <n v="0"/>
  </r>
  <r>
    <x v="2"/>
    <m/>
    <s v="Agst Ref"/>
    <s v="256779410139"/>
    <s v=""/>
    <n v="294"/>
    <s v="Dr"/>
    <m/>
    <m/>
    <m/>
    <m/>
    <m/>
    <m/>
    <m/>
    <m/>
    <n v="0"/>
  </r>
  <r>
    <x v="2"/>
    <m/>
    <s v="Agst Ref"/>
    <s v="256779410140"/>
    <s v=""/>
    <n v="84"/>
    <s v="Dr"/>
    <m/>
    <m/>
    <m/>
    <m/>
    <m/>
    <m/>
    <m/>
    <m/>
    <n v="0"/>
  </r>
  <r>
    <x v="2"/>
    <m/>
    <s v="Agst Ref"/>
    <s v="256779411167"/>
    <s v=""/>
    <n v="5779"/>
    <s v="Dr"/>
    <m/>
    <m/>
    <m/>
    <m/>
    <m/>
    <m/>
    <m/>
    <m/>
    <n v="0"/>
  </r>
  <r>
    <x v="2"/>
    <m/>
    <s v="Agst Ref"/>
    <s v="256779411168"/>
    <s v=""/>
    <n v="5081"/>
    <s v="Dr"/>
    <m/>
    <m/>
    <m/>
    <m/>
    <m/>
    <m/>
    <m/>
    <m/>
    <n v="0"/>
  </r>
  <r>
    <x v="2"/>
    <m/>
    <s v="Agst Ref"/>
    <s v="256779411169"/>
    <s v=""/>
    <n v="4199"/>
    <s v="Dr"/>
    <m/>
    <m/>
    <m/>
    <m/>
    <m/>
    <m/>
    <m/>
    <m/>
    <n v="0"/>
  </r>
  <r>
    <x v="2"/>
    <m/>
    <s v="Agst Ref"/>
    <s v="256779411170"/>
    <s v=""/>
    <n v="10077"/>
    <s v="Dr"/>
    <m/>
    <m/>
    <m/>
    <m/>
    <m/>
    <m/>
    <m/>
    <m/>
    <n v="0"/>
  </r>
  <r>
    <x v="2"/>
    <m/>
    <s v="Agst Ref"/>
    <s v="256779411724"/>
    <s v=""/>
    <n v="52814"/>
    <s v="Dr"/>
    <m/>
    <m/>
    <m/>
    <m/>
    <m/>
    <m/>
    <m/>
    <m/>
    <n v="0"/>
  </r>
  <r>
    <x v="2"/>
    <m/>
    <s v="Agst Ref"/>
    <s v="256779411813"/>
    <s v=""/>
    <n v="147"/>
    <s v="Dr"/>
    <m/>
    <m/>
    <m/>
    <m/>
    <m/>
    <m/>
    <m/>
    <m/>
    <n v="0"/>
  </r>
  <r>
    <x v="2"/>
    <m/>
    <s v="Agst Ref"/>
    <s v="256779411814"/>
    <s v=""/>
    <n v="84"/>
    <s v="Dr"/>
    <m/>
    <m/>
    <m/>
    <m/>
    <m/>
    <m/>
    <m/>
    <m/>
    <n v="0"/>
  </r>
  <r>
    <x v="2"/>
    <m/>
    <s v="Agst Ref"/>
    <s v="256779411815"/>
    <s v=""/>
    <n v="1259"/>
    <s v="Dr"/>
    <m/>
    <m/>
    <m/>
    <m/>
    <m/>
    <m/>
    <m/>
    <m/>
    <n v="0"/>
  </r>
  <r>
    <x v="2"/>
    <m/>
    <s v="Agst Ref"/>
    <s v="256779411894"/>
    <s v=""/>
    <n v="594"/>
    <s v="Dr"/>
    <m/>
    <m/>
    <m/>
    <m/>
    <m/>
    <m/>
    <m/>
    <m/>
    <n v="0"/>
  </r>
  <r>
    <x v="2"/>
    <m/>
    <s v="Agst Ref"/>
    <s v="256779411895"/>
    <s v=""/>
    <n v="84"/>
    <s v="Dr"/>
    <m/>
    <m/>
    <m/>
    <m/>
    <m/>
    <m/>
    <m/>
    <m/>
    <n v="0"/>
  </r>
  <r>
    <x v="2"/>
    <m/>
    <s v="Agst Ref"/>
    <s v="256779412024"/>
    <s v=""/>
    <n v="41567"/>
    <s v="Dr"/>
    <m/>
    <m/>
    <m/>
    <m/>
    <m/>
    <m/>
    <m/>
    <m/>
    <n v="0"/>
  </r>
  <r>
    <x v="2"/>
    <m/>
    <s v="Agst Ref"/>
    <s v="256779412105"/>
    <s v=""/>
    <n v="1078"/>
    <s v="Dr"/>
    <m/>
    <m/>
    <m/>
    <m/>
    <m/>
    <m/>
    <m/>
    <m/>
    <n v="0"/>
  </r>
  <r>
    <x v="2"/>
    <m/>
    <s v="Agst Ref"/>
    <s v="256779412111"/>
    <s v=""/>
    <n v="83452"/>
    <s v="Dr"/>
    <m/>
    <m/>
    <m/>
    <m/>
    <m/>
    <m/>
    <m/>
    <m/>
    <n v="0"/>
  </r>
  <r>
    <x v="2"/>
    <m/>
    <s v="Agst Ref"/>
    <s v="256779412160"/>
    <s v=""/>
    <n v="14552"/>
    <s v="Dr"/>
    <m/>
    <m/>
    <m/>
    <m/>
    <m/>
    <m/>
    <m/>
    <m/>
    <n v="0"/>
  </r>
  <r>
    <x v="2"/>
    <m/>
    <s v="Agst Ref"/>
    <s v="256779412567"/>
    <s v=""/>
    <n v="1512"/>
    <s v="Dr"/>
    <m/>
    <m/>
    <m/>
    <m/>
    <m/>
    <m/>
    <m/>
    <m/>
    <n v="0"/>
  </r>
  <r>
    <x v="2"/>
    <m/>
    <s v="Agst Ref"/>
    <s v="256779412618"/>
    <s v=""/>
    <n v="3664"/>
    <s v="Dr"/>
    <m/>
    <m/>
    <m/>
    <m/>
    <m/>
    <m/>
    <m/>
    <m/>
    <n v="0"/>
  </r>
  <r>
    <x v="2"/>
    <m/>
    <s v="New Ref"/>
    <s v="256779412661"/>
    <s v=""/>
    <n v="515"/>
    <s v="Dr"/>
    <m/>
    <m/>
    <m/>
    <m/>
    <m/>
    <m/>
    <m/>
    <m/>
    <n v="0"/>
  </r>
  <r>
    <x v="2"/>
    <m/>
    <s v="Agst Ref"/>
    <s v="256779412779"/>
    <s v=""/>
    <n v="80841"/>
    <s v="Dr"/>
    <m/>
    <m/>
    <m/>
    <m/>
    <m/>
    <m/>
    <m/>
    <m/>
    <n v="0"/>
  </r>
  <r>
    <x v="23"/>
    <s v="Dr"/>
    <s v="(as per details)"/>
    <m/>
    <s v=""/>
    <s v=""/>
    <s v=""/>
    <s v=""/>
    <s v="April, 2025"/>
    <m/>
    <n v="5.92"/>
    <s v="Journal 1"/>
    <s v="85"/>
    <m/>
    <n v="515"/>
    <n v="11"/>
  </r>
  <r>
    <x v="1"/>
    <m/>
    <s v="Outbound Handling Charges - E"/>
    <m/>
    <s v=""/>
    <s v=""/>
    <s v=""/>
    <s v=""/>
    <s v=""/>
    <s v=""/>
    <n v="525.88"/>
    <m/>
    <m/>
    <m/>
    <m/>
    <n v="0"/>
  </r>
  <r>
    <x v="1"/>
    <m/>
    <s v="TDS on Contract"/>
    <m/>
    <s v=""/>
    <s v=""/>
    <s v=""/>
    <s v=""/>
    <s v=""/>
    <s v=""/>
    <m/>
    <n v="11"/>
    <m/>
    <m/>
    <m/>
    <n v="0"/>
  </r>
  <r>
    <x v="1"/>
    <m/>
    <s v="Round Off"/>
    <m/>
    <s v=""/>
    <s v=""/>
    <s v=""/>
    <s v=""/>
    <s v=""/>
    <s v=""/>
    <n v="0.12"/>
    <m/>
    <m/>
    <m/>
    <m/>
    <n v="0"/>
  </r>
  <r>
    <x v="2"/>
    <m/>
    <s v="Agst Ref"/>
    <s v="256779412661"/>
    <s v=""/>
    <n v="515"/>
    <s v="Cr"/>
    <m/>
    <m/>
    <m/>
    <m/>
    <m/>
    <m/>
    <m/>
    <m/>
    <n v="0"/>
  </r>
  <r>
    <x v="23"/>
    <s v="Dr"/>
    <s v="(as per details)"/>
    <m/>
    <s v=""/>
    <s v=""/>
    <s v=""/>
    <s v=""/>
    <s v="April, 2025"/>
    <m/>
    <n v="185.42"/>
    <s v="Journal 1"/>
    <s v="86"/>
    <m/>
    <n v="16117"/>
    <n v="329"/>
  </r>
  <r>
    <x v="1"/>
    <m/>
    <s v="Inbound Handling - E"/>
    <m/>
    <s v=""/>
    <s v=""/>
    <s v=""/>
    <s v=""/>
    <s v=""/>
    <s v=""/>
    <n v="16445.599999999999"/>
    <m/>
    <m/>
    <m/>
    <m/>
    <n v="0"/>
  </r>
  <r>
    <x v="1"/>
    <m/>
    <s v="TDS on Contract"/>
    <m/>
    <s v=""/>
    <s v=""/>
    <s v=""/>
    <s v=""/>
    <s v=""/>
    <s v=""/>
    <m/>
    <n v="329"/>
    <m/>
    <m/>
    <m/>
    <n v="0"/>
  </r>
  <r>
    <x v="1"/>
    <m/>
    <s v="Round Off"/>
    <m/>
    <s v=""/>
    <s v=""/>
    <s v=""/>
    <s v=""/>
    <s v=""/>
    <s v=""/>
    <n v="0.4"/>
    <m/>
    <m/>
    <m/>
    <m/>
    <n v="0"/>
  </r>
  <r>
    <x v="2"/>
    <m/>
    <s v="New Ref"/>
    <s v="256779412892"/>
    <s v=""/>
    <n v="16117"/>
    <s v="Cr"/>
    <m/>
    <m/>
    <m/>
    <m/>
    <m/>
    <m/>
    <m/>
    <m/>
    <n v="0"/>
  </r>
  <r>
    <x v="23"/>
    <s v="Dr"/>
    <s v="(as per details)"/>
    <m/>
    <s v=""/>
    <s v=""/>
    <s v=""/>
    <s v=""/>
    <s v="May, 2025"/>
    <m/>
    <n v="388.85"/>
    <s v="Journal 1"/>
    <s v="87"/>
    <m/>
    <n v="33169"/>
    <n v="677"/>
  </r>
  <r>
    <x v="1"/>
    <m/>
    <s v="VOS Activity - E"/>
    <m/>
    <s v=""/>
    <s v=""/>
    <s v=""/>
    <s v=""/>
    <s v=""/>
    <s v=""/>
    <n v="33846.19"/>
    <m/>
    <m/>
    <m/>
    <m/>
    <n v="0"/>
  </r>
  <r>
    <x v="1"/>
    <m/>
    <s v="TDS on Contract"/>
    <m/>
    <s v=""/>
    <s v=""/>
    <s v=""/>
    <s v=""/>
    <s v=""/>
    <s v=""/>
    <m/>
    <n v="677"/>
    <m/>
    <m/>
    <m/>
    <n v="0"/>
  </r>
  <r>
    <x v="1"/>
    <m/>
    <s v="Round Off"/>
    <m/>
    <s v=""/>
    <s v=""/>
    <s v=""/>
    <s v=""/>
    <s v=""/>
    <s v=""/>
    <m/>
    <n v="0.19"/>
    <m/>
    <m/>
    <m/>
    <n v="0"/>
  </r>
  <r>
    <x v="2"/>
    <m/>
    <s v="New Ref"/>
    <s v="256779413245"/>
    <s v=""/>
    <n v="33169"/>
    <s v="Cr"/>
    <m/>
    <m/>
    <m/>
    <m/>
    <m/>
    <m/>
    <m/>
    <m/>
    <n v="0"/>
  </r>
  <r>
    <x v="23"/>
    <s v="Dr"/>
    <s v="(as per details)"/>
    <m/>
    <s v=""/>
    <s v=""/>
    <s v=""/>
    <s v=""/>
    <s v="May, 2025"/>
    <m/>
    <n v="535.08000000000004"/>
    <s v="Journal 1"/>
    <s v="88"/>
    <m/>
    <n v="46008"/>
    <n v="939"/>
  </r>
  <r>
    <x v="1"/>
    <m/>
    <s v="Transportation Charges- IB-E (RCM)"/>
    <m/>
    <s v=""/>
    <s v=""/>
    <s v=""/>
    <s v=""/>
    <s v=""/>
    <s v=""/>
    <n v="34393.480000000003"/>
    <m/>
    <m/>
    <m/>
    <m/>
    <n v="0"/>
  </r>
  <r>
    <x v="1"/>
    <m/>
    <s v="RCM IGST Input @ 5%"/>
    <m/>
    <s v=""/>
    <s v=""/>
    <s v=""/>
    <s v=""/>
    <s v=""/>
    <s v=""/>
    <n v="1719.67"/>
    <m/>
    <m/>
    <m/>
    <m/>
    <n v="0"/>
  </r>
  <r>
    <x v="1"/>
    <m/>
    <s v="RCM IGST Liability @ 5%"/>
    <m/>
    <s v=""/>
    <s v=""/>
    <s v=""/>
    <s v=""/>
    <s v=""/>
    <s v=""/>
    <m/>
    <n v="1719.67"/>
    <m/>
    <m/>
    <m/>
    <n v="0"/>
  </r>
  <r>
    <x v="1"/>
    <m/>
    <s v="Inbound Handling - E"/>
    <m/>
    <s v=""/>
    <s v=""/>
    <s v=""/>
    <s v=""/>
    <s v=""/>
    <s v=""/>
    <n v="12553.62"/>
    <m/>
    <m/>
    <m/>
    <m/>
    <n v="0"/>
  </r>
  <r>
    <x v="1"/>
    <m/>
    <s v="TDS on Contract"/>
    <m/>
    <s v=""/>
    <s v=""/>
    <s v=""/>
    <s v=""/>
    <s v=""/>
    <s v=""/>
    <m/>
    <n v="939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56779413316"/>
    <s v=""/>
    <n v="46008"/>
    <s v="Cr"/>
    <m/>
    <m/>
    <m/>
    <m/>
    <m/>
    <m/>
    <m/>
    <m/>
    <n v="0"/>
  </r>
  <r>
    <x v="23"/>
    <s v="Dr"/>
    <s v="(as per details)"/>
    <m/>
    <s v=""/>
    <s v=""/>
    <s v=""/>
    <s v=""/>
    <s v="May, 2025"/>
    <m/>
    <n v="86.97"/>
    <s v="Journal 1"/>
    <s v="89"/>
    <m/>
    <n v="7478"/>
    <n v="153"/>
  </r>
  <r>
    <x v="1"/>
    <m/>
    <s v="Outbound Handling Charges - E"/>
    <m/>
    <s v=""/>
    <s v=""/>
    <s v=""/>
    <s v=""/>
    <s v=""/>
    <s v=""/>
    <n v="7631.05"/>
    <m/>
    <m/>
    <m/>
    <m/>
    <n v="0"/>
  </r>
  <r>
    <x v="1"/>
    <m/>
    <s v="TDS on Contract"/>
    <m/>
    <s v=""/>
    <s v=""/>
    <s v=""/>
    <s v=""/>
    <s v=""/>
    <s v=""/>
    <m/>
    <n v="153"/>
    <m/>
    <m/>
    <m/>
    <n v="0"/>
  </r>
  <r>
    <x v="1"/>
    <m/>
    <s v="Round Off"/>
    <m/>
    <s v=""/>
    <s v=""/>
    <s v=""/>
    <s v=""/>
    <s v=""/>
    <s v=""/>
    <m/>
    <n v="0.05"/>
    <m/>
    <m/>
    <m/>
    <n v="0"/>
  </r>
  <r>
    <x v="2"/>
    <m/>
    <s v="New Ref"/>
    <s v="256779413491"/>
    <s v=""/>
    <n v="7478"/>
    <s v="Cr"/>
    <m/>
    <m/>
    <m/>
    <m/>
    <m/>
    <m/>
    <m/>
    <m/>
    <n v="0"/>
  </r>
  <r>
    <x v="23"/>
    <s v="Dr"/>
    <s v="(as per details)"/>
    <m/>
    <s v=""/>
    <s v=""/>
    <s v=""/>
    <s v=""/>
    <s v="June, 2025"/>
    <m/>
    <n v="361.5"/>
    <s v="Journal 1"/>
    <s v="90"/>
    <m/>
    <n v="30905"/>
    <n v="631"/>
  </r>
  <r>
    <x v="1"/>
    <m/>
    <s v="Outbound Handling Charges - E"/>
    <m/>
    <s v=""/>
    <s v=""/>
    <s v=""/>
    <s v=""/>
    <s v=""/>
    <s v=""/>
    <n v="31535.84"/>
    <m/>
    <m/>
    <m/>
    <m/>
    <n v="0"/>
  </r>
  <r>
    <x v="1"/>
    <m/>
    <s v="TDS on Contract"/>
    <m/>
    <s v=""/>
    <s v=""/>
    <s v=""/>
    <s v=""/>
    <s v=""/>
    <s v=""/>
    <m/>
    <n v="631"/>
    <m/>
    <m/>
    <m/>
    <n v="0"/>
  </r>
  <r>
    <x v="1"/>
    <m/>
    <s v="Round Off"/>
    <m/>
    <s v=""/>
    <s v=""/>
    <s v=""/>
    <s v=""/>
    <s v=""/>
    <s v=""/>
    <n v="0.16"/>
    <m/>
    <m/>
    <m/>
    <m/>
    <n v="0"/>
  </r>
  <r>
    <x v="2"/>
    <m/>
    <s v="New Ref"/>
    <s v="256779413922"/>
    <s v=""/>
    <n v="30905"/>
    <s v="Cr"/>
    <m/>
    <m/>
    <m/>
    <m/>
    <m/>
    <m/>
    <m/>
    <m/>
    <n v="0"/>
  </r>
  <r>
    <x v="23"/>
    <s v="Dr"/>
    <s v="(as per details)"/>
    <m/>
    <s v=""/>
    <s v=""/>
    <s v=""/>
    <s v=""/>
    <s v="June, 2025"/>
    <m/>
    <n v="186.41"/>
    <s v="Journal 1"/>
    <s v="91"/>
    <m/>
    <n v="15936"/>
    <n v="325"/>
  </r>
  <r>
    <x v="1"/>
    <m/>
    <s v="Outbound Handling Charges - E"/>
    <m/>
    <s v=""/>
    <s v=""/>
    <s v=""/>
    <s v=""/>
    <s v=""/>
    <s v=""/>
    <n v="16261.2"/>
    <m/>
    <m/>
    <m/>
    <m/>
    <n v="0"/>
  </r>
  <r>
    <x v="1"/>
    <m/>
    <s v="TDS on Contract"/>
    <m/>
    <s v=""/>
    <s v=""/>
    <s v=""/>
    <s v=""/>
    <s v=""/>
    <s v=""/>
    <m/>
    <n v="325"/>
    <m/>
    <m/>
    <m/>
    <n v="0"/>
  </r>
  <r>
    <x v="1"/>
    <m/>
    <s v="Round Off"/>
    <m/>
    <s v=""/>
    <s v=""/>
    <s v=""/>
    <s v=""/>
    <s v=""/>
    <s v=""/>
    <m/>
    <n v="0.2"/>
    <m/>
    <m/>
    <m/>
    <n v="0"/>
  </r>
  <r>
    <x v="2"/>
    <m/>
    <s v="New Ref"/>
    <s v="256779413998"/>
    <s v=""/>
    <n v="15936"/>
    <s v="Cr"/>
    <m/>
    <m/>
    <m/>
    <m/>
    <m/>
    <m/>
    <m/>
    <m/>
    <n v="0"/>
  </r>
  <r>
    <x v="23"/>
    <s v="Dr"/>
    <s v="(as per details)"/>
    <m/>
    <s v=""/>
    <s v=""/>
    <s v=""/>
    <s v=""/>
    <s v="June, 2025"/>
    <m/>
    <n v="126.73"/>
    <s v="Journal 1"/>
    <s v="92"/>
    <m/>
    <n v="10834"/>
    <n v="221"/>
  </r>
  <r>
    <x v="1"/>
    <m/>
    <s v="Outbound Handling Charges - E"/>
    <m/>
    <s v=""/>
    <s v=""/>
    <s v=""/>
    <s v=""/>
    <s v=""/>
    <s v=""/>
    <n v="11054.81"/>
    <m/>
    <m/>
    <m/>
    <m/>
    <n v="0"/>
  </r>
  <r>
    <x v="1"/>
    <m/>
    <s v="TDS on Contract"/>
    <m/>
    <s v=""/>
    <s v=""/>
    <s v=""/>
    <s v=""/>
    <s v=""/>
    <s v=""/>
    <m/>
    <n v="221"/>
    <m/>
    <m/>
    <m/>
    <n v="0"/>
  </r>
  <r>
    <x v="1"/>
    <m/>
    <s v="Round Off"/>
    <m/>
    <s v=""/>
    <s v=""/>
    <s v=""/>
    <s v=""/>
    <s v=""/>
    <s v=""/>
    <n v="0.19"/>
    <m/>
    <m/>
    <m/>
    <m/>
    <n v="0"/>
  </r>
  <r>
    <x v="2"/>
    <m/>
    <s v="New Ref"/>
    <s v="256779414176"/>
    <s v=""/>
    <n v="10834"/>
    <s v="Cr"/>
    <m/>
    <m/>
    <m/>
    <m/>
    <m/>
    <m/>
    <m/>
    <m/>
    <n v="0"/>
  </r>
  <r>
    <x v="23"/>
    <s v="Dr"/>
    <s v="(as per details)"/>
    <m/>
    <s v=""/>
    <s v=""/>
    <s v=""/>
    <s v=""/>
    <s v="June, 2025"/>
    <m/>
    <n v="45.29"/>
    <s v="Journal 1"/>
    <s v="93"/>
    <m/>
    <n v="3872"/>
    <n v="79"/>
  </r>
  <r>
    <x v="1"/>
    <m/>
    <s v="Outbound Handling Charges - E"/>
    <m/>
    <s v=""/>
    <s v=""/>
    <s v=""/>
    <s v=""/>
    <s v=""/>
    <s v=""/>
    <n v="3951.38"/>
    <m/>
    <m/>
    <m/>
    <m/>
    <n v="0"/>
  </r>
  <r>
    <x v="1"/>
    <m/>
    <s v="TDS on Contract"/>
    <m/>
    <s v=""/>
    <s v=""/>
    <s v=""/>
    <s v=""/>
    <s v=""/>
    <s v=""/>
    <m/>
    <n v="79"/>
    <m/>
    <m/>
    <m/>
    <n v="0"/>
  </r>
  <r>
    <x v="1"/>
    <m/>
    <s v="Round Off"/>
    <m/>
    <s v=""/>
    <s v=""/>
    <s v=""/>
    <s v=""/>
    <s v=""/>
    <s v=""/>
    <m/>
    <n v="0.38"/>
    <m/>
    <m/>
    <m/>
    <n v="0"/>
  </r>
  <r>
    <x v="2"/>
    <m/>
    <s v="New Ref"/>
    <s v="256779414221"/>
    <s v=""/>
    <n v="3872"/>
    <s v="Cr"/>
    <m/>
    <m/>
    <m/>
    <m/>
    <m/>
    <m/>
    <m/>
    <m/>
    <n v="0"/>
  </r>
  <r>
    <x v="23"/>
    <s v="Dr"/>
    <s v="(as per details)"/>
    <m/>
    <s v=""/>
    <s v=""/>
    <s v=""/>
    <s v=""/>
    <s v="June, 2025"/>
    <m/>
    <n v="6.88"/>
    <s v="Journal 1"/>
    <s v="94"/>
    <m/>
    <n v="588"/>
    <n v="12"/>
  </r>
  <r>
    <x v="1"/>
    <m/>
    <s v="Inbound Handling - E"/>
    <m/>
    <s v=""/>
    <s v=""/>
    <s v=""/>
    <s v=""/>
    <s v=""/>
    <s v=""/>
    <n v="600.15"/>
    <m/>
    <m/>
    <m/>
    <m/>
    <n v="0"/>
  </r>
  <r>
    <x v="1"/>
    <m/>
    <s v="TDS on Contract"/>
    <m/>
    <s v=""/>
    <s v=""/>
    <s v=""/>
    <s v=""/>
    <s v=""/>
    <s v=""/>
    <m/>
    <n v="12"/>
    <m/>
    <m/>
    <m/>
    <n v="0"/>
  </r>
  <r>
    <x v="1"/>
    <m/>
    <s v="Round Off"/>
    <m/>
    <s v=""/>
    <s v=""/>
    <s v=""/>
    <s v=""/>
    <s v=""/>
    <s v=""/>
    <m/>
    <n v="0.15"/>
    <m/>
    <m/>
    <m/>
    <n v="0"/>
  </r>
  <r>
    <x v="2"/>
    <m/>
    <s v="New Ref"/>
    <s v="256779414264"/>
    <s v=""/>
    <n v="588"/>
    <s v="Cr"/>
    <m/>
    <m/>
    <m/>
    <m/>
    <m/>
    <m/>
    <m/>
    <m/>
    <n v="0"/>
  </r>
  <r>
    <x v="23"/>
    <s v="Dr"/>
    <s v="(as per details)"/>
    <m/>
    <s v=""/>
    <s v=""/>
    <s v=""/>
    <s v=""/>
    <s v="June, 2025"/>
    <m/>
    <n v="599.14"/>
    <s v="Journal 1"/>
    <s v="95"/>
    <m/>
    <n v="51221"/>
    <n v="1045"/>
  </r>
  <r>
    <x v="1"/>
    <m/>
    <s v="Transportation Charges- IB-E (RCM)"/>
    <m/>
    <s v=""/>
    <s v=""/>
    <s v=""/>
    <s v=""/>
    <s v=""/>
    <s v=""/>
    <n v="34196.31"/>
    <m/>
    <m/>
    <m/>
    <m/>
    <n v="0"/>
  </r>
  <r>
    <x v="1"/>
    <m/>
    <s v="Inbound Handling - E"/>
    <m/>
    <s v=""/>
    <s v=""/>
    <s v=""/>
    <s v=""/>
    <s v=""/>
    <s v=""/>
    <n v="18069.330000000002"/>
    <m/>
    <m/>
    <m/>
    <m/>
    <n v="0"/>
  </r>
  <r>
    <x v="1"/>
    <m/>
    <s v="RCM IGST Input @ 5%"/>
    <m/>
    <s v=""/>
    <s v=""/>
    <s v=""/>
    <s v=""/>
    <s v=""/>
    <s v=""/>
    <n v="1709.82"/>
    <m/>
    <m/>
    <m/>
    <m/>
    <n v="0"/>
  </r>
  <r>
    <x v="1"/>
    <m/>
    <s v="RCM IGST Liability @ 5%"/>
    <m/>
    <s v=""/>
    <s v=""/>
    <s v=""/>
    <s v=""/>
    <s v=""/>
    <s v=""/>
    <m/>
    <n v="1709.82"/>
    <m/>
    <m/>
    <m/>
    <n v="0"/>
  </r>
  <r>
    <x v="1"/>
    <m/>
    <s v="TDS on Contract"/>
    <m/>
    <s v=""/>
    <s v=""/>
    <s v=""/>
    <s v=""/>
    <s v=""/>
    <s v=""/>
    <m/>
    <n v="1045"/>
    <m/>
    <m/>
    <m/>
    <n v="0"/>
  </r>
  <r>
    <x v="1"/>
    <m/>
    <s v="Round Off"/>
    <m/>
    <s v=""/>
    <s v=""/>
    <s v=""/>
    <s v=""/>
    <s v=""/>
    <s v=""/>
    <n v="0.36"/>
    <m/>
    <m/>
    <m/>
    <m/>
    <n v="0"/>
  </r>
  <r>
    <x v="2"/>
    <m/>
    <s v="New Ref"/>
    <s v="256779414320"/>
    <s v=""/>
    <n v="51221"/>
    <s v="Cr"/>
    <m/>
    <m/>
    <m/>
    <m/>
    <m/>
    <m/>
    <m/>
    <m/>
    <n v="0"/>
  </r>
  <r>
    <x v="23"/>
    <s v="Dr"/>
    <s v="(as per details)"/>
    <m/>
    <s v=""/>
    <s v=""/>
    <s v=""/>
    <s v=""/>
    <s v="June, 2025"/>
    <m/>
    <n v="107.8"/>
    <s v="Journal 1"/>
    <s v="96"/>
    <m/>
    <n v="9282"/>
    <n v="189"/>
  </r>
  <r>
    <x v="1"/>
    <m/>
    <s v="Inbound Handling - E"/>
    <m/>
    <s v=""/>
    <s v=""/>
    <s v=""/>
    <s v=""/>
    <s v=""/>
    <s v=""/>
    <n v="9471"/>
    <m/>
    <m/>
    <m/>
    <m/>
    <n v="0"/>
  </r>
  <r>
    <x v="1"/>
    <m/>
    <s v="TDS on Contract"/>
    <m/>
    <s v=""/>
    <s v=""/>
    <s v=""/>
    <s v=""/>
    <s v=""/>
    <s v=""/>
    <m/>
    <n v="189"/>
    <m/>
    <m/>
    <m/>
    <n v="0"/>
  </r>
  <r>
    <x v="2"/>
    <m/>
    <s v="New Ref"/>
    <s v="256779414736"/>
    <s v=""/>
    <n v="9282"/>
    <s v="Cr"/>
    <m/>
    <m/>
    <m/>
    <m/>
    <m/>
    <m/>
    <m/>
    <m/>
    <n v="0"/>
  </r>
  <r>
    <x v="23"/>
    <s v="Dr"/>
    <s v="(as per details)"/>
    <m/>
    <s v=""/>
    <s v=""/>
    <s v=""/>
    <s v=""/>
    <s v="June, 2025"/>
    <m/>
    <n v="282.04000000000002"/>
    <s v="Journal 1"/>
    <s v="97"/>
    <m/>
    <n v="24284"/>
    <n v="496"/>
  </r>
  <r>
    <x v="1"/>
    <m/>
    <s v="VOS Activity - E"/>
    <m/>
    <s v=""/>
    <s v=""/>
    <s v=""/>
    <s v=""/>
    <s v=""/>
    <s v=""/>
    <n v="24780.44"/>
    <m/>
    <m/>
    <m/>
    <m/>
    <n v="0"/>
  </r>
  <r>
    <x v="1"/>
    <m/>
    <s v="TDS on Contract"/>
    <m/>
    <s v=""/>
    <s v=""/>
    <s v=""/>
    <s v=""/>
    <s v=""/>
    <s v=""/>
    <m/>
    <n v="496"/>
    <m/>
    <m/>
    <m/>
    <n v="0"/>
  </r>
  <r>
    <x v="1"/>
    <m/>
    <s v="Round Off"/>
    <m/>
    <s v=""/>
    <s v=""/>
    <s v=""/>
    <s v=""/>
    <s v=""/>
    <s v=""/>
    <m/>
    <n v="0.44"/>
    <m/>
    <m/>
    <m/>
    <n v="0"/>
  </r>
  <r>
    <x v="2"/>
    <m/>
    <s v="New Ref"/>
    <s v="256779414744"/>
    <s v=""/>
    <n v="24284"/>
    <s v="Cr"/>
    <m/>
    <m/>
    <m/>
    <m/>
    <m/>
    <m/>
    <m/>
    <m/>
    <n v="0"/>
  </r>
  <r>
    <x v="24"/>
    <s v="Dr"/>
    <s v="(as per details)"/>
    <m/>
    <s v=""/>
    <s v=""/>
    <s v=""/>
    <s v=""/>
    <s v="May, 2025"/>
    <m/>
    <n v="1620"/>
    <s v="Journal 1"/>
    <s v="98"/>
    <m/>
    <n v="139294"/>
    <n v="15477"/>
  </r>
  <r>
    <x v="1"/>
    <m/>
    <s v="Space Expense / Storage - E"/>
    <m/>
    <s v=""/>
    <s v=""/>
    <s v=""/>
    <s v=""/>
    <s v=""/>
    <s v=""/>
    <n v="154770.66"/>
    <m/>
    <m/>
    <m/>
    <m/>
    <n v="0"/>
  </r>
  <r>
    <x v="1"/>
    <m/>
    <s v="TDS on Rent"/>
    <m/>
    <s v=""/>
    <s v=""/>
    <s v=""/>
    <s v=""/>
    <s v=""/>
    <s v=""/>
    <m/>
    <n v="15477"/>
    <m/>
    <m/>
    <m/>
    <n v="0"/>
  </r>
  <r>
    <x v="1"/>
    <m/>
    <s v="Round Off"/>
    <m/>
    <s v=""/>
    <s v=""/>
    <s v=""/>
    <s v=""/>
    <s v=""/>
    <s v=""/>
    <n v="0.34"/>
    <m/>
    <m/>
    <m/>
    <m/>
    <n v="0"/>
  </r>
  <r>
    <x v="2"/>
    <m/>
    <s v="New Ref"/>
    <s v="256779413115"/>
    <s v=""/>
    <n v="139294"/>
    <s v="Cr"/>
    <m/>
    <m/>
    <m/>
    <m/>
    <m/>
    <m/>
    <m/>
    <m/>
    <n v="0"/>
  </r>
  <r>
    <x v="24"/>
    <s v="Dr"/>
    <s v="(as per details)"/>
    <m/>
    <s v=""/>
    <s v=""/>
    <s v=""/>
    <s v=""/>
    <s v="June, 2025"/>
    <m/>
    <n v="1116.3699999999999"/>
    <s v="Journal 1"/>
    <s v="99"/>
    <m/>
    <n v="95439"/>
    <n v="10604"/>
  </r>
  <r>
    <x v="1"/>
    <m/>
    <s v="Space Expense / Storage - E"/>
    <m/>
    <s v=""/>
    <s v=""/>
    <s v=""/>
    <s v=""/>
    <s v=""/>
    <s v=""/>
    <n v="106042.76"/>
    <m/>
    <m/>
    <m/>
    <m/>
    <n v="0"/>
  </r>
  <r>
    <x v="1"/>
    <m/>
    <s v="TDS on Rent"/>
    <m/>
    <s v=""/>
    <s v=""/>
    <s v=""/>
    <s v=""/>
    <s v=""/>
    <s v=""/>
    <m/>
    <n v="10604"/>
    <m/>
    <m/>
    <m/>
    <n v="0"/>
  </r>
  <r>
    <x v="1"/>
    <m/>
    <s v="Round Off"/>
    <m/>
    <s v=""/>
    <s v=""/>
    <s v=""/>
    <s v=""/>
    <s v=""/>
    <s v=""/>
    <n v="0.24"/>
    <m/>
    <m/>
    <m/>
    <m/>
    <n v="0"/>
  </r>
  <r>
    <x v="2"/>
    <m/>
    <s v="New Ref"/>
    <s v="256779414232"/>
    <s v=""/>
    <n v="95439"/>
    <s v="Cr"/>
    <m/>
    <m/>
    <m/>
    <m/>
    <m/>
    <m/>
    <m/>
    <m/>
    <n v="0"/>
  </r>
  <r>
    <x v="24"/>
    <s v="Dr"/>
    <s v="(as per details)"/>
    <m/>
    <s v=""/>
    <s v=""/>
    <s v=""/>
    <s v=""/>
    <s v="June, 2025"/>
    <m/>
    <n v="1620"/>
    <s v="Journal 1"/>
    <s v="100"/>
    <m/>
    <n v="138495"/>
    <n v="15388"/>
  </r>
  <r>
    <x v="1"/>
    <m/>
    <s v="Space Expense / Storage - E"/>
    <m/>
    <s v=""/>
    <s v=""/>
    <s v=""/>
    <s v=""/>
    <s v=""/>
    <s v=""/>
    <n v="153883.4"/>
    <m/>
    <m/>
    <m/>
    <m/>
    <n v="0"/>
  </r>
  <r>
    <x v="1"/>
    <m/>
    <s v="TDS on Rent"/>
    <m/>
    <s v=""/>
    <s v=""/>
    <s v=""/>
    <s v=""/>
    <s v=""/>
    <s v=""/>
    <m/>
    <n v="15388"/>
    <m/>
    <m/>
    <m/>
    <n v="0"/>
  </r>
  <r>
    <x v="1"/>
    <m/>
    <s v="Round Off"/>
    <m/>
    <s v=""/>
    <s v=""/>
    <s v=""/>
    <s v=""/>
    <s v=""/>
    <s v=""/>
    <m/>
    <n v="0.4"/>
    <m/>
    <m/>
    <m/>
    <n v="0"/>
  </r>
  <r>
    <x v="2"/>
    <m/>
    <s v="New Ref"/>
    <s v="256779414374"/>
    <s v=""/>
    <n v="138495"/>
    <s v="Cr"/>
    <m/>
    <m/>
    <m/>
    <m/>
    <m/>
    <m/>
    <m/>
    <m/>
    <n v="0"/>
  </r>
  <r>
    <x v="25"/>
    <s v="Cr"/>
    <s v="Srikaram Prescience Pvt. Ltd- Noida"/>
    <m/>
    <s v=""/>
    <s v=""/>
    <s v=""/>
    <s v=""/>
    <s v=", 0"/>
    <m/>
    <m/>
    <s v="Journal"/>
    <s v="279"/>
    <n v="100000"/>
    <m/>
    <n v="0"/>
  </r>
  <r>
    <x v="2"/>
    <m/>
    <s v="Agst Ref"/>
    <s v="256779412779"/>
    <s v=""/>
    <n v="59530"/>
    <s v="Dr"/>
    <m/>
    <m/>
    <m/>
    <m/>
    <m/>
    <m/>
    <m/>
    <m/>
    <n v="0"/>
  </r>
  <r>
    <x v="2"/>
    <m/>
    <s v="Agst Ref"/>
    <s v="256779412892"/>
    <s v=""/>
    <n v="16117"/>
    <s v="Dr"/>
    <m/>
    <m/>
    <m/>
    <m/>
    <m/>
    <m/>
    <m/>
    <m/>
    <n v="0"/>
  </r>
  <r>
    <x v="2"/>
    <m/>
    <s v="Agst Ref"/>
    <s v="256779413115"/>
    <s v=""/>
    <n v="24353"/>
    <s v="Dr"/>
    <m/>
    <m/>
    <m/>
    <m/>
    <m/>
    <m/>
    <m/>
    <m/>
    <n v="0"/>
  </r>
  <r>
    <x v="26"/>
    <s v="Cr"/>
    <s v="Srikaram Prescience Pvt. Ltd- Noida"/>
    <m/>
    <s v=""/>
    <s v=""/>
    <s v=""/>
    <s v=""/>
    <s v=", 0"/>
    <m/>
    <m/>
    <s v="Journal"/>
    <s v="290"/>
    <n v="100000"/>
    <m/>
    <n v="0"/>
  </r>
  <r>
    <x v="2"/>
    <m/>
    <s v="Agst Ref"/>
    <s v="256779413115"/>
    <s v=""/>
    <n v="100000"/>
    <s v="Dr"/>
    <m/>
    <m/>
    <m/>
    <m/>
    <m/>
    <m/>
    <m/>
    <m/>
    <n v="0"/>
  </r>
  <r>
    <x v="27"/>
    <s v="Cr"/>
    <s v="Srikaram Prescience Pvt. Ltd- Noida"/>
    <m/>
    <s v=""/>
    <s v=""/>
    <s v=""/>
    <s v=""/>
    <s v=", 0"/>
    <m/>
    <m/>
    <s v="Journal"/>
    <s v="304"/>
    <n v="100000"/>
    <m/>
    <n v="0"/>
  </r>
  <r>
    <x v="2"/>
    <m/>
    <s v="Agst Ref"/>
    <s v="256779413115"/>
    <s v=""/>
    <n v="14941"/>
    <s v="Dr"/>
    <m/>
    <m/>
    <m/>
    <m/>
    <m/>
    <m/>
    <m/>
    <m/>
    <n v="0"/>
  </r>
  <r>
    <x v="2"/>
    <m/>
    <s v="Agst Ref"/>
    <s v="256779413186"/>
    <s v=""/>
    <n v="34824"/>
    <s v="Dr"/>
    <m/>
    <m/>
    <m/>
    <m/>
    <m/>
    <m/>
    <m/>
    <m/>
    <n v="0"/>
  </r>
  <r>
    <x v="2"/>
    <m/>
    <s v="Agst Ref"/>
    <s v="256779413245"/>
    <s v=""/>
    <n v="33169"/>
    <s v="Dr"/>
    <m/>
    <m/>
    <m/>
    <m/>
    <m/>
    <m/>
    <m/>
    <m/>
    <n v="0"/>
  </r>
  <r>
    <x v="2"/>
    <m/>
    <s v="Agst Ref"/>
    <s v="256779413316"/>
    <s v=""/>
    <n v="17066"/>
    <s v="Dr"/>
    <m/>
    <m/>
    <m/>
    <m/>
    <m/>
    <m/>
    <m/>
    <m/>
    <n v="0"/>
  </r>
  <r>
    <x v="28"/>
    <s v="Dr"/>
    <s v="(as per details)"/>
    <m/>
    <s v=""/>
    <s v=""/>
    <s v=""/>
    <s v=""/>
    <s v="April, 2025"/>
    <m/>
    <n v="1351.62"/>
    <s v="Journal 1"/>
    <s v="108"/>
    <m/>
    <n v="116217"/>
    <n v="12913"/>
  </r>
  <r>
    <x v="1"/>
    <m/>
    <s v="Space Expense / Storage - E"/>
    <m/>
    <s v=""/>
    <s v=""/>
    <s v=""/>
    <s v=""/>
    <s v=""/>
    <s v=""/>
    <n v="129130.32"/>
    <m/>
    <m/>
    <m/>
    <m/>
    <n v="0"/>
  </r>
  <r>
    <x v="1"/>
    <m/>
    <s v="TDS on Rent"/>
    <m/>
    <s v=""/>
    <s v=""/>
    <s v=""/>
    <s v=""/>
    <s v=""/>
    <s v=""/>
    <m/>
    <n v="12913"/>
    <m/>
    <m/>
    <m/>
    <n v="0"/>
  </r>
  <r>
    <x v="1"/>
    <m/>
    <s v="Round Off"/>
    <m/>
    <s v=""/>
    <s v=""/>
    <s v=""/>
    <s v=""/>
    <s v=""/>
    <s v=""/>
    <m/>
    <n v="0.32"/>
    <m/>
    <m/>
    <m/>
    <n v="0"/>
  </r>
  <r>
    <x v="2"/>
    <m/>
    <s v="New Ref"/>
    <s v="256779413891"/>
    <s v=""/>
    <n v="116217"/>
    <s v="Cr"/>
    <m/>
    <m/>
    <m/>
    <m/>
    <m/>
    <m/>
    <m/>
    <m/>
    <n v="0"/>
  </r>
  <r>
    <x v="28"/>
    <s v="Dr"/>
    <s v="(as per details)"/>
    <m/>
    <s v=""/>
    <s v=""/>
    <s v=""/>
    <s v=""/>
    <s v="June, 2025"/>
    <m/>
    <n v="1369.06"/>
    <s v="Journal 1"/>
    <s v="109"/>
    <m/>
    <n v="117740"/>
    <n v="13082"/>
  </r>
  <r>
    <x v="1"/>
    <m/>
    <s v="Space Expense / Storage - E"/>
    <m/>
    <s v=""/>
    <s v=""/>
    <s v=""/>
    <s v=""/>
    <s v=""/>
    <s v=""/>
    <n v="130822.5"/>
    <m/>
    <m/>
    <m/>
    <m/>
    <n v="0"/>
  </r>
  <r>
    <x v="1"/>
    <m/>
    <s v="TDS on Rent"/>
    <m/>
    <s v=""/>
    <s v=""/>
    <s v=""/>
    <s v=""/>
    <s v=""/>
    <s v=""/>
    <m/>
    <n v="13082"/>
    <m/>
    <m/>
    <m/>
    <n v="0"/>
  </r>
  <r>
    <x v="1"/>
    <m/>
    <s v="Round Off"/>
    <m/>
    <s v=""/>
    <s v=""/>
    <s v=""/>
    <s v=""/>
    <s v=""/>
    <s v=""/>
    <m/>
    <n v="0.5"/>
    <m/>
    <m/>
    <m/>
    <n v="0"/>
  </r>
  <r>
    <x v="2"/>
    <m/>
    <s v="New Ref"/>
    <s v="256779415188"/>
    <s v=""/>
    <n v="117740"/>
    <s v="Cr"/>
    <m/>
    <m/>
    <m/>
    <m/>
    <m/>
    <m/>
    <m/>
    <m/>
    <n v="0"/>
  </r>
  <r>
    <x v="28"/>
    <s v="Dr"/>
    <s v="(as per details)"/>
    <m/>
    <s v=""/>
    <s v=""/>
    <s v=""/>
    <s v=""/>
    <s v="July, 2025"/>
    <m/>
    <n v="1140.75"/>
    <s v="Journal 1"/>
    <s v="110"/>
    <m/>
    <n v="98139"/>
    <n v="10904"/>
  </r>
  <r>
    <x v="1"/>
    <m/>
    <s v="Space Expense / Storage - E"/>
    <m/>
    <s v=""/>
    <s v=""/>
    <s v=""/>
    <s v=""/>
    <s v=""/>
    <s v=""/>
    <n v="109043.18"/>
    <m/>
    <m/>
    <m/>
    <m/>
    <n v="0"/>
  </r>
  <r>
    <x v="1"/>
    <m/>
    <s v="TDS on Rent"/>
    <m/>
    <s v=""/>
    <s v=""/>
    <s v=""/>
    <s v=""/>
    <s v=""/>
    <s v=""/>
    <m/>
    <n v="10904"/>
    <m/>
    <m/>
    <m/>
    <n v="0"/>
  </r>
  <r>
    <x v="1"/>
    <m/>
    <s v="Round Off"/>
    <m/>
    <s v=""/>
    <s v=""/>
    <s v=""/>
    <s v=""/>
    <s v=""/>
    <s v=""/>
    <m/>
    <n v="0.18"/>
    <m/>
    <m/>
    <m/>
    <n v="0"/>
  </r>
  <r>
    <x v="2"/>
    <m/>
    <s v="New Ref"/>
    <s v="256779416081"/>
    <s v=""/>
    <n v="98139"/>
    <s v="Cr"/>
    <m/>
    <m/>
    <m/>
    <m/>
    <m/>
    <m/>
    <m/>
    <m/>
    <n v="0"/>
  </r>
  <r>
    <x v="28"/>
    <s v="Dr"/>
    <s v="(as per details)"/>
    <m/>
    <s v=""/>
    <s v=""/>
    <s v=""/>
    <s v=""/>
    <s v="July, 2025"/>
    <m/>
    <n v="1620"/>
    <s v="Journal 1"/>
    <s v="111"/>
    <m/>
    <n v="139321"/>
    <n v="15480"/>
  </r>
  <r>
    <x v="1"/>
    <m/>
    <s v="Space Expense / Storage - E"/>
    <m/>
    <s v=""/>
    <s v=""/>
    <s v=""/>
    <s v=""/>
    <s v=""/>
    <s v=""/>
    <n v="154801.21"/>
    <m/>
    <m/>
    <m/>
    <m/>
    <n v="0"/>
  </r>
  <r>
    <x v="1"/>
    <m/>
    <s v="TDS on Rent"/>
    <m/>
    <s v=""/>
    <s v=""/>
    <s v=""/>
    <s v=""/>
    <s v=""/>
    <s v=""/>
    <m/>
    <n v="15480"/>
    <m/>
    <m/>
    <m/>
    <n v="0"/>
  </r>
  <r>
    <x v="1"/>
    <m/>
    <s v="Round Off"/>
    <m/>
    <s v=""/>
    <s v=""/>
    <s v=""/>
    <s v=""/>
    <s v=""/>
    <s v=""/>
    <m/>
    <n v="0.21"/>
    <m/>
    <m/>
    <m/>
    <n v="0"/>
  </r>
  <r>
    <x v="2"/>
    <m/>
    <s v="New Ref"/>
    <s v="256779414932"/>
    <s v=""/>
    <n v="139321"/>
    <s v="Cr"/>
    <m/>
    <m/>
    <m/>
    <m/>
    <m/>
    <m/>
    <m/>
    <m/>
    <n v="0"/>
  </r>
  <r>
    <x v="28"/>
    <s v="Dr"/>
    <s v="(as per details)"/>
    <m/>
    <s v=""/>
    <s v=""/>
    <s v=""/>
    <s v=""/>
    <s v="August, 2025"/>
    <m/>
    <n v="1620"/>
    <s v="Journal 1"/>
    <s v="112"/>
    <m/>
    <n v="139369"/>
    <n v="15485"/>
  </r>
  <r>
    <x v="1"/>
    <m/>
    <s v="Space Expense / Storage - E"/>
    <m/>
    <s v=""/>
    <s v=""/>
    <s v=""/>
    <s v=""/>
    <s v=""/>
    <s v=""/>
    <n v="154854.22"/>
    <m/>
    <m/>
    <m/>
    <m/>
    <n v="0"/>
  </r>
  <r>
    <x v="1"/>
    <m/>
    <s v="TDS on Rent"/>
    <m/>
    <s v=""/>
    <s v=""/>
    <s v=""/>
    <s v=""/>
    <s v=""/>
    <s v=""/>
    <m/>
    <n v="15485"/>
    <m/>
    <m/>
    <m/>
    <n v="0"/>
  </r>
  <r>
    <x v="1"/>
    <m/>
    <s v="Round Off"/>
    <m/>
    <s v=""/>
    <s v=""/>
    <s v=""/>
    <s v=""/>
    <s v=""/>
    <s v=""/>
    <m/>
    <n v="0.22"/>
    <m/>
    <m/>
    <m/>
    <n v="0"/>
  </r>
  <r>
    <x v="2"/>
    <m/>
    <s v="New Ref"/>
    <s v="256779416043"/>
    <s v=""/>
    <n v="139369"/>
    <s v="Cr"/>
    <m/>
    <m/>
    <m/>
    <m/>
    <m/>
    <m/>
    <m/>
    <m/>
    <n v="0"/>
  </r>
  <r>
    <x v="28"/>
    <s v="Dr"/>
    <s v="(as per details)"/>
    <m/>
    <s v=""/>
    <s v=""/>
    <s v=""/>
    <s v=""/>
    <s v="May, 2025"/>
    <m/>
    <n v="418.5"/>
    <s v="Journal 1"/>
    <s v="113"/>
    <m/>
    <n v="35991"/>
    <n v="3999"/>
  </r>
  <r>
    <x v="1"/>
    <m/>
    <s v="Ground Rent Charges-E"/>
    <m/>
    <s v=""/>
    <s v=""/>
    <s v=""/>
    <s v=""/>
    <s v=""/>
    <s v=""/>
    <n v="39990.31"/>
    <m/>
    <m/>
    <m/>
    <m/>
    <n v="0"/>
  </r>
  <r>
    <x v="1"/>
    <m/>
    <s v="TDS on Rent"/>
    <m/>
    <s v=""/>
    <s v=""/>
    <s v=""/>
    <s v=""/>
    <s v=""/>
    <s v=""/>
    <m/>
    <n v="3999"/>
    <m/>
    <m/>
    <m/>
    <n v="0"/>
  </r>
  <r>
    <x v="1"/>
    <m/>
    <s v="Round Off"/>
    <m/>
    <s v=""/>
    <s v=""/>
    <s v=""/>
    <s v=""/>
    <s v=""/>
    <s v=""/>
    <m/>
    <n v="0.31"/>
    <m/>
    <m/>
    <m/>
    <n v="0"/>
  </r>
  <r>
    <x v="2"/>
    <m/>
    <s v="New Ref"/>
    <s v="256779415968"/>
    <s v=""/>
    <n v="35991"/>
    <s v="Cr"/>
    <m/>
    <m/>
    <m/>
    <m/>
    <m/>
    <m/>
    <m/>
    <m/>
    <n v="0"/>
  </r>
  <r>
    <x v="29"/>
    <s v="Dr"/>
    <s v="(as per details)"/>
    <m/>
    <s v=""/>
    <s v=""/>
    <s v=""/>
    <s v=""/>
    <s v="June, 2025"/>
    <m/>
    <n v="14.98"/>
    <s v="Journal 1"/>
    <s v="114"/>
    <m/>
    <n v="1288"/>
    <n v="26"/>
  </r>
  <r>
    <x v="1"/>
    <m/>
    <s v="Outbound Handling Charges - E"/>
    <m/>
    <s v=""/>
    <s v=""/>
    <s v=""/>
    <s v=""/>
    <s v=""/>
    <s v=""/>
    <n v="1314.09"/>
    <m/>
    <m/>
    <m/>
    <m/>
    <n v="0"/>
  </r>
  <r>
    <x v="1"/>
    <m/>
    <s v="TDS on Contract"/>
    <m/>
    <s v=""/>
    <s v=""/>
    <s v=""/>
    <s v=""/>
    <s v=""/>
    <s v=""/>
    <m/>
    <n v="26"/>
    <m/>
    <m/>
    <m/>
    <n v="0"/>
  </r>
  <r>
    <x v="1"/>
    <m/>
    <s v="Round Off"/>
    <m/>
    <s v=""/>
    <s v=""/>
    <s v=""/>
    <s v=""/>
    <s v=""/>
    <s v=""/>
    <m/>
    <n v="0.09"/>
    <m/>
    <m/>
    <m/>
    <n v="0"/>
  </r>
  <r>
    <x v="2"/>
    <m/>
    <s v="New Ref"/>
    <s v="256779414834"/>
    <s v=""/>
    <n v="1288"/>
    <s v="Cr"/>
    <m/>
    <m/>
    <m/>
    <m/>
    <m/>
    <m/>
    <m/>
    <m/>
    <n v="0"/>
  </r>
  <r>
    <x v="29"/>
    <s v="Dr"/>
    <s v="(as per details)"/>
    <m/>
    <s v=""/>
    <s v=""/>
    <s v=""/>
    <s v=""/>
    <s v="June, 2025"/>
    <m/>
    <n v="65.45"/>
    <s v="Journal 1"/>
    <s v="115"/>
    <m/>
    <n v="5629"/>
    <n v="115"/>
  </r>
  <r>
    <x v="1"/>
    <m/>
    <s v="Inbound Handling - E"/>
    <m/>
    <s v=""/>
    <s v=""/>
    <s v=""/>
    <s v=""/>
    <s v=""/>
    <s v=""/>
    <n v="5743.98"/>
    <m/>
    <m/>
    <m/>
    <m/>
    <n v="0"/>
  </r>
  <r>
    <x v="1"/>
    <m/>
    <s v="TDS on Contract"/>
    <m/>
    <s v=""/>
    <s v=""/>
    <s v=""/>
    <s v=""/>
    <s v=""/>
    <s v=""/>
    <m/>
    <n v="115"/>
    <m/>
    <m/>
    <m/>
    <n v="0"/>
  </r>
  <r>
    <x v="1"/>
    <m/>
    <s v="Round Off"/>
    <m/>
    <s v=""/>
    <s v=""/>
    <s v=""/>
    <s v=""/>
    <s v=""/>
    <s v=""/>
    <n v="0.02"/>
    <m/>
    <m/>
    <m/>
    <m/>
    <n v="0"/>
  </r>
  <r>
    <x v="2"/>
    <m/>
    <s v="New Ref"/>
    <s v="256779414769"/>
    <s v=""/>
    <n v="5629"/>
    <s v="Cr"/>
    <m/>
    <m/>
    <m/>
    <m/>
    <m/>
    <m/>
    <m/>
    <m/>
    <n v="0"/>
  </r>
  <r>
    <x v="29"/>
    <s v="Dr"/>
    <s v="(as per details)"/>
    <m/>
    <s v=""/>
    <s v=""/>
    <m/>
    <s v=""/>
    <s v="June, 2025"/>
    <m/>
    <n v="312.25"/>
    <s v="Journal 1"/>
    <s v="116"/>
    <m/>
    <n v="26854"/>
    <n v="548"/>
  </r>
  <r>
    <x v="1"/>
    <m/>
    <s v="Inbound Handling - E"/>
    <m/>
    <s v=""/>
    <s v=""/>
    <s v=""/>
    <s v=""/>
    <s v=""/>
    <s v=""/>
    <n v="10202.26"/>
    <m/>
    <m/>
    <m/>
    <m/>
    <n v="0"/>
  </r>
  <r>
    <x v="1"/>
    <m/>
    <s v="Transportation Charges- IB-E (RCM)"/>
    <m/>
    <s v=""/>
    <s v=""/>
    <s v=""/>
    <s v=""/>
    <s v=""/>
    <s v=""/>
    <n v="17200.13"/>
    <m/>
    <m/>
    <m/>
    <m/>
    <n v="0"/>
  </r>
  <r>
    <x v="1"/>
    <m/>
    <s v="RCM IGST Input @ 5%"/>
    <m/>
    <s v=""/>
    <s v=""/>
    <s v=""/>
    <s v=""/>
    <s v=""/>
    <s v=""/>
    <n v="860.01"/>
    <m/>
    <m/>
    <m/>
    <m/>
    <n v="0"/>
  </r>
  <r>
    <x v="1"/>
    <m/>
    <s v="RCM IGST Liability @ 5%"/>
    <m/>
    <s v=""/>
    <s v=""/>
    <s v=""/>
    <s v=""/>
    <s v=""/>
    <s v=""/>
    <m/>
    <n v="860.01"/>
    <m/>
    <m/>
    <m/>
    <n v="0"/>
  </r>
  <r>
    <x v="1"/>
    <m/>
    <s v="TDS on Contract"/>
    <m/>
    <s v=""/>
    <s v=""/>
    <s v=""/>
    <s v=""/>
    <s v=""/>
    <s v=""/>
    <m/>
    <n v="548"/>
    <m/>
    <m/>
    <m/>
    <n v="0"/>
  </r>
  <r>
    <x v="1"/>
    <m/>
    <s v="Round Off"/>
    <m/>
    <s v=""/>
    <s v=""/>
    <s v=""/>
    <s v=""/>
    <s v=""/>
    <s v=""/>
    <m/>
    <n v="0.39"/>
    <m/>
    <m/>
    <m/>
    <n v="0"/>
  </r>
  <r>
    <x v="2"/>
    <m/>
    <s v="New Ref"/>
    <s v="256779414803"/>
    <s v=""/>
    <n v="26854"/>
    <s v="Cr"/>
    <m/>
    <m/>
    <m/>
    <m/>
    <m/>
    <m/>
    <m/>
    <m/>
    <n v="0"/>
  </r>
  <r>
    <x v="29"/>
    <s v="Dr"/>
    <s v="(as per details)"/>
    <m/>
    <s v=""/>
    <s v=""/>
    <s v=""/>
    <s v=""/>
    <s v="June, 2025"/>
    <m/>
    <n v="51.17"/>
    <s v="Journal 1"/>
    <s v="117"/>
    <m/>
    <n v="4401"/>
    <n v="90"/>
  </r>
  <r>
    <x v="1"/>
    <m/>
    <s v="Inbound Handling - E"/>
    <m/>
    <s v=""/>
    <s v=""/>
    <s v=""/>
    <s v=""/>
    <s v=""/>
    <s v=""/>
    <n v="4490.95"/>
    <m/>
    <m/>
    <m/>
    <m/>
    <n v="0"/>
  </r>
  <r>
    <x v="1"/>
    <m/>
    <s v="TDS on Contract"/>
    <m/>
    <s v=""/>
    <s v=""/>
    <s v=""/>
    <s v=""/>
    <s v=""/>
    <s v=""/>
    <m/>
    <n v="90"/>
    <m/>
    <m/>
    <m/>
    <n v="0"/>
  </r>
  <r>
    <x v="1"/>
    <m/>
    <s v="Round Off"/>
    <m/>
    <s v=""/>
    <s v=""/>
    <s v=""/>
    <s v=""/>
    <s v=""/>
    <s v=""/>
    <n v="0.05"/>
    <m/>
    <m/>
    <m/>
    <m/>
    <n v="0"/>
  </r>
  <r>
    <x v="2"/>
    <m/>
    <s v="New Ref"/>
    <s v="256779414881"/>
    <s v=""/>
    <n v="4401"/>
    <s v="Cr"/>
    <m/>
    <m/>
    <m/>
    <m/>
    <m/>
    <m/>
    <m/>
    <m/>
    <n v="0"/>
  </r>
  <r>
    <x v="29"/>
    <s v="Dr"/>
    <s v="(as per details)"/>
    <m/>
    <s v=""/>
    <s v=""/>
    <s v=""/>
    <s v=""/>
    <s v="June, 2025"/>
    <m/>
    <n v="161.44"/>
    <s v="Journal 1"/>
    <s v="118"/>
    <m/>
    <n v="13884"/>
    <n v="283"/>
  </r>
  <r>
    <x v="1"/>
    <m/>
    <s v="VOS Activity - E"/>
    <m/>
    <s v=""/>
    <s v=""/>
    <s v=""/>
    <s v=""/>
    <s v=""/>
    <s v=""/>
    <n v="14166.89"/>
    <m/>
    <m/>
    <m/>
    <m/>
    <n v="0"/>
  </r>
  <r>
    <x v="1"/>
    <m/>
    <s v="TDS on Contract"/>
    <m/>
    <s v=""/>
    <s v=""/>
    <s v=""/>
    <s v=""/>
    <s v=""/>
    <s v=""/>
    <m/>
    <n v="283"/>
    <m/>
    <m/>
    <m/>
    <n v="0"/>
  </r>
  <r>
    <x v="1"/>
    <m/>
    <s v="Round Off"/>
    <m/>
    <s v=""/>
    <s v=""/>
    <s v=""/>
    <s v=""/>
    <s v=""/>
    <s v=""/>
    <n v="0.11"/>
    <m/>
    <m/>
    <m/>
    <m/>
    <n v="0"/>
  </r>
  <r>
    <x v="2"/>
    <m/>
    <s v="New Ref"/>
    <s v="256779415265"/>
    <s v=""/>
    <n v="13884"/>
    <s v="Cr"/>
    <m/>
    <m/>
    <m/>
    <m/>
    <m/>
    <m/>
    <m/>
    <m/>
    <n v="0"/>
  </r>
  <r>
    <x v="29"/>
    <s v="Dr"/>
    <s v="(as per details)"/>
    <m/>
    <s v=""/>
    <s v=""/>
    <s v=""/>
    <s v=""/>
    <s v="June, 2025"/>
    <m/>
    <n v="171.88"/>
    <s v="Journal 1"/>
    <s v="119"/>
    <m/>
    <n v="14782"/>
    <n v="302"/>
  </r>
  <r>
    <x v="1"/>
    <m/>
    <s v="Outbound Handling Charges - E"/>
    <m/>
    <s v=""/>
    <s v=""/>
    <s v=""/>
    <s v=""/>
    <s v=""/>
    <s v=""/>
    <n v="15083.66"/>
    <m/>
    <m/>
    <m/>
    <m/>
    <n v="0"/>
  </r>
  <r>
    <x v="1"/>
    <m/>
    <s v="TDS on Contract"/>
    <m/>
    <s v=""/>
    <s v=""/>
    <s v=""/>
    <s v=""/>
    <s v=""/>
    <s v=""/>
    <m/>
    <n v="302"/>
    <m/>
    <m/>
    <m/>
    <n v="0"/>
  </r>
  <r>
    <x v="1"/>
    <m/>
    <s v="Round Off"/>
    <m/>
    <s v=""/>
    <s v=""/>
    <s v=""/>
    <s v=""/>
    <s v=""/>
    <s v=""/>
    <n v="0.34"/>
    <m/>
    <m/>
    <m/>
    <m/>
    <n v="0"/>
  </r>
  <r>
    <x v="2"/>
    <m/>
    <s v="New Ref"/>
    <s v="256779415020"/>
    <s v=""/>
    <n v="14782"/>
    <s v="Cr"/>
    <m/>
    <m/>
    <m/>
    <m/>
    <m/>
    <m/>
    <m/>
    <m/>
    <n v="0"/>
  </r>
  <r>
    <x v="29"/>
    <s v="Dr"/>
    <s v="(as per details)"/>
    <m/>
    <s v=""/>
    <s v=""/>
    <s v=""/>
    <s v=""/>
    <s v="June, 2025"/>
    <m/>
    <n v="108.73"/>
    <s v="Journal 1"/>
    <s v="120"/>
    <m/>
    <n v="9351"/>
    <n v="191"/>
  </r>
  <r>
    <x v="1"/>
    <m/>
    <s v="Inbound Handling - E"/>
    <m/>
    <s v=""/>
    <s v=""/>
    <s v=""/>
    <s v=""/>
    <s v=""/>
    <s v=""/>
    <n v="9541.77"/>
    <m/>
    <m/>
    <m/>
    <m/>
    <n v="0"/>
  </r>
  <r>
    <x v="1"/>
    <m/>
    <s v="TDS on Contract"/>
    <m/>
    <s v=""/>
    <s v=""/>
    <s v=""/>
    <s v=""/>
    <s v=""/>
    <s v=""/>
    <m/>
    <n v="191"/>
    <m/>
    <m/>
    <m/>
    <n v="0"/>
  </r>
  <r>
    <x v="1"/>
    <m/>
    <s v="Round Off"/>
    <m/>
    <s v=""/>
    <s v=""/>
    <s v=""/>
    <s v=""/>
    <s v=""/>
    <s v=""/>
    <n v="0.23"/>
    <m/>
    <m/>
    <m/>
    <m/>
    <n v="0"/>
  </r>
  <r>
    <x v="2"/>
    <m/>
    <s v="New Ref"/>
    <s v="256779415434"/>
    <s v=""/>
    <n v="9351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196"/>
    <s v="Journal 1"/>
    <s v="121"/>
    <m/>
    <n v="16856"/>
    <n v="344"/>
  </r>
  <r>
    <x v="1"/>
    <m/>
    <s v="Transportation Charges- IB-E (RCM)"/>
    <m/>
    <s v=""/>
    <s v=""/>
    <s v=""/>
    <s v=""/>
    <s v=""/>
    <s v=""/>
    <n v="17200.13"/>
    <m/>
    <m/>
    <m/>
    <m/>
    <n v="0"/>
  </r>
  <r>
    <x v="1"/>
    <m/>
    <s v="RCM IGST Input @ 5%"/>
    <m/>
    <s v=""/>
    <s v=""/>
    <s v=""/>
    <s v=""/>
    <s v=""/>
    <s v=""/>
    <n v="860.01"/>
    <m/>
    <m/>
    <m/>
    <m/>
    <n v="0"/>
  </r>
  <r>
    <x v="1"/>
    <m/>
    <s v="RCM IGST Liability @ 5%"/>
    <m/>
    <s v=""/>
    <s v=""/>
    <s v=""/>
    <s v=""/>
    <s v=""/>
    <s v=""/>
    <m/>
    <n v="860.01"/>
    <m/>
    <m/>
    <m/>
    <n v="0"/>
  </r>
  <r>
    <x v="1"/>
    <m/>
    <s v="TDS on Contract"/>
    <m/>
    <s v=""/>
    <s v=""/>
    <s v=""/>
    <s v=""/>
    <s v=""/>
    <s v=""/>
    <m/>
    <n v="344"/>
    <m/>
    <m/>
    <m/>
    <n v="0"/>
  </r>
  <r>
    <x v="1"/>
    <m/>
    <s v="Round Off"/>
    <m/>
    <s v=""/>
    <s v=""/>
    <s v=""/>
    <s v=""/>
    <s v=""/>
    <s v=""/>
    <m/>
    <n v="0.13"/>
    <m/>
    <m/>
    <m/>
    <n v="0"/>
  </r>
  <r>
    <x v="2"/>
    <m/>
    <s v="New Ref"/>
    <s v="256779415702"/>
    <s v=""/>
    <n v="16856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25.57"/>
    <s v="Journal 1"/>
    <s v="122"/>
    <m/>
    <n v="2199"/>
    <n v="45"/>
  </r>
  <r>
    <x v="1"/>
    <m/>
    <s v="Inbound Handling - E"/>
    <m/>
    <s v=""/>
    <s v=""/>
    <s v=""/>
    <s v=""/>
    <s v=""/>
    <s v=""/>
    <n v="2243.7600000000002"/>
    <m/>
    <m/>
    <m/>
    <m/>
    <n v="0"/>
  </r>
  <r>
    <x v="1"/>
    <m/>
    <s v="TDS on Contract"/>
    <m/>
    <s v=""/>
    <s v=""/>
    <s v=""/>
    <s v=""/>
    <s v=""/>
    <s v=""/>
    <m/>
    <n v="45"/>
    <m/>
    <m/>
    <m/>
    <n v="0"/>
  </r>
  <r>
    <x v="1"/>
    <m/>
    <s v="Round Off"/>
    <m/>
    <s v=""/>
    <s v=""/>
    <s v=""/>
    <s v=""/>
    <s v=""/>
    <s v=""/>
    <n v="0.24"/>
    <m/>
    <m/>
    <m/>
    <m/>
    <n v="0"/>
  </r>
  <r>
    <x v="2"/>
    <m/>
    <s v="New Ref"/>
    <s v="256779415445"/>
    <s v=""/>
    <n v="2199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72.27"/>
    <s v="Journal 1"/>
    <s v="123"/>
    <m/>
    <n v="6215"/>
    <n v="127"/>
  </r>
  <r>
    <x v="1"/>
    <m/>
    <s v="Outbound Handling Charges - E"/>
    <m/>
    <s v=""/>
    <s v=""/>
    <s v=""/>
    <s v=""/>
    <s v=""/>
    <s v=""/>
    <n v="6341.69"/>
    <m/>
    <m/>
    <m/>
    <m/>
    <n v="0"/>
  </r>
  <r>
    <x v="1"/>
    <m/>
    <s v="TDS on Contract"/>
    <m/>
    <s v=""/>
    <s v=""/>
    <s v=""/>
    <s v=""/>
    <s v=""/>
    <s v=""/>
    <m/>
    <n v="127"/>
    <m/>
    <m/>
    <m/>
    <n v="0"/>
  </r>
  <r>
    <x v="1"/>
    <m/>
    <s v="Round Off"/>
    <m/>
    <s v=""/>
    <s v=""/>
    <s v=""/>
    <s v=""/>
    <s v=""/>
    <s v=""/>
    <n v="0.31"/>
    <m/>
    <m/>
    <m/>
    <m/>
    <n v="0"/>
  </r>
  <r>
    <x v="2"/>
    <m/>
    <s v="New Ref"/>
    <s v="256779415458"/>
    <s v=""/>
    <n v="6215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234.41"/>
    <s v="Journal 1"/>
    <s v="124"/>
    <m/>
    <n v="20159"/>
    <n v="411"/>
  </r>
  <r>
    <x v="1"/>
    <m/>
    <s v="Inbound Handling - E"/>
    <m/>
    <s v=""/>
    <s v=""/>
    <s v=""/>
    <s v=""/>
    <s v=""/>
    <s v=""/>
    <n v="11110.43"/>
    <m/>
    <m/>
    <m/>
    <m/>
    <n v="0"/>
  </r>
  <r>
    <x v="1"/>
    <m/>
    <s v="Transportation Charges- IB-E (RCM)"/>
    <m/>
    <s v=""/>
    <s v=""/>
    <s v=""/>
    <s v=""/>
    <s v=""/>
    <s v=""/>
    <n v="9460"/>
    <m/>
    <m/>
    <m/>
    <m/>
    <n v="0"/>
  </r>
  <r>
    <x v="1"/>
    <m/>
    <s v="RCM IGST Input @ 5%"/>
    <m/>
    <s v=""/>
    <s v=""/>
    <s v=""/>
    <s v=""/>
    <s v=""/>
    <s v=""/>
    <n v="473"/>
    <m/>
    <m/>
    <m/>
    <m/>
    <n v="0"/>
  </r>
  <r>
    <x v="1"/>
    <m/>
    <s v="RCM IGST Liability @ 5%"/>
    <m/>
    <s v=""/>
    <s v=""/>
    <s v=""/>
    <s v=""/>
    <s v=""/>
    <s v=""/>
    <m/>
    <n v="473"/>
    <m/>
    <m/>
    <m/>
    <n v="0"/>
  </r>
  <r>
    <x v="1"/>
    <m/>
    <s v="TDS on Contract"/>
    <m/>
    <s v=""/>
    <s v=""/>
    <s v=""/>
    <s v=""/>
    <s v=""/>
    <s v=""/>
    <m/>
    <n v="411"/>
    <m/>
    <m/>
    <m/>
    <n v="0"/>
  </r>
  <r>
    <x v="1"/>
    <m/>
    <s v="Round Off"/>
    <m/>
    <s v=""/>
    <s v=""/>
    <s v=""/>
    <s v=""/>
    <s v=""/>
    <s v=""/>
    <m/>
    <n v="0.43"/>
    <m/>
    <m/>
    <m/>
    <n v="0"/>
  </r>
  <r>
    <x v="2"/>
    <m/>
    <s v="New Ref"/>
    <s v="256779415486"/>
    <s v=""/>
    <n v="20159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2.7"/>
    <s v="Journal 1"/>
    <s v="125"/>
    <m/>
    <n v="232"/>
    <n v="5"/>
  </r>
  <r>
    <x v="1"/>
    <m/>
    <s v="Outbound Handling Charges - E"/>
    <m/>
    <s v=""/>
    <s v=""/>
    <s v=""/>
    <s v=""/>
    <s v=""/>
    <s v=""/>
    <n v="236.5"/>
    <m/>
    <m/>
    <m/>
    <m/>
    <n v="0"/>
  </r>
  <r>
    <x v="1"/>
    <m/>
    <s v="TDS on Contract"/>
    <m/>
    <s v=""/>
    <s v=""/>
    <s v=""/>
    <s v=""/>
    <s v=""/>
    <s v=""/>
    <m/>
    <n v="5"/>
    <m/>
    <m/>
    <m/>
    <n v="0"/>
  </r>
  <r>
    <x v="1"/>
    <m/>
    <s v="Round Off"/>
    <m/>
    <s v=""/>
    <s v=""/>
    <s v=""/>
    <s v=""/>
    <s v=""/>
    <s v=""/>
    <n v="0.5"/>
    <m/>
    <m/>
    <m/>
    <m/>
    <n v="0"/>
  </r>
  <r>
    <x v="2"/>
    <m/>
    <s v="New Ref"/>
    <s v="256779415526"/>
    <s v=""/>
    <n v="232"/>
    <s v="Cr"/>
    <m/>
    <m/>
    <m/>
    <m/>
    <m/>
    <m/>
    <m/>
    <m/>
    <n v="0"/>
  </r>
  <r>
    <x v="29"/>
    <s v="Dr"/>
    <s v="(as per details)"/>
    <m/>
    <s v=""/>
    <s v=""/>
    <s v=""/>
    <s v=""/>
    <s v="May, 2025"/>
    <m/>
    <n v="28.67"/>
    <s v="Journal 1"/>
    <s v="126"/>
    <m/>
    <n v="2466"/>
    <n v="50"/>
  </r>
  <r>
    <x v="1"/>
    <m/>
    <s v="Inbound Handling - E"/>
    <m/>
    <s v=""/>
    <s v=""/>
    <s v=""/>
    <s v=""/>
    <s v=""/>
    <s v=""/>
    <n v="2515.52"/>
    <m/>
    <m/>
    <m/>
    <m/>
    <n v="0"/>
  </r>
  <r>
    <x v="1"/>
    <m/>
    <s v="TDS on Contract"/>
    <m/>
    <s v=""/>
    <s v=""/>
    <s v=""/>
    <s v=""/>
    <s v=""/>
    <s v=""/>
    <m/>
    <n v="50"/>
    <m/>
    <m/>
    <m/>
    <n v="0"/>
  </r>
  <r>
    <x v="1"/>
    <m/>
    <s v="Round Off"/>
    <m/>
    <s v=""/>
    <s v=""/>
    <s v=""/>
    <s v=""/>
    <s v=""/>
    <s v=""/>
    <n v="0.48"/>
    <m/>
    <m/>
    <m/>
    <m/>
    <n v="0"/>
  </r>
  <r>
    <x v="2"/>
    <m/>
    <s v="New Ref"/>
    <s v="256779415946"/>
    <s v=""/>
    <n v="2466"/>
    <s v="Cr"/>
    <m/>
    <m/>
    <m/>
    <m/>
    <m/>
    <m/>
    <m/>
    <m/>
    <n v="0"/>
  </r>
  <r>
    <x v="29"/>
    <s v="Dr"/>
    <s v="(as per details)"/>
    <m/>
    <s v=""/>
    <s v=""/>
    <s v=""/>
    <s v=""/>
    <s v="May, 2025"/>
    <m/>
    <n v="148.55000000000001"/>
    <s v="Journal 1"/>
    <s v="127"/>
    <m/>
    <n v="12698"/>
    <n v="259"/>
  </r>
  <r>
    <x v="1"/>
    <m/>
    <s v="VOS Activity - E"/>
    <m/>
    <s v=""/>
    <s v=""/>
    <s v=""/>
    <s v=""/>
    <s v=""/>
    <s v=""/>
    <n v="12957.06"/>
    <m/>
    <m/>
    <m/>
    <m/>
    <n v="0"/>
  </r>
  <r>
    <x v="1"/>
    <m/>
    <s v="TDS on Contract"/>
    <m/>
    <s v=""/>
    <s v=""/>
    <s v=""/>
    <s v=""/>
    <s v=""/>
    <s v=""/>
    <m/>
    <n v="259"/>
    <m/>
    <m/>
    <m/>
    <n v="0"/>
  </r>
  <r>
    <x v="1"/>
    <m/>
    <s v="Round Off"/>
    <m/>
    <s v=""/>
    <s v=""/>
    <s v=""/>
    <s v=""/>
    <s v=""/>
    <s v=""/>
    <m/>
    <n v="0.06"/>
    <m/>
    <m/>
    <m/>
    <n v="0"/>
  </r>
  <r>
    <x v="2"/>
    <m/>
    <s v="New Ref"/>
    <s v="256779416000"/>
    <s v=""/>
    <n v="12698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25.75"/>
    <s v="Journal 1"/>
    <s v="128"/>
    <m/>
    <n v="2215"/>
    <n v="45"/>
  </r>
  <r>
    <x v="1"/>
    <m/>
    <s v="Inbound Handling - E"/>
    <m/>
    <s v=""/>
    <s v=""/>
    <s v=""/>
    <s v=""/>
    <s v=""/>
    <s v=""/>
    <n v="2260.0100000000002"/>
    <m/>
    <m/>
    <m/>
    <m/>
    <n v="0"/>
  </r>
  <r>
    <x v="1"/>
    <m/>
    <s v="TDS on Contract"/>
    <m/>
    <s v=""/>
    <s v=""/>
    <s v=""/>
    <s v=""/>
    <s v=""/>
    <s v=""/>
    <m/>
    <n v="45"/>
    <m/>
    <m/>
    <m/>
    <n v="0"/>
  </r>
  <r>
    <x v="1"/>
    <m/>
    <s v="Round Off"/>
    <m/>
    <s v=""/>
    <s v=""/>
    <s v=""/>
    <s v=""/>
    <s v=""/>
    <s v=""/>
    <m/>
    <n v="0.01"/>
    <m/>
    <m/>
    <m/>
    <n v="0"/>
  </r>
  <r>
    <x v="2"/>
    <m/>
    <s v="New Ref"/>
    <s v="256779416143"/>
    <s v=""/>
    <n v="2215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100.28"/>
    <s v="Journal 1"/>
    <s v="129"/>
    <m/>
    <n v="8627"/>
    <n v="176"/>
  </r>
  <r>
    <x v="1"/>
    <m/>
    <s v="Inbound Handling - E"/>
    <m/>
    <s v=""/>
    <s v=""/>
    <s v=""/>
    <s v=""/>
    <s v=""/>
    <s v=""/>
    <n v="8803.4599999999991"/>
    <m/>
    <m/>
    <m/>
    <m/>
    <n v="0"/>
  </r>
  <r>
    <x v="1"/>
    <m/>
    <s v="TDS on Contract"/>
    <m/>
    <s v=""/>
    <s v=""/>
    <s v=""/>
    <s v=""/>
    <s v=""/>
    <s v=""/>
    <m/>
    <n v="176"/>
    <m/>
    <m/>
    <m/>
    <n v="0"/>
  </r>
  <r>
    <x v="1"/>
    <m/>
    <s v="Round Off"/>
    <m/>
    <s v=""/>
    <s v=""/>
    <s v=""/>
    <s v=""/>
    <s v=""/>
    <s v=""/>
    <m/>
    <n v="0.46"/>
    <m/>
    <m/>
    <m/>
    <n v="0"/>
  </r>
  <r>
    <x v="2"/>
    <m/>
    <s v="New Ref"/>
    <s v="256779416183"/>
    <s v=""/>
    <n v="8627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22.25"/>
    <s v="Journal 1"/>
    <s v="130"/>
    <m/>
    <n v="1914"/>
    <n v="39"/>
  </r>
  <r>
    <x v="1"/>
    <m/>
    <s v="Outbound Handling Charges - E"/>
    <m/>
    <s v=""/>
    <s v=""/>
    <s v=""/>
    <s v=""/>
    <s v=""/>
    <s v=""/>
    <n v="1952.88"/>
    <m/>
    <m/>
    <m/>
    <m/>
    <n v="0"/>
  </r>
  <r>
    <x v="1"/>
    <m/>
    <s v="TDS on Contract"/>
    <m/>
    <s v=""/>
    <s v=""/>
    <s v=""/>
    <s v=""/>
    <s v=""/>
    <s v=""/>
    <m/>
    <n v="39"/>
    <m/>
    <m/>
    <m/>
    <n v="0"/>
  </r>
  <r>
    <x v="1"/>
    <m/>
    <s v="Round Off"/>
    <m/>
    <s v=""/>
    <s v=""/>
    <s v=""/>
    <s v=""/>
    <s v=""/>
    <s v=""/>
    <n v="0.12"/>
    <m/>
    <m/>
    <m/>
    <m/>
    <n v="0"/>
  </r>
  <r>
    <x v="2"/>
    <m/>
    <s v="New Ref"/>
    <s v="256779416229"/>
    <s v=""/>
    <n v="1914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351.14"/>
    <s v="Journal 1"/>
    <s v="131"/>
    <m/>
    <n v="30209"/>
    <n v="617"/>
  </r>
  <r>
    <x v="1"/>
    <m/>
    <s v="VOS Activity - E"/>
    <m/>
    <s v=""/>
    <s v=""/>
    <s v=""/>
    <s v=""/>
    <s v=""/>
    <s v=""/>
    <n v="30826.31"/>
    <m/>
    <m/>
    <m/>
    <m/>
    <n v="0"/>
  </r>
  <r>
    <x v="1"/>
    <m/>
    <s v="TDS on Contract"/>
    <m/>
    <s v=""/>
    <s v=""/>
    <s v=""/>
    <s v=""/>
    <s v=""/>
    <s v=""/>
    <m/>
    <n v="617"/>
    <m/>
    <m/>
    <m/>
    <n v="0"/>
  </r>
  <r>
    <x v="1"/>
    <m/>
    <s v="Round Off"/>
    <m/>
    <s v=""/>
    <s v=""/>
    <s v=""/>
    <s v=""/>
    <s v=""/>
    <s v=""/>
    <m/>
    <n v="0.31"/>
    <m/>
    <m/>
    <m/>
    <n v="0"/>
  </r>
  <r>
    <x v="2"/>
    <m/>
    <s v="New Ref"/>
    <s v="256779416447"/>
    <s v=""/>
    <n v="30209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13.43"/>
    <s v="Journal 1"/>
    <s v="132"/>
    <m/>
    <n v="1155"/>
    <n v="24"/>
  </r>
  <r>
    <x v="1"/>
    <m/>
    <s v="VOS Activity - E"/>
    <m/>
    <s v=""/>
    <s v=""/>
    <s v=""/>
    <s v=""/>
    <s v=""/>
    <s v=""/>
    <n v="1179.47"/>
    <m/>
    <m/>
    <m/>
    <m/>
    <n v="0"/>
  </r>
  <r>
    <x v="1"/>
    <m/>
    <s v="TDS on Contract"/>
    <m/>
    <s v=""/>
    <s v=""/>
    <s v=""/>
    <s v=""/>
    <s v=""/>
    <s v=""/>
    <m/>
    <n v="24"/>
    <m/>
    <m/>
    <m/>
    <n v="0"/>
  </r>
  <r>
    <x v="1"/>
    <m/>
    <s v="Round Off"/>
    <m/>
    <s v=""/>
    <s v=""/>
    <s v=""/>
    <s v=""/>
    <s v=""/>
    <s v=""/>
    <m/>
    <n v="0.47"/>
    <m/>
    <m/>
    <m/>
    <n v="0"/>
  </r>
  <r>
    <x v="2"/>
    <m/>
    <s v="New Ref"/>
    <s v="256779416455"/>
    <s v=""/>
    <n v="1155"/>
    <s v="Cr"/>
    <m/>
    <m/>
    <m/>
    <m/>
    <m/>
    <m/>
    <m/>
    <m/>
    <n v="0"/>
  </r>
  <r>
    <x v="29"/>
    <s v="Dr"/>
    <s v="(as per details)"/>
    <m/>
    <s v=""/>
    <s v=""/>
    <s v=""/>
    <s v=""/>
    <s v="July, 2025"/>
    <m/>
    <n v="55.2"/>
    <s v="Journal 1"/>
    <s v="133"/>
    <m/>
    <n v="4749"/>
    <n v="97"/>
  </r>
  <r>
    <x v="1"/>
    <m/>
    <s v="VOS Activity - E"/>
    <m/>
    <s v=""/>
    <s v=""/>
    <s v=""/>
    <s v=""/>
    <s v=""/>
    <s v=""/>
    <n v="4846.08"/>
    <m/>
    <m/>
    <m/>
    <m/>
    <n v="0"/>
  </r>
  <r>
    <x v="1"/>
    <m/>
    <s v="TDS on Contract"/>
    <m/>
    <s v=""/>
    <s v=""/>
    <s v=""/>
    <s v=""/>
    <s v=""/>
    <s v=""/>
    <m/>
    <n v="97"/>
    <m/>
    <m/>
    <m/>
    <n v="0"/>
  </r>
  <r>
    <x v="1"/>
    <m/>
    <s v="Round Off"/>
    <m/>
    <s v=""/>
    <s v=""/>
    <s v=""/>
    <s v=""/>
    <s v=""/>
    <s v=""/>
    <m/>
    <n v="0.08"/>
    <m/>
    <m/>
    <m/>
    <n v="0"/>
  </r>
  <r>
    <x v="2"/>
    <m/>
    <s v="New Ref"/>
    <s v="256779416517"/>
    <s v=""/>
    <n v="4749"/>
    <s v="Cr"/>
    <m/>
    <m/>
    <m/>
    <m/>
    <m/>
    <m/>
    <m/>
    <m/>
    <n v="0"/>
  </r>
  <r>
    <x v="29"/>
    <s v="Dr"/>
    <s v="(as per details)"/>
    <m/>
    <s v=""/>
    <s v=""/>
    <s v=""/>
    <s v=""/>
    <s v="August, 2025"/>
    <m/>
    <n v="17.39"/>
    <s v="Journal 1"/>
    <s v="134"/>
    <m/>
    <n v="1496"/>
    <n v="31"/>
  </r>
  <r>
    <x v="1"/>
    <m/>
    <s v="Inbound Handling - E"/>
    <m/>
    <s v=""/>
    <s v=""/>
    <s v=""/>
    <s v=""/>
    <s v=""/>
    <s v=""/>
    <n v="1527.03"/>
    <m/>
    <m/>
    <m/>
    <m/>
    <n v="0"/>
  </r>
  <r>
    <x v="1"/>
    <m/>
    <s v="TDS on Contract"/>
    <m/>
    <s v=""/>
    <s v=""/>
    <s v=""/>
    <s v=""/>
    <s v=""/>
    <s v=""/>
    <m/>
    <n v="31"/>
    <m/>
    <m/>
    <m/>
    <n v="0"/>
  </r>
  <r>
    <x v="1"/>
    <m/>
    <s v="Round Off"/>
    <m/>
    <s v=""/>
    <s v=""/>
    <s v=""/>
    <s v=""/>
    <s v=""/>
    <s v=""/>
    <m/>
    <n v="0.03"/>
    <m/>
    <m/>
    <m/>
    <n v="0"/>
  </r>
  <r>
    <x v="2"/>
    <m/>
    <s v="New Ref"/>
    <s v="256779416848"/>
    <s v=""/>
    <n v="1496"/>
    <s v="Cr"/>
    <m/>
    <m/>
    <m/>
    <m/>
    <m/>
    <m/>
    <m/>
    <m/>
    <n v="0"/>
  </r>
  <r>
    <x v="29"/>
    <s v="Dr"/>
    <s v="(as per details)"/>
    <m/>
    <s v=""/>
    <s v=""/>
    <s v=""/>
    <s v=""/>
    <s v="August, 2025"/>
    <m/>
    <n v="49.05"/>
    <s v="Journal 1"/>
    <s v="135"/>
    <m/>
    <n v="4220"/>
    <n v="86"/>
  </r>
  <r>
    <x v="1"/>
    <m/>
    <s v="Outbound Handling Charges - E"/>
    <m/>
    <s v=""/>
    <s v=""/>
    <s v=""/>
    <s v=""/>
    <s v=""/>
    <s v=""/>
    <n v="4305.8100000000004"/>
    <m/>
    <m/>
    <m/>
    <m/>
    <n v="0"/>
  </r>
  <r>
    <x v="1"/>
    <m/>
    <s v="TDS on Contract"/>
    <m/>
    <s v=""/>
    <s v=""/>
    <s v=""/>
    <s v=""/>
    <s v=""/>
    <s v=""/>
    <m/>
    <n v="86"/>
    <m/>
    <m/>
    <m/>
    <n v="0"/>
  </r>
  <r>
    <x v="1"/>
    <m/>
    <s v="Round Off"/>
    <m/>
    <s v=""/>
    <s v=""/>
    <s v=""/>
    <s v=""/>
    <s v=""/>
    <s v=""/>
    <n v="0.19"/>
    <m/>
    <m/>
    <m/>
    <m/>
    <n v="0"/>
  </r>
  <r>
    <x v="2"/>
    <m/>
    <s v="New Ref"/>
    <s v="256779416883"/>
    <s v=""/>
    <n v="4220"/>
    <s v="Cr"/>
    <m/>
    <m/>
    <m/>
    <m/>
    <m/>
    <m/>
    <m/>
    <m/>
    <n v="0"/>
  </r>
  <r>
    <x v="30"/>
    <s v="Cr"/>
    <s v="Srikaram Prescience Pvt. Ltd- Noida"/>
    <m/>
    <s v=""/>
    <s v=""/>
    <s v=""/>
    <s v=""/>
    <s v=", 0"/>
    <m/>
    <m/>
    <s v="Journal"/>
    <s v="323"/>
    <n v="100000"/>
    <m/>
    <n v="0"/>
  </r>
  <r>
    <x v="2"/>
    <m/>
    <s v="Agst Ref"/>
    <s v="256779413316"/>
    <s v=""/>
    <n v="28942"/>
    <s v="Dr"/>
    <m/>
    <m/>
    <m/>
    <m/>
    <m/>
    <m/>
    <m/>
    <m/>
    <n v="0"/>
  </r>
  <r>
    <x v="2"/>
    <m/>
    <s v="Agst Ref"/>
    <s v="256779413491"/>
    <s v=""/>
    <n v="7478"/>
    <s v="Dr"/>
    <m/>
    <m/>
    <m/>
    <m/>
    <m/>
    <m/>
    <m/>
    <m/>
    <n v="0"/>
  </r>
  <r>
    <x v="2"/>
    <m/>
    <s v="Agst Ref"/>
    <s v="256779413891"/>
    <s v=""/>
    <n v="63580"/>
    <s v="Dr"/>
    <m/>
    <m/>
    <m/>
    <m/>
    <m/>
    <m/>
    <m/>
    <m/>
    <n v="0"/>
  </r>
  <r>
    <x v="31"/>
    <s v="Cr"/>
    <s v="Srikaram Prescience Pvt. Ltd- Noida"/>
    <m/>
    <s v=""/>
    <s v=""/>
    <s v=""/>
    <s v=""/>
    <s v=", 0"/>
    <m/>
    <m/>
    <s v="Journal"/>
    <s v="338"/>
    <n v="100000"/>
    <m/>
    <n v="0"/>
  </r>
  <r>
    <x v="2"/>
    <m/>
    <s v="Agst Ref"/>
    <s v="256779413891"/>
    <s v=""/>
    <n v="52637"/>
    <s v="Dr"/>
    <m/>
    <m/>
    <m/>
    <m/>
    <m/>
    <m/>
    <m/>
    <m/>
    <n v="0"/>
  </r>
  <r>
    <x v="2"/>
    <m/>
    <s v="Agst Ref"/>
    <s v="256779413922"/>
    <s v=""/>
    <n v="30905"/>
    <s v="Dr"/>
    <m/>
    <m/>
    <m/>
    <m/>
    <m/>
    <m/>
    <m/>
    <m/>
    <n v="0"/>
  </r>
  <r>
    <x v="2"/>
    <m/>
    <s v="Agst Ref"/>
    <s v="256779413998"/>
    <s v=""/>
    <n v="15936"/>
    <s v="Dr"/>
    <m/>
    <m/>
    <m/>
    <m/>
    <m/>
    <m/>
    <m/>
    <m/>
    <n v="0"/>
  </r>
  <r>
    <x v="2"/>
    <m/>
    <s v="Agst Ref"/>
    <s v="256779414176"/>
    <s v=""/>
    <n v="522"/>
    <s v="Dr"/>
    <m/>
    <m/>
    <m/>
    <m/>
    <m/>
    <m/>
    <m/>
    <m/>
    <n v="0"/>
  </r>
  <r>
    <x v="32"/>
    <s v="Cr"/>
    <s v="Srikaram Prescience Pvt. Ltd- Noida"/>
    <m/>
    <s v=""/>
    <s v=""/>
    <s v=""/>
    <s v=""/>
    <s v=", 0"/>
    <m/>
    <m/>
    <s v="Journal"/>
    <s v="349"/>
    <n v="100000"/>
    <m/>
    <n v="0"/>
  </r>
  <r>
    <x v="2"/>
    <m/>
    <s v="Agst Ref"/>
    <s v="256779414176"/>
    <s v=""/>
    <n v="10312"/>
    <s v="Dr"/>
    <m/>
    <m/>
    <m/>
    <m/>
    <m/>
    <m/>
    <m/>
    <m/>
    <n v="0"/>
  </r>
  <r>
    <x v="2"/>
    <m/>
    <s v="Agst Ref"/>
    <s v="256779414221"/>
    <s v=""/>
    <n v="3872"/>
    <s v="Dr"/>
    <m/>
    <m/>
    <m/>
    <m/>
    <m/>
    <m/>
    <m/>
    <m/>
    <n v="0"/>
  </r>
  <r>
    <x v="2"/>
    <m/>
    <s v="Agst Ref"/>
    <s v="256779414232"/>
    <s v=""/>
    <n v="85816"/>
    <s v="Dr"/>
    <m/>
    <m/>
    <m/>
    <m/>
    <m/>
    <m/>
    <m/>
    <m/>
    <n v="0"/>
  </r>
  <r>
    <x v="33"/>
    <s v="Dr"/>
    <s v="(as per details)"/>
    <m/>
    <s v=""/>
    <s v=""/>
    <s v=""/>
    <s v=""/>
    <s v="August, 2025"/>
    <m/>
    <n v="73.63"/>
    <s v="Journal 1"/>
    <s v="141"/>
    <m/>
    <n v="6444"/>
    <n v="131"/>
  </r>
  <r>
    <x v="1"/>
    <m/>
    <s v="VOS Activity - E"/>
    <m/>
    <s v=""/>
    <s v=""/>
    <s v=""/>
    <s v=""/>
    <s v=""/>
    <s v=""/>
    <n v="6574.95"/>
    <m/>
    <m/>
    <m/>
    <m/>
    <n v="0"/>
  </r>
  <r>
    <x v="1"/>
    <m/>
    <s v="TDS on Contract"/>
    <m/>
    <s v=""/>
    <s v=""/>
    <s v=""/>
    <s v=""/>
    <s v=""/>
    <s v=""/>
    <m/>
    <n v="131"/>
    <m/>
    <m/>
    <m/>
    <n v="0"/>
  </r>
  <r>
    <x v="1"/>
    <m/>
    <s v="Round Off"/>
    <m/>
    <s v=""/>
    <s v=""/>
    <s v=""/>
    <s v=""/>
    <s v=""/>
    <s v=""/>
    <n v="0.05"/>
    <m/>
    <m/>
    <m/>
    <m/>
    <n v="0"/>
  </r>
  <r>
    <x v="2"/>
    <m/>
    <s v="New Ref"/>
    <s v="256779417163"/>
    <s v=""/>
    <n v="6444"/>
    <s v="Cr"/>
    <m/>
    <m/>
    <m/>
    <m/>
    <m/>
    <m/>
    <m/>
    <m/>
    <n v="0"/>
  </r>
  <r>
    <x v="33"/>
    <s v="Dr"/>
    <s v="(as per details)"/>
    <m/>
    <s v=""/>
    <s v=""/>
    <s v=""/>
    <s v=""/>
    <s v="August, 2025"/>
    <m/>
    <n v="137.19999999999999"/>
    <s v="Journal 1"/>
    <s v="142"/>
    <m/>
    <n v="12007"/>
    <n v="245"/>
  </r>
  <r>
    <x v="1"/>
    <m/>
    <s v="Transportation Charges- IB-E (RCM)"/>
    <m/>
    <s v=""/>
    <s v=""/>
    <s v=""/>
    <s v=""/>
    <s v=""/>
    <s v=""/>
    <n v="12252.01"/>
    <m/>
    <m/>
    <m/>
    <m/>
    <n v="0"/>
  </r>
  <r>
    <x v="1"/>
    <m/>
    <s v="RCM IGST Input @ 5%"/>
    <m/>
    <s v=""/>
    <s v=""/>
    <s v=""/>
    <s v=""/>
    <s v=""/>
    <s v=""/>
    <n v="612.6"/>
    <m/>
    <m/>
    <m/>
    <m/>
    <n v="0"/>
  </r>
  <r>
    <x v="1"/>
    <m/>
    <s v="RCM IGST Liability @ 5%"/>
    <m/>
    <s v=""/>
    <s v=""/>
    <s v=""/>
    <s v=""/>
    <s v=""/>
    <s v=""/>
    <m/>
    <n v="612.6"/>
    <m/>
    <m/>
    <m/>
    <n v="0"/>
  </r>
  <r>
    <x v="1"/>
    <m/>
    <s v="TDS on Contract"/>
    <m/>
    <s v=""/>
    <s v=""/>
    <s v=""/>
    <s v=""/>
    <s v=""/>
    <s v=""/>
    <m/>
    <n v="245"/>
    <m/>
    <m/>
    <m/>
    <n v="0"/>
  </r>
  <r>
    <x v="1"/>
    <m/>
    <s v="Round Off"/>
    <m/>
    <s v=""/>
    <s v=""/>
    <s v=""/>
    <s v=""/>
    <s v=""/>
    <s v=""/>
    <m/>
    <n v="0.01"/>
    <m/>
    <m/>
    <m/>
    <n v="0"/>
  </r>
  <r>
    <x v="2"/>
    <m/>
    <s v="New Ref"/>
    <s v="256779417188"/>
    <s v=""/>
    <n v="12007"/>
    <s v="Cr"/>
    <m/>
    <m/>
    <m/>
    <m/>
    <m/>
    <m/>
    <m/>
    <m/>
    <n v="0"/>
  </r>
  <r>
    <x v="33"/>
    <s v="Dr"/>
    <s v="(as per details)"/>
    <m/>
    <s v=""/>
    <s v=""/>
    <s v=""/>
    <s v=""/>
    <s v="August, 2025"/>
    <m/>
    <n v="105.96"/>
    <s v="Journal 1"/>
    <s v="143"/>
    <m/>
    <n v="9273"/>
    <n v="189"/>
  </r>
  <r>
    <x v="1"/>
    <m/>
    <s v="Inbound Handling - E"/>
    <m/>
    <s v=""/>
    <s v=""/>
    <s v=""/>
    <s v=""/>
    <s v=""/>
    <s v=""/>
    <n v="9462.0499999999993"/>
    <m/>
    <m/>
    <m/>
    <m/>
    <n v="0"/>
  </r>
  <r>
    <x v="1"/>
    <m/>
    <s v="TDS on Contract"/>
    <m/>
    <s v=""/>
    <s v=""/>
    <s v=""/>
    <s v=""/>
    <s v=""/>
    <s v=""/>
    <m/>
    <n v="189"/>
    <m/>
    <m/>
    <m/>
    <n v="0"/>
  </r>
  <r>
    <x v="1"/>
    <m/>
    <s v="Round Off"/>
    <m/>
    <s v=""/>
    <s v=""/>
    <s v=""/>
    <s v=""/>
    <s v=""/>
    <s v=""/>
    <m/>
    <n v="0.05"/>
    <m/>
    <m/>
    <m/>
    <n v="0"/>
  </r>
  <r>
    <x v="2"/>
    <m/>
    <s v="New Ref"/>
    <s v="256779417247"/>
    <s v=""/>
    <n v="9273"/>
    <s v="Cr"/>
    <m/>
    <m/>
    <m/>
    <m/>
    <m/>
    <m/>
    <m/>
    <m/>
    <n v="0"/>
  </r>
  <r>
    <x v="33"/>
    <s v="Dr"/>
    <s v="(as per details)"/>
    <m/>
    <s v=""/>
    <s v=""/>
    <s v=""/>
    <s v=""/>
    <s v="August, 2025"/>
    <m/>
    <n v="566.83000000000004"/>
    <s v="Journal 1"/>
    <s v="144"/>
    <m/>
    <n v="49606"/>
    <n v="1012"/>
  </r>
  <r>
    <x v="1"/>
    <m/>
    <s v="Inbound Handling - E"/>
    <m/>
    <s v=""/>
    <s v=""/>
    <s v=""/>
    <s v=""/>
    <s v=""/>
    <s v=""/>
    <n v="10361.700000000001"/>
    <m/>
    <m/>
    <m/>
    <m/>
    <n v="0"/>
  </r>
  <r>
    <x v="1"/>
    <m/>
    <s v="Transportation Charges- IB-E (RCM)"/>
    <m/>
    <s v=""/>
    <s v=""/>
    <s v=""/>
    <s v=""/>
    <s v=""/>
    <s v=""/>
    <n v="40256.589999999997"/>
    <m/>
    <m/>
    <m/>
    <m/>
    <n v="0"/>
  </r>
  <r>
    <x v="1"/>
    <m/>
    <s v="RCM IGST Input @ 5%"/>
    <m/>
    <s v=""/>
    <s v=""/>
    <s v=""/>
    <s v=""/>
    <s v=""/>
    <s v=""/>
    <n v="2012.83"/>
    <m/>
    <m/>
    <m/>
    <m/>
    <n v="0"/>
  </r>
  <r>
    <x v="1"/>
    <m/>
    <s v="RCM IGST Liability @ 5%"/>
    <m/>
    <s v=""/>
    <s v=""/>
    <s v=""/>
    <s v=""/>
    <s v=""/>
    <s v=""/>
    <m/>
    <n v="2012.83"/>
    <m/>
    <m/>
    <m/>
    <n v="0"/>
  </r>
  <r>
    <x v="1"/>
    <m/>
    <s v="TDS on Contract"/>
    <m/>
    <s v=""/>
    <s v=""/>
    <s v=""/>
    <s v=""/>
    <s v=""/>
    <s v=""/>
    <m/>
    <n v="1012"/>
    <m/>
    <m/>
    <m/>
    <n v="0"/>
  </r>
  <r>
    <x v="1"/>
    <m/>
    <s v="Round Off"/>
    <m/>
    <s v=""/>
    <s v=""/>
    <s v=""/>
    <s v=""/>
    <s v=""/>
    <s v=""/>
    <m/>
    <n v="0.28999999999999998"/>
    <m/>
    <m/>
    <m/>
    <n v="0"/>
  </r>
  <r>
    <x v="2"/>
    <m/>
    <s v="New Ref"/>
    <s v="256779417290"/>
    <s v=""/>
    <n v="49606"/>
    <s v="Cr"/>
    <m/>
    <m/>
    <m/>
    <m/>
    <m/>
    <m/>
    <m/>
    <m/>
    <n v="0"/>
  </r>
  <r>
    <x v="33"/>
    <s v="Dr"/>
    <s v="(as per details)"/>
    <m/>
    <s v=""/>
    <s v=""/>
    <s v=""/>
    <s v=""/>
    <s v="August, 2025"/>
    <m/>
    <n v="13.24"/>
    <s v="Journal 1"/>
    <s v="145"/>
    <m/>
    <n v="1159"/>
    <n v="24"/>
  </r>
  <r>
    <x v="1"/>
    <m/>
    <s v="Outbound Handling Charges - E"/>
    <m/>
    <s v=""/>
    <s v=""/>
    <s v=""/>
    <s v=""/>
    <s v=""/>
    <s v=""/>
    <n v="1183.19"/>
    <m/>
    <m/>
    <m/>
    <m/>
    <n v="0"/>
  </r>
  <r>
    <x v="1"/>
    <m/>
    <s v="TDS on Contract"/>
    <m/>
    <s v=""/>
    <s v=""/>
    <s v=""/>
    <s v=""/>
    <s v=""/>
    <s v=""/>
    <m/>
    <n v="24"/>
    <m/>
    <m/>
    <m/>
    <n v="0"/>
  </r>
  <r>
    <x v="1"/>
    <m/>
    <s v="Round Off"/>
    <m/>
    <s v=""/>
    <s v=""/>
    <s v=""/>
    <s v=""/>
    <s v=""/>
    <s v=""/>
    <m/>
    <n v="0.19"/>
    <m/>
    <m/>
    <m/>
    <n v="0"/>
  </r>
  <r>
    <x v="2"/>
    <m/>
    <s v="New Ref"/>
    <s v="256779417330"/>
    <s v=""/>
    <n v="1159"/>
    <s v="Cr"/>
    <m/>
    <m/>
    <m/>
    <m/>
    <m/>
    <m/>
    <m/>
    <m/>
    <n v="0"/>
  </r>
  <r>
    <x v="33"/>
    <s v="Dr"/>
    <s v="(as per details)"/>
    <m/>
    <s v=""/>
    <s v=""/>
    <s v=""/>
    <s v=""/>
    <s v="September, 2025"/>
    <m/>
    <n v="1299.67"/>
    <s v="Journal 1"/>
    <s v="146"/>
    <m/>
    <n v="113740"/>
    <n v="2321"/>
  </r>
  <r>
    <x v="1"/>
    <m/>
    <s v="VOS Activity - E"/>
    <m/>
    <s v=""/>
    <s v=""/>
    <s v=""/>
    <s v=""/>
    <s v=""/>
    <s v=""/>
    <n v="116061.5"/>
    <m/>
    <m/>
    <m/>
    <m/>
    <n v="0"/>
  </r>
  <r>
    <x v="1"/>
    <m/>
    <s v="TDS on Contract"/>
    <m/>
    <s v=""/>
    <s v=""/>
    <s v=""/>
    <s v=""/>
    <s v=""/>
    <s v=""/>
    <m/>
    <n v="2321"/>
    <m/>
    <m/>
    <m/>
    <n v="0"/>
  </r>
  <r>
    <x v="1"/>
    <m/>
    <s v="Round Off"/>
    <m/>
    <s v=""/>
    <s v=""/>
    <s v=""/>
    <s v=""/>
    <s v=""/>
    <s v=""/>
    <m/>
    <n v="0.5"/>
    <m/>
    <m/>
    <m/>
    <n v="0"/>
  </r>
  <r>
    <x v="2"/>
    <m/>
    <s v="New Ref"/>
    <s v="256779417444"/>
    <s v=""/>
    <n v="113740"/>
    <s v="Cr"/>
    <m/>
    <m/>
    <m/>
    <m/>
    <m/>
    <m/>
    <m/>
    <m/>
    <n v="0"/>
  </r>
  <r>
    <x v="33"/>
    <s v="Dr"/>
    <s v="(as per details)"/>
    <m/>
    <s v=""/>
    <s v=""/>
    <s v=""/>
    <s v=""/>
    <s v="September, 2025"/>
    <m/>
    <n v="40.47"/>
    <s v="Journal 1"/>
    <s v="147"/>
    <m/>
    <n v="3542"/>
    <n v="72"/>
  </r>
  <r>
    <x v="1"/>
    <m/>
    <s v="Outbound Handling Charges - E"/>
    <m/>
    <s v=""/>
    <s v=""/>
    <s v=""/>
    <s v=""/>
    <s v=""/>
    <s v=""/>
    <n v="3614.34"/>
    <m/>
    <m/>
    <m/>
    <m/>
    <n v="0"/>
  </r>
  <r>
    <x v="1"/>
    <m/>
    <s v="TDS on Contract"/>
    <m/>
    <s v=""/>
    <s v=""/>
    <s v=""/>
    <s v=""/>
    <s v=""/>
    <s v=""/>
    <m/>
    <n v="72"/>
    <m/>
    <m/>
    <m/>
    <n v="0"/>
  </r>
  <r>
    <x v="1"/>
    <m/>
    <s v="Round Off"/>
    <m/>
    <s v=""/>
    <s v=""/>
    <s v=""/>
    <s v=""/>
    <s v=""/>
    <s v=""/>
    <m/>
    <n v="0.34"/>
    <m/>
    <m/>
    <m/>
    <n v="0"/>
  </r>
  <r>
    <x v="2"/>
    <m/>
    <s v="New Ref"/>
    <s v="256779417530"/>
    <s v=""/>
    <n v="3542"/>
    <s v="Cr"/>
    <m/>
    <m/>
    <m/>
    <m/>
    <m/>
    <m/>
    <m/>
    <m/>
    <n v="0"/>
  </r>
  <r>
    <x v="33"/>
    <s v="Dr"/>
    <s v="(as per details)"/>
    <m/>
    <s v=""/>
    <s v=""/>
    <s v=""/>
    <s v=""/>
    <s v="September, 2025"/>
    <m/>
    <n v="153.69999999999999"/>
    <s v="Journal 1"/>
    <s v="148"/>
    <m/>
    <n v="13451"/>
    <n v="275"/>
  </r>
  <r>
    <x v="1"/>
    <m/>
    <s v="Inbound Handling - E"/>
    <m/>
    <s v=""/>
    <s v=""/>
    <s v=""/>
    <s v=""/>
    <s v=""/>
    <s v=""/>
    <n v="13725.75"/>
    <m/>
    <m/>
    <m/>
    <m/>
    <n v="0"/>
  </r>
  <r>
    <x v="1"/>
    <m/>
    <s v="TDS on Contract"/>
    <m/>
    <s v=""/>
    <s v=""/>
    <s v=""/>
    <s v=""/>
    <s v=""/>
    <s v=""/>
    <m/>
    <n v="275"/>
    <m/>
    <m/>
    <m/>
    <n v="0"/>
  </r>
  <r>
    <x v="1"/>
    <m/>
    <s v="Round Off"/>
    <m/>
    <s v=""/>
    <s v=""/>
    <s v=""/>
    <s v=""/>
    <s v=""/>
    <s v=""/>
    <n v="0.25"/>
    <m/>
    <m/>
    <m/>
    <m/>
    <n v="0"/>
  </r>
  <r>
    <x v="2"/>
    <m/>
    <s v="New Ref"/>
    <s v="256779417571"/>
    <s v=""/>
    <n v="13451"/>
    <s v="Cr"/>
    <m/>
    <m/>
    <m/>
    <m/>
    <m/>
    <m/>
    <m/>
    <m/>
    <n v="0"/>
  </r>
  <r>
    <x v="33"/>
    <s v="Dr"/>
    <s v="(as per details)"/>
    <m/>
    <s v=""/>
    <s v=""/>
    <s v=""/>
    <s v=""/>
    <s v="September, 2025"/>
    <m/>
    <n v="29.3"/>
    <s v="Journal 1"/>
    <s v="149"/>
    <m/>
    <n v="2584"/>
    <n v="53"/>
  </r>
  <r>
    <x v="1"/>
    <m/>
    <s v="Inbound Handling - E"/>
    <m/>
    <s v=""/>
    <s v=""/>
    <s v=""/>
    <s v=""/>
    <s v=""/>
    <s v=""/>
    <n v="2636.9"/>
    <m/>
    <m/>
    <m/>
    <m/>
    <n v="0"/>
  </r>
  <r>
    <x v="1"/>
    <m/>
    <s v="TDS on Contract"/>
    <m/>
    <s v=""/>
    <s v=""/>
    <s v=""/>
    <s v=""/>
    <s v=""/>
    <s v=""/>
    <m/>
    <n v="53"/>
    <m/>
    <m/>
    <m/>
    <n v="0"/>
  </r>
  <r>
    <x v="1"/>
    <m/>
    <s v="Round Off"/>
    <m/>
    <s v=""/>
    <s v=""/>
    <s v=""/>
    <s v=""/>
    <s v=""/>
    <s v=""/>
    <n v="0.1"/>
    <m/>
    <m/>
    <m/>
    <m/>
    <n v="0"/>
  </r>
  <r>
    <x v="2"/>
    <m/>
    <s v="New Ref"/>
    <s v="256779417904"/>
    <s v=""/>
    <n v="2584"/>
    <s v="Cr"/>
    <m/>
    <m/>
    <m/>
    <m/>
    <m/>
    <m/>
    <m/>
    <m/>
    <n v="0"/>
  </r>
  <r>
    <x v="33"/>
    <s v="Dr"/>
    <s v="(as per details)"/>
    <m/>
    <s v=""/>
    <s v=""/>
    <s v=""/>
    <s v=""/>
    <s v="September, 2025"/>
    <m/>
    <n v="152.96"/>
    <s v="Journal 1"/>
    <s v="150"/>
    <m/>
    <n v="13490"/>
    <n v="275"/>
  </r>
  <r>
    <x v="1"/>
    <m/>
    <s v="Outbound Handling Charges - E"/>
    <m/>
    <s v=""/>
    <s v=""/>
    <s v=""/>
    <s v=""/>
    <s v=""/>
    <s v=""/>
    <n v="13764.82"/>
    <m/>
    <m/>
    <m/>
    <m/>
    <n v="0"/>
  </r>
  <r>
    <x v="1"/>
    <m/>
    <s v="TDS on Contract"/>
    <m/>
    <s v=""/>
    <s v=""/>
    <s v=""/>
    <s v=""/>
    <s v=""/>
    <s v=""/>
    <m/>
    <n v="275"/>
    <m/>
    <m/>
    <m/>
    <n v="0"/>
  </r>
  <r>
    <x v="1"/>
    <m/>
    <s v="Round Off"/>
    <m/>
    <s v=""/>
    <s v=""/>
    <s v=""/>
    <s v=""/>
    <s v=""/>
    <s v=""/>
    <n v="0.18"/>
    <m/>
    <m/>
    <m/>
    <m/>
    <n v="0"/>
  </r>
  <r>
    <x v="2"/>
    <m/>
    <s v="New Ref"/>
    <s v="256779417982"/>
    <s v=""/>
    <n v="13490"/>
    <s v="Cr"/>
    <m/>
    <m/>
    <m/>
    <m/>
    <m/>
    <m/>
    <m/>
    <m/>
    <n v="0"/>
  </r>
  <r>
    <x v="33"/>
    <s v="Dr"/>
    <s v="(as per details)"/>
    <m/>
    <s v=""/>
    <s v=""/>
    <s v=""/>
    <s v=""/>
    <s v="September, 2025"/>
    <m/>
    <n v="548.79"/>
    <s v="Journal 1"/>
    <s v="151"/>
    <m/>
    <n v="48398"/>
    <n v="988"/>
  </r>
  <r>
    <x v="1"/>
    <m/>
    <s v="VOS Activity - E"/>
    <m/>
    <s v=""/>
    <s v=""/>
    <s v=""/>
    <s v=""/>
    <s v=""/>
    <s v=""/>
    <n v="49385.95"/>
    <m/>
    <m/>
    <m/>
    <m/>
    <n v="0"/>
  </r>
  <r>
    <x v="1"/>
    <m/>
    <s v="TDS on Contract"/>
    <m/>
    <s v=""/>
    <s v=""/>
    <s v=""/>
    <s v=""/>
    <s v=""/>
    <s v=""/>
    <m/>
    <n v="988"/>
    <m/>
    <m/>
    <m/>
    <n v="0"/>
  </r>
  <r>
    <x v="1"/>
    <m/>
    <s v="Round Off"/>
    <m/>
    <s v=""/>
    <s v=""/>
    <s v=""/>
    <s v=""/>
    <s v=""/>
    <s v=""/>
    <n v="0.05"/>
    <m/>
    <m/>
    <m/>
    <m/>
    <n v="0"/>
  </r>
  <r>
    <x v="2"/>
    <m/>
    <s v="New Ref"/>
    <s v="256779418182"/>
    <s v=""/>
    <n v="48398"/>
    <s v="Cr"/>
    <m/>
    <m/>
    <m/>
    <m/>
    <m/>
    <m/>
    <m/>
    <m/>
    <n v="0"/>
  </r>
  <r>
    <x v="33"/>
    <s v="Dr"/>
    <s v="(as per details)"/>
    <m/>
    <s v=""/>
    <s v=""/>
    <s v=""/>
    <s v=""/>
    <s v="September, 2025"/>
    <m/>
    <n v="50.31"/>
    <s v="Journal 1"/>
    <s v="152"/>
    <m/>
    <n v="4437"/>
    <n v="91"/>
  </r>
  <r>
    <x v="1"/>
    <m/>
    <s v="Inbound Handling - E"/>
    <m/>
    <s v=""/>
    <s v=""/>
    <s v=""/>
    <s v=""/>
    <s v=""/>
    <s v=""/>
    <n v="4527.71"/>
    <m/>
    <m/>
    <m/>
    <m/>
    <n v="0"/>
  </r>
  <r>
    <x v="1"/>
    <m/>
    <s v="TDS on Contract"/>
    <m/>
    <s v=""/>
    <s v=""/>
    <s v=""/>
    <s v=""/>
    <s v=""/>
    <s v=""/>
    <m/>
    <n v="91"/>
    <m/>
    <m/>
    <m/>
    <n v="0"/>
  </r>
  <r>
    <x v="1"/>
    <m/>
    <s v="Round Off"/>
    <m/>
    <s v=""/>
    <s v=""/>
    <s v=""/>
    <s v=""/>
    <s v=""/>
    <s v=""/>
    <n v="0.28999999999999998"/>
    <m/>
    <m/>
    <m/>
    <m/>
    <n v="0"/>
  </r>
  <r>
    <x v="2"/>
    <m/>
    <s v="New Ref"/>
    <s v="256779418403"/>
    <s v=""/>
    <n v="4437"/>
    <s v="Cr"/>
    <m/>
    <m/>
    <m/>
    <m/>
    <m/>
    <m/>
    <m/>
    <m/>
    <n v="0"/>
  </r>
  <r>
    <x v="33"/>
    <s v="Dr"/>
    <s v="(as per details)"/>
    <m/>
    <s v=""/>
    <s v=""/>
    <s v=""/>
    <s v=""/>
    <s v="October, 2025"/>
    <m/>
    <n v="45.98"/>
    <s v="Journal 1"/>
    <s v="153"/>
    <m/>
    <n v="4055"/>
    <n v="83"/>
  </r>
  <r>
    <x v="1"/>
    <m/>
    <s v="Inbound Handling - E"/>
    <m/>
    <s v=""/>
    <s v=""/>
    <s v=""/>
    <s v=""/>
    <s v=""/>
    <s v=""/>
    <n v="4137.91"/>
    <m/>
    <m/>
    <m/>
    <m/>
    <n v="0"/>
  </r>
  <r>
    <x v="1"/>
    <m/>
    <s v="TDS on Contract"/>
    <m/>
    <s v=""/>
    <s v=""/>
    <s v=""/>
    <s v=""/>
    <s v=""/>
    <s v=""/>
    <m/>
    <n v="83"/>
    <m/>
    <m/>
    <m/>
    <n v="0"/>
  </r>
  <r>
    <x v="1"/>
    <m/>
    <s v="Round Off"/>
    <m/>
    <s v=""/>
    <s v=""/>
    <s v=""/>
    <s v=""/>
    <s v=""/>
    <s v=""/>
    <n v="0.09"/>
    <m/>
    <m/>
    <m/>
    <m/>
    <n v="0"/>
  </r>
  <r>
    <x v="2"/>
    <m/>
    <s v="New Ref"/>
    <s v="256779418430"/>
    <s v=""/>
    <n v="4055"/>
    <s v="Cr"/>
    <m/>
    <m/>
    <m/>
    <m/>
    <m/>
    <m/>
    <m/>
    <m/>
    <n v="0"/>
  </r>
  <r>
    <x v="33"/>
    <s v="Dr"/>
    <s v="(as per details)"/>
    <m/>
    <s v=""/>
    <s v=""/>
    <s v=""/>
    <s v=""/>
    <s v="October, 2025"/>
    <m/>
    <n v="13.32"/>
    <s v="Journal 1"/>
    <s v="154"/>
    <m/>
    <n v="1175"/>
    <n v="24"/>
  </r>
  <r>
    <x v="1"/>
    <m/>
    <s v="Inbound Handling - E"/>
    <m/>
    <s v=""/>
    <s v=""/>
    <s v=""/>
    <s v=""/>
    <s v=""/>
    <s v=""/>
    <n v="1198.51"/>
    <m/>
    <m/>
    <m/>
    <m/>
    <n v="0"/>
  </r>
  <r>
    <x v="1"/>
    <m/>
    <s v="TDS on Contract"/>
    <m/>
    <s v=""/>
    <s v=""/>
    <s v=""/>
    <s v=""/>
    <s v=""/>
    <s v=""/>
    <m/>
    <n v="24"/>
    <m/>
    <m/>
    <m/>
    <n v="0"/>
  </r>
  <r>
    <x v="1"/>
    <m/>
    <s v="Round Off"/>
    <m/>
    <s v=""/>
    <s v=""/>
    <s v=""/>
    <s v=""/>
    <s v=""/>
    <s v=""/>
    <n v="0.49"/>
    <m/>
    <m/>
    <m/>
    <m/>
    <n v="0"/>
  </r>
  <r>
    <x v="2"/>
    <m/>
    <s v="New Ref"/>
    <s v="256779418482"/>
    <s v=""/>
    <n v="1175"/>
    <s v="Cr"/>
    <m/>
    <m/>
    <m/>
    <m/>
    <m/>
    <m/>
    <m/>
    <m/>
    <n v="0"/>
  </r>
  <r>
    <x v="33"/>
    <s v="Dr"/>
    <s v="(as per details)"/>
    <m/>
    <s v=""/>
    <s v=""/>
    <s v=""/>
    <s v=""/>
    <s v="October, 2025"/>
    <m/>
    <n v="230.31"/>
    <s v="Journal 1"/>
    <s v="155"/>
    <m/>
    <n v="20311"/>
    <n v="414"/>
  </r>
  <r>
    <x v="1"/>
    <m/>
    <s v="Transportation Charges- IB-E (RCM)"/>
    <m/>
    <s v=""/>
    <s v=""/>
    <s v=""/>
    <s v=""/>
    <s v=""/>
    <s v=""/>
    <n v="20724.830000000002"/>
    <m/>
    <m/>
    <m/>
    <m/>
    <n v="0"/>
  </r>
  <r>
    <x v="1"/>
    <m/>
    <s v="RCM IGST Input @ 5%"/>
    <m/>
    <s v=""/>
    <s v=""/>
    <s v=""/>
    <s v=""/>
    <s v=""/>
    <s v=""/>
    <n v="1036.24"/>
    <m/>
    <m/>
    <m/>
    <m/>
    <n v="0"/>
  </r>
  <r>
    <x v="1"/>
    <m/>
    <s v="RCM IGST Liability @ 5%"/>
    <m/>
    <s v=""/>
    <s v=""/>
    <s v=""/>
    <s v=""/>
    <s v=""/>
    <s v=""/>
    <m/>
    <n v="1036.24"/>
    <m/>
    <m/>
    <m/>
    <n v="0"/>
  </r>
  <r>
    <x v="1"/>
    <m/>
    <s v="TDS on Contract"/>
    <m/>
    <s v=""/>
    <s v=""/>
    <s v=""/>
    <s v=""/>
    <s v=""/>
    <s v=""/>
    <m/>
    <n v="414"/>
    <m/>
    <m/>
    <m/>
    <n v="0"/>
  </r>
  <r>
    <x v="1"/>
    <m/>
    <s v="Round Off"/>
    <m/>
    <s v=""/>
    <s v=""/>
    <s v=""/>
    <s v=""/>
    <s v=""/>
    <s v=""/>
    <n v="0.17"/>
    <m/>
    <m/>
    <m/>
    <m/>
    <n v="0"/>
  </r>
  <r>
    <x v="2"/>
    <m/>
    <s v="New Ref"/>
    <s v="256779418628"/>
    <s v=""/>
    <n v="20311"/>
    <s v="Cr"/>
    <m/>
    <m/>
    <m/>
    <m/>
    <m/>
    <m/>
    <m/>
    <m/>
    <n v="0"/>
  </r>
  <r>
    <x v="33"/>
    <s v="Dr"/>
    <s v="(as per details)"/>
    <m/>
    <s v=""/>
    <s v=""/>
    <s v=""/>
    <s v=""/>
    <s v="October, 2025"/>
    <m/>
    <n v="53.25"/>
    <s v="Journal 1"/>
    <s v="156"/>
    <m/>
    <n v="4696"/>
    <n v="96"/>
  </r>
  <r>
    <x v="1"/>
    <m/>
    <s v="Outbound Handling Charges - E"/>
    <m/>
    <s v=""/>
    <s v=""/>
    <s v=""/>
    <s v=""/>
    <s v=""/>
    <s v=""/>
    <n v="4792.29"/>
    <m/>
    <m/>
    <m/>
    <m/>
    <n v="0"/>
  </r>
  <r>
    <x v="1"/>
    <m/>
    <s v="TDS on Contract"/>
    <m/>
    <s v=""/>
    <s v=""/>
    <s v=""/>
    <s v=""/>
    <s v=""/>
    <s v=""/>
    <m/>
    <n v="96"/>
    <m/>
    <m/>
    <m/>
    <n v="0"/>
  </r>
  <r>
    <x v="1"/>
    <m/>
    <s v="Round Off"/>
    <m/>
    <s v=""/>
    <s v=""/>
    <s v=""/>
    <s v=""/>
    <s v=""/>
    <s v=""/>
    <m/>
    <n v="0.28999999999999998"/>
    <m/>
    <m/>
    <m/>
    <n v="0"/>
  </r>
  <r>
    <x v="2"/>
    <m/>
    <s v="New Ref"/>
    <s v="256779418706"/>
    <s v=""/>
    <n v="4696"/>
    <s v="Cr"/>
    <m/>
    <m/>
    <m/>
    <m/>
    <m/>
    <m/>
    <m/>
    <m/>
    <n v="0"/>
  </r>
  <r>
    <x v="33"/>
    <s v="Dr"/>
    <s v="(as per details)"/>
    <m/>
    <s v=""/>
    <s v=""/>
    <s v=""/>
    <s v=""/>
    <s v="September, 2025"/>
    <m/>
    <n v="265.42"/>
    <s v="Journal 1"/>
    <s v="157"/>
    <m/>
    <n v="23408"/>
    <n v="478"/>
  </r>
  <r>
    <x v="1"/>
    <m/>
    <s v="Inbound Handling - E"/>
    <m/>
    <s v=""/>
    <s v=""/>
    <s v=""/>
    <s v=""/>
    <s v=""/>
    <s v=""/>
    <n v="3602.59"/>
    <m/>
    <m/>
    <m/>
    <m/>
    <n v="0"/>
  </r>
  <r>
    <x v="1"/>
    <m/>
    <s v="Transportation Charges- IB-E (RCM)"/>
    <m/>
    <s v=""/>
    <s v=""/>
    <s v=""/>
    <s v=""/>
    <s v=""/>
    <s v=""/>
    <n v="20283.88"/>
    <m/>
    <m/>
    <m/>
    <m/>
    <n v="0"/>
  </r>
  <r>
    <x v="1"/>
    <m/>
    <s v="RCM IGST Input @ 5%"/>
    <m/>
    <s v=""/>
    <s v=""/>
    <s v=""/>
    <s v=""/>
    <s v=""/>
    <s v=""/>
    <n v="1014.19"/>
    <m/>
    <m/>
    <m/>
    <m/>
    <n v="0"/>
  </r>
  <r>
    <x v="1"/>
    <m/>
    <s v="RCM IGST Liability @ 5%"/>
    <m/>
    <s v=""/>
    <s v=""/>
    <s v=""/>
    <s v=""/>
    <s v=""/>
    <s v=""/>
    <m/>
    <n v="1014.19"/>
    <m/>
    <m/>
    <m/>
    <n v="0"/>
  </r>
  <r>
    <x v="1"/>
    <m/>
    <s v="TDS on Contract"/>
    <m/>
    <s v=""/>
    <s v=""/>
    <s v=""/>
    <s v=""/>
    <s v=""/>
    <s v=""/>
    <m/>
    <n v="478"/>
    <m/>
    <m/>
    <m/>
    <n v="0"/>
  </r>
  <r>
    <x v="1"/>
    <m/>
    <s v="Round Off"/>
    <m/>
    <s v=""/>
    <s v=""/>
    <s v=""/>
    <s v=""/>
    <s v=""/>
    <s v=""/>
    <m/>
    <n v="0.47"/>
    <m/>
    <m/>
    <m/>
    <n v="0"/>
  </r>
  <r>
    <x v="2"/>
    <m/>
    <s v="New Ref"/>
    <s v="256779417943"/>
    <s v=""/>
    <n v="23408"/>
    <s v="Cr"/>
    <m/>
    <m/>
    <m/>
    <m/>
    <m/>
    <m/>
    <m/>
    <m/>
    <n v="0"/>
  </r>
  <r>
    <x v="33"/>
    <s v="Dr"/>
    <s v="(as per details)"/>
    <m/>
    <s v=""/>
    <s v=""/>
    <s v=""/>
    <s v=""/>
    <s v="October, 2025"/>
    <m/>
    <n v="241.98"/>
    <s v="Journal 1"/>
    <s v="158"/>
    <m/>
    <n v="21340"/>
    <n v="436"/>
  </r>
  <r>
    <x v="1"/>
    <m/>
    <s v="Inbound Handling - E"/>
    <m/>
    <s v=""/>
    <s v=""/>
    <s v=""/>
    <s v=""/>
    <s v=""/>
    <s v=""/>
    <n v="9429.36"/>
    <m/>
    <m/>
    <m/>
    <m/>
    <n v="0"/>
  </r>
  <r>
    <x v="1"/>
    <m/>
    <s v="Transportation Charges- IB-E (RCM)"/>
    <m/>
    <s v=""/>
    <s v=""/>
    <s v=""/>
    <s v=""/>
    <s v=""/>
    <s v=""/>
    <n v="12347"/>
    <m/>
    <m/>
    <m/>
    <m/>
    <n v="0"/>
  </r>
  <r>
    <x v="1"/>
    <m/>
    <s v="RCM IGST Input @ 5%"/>
    <m/>
    <s v=""/>
    <s v=""/>
    <s v=""/>
    <s v=""/>
    <s v=""/>
    <s v=""/>
    <n v="617.35"/>
    <m/>
    <m/>
    <m/>
    <m/>
    <n v="0"/>
  </r>
  <r>
    <x v="1"/>
    <m/>
    <s v="RCM IGST Liability @ 5%"/>
    <m/>
    <s v=""/>
    <s v=""/>
    <s v=""/>
    <s v=""/>
    <s v=""/>
    <s v=""/>
    <m/>
    <n v="617.35"/>
    <m/>
    <m/>
    <m/>
    <n v="0"/>
  </r>
  <r>
    <x v="1"/>
    <m/>
    <s v="TDS on Contract"/>
    <m/>
    <s v=""/>
    <s v=""/>
    <s v=""/>
    <s v=""/>
    <s v=""/>
    <s v=""/>
    <m/>
    <n v="436"/>
    <m/>
    <m/>
    <m/>
    <n v="0"/>
  </r>
  <r>
    <x v="1"/>
    <m/>
    <s v="Round Off"/>
    <m/>
    <s v=""/>
    <s v=""/>
    <s v=""/>
    <s v=""/>
    <s v=""/>
    <s v=""/>
    <m/>
    <n v="0.36"/>
    <m/>
    <m/>
    <m/>
    <n v="0"/>
  </r>
  <r>
    <x v="2"/>
    <m/>
    <s v="New Ref"/>
    <s v="256779418736"/>
    <s v=""/>
    <n v="21340"/>
    <s v="Cr"/>
    <m/>
    <m/>
    <m/>
    <m/>
    <m/>
    <m/>
    <m/>
    <m/>
    <n v="0"/>
  </r>
  <r>
    <x v="34"/>
    <s v="Dr"/>
    <s v="(as per details)"/>
    <m/>
    <s v=""/>
    <s v=""/>
    <s v=""/>
    <s v=""/>
    <s v="October, 2025"/>
    <m/>
    <n v="450.69"/>
    <s v="Journal 1"/>
    <s v="159"/>
    <m/>
    <n v="39662"/>
    <n v="809"/>
  </r>
  <r>
    <x v="1"/>
    <m/>
    <s v="Inbound Handling - E"/>
    <m/>
    <s v=""/>
    <s v=""/>
    <s v=""/>
    <s v=""/>
    <s v=""/>
    <s v=""/>
    <n v="18470.150000000001"/>
    <m/>
    <m/>
    <m/>
    <m/>
    <n v="0"/>
  </r>
  <r>
    <x v="1"/>
    <m/>
    <s v="Transportation Charges- IB-E (RCM)"/>
    <m/>
    <s v=""/>
    <s v=""/>
    <s v=""/>
    <s v=""/>
    <s v=""/>
    <s v=""/>
    <n v="22001"/>
    <m/>
    <m/>
    <m/>
    <m/>
    <n v="0"/>
  </r>
  <r>
    <x v="1"/>
    <m/>
    <s v="RCM IGST Input @ 5%"/>
    <m/>
    <s v=""/>
    <s v=""/>
    <s v=""/>
    <s v=""/>
    <s v=""/>
    <s v=""/>
    <n v="1100.05"/>
    <m/>
    <m/>
    <m/>
    <m/>
    <n v="0"/>
  </r>
  <r>
    <x v="1"/>
    <m/>
    <s v="RCM IGST Liability @ 5%"/>
    <m/>
    <s v=""/>
    <s v=""/>
    <s v=""/>
    <s v=""/>
    <s v=""/>
    <s v=""/>
    <m/>
    <n v="1100.05"/>
    <m/>
    <m/>
    <m/>
    <n v="0"/>
  </r>
  <r>
    <x v="1"/>
    <m/>
    <s v="TDS on Contract"/>
    <m/>
    <s v=""/>
    <s v=""/>
    <s v=""/>
    <s v=""/>
    <s v=""/>
    <s v=""/>
    <m/>
    <n v="809"/>
    <m/>
    <m/>
    <m/>
    <n v="0"/>
  </r>
  <r>
    <x v="1"/>
    <m/>
    <s v="Round Off"/>
    <m/>
    <s v=""/>
    <s v=""/>
    <s v=""/>
    <s v=""/>
    <s v=""/>
    <s v=""/>
    <m/>
    <n v="0.15"/>
    <m/>
    <m/>
    <m/>
    <n v="0"/>
  </r>
  <r>
    <x v="2"/>
    <m/>
    <s v="New Ref"/>
    <s v="256779419136"/>
    <s v=""/>
    <n v="39662"/>
    <s v="Cr"/>
    <m/>
    <m/>
    <m/>
    <m/>
    <m/>
    <m/>
    <m/>
    <m/>
    <n v="0"/>
  </r>
  <r>
    <x v="35"/>
    <s v="Dr"/>
    <s v="(as per details)"/>
    <m/>
    <s v=""/>
    <s v=""/>
    <s v=""/>
    <s v=""/>
    <s v="October, 2025"/>
    <m/>
    <n v="13.26"/>
    <s v="Journal 1"/>
    <s v="160"/>
    <m/>
    <n v="1167"/>
    <n v="24"/>
  </r>
  <r>
    <x v="1"/>
    <m/>
    <s v="Inbound Handling - E"/>
    <m/>
    <s v=""/>
    <s v=""/>
    <s v=""/>
    <s v=""/>
    <s v=""/>
    <s v=""/>
    <n v="1190.69"/>
    <m/>
    <m/>
    <m/>
    <m/>
    <n v="0"/>
  </r>
  <r>
    <x v="1"/>
    <m/>
    <s v="TDS on Contract"/>
    <m/>
    <s v=""/>
    <s v=""/>
    <s v=""/>
    <s v=""/>
    <s v=""/>
    <s v=""/>
    <m/>
    <n v="24"/>
    <m/>
    <m/>
    <m/>
    <n v="0"/>
  </r>
  <r>
    <x v="1"/>
    <m/>
    <s v="Round Off"/>
    <m/>
    <s v=""/>
    <s v=""/>
    <s v=""/>
    <s v=""/>
    <s v=""/>
    <s v=""/>
    <n v="0.31"/>
    <m/>
    <m/>
    <m/>
    <m/>
    <n v="0"/>
  </r>
  <r>
    <x v="2"/>
    <m/>
    <s v="New Ref"/>
    <s v="256779418828"/>
    <s v=""/>
    <n v="1167"/>
    <s v="Cr"/>
    <m/>
    <m/>
    <m/>
    <m/>
    <m/>
    <m/>
    <m/>
    <m/>
    <n v="0"/>
  </r>
  <r>
    <x v="35"/>
    <s v="Dr"/>
    <s v="(as per details)"/>
    <m/>
    <s v=""/>
    <s v=""/>
    <s v=""/>
    <s v=""/>
    <s v="October, 2025"/>
    <m/>
    <n v="137.19999999999999"/>
    <s v="Journal 1"/>
    <s v="161"/>
    <m/>
    <n v="12074"/>
    <n v="246"/>
  </r>
  <r>
    <x v="1"/>
    <m/>
    <s v="Transportation Charges- IB-E (RCM)"/>
    <m/>
    <s v=""/>
    <s v=""/>
    <s v=""/>
    <s v=""/>
    <s v=""/>
    <s v=""/>
    <n v="12320.47"/>
    <m/>
    <m/>
    <m/>
    <m/>
    <n v="0"/>
  </r>
  <r>
    <x v="1"/>
    <m/>
    <s v="RCM IGST Input @ 5%"/>
    <m/>
    <s v=""/>
    <s v=""/>
    <s v=""/>
    <s v=""/>
    <s v=""/>
    <s v=""/>
    <n v="616.02"/>
    <m/>
    <m/>
    <m/>
    <m/>
    <n v="0"/>
  </r>
  <r>
    <x v="1"/>
    <m/>
    <s v="RCM IGST Liability @ 5%"/>
    <m/>
    <s v=""/>
    <s v=""/>
    <s v=""/>
    <s v=""/>
    <s v=""/>
    <s v=""/>
    <m/>
    <n v="616.02"/>
    <m/>
    <m/>
    <m/>
    <n v="0"/>
  </r>
  <r>
    <x v="1"/>
    <m/>
    <s v="TDS on Contract"/>
    <m/>
    <s v=""/>
    <s v=""/>
    <s v=""/>
    <s v=""/>
    <s v=""/>
    <s v=""/>
    <m/>
    <n v="246"/>
    <m/>
    <m/>
    <m/>
    <n v="0"/>
  </r>
  <r>
    <x v="1"/>
    <m/>
    <s v="Round Off"/>
    <m/>
    <s v=""/>
    <s v=""/>
    <s v=""/>
    <s v=""/>
    <s v=""/>
    <s v=""/>
    <m/>
    <n v="0.47"/>
    <m/>
    <m/>
    <m/>
    <n v="0"/>
  </r>
  <r>
    <x v="2"/>
    <m/>
    <s v="New Ref"/>
    <s v="256779419087"/>
    <s v=""/>
    <n v="12074"/>
    <s v="Cr"/>
    <m/>
    <m/>
    <m/>
    <m/>
    <m/>
    <m/>
    <m/>
    <m/>
    <n v="0"/>
  </r>
  <r>
    <x v="35"/>
    <s v="Dr"/>
    <s v="(as per details)"/>
    <m/>
    <s v=""/>
    <s v=""/>
    <s v=""/>
    <s v=""/>
    <s v="October, 2025"/>
    <m/>
    <n v="34.29"/>
    <s v="Journal 1"/>
    <s v="162"/>
    <m/>
    <n v="3018"/>
    <n v="62"/>
  </r>
  <r>
    <x v="1"/>
    <m/>
    <s v="Inbound Handling - E"/>
    <m/>
    <s v=""/>
    <s v=""/>
    <s v=""/>
    <s v=""/>
    <s v=""/>
    <s v=""/>
    <n v="3080.12"/>
    <m/>
    <m/>
    <m/>
    <m/>
    <n v="0"/>
  </r>
  <r>
    <x v="1"/>
    <m/>
    <s v="TDS on Contract"/>
    <m/>
    <s v=""/>
    <s v=""/>
    <s v=""/>
    <s v=""/>
    <s v=""/>
    <s v=""/>
    <m/>
    <n v="62"/>
    <m/>
    <m/>
    <m/>
    <n v="0"/>
  </r>
  <r>
    <x v="1"/>
    <m/>
    <s v="Round Off"/>
    <m/>
    <s v=""/>
    <s v=""/>
    <s v=""/>
    <s v=""/>
    <s v=""/>
    <s v=""/>
    <m/>
    <n v="0.12"/>
    <m/>
    <m/>
    <m/>
    <n v="0"/>
  </r>
  <r>
    <x v="2"/>
    <m/>
    <s v="New Ref"/>
    <s v="256779419098"/>
    <s v=""/>
    <n v="3018"/>
    <s v="Cr"/>
    <m/>
    <m/>
    <m/>
    <m/>
    <m/>
    <m/>
    <m/>
    <m/>
    <n v="0"/>
  </r>
  <r>
    <x v="35"/>
    <s v="Dr"/>
    <s v="(as per details)"/>
    <m/>
    <s v=""/>
    <s v=""/>
    <s v=""/>
    <s v=""/>
    <s v="October, 2025"/>
    <m/>
    <n v="316.18"/>
    <s v="Journal 1"/>
    <s v="163"/>
    <m/>
    <n v="27825"/>
    <n v="568"/>
  </r>
  <r>
    <x v="1"/>
    <m/>
    <s v="Outbound Handling Charges - E"/>
    <m/>
    <s v=""/>
    <s v=""/>
    <s v=""/>
    <s v=""/>
    <s v=""/>
    <s v=""/>
    <n v="16072.94"/>
    <m/>
    <m/>
    <m/>
    <m/>
    <n v="0"/>
  </r>
  <r>
    <x v="1"/>
    <m/>
    <s v="Transportation Charges- IB-E (RCM)"/>
    <m/>
    <s v=""/>
    <s v=""/>
    <s v=""/>
    <s v=""/>
    <s v=""/>
    <s v=""/>
    <n v="12320.47"/>
    <m/>
    <m/>
    <m/>
    <m/>
    <n v="0"/>
  </r>
  <r>
    <x v="1"/>
    <m/>
    <s v="RCM IGST Input @ 5%"/>
    <m/>
    <s v=""/>
    <s v=""/>
    <s v=""/>
    <s v=""/>
    <s v=""/>
    <s v=""/>
    <n v="616.02"/>
    <m/>
    <m/>
    <m/>
    <m/>
    <n v="0"/>
  </r>
  <r>
    <x v="1"/>
    <m/>
    <s v="RCM IGST Liability @ 5%"/>
    <m/>
    <s v=""/>
    <s v=""/>
    <s v=""/>
    <s v=""/>
    <s v=""/>
    <s v=""/>
    <m/>
    <n v="616.02"/>
    <m/>
    <m/>
    <m/>
    <n v="0"/>
  </r>
  <r>
    <x v="1"/>
    <m/>
    <s v="TDS on Contract"/>
    <m/>
    <s v=""/>
    <s v=""/>
    <s v=""/>
    <s v=""/>
    <s v=""/>
    <s v=""/>
    <m/>
    <n v="568"/>
    <m/>
    <m/>
    <m/>
    <n v="0"/>
  </r>
  <r>
    <x v="1"/>
    <m/>
    <s v="Round Off"/>
    <m/>
    <s v=""/>
    <s v=""/>
    <s v=""/>
    <s v=""/>
    <s v=""/>
    <s v=""/>
    <m/>
    <n v="0.41"/>
    <m/>
    <m/>
    <m/>
    <n v="0"/>
  </r>
  <r>
    <x v="2"/>
    <m/>
    <s v="New Ref"/>
    <s v="256779419179"/>
    <s v=""/>
    <n v="27825"/>
    <s v="Cr"/>
    <m/>
    <m/>
    <m/>
    <m/>
    <m/>
    <m/>
    <m/>
    <m/>
    <n v="0"/>
  </r>
  <r>
    <x v="35"/>
    <s v="Dr"/>
    <s v="(as per details)"/>
    <m/>
    <s v=""/>
    <s v=""/>
    <s v=""/>
    <s v=""/>
    <s v="October, 2025"/>
    <m/>
    <n v="13.03"/>
    <s v="Journal 1"/>
    <s v="164"/>
    <m/>
    <n v="1147"/>
    <n v="23"/>
  </r>
  <r>
    <x v="1"/>
    <m/>
    <s v="Inbound Handling - E"/>
    <m/>
    <s v=""/>
    <s v=""/>
    <s v=""/>
    <s v=""/>
    <s v=""/>
    <s v=""/>
    <n v="1170.45"/>
    <m/>
    <m/>
    <m/>
    <m/>
    <n v="0"/>
  </r>
  <r>
    <x v="1"/>
    <m/>
    <s v="TDS on Contract"/>
    <m/>
    <s v=""/>
    <s v=""/>
    <s v=""/>
    <s v=""/>
    <s v=""/>
    <s v=""/>
    <m/>
    <n v="23"/>
    <m/>
    <m/>
    <m/>
    <n v="0"/>
  </r>
  <r>
    <x v="1"/>
    <m/>
    <s v="Round Off"/>
    <m/>
    <s v=""/>
    <s v=""/>
    <s v=""/>
    <s v=""/>
    <s v=""/>
    <s v=""/>
    <m/>
    <n v="0.45"/>
    <m/>
    <m/>
    <m/>
    <n v="0"/>
  </r>
  <r>
    <x v="2"/>
    <m/>
    <s v="New Ref"/>
    <s v="256779419204"/>
    <s v=""/>
    <n v="1147"/>
    <s v="Cr"/>
    <m/>
    <m/>
    <m/>
    <m/>
    <m/>
    <m/>
    <m/>
    <m/>
    <n v="0"/>
  </r>
  <r>
    <x v="35"/>
    <s v="Dr"/>
    <s v="(as per details)"/>
    <m/>
    <s v=""/>
    <s v=""/>
    <s v=""/>
    <s v=""/>
    <s v="October, 2025"/>
    <m/>
    <n v="193.29"/>
    <s v="Journal 1"/>
    <s v="165"/>
    <m/>
    <n v="17010"/>
    <n v="347"/>
  </r>
  <r>
    <x v="1"/>
    <m/>
    <s v="Detention Charges - E"/>
    <m/>
    <s v=""/>
    <s v=""/>
    <s v=""/>
    <s v=""/>
    <s v=""/>
    <s v=""/>
    <n v="17356.91"/>
    <m/>
    <m/>
    <m/>
    <m/>
    <n v="0"/>
  </r>
  <r>
    <x v="1"/>
    <m/>
    <s v="TDS on Contract"/>
    <m/>
    <s v=""/>
    <s v=""/>
    <s v=""/>
    <s v=""/>
    <s v=""/>
    <s v=""/>
    <m/>
    <n v="347"/>
    <m/>
    <m/>
    <m/>
    <n v="0"/>
  </r>
  <r>
    <x v="1"/>
    <m/>
    <s v="Round Off"/>
    <m/>
    <s v=""/>
    <s v=""/>
    <s v=""/>
    <s v=""/>
    <s v=""/>
    <s v=""/>
    <n v="0.09"/>
    <m/>
    <m/>
    <m/>
    <m/>
    <n v="0"/>
  </r>
  <r>
    <x v="2"/>
    <m/>
    <s v="New Ref"/>
    <s v="256779419267"/>
    <s v=""/>
    <n v="17010"/>
    <s v="Cr"/>
    <m/>
    <m/>
    <m/>
    <m/>
    <m/>
    <m/>
    <m/>
    <m/>
    <n v="0"/>
  </r>
  <r>
    <x v="35"/>
    <s v="Dr"/>
    <s v="(as per details)"/>
    <m/>
    <s v=""/>
    <s v=""/>
    <s v=""/>
    <s v=""/>
    <s v="October, 2025"/>
    <m/>
    <n v="143.27000000000001"/>
    <s v="Journal 1"/>
    <s v="166"/>
    <m/>
    <n v="12608"/>
    <n v="257"/>
  </r>
  <r>
    <x v="1"/>
    <m/>
    <s v="Inbound Handling - E"/>
    <m/>
    <s v=""/>
    <s v=""/>
    <s v=""/>
    <s v=""/>
    <s v=""/>
    <s v=""/>
    <n v="12865.22"/>
    <m/>
    <m/>
    <m/>
    <m/>
    <n v="0"/>
  </r>
  <r>
    <x v="1"/>
    <m/>
    <s v="TDS on Contract"/>
    <m/>
    <s v=""/>
    <s v=""/>
    <s v=""/>
    <s v=""/>
    <s v=""/>
    <s v=""/>
    <m/>
    <n v="257"/>
    <m/>
    <m/>
    <m/>
    <n v="0"/>
  </r>
  <r>
    <x v="1"/>
    <m/>
    <s v="Round Off"/>
    <m/>
    <s v=""/>
    <s v=""/>
    <s v=""/>
    <s v=""/>
    <s v=""/>
    <s v=""/>
    <m/>
    <n v="0.22"/>
    <m/>
    <m/>
    <m/>
    <n v="0"/>
  </r>
  <r>
    <x v="2"/>
    <m/>
    <s v="New Ref"/>
    <s v="256779419235"/>
    <s v=""/>
    <n v="12608"/>
    <s v="Cr"/>
    <m/>
    <m/>
    <m/>
    <m/>
    <m/>
    <m/>
    <m/>
    <m/>
    <n v="0"/>
  </r>
  <r>
    <x v="36"/>
    <s v="Cr"/>
    <s v="Srikaram Prescience Pvt. Ltd- Noida"/>
    <m/>
    <s v=""/>
    <s v=""/>
    <s v=""/>
    <s v=""/>
    <s v=", 0"/>
    <m/>
    <m/>
    <s v="Journal"/>
    <s v="371"/>
    <n v="100000"/>
    <m/>
    <n v="0"/>
  </r>
  <r>
    <x v="2"/>
    <m/>
    <s v="Agst Ref"/>
    <s v="256779414232"/>
    <s v=""/>
    <n v="9623"/>
    <s v="Dr"/>
    <m/>
    <m/>
    <m/>
    <m/>
    <m/>
    <m/>
    <m/>
    <m/>
    <n v="0"/>
  </r>
  <r>
    <x v="2"/>
    <m/>
    <s v="Agst Ref"/>
    <s v="256779414264"/>
    <s v=""/>
    <n v="588"/>
    <s v="Dr"/>
    <m/>
    <m/>
    <m/>
    <m/>
    <m/>
    <m/>
    <m/>
    <m/>
    <n v="0"/>
  </r>
  <r>
    <x v="2"/>
    <m/>
    <s v="Agst Ref"/>
    <s v="256779414320"/>
    <s v=""/>
    <n v="51221"/>
    <s v="Dr"/>
    <m/>
    <m/>
    <m/>
    <m/>
    <m/>
    <m/>
    <m/>
    <m/>
    <n v="0"/>
  </r>
  <r>
    <x v="2"/>
    <m/>
    <s v="Agst Ref"/>
    <s v="256779414342"/>
    <s v=""/>
    <n v="35715"/>
    <s v="Dr"/>
    <m/>
    <m/>
    <m/>
    <m/>
    <m/>
    <m/>
    <m/>
    <m/>
    <n v="0"/>
  </r>
  <r>
    <x v="2"/>
    <m/>
    <s v="Agst Ref"/>
    <s v="256779414374"/>
    <s v=""/>
    <n v="2853"/>
    <s v="Dr"/>
    <m/>
    <m/>
    <m/>
    <m/>
    <m/>
    <m/>
    <m/>
    <m/>
    <n v="0"/>
  </r>
  <r>
    <x v="36"/>
    <s v="Dr"/>
    <s v="(as per details)"/>
    <m/>
    <s v=""/>
    <s v=""/>
    <s v=""/>
    <s v=""/>
    <s v="September, 2025"/>
    <m/>
    <n v="1620"/>
    <s v="Journal 1"/>
    <s v="167"/>
    <m/>
    <n v="141773"/>
    <n v="15753"/>
  </r>
  <r>
    <x v="1"/>
    <m/>
    <s v="Space Expense / Storage - E"/>
    <m/>
    <s v=""/>
    <s v=""/>
    <s v=""/>
    <s v=""/>
    <s v=""/>
    <s v=""/>
    <n v="157525.79"/>
    <m/>
    <m/>
    <m/>
    <m/>
    <n v="0"/>
  </r>
  <r>
    <x v="1"/>
    <m/>
    <s v="TDS on Rent"/>
    <m/>
    <s v=""/>
    <s v=""/>
    <s v=""/>
    <s v=""/>
    <s v=""/>
    <s v=""/>
    <m/>
    <n v="15753"/>
    <m/>
    <m/>
    <m/>
    <n v="0"/>
  </r>
  <r>
    <x v="1"/>
    <m/>
    <s v="Round Off"/>
    <m/>
    <s v=""/>
    <s v=""/>
    <s v=""/>
    <s v=""/>
    <s v=""/>
    <s v=""/>
    <n v="0.21"/>
    <m/>
    <m/>
    <m/>
    <m/>
    <n v="0"/>
  </r>
  <r>
    <x v="2"/>
    <m/>
    <s v="New Ref"/>
    <s v="256779417362"/>
    <s v=""/>
    <n v="141773"/>
    <s v="Cr"/>
    <m/>
    <m/>
    <m/>
    <m/>
    <m/>
    <m/>
    <m/>
    <m/>
    <n v="0"/>
  </r>
  <r>
    <x v="36"/>
    <s v="Dr"/>
    <s v="(as per details)"/>
    <m/>
    <s v=""/>
    <s v=""/>
    <s v=""/>
    <s v=""/>
    <s v="August, 2025"/>
    <m/>
    <n v="989.12"/>
    <s v="Journal 1"/>
    <s v="168"/>
    <m/>
    <n v="86562"/>
    <n v="9618"/>
  </r>
  <r>
    <x v="1"/>
    <m/>
    <s v="Space Expense / Storage - E"/>
    <m/>
    <s v=""/>
    <s v=""/>
    <s v=""/>
    <s v=""/>
    <s v=""/>
    <s v=""/>
    <n v="96180"/>
    <m/>
    <m/>
    <m/>
    <m/>
    <n v="0"/>
  </r>
  <r>
    <x v="1"/>
    <m/>
    <s v="TDS on Rent"/>
    <m/>
    <s v=""/>
    <s v=""/>
    <s v=""/>
    <s v=""/>
    <s v=""/>
    <s v=""/>
    <m/>
    <n v="9618"/>
    <m/>
    <m/>
    <m/>
    <n v="0"/>
  </r>
  <r>
    <x v="2"/>
    <m/>
    <s v="New Ref"/>
    <s v="256779417075"/>
    <s v=""/>
    <n v="86562"/>
    <s v="Cr"/>
    <m/>
    <m/>
    <m/>
    <m/>
    <m/>
    <m/>
    <m/>
    <m/>
    <n v="0"/>
  </r>
  <r>
    <x v="36"/>
    <s v="Dr"/>
    <s v="(as per details)"/>
    <m/>
    <s v=""/>
    <s v=""/>
    <s v=""/>
    <s v=""/>
    <s v="September, 2025"/>
    <m/>
    <n v="1196.96"/>
    <s v="Journal 1"/>
    <s v="169"/>
    <m/>
    <n v="105561"/>
    <n v="11729"/>
  </r>
  <r>
    <x v="1"/>
    <m/>
    <s v="Space Expense / Storage - E"/>
    <m/>
    <s v=""/>
    <s v=""/>
    <s v=""/>
    <s v=""/>
    <s v=""/>
    <s v=""/>
    <n v="117290.2"/>
    <m/>
    <m/>
    <m/>
    <m/>
    <n v="0"/>
  </r>
  <r>
    <x v="1"/>
    <m/>
    <s v="TDS on Rent"/>
    <m/>
    <s v=""/>
    <s v=""/>
    <s v=""/>
    <s v=""/>
    <s v=""/>
    <s v=""/>
    <m/>
    <n v="11729"/>
    <m/>
    <m/>
    <m/>
    <n v="0"/>
  </r>
  <r>
    <x v="1"/>
    <m/>
    <s v="Round Off"/>
    <m/>
    <s v=""/>
    <s v=""/>
    <s v=""/>
    <s v=""/>
    <s v=""/>
    <s v=""/>
    <m/>
    <n v="0.2"/>
    <m/>
    <m/>
    <m/>
    <n v="0"/>
  </r>
  <r>
    <x v="2"/>
    <m/>
    <s v="New Ref"/>
    <s v="256779418014"/>
    <s v=""/>
    <n v="105561"/>
    <s v="Cr"/>
    <m/>
    <m/>
    <m/>
    <m/>
    <m/>
    <m/>
    <m/>
    <m/>
    <n v="0"/>
  </r>
  <r>
    <x v="37"/>
    <s v="Cr"/>
    <s v="Srikaram Prescience Pvt. Ltd- Noida"/>
    <m/>
    <s v=""/>
    <s v=""/>
    <s v=""/>
    <s v=""/>
    <s v=", 0"/>
    <m/>
    <m/>
    <s v="Journal"/>
    <s v="376"/>
    <n v="100000"/>
    <m/>
    <n v="0"/>
  </r>
  <r>
    <x v="2"/>
    <m/>
    <s v="Agst Ref"/>
    <s v="256779414374"/>
    <s v=""/>
    <n v="100000"/>
    <s v="Dr"/>
    <m/>
    <m/>
    <m/>
    <m/>
    <m/>
    <m/>
    <m/>
    <m/>
    <n v="0"/>
  </r>
  <r>
    <x v="38"/>
    <s v="Cr"/>
    <s v="Srikaram Prescience Pvt. Ltd- Noida"/>
    <m/>
    <s v=""/>
    <s v=""/>
    <s v=""/>
    <s v=""/>
    <s v=", 0"/>
    <m/>
    <m/>
    <s v="Journal"/>
    <s v="397"/>
    <n v="100000"/>
    <m/>
    <n v="0"/>
  </r>
  <r>
    <x v="2"/>
    <m/>
    <s v="Agst Ref"/>
    <s v="256779414374"/>
    <s v=""/>
    <n v="35642"/>
    <s v="Dr"/>
    <m/>
    <m/>
    <m/>
    <m/>
    <m/>
    <m/>
    <m/>
    <m/>
    <n v="0"/>
  </r>
  <r>
    <x v="2"/>
    <m/>
    <s v="Agst Ref"/>
    <s v="256779414736"/>
    <s v=""/>
    <n v="9282"/>
    <s v="Dr"/>
    <m/>
    <m/>
    <m/>
    <m/>
    <m/>
    <m/>
    <m/>
    <m/>
    <n v="0"/>
  </r>
  <r>
    <x v="2"/>
    <m/>
    <s v="Agst Ref"/>
    <s v="256779414744"/>
    <s v=""/>
    <n v="24284"/>
    <s v="Dr"/>
    <m/>
    <m/>
    <m/>
    <m/>
    <m/>
    <m/>
    <m/>
    <m/>
    <n v="0"/>
  </r>
  <r>
    <x v="2"/>
    <m/>
    <s v="Agst Ref"/>
    <s v="256779414769"/>
    <s v=""/>
    <n v="5629"/>
    <s v="Dr"/>
    <m/>
    <m/>
    <m/>
    <m/>
    <m/>
    <m/>
    <m/>
    <m/>
    <n v="0"/>
  </r>
  <r>
    <x v="2"/>
    <m/>
    <s v="Agst Ref"/>
    <s v="256779414803"/>
    <s v=""/>
    <n v="25163"/>
    <s v="Dr"/>
    <m/>
    <m/>
    <m/>
    <m/>
    <m/>
    <m/>
    <m/>
    <m/>
    <n v="0"/>
  </r>
  <r>
    <x v="39"/>
    <s v="Dr"/>
    <s v="(as per details)"/>
    <m/>
    <s v=""/>
    <s v=""/>
    <s v=""/>
    <s v=""/>
    <s v="October, 2025"/>
    <m/>
    <n v="1620"/>
    <s v="Journal 1"/>
    <s v="171"/>
    <m/>
    <n v="142869"/>
    <n v="15874"/>
  </r>
  <r>
    <x v="1"/>
    <m/>
    <s v="Space Expense / Storage - E"/>
    <m/>
    <s v=""/>
    <s v=""/>
    <s v=""/>
    <s v=""/>
    <s v=""/>
    <s v=""/>
    <n v="158743.39000000001"/>
    <m/>
    <m/>
    <m/>
    <m/>
    <n v="0"/>
  </r>
  <r>
    <x v="1"/>
    <m/>
    <s v="TDS on Rent"/>
    <m/>
    <s v=""/>
    <s v=""/>
    <s v=""/>
    <s v=""/>
    <s v=""/>
    <s v=""/>
    <m/>
    <n v="15874"/>
    <m/>
    <m/>
    <m/>
    <n v="0"/>
  </r>
  <r>
    <x v="1"/>
    <m/>
    <s v="Round Off"/>
    <m/>
    <s v=""/>
    <s v=""/>
    <s v=""/>
    <s v=""/>
    <s v=""/>
    <s v=""/>
    <m/>
    <n v="0.39"/>
    <m/>
    <m/>
    <m/>
    <n v="0"/>
  </r>
  <r>
    <x v="2"/>
    <m/>
    <s v="New Ref"/>
    <s v="256779418025"/>
    <s v=""/>
    <n v="142869"/>
    <s v="Cr"/>
    <m/>
    <m/>
    <m/>
    <m/>
    <m/>
    <m/>
    <m/>
    <m/>
    <n v="0"/>
  </r>
  <r>
    <x v="39"/>
    <s v="Dr"/>
    <s v="(as per details)"/>
    <m/>
    <s v=""/>
    <s v=""/>
    <s v=""/>
    <s v=""/>
    <s v="November, 2025"/>
    <m/>
    <n v="1619.99"/>
    <s v="Journal 1"/>
    <s v="172"/>
    <m/>
    <n v="142565"/>
    <n v="15841"/>
  </r>
  <r>
    <x v="1"/>
    <m/>
    <s v="Space Expense / Storage - E"/>
    <m/>
    <s v=""/>
    <s v=""/>
    <s v=""/>
    <s v=""/>
    <s v=""/>
    <s v=""/>
    <n v="158406.1"/>
    <m/>
    <m/>
    <m/>
    <m/>
    <n v="0"/>
  </r>
  <r>
    <x v="1"/>
    <m/>
    <s v="TDS on Rent"/>
    <m/>
    <s v=""/>
    <s v=""/>
    <s v=""/>
    <s v=""/>
    <s v=""/>
    <s v=""/>
    <m/>
    <n v="15841"/>
    <m/>
    <m/>
    <m/>
    <n v="0"/>
  </r>
  <r>
    <x v="1"/>
    <m/>
    <s v="Round Off"/>
    <m/>
    <s v=""/>
    <s v=""/>
    <s v=""/>
    <s v=""/>
    <s v=""/>
    <s v=""/>
    <m/>
    <n v="0.1"/>
    <m/>
    <m/>
    <m/>
    <n v="0"/>
  </r>
  <r>
    <x v="2"/>
    <m/>
    <s v="New Ref"/>
    <s v="256779418791"/>
    <s v=""/>
    <n v="142565"/>
    <s v="Cr"/>
    <m/>
    <m/>
    <m/>
    <m/>
    <m/>
    <m/>
    <m/>
    <m/>
    <n v="0"/>
  </r>
  <r>
    <x v="39"/>
    <s v="Dr"/>
    <s v="(as per details)"/>
    <m/>
    <s v=""/>
    <s v=""/>
    <s v=""/>
    <s v=""/>
    <s v="October, 2025"/>
    <m/>
    <n v="961.68"/>
    <s v="Journal 1"/>
    <s v="173"/>
    <m/>
    <n v="84631"/>
    <n v="9404"/>
  </r>
  <r>
    <x v="1"/>
    <m/>
    <s v="Space Expense / Storage - E"/>
    <m/>
    <s v=""/>
    <s v=""/>
    <s v=""/>
    <s v=""/>
    <s v=""/>
    <s v=""/>
    <n v="94035.14"/>
    <m/>
    <m/>
    <m/>
    <m/>
    <n v="0"/>
  </r>
  <r>
    <x v="1"/>
    <m/>
    <s v="TDS on Rent"/>
    <m/>
    <s v=""/>
    <s v=""/>
    <s v=""/>
    <s v=""/>
    <s v=""/>
    <s v=""/>
    <m/>
    <n v="9404"/>
    <m/>
    <m/>
    <m/>
    <n v="0"/>
  </r>
  <r>
    <x v="1"/>
    <m/>
    <s v="Round Off"/>
    <m/>
    <s v=""/>
    <s v=""/>
    <s v=""/>
    <s v=""/>
    <s v=""/>
    <s v=""/>
    <m/>
    <n v="0.14000000000000001"/>
    <m/>
    <m/>
    <m/>
    <n v="0"/>
  </r>
  <r>
    <x v="2"/>
    <m/>
    <s v="New Ref"/>
    <s v="256779418871"/>
    <s v=""/>
    <n v="84631"/>
    <s v="Cr"/>
    <m/>
    <m/>
    <m/>
    <m/>
    <m/>
    <m/>
    <m/>
    <m/>
    <n v="0"/>
  </r>
  <r>
    <x v="40"/>
    <s v="Cr"/>
    <s v="Srikaram Prescience Pvt. Ltd- Noida"/>
    <m/>
    <s v=""/>
    <s v=""/>
    <s v=""/>
    <s v=""/>
    <s v=", 0"/>
    <m/>
    <m/>
    <s v="Journal"/>
    <s v="430"/>
    <n v="100000"/>
    <m/>
    <n v="0"/>
  </r>
  <r>
    <x v="2"/>
    <m/>
    <s v="Agst Ref"/>
    <s v="256779414803"/>
    <s v=""/>
    <n v="1691"/>
    <s v="Dr"/>
    <m/>
    <m/>
    <m/>
    <m/>
    <m/>
    <m/>
    <m/>
    <m/>
    <n v="0"/>
  </r>
  <r>
    <x v="2"/>
    <m/>
    <s v="Agst Ref"/>
    <s v="256779414834"/>
    <s v=""/>
    <n v="1288"/>
    <s v="Dr"/>
    <m/>
    <m/>
    <m/>
    <m/>
    <m/>
    <m/>
    <m/>
    <m/>
    <n v="0"/>
  </r>
  <r>
    <x v="2"/>
    <m/>
    <s v="Agst Ref"/>
    <s v="256779414881"/>
    <s v=""/>
    <n v="4401"/>
    <s v="Dr"/>
    <m/>
    <m/>
    <m/>
    <m/>
    <m/>
    <m/>
    <m/>
    <m/>
    <n v="0"/>
  </r>
  <r>
    <x v="2"/>
    <m/>
    <s v="Agst Ref"/>
    <s v="256779414932"/>
    <s v=""/>
    <n v="92620"/>
    <s v="Dr"/>
    <m/>
    <m/>
    <m/>
    <m/>
    <m/>
    <m/>
    <m/>
    <m/>
    <n v="0"/>
  </r>
  <r>
    <x v="41"/>
    <s v="Cr"/>
    <s v="Srikaram Prescience Pvt. Ltd- Noida"/>
    <m/>
    <s v=""/>
    <s v=""/>
    <s v=""/>
    <s v=""/>
    <s v=", 0"/>
    <m/>
    <m/>
    <s v="Journal"/>
    <s v="446"/>
    <n v="200000"/>
    <m/>
    <n v="0"/>
  </r>
  <r>
    <x v="2"/>
    <m/>
    <s v="Agst Ref"/>
    <s v="256779414932"/>
    <s v=""/>
    <n v="46701"/>
    <s v="Dr"/>
    <m/>
    <m/>
    <m/>
    <m/>
    <m/>
    <m/>
    <m/>
    <m/>
    <n v="0"/>
  </r>
  <r>
    <x v="2"/>
    <m/>
    <s v="Agst Ref"/>
    <s v="256779415020"/>
    <s v=""/>
    <n v="14782"/>
    <s v="Dr"/>
    <m/>
    <m/>
    <m/>
    <m/>
    <m/>
    <m/>
    <m/>
    <m/>
    <n v="0"/>
  </r>
  <r>
    <x v="2"/>
    <m/>
    <s v="Agst Ref"/>
    <s v="256779415188"/>
    <s v=""/>
    <n v="117740"/>
    <s v="Dr"/>
    <m/>
    <m/>
    <m/>
    <m/>
    <m/>
    <m/>
    <m/>
    <m/>
    <n v="0"/>
  </r>
  <r>
    <x v="2"/>
    <m/>
    <s v="Agst Ref"/>
    <s v="256779415265"/>
    <s v=""/>
    <n v="13884"/>
    <s v="Dr"/>
    <m/>
    <m/>
    <m/>
    <m/>
    <m/>
    <m/>
    <m/>
    <m/>
    <n v="0"/>
  </r>
  <r>
    <x v="2"/>
    <m/>
    <s v="Agst Ref"/>
    <s v="256779415434"/>
    <s v=""/>
    <n v="6893"/>
    <s v="Dr"/>
    <m/>
    <m/>
    <m/>
    <m/>
    <m/>
    <m/>
    <m/>
    <m/>
    <n v="0"/>
  </r>
  <r>
    <x v="42"/>
    <s v="Cr"/>
    <s v="Srikaram Prescience Pvt. Ltd- Noida"/>
    <m/>
    <s v=""/>
    <s v=""/>
    <s v=""/>
    <s v=""/>
    <s v=", 0"/>
    <m/>
    <m/>
    <s v="Journal"/>
    <s v="465"/>
    <n v="100000"/>
    <m/>
    <n v="0"/>
  </r>
  <r>
    <x v="2"/>
    <m/>
    <s v="Agst Ref"/>
    <s v="256779415434"/>
    <s v=""/>
    <n v="2458"/>
    <s v="Dr"/>
    <m/>
    <m/>
    <m/>
    <m/>
    <m/>
    <m/>
    <m/>
    <m/>
    <n v="0"/>
  </r>
  <r>
    <x v="2"/>
    <m/>
    <s v="Agst Ref"/>
    <s v="256779415445"/>
    <s v=""/>
    <n v="2199"/>
    <s v="Dr"/>
    <m/>
    <m/>
    <m/>
    <m/>
    <m/>
    <m/>
    <m/>
    <m/>
    <n v="0"/>
  </r>
  <r>
    <x v="2"/>
    <m/>
    <s v="Agst Ref"/>
    <s v="256779415458"/>
    <s v=""/>
    <n v="6215"/>
    <s v="Dr"/>
    <m/>
    <m/>
    <m/>
    <m/>
    <m/>
    <m/>
    <m/>
    <m/>
    <n v="0"/>
  </r>
  <r>
    <x v="2"/>
    <m/>
    <s v="Agst Ref"/>
    <s v="256779415486"/>
    <s v=""/>
    <n v="20159"/>
    <s v="Dr"/>
    <m/>
    <m/>
    <m/>
    <m/>
    <m/>
    <m/>
    <m/>
    <m/>
    <n v="0"/>
  </r>
  <r>
    <x v="2"/>
    <m/>
    <s v="Agst Ref"/>
    <s v="256779415526"/>
    <s v=""/>
    <n v="232"/>
    <s v="Dr"/>
    <m/>
    <m/>
    <m/>
    <m/>
    <m/>
    <m/>
    <m/>
    <m/>
    <n v="0"/>
  </r>
  <r>
    <x v="2"/>
    <m/>
    <s v="Agst Ref"/>
    <s v="256779415702"/>
    <s v=""/>
    <n v="16856"/>
    <s v="Dr"/>
    <m/>
    <m/>
    <m/>
    <m/>
    <m/>
    <m/>
    <m/>
    <m/>
    <n v="0"/>
  </r>
  <r>
    <x v="2"/>
    <m/>
    <s v="Agst Ref"/>
    <s v="256779415946"/>
    <s v=""/>
    <n v="2466"/>
    <s v="Dr"/>
    <m/>
    <m/>
    <m/>
    <m/>
    <m/>
    <m/>
    <m/>
    <m/>
    <n v="0"/>
  </r>
  <r>
    <x v="2"/>
    <m/>
    <s v="Agst Ref"/>
    <s v="256779415968"/>
    <s v=""/>
    <n v="35991"/>
    <s v="Dr"/>
    <m/>
    <m/>
    <m/>
    <m/>
    <m/>
    <m/>
    <m/>
    <m/>
    <n v="0"/>
  </r>
  <r>
    <x v="2"/>
    <m/>
    <s v="Agst Ref"/>
    <s v="256779416000"/>
    <s v=""/>
    <n v="12698"/>
    <s v="Dr"/>
    <m/>
    <m/>
    <m/>
    <m/>
    <m/>
    <m/>
    <m/>
    <m/>
    <n v="0"/>
  </r>
  <r>
    <x v="2"/>
    <m/>
    <s v="Agst Ref"/>
    <s v="256779416143"/>
    <s v=""/>
    <n v="726"/>
    <s v="Dr"/>
    <m/>
    <m/>
    <m/>
    <m/>
    <m/>
    <m/>
    <m/>
    <m/>
    <n v="0"/>
  </r>
  <r>
    <x v="43"/>
    <s v="Cr"/>
    <s v="Srikaram Prescience Pvt. Ltd- Noida"/>
    <m/>
    <s v=""/>
    <s v=""/>
    <s v=""/>
    <s v=""/>
    <s v=", 0"/>
    <m/>
    <m/>
    <s v="Journal"/>
    <s v="475"/>
    <n v="150000"/>
    <m/>
    <n v="0"/>
  </r>
  <r>
    <x v="2"/>
    <m/>
    <s v="Agst Ref"/>
    <s v="256779416143"/>
    <s v=""/>
    <n v="1489"/>
    <s v="Dr"/>
    <m/>
    <m/>
    <m/>
    <m/>
    <m/>
    <m/>
    <m/>
    <m/>
    <n v="0"/>
  </r>
  <r>
    <x v="2"/>
    <m/>
    <s v="Agst Ref"/>
    <s v="256779416043"/>
    <s v=""/>
    <n v="139369"/>
    <s v="Dr"/>
    <m/>
    <m/>
    <m/>
    <m/>
    <m/>
    <m/>
    <m/>
    <m/>
    <n v="0"/>
  </r>
  <r>
    <x v="2"/>
    <m/>
    <s v="Agst Ref"/>
    <s v="256779416183"/>
    <s v=""/>
    <n v="8627"/>
    <s v="Dr"/>
    <m/>
    <m/>
    <m/>
    <m/>
    <m/>
    <m/>
    <m/>
    <m/>
    <n v="0"/>
  </r>
  <r>
    <x v="2"/>
    <m/>
    <s v="Agst Ref"/>
    <s v="256779416229"/>
    <s v=""/>
    <n v="515"/>
    <s v="Dr"/>
    <m/>
    <m/>
    <m/>
    <m/>
    <m/>
    <m/>
    <m/>
    <m/>
    <n v="0"/>
  </r>
  <r>
    <x v="44"/>
    <s v="Cr"/>
    <s v="Srikaram Prescience Pvt. Ltd- Noida"/>
    <m/>
    <s v=""/>
    <s v=""/>
    <s v=""/>
    <s v=""/>
    <s v=", 0"/>
    <m/>
    <m/>
    <s v="Journal"/>
    <s v="489"/>
    <n v="150000"/>
    <m/>
    <n v="0"/>
  </r>
  <r>
    <x v="2"/>
    <m/>
    <s v="Agst Ref"/>
    <s v="256779416229"/>
    <s v=""/>
    <n v="1399"/>
    <s v="Dr"/>
    <m/>
    <m/>
    <m/>
    <m/>
    <m/>
    <m/>
    <m/>
    <m/>
    <n v="0"/>
  </r>
  <r>
    <x v="2"/>
    <m/>
    <s v="Agst Ref"/>
    <s v="256779416081"/>
    <s v=""/>
    <n v="98139"/>
    <s v="Dr"/>
    <m/>
    <m/>
    <m/>
    <m/>
    <m/>
    <m/>
    <m/>
    <m/>
    <n v="0"/>
  </r>
  <r>
    <x v="2"/>
    <m/>
    <s v="Agst Ref"/>
    <s v="256779416447"/>
    <s v=""/>
    <n v="30209"/>
    <s v="Dr"/>
    <m/>
    <m/>
    <m/>
    <m/>
    <m/>
    <m/>
    <m/>
    <m/>
    <n v="0"/>
  </r>
  <r>
    <x v="2"/>
    <m/>
    <s v="Agst Ref"/>
    <s v="256779416455"/>
    <s v=""/>
    <n v="1155"/>
    <s v="Dr"/>
    <m/>
    <m/>
    <m/>
    <m/>
    <m/>
    <m/>
    <m/>
    <m/>
    <n v="0"/>
  </r>
  <r>
    <x v="2"/>
    <m/>
    <s v="Agst Ref"/>
    <s v="256779416517"/>
    <s v=""/>
    <n v="4749"/>
    <s v="Dr"/>
    <m/>
    <m/>
    <m/>
    <m/>
    <m/>
    <m/>
    <m/>
    <m/>
    <n v="0"/>
  </r>
  <r>
    <x v="2"/>
    <m/>
    <s v="Agst Ref"/>
    <s v="256779416848"/>
    <s v=""/>
    <n v="1496"/>
    <s v="Dr"/>
    <m/>
    <m/>
    <m/>
    <m/>
    <m/>
    <m/>
    <m/>
    <m/>
    <n v="0"/>
  </r>
  <r>
    <x v="2"/>
    <m/>
    <s v="Agst Ref"/>
    <s v="256779416883"/>
    <s v=""/>
    <n v="4220"/>
    <s v="Dr"/>
    <m/>
    <m/>
    <m/>
    <m/>
    <m/>
    <m/>
    <m/>
    <m/>
    <n v="0"/>
  </r>
  <r>
    <x v="2"/>
    <m/>
    <s v="Agst Ref"/>
    <s v="256779417163"/>
    <s v=""/>
    <n v="6444"/>
    <s v="Dr"/>
    <m/>
    <m/>
    <m/>
    <m/>
    <m/>
    <m/>
    <m/>
    <m/>
    <n v="0"/>
  </r>
  <r>
    <x v="2"/>
    <m/>
    <s v="Agst Ref"/>
    <s v="256779417075"/>
    <s v=""/>
    <n v="2189"/>
    <s v="Dr"/>
    <m/>
    <m/>
    <m/>
    <m/>
    <m/>
    <m/>
    <m/>
    <m/>
    <n v="0"/>
  </r>
  <r>
    <x v="45"/>
    <s v="Cr"/>
    <s v="Srikaram Prescience Pvt. Ltd- Noida"/>
    <m/>
    <s v=""/>
    <s v=""/>
    <s v=""/>
    <s v=""/>
    <s v=", 0"/>
    <m/>
    <m/>
    <s v="Journal"/>
    <s v="499"/>
    <n v="200000"/>
    <m/>
    <n v="0"/>
  </r>
  <r>
    <x v="2"/>
    <m/>
    <s v="Agst Ref"/>
    <s v="256779417075"/>
    <s v=""/>
    <n v="84373"/>
    <s v="Dr"/>
    <m/>
    <m/>
    <m/>
    <m/>
    <m/>
    <m/>
    <m/>
    <m/>
    <n v="0"/>
  </r>
  <r>
    <x v="2"/>
    <m/>
    <s v="Agst Ref"/>
    <s v="256779417188"/>
    <s v=""/>
    <n v="12007"/>
    <s v="Dr"/>
    <m/>
    <m/>
    <m/>
    <m/>
    <m/>
    <m/>
    <m/>
    <m/>
    <n v="0"/>
  </r>
  <r>
    <x v="2"/>
    <m/>
    <s v="Agst Ref"/>
    <s v="256779417247"/>
    <s v=""/>
    <n v="9273"/>
    <s v="Dr"/>
    <m/>
    <m/>
    <m/>
    <m/>
    <m/>
    <m/>
    <m/>
    <m/>
    <n v="0"/>
  </r>
  <r>
    <x v="2"/>
    <m/>
    <s v="Agst Ref"/>
    <s v="256779417290"/>
    <s v=""/>
    <n v="49606"/>
    <s v="Dr"/>
    <m/>
    <m/>
    <m/>
    <m/>
    <m/>
    <m/>
    <m/>
    <m/>
    <n v="0"/>
  </r>
  <r>
    <x v="2"/>
    <m/>
    <s v="Agst Ref"/>
    <s v="256779417330"/>
    <s v=""/>
    <n v="1159"/>
    <s v="Dr"/>
    <m/>
    <m/>
    <m/>
    <m/>
    <m/>
    <m/>
    <m/>
    <m/>
    <n v="0"/>
  </r>
  <r>
    <x v="2"/>
    <m/>
    <s v="Agst Ref"/>
    <s v="256779417530"/>
    <s v=""/>
    <n v="3542"/>
    <s v="Dr"/>
    <m/>
    <m/>
    <m/>
    <m/>
    <m/>
    <m/>
    <m/>
    <m/>
    <n v="0"/>
  </r>
  <r>
    <x v="2"/>
    <m/>
    <s v="Agst Ref"/>
    <s v="256779417571"/>
    <s v=""/>
    <n v="13451"/>
    <s v="Dr"/>
    <m/>
    <m/>
    <m/>
    <m/>
    <m/>
    <m/>
    <m/>
    <m/>
    <n v="0"/>
  </r>
  <r>
    <x v="2"/>
    <m/>
    <s v="Agst Ref"/>
    <s v="256779417904"/>
    <s v=""/>
    <n v="2584"/>
    <s v="Dr"/>
    <m/>
    <m/>
    <m/>
    <m/>
    <m/>
    <m/>
    <m/>
    <m/>
    <n v="0"/>
  </r>
  <r>
    <x v="2"/>
    <m/>
    <s v="Agst Ref"/>
    <s v="256779417943"/>
    <s v=""/>
    <n v="23408"/>
    <s v="Dr"/>
    <m/>
    <m/>
    <m/>
    <m/>
    <m/>
    <m/>
    <m/>
    <m/>
    <n v="0"/>
  </r>
  <r>
    <x v="2"/>
    <m/>
    <s v="Agst Ref"/>
    <s v="256779418828"/>
    <s v=""/>
    <n v="597"/>
    <s v="Dr"/>
    <m/>
    <m/>
    <m/>
    <m/>
    <m/>
    <m/>
    <m/>
    <m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x v="0"/>
    <m/>
    <n v="140899"/>
    <n v="15655"/>
  </r>
  <r>
    <x v="1"/>
    <m/>
    <n v="421359"/>
    <n v="46818"/>
  </r>
  <r>
    <x v="2"/>
    <m/>
    <n v="601717"/>
    <n v="66858"/>
  </r>
  <r>
    <x v="3"/>
    <m/>
    <n v="380701"/>
    <n v="42300"/>
  </r>
  <r>
    <x v="4"/>
    <m/>
    <n v="368145"/>
    <n v="40906"/>
  </r>
  <r>
    <x v="5"/>
    <m/>
    <n v="14486"/>
    <n v="1610"/>
  </r>
  <r>
    <x v="6"/>
    <m/>
    <n v="68741"/>
    <n v="7638"/>
  </r>
  <r>
    <x v="7"/>
    <n v="257391"/>
    <m/>
    <n v="0"/>
  </r>
  <r>
    <x v="8"/>
    <n v="324702"/>
    <m/>
    <n v="0"/>
  </r>
  <r>
    <x v="9"/>
    <m/>
    <n v="248121"/>
    <n v="5061"/>
  </r>
  <r>
    <x v="10"/>
    <m/>
    <n v="34824"/>
    <n v="3869"/>
  </r>
  <r>
    <x v="11"/>
    <n v="500000"/>
    <m/>
    <n v="0"/>
  </r>
  <r>
    <x v="12"/>
    <m/>
    <n v="35715"/>
    <n v="3968"/>
  </r>
  <r>
    <x v="13"/>
    <n v="100000"/>
    <m/>
    <n v="0"/>
  </r>
  <r>
    <x v="14"/>
    <n v="700000"/>
    <m/>
    <n v="0"/>
  </r>
  <r>
    <x v="15"/>
    <m/>
    <n v="71434"/>
    <n v="1459"/>
  </r>
  <r>
    <x v="16"/>
    <m/>
    <n v="544229"/>
    <n v="60470"/>
  </r>
  <r>
    <x v="17"/>
    <n v="150000"/>
    <m/>
    <n v="0"/>
  </r>
  <r>
    <x v="18"/>
    <n v="150000"/>
    <m/>
    <n v="0"/>
  </r>
  <r>
    <x v="19"/>
    <n v="150000"/>
    <m/>
    <n v="0"/>
  </r>
  <r>
    <x v="20"/>
    <n v="150000"/>
    <m/>
    <n v="0"/>
  </r>
  <r>
    <x v="21"/>
    <n v="450000"/>
    <n v="381485"/>
    <n v="7788"/>
  </r>
  <r>
    <x v="22"/>
    <m/>
    <n v="373228"/>
    <n v="41469"/>
  </r>
  <r>
    <x v="23"/>
    <n v="100000"/>
    <m/>
    <n v="0"/>
  </r>
  <r>
    <x v="24"/>
    <n v="100000"/>
    <m/>
    <n v="0"/>
  </r>
  <r>
    <x v="25"/>
    <n v="100000"/>
    <m/>
    <n v="0"/>
  </r>
  <r>
    <x v="26"/>
    <m/>
    <n v="646777"/>
    <n v="71863"/>
  </r>
  <r>
    <x v="27"/>
    <m/>
    <n v="191599"/>
    <n v="3911"/>
  </r>
  <r>
    <x v="28"/>
    <n v="100000"/>
    <m/>
    <n v="0"/>
  </r>
  <r>
    <x v="29"/>
    <n v="100000"/>
    <m/>
    <n v="0"/>
  </r>
  <r>
    <x v="30"/>
    <n v="100000"/>
    <m/>
    <n v="0"/>
  </r>
  <r>
    <x v="31"/>
    <m/>
    <n v="353116"/>
    <n v="7207"/>
  </r>
  <r>
    <x v="32"/>
    <m/>
    <n v="39662"/>
    <n v="809"/>
  </r>
  <r>
    <x v="33"/>
    <m/>
    <n v="74849"/>
    <n v="1527"/>
  </r>
  <r>
    <x v="34"/>
    <n v="100000"/>
    <n v="333896"/>
    <n v="37100"/>
  </r>
  <r>
    <x v="35"/>
    <n v="100000"/>
    <m/>
    <n v="0"/>
  </r>
  <r>
    <x v="36"/>
    <n v="100000"/>
    <m/>
    <n v="0"/>
  </r>
  <r>
    <x v="37"/>
    <m/>
    <n v="370065"/>
    <n v="41119"/>
  </r>
  <r>
    <x v="38"/>
    <n v="100000"/>
    <m/>
    <n v="0"/>
  </r>
  <r>
    <x v="39"/>
    <n v="200000"/>
    <m/>
    <n v="0"/>
  </r>
  <r>
    <x v="40"/>
    <n v="100000"/>
    <m/>
    <n v="0"/>
  </r>
  <r>
    <x v="41"/>
    <n v="150000"/>
    <m/>
    <n v="0"/>
  </r>
  <r>
    <x v="42"/>
    <n v="150000"/>
    <m/>
    <n v="0"/>
  </r>
  <r>
    <x v="43"/>
    <n v="200000"/>
    <m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n v="-324702"/>
    <s v="INR"/>
    <s v=""/>
  </r>
  <r>
    <x v="0"/>
    <x v="0"/>
    <n v="-500000"/>
    <s v="INR"/>
    <s v=""/>
  </r>
  <r>
    <x v="0"/>
    <x v="1"/>
    <n v="-100000"/>
    <s v="INR"/>
    <s v=""/>
  </r>
  <r>
    <x v="0"/>
    <x v="1"/>
    <n v="-700000"/>
    <s v="INR"/>
    <s v=""/>
  </r>
  <r>
    <x v="0"/>
    <x v="1"/>
    <n v="-150000"/>
    <s v="INR"/>
    <s v=""/>
  </r>
  <r>
    <x v="0"/>
    <x v="1"/>
    <n v="-150000"/>
    <s v="INR"/>
    <s v=""/>
  </r>
  <r>
    <x v="0"/>
    <x v="1"/>
    <n v="-150000"/>
    <s v="INR"/>
    <s v=""/>
  </r>
  <r>
    <x v="0"/>
    <x v="1"/>
    <n v="-150000"/>
    <s v="INR"/>
    <s v=""/>
  </r>
  <r>
    <x v="0"/>
    <x v="2"/>
    <n v="-100000"/>
    <s v="INR"/>
    <s v=""/>
  </r>
  <r>
    <x v="0"/>
    <x v="2"/>
    <n v="-100000"/>
    <s v="INR"/>
    <s v=""/>
  </r>
  <r>
    <x v="0"/>
    <x v="2"/>
    <n v="-450000"/>
    <s v="INR"/>
    <s v=""/>
  </r>
  <r>
    <x v="0"/>
    <x v="2"/>
    <n v="-100000"/>
    <s v="INR"/>
    <s v=""/>
  </r>
  <r>
    <x v="0"/>
    <x v="3"/>
    <n v="-100000"/>
    <s v="INR"/>
    <s v=""/>
  </r>
  <r>
    <x v="0"/>
    <x v="4"/>
    <n v="-100000"/>
    <s v="INR"/>
    <s v=""/>
  </r>
  <r>
    <x v="0"/>
    <x v="4"/>
    <n v="-100000"/>
    <s v="INR"/>
    <s v=""/>
  </r>
  <r>
    <x v="0"/>
    <x v="5"/>
    <n v="-100000"/>
    <s v="INR"/>
    <s v=""/>
  </r>
  <r>
    <x v="0"/>
    <x v="6"/>
    <n v="-100000"/>
    <s v="INR"/>
    <s v=""/>
  </r>
  <r>
    <x v="0"/>
    <x v="7"/>
    <n v="-100000"/>
    <s v="INR"/>
    <s v=""/>
  </r>
  <r>
    <x v="0"/>
    <x v="8"/>
    <n v="-100000"/>
    <s v="INR"/>
    <s v=""/>
  </r>
  <r>
    <x v="0"/>
    <x v="9"/>
    <n v="-200000"/>
    <s v="INR"/>
    <s v=""/>
  </r>
  <r>
    <x v="0"/>
    <x v="10"/>
    <n v="-100000"/>
    <s v="INR"/>
    <s v=""/>
  </r>
  <r>
    <x v="0"/>
    <x v="11"/>
    <n v="-150000"/>
    <s v="INR"/>
    <s v=""/>
  </r>
  <r>
    <x v="0"/>
    <x v="12"/>
    <n v="-150000"/>
    <s v="INR"/>
    <s v=""/>
  </r>
  <r>
    <x v="1"/>
    <x v="13"/>
    <n v="24605.1"/>
    <s v="INR"/>
    <s v="VAS 1-15 June 25, Exch 86.10"/>
  </r>
  <r>
    <x v="1"/>
    <x v="14"/>
    <n v="14166.89"/>
    <s v="INR"/>
    <s v="VAS - 16-30 June 25"/>
  </r>
  <r>
    <x v="1"/>
    <x v="15"/>
    <n v="13035.98"/>
    <s v="INR"/>
    <s v="VAS 16-31 May 25 Ex.85.48"/>
  </r>
  <r>
    <x v="1"/>
    <x v="16"/>
    <n v="1183.19"/>
    <s v="INR"/>
    <s v="Outbound chgs - 16 - 31 Aug 25"/>
  </r>
  <r>
    <x v="1"/>
    <x v="17"/>
    <n v="13725.75"/>
    <s v="INR"/>
    <s v="LCL chgs - 01 - 15 SEP 25"/>
  </r>
  <r>
    <x v="1"/>
    <x v="17"/>
    <n v="3614.34"/>
    <s v="INR"/>
    <s v="Outbound chgs - 01 - 15 Sep 25"/>
  </r>
  <r>
    <x v="1"/>
    <x v="18"/>
    <n v="116061.5"/>
    <s v="INR"/>
    <s v="VAS -1-15 Sept-25"/>
  </r>
  <r>
    <x v="1"/>
    <x v="19"/>
    <n v="2636.9"/>
    <s v="INR"/>
    <s v="Empty Lolo Chgs - 01 - 30 SEP 25"/>
  </r>
  <r>
    <x v="1"/>
    <x v="19"/>
    <n v="13764.82"/>
    <s v="INR"/>
    <s v="Outbound chgs - 16 - 30 Sep 25"/>
  </r>
  <r>
    <x v="1"/>
    <x v="19"/>
    <n v="158743.39000000001"/>
    <s v="INR"/>
    <s v="Fixed Storage Charges for October 2025"/>
  </r>
  <r>
    <x v="1"/>
    <x v="20"/>
    <n v="117290.2"/>
    <s v="INR"/>
    <s v="Unit Storage - 1-30 Sept 2025"/>
  </r>
  <r>
    <x v="1"/>
    <x v="21"/>
    <n v="49385.95"/>
    <s v="INR"/>
    <s v="VAS-16-30 Sept 25"/>
  </r>
  <r>
    <x v="1"/>
    <x v="19"/>
    <n v="4527.71"/>
    <s v="INR"/>
    <s v="PORT SSR Chgs Sep 25"/>
  </r>
  <r>
    <x v="1"/>
    <x v="22"/>
    <n v="4137.91"/>
    <s v="INR"/>
    <s v="CODC Inbound chgs - 1-15 Oct 25"/>
  </r>
  <r>
    <x v="1"/>
    <x v="23"/>
    <n v="1198.51"/>
    <s v="INR"/>
    <s v="Weighment  -1-15 Oct 2025"/>
  </r>
  <r>
    <x v="1"/>
    <x v="23"/>
    <n v="1198.51"/>
    <s v="INR"/>
    <s v="Weighment  -1-15 Oct 2025"/>
  </r>
  <r>
    <x v="1"/>
    <x v="24"/>
    <n v="20724.830000000002"/>
    <s v="INR"/>
    <s v="Transportation In Chgs - 01 - 15 Oct 25"/>
  </r>
  <r>
    <x v="1"/>
    <x v="24"/>
    <n v="4792.29"/>
    <s v="INR"/>
    <s v="Outbound chgs - 01 - 15 Oct 25"/>
  </r>
  <r>
    <x v="1"/>
    <x v="25"/>
    <n v="158406.1"/>
    <s v="INR"/>
    <s v="Fixed Storage Charges for November 2025"/>
  </r>
  <r>
    <x v="1"/>
    <x v="25"/>
    <n v="1190.69"/>
    <s v="INR"/>
    <s v="WEIGHTMENT-16 -31 Oct 25"/>
  </r>
  <r>
    <x v="1"/>
    <x v="25"/>
    <n v="94035.14"/>
    <s v="INR"/>
    <s v="Unit Storage - 1-31 Oct 2025"/>
  </r>
  <r>
    <x v="1"/>
    <x v="25"/>
    <n v="12320.47"/>
    <s v="INR"/>
    <s v="Transportation In Chgs - 16 - 31 Oct 25"/>
  </r>
  <r>
    <x v="1"/>
    <x v="25"/>
    <n v="3080.12"/>
    <s v="INR"/>
    <s v="Scanning  Chgs - 16 - 31 Oct 25"/>
  </r>
  <r>
    <x v="1"/>
    <x v="26"/>
    <n v="40471"/>
    <s v="INR"/>
    <s v="Transportation In Chgs - 16 - 31 Oct 25"/>
  </r>
  <r>
    <x v="1"/>
    <x v="25"/>
    <n v="28393.41"/>
    <s v="INR"/>
    <s v="Outbound chgs - 16 - 31 Oct 25"/>
  </r>
  <r>
    <x v="1"/>
    <x v="25"/>
    <n v="1170.45"/>
    <s v="INR"/>
    <s v="Empty Lolo Chgs - 01 - 31 OCT 25"/>
  </r>
  <r>
    <x v="1"/>
    <x v="25"/>
    <n v="17356.91"/>
    <s v="INR"/>
    <s v="Detention Chgs - OCT 25"/>
  </r>
  <r>
    <x v="1"/>
    <x v="27"/>
    <n v="179547.16"/>
    <s v="INR"/>
    <s v="VAS-Nov 1-15, 2025"/>
  </r>
  <r>
    <x v="1"/>
    <x v="27"/>
    <n v="5724.62"/>
    <s v="INR"/>
    <s v="LCL Chgs - 01 - 15 NOV 25"/>
  </r>
  <r>
    <x v="1"/>
    <x v="27"/>
    <n v="3714.62"/>
    <s v="INR"/>
    <s v="Outbound chgs - 01 - 15 Nov 25"/>
  </r>
  <r>
    <x v="1"/>
    <x v="28"/>
    <n v="79044.53"/>
    <s v="INR"/>
    <s v="Unit Storage - 1-30 Nov 2025"/>
  </r>
  <r>
    <x v="1"/>
    <x v="28"/>
    <n v="163337.65"/>
    <s v="INR"/>
    <s v="Fixed Storage Charges for December 2025"/>
  </r>
  <r>
    <x v="1"/>
    <x v="29"/>
    <n v="3790.16"/>
    <s v="INR"/>
    <s v="LCL Chgs - 16 - 30 NOV 25"/>
  </r>
  <r>
    <x v="1"/>
    <x v="30"/>
    <n v="14317.09"/>
    <s v="INR"/>
    <s v="Outbound chgs - 16 - 30 Nov 25"/>
  </r>
  <r>
    <x v="2"/>
    <x v="31"/>
    <n v="-1233.2"/>
    <s v="INR"/>
    <s v="Credit note for Duplicate invoice -256779418497"/>
  </r>
  <r>
    <x v="1"/>
    <x v="32"/>
    <n v="163337.65"/>
    <s v="INR"/>
    <s v="Fixed Storage Charges for January 2026"/>
  </r>
  <r>
    <x v="1"/>
    <x v="33"/>
    <n v="63234.36"/>
    <s v="INR"/>
    <s v="VAS - NOV 25,16-30"/>
  </r>
  <r>
    <x v="1"/>
    <x v="34"/>
    <n v="155346.59"/>
    <s v="INR"/>
    <s v="Fixed Rental charges for Oct 2024"/>
  </r>
  <r>
    <x v="1"/>
    <x v="34"/>
    <n v="155346.59"/>
    <s v="INR"/>
    <s v="Fixed Rental charges for Sept 2024"/>
  </r>
  <r>
    <x v="1"/>
    <x v="34"/>
    <n v="155346.59"/>
    <s v="INR"/>
    <s v="Fixed Rental charges for Nov 2024"/>
  </r>
  <r>
    <x v="1"/>
    <x v="34"/>
    <n v="155346.59"/>
    <s v="INR"/>
    <s v="Fixed Rental charges for Dec 2024"/>
  </r>
  <r>
    <x v="1"/>
    <x v="34"/>
    <n v="155346.59"/>
    <s v="INR"/>
    <s v="Fixed Rental charges for Jan 2025"/>
  </r>
  <r>
    <x v="1"/>
    <x v="34"/>
    <n v="155346.59"/>
    <s v="INR"/>
    <s v="Fixed Rental charges for Feb 2025"/>
  </r>
  <r>
    <x v="1"/>
    <x v="35"/>
    <n v="38836.65"/>
    <s v="INR"/>
    <s v="CY Longstanding container Ground Rent charges for"/>
  </r>
  <r>
    <x v="1"/>
    <x v="35"/>
    <n v="40131.199999999997"/>
    <s v="INR"/>
    <s v="CY Longstanding container Ground Rent charges for"/>
  </r>
  <r>
    <x v="1"/>
    <x v="35"/>
    <n v="40131.199999999997"/>
    <s v="INR"/>
    <s v="CY Longstanding container Ground Rent charges for"/>
  </r>
  <r>
    <x v="1"/>
    <x v="35"/>
    <n v="38836.65"/>
    <s v="INR"/>
    <s v="CY Longstanding container Ground Rent charges for"/>
  </r>
  <r>
    <x v="1"/>
    <x v="36"/>
    <n v="164220.99"/>
    <s v="INR"/>
    <s v="Storage  for the month of Sept  2024"/>
  </r>
  <r>
    <x v="1"/>
    <x v="36"/>
    <n v="167393.89000000001"/>
    <s v="INR"/>
    <s v="Storage for the month of Oct 2024"/>
  </r>
  <r>
    <x v="1"/>
    <x v="37"/>
    <n v="199955.13"/>
    <s v="INR"/>
    <s v="Storage for the month of Nov 2024"/>
  </r>
  <r>
    <x v="1"/>
    <x v="37"/>
    <n v="207242.39"/>
    <s v="INR"/>
    <s v="Storage for the month of Dec 2024"/>
  </r>
  <r>
    <x v="1"/>
    <x v="38"/>
    <n v="3034.19"/>
    <s v="INR"/>
    <s v="Scanning Charges for the month of September, 2024"/>
  </r>
  <r>
    <x v="1"/>
    <x v="39"/>
    <n v="6692.57"/>
    <s v="INR"/>
    <s v="VAS Activity Charges for the month of August, 24"/>
  </r>
  <r>
    <x v="1"/>
    <x v="40"/>
    <n v="21299.18"/>
    <s v="INR"/>
    <s v="VAS Activity Charges for the month of September, 2"/>
  </r>
  <r>
    <x v="1"/>
    <x v="40"/>
    <n v="6052.78"/>
    <s v="INR"/>
    <s v="VAS Activity Charges for the month of September, 2"/>
  </r>
  <r>
    <x v="1"/>
    <x v="40"/>
    <n v="6207.96"/>
    <s v="INR"/>
    <s v="VAS Activity Charges for the month of September, 2"/>
  </r>
  <r>
    <x v="1"/>
    <x v="40"/>
    <n v="5359.25"/>
    <s v="INR"/>
    <s v="VAS Activity Charges for the month of September, 2"/>
  </r>
  <r>
    <x v="1"/>
    <x v="40"/>
    <n v="10591.94"/>
    <s v="INR"/>
    <s v="VAS Activity Charges for the month of December, 24"/>
  </r>
  <r>
    <x v="1"/>
    <x v="41"/>
    <n v="16131.51"/>
    <s v="INR"/>
    <s v="Fixed Storage Charges for Mar 2025"/>
  </r>
  <r>
    <x v="1"/>
    <x v="41"/>
    <n v="2257.44"/>
    <s v="INR"/>
    <s v="HLBU3011446-Port SSR Shifting Jan 2025. Exch rate"/>
  </r>
  <r>
    <x v="1"/>
    <x v="42"/>
    <n v="40311.440000000002"/>
    <s v="INR"/>
    <s v="Ground Rent Jan 25"/>
  </r>
  <r>
    <x v="1"/>
    <x v="42"/>
    <n v="36410.33"/>
    <s v="INR"/>
    <s v="Ground Rent Feb 25"/>
  </r>
  <r>
    <x v="1"/>
    <x v="42"/>
    <n v="11141.56"/>
    <s v="INR"/>
    <s v="Outbound Handling charges for Feb 2025"/>
  </r>
  <r>
    <x v="1"/>
    <x v="42"/>
    <n v="151.71"/>
    <s v="INR"/>
    <s v="Outbound Handling charges for Feb 2025"/>
  </r>
  <r>
    <x v="1"/>
    <x v="42"/>
    <n v="173.38"/>
    <s v="INR"/>
    <s v="Outbound Handling charges for Feb 2025"/>
  </r>
  <r>
    <x v="1"/>
    <x v="42"/>
    <n v="151.71"/>
    <s v="INR"/>
    <s v="Outbound Handling charges for Feb 2025"/>
  </r>
  <r>
    <x v="1"/>
    <x v="42"/>
    <n v="172.52"/>
    <s v="INR"/>
    <s v="Outbound Handling charges for Feb 2025"/>
  </r>
  <r>
    <x v="1"/>
    <x v="42"/>
    <n v="1283.03"/>
    <s v="INR"/>
    <s v="Outbound Handling charges for Feb 2025"/>
  </r>
  <r>
    <x v="1"/>
    <x v="42"/>
    <n v="23666.71"/>
    <s v="INR"/>
    <s v="Inbound Handling charges for Jan 2025"/>
  </r>
  <r>
    <x v="1"/>
    <x v="42"/>
    <n v="24039.49"/>
    <s v="INR"/>
    <s v="Inbound Handling charges for Jan 2025"/>
  </r>
  <r>
    <x v="1"/>
    <x v="42"/>
    <n v="21802.85"/>
    <s v="INR"/>
    <s v="Inbound Handling charges for Jan 2025"/>
  </r>
  <r>
    <x v="1"/>
    <x v="42"/>
    <n v="48078.97"/>
    <s v="INR"/>
    <s v="Inbound Handling charges for Jan 2025"/>
  </r>
  <r>
    <x v="1"/>
    <x v="42"/>
    <n v="30619.35"/>
    <s v="INR"/>
    <s v="Inbound Handling charges for Jan 2025"/>
  </r>
  <r>
    <x v="1"/>
    <x v="42"/>
    <n v="24039.49"/>
    <s v="INR"/>
    <s v="Inbound Handling charges for Jan 2025"/>
  </r>
  <r>
    <x v="1"/>
    <x v="42"/>
    <n v="1831.79"/>
    <s v="INR"/>
    <s v="Inbound Handling charges for Jan 2025"/>
  </r>
  <r>
    <x v="1"/>
    <x v="42"/>
    <n v="1061.97"/>
    <s v="INR"/>
    <s v="Inbound Handling charges for  Sep 2024"/>
  </r>
  <r>
    <x v="1"/>
    <x v="42"/>
    <n v="1300.3699999999999"/>
    <s v="INR"/>
    <s v="LCL charges for Sep 2024"/>
  </r>
  <r>
    <x v="1"/>
    <x v="42"/>
    <n v="788.89"/>
    <s v="INR"/>
    <s v="Outbound Handling charges for Sep 2024"/>
  </r>
  <r>
    <x v="1"/>
    <x v="42"/>
    <n v="86.69"/>
    <s v="INR"/>
    <s v="Loose loading Handling charges for Sep 2024"/>
  </r>
  <r>
    <x v="1"/>
    <x v="43"/>
    <n v="1148.6600000000001"/>
    <s v="INR"/>
    <s v="Loose handling Charges for Oct 2024"/>
  </r>
  <r>
    <x v="1"/>
    <x v="43"/>
    <n v="3337.61"/>
    <s v="INR"/>
    <s v="Inbound Handling charges for Oct 2024"/>
  </r>
  <r>
    <x v="1"/>
    <x v="43"/>
    <n v="2600.7399999999998"/>
    <s v="INR"/>
    <s v="LCL Movement Charges for Oct 2024"/>
  </r>
  <r>
    <x v="1"/>
    <x v="42"/>
    <n v="910.26"/>
    <s v="INR"/>
    <s v="Inbound Handling charges for Nov 2024"/>
  </r>
  <r>
    <x v="1"/>
    <x v="42"/>
    <n v="1300.3699999999999"/>
    <s v="INR"/>
    <s v="LCL Movement Charges for Nov 2024"/>
  </r>
  <r>
    <x v="1"/>
    <x v="42"/>
    <n v="1575.18"/>
    <s v="INR"/>
    <s v="Inbound Handling charges for Jan 2025"/>
  </r>
  <r>
    <x v="1"/>
    <x v="42"/>
    <n v="553.09"/>
    <s v="INR"/>
    <s v="Loose Unloading charges for Jan 2025"/>
  </r>
  <r>
    <x v="1"/>
    <x v="42"/>
    <n v="5201.4799999999996"/>
    <s v="INR"/>
    <s v="LCL charges for Jan 2025"/>
  </r>
  <r>
    <x v="1"/>
    <x v="42"/>
    <n v="606.84"/>
    <s v="INR"/>
    <s v="Outbound Handling charges for Oct 2024"/>
  </r>
  <r>
    <x v="1"/>
    <x v="42"/>
    <n v="858.24"/>
    <s v="INR"/>
    <s v="Loose handling Charges for Nov 2024"/>
  </r>
  <r>
    <x v="1"/>
    <x v="42"/>
    <n v="4399.58"/>
    <s v="INR"/>
    <s v="Outbound Handling charges for Nov 2024"/>
  </r>
  <r>
    <x v="1"/>
    <x v="42"/>
    <n v="5201.4799999999996"/>
    <s v="INR"/>
    <s v="CY-MOVEMENT CHARGES for Nov 2024"/>
  </r>
  <r>
    <x v="1"/>
    <x v="42"/>
    <n v="9638.33"/>
    <s v="INR"/>
    <s v="Outbound Handling charges for Jan 2025"/>
  </r>
  <r>
    <x v="1"/>
    <x v="42"/>
    <n v="170.78"/>
    <s v="INR"/>
    <s v="Loose Loading Handling charges for Jan 2025"/>
  </r>
  <r>
    <x v="1"/>
    <x v="42"/>
    <n v="5201.4799999999996"/>
    <s v="INR"/>
    <s v="Outbound Handling charges for Jan 2025"/>
  </r>
  <r>
    <x v="1"/>
    <x v="42"/>
    <n v="3727.72"/>
    <s v="INR"/>
    <s v="Outbound Handling charges for Jan 2025"/>
  </r>
  <r>
    <x v="1"/>
    <x v="42"/>
    <n v="4100.5"/>
    <s v="INR"/>
    <s v="Outbound Handling charges for Jan 2025"/>
  </r>
  <r>
    <x v="1"/>
    <x v="42"/>
    <n v="8200.99"/>
    <s v="INR"/>
    <s v="Outbound Handling charges for Jan 2025"/>
  </r>
  <r>
    <x v="1"/>
    <x v="42"/>
    <n v="4473.2700000000004"/>
    <s v="INR"/>
    <s v="Outbound Handling charges for Jan 2025"/>
  </r>
  <r>
    <x v="1"/>
    <x v="42"/>
    <n v="4473.2700000000004"/>
    <s v="INR"/>
    <s v="Outbound Handling charges for Jan 2025"/>
  </r>
  <r>
    <x v="1"/>
    <x v="42"/>
    <n v="531.41999999999996"/>
    <s v="INR"/>
    <s v="Outbound Handling charges for Jan 2025"/>
  </r>
  <r>
    <x v="1"/>
    <x v="42"/>
    <n v="305.14999999999998"/>
    <s v="INR"/>
    <s v="Outbound Handling charges for Jan 2025"/>
  </r>
  <r>
    <x v="1"/>
    <x v="44"/>
    <n v="39114.82"/>
    <s v="INR"/>
    <s v="CY Longstanding container Ground Rent charges for"/>
  </r>
  <r>
    <x v="1"/>
    <x v="44"/>
    <n v="40418.65"/>
    <s v="INR"/>
    <s v="CY Longstanding container Ground Rent charges for"/>
  </r>
  <r>
    <x v="1"/>
    <x v="44"/>
    <n v="39114.82"/>
    <s v="INR"/>
    <s v="CY Longstanding container Ground Rent charges for"/>
  </r>
  <r>
    <x v="1"/>
    <x v="44"/>
    <n v="456.34"/>
    <s v="INR"/>
    <s v="Inbound Handling charges for Mar 2025"/>
  </r>
  <r>
    <x v="1"/>
    <x v="44"/>
    <n v="2607.65"/>
    <s v="INR"/>
    <s v="LCL charges for Mar 2025"/>
  </r>
  <r>
    <x v="1"/>
    <x v="44"/>
    <n v="304.23"/>
    <s v="INR"/>
    <s v="Outbound Handling charges for Mar 25"/>
  </r>
  <r>
    <x v="1"/>
    <x v="44"/>
    <n v="86.92"/>
    <s v="INR"/>
    <s v="Loose loading Handling charges for Mar 25"/>
  </r>
  <r>
    <x v="1"/>
    <x v="44"/>
    <n v="40418.65"/>
    <s v="INR"/>
    <s v="CY Longstanding container Ground Rent charges for"/>
  </r>
  <r>
    <x v="1"/>
    <x v="45"/>
    <n v="121224.65"/>
    <s v="INR"/>
    <s v="Storage Charges Feb, 25"/>
  </r>
  <r>
    <x v="1"/>
    <x v="45"/>
    <n v="225366.55"/>
    <s v="INR"/>
    <s v="Storage Charges Jan, 25"/>
  </r>
  <r>
    <x v="1"/>
    <x v="46"/>
    <n v="5981.96"/>
    <s v="INR"/>
    <s v="LCL Charges August 2024"/>
  </r>
  <r>
    <x v="1"/>
    <x v="46"/>
    <n v="5259.64"/>
    <s v="INR"/>
    <s v="LCL Charges August 2024"/>
  </r>
  <r>
    <x v="1"/>
    <x v="46"/>
    <n v="4346.09"/>
    <s v="INR"/>
    <s v="LCL Charges August 2024"/>
  </r>
  <r>
    <x v="1"/>
    <x v="46"/>
    <n v="10430.620000000001"/>
    <s v="INR"/>
    <s v="Inbound Handling for August 24"/>
  </r>
  <r>
    <x v="1"/>
    <x v="47"/>
    <n v="53891.53"/>
    <s v="INR"/>
    <s v="CY Longstanding Transportation chgs for 31 MAR 202"/>
  </r>
  <r>
    <x v="1"/>
    <x v="47"/>
    <n v="152.11000000000001"/>
    <s v="INR"/>
    <s v="Inbound Handling charges for Dec 2024"/>
  </r>
  <r>
    <x v="1"/>
    <x v="47"/>
    <n v="86.92"/>
    <s v="INR"/>
    <s v="Loose Unloading charges for Dec 2024"/>
  </r>
  <r>
    <x v="1"/>
    <x v="47"/>
    <n v="1303.83"/>
    <s v="INR"/>
    <s v="LCL charges for Dec 2024"/>
  </r>
  <r>
    <x v="1"/>
    <x v="47"/>
    <n v="614.54"/>
    <s v="INR"/>
    <s v="Outbound Handling charges for Dec 2024"/>
  </r>
  <r>
    <x v="1"/>
    <x v="47"/>
    <n v="86.92"/>
    <s v="INR"/>
    <s v="Loose loading Handling charges for Dec 2024"/>
  </r>
  <r>
    <x v="1"/>
    <x v="47"/>
    <n v="42552.58"/>
    <s v="INR"/>
    <s v="VAS Activity - Jan 25, Ex Rate. 86.64"/>
  </r>
  <r>
    <x v="1"/>
    <x v="47"/>
    <n v="1116.95"/>
    <s v="INR"/>
    <s v="VAS Activity - Mar 25, 16-31, Ex Rate. 85.58"/>
  </r>
  <r>
    <x v="1"/>
    <x v="47"/>
    <n v="94105.04"/>
    <s v="INR"/>
    <s v="Storage Charges Mar, 25"/>
  </r>
  <r>
    <x v="1"/>
    <x v="48"/>
    <n v="16200.07"/>
    <s v="INR"/>
    <s v="Fixed Storage Charges for April 2025"/>
  </r>
  <r>
    <x v="1"/>
    <x v="49"/>
    <n v="1542.86"/>
    <s v="INR"/>
    <s v="Inbound Handling charges for Feb 2025"/>
  </r>
  <r>
    <x v="1"/>
    <x v="49"/>
    <n v="3739.38"/>
    <s v="INR"/>
    <s v="Inbound Handling charges for 31 Mar 2025"/>
  </r>
  <r>
    <x v="1"/>
    <x v="49"/>
    <n v="525.88"/>
    <s v="INR"/>
    <s v="Outbound Handling charges for 31 Mar 25"/>
  </r>
  <r>
    <x v="1"/>
    <x v="50"/>
    <n v="158209.88"/>
    <s v="INR"/>
    <s v="VAS 1-15 April-25,Ex.Rate-85.69"/>
  </r>
  <r>
    <x v="1"/>
    <x v="51"/>
    <n v="16445.61"/>
    <s v="INR"/>
    <s v="Inbound chgs - 01 - 15 Apr 25"/>
  </r>
  <r>
    <x v="1"/>
    <x v="52"/>
    <n v="154770.66"/>
    <s v="INR"/>
    <s v="Fixed Storage Charges fo MAY 2025"/>
  </r>
  <r>
    <x v="1"/>
    <x v="52"/>
    <n v="38692.67"/>
    <s v="INR"/>
    <s v="CY Ground rent Chgs - 01 - 30 Apr 25"/>
  </r>
  <r>
    <x v="1"/>
    <x v="52"/>
    <n v="34117.47"/>
    <s v="INR"/>
    <s v="VAS - 16-30 April 25, Ex.Rate-85.05"/>
  </r>
  <r>
    <x v="1"/>
    <x v="53"/>
    <n v="46947.1"/>
    <s v="INR"/>
    <s v="Transportation In Chgs - 16 - 30 Apr 25"/>
  </r>
  <r>
    <x v="1"/>
    <x v="54"/>
    <n v="7631.05"/>
    <s v="INR"/>
    <s v="Outbound chgs - 01 - 15 MAY 25"/>
  </r>
  <r>
    <x v="1"/>
    <x v="55"/>
    <n v="129130.32"/>
    <s v="INR"/>
    <s v="Storage Chgs - 01 - 31 Apr 25"/>
  </r>
  <r>
    <x v="1"/>
    <x v="56"/>
    <n v="31535.84"/>
    <s v="INR"/>
    <s v="Port SSR Charges - Shifting for Aug to D"/>
  </r>
  <r>
    <x v="1"/>
    <x v="56"/>
    <n v="16261.2"/>
    <s v="INR"/>
    <s v="Outbound chgs - 01 - 15 Apr 25"/>
  </r>
  <r>
    <x v="1"/>
    <x v="57"/>
    <n v="11054.81"/>
    <s v="INR"/>
    <s v="PORT SSR Chgs - 16 - 31 May 25"/>
  </r>
  <r>
    <x v="1"/>
    <x v="57"/>
    <n v="3951.38"/>
    <s v="INR"/>
    <s v="Outbound chgs - 16 - 31 MAY 25"/>
  </r>
  <r>
    <x v="1"/>
    <x v="58"/>
    <n v="106042.76"/>
    <s v="INR"/>
    <s v="Unit storage -1-31 May 25"/>
  </r>
  <r>
    <x v="1"/>
    <x v="57"/>
    <n v="600.15"/>
    <s v="INR"/>
    <s v="Detention Chgs - 16 - 31 MAY 25"/>
  </r>
  <r>
    <x v="1"/>
    <x v="57"/>
    <n v="52265.64"/>
    <s v="INR"/>
    <s v="LCL Chgs - 16-31 MAY 25"/>
  </r>
  <r>
    <x v="1"/>
    <x v="59"/>
    <n v="39753.21"/>
    <s v="INR"/>
    <s v="CY Longstanding - March 25,16-31"/>
  </r>
  <r>
    <x v="1"/>
    <x v="60"/>
    <n v="153883.4"/>
    <s v="INR"/>
    <s v="Fixed Storage Charges fo JUNE 2025"/>
  </r>
  <r>
    <x v="1"/>
    <x v="13"/>
    <n v="9403.99"/>
    <s v="INR"/>
    <s v="Unit to Unit 1-15 June 25"/>
  </r>
  <r>
    <x v="1"/>
    <x v="14"/>
    <n v="5743.98"/>
    <s v="INR"/>
    <s v="CODC Inbound chgs - 01 - 15 Jun 25"/>
  </r>
  <r>
    <x v="1"/>
    <x v="14"/>
    <n v="27402.39"/>
    <s v="INR"/>
    <s v="LCL Chgs - 01 - 15 JUN 25"/>
  </r>
  <r>
    <x v="1"/>
    <x v="14"/>
    <n v="1314.09"/>
    <s v="INR"/>
    <s v="Outbound chgs - 01 - 15 Jun 25"/>
  </r>
  <r>
    <x v="1"/>
    <x v="14"/>
    <n v="4490.95"/>
    <s v="INR"/>
    <s v="LCL chgs - 16 - 30 JUN 25"/>
  </r>
  <r>
    <x v="1"/>
    <x v="14"/>
    <n v="154801.21"/>
    <s v="INR"/>
    <s v="Fixed Storage Charges fo JULY 2025"/>
  </r>
  <r>
    <x v="1"/>
    <x v="14"/>
    <n v="15083.66"/>
    <s v="INR"/>
    <s v="Outbound chgs - 16 - 30 Jun 25"/>
  </r>
  <r>
    <x v="1"/>
    <x v="14"/>
    <n v="130822.5"/>
    <s v="INR"/>
    <s v="Unit Storage - 1-30 June 25"/>
  </r>
  <r>
    <x v="1"/>
    <x v="61"/>
    <n v="2243.7600000000002"/>
    <s v="INR"/>
    <s v="CODC Inbound chgs - 01 - 15 July 25"/>
  </r>
  <r>
    <x v="1"/>
    <x v="61"/>
    <n v="6341.69"/>
    <s v="INR"/>
    <s v="CODC Out chgs - 01 - 15 July 25"/>
  </r>
  <r>
    <x v="1"/>
    <x v="61"/>
    <n v="20570.5"/>
    <s v="INR"/>
    <s v="LCL chgs - 01 - 15 JUL 25"/>
  </r>
  <r>
    <x v="1"/>
    <x v="61"/>
    <n v="236.5"/>
    <s v="INR"/>
    <s v="Outbound chgs - 01 - 15 Jul 25"/>
  </r>
  <r>
    <x v="1"/>
    <x v="61"/>
    <n v="9541.77"/>
    <s v="INR"/>
    <s v="PORT SSR Chgs May &amp; June 25"/>
  </r>
  <r>
    <x v="1"/>
    <x v="61"/>
    <n v="17200.13"/>
    <s v="INR"/>
    <s v="Transportation In Chgs - 01 - 15 Jul 25"/>
  </r>
  <r>
    <x v="1"/>
    <x v="62"/>
    <n v="2515.52"/>
    <s v="INR"/>
    <s v="LCL Chgs - 01-15 MAY 25"/>
  </r>
  <r>
    <x v="1"/>
    <x v="15"/>
    <n v="39990.31"/>
    <s v="INR"/>
    <s v="CY Ground rent Chgs - 01 - 31 May 25"/>
  </r>
  <r>
    <x v="1"/>
    <x v="63"/>
    <n v="154854.22"/>
    <s v="INR"/>
    <s v="Fixed Storage Charges for August 2025"/>
  </r>
  <r>
    <x v="1"/>
    <x v="64"/>
    <n v="30826.31"/>
    <s v="INR"/>
    <s v="VAS 16-31 July 25"/>
  </r>
  <r>
    <x v="1"/>
    <x v="64"/>
    <n v="1179.47"/>
    <s v="INR"/>
    <s v="Weighment - 16-31 July 25"/>
  </r>
  <r>
    <x v="1"/>
    <x v="64"/>
    <n v="109043.18"/>
    <s v="INR"/>
    <s v="Unit Storage - 1-31 July 25"/>
  </r>
  <r>
    <x v="1"/>
    <x v="64"/>
    <n v="1952.88"/>
    <s v="INR"/>
    <s v="Outbound chgs - 16 - 31 Jul 25"/>
  </r>
  <r>
    <x v="1"/>
    <x v="64"/>
    <n v="8803.4599999999991"/>
    <s v="INR"/>
    <s v="LCL chgs - 16 - 31 JUL 25"/>
  </r>
  <r>
    <x v="1"/>
    <x v="64"/>
    <n v="2260.0100000000002"/>
    <s v="INR"/>
    <s v="Empty Lolo Chgs - 01 - 31 JUL 25"/>
  </r>
  <r>
    <x v="1"/>
    <x v="64"/>
    <n v="4846.08"/>
    <s v="INR"/>
    <s v="PORT SSR Chgs July 25"/>
  </r>
  <r>
    <x v="1"/>
    <x v="65"/>
    <n v="4305.8100000000004"/>
    <s v="INR"/>
    <s v="Outbound chgs - 01 - 15 Aug 25"/>
  </r>
  <r>
    <x v="1"/>
    <x v="65"/>
    <n v="1527.03"/>
    <s v="INR"/>
    <s v="LCL chgs - 01 - 15 AUG 25"/>
  </r>
  <r>
    <x v="1"/>
    <x v="16"/>
    <n v="6574.95"/>
    <s v="INR"/>
    <s v="VAS -16-31 Aug 25"/>
  </r>
  <r>
    <x v="1"/>
    <x v="66"/>
    <n v="96180"/>
    <s v="INR"/>
    <s v="Unit-Storage-1-31 Aug 25"/>
  </r>
  <r>
    <x v="1"/>
    <x v="16"/>
    <n v="12252.01"/>
    <s v="INR"/>
    <s v="Transportation In Chgs - 16 - 31 Aug 25"/>
  </r>
  <r>
    <x v="1"/>
    <x v="16"/>
    <n v="9462.0499999999993"/>
    <s v="INR"/>
    <s v="PORT SSR Chgs Aug 25"/>
  </r>
  <r>
    <x v="1"/>
    <x v="16"/>
    <n v="50618.29"/>
    <s v="INR"/>
    <s v="LCL chgs - 16 - 31 AUG 25"/>
  </r>
  <r>
    <x v="1"/>
    <x v="16"/>
    <n v="157525.79"/>
    <s v="INR"/>
    <s v="Fixed Storage Charges for September 2025"/>
  </r>
  <r>
    <x v="1"/>
    <x v="19"/>
    <n v="23886.47"/>
    <s v="INR"/>
    <s v="Inbound chgs - 16 - 30 SEP 25"/>
  </r>
  <r>
    <x v="1"/>
    <x v="67"/>
    <n v="21776.06"/>
    <s v="INR"/>
    <s v="CODC Out chgs -1-15 Oct 25"/>
  </r>
  <r>
    <x v="1"/>
    <x v="25"/>
    <n v="12865.22"/>
    <s v="INR"/>
    <s v="PORT SSR Chgs Oct 25"/>
  </r>
  <r>
    <x v="1"/>
    <x v="31"/>
    <n v="2887.45"/>
    <s v="INR"/>
    <s v="Outbound chgs - 01 - 15 Dec 25"/>
  </r>
  <r>
    <x v="1"/>
    <x v="31"/>
    <n v="31527.8"/>
    <s v="INR"/>
    <s v="VAS DEC 25 -1-15"/>
  </r>
  <r>
    <x v="1"/>
    <x v="31"/>
    <n v="32731.96"/>
    <s v="INR"/>
    <s v="LCL Chgs - 01 - 15 DEC 25"/>
  </r>
  <r>
    <x v="1"/>
    <x v="32"/>
    <n v="4993.59"/>
    <s v="INR"/>
    <s v="PORT SSR Chgs Dec 25"/>
  </r>
  <r>
    <x v="1"/>
    <x v="32"/>
    <n v="66298.75"/>
    <s v="INR"/>
    <s v="Unit Storage - 1-31 DEC 2025"/>
  </r>
  <r>
    <x v="1"/>
    <x v="68"/>
    <n v="4087.07"/>
    <s v="INR"/>
    <s v="Outbound chgs - 16 - 31 Dec 25"/>
  </r>
  <r>
    <x v="1"/>
    <x v="32"/>
    <n v="1519.95"/>
    <s v="INR"/>
    <s v="LCL Chgs - 16 - 31 DEC 25"/>
  </r>
  <r>
    <x v="1"/>
    <x v="68"/>
    <n v="11455.41"/>
    <s v="INR"/>
    <s v="VAS-Dec 25 - 16-31"/>
  </r>
  <r>
    <x v="1"/>
    <x v="12"/>
    <n v="1519.95"/>
    <s v="INR"/>
    <s v="LCL Chgs - 01 - 15 JAN 26"/>
  </r>
  <r>
    <x v="1"/>
    <x v="12"/>
    <n v="317.60000000000002"/>
    <s v="INR"/>
    <s v="Outbound chgs - 01 - 15 JAN 26"/>
  </r>
  <r>
    <x v="1"/>
    <x v="69"/>
    <n v="16023.42"/>
    <s v="INR"/>
    <s v="VAS-1-15 Jan 2026"/>
  </r>
  <r>
    <x v="0"/>
    <x v="70"/>
    <n v="-283762.44"/>
    <s v="INR"/>
    <s v="ICICN22025042926352474"/>
  </r>
  <r>
    <x v="1"/>
    <x v="71"/>
    <n v="155346.59"/>
    <s v="INR"/>
    <s v="Fixed Rental charges for Aug 2024"/>
  </r>
  <r>
    <x v="1"/>
    <x v="72"/>
    <n v="40131.199999999997"/>
    <s v="INR"/>
    <s v="CY Longstanding container Ground Rent charges for"/>
  </r>
  <r>
    <x v="1"/>
    <x v="36"/>
    <n v="88284.65"/>
    <s v="INR"/>
    <s v="Storage Charges for the month of August, 2024"/>
  </r>
  <r>
    <x v="3"/>
    <x v="73"/>
    <n v="0"/>
    <s v="INR"/>
    <s v=""/>
  </r>
  <r>
    <x v="2"/>
    <x v="74"/>
    <n v="-6692.57"/>
    <s v="INR"/>
    <s v="Credit note against 246779412247"/>
  </r>
  <r>
    <x v="1"/>
    <x v="39"/>
    <n v="6692.57"/>
    <s v="INR"/>
    <s v="VAS Activity Charges for the month of August, 24"/>
  </r>
  <r>
    <x v="3"/>
    <x v="73"/>
    <n v="156459.28"/>
    <s v="INR"/>
    <s v=""/>
  </r>
  <r>
    <x v="3"/>
    <x v="73"/>
    <n v="-156459.28"/>
    <s v="INR"/>
    <s v=""/>
  </r>
  <r>
    <x v="2"/>
    <x v="74"/>
    <n v="-156459.28"/>
    <s v="INR"/>
    <s v="Credit note against 256779410280"/>
  </r>
  <r>
    <x v="1"/>
    <x v="44"/>
    <n v="156459.28"/>
    <s v="INR"/>
    <s v="Fixed Rental charges for Feb 2025"/>
  </r>
  <r>
    <x v="3"/>
    <x v="73"/>
    <n v="156459.28"/>
    <s v="INR"/>
    <s v=""/>
  </r>
  <r>
    <x v="3"/>
    <x v="73"/>
    <n v="-156459.28"/>
    <s v="INR"/>
    <s v=""/>
  </r>
  <r>
    <x v="2"/>
    <x v="74"/>
    <n v="-156459.28"/>
    <s v="INR"/>
    <s v="Credit note against 256779410239"/>
  </r>
  <r>
    <x v="1"/>
    <x v="44"/>
    <n v="156459.28"/>
    <s v="INR"/>
    <s v="Fixed Rental charges for Jan 2025"/>
  </r>
  <r>
    <x v="3"/>
    <x v="73"/>
    <n v="0"/>
    <s v="INR"/>
    <s v=""/>
  </r>
  <r>
    <x v="2"/>
    <x v="75"/>
    <n v="-31978.67"/>
    <s v="INR"/>
    <s v="Credit Note against 246779413091"/>
  </r>
  <r>
    <x v="1"/>
    <x v="41"/>
    <n v="31978.67"/>
    <s v="INR"/>
    <s v="Port SSR Charges - Shifting for Aug to Dec,24."/>
  </r>
  <r>
    <x v="3"/>
    <x v="73"/>
    <n v="0"/>
    <s v="INR"/>
    <s v=""/>
  </r>
  <r>
    <x v="2"/>
    <x v="75"/>
    <n v="-16550.78"/>
    <s v="INR"/>
    <s v="Credit Note against 256779412933"/>
  </r>
  <r>
    <x v="1"/>
    <x v="51"/>
    <n v="16550.78"/>
    <s v="INR"/>
    <s v="Outbound chgs - 01 - 15 Apr 25"/>
  </r>
  <r>
    <x v="3"/>
    <x v="76"/>
    <n v="0"/>
    <s v="INR"/>
    <s v=""/>
  </r>
  <r>
    <x v="1"/>
    <x v="19"/>
    <n v="13764.82"/>
    <s v="INR"/>
    <s v="Outbound chgs - 16 - 30 Sep 25"/>
  </r>
  <r>
    <x v="2"/>
    <x v="77"/>
    <n v="-13764.82"/>
    <s v="INR"/>
    <s v="Credit note raised against 256779418079"/>
  </r>
  <r>
    <x v="2"/>
    <x v="62"/>
    <n v="-2515.02"/>
    <s v="INR"/>
    <s v="Credit Note raised against 256779413888"/>
  </r>
  <r>
    <x v="2"/>
    <x v="78"/>
    <n v="-20570.5"/>
    <s v="INR"/>
    <s v="Credit note raised against 256779415806"/>
  </r>
  <r>
    <x v="1"/>
    <x v="54"/>
    <n v="2515.02"/>
    <s v="INR"/>
    <s v="LCL Chgs - 01-15 MAY 25"/>
  </r>
  <r>
    <x v="1"/>
    <x v="61"/>
    <n v="20570.5"/>
    <s v="INR"/>
    <s v="LCL chgs - 01 - 15 JUL 25"/>
  </r>
  <r>
    <x v="0"/>
    <x v="79"/>
    <n v="-1000000"/>
    <s v="INR"/>
    <s v=""/>
  </r>
  <r>
    <x v="0"/>
    <x v="79"/>
    <n v="1000000"/>
    <s v="INR"/>
    <s v=""/>
  </r>
  <r>
    <x v="0"/>
    <x v="80"/>
    <n v="-100000"/>
    <s v="INR"/>
    <s v=""/>
  </r>
  <r>
    <x v="0"/>
    <x v="80"/>
    <n v="100000"/>
    <s v="INR"/>
    <s v=""/>
  </r>
  <r>
    <x v="4"/>
    <x v="81"/>
    <n v="1"/>
    <s v="INR"/>
    <s v="Overpayment"/>
  </r>
  <r>
    <x v="4"/>
    <x v="81"/>
    <n v="-1"/>
    <s v="INR"/>
    <s v="Overpayment"/>
  </r>
  <r>
    <x v="5"/>
    <x v="82"/>
    <n v="-1"/>
    <s v="INR"/>
    <s v="Overpayment"/>
  </r>
  <r>
    <x v="5"/>
    <x v="82"/>
    <n v="1"/>
    <s v="INR"/>
    <s v="Overpaymen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9">
  <r>
    <d v="2025-02-19T00:00:00"/>
    <s v="Dr"/>
    <s v="August, 2024"/>
    <n v="1620.01"/>
    <s v="Journal 1"/>
    <n v="140899"/>
    <n v="15655"/>
    <x v="0"/>
  </r>
  <r>
    <d v="2025-02-20T00:00:00"/>
    <s v="Dr"/>
    <s v="September, 2024"/>
    <n v="1620"/>
    <s v="Journal 1"/>
    <n v="140453"/>
    <n v="15606"/>
    <x v="1"/>
  </r>
  <r>
    <d v="2025-02-20T00:00:00"/>
    <s v="Dr"/>
    <s v="October, 2024"/>
    <n v="1620"/>
    <s v="Journal 1"/>
    <n v="140453"/>
    <n v="15606"/>
    <x v="2"/>
  </r>
  <r>
    <d v="2025-02-20T00:00:00"/>
    <s v="Dr"/>
    <s v="November, 2024"/>
    <n v="1620"/>
    <s v="Journal 1"/>
    <n v="140453"/>
    <n v="15606"/>
    <x v="3"/>
  </r>
  <r>
    <d v="2025-03-01T00:00:00"/>
    <s v="Dr"/>
    <s v="December, 2024"/>
    <n v="1620"/>
    <s v="Journal 1"/>
    <n v="140453"/>
    <n v="15606"/>
    <x v="4"/>
  </r>
  <r>
    <d v="2025-03-01T00:00:00"/>
    <s v="Dr"/>
    <s v="January, 2025"/>
    <n v="1620"/>
    <s v="Journal 1"/>
    <n v="140453"/>
    <n v="15606"/>
    <x v="5"/>
  </r>
  <r>
    <d v="2025-03-01T00:00:00"/>
    <s v="Dr"/>
    <s v="February, 2025"/>
    <n v="1620"/>
    <s v="Journal 1"/>
    <n v="140453"/>
    <n v="15606"/>
    <x v="6"/>
  </r>
  <r>
    <d v="2025-03-01T00:00:00"/>
    <s v="Dr"/>
    <s v="August, 2024"/>
    <n v="418.5"/>
    <s v="Journal 1"/>
    <n v="36410"/>
    <n v="4046"/>
    <x v="0"/>
  </r>
  <r>
    <d v="2025-03-01T00:00:00"/>
    <s v="Dr"/>
    <s v="September, 2024"/>
    <n v="405"/>
    <s v="Journal 1"/>
    <n v="35397"/>
    <n v="3933"/>
    <x v="1"/>
  </r>
  <r>
    <d v="2025-03-01T00:00:00"/>
    <s v="Dr"/>
    <s v="October, 2024"/>
    <n v="418.5"/>
    <s v="Journal 1"/>
    <n v="36577"/>
    <n v="4064"/>
    <x v="2"/>
  </r>
  <r>
    <d v="2025-03-01T00:00:00"/>
    <s v="Dr"/>
    <s v="November, 2024"/>
    <n v="405"/>
    <s v="Journal 1"/>
    <n v="35397"/>
    <n v="3933"/>
    <x v="3"/>
  </r>
  <r>
    <d v="2025-03-01T00:00:00"/>
    <s v="Dr"/>
    <s v="December, 2024"/>
    <n v="418.5"/>
    <s v="Journal 1"/>
    <n v="36577"/>
    <n v="4064"/>
    <x v="4"/>
  </r>
  <r>
    <d v="2025-03-03T00:00:00"/>
    <s v="Dr"/>
    <s v="August, 2024"/>
    <n v="916.54"/>
    <s v="Journal 1"/>
    <n v="80043"/>
    <n v="8894"/>
    <x v="0"/>
  </r>
  <r>
    <d v="2025-03-03T00:00:00"/>
    <s v="Dr"/>
    <s v="September, 2024"/>
    <n v="1704.9"/>
    <s v="Journal 1"/>
    <n v="148891"/>
    <n v="16543"/>
    <x v="1"/>
  </r>
  <r>
    <d v="2025-03-03T00:00:00"/>
    <s v="Dr"/>
    <s v="October, 2024"/>
    <n v="1737.83"/>
    <s v="Journal 1"/>
    <n v="151767"/>
    <n v="16863"/>
    <x v="2"/>
  </r>
  <r>
    <d v="2025-03-06T00:00:00"/>
    <s v="Dr"/>
    <s v="November, 2024"/>
    <n v="2075.86"/>
    <s v="Journal 1"/>
    <n v="180778"/>
    <n v="20087"/>
    <x v="3"/>
  </r>
  <r>
    <d v="2025-03-06T00:00:00"/>
    <s v="Dr"/>
    <s v="December, 2024"/>
    <n v="2151.52"/>
    <s v="Journal 1"/>
    <n v="187367"/>
    <n v="20819"/>
    <x v="4"/>
  </r>
  <r>
    <d v="2025-03-19T00:00:00"/>
    <s v="Dr"/>
    <s v="March, 2025"/>
    <n v="167.47"/>
    <s v="Journal 1"/>
    <n v="14486"/>
    <n v="1610"/>
    <x v="7"/>
  </r>
  <r>
    <d v="2025-03-20T00:00:00"/>
    <s v="Dr"/>
    <s v="January, 2025"/>
    <n v="418.5"/>
    <s v="Journal 1"/>
    <n v="36118"/>
    <n v="4013"/>
    <x v="5"/>
  </r>
  <r>
    <d v="2025-03-20T00:00:00"/>
    <s v="Dr"/>
    <s v="February, 2025"/>
    <n v="378"/>
    <s v="Journal 1"/>
    <n v="32623"/>
    <n v="3625"/>
    <x v="6"/>
  </r>
  <r>
    <d v="2025-06-01T00:00:00"/>
    <s v="Dr"/>
    <s v="March, 2025"/>
    <n v="75.66"/>
    <s v="Journal 1"/>
    <n v="6589"/>
    <n v="134"/>
    <x v="7"/>
  </r>
  <r>
    <d v="2025-06-01T00:00:00"/>
    <s v="Dr"/>
    <s v="March, 2025"/>
    <n v="240.78"/>
    <s v="Journal 1"/>
    <n v="20898"/>
    <n v="426"/>
    <x v="7"/>
  </r>
  <r>
    <d v="2025-06-01T00:00:00"/>
    <s v="Dr"/>
    <s v="March, 2025"/>
    <n v="68.430000000000007"/>
    <s v="Journal 1"/>
    <n v="5939"/>
    <n v="121"/>
    <x v="7"/>
  </r>
  <r>
    <d v="2025-06-01T00:00:00"/>
    <s v="Dr"/>
    <s v="March, 2025"/>
    <n v="70.180000000000007"/>
    <s v="Journal 1"/>
    <n v="6091"/>
    <n v="124"/>
    <x v="7"/>
  </r>
  <r>
    <d v="2025-06-01T00:00:00"/>
    <s v="Dr"/>
    <s v="March, 2025"/>
    <n v="60.58"/>
    <s v="Journal 1"/>
    <n v="5258"/>
    <n v="107"/>
    <x v="7"/>
  </r>
  <r>
    <d v="2025-06-01T00:00:00"/>
    <s v="Dr"/>
    <s v="March, 2025"/>
    <n v="119.73"/>
    <s v="Journal 1"/>
    <n v="10392"/>
    <n v="212"/>
    <x v="7"/>
  </r>
  <r>
    <d v="2025-06-01T00:00:00"/>
    <s v="Dr"/>
    <s v="March, 2025"/>
    <n v="75.66"/>
    <s v="Journal 1"/>
    <n v="6589"/>
    <n v="134"/>
    <x v="7"/>
  </r>
  <r>
    <d v="2025-06-01T00:00:00"/>
    <s v="Dr"/>
    <s v="March, 2025"/>
    <n v="267.54000000000002"/>
    <s v="Journal 1"/>
    <n v="23090"/>
    <n v="471"/>
    <x v="7"/>
  </r>
  <r>
    <d v="2025-06-01T00:00:00"/>
    <s v="Dr"/>
    <s v="March, 2025"/>
    <n v="271.75"/>
    <s v="Journal 1"/>
    <n v="23453"/>
    <n v="479"/>
    <x v="7"/>
  </r>
  <r>
    <d v="2025-06-01T00:00:00"/>
    <s v="Dr"/>
    <s v="March, 2025"/>
    <n v="246.47"/>
    <s v="Journal 1"/>
    <n v="21271"/>
    <n v="434"/>
    <x v="7"/>
  </r>
  <r>
    <d v="2025-06-01T00:00:00"/>
    <s v="Dr"/>
    <s v="March, 2025"/>
    <n v="543.51"/>
    <s v="Journal 1"/>
    <n v="46907"/>
    <n v="957"/>
    <x v="7"/>
  </r>
  <r>
    <d v="2025-06-01T00:00:00"/>
    <s v="Dr"/>
    <s v="March, 2025"/>
    <n v="346.14"/>
    <s v="Journal 1"/>
    <n v="29873"/>
    <n v="610"/>
    <x v="7"/>
  </r>
  <r>
    <d v="2025-06-01T00:00:00"/>
    <s v="Dr"/>
    <s v="March, 2025"/>
    <n v="271.75"/>
    <s v="Journal 1"/>
    <n v="23453"/>
    <n v="479"/>
    <x v="7"/>
  </r>
  <r>
    <d v="2025-06-01T00:00:00"/>
    <s v="Dr"/>
    <s v="March, 2025"/>
    <n v="20.72"/>
    <s v="Journal 1"/>
    <n v="1788"/>
    <n v="36"/>
    <x v="7"/>
  </r>
  <r>
    <d v="2025-06-01T00:00:00"/>
    <s v="Dr"/>
    <s v="March, 2025"/>
    <n v="34.299999999999997"/>
    <s v="Journal 1"/>
    <n v="2987"/>
    <n v="61"/>
    <x v="7"/>
  </r>
  <r>
    <d v="2025-06-01T00:00:00"/>
    <s v="Dr"/>
    <s v="March, 2025"/>
    <n v="25.51"/>
    <s v="Journal 1"/>
    <n v="2207"/>
    <n v="45"/>
    <x v="7"/>
  </r>
  <r>
    <d v="2025-06-01T00:00:00"/>
    <s v="Dr"/>
    <s v="March, 2025"/>
    <n v="125.95"/>
    <s v="Journal 1"/>
    <n v="10870"/>
    <n v="222"/>
    <x v="7"/>
  </r>
  <r>
    <d v="2025-06-01T00:00:00"/>
    <s v="Dr"/>
    <s v="March, 2025"/>
    <n v="1.71"/>
    <s v="Journal 1"/>
    <n v="148"/>
    <n v="3"/>
    <x v="7"/>
  </r>
  <r>
    <d v="2025-06-01T00:00:00"/>
    <s v="Dr"/>
    <s v="March, 2025"/>
    <n v="1.97"/>
    <s v="Journal 1"/>
    <n v="170"/>
    <n v="3"/>
    <x v="7"/>
  </r>
  <r>
    <d v="2025-06-01T00:00:00"/>
    <s v="Dr"/>
    <s v="March, 2025"/>
    <n v="1.71"/>
    <s v="Journal 1"/>
    <n v="148"/>
    <n v="3"/>
    <x v="7"/>
  </r>
  <r>
    <d v="2025-06-02T00:00:00"/>
    <s v="Dr"/>
    <s v="April, 2025"/>
    <n v="405.01"/>
    <s v="Journal 1"/>
    <n v="34824"/>
    <n v="3869"/>
    <x v="8"/>
  </r>
  <r>
    <d v="2025-06-13T00:00:00"/>
    <s v="Dr"/>
    <s v="March, 2025"/>
    <n v="417.76"/>
    <s v="Journal 1"/>
    <n v="35715"/>
    <n v="3968"/>
    <x v="7"/>
  </r>
  <r>
    <d v="2025-07-01T00:00:00"/>
    <s v="Dr"/>
    <s v="March, 2025"/>
    <n v="1.96"/>
    <s v="Journal 1"/>
    <n v="169"/>
    <n v="3"/>
    <x v="7"/>
  </r>
  <r>
    <d v="2025-07-01T00:00:00"/>
    <s v="Dr"/>
    <s v="March, 2025"/>
    <n v="14.5"/>
    <s v="Journal 1"/>
    <n v="1251"/>
    <n v="26"/>
    <x v="7"/>
  </r>
  <r>
    <d v="2025-07-01T00:00:00"/>
    <s v="Dr"/>
    <s v="March, 2025"/>
    <n v="12"/>
    <s v="Journal 1"/>
    <n v="1036"/>
    <n v="21"/>
    <x v="7"/>
  </r>
  <r>
    <d v="2025-07-01T00:00:00"/>
    <s v="Dr"/>
    <s v="March, 2025"/>
    <n v="14.7"/>
    <s v="Journal 1"/>
    <n v="1269"/>
    <n v="26"/>
    <x v="7"/>
  </r>
  <r>
    <d v="2025-07-01T00:00:00"/>
    <s v="Dr"/>
    <s v="March, 2025"/>
    <n v="8.91"/>
    <s v="Journal 1"/>
    <n v="769"/>
    <n v="16"/>
    <x v="7"/>
  </r>
  <r>
    <d v="2025-07-01T00:00:00"/>
    <s v="Dr"/>
    <s v="March, 2025"/>
    <n v="0.97"/>
    <s v="Journal 1"/>
    <n v="84"/>
    <n v="2"/>
    <x v="7"/>
  </r>
  <r>
    <d v="2025-07-01T00:00:00"/>
    <s v="Dr"/>
    <s v="March, 2025"/>
    <n v="12.98"/>
    <s v="Journal 1"/>
    <n v="1119"/>
    <n v="23"/>
    <x v="7"/>
  </r>
  <r>
    <d v="2025-07-01T00:00:00"/>
    <s v="Dr"/>
    <s v="March, 2025"/>
    <n v="37.729999999999997"/>
    <s v="Journal 1"/>
    <n v="3253"/>
    <n v="66"/>
    <x v="7"/>
  </r>
  <r>
    <d v="2025-07-01T00:00:00"/>
    <s v="Dr"/>
    <s v="March, 2025"/>
    <n v="29.4"/>
    <s v="Journal 1"/>
    <n v="2535"/>
    <n v="52"/>
    <x v="7"/>
  </r>
  <r>
    <d v="2025-07-01T00:00:00"/>
    <s v="Dr"/>
    <s v="March, 2025"/>
    <n v="10.29"/>
    <s v="Journal 1"/>
    <n v="888"/>
    <n v="18"/>
    <x v="7"/>
  </r>
  <r>
    <d v="2025-07-01T00:00:00"/>
    <s v="Dr"/>
    <s v="March, 2025"/>
    <n v="14.7"/>
    <s v="Journal 1"/>
    <n v="1269"/>
    <n v="26"/>
    <x v="7"/>
  </r>
  <r>
    <d v="2025-07-01T00:00:00"/>
    <s v="Dr"/>
    <s v="March, 2025"/>
    <n v="17.809999999999999"/>
    <s v="Journal 1"/>
    <n v="1537"/>
    <n v="31"/>
    <x v="7"/>
  </r>
  <r>
    <d v="2025-07-01T00:00:00"/>
    <s v="Dr"/>
    <s v="March, 2025"/>
    <n v="6.26"/>
    <s v="Journal 1"/>
    <n v="540"/>
    <n v="11"/>
    <x v="7"/>
  </r>
  <r>
    <d v="2025-07-01T00:00:00"/>
    <s v="Dr"/>
    <s v="March, 2025"/>
    <n v="58.79"/>
    <s v="Journal 1"/>
    <n v="5074"/>
    <n v="104"/>
    <x v="7"/>
  </r>
  <r>
    <d v="2025-07-01T00:00:00"/>
    <s v="Dr"/>
    <s v="March, 2025"/>
    <n v="6.86"/>
    <s v="Journal 1"/>
    <n v="592"/>
    <n v="12"/>
    <x v="7"/>
  </r>
  <r>
    <d v="2025-07-01T00:00:00"/>
    <s v="Dr"/>
    <s v="March, 2025"/>
    <n v="9.6999999999999993"/>
    <s v="Journal 1"/>
    <n v="837"/>
    <n v="17"/>
    <x v="7"/>
  </r>
  <r>
    <d v="2025-07-01T00:00:00"/>
    <s v="Dr"/>
    <s v="March, 2025"/>
    <n v="49.73"/>
    <s v="Journal 1"/>
    <n v="4292"/>
    <n v="88"/>
    <x v="7"/>
  </r>
  <r>
    <d v="2025-07-01T00:00:00"/>
    <s v="Dr"/>
    <s v="March, 2025"/>
    <n v="58.79"/>
    <s v="Journal 1"/>
    <n v="5074"/>
    <n v="104"/>
    <x v="7"/>
  </r>
  <r>
    <d v="2025-07-01T00:00:00"/>
    <s v="Dr"/>
    <s v="March, 2025"/>
    <n v="108.95"/>
    <s v="Journal 1"/>
    <n v="9403"/>
    <n v="192"/>
    <x v="7"/>
  </r>
  <r>
    <d v="2025-07-01T00:00:00"/>
    <s v="Dr"/>
    <s v="March, 2025"/>
    <n v="1.94"/>
    <s v="Journal 1"/>
    <n v="167"/>
    <n v="3"/>
    <x v="7"/>
  </r>
  <r>
    <d v="2025-07-01T00:00:00"/>
    <s v="Dr"/>
    <s v="March, 2025"/>
    <n v="58.79"/>
    <s v="Journal 1"/>
    <n v="5074"/>
    <n v="104"/>
    <x v="7"/>
  </r>
  <r>
    <d v="2025-07-01T00:00:00"/>
    <s v="Dr"/>
    <s v="March, 2025"/>
    <n v="42.14"/>
    <s v="Journal 1"/>
    <n v="3637"/>
    <n v="74"/>
    <x v="7"/>
  </r>
  <r>
    <d v="2025-07-01T00:00:00"/>
    <s v="Dr"/>
    <s v="March, 2025"/>
    <n v="46.35"/>
    <s v="Journal 1"/>
    <n v="4000"/>
    <n v="82"/>
    <x v="7"/>
  </r>
  <r>
    <d v="2025-07-01T00:00:00"/>
    <s v="Dr"/>
    <s v="March, 2025"/>
    <n v="92.71"/>
    <s v="Journal 1"/>
    <n v="8001"/>
    <n v="163"/>
    <x v="7"/>
  </r>
  <r>
    <d v="2025-07-01T00:00:00"/>
    <s v="Dr"/>
    <s v="March, 2025"/>
    <n v="50.57"/>
    <s v="Journal 1"/>
    <n v="4384"/>
    <n v="89"/>
    <x v="7"/>
  </r>
  <r>
    <d v="2025-07-01T00:00:00"/>
    <s v="Dr"/>
    <s v="March, 2025"/>
    <n v="50.57"/>
    <s v="Journal 1"/>
    <n v="4364"/>
    <n v="89"/>
    <x v="7"/>
  </r>
  <r>
    <d v="2025-07-01T00:00:00"/>
    <s v="Dr"/>
    <s v="March, 2025"/>
    <n v="6"/>
    <s v="Journal 1"/>
    <n v="518"/>
    <n v="11"/>
    <x v="7"/>
  </r>
  <r>
    <d v="2025-07-01T00:00:00"/>
    <s v="Dr"/>
    <s v="March, 2025"/>
    <n v="3.45"/>
    <s v="Journal 1"/>
    <n v="298"/>
    <n v="6"/>
    <x v="7"/>
  </r>
  <r>
    <d v="2025-07-02T00:00:00"/>
    <s v="Dr"/>
    <s v="February, 2025"/>
    <n v="1255.18"/>
    <s v="Journal 1"/>
    <n v="106977"/>
    <n v="11886"/>
    <x v="6"/>
  </r>
  <r>
    <d v="2025-07-02T00:00:00"/>
    <s v="Dr"/>
    <s v="January, 2025"/>
    <n v="2333.4699999999998"/>
    <s v="Journal 1"/>
    <n v="198877"/>
    <n v="22098"/>
    <x v="5"/>
  </r>
  <r>
    <d v="2025-07-02T00:00:00"/>
    <s v="Dr"/>
    <s v="March, 2025"/>
    <n v="974.38"/>
    <s v="Journal 1"/>
    <n v="83452"/>
    <n v="9272"/>
    <x v="7"/>
  </r>
  <r>
    <d v="2025-07-02T00:00:00"/>
    <s v="Dr"/>
    <s v="April, 2025"/>
    <n v="169.91"/>
    <s v="Journal 1"/>
    <n v="14552"/>
    <n v="1617"/>
    <x v="8"/>
  </r>
  <r>
    <d v="2025-07-02T00:00:00"/>
    <s v="Dr"/>
    <s v="April, 2025"/>
    <n v="1638.13"/>
    <s v="Journal 1"/>
    <n v="140371"/>
    <n v="15597"/>
    <x v="8"/>
  </r>
  <r>
    <d v="2025-08-01T00:00:00"/>
    <s v="Dr"/>
    <s v="April, 2025"/>
    <n v="5.15"/>
    <s v="Journal 1"/>
    <n v="441"/>
    <n v="9"/>
    <x v="8"/>
  </r>
  <r>
    <d v="2025-08-01T00:00:00"/>
    <s v="Dr"/>
    <s v="April, 2025"/>
    <n v="29.4"/>
    <s v="Journal 1"/>
    <n v="2518"/>
    <n v="51"/>
    <x v="8"/>
  </r>
  <r>
    <d v="2025-08-01T00:00:00"/>
    <s v="Dr"/>
    <s v="April, 2025"/>
    <n v="3.43"/>
    <s v="Journal 1"/>
    <n v="294"/>
    <n v="6"/>
    <x v="8"/>
  </r>
  <r>
    <d v="2025-08-01T00:00:00"/>
    <s v="Dr"/>
    <s v="April, 2025"/>
    <n v="0.98"/>
    <s v="Journal 1"/>
    <n v="84"/>
    <n v="2"/>
    <x v="8"/>
  </r>
  <r>
    <d v="2025-08-01T00:00:00"/>
    <s v="Dr"/>
    <s v="April, 2025"/>
    <n v="67.44"/>
    <s v="Journal 1"/>
    <n v="5779"/>
    <n v="118"/>
    <x v="8"/>
  </r>
  <r>
    <d v="2025-08-01T00:00:00"/>
    <s v="Dr"/>
    <s v="April, 2025"/>
    <n v="59.29"/>
    <s v="Journal 1"/>
    <n v="5081"/>
    <n v="104"/>
    <x v="8"/>
  </r>
  <r>
    <d v="2025-08-01T00:00:00"/>
    <s v="Dr"/>
    <s v="April, 2025"/>
    <n v="49"/>
    <s v="Journal 1"/>
    <n v="4199"/>
    <n v="86"/>
    <x v="8"/>
  </r>
  <r>
    <d v="2025-08-01T00:00:00"/>
    <s v="Dr"/>
    <s v="April, 2025"/>
    <n v="117.6"/>
    <s v="Journal 1"/>
    <n v="10077"/>
    <n v="206"/>
    <x v="8"/>
  </r>
  <r>
    <d v="2025-08-01T00:00:00"/>
    <s v="Dr"/>
    <s v="April, 2025"/>
    <n v="607.6"/>
    <s v="Journal 1"/>
    <n v="52814"/>
    <n v="1078"/>
    <x v="8"/>
  </r>
  <r>
    <d v="2025-08-01T00:00:00"/>
    <s v="Dr"/>
    <s v="April, 2025"/>
    <n v="1.72"/>
    <s v="Journal 1"/>
    <n v="147"/>
    <n v="3"/>
    <x v="8"/>
  </r>
  <r>
    <d v="2025-08-01T00:00:00"/>
    <s v="Dr"/>
    <s v="April, 2025"/>
    <n v="0.98"/>
    <s v="Journal 1"/>
    <n v="84"/>
    <n v="2"/>
    <x v="8"/>
  </r>
  <r>
    <d v="2025-08-01T00:00:00"/>
    <s v="Dr"/>
    <s v="April, 2025"/>
    <n v="14.7"/>
    <s v="Journal 1"/>
    <n v="1259"/>
    <n v="26"/>
    <x v="8"/>
  </r>
  <r>
    <d v="2025-08-01T00:00:00"/>
    <s v="Dr"/>
    <s v="April, 2025"/>
    <n v="6.94"/>
    <s v="Journal 1"/>
    <n v="594"/>
    <n v="12"/>
    <x v="8"/>
  </r>
  <r>
    <d v="2025-08-01T00:00:00"/>
    <s v="Dr"/>
    <s v="April, 2025"/>
    <n v="0.98"/>
    <s v="Journal 1"/>
    <n v="84"/>
    <n v="2"/>
    <x v="8"/>
  </r>
  <r>
    <d v="2025-08-01T00:00:00"/>
    <s v="Dr"/>
    <s v="April, 2025"/>
    <n v="479.77"/>
    <s v="Journal 1"/>
    <n v="41567"/>
    <n v="848"/>
    <x v="8"/>
  </r>
  <r>
    <d v="2025-08-01T00:00:00"/>
    <s v="Dr"/>
    <s v="April, 2025"/>
    <n v="12.6"/>
    <s v="Journal 1"/>
    <n v="1078"/>
    <n v="22"/>
    <x v="8"/>
  </r>
  <r>
    <d v="2025-08-01T00:00:00"/>
    <s v="Dr"/>
    <s v="April, 2025"/>
    <n v="17.39"/>
    <s v="Journal 1"/>
    <n v="1512"/>
    <n v="31"/>
    <x v="8"/>
  </r>
  <r>
    <d v="2025-08-01T00:00:00"/>
    <s v="Dr"/>
    <s v="April, 2025"/>
    <n v="42.15"/>
    <s v="Journal 1"/>
    <n v="3664"/>
    <n v="75"/>
    <x v="8"/>
  </r>
  <r>
    <d v="2025-08-01T00:00:00"/>
    <s v="Dr"/>
    <s v="April, 2025"/>
    <n v="5.92"/>
    <s v="Journal 1"/>
    <n v="515"/>
    <n v="11"/>
    <x v="8"/>
  </r>
  <r>
    <d v="2025-08-01T00:00:00"/>
    <s v="Dr"/>
    <s v="April, 2025"/>
    <n v="185.42"/>
    <s v="Journal 1"/>
    <n v="16117"/>
    <n v="329"/>
    <x v="8"/>
  </r>
  <r>
    <d v="2025-08-01T00:00:00"/>
    <s v="Dr"/>
    <s v="May, 2025"/>
    <n v="388.85"/>
    <s v="Journal 1"/>
    <n v="33169"/>
    <n v="677"/>
    <x v="9"/>
  </r>
  <r>
    <d v="2025-08-01T00:00:00"/>
    <s v="Dr"/>
    <s v="May, 2025"/>
    <n v="535.08000000000004"/>
    <s v="Journal 1"/>
    <n v="46008"/>
    <n v="939"/>
    <x v="9"/>
  </r>
  <r>
    <d v="2025-08-01T00:00:00"/>
    <s v="Dr"/>
    <s v="May, 2025"/>
    <n v="86.97"/>
    <s v="Journal 1"/>
    <n v="7478"/>
    <n v="153"/>
    <x v="9"/>
  </r>
  <r>
    <d v="2025-08-01T00:00:00"/>
    <s v="Dr"/>
    <s v="June, 2025"/>
    <n v="361.5"/>
    <s v="Journal 1"/>
    <n v="30905"/>
    <n v="631"/>
    <x v="10"/>
  </r>
  <r>
    <d v="2025-08-01T00:00:00"/>
    <s v="Dr"/>
    <s v="June, 2025"/>
    <n v="186.41"/>
    <s v="Journal 1"/>
    <n v="15936"/>
    <n v="325"/>
    <x v="10"/>
  </r>
  <r>
    <d v="2025-08-01T00:00:00"/>
    <s v="Dr"/>
    <s v="June, 2025"/>
    <n v="126.73"/>
    <s v="Journal 1"/>
    <n v="10834"/>
    <n v="221"/>
    <x v="10"/>
  </r>
  <r>
    <d v="2025-08-01T00:00:00"/>
    <s v="Dr"/>
    <s v="June, 2025"/>
    <n v="45.29"/>
    <s v="Journal 1"/>
    <n v="3872"/>
    <n v="79"/>
    <x v="10"/>
  </r>
  <r>
    <d v="2025-08-01T00:00:00"/>
    <s v="Dr"/>
    <s v="June, 2025"/>
    <n v="6.88"/>
    <s v="Journal 1"/>
    <n v="588"/>
    <n v="12"/>
    <x v="10"/>
  </r>
  <r>
    <d v="2025-08-01T00:00:00"/>
    <s v="Dr"/>
    <s v="June, 2025"/>
    <n v="599.14"/>
    <s v="Journal 1"/>
    <n v="51221"/>
    <n v="1045"/>
    <x v="10"/>
  </r>
  <r>
    <d v="2025-08-01T00:00:00"/>
    <s v="Dr"/>
    <s v="June, 2025"/>
    <n v="107.8"/>
    <s v="Journal 1"/>
    <n v="9282"/>
    <n v="189"/>
    <x v="10"/>
  </r>
  <r>
    <d v="2025-08-01T00:00:00"/>
    <s v="Dr"/>
    <s v="June, 2025"/>
    <n v="282.04000000000002"/>
    <s v="Journal 1"/>
    <n v="24284"/>
    <n v="496"/>
    <x v="10"/>
  </r>
  <r>
    <d v="2025-08-02T00:00:00"/>
    <s v="Dr"/>
    <s v="May, 2025"/>
    <n v="1620"/>
    <s v="Journal 1"/>
    <n v="139294"/>
    <n v="15477"/>
    <x v="9"/>
  </r>
  <r>
    <d v="2025-08-02T00:00:00"/>
    <s v="Dr"/>
    <s v="June, 2025"/>
    <n v="1116.3699999999999"/>
    <s v="Journal 1"/>
    <n v="95439"/>
    <n v="10604"/>
    <x v="10"/>
  </r>
  <r>
    <d v="2025-08-02T00:00:00"/>
    <s v="Dr"/>
    <s v="June, 2025"/>
    <n v="1620"/>
    <s v="Journal 1"/>
    <n v="138495"/>
    <n v="15388"/>
    <x v="10"/>
  </r>
  <r>
    <d v="2025-10-01T00:00:00"/>
    <s v="Dr"/>
    <s v="April, 2025"/>
    <n v="1351.62"/>
    <s v="Journal 1"/>
    <n v="116217"/>
    <n v="12913"/>
    <x v="8"/>
  </r>
  <r>
    <d v="2025-10-01T00:00:00"/>
    <s v="Dr"/>
    <s v="June, 2025"/>
    <n v="1369.06"/>
    <s v="Journal 1"/>
    <n v="117740"/>
    <n v="13082"/>
    <x v="10"/>
  </r>
  <r>
    <d v="2025-10-01T00:00:00"/>
    <s v="Dr"/>
    <s v="July, 2025"/>
    <n v="1140.75"/>
    <s v="Journal 1"/>
    <n v="98139"/>
    <n v="10904"/>
    <x v="11"/>
  </r>
  <r>
    <d v="2025-10-01T00:00:00"/>
    <s v="Dr"/>
    <s v="July, 2025"/>
    <n v="1620"/>
    <s v="Journal 1"/>
    <n v="139321"/>
    <n v="15480"/>
    <x v="11"/>
  </r>
  <r>
    <d v="2025-10-01T00:00:00"/>
    <s v="Dr"/>
    <s v="August, 2025"/>
    <n v="1620"/>
    <s v="Journal 1"/>
    <n v="139369"/>
    <n v="15485"/>
    <x v="12"/>
  </r>
  <r>
    <d v="2025-10-01T00:00:00"/>
    <s v="Dr"/>
    <s v="May, 2025"/>
    <n v="418.5"/>
    <s v="Journal 1"/>
    <n v="35991"/>
    <n v="3999"/>
    <x v="9"/>
  </r>
  <r>
    <d v="2025-10-02T00:00:00"/>
    <s v="Dr"/>
    <s v="June, 2025"/>
    <n v="14.98"/>
    <s v="Journal 1"/>
    <n v="1288"/>
    <n v="26"/>
    <x v="10"/>
  </r>
  <r>
    <d v="2025-10-02T00:00:00"/>
    <s v="Dr"/>
    <s v="June, 2025"/>
    <n v="65.45"/>
    <s v="Journal 1"/>
    <n v="5629"/>
    <n v="115"/>
    <x v="10"/>
  </r>
  <r>
    <d v="2025-10-02T00:00:00"/>
    <s v="Dr"/>
    <s v="June, 2025"/>
    <n v="312.25"/>
    <s v="Journal 1"/>
    <n v="26854"/>
    <n v="548"/>
    <x v="10"/>
  </r>
  <r>
    <d v="2025-10-02T00:00:00"/>
    <s v="Dr"/>
    <s v="June, 2025"/>
    <n v="51.17"/>
    <s v="Journal 1"/>
    <n v="4401"/>
    <n v="90"/>
    <x v="10"/>
  </r>
  <r>
    <d v="2025-10-02T00:00:00"/>
    <s v="Dr"/>
    <s v="June, 2025"/>
    <n v="161.44"/>
    <s v="Journal 1"/>
    <n v="13884"/>
    <n v="283"/>
    <x v="10"/>
  </r>
  <r>
    <d v="2025-10-02T00:00:00"/>
    <s v="Dr"/>
    <s v="June, 2025"/>
    <n v="171.88"/>
    <s v="Journal 1"/>
    <n v="14782"/>
    <n v="302"/>
    <x v="10"/>
  </r>
  <r>
    <d v="2025-10-02T00:00:00"/>
    <s v="Dr"/>
    <s v="June, 2025"/>
    <n v="108.73"/>
    <s v="Journal 1"/>
    <n v="9351"/>
    <n v="191"/>
    <x v="10"/>
  </r>
  <r>
    <d v="2025-10-02T00:00:00"/>
    <s v="Dr"/>
    <s v="July, 2025"/>
    <n v="196"/>
    <s v="Journal 1"/>
    <n v="16856"/>
    <n v="344"/>
    <x v="11"/>
  </r>
  <r>
    <d v="2025-10-02T00:00:00"/>
    <s v="Dr"/>
    <s v="July, 2025"/>
    <n v="25.57"/>
    <s v="Journal 1"/>
    <n v="2199"/>
    <n v="45"/>
    <x v="11"/>
  </r>
  <r>
    <d v="2025-10-02T00:00:00"/>
    <s v="Dr"/>
    <s v="July, 2025"/>
    <n v="72.27"/>
    <s v="Journal 1"/>
    <n v="6215"/>
    <n v="127"/>
    <x v="11"/>
  </r>
  <r>
    <d v="2025-10-02T00:00:00"/>
    <s v="Dr"/>
    <s v="July, 2025"/>
    <n v="234.41"/>
    <s v="Journal 1"/>
    <n v="20159"/>
    <n v="411"/>
    <x v="11"/>
  </r>
  <r>
    <d v="2025-10-02T00:00:00"/>
    <s v="Dr"/>
    <s v="July, 2025"/>
    <n v="2.7"/>
    <s v="Journal 1"/>
    <n v="232"/>
    <n v="5"/>
    <x v="11"/>
  </r>
  <r>
    <d v="2025-10-02T00:00:00"/>
    <s v="Dr"/>
    <s v="May, 2025"/>
    <n v="28.67"/>
    <s v="Journal 1"/>
    <n v="2466"/>
    <n v="50"/>
    <x v="9"/>
  </r>
  <r>
    <d v="2025-10-02T00:00:00"/>
    <s v="Dr"/>
    <s v="May, 2025"/>
    <n v="148.55000000000001"/>
    <s v="Journal 1"/>
    <n v="12698"/>
    <n v="259"/>
    <x v="9"/>
  </r>
  <r>
    <d v="2025-10-02T00:00:00"/>
    <s v="Dr"/>
    <s v="July, 2025"/>
    <n v="25.75"/>
    <s v="Journal 1"/>
    <n v="2215"/>
    <n v="45"/>
    <x v="11"/>
  </r>
  <r>
    <d v="2025-10-02T00:00:00"/>
    <s v="Dr"/>
    <s v="July, 2025"/>
    <n v="100.28"/>
    <s v="Journal 1"/>
    <n v="8627"/>
    <n v="176"/>
    <x v="11"/>
  </r>
  <r>
    <d v="2025-10-02T00:00:00"/>
    <s v="Dr"/>
    <s v="July, 2025"/>
    <n v="22.25"/>
    <s v="Journal 1"/>
    <n v="1914"/>
    <n v="39"/>
    <x v="11"/>
  </r>
  <r>
    <d v="2025-10-02T00:00:00"/>
    <s v="Dr"/>
    <s v="July, 2025"/>
    <n v="351.14"/>
    <s v="Journal 1"/>
    <n v="30209"/>
    <n v="617"/>
    <x v="11"/>
  </r>
  <r>
    <d v="2025-10-02T00:00:00"/>
    <s v="Dr"/>
    <s v="July, 2025"/>
    <n v="13.43"/>
    <s v="Journal 1"/>
    <n v="1155"/>
    <n v="24"/>
    <x v="11"/>
  </r>
  <r>
    <d v="2025-10-02T00:00:00"/>
    <s v="Dr"/>
    <s v="July, 2025"/>
    <n v="55.2"/>
    <s v="Journal 1"/>
    <n v="4749"/>
    <n v="97"/>
    <x v="11"/>
  </r>
  <r>
    <d v="2025-10-02T00:00:00"/>
    <s v="Dr"/>
    <s v="August, 2025"/>
    <n v="17.39"/>
    <s v="Journal 1"/>
    <n v="1496"/>
    <n v="31"/>
    <x v="12"/>
  </r>
  <r>
    <d v="2025-10-02T00:00:00"/>
    <s v="Dr"/>
    <s v="August, 2025"/>
    <n v="49.05"/>
    <s v="Journal 1"/>
    <n v="4220"/>
    <n v="86"/>
    <x v="12"/>
  </r>
  <r>
    <d v="2025-11-01T00:00:00"/>
    <s v="Dr"/>
    <s v="August, 2025"/>
    <n v="73.63"/>
    <s v="Journal 1"/>
    <n v="6444"/>
    <n v="131"/>
    <x v="12"/>
  </r>
  <r>
    <d v="2025-11-01T00:00:00"/>
    <s v="Dr"/>
    <s v="August, 2025"/>
    <n v="137.19999999999999"/>
    <s v="Journal 1"/>
    <n v="12007"/>
    <n v="245"/>
    <x v="12"/>
  </r>
  <r>
    <d v="2025-11-01T00:00:00"/>
    <s v="Dr"/>
    <s v="August, 2025"/>
    <n v="105.96"/>
    <s v="Journal 1"/>
    <n v="9273"/>
    <n v="189"/>
    <x v="12"/>
  </r>
  <r>
    <d v="2025-11-01T00:00:00"/>
    <s v="Dr"/>
    <s v="August, 2025"/>
    <n v="566.83000000000004"/>
    <s v="Journal 1"/>
    <n v="49606"/>
    <n v="1012"/>
    <x v="12"/>
  </r>
  <r>
    <d v="2025-11-01T00:00:00"/>
    <s v="Dr"/>
    <s v="August, 2025"/>
    <n v="13.24"/>
    <s v="Journal 1"/>
    <n v="1159"/>
    <n v="24"/>
    <x v="12"/>
  </r>
  <r>
    <d v="2025-11-01T00:00:00"/>
    <s v="Dr"/>
    <s v="September, 2025"/>
    <n v="1299.67"/>
    <s v="Journal 1"/>
    <n v="113740"/>
    <n v="2321"/>
    <x v="13"/>
  </r>
  <r>
    <d v="2025-11-01T00:00:00"/>
    <s v="Dr"/>
    <s v="September, 2025"/>
    <n v="40.47"/>
    <s v="Journal 1"/>
    <n v="3542"/>
    <n v="72"/>
    <x v="13"/>
  </r>
  <r>
    <d v="2025-11-01T00:00:00"/>
    <s v="Dr"/>
    <s v="September, 2025"/>
    <n v="153.69999999999999"/>
    <s v="Journal 1"/>
    <n v="13451"/>
    <n v="275"/>
    <x v="13"/>
  </r>
  <r>
    <d v="2025-11-01T00:00:00"/>
    <s v="Dr"/>
    <s v="September, 2025"/>
    <n v="29.3"/>
    <s v="Journal 1"/>
    <n v="2584"/>
    <n v="53"/>
    <x v="13"/>
  </r>
  <r>
    <d v="2025-11-01T00:00:00"/>
    <s v="Dr"/>
    <s v="September, 2025"/>
    <n v="152.96"/>
    <s v="Journal 1"/>
    <n v="13490"/>
    <n v="275"/>
    <x v="13"/>
  </r>
  <r>
    <d v="2025-11-01T00:00:00"/>
    <s v="Dr"/>
    <s v="September, 2025"/>
    <n v="548.79"/>
    <s v="Journal 1"/>
    <n v="48398"/>
    <n v="988"/>
    <x v="13"/>
  </r>
  <r>
    <d v="2025-11-01T00:00:00"/>
    <s v="Dr"/>
    <s v="September, 2025"/>
    <n v="50.31"/>
    <s v="Journal 1"/>
    <n v="4437"/>
    <n v="91"/>
    <x v="13"/>
  </r>
  <r>
    <d v="2025-11-01T00:00:00"/>
    <s v="Dr"/>
    <s v="October, 2025"/>
    <n v="45.98"/>
    <s v="Journal 1"/>
    <n v="4055"/>
    <n v="83"/>
    <x v="14"/>
  </r>
  <r>
    <d v="2025-11-01T00:00:00"/>
    <s v="Dr"/>
    <s v="October, 2025"/>
    <n v="13.32"/>
    <s v="Journal 1"/>
    <n v="1175"/>
    <n v="24"/>
    <x v="14"/>
  </r>
  <r>
    <d v="2025-11-01T00:00:00"/>
    <s v="Dr"/>
    <s v="October, 2025"/>
    <n v="230.31"/>
    <s v="Journal 1"/>
    <n v="20311"/>
    <n v="414"/>
    <x v="14"/>
  </r>
  <r>
    <d v="2025-11-01T00:00:00"/>
    <s v="Dr"/>
    <s v="October, 2025"/>
    <n v="53.25"/>
    <s v="Journal 1"/>
    <n v="4696"/>
    <n v="96"/>
    <x v="14"/>
  </r>
  <r>
    <d v="2025-11-01T00:00:00"/>
    <s v="Dr"/>
    <s v="September, 2025"/>
    <n v="265.42"/>
    <s v="Journal 1"/>
    <n v="23408"/>
    <n v="478"/>
    <x v="13"/>
  </r>
  <r>
    <d v="2025-11-01T00:00:00"/>
    <s v="Dr"/>
    <s v="October, 2025"/>
    <n v="241.98"/>
    <s v="Journal 1"/>
    <n v="21340"/>
    <n v="436"/>
    <x v="14"/>
  </r>
  <r>
    <d v="2025-11-03T00:00:00"/>
    <s v="Dr"/>
    <s v="October, 2025"/>
    <n v="450.69"/>
    <s v="Journal 1"/>
    <n v="39662"/>
    <n v="809"/>
    <x v="14"/>
  </r>
  <r>
    <d v="2025-11-05T00:00:00"/>
    <s v="Dr"/>
    <s v="October, 2025"/>
    <n v="13.26"/>
    <s v="Journal 1"/>
    <n v="1167"/>
    <n v="24"/>
    <x v="14"/>
  </r>
  <r>
    <d v="2025-11-05T00:00:00"/>
    <s v="Dr"/>
    <s v="October, 2025"/>
    <n v="137.19999999999999"/>
    <s v="Journal 1"/>
    <n v="12074"/>
    <n v="246"/>
    <x v="14"/>
  </r>
  <r>
    <d v="2025-11-05T00:00:00"/>
    <s v="Dr"/>
    <s v="October, 2025"/>
    <n v="34.29"/>
    <s v="Journal 1"/>
    <n v="3018"/>
    <n v="62"/>
    <x v="14"/>
  </r>
  <r>
    <d v="2025-11-05T00:00:00"/>
    <s v="Dr"/>
    <s v="October, 2025"/>
    <n v="316.18"/>
    <s v="Journal 1"/>
    <n v="27825"/>
    <n v="568"/>
    <x v="14"/>
  </r>
  <r>
    <d v="2025-11-05T00:00:00"/>
    <s v="Dr"/>
    <s v="October, 2025"/>
    <n v="13.03"/>
    <s v="Journal 1"/>
    <n v="1147"/>
    <n v="23"/>
    <x v="14"/>
  </r>
  <r>
    <d v="2025-11-05T00:00:00"/>
    <s v="Dr"/>
    <s v="October, 2025"/>
    <n v="193.29"/>
    <s v="Journal 1"/>
    <n v="17010"/>
    <n v="347"/>
    <x v="14"/>
  </r>
  <r>
    <d v="2025-11-05T00:00:00"/>
    <s v="Dr"/>
    <s v="October, 2025"/>
    <n v="143.27000000000001"/>
    <s v="Journal 1"/>
    <n v="12608"/>
    <n v="257"/>
    <x v="14"/>
  </r>
  <r>
    <d v="2025-11-06T00:00:00"/>
    <s v="Dr"/>
    <s v="September, 2025"/>
    <n v="1620"/>
    <s v="Journal 1"/>
    <n v="141773"/>
    <n v="15753"/>
    <x v="13"/>
  </r>
  <r>
    <d v="2025-11-06T00:00:00"/>
    <s v="Dr"/>
    <s v="August, 2025"/>
    <n v="989.12"/>
    <s v="Journal 1"/>
    <n v="86562"/>
    <n v="9618"/>
    <x v="12"/>
  </r>
  <r>
    <d v="2025-11-06T00:00:00"/>
    <s v="Dr"/>
    <s v="September, 2025"/>
    <n v="1196.96"/>
    <s v="Journal 1"/>
    <n v="105561"/>
    <n v="11729"/>
    <x v="13"/>
  </r>
  <r>
    <d v="2025-12-01T00:00:00"/>
    <s v="Dr"/>
    <s v="October, 2025"/>
    <n v="1620"/>
    <s v="Journal 1"/>
    <n v="142869"/>
    <n v="15874"/>
    <x v="14"/>
  </r>
  <r>
    <d v="2025-12-01T00:00:00"/>
    <s v="Dr"/>
    <s v="November, 2025"/>
    <n v="1619.99"/>
    <s v="Journal 1"/>
    <n v="142565"/>
    <n v="15841"/>
    <x v="15"/>
  </r>
  <r>
    <d v="2025-12-01T00:00:00"/>
    <s v="Dr"/>
    <s v="October, 2025"/>
    <n v="961.68"/>
    <s v="Journal 1"/>
    <n v="84631"/>
    <n v="940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F7E9EE-AC35-402F-9472-DC9824096626}" name="PivotTable5" cacheId="1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50" firstHeaderRow="0" firstDataRow="1" firstDataCol="1"/>
  <pivotFields count="16">
    <pivotField axis="axisRow" showAll="0">
      <items count="47">
        <item x="1"/>
        <item x="0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numFmtId="165" showAll="0"/>
  </pivotFields>
  <rowFields count="1">
    <field x="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bit" fld="13" baseField="0" baseItem="0"/>
    <dataField name="Sum of Credit" fld="14" baseField="0" baseItem="0"/>
    <dataField name="Sum of TDS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5573C-E3A1-45B2-BAEB-52F41DCA5141}" name="PivotTable6" cacheId="12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A3:F15" firstHeaderRow="0" firstDataRow="1" firstDataCol="3"/>
  <pivotFields count="6"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5"/>
    <field x="4"/>
    <field x="0"/>
  </rowFields>
  <rowItems count="12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bit" fld="1" baseField="0" baseItem="0"/>
    <dataField name="Sum of Credit" fld="2" baseField="0" baseItem="0"/>
    <dataField name="Sum of TD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B2EA37-553C-45C8-BF34-655F24C1D8E0}" name="PivotTable12" cacheId="1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G1:O14" firstHeaderRow="1" firstDataRow="2" firstDataCol="3"/>
  <pivotFields count="7">
    <pivotField axis="axisCol" compact="0" outline="0" showAll="0" defaultSubtotal="0">
      <items count="7">
        <item m="1" x="6"/>
        <item x="4"/>
        <item x="2"/>
        <item x="1"/>
        <item x="3"/>
        <item x="0"/>
        <item x="5"/>
      </items>
    </pivotField>
    <pivotField axis="axisRow" compact="0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compact="0" outline="0" showAll="0" defaultSubtotal="0"/>
    <pivotField compact="0" outline="0" showAll="0" defaultSubtotal="0"/>
    <pivotField compact="0" outline="0" showAll="0" defaultSubtotal="0"/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6"/>
    <field x="5"/>
    <field x="1"/>
  </rowFields>
  <rowItems count="12">
    <i>
      <x v="1"/>
      <x v="1"/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  <i r="2">
      <x v="12"/>
    </i>
    <i>
      <x v="2"/>
      <x v="1"/>
      <x v="1"/>
    </i>
  </rowItems>
  <colFields count="1">
    <field x="0"/>
  </colFields>
  <colItems count="6">
    <i>
      <x v="1"/>
    </i>
    <i>
      <x v="2"/>
    </i>
    <i>
      <x v="3"/>
    </i>
    <i>
      <x v="4"/>
    </i>
    <i>
      <x v="5"/>
    </i>
    <i>
      <x v="6"/>
    </i>
  </colItems>
  <dataFields count="1">
    <dataField name="Sum of Amount in Local Currency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02510B-540C-4226-B767-19B017B3A828}" name="PivotTable14" cacheId="14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compact="0" compactData="0" multipleFieldFilters="0">
  <location ref="J1:N17" firstHeaderRow="0" firstDataRow="1" firstDataCol="3"/>
  <pivotFields count="10">
    <pivotField compact="0" numFmtId="14" outline="0" showAll="0" defaultSubtotal="0"/>
    <pivotField compact="0" outline="0" showAll="0" defaultSubtotal="0"/>
    <pivotField compact="0" outline="0" showAll="0" defaultSubtotal="0"/>
    <pivotField compact="0" numFmtId="165" outline="0" showAll="0" defaultSubtotal="0"/>
    <pivotField compact="0" outline="0" showAll="0" defaultSubtotal="0"/>
    <pivotField dataField="1" compact="0" numFmtId="165" outline="0" showAll="0" defaultSubtotal="0"/>
    <pivotField dataField="1" compact="0" numFmtId="165" outline="0" showAll="0" defaultSubtotal="0"/>
    <pivotField axis="axisRow" compact="0" numFmtId="15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Row" compact="0" outline="0" showAll="0" defaultSubtotal="0">
      <items count="6">
        <item sd="0" x="0"/>
        <item x="1"/>
        <item x="2"/>
        <item x="3"/>
        <item x="4"/>
        <item sd="0" x="5"/>
      </items>
    </pivotField>
    <pivotField axis="axisRow" compact="0" outline="0" showAll="0" defaultSubtotal="0">
      <items count="4">
        <item sd="0" x="0"/>
        <item x="1"/>
        <item x="2"/>
        <item sd="0" x="3"/>
      </items>
    </pivotField>
  </pivotFields>
  <rowFields count="3">
    <field x="9"/>
    <field x="8"/>
    <field x="7"/>
  </rowFields>
  <rowItems count="16">
    <i>
      <x v="1"/>
      <x v="3"/>
      <x v="8"/>
    </i>
    <i r="2">
      <x v="9"/>
    </i>
    <i r="1">
      <x v="4"/>
      <x v="10"/>
    </i>
    <i r="2">
      <x v="11"/>
    </i>
    <i r="2">
      <x v="12"/>
    </i>
    <i>
      <x v="2"/>
      <x v="1"/>
      <x v="1"/>
    </i>
    <i r="2">
      <x v="2"/>
    </i>
    <i r="2">
      <x v="3"/>
    </i>
    <i r="1">
      <x v="2"/>
      <x v="4"/>
    </i>
    <i r="2">
      <x v="5"/>
    </i>
    <i r="2">
      <x v="6"/>
    </i>
    <i r="1">
      <x v="3"/>
      <x v="7"/>
    </i>
    <i r="2">
      <x v="8"/>
    </i>
    <i r="2">
      <x v="9"/>
    </i>
    <i r="1">
      <x v="4"/>
      <x v="10"/>
    </i>
    <i r="2">
      <x v="11"/>
    </i>
  </rowItems>
  <colFields count="1">
    <field x="-2"/>
  </colFields>
  <colItems count="2">
    <i>
      <x/>
    </i>
    <i i="1">
      <x v="1"/>
    </i>
  </colItems>
  <dataFields count="2">
    <dataField name="Sum of Credit" fld="5" baseField="0" baseItem="0"/>
    <dataField name="Sum of TDS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4CC7-0A52-4818-A1FF-ACEAB736DC19}">
  <dimension ref="A3:I50"/>
  <sheetViews>
    <sheetView topLeftCell="A3" workbookViewId="0">
      <selection activeCell="F3" sqref="F3:I47"/>
    </sheetView>
  </sheetViews>
  <sheetFormatPr defaultRowHeight="12.5" x14ac:dyDescent="0.25"/>
  <cols>
    <col min="1" max="1" width="13" bestFit="1" customWidth="1"/>
    <col min="2" max="2" width="11.90625" bestFit="1" customWidth="1"/>
    <col min="3" max="3" width="12.6328125" bestFit="1" customWidth="1"/>
    <col min="4" max="4" width="11.08984375" bestFit="1" customWidth="1"/>
    <col min="6" max="6" width="10.36328125" bestFit="1" customWidth="1"/>
    <col min="7" max="7" width="11.1796875" bestFit="1" customWidth="1"/>
    <col min="8" max="8" width="11.81640625" bestFit="1" customWidth="1"/>
    <col min="9" max="9" width="10.54296875" bestFit="1" customWidth="1"/>
  </cols>
  <sheetData>
    <row r="3" spans="1:9" x14ac:dyDescent="0.25">
      <c r="A3" s="9" t="s">
        <v>446</v>
      </c>
      <c r="B3" t="s">
        <v>698</v>
      </c>
      <c r="C3" t="s">
        <v>697</v>
      </c>
      <c r="D3" t="s">
        <v>700</v>
      </c>
      <c r="F3" t="s">
        <v>471</v>
      </c>
      <c r="G3" t="s">
        <v>478</v>
      </c>
      <c r="H3" t="s">
        <v>479</v>
      </c>
      <c r="I3" t="s">
        <v>699</v>
      </c>
    </row>
    <row r="4" spans="1:9" x14ac:dyDescent="0.25">
      <c r="A4" s="11"/>
      <c r="B4" s="12"/>
      <c r="C4" s="12"/>
      <c r="D4" s="12">
        <v>0</v>
      </c>
      <c r="F4" s="28">
        <v>45707</v>
      </c>
      <c r="H4">
        <v>140899</v>
      </c>
      <c r="I4">
        <v>15655</v>
      </c>
    </row>
    <row r="5" spans="1:9" x14ac:dyDescent="0.25">
      <c r="A5" s="10">
        <v>45707</v>
      </c>
      <c r="B5" s="12"/>
      <c r="C5" s="12">
        <v>140899</v>
      </c>
      <c r="D5" s="12">
        <v>15655</v>
      </c>
      <c r="F5" s="28">
        <v>45708</v>
      </c>
      <c r="H5">
        <v>421359</v>
      </c>
      <c r="I5">
        <v>46818</v>
      </c>
    </row>
    <row r="6" spans="1:9" x14ac:dyDescent="0.25">
      <c r="A6" s="10">
        <v>45708</v>
      </c>
      <c r="B6" s="12"/>
      <c r="C6" s="12">
        <v>421359</v>
      </c>
      <c r="D6" s="12">
        <v>46818</v>
      </c>
      <c r="F6" s="28">
        <v>45717</v>
      </c>
      <c r="H6">
        <v>601717</v>
      </c>
      <c r="I6">
        <v>66858</v>
      </c>
    </row>
    <row r="7" spans="1:9" x14ac:dyDescent="0.25">
      <c r="A7" s="10">
        <v>45717</v>
      </c>
      <c r="B7" s="12"/>
      <c r="C7" s="12">
        <v>601717</v>
      </c>
      <c r="D7" s="12">
        <v>66858</v>
      </c>
      <c r="F7" s="28">
        <v>45719</v>
      </c>
      <c r="H7">
        <v>380701</v>
      </c>
      <c r="I7">
        <v>42300</v>
      </c>
    </row>
    <row r="8" spans="1:9" x14ac:dyDescent="0.25">
      <c r="A8" s="10">
        <v>45719</v>
      </c>
      <c r="B8" s="12"/>
      <c r="C8" s="12">
        <v>380701</v>
      </c>
      <c r="D8" s="12">
        <v>42300</v>
      </c>
      <c r="F8" s="28">
        <v>45722</v>
      </c>
      <c r="H8">
        <v>368145</v>
      </c>
      <c r="I8">
        <v>40906</v>
      </c>
    </row>
    <row r="9" spans="1:9" x14ac:dyDescent="0.25">
      <c r="A9" s="10">
        <v>45722</v>
      </c>
      <c r="B9" s="12"/>
      <c r="C9" s="12">
        <v>368145</v>
      </c>
      <c r="D9" s="12">
        <v>40906</v>
      </c>
      <c r="F9" s="28">
        <v>45735</v>
      </c>
      <c r="H9">
        <v>14486</v>
      </c>
      <c r="I9">
        <v>1610</v>
      </c>
    </row>
    <row r="10" spans="1:9" x14ac:dyDescent="0.25">
      <c r="A10" s="10">
        <v>45735</v>
      </c>
      <c r="B10" s="12"/>
      <c r="C10" s="12">
        <v>14486</v>
      </c>
      <c r="D10" s="12">
        <v>1610</v>
      </c>
      <c r="F10" s="28">
        <v>45736</v>
      </c>
      <c r="H10">
        <v>68741</v>
      </c>
      <c r="I10">
        <v>7638</v>
      </c>
    </row>
    <row r="11" spans="1:9" x14ac:dyDescent="0.25">
      <c r="A11" s="10">
        <v>45736</v>
      </c>
      <c r="B11" s="12"/>
      <c r="C11" s="12">
        <v>68741</v>
      </c>
      <c r="D11" s="12">
        <v>7638</v>
      </c>
      <c r="F11" s="28">
        <v>45776</v>
      </c>
      <c r="G11">
        <v>257391</v>
      </c>
      <c r="I11">
        <v>0</v>
      </c>
    </row>
    <row r="12" spans="1:9" x14ac:dyDescent="0.25">
      <c r="A12" s="10">
        <v>45776</v>
      </c>
      <c r="B12" s="12">
        <v>257391</v>
      </c>
      <c r="C12" s="12"/>
      <c r="D12" s="12">
        <v>0</v>
      </c>
      <c r="F12" s="28">
        <v>45803</v>
      </c>
      <c r="G12">
        <v>324702</v>
      </c>
      <c r="I12">
        <v>0</v>
      </c>
    </row>
    <row r="13" spans="1:9" x14ac:dyDescent="0.25">
      <c r="A13" s="10">
        <v>45803</v>
      </c>
      <c r="B13" s="12">
        <v>324702</v>
      </c>
      <c r="C13" s="12"/>
      <c r="D13" s="12">
        <v>0</v>
      </c>
      <c r="F13" s="28">
        <v>45809</v>
      </c>
      <c r="H13">
        <v>248121</v>
      </c>
      <c r="I13">
        <v>5061</v>
      </c>
    </row>
    <row r="14" spans="1:9" x14ac:dyDescent="0.25">
      <c r="A14" s="10">
        <v>45809</v>
      </c>
      <c r="B14" s="12"/>
      <c r="C14" s="12">
        <v>248121</v>
      </c>
      <c r="D14" s="12">
        <v>5061</v>
      </c>
      <c r="F14" s="28">
        <v>45810</v>
      </c>
      <c r="H14">
        <v>34824</v>
      </c>
      <c r="I14">
        <v>3869</v>
      </c>
    </row>
    <row r="15" spans="1:9" x14ac:dyDescent="0.25">
      <c r="A15" s="10">
        <v>45810</v>
      </c>
      <c r="B15" s="12"/>
      <c r="C15" s="12">
        <v>34824</v>
      </c>
      <c r="D15" s="12">
        <v>3869</v>
      </c>
      <c r="F15" s="28">
        <v>45818</v>
      </c>
      <c r="G15">
        <v>500000</v>
      </c>
      <c r="I15">
        <v>0</v>
      </c>
    </row>
    <row r="16" spans="1:9" x14ac:dyDescent="0.25">
      <c r="A16" s="10">
        <v>45818</v>
      </c>
      <c r="B16" s="12">
        <v>500000</v>
      </c>
      <c r="C16" s="12"/>
      <c r="D16" s="12">
        <v>0</v>
      </c>
      <c r="F16" s="28">
        <v>45821</v>
      </c>
      <c r="H16">
        <v>35715</v>
      </c>
      <c r="I16">
        <v>3968</v>
      </c>
    </row>
    <row r="17" spans="1:9" x14ac:dyDescent="0.25">
      <c r="A17" s="10">
        <v>45821</v>
      </c>
      <c r="B17" s="12"/>
      <c r="C17" s="12">
        <v>35715</v>
      </c>
      <c r="D17" s="12">
        <v>3968</v>
      </c>
      <c r="F17" s="28">
        <v>45826</v>
      </c>
      <c r="G17">
        <v>100000</v>
      </c>
      <c r="I17">
        <v>0</v>
      </c>
    </row>
    <row r="18" spans="1:9" x14ac:dyDescent="0.25">
      <c r="A18" s="10">
        <v>45826</v>
      </c>
      <c r="B18" s="12">
        <v>100000</v>
      </c>
      <c r="C18" s="12"/>
      <c r="D18" s="12">
        <v>0</v>
      </c>
      <c r="F18" s="28">
        <v>45835</v>
      </c>
      <c r="G18">
        <v>700000</v>
      </c>
      <c r="I18">
        <v>0</v>
      </c>
    </row>
    <row r="19" spans="1:9" x14ac:dyDescent="0.25">
      <c r="A19" s="10">
        <v>45835</v>
      </c>
      <c r="B19" s="12">
        <v>700000</v>
      </c>
      <c r="C19" s="12"/>
      <c r="D19" s="12">
        <v>0</v>
      </c>
      <c r="F19" s="28">
        <v>45839</v>
      </c>
      <c r="H19">
        <v>71434</v>
      </c>
      <c r="I19">
        <v>1459</v>
      </c>
    </row>
    <row r="20" spans="1:9" x14ac:dyDescent="0.25">
      <c r="A20" s="10">
        <v>45839</v>
      </c>
      <c r="B20" s="12"/>
      <c r="C20" s="12">
        <v>71434</v>
      </c>
      <c r="D20" s="12">
        <v>1459</v>
      </c>
      <c r="F20" s="28">
        <v>45840</v>
      </c>
      <c r="H20">
        <v>544229</v>
      </c>
      <c r="I20">
        <v>60470</v>
      </c>
    </row>
    <row r="21" spans="1:9" x14ac:dyDescent="0.25">
      <c r="A21" s="10">
        <v>45840</v>
      </c>
      <c r="B21" s="12"/>
      <c r="C21" s="12">
        <v>544229</v>
      </c>
      <c r="D21" s="12">
        <v>60470</v>
      </c>
      <c r="F21" s="28">
        <v>45842</v>
      </c>
      <c r="G21">
        <v>150000</v>
      </c>
      <c r="I21">
        <v>0</v>
      </c>
    </row>
    <row r="22" spans="1:9" x14ac:dyDescent="0.25">
      <c r="A22" s="10">
        <v>45842</v>
      </c>
      <c r="B22" s="12">
        <v>150000</v>
      </c>
      <c r="C22" s="12"/>
      <c r="D22" s="12">
        <v>0</v>
      </c>
      <c r="F22" s="28">
        <v>45849</v>
      </c>
      <c r="G22">
        <v>150000</v>
      </c>
      <c r="I22">
        <v>0</v>
      </c>
    </row>
    <row r="23" spans="1:9" x14ac:dyDescent="0.25">
      <c r="A23" s="10">
        <v>45849</v>
      </c>
      <c r="B23" s="12">
        <v>150000</v>
      </c>
      <c r="C23" s="12"/>
      <c r="D23" s="12">
        <v>0</v>
      </c>
      <c r="F23" s="28">
        <v>45857</v>
      </c>
      <c r="G23">
        <v>150000</v>
      </c>
      <c r="I23">
        <v>0</v>
      </c>
    </row>
    <row r="24" spans="1:9" x14ac:dyDescent="0.25">
      <c r="A24" s="10">
        <v>45857</v>
      </c>
      <c r="B24" s="12">
        <v>150000</v>
      </c>
      <c r="C24" s="12"/>
      <c r="D24" s="12">
        <v>0</v>
      </c>
      <c r="F24" s="28">
        <v>45863</v>
      </c>
      <c r="G24">
        <v>150000</v>
      </c>
      <c r="I24">
        <v>0</v>
      </c>
    </row>
    <row r="25" spans="1:9" x14ac:dyDescent="0.25">
      <c r="A25" s="10">
        <v>45863</v>
      </c>
      <c r="B25" s="12">
        <v>150000</v>
      </c>
      <c r="C25" s="12"/>
      <c r="D25" s="12">
        <v>0</v>
      </c>
      <c r="F25" s="28">
        <v>45870</v>
      </c>
      <c r="G25">
        <v>450000</v>
      </c>
      <c r="H25">
        <v>381485</v>
      </c>
      <c r="I25">
        <v>7788</v>
      </c>
    </row>
    <row r="26" spans="1:9" x14ac:dyDescent="0.25">
      <c r="A26" s="10">
        <v>45870</v>
      </c>
      <c r="B26" s="12">
        <v>450000</v>
      </c>
      <c r="C26" s="12">
        <v>381485</v>
      </c>
      <c r="D26" s="12">
        <v>7788</v>
      </c>
      <c r="F26" s="28">
        <v>45871</v>
      </c>
      <c r="H26">
        <v>373228</v>
      </c>
      <c r="I26">
        <v>41469</v>
      </c>
    </row>
    <row r="27" spans="1:9" x14ac:dyDescent="0.25">
      <c r="A27" s="10">
        <v>45871</v>
      </c>
      <c r="B27" s="12"/>
      <c r="C27" s="12">
        <v>373228</v>
      </c>
      <c r="D27" s="12">
        <v>41469</v>
      </c>
      <c r="F27" s="28">
        <v>45909</v>
      </c>
      <c r="G27">
        <v>100000</v>
      </c>
      <c r="I27">
        <v>0</v>
      </c>
    </row>
    <row r="28" spans="1:9" x14ac:dyDescent="0.25">
      <c r="A28" s="10">
        <v>45909</v>
      </c>
      <c r="B28" s="12">
        <v>100000</v>
      </c>
      <c r="C28" s="12"/>
      <c r="D28" s="12">
        <v>0</v>
      </c>
      <c r="F28" s="28">
        <v>45918</v>
      </c>
      <c r="G28">
        <v>100000</v>
      </c>
      <c r="I28">
        <v>0</v>
      </c>
    </row>
    <row r="29" spans="1:9" x14ac:dyDescent="0.25">
      <c r="A29" s="10">
        <v>45918</v>
      </c>
      <c r="B29" s="12">
        <v>100000</v>
      </c>
      <c r="C29" s="12"/>
      <c r="D29" s="12">
        <v>0</v>
      </c>
      <c r="F29" s="28">
        <v>45929</v>
      </c>
      <c r="G29">
        <v>100000</v>
      </c>
      <c r="I29">
        <v>0</v>
      </c>
    </row>
    <row r="30" spans="1:9" x14ac:dyDescent="0.25">
      <c r="A30" s="10">
        <v>45929</v>
      </c>
      <c r="B30" s="12">
        <v>100000</v>
      </c>
      <c r="C30" s="12"/>
      <c r="D30" s="12">
        <v>0</v>
      </c>
      <c r="F30" s="28">
        <v>45931</v>
      </c>
      <c r="H30">
        <v>646777</v>
      </c>
      <c r="I30">
        <v>71863</v>
      </c>
    </row>
    <row r="31" spans="1:9" x14ac:dyDescent="0.25">
      <c r="A31" s="10">
        <v>45931</v>
      </c>
      <c r="B31" s="12"/>
      <c r="C31" s="12">
        <v>646777</v>
      </c>
      <c r="D31" s="12">
        <v>71863</v>
      </c>
      <c r="F31" s="28">
        <v>45932</v>
      </c>
      <c r="H31">
        <v>191599</v>
      </c>
      <c r="I31">
        <v>3911</v>
      </c>
    </row>
    <row r="32" spans="1:9" x14ac:dyDescent="0.25">
      <c r="A32" s="10">
        <v>45932</v>
      </c>
      <c r="B32" s="12"/>
      <c r="C32" s="12">
        <v>191599</v>
      </c>
      <c r="D32" s="12">
        <v>3911</v>
      </c>
      <c r="F32" s="28">
        <v>45937</v>
      </c>
      <c r="G32">
        <v>100000</v>
      </c>
      <c r="I32">
        <v>0</v>
      </c>
    </row>
    <row r="33" spans="1:9" x14ac:dyDescent="0.25">
      <c r="A33" s="10">
        <v>45937</v>
      </c>
      <c r="B33" s="12">
        <v>100000</v>
      </c>
      <c r="C33" s="12"/>
      <c r="D33" s="12">
        <v>0</v>
      </c>
      <c r="F33" s="28">
        <v>45947</v>
      </c>
      <c r="G33">
        <v>100000</v>
      </c>
      <c r="I33">
        <v>0</v>
      </c>
    </row>
    <row r="34" spans="1:9" x14ac:dyDescent="0.25">
      <c r="A34" s="10">
        <v>45947</v>
      </c>
      <c r="B34" s="12">
        <v>100000</v>
      </c>
      <c r="C34" s="12"/>
      <c r="D34" s="12">
        <v>0</v>
      </c>
      <c r="F34" s="28">
        <v>45959</v>
      </c>
      <c r="G34">
        <v>100000</v>
      </c>
      <c r="I34">
        <v>0</v>
      </c>
    </row>
    <row r="35" spans="1:9" x14ac:dyDescent="0.25">
      <c r="A35" s="10">
        <v>45959</v>
      </c>
      <c r="B35" s="12">
        <v>100000</v>
      </c>
      <c r="C35" s="12"/>
      <c r="D35" s="12">
        <v>0</v>
      </c>
      <c r="F35" s="28">
        <v>45962</v>
      </c>
      <c r="H35">
        <v>353116</v>
      </c>
      <c r="I35">
        <v>7207</v>
      </c>
    </row>
    <row r="36" spans="1:9" x14ac:dyDescent="0.25">
      <c r="A36" s="10">
        <v>45962</v>
      </c>
      <c r="B36" s="12"/>
      <c r="C36" s="12">
        <v>353116</v>
      </c>
      <c r="D36" s="12">
        <v>7207</v>
      </c>
      <c r="F36" s="28">
        <v>45964</v>
      </c>
      <c r="H36">
        <v>39662</v>
      </c>
      <c r="I36">
        <v>809</v>
      </c>
    </row>
    <row r="37" spans="1:9" x14ac:dyDescent="0.25">
      <c r="A37" s="10">
        <v>45964</v>
      </c>
      <c r="B37" s="12"/>
      <c r="C37" s="12">
        <v>39662</v>
      </c>
      <c r="D37" s="12">
        <v>809</v>
      </c>
      <c r="F37" s="28">
        <v>45966</v>
      </c>
      <c r="H37">
        <v>74849</v>
      </c>
      <c r="I37">
        <v>1527</v>
      </c>
    </row>
    <row r="38" spans="1:9" x14ac:dyDescent="0.25">
      <c r="A38" s="10">
        <v>45966</v>
      </c>
      <c r="B38" s="12"/>
      <c r="C38" s="12">
        <v>74849</v>
      </c>
      <c r="D38" s="12">
        <v>1527</v>
      </c>
      <c r="F38" s="28">
        <v>45967</v>
      </c>
      <c r="G38">
        <v>100000</v>
      </c>
      <c r="H38">
        <v>333896</v>
      </c>
      <c r="I38">
        <v>37100</v>
      </c>
    </row>
    <row r="39" spans="1:9" x14ac:dyDescent="0.25">
      <c r="A39" s="10">
        <v>45967</v>
      </c>
      <c r="B39" s="12">
        <v>100000</v>
      </c>
      <c r="C39" s="12">
        <v>333896</v>
      </c>
      <c r="D39" s="12">
        <v>37100</v>
      </c>
      <c r="F39" s="28">
        <v>45975</v>
      </c>
      <c r="G39">
        <v>100000</v>
      </c>
      <c r="I39">
        <v>0</v>
      </c>
    </row>
    <row r="40" spans="1:9" x14ac:dyDescent="0.25">
      <c r="A40" s="10">
        <v>45975</v>
      </c>
      <c r="B40" s="12">
        <v>100000</v>
      </c>
      <c r="C40" s="12"/>
      <c r="D40" s="12">
        <v>0</v>
      </c>
      <c r="F40" s="28">
        <v>45987</v>
      </c>
      <c r="G40">
        <v>100000</v>
      </c>
      <c r="I40">
        <v>0</v>
      </c>
    </row>
    <row r="41" spans="1:9" x14ac:dyDescent="0.25">
      <c r="A41" s="10">
        <v>45987</v>
      </c>
      <c r="B41" s="12">
        <v>100000</v>
      </c>
      <c r="C41" s="12"/>
      <c r="D41" s="12">
        <v>0</v>
      </c>
      <c r="F41" s="28">
        <v>45992</v>
      </c>
      <c r="H41">
        <v>370065</v>
      </c>
      <c r="I41">
        <v>41119</v>
      </c>
    </row>
    <row r="42" spans="1:9" x14ac:dyDescent="0.25">
      <c r="A42" s="10">
        <v>45992</v>
      </c>
      <c r="B42" s="12"/>
      <c r="C42" s="12">
        <v>370065</v>
      </c>
      <c r="D42" s="12">
        <v>41119</v>
      </c>
      <c r="F42" s="28">
        <v>46006</v>
      </c>
      <c r="G42">
        <v>100000</v>
      </c>
      <c r="I42">
        <v>0</v>
      </c>
    </row>
    <row r="43" spans="1:9" x14ac:dyDescent="0.25">
      <c r="A43" s="10">
        <v>46006</v>
      </c>
      <c r="B43" s="12">
        <v>100000</v>
      </c>
      <c r="C43" s="12"/>
      <c r="D43" s="12">
        <v>0</v>
      </c>
      <c r="F43" s="28">
        <v>46021</v>
      </c>
      <c r="G43">
        <v>200000</v>
      </c>
      <c r="I43">
        <v>0</v>
      </c>
    </row>
    <row r="44" spans="1:9" x14ac:dyDescent="0.25">
      <c r="A44" s="10">
        <v>46021</v>
      </c>
      <c r="B44" s="12">
        <v>200000</v>
      </c>
      <c r="C44" s="12"/>
      <c r="D44" s="12">
        <v>0</v>
      </c>
      <c r="F44" s="28">
        <v>46028</v>
      </c>
      <c r="G44">
        <v>100000</v>
      </c>
      <c r="I44">
        <v>0</v>
      </c>
    </row>
    <row r="45" spans="1:9" x14ac:dyDescent="0.25">
      <c r="A45" s="10">
        <v>46028</v>
      </c>
      <c r="B45" s="12">
        <v>100000</v>
      </c>
      <c r="C45" s="12"/>
      <c r="D45" s="12">
        <v>0</v>
      </c>
      <c r="F45" s="28">
        <v>46036</v>
      </c>
      <c r="G45">
        <v>150000</v>
      </c>
      <c r="I45">
        <v>0</v>
      </c>
    </row>
    <row r="46" spans="1:9" x14ac:dyDescent="0.25">
      <c r="A46" s="10">
        <v>46036</v>
      </c>
      <c r="B46" s="12">
        <v>150000</v>
      </c>
      <c r="C46" s="12"/>
      <c r="D46" s="12">
        <v>0</v>
      </c>
      <c r="F46" s="28">
        <v>46043</v>
      </c>
      <c r="G46">
        <v>150000</v>
      </c>
      <c r="I46">
        <v>0</v>
      </c>
    </row>
    <row r="47" spans="1:9" x14ac:dyDescent="0.25">
      <c r="A47" s="10">
        <v>46043</v>
      </c>
      <c r="B47" s="12">
        <v>150000</v>
      </c>
      <c r="C47" s="12"/>
      <c r="D47" s="12">
        <v>0</v>
      </c>
      <c r="F47" s="28">
        <v>46053</v>
      </c>
      <c r="G47">
        <v>200000</v>
      </c>
      <c r="I47">
        <v>0</v>
      </c>
    </row>
    <row r="48" spans="1:9" x14ac:dyDescent="0.25">
      <c r="A48" s="10">
        <v>46053</v>
      </c>
      <c r="B48" s="12">
        <v>200000</v>
      </c>
      <c r="C48" s="12"/>
      <c r="D48" s="12">
        <v>0</v>
      </c>
    </row>
    <row r="49" spans="1:4" x14ac:dyDescent="0.25">
      <c r="A49" s="11" t="s">
        <v>447</v>
      </c>
      <c r="B49" s="12"/>
      <c r="C49" s="12"/>
      <c r="D49" s="12">
        <v>0</v>
      </c>
    </row>
    <row r="50" spans="1:4" x14ac:dyDescent="0.25">
      <c r="A50" s="11" t="s">
        <v>448</v>
      </c>
      <c r="B50" s="12">
        <v>4732093</v>
      </c>
      <c r="C50" s="12">
        <v>5695048</v>
      </c>
      <c r="D50" s="12">
        <v>509405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B4A85-3DDC-443C-8E55-2A449AF02ED7}">
  <sheetPr>
    <tabColor theme="2" tint="-0.499984740745262"/>
  </sheetPr>
  <dimension ref="A1:F14"/>
  <sheetViews>
    <sheetView tabSelected="1" workbookViewId="0">
      <selection activeCell="C18" sqref="C18"/>
    </sheetView>
  </sheetViews>
  <sheetFormatPr defaultColWidth="8.81640625" defaultRowHeight="14.5" x14ac:dyDescent="0.35"/>
  <cols>
    <col min="1" max="1" width="42.90625" style="73" bestFit="1" customWidth="1"/>
    <col min="2" max="2" width="15.1796875" style="73" bestFit="1" customWidth="1"/>
    <col min="3" max="3" width="59.453125" style="73" bestFit="1" customWidth="1"/>
    <col min="4" max="5" width="13.90625" style="73" bestFit="1" customWidth="1"/>
    <col min="6" max="6" width="14.54296875" style="73" bestFit="1" customWidth="1"/>
    <col min="7" max="16384" width="8.81640625" style="73"/>
  </cols>
  <sheetData>
    <row r="1" spans="1:6" ht="15" thickBot="1" x14ac:dyDescent="0.4"/>
    <row r="2" spans="1:6" ht="15" thickBot="1" x14ac:dyDescent="0.4">
      <c r="A2" s="114" t="s">
        <v>738</v>
      </c>
      <c r="B2" s="115"/>
    </row>
    <row r="3" spans="1:6" ht="15" thickBot="1" x14ac:dyDescent="0.4">
      <c r="A3" s="71" t="s">
        <v>472</v>
      </c>
      <c r="B3" s="72" t="s">
        <v>703</v>
      </c>
    </row>
    <row r="4" spans="1:6" x14ac:dyDescent="0.35">
      <c r="A4" s="82" t="s">
        <v>727</v>
      </c>
      <c r="B4" s="74">
        <f>'SRIKARAM BOOKS'!M1088</f>
        <v>962955</v>
      </c>
    </row>
    <row r="5" spans="1:6" x14ac:dyDescent="0.35">
      <c r="A5" s="75" t="s">
        <v>741</v>
      </c>
      <c r="B5" s="76">
        <v>393224</v>
      </c>
      <c r="C5" s="124" t="s">
        <v>792</v>
      </c>
    </row>
    <row r="6" spans="1:6" x14ac:dyDescent="0.35">
      <c r="A6" s="75" t="s">
        <v>742</v>
      </c>
      <c r="B6" s="76">
        <f>168+87418</f>
        <v>87586</v>
      </c>
      <c r="C6" s="124" t="s">
        <v>793</v>
      </c>
    </row>
    <row r="7" spans="1:6" x14ac:dyDescent="0.35">
      <c r="A7" s="75" t="s">
        <v>723</v>
      </c>
      <c r="B7" s="76">
        <f>'CN not in customer books'!K13</f>
        <v>1001750.4700000002</v>
      </c>
      <c r="C7" s="124" t="s">
        <v>791</v>
      </c>
    </row>
    <row r="8" spans="1:6" x14ac:dyDescent="0.35">
      <c r="A8" s="75" t="s">
        <v>740</v>
      </c>
      <c r="B8" s="76">
        <v>200000</v>
      </c>
      <c r="C8" s="124" t="s">
        <v>794</v>
      </c>
    </row>
    <row r="9" spans="1:6" x14ac:dyDescent="0.35">
      <c r="A9" s="75" t="s">
        <v>739</v>
      </c>
      <c r="B9" s="76">
        <v>2045</v>
      </c>
    </row>
    <row r="10" spans="1:6" x14ac:dyDescent="0.35">
      <c r="A10" s="75" t="s">
        <v>724</v>
      </c>
      <c r="B10" s="76">
        <f>SUM(B4:B9)</f>
        <v>2647560.4700000002</v>
      </c>
    </row>
    <row r="11" spans="1:6" ht="15" thickBot="1" x14ac:dyDescent="0.4">
      <c r="A11" s="75" t="s">
        <v>725</v>
      </c>
      <c r="B11" s="76">
        <f>'Ascendus Sales Ledger'!G254</f>
        <v>2647562.39</v>
      </c>
    </row>
    <row r="12" spans="1:6" ht="15" thickBot="1" x14ac:dyDescent="0.4">
      <c r="A12" s="77"/>
      <c r="B12" s="78">
        <v>0</v>
      </c>
    </row>
    <row r="13" spans="1:6" ht="15" thickBot="1" x14ac:dyDescent="0.4">
      <c r="A13" s="79" t="s">
        <v>726</v>
      </c>
      <c r="B13" s="98">
        <f>B10-B11-B12</f>
        <v>-1.9199999999254942</v>
      </c>
    </row>
    <row r="14" spans="1:6" x14ac:dyDescent="0.35">
      <c r="D14" s="80"/>
      <c r="E14" s="80"/>
      <c r="F14" s="81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DDAB8-C575-40B1-AA1E-151561631087}">
  <sheetPr filterMode="1">
    <tabColor theme="4" tint="0.59999389629810485"/>
  </sheetPr>
  <dimension ref="A1:P42"/>
  <sheetViews>
    <sheetView topLeftCell="D1" workbookViewId="0">
      <selection activeCell="F51" sqref="F51"/>
    </sheetView>
  </sheetViews>
  <sheetFormatPr defaultRowHeight="12.5" x14ac:dyDescent="0.25"/>
  <cols>
    <col min="1" max="1" width="31.6328125" hidden="1" customWidth="1"/>
    <col min="2" max="2" width="9.90625" hidden="1" customWidth="1"/>
    <col min="3" max="3" width="11.08984375" hidden="1" customWidth="1"/>
    <col min="4" max="4" width="15.6328125" bestFit="1" customWidth="1"/>
    <col min="5" max="5" width="9.90625" bestFit="1" customWidth="1"/>
    <col min="6" max="6" width="13.26953125" bestFit="1" customWidth="1"/>
    <col min="7" max="7" width="12.90625" bestFit="1" customWidth="1"/>
    <col min="8" max="8" width="8.26953125" bestFit="1" customWidth="1"/>
    <col min="9" max="9" width="8.54296875" bestFit="1" customWidth="1"/>
    <col min="10" max="10" width="8.36328125" bestFit="1" customWidth="1"/>
    <col min="11" max="11" width="11.08984375" bestFit="1" customWidth="1"/>
    <col min="12" max="12" width="43.36328125" bestFit="1" customWidth="1"/>
    <col min="13" max="13" width="26.1796875" bestFit="1" customWidth="1"/>
    <col min="14" max="14" width="11.54296875" style="37" bestFit="1" customWidth="1"/>
    <col min="15" max="15" width="10" style="37" bestFit="1" customWidth="1"/>
  </cols>
  <sheetData>
    <row r="1" spans="1:16" ht="52" x14ac:dyDescent="0.25">
      <c r="A1" s="1" t="s">
        <v>728</v>
      </c>
      <c r="B1" s="1" t="s">
        <v>729</v>
      </c>
      <c r="C1" s="1" t="s">
        <v>441</v>
      </c>
      <c r="D1" s="149" t="s">
        <v>431</v>
      </c>
      <c r="E1" s="150" t="s">
        <v>432</v>
      </c>
      <c r="F1" s="149" t="s">
        <v>433</v>
      </c>
      <c r="G1" s="149" t="s">
        <v>730</v>
      </c>
      <c r="H1" s="150" t="s">
        <v>731</v>
      </c>
      <c r="I1" s="150" t="s">
        <v>732</v>
      </c>
      <c r="J1" s="150" t="s">
        <v>733</v>
      </c>
      <c r="K1" s="150" t="s">
        <v>734</v>
      </c>
      <c r="L1" s="149" t="s">
        <v>439</v>
      </c>
      <c r="M1" s="150" t="s">
        <v>782</v>
      </c>
      <c r="N1" s="151" t="s">
        <v>789</v>
      </c>
      <c r="O1" s="151" t="s">
        <v>699</v>
      </c>
      <c r="P1" s="151" t="s">
        <v>790</v>
      </c>
    </row>
    <row r="2" spans="1:16" hidden="1" x14ac:dyDescent="0.25">
      <c r="A2" s="134" t="s">
        <v>736</v>
      </c>
      <c r="B2" s="134" t="s">
        <v>449</v>
      </c>
      <c r="C2" s="135">
        <v>45947</v>
      </c>
      <c r="D2" s="134">
        <v>1600002475</v>
      </c>
      <c r="E2" s="134" t="s">
        <v>783</v>
      </c>
      <c r="F2" s="135">
        <v>45947</v>
      </c>
      <c r="G2" s="136">
        <v>256779422017</v>
      </c>
      <c r="H2" s="134" t="s">
        <v>737</v>
      </c>
      <c r="I2" s="137">
        <v>-156.08000000000001</v>
      </c>
      <c r="J2" s="134" t="s">
        <v>2</v>
      </c>
      <c r="K2" s="137">
        <v>-13764.82</v>
      </c>
      <c r="L2" s="134" t="s">
        <v>412</v>
      </c>
      <c r="M2" s="147" t="s">
        <v>784</v>
      </c>
      <c r="N2" s="13" t="e">
        <f>_xlfn.XLOOKUP(G2,'Updated CustomerLedger'!$B:$B,'Updated CustomerLedger'!$C:$C,,0)</f>
        <v>#N/A</v>
      </c>
      <c r="O2" s="32"/>
      <c r="P2" s="148">
        <f>O2/K2</f>
        <v>0</v>
      </c>
    </row>
    <row r="3" spans="1:16" hidden="1" x14ac:dyDescent="0.25">
      <c r="A3" s="20" t="s">
        <v>736</v>
      </c>
      <c r="B3" s="20" t="s">
        <v>449</v>
      </c>
      <c r="C3" s="125">
        <v>45791</v>
      </c>
      <c r="D3" s="20">
        <v>1600000605</v>
      </c>
      <c r="E3" s="20" t="s">
        <v>783</v>
      </c>
      <c r="F3" s="125">
        <v>45791</v>
      </c>
      <c r="G3" s="138">
        <v>256779420314</v>
      </c>
      <c r="H3" s="20" t="s">
        <v>737</v>
      </c>
      <c r="I3" s="126">
        <v>-77.2</v>
      </c>
      <c r="J3" s="20" t="s">
        <v>2</v>
      </c>
      <c r="K3" s="126">
        <v>-6692.57</v>
      </c>
      <c r="L3" s="20" t="s">
        <v>389</v>
      </c>
      <c r="M3" s="14"/>
      <c r="N3" s="13" t="e">
        <f>_xlfn.XLOOKUP(G3,'Updated CustomerLedger'!$B:$B,'Updated CustomerLedger'!$C:$C,,0)</f>
        <v>#N/A</v>
      </c>
      <c r="O3" s="32"/>
      <c r="P3" s="148">
        <f t="shared" ref="P3:P42" si="0">O3/K3</f>
        <v>0</v>
      </c>
    </row>
    <row r="4" spans="1:16" hidden="1" x14ac:dyDescent="0.25">
      <c r="A4" s="134" t="s">
        <v>736</v>
      </c>
      <c r="B4" s="134" t="s">
        <v>449</v>
      </c>
      <c r="C4" s="135">
        <v>45791</v>
      </c>
      <c r="D4" s="134">
        <v>1600000704</v>
      </c>
      <c r="E4" s="134" t="s">
        <v>783</v>
      </c>
      <c r="F4" s="135">
        <v>45791</v>
      </c>
      <c r="G4" s="136">
        <v>256779420413</v>
      </c>
      <c r="H4" s="134" t="s">
        <v>737</v>
      </c>
      <c r="I4" s="137">
        <v>-1800</v>
      </c>
      <c r="J4" s="134" t="s">
        <v>2</v>
      </c>
      <c r="K4" s="137">
        <v>-156459.28</v>
      </c>
      <c r="L4" s="134" t="s">
        <v>393</v>
      </c>
      <c r="M4" s="147" t="s">
        <v>784</v>
      </c>
      <c r="N4" s="13" t="e">
        <f>_xlfn.XLOOKUP(G4,'Updated CustomerLedger'!$B:$B,'Updated CustomerLedger'!$C:$C,,0)</f>
        <v>#N/A</v>
      </c>
      <c r="O4" s="32"/>
      <c r="P4" s="148">
        <f t="shared" si="0"/>
        <v>0</v>
      </c>
    </row>
    <row r="5" spans="1:16" hidden="1" x14ac:dyDescent="0.25">
      <c r="A5" s="134" t="s">
        <v>736</v>
      </c>
      <c r="B5" s="134" t="s">
        <v>449</v>
      </c>
      <c r="C5" s="135">
        <v>45791</v>
      </c>
      <c r="D5" s="134">
        <v>1600000791</v>
      </c>
      <c r="E5" s="134" t="s">
        <v>783</v>
      </c>
      <c r="F5" s="135">
        <v>45791</v>
      </c>
      <c r="G5" s="136">
        <v>256779420500</v>
      </c>
      <c r="H5" s="134" t="s">
        <v>737</v>
      </c>
      <c r="I5" s="137">
        <v>-1800</v>
      </c>
      <c r="J5" s="134" t="s">
        <v>2</v>
      </c>
      <c r="K5" s="137">
        <v>-156459.28</v>
      </c>
      <c r="L5" s="134" t="s">
        <v>397</v>
      </c>
      <c r="M5" s="147" t="s">
        <v>784</v>
      </c>
      <c r="N5" s="13" t="e">
        <f>_xlfn.XLOOKUP(G5,'Updated CustomerLedger'!$B:$B,'Updated CustomerLedger'!$C:$C,,0)</f>
        <v>#N/A</v>
      </c>
      <c r="O5" s="32"/>
      <c r="P5" s="148">
        <f t="shared" si="0"/>
        <v>0</v>
      </c>
    </row>
    <row r="6" spans="1:16" hidden="1" x14ac:dyDescent="0.25">
      <c r="A6" s="134" t="s">
        <v>736</v>
      </c>
      <c r="B6" s="134" t="s">
        <v>449</v>
      </c>
      <c r="C6" s="135">
        <v>45873</v>
      </c>
      <c r="D6" s="134">
        <v>1600002058</v>
      </c>
      <c r="E6" s="134" t="s">
        <v>783</v>
      </c>
      <c r="F6" s="135">
        <v>45873</v>
      </c>
      <c r="G6" s="136">
        <v>256779421634</v>
      </c>
      <c r="H6" s="134" t="s">
        <v>737</v>
      </c>
      <c r="I6" s="137">
        <v>-239.19</v>
      </c>
      <c r="J6" s="134" t="s">
        <v>2</v>
      </c>
      <c r="K6" s="137">
        <v>-20570.5</v>
      </c>
      <c r="L6" s="134" t="s">
        <v>416</v>
      </c>
      <c r="M6" s="147" t="s">
        <v>784</v>
      </c>
      <c r="N6" s="13" t="e">
        <f>_xlfn.XLOOKUP(G6,'Updated CustomerLedger'!$B:$B,'Updated CustomerLedger'!$C:$C,,0)</f>
        <v>#N/A</v>
      </c>
      <c r="O6" s="32"/>
      <c r="P6" s="148">
        <f t="shared" si="0"/>
        <v>0</v>
      </c>
    </row>
    <row r="7" spans="1:16" hidden="1" x14ac:dyDescent="0.25">
      <c r="A7" s="134" t="s">
        <v>736</v>
      </c>
      <c r="B7" s="134" t="s">
        <v>449</v>
      </c>
      <c r="C7" s="135">
        <v>45862</v>
      </c>
      <c r="D7" s="134">
        <v>1600001823</v>
      </c>
      <c r="E7" s="134" t="s">
        <v>783</v>
      </c>
      <c r="F7" s="135">
        <v>45862</v>
      </c>
      <c r="G7" s="136">
        <v>256779421443</v>
      </c>
      <c r="H7" s="134" t="s">
        <v>737</v>
      </c>
      <c r="I7" s="137">
        <v>-29.25</v>
      </c>
      <c r="J7" s="134" t="s">
        <v>2</v>
      </c>
      <c r="K7" s="137">
        <v>-2515.02</v>
      </c>
      <c r="L7" s="134" t="s">
        <v>414</v>
      </c>
      <c r="M7" s="147" t="s">
        <v>784</v>
      </c>
      <c r="N7" s="13" t="e">
        <f>_xlfn.XLOOKUP(G7,'Updated CustomerLedger'!$B:$B,'Updated CustomerLedger'!$C:$C,,0)</f>
        <v>#N/A</v>
      </c>
      <c r="O7" s="32"/>
      <c r="P7" s="148">
        <f t="shared" si="0"/>
        <v>0</v>
      </c>
    </row>
    <row r="8" spans="1:16" hidden="1" x14ac:dyDescent="0.25">
      <c r="A8" s="134" t="s">
        <v>736</v>
      </c>
      <c r="B8" s="134" t="s">
        <v>449</v>
      </c>
      <c r="C8" s="135">
        <v>45799</v>
      </c>
      <c r="D8" s="134">
        <v>1600001001</v>
      </c>
      <c r="E8" s="134" t="s">
        <v>783</v>
      </c>
      <c r="F8" s="135">
        <v>45799</v>
      </c>
      <c r="G8" s="136">
        <v>256779420689</v>
      </c>
      <c r="H8" s="134" t="s">
        <v>737</v>
      </c>
      <c r="I8" s="137">
        <v>-368.88</v>
      </c>
      <c r="J8" s="134" t="s">
        <v>2</v>
      </c>
      <c r="K8" s="137">
        <v>-31978.67</v>
      </c>
      <c r="L8" s="134" t="s">
        <v>401</v>
      </c>
      <c r="M8" s="147" t="s">
        <v>784</v>
      </c>
      <c r="N8" s="13" t="e">
        <f>_xlfn.XLOOKUP(G8,'Updated CustomerLedger'!$B:$B,'Updated CustomerLedger'!$C:$C,,0)</f>
        <v>#N/A</v>
      </c>
      <c r="O8" s="32"/>
      <c r="P8" s="148">
        <f t="shared" si="0"/>
        <v>0</v>
      </c>
    </row>
    <row r="9" spans="1:16" hidden="1" x14ac:dyDescent="0.25">
      <c r="A9" s="134" t="s">
        <v>736</v>
      </c>
      <c r="B9" s="134" t="s">
        <v>449</v>
      </c>
      <c r="C9" s="135">
        <v>45799</v>
      </c>
      <c r="D9" s="134">
        <v>1600001002</v>
      </c>
      <c r="E9" s="134" t="s">
        <v>783</v>
      </c>
      <c r="F9" s="135">
        <v>45799</v>
      </c>
      <c r="G9" s="136">
        <v>256779420690</v>
      </c>
      <c r="H9" s="134" t="s">
        <v>737</v>
      </c>
      <c r="I9" s="137">
        <v>-190.41</v>
      </c>
      <c r="J9" s="134" t="s">
        <v>2</v>
      </c>
      <c r="K9" s="137">
        <v>-16550.78</v>
      </c>
      <c r="L9" s="134" t="s">
        <v>407</v>
      </c>
      <c r="M9" s="147" t="s">
        <v>784</v>
      </c>
      <c r="N9" s="13" t="e">
        <f>_xlfn.XLOOKUP(G9,'Updated CustomerLedger'!$B:$B,'Updated CustomerLedger'!$C:$C,,0)</f>
        <v>#N/A</v>
      </c>
      <c r="O9" s="32"/>
      <c r="P9" s="148">
        <f t="shared" si="0"/>
        <v>0</v>
      </c>
    </row>
    <row r="10" spans="1:16" hidden="1" x14ac:dyDescent="0.25">
      <c r="A10" s="134" t="s">
        <v>736</v>
      </c>
      <c r="B10" s="134" t="s">
        <v>449</v>
      </c>
      <c r="C10" s="135">
        <v>45735</v>
      </c>
      <c r="D10" s="134">
        <v>1800003224</v>
      </c>
      <c r="E10" s="134" t="s">
        <v>785</v>
      </c>
      <c r="F10" s="135">
        <v>45735</v>
      </c>
      <c r="G10" s="136">
        <v>246779413091</v>
      </c>
      <c r="H10" s="134" t="s">
        <v>737</v>
      </c>
      <c r="I10" s="137">
        <v>368.88</v>
      </c>
      <c r="J10" s="134" t="s">
        <v>2</v>
      </c>
      <c r="K10" s="137">
        <v>31978.67</v>
      </c>
      <c r="L10" s="134" t="s">
        <v>403</v>
      </c>
      <c r="M10" s="147" t="s">
        <v>786</v>
      </c>
      <c r="N10" s="13" t="e">
        <f>_xlfn.XLOOKUP(G10,'Updated CustomerLedger'!$B:$B,'Updated CustomerLedger'!$C:$C,,0)</f>
        <v>#N/A</v>
      </c>
      <c r="O10" s="32"/>
      <c r="P10" s="148">
        <f t="shared" si="0"/>
        <v>0</v>
      </c>
    </row>
    <row r="11" spans="1:16" hidden="1" x14ac:dyDescent="0.25">
      <c r="A11" s="134" t="s">
        <v>736</v>
      </c>
      <c r="B11" s="134" t="s">
        <v>449</v>
      </c>
      <c r="C11" s="135">
        <v>45856</v>
      </c>
      <c r="D11" s="134">
        <v>1800011046</v>
      </c>
      <c r="E11" s="134" t="s">
        <v>785</v>
      </c>
      <c r="F11" s="135">
        <v>45856</v>
      </c>
      <c r="G11" s="136">
        <v>256779415806</v>
      </c>
      <c r="H11" s="134" t="s">
        <v>737</v>
      </c>
      <c r="I11" s="137">
        <v>239.19</v>
      </c>
      <c r="J11" s="134" t="s">
        <v>2</v>
      </c>
      <c r="K11" s="137">
        <v>20570.5</v>
      </c>
      <c r="L11" s="134" t="s">
        <v>308</v>
      </c>
      <c r="M11" s="147" t="s">
        <v>786</v>
      </c>
      <c r="N11" s="13" t="e">
        <f>_xlfn.XLOOKUP(G11,'Updated CustomerLedger'!$B:$B,'Updated CustomerLedger'!$C:$C,,0)</f>
        <v>#N/A</v>
      </c>
      <c r="O11" s="32"/>
      <c r="P11" s="148">
        <f t="shared" si="0"/>
        <v>0</v>
      </c>
    </row>
    <row r="12" spans="1:16" x14ac:dyDescent="0.25">
      <c r="A12" s="139" t="s">
        <v>736</v>
      </c>
      <c r="B12" s="139" t="s">
        <v>449</v>
      </c>
      <c r="C12" s="140">
        <v>45999</v>
      </c>
      <c r="D12" s="139">
        <v>1800015423</v>
      </c>
      <c r="E12" s="139" t="s">
        <v>785</v>
      </c>
      <c r="F12" s="140">
        <v>45999</v>
      </c>
      <c r="G12" s="141">
        <v>256779419872</v>
      </c>
      <c r="H12" s="139" t="s">
        <v>737</v>
      </c>
      <c r="I12" s="142">
        <v>42.73</v>
      </c>
      <c r="J12" s="139" t="s">
        <v>2</v>
      </c>
      <c r="K12" s="142">
        <v>3790.16</v>
      </c>
      <c r="L12" s="139" t="s">
        <v>93</v>
      </c>
      <c r="M12" s="22" t="s">
        <v>787</v>
      </c>
      <c r="N12" s="13">
        <f>_xlfn.XLOOKUP(G12,'Updated CustomerLedger'!$B:$B,'Updated CustomerLedger'!$C:$C,,0)</f>
        <v>3714</v>
      </c>
      <c r="O12" s="32">
        <f>K12-N12</f>
        <v>76.159999999999854</v>
      </c>
      <c r="P12" s="148">
        <f t="shared" si="0"/>
        <v>2.0094138506026094E-2</v>
      </c>
    </row>
    <row r="13" spans="1:16" hidden="1" x14ac:dyDescent="0.25">
      <c r="A13" s="134" t="s">
        <v>736</v>
      </c>
      <c r="B13" s="134" t="s">
        <v>449</v>
      </c>
      <c r="C13" s="135">
        <v>45797</v>
      </c>
      <c r="D13" s="134">
        <v>1800009124</v>
      </c>
      <c r="E13" s="134" t="s">
        <v>785</v>
      </c>
      <c r="F13" s="135">
        <v>45797</v>
      </c>
      <c r="G13" s="136">
        <v>256779413888</v>
      </c>
      <c r="H13" s="134" t="s">
        <v>737</v>
      </c>
      <c r="I13" s="137">
        <v>29.25</v>
      </c>
      <c r="J13" s="134" t="s">
        <v>2</v>
      </c>
      <c r="K13" s="137">
        <v>2515.02</v>
      </c>
      <c r="L13" s="134" t="s">
        <v>316</v>
      </c>
      <c r="M13" s="147" t="s">
        <v>786</v>
      </c>
      <c r="N13" s="13" t="e">
        <f>_xlfn.XLOOKUP(G13,'Updated CustomerLedger'!$B:$B,'Updated CustomerLedger'!$C:$C,,0)</f>
        <v>#N/A</v>
      </c>
      <c r="O13" s="32"/>
      <c r="P13" s="148">
        <f t="shared" si="0"/>
        <v>0</v>
      </c>
    </row>
    <row r="14" spans="1:16" hidden="1" x14ac:dyDescent="0.25">
      <c r="A14" s="143" t="s">
        <v>736</v>
      </c>
      <c r="B14" s="143" t="s">
        <v>449</v>
      </c>
      <c r="C14" s="144">
        <v>45750</v>
      </c>
      <c r="D14" s="143">
        <v>1800005055</v>
      </c>
      <c r="E14" s="143" t="s">
        <v>785</v>
      </c>
      <c r="F14" s="144">
        <v>45750</v>
      </c>
      <c r="G14" s="145">
        <v>256779410001</v>
      </c>
      <c r="H14" s="143" t="s">
        <v>737</v>
      </c>
      <c r="I14" s="146">
        <v>450</v>
      </c>
      <c r="J14" s="143" t="s">
        <v>2</v>
      </c>
      <c r="K14" s="146">
        <v>39114.82</v>
      </c>
      <c r="L14" s="143" t="s">
        <v>116</v>
      </c>
      <c r="M14" s="47" t="s">
        <v>788</v>
      </c>
      <c r="N14" s="13" t="e">
        <f>_xlfn.XLOOKUP(G14,'Updated CustomerLedger'!$B:$B,'Updated CustomerLedger'!$C:$C,,0)</f>
        <v>#N/A</v>
      </c>
      <c r="O14" s="32"/>
      <c r="P14" s="148">
        <f t="shared" si="0"/>
        <v>0</v>
      </c>
    </row>
    <row r="15" spans="1:16" hidden="1" x14ac:dyDescent="0.25">
      <c r="A15" s="143" t="s">
        <v>736</v>
      </c>
      <c r="B15" s="143" t="s">
        <v>449</v>
      </c>
      <c r="C15" s="144">
        <v>45750</v>
      </c>
      <c r="D15" s="143">
        <v>1800005061</v>
      </c>
      <c r="E15" s="143" t="s">
        <v>785</v>
      </c>
      <c r="F15" s="144">
        <v>45750</v>
      </c>
      <c r="G15" s="145">
        <v>256779410007</v>
      </c>
      <c r="H15" s="143" t="s">
        <v>737</v>
      </c>
      <c r="I15" s="146">
        <v>465</v>
      </c>
      <c r="J15" s="143" t="s">
        <v>2</v>
      </c>
      <c r="K15" s="146">
        <v>40418.65</v>
      </c>
      <c r="L15" s="143" t="s">
        <v>116</v>
      </c>
      <c r="M15" s="47" t="s">
        <v>788</v>
      </c>
      <c r="N15" s="13" t="e">
        <f>_xlfn.XLOOKUP(G15,'Updated CustomerLedger'!$B:$B,'Updated CustomerLedger'!$C:$C,,0)</f>
        <v>#N/A</v>
      </c>
      <c r="O15" s="32"/>
      <c r="P15" s="148">
        <f t="shared" si="0"/>
        <v>0</v>
      </c>
    </row>
    <row r="16" spans="1:16" hidden="1" x14ac:dyDescent="0.25">
      <c r="A16" s="143" t="s">
        <v>736</v>
      </c>
      <c r="B16" s="143" t="s">
        <v>449</v>
      </c>
      <c r="C16" s="144">
        <v>45750</v>
      </c>
      <c r="D16" s="143">
        <v>1800005067</v>
      </c>
      <c r="E16" s="143" t="s">
        <v>785</v>
      </c>
      <c r="F16" s="144">
        <v>45750</v>
      </c>
      <c r="G16" s="145">
        <v>256779410013</v>
      </c>
      <c r="H16" s="143" t="s">
        <v>737</v>
      </c>
      <c r="I16" s="146">
        <v>450</v>
      </c>
      <c r="J16" s="143" t="s">
        <v>2</v>
      </c>
      <c r="K16" s="146">
        <v>39114.82</v>
      </c>
      <c r="L16" s="143" t="s">
        <v>116</v>
      </c>
      <c r="M16" s="47" t="s">
        <v>788</v>
      </c>
      <c r="N16" s="13" t="e">
        <f>_xlfn.XLOOKUP(G16,'Updated CustomerLedger'!$B:$B,'Updated CustomerLedger'!$C:$C,,0)</f>
        <v>#N/A</v>
      </c>
      <c r="O16" s="32"/>
      <c r="P16" s="148">
        <f t="shared" si="0"/>
        <v>0</v>
      </c>
    </row>
    <row r="17" spans="1:16" hidden="1" x14ac:dyDescent="0.25">
      <c r="A17" s="143" t="s">
        <v>736</v>
      </c>
      <c r="B17" s="143" t="s">
        <v>449</v>
      </c>
      <c r="C17" s="144">
        <v>45750</v>
      </c>
      <c r="D17" s="143">
        <v>1800005327</v>
      </c>
      <c r="E17" s="143" t="s">
        <v>785</v>
      </c>
      <c r="F17" s="144">
        <v>45750</v>
      </c>
      <c r="G17" s="145">
        <v>256779410219</v>
      </c>
      <c r="H17" s="143" t="s">
        <v>737</v>
      </c>
      <c r="I17" s="146">
        <v>465</v>
      </c>
      <c r="J17" s="143" t="s">
        <v>2</v>
      </c>
      <c r="K17" s="146">
        <v>40418.65</v>
      </c>
      <c r="L17" s="143" t="s">
        <v>116</v>
      </c>
      <c r="M17" s="47" t="s">
        <v>788</v>
      </c>
      <c r="N17" s="13" t="e">
        <f>_xlfn.XLOOKUP(G17,'Updated CustomerLedger'!$B:$B,'Updated CustomerLedger'!$C:$C,,0)</f>
        <v>#N/A</v>
      </c>
      <c r="O17" s="32"/>
      <c r="P17" s="148">
        <f t="shared" si="0"/>
        <v>0</v>
      </c>
    </row>
    <row r="18" spans="1:16" hidden="1" x14ac:dyDescent="0.25">
      <c r="A18" s="134" t="s">
        <v>736</v>
      </c>
      <c r="B18" s="134" t="s">
        <v>449</v>
      </c>
      <c r="C18" s="135">
        <v>45750</v>
      </c>
      <c r="D18" s="134">
        <v>1800005388</v>
      </c>
      <c r="E18" s="134" t="s">
        <v>785</v>
      </c>
      <c r="F18" s="135">
        <v>45750</v>
      </c>
      <c r="G18" s="136">
        <v>256779410280</v>
      </c>
      <c r="H18" s="134" t="s">
        <v>737</v>
      </c>
      <c r="I18" s="137">
        <v>1800</v>
      </c>
      <c r="J18" s="134" t="s">
        <v>2</v>
      </c>
      <c r="K18" s="137">
        <v>156459.28</v>
      </c>
      <c r="L18" s="134" t="s">
        <v>114</v>
      </c>
      <c r="M18" s="147" t="s">
        <v>786</v>
      </c>
      <c r="N18" s="13" t="e">
        <f>_xlfn.XLOOKUP(G18,'Updated CustomerLedger'!$B:$B,'Updated CustomerLedger'!$C:$C,,0)</f>
        <v>#N/A</v>
      </c>
      <c r="O18" s="32"/>
      <c r="P18" s="148">
        <f t="shared" si="0"/>
        <v>0</v>
      </c>
    </row>
    <row r="19" spans="1:16" hidden="1" x14ac:dyDescent="0.25">
      <c r="A19" s="134" t="s">
        <v>736</v>
      </c>
      <c r="B19" s="134" t="s">
        <v>449</v>
      </c>
      <c r="C19" s="135">
        <v>45750</v>
      </c>
      <c r="D19" s="134">
        <v>1800005347</v>
      </c>
      <c r="E19" s="134" t="s">
        <v>785</v>
      </c>
      <c r="F19" s="135">
        <v>45750</v>
      </c>
      <c r="G19" s="136">
        <v>256779410239</v>
      </c>
      <c r="H19" s="134" t="s">
        <v>737</v>
      </c>
      <c r="I19" s="137">
        <v>1800</v>
      </c>
      <c r="J19" s="134" t="s">
        <v>2</v>
      </c>
      <c r="K19" s="137">
        <v>156459.28</v>
      </c>
      <c r="L19" s="134" t="s">
        <v>112</v>
      </c>
      <c r="M19" s="147" t="s">
        <v>786</v>
      </c>
      <c r="N19" s="13" t="e">
        <f>_xlfn.XLOOKUP(G19,'Updated CustomerLedger'!$B:$B,'Updated CustomerLedger'!$C:$C,,0)</f>
        <v>#N/A</v>
      </c>
      <c r="O19" s="32"/>
      <c r="P19" s="148">
        <f t="shared" si="0"/>
        <v>0</v>
      </c>
    </row>
    <row r="20" spans="1:16" hidden="1" x14ac:dyDescent="0.25">
      <c r="A20" s="134" t="s">
        <v>736</v>
      </c>
      <c r="B20" s="134" t="s">
        <v>449</v>
      </c>
      <c r="C20" s="135">
        <v>45951</v>
      </c>
      <c r="D20" s="134">
        <v>1800013967</v>
      </c>
      <c r="E20" s="134" t="s">
        <v>785</v>
      </c>
      <c r="F20" s="135">
        <v>45951</v>
      </c>
      <c r="G20" s="136">
        <v>256779418497</v>
      </c>
      <c r="H20" s="134" t="s">
        <v>737</v>
      </c>
      <c r="I20" s="137">
        <v>13.59</v>
      </c>
      <c r="J20" s="134" t="s">
        <v>2</v>
      </c>
      <c r="K20" s="137">
        <v>1198.51</v>
      </c>
      <c r="L20" s="134" t="s">
        <v>58</v>
      </c>
      <c r="M20" s="147" t="s">
        <v>786</v>
      </c>
      <c r="N20" s="13" t="e">
        <f>_xlfn.XLOOKUP(G20,'Updated CustomerLedger'!$B:$B,'Updated CustomerLedger'!$C:$C,,0)</f>
        <v>#N/A</v>
      </c>
      <c r="O20" s="32"/>
      <c r="P20" s="148">
        <f t="shared" si="0"/>
        <v>0</v>
      </c>
    </row>
    <row r="21" spans="1:16" x14ac:dyDescent="0.25">
      <c r="A21" s="139" t="s">
        <v>736</v>
      </c>
      <c r="B21" s="139" t="s">
        <v>449</v>
      </c>
      <c r="C21" s="140">
        <v>45981</v>
      </c>
      <c r="D21" s="139">
        <v>1800014968</v>
      </c>
      <c r="E21" s="139" t="s">
        <v>785</v>
      </c>
      <c r="F21" s="140">
        <v>45981</v>
      </c>
      <c r="G21" s="141">
        <v>256779419469</v>
      </c>
      <c r="H21" s="139" t="s">
        <v>737</v>
      </c>
      <c r="I21" s="142">
        <v>2040.23</v>
      </c>
      <c r="J21" s="139" t="s">
        <v>2</v>
      </c>
      <c r="K21" s="142">
        <v>179547.16</v>
      </c>
      <c r="L21" s="139" t="s">
        <v>83</v>
      </c>
      <c r="M21" s="22" t="s">
        <v>787</v>
      </c>
      <c r="N21" s="13">
        <f>_xlfn.XLOOKUP(G21,'Updated CustomerLedger'!$B:$B,'Updated CustomerLedger'!$C:$C,,0)</f>
        <v>175956</v>
      </c>
      <c r="O21" s="32">
        <f t="shared" ref="O21:O24" si="1">K21-N21</f>
        <v>3591.1600000000035</v>
      </c>
      <c r="P21" s="148">
        <f t="shared" si="0"/>
        <v>2.0001207482201352E-2</v>
      </c>
    </row>
    <row r="22" spans="1:16" x14ac:dyDescent="0.25">
      <c r="A22" s="139" t="s">
        <v>736</v>
      </c>
      <c r="B22" s="139" t="s">
        <v>449</v>
      </c>
      <c r="C22" s="140">
        <v>45981</v>
      </c>
      <c r="D22" s="139">
        <v>1800015080</v>
      </c>
      <c r="E22" s="139" t="s">
        <v>785</v>
      </c>
      <c r="F22" s="140">
        <v>45981</v>
      </c>
      <c r="G22" s="141">
        <v>256779419593</v>
      </c>
      <c r="H22" s="139" t="s">
        <v>737</v>
      </c>
      <c r="I22" s="142">
        <v>65.05</v>
      </c>
      <c r="J22" s="139" t="s">
        <v>2</v>
      </c>
      <c r="K22" s="142">
        <v>5724.62</v>
      </c>
      <c r="L22" s="139" t="s">
        <v>85</v>
      </c>
      <c r="M22" s="22" t="s">
        <v>787</v>
      </c>
      <c r="N22" s="13">
        <f>_xlfn.XLOOKUP(G22,'Updated CustomerLedger'!$B:$B,'Updated CustomerLedger'!$C:$C,,0)</f>
        <v>5611</v>
      </c>
      <c r="O22" s="32">
        <f t="shared" si="1"/>
        <v>113.61999999999989</v>
      </c>
      <c r="P22" s="148">
        <f t="shared" si="0"/>
        <v>1.9847605605262865E-2</v>
      </c>
    </row>
    <row r="23" spans="1:16" x14ac:dyDescent="0.25">
      <c r="A23" s="139" t="s">
        <v>736</v>
      </c>
      <c r="B23" s="139" t="s">
        <v>449</v>
      </c>
      <c r="C23" s="140">
        <v>45981</v>
      </c>
      <c r="D23" s="139">
        <v>1800015135</v>
      </c>
      <c r="E23" s="139" t="s">
        <v>785</v>
      </c>
      <c r="F23" s="140">
        <v>45981</v>
      </c>
      <c r="G23" s="141">
        <v>256779419634</v>
      </c>
      <c r="H23" s="139" t="s">
        <v>737</v>
      </c>
      <c r="I23" s="142">
        <v>42.21</v>
      </c>
      <c r="J23" s="139" t="s">
        <v>2</v>
      </c>
      <c r="K23" s="142">
        <v>3714.62</v>
      </c>
      <c r="L23" s="139" t="s">
        <v>87</v>
      </c>
      <c r="M23" s="22" t="s">
        <v>787</v>
      </c>
      <c r="N23" s="13">
        <f>_xlfn.XLOOKUP(G23,'Updated CustomerLedger'!$B:$B,'Updated CustomerLedger'!$C:$C,,0)</f>
        <v>3641</v>
      </c>
      <c r="O23" s="32">
        <f t="shared" si="1"/>
        <v>73.619999999999891</v>
      </c>
      <c r="P23" s="148">
        <f t="shared" si="0"/>
        <v>1.9818985522072216E-2</v>
      </c>
    </row>
    <row r="24" spans="1:16" x14ac:dyDescent="0.25">
      <c r="A24" s="139" t="s">
        <v>736</v>
      </c>
      <c r="B24" s="139" t="s">
        <v>449</v>
      </c>
      <c r="C24" s="140">
        <v>45996</v>
      </c>
      <c r="D24" s="139">
        <v>1800015293</v>
      </c>
      <c r="E24" s="139" t="s">
        <v>785</v>
      </c>
      <c r="F24" s="140">
        <v>45996</v>
      </c>
      <c r="G24" s="141">
        <v>256779419922</v>
      </c>
      <c r="H24" s="139" t="s">
        <v>737</v>
      </c>
      <c r="I24" s="142">
        <v>161.41</v>
      </c>
      <c r="J24" s="139" t="s">
        <v>2</v>
      </c>
      <c r="K24" s="142">
        <v>14317.09</v>
      </c>
      <c r="L24" s="139" t="s">
        <v>95</v>
      </c>
      <c r="M24" s="22" t="s">
        <v>787</v>
      </c>
      <c r="N24" s="13">
        <f>_xlfn.XLOOKUP(G24,'Updated CustomerLedger'!$B:$B,'Updated CustomerLedger'!$C:$C,,0)</f>
        <v>14031</v>
      </c>
      <c r="O24" s="32">
        <f t="shared" si="1"/>
        <v>286.09000000000015</v>
      </c>
      <c r="P24" s="148">
        <f t="shared" si="0"/>
        <v>1.9982412627147006E-2</v>
      </c>
    </row>
    <row r="25" spans="1:16" hidden="1" x14ac:dyDescent="0.25">
      <c r="A25" s="134" t="s">
        <v>736</v>
      </c>
      <c r="B25" s="134" t="s">
        <v>449</v>
      </c>
      <c r="C25" s="135">
        <v>45770</v>
      </c>
      <c r="D25" s="134">
        <v>1800008042</v>
      </c>
      <c r="E25" s="134" t="s">
        <v>785</v>
      </c>
      <c r="F25" s="135">
        <v>45770</v>
      </c>
      <c r="G25" s="136">
        <v>256779412933</v>
      </c>
      <c r="H25" s="134" t="s">
        <v>737</v>
      </c>
      <c r="I25" s="137">
        <v>190.41</v>
      </c>
      <c r="J25" s="134" t="s">
        <v>2</v>
      </c>
      <c r="K25" s="137">
        <v>16550.78</v>
      </c>
      <c r="L25" s="134" t="s">
        <v>272</v>
      </c>
      <c r="M25" s="147" t="s">
        <v>786</v>
      </c>
      <c r="N25" s="13" t="e">
        <f>_xlfn.XLOOKUP(G25,'Updated CustomerLedger'!$B:$B,'Updated CustomerLedger'!$C:$C,,0)</f>
        <v>#N/A</v>
      </c>
      <c r="O25" s="32"/>
      <c r="P25" s="148">
        <f t="shared" si="0"/>
        <v>0</v>
      </c>
    </row>
    <row r="26" spans="1:16" hidden="1" x14ac:dyDescent="0.25">
      <c r="A26" s="134" t="s">
        <v>736</v>
      </c>
      <c r="B26" s="134" t="s">
        <v>449</v>
      </c>
      <c r="C26" s="135">
        <v>45935</v>
      </c>
      <c r="D26" s="134">
        <v>1800013432</v>
      </c>
      <c r="E26" s="134" t="s">
        <v>785</v>
      </c>
      <c r="F26" s="135">
        <v>45935</v>
      </c>
      <c r="G26" s="136">
        <v>256779418079</v>
      </c>
      <c r="H26" s="134" t="s">
        <v>737</v>
      </c>
      <c r="I26" s="137">
        <v>156.08000000000001</v>
      </c>
      <c r="J26" s="134" t="s">
        <v>2</v>
      </c>
      <c r="K26" s="137">
        <v>13764.82</v>
      </c>
      <c r="L26" s="134" t="s">
        <v>46</v>
      </c>
      <c r="M26" s="147" t="s">
        <v>786</v>
      </c>
      <c r="N26" s="13" t="e">
        <f>_xlfn.XLOOKUP(G26,'Updated CustomerLedger'!$B:$B,'Updated CustomerLedger'!$C:$C,,0)</f>
        <v>#N/A</v>
      </c>
      <c r="O26" s="32"/>
      <c r="P26" s="148">
        <f t="shared" si="0"/>
        <v>0</v>
      </c>
    </row>
    <row r="27" spans="1:16" x14ac:dyDescent="0.25">
      <c r="A27" s="139" t="s">
        <v>736</v>
      </c>
      <c r="B27" s="139" t="s">
        <v>465</v>
      </c>
      <c r="C27" s="140">
        <v>46024</v>
      </c>
      <c r="D27" s="139">
        <v>1800015673</v>
      </c>
      <c r="E27" s="139" t="s">
        <v>785</v>
      </c>
      <c r="F27" s="140">
        <v>46024</v>
      </c>
      <c r="G27" s="141">
        <v>256779440006</v>
      </c>
      <c r="H27" s="139" t="s">
        <v>737</v>
      </c>
      <c r="I27" s="142">
        <v>871.08</v>
      </c>
      <c r="J27" s="139" t="s">
        <v>2</v>
      </c>
      <c r="K27" s="142">
        <v>79044.53</v>
      </c>
      <c r="L27" s="139" t="s">
        <v>89</v>
      </c>
      <c r="M27" s="22" t="s">
        <v>787</v>
      </c>
      <c r="N27" s="13">
        <f>_xlfn.XLOOKUP(G27,'Updated CustomerLedger'!$B:$B,'Updated CustomerLedger'!$C:$C,,0)</f>
        <v>71141</v>
      </c>
      <c r="O27" s="32">
        <f t="shared" ref="O27:O28" si="2">K27-N27</f>
        <v>7903.5299999999988</v>
      </c>
      <c r="P27" s="148">
        <f t="shared" si="0"/>
        <v>9.9988323037659893E-2</v>
      </c>
    </row>
    <row r="28" spans="1:16" x14ac:dyDescent="0.25">
      <c r="A28" s="139" t="s">
        <v>736</v>
      </c>
      <c r="B28" s="139" t="s">
        <v>465</v>
      </c>
      <c r="C28" s="140">
        <v>46024</v>
      </c>
      <c r="D28" s="139">
        <v>1800015698</v>
      </c>
      <c r="E28" s="139" t="s">
        <v>785</v>
      </c>
      <c r="F28" s="140">
        <v>46024</v>
      </c>
      <c r="G28" s="141">
        <v>256779440031</v>
      </c>
      <c r="H28" s="139" t="s">
        <v>737</v>
      </c>
      <c r="I28" s="142">
        <v>1800</v>
      </c>
      <c r="J28" s="139" t="s">
        <v>2</v>
      </c>
      <c r="K28" s="142">
        <v>163337.65</v>
      </c>
      <c r="L28" s="139" t="s">
        <v>91</v>
      </c>
      <c r="M28" s="22" t="s">
        <v>787</v>
      </c>
      <c r="N28" s="13">
        <f>_xlfn.XLOOKUP(G28,'Updated CustomerLedger'!$B:$B,'Updated CustomerLedger'!$C:$C,,0)</f>
        <v>147004</v>
      </c>
      <c r="O28" s="32">
        <f t="shared" si="2"/>
        <v>16333.649999999994</v>
      </c>
      <c r="P28" s="148">
        <f t="shared" si="0"/>
        <v>9.9999295936974694E-2</v>
      </c>
    </row>
    <row r="29" spans="1:16" hidden="1" x14ac:dyDescent="0.25">
      <c r="A29" s="134" t="s">
        <v>736</v>
      </c>
      <c r="B29" s="134" t="s">
        <v>465</v>
      </c>
      <c r="C29" s="135">
        <v>46027</v>
      </c>
      <c r="D29" s="134">
        <v>1600002702</v>
      </c>
      <c r="E29" s="134" t="s">
        <v>783</v>
      </c>
      <c r="F29" s="135">
        <v>46027</v>
      </c>
      <c r="G29" s="136">
        <v>256779422172</v>
      </c>
      <c r="H29" s="134" t="s">
        <v>737</v>
      </c>
      <c r="I29" s="137">
        <v>-13.59</v>
      </c>
      <c r="J29" s="134" t="s">
        <v>2</v>
      </c>
      <c r="K29" s="137">
        <v>-1233.2</v>
      </c>
      <c r="L29" s="134" t="s">
        <v>98</v>
      </c>
      <c r="M29" s="147" t="s">
        <v>784</v>
      </c>
      <c r="N29" s="13" t="e">
        <f>_xlfn.XLOOKUP(G29,'Updated CustomerLedger'!$B:$B,'Updated CustomerLedger'!$C:$C,,0)</f>
        <v>#N/A</v>
      </c>
      <c r="O29" s="32"/>
      <c r="P29" s="148">
        <f t="shared" si="0"/>
        <v>0</v>
      </c>
    </row>
    <row r="30" spans="1:16" x14ac:dyDescent="0.25">
      <c r="A30" s="139" t="s">
        <v>736</v>
      </c>
      <c r="B30" s="139" t="s">
        <v>465</v>
      </c>
      <c r="C30" s="140">
        <v>46027</v>
      </c>
      <c r="D30" s="139">
        <v>1800015969</v>
      </c>
      <c r="E30" s="139" t="s">
        <v>785</v>
      </c>
      <c r="F30" s="140">
        <v>46027</v>
      </c>
      <c r="G30" s="141">
        <v>256779440083</v>
      </c>
      <c r="H30" s="139" t="s">
        <v>737</v>
      </c>
      <c r="I30" s="142">
        <v>31.82</v>
      </c>
      <c r="J30" s="139" t="s">
        <v>2</v>
      </c>
      <c r="K30" s="142">
        <v>2887.45</v>
      </c>
      <c r="L30" s="139" t="s">
        <v>358</v>
      </c>
      <c r="M30" s="22" t="s">
        <v>787</v>
      </c>
      <c r="N30" s="13">
        <f>_xlfn.XLOOKUP(G30,'Updated CustomerLedger'!$B:$B,'Updated CustomerLedger'!$C:$C,,0)</f>
        <v>2829</v>
      </c>
      <c r="O30" s="32">
        <f t="shared" ref="O30:O42" si="3">K30-N30</f>
        <v>58.449999999999818</v>
      </c>
      <c r="P30" s="148">
        <f t="shared" si="0"/>
        <v>2.0242774766662565E-2</v>
      </c>
    </row>
    <row r="31" spans="1:16" x14ac:dyDescent="0.25">
      <c r="A31" s="139" t="s">
        <v>736</v>
      </c>
      <c r="B31" s="139" t="s">
        <v>465</v>
      </c>
      <c r="C31" s="140">
        <v>46027</v>
      </c>
      <c r="D31" s="139">
        <v>1800016056</v>
      </c>
      <c r="E31" s="139" t="s">
        <v>785</v>
      </c>
      <c r="F31" s="140">
        <v>46027</v>
      </c>
      <c r="G31" s="141">
        <v>256779440103</v>
      </c>
      <c r="H31" s="139" t="s">
        <v>737</v>
      </c>
      <c r="I31" s="142">
        <v>347.44</v>
      </c>
      <c r="J31" s="139" t="s">
        <v>2</v>
      </c>
      <c r="K31" s="142">
        <v>31527.8</v>
      </c>
      <c r="L31" s="139" t="s">
        <v>360</v>
      </c>
      <c r="M31" s="22" t="s">
        <v>787</v>
      </c>
      <c r="N31" s="13">
        <f>_xlfn.XLOOKUP(G31,'Updated CustomerLedger'!$B:$B,'Updated CustomerLedger'!$C:$C,,0)</f>
        <v>30897</v>
      </c>
      <c r="O31" s="32">
        <f t="shared" si="3"/>
        <v>630.79999999999927</v>
      </c>
      <c r="P31" s="148">
        <f t="shared" si="0"/>
        <v>2.0007739201593492E-2</v>
      </c>
    </row>
    <row r="32" spans="1:16" x14ac:dyDescent="0.25">
      <c r="A32" s="139" t="s">
        <v>736</v>
      </c>
      <c r="B32" s="139" t="s">
        <v>465</v>
      </c>
      <c r="C32" s="140">
        <v>46027</v>
      </c>
      <c r="D32" s="139">
        <v>1800016092</v>
      </c>
      <c r="E32" s="139" t="s">
        <v>785</v>
      </c>
      <c r="F32" s="140">
        <v>46027</v>
      </c>
      <c r="G32" s="141">
        <v>256779440120</v>
      </c>
      <c r="H32" s="139" t="s">
        <v>737</v>
      </c>
      <c r="I32" s="142">
        <v>360.71</v>
      </c>
      <c r="J32" s="139" t="s">
        <v>2</v>
      </c>
      <c r="K32" s="142">
        <v>32731.96</v>
      </c>
      <c r="L32" s="139" t="s">
        <v>362</v>
      </c>
      <c r="M32" s="22" t="s">
        <v>787</v>
      </c>
      <c r="N32" s="13">
        <f>_xlfn.XLOOKUP(G32,'Updated CustomerLedger'!$B:$B,'Updated CustomerLedger'!$C:$C,,0)</f>
        <v>32077</v>
      </c>
      <c r="O32" s="32">
        <f t="shared" si="3"/>
        <v>654.95999999999913</v>
      </c>
      <c r="P32" s="148">
        <f t="shared" si="0"/>
        <v>2.0009800818527188E-2</v>
      </c>
    </row>
    <row r="33" spans="1:16" x14ac:dyDescent="0.25">
      <c r="A33" s="139" t="s">
        <v>736</v>
      </c>
      <c r="B33" s="139" t="s">
        <v>465</v>
      </c>
      <c r="C33" s="140">
        <v>46028</v>
      </c>
      <c r="D33" s="139">
        <v>1800016286</v>
      </c>
      <c r="E33" s="139" t="s">
        <v>785</v>
      </c>
      <c r="F33" s="140">
        <v>46028</v>
      </c>
      <c r="G33" s="141">
        <v>256779440163</v>
      </c>
      <c r="H33" s="139" t="s">
        <v>737</v>
      </c>
      <c r="I33" s="142">
        <v>55.03</v>
      </c>
      <c r="J33" s="139" t="s">
        <v>2</v>
      </c>
      <c r="K33" s="142">
        <v>4993.59</v>
      </c>
      <c r="L33" s="139" t="s">
        <v>364</v>
      </c>
      <c r="M33" s="22" t="s">
        <v>787</v>
      </c>
      <c r="N33" s="13">
        <f>_xlfn.XLOOKUP(G33,'Updated CustomerLedger'!$B:$B,'Updated CustomerLedger'!$C:$C,,0)</f>
        <v>4894</v>
      </c>
      <c r="O33" s="32">
        <f t="shared" si="3"/>
        <v>99.590000000000146</v>
      </c>
      <c r="P33" s="148">
        <f t="shared" si="0"/>
        <v>1.9943567653732112E-2</v>
      </c>
    </row>
    <row r="34" spans="1:16" x14ac:dyDescent="0.25">
      <c r="A34" s="139" t="s">
        <v>736</v>
      </c>
      <c r="B34" s="139" t="s">
        <v>465</v>
      </c>
      <c r="C34" s="140">
        <v>46028</v>
      </c>
      <c r="D34" s="139">
        <v>1800016506</v>
      </c>
      <c r="E34" s="139" t="s">
        <v>785</v>
      </c>
      <c r="F34" s="140">
        <v>46028</v>
      </c>
      <c r="G34" s="141">
        <v>256779440212</v>
      </c>
      <c r="H34" s="139" t="s">
        <v>737</v>
      </c>
      <c r="I34" s="142">
        <v>16.75</v>
      </c>
      <c r="J34" s="139" t="s">
        <v>2</v>
      </c>
      <c r="K34" s="142">
        <v>1519.95</v>
      </c>
      <c r="L34" s="139" t="s">
        <v>370</v>
      </c>
      <c r="M34" s="22" t="s">
        <v>787</v>
      </c>
      <c r="N34" s="13">
        <f>_xlfn.XLOOKUP(G34,'Updated CustomerLedger'!$B:$B,'Updated CustomerLedger'!$C:$C,,0)</f>
        <v>1490</v>
      </c>
      <c r="O34" s="32">
        <f t="shared" si="3"/>
        <v>29.950000000000045</v>
      </c>
      <c r="P34" s="148">
        <f t="shared" si="0"/>
        <v>1.9704595545906145E-2</v>
      </c>
    </row>
    <row r="35" spans="1:16" x14ac:dyDescent="0.25">
      <c r="A35" s="139" t="s">
        <v>736</v>
      </c>
      <c r="B35" s="139" t="s">
        <v>465</v>
      </c>
      <c r="C35" s="140">
        <v>46034</v>
      </c>
      <c r="D35" s="139">
        <v>1800016424</v>
      </c>
      <c r="E35" s="139" t="s">
        <v>785</v>
      </c>
      <c r="F35" s="140">
        <v>46034</v>
      </c>
      <c r="G35" s="141">
        <v>256779440231</v>
      </c>
      <c r="H35" s="139" t="s">
        <v>737</v>
      </c>
      <c r="I35" s="142">
        <v>45.04</v>
      </c>
      <c r="J35" s="139" t="s">
        <v>2</v>
      </c>
      <c r="K35" s="142">
        <v>4087.07</v>
      </c>
      <c r="L35" s="139" t="s">
        <v>368</v>
      </c>
      <c r="M35" s="22" t="s">
        <v>787</v>
      </c>
      <c r="N35" s="13">
        <f>_xlfn.XLOOKUP(G35,'Updated CustomerLedger'!$B:$B,'Updated CustomerLedger'!$C:$C,,0)</f>
        <v>4005</v>
      </c>
      <c r="O35" s="32">
        <f t="shared" si="3"/>
        <v>82.070000000000164</v>
      </c>
      <c r="P35" s="148">
        <f t="shared" si="0"/>
        <v>2.0080399895279544E-2</v>
      </c>
    </row>
    <row r="36" spans="1:16" x14ac:dyDescent="0.25">
      <c r="A36" s="139" t="s">
        <v>736</v>
      </c>
      <c r="B36" s="139" t="s">
        <v>465</v>
      </c>
      <c r="C36" s="140">
        <v>46028</v>
      </c>
      <c r="D36" s="139">
        <v>1800016347</v>
      </c>
      <c r="E36" s="139" t="s">
        <v>785</v>
      </c>
      <c r="F36" s="140">
        <v>46028</v>
      </c>
      <c r="G36" s="141">
        <v>256779440237</v>
      </c>
      <c r="H36" s="139" t="s">
        <v>737</v>
      </c>
      <c r="I36" s="142">
        <v>730.62</v>
      </c>
      <c r="J36" s="139" t="s">
        <v>2</v>
      </c>
      <c r="K36" s="142">
        <v>66298.75</v>
      </c>
      <c r="L36" s="139" t="s">
        <v>366</v>
      </c>
      <c r="M36" s="22" t="s">
        <v>787</v>
      </c>
      <c r="N36" s="13">
        <f>_xlfn.XLOOKUP(G36,'Updated CustomerLedger'!$B:$B,'Updated CustomerLedger'!$C:$C,,0)</f>
        <v>59669</v>
      </c>
      <c r="O36" s="32">
        <f t="shared" si="3"/>
        <v>6629.75</v>
      </c>
      <c r="P36" s="148">
        <f t="shared" si="0"/>
        <v>9.9998114594920723E-2</v>
      </c>
    </row>
    <row r="37" spans="1:16" x14ac:dyDescent="0.25">
      <c r="A37" s="139" t="s">
        <v>736</v>
      </c>
      <c r="B37" s="139" t="s">
        <v>465</v>
      </c>
      <c r="C37" s="140">
        <v>46034</v>
      </c>
      <c r="D37" s="139">
        <v>1800016700</v>
      </c>
      <c r="E37" s="139" t="s">
        <v>785</v>
      </c>
      <c r="F37" s="140">
        <v>46034</v>
      </c>
      <c r="G37" s="141">
        <v>256779440289</v>
      </c>
      <c r="H37" s="139" t="s">
        <v>737</v>
      </c>
      <c r="I37" s="142">
        <v>126.24</v>
      </c>
      <c r="J37" s="139" t="s">
        <v>2</v>
      </c>
      <c r="K37" s="142">
        <v>11455.41</v>
      </c>
      <c r="L37" s="139" t="s">
        <v>372</v>
      </c>
      <c r="M37" s="22" t="s">
        <v>787</v>
      </c>
      <c r="N37" s="13">
        <f>_xlfn.XLOOKUP(G37,'Updated CustomerLedger'!$B:$B,'Updated CustomerLedger'!$C:$C,,0)</f>
        <v>11226</v>
      </c>
      <c r="O37" s="32">
        <f t="shared" si="3"/>
        <v>229.40999999999985</v>
      </c>
      <c r="P37" s="148">
        <f t="shared" si="0"/>
        <v>2.0026345630579773E-2</v>
      </c>
    </row>
    <row r="38" spans="1:16" x14ac:dyDescent="0.25">
      <c r="A38" s="139" t="s">
        <v>736</v>
      </c>
      <c r="B38" s="139" t="s">
        <v>465</v>
      </c>
      <c r="C38" s="140">
        <v>46028</v>
      </c>
      <c r="D38" s="139">
        <v>1800016613</v>
      </c>
      <c r="E38" s="139" t="s">
        <v>785</v>
      </c>
      <c r="F38" s="140">
        <v>46028</v>
      </c>
      <c r="G38" s="141">
        <v>256779440322</v>
      </c>
      <c r="H38" s="139" t="s">
        <v>737</v>
      </c>
      <c r="I38" s="142">
        <v>1800</v>
      </c>
      <c r="J38" s="139" t="s">
        <v>2</v>
      </c>
      <c r="K38" s="142">
        <v>163337.65</v>
      </c>
      <c r="L38" s="139" t="s">
        <v>100</v>
      </c>
      <c r="M38" s="22" t="s">
        <v>787</v>
      </c>
      <c r="N38" s="13">
        <f>_xlfn.XLOOKUP(G38,'Updated CustomerLedger'!$B:$B,'Updated CustomerLedger'!$C:$C,,0)</f>
        <v>147004</v>
      </c>
      <c r="O38" s="32">
        <f t="shared" si="3"/>
        <v>16333.649999999994</v>
      </c>
      <c r="P38" s="148">
        <f t="shared" si="0"/>
        <v>9.9999295936974694E-2</v>
      </c>
    </row>
    <row r="39" spans="1:16" x14ac:dyDescent="0.25">
      <c r="A39" s="139" t="s">
        <v>736</v>
      </c>
      <c r="B39" s="139" t="s">
        <v>465</v>
      </c>
      <c r="C39" s="140">
        <v>46035</v>
      </c>
      <c r="D39" s="139">
        <v>1800016780</v>
      </c>
      <c r="E39" s="139" t="s">
        <v>785</v>
      </c>
      <c r="F39" s="140">
        <v>46035</v>
      </c>
      <c r="G39" s="141">
        <v>256779440367</v>
      </c>
      <c r="H39" s="139" t="s">
        <v>737</v>
      </c>
      <c r="I39" s="142">
        <v>696.85</v>
      </c>
      <c r="J39" s="139" t="s">
        <v>2</v>
      </c>
      <c r="K39" s="142">
        <v>63234.36</v>
      </c>
      <c r="L39" s="139" t="s">
        <v>102</v>
      </c>
      <c r="M39" s="22" t="s">
        <v>787</v>
      </c>
      <c r="N39" s="13">
        <f>_xlfn.XLOOKUP(G39,'Updated CustomerLedger'!$B:$B,'Updated CustomerLedger'!$C:$C,,0)</f>
        <v>61969</v>
      </c>
      <c r="O39" s="32">
        <f t="shared" si="3"/>
        <v>1265.3600000000006</v>
      </c>
      <c r="P39" s="148">
        <f t="shared" si="0"/>
        <v>2.0010639785078881E-2</v>
      </c>
    </row>
    <row r="40" spans="1:16" x14ac:dyDescent="0.25">
      <c r="A40" s="139" t="s">
        <v>736</v>
      </c>
      <c r="B40" s="139" t="s">
        <v>465</v>
      </c>
      <c r="C40" s="140">
        <v>46045</v>
      </c>
      <c r="D40" s="139">
        <v>1800017067</v>
      </c>
      <c r="E40" s="139" t="s">
        <v>785</v>
      </c>
      <c r="F40" s="140">
        <v>46045</v>
      </c>
      <c r="G40" s="141">
        <v>256779440415</v>
      </c>
      <c r="H40" s="139" t="s">
        <v>737</v>
      </c>
      <c r="I40" s="142">
        <v>16.75</v>
      </c>
      <c r="J40" s="139" t="s">
        <v>2</v>
      </c>
      <c r="K40" s="142">
        <v>1519.95</v>
      </c>
      <c r="L40" s="139" t="s">
        <v>374</v>
      </c>
      <c r="M40" s="22" t="s">
        <v>787</v>
      </c>
      <c r="N40" s="13">
        <f>_xlfn.XLOOKUP(G40,'Updated CustomerLedger'!$B:$B,'Updated CustomerLedger'!$C:$C,,0)</f>
        <v>1490</v>
      </c>
      <c r="O40" s="32">
        <f t="shared" si="3"/>
        <v>29.950000000000045</v>
      </c>
      <c r="P40" s="148">
        <f t="shared" si="0"/>
        <v>1.9704595545906145E-2</v>
      </c>
    </row>
    <row r="41" spans="1:16" x14ac:dyDescent="0.25">
      <c r="A41" s="139" t="s">
        <v>736</v>
      </c>
      <c r="B41" s="139" t="s">
        <v>465</v>
      </c>
      <c r="C41" s="140">
        <v>46045</v>
      </c>
      <c r="D41" s="139">
        <v>1800017113</v>
      </c>
      <c r="E41" s="139" t="s">
        <v>785</v>
      </c>
      <c r="F41" s="140">
        <v>46045</v>
      </c>
      <c r="G41" s="141">
        <v>256779440432</v>
      </c>
      <c r="H41" s="139" t="s">
        <v>737</v>
      </c>
      <c r="I41" s="142">
        <v>3.5</v>
      </c>
      <c r="J41" s="139" t="s">
        <v>2</v>
      </c>
      <c r="K41" s="142">
        <v>317.60000000000002</v>
      </c>
      <c r="L41" s="139" t="s">
        <v>376</v>
      </c>
      <c r="M41" s="22" t="s">
        <v>787</v>
      </c>
      <c r="N41" s="13">
        <f>_xlfn.XLOOKUP(G41,'Updated CustomerLedger'!$B:$B,'Updated CustomerLedger'!$C:$C,,0)</f>
        <v>312</v>
      </c>
      <c r="O41" s="32">
        <f t="shared" si="3"/>
        <v>5.6000000000000227</v>
      </c>
      <c r="P41" s="148">
        <f t="shared" si="0"/>
        <v>1.7632241813602085E-2</v>
      </c>
    </row>
    <row r="42" spans="1:16" x14ac:dyDescent="0.25">
      <c r="A42" s="139" t="s">
        <v>736</v>
      </c>
      <c r="B42" s="139" t="s">
        <v>465</v>
      </c>
      <c r="C42" s="140">
        <v>46049</v>
      </c>
      <c r="D42" s="139">
        <v>1800017154</v>
      </c>
      <c r="E42" s="139" t="s">
        <v>785</v>
      </c>
      <c r="F42" s="140">
        <v>46049</v>
      </c>
      <c r="G42" s="141">
        <v>256779440447</v>
      </c>
      <c r="H42" s="139" t="s">
        <v>737</v>
      </c>
      <c r="I42" s="142">
        <v>176.58</v>
      </c>
      <c r="J42" s="139" t="s">
        <v>2</v>
      </c>
      <c r="K42" s="142">
        <v>16023.42</v>
      </c>
      <c r="L42" s="139" t="s">
        <v>378</v>
      </c>
      <c r="M42" s="22" t="s">
        <v>787</v>
      </c>
      <c r="N42" s="13">
        <f>_xlfn.XLOOKUP(G42,'Updated CustomerLedger'!$B:$B,'Updated CustomerLedger'!$C:$C,,0)</f>
        <v>15703</v>
      </c>
      <c r="O42" s="32">
        <f t="shared" si="3"/>
        <v>320.42000000000007</v>
      </c>
      <c r="P42" s="148">
        <f t="shared" si="0"/>
        <v>1.999697942137197E-2</v>
      </c>
    </row>
  </sheetData>
  <autoFilter ref="A1:P42" xr:uid="{CE7DDAB8-C575-40B1-AA1E-151561631087}">
    <filterColumn colId="14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A4522-9C18-47DD-B68B-4EB1DC96A20E}">
  <sheetPr>
    <tabColor theme="7" tint="-0.249977111117893"/>
  </sheetPr>
  <dimension ref="A1:K190"/>
  <sheetViews>
    <sheetView workbookViewId="0"/>
  </sheetViews>
  <sheetFormatPr defaultRowHeight="12.5" x14ac:dyDescent="0.25"/>
  <cols>
    <col min="1" max="1" width="11.54296875" bestFit="1" customWidth="1"/>
    <col min="2" max="2" width="11.7265625" bestFit="1" customWidth="1"/>
    <col min="3" max="3" width="16.54296875" bestFit="1" customWidth="1"/>
    <col min="4" max="4" width="6.453125" bestFit="1" customWidth="1"/>
  </cols>
  <sheetData>
    <row r="1" spans="1:4" s="29" customFormat="1" ht="13" x14ac:dyDescent="0.3">
      <c r="A1" s="127" t="s">
        <v>472</v>
      </c>
      <c r="B1" s="127" t="s">
        <v>781</v>
      </c>
      <c r="C1" s="130" t="s">
        <v>779</v>
      </c>
      <c r="D1" s="133" t="s">
        <v>780</v>
      </c>
    </row>
    <row r="2" spans="1:4" ht="13" x14ac:dyDescent="0.25">
      <c r="A2" s="128" t="s">
        <v>488</v>
      </c>
      <c r="B2" s="129">
        <v>246779410018</v>
      </c>
      <c r="C2" s="130">
        <v>140899</v>
      </c>
      <c r="D2" s="131">
        <v>1620.01</v>
      </c>
    </row>
    <row r="3" spans="1:4" ht="13" x14ac:dyDescent="0.25">
      <c r="A3" s="128" t="s">
        <v>488</v>
      </c>
      <c r="B3" s="129">
        <v>246779410038</v>
      </c>
      <c r="C3" s="130">
        <v>140453</v>
      </c>
      <c r="D3" s="131">
        <v>1620</v>
      </c>
    </row>
    <row r="4" spans="1:4" ht="13" x14ac:dyDescent="0.25">
      <c r="A4" s="128" t="s">
        <v>488</v>
      </c>
      <c r="B4" s="129">
        <v>246779410292</v>
      </c>
      <c r="C4" s="130">
        <v>140453</v>
      </c>
      <c r="D4" s="131">
        <v>1620</v>
      </c>
    </row>
    <row r="5" spans="1:4" ht="13" x14ac:dyDescent="0.25">
      <c r="A5" s="128" t="s">
        <v>488</v>
      </c>
      <c r="B5" s="129">
        <v>246779410106</v>
      </c>
      <c r="C5" s="130">
        <v>140453</v>
      </c>
      <c r="D5" s="131">
        <v>1620</v>
      </c>
    </row>
    <row r="6" spans="1:4" ht="13" x14ac:dyDescent="0.25">
      <c r="A6" s="128" t="s">
        <v>488</v>
      </c>
      <c r="B6" s="129">
        <v>246779410149</v>
      </c>
      <c r="C6" s="130">
        <v>140453</v>
      </c>
      <c r="D6" s="131">
        <v>1620</v>
      </c>
    </row>
    <row r="7" spans="1:4" ht="13" x14ac:dyDescent="0.25">
      <c r="A7" s="128" t="s">
        <v>488</v>
      </c>
      <c r="B7" s="129">
        <v>246779410192</v>
      </c>
      <c r="C7" s="130">
        <v>140453</v>
      </c>
      <c r="D7" s="131">
        <v>1620</v>
      </c>
    </row>
    <row r="8" spans="1:4" ht="13" x14ac:dyDescent="0.25">
      <c r="A8" s="128" t="s">
        <v>488</v>
      </c>
      <c r="B8" s="129">
        <v>246779410235</v>
      </c>
      <c r="C8" s="130">
        <v>140453</v>
      </c>
      <c r="D8" s="131">
        <v>1620</v>
      </c>
    </row>
    <row r="9" spans="1:4" ht="13" x14ac:dyDescent="0.25">
      <c r="A9" s="128" t="s">
        <v>488</v>
      </c>
      <c r="B9" s="129">
        <v>246779410321</v>
      </c>
      <c r="C9" s="130">
        <v>36410</v>
      </c>
      <c r="D9" s="131">
        <v>418.5</v>
      </c>
    </row>
    <row r="10" spans="1:4" ht="13" x14ac:dyDescent="0.25">
      <c r="A10" s="128" t="s">
        <v>488</v>
      </c>
      <c r="B10" s="129">
        <v>246779410341</v>
      </c>
      <c r="C10" s="130">
        <v>35397</v>
      </c>
      <c r="D10" s="131">
        <v>405</v>
      </c>
    </row>
    <row r="11" spans="1:4" ht="13" x14ac:dyDescent="0.25">
      <c r="A11" s="128" t="s">
        <v>488</v>
      </c>
      <c r="B11" s="129">
        <v>246779410345</v>
      </c>
      <c r="C11" s="130">
        <v>36577</v>
      </c>
      <c r="D11" s="131">
        <v>418.5</v>
      </c>
    </row>
    <row r="12" spans="1:4" ht="13" x14ac:dyDescent="0.25">
      <c r="A12" s="128" t="s">
        <v>488</v>
      </c>
      <c r="B12" s="129">
        <v>246779410357</v>
      </c>
      <c r="C12" s="130">
        <v>35397</v>
      </c>
      <c r="D12" s="131">
        <v>405</v>
      </c>
    </row>
    <row r="13" spans="1:4" ht="13" x14ac:dyDescent="0.25">
      <c r="A13" s="128" t="s">
        <v>488</v>
      </c>
      <c r="B13" s="129">
        <v>246779410351</v>
      </c>
      <c r="C13" s="130">
        <v>36577</v>
      </c>
      <c r="D13" s="131">
        <v>418.5</v>
      </c>
    </row>
    <row r="14" spans="1:4" ht="13" x14ac:dyDescent="0.25">
      <c r="A14" s="128" t="s">
        <v>488</v>
      </c>
      <c r="B14" s="129">
        <v>246779410365</v>
      </c>
      <c r="C14" s="130">
        <v>80043</v>
      </c>
      <c r="D14" s="131">
        <v>916.54</v>
      </c>
    </row>
    <row r="15" spans="1:4" ht="13" x14ac:dyDescent="0.25">
      <c r="A15" s="128" t="s">
        <v>488</v>
      </c>
      <c r="B15" s="129">
        <v>246779410391</v>
      </c>
      <c r="C15" s="130">
        <v>148891</v>
      </c>
      <c r="D15" s="131">
        <v>1704.9</v>
      </c>
    </row>
    <row r="16" spans="1:4" ht="13" x14ac:dyDescent="0.25">
      <c r="A16" s="128" t="s">
        <v>488</v>
      </c>
      <c r="B16" s="129">
        <v>246779410415</v>
      </c>
      <c r="C16" s="130">
        <v>151767</v>
      </c>
      <c r="D16" s="131">
        <v>1737.83</v>
      </c>
    </row>
    <row r="17" spans="1:4" ht="13" x14ac:dyDescent="0.25">
      <c r="A17" s="128" t="s">
        <v>488</v>
      </c>
      <c r="B17" s="129">
        <v>246779410862</v>
      </c>
      <c r="C17" s="130">
        <v>180778</v>
      </c>
      <c r="D17" s="131">
        <v>2075.86</v>
      </c>
    </row>
    <row r="18" spans="1:4" ht="13" x14ac:dyDescent="0.25">
      <c r="A18" s="128" t="s">
        <v>488</v>
      </c>
      <c r="B18" s="129">
        <v>246779410885</v>
      </c>
      <c r="C18" s="130">
        <v>187367</v>
      </c>
      <c r="D18" s="131">
        <v>2151.52</v>
      </c>
    </row>
    <row r="19" spans="1:4" ht="13" x14ac:dyDescent="0.25">
      <c r="A19" s="128" t="s">
        <v>488</v>
      </c>
      <c r="B19" s="129">
        <v>246779412999</v>
      </c>
      <c r="C19" s="130">
        <v>14486</v>
      </c>
      <c r="D19" s="131">
        <v>167.47</v>
      </c>
    </row>
    <row r="20" spans="1:4" ht="13" x14ac:dyDescent="0.25">
      <c r="A20" s="128" t="s">
        <v>488</v>
      </c>
      <c r="B20" s="129">
        <v>246779413798</v>
      </c>
      <c r="C20" s="130">
        <v>36118</v>
      </c>
      <c r="D20" s="131">
        <v>418.5</v>
      </c>
    </row>
    <row r="21" spans="1:4" ht="13" x14ac:dyDescent="0.25">
      <c r="A21" s="128" t="s">
        <v>488</v>
      </c>
      <c r="B21" s="129">
        <v>246779413809</v>
      </c>
      <c r="C21" s="130">
        <v>32623</v>
      </c>
      <c r="D21" s="131">
        <v>378</v>
      </c>
    </row>
    <row r="22" spans="1:4" ht="13" x14ac:dyDescent="0.25">
      <c r="A22" s="128" t="s">
        <v>488</v>
      </c>
      <c r="B22" s="129">
        <v>246779411458</v>
      </c>
      <c r="C22" s="130">
        <v>6589</v>
      </c>
      <c r="D22" s="131">
        <v>75.66</v>
      </c>
    </row>
    <row r="23" spans="1:4" ht="13" x14ac:dyDescent="0.25">
      <c r="A23" s="128" t="s">
        <v>488</v>
      </c>
      <c r="B23" s="129">
        <v>246779411624</v>
      </c>
      <c r="C23" s="130">
        <v>20898</v>
      </c>
      <c r="D23" s="131">
        <v>240.78</v>
      </c>
    </row>
    <row r="24" spans="1:4" ht="13" x14ac:dyDescent="0.25">
      <c r="A24" s="128" t="s">
        <v>488</v>
      </c>
      <c r="B24" s="129">
        <v>246779411625</v>
      </c>
      <c r="C24" s="130">
        <v>5939</v>
      </c>
      <c r="D24" s="131">
        <v>68.430000000000007</v>
      </c>
    </row>
    <row r="25" spans="1:4" ht="13" x14ac:dyDescent="0.25">
      <c r="A25" s="128" t="s">
        <v>488</v>
      </c>
      <c r="B25" s="129">
        <v>246779411626</v>
      </c>
      <c r="C25" s="130">
        <v>6091</v>
      </c>
      <c r="D25" s="131">
        <v>70.180000000000007</v>
      </c>
    </row>
    <row r="26" spans="1:4" ht="13" x14ac:dyDescent="0.25">
      <c r="A26" s="128" t="s">
        <v>488</v>
      </c>
      <c r="B26" s="129">
        <v>246779411627</v>
      </c>
      <c r="C26" s="130">
        <v>5258</v>
      </c>
      <c r="D26" s="131">
        <v>60.58</v>
      </c>
    </row>
    <row r="27" spans="1:4" ht="13" x14ac:dyDescent="0.25">
      <c r="A27" s="128" t="s">
        <v>488</v>
      </c>
      <c r="B27" s="129">
        <v>246779412068</v>
      </c>
      <c r="C27" s="130">
        <v>10392</v>
      </c>
      <c r="D27" s="131">
        <v>119.73</v>
      </c>
    </row>
    <row r="28" spans="1:4" ht="13" x14ac:dyDescent="0.25">
      <c r="A28" s="128" t="s">
        <v>488</v>
      </c>
      <c r="B28" s="129">
        <v>246779412247</v>
      </c>
      <c r="C28" s="130">
        <v>6589</v>
      </c>
      <c r="D28" s="131">
        <v>75.66</v>
      </c>
    </row>
    <row r="29" spans="1:4" ht="13" x14ac:dyDescent="0.25">
      <c r="A29" s="128" t="s">
        <v>488</v>
      </c>
      <c r="B29" s="129">
        <v>246779414060</v>
      </c>
      <c r="C29" s="130">
        <v>23090</v>
      </c>
      <c r="D29" s="131">
        <v>267.54000000000002</v>
      </c>
    </row>
    <row r="30" spans="1:4" ht="13" x14ac:dyDescent="0.25">
      <c r="A30" s="128" t="s">
        <v>488</v>
      </c>
      <c r="B30" s="129">
        <v>246779414061</v>
      </c>
      <c r="C30" s="130">
        <v>23453</v>
      </c>
      <c r="D30" s="131">
        <v>271.75</v>
      </c>
    </row>
    <row r="31" spans="1:4" ht="13" x14ac:dyDescent="0.25">
      <c r="A31" s="128" t="s">
        <v>488</v>
      </c>
      <c r="B31" s="129">
        <v>246779414062</v>
      </c>
      <c r="C31" s="130">
        <v>21271</v>
      </c>
      <c r="D31" s="131">
        <v>246.47</v>
      </c>
    </row>
    <row r="32" spans="1:4" ht="13" x14ac:dyDescent="0.25">
      <c r="A32" s="128" t="s">
        <v>488</v>
      </c>
      <c r="B32" s="129">
        <v>246779414063</v>
      </c>
      <c r="C32" s="130">
        <v>46907</v>
      </c>
      <c r="D32" s="131">
        <v>543.51</v>
      </c>
    </row>
    <row r="33" spans="1:4" ht="13" x14ac:dyDescent="0.25">
      <c r="A33" s="128" t="s">
        <v>488</v>
      </c>
      <c r="B33" s="129">
        <v>246779414064</v>
      </c>
      <c r="C33" s="130">
        <v>29873</v>
      </c>
      <c r="D33" s="131">
        <v>346.14</v>
      </c>
    </row>
    <row r="34" spans="1:4" ht="13" x14ac:dyDescent="0.25">
      <c r="A34" s="128" t="s">
        <v>488</v>
      </c>
      <c r="B34" s="129">
        <v>246779414065</v>
      </c>
      <c r="C34" s="130">
        <v>23453</v>
      </c>
      <c r="D34" s="131">
        <v>271.75</v>
      </c>
    </row>
    <row r="35" spans="1:4" ht="13" x14ac:dyDescent="0.25">
      <c r="A35" s="128" t="s">
        <v>488</v>
      </c>
      <c r="B35" s="129">
        <v>246779414066</v>
      </c>
      <c r="C35" s="130">
        <v>1788</v>
      </c>
      <c r="D35" s="131">
        <v>20.72</v>
      </c>
    </row>
    <row r="36" spans="1:4" ht="13" x14ac:dyDescent="0.25">
      <c r="A36" s="128" t="s">
        <v>488</v>
      </c>
      <c r="B36" s="129">
        <v>246779411302</v>
      </c>
      <c r="C36" s="130">
        <v>2987</v>
      </c>
      <c r="D36" s="131">
        <v>34.299999999999997</v>
      </c>
    </row>
    <row r="37" spans="1:4" ht="13" x14ac:dyDescent="0.25">
      <c r="A37" s="128" t="s">
        <v>488</v>
      </c>
      <c r="B37" s="129">
        <v>246779413220</v>
      </c>
      <c r="C37" s="130">
        <v>2207</v>
      </c>
      <c r="D37" s="131">
        <v>25.51</v>
      </c>
    </row>
    <row r="38" spans="1:4" ht="13" x14ac:dyDescent="0.25">
      <c r="A38" s="128" t="s">
        <v>488</v>
      </c>
      <c r="B38" s="129">
        <v>246779413884</v>
      </c>
      <c r="C38" s="130">
        <v>10870</v>
      </c>
      <c r="D38" s="131">
        <v>125.95</v>
      </c>
    </row>
    <row r="39" spans="1:4" ht="13" x14ac:dyDescent="0.25">
      <c r="A39" s="128" t="s">
        <v>488</v>
      </c>
      <c r="B39" s="129">
        <v>246779413893</v>
      </c>
      <c r="C39" s="130">
        <v>148</v>
      </c>
      <c r="D39" s="131">
        <v>1.71</v>
      </c>
    </row>
    <row r="40" spans="1:4" ht="13" x14ac:dyDescent="0.25">
      <c r="A40" s="128" t="s">
        <v>488</v>
      </c>
      <c r="B40" s="129">
        <v>246779413894</v>
      </c>
      <c r="C40" s="130">
        <v>170</v>
      </c>
      <c r="D40" s="131">
        <v>1.97</v>
      </c>
    </row>
    <row r="41" spans="1:4" ht="13" x14ac:dyDescent="0.25">
      <c r="A41" s="128" t="s">
        <v>488</v>
      </c>
      <c r="B41" s="129">
        <v>246779413901</v>
      </c>
      <c r="C41" s="130">
        <v>148</v>
      </c>
      <c r="D41" s="131">
        <v>1.71</v>
      </c>
    </row>
    <row r="42" spans="1:4" ht="13" x14ac:dyDescent="0.25">
      <c r="A42" s="128" t="s">
        <v>488</v>
      </c>
      <c r="B42" s="129">
        <v>256779413186</v>
      </c>
      <c r="C42" s="130">
        <v>34824</v>
      </c>
      <c r="D42" s="131">
        <v>405.01</v>
      </c>
    </row>
    <row r="43" spans="1:4" ht="13" x14ac:dyDescent="0.25">
      <c r="A43" s="128" t="s">
        <v>488</v>
      </c>
      <c r="B43" s="129">
        <v>256779414342</v>
      </c>
      <c r="C43" s="130">
        <v>35715</v>
      </c>
      <c r="D43" s="131">
        <v>417.76</v>
      </c>
    </row>
    <row r="44" spans="1:4" ht="13" x14ac:dyDescent="0.25">
      <c r="A44" s="128" t="s">
        <v>488</v>
      </c>
      <c r="B44" s="129">
        <v>246779413911</v>
      </c>
      <c r="C44" s="130">
        <v>169</v>
      </c>
      <c r="D44" s="131">
        <v>1.96</v>
      </c>
    </row>
    <row r="45" spans="1:4" ht="13" x14ac:dyDescent="0.25">
      <c r="A45" s="128" t="s">
        <v>488</v>
      </c>
      <c r="B45" s="129">
        <v>246779413913</v>
      </c>
      <c r="C45" s="130">
        <v>1251</v>
      </c>
      <c r="D45" s="131">
        <v>14.5</v>
      </c>
    </row>
    <row r="46" spans="1:4" ht="13" x14ac:dyDescent="0.25">
      <c r="A46" s="128" t="s">
        <v>488</v>
      </c>
      <c r="B46" s="129">
        <v>246779414150</v>
      </c>
      <c r="C46" s="130">
        <v>1036</v>
      </c>
      <c r="D46" s="131">
        <v>12</v>
      </c>
    </row>
    <row r="47" spans="1:4" ht="13" x14ac:dyDescent="0.25">
      <c r="A47" s="128" t="s">
        <v>488</v>
      </c>
      <c r="B47" s="129">
        <v>246779414151</v>
      </c>
      <c r="C47" s="130">
        <v>1269</v>
      </c>
      <c r="D47" s="131">
        <v>14.7</v>
      </c>
    </row>
    <row r="48" spans="1:4" ht="13" x14ac:dyDescent="0.25">
      <c r="A48" s="128" t="s">
        <v>488</v>
      </c>
      <c r="B48" s="129">
        <v>246779414229</v>
      </c>
      <c r="C48" s="130">
        <v>769</v>
      </c>
      <c r="D48" s="131">
        <v>8.91</v>
      </c>
    </row>
    <row r="49" spans="1:4" ht="13" x14ac:dyDescent="0.25">
      <c r="A49" s="128" t="s">
        <v>488</v>
      </c>
      <c r="B49" s="129">
        <v>246779414230</v>
      </c>
      <c r="C49" s="130">
        <v>84</v>
      </c>
      <c r="D49" s="131">
        <v>0.97</v>
      </c>
    </row>
    <row r="50" spans="1:4" ht="13" x14ac:dyDescent="0.25">
      <c r="A50" s="128" t="s">
        <v>488</v>
      </c>
      <c r="B50" s="129">
        <v>246779414319</v>
      </c>
      <c r="C50" s="130">
        <v>1119</v>
      </c>
      <c r="D50" s="131">
        <v>12.98</v>
      </c>
    </row>
    <row r="51" spans="1:4" ht="13" x14ac:dyDescent="0.25">
      <c r="A51" s="128" t="s">
        <v>488</v>
      </c>
      <c r="B51" s="129">
        <v>246779414320</v>
      </c>
      <c r="C51" s="130">
        <v>3253</v>
      </c>
      <c r="D51" s="131">
        <v>37.729999999999997</v>
      </c>
    </row>
    <row r="52" spans="1:4" ht="13" x14ac:dyDescent="0.25">
      <c r="A52" s="128" t="s">
        <v>488</v>
      </c>
      <c r="B52" s="129">
        <v>246779414321</v>
      </c>
      <c r="C52" s="130">
        <v>2535</v>
      </c>
      <c r="D52" s="131">
        <v>29.4</v>
      </c>
    </row>
    <row r="53" spans="1:4" ht="13" x14ac:dyDescent="0.25">
      <c r="A53" s="128" t="s">
        <v>488</v>
      </c>
      <c r="B53" s="129">
        <v>246779414402</v>
      </c>
      <c r="C53" s="130">
        <v>888</v>
      </c>
      <c r="D53" s="131">
        <v>10.29</v>
      </c>
    </row>
    <row r="54" spans="1:4" ht="13" x14ac:dyDescent="0.25">
      <c r="A54" s="128" t="s">
        <v>488</v>
      </c>
      <c r="B54" s="129">
        <v>246779414403</v>
      </c>
      <c r="C54" s="130">
        <v>1269</v>
      </c>
      <c r="D54" s="131">
        <v>14.7</v>
      </c>
    </row>
    <row r="55" spans="1:4" ht="13" x14ac:dyDescent="0.25">
      <c r="A55" s="128" t="s">
        <v>488</v>
      </c>
      <c r="B55" s="129">
        <v>246779414472</v>
      </c>
      <c r="C55" s="130">
        <v>1537</v>
      </c>
      <c r="D55" s="131">
        <v>17.809999999999999</v>
      </c>
    </row>
    <row r="56" spans="1:4" ht="13" x14ac:dyDescent="0.25">
      <c r="A56" s="128" t="s">
        <v>488</v>
      </c>
      <c r="B56" s="129">
        <v>246779414473</v>
      </c>
      <c r="C56" s="130">
        <v>540</v>
      </c>
      <c r="D56" s="131">
        <v>6.26</v>
      </c>
    </row>
    <row r="57" spans="1:4" ht="13" x14ac:dyDescent="0.25">
      <c r="A57" s="128" t="s">
        <v>488</v>
      </c>
      <c r="B57" s="129">
        <v>246779414474</v>
      </c>
      <c r="C57" s="130">
        <v>5074</v>
      </c>
      <c r="D57" s="131">
        <v>58.79</v>
      </c>
    </row>
    <row r="58" spans="1:4" ht="13" x14ac:dyDescent="0.25">
      <c r="A58" s="128" t="s">
        <v>488</v>
      </c>
      <c r="B58" s="129">
        <v>246779414610</v>
      </c>
      <c r="C58" s="130">
        <v>592</v>
      </c>
      <c r="D58" s="131">
        <v>6.86</v>
      </c>
    </row>
    <row r="59" spans="1:4" ht="13" x14ac:dyDescent="0.25">
      <c r="A59" s="128" t="s">
        <v>488</v>
      </c>
      <c r="B59" s="129">
        <v>246779414688</v>
      </c>
      <c r="C59" s="130">
        <v>837</v>
      </c>
      <c r="D59" s="131">
        <v>9.6999999999999993</v>
      </c>
    </row>
    <row r="60" spans="1:4" ht="13" x14ac:dyDescent="0.25">
      <c r="A60" s="128" t="s">
        <v>488</v>
      </c>
      <c r="B60" s="129">
        <v>246779414689</v>
      </c>
      <c r="C60" s="130">
        <v>4292</v>
      </c>
      <c r="D60" s="131">
        <v>49.73</v>
      </c>
    </row>
    <row r="61" spans="1:4" ht="13" x14ac:dyDescent="0.25">
      <c r="A61" s="128" t="s">
        <v>488</v>
      </c>
      <c r="B61" s="129">
        <v>246779414690</v>
      </c>
      <c r="C61" s="130">
        <v>5074</v>
      </c>
      <c r="D61" s="131">
        <v>58.79</v>
      </c>
    </row>
    <row r="62" spans="1:4" ht="13" x14ac:dyDescent="0.25">
      <c r="A62" s="128" t="s">
        <v>488</v>
      </c>
      <c r="B62" s="129">
        <v>246779414740</v>
      </c>
      <c r="C62" s="130">
        <v>9403</v>
      </c>
      <c r="D62" s="131">
        <v>108.95</v>
      </c>
    </row>
    <row r="63" spans="1:4" ht="13" x14ac:dyDescent="0.25">
      <c r="A63" s="128" t="s">
        <v>488</v>
      </c>
      <c r="B63" s="129">
        <v>246779414741</v>
      </c>
      <c r="C63" s="130">
        <v>167</v>
      </c>
      <c r="D63" s="131">
        <v>1.94</v>
      </c>
    </row>
    <row r="64" spans="1:4" ht="13" x14ac:dyDescent="0.25">
      <c r="A64" s="128" t="s">
        <v>488</v>
      </c>
      <c r="B64" s="129">
        <v>246779414895</v>
      </c>
      <c r="C64" s="130">
        <v>5074</v>
      </c>
      <c r="D64" s="131">
        <v>58.79</v>
      </c>
    </row>
    <row r="65" spans="1:4" ht="13" x14ac:dyDescent="0.25">
      <c r="A65" s="128" t="s">
        <v>488</v>
      </c>
      <c r="B65" s="129">
        <v>246779414896</v>
      </c>
      <c r="C65" s="130">
        <v>3637</v>
      </c>
      <c r="D65" s="131">
        <v>42.14</v>
      </c>
    </row>
    <row r="66" spans="1:4" ht="13" x14ac:dyDescent="0.25">
      <c r="A66" s="128" t="s">
        <v>488</v>
      </c>
      <c r="B66" s="129">
        <v>246779414897</v>
      </c>
      <c r="C66" s="130">
        <v>4000</v>
      </c>
      <c r="D66" s="131">
        <v>46.35</v>
      </c>
    </row>
    <row r="67" spans="1:4" ht="13" x14ac:dyDescent="0.25">
      <c r="A67" s="128" t="s">
        <v>488</v>
      </c>
      <c r="B67" s="129">
        <v>246779414898</v>
      </c>
      <c r="C67" s="130">
        <v>8001</v>
      </c>
      <c r="D67" s="131">
        <v>92.71</v>
      </c>
    </row>
    <row r="68" spans="1:4" ht="13" x14ac:dyDescent="0.25">
      <c r="A68" s="128" t="s">
        <v>488</v>
      </c>
      <c r="B68" s="129">
        <v>246779414899</v>
      </c>
      <c r="C68" s="130">
        <v>4384</v>
      </c>
      <c r="D68" s="131">
        <v>50.57</v>
      </c>
    </row>
    <row r="69" spans="1:4" ht="13" x14ac:dyDescent="0.25">
      <c r="A69" s="128" t="s">
        <v>488</v>
      </c>
      <c r="B69" s="129">
        <v>246779414900</v>
      </c>
      <c r="C69" s="130">
        <v>4364</v>
      </c>
      <c r="D69" s="131">
        <v>50.57</v>
      </c>
    </row>
    <row r="70" spans="1:4" ht="13" x14ac:dyDescent="0.25">
      <c r="A70" s="128" t="s">
        <v>488</v>
      </c>
      <c r="B70" s="129">
        <v>246779414901</v>
      </c>
      <c r="C70" s="130">
        <v>518</v>
      </c>
      <c r="D70" s="131">
        <v>6</v>
      </c>
    </row>
    <row r="71" spans="1:4" ht="13" x14ac:dyDescent="0.25">
      <c r="A71" s="128" t="s">
        <v>488</v>
      </c>
      <c r="B71" s="129">
        <v>246779414902</v>
      </c>
      <c r="C71" s="130">
        <v>298</v>
      </c>
      <c r="D71" s="131">
        <v>3.45</v>
      </c>
    </row>
    <row r="72" spans="1:4" ht="13" x14ac:dyDescent="0.25">
      <c r="A72" s="128" t="s">
        <v>488</v>
      </c>
      <c r="B72" s="129">
        <v>256779410788</v>
      </c>
      <c r="C72" s="130">
        <v>106977</v>
      </c>
      <c r="D72" s="131">
        <v>1255.18</v>
      </c>
    </row>
    <row r="73" spans="1:4" ht="13" x14ac:dyDescent="0.25">
      <c r="A73" s="128" t="s">
        <v>488</v>
      </c>
      <c r="B73" s="129">
        <v>256779410804</v>
      </c>
      <c r="C73" s="130">
        <v>198877</v>
      </c>
      <c r="D73" s="131">
        <v>2333.4699999999998</v>
      </c>
    </row>
    <row r="74" spans="1:4" ht="13" x14ac:dyDescent="0.25">
      <c r="A74" s="128" t="s">
        <v>488</v>
      </c>
      <c r="B74" s="129">
        <v>256779412111</v>
      </c>
      <c r="C74" s="130">
        <v>83452</v>
      </c>
      <c r="D74" s="131">
        <v>974.38</v>
      </c>
    </row>
    <row r="75" spans="1:4" ht="13" x14ac:dyDescent="0.25">
      <c r="A75" s="128" t="s">
        <v>488</v>
      </c>
      <c r="B75" s="129">
        <v>256779412160</v>
      </c>
      <c r="C75" s="130">
        <v>14552</v>
      </c>
      <c r="D75" s="131">
        <v>169.91</v>
      </c>
    </row>
    <row r="76" spans="1:4" ht="13" x14ac:dyDescent="0.25">
      <c r="A76" s="128" t="s">
        <v>488</v>
      </c>
      <c r="B76" s="129">
        <v>256779412779</v>
      </c>
      <c r="C76" s="130">
        <v>140371</v>
      </c>
      <c r="D76" s="131">
        <v>1638.13</v>
      </c>
    </row>
    <row r="77" spans="1:4" ht="13" x14ac:dyDescent="0.25">
      <c r="A77" s="128" t="s">
        <v>488</v>
      </c>
      <c r="B77" s="129">
        <v>256779410088</v>
      </c>
      <c r="C77" s="130">
        <v>441</v>
      </c>
      <c r="D77" s="131">
        <v>5.15</v>
      </c>
    </row>
    <row r="78" spans="1:4" ht="13" x14ac:dyDescent="0.25">
      <c r="A78" s="128" t="s">
        <v>488</v>
      </c>
      <c r="B78" s="129">
        <v>256779410089</v>
      </c>
      <c r="C78" s="130">
        <v>2518</v>
      </c>
      <c r="D78" s="131">
        <v>29.4</v>
      </c>
    </row>
    <row r="79" spans="1:4" ht="13" x14ac:dyDescent="0.25">
      <c r="A79" s="128" t="s">
        <v>488</v>
      </c>
      <c r="B79" s="129">
        <v>256779410139</v>
      </c>
      <c r="C79" s="130">
        <v>294</v>
      </c>
      <c r="D79" s="131">
        <v>3.43</v>
      </c>
    </row>
    <row r="80" spans="1:4" ht="13" x14ac:dyDescent="0.25">
      <c r="A80" s="128" t="s">
        <v>488</v>
      </c>
      <c r="B80" s="129">
        <v>256779410140</v>
      </c>
      <c r="C80" s="130">
        <v>84</v>
      </c>
      <c r="D80" s="131">
        <v>0.98</v>
      </c>
    </row>
    <row r="81" spans="1:4" ht="13" x14ac:dyDescent="0.25">
      <c r="A81" s="128" t="s">
        <v>488</v>
      </c>
      <c r="B81" s="129">
        <v>256779411167</v>
      </c>
      <c r="C81" s="130">
        <v>5779</v>
      </c>
      <c r="D81" s="131">
        <v>67.44</v>
      </c>
    </row>
    <row r="82" spans="1:4" ht="13" x14ac:dyDescent="0.25">
      <c r="A82" s="128" t="s">
        <v>488</v>
      </c>
      <c r="B82" s="129">
        <v>256779411168</v>
      </c>
      <c r="C82" s="130">
        <v>5081</v>
      </c>
      <c r="D82" s="131">
        <v>59.29</v>
      </c>
    </row>
    <row r="83" spans="1:4" ht="13" x14ac:dyDescent="0.25">
      <c r="A83" s="128" t="s">
        <v>488</v>
      </c>
      <c r="B83" s="129">
        <v>256779411169</v>
      </c>
      <c r="C83" s="130">
        <v>4199</v>
      </c>
      <c r="D83" s="131">
        <v>49</v>
      </c>
    </row>
    <row r="84" spans="1:4" ht="13" x14ac:dyDescent="0.25">
      <c r="A84" s="128" t="s">
        <v>488</v>
      </c>
      <c r="B84" s="129">
        <v>256779411170</v>
      </c>
      <c r="C84" s="130">
        <v>10077</v>
      </c>
      <c r="D84" s="131">
        <v>117.6</v>
      </c>
    </row>
    <row r="85" spans="1:4" ht="13" x14ac:dyDescent="0.25">
      <c r="A85" s="128" t="s">
        <v>488</v>
      </c>
      <c r="B85" s="129">
        <v>256779411724</v>
      </c>
      <c r="C85" s="130">
        <v>52814</v>
      </c>
      <c r="D85" s="131">
        <v>607.6</v>
      </c>
    </row>
    <row r="86" spans="1:4" ht="13" x14ac:dyDescent="0.25">
      <c r="A86" s="128" t="s">
        <v>488</v>
      </c>
      <c r="B86" s="129">
        <v>256779411813</v>
      </c>
      <c r="C86" s="130">
        <v>147</v>
      </c>
      <c r="D86" s="131">
        <v>1.72</v>
      </c>
    </row>
    <row r="87" spans="1:4" ht="13" x14ac:dyDescent="0.25">
      <c r="A87" s="128" t="s">
        <v>488</v>
      </c>
      <c r="B87" s="129">
        <v>256779411814</v>
      </c>
      <c r="C87" s="130">
        <v>84</v>
      </c>
      <c r="D87" s="131">
        <v>0.98</v>
      </c>
    </row>
    <row r="88" spans="1:4" ht="13" x14ac:dyDescent="0.25">
      <c r="A88" s="128" t="s">
        <v>488</v>
      </c>
      <c r="B88" s="129">
        <v>256779411815</v>
      </c>
      <c r="C88" s="130">
        <v>1259</v>
      </c>
      <c r="D88" s="131">
        <v>14.7</v>
      </c>
    </row>
    <row r="89" spans="1:4" ht="13" x14ac:dyDescent="0.25">
      <c r="A89" s="128" t="s">
        <v>488</v>
      </c>
      <c r="B89" s="129">
        <v>256779411894</v>
      </c>
      <c r="C89" s="130">
        <v>594</v>
      </c>
      <c r="D89" s="131">
        <v>6.94</v>
      </c>
    </row>
    <row r="90" spans="1:4" ht="13" x14ac:dyDescent="0.25">
      <c r="A90" s="128" t="s">
        <v>488</v>
      </c>
      <c r="B90" s="129">
        <v>256779411895</v>
      </c>
      <c r="C90" s="130">
        <v>84</v>
      </c>
      <c r="D90" s="131">
        <v>0.98</v>
      </c>
    </row>
    <row r="91" spans="1:4" ht="13" x14ac:dyDescent="0.25">
      <c r="A91" s="128" t="s">
        <v>488</v>
      </c>
      <c r="B91" s="129">
        <v>256779412024</v>
      </c>
      <c r="C91" s="130">
        <v>41567</v>
      </c>
      <c r="D91" s="131">
        <v>479.77</v>
      </c>
    </row>
    <row r="92" spans="1:4" ht="13" x14ac:dyDescent="0.25">
      <c r="A92" s="128" t="s">
        <v>488</v>
      </c>
      <c r="B92" s="129">
        <v>256779412105</v>
      </c>
      <c r="C92" s="130">
        <v>1078</v>
      </c>
      <c r="D92" s="131">
        <v>12.6</v>
      </c>
    </row>
    <row r="93" spans="1:4" ht="13" x14ac:dyDescent="0.25">
      <c r="A93" s="128" t="s">
        <v>488</v>
      </c>
      <c r="B93" s="129">
        <v>256779412567</v>
      </c>
      <c r="C93" s="130">
        <v>1512</v>
      </c>
      <c r="D93" s="131">
        <v>17.39</v>
      </c>
    </row>
    <row r="94" spans="1:4" ht="13" x14ac:dyDescent="0.25">
      <c r="A94" s="128" t="s">
        <v>488</v>
      </c>
      <c r="B94" s="129">
        <v>256779412618</v>
      </c>
      <c r="C94" s="130">
        <v>3664</v>
      </c>
      <c r="D94" s="131">
        <v>42.15</v>
      </c>
    </row>
    <row r="95" spans="1:4" x14ac:dyDescent="0.25">
      <c r="A95" s="128" t="s">
        <v>488</v>
      </c>
      <c r="B95" s="129">
        <v>256779412661</v>
      </c>
      <c r="C95" s="130">
        <v>515</v>
      </c>
      <c r="D95" s="132"/>
    </row>
    <row r="96" spans="1:4" ht="13" x14ac:dyDescent="0.25">
      <c r="A96" s="128" t="s">
        <v>488</v>
      </c>
      <c r="B96" s="129">
        <v>256779412892</v>
      </c>
      <c r="C96" s="130">
        <v>16117</v>
      </c>
      <c r="D96" s="131">
        <v>185.42</v>
      </c>
    </row>
    <row r="97" spans="1:4" ht="13" x14ac:dyDescent="0.25">
      <c r="A97" s="128" t="s">
        <v>488</v>
      </c>
      <c r="B97" s="129">
        <v>256779413245</v>
      </c>
      <c r="C97" s="130">
        <v>33169</v>
      </c>
      <c r="D97" s="131">
        <v>388.85</v>
      </c>
    </row>
    <row r="98" spans="1:4" ht="13" x14ac:dyDescent="0.25">
      <c r="A98" s="128" t="s">
        <v>488</v>
      </c>
      <c r="B98" s="129">
        <v>256779413316</v>
      </c>
      <c r="C98" s="130">
        <v>46008</v>
      </c>
      <c r="D98" s="131">
        <v>535.08000000000004</v>
      </c>
    </row>
    <row r="99" spans="1:4" ht="13" x14ac:dyDescent="0.25">
      <c r="A99" s="128" t="s">
        <v>488</v>
      </c>
      <c r="B99" s="129">
        <v>256779413491</v>
      </c>
      <c r="C99" s="130">
        <v>7478</v>
      </c>
      <c r="D99" s="131">
        <v>86.97</v>
      </c>
    </row>
    <row r="100" spans="1:4" ht="13" x14ac:dyDescent="0.25">
      <c r="A100" s="128" t="s">
        <v>488</v>
      </c>
      <c r="B100" s="129">
        <v>256779413922</v>
      </c>
      <c r="C100" s="130">
        <v>30905</v>
      </c>
      <c r="D100" s="131">
        <v>361.5</v>
      </c>
    </row>
    <row r="101" spans="1:4" ht="13" x14ac:dyDescent="0.25">
      <c r="A101" s="128" t="s">
        <v>488</v>
      </c>
      <c r="B101" s="129">
        <v>256779413998</v>
      </c>
      <c r="C101" s="130">
        <v>15936</v>
      </c>
      <c r="D101" s="131">
        <v>186.41</v>
      </c>
    </row>
    <row r="102" spans="1:4" ht="13" x14ac:dyDescent="0.25">
      <c r="A102" s="128" t="s">
        <v>488</v>
      </c>
      <c r="B102" s="129">
        <v>256779414176</v>
      </c>
      <c r="C102" s="130">
        <v>10834</v>
      </c>
      <c r="D102" s="131">
        <v>126.73</v>
      </c>
    </row>
    <row r="103" spans="1:4" ht="13" x14ac:dyDescent="0.25">
      <c r="A103" s="128" t="s">
        <v>488</v>
      </c>
      <c r="B103" s="129">
        <v>256779414221</v>
      </c>
      <c r="C103" s="130">
        <v>3872</v>
      </c>
      <c r="D103" s="131">
        <v>45.29</v>
      </c>
    </row>
    <row r="104" spans="1:4" ht="13" x14ac:dyDescent="0.25">
      <c r="A104" s="128" t="s">
        <v>488</v>
      </c>
      <c r="B104" s="129">
        <v>256779414264</v>
      </c>
      <c r="C104" s="130">
        <v>588</v>
      </c>
      <c r="D104" s="131">
        <v>6.88</v>
      </c>
    </row>
    <row r="105" spans="1:4" ht="13" x14ac:dyDescent="0.25">
      <c r="A105" s="128" t="s">
        <v>488</v>
      </c>
      <c r="B105" s="129">
        <v>256779414320</v>
      </c>
      <c r="C105" s="130">
        <v>51221</v>
      </c>
      <c r="D105" s="131">
        <v>599.14</v>
      </c>
    </row>
    <row r="106" spans="1:4" ht="13" x14ac:dyDescent="0.25">
      <c r="A106" s="128" t="s">
        <v>488</v>
      </c>
      <c r="B106" s="129">
        <v>256779414736</v>
      </c>
      <c r="C106" s="130">
        <v>9282</v>
      </c>
      <c r="D106" s="131">
        <v>107.8</v>
      </c>
    </row>
    <row r="107" spans="1:4" ht="13" x14ac:dyDescent="0.25">
      <c r="A107" s="128" t="s">
        <v>488</v>
      </c>
      <c r="B107" s="129">
        <v>256779414744</v>
      </c>
      <c r="C107" s="130">
        <v>24284</v>
      </c>
      <c r="D107" s="131">
        <v>282.04000000000002</v>
      </c>
    </row>
    <row r="108" spans="1:4" ht="13" x14ac:dyDescent="0.25">
      <c r="A108" s="128" t="s">
        <v>488</v>
      </c>
      <c r="B108" s="129">
        <v>256779413115</v>
      </c>
      <c r="C108" s="130">
        <v>139294</v>
      </c>
      <c r="D108" s="131">
        <v>1620</v>
      </c>
    </row>
    <row r="109" spans="1:4" ht="13" x14ac:dyDescent="0.25">
      <c r="A109" s="128" t="s">
        <v>488</v>
      </c>
      <c r="B109" s="129">
        <v>256779414232</v>
      </c>
      <c r="C109" s="130">
        <v>95439</v>
      </c>
      <c r="D109" s="131">
        <v>1116.3699999999999</v>
      </c>
    </row>
    <row r="110" spans="1:4" ht="13" x14ac:dyDescent="0.25">
      <c r="A110" s="128" t="s">
        <v>488</v>
      </c>
      <c r="B110" s="129">
        <v>256779414374</v>
      </c>
      <c r="C110" s="130">
        <v>138495</v>
      </c>
      <c r="D110" s="131">
        <v>1620</v>
      </c>
    </row>
    <row r="111" spans="1:4" ht="13" x14ac:dyDescent="0.25">
      <c r="A111" s="128" t="s">
        <v>488</v>
      </c>
      <c r="B111" s="129">
        <v>256779413891</v>
      </c>
      <c r="C111" s="130">
        <v>116217</v>
      </c>
      <c r="D111" s="131">
        <v>1351.62</v>
      </c>
    </row>
    <row r="112" spans="1:4" ht="13" x14ac:dyDescent="0.25">
      <c r="A112" s="128" t="s">
        <v>488</v>
      </c>
      <c r="B112" s="129">
        <v>256779415188</v>
      </c>
      <c r="C112" s="130">
        <v>117740</v>
      </c>
      <c r="D112" s="131">
        <v>1369.06</v>
      </c>
    </row>
    <row r="113" spans="1:4" ht="13" x14ac:dyDescent="0.25">
      <c r="A113" s="128" t="s">
        <v>488</v>
      </c>
      <c r="B113" s="129">
        <v>256779416081</v>
      </c>
      <c r="C113" s="130">
        <v>98139</v>
      </c>
      <c r="D113" s="131">
        <v>1140.75</v>
      </c>
    </row>
    <row r="114" spans="1:4" ht="13" x14ac:dyDescent="0.25">
      <c r="A114" s="128" t="s">
        <v>488</v>
      </c>
      <c r="B114" s="129">
        <v>256779414932</v>
      </c>
      <c r="C114" s="130">
        <v>139321</v>
      </c>
      <c r="D114" s="131">
        <v>1620</v>
      </c>
    </row>
    <row r="115" spans="1:4" ht="13" x14ac:dyDescent="0.25">
      <c r="A115" s="128" t="s">
        <v>488</v>
      </c>
      <c r="B115" s="129">
        <v>256779416043</v>
      </c>
      <c r="C115" s="130">
        <v>139369</v>
      </c>
      <c r="D115" s="131">
        <v>1620</v>
      </c>
    </row>
    <row r="116" spans="1:4" ht="13" x14ac:dyDescent="0.25">
      <c r="A116" s="128" t="s">
        <v>488</v>
      </c>
      <c r="B116" s="129">
        <v>256779415968</v>
      </c>
      <c r="C116" s="130">
        <v>35991</v>
      </c>
      <c r="D116" s="131">
        <v>418.5</v>
      </c>
    </row>
    <row r="117" spans="1:4" ht="13" x14ac:dyDescent="0.25">
      <c r="A117" s="128" t="s">
        <v>488</v>
      </c>
      <c r="B117" s="129">
        <v>256779414834</v>
      </c>
      <c r="C117" s="130">
        <v>1288</v>
      </c>
      <c r="D117" s="131">
        <v>14.98</v>
      </c>
    </row>
    <row r="118" spans="1:4" ht="13" x14ac:dyDescent="0.25">
      <c r="A118" s="128" t="s">
        <v>488</v>
      </c>
      <c r="B118" s="129">
        <v>256779414769</v>
      </c>
      <c r="C118" s="130">
        <v>5629</v>
      </c>
      <c r="D118" s="131">
        <v>65.45</v>
      </c>
    </row>
    <row r="119" spans="1:4" ht="13" x14ac:dyDescent="0.25">
      <c r="A119" s="128" t="s">
        <v>488</v>
      </c>
      <c r="B119" s="129">
        <v>256779414803</v>
      </c>
      <c r="C119" s="130">
        <v>26854</v>
      </c>
      <c r="D119" s="131">
        <v>312.25</v>
      </c>
    </row>
    <row r="120" spans="1:4" ht="13" x14ac:dyDescent="0.25">
      <c r="A120" s="128" t="s">
        <v>488</v>
      </c>
      <c r="B120" s="129">
        <v>256779414881</v>
      </c>
      <c r="C120" s="130">
        <v>4401</v>
      </c>
      <c r="D120" s="131">
        <v>51.17</v>
      </c>
    </row>
    <row r="121" spans="1:4" ht="13" x14ac:dyDescent="0.25">
      <c r="A121" s="128" t="s">
        <v>488</v>
      </c>
      <c r="B121" s="129">
        <v>256779415265</v>
      </c>
      <c r="C121" s="130">
        <v>13884</v>
      </c>
      <c r="D121" s="131">
        <v>161.44</v>
      </c>
    </row>
    <row r="122" spans="1:4" ht="13" x14ac:dyDescent="0.25">
      <c r="A122" s="128" t="s">
        <v>488</v>
      </c>
      <c r="B122" s="129">
        <v>256779415020</v>
      </c>
      <c r="C122" s="130">
        <v>14782</v>
      </c>
      <c r="D122" s="131">
        <v>171.88</v>
      </c>
    </row>
    <row r="123" spans="1:4" ht="13" x14ac:dyDescent="0.25">
      <c r="A123" s="128" t="s">
        <v>488</v>
      </c>
      <c r="B123" s="129">
        <v>256779415434</v>
      </c>
      <c r="C123" s="130">
        <v>9351</v>
      </c>
      <c r="D123" s="131">
        <v>108.73</v>
      </c>
    </row>
    <row r="124" spans="1:4" ht="13" x14ac:dyDescent="0.25">
      <c r="A124" s="128" t="s">
        <v>488</v>
      </c>
      <c r="B124" s="129">
        <v>256779415702</v>
      </c>
      <c r="C124" s="130">
        <v>16856</v>
      </c>
      <c r="D124" s="131">
        <v>196</v>
      </c>
    </row>
    <row r="125" spans="1:4" ht="13" x14ac:dyDescent="0.25">
      <c r="A125" s="128" t="s">
        <v>488</v>
      </c>
      <c r="B125" s="129">
        <v>256779415445</v>
      </c>
      <c r="C125" s="130">
        <v>2199</v>
      </c>
      <c r="D125" s="131">
        <v>25.57</v>
      </c>
    </row>
    <row r="126" spans="1:4" ht="13" x14ac:dyDescent="0.25">
      <c r="A126" s="128" t="s">
        <v>488</v>
      </c>
      <c r="B126" s="129">
        <v>256779415458</v>
      </c>
      <c r="C126" s="130">
        <v>6215</v>
      </c>
      <c r="D126" s="131">
        <v>72.27</v>
      </c>
    </row>
    <row r="127" spans="1:4" ht="13" x14ac:dyDescent="0.25">
      <c r="A127" s="128" t="s">
        <v>488</v>
      </c>
      <c r="B127" s="129">
        <v>256779415486</v>
      </c>
      <c r="C127" s="130">
        <v>20159</v>
      </c>
      <c r="D127" s="131">
        <v>234.41</v>
      </c>
    </row>
    <row r="128" spans="1:4" ht="13" x14ac:dyDescent="0.25">
      <c r="A128" s="128" t="s">
        <v>488</v>
      </c>
      <c r="B128" s="129">
        <v>256779415526</v>
      </c>
      <c r="C128" s="130">
        <v>232</v>
      </c>
      <c r="D128" s="131">
        <v>2.7</v>
      </c>
    </row>
    <row r="129" spans="1:4" ht="13" x14ac:dyDescent="0.25">
      <c r="A129" s="128" t="s">
        <v>488</v>
      </c>
      <c r="B129" s="129">
        <v>256779415946</v>
      </c>
      <c r="C129" s="130">
        <v>2466</v>
      </c>
      <c r="D129" s="131">
        <v>28.67</v>
      </c>
    </row>
    <row r="130" spans="1:4" ht="13" x14ac:dyDescent="0.25">
      <c r="A130" s="128" t="s">
        <v>488</v>
      </c>
      <c r="B130" s="129">
        <v>256779416000</v>
      </c>
      <c r="C130" s="130">
        <v>12698</v>
      </c>
      <c r="D130" s="131">
        <v>148.55000000000001</v>
      </c>
    </row>
    <row r="131" spans="1:4" ht="13" x14ac:dyDescent="0.25">
      <c r="A131" s="128" t="s">
        <v>488</v>
      </c>
      <c r="B131" s="129">
        <v>256779416143</v>
      </c>
      <c r="C131" s="130">
        <v>2215</v>
      </c>
      <c r="D131" s="131">
        <v>25.75</v>
      </c>
    </row>
    <row r="132" spans="1:4" ht="13" x14ac:dyDescent="0.25">
      <c r="A132" s="128" t="s">
        <v>488</v>
      </c>
      <c r="B132" s="129">
        <v>256779416183</v>
      </c>
      <c r="C132" s="130">
        <v>8627</v>
      </c>
      <c r="D132" s="131">
        <v>100.28</v>
      </c>
    </row>
    <row r="133" spans="1:4" ht="13" x14ac:dyDescent="0.25">
      <c r="A133" s="128" t="s">
        <v>488</v>
      </c>
      <c r="B133" s="129">
        <v>256779416229</v>
      </c>
      <c r="C133" s="130">
        <v>1914</v>
      </c>
      <c r="D133" s="131">
        <v>22.25</v>
      </c>
    </row>
    <row r="134" spans="1:4" ht="13" x14ac:dyDescent="0.25">
      <c r="A134" s="128" t="s">
        <v>488</v>
      </c>
      <c r="B134" s="129">
        <v>256779416447</v>
      </c>
      <c r="C134" s="130">
        <v>30209</v>
      </c>
      <c r="D134" s="131">
        <v>351.14</v>
      </c>
    </row>
    <row r="135" spans="1:4" ht="13" x14ac:dyDescent="0.25">
      <c r="A135" s="128" t="s">
        <v>488</v>
      </c>
      <c r="B135" s="129">
        <v>256779416455</v>
      </c>
      <c r="C135" s="130">
        <v>1155</v>
      </c>
      <c r="D135" s="131">
        <v>13.43</v>
      </c>
    </row>
    <row r="136" spans="1:4" ht="13" x14ac:dyDescent="0.25">
      <c r="A136" s="128" t="s">
        <v>488</v>
      </c>
      <c r="B136" s="129">
        <v>256779416517</v>
      </c>
      <c r="C136" s="130">
        <v>4749</v>
      </c>
      <c r="D136" s="131">
        <v>55.2</v>
      </c>
    </row>
    <row r="137" spans="1:4" ht="13" x14ac:dyDescent="0.25">
      <c r="A137" s="128" t="s">
        <v>488</v>
      </c>
      <c r="B137" s="129">
        <v>256779416848</v>
      </c>
      <c r="C137" s="130">
        <v>1496</v>
      </c>
      <c r="D137" s="131">
        <v>17.39</v>
      </c>
    </row>
    <row r="138" spans="1:4" ht="13" x14ac:dyDescent="0.25">
      <c r="A138" s="128" t="s">
        <v>488</v>
      </c>
      <c r="B138" s="129">
        <v>256779416883</v>
      </c>
      <c r="C138" s="130">
        <v>4220</v>
      </c>
      <c r="D138" s="131">
        <v>49.05</v>
      </c>
    </row>
    <row r="139" spans="1:4" ht="13" x14ac:dyDescent="0.25">
      <c r="A139" s="128" t="s">
        <v>488</v>
      </c>
      <c r="B139" s="129">
        <v>256779417163</v>
      </c>
      <c r="C139" s="130">
        <v>6444</v>
      </c>
      <c r="D139" s="131">
        <v>73.63</v>
      </c>
    </row>
    <row r="140" spans="1:4" ht="13" x14ac:dyDescent="0.25">
      <c r="A140" s="128" t="s">
        <v>488</v>
      </c>
      <c r="B140" s="129">
        <v>256779417188</v>
      </c>
      <c r="C140" s="130">
        <v>12007</v>
      </c>
      <c r="D140" s="131">
        <v>137.19999999999999</v>
      </c>
    </row>
    <row r="141" spans="1:4" ht="13" x14ac:dyDescent="0.25">
      <c r="A141" s="128" t="s">
        <v>488</v>
      </c>
      <c r="B141" s="129">
        <v>256779417247</v>
      </c>
      <c r="C141" s="130">
        <v>9273</v>
      </c>
      <c r="D141" s="131">
        <v>105.96</v>
      </c>
    </row>
    <row r="142" spans="1:4" ht="13" x14ac:dyDescent="0.25">
      <c r="A142" s="128" t="s">
        <v>488</v>
      </c>
      <c r="B142" s="129">
        <v>256779417290</v>
      </c>
      <c r="C142" s="130">
        <v>49606</v>
      </c>
      <c r="D142" s="131">
        <v>566.83000000000004</v>
      </c>
    </row>
    <row r="143" spans="1:4" ht="13" x14ac:dyDescent="0.25">
      <c r="A143" s="128" t="s">
        <v>488</v>
      </c>
      <c r="B143" s="129">
        <v>256779417330</v>
      </c>
      <c r="C143" s="130">
        <v>1159</v>
      </c>
      <c r="D143" s="131">
        <v>13.24</v>
      </c>
    </row>
    <row r="144" spans="1:4" ht="13" x14ac:dyDescent="0.25">
      <c r="A144" s="128" t="s">
        <v>488</v>
      </c>
      <c r="B144" s="129">
        <v>256779417444</v>
      </c>
      <c r="C144" s="130">
        <v>113740</v>
      </c>
      <c r="D144" s="131">
        <v>1299.67</v>
      </c>
    </row>
    <row r="145" spans="1:4" ht="13" x14ac:dyDescent="0.25">
      <c r="A145" s="128" t="s">
        <v>488</v>
      </c>
      <c r="B145" s="129">
        <v>256779417530</v>
      </c>
      <c r="C145" s="130">
        <v>3542</v>
      </c>
      <c r="D145" s="131">
        <v>40.47</v>
      </c>
    </row>
    <row r="146" spans="1:4" ht="13" x14ac:dyDescent="0.25">
      <c r="A146" s="128" t="s">
        <v>488</v>
      </c>
      <c r="B146" s="129">
        <v>256779417571</v>
      </c>
      <c r="C146" s="130">
        <v>13451</v>
      </c>
      <c r="D146" s="131">
        <v>153.69999999999999</v>
      </c>
    </row>
    <row r="147" spans="1:4" ht="13" x14ac:dyDescent="0.25">
      <c r="A147" s="128" t="s">
        <v>488</v>
      </c>
      <c r="B147" s="129">
        <v>256779417904</v>
      </c>
      <c r="C147" s="130">
        <v>2584</v>
      </c>
      <c r="D147" s="131">
        <v>29.3</v>
      </c>
    </row>
    <row r="148" spans="1:4" ht="13" x14ac:dyDescent="0.25">
      <c r="A148" s="128" t="s">
        <v>488</v>
      </c>
      <c r="B148" s="129">
        <v>256779417982</v>
      </c>
      <c r="C148" s="130">
        <v>13490</v>
      </c>
      <c r="D148" s="131">
        <v>152.96</v>
      </c>
    </row>
    <row r="149" spans="1:4" ht="13" x14ac:dyDescent="0.25">
      <c r="A149" s="128" t="s">
        <v>488</v>
      </c>
      <c r="B149" s="129">
        <v>256779418182</v>
      </c>
      <c r="C149" s="130">
        <v>48398</v>
      </c>
      <c r="D149" s="131">
        <v>548.79</v>
      </c>
    </row>
    <row r="150" spans="1:4" ht="13" x14ac:dyDescent="0.25">
      <c r="A150" s="128" t="s">
        <v>488</v>
      </c>
      <c r="B150" s="129">
        <v>256779418403</v>
      </c>
      <c r="C150" s="130">
        <v>4437</v>
      </c>
      <c r="D150" s="131">
        <v>50.31</v>
      </c>
    </row>
    <row r="151" spans="1:4" ht="13" x14ac:dyDescent="0.25">
      <c r="A151" s="128" t="s">
        <v>488</v>
      </c>
      <c r="B151" s="129">
        <v>256779418430</v>
      </c>
      <c r="C151" s="130">
        <v>4055</v>
      </c>
      <c r="D151" s="131">
        <v>45.98</v>
      </c>
    </row>
    <row r="152" spans="1:4" ht="13" x14ac:dyDescent="0.25">
      <c r="A152" s="128" t="s">
        <v>488</v>
      </c>
      <c r="B152" s="129">
        <v>256779418482</v>
      </c>
      <c r="C152" s="130">
        <v>1175</v>
      </c>
      <c r="D152" s="131">
        <v>13.32</v>
      </c>
    </row>
    <row r="153" spans="1:4" ht="13" x14ac:dyDescent="0.25">
      <c r="A153" s="128" t="s">
        <v>488</v>
      </c>
      <c r="B153" s="129">
        <v>256779418628</v>
      </c>
      <c r="C153" s="130">
        <v>20311</v>
      </c>
      <c r="D153" s="131">
        <v>230.31</v>
      </c>
    </row>
    <row r="154" spans="1:4" ht="13" x14ac:dyDescent="0.25">
      <c r="A154" s="128" t="s">
        <v>488</v>
      </c>
      <c r="B154" s="129">
        <v>256779418706</v>
      </c>
      <c r="C154" s="130">
        <v>4696</v>
      </c>
      <c r="D154" s="131">
        <v>53.25</v>
      </c>
    </row>
    <row r="155" spans="1:4" ht="13" x14ac:dyDescent="0.25">
      <c r="A155" s="128" t="s">
        <v>488</v>
      </c>
      <c r="B155" s="129">
        <v>256779417943</v>
      </c>
      <c r="C155" s="130">
        <v>23408</v>
      </c>
      <c r="D155" s="131">
        <v>265.42</v>
      </c>
    </row>
    <row r="156" spans="1:4" ht="13" x14ac:dyDescent="0.25">
      <c r="A156" s="128" t="s">
        <v>488</v>
      </c>
      <c r="B156" s="129">
        <v>256779418736</v>
      </c>
      <c r="C156" s="130">
        <v>21340</v>
      </c>
      <c r="D156" s="131">
        <v>241.98</v>
      </c>
    </row>
    <row r="157" spans="1:4" ht="13" x14ac:dyDescent="0.25">
      <c r="A157" s="128" t="s">
        <v>488</v>
      </c>
      <c r="B157" s="129">
        <v>256779419136</v>
      </c>
      <c r="C157" s="130">
        <v>39662</v>
      </c>
      <c r="D157" s="131">
        <v>450.69</v>
      </c>
    </row>
    <row r="158" spans="1:4" ht="13" x14ac:dyDescent="0.25">
      <c r="A158" s="128" t="s">
        <v>488</v>
      </c>
      <c r="B158" s="129">
        <v>256779418828</v>
      </c>
      <c r="C158" s="130">
        <v>1167</v>
      </c>
      <c r="D158" s="131">
        <v>13.26</v>
      </c>
    </row>
    <row r="159" spans="1:4" ht="13" x14ac:dyDescent="0.25">
      <c r="A159" s="128" t="s">
        <v>488</v>
      </c>
      <c r="B159" s="129">
        <v>256779419087</v>
      </c>
      <c r="C159" s="130">
        <v>12074</v>
      </c>
      <c r="D159" s="131">
        <v>137.19999999999999</v>
      </c>
    </row>
    <row r="160" spans="1:4" ht="13" x14ac:dyDescent="0.25">
      <c r="A160" s="128" t="s">
        <v>488</v>
      </c>
      <c r="B160" s="129">
        <v>256779419098</v>
      </c>
      <c r="C160" s="130">
        <v>3018</v>
      </c>
      <c r="D160" s="131">
        <v>34.29</v>
      </c>
    </row>
    <row r="161" spans="1:4" ht="13" x14ac:dyDescent="0.25">
      <c r="A161" s="128" t="s">
        <v>488</v>
      </c>
      <c r="B161" s="129">
        <v>256779419179</v>
      </c>
      <c r="C161" s="130">
        <v>27825</v>
      </c>
      <c r="D161" s="131">
        <v>316.18</v>
      </c>
    </row>
    <row r="162" spans="1:4" ht="13" x14ac:dyDescent="0.25">
      <c r="A162" s="128" t="s">
        <v>488</v>
      </c>
      <c r="B162" s="129">
        <v>256779419204</v>
      </c>
      <c r="C162" s="130">
        <v>1147</v>
      </c>
      <c r="D162" s="131">
        <v>13.03</v>
      </c>
    </row>
    <row r="163" spans="1:4" ht="13" x14ac:dyDescent="0.25">
      <c r="A163" s="128" t="s">
        <v>488</v>
      </c>
      <c r="B163" s="129">
        <v>256779419267</v>
      </c>
      <c r="C163" s="130">
        <v>17010</v>
      </c>
      <c r="D163" s="131">
        <v>193.29</v>
      </c>
    </row>
    <row r="164" spans="1:4" ht="13" x14ac:dyDescent="0.25">
      <c r="A164" s="128" t="s">
        <v>488</v>
      </c>
      <c r="B164" s="129">
        <v>256779419235</v>
      </c>
      <c r="C164" s="130">
        <v>12608</v>
      </c>
      <c r="D164" s="131">
        <v>143.27000000000001</v>
      </c>
    </row>
    <row r="165" spans="1:4" ht="13" x14ac:dyDescent="0.25">
      <c r="A165" s="128" t="s">
        <v>488</v>
      </c>
      <c r="B165" s="129">
        <v>256779417362</v>
      </c>
      <c r="C165" s="130">
        <v>141773</v>
      </c>
      <c r="D165" s="131">
        <v>1620</v>
      </c>
    </row>
    <row r="166" spans="1:4" ht="13" x14ac:dyDescent="0.25">
      <c r="A166" s="128" t="s">
        <v>488</v>
      </c>
      <c r="B166" s="129">
        <v>256779417075</v>
      </c>
      <c r="C166" s="130">
        <v>86562</v>
      </c>
      <c r="D166" s="131">
        <v>989.12</v>
      </c>
    </row>
    <row r="167" spans="1:4" ht="13" x14ac:dyDescent="0.25">
      <c r="A167" s="128" t="s">
        <v>488</v>
      </c>
      <c r="B167" s="129">
        <v>256779418014</v>
      </c>
      <c r="C167" s="130">
        <v>105561</v>
      </c>
      <c r="D167" s="131">
        <v>1196.96</v>
      </c>
    </row>
    <row r="168" spans="1:4" ht="13" x14ac:dyDescent="0.25">
      <c r="A168" s="128" t="s">
        <v>488</v>
      </c>
      <c r="B168" s="129">
        <v>256779418025</v>
      </c>
      <c r="C168" s="130">
        <v>142869</v>
      </c>
      <c r="D168" s="131">
        <v>1620</v>
      </c>
    </row>
    <row r="169" spans="1:4" ht="13" x14ac:dyDescent="0.25">
      <c r="A169" s="128" t="s">
        <v>488</v>
      </c>
      <c r="B169" s="129">
        <v>256779418791</v>
      </c>
      <c r="C169" s="130">
        <v>142565</v>
      </c>
      <c r="D169" s="131">
        <v>1619.99</v>
      </c>
    </row>
    <row r="170" spans="1:4" ht="13" x14ac:dyDescent="0.25">
      <c r="A170" s="128" t="s">
        <v>488</v>
      </c>
      <c r="B170" s="129">
        <v>256779418871</v>
      </c>
      <c r="C170" s="130">
        <v>84631</v>
      </c>
      <c r="D170" s="131">
        <v>961.68</v>
      </c>
    </row>
    <row r="171" spans="1:4" ht="13" x14ac:dyDescent="0.25">
      <c r="A171" s="128" t="s">
        <v>488</v>
      </c>
      <c r="B171" s="129">
        <v>256779440031</v>
      </c>
      <c r="C171" s="130">
        <v>147004</v>
      </c>
      <c r="D171" s="131">
        <v>1620</v>
      </c>
    </row>
    <row r="172" spans="1:4" ht="13" x14ac:dyDescent="0.25">
      <c r="A172" s="128" t="s">
        <v>488</v>
      </c>
      <c r="B172" s="129">
        <v>256779440322</v>
      </c>
      <c r="C172" s="130">
        <v>147004</v>
      </c>
      <c r="D172" s="131">
        <v>1620</v>
      </c>
    </row>
    <row r="173" spans="1:4" ht="13" x14ac:dyDescent="0.25">
      <c r="A173" s="128" t="s">
        <v>488</v>
      </c>
      <c r="B173" s="129">
        <v>256779440006</v>
      </c>
      <c r="C173" s="130">
        <v>71141</v>
      </c>
      <c r="D173" s="131">
        <v>783.98</v>
      </c>
    </row>
    <row r="174" spans="1:4" ht="13" x14ac:dyDescent="0.25">
      <c r="A174" s="128" t="s">
        <v>488</v>
      </c>
      <c r="B174" s="129">
        <v>256779440237</v>
      </c>
      <c r="C174" s="130">
        <v>59669</v>
      </c>
      <c r="D174" s="131">
        <v>657.56</v>
      </c>
    </row>
    <row r="175" spans="1:4" ht="13" x14ac:dyDescent="0.25">
      <c r="A175" s="128" t="s">
        <v>488</v>
      </c>
      <c r="B175" s="129">
        <v>256779419469</v>
      </c>
      <c r="C175" s="130">
        <v>175956</v>
      </c>
      <c r="D175" s="131">
        <v>1999.42</v>
      </c>
    </row>
    <row r="176" spans="1:4" ht="13" x14ac:dyDescent="0.25">
      <c r="A176" s="128" t="s">
        <v>488</v>
      </c>
      <c r="B176" s="129">
        <v>256779419593</v>
      </c>
      <c r="C176" s="130">
        <v>5611</v>
      </c>
      <c r="D176" s="131">
        <v>63.76</v>
      </c>
    </row>
    <row r="177" spans="1:4" ht="13" x14ac:dyDescent="0.25">
      <c r="A177" s="128" t="s">
        <v>488</v>
      </c>
      <c r="B177" s="129">
        <v>256779419634</v>
      </c>
      <c r="C177" s="130">
        <v>3641</v>
      </c>
      <c r="D177" s="131">
        <v>41.37</v>
      </c>
    </row>
    <row r="178" spans="1:4" ht="13" x14ac:dyDescent="0.25">
      <c r="A178" s="128" t="s">
        <v>488</v>
      </c>
      <c r="B178" s="129">
        <v>256779419872</v>
      </c>
      <c r="C178" s="130">
        <v>3714</v>
      </c>
      <c r="D178" s="131">
        <v>41.87</v>
      </c>
    </row>
    <row r="179" spans="1:4" ht="13" x14ac:dyDescent="0.25">
      <c r="A179" s="128" t="s">
        <v>488</v>
      </c>
      <c r="B179" s="129">
        <v>256779419922</v>
      </c>
      <c r="C179" s="130">
        <v>14031</v>
      </c>
      <c r="D179" s="131">
        <v>158.18</v>
      </c>
    </row>
    <row r="180" spans="1:4" ht="13" x14ac:dyDescent="0.25">
      <c r="A180" s="128" t="s">
        <v>488</v>
      </c>
      <c r="B180" s="129">
        <v>256779440083</v>
      </c>
      <c r="C180" s="130">
        <v>2829</v>
      </c>
      <c r="D180" s="131">
        <v>31.18</v>
      </c>
    </row>
    <row r="181" spans="1:4" ht="13" x14ac:dyDescent="0.25">
      <c r="A181" s="128" t="s">
        <v>488</v>
      </c>
      <c r="B181" s="129">
        <v>256779440103</v>
      </c>
      <c r="C181" s="130">
        <v>30897</v>
      </c>
      <c r="D181" s="131">
        <v>340.49</v>
      </c>
    </row>
    <row r="182" spans="1:4" ht="13" x14ac:dyDescent="0.25">
      <c r="A182" s="128" t="s">
        <v>488</v>
      </c>
      <c r="B182" s="129">
        <v>256779440120</v>
      </c>
      <c r="C182" s="130">
        <v>32077</v>
      </c>
      <c r="D182" s="131">
        <v>353.49</v>
      </c>
    </row>
    <row r="183" spans="1:4" ht="13" x14ac:dyDescent="0.25">
      <c r="A183" s="128" t="s">
        <v>488</v>
      </c>
      <c r="B183" s="129">
        <v>256779440231</v>
      </c>
      <c r="C183" s="130">
        <v>4005</v>
      </c>
      <c r="D183" s="131">
        <v>44.14</v>
      </c>
    </row>
    <row r="184" spans="1:4" ht="13" x14ac:dyDescent="0.25">
      <c r="A184" s="128" t="s">
        <v>488</v>
      </c>
      <c r="B184" s="129">
        <v>256779440289</v>
      </c>
      <c r="C184" s="130">
        <v>11226</v>
      </c>
      <c r="D184" s="131">
        <v>123.71</v>
      </c>
    </row>
    <row r="185" spans="1:4" ht="13" x14ac:dyDescent="0.25">
      <c r="A185" s="128" t="s">
        <v>488</v>
      </c>
      <c r="B185" s="129">
        <v>256779440367</v>
      </c>
      <c r="C185" s="130">
        <v>61969</v>
      </c>
      <c r="D185" s="131">
        <v>682.91</v>
      </c>
    </row>
    <row r="186" spans="1:4" ht="13" x14ac:dyDescent="0.25">
      <c r="A186" s="128" t="s">
        <v>488</v>
      </c>
      <c r="B186" s="129">
        <v>256779440163</v>
      </c>
      <c r="C186" s="130">
        <v>4894</v>
      </c>
      <c r="D186" s="131">
        <v>53.93</v>
      </c>
    </row>
    <row r="187" spans="1:4" ht="13" x14ac:dyDescent="0.25">
      <c r="A187" s="128" t="s">
        <v>488</v>
      </c>
      <c r="B187" s="129">
        <v>256779440212</v>
      </c>
      <c r="C187" s="130">
        <v>1490</v>
      </c>
      <c r="D187" s="131">
        <v>16.420000000000002</v>
      </c>
    </row>
    <row r="188" spans="1:4" ht="13" x14ac:dyDescent="0.25">
      <c r="A188" s="128" t="s">
        <v>488</v>
      </c>
      <c r="B188" s="129">
        <v>256779440415</v>
      </c>
      <c r="C188" s="130">
        <v>1490</v>
      </c>
      <c r="D188" s="131">
        <v>16.420000000000002</v>
      </c>
    </row>
    <row r="189" spans="1:4" ht="13" x14ac:dyDescent="0.25">
      <c r="A189" s="128" t="s">
        <v>488</v>
      </c>
      <c r="B189" s="129">
        <v>256779440432</v>
      </c>
      <c r="C189" s="130">
        <v>312</v>
      </c>
      <c r="D189" s="131">
        <v>3.44</v>
      </c>
    </row>
    <row r="190" spans="1:4" ht="13" x14ac:dyDescent="0.25">
      <c r="A190" s="128" t="s">
        <v>488</v>
      </c>
      <c r="B190" s="129">
        <v>256779440447</v>
      </c>
      <c r="C190" s="130">
        <v>15703</v>
      </c>
      <c r="D190" s="131">
        <v>173.05</v>
      </c>
    </row>
  </sheetData>
  <autoFilter ref="A1:C190" xr:uid="{DADA4522-9C18-47DD-B68B-4EB1DC96A20E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FBDC0-2C45-448D-B12D-2F386CB53CD3}">
  <sheetPr>
    <tabColor theme="5" tint="-0.249977111117893"/>
  </sheetPr>
  <dimension ref="A2:AG7"/>
  <sheetViews>
    <sheetView topLeftCell="G1" workbookViewId="0">
      <selection activeCell="AA34" sqref="AA34"/>
    </sheetView>
  </sheetViews>
  <sheetFormatPr defaultRowHeight="12.5" x14ac:dyDescent="0.25"/>
  <cols>
    <col min="1" max="1" width="11.1796875" hidden="1" customWidth="1"/>
    <col min="2" max="2" width="13.26953125" hidden="1" customWidth="1"/>
    <col min="3" max="3" width="9.81640625" hidden="1" customWidth="1"/>
    <col min="4" max="4" width="31.6328125" hidden="1" customWidth="1"/>
    <col min="5" max="5" width="9.90625" hidden="1" customWidth="1"/>
    <col min="6" max="6" width="6.7265625" hidden="1" customWidth="1"/>
    <col min="7" max="7" width="11.08984375" bestFit="1" customWidth="1"/>
    <col min="8" max="8" width="15.6328125" bestFit="1" customWidth="1"/>
    <col min="9" max="9" width="8.26953125" bestFit="1" customWidth="1"/>
    <col min="10" max="10" width="13.26953125" bestFit="1" customWidth="1"/>
    <col min="11" max="11" width="10.08984375" bestFit="1" customWidth="1"/>
    <col min="12" max="12" width="19.36328125" hidden="1" customWidth="1"/>
    <col min="13" max="13" width="12.90625" bestFit="1" customWidth="1"/>
    <col min="14" max="14" width="10.7265625" hidden="1" customWidth="1"/>
    <col min="15" max="15" width="20.26953125" hidden="1" customWidth="1"/>
    <col min="16" max="16" width="13.81640625" hidden="1" customWidth="1"/>
    <col min="17" max="17" width="10.36328125" hidden="1" customWidth="1"/>
    <col min="18" max="18" width="8.26953125" bestFit="1" customWidth="1"/>
    <col min="19" max="19" width="8.54296875" bestFit="1" customWidth="1"/>
    <col min="20" max="20" width="8.36328125" bestFit="1" customWidth="1"/>
    <col min="21" max="21" width="11.08984375" bestFit="1" customWidth="1"/>
    <col min="22" max="22" width="8.54296875" hidden="1" customWidth="1"/>
    <col min="23" max="23" width="11" hidden="1" customWidth="1"/>
    <col min="24" max="24" width="16.6328125" hidden="1" customWidth="1"/>
    <col min="25" max="25" width="10" hidden="1" customWidth="1"/>
    <col min="26" max="26" width="4.36328125" hidden="1" customWidth="1"/>
    <col min="27" max="27" width="31.6328125" bestFit="1" customWidth="1"/>
    <col min="28" max="30" width="14.36328125" hidden="1" customWidth="1"/>
    <col min="31" max="31" width="18.6328125" hidden="1" customWidth="1"/>
    <col min="32" max="32" width="11.7265625" hidden="1" customWidth="1"/>
    <col min="33" max="33" width="16" hidden="1" customWidth="1"/>
  </cols>
  <sheetData>
    <row r="2" spans="1:33" ht="50" x14ac:dyDescent="0.25">
      <c r="A2" s="1" t="s">
        <v>763</v>
      </c>
      <c r="B2" s="1" t="s">
        <v>764</v>
      </c>
      <c r="C2" s="1" t="s">
        <v>440</v>
      </c>
      <c r="D2" s="1" t="s">
        <v>728</v>
      </c>
      <c r="E2" s="1" t="s">
        <v>729</v>
      </c>
      <c r="F2" s="8" t="s">
        <v>765</v>
      </c>
      <c r="G2" s="1" t="s">
        <v>441</v>
      </c>
      <c r="H2" s="1" t="s">
        <v>431</v>
      </c>
      <c r="I2" s="8" t="s">
        <v>432</v>
      </c>
      <c r="J2" s="1" t="s">
        <v>433</v>
      </c>
      <c r="K2" s="1" t="s">
        <v>766</v>
      </c>
      <c r="L2" s="1" t="s">
        <v>767</v>
      </c>
      <c r="M2" s="1" t="s">
        <v>730</v>
      </c>
      <c r="N2" s="1" t="s">
        <v>445</v>
      </c>
      <c r="O2" s="1" t="s">
        <v>768</v>
      </c>
      <c r="P2" s="1" t="s">
        <v>434</v>
      </c>
      <c r="Q2" s="1" t="s">
        <v>769</v>
      </c>
      <c r="R2" s="8" t="s">
        <v>731</v>
      </c>
      <c r="S2" s="8" t="s">
        <v>732</v>
      </c>
      <c r="T2" s="8" t="s">
        <v>733</v>
      </c>
      <c r="U2" s="8" t="s">
        <v>734</v>
      </c>
      <c r="V2" s="1" t="s">
        <v>442</v>
      </c>
      <c r="W2" s="1" t="s">
        <v>770</v>
      </c>
      <c r="X2" s="1" t="s">
        <v>771</v>
      </c>
      <c r="Y2" s="1" t="s">
        <v>772</v>
      </c>
      <c r="Z2" s="1" t="s">
        <v>773</v>
      </c>
      <c r="AA2" s="1" t="s">
        <v>439</v>
      </c>
      <c r="AB2" s="1" t="s">
        <v>774</v>
      </c>
      <c r="AC2" s="1" t="s">
        <v>775</v>
      </c>
      <c r="AD2" s="1" t="s">
        <v>776</v>
      </c>
      <c r="AE2" s="1" t="s">
        <v>777</v>
      </c>
      <c r="AF2" s="1" t="s">
        <v>778</v>
      </c>
      <c r="AG2" s="1" t="s">
        <v>438</v>
      </c>
    </row>
    <row r="3" spans="1:33" x14ac:dyDescent="0.25">
      <c r="A3" s="20" t="s">
        <v>743</v>
      </c>
      <c r="B3" s="20" t="s">
        <v>744</v>
      </c>
      <c r="C3" s="20" t="s">
        <v>3</v>
      </c>
      <c r="D3" s="20" t="s">
        <v>736</v>
      </c>
      <c r="E3" s="20" t="s">
        <v>465</v>
      </c>
      <c r="F3" s="20" t="s">
        <v>745</v>
      </c>
      <c r="G3" s="125">
        <v>46093</v>
      </c>
      <c r="H3" s="20" t="s">
        <v>746</v>
      </c>
      <c r="I3" s="20" t="s">
        <v>97</v>
      </c>
      <c r="J3" s="125">
        <v>46093</v>
      </c>
      <c r="K3" s="125">
        <v>46094</v>
      </c>
      <c r="L3" s="20" t="s">
        <v>747</v>
      </c>
      <c r="M3" s="20" t="s">
        <v>748</v>
      </c>
      <c r="N3" s="20" t="s">
        <v>4</v>
      </c>
      <c r="O3" s="20" t="s">
        <v>749</v>
      </c>
      <c r="P3" s="20" t="s">
        <v>0</v>
      </c>
      <c r="Q3" s="20" t="s">
        <v>531</v>
      </c>
      <c r="R3" s="20" t="s">
        <v>737</v>
      </c>
      <c r="S3" s="126">
        <v>-450</v>
      </c>
      <c r="T3" s="20" t="s">
        <v>2</v>
      </c>
      <c r="U3" s="126">
        <v>-40768.58</v>
      </c>
      <c r="V3" s="20" t="s">
        <v>30</v>
      </c>
      <c r="W3" s="20" t="s">
        <v>750</v>
      </c>
      <c r="X3" s="20" t="s">
        <v>0</v>
      </c>
      <c r="Y3" s="20" t="s">
        <v>751</v>
      </c>
      <c r="Z3" s="20" t="s">
        <v>752</v>
      </c>
      <c r="AA3" s="20" t="s">
        <v>753</v>
      </c>
      <c r="AB3" s="20"/>
      <c r="AC3" s="20"/>
      <c r="AD3" s="20"/>
      <c r="AE3" s="20"/>
      <c r="AF3" s="20"/>
      <c r="AG3" s="20"/>
    </row>
    <row r="4" spans="1:33" x14ac:dyDescent="0.25">
      <c r="A4" s="20" t="s">
        <v>743</v>
      </c>
      <c r="B4" s="20" t="s">
        <v>744</v>
      </c>
      <c r="C4" s="20" t="s">
        <v>3</v>
      </c>
      <c r="D4" s="20" t="s">
        <v>736</v>
      </c>
      <c r="E4" s="20" t="s">
        <v>465</v>
      </c>
      <c r="F4" s="20" t="s">
        <v>745</v>
      </c>
      <c r="G4" s="125">
        <v>46093</v>
      </c>
      <c r="H4" s="20" t="s">
        <v>754</v>
      </c>
      <c r="I4" s="20" t="s">
        <v>97</v>
      </c>
      <c r="J4" s="125">
        <v>46093</v>
      </c>
      <c r="K4" s="125">
        <v>46094</v>
      </c>
      <c r="L4" s="20" t="s">
        <v>747</v>
      </c>
      <c r="M4" s="20" t="s">
        <v>755</v>
      </c>
      <c r="N4" s="20" t="s">
        <v>4</v>
      </c>
      <c r="O4" s="20" t="s">
        <v>749</v>
      </c>
      <c r="P4" s="20" t="s">
        <v>0</v>
      </c>
      <c r="Q4" s="20" t="s">
        <v>531</v>
      </c>
      <c r="R4" s="20" t="s">
        <v>737</v>
      </c>
      <c r="S4" s="126">
        <v>-450</v>
      </c>
      <c r="T4" s="20" t="s">
        <v>2</v>
      </c>
      <c r="U4" s="126">
        <v>-40768.58</v>
      </c>
      <c r="V4" s="20" t="s">
        <v>30</v>
      </c>
      <c r="W4" s="20" t="s">
        <v>750</v>
      </c>
      <c r="X4" s="20" t="s">
        <v>0</v>
      </c>
      <c r="Y4" s="20" t="s">
        <v>751</v>
      </c>
      <c r="Z4" s="20" t="s">
        <v>752</v>
      </c>
      <c r="AA4" s="20" t="s">
        <v>756</v>
      </c>
      <c r="AB4" s="20"/>
      <c r="AC4" s="20"/>
      <c r="AD4" s="20"/>
      <c r="AE4" s="20"/>
      <c r="AF4" s="20"/>
      <c r="AG4" s="20"/>
    </row>
    <row r="5" spans="1:33" x14ac:dyDescent="0.25">
      <c r="A5" s="20" t="s">
        <v>743</v>
      </c>
      <c r="B5" s="20" t="s">
        <v>744</v>
      </c>
      <c r="C5" s="20" t="s">
        <v>3</v>
      </c>
      <c r="D5" s="20" t="s">
        <v>736</v>
      </c>
      <c r="E5" s="20" t="s">
        <v>465</v>
      </c>
      <c r="F5" s="20" t="s">
        <v>745</v>
      </c>
      <c r="G5" s="125">
        <v>46093</v>
      </c>
      <c r="H5" s="20" t="s">
        <v>757</v>
      </c>
      <c r="I5" s="20" t="s">
        <v>97</v>
      </c>
      <c r="J5" s="125">
        <v>46093</v>
      </c>
      <c r="K5" s="125">
        <v>46094</v>
      </c>
      <c r="L5" s="20" t="s">
        <v>747</v>
      </c>
      <c r="M5" s="20" t="s">
        <v>758</v>
      </c>
      <c r="N5" s="20" t="s">
        <v>4</v>
      </c>
      <c r="O5" s="20" t="s">
        <v>749</v>
      </c>
      <c r="P5" s="20" t="s">
        <v>0</v>
      </c>
      <c r="Q5" s="20" t="s">
        <v>531</v>
      </c>
      <c r="R5" s="20" t="s">
        <v>737</v>
      </c>
      <c r="S5" s="126">
        <v>-465</v>
      </c>
      <c r="T5" s="20" t="s">
        <v>2</v>
      </c>
      <c r="U5" s="126">
        <v>-42127.53</v>
      </c>
      <c r="V5" s="20" t="s">
        <v>30</v>
      </c>
      <c r="W5" s="20" t="s">
        <v>750</v>
      </c>
      <c r="X5" s="20" t="s">
        <v>0</v>
      </c>
      <c r="Y5" s="20" t="s">
        <v>751</v>
      </c>
      <c r="Z5" s="20" t="s">
        <v>752</v>
      </c>
      <c r="AA5" s="20" t="s">
        <v>759</v>
      </c>
      <c r="AB5" s="20"/>
      <c r="AC5" s="20"/>
      <c r="AD5" s="20"/>
      <c r="AE5" s="20"/>
      <c r="AF5" s="20"/>
      <c r="AG5" s="20"/>
    </row>
    <row r="6" spans="1:33" x14ac:dyDescent="0.25">
      <c r="A6" s="20" t="s">
        <v>743</v>
      </c>
      <c r="B6" s="20" t="s">
        <v>744</v>
      </c>
      <c r="C6" s="20" t="s">
        <v>3</v>
      </c>
      <c r="D6" s="20" t="s">
        <v>736</v>
      </c>
      <c r="E6" s="20" t="s">
        <v>465</v>
      </c>
      <c r="F6" s="20" t="s">
        <v>745</v>
      </c>
      <c r="G6" s="125">
        <v>46093</v>
      </c>
      <c r="H6" s="20" t="s">
        <v>760</v>
      </c>
      <c r="I6" s="20" t="s">
        <v>97</v>
      </c>
      <c r="J6" s="125">
        <v>46093</v>
      </c>
      <c r="K6" s="125">
        <v>46094</v>
      </c>
      <c r="L6" s="20" t="s">
        <v>747</v>
      </c>
      <c r="M6" s="20" t="s">
        <v>761</v>
      </c>
      <c r="N6" s="20" t="s">
        <v>4</v>
      </c>
      <c r="O6" s="20" t="s">
        <v>749</v>
      </c>
      <c r="P6" s="20" t="s">
        <v>0</v>
      </c>
      <c r="Q6" s="20" t="s">
        <v>531</v>
      </c>
      <c r="R6" s="20" t="s">
        <v>737</v>
      </c>
      <c r="S6" s="126">
        <v>-465</v>
      </c>
      <c r="T6" s="20" t="s">
        <v>2</v>
      </c>
      <c r="U6" s="126">
        <v>-42127.53</v>
      </c>
      <c r="V6" s="20" t="s">
        <v>30</v>
      </c>
      <c r="W6" s="20" t="s">
        <v>750</v>
      </c>
      <c r="X6" s="20" t="s">
        <v>0</v>
      </c>
      <c r="Y6" s="20" t="s">
        <v>751</v>
      </c>
      <c r="Z6" s="20" t="s">
        <v>752</v>
      </c>
      <c r="AA6" s="20" t="s">
        <v>762</v>
      </c>
      <c r="AB6" s="20"/>
      <c r="AC6" s="20"/>
      <c r="AD6" s="20"/>
      <c r="AE6" s="20"/>
      <c r="AF6" s="20"/>
      <c r="AG6" s="20"/>
    </row>
    <row r="7" spans="1:33" x14ac:dyDescent="0.25">
      <c r="S7" s="110"/>
      <c r="U7" s="110">
        <f>SUM(U3:U6)</f>
        <v>-165792.22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5633-5B33-4AF9-B89E-EB76D9BE8D31}">
  <sheetPr>
    <tabColor rgb="FF00B050"/>
  </sheetPr>
  <dimension ref="A2:M22"/>
  <sheetViews>
    <sheetView workbookViewId="0">
      <selection activeCell="M22" sqref="M22"/>
    </sheetView>
  </sheetViews>
  <sheetFormatPr defaultRowHeight="12.5" x14ac:dyDescent="0.25"/>
  <cols>
    <col min="1" max="1" width="5.6328125" bestFit="1" customWidth="1"/>
    <col min="2" max="2" width="6.6328125" bestFit="1" customWidth="1"/>
    <col min="3" max="3" width="11.81640625" bestFit="1" customWidth="1"/>
    <col min="4" max="4" width="10.54296875" bestFit="1" customWidth="1"/>
    <col min="5" max="5" width="12.1796875" bestFit="1" customWidth="1"/>
    <col min="7" max="7" width="5.6328125" bestFit="1" customWidth="1"/>
    <col min="8" max="9" width="13.1796875" bestFit="1" customWidth="1"/>
    <col min="10" max="10" width="10" bestFit="1" customWidth="1"/>
    <col min="11" max="11" width="10.08984375" bestFit="1" customWidth="1"/>
    <col min="13" max="13" width="10" bestFit="1" customWidth="1"/>
  </cols>
  <sheetData>
    <row r="2" spans="1:13" x14ac:dyDescent="0.25">
      <c r="A2" s="116" t="s">
        <v>717</v>
      </c>
      <c r="B2" s="117"/>
      <c r="C2" s="117"/>
      <c r="D2" s="117"/>
      <c r="E2" s="118"/>
      <c r="G2" s="119" t="s">
        <v>722</v>
      </c>
      <c r="H2" s="119"/>
      <c r="I2" s="119"/>
      <c r="J2" s="119"/>
      <c r="K2" s="119"/>
    </row>
    <row r="3" spans="1:13" x14ac:dyDescent="0.25">
      <c r="A3" s="20" t="s">
        <v>468</v>
      </c>
      <c r="B3" s="20" t="s">
        <v>715</v>
      </c>
      <c r="C3" s="20" t="s">
        <v>697</v>
      </c>
      <c r="D3" s="20" t="s">
        <v>700</v>
      </c>
      <c r="E3" s="20" t="s">
        <v>718</v>
      </c>
      <c r="G3" s="20" t="s">
        <v>468</v>
      </c>
      <c r="H3" s="20" t="s">
        <v>433</v>
      </c>
      <c r="I3" s="20" t="s">
        <v>720</v>
      </c>
      <c r="J3" s="20" t="s">
        <v>721</v>
      </c>
      <c r="K3" s="20" t="s">
        <v>719</v>
      </c>
      <c r="M3" s="20" t="s">
        <v>713</v>
      </c>
    </row>
    <row r="4" spans="1:13" x14ac:dyDescent="0.25">
      <c r="A4" s="40">
        <v>2024</v>
      </c>
      <c r="B4" s="20" t="s">
        <v>459</v>
      </c>
      <c r="C4" s="32">
        <v>257352</v>
      </c>
      <c r="D4" s="32">
        <v>28595</v>
      </c>
      <c r="E4" s="21">
        <f>C4+D4</f>
        <v>285947</v>
      </c>
      <c r="G4" s="40">
        <v>2024</v>
      </c>
      <c r="H4" s="20" t="s">
        <v>459</v>
      </c>
      <c r="I4" s="32">
        <v>0</v>
      </c>
      <c r="J4" s="32">
        <v>0</v>
      </c>
      <c r="K4" s="32">
        <f>I4+J4</f>
        <v>0</v>
      </c>
      <c r="M4" s="21">
        <f>K4-E4</f>
        <v>-285947</v>
      </c>
    </row>
    <row r="5" spans="1:13" x14ac:dyDescent="0.25">
      <c r="A5" s="40">
        <v>2024</v>
      </c>
      <c r="B5" s="20" t="s">
        <v>460</v>
      </c>
      <c r="C5" s="32">
        <v>324741</v>
      </c>
      <c r="D5" s="32">
        <v>36082</v>
      </c>
      <c r="E5" s="21">
        <f t="shared" ref="E5:E19" si="0">C5+D5</f>
        <v>360823</v>
      </c>
      <c r="G5" s="40">
        <v>2024</v>
      </c>
      <c r="H5" s="20" t="s">
        <v>460</v>
      </c>
      <c r="I5" s="32">
        <v>0</v>
      </c>
      <c r="J5" s="32">
        <v>0</v>
      </c>
      <c r="K5" s="32">
        <f t="shared" ref="K5:K21" si="1">I5+J5</f>
        <v>0</v>
      </c>
      <c r="M5" s="21">
        <f t="shared" ref="M5:M21" si="2">K5-E5</f>
        <v>-360823</v>
      </c>
    </row>
    <row r="6" spans="1:13" x14ac:dyDescent="0.25">
      <c r="A6" s="40">
        <v>2024</v>
      </c>
      <c r="B6" s="20" t="s">
        <v>462</v>
      </c>
      <c r="C6" s="32">
        <v>328797</v>
      </c>
      <c r="D6" s="32">
        <v>36533</v>
      </c>
      <c r="E6" s="21">
        <f t="shared" si="0"/>
        <v>365330</v>
      </c>
      <c r="G6" s="40">
        <v>2024</v>
      </c>
      <c r="H6" s="20" t="s">
        <v>462</v>
      </c>
      <c r="I6" s="32">
        <v>0</v>
      </c>
      <c r="J6" s="32">
        <v>0</v>
      </c>
      <c r="K6" s="32">
        <f t="shared" si="1"/>
        <v>0</v>
      </c>
      <c r="M6" s="21">
        <f t="shared" si="2"/>
        <v>-365330</v>
      </c>
    </row>
    <row r="7" spans="1:13" x14ac:dyDescent="0.25">
      <c r="A7" s="40">
        <v>2024</v>
      </c>
      <c r="B7" s="20" t="s">
        <v>463</v>
      </c>
      <c r="C7" s="32">
        <v>356628</v>
      </c>
      <c r="D7" s="32">
        <v>39626</v>
      </c>
      <c r="E7" s="21">
        <f t="shared" si="0"/>
        <v>396254</v>
      </c>
      <c r="G7" s="40">
        <v>2024</v>
      </c>
      <c r="H7" s="20" t="s">
        <v>463</v>
      </c>
      <c r="I7" s="32">
        <v>0</v>
      </c>
      <c r="J7" s="32">
        <v>0</v>
      </c>
      <c r="K7" s="32">
        <f t="shared" si="1"/>
        <v>0</v>
      </c>
      <c r="M7" s="21">
        <f t="shared" si="2"/>
        <v>-396254</v>
      </c>
    </row>
    <row r="8" spans="1:13" x14ac:dyDescent="0.25">
      <c r="A8" s="40">
        <v>2024</v>
      </c>
      <c r="B8" s="20" t="s">
        <v>464</v>
      </c>
      <c r="C8" s="32">
        <v>364397</v>
      </c>
      <c r="D8" s="32">
        <v>40489</v>
      </c>
      <c r="E8" s="21">
        <f t="shared" si="0"/>
        <v>404886</v>
      </c>
      <c r="G8" s="40">
        <v>2024</v>
      </c>
      <c r="H8" s="20" t="s">
        <v>464</v>
      </c>
      <c r="I8" s="32">
        <v>0</v>
      </c>
      <c r="J8" s="32">
        <v>0</v>
      </c>
      <c r="K8" s="32">
        <f t="shared" si="1"/>
        <v>0</v>
      </c>
      <c r="M8" s="21">
        <f t="shared" si="2"/>
        <v>-404886</v>
      </c>
    </row>
    <row r="9" spans="1:13" x14ac:dyDescent="0.25">
      <c r="A9" s="40">
        <v>2025</v>
      </c>
      <c r="B9" s="20" t="s">
        <v>466</v>
      </c>
      <c r="C9" s="32">
        <v>375448</v>
      </c>
      <c r="D9" s="32">
        <v>41717</v>
      </c>
      <c r="E9" s="21">
        <f t="shared" si="0"/>
        <v>417165</v>
      </c>
      <c r="G9" s="40">
        <v>2025</v>
      </c>
      <c r="H9" s="20" t="s">
        <v>466</v>
      </c>
      <c r="I9" s="32">
        <v>0</v>
      </c>
      <c r="J9" s="32">
        <v>0</v>
      </c>
      <c r="K9" s="32">
        <f t="shared" si="1"/>
        <v>0</v>
      </c>
      <c r="M9" s="21">
        <f t="shared" si="2"/>
        <v>-417165</v>
      </c>
    </row>
    <row r="10" spans="1:13" x14ac:dyDescent="0.25">
      <c r="A10" s="40">
        <v>2025</v>
      </c>
      <c r="B10" s="20" t="s">
        <v>451</v>
      </c>
      <c r="C10" s="32">
        <v>280053</v>
      </c>
      <c r="D10" s="32">
        <v>31117</v>
      </c>
      <c r="E10" s="21">
        <f t="shared" si="0"/>
        <v>311170</v>
      </c>
      <c r="G10" s="40">
        <v>2025</v>
      </c>
      <c r="H10" s="20" t="s">
        <v>451</v>
      </c>
      <c r="I10" s="32"/>
      <c r="J10" s="32">
        <v>1285493.0299999998</v>
      </c>
      <c r="K10" s="32">
        <f t="shared" si="1"/>
        <v>1285493.0299999998</v>
      </c>
      <c r="M10" s="21">
        <f t="shared" si="2"/>
        <v>974323.0299999998</v>
      </c>
    </row>
    <row r="11" spans="1:13" x14ac:dyDescent="0.25">
      <c r="A11" s="40">
        <v>2025</v>
      </c>
      <c r="B11" s="20" t="s">
        <v>452</v>
      </c>
      <c r="C11" s="32">
        <v>453208</v>
      </c>
      <c r="D11" s="32">
        <v>21370</v>
      </c>
      <c r="E11" s="21">
        <f t="shared" si="0"/>
        <v>474578</v>
      </c>
      <c r="G11" s="40">
        <v>2025</v>
      </c>
      <c r="H11" s="20" t="s">
        <v>452</v>
      </c>
      <c r="I11" s="32"/>
      <c r="J11" s="32">
        <v>1279023.7999999998</v>
      </c>
      <c r="K11" s="32">
        <f t="shared" si="1"/>
        <v>1279023.7999999998</v>
      </c>
      <c r="M11" s="21">
        <f t="shared" si="2"/>
        <v>804445.79999999981</v>
      </c>
    </row>
    <row r="12" spans="1:13" x14ac:dyDescent="0.25">
      <c r="A12" s="40">
        <v>2025</v>
      </c>
      <c r="B12" s="20" t="s">
        <v>454</v>
      </c>
      <c r="C12" s="32">
        <v>453872</v>
      </c>
      <c r="D12" s="32">
        <v>37017</v>
      </c>
      <c r="E12" s="21">
        <f t="shared" si="0"/>
        <v>490889</v>
      </c>
      <c r="G12" s="40">
        <v>2025</v>
      </c>
      <c r="H12" s="20" t="s">
        <v>454</v>
      </c>
      <c r="I12" s="32"/>
      <c r="J12" s="32">
        <v>1255175.03</v>
      </c>
      <c r="K12" s="32">
        <f t="shared" si="1"/>
        <v>1255175.03</v>
      </c>
      <c r="M12" s="21">
        <f t="shared" si="2"/>
        <v>764286.03</v>
      </c>
    </row>
    <row r="13" spans="1:13" x14ac:dyDescent="0.25">
      <c r="A13" s="40">
        <v>2025</v>
      </c>
      <c r="B13" s="20" t="s">
        <v>455</v>
      </c>
      <c r="C13" s="32">
        <v>277104</v>
      </c>
      <c r="D13" s="32">
        <v>21554</v>
      </c>
      <c r="E13" s="21">
        <f t="shared" si="0"/>
        <v>298658</v>
      </c>
      <c r="G13" s="40">
        <v>2025</v>
      </c>
      <c r="H13" s="20" t="s">
        <v>455</v>
      </c>
      <c r="I13" s="32">
        <v>-368140.57999999996</v>
      </c>
      <c r="J13" s="32">
        <v>413804.29000000004</v>
      </c>
      <c r="K13" s="32">
        <f t="shared" si="1"/>
        <v>45663.710000000079</v>
      </c>
      <c r="M13" s="21">
        <f t="shared" si="2"/>
        <v>-252994.28999999992</v>
      </c>
    </row>
    <row r="14" spans="1:13" x14ac:dyDescent="0.25">
      <c r="A14" s="40">
        <v>2025</v>
      </c>
      <c r="B14" s="20" t="s">
        <v>456</v>
      </c>
      <c r="C14" s="32">
        <v>574785</v>
      </c>
      <c r="D14" s="32">
        <v>43627</v>
      </c>
      <c r="E14" s="21">
        <f t="shared" si="0"/>
        <v>618412</v>
      </c>
      <c r="G14" s="40">
        <v>2025</v>
      </c>
      <c r="H14" s="20" t="s">
        <v>456</v>
      </c>
      <c r="I14" s="32"/>
      <c r="J14" s="32">
        <v>449357.48</v>
      </c>
      <c r="K14" s="32">
        <f t="shared" si="1"/>
        <v>449357.48</v>
      </c>
      <c r="M14" s="21">
        <f t="shared" si="2"/>
        <v>-169054.52000000002</v>
      </c>
    </row>
    <row r="15" spans="1:13" x14ac:dyDescent="0.25">
      <c r="A15" s="40">
        <v>2025</v>
      </c>
      <c r="B15" s="20" t="s">
        <v>458</v>
      </c>
      <c r="C15" s="32">
        <v>331990</v>
      </c>
      <c r="D15" s="32">
        <v>28314</v>
      </c>
      <c r="E15" s="21">
        <f t="shared" si="0"/>
        <v>360304</v>
      </c>
      <c r="G15" s="40">
        <v>2025</v>
      </c>
      <c r="H15" s="20" t="s">
        <v>458</v>
      </c>
      <c r="I15" s="32">
        <v>-2515.02</v>
      </c>
      <c r="J15" s="32">
        <v>486072.33000000007</v>
      </c>
      <c r="K15" s="32">
        <f t="shared" si="1"/>
        <v>483557.31000000006</v>
      </c>
      <c r="M15" s="21">
        <f t="shared" si="2"/>
        <v>123253.31000000006</v>
      </c>
    </row>
    <row r="16" spans="1:13" x14ac:dyDescent="0.25">
      <c r="A16" s="40">
        <v>2025</v>
      </c>
      <c r="B16" s="20" t="s">
        <v>459</v>
      </c>
      <c r="C16" s="32">
        <v>310136</v>
      </c>
      <c r="D16" s="32">
        <v>26821</v>
      </c>
      <c r="E16" s="21">
        <f t="shared" si="0"/>
        <v>336957</v>
      </c>
      <c r="G16" s="40">
        <v>2025</v>
      </c>
      <c r="H16" s="20" t="s">
        <v>459</v>
      </c>
      <c r="I16" s="32">
        <v>-20570.5</v>
      </c>
      <c r="J16" s="32">
        <v>319598.45000000007</v>
      </c>
      <c r="K16" s="32">
        <f t="shared" si="1"/>
        <v>299027.95000000007</v>
      </c>
      <c r="M16" s="21">
        <f t="shared" si="2"/>
        <v>-37929.04999999993</v>
      </c>
    </row>
    <row r="17" spans="1:13" x14ac:dyDescent="0.25">
      <c r="A17" s="40">
        <v>2025</v>
      </c>
      <c r="B17" s="20" t="s">
        <v>460</v>
      </c>
      <c r="C17" s="32">
        <v>470384</v>
      </c>
      <c r="D17" s="32">
        <v>32035</v>
      </c>
      <c r="E17" s="21">
        <f t="shared" si="0"/>
        <v>502419</v>
      </c>
      <c r="G17" s="40">
        <v>2025</v>
      </c>
      <c r="H17" s="20" t="s">
        <v>460</v>
      </c>
      <c r="I17" s="32"/>
      <c r="J17" s="32">
        <v>467197.87</v>
      </c>
      <c r="K17" s="32">
        <f t="shared" si="1"/>
        <v>467197.87</v>
      </c>
      <c r="M17" s="21">
        <f t="shared" si="2"/>
        <v>-35221.130000000005</v>
      </c>
    </row>
    <row r="18" spans="1:13" x14ac:dyDescent="0.25">
      <c r="A18" s="40">
        <v>2025</v>
      </c>
      <c r="B18" s="20" t="s">
        <v>462</v>
      </c>
      <c r="C18" s="32">
        <v>393588</v>
      </c>
      <c r="D18" s="32">
        <v>28667</v>
      </c>
      <c r="E18" s="21">
        <f t="shared" si="0"/>
        <v>422255</v>
      </c>
      <c r="G18" s="40">
        <v>2025</v>
      </c>
      <c r="H18" s="20" t="s">
        <v>462</v>
      </c>
      <c r="I18" s="32">
        <v>-13764.82</v>
      </c>
      <c r="J18" s="32">
        <v>437828.37</v>
      </c>
      <c r="K18" s="32">
        <f t="shared" si="1"/>
        <v>424063.55</v>
      </c>
      <c r="M18" s="21">
        <f t="shared" si="2"/>
        <v>1808.5499999999884</v>
      </c>
    </row>
    <row r="19" spans="1:13" x14ac:dyDescent="0.25">
      <c r="A19" s="40">
        <v>2025</v>
      </c>
      <c r="B19" s="20" t="s">
        <v>463</v>
      </c>
      <c r="C19" s="32">
        <v>142565</v>
      </c>
      <c r="D19" s="32">
        <v>15841</v>
      </c>
      <c r="E19" s="21">
        <f t="shared" si="0"/>
        <v>158406</v>
      </c>
      <c r="G19" s="40">
        <v>2025</v>
      </c>
      <c r="H19" s="20" t="s">
        <v>463</v>
      </c>
      <c r="I19" s="32"/>
      <c r="J19" s="32">
        <v>558275.90999999992</v>
      </c>
      <c r="K19" s="32">
        <f t="shared" si="1"/>
        <v>558275.90999999992</v>
      </c>
      <c r="M19" s="21">
        <f t="shared" si="2"/>
        <v>399869.90999999992</v>
      </c>
    </row>
    <row r="20" spans="1:13" x14ac:dyDescent="0.25">
      <c r="A20" s="40">
        <v>2025</v>
      </c>
      <c r="B20" s="20" t="s">
        <v>464</v>
      </c>
      <c r="C20" s="20">
        <v>0</v>
      </c>
      <c r="D20" s="20">
        <v>0</v>
      </c>
      <c r="E20" s="20">
        <v>0</v>
      </c>
      <c r="G20" s="40">
        <v>2025</v>
      </c>
      <c r="H20" s="20" t="s">
        <v>464</v>
      </c>
      <c r="I20" s="32"/>
      <c r="J20" s="32">
        <v>18107.25</v>
      </c>
      <c r="K20" s="32">
        <f t="shared" si="1"/>
        <v>18107.25</v>
      </c>
      <c r="M20" s="21">
        <f t="shared" si="2"/>
        <v>18107.25</v>
      </c>
    </row>
    <row r="21" spans="1:13" x14ac:dyDescent="0.25">
      <c r="A21" s="40">
        <v>2026</v>
      </c>
      <c r="B21" s="20" t="s">
        <v>466</v>
      </c>
      <c r="C21" s="20">
        <v>0</v>
      </c>
      <c r="D21" s="20">
        <v>0</v>
      </c>
      <c r="E21" s="20">
        <v>0</v>
      </c>
      <c r="G21" s="40">
        <v>2026</v>
      </c>
      <c r="H21" s="20" t="s">
        <v>466</v>
      </c>
      <c r="I21" s="32">
        <v>-1233.2</v>
      </c>
      <c r="J21" s="32">
        <v>642317.13999999978</v>
      </c>
      <c r="K21" s="32">
        <f t="shared" si="1"/>
        <v>641083.93999999983</v>
      </c>
      <c r="M21" s="21">
        <f t="shared" si="2"/>
        <v>641083.93999999983</v>
      </c>
    </row>
    <row r="22" spans="1:13" ht="13" x14ac:dyDescent="0.25">
      <c r="D22" s="35">
        <f>SUM(D4:D21)</f>
        <v>509405</v>
      </c>
      <c r="E22" s="35">
        <f>SUM(E4:E21)</f>
        <v>6204453</v>
      </c>
      <c r="F22" s="29"/>
      <c r="G22" s="29"/>
      <c r="H22" s="29"/>
      <c r="I22" s="29"/>
      <c r="J22" s="29"/>
      <c r="K22" s="35">
        <f>SUM(K4:K21)</f>
        <v>7206026.8299999991</v>
      </c>
      <c r="L22" s="29"/>
      <c r="M22" s="35">
        <f>SUM(M4:M21)</f>
        <v>1001573.8299999996</v>
      </c>
    </row>
  </sheetData>
  <mergeCells count="2">
    <mergeCell ref="A2:E2"/>
    <mergeCell ref="G2:K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EBC77-B84A-4748-8CFD-A4C405EFAB2E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3C53-74FD-47BE-B6E3-14D97887664E}">
  <sheetPr>
    <tabColor rgb="FFFF0000"/>
  </sheetPr>
  <dimension ref="A2:S34"/>
  <sheetViews>
    <sheetView workbookViewId="0">
      <selection activeCell="D40" sqref="D40"/>
    </sheetView>
  </sheetViews>
  <sheetFormatPr defaultRowHeight="12.5" x14ac:dyDescent="0.25"/>
  <cols>
    <col min="1" max="1" width="10.08984375" bestFit="1" customWidth="1"/>
    <col min="2" max="2" width="30.1796875" bestFit="1" customWidth="1"/>
    <col min="3" max="3" width="10.1796875" bestFit="1" customWidth="1"/>
    <col min="4" max="4" width="14.54296875" bestFit="1" customWidth="1"/>
    <col min="5" max="5" width="10.08984375" bestFit="1" customWidth="1"/>
    <col min="6" max="6" width="22.54296875" bestFit="1" customWidth="1"/>
    <col min="7" max="7" width="21.453125" customWidth="1"/>
    <col min="8" max="8" width="26" bestFit="1" customWidth="1"/>
    <col min="9" max="9" width="26.81640625" bestFit="1" customWidth="1"/>
    <col min="11" max="11" width="13" bestFit="1" customWidth="1"/>
    <col min="12" max="12" width="7" bestFit="1" customWidth="1"/>
    <col min="13" max="13" width="14.1796875" bestFit="1" customWidth="1"/>
    <col min="15" max="15" width="5.6328125" bestFit="1" customWidth="1"/>
    <col min="16" max="17" width="13.1796875" bestFit="1" customWidth="1"/>
    <col min="19" max="19" width="12.1796875" bestFit="1" customWidth="1"/>
  </cols>
  <sheetData>
    <row r="2" spans="1:19" ht="13" thickBot="1" x14ac:dyDescent="0.3">
      <c r="C2" s="37">
        <v>4732093</v>
      </c>
      <c r="D2" s="37"/>
      <c r="E2" s="37"/>
      <c r="G2" s="113"/>
      <c r="H2" s="113"/>
    </row>
    <row r="3" spans="1:19" x14ac:dyDescent="0.25">
      <c r="A3" s="120" t="s">
        <v>704</v>
      </c>
      <c r="B3" s="121"/>
      <c r="C3" s="122"/>
      <c r="D3" s="120" t="s">
        <v>707</v>
      </c>
      <c r="E3" s="121"/>
      <c r="F3" s="123"/>
      <c r="G3" s="83"/>
      <c r="H3" s="84"/>
      <c r="I3" s="85"/>
    </row>
    <row r="4" spans="1:19" x14ac:dyDescent="0.25">
      <c r="A4" s="48" t="s">
        <v>471</v>
      </c>
      <c r="B4" s="14" t="s">
        <v>696</v>
      </c>
      <c r="C4" s="49" t="s">
        <v>703</v>
      </c>
      <c r="D4" s="57" t="s">
        <v>432</v>
      </c>
      <c r="E4" s="13" t="s">
        <v>471</v>
      </c>
      <c r="F4" s="63" t="s">
        <v>436</v>
      </c>
      <c r="G4" s="86" t="s">
        <v>713</v>
      </c>
      <c r="H4" s="87" t="s">
        <v>712</v>
      </c>
      <c r="I4" s="88" t="s">
        <v>711</v>
      </c>
      <c r="K4" s="20" t="s">
        <v>468</v>
      </c>
      <c r="L4" s="20" t="s">
        <v>471</v>
      </c>
      <c r="M4" s="20" t="s">
        <v>705</v>
      </c>
      <c r="O4" s="20" t="s">
        <v>468</v>
      </c>
      <c r="P4" s="20" t="s">
        <v>433</v>
      </c>
      <c r="Q4" s="20" t="s">
        <v>706</v>
      </c>
    </row>
    <row r="5" spans="1:19" x14ac:dyDescent="0.25">
      <c r="A5" s="50">
        <v>45776</v>
      </c>
      <c r="B5" s="22" t="s">
        <v>517</v>
      </c>
      <c r="C5" s="51">
        <v>257391</v>
      </c>
      <c r="D5" s="58" t="s">
        <v>1</v>
      </c>
      <c r="E5" s="46">
        <v>45796</v>
      </c>
      <c r="F5" s="64">
        <v>-283762.44</v>
      </c>
      <c r="G5" s="89">
        <f>C5+F5</f>
        <v>-26371.440000000002</v>
      </c>
      <c r="H5" s="90"/>
      <c r="I5" s="91" t="s">
        <v>710</v>
      </c>
      <c r="K5" s="40">
        <v>2025</v>
      </c>
      <c r="L5" s="20" t="s">
        <v>451</v>
      </c>
      <c r="M5" s="20">
        <v>0</v>
      </c>
      <c r="O5" s="40">
        <v>2025</v>
      </c>
      <c r="P5" s="20" t="s">
        <v>451</v>
      </c>
      <c r="Q5" s="32">
        <v>0</v>
      </c>
      <c r="S5" s="37">
        <f t="shared" ref="S5:S16" si="0">Q5-M5</f>
        <v>0</v>
      </c>
    </row>
    <row r="6" spans="1:19" x14ac:dyDescent="0.25">
      <c r="A6" s="48">
        <v>45803</v>
      </c>
      <c r="B6" s="14" t="s">
        <v>517</v>
      </c>
      <c r="C6" s="49">
        <v>324702</v>
      </c>
      <c r="D6" s="57" t="s">
        <v>1</v>
      </c>
      <c r="E6" s="44">
        <v>45832</v>
      </c>
      <c r="F6" s="63">
        <v>-324702</v>
      </c>
      <c r="G6" s="89">
        <f t="shared" ref="G6:G33" si="1">C6+F6</f>
        <v>0</v>
      </c>
      <c r="H6" s="90"/>
      <c r="I6" s="92"/>
      <c r="K6" s="40">
        <v>2025</v>
      </c>
      <c r="L6" s="20" t="s">
        <v>452</v>
      </c>
      <c r="M6" s="20">
        <v>0</v>
      </c>
      <c r="O6" s="40">
        <v>2025</v>
      </c>
      <c r="P6" s="20" t="s">
        <v>452</v>
      </c>
      <c r="Q6" s="32">
        <v>0</v>
      </c>
      <c r="S6" s="37">
        <f t="shared" si="0"/>
        <v>0</v>
      </c>
    </row>
    <row r="7" spans="1:19" x14ac:dyDescent="0.25">
      <c r="A7" s="48">
        <v>45818</v>
      </c>
      <c r="B7" s="14" t="s">
        <v>517</v>
      </c>
      <c r="C7" s="49">
        <v>500000</v>
      </c>
      <c r="D7" s="57" t="s">
        <v>1</v>
      </c>
      <c r="E7" s="44">
        <v>45832</v>
      </c>
      <c r="F7" s="63">
        <v>-500000</v>
      </c>
      <c r="G7" s="89">
        <f t="shared" si="1"/>
        <v>0</v>
      </c>
      <c r="H7" s="90"/>
      <c r="I7" s="92"/>
      <c r="K7" s="40">
        <v>2025</v>
      </c>
      <c r="L7" s="20" t="s">
        <v>454</v>
      </c>
      <c r="M7" s="32">
        <v>257391</v>
      </c>
      <c r="O7" s="40">
        <v>2025</v>
      </c>
      <c r="P7" s="20" t="s">
        <v>454</v>
      </c>
      <c r="Q7" s="32">
        <v>0</v>
      </c>
      <c r="S7" s="37">
        <f t="shared" si="0"/>
        <v>-257391</v>
      </c>
    </row>
    <row r="8" spans="1:19" x14ac:dyDescent="0.25">
      <c r="A8" s="48">
        <v>45826</v>
      </c>
      <c r="B8" s="14" t="s">
        <v>517</v>
      </c>
      <c r="C8" s="49">
        <v>100000</v>
      </c>
      <c r="D8" s="57" t="s">
        <v>1</v>
      </c>
      <c r="E8" s="44">
        <v>45890</v>
      </c>
      <c r="F8" s="63">
        <v>-100000</v>
      </c>
      <c r="G8" s="89">
        <f t="shared" si="1"/>
        <v>0</v>
      </c>
      <c r="H8" s="90"/>
      <c r="I8" s="92"/>
      <c r="K8" s="40">
        <v>2025</v>
      </c>
      <c r="L8" s="20" t="s">
        <v>455</v>
      </c>
      <c r="M8" s="32">
        <v>324702</v>
      </c>
      <c r="O8" s="40">
        <v>2025</v>
      </c>
      <c r="P8" s="20" t="s">
        <v>455</v>
      </c>
      <c r="Q8" s="32">
        <v>283762.44</v>
      </c>
      <c r="S8" s="37">
        <f t="shared" si="0"/>
        <v>-40939.56</v>
      </c>
    </row>
    <row r="9" spans="1:19" x14ac:dyDescent="0.25">
      <c r="A9" s="48">
        <v>45835</v>
      </c>
      <c r="B9" s="14" t="s">
        <v>517</v>
      </c>
      <c r="C9" s="49">
        <v>700000</v>
      </c>
      <c r="D9" s="57" t="s">
        <v>1</v>
      </c>
      <c r="E9" s="44">
        <v>45890</v>
      </c>
      <c r="F9" s="63">
        <v>-700000</v>
      </c>
      <c r="G9" s="89">
        <f t="shared" si="1"/>
        <v>0</v>
      </c>
      <c r="H9" s="90"/>
      <c r="I9" s="92"/>
      <c r="K9" s="40">
        <v>2025</v>
      </c>
      <c r="L9" s="20" t="s">
        <v>456</v>
      </c>
      <c r="M9" s="32">
        <v>1300000</v>
      </c>
      <c r="O9" s="40">
        <v>2025</v>
      </c>
      <c r="P9" s="20" t="s">
        <v>456</v>
      </c>
      <c r="Q9" s="32">
        <v>824702</v>
      </c>
      <c r="S9" s="37">
        <f t="shared" si="0"/>
        <v>-475298</v>
      </c>
    </row>
    <row r="10" spans="1:19" x14ac:dyDescent="0.25">
      <c r="A10" s="48">
        <v>45842</v>
      </c>
      <c r="B10" s="14" t="s">
        <v>517</v>
      </c>
      <c r="C10" s="49">
        <v>150000</v>
      </c>
      <c r="D10" s="57" t="s">
        <v>1</v>
      </c>
      <c r="E10" s="44">
        <v>45890</v>
      </c>
      <c r="F10" s="63">
        <v>-150000</v>
      </c>
      <c r="G10" s="89">
        <f t="shared" si="1"/>
        <v>0</v>
      </c>
      <c r="H10" s="90"/>
      <c r="I10" s="92"/>
      <c r="K10" s="40">
        <v>2025</v>
      </c>
      <c r="L10" s="20" t="s">
        <v>458</v>
      </c>
      <c r="M10" s="32">
        <v>600000</v>
      </c>
      <c r="O10" s="40">
        <v>2025</v>
      </c>
      <c r="P10" s="20" t="s">
        <v>458</v>
      </c>
      <c r="Q10" s="32">
        <v>0</v>
      </c>
      <c r="S10" s="37">
        <f t="shared" si="0"/>
        <v>-600000</v>
      </c>
    </row>
    <row r="11" spans="1:19" x14ac:dyDescent="0.25">
      <c r="A11" s="48">
        <v>45849</v>
      </c>
      <c r="B11" s="14" t="s">
        <v>517</v>
      </c>
      <c r="C11" s="49">
        <v>150000</v>
      </c>
      <c r="D11" s="57" t="s">
        <v>1</v>
      </c>
      <c r="E11" s="44">
        <v>45890</v>
      </c>
      <c r="F11" s="63">
        <v>-150000</v>
      </c>
      <c r="G11" s="89">
        <f t="shared" si="1"/>
        <v>0</v>
      </c>
      <c r="H11" s="90"/>
      <c r="I11" s="92"/>
      <c r="K11" s="40">
        <v>2025</v>
      </c>
      <c r="L11" s="20" t="s">
        <v>459</v>
      </c>
      <c r="M11" s="32">
        <v>450000</v>
      </c>
      <c r="O11" s="40">
        <v>2025</v>
      </c>
      <c r="P11" s="20" t="s">
        <v>459</v>
      </c>
      <c r="Q11" s="32">
        <v>1400000</v>
      </c>
      <c r="S11" s="37">
        <f t="shared" si="0"/>
        <v>950000</v>
      </c>
    </row>
    <row r="12" spans="1:19" x14ac:dyDescent="0.25">
      <c r="A12" s="48">
        <v>45857</v>
      </c>
      <c r="B12" s="14" t="s">
        <v>517</v>
      </c>
      <c r="C12" s="49">
        <v>150000</v>
      </c>
      <c r="D12" s="57" t="s">
        <v>1</v>
      </c>
      <c r="E12" s="44">
        <v>45890</v>
      </c>
      <c r="F12" s="63">
        <v>-150000</v>
      </c>
      <c r="G12" s="89">
        <f t="shared" si="1"/>
        <v>0</v>
      </c>
      <c r="H12" s="90"/>
      <c r="I12" s="92"/>
      <c r="K12" s="40">
        <v>2025</v>
      </c>
      <c r="L12" s="20" t="s">
        <v>460</v>
      </c>
      <c r="M12" s="32">
        <v>300000</v>
      </c>
      <c r="O12" s="40">
        <v>2025</v>
      </c>
      <c r="P12" s="20" t="s">
        <v>460</v>
      </c>
      <c r="Q12" s="32">
        <v>0</v>
      </c>
      <c r="S12" s="37">
        <f t="shared" si="0"/>
        <v>-300000</v>
      </c>
    </row>
    <row r="13" spans="1:19" x14ac:dyDescent="0.25">
      <c r="A13" s="48">
        <v>45863</v>
      </c>
      <c r="B13" s="14" t="s">
        <v>517</v>
      </c>
      <c r="C13" s="49">
        <v>150000</v>
      </c>
      <c r="D13" s="57" t="s">
        <v>1</v>
      </c>
      <c r="E13" s="44">
        <v>45890</v>
      </c>
      <c r="F13" s="63">
        <v>-150000</v>
      </c>
      <c r="G13" s="89">
        <f t="shared" si="1"/>
        <v>0</v>
      </c>
      <c r="H13" s="90"/>
      <c r="I13" s="92"/>
      <c r="K13" s="40">
        <v>2025</v>
      </c>
      <c r="L13" s="20" t="s">
        <v>462</v>
      </c>
      <c r="M13" s="32">
        <v>300000</v>
      </c>
      <c r="O13" s="40">
        <v>2025</v>
      </c>
      <c r="P13" s="20" t="s">
        <v>462</v>
      </c>
      <c r="Q13" s="32">
        <v>850000</v>
      </c>
      <c r="S13" s="37">
        <f t="shared" si="0"/>
        <v>550000</v>
      </c>
    </row>
    <row r="14" spans="1:19" x14ac:dyDescent="0.25">
      <c r="A14" s="52"/>
      <c r="B14" s="47"/>
      <c r="C14" s="53"/>
      <c r="D14" s="59" t="s">
        <v>1</v>
      </c>
      <c r="E14" s="45">
        <v>45931</v>
      </c>
      <c r="F14" s="65">
        <v>-100000</v>
      </c>
      <c r="G14" s="89">
        <f t="shared" si="1"/>
        <v>-100000</v>
      </c>
      <c r="H14" s="93" t="s">
        <v>708</v>
      </c>
      <c r="I14" s="92"/>
      <c r="K14" s="40">
        <v>2025</v>
      </c>
      <c r="L14" s="20" t="s">
        <v>463</v>
      </c>
      <c r="M14" s="32">
        <v>300000</v>
      </c>
      <c r="O14" s="40">
        <v>2025</v>
      </c>
      <c r="P14" s="20" t="s">
        <v>463</v>
      </c>
      <c r="Q14" s="32">
        <v>400000</v>
      </c>
      <c r="S14" s="37">
        <f t="shared" si="0"/>
        <v>100000</v>
      </c>
    </row>
    <row r="15" spans="1:19" x14ac:dyDescent="0.25">
      <c r="A15" s="52"/>
      <c r="B15" s="47"/>
      <c r="C15" s="53"/>
      <c r="D15" s="59" t="s">
        <v>1</v>
      </c>
      <c r="E15" s="45">
        <v>45931</v>
      </c>
      <c r="F15" s="65">
        <v>-100000</v>
      </c>
      <c r="G15" s="89">
        <f t="shared" si="1"/>
        <v>-100000</v>
      </c>
      <c r="H15" s="93" t="s">
        <v>708</v>
      </c>
      <c r="I15" s="92"/>
      <c r="K15" s="40">
        <v>2025</v>
      </c>
      <c r="L15" s="20" t="s">
        <v>464</v>
      </c>
      <c r="M15" s="32">
        <v>300000</v>
      </c>
      <c r="O15" s="40">
        <v>2025</v>
      </c>
      <c r="P15" s="20" t="s">
        <v>464</v>
      </c>
      <c r="Q15" s="32">
        <v>200000</v>
      </c>
      <c r="S15" s="37">
        <f t="shared" si="0"/>
        <v>-100000</v>
      </c>
    </row>
    <row r="16" spans="1:19" x14ac:dyDescent="0.25">
      <c r="A16" s="48">
        <v>45870</v>
      </c>
      <c r="B16" s="14" t="s">
        <v>517</v>
      </c>
      <c r="C16" s="49">
        <v>450000</v>
      </c>
      <c r="D16" s="57" t="s">
        <v>1</v>
      </c>
      <c r="E16" s="44">
        <v>45931</v>
      </c>
      <c r="F16" s="63">
        <v>-450000</v>
      </c>
      <c r="G16" s="89">
        <f t="shared" si="1"/>
        <v>0</v>
      </c>
      <c r="H16" s="90"/>
      <c r="I16" s="92"/>
      <c r="K16" s="40">
        <v>2026</v>
      </c>
      <c r="L16" s="20" t="s">
        <v>466</v>
      </c>
      <c r="M16" s="32">
        <v>600000</v>
      </c>
      <c r="O16" s="40">
        <v>2026</v>
      </c>
      <c r="P16" s="20" t="s">
        <v>466</v>
      </c>
      <c r="Q16" s="32">
        <v>600000</v>
      </c>
      <c r="S16" s="37">
        <f t="shared" si="0"/>
        <v>0</v>
      </c>
    </row>
    <row r="17" spans="1:19" x14ac:dyDescent="0.25">
      <c r="A17" s="48">
        <v>45909</v>
      </c>
      <c r="B17" s="14" t="s">
        <v>517</v>
      </c>
      <c r="C17" s="49">
        <v>100000</v>
      </c>
      <c r="D17" s="57" t="s">
        <v>1</v>
      </c>
      <c r="E17" s="44">
        <v>45931</v>
      </c>
      <c r="F17" s="63">
        <v>-100000</v>
      </c>
      <c r="G17" s="89">
        <f t="shared" si="1"/>
        <v>0</v>
      </c>
      <c r="H17" s="90"/>
      <c r="I17" s="92"/>
      <c r="S17" s="34">
        <f>SUM(S5:S16)</f>
        <v>-173628.56000000006</v>
      </c>
    </row>
    <row r="18" spans="1:19" x14ac:dyDescent="0.25">
      <c r="A18" s="48">
        <v>45918</v>
      </c>
      <c r="B18" s="14" t="s">
        <v>517</v>
      </c>
      <c r="C18" s="49">
        <v>100000</v>
      </c>
      <c r="D18" s="57" t="s">
        <v>1</v>
      </c>
      <c r="E18" s="44">
        <v>45944</v>
      </c>
      <c r="F18" s="63">
        <v>-100000</v>
      </c>
      <c r="G18" s="89">
        <f t="shared" si="1"/>
        <v>0</v>
      </c>
      <c r="H18" s="90"/>
      <c r="I18" s="92"/>
    </row>
    <row r="19" spans="1:19" x14ac:dyDescent="0.25">
      <c r="A19" s="52"/>
      <c r="B19" s="47"/>
      <c r="C19" s="53"/>
      <c r="D19" s="59" t="s">
        <v>1</v>
      </c>
      <c r="E19" s="45">
        <v>45959</v>
      </c>
      <c r="F19" s="65">
        <v>-1000000</v>
      </c>
      <c r="G19" s="89">
        <f t="shared" si="1"/>
        <v>-1000000</v>
      </c>
      <c r="H19" s="93" t="s">
        <v>708</v>
      </c>
      <c r="I19" s="92"/>
    </row>
    <row r="20" spans="1:19" x14ac:dyDescent="0.25">
      <c r="A20" s="52"/>
      <c r="B20" s="47"/>
      <c r="C20" s="53"/>
      <c r="D20" s="59" t="s">
        <v>1</v>
      </c>
      <c r="E20" s="45">
        <v>45959</v>
      </c>
      <c r="F20" s="65">
        <v>1000000</v>
      </c>
      <c r="G20" s="89">
        <f t="shared" si="1"/>
        <v>1000000</v>
      </c>
      <c r="H20" s="93" t="s">
        <v>708</v>
      </c>
      <c r="I20" s="92"/>
    </row>
    <row r="21" spans="1:19" x14ac:dyDescent="0.25">
      <c r="A21" s="48">
        <v>45929</v>
      </c>
      <c r="B21" s="14" t="s">
        <v>517</v>
      </c>
      <c r="C21" s="49">
        <v>100000</v>
      </c>
      <c r="D21" s="57" t="s">
        <v>1</v>
      </c>
      <c r="E21" s="44">
        <v>45972</v>
      </c>
      <c r="F21" s="63">
        <v>-100000</v>
      </c>
      <c r="G21" s="89">
        <f t="shared" si="1"/>
        <v>0</v>
      </c>
      <c r="H21" s="90"/>
      <c r="I21" s="92"/>
    </row>
    <row r="22" spans="1:19" x14ac:dyDescent="0.25">
      <c r="A22" s="48">
        <v>45937</v>
      </c>
      <c r="B22" s="14" t="s">
        <v>517</v>
      </c>
      <c r="C22" s="49">
        <v>100000</v>
      </c>
      <c r="D22" s="57" t="s">
        <v>1</v>
      </c>
      <c r="E22" s="44">
        <v>45972</v>
      </c>
      <c r="F22" s="63">
        <v>-100000</v>
      </c>
      <c r="G22" s="89">
        <f t="shared" si="1"/>
        <v>0</v>
      </c>
      <c r="H22" s="90"/>
      <c r="I22" s="92"/>
    </row>
    <row r="23" spans="1:19" x14ac:dyDescent="0.25">
      <c r="A23" s="48">
        <v>45947</v>
      </c>
      <c r="B23" s="14" t="s">
        <v>517</v>
      </c>
      <c r="C23" s="49">
        <v>100000</v>
      </c>
      <c r="D23" s="57" t="s">
        <v>1</v>
      </c>
      <c r="E23" s="44">
        <v>45977</v>
      </c>
      <c r="F23" s="63">
        <v>-100000</v>
      </c>
      <c r="G23" s="89">
        <f t="shared" si="1"/>
        <v>0</v>
      </c>
      <c r="H23" s="90"/>
      <c r="I23" s="92"/>
    </row>
    <row r="24" spans="1:19" x14ac:dyDescent="0.25">
      <c r="A24" s="48">
        <v>45959</v>
      </c>
      <c r="B24" s="14" t="s">
        <v>517</v>
      </c>
      <c r="C24" s="49">
        <v>100000</v>
      </c>
      <c r="D24" s="57" t="s">
        <v>1</v>
      </c>
      <c r="E24" s="44">
        <v>45986</v>
      </c>
      <c r="F24" s="63">
        <v>-100000</v>
      </c>
      <c r="G24" s="89">
        <f t="shared" si="1"/>
        <v>0</v>
      </c>
      <c r="H24" s="90"/>
      <c r="I24" s="92"/>
    </row>
    <row r="25" spans="1:19" x14ac:dyDescent="0.25">
      <c r="A25" s="48">
        <v>45967</v>
      </c>
      <c r="B25" s="14" t="s">
        <v>517</v>
      </c>
      <c r="C25" s="49">
        <v>100000</v>
      </c>
      <c r="D25" s="57" t="s">
        <v>1</v>
      </c>
      <c r="E25" s="44">
        <v>45992</v>
      </c>
      <c r="F25" s="63">
        <v>-100000</v>
      </c>
      <c r="G25" s="89">
        <f t="shared" si="1"/>
        <v>0</v>
      </c>
      <c r="H25" s="90"/>
      <c r="I25" s="92"/>
    </row>
    <row r="26" spans="1:19" x14ac:dyDescent="0.25">
      <c r="A26" s="48">
        <v>45975</v>
      </c>
      <c r="B26" s="14" t="s">
        <v>517</v>
      </c>
      <c r="C26" s="49">
        <v>100000</v>
      </c>
      <c r="D26" s="57" t="s">
        <v>1</v>
      </c>
      <c r="E26" s="44">
        <v>45992</v>
      </c>
      <c r="F26" s="63">
        <v>100000</v>
      </c>
      <c r="G26" s="89">
        <f t="shared" si="1"/>
        <v>200000</v>
      </c>
      <c r="H26" s="90"/>
      <c r="I26" s="92"/>
    </row>
    <row r="27" spans="1:19" x14ac:dyDescent="0.25">
      <c r="A27" s="48">
        <v>45987</v>
      </c>
      <c r="B27" s="14" t="s">
        <v>517</v>
      </c>
      <c r="C27" s="49">
        <v>100000</v>
      </c>
      <c r="D27" s="57" t="s">
        <v>1</v>
      </c>
      <c r="E27" s="44">
        <v>45994</v>
      </c>
      <c r="F27" s="63">
        <v>-100000</v>
      </c>
      <c r="G27" s="89">
        <f t="shared" si="1"/>
        <v>0</v>
      </c>
      <c r="H27" s="90"/>
      <c r="I27" s="92"/>
    </row>
    <row r="28" spans="1:19" x14ac:dyDescent="0.25">
      <c r="A28" s="48">
        <v>46006</v>
      </c>
      <c r="B28" s="14" t="s">
        <v>517</v>
      </c>
      <c r="C28" s="49">
        <v>100000</v>
      </c>
      <c r="D28" s="57" t="s">
        <v>1</v>
      </c>
      <c r="E28" s="44">
        <v>46009</v>
      </c>
      <c r="F28" s="63">
        <v>-100000</v>
      </c>
      <c r="G28" s="89">
        <f t="shared" si="1"/>
        <v>0</v>
      </c>
      <c r="H28" s="90"/>
      <c r="I28" s="92"/>
    </row>
    <row r="29" spans="1:19" x14ac:dyDescent="0.25">
      <c r="A29" s="48">
        <v>46021</v>
      </c>
      <c r="B29" s="14" t="s">
        <v>517</v>
      </c>
      <c r="C29" s="49">
        <v>200000</v>
      </c>
      <c r="D29" s="57" t="s">
        <v>1</v>
      </c>
      <c r="E29" s="44">
        <v>46030</v>
      </c>
      <c r="F29" s="63">
        <v>-200000</v>
      </c>
      <c r="G29" s="89">
        <f t="shared" si="1"/>
        <v>0</v>
      </c>
      <c r="H29" s="90"/>
      <c r="I29" s="92"/>
    </row>
    <row r="30" spans="1:19" x14ac:dyDescent="0.25">
      <c r="A30" s="48">
        <v>46028</v>
      </c>
      <c r="B30" s="14" t="s">
        <v>517</v>
      </c>
      <c r="C30" s="49">
        <v>100000</v>
      </c>
      <c r="D30" s="60" t="s">
        <v>1</v>
      </c>
      <c r="E30" s="43">
        <v>46031</v>
      </c>
      <c r="F30" s="63">
        <v>-100000</v>
      </c>
      <c r="G30" s="89">
        <f t="shared" si="1"/>
        <v>0</v>
      </c>
      <c r="H30" s="90"/>
      <c r="I30" s="94"/>
    </row>
    <row r="31" spans="1:19" x14ac:dyDescent="0.25">
      <c r="A31" s="48">
        <v>46036</v>
      </c>
      <c r="B31" s="14" t="s">
        <v>517</v>
      </c>
      <c r="C31" s="49">
        <v>150000</v>
      </c>
      <c r="D31" s="60" t="s">
        <v>1</v>
      </c>
      <c r="E31" s="43">
        <v>46041</v>
      </c>
      <c r="F31" s="63">
        <v>-150000</v>
      </c>
      <c r="G31" s="89">
        <f t="shared" si="1"/>
        <v>0</v>
      </c>
      <c r="H31" s="90"/>
      <c r="I31" s="94"/>
    </row>
    <row r="32" spans="1:19" x14ac:dyDescent="0.25">
      <c r="A32" s="48">
        <v>46043</v>
      </c>
      <c r="B32" s="14" t="s">
        <v>517</v>
      </c>
      <c r="C32" s="49">
        <v>150000</v>
      </c>
      <c r="D32" s="60" t="s">
        <v>1</v>
      </c>
      <c r="E32" s="43">
        <v>46045</v>
      </c>
      <c r="F32" s="63">
        <v>-150000</v>
      </c>
      <c r="G32" s="89">
        <f t="shared" si="1"/>
        <v>0</v>
      </c>
      <c r="H32" s="90"/>
      <c r="I32" s="94"/>
    </row>
    <row r="33" spans="1:9" ht="13" thickBot="1" x14ac:dyDescent="0.3">
      <c r="A33" s="54">
        <v>46053</v>
      </c>
      <c r="B33" s="55" t="s">
        <v>517</v>
      </c>
      <c r="C33" s="56">
        <v>200000</v>
      </c>
      <c r="D33" s="61"/>
      <c r="E33" s="62"/>
      <c r="F33" s="66"/>
      <c r="G33" s="95">
        <f t="shared" si="1"/>
        <v>200000</v>
      </c>
      <c r="H33" s="96"/>
      <c r="I33" s="97" t="s">
        <v>709</v>
      </c>
    </row>
    <row r="34" spans="1:9" x14ac:dyDescent="0.25">
      <c r="G34" s="67">
        <f>SUM(G5:G33)</f>
        <v>173628.56000000006</v>
      </c>
      <c r="H34" s="27"/>
      <c r="I34" s="27"/>
    </row>
  </sheetData>
  <autoFilter ref="A4:C4" xr:uid="{A3163C53-74FD-47BE-B6E3-14D97887664E}">
    <sortState xmlns:xlrd2="http://schemas.microsoft.com/office/spreadsheetml/2017/richdata2" ref="A5:C29">
      <sortCondition ref="A4"/>
    </sortState>
  </autoFilter>
  <mergeCells count="2">
    <mergeCell ref="A3:C3"/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AF852-D33A-4312-87D8-E2E98A0EDEF2}">
  <sheetPr>
    <tabColor theme="4" tint="0.39997558519241921"/>
  </sheetPr>
  <dimension ref="A1:P197"/>
  <sheetViews>
    <sheetView workbookViewId="0">
      <selection activeCell="H25" sqref="H25"/>
    </sheetView>
  </sheetViews>
  <sheetFormatPr defaultRowHeight="12.5" x14ac:dyDescent="0.25"/>
  <cols>
    <col min="1" max="1" width="10.08984375" bestFit="1" customWidth="1"/>
    <col min="2" max="2" width="9.1796875" bestFit="1" customWidth="1"/>
    <col min="3" max="3" width="24.453125" bestFit="1" customWidth="1"/>
    <col min="4" max="4" width="12.36328125" bestFit="1" customWidth="1"/>
    <col min="5" max="5" width="2.90625" bestFit="1" customWidth="1"/>
    <col min="6" max="6" width="10" bestFit="1" customWidth="1"/>
    <col min="7" max="7" width="3.81640625" bestFit="1" customWidth="1"/>
    <col min="8" max="8" width="12.36328125" bestFit="1" customWidth="1"/>
    <col min="9" max="9" width="15.90625" bestFit="1" customWidth="1"/>
    <col min="10" max="10" width="18.1796875" bestFit="1" customWidth="1"/>
    <col min="11" max="11" width="18.90625" bestFit="1" customWidth="1"/>
    <col min="12" max="12" width="9.453125" bestFit="1" customWidth="1"/>
    <col min="13" max="13" width="8.1796875" bestFit="1" customWidth="1"/>
    <col min="14" max="14" width="6.08984375" bestFit="1" customWidth="1"/>
    <col min="15" max="15" width="9" bestFit="1" customWidth="1"/>
    <col min="16" max="16" width="7.453125" bestFit="1" customWidth="1"/>
  </cols>
  <sheetData>
    <row r="1" spans="1:16" x14ac:dyDescent="0.25"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x14ac:dyDescent="0.25">
      <c r="F2" s="37">
        <v>5695051</v>
      </c>
      <c r="G2" s="37">
        <v>4</v>
      </c>
      <c r="H2" s="37">
        <v>509405</v>
      </c>
      <c r="I2" s="37"/>
      <c r="J2" s="37"/>
      <c r="K2" s="37"/>
      <c r="L2" s="37"/>
      <c r="M2" s="37"/>
      <c r="N2" s="37">
        <v>0</v>
      </c>
      <c r="O2" s="37">
        <v>0</v>
      </c>
      <c r="P2" s="37">
        <v>0</v>
      </c>
    </row>
    <row r="3" spans="1:16" x14ac:dyDescent="0.25">
      <c r="A3" s="19" t="s">
        <v>471</v>
      </c>
      <c r="B3" s="14" t="s">
        <v>472</v>
      </c>
      <c r="C3" s="14" t="s">
        <v>696</v>
      </c>
      <c r="D3" s="14" t="s">
        <v>702</v>
      </c>
      <c r="E3" s="13">
        <v>2</v>
      </c>
      <c r="F3" s="13">
        <v>3</v>
      </c>
      <c r="G3" s="13">
        <v>4</v>
      </c>
      <c r="H3" s="13" t="s">
        <v>701</v>
      </c>
      <c r="I3" s="13" t="s">
        <v>473</v>
      </c>
      <c r="J3" s="13" t="s">
        <v>474</v>
      </c>
      <c r="K3" s="13" t="s">
        <v>475</v>
      </c>
      <c r="L3" s="13" t="s">
        <v>476</v>
      </c>
      <c r="M3" s="13" t="s">
        <v>477</v>
      </c>
      <c r="N3" s="13" t="s">
        <v>478</v>
      </c>
      <c r="O3" s="13" t="s">
        <v>479</v>
      </c>
      <c r="P3" s="13" t="s">
        <v>699</v>
      </c>
    </row>
    <row r="4" spans="1:16" x14ac:dyDescent="0.25">
      <c r="A4" s="19"/>
      <c r="B4" s="14"/>
      <c r="C4" s="14" t="s">
        <v>488</v>
      </c>
      <c r="D4" s="38">
        <v>246779410018</v>
      </c>
      <c r="E4" s="13" t="s">
        <v>0</v>
      </c>
      <c r="F4" s="13">
        <v>140899</v>
      </c>
      <c r="G4" s="13" t="s">
        <v>489</v>
      </c>
      <c r="H4" s="13">
        <v>15655</v>
      </c>
      <c r="I4" s="13"/>
      <c r="J4" s="13"/>
      <c r="K4" s="13"/>
      <c r="L4" s="13"/>
      <c r="M4" s="13"/>
      <c r="N4" s="13"/>
      <c r="O4" s="13"/>
      <c r="P4" s="21">
        <v>0</v>
      </c>
    </row>
    <row r="5" spans="1:16" x14ac:dyDescent="0.25">
      <c r="A5" s="19"/>
      <c r="B5" s="14"/>
      <c r="C5" s="14" t="s">
        <v>488</v>
      </c>
      <c r="D5" s="38">
        <v>246779410038</v>
      </c>
      <c r="E5" s="13" t="s">
        <v>0</v>
      </c>
      <c r="F5" s="13">
        <v>140453</v>
      </c>
      <c r="G5" s="13" t="s">
        <v>489</v>
      </c>
      <c r="H5" s="13">
        <v>15606</v>
      </c>
      <c r="I5" s="13"/>
      <c r="J5" s="13"/>
      <c r="K5" s="13"/>
      <c r="L5" s="13"/>
      <c r="M5" s="13"/>
      <c r="N5" s="13"/>
      <c r="O5" s="13"/>
      <c r="P5" s="21">
        <v>0</v>
      </c>
    </row>
    <row r="6" spans="1:16" x14ac:dyDescent="0.25">
      <c r="A6" s="19"/>
      <c r="B6" s="14"/>
      <c r="C6" s="14" t="s">
        <v>488</v>
      </c>
      <c r="D6" s="38">
        <v>246779410292</v>
      </c>
      <c r="E6" s="13" t="s">
        <v>0</v>
      </c>
      <c r="F6" s="13">
        <v>140453</v>
      </c>
      <c r="G6" s="13" t="s">
        <v>489</v>
      </c>
      <c r="H6" s="13">
        <v>15606</v>
      </c>
      <c r="I6" s="13"/>
      <c r="J6" s="13"/>
      <c r="K6" s="13"/>
      <c r="L6" s="13"/>
      <c r="M6" s="13"/>
      <c r="N6" s="13"/>
      <c r="O6" s="13"/>
      <c r="P6" s="21">
        <v>0</v>
      </c>
    </row>
    <row r="7" spans="1:16" x14ac:dyDescent="0.25">
      <c r="A7" s="19"/>
      <c r="B7" s="14"/>
      <c r="C7" s="14" t="s">
        <v>488</v>
      </c>
      <c r="D7" s="38">
        <v>246779410106</v>
      </c>
      <c r="E7" s="13" t="s">
        <v>0</v>
      </c>
      <c r="F7" s="13">
        <v>140453</v>
      </c>
      <c r="G7" s="13" t="s">
        <v>489</v>
      </c>
      <c r="H7" s="13">
        <v>15606</v>
      </c>
      <c r="I7" s="13"/>
      <c r="J7" s="13"/>
      <c r="K7" s="13"/>
      <c r="L7" s="13"/>
      <c r="M7" s="13"/>
      <c r="N7" s="13"/>
      <c r="O7" s="13"/>
      <c r="P7" s="21">
        <v>0</v>
      </c>
    </row>
    <row r="8" spans="1:16" x14ac:dyDescent="0.25">
      <c r="A8" s="19"/>
      <c r="B8" s="14"/>
      <c r="C8" s="14" t="s">
        <v>488</v>
      </c>
      <c r="D8" s="38">
        <v>246779410149</v>
      </c>
      <c r="E8" s="13" t="s">
        <v>0</v>
      </c>
      <c r="F8" s="13">
        <v>140453</v>
      </c>
      <c r="G8" s="13" t="s">
        <v>489</v>
      </c>
      <c r="H8" s="13">
        <v>15606</v>
      </c>
      <c r="I8" s="13"/>
      <c r="J8" s="13"/>
      <c r="K8" s="13"/>
      <c r="L8" s="13"/>
      <c r="M8" s="13"/>
      <c r="N8" s="13"/>
      <c r="O8" s="13"/>
      <c r="P8" s="21">
        <v>0</v>
      </c>
    </row>
    <row r="9" spans="1:16" x14ac:dyDescent="0.25">
      <c r="A9" s="19"/>
      <c r="B9" s="14"/>
      <c r="C9" s="14" t="s">
        <v>488</v>
      </c>
      <c r="D9" s="38">
        <v>246779410192</v>
      </c>
      <c r="E9" s="13" t="s">
        <v>0</v>
      </c>
      <c r="F9" s="13">
        <v>140453</v>
      </c>
      <c r="G9" s="13" t="s">
        <v>489</v>
      </c>
      <c r="H9" s="13">
        <v>15606</v>
      </c>
      <c r="I9" s="13"/>
      <c r="J9" s="13"/>
      <c r="K9" s="13"/>
      <c r="L9" s="13"/>
      <c r="M9" s="13"/>
      <c r="N9" s="13"/>
      <c r="O9" s="13"/>
      <c r="P9" s="21">
        <v>0</v>
      </c>
    </row>
    <row r="10" spans="1:16" x14ac:dyDescent="0.25">
      <c r="A10" s="19"/>
      <c r="B10" s="14"/>
      <c r="C10" s="14" t="s">
        <v>488</v>
      </c>
      <c r="D10" s="38">
        <v>246779410235</v>
      </c>
      <c r="E10" s="13" t="s">
        <v>0</v>
      </c>
      <c r="F10" s="13">
        <v>140453</v>
      </c>
      <c r="G10" s="13" t="s">
        <v>489</v>
      </c>
      <c r="H10" s="13">
        <v>15606</v>
      </c>
      <c r="I10" s="13"/>
      <c r="J10" s="13"/>
      <c r="K10" s="13"/>
      <c r="L10" s="13"/>
      <c r="M10" s="13"/>
      <c r="N10" s="13"/>
      <c r="O10" s="13"/>
      <c r="P10" s="21">
        <v>0</v>
      </c>
    </row>
    <row r="11" spans="1:16" x14ac:dyDescent="0.25">
      <c r="A11" s="19"/>
      <c r="B11" s="14"/>
      <c r="C11" s="14" t="s">
        <v>488</v>
      </c>
      <c r="D11" s="38">
        <v>246779410321</v>
      </c>
      <c r="E11" s="13" t="s">
        <v>0</v>
      </c>
      <c r="F11" s="13">
        <v>36410</v>
      </c>
      <c r="G11" s="13" t="s">
        <v>489</v>
      </c>
      <c r="H11" s="13">
        <v>4046</v>
      </c>
      <c r="I11" s="13"/>
      <c r="J11" s="13"/>
      <c r="K11" s="13"/>
      <c r="L11" s="13"/>
      <c r="M11" s="13"/>
      <c r="N11" s="13"/>
      <c r="O11" s="13"/>
      <c r="P11" s="21">
        <v>0</v>
      </c>
    </row>
    <row r="12" spans="1:16" x14ac:dyDescent="0.25">
      <c r="A12" s="19"/>
      <c r="B12" s="14"/>
      <c r="C12" s="14" t="s">
        <v>488</v>
      </c>
      <c r="D12" s="38">
        <v>246779410341</v>
      </c>
      <c r="E12" s="13" t="s">
        <v>0</v>
      </c>
      <c r="F12" s="13">
        <v>35397</v>
      </c>
      <c r="G12" s="13" t="s">
        <v>489</v>
      </c>
      <c r="H12" s="13">
        <v>3933</v>
      </c>
      <c r="I12" s="13"/>
      <c r="J12" s="13"/>
      <c r="K12" s="13"/>
      <c r="L12" s="13"/>
      <c r="M12" s="13"/>
      <c r="N12" s="13"/>
      <c r="O12" s="13"/>
      <c r="P12" s="21">
        <v>0</v>
      </c>
    </row>
    <row r="13" spans="1:16" x14ac:dyDescent="0.25">
      <c r="A13" s="19"/>
      <c r="B13" s="14"/>
      <c r="C13" s="14" t="s">
        <v>488</v>
      </c>
      <c r="D13" s="38">
        <v>246779410345</v>
      </c>
      <c r="E13" s="13" t="s">
        <v>0</v>
      </c>
      <c r="F13" s="13">
        <v>36577</v>
      </c>
      <c r="G13" s="13" t="s">
        <v>489</v>
      </c>
      <c r="H13" s="13">
        <v>4064</v>
      </c>
      <c r="I13" s="13"/>
      <c r="J13" s="13"/>
      <c r="K13" s="13"/>
      <c r="L13" s="13"/>
      <c r="M13" s="13"/>
      <c r="N13" s="13"/>
      <c r="O13" s="13"/>
      <c r="P13" s="21">
        <v>0</v>
      </c>
    </row>
    <row r="14" spans="1:16" x14ac:dyDescent="0.25">
      <c r="A14" s="19"/>
      <c r="B14" s="14"/>
      <c r="C14" s="14" t="s">
        <v>488</v>
      </c>
      <c r="D14" s="38">
        <v>246779410357</v>
      </c>
      <c r="E14" s="13" t="s">
        <v>0</v>
      </c>
      <c r="F14" s="13">
        <v>35397</v>
      </c>
      <c r="G14" s="13" t="s">
        <v>489</v>
      </c>
      <c r="H14" s="13">
        <v>3933</v>
      </c>
      <c r="I14" s="13"/>
      <c r="J14" s="13"/>
      <c r="K14" s="13"/>
      <c r="L14" s="13"/>
      <c r="M14" s="13"/>
      <c r="N14" s="13"/>
      <c r="O14" s="13"/>
      <c r="P14" s="21">
        <v>0</v>
      </c>
    </row>
    <row r="15" spans="1:16" x14ac:dyDescent="0.25">
      <c r="A15" s="19"/>
      <c r="B15" s="14"/>
      <c r="C15" s="14" t="s">
        <v>488</v>
      </c>
      <c r="D15" s="38">
        <v>246779410351</v>
      </c>
      <c r="E15" s="13" t="s">
        <v>0</v>
      </c>
      <c r="F15" s="13">
        <v>36577</v>
      </c>
      <c r="G15" s="13" t="s">
        <v>489</v>
      </c>
      <c r="H15" s="13">
        <v>4064</v>
      </c>
      <c r="I15" s="13"/>
      <c r="J15" s="13"/>
      <c r="K15" s="13"/>
      <c r="L15" s="13"/>
      <c r="M15" s="13"/>
      <c r="N15" s="13"/>
      <c r="O15" s="13"/>
      <c r="P15" s="21">
        <v>0</v>
      </c>
    </row>
    <row r="16" spans="1:16" x14ac:dyDescent="0.25">
      <c r="A16" s="19"/>
      <c r="B16" s="14"/>
      <c r="C16" s="14" t="s">
        <v>488</v>
      </c>
      <c r="D16" s="38">
        <v>246779410365</v>
      </c>
      <c r="E16" s="13" t="s">
        <v>0</v>
      </c>
      <c r="F16" s="13">
        <v>80043</v>
      </c>
      <c r="G16" s="13" t="s">
        <v>489</v>
      </c>
      <c r="H16" s="13">
        <v>8894</v>
      </c>
      <c r="I16" s="13"/>
      <c r="J16" s="13"/>
      <c r="K16" s="13"/>
      <c r="L16" s="13"/>
      <c r="M16" s="13"/>
      <c r="N16" s="13"/>
      <c r="O16" s="13"/>
      <c r="P16" s="21">
        <v>0</v>
      </c>
    </row>
    <row r="17" spans="1:16" x14ac:dyDescent="0.25">
      <c r="A17" s="19"/>
      <c r="B17" s="14"/>
      <c r="C17" s="14" t="s">
        <v>488</v>
      </c>
      <c r="D17" s="38">
        <v>246779410391</v>
      </c>
      <c r="E17" s="13" t="s">
        <v>0</v>
      </c>
      <c r="F17" s="13">
        <v>148891</v>
      </c>
      <c r="G17" s="13" t="s">
        <v>489</v>
      </c>
      <c r="H17" s="13">
        <v>16543</v>
      </c>
      <c r="I17" s="13"/>
      <c r="J17" s="13"/>
      <c r="K17" s="13"/>
      <c r="L17" s="13"/>
      <c r="M17" s="13"/>
      <c r="N17" s="13"/>
      <c r="O17" s="13"/>
      <c r="P17" s="21">
        <v>0</v>
      </c>
    </row>
    <row r="18" spans="1:16" x14ac:dyDescent="0.25">
      <c r="A18" s="19"/>
      <c r="B18" s="14"/>
      <c r="C18" s="14" t="s">
        <v>488</v>
      </c>
      <c r="D18" s="38">
        <v>246779410415</v>
      </c>
      <c r="E18" s="13" t="s">
        <v>0</v>
      </c>
      <c r="F18" s="13">
        <v>151767</v>
      </c>
      <c r="G18" s="13" t="s">
        <v>489</v>
      </c>
      <c r="H18" s="13">
        <v>16863</v>
      </c>
      <c r="I18" s="13"/>
      <c r="J18" s="13"/>
      <c r="K18" s="13"/>
      <c r="L18" s="13"/>
      <c r="M18" s="13"/>
      <c r="N18" s="13"/>
      <c r="O18" s="13"/>
      <c r="P18" s="21">
        <v>0</v>
      </c>
    </row>
    <row r="19" spans="1:16" x14ac:dyDescent="0.25">
      <c r="A19" s="19"/>
      <c r="B19" s="14"/>
      <c r="C19" s="14" t="s">
        <v>488</v>
      </c>
      <c r="D19" s="38">
        <v>246779410862</v>
      </c>
      <c r="E19" s="13" t="s">
        <v>0</v>
      </c>
      <c r="F19" s="13">
        <v>180778</v>
      </c>
      <c r="G19" s="13" t="s">
        <v>489</v>
      </c>
      <c r="H19" s="13">
        <v>20087</v>
      </c>
      <c r="I19" s="13"/>
      <c r="J19" s="13"/>
      <c r="K19" s="13"/>
      <c r="L19" s="13"/>
      <c r="M19" s="13"/>
      <c r="N19" s="13"/>
      <c r="O19" s="13"/>
      <c r="P19" s="21">
        <v>0</v>
      </c>
    </row>
    <row r="20" spans="1:16" x14ac:dyDescent="0.25">
      <c r="A20" s="19"/>
      <c r="B20" s="14"/>
      <c r="C20" s="14" t="s">
        <v>488</v>
      </c>
      <c r="D20" s="38">
        <v>246779410885</v>
      </c>
      <c r="E20" s="13" t="s">
        <v>0</v>
      </c>
      <c r="F20" s="13">
        <v>187367</v>
      </c>
      <c r="G20" s="13" t="s">
        <v>489</v>
      </c>
      <c r="H20" s="13">
        <v>20819</v>
      </c>
      <c r="I20" s="13"/>
      <c r="J20" s="13"/>
      <c r="K20" s="13"/>
      <c r="L20" s="13"/>
      <c r="M20" s="13"/>
      <c r="N20" s="13"/>
      <c r="O20" s="13"/>
      <c r="P20" s="21">
        <v>0</v>
      </c>
    </row>
    <row r="21" spans="1:16" x14ac:dyDescent="0.25">
      <c r="A21" s="19"/>
      <c r="B21" s="14"/>
      <c r="C21" s="14" t="s">
        <v>488</v>
      </c>
      <c r="D21" s="38">
        <v>246779412999</v>
      </c>
      <c r="E21" s="13" t="s">
        <v>0</v>
      </c>
      <c r="F21" s="13">
        <v>14486</v>
      </c>
      <c r="G21" s="13" t="s">
        <v>489</v>
      </c>
      <c r="H21" s="13">
        <v>1610</v>
      </c>
      <c r="I21" s="13"/>
      <c r="J21" s="13"/>
      <c r="K21" s="13"/>
      <c r="L21" s="13"/>
      <c r="M21" s="13"/>
      <c r="N21" s="13"/>
      <c r="O21" s="13"/>
      <c r="P21" s="21">
        <v>0</v>
      </c>
    </row>
    <row r="22" spans="1:16" x14ac:dyDescent="0.25">
      <c r="A22" s="19"/>
      <c r="B22" s="14"/>
      <c r="C22" s="14" t="s">
        <v>488</v>
      </c>
      <c r="D22" s="38">
        <v>246779413798</v>
      </c>
      <c r="E22" s="13" t="s">
        <v>0</v>
      </c>
      <c r="F22" s="13">
        <v>36118</v>
      </c>
      <c r="G22" s="13" t="s">
        <v>489</v>
      </c>
      <c r="H22" s="13">
        <v>4013</v>
      </c>
      <c r="I22" s="13"/>
      <c r="J22" s="13"/>
      <c r="K22" s="13"/>
      <c r="L22" s="13"/>
      <c r="M22" s="13"/>
      <c r="N22" s="13"/>
      <c r="O22" s="13"/>
      <c r="P22" s="21">
        <v>0</v>
      </c>
    </row>
    <row r="23" spans="1:16" x14ac:dyDescent="0.25">
      <c r="A23" s="19"/>
      <c r="B23" s="14"/>
      <c r="C23" s="14" t="s">
        <v>488</v>
      </c>
      <c r="D23" s="38">
        <v>246779413809</v>
      </c>
      <c r="E23" s="13" t="s">
        <v>0</v>
      </c>
      <c r="F23" s="13">
        <v>32623</v>
      </c>
      <c r="G23" s="13" t="s">
        <v>489</v>
      </c>
      <c r="H23" s="13">
        <v>3625</v>
      </c>
      <c r="I23" s="13"/>
      <c r="J23" s="13"/>
      <c r="K23" s="13"/>
      <c r="L23" s="13"/>
      <c r="M23" s="13"/>
      <c r="N23" s="13"/>
      <c r="O23" s="13"/>
      <c r="P23" s="21">
        <v>0</v>
      </c>
    </row>
    <row r="24" spans="1:16" x14ac:dyDescent="0.25">
      <c r="A24" s="19"/>
      <c r="B24" s="14"/>
      <c r="C24" s="14" t="s">
        <v>488</v>
      </c>
      <c r="D24" s="38">
        <v>246779411458</v>
      </c>
      <c r="E24" s="13" t="s">
        <v>0</v>
      </c>
      <c r="F24" s="13">
        <v>6589</v>
      </c>
      <c r="G24" s="13" t="s">
        <v>489</v>
      </c>
      <c r="H24" s="13">
        <v>134</v>
      </c>
      <c r="I24" s="13"/>
      <c r="J24" s="13"/>
      <c r="K24" s="13"/>
      <c r="L24" s="13"/>
      <c r="M24" s="13"/>
      <c r="N24" s="13"/>
      <c r="O24" s="13"/>
      <c r="P24" s="21">
        <v>0</v>
      </c>
    </row>
    <row r="25" spans="1:16" x14ac:dyDescent="0.25">
      <c r="A25" s="19"/>
      <c r="B25" s="14"/>
      <c r="C25" s="14" t="s">
        <v>488</v>
      </c>
      <c r="D25" s="38">
        <v>246779411624</v>
      </c>
      <c r="E25" s="13" t="s">
        <v>0</v>
      </c>
      <c r="F25" s="13">
        <v>20898</v>
      </c>
      <c r="G25" s="13" t="s">
        <v>489</v>
      </c>
      <c r="H25" s="13">
        <v>426</v>
      </c>
      <c r="I25" s="13"/>
      <c r="J25" s="13"/>
      <c r="K25" s="13"/>
      <c r="L25" s="13"/>
      <c r="M25" s="13"/>
      <c r="N25" s="13"/>
      <c r="O25" s="13"/>
      <c r="P25" s="21">
        <v>0</v>
      </c>
    </row>
    <row r="26" spans="1:16" x14ac:dyDescent="0.25">
      <c r="A26" s="19"/>
      <c r="B26" s="14"/>
      <c r="C26" s="14" t="s">
        <v>488</v>
      </c>
      <c r="D26" s="38">
        <v>246779411625</v>
      </c>
      <c r="E26" s="13" t="s">
        <v>0</v>
      </c>
      <c r="F26" s="13">
        <v>5939</v>
      </c>
      <c r="G26" s="13" t="s">
        <v>489</v>
      </c>
      <c r="H26" s="13">
        <v>121</v>
      </c>
      <c r="I26" s="13"/>
      <c r="J26" s="13"/>
      <c r="K26" s="13"/>
      <c r="L26" s="13"/>
      <c r="M26" s="13"/>
      <c r="N26" s="13"/>
      <c r="O26" s="13"/>
      <c r="P26" s="21">
        <v>0</v>
      </c>
    </row>
    <row r="27" spans="1:16" x14ac:dyDescent="0.25">
      <c r="A27" s="19"/>
      <c r="B27" s="14"/>
      <c r="C27" s="14" t="s">
        <v>488</v>
      </c>
      <c r="D27" s="38">
        <v>246779411626</v>
      </c>
      <c r="E27" s="13" t="s">
        <v>0</v>
      </c>
      <c r="F27" s="13">
        <v>6091</v>
      </c>
      <c r="G27" s="13" t="s">
        <v>489</v>
      </c>
      <c r="H27" s="13">
        <v>124</v>
      </c>
      <c r="I27" s="13"/>
      <c r="J27" s="13"/>
      <c r="K27" s="13"/>
      <c r="L27" s="13"/>
      <c r="M27" s="13"/>
      <c r="N27" s="13"/>
      <c r="O27" s="13"/>
      <c r="P27" s="21">
        <v>0</v>
      </c>
    </row>
    <row r="28" spans="1:16" x14ac:dyDescent="0.25">
      <c r="A28" s="19"/>
      <c r="B28" s="14"/>
      <c r="C28" s="14" t="s">
        <v>488</v>
      </c>
      <c r="D28" s="38">
        <v>246779411627</v>
      </c>
      <c r="E28" s="13" t="s">
        <v>0</v>
      </c>
      <c r="F28" s="13">
        <v>5258</v>
      </c>
      <c r="G28" s="13" t="s">
        <v>489</v>
      </c>
      <c r="H28" s="13">
        <v>107</v>
      </c>
      <c r="I28" s="13"/>
      <c r="J28" s="13"/>
      <c r="K28" s="13"/>
      <c r="L28" s="13"/>
      <c r="M28" s="13"/>
      <c r="N28" s="13"/>
      <c r="O28" s="13"/>
      <c r="P28" s="21">
        <v>0</v>
      </c>
    </row>
    <row r="29" spans="1:16" x14ac:dyDescent="0.25">
      <c r="A29" s="19"/>
      <c r="B29" s="14"/>
      <c r="C29" s="14" t="s">
        <v>488</v>
      </c>
      <c r="D29" s="38">
        <v>246779412068</v>
      </c>
      <c r="E29" s="13" t="s">
        <v>0</v>
      </c>
      <c r="F29" s="13">
        <v>10392</v>
      </c>
      <c r="G29" s="13" t="s">
        <v>489</v>
      </c>
      <c r="H29" s="13">
        <v>212</v>
      </c>
      <c r="I29" s="13"/>
      <c r="J29" s="13"/>
      <c r="K29" s="13"/>
      <c r="L29" s="13"/>
      <c r="M29" s="13"/>
      <c r="N29" s="13"/>
      <c r="O29" s="13"/>
      <c r="P29" s="21">
        <v>0</v>
      </c>
    </row>
    <row r="30" spans="1:16" x14ac:dyDescent="0.25">
      <c r="A30" s="19"/>
      <c r="B30" s="14"/>
      <c r="C30" s="14" t="s">
        <v>488</v>
      </c>
      <c r="D30" s="38">
        <v>246779412247</v>
      </c>
      <c r="E30" s="13" t="s">
        <v>0</v>
      </c>
      <c r="F30" s="13">
        <v>6589</v>
      </c>
      <c r="G30" s="13" t="s">
        <v>489</v>
      </c>
      <c r="H30" s="13">
        <v>134</v>
      </c>
      <c r="I30" s="13"/>
      <c r="J30" s="13"/>
      <c r="K30" s="13"/>
      <c r="L30" s="13"/>
      <c r="M30" s="13"/>
      <c r="N30" s="13"/>
      <c r="O30" s="13"/>
      <c r="P30" s="21">
        <v>0</v>
      </c>
    </row>
    <row r="31" spans="1:16" x14ac:dyDescent="0.25">
      <c r="A31" s="23"/>
      <c r="B31" s="24"/>
      <c r="C31" s="24" t="s">
        <v>488</v>
      </c>
      <c r="D31" s="39">
        <v>246779414060</v>
      </c>
      <c r="E31" s="25" t="s">
        <v>0</v>
      </c>
      <c r="F31" s="25">
        <v>23090</v>
      </c>
      <c r="G31" s="25" t="s">
        <v>489</v>
      </c>
      <c r="H31" s="25">
        <v>471</v>
      </c>
      <c r="I31" s="25"/>
      <c r="J31" s="25"/>
      <c r="K31" s="25"/>
      <c r="L31" s="25"/>
      <c r="M31" s="25"/>
      <c r="N31" s="25"/>
      <c r="O31" s="25"/>
      <c r="P31" s="26">
        <v>0</v>
      </c>
    </row>
    <row r="32" spans="1:16" x14ac:dyDescent="0.25">
      <c r="A32" s="23"/>
      <c r="B32" s="24"/>
      <c r="C32" s="24" t="s">
        <v>488</v>
      </c>
      <c r="D32" s="39">
        <v>246779414061</v>
      </c>
      <c r="E32" s="25" t="s">
        <v>0</v>
      </c>
      <c r="F32" s="25">
        <v>23453</v>
      </c>
      <c r="G32" s="25" t="s">
        <v>489</v>
      </c>
      <c r="H32" s="25">
        <v>479</v>
      </c>
      <c r="I32" s="25"/>
      <c r="J32" s="25"/>
      <c r="K32" s="25"/>
      <c r="L32" s="25"/>
      <c r="M32" s="25"/>
      <c r="N32" s="25"/>
      <c r="O32" s="25"/>
      <c r="P32" s="26">
        <v>0</v>
      </c>
    </row>
    <row r="33" spans="1:16" x14ac:dyDescent="0.25">
      <c r="A33" s="23"/>
      <c r="B33" s="24"/>
      <c r="C33" s="24" t="s">
        <v>488</v>
      </c>
      <c r="D33" s="39">
        <v>246779414062</v>
      </c>
      <c r="E33" s="25" t="s">
        <v>0</v>
      </c>
      <c r="F33" s="25">
        <v>21271</v>
      </c>
      <c r="G33" s="25" t="s">
        <v>489</v>
      </c>
      <c r="H33" s="25">
        <v>434</v>
      </c>
      <c r="I33" s="25"/>
      <c r="J33" s="25"/>
      <c r="K33" s="25"/>
      <c r="L33" s="25"/>
      <c r="M33" s="25"/>
      <c r="N33" s="25"/>
      <c r="O33" s="25"/>
      <c r="P33" s="26">
        <v>0</v>
      </c>
    </row>
    <row r="34" spans="1:16" x14ac:dyDescent="0.25">
      <c r="A34" s="23"/>
      <c r="B34" s="24"/>
      <c r="C34" s="24" t="s">
        <v>488</v>
      </c>
      <c r="D34" s="39">
        <v>246779414063</v>
      </c>
      <c r="E34" s="25" t="s">
        <v>0</v>
      </c>
      <c r="F34" s="25">
        <v>46907</v>
      </c>
      <c r="G34" s="25" t="s">
        <v>489</v>
      </c>
      <c r="H34" s="25">
        <v>957</v>
      </c>
      <c r="I34" s="25"/>
      <c r="J34" s="25"/>
      <c r="K34" s="25"/>
      <c r="L34" s="25"/>
      <c r="M34" s="25"/>
      <c r="N34" s="25"/>
      <c r="O34" s="25"/>
      <c r="P34" s="26">
        <v>0</v>
      </c>
    </row>
    <row r="35" spans="1:16" x14ac:dyDescent="0.25">
      <c r="A35" s="23"/>
      <c r="B35" s="24"/>
      <c r="C35" s="24" t="s">
        <v>488</v>
      </c>
      <c r="D35" s="39">
        <v>246779414064</v>
      </c>
      <c r="E35" s="25" t="s">
        <v>0</v>
      </c>
      <c r="F35" s="25">
        <v>29873</v>
      </c>
      <c r="G35" s="25" t="s">
        <v>489</v>
      </c>
      <c r="H35" s="25">
        <v>610</v>
      </c>
      <c r="I35" s="25"/>
      <c r="J35" s="25"/>
      <c r="K35" s="25"/>
      <c r="L35" s="25"/>
      <c r="M35" s="25"/>
      <c r="N35" s="25"/>
      <c r="O35" s="25"/>
      <c r="P35" s="26">
        <v>0</v>
      </c>
    </row>
    <row r="36" spans="1:16" x14ac:dyDescent="0.25">
      <c r="A36" s="23"/>
      <c r="B36" s="24"/>
      <c r="C36" s="24" t="s">
        <v>488</v>
      </c>
      <c r="D36" s="39">
        <v>246779414065</v>
      </c>
      <c r="E36" s="25" t="s">
        <v>0</v>
      </c>
      <c r="F36" s="25">
        <v>23453</v>
      </c>
      <c r="G36" s="25" t="s">
        <v>489</v>
      </c>
      <c r="H36" s="25">
        <v>479</v>
      </c>
      <c r="I36" s="25"/>
      <c r="J36" s="25"/>
      <c r="K36" s="25"/>
      <c r="L36" s="25"/>
      <c r="M36" s="25"/>
      <c r="N36" s="25"/>
      <c r="O36" s="25"/>
      <c r="P36" s="26">
        <v>0</v>
      </c>
    </row>
    <row r="37" spans="1:16" x14ac:dyDescent="0.25">
      <c r="A37" s="19"/>
      <c r="B37" s="14"/>
      <c r="C37" s="14" t="s">
        <v>488</v>
      </c>
      <c r="D37" s="38">
        <v>246779414066</v>
      </c>
      <c r="E37" s="13" t="s">
        <v>0</v>
      </c>
      <c r="F37" s="13">
        <v>1788</v>
      </c>
      <c r="G37" s="13" t="s">
        <v>489</v>
      </c>
      <c r="H37" s="13">
        <v>36</v>
      </c>
      <c r="I37" s="13"/>
      <c r="J37" s="13"/>
      <c r="K37" s="13"/>
      <c r="L37" s="13"/>
      <c r="M37" s="13"/>
      <c r="N37" s="13"/>
      <c r="O37" s="13"/>
      <c r="P37" s="21">
        <v>0</v>
      </c>
    </row>
    <row r="38" spans="1:16" x14ac:dyDescent="0.25">
      <c r="A38" s="19"/>
      <c r="B38" s="14"/>
      <c r="C38" s="14" t="s">
        <v>488</v>
      </c>
      <c r="D38" s="38">
        <v>246779411302</v>
      </c>
      <c r="E38" s="13" t="s">
        <v>0</v>
      </c>
      <c r="F38" s="13">
        <v>2987</v>
      </c>
      <c r="G38" s="13" t="s">
        <v>489</v>
      </c>
      <c r="H38" s="13">
        <v>61</v>
      </c>
      <c r="I38" s="13"/>
      <c r="J38" s="13"/>
      <c r="K38" s="13"/>
      <c r="L38" s="13"/>
      <c r="M38" s="13"/>
      <c r="N38" s="13"/>
      <c r="O38" s="13"/>
      <c r="P38" s="21">
        <v>0</v>
      </c>
    </row>
    <row r="39" spans="1:16" x14ac:dyDescent="0.25">
      <c r="A39" s="19"/>
      <c r="B39" s="14"/>
      <c r="C39" s="14" t="s">
        <v>488</v>
      </c>
      <c r="D39" s="38">
        <v>246779413220</v>
      </c>
      <c r="E39" s="13" t="s">
        <v>0</v>
      </c>
      <c r="F39" s="13">
        <v>2207</v>
      </c>
      <c r="G39" s="13" t="s">
        <v>489</v>
      </c>
      <c r="H39" s="13">
        <v>45</v>
      </c>
      <c r="I39" s="13"/>
      <c r="J39" s="13"/>
      <c r="K39" s="13"/>
      <c r="L39" s="13"/>
      <c r="M39" s="13"/>
      <c r="N39" s="13"/>
      <c r="O39" s="13"/>
      <c r="P39" s="21">
        <v>0</v>
      </c>
    </row>
    <row r="40" spans="1:16" x14ac:dyDescent="0.25">
      <c r="A40" s="19"/>
      <c r="B40" s="14"/>
      <c r="C40" s="14" t="s">
        <v>488</v>
      </c>
      <c r="D40" s="38">
        <v>246779413884</v>
      </c>
      <c r="E40" s="13" t="s">
        <v>0</v>
      </c>
      <c r="F40" s="13">
        <v>10870</v>
      </c>
      <c r="G40" s="13" t="s">
        <v>489</v>
      </c>
      <c r="H40" s="13">
        <v>222</v>
      </c>
      <c r="I40" s="13"/>
      <c r="J40" s="13"/>
      <c r="K40" s="13"/>
      <c r="L40" s="13"/>
      <c r="M40" s="13"/>
      <c r="N40" s="13"/>
      <c r="O40" s="13"/>
      <c r="P40" s="21">
        <v>0</v>
      </c>
    </row>
    <row r="41" spans="1:16" x14ac:dyDescent="0.25">
      <c r="A41" s="19"/>
      <c r="B41" s="14"/>
      <c r="C41" s="14" t="s">
        <v>488</v>
      </c>
      <c r="D41" s="38">
        <v>246779413893</v>
      </c>
      <c r="E41" s="13" t="s">
        <v>0</v>
      </c>
      <c r="F41" s="13">
        <v>148</v>
      </c>
      <c r="G41" s="13" t="s">
        <v>489</v>
      </c>
      <c r="H41" s="13">
        <v>3</v>
      </c>
      <c r="I41" s="13"/>
      <c r="J41" s="13"/>
      <c r="K41" s="13"/>
      <c r="L41" s="13"/>
      <c r="M41" s="13"/>
      <c r="N41" s="13"/>
      <c r="O41" s="13"/>
      <c r="P41" s="21">
        <v>0</v>
      </c>
    </row>
    <row r="42" spans="1:16" x14ac:dyDescent="0.25">
      <c r="A42" s="19"/>
      <c r="B42" s="14"/>
      <c r="C42" s="14" t="s">
        <v>488</v>
      </c>
      <c r="D42" s="38">
        <v>246779413894</v>
      </c>
      <c r="E42" s="13" t="s">
        <v>0</v>
      </c>
      <c r="F42" s="13">
        <v>170</v>
      </c>
      <c r="G42" s="13" t="s">
        <v>489</v>
      </c>
      <c r="H42" s="13">
        <v>3</v>
      </c>
      <c r="I42" s="13"/>
      <c r="J42" s="13"/>
      <c r="K42" s="13"/>
      <c r="L42" s="13"/>
      <c r="M42" s="13"/>
      <c r="N42" s="13"/>
      <c r="O42" s="13"/>
      <c r="P42" s="21">
        <v>0</v>
      </c>
    </row>
    <row r="43" spans="1:16" x14ac:dyDescent="0.25">
      <c r="A43" s="19"/>
      <c r="B43" s="14"/>
      <c r="C43" s="14" t="s">
        <v>488</v>
      </c>
      <c r="D43" s="38">
        <v>246779413901</v>
      </c>
      <c r="E43" s="13" t="s">
        <v>0</v>
      </c>
      <c r="F43" s="13">
        <v>148</v>
      </c>
      <c r="G43" s="13" t="s">
        <v>489</v>
      </c>
      <c r="H43" s="13">
        <v>3</v>
      </c>
      <c r="I43" s="13"/>
      <c r="J43" s="13"/>
      <c r="K43" s="13"/>
      <c r="L43" s="13"/>
      <c r="M43" s="13"/>
      <c r="N43" s="13"/>
      <c r="O43" s="13"/>
      <c r="P43" s="21">
        <v>0</v>
      </c>
    </row>
    <row r="44" spans="1:16" x14ac:dyDescent="0.25">
      <c r="A44" s="19"/>
      <c r="B44" s="14"/>
      <c r="C44" s="14" t="s">
        <v>488</v>
      </c>
      <c r="D44" s="38">
        <v>256779413186</v>
      </c>
      <c r="E44" s="13" t="s">
        <v>0</v>
      </c>
      <c r="F44" s="13">
        <v>34824</v>
      </c>
      <c r="G44" s="13" t="s">
        <v>489</v>
      </c>
      <c r="H44" s="13">
        <v>3869</v>
      </c>
      <c r="I44" s="13"/>
      <c r="J44" s="13"/>
      <c r="K44" s="13"/>
      <c r="L44" s="13"/>
      <c r="M44" s="13"/>
      <c r="N44" s="13"/>
      <c r="O44" s="13"/>
      <c r="P44" s="21">
        <v>0</v>
      </c>
    </row>
    <row r="45" spans="1:16" x14ac:dyDescent="0.25">
      <c r="A45" s="19"/>
      <c r="B45" s="14"/>
      <c r="C45" s="14" t="s">
        <v>488</v>
      </c>
      <c r="D45" s="38">
        <v>256779414342</v>
      </c>
      <c r="E45" s="13" t="s">
        <v>0</v>
      </c>
      <c r="F45" s="13">
        <v>35715</v>
      </c>
      <c r="G45" s="13" t="s">
        <v>489</v>
      </c>
      <c r="H45" s="13">
        <v>3968</v>
      </c>
      <c r="I45" s="13"/>
      <c r="J45" s="13"/>
      <c r="K45" s="13"/>
      <c r="L45" s="13"/>
      <c r="M45" s="13"/>
      <c r="N45" s="13"/>
      <c r="O45" s="13"/>
      <c r="P45" s="21">
        <v>0</v>
      </c>
    </row>
    <row r="46" spans="1:16" x14ac:dyDescent="0.25">
      <c r="A46" s="19"/>
      <c r="B46" s="14"/>
      <c r="C46" s="14" t="s">
        <v>488</v>
      </c>
      <c r="D46" s="38">
        <v>246779413911</v>
      </c>
      <c r="E46" s="13" t="s">
        <v>0</v>
      </c>
      <c r="F46" s="13">
        <v>169</v>
      </c>
      <c r="G46" s="13" t="s">
        <v>489</v>
      </c>
      <c r="H46" s="13">
        <v>3</v>
      </c>
      <c r="I46" s="13"/>
      <c r="J46" s="13"/>
      <c r="K46" s="13"/>
      <c r="L46" s="13"/>
      <c r="M46" s="13"/>
      <c r="N46" s="13"/>
      <c r="O46" s="13"/>
      <c r="P46" s="21">
        <v>0</v>
      </c>
    </row>
    <row r="47" spans="1:16" x14ac:dyDescent="0.25">
      <c r="A47" s="19"/>
      <c r="B47" s="14"/>
      <c r="C47" s="14" t="s">
        <v>488</v>
      </c>
      <c r="D47" s="38">
        <v>246779413913</v>
      </c>
      <c r="E47" s="13" t="s">
        <v>0</v>
      </c>
      <c r="F47" s="13">
        <v>1251</v>
      </c>
      <c r="G47" s="13" t="s">
        <v>489</v>
      </c>
      <c r="H47" s="13">
        <v>26</v>
      </c>
      <c r="I47" s="13"/>
      <c r="J47" s="13"/>
      <c r="K47" s="13"/>
      <c r="L47" s="13"/>
      <c r="M47" s="13"/>
      <c r="N47" s="13"/>
      <c r="O47" s="13"/>
      <c r="P47" s="21">
        <v>0</v>
      </c>
    </row>
    <row r="48" spans="1:16" x14ac:dyDescent="0.25">
      <c r="A48" s="19"/>
      <c r="B48" s="14"/>
      <c r="C48" s="14" t="s">
        <v>488</v>
      </c>
      <c r="D48" s="38">
        <v>246779414150</v>
      </c>
      <c r="E48" s="13" t="s">
        <v>0</v>
      </c>
      <c r="F48" s="13">
        <v>1036</v>
      </c>
      <c r="G48" s="13" t="s">
        <v>489</v>
      </c>
      <c r="H48" s="13">
        <v>21</v>
      </c>
      <c r="I48" s="13"/>
      <c r="J48" s="13"/>
      <c r="K48" s="13"/>
      <c r="L48" s="13"/>
      <c r="M48" s="13"/>
      <c r="N48" s="13"/>
      <c r="O48" s="13"/>
      <c r="P48" s="21">
        <v>0</v>
      </c>
    </row>
    <row r="49" spans="1:16" x14ac:dyDescent="0.25">
      <c r="A49" s="19"/>
      <c r="B49" s="14"/>
      <c r="C49" s="14" t="s">
        <v>488</v>
      </c>
      <c r="D49" s="38">
        <v>246779414151</v>
      </c>
      <c r="E49" s="13" t="s">
        <v>0</v>
      </c>
      <c r="F49" s="13">
        <v>1269</v>
      </c>
      <c r="G49" s="13" t="s">
        <v>489</v>
      </c>
      <c r="H49" s="13">
        <v>26</v>
      </c>
      <c r="I49" s="13"/>
      <c r="J49" s="13"/>
      <c r="K49" s="13"/>
      <c r="L49" s="13"/>
      <c r="M49" s="13"/>
      <c r="N49" s="13"/>
      <c r="O49" s="13"/>
      <c r="P49" s="21">
        <v>0</v>
      </c>
    </row>
    <row r="50" spans="1:16" x14ac:dyDescent="0.25">
      <c r="A50" s="19"/>
      <c r="B50" s="14"/>
      <c r="C50" s="14" t="s">
        <v>488</v>
      </c>
      <c r="D50" s="38">
        <v>246779414229</v>
      </c>
      <c r="E50" s="13" t="s">
        <v>0</v>
      </c>
      <c r="F50" s="13">
        <v>769</v>
      </c>
      <c r="G50" s="13" t="s">
        <v>489</v>
      </c>
      <c r="H50" s="13">
        <v>16</v>
      </c>
      <c r="I50" s="13"/>
      <c r="J50" s="13"/>
      <c r="K50" s="13"/>
      <c r="L50" s="13"/>
      <c r="M50" s="13"/>
      <c r="N50" s="13"/>
      <c r="O50" s="13"/>
      <c r="P50" s="21">
        <v>0</v>
      </c>
    </row>
    <row r="51" spans="1:16" x14ac:dyDescent="0.25">
      <c r="A51" s="19"/>
      <c r="B51" s="14"/>
      <c r="C51" s="14" t="s">
        <v>488</v>
      </c>
      <c r="D51" s="38">
        <v>246779414230</v>
      </c>
      <c r="E51" s="13" t="s">
        <v>0</v>
      </c>
      <c r="F51" s="13">
        <v>84</v>
      </c>
      <c r="G51" s="13" t="s">
        <v>489</v>
      </c>
      <c r="H51" s="13">
        <v>2</v>
      </c>
      <c r="I51" s="13"/>
      <c r="J51" s="13"/>
      <c r="K51" s="13"/>
      <c r="L51" s="13"/>
      <c r="M51" s="13"/>
      <c r="N51" s="13"/>
      <c r="O51" s="13"/>
      <c r="P51" s="21">
        <v>0</v>
      </c>
    </row>
    <row r="52" spans="1:16" x14ac:dyDescent="0.25">
      <c r="A52" s="19"/>
      <c r="B52" s="14"/>
      <c r="C52" s="14" t="s">
        <v>488</v>
      </c>
      <c r="D52" s="38">
        <v>246779414319</v>
      </c>
      <c r="E52" s="13" t="s">
        <v>0</v>
      </c>
      <c r="F52" s="13">
        <v>1119</v>
      </c>
      <c r="G52" s="13" t="s">
        <v>489</v>
      </c>
      <c r="H52" s="13">
        <v>23</v>
      </c>
      <c r="I52" s="13"/>
      <c r="J52" s="13"/>
      <c r="K52" s="13"/>
      <c r="L52" s="13"/>
      <c r="M52" s="13"/>
      <c r="N52" s="13"/>
      <c r="O52" s="13"/>
      <c r="P52" s="21">
        <v>0</v>
      </c>
    </row>
    <row r="53" spans="1:16" x14ac:dyDescent="0.25">
      <c r="A53" s="19"/>
      <c r="B53" s="14"/>
      <c r="C53" s="14" t="s">
        <v>488</v>
      </c>
      <c r="D53" s="38">
        <v>246779414320</v>
      </c>
      <c r="E53" s="13" t="s">
        <v>0</v>
      </c>
      <c r="F53" s="13">
        <v>3253</v>
      </c>
      <c r="G53" s="13" t="s">
        <v>489</v>
      </c>
      <c r="H53" s="13">
        <v>66</v>
      </c>
      <c r="I53" s="13"/>
      <c r="J53" s="13"/>
      <c r="K53" s="13"/>
      <c r="L53" s="13"/>
      <c r="M53" s="13"/>
      <c r="N53" s="13"/>
      <c r="O53" s="13"/>
      <c r="P53" s="21">
        <v>0</v>
      </c>
    </row>
    <row r="54" spans="1:16" x14ac:dyDescent="0.25">
      <c r="A54" s="19"/>
      <c r="B54" s="14"/>
      <c r="C54" s="14" t="s">
        <v>488</v>
      </c>
      <c r="D54" s="38">
        <v>246779414321</v>
      </c>
      <c r="E54" s="13" t="s">
        <v>0</v>
      </c>
      <c r="F54" s="13">
        <v>2535</v>
      </c>
      <c r="G54" s="13" t="s">
        <v>489</v>
      </c>
      <c r="H54" s="13">
        <v>52</v>
      </c>
      <c r="I54" s="13"/>
      <c r="J54" s="13"/>
      <c r="K54" s="13"/>
      <c r="L54" s="13"/>
      <c r="M54" s="13"/>
      <c r="N54" s="13"/>
      <c r="O54" s="13"/>
      <c r="P54" s="21">
        <v>0</v>
      </c>
    </row>
    <row r="55" spans="1:16" x14ac:dyDescent="0.25">
      <c r="A55" s="19"/>
      <c r="B55" s="14"/>
      <c r="C55" s="14" t="s">
        <v>488</v>
      </c>
      <c r="D55" s="38">
        <v>246779414402</v>
      </c>
      <c r="E55" s="13" t="s">
        <v>0</v>
      </c>
      <c r="F55" s="13">
        <v>888</v>
      </c>
      <c r="G55" s="13" t="s">
        <v>489</v>
      </c>
      <c r="H55" s="13">
        <v>18</v>
      </c>
      <c r="I55" s="13"/>
      <c r="J55" s="13"/>
      <c r="K55" s="13"/>
      <c r="L55" s="13"/>
      <c r="M55" s="13"/>
      <c r="N55" s="13"/>
      <c r="O55" s="13"/>
      <c r="P55" s="21">
        <v>0</v>
      </c>
    </row>
    <row r="56" spans="1:16" x14ac:dyDescent="0.25">
      <c r="A56" s="19"/>
      <c r="B56" s="14"/>
      <c r="C56" s="14" t="s">
        <v>488</v>
      </c>
      <c r="D56" s="38">
        <v>246779414403</v>
      </c>
      <c r="E56" s="13" t="s">
        <v>0</v>
      </c>
      <c r="F56" s="13">
        <v>1269</v>
      </c>
      <c r="G56" s="13" t="s">
        <v>489</v>
      </c>
      <c r="H56" s="13">
        <v>26</v>
      </c>
      <c r="I56" s="13"/>
      <c r="J56" s="13"/>
      <c r="K56" s="13"/>
      <c r="L56" s="13"/>
      <c r="M56" s="13"/>
      <c r="N56" s="13"/>
      <c r="O56" s="13"/>
      <c r="P56" s="21">
        <v>0</v>
      </c>
    </row>
    <row r="57" spans="1:16" x14ac:dyDescent="0.25">
      <c r="A57" s="19"/>
      <c r="B57" s="14"/>
      <c r="C57" s="14" t="s">
        <v>488</v>
      </c>
      <c r="D57" s="38">
        <v>246779414472</v>
      </c>
      <c r="E57" s="13" t="s">
        <v>0</v>
      </c>
      <c r="F57" s="13">
        <v>1537</v>
      </c>
      <c r="G57" s="13" t="s">
        <v>489</v>
      </c>
      <c r="H57" s="13">
        <v>31</v>
      </c>
      <c r="I57" s="13"/>
      <c r="J57" s="13"/>
      <c r="K57" s="13"/>
      <c r="L57" s="13"/>
      <c r="M57" s="13"/>
      <c r="N57" s="13"/>
      <c r="O57" s="13"/>
      <c r="P57" s="21">
        <v>0</v>
      </c>
    </row>
    <row r="58" spans="1:16" x14ac:dyDescent="0.25">
      <c r="A58" s="19"/>
      <c r="B58" s="14"/>
      <c r="C58" s="14" t="s">
        <v>488</v>
      </c>
      <c r="D58" s="38">
        <v>246779414473</v>
      </c>
      <c r="E58" s="13" t="s">
        <v>0</v>
      </c>
      <c r="F58" s="13">
        <v>540</v>
      </c>
      <c r="G58" s="13" t="s">
        <v>489</v>
      </c>
      <c r="H58" s="13">
        <v>11</v>
      </c>
      <c r="I58" s="13"/>
      <c r="J58" s="13"/>
      <c r="K58" s="13"/>
      <c r="L58" s="13"/>
      <c r="M58" s="13"/>
      <c r="N58" s="13"/>
      <c r="O58" s="13"/>
      <c r="P58" s="21">
        <v>0</v>
      </c>
    </row>
    <row r="59" spans="1:16" x14ac:dyDescent="0.25">
      <c r="A59" s="19"/>
      <c r="B59" s="14"/>
      <c r="C59" s="14" t="s">
        <v>488</v>
      </c>
      <c r="D59" s="38">
        <v>246779414474</v>
      </c>
      <c r="E59" s="13" t="s">
        <v>0</v>
      </c>
      <c r="F59" s="13">
        <v>5074</v>
      </c>
      <c r="G59" s="13" t="s">
        <v>489</v>
      </c>
      <c r="H59" s="13">
        <v>104</v>
      </c>
      <c r="I59" s="13"/>
      <c r="J59" s="13"/>
      <c r="K59" s="13"/>
      <c r="L59" s="13"/>
      <c r="M59" s="13"/>
      <c r="N59" s="13"/>
      <c r="O59" s="13"/>
      <c r="P59" s="21">
        <v>0</v>
      </c>
    </row>
    <row r="60" spans="1:16" x14ac:dyDescent="0.25">
      <c r="A60" s="19"/>
      <c r="B60" s="14"/>
      <c r="C60" s="14" t="s">
        <v>488</v>
      </c>
      <c r="D60" s="38">
        <v>246779414610</v>
      </c>
      <c r="E60" s="13" t="s">
        <v>0</v>
      </c>
      <c r="F60" s="13">
        <v>592</v>
      </c>
      <c r="G60" s="13" t="s">
        <v>489</v>
      </c>
      <c r="H60" s="13">
        <v>12</v>
      </c>
      <c r="I60" s="13"/>
      <c r="J60" s="13"/>
      <c r="K60" s="13"/>
      <c r="L60" s="13"/>
      <c r="M60" s="13"/>
      <c r="N60" s="13"/>
      <c r="O60" s="13"/>
      <c r="P60" s="21">
        <v>0</v>
      </c>
    </row>
    <row r="61" spans="1:16" x14ac:dyDescent="0.25">
      <c r="A61" s="19"/>
      <c r="B61" s="14"/>
      <c r="C61" s="14" t="s">
        <v>488</v>
      </c>
      <c r="D61" s="38">
        <v>246779414688</v>
      </c>
      <c r="E61" s="13" t="s">
        <v>0</v>
      </c>
      <c r="F61" s="13">
        <v>837</v>
      </c>
      <c r="G61" s="13" t="s">
        <v>489</v>
      </c>
      <c r="H61" s="13">
        <v>17</v>
      </c>
      <c r="I61" s="13"/>
      <c r="J61" s="13"/>
      <c r="K61" s="13"/>
      <c r="L61" s="13"/>
      <c r="M61" s="13"/>
      <c r="N61" s="13"/>
      <c r="O61" s="13"/>
      <c r="P61" s="21">
        <v>0</v>
      </c>
    </row>
    <row r="62" spans="1:16" x14ac:dyDescent="0.25">
      <c r="A62" s="19"/>
      <c r="B62" s="14"/>
      <c r="C62" s="14" t="s">
        <v>488</v>
      </c>
      <c r="D62" s="38">
        <v>246779414689</v>
      </c>
      <c r="E62" s="13" t="s">
        <v>0</v>
      </c>
      <c r="F62" s="13">
        <v>4292</v>
      </c>
      <c r="G62" s="13" t="s">
        <v>489</v>
      </c>
      <c r="H62" s="13">
        <v>88</v>
      </c>
      <c r="I62" s="13"/>
      <c r="J62" s="13"/>
      <c r="K62" s="13"/>
      <c r="L62" s="13"/>
      <c r="M62" s="13"/>
      <c r="N62" s="13"/>
      <c r="O62" s="13"/>
      <c r="P62" s="21">
        <v>0</v>
      </c>
    </row>
    <row r="63" spans="1:16" x14ac:dyDescent="0.25">
      <c r="A63" s="19"/>
      <c r="B63" s="14"/>
      <c r="C63" s="14" t="s">
        <v>488</v>
      </c>
      <c r="D63" s="38">
        <v>246779414690</v>
      </c>
      <c r="E63" s="13" t="s">
        <v>0</v>
      </c>
      <c r="F63" s="13">
        <v>5074</v>
      </c>
      <c r="G63" s="13" t="s">
        <v>489</v>
      </c>
      <c r="H63" s="13">
        <v>104</v>
      </c>
      <c r="I63" s="13"/>
      <c r="J63" s="13"/>
      <c r="K63" s="13"/>
      <c r="L63" s="13"/>
      <c r="M63" s="13"/>
      <c r="N63" s="13"/>
      <c r="O63" s="13"/>
      <c r="P63" s="21">
        <v>0</v>
      </c>
    </row>
    <row r="64" spans="1:16" x14ac:dyDescent="0.25">
      <c r="A64" s="19"/>
      <c r="B64" s="14"/>
      <c r="C64" s="14" t="s">
        <v>488</v>
      </c>
      <c r="D64" s="38">
        <v>246779414740</v>
      </c>
      <c r="E64" s="13" t="s">
        <v>0</v>
      </c>
      <c r="F64" s="13">
        <v>9403</v>
      </c>
      <c r="G64" s="13" t="s">
        <v>489</v>
      </c>
      <c r="H64" s="13">
        <v>192</v>
      </c>
      <c r="I64" s="13"/>
      <c r="J64" s="13"/>
      <c r="K64" s="13"/>
      <c r="L64" s="13"/>
      <c r="M64" s="13"/>
      <c r="N64" s="13"/>
      <c r="O64" s="13"/>
      <c r="P64" s="21">
        <v>0</v>
      </c>
    </row>
    <row r="65" spans="1:16" x14ac:dyDescent="0.25">
      <c r="A65" s="19"/>
      <c r="B65" s="14"/>
      <c r="C65" s="14" t="s">
        <v>488</v>
      </c>
      <c r="D65" s="38">
        <v>246779414741</v>
      </c>
      <c r="E65" s="13" t="s">
        <v>0</v>
      </c>
      <c r="F65" s="13">
        <v>167</v>
      </c>
      <c r="G65" s="13" t="s">
        <v>489</v>
      </c>
      <c r="H65" s="13">
        <v>3</v>
      </c>
      <c r="I65" s="13"/>
      <c r="J65" s="13"/>
      <c r="K65" s="13"/>
      <c r="L65" s="13"/>
      <c r="M65" s="13"/>
      <c r="N65" s="13"/>
      <c r="O65" s="13"/>
      <c r="P65" s="21">
        <v>0</v>
      </c>
    </row>
    <row r="66" spans="1:16" x14ac:dyDescent="0.25">
      <c r="A66" s="19"/>
      <c r="B66" s="14"/>
      <c r="C66" s="14" t="s">
        <v>488</v>
      </c>
      <c r="D66" s="38">
        <v>246779414895</v>
      </c>
      <c r="E66" s="13" t="s">
        <v>0</v>
      </c>
      <c r="F66" s="13">
        <v>5074</v>
      </c>
      <c r="G66" s="13" t="s">
        <v>489</v>
      </c>
      <c r="H66" s="13">
        <v>104</v>
      </c>
      <c r="I66" s="13"/>
      <c r="J66" s="13"/>
      <c r="K66" s="13"/>
      <c r="L66" s="13"/>
      <c r="M66" s="13"/>
      <c r="N66" s="13"/>
      <c r="O66" s="13"/>
      <c r="P66" s="21">
        <v>0</v>
      </c>
    </row>
    <row r="67" spans="1:16" x14ac:dyDescent="0.25">
      <c r="A67" s="19"/>
      <c r="B67" s="14"/>
      <c r="C67" s="14" t="s">
        <v>488</v>
      </c>
      <c r="D67" s="38">
        <v>246779414896</v>
      </c>
      <c r="E67" s="13" t="s">
        <v>0</v>
      </c>
      <c r="F67" s="13">
        <v>3637</v>
      </c>
      <c r="G67" s="13" t="s">
        <v>489</v>
      </c>
      <c r="H67" s="13">
        <v>74</v>
      </c>
      <c r="I67" s="13"/>
      <c r="J67" s="13"/>
      <c r="K67" s="13"/>
      <c r="L67" s="13"/>
      <c r="M67" s="13"/>
      <c r="N67" s="13"/>
      <c r="O67" s="13"/>
      <c r="P67" s="21">
        <v>0</v>
      </c>
    </row>
    <row r="68" spans="1:16" x14ac:dyDescent="0.25">
      <c r="A68" s="19"/>
      <c r="B68" s="14"/>
      <c r="C68" s="14" t="s">
        <v>488</v>
      </c>
      <c r="D68" s="38">
        <v>246779414897</v>
      </c>
      <c r="E68" s="13" t="s">
        <v>0</v>
      </c>
      <c r="F68" s="13">
        <v>4000</v>
      </c>
      <c r="G68" s="13" t="s">
        <v>489</v>
      </c>
      <c r="H68" s="13">
        <v>82</v>
      </c>
      <c r="I68" s="13"/>
      <c r="J68" s="13"/>
      <c r="K68" s="13"/>
      <c r="L68" s="13"/>
      <c r="M68" s="13"/>
      <c r="N68" s="13"/>
      <c r="O68" s="13"/>
      <c r="P68" s="21">
        <v>0</v>
      </c>
    </row>
    <row r="69" spans="1:16" x14ac:dyDescent="0.25">
      <c r="A69" s="19"/>
      <c r="B69" s="14"/>
      <c r="C69" s="14" t="s">
        <v>488</v>
      </c>
      <c r="D69" s="38">
        <v>246779414898</v>
      </c>
      <c r="E69" s="13" t="s">
        <v>0</v>
      </c>
      <c r="F69" s="13">
        <v>8001</v>
      </c>
      <c r="G69" s="13" t="s">
        <v>489</v>
      </c>
      <c r="H69" s="13">
        <v>163</v>
      </c>
      <c r="I69" s="13"/>
      <c r="J69" s="13"/>
      <c r="K69" s="13"/>
      <c r="L69" s="13"/>
      <c r="M69" s="13"/>
      <c r="N69" s="13"/>
      <c r="O69" s="13"/>
      <c r="P69" s="21">
        <v>0</v>
      </c>
    </row>
    <row r="70" spans="1:16" x14ac:dyDescent="0.25">
      <c r="A70" s="19"/>
      <c r="B70" s="14"/>
      <c r="C70" s="14" t="s">
        <v>488</v>
      </c>
      <c r="D70" s="38">
        <v>246779414899</v>
      </c>
      <c r="E70" s="13" t="s">
        <v>0</v>
      </c>
      <c r="F70" s="13">
        <v>4384</v>
      </c>
      <c r="G70" s="13" t="s">
        <v>489</v>
      </c>
      <c r="H70" s="13">
        <v>89</v>
      </c>
      <c r="I70" s="13"/>
      <c r="J70" s="13"/>
      <c r="K70" s="13"/>
      <c r="L70" s="13"/>
      <c r="M70" s="13"/>
      <c r="N70" s="13"/>
      <c r="O70" s="13"/>
      <c r="P70" s="21">
        <v>0</v>
      </c>
    </row>
    <row r="71" spans="1:16" x14ac:dyDescent="0.25">
      <c r="A71" s="19"/>
      <c r="B71" s="14"/>
      <c r="C71" s="14" t="s">
        <v>488</v>
      </c>
      <c r="D71" s="38">
        <v>246779414900</v>
      </c>
      <c r="E71" s="13" t="s">
        <v>0</v>
      </c>
      <c r="F71" s="13">
        <v>4364</v>
      </c>
      <c r="G71" s="13" t="s">
        <v>489</v>
      </c>
      <c r="H71" s="13">
        <v>89</v>
      </c>
      <c r="I71" s="13"/>
      <c r="J71" s="13"/>
      <c r="K71" s="13"/>
      <c r="L71" s="13"/>
      <c r="M71" s="13"/>
      <c r="N71" s="13"/>
      <c r="O71" s="13"/>
      <c r="P71" s="21">
        <v>0</v>
      </c>
    </row>
    <row r="72" spans="1:16" x14ac:dyDescent="0.25">
      <c r="A72" s="19"/>
      <c r="B72" s="14"/>
      <c r="C72" s="14" t="s">
        <v>488</v>
      </c>
      <c r="D72" s="38">
        <v>246779414901</v>
      </c>
      <c r="E72" s="13" t="s">
        <v>0</v>
      </c>
      <c r="F72" s="13">
        <v>518</v>
      </c>
      <c r="G72" s="13" t="s">
        <v>489</v>
      </c>
      <c r="H72" s="13">
        <v>11</v>
      </c>
      <c r="I72" s="13"/>
      <c r="J72" s="13"/>
      <c r="K72" s="13"/>
      <c r="L72" s="13"/>
      <c r="M72" s="13"/>
      <c r="N72" s="13"/>
      <c r="O72" s="13"/>
      <c r="P72" s="21">
        <v>0</v>
      </c>
    </row>
    <row r="73" spans="1:16" x14ac:dyDescent="0.25">
      <c r="A73" s="19"/>
      <c r="B73" s="14"/>
      <c r="C73" s="14" t="s">
        <v>488</v>
      </c>
      <c r="D73" s="38">
        <v>246779414902</v>
      </c>
      <c r="E73" s="13" t="s">
        <v>0</v>
      </c>
      <c r="F73" s="13">
        <v>298</v>
      </c>
      <c r="G73" s="13" t="s">
        <v>489</v>
      </c>
      <c r="H73" s="13">
        <v>6</v>
      </c>
      <c r="I73" s="13"/>
      <c r="J73" s="13"/>
      <c r="K73" s="13"/>
      <c r="L73" s="13"/>
      <c r="M73" s="13"/>
      <c r="N73" s="13"/>
      <c r="O73" s="13"/>
      <c r="P73" s="21">
        <v>0</v>
      </c>
    </row>
    <row r="74" spans="1:16" x14ac:dyDescent="0.25">
      <c r="A74" s="19"/>
      <c r="B74" s="14"/>
      <c r="C74" s="14" t="s">
        <v>488</v>
      </c>
      <c r="D74" s="38">
        <v>256779410788</v>
      </c>
      <c r="E74" s="13" t="s">
        <v>0</v>
      </c>
      <c r="F74" s="13">
        <v>106977</v>
      </c>
      <c r="G74" s="13" t="s">
        <v>489</v>
      </c>
      <c r="H74" s="13">
        <v>11886</v>
      </c>
      <c r="I74" s="13"/>
      <c r="J74" s="13"/>
      <c r="K74" s="13"/>
      <c r="L74" s="13"/>
      <c r="M74" s="13"/>
      <c r="N74" s="13"/>
      <c r="O74" s="13"/>
      <c r="P74" s="21">
        <v>0</v>
      </c>
    </row>
    <row r="75" spans="1:16" x14ac:dyDescent="0.25">
      <c r="A75" s="19"/>
      <c r="B75" s="14"/>
      <c r="C75" s="14" t="s">
        <v>488</v>
      </c>
      <c r="D75" s="38">
        <v>256779410804</v>
      </c>
      <c r="E75" s="13" t="s">
        <v>0</v>
      </c>
      <c r="F75" s="13">
        <v>198877</v>
      </c>
      <c r="G75" s="13" t="s">
        <v>489</v>
      </c>
      <c r="H75" s="13">
        <v>22098</v>
      </c>
      <c r="I75" s="13"/>
      <c r="J75" s="13"/>
      <c r="K75" s="13"/>
      <c r="L75" s="13"/>
      <c r="M75" s="13"/>
      <c r="N75" s="13"/>
      <c r="O75" s="13"/>
      <c r="P75" s="21">
        <v>0</v>
      </c>
    </row>
    <row r="76" spans="1:16" x14ac:dyDescent="0.25">
      <c r="A76" s="19"/>
      <c r="B76" s="14"/>
      <c r="C76" s="14" t="s">
        <v>488</v>
      </c>
      <c r="D76" s="38">
        <v>256779412111</v>
      </c>
      <c r="E76" s="13" t="s">
        <v>0</v>
      </c>
      <c r="F76" s="13">
        <v>83452</v>
      </c>
      <c r="G76" s="13" t="s">
        <v>489</v>
      </c>
      <c r="H76" s="13">
        <v>9272</v>
      </c>
      <c r="I76" s="13"/>
      <c r="J76" s="13"/>
      <c r="K76" s="13"/>
      <c r="L76" s="13"/>
      <c r="M76" s="13"/>
      <c r="N76" s="13"/>
      <c r="O76" s="13"/>
      <c r="P76" s="21">
        <v>0</v>
      </c>
    </row>
    <row r="77" spans="1:16" x14ac:dyDescent="0.25">
      <c r="A77" s="19"/>
      <c r="B77" s="14"/>
      <c r="C77" s="14" t="s">
        <v>488</v>
      </c>
      <c r="D77" s="38">
        <v>256779412160</v>
      </c>
      <c r="E77" s="13" t="s">
        <v>0</v>
      </c>
      <c r="F77" s="13">
        <v>14552</v>
      </c>
      <c r="G77" s="13" t="s">
        <v>489</v>
      </c>
      <c r="H77" s="13">
        <v>1617</v>
      </c>
      <c r="I77" s="13"/>
      <c r="J77" s="13"/>
      <c r="K77" s="13"/>
      <c r="L77" s="13"/>
      <c r="M77" s="13"/>
      <c r="N77" s="13"/>
      <c r="O77" s="13"/>
      <c r="P77" s="21">
        <v>0</v>
      </c>
    </row>
    <row r="78" spans="1:16" x14ac:dyDescent="0.25">
      <c r="A78" s="19"/>
      <c r="B78" s="14"/>
      <c r="C78" s="14" t="s">
        <v>488</v>
      </c>
      <c r="D78" s="38">
        <v>256779412779</v>
      </c>
      <c r="E78" s="13" t="s">
        <v>0</v>
      </c>
      <c r="F78" s="13">
        <v>140371</v>
      </c>
      <c r="G78" s="13" t="s">
        <v>489</v>
      </c>
      <c r="H78" s="13">
        <v>15597</v>
      </c>
      <c r="I78" s="13"/>
      <c r="J78" s="13"/>
      <c r="K78" s="13"/>
      <c r="L78" s="13"/>
      <c r="M78" s="13"/>
      <c r="N78" s="13"/>
      <c r="O78" s="13"/>
      <c r="P78" s="21">
        <v>0</v>
      </c>
    </row>
    <row r="79" spans="1:16" x14ac:dyDescent="0.25">
      <c r="A79" s="19"/>
      <c r="B79" s="14"/>
      <c r="C79" s="14" t="s">
        <v>488</v>
      </c>
      <c r="D79" s="38">
        <v>256779410088</v>
      </c>
      <c r="E79" s="13" t="s">
        <v>0</v>
      </c>
      <c r="F79" s="13">
        <v>441</v>
      </c>
      <c r="G79" s="13" t="s">
        <v>489</v>
      </c>
      <c r="H79" s="13">
        <v>9</v>
      </c>
      <c r="I79" s="13"/>
      <c r="J79" s="13"/>
      <c r="K79" s="13"/>
      <c r="L79" s="13"/>
      <c r="M79" s="13"/>
      <c r="N79" s="13"/>
      <c r="O79" s="13"/>
      <c r="P79" s="21">
        <v>0</v>
      </c>
    </row>
    <row r="80" spans="1:16" x14ac:dyDescent="0.25">
      <c r="A80" s="19"/>
      <c r="B80" s="14"/>
      <c r="C80" s="14" t="s">
        <v>488</v>
      </c>
      <c r="D80" s="38">
        <v>256779410089</v>
      </c>
      <c r="E80" s="13" t="s">
        <v>0</v>
      </c>
      <c r="F80" s="13">
        <v>2518</v>
      </c>
      <c r="G80" s="13" t="s">
        <v>489</v>
      </c>
      <c r="H80" s="13">
        <v>51</v>
      </c>
      <c r="I80" s="13"/>
      <c r="J80" s="13"/>
      <c r="K80" s="13"/>
      <c r="L80" s="13"/>
      <c r="M80" s="13"/>
      <c r="N80" s="13"/>
      <c r="O80" s="13"/>
      <c r="P80" s="21">
        <v>0</v>
      </c>
    </row>
    <row r="81" spans="1:16" x14ac:dyDescent="0.25">
      <c r="A81" s="19"/>
      <c r="B81" s="14"/>
      <c r="C81" s="14" t="s">
        <v>488</v>
      </c>
      <c r="D81" s="38">
        <v>256779410139</v>
      </c>
      <c r="E81" s="13" t="s">
        <v>0</v>
      </c>
      <c r="F81" s="13">
        <v>294</v>
      </c>
      <c r="G81" s="13" t="s">
        <v>489</v>
      </c>
      <c r="H81" s="13">
        <v>6</v>
      </c>
      <c r="I81" s="13"/>
      <c r="J81" s="13"/>
      <c r="K81" s="13"/>
      <c r="L81" s="13"/>
      <c r="M81" s="13"/>
      <c r="N81" s="13"/>
      <c r="O81" s="13"/>
      <c r="P81" s="21">
        <v>0</v>
      </c>
    </row>
    <row r="82" spans="1:16" x14ac:dyDescent="0.25">
      <c r="A82" s="19"/>
      <c r="B82" s="14"/>
      <c r="C82" s="14" t="s">
        <v>488</v>
      </c>
      <c r="D82" s="38">
        <v>256779410140</v>
      </c>
      <c r="E82" s="13" t="s">
        <v>0</v>
      </c>
      <c r="F82" s="13">
        <v>84</v>
      </c>
      <c r="G82" s="13" t="s">
        <v>489</v>
      </c>
      <c r="H82" s="13">
        <v>2</v>
      </c>
      <c r="I82" s="13"/>
      <c r="J82" s="13"/>
      <c r="K82" s="13"/>
      <c r="L82" s="13"/>
      <c r="M82" s="13"/>
      <c r="N82" s="13"/>
      <c r="O82" s="13"/>
      <c r="P82" s="21">
        <v>0</v>
      </c>
    </row>
    <row r="83" spans="1:16" x14ac:dyDescent="0.25">
      <c r="A83" s="19"/>
      <c r="B83" s="14"/>
      <c r="C83" s="14" t="s">
        <v>488</v>
      </c>
      <c r="D83" s="38">
        <v>256779411167</v>
      </c>
      <c r="E83" s="13" t="s">
        <v>0</v>
      </c>
      <c r="F83" s="13">
        <v>5779</v>
      </c>
      <c r="G83" s="13" t="s">
        <v>489</v>
      </c>
      <c r="H83" s="13">
        <v>118</v>
      </c>
      <c r="I83" s="13"/>
      <c r="J83" s="13"/>
      <c r="K83" s="13"/>
      <c r="L83" s="13"/>
      <c r="M83" s="13"/>
      <c r="N83" s="13"/>
      <c r="O83" s="13"/>
      <c r="P83" s="21">
        <v>0</v>
      </c>
    </row>
    <row r="84" spans="1:16" x14ac:dyDescent="0.25">
      <c r="A84" s="19"/>
      <c r="B84" s="14"/>
      <c r="C84" s="14" t="s">
        <v>488</v>
      </c>
      <c r="D84" s="38">
        <v>256779411168</v>
      </c>
      <c r="E84" s="13" t="s">
        <v>0</v>
      </c>
      <c r="F84" s="13">
        <v>5081</v>
      </c>
      <c r="G84" s="13" t="s">
        <v>489</v>
      </c>
      <c r="H84" s="13">
        <v>104</v>
      </c>
      <c r="I84" s="13"/>
      <c r="J84" s="13"/>
      <c r="K84" s="13"/>
      <c r="L84" s="13"/>
      <c r="M84" s="13"/>
      <c r="N84" s="13"/>
      <c r="O84" s="13"/>
      <c r="P84" s="21">
        <v>0</v>
      </c>
    </row>
    <row r="85" spans="1:16" x14ac:dyDescent="0.25">
      <c r="A85" s="19"/>
      <c r="B85" s="14"/>
      <c r="C85" s="14" t="s">
        <v>488</v>
      </c>
      <c r="D85" s="38">
        <v>256779411169</v>
      </c>
      <c r="E85" s="13" t="s">
        <v>0</v>
      </c>
      <c r="F85" s="13">
        <v>4199</v>
      </c>
      <c r="G85" s="13" t="s">
        <v>489</v>
      </c>
      <c r="H85" s="13">
        <v>86</v>
      </c>
      <c r="I85" s="13"/>
      <c r="J85" s="13"/>
      <c r="K85" s="13"/>
      <c r="L85" s="13"/>
      <c r="M85" s="13"/>
      <c r="N85" s="13"/>
      <c r="O85" s="13"/>
      <c r="P85" s="21">
        <v>0</v>
      </c>
    </row>
    <row r="86" spans="1:16" x14ac:dyDescent="0.25">
      <c r="A86" s="19"/>
      <c r="B86" s="14"/>
      <c r="C86" s="14" t="s">
        <v>488</v>
      </c>
      <c r="D86" s="38">
        <v>256779411170</v>
      </c>
      <c r="E86" s="13" t="s">
        <v>0</v>
      </c>
      <c r="F86" s="13">
        <v>10077</v>
      </c>
      <c r="G86" s="13" t="s">
        <v>489</v>
      </c>
      <c r="H86" s="13">
        <v>206</v>
      </c>
      <c r="I86" s="13"/>
      <c r="J86" s="13"/>
      <c r="K86" s="13"/>
      <c r="L86" s="13"/>
      <c r="M86" s="13"/>
      <c r="N86" s="13"/>
      <c r="O86" s="13"/>
      <c r="P86" s="21">
        <v>0</v>
      </c>
    </row>
    <row r="87" spans="1:16" x14ac:dyDescent="0.25">
      <c r="A87" s="23"/>
      <c r="B87" s="24"/>
      <c r="C87" s="24" t="s">
        <v>488</v>
      </c>
      <c r="D87" s="39">
        <v>256779411724</v>
      </c>
      <c r="E87" s="25" t="s">
        <v>0</v>
      </c>
      <c r="F87" s="25">
        <v>52814</v>
      </c>
      <c r="G87" s="25" t="s">
        <v>489</v>
      </c>
      <c r="H87" s="25">
        <v>1078</v>
      </c>
      <c r="I87" s="25"/>
      <c r="J87" s="25"/>
      <c r="K87" s="25"/>
      <c r="L87" s="25"/>
      <c r="M87" s="25"/>
      <c r="N87" s="25"/>
      <c r="O87" s="25"/>
      <c r="P87" s="26">
        <v>0</v>
      </c>
    </row>
    <row r="88" spans="1:16" x14ac:dyDescent="0.25">
      <c r="A88" s="19"/>
      <c r="B88" s="14"/>
      <c r="C88" s="14" t="s">
        <v>488</v>
      </c>
      <c r="D88" s="38">
        <v>256779411813</v>
      </c>
      <c r="E88" s="13" t="s">
        <v>0</v>
      </c>
      <c r="F88" s="13">
        <v>147</v>
      </c>
      <c r="G88" s="13" t="s">
        <v>489</v>
      </c>
      <c r="H88" s="13">
        <v>3</v>
      </c>
      <c r="I88" s="13"/>
      <c r="J88" s="13"/>
      <c r="K88" s="13"/>
      <c r="L88" s="13"/>
      <c r="M88" s="13"/>
      <c r="N88" s="13"/>
      <c r="O88" s="13"/>
      <c r="P88" s="21">
        <v>0</v>
      </c>
    </row>
    <row r="89" spans="1:16" x14ac:dyDescent="0.25">
      <c r="A89" s="19"/>
      <c r="B89" s="14"/>
      <c r="C89" s="14" t="s">
        <v>488</v>
      </c>
      <c r="D89" s="38">
        <v>256779411814</v>
      </c>
      <c r="E89" s="13" t="s">
        <v>0</v>
      </c>
      <c r="F89" s="13">
        <v>84</v>
      </c>
      <c r="G89" s="13" t="s">
        <v>489</v>
      </c>
      <c r="H89" s="13">
        <v>2</v>
      </c>
      <c r="I89" s="13"/>
      <c r="J89" s="13"/>
      <c r="K89" s="13"/>
      <c r="L89" s="13"/>
      <c r="M89" s="13"/>
      <c r="N89" s="13"/>
      <c r="O89" s="13"/>
      <c r="P89" s="21">
        <v>0</v>
      </c>
    </row>
    <row r="90" spans="1:16" x14ac:dyDescent="0.25">
      <c r="A90" s="19"/>
      <c r="B90" s="14"/>
      <c r="C90" s="14" t="s">
        <v>488</v>
      </c>
      <c r="D90" s="38">
        <v>256779411815</v>
      </c>
      <c r="E90" s="13" t="s">
        <v>0</v>
      </c>
      <c r="F90" s="13">
        <v>1259</v>
      </c>
      <c r="G90" s="13" t="s">
        <v>489</v>
      </c>
      <c r="H90" s="13">
        <v>26</v>
      </c>
      <c r="I90" s="13"/>
      <c r="J90" s="13"/>
      <c r="K90" s="13"/>
      <c r="L90" s="13"/>
      <c r="M90" s="13"/>
      <c r="N90" s="13"/>
      <c r="O90" s="13"/>
      <c r="P90" s="21">
        <v>0</v>
      </c>
    </row>
    <row r="91" spans="1:16" x14ac:dyDescent="0.25">
      <c r="A91" s="19"/>
      <c r="B91" s="14"/>
      <c r="C91" s="14" t="s">
        <v>488</v>
      </c>
      <c r="D91" s="38">
        <v>256779411894</v>
      </c>
      <c r="E91" s="13" t="s">
        <v>0</v>
      </c>
      <c r="F91" s="13">
        <v>594</v>
      </c>
      <c r="G91" s="13" t="s">
        <v>489</v>
      </c>
      <c r="H91" s="13">
        <v>12</v>
      </c>
      <c r="I91" s="13"/>
      <c r="J91" s="13"/>
      <c r="K91" s="13"/>
      <c r="L91" s="13"/>
      <c r="M91" s="13"/>
      <c r="N91" s="13"/>
      <c r="O91" s="13"/>
      <c r="P91" s="21">
        <v>0</v>
      </c>
    </row>
    <row r="92" spans="1:16" x14ac:dyDescent="0.25">
      <c r="A92" s="19"/>
      <c r="B92" s="14"/>
      <c r="C92" s="14" t="s">
        <v>488</v>
      </c>
      <c r="D92" s="38">
        <v>256779411895</v>
      </c>
      <c r="E92" s="13" t="s">
        <v>0</v>
      </c>
      <c r="F92" s="13">
        <v>84</v>
      </c>
      <c r="G92" s="13" t="s">
        <v>489</v>
      </c>
      <c r="H92" s="13">
        <v>2</v>
      </c>
      <c r="I92" s="13"/>
      <c r="J92" s="13"/>
      <c r="K92" s="13"/>
      <c r="L92" s="13"/>
      <c r="M92" s="13"/>
      <c r="N92" s="13"/>
      <c r="O92" s="13"/>
      <c r="P92" s="21">
        <v>0</v>
      </c>
    </row>
    <row r="93" spans="1:16" x14ac:dyDescent="0.25">
      <c r="A93" s="19"/>
      <c r="B93" s="14"/>
      <c r="C93" s="14" t="s">
        <v>488</v>
      </c>
      <c r="D93" s="38">
        <v>256779412024</v>
      </c>
      <c r="E93" s="13" t="s">
        <v>0</v>
      </c>
      <c r="F93" s="13">
        <v>41567</v>
      </c>
      <c r="G93" s="13" t="s">
        <v>489</v>
      </c>
      <c r="H93" s="13">
        <v>848</v>
      </c>
      <c r="I93" s="13"/>
      <c r="J93" s="13"/>
      <c r="K93" s="13"/>
      <c r="L93" s="13"/>
      <c r="M93" s="13"/>
      <c r="N93" s="13"/>
      <c r="O93" s="13"/>
      <c r="P93" s="21">
        <v>0</v>
      </c>
    </row>
    <row r="94" spans="1:16" x14ac:dyDescent="0.25">
      <c r="A94" s="19"/>
      <c r="B94" s="14"/>
      <c r="C94" s="14" t="s">
        <v>488</v>
      </c>
      <c r="D94" s="38">
        <v>256779412105</v>
      </c>
      <c r="E94" s="13" t="s">
        <v>0</v>
      </c>
      <c r="F94" s="13">
        <v>1078</v>
      </c>
      <c r="G94" s="13" t="s">
        <v>489</v>
      </c>
      <c r="H94" s="13">
        <v>22</v>
      </c>
      <c r="I94" s="13"/>
      <c r="J94" s="13"/>
      <c r="K94" s="13"/>
      <c r="L94" s="13"/>
      <c r="M94" s="13"/>
      <c r="N94" s="13"/>
      <c r="O94" s="13"/>
      <c r="P94" s="21">
        <v>0</v>
      </c>
    </row>
    <row r="95" spans="1:16" x14ac:dyDescent="0.25">
      <c r="A95" s="19"/>
      <c r="B95" s="14"/>
      <c r="C95" s="14" t="s">
        <v>488</v>
      </c>
      <c r="D95" s="38">
        <v>256779412567</v>
      </c>
      <c r="E95" s="13" t="s">
        <v>0</v>
      </c>
      <c r="F95" s="13">
        <v>1512</v>
      </c>
      <c r="G95" s="13" t="s">
        <v>489</v>
      </c>
      <c r="H95" s="13">
        <v>31</v>
      </c>
      <c r="I95" s="13"/>
      <c r="J95" s="13"/>
      <c r="K95" s="13"/>
      <c r="L95" s="13"/>
      <c r="M95" s="13"/>
      <c r="N95" s="13"/>
      <c r="O95" s="13"/>
      <c r="P95" s="21">
        <v>0</v>
      </c>
    </row>
    <row r="96" spans="1:16" x14ac:dyDescent="0.25">
      <c r="A96" s="19"/>
      <c r="B96" s="14"/>
      <c r="C96" s="14" t="s">
        <v>488</v>
      </c>
      <c r="D96" s="38">
        <v>256779412618</v>
      </c>
      <c r="E96" s="13" t="s">
        <v>0</v>
      </c>
      <c r="F96" s="13">
        <v>3664</v>
      </c>
      <c r="G96" s="13" t="s">
        <v>489</v>
      </c>
      <c r="H96" s="13">
        <v>75</v>
      </c>
      <c r="I96" s="13"/>
      <c r="J96" s="13"/>
      <c r="K96" s="13"/>
      <c r="L96" s="13"/>
      <c r="M96" s="13"/>
      <c r="N96" s="13"/>
      <c r="O96" s="13"/>
      <c r="P96" s="21">
        <v>0</v>
      </c>
    </row>
    <row r="97" spans="1:16" x14ac:dyDescent="0.25">
      <c r="A97" s="19"/>
      <c r="B97" s="14"/>
      <c r="C97" s="14" t="s">
        <v>521</v>
      </c>
      <c r="D97" s="38">
        <v>256779412661</v>
      </c>
      <c r="E97" s="13" t="s">
        <v>0</v>
      </c>
      <c r="F97" s="13">
        <v>515</v>
      </c>
      <c r="G97" s="13" t="s">
        <v>489</v>
      </c>
      <c r="H97" s="13">
        <v>11</v>
      </c>
      <c r="I97" s="13"/>
      <c r="J97" s="13"/>
      <c r="K97" s="13"/>
      <c r="L97" s="13"/>
      <c r="M97" s="13"/>
      <c r="N97" s="13"/>
      <c r="O97" s="13"/>
      <c r="P97" s="21">
        <v>0</v>
      </c>
    </row>
    <row r="98" spans="1:16" x14ac:dyDescent="0.25">
      <c r="A98" s="19"/>
      <c r="B98" s="14"/>
      <c r="C98" s="14" t="s">
        <v>488</v>
      </c>
      <c r="D98" s="38">
        <v>256779412892</v>
      </c>
      <c r="E98" s="13" t="s">
        <v>0</v>
      </c>
      <c r="F98" s="13">
        <v>16117</v>
      </c>
      <c r="G98" s="13" t="s">
        <v>489</v>
      </c>
      <c r="H98" s="13">
        <v>329</v>
      </c>
      <c r="I98" s="13"/>
      <c r="J98" s="13"/>
      <c r="K98" s="13"/>
      <c r="L98" s="13"/>
      <c r="M98" s="13"/>
      <c r="N98" s="13"/>
      <c r="O98" s="13"/>
      <c r="P98" s="21">
        <v>0</v>
      </c>
    </row>
    <row r="99" spans="1:16" x14ac:dyDescent="0.25">
      <c r="A99" s="19"/>
      <c r="B99" s="14"/>
      <c r="C99" s="14" t="s">
        <v>488</v>
      </c>
      <c r="D99" s="38">
        <v>256779413245</v>
      </c>
      <c r="E99" s="13" t="s">
        <v>0</v>
      </c>
      <c r="F99" s="13">
        <v>33169</v>
      </c>
      <c r="G99" s="13" t="s">
        <v>489</v>
      </c>
      <c r="H99" s="13">
        <v>677</v>
      </c>
      <c r="I99" s="13"/>
      <c r="J99" s="13"/>
      <c r="K99" s="13"/>
      <c r="L99" s="13"/>
      <c r="M99" s="13"/>
      <c r="N99" s="13"/>
      <c r="O99" s="13"/>
      <c r="P99" s="21">
        <v>0</v>
      </c>
    </row>
    <row r="100" spans="1:16" x14ac:dyDescent="0.25">
      <c r="A100" s="23"/>
      <c r="B100" s="24"/>
      <c r="C100" s="24" t="s">
        <v>488</v>
      </c>
      <c r="D100" s="39">
        <v>256779413316</v>
      </c>
      <c r="E100" s="25" t="s">
        <v>0</v>
      </c>
      <c r="F100" s="25">
        <v>46008</v>
      </c>
      <c r="G100" s="25" t="s">
        <v>489</v>
      </c>
      <c r="H100" s="25">
        <v>939</v>
      </c>
      <c r="I100" s="25"/>
      <c r="J100" s="25"/>
      <c r="K100" s="25"/>
      <c r="L100" s="25"/>
      <c r="M100" s="25"/>
      <c r="N100" s="25"/>
      <c r="O100" s="25"/>
      <c r="P100" s="26">
        <v>0</v>
      </c>
    </row>
    <row r="101" spans="1:16" x14ac:dyDescent="0.25">
      <c r="A101" s="19"/>
      <c r="B101" s="14"/>
      <c r="C101" s="14" t="s">
        <v>488</v>
      </c>
      <c r="D101" s="38">
        <v>256779413491</v>
      </c>
      <c r="E101" s="13" t="s">
        <v>0</v>
      </c>
      <c r="F101" s="13">
        <v>7478</v>
      </c>
      <c r="G101" s="13" t="s">
        <v>489</v>
      </c>
      <c r="H101" s="13">
        <v>153</v>
      </c>
      <c r="I101" s="13"/>
      <c r="J101" s="13"/>
      <c r="K101" s="13"/>
      <c r="L101" s="13"/>
      <c r="M101" s="13"/>
      <c r="N101" s="13"/>
      <c r="O101" s="13"/>
      <c r="P101" s="21">
        <v>0</v>
      </c>
    </row>
    <row r="102" spans="1:16" x14ac:dyDescent="0.25">
      <c r="A102" s="19"/>
      <c r="B102" s="14"/>
      <c r="C102" s="14" t="s">
        <v>488</v>
      </c>
      <c r="D102" s="38">
        <v>256779413922</v>
      </c>
      <c r="E102" s="13" t="s">
        <v>0</v>
      </c>
      <c r="F102" s="13">
        <v>30905</v>
      </c>
      <c r="G102" s="13" t="s">
        <v>489</v>
      </c>
      <c r="H102" s="13">
        <v>631</v>
      </c>
      <c r="I102" s="13"/>
      <c r="J102" s="13"/>
      <c r="K102" s="13"/>
      <c r="L102" s="13"/>
      <c r="M102" s="13"/>
      <c r="N102" s="13"/>
      <c r="O102" s="13"/>
      <c r="P102" s="21">
        <v>0</v>
      </c>
    </row>
    <row r="103" spans="1:16" x14ac:dyDescent="0.25">
      <c r="A103" s="19"/>
      <c r="B103" s="14"/>
      <c r="C103" s="14" t="s">
        <v>488</v>
      </c>
      <c r="D103" s="38">
        <v>256779413998</v>
      </c>
      <c r="E103" s="13" t="s">
        <v>0</v>
      </c>
      <c r="F103" s="13">
        <v>15936</v>
      </c>
      <c r="G103" s="13" t="s">
        <v>489</v>
      </c>
      <c r="H103" s="13">
        <v>325</v>
      </c>
      <c r="I103" s="13"/>
      <c r="J103" s="13"/>
      <c r="K103" s="13"/>
      <c r="L103" s="13"/>
      <c r="M103" s="13"/>
      <c r="N103" s="13"/>
      <c r="O103" s="13"/>
      <c r="P103" s="21">
        <v>0</v>
      </c>
    </row>
    <row r="104" spans="1:16" x14ac:dyDescent="0.25">
      <c r="A104" s="19"/>
      <c r="B104" s="14"/>
      <c r="C104" s="14" t="s">
        <v>488</v>
      </c>
      <c r="D104" s="38">
        <v>256779414176</v>
      </c>
      <c r="E104" s="13" t="s">
        <v>0</v>
      </c>
      <c r="F104" s="13">
        <v>10834</v>
      </c>
      <c r="G104" s="13" t="s">
        <v>489</v>
      </c>
      <c r="H104" s="13">
        <v>221</v>
      </c>
      <c r="I104" s="13"/>
      <c r="J104" s="13"/>
      <c r="K104" s="13"/>
      <c r="L104" s="13"/>
      <c r="M104" s="13"/>
      <c r="N104" s="13"/>
      <c r="O104" s="13"/>
      <c r="P104" s="21">
        <v>0</v>
      </c>
    </row>
    <row r="105" spans="1:16" x14ac:dyDescent="0.25">
      <c r="A105" s="19"/>
      <c r="B105" s="14"/>
      <c r="C105" s="14" t="s">
        <v>488</v>
      </c>
      <c r="D105" s="38">
        <v>256779414221</v>
      </c>
      <c r="E105" s="13" t="s">
        <v>0</v>
      </c>
      <c r="F105" s="13">
        <v>3872</v>
      </c>
      <c r="G105" s="13" t="s">
        <v>489</v>
      </c>
      <c r="H105" s="13">
        <v>79</v>
      </c>
      <c r="I105" s="13"/>
      <c r="J105" s="13"/>
      <c r="K105" s="13"/>
      <c r="L105" s="13"/>
      <c r="M105" s="13"/>
      <c r="N105" s="13"/>
      <c r="O105" s="13"/>
      <c r="P105" s="21">
        <v>0</v>
      </c>
    </row>
    <row r="106" spans="1:16" x14ac:dyDescent="0.25">
      <c r="A106" s="19"/>
      <c r="B106" s="14"/>
      <c r="C106" s="14" t="s">
        <v>488</v>
      </c>
      <c r="D106" s="38">
        <v>256779414264</v>
      </c>
      <c r="E106" s="13" t="s">
        <v>0</v>
      </c>
      <c r="F106" s="13">
        <v>588</v>
      </c>
      <c r="G106" s="13" t="s">
        <v>489</v>
      </c>
      <c r="H106" s="13">
        <v>12</v>
      </c>
      <c r="I106" s="13"/>
      <c r="J106" s="13"/>
      <c r="K106" s="13"/>
      <c r="L106" s="13"/>
      <c r="M106" s="13"/>
      <c r="N106" s="13"/>
      <c r="O106" s="13"/>
      <c r="P106" s="21">
        <v>0</v>
      </c>
    </row>
    <row r="107" spans="1:16" x14ac:dyDescent="0.25">
      <c r="A107" s="23"/>
      <c r="B107" s="24"/>
      <c r="C107" s="24" t="s">
        <v>488</v>
      </c>
      <c r="D107" s="39">
        <v>256779414320</v>
      </c>
      <c r="E107" s="25" t="s">
        <v>0</v>
      </c>
      <c r="F107" s="25">
        <v>51221</v>
      </c>
      <c r="G107" s="25" t="s">
        <v>489</v>
      </c>
      <c r="H107" s="25">
        <v>1045</v>
      </c>
      <c r="I107" s="25"/>
      <c r="J107" s="25"/>
      <c r="K107" s="25"/>
      <c r="L107" s="25"/>
      <c r="M107" s="25"/>
      <c r="N107" s="25"/>
      <c r="O107" s="25"/>
      <c r="P107" s="26">
        <v>0</v>
      </c>
    </row>
    <row r="108" spans="1:16" x14ac:dyDescent="0.25">
      <c r="A108" s="23"/>
      <c r="B108" s="24"/>
      <c r="C108" s="24" t="s">
        <v>488</v>
      </c>
      <c r="D108" s="39">
        <v>256779414736</v>
      </c>
      <c r="E108" s="25" t="s">
        <v>0</v>
      </c>
      <c r="F108" s="25">
        <v>9282</v>
      </c>
      <c r="G108" s="25" t="s">
        <v>489</v>
      </c>
      <c r="H108" s="25">
        <v>189</v>
      </c>
      <c r="I108" s="25"/>
      <c r="J108" s="25"/>
      <c r="K108" s="25"/>
      <c r="L108" s="25"/>
      <c r="M108" s="25"/>
      <c r="N108" s="25"/>
      <c r="O108" s="25"/>
      <c r="P108" s="26">
        <v>0</v>
      </c>
    </row>
    <row r="109" spans="1:16" x14ac:dyDescent="0.25">
      <c r="A109" s="19"/>
      <c r="B109" s="14"/>
      <c r="C109" s="14" t="s">
        <v>488</v>
      </c>
      <c r="D109" s="38">
        <v>256779414744</v>
      </c>
      <c r="E109" s="13" t="s">
        <v>0</v>
      </c>
      <c r="F109" s="13">
        <v>24284</v>
      </c>
      <c r="G109" s="13" t="s">
        <v>489</v>
      </c>
      <c r="H109" s="13">
        <v>496</v>
      </c>
      <c r="I109" s="13"/>
      <c r="J109" s="13"/>
      <c r="K109" s="13"/>
      <c r="L109" s="13"/>
      <c r="M109" s="13"/>
      <c r="N109" s="13"/>
      <c r="O109" s="13"/>
      <c r="P109" s="21">
        <v>0</v>
      </c>
    </row>
    <row r="110" spans="1:16" x14ac:dyDescent="0.25">
      <c r="A110" s="19"/>
      <c r="B110" s="14"/>
      <c r="C110" s="14" t="s">
        <v>488</v>
      </c>
      <c r="D110" s="38">
        <v>256779413115</v>
      </c>
      <c r="E110" s="13" t="s">
        <v>0</v>
      </c>
      <c r="F110" s="13">
        <v>139294</v>
      </c>
      <c r="G110" s="13" t="s">
        <v>489</v>
      </c>
      <c r="H110" s="13">
        <v>15477</v>
      </c>
      <c r="I110" s="13"/>
      <c r="J110" s="13"/>
      <c r="K110" s="13"/>
      <c r="L110" s="13"/>
      <c r="M110" s="13"/>
      <c r="N110" s="13"/>
      <c r="O110" s="13"/>
      <c r="P110" s="21">
        <v>0</v>
      </c>
    </row>
    <row r="111" spans="1:16" x14ac:dyDescent="0.25">
      <c r="A111" s="19"/>
      <c r="B111" s="14"/>
      <c r="C111" s="14" t="s">
        <v>488</v>
      </c>
      <c r="D111" s="38">
        <v>256779414232</v>
      </c>
      <c r="E111" s="13" t="s">
        <v>0</v>
      </c>
      <c r="F111" s="13">
        <v>95439</v>
      </c>
      <c r="G111" s="13" t="s">
        <v>489</v>
      </c>
      <c r="H111" s="13">
        <v>10604</v>
      </c>
      <c r="I111" s="13"/>
      <c r="J111" s="13"/>
      <c r="K111" s="13"/>
      <c r="L111" s="13"/>
      <c r="M111" s="13"/>
      <c r="N111" s="13"/>
      <c r="O111" s="13"/>
      <c r="P111" s="21">
        <v>0</v>
      </c>
    </row>
    <row r="112" spans="1:16" x14ac:dyDescent="0.25">
      <c r="A112" s="19"/>
      <c r="B112" s="14"/>
      <c r="C112" s="14" t="s">
        <v>488</v>
      </c>
      <c r="D112" s="38">
        <v>256779414374</v>
      </c>
      <c r="E112" s="13" t="s">
        <v>0</v>
      </c>
      <c r="F112" s="13">
        <v>138495</v>
      </c>
      <c r="G112" s="13" t="s">
        <v>489</v>
      </c>
      <c r="H112" s="13">
        <v>15388</v>
      </c>
      <c r="I112" s="13"/>
      <c r="J112" s="13"/>
      <c r="K112" s="13"/>
      <c r="L112" s="13"/>
      <c r="M112" s="13"/>
      <c r="N112" s="13"/>
      <c r="O112" s="13"/>
      <c r="P112" s="21">
        <v>0</v>
      </c>
    </row>
    <row r="113" spans="1:16" x14ac:dyDescent="0.25">
      <c r="A113" s="19"/>
      <c r="B113" s="14"/>
      <c r="C113" s="14" t="s">
        <v>488</v>
      </c>
      <c r="D113" s="38">
        <v>256779413891</v>
      </c>
      <c r="E113" s="13" t="s">
        <v>0</v>
      </c>
      <c r="F113" s="13">
        <v>116217</v>
      </c>
      <c r="G113" s="13" t="s">
        <v>489</v>
      </c>
      <c r="H113" s="13">
        <v>12913</v>
      </c>
      <c r="I113" s="13"/>
      <c r="J113" s="13"/>
      <c r="K113" s="13"/>
      <c r="L113" s="13"/>
      <c r="M113" s="13"/>
      <c r="N113" s="13"/>
      <c r="O113" s="13"/>
      <c r="P113" s="21">
        <v>0</v>
      </c>
    </row>
    <row r="114" spans="1:16" x14ac:dyDescent="0.25">
      <c r="A114" s="19"/>
      <c r="B114" s="14"/>
      <c r="C114" s="14" t="s">
        <v>488</v>
      </c>
      <c r="D114" s="38">
        <v>256779415188</v>
      </c>
      <c r="E114" s="13" t="s">
        <v>0</v>
      </c>
      <c r="F114" s="13">
        <v>117740</v>
      </c>
      <c r="G114" s="13" t="s">
        <v>489</v>
      </c>
      <c r="H114" s="13">
        <v>13082</v>
      </c>
      <c r="I114" s="13"/>
      <c r="J114" s="13"/>
      <c r="K114" s="13"/>
      <c r="L114" s="13"/>
      <c r="M114" s="13"/>
      <c r="N114" s="13"/>
      <c r="O114" s="13"/>
      <c r="P114" s="21">
        <v>0</v>
      </c>
    </row>
    <row r="115" spans="1:16" x14ac:dyDescent="0.25">
      <c r="A115" s="19"/>
      <c r="B115" s="14"/>
      <c r="C115" s="14" t="s">
        <v>488</v>
      </c>
      <c r="D115" s="38">
        <v>256779416081</v>
      </c>
      <c r="E115" s="13" t="s">
        <v>0</v>
      </c>
      <c r="F115" s="13">
        <v>98139</v>
      </c>
      <c r="G115" s="13" t="s">
        <v>489</v>
      </c>
      <c r="H115" s="13">
        <v>10904</v>
      </c>
      <c r="I115" s="13"/>
      <c r="J115" s="13"/>
      <c r="K115" s="13"/>
      <c r="L115" s="13"/>
      <c r="M115" s="13"/>
      <c r="N115" s="13"/>
      <c r="O115" s="13"/>
      <c r="P115" s="21">
        <v>0</v>
      </c>
    </row>
    <row r="116" spans="1:16" x14ac:dyDescent="0.25">
      <c r="A116" s="19"/>
      <c r="B116" s="14"/>
      <c r="C116" s="14" t="s">
        <v>488</v>
      </c>
      <c r="D116" s="38">
        <v>256779414932</v>
      </c>
      <c r="E116" s="13" t="s">
        <v>0</v>
      </c>
      <c r="F116" s="13">
        <v>139321</v>
      </c>
      <c r="G116" s="13" t="s">
        <v>489</v>
      </c>
      <c r="H116" s="13">
        <v>15480</v>
      </c>
      <c r="I116" s="13"/>
      <c r="J116" s="13"/>
      <c r="K116" s="13"/>
      <c r="L116" s="13"/>
      <c r="M116" s="13"/>
      <c r="N116" s="13"/>
      <c r="O116" s="13"/>
      <c r="P116" s="21">
        <v>0</v>
      </c>
    </row>
    <row r="117" spans="1:16" x14ac:dyDescent="0.25">
      <c r="A117" s="19"/>
      <c r="B117" s="14"/>
      <c r="C117" s="14" t="s">
        <v>488</v>
      </c>
      <c r="D117" s="38">
        <v>256779416043</v>
      </c>
      <c r="E117" s="13" t="s">
        <v>0</v>
      </c>
      <c r="F117" s="13">
        <v>139369</v>
      </c>
      <c r="G117" s="13" t="s">
        <v>489</v>
      </c>
      <c r="H117" s="13">
        <v>15485</v>
      </c>
      <c r="I117" s="13"/>
      <c r="J117" s="13"/>
      <c r="K117" s="13"/>
      <c r="L117" s="13"/>
      <c r="M117" s="13"/>
      <c r="N117" s="13"/>
      <c r="O117" s="13"/>
      <c r="P117" s="21">
        <v>0</v>
      </c>
    </row>
    <row r="118" spans="1:16" x14ac:dyDescent="0.25">
      <c r="A118" s="19"/>
      <c r="B118" s="14"/>
      <c r="C118" s="14" t="s">
        <v>488</v>
      </c>
      <c r="D118" s="38">
        <v>256779415968</v>
      </c>
      <c r="E118" s="13" t="s">
        <v>0</v>
      </c>
      <c r="F118" s="13">
        <v>35991</v>
      </c>
      <c r="G118" s="13" t="s">
        <v>489</v>
      </c>
      <c r="H118" s="13">
        <v>3999</v>
      </c>
      <c r="I118" s="13"/>
      <c r="J118" s="13"/>
      <c r="K118" s="13"/>
      <c r="L118" s="13"/>
      <c r="M118" s="13"/>
      <c r="N118" s="13"/>
      <c r="O118" s="13"/>
      <c r="P118" s="21">
        <v>0</v>
      </c>
    </row>
    <row r="119" spans="1:16" x14ac:dyDescent="0.25">
      <c r="A119" s="19"/>
      <c r="B119" s="14"/>
      <c r="C119" s="14" t="s">
        <v>488</v>
      </c>
      <c r="D119" s="38">
        <v>256779414834</v>
      </c>
      <c r="E119" s="13" t="s">
        <v>0</v>
      </c>
      <c r="F119" s="13">
        <v>1288</v>
      </c>
      <c r="G119" s="13" t="s">
        <v>489</v>
      </c>
      <c r="H119" s="13">
        <v>26</v>
      </c>
      <c r="I119" s="13"/>
      <c r="J119" s="13"/>
      <c r="K119" s="13"/>
      <c r="L119" s="13"/>
      <c r="M119" s="13"/>
      <c r="N119" s="13"/>
      <c r="O119" s="13"/>
      <c r="P119" s="21">
        <v>0</v>
      </c>
    </row>
    <row r="120" spans="1:16" x14ac:dyDescent="0.25">
      <c r="A120" s="19"/>
      <c r="B120" s="14"/>
      <c r="C120" s="14" t="s">
        <v>488</v>
      </c>
      <c r="D120" s="38">
        <v>256779414769</v>
      </c>
      <c r="E120" s="13" t="s">
        <v>0</v>
      </c>
      <c r="F120" s="13">
        <v>5629</v>
      </c>
      <c r="G120" s="13" t="s">
        <v>489</v>
      </c>
      <c r="H120" s="13">
        <v>115</v>
      </c>
      <c r="I120" s="13"/>
      <c r="J120" s="13"/>
      <c r="K120" s="13"/>
      <c r="L120" s="13"/>
      <c r="M120" s="13"/>
      <c r="N120" s="13"/>
      <c r="O120" s="13"/>
      <c r="P120" s="21">
        <v>0</v>
      </c>
    </row>
    <row r="121" spans="1:16" x14ac:dyDescent="0.25">
      <c r="A121" s="23"/>
      <c r="B121" s="24"/>
      <c r="C121" s="24" t="s">
        <v>488</v>
      </c>
      <c r="D121" s="39">
        <v>256779414803</v>
      </c>
      <c r="E121" s="25" t="s">
        <v>0</v>
      </c>
      <c r="F121" s="25">
        <v>26854</v>
      </c>
      <c r="G121" s="25" t="s">
        <v>489</v>
      </c>
      <c r="H121" s="25">
        <v>548</v>
      </c>
      <c r="I121" s="25"/>
      <c r="J121" s="25"/>
      <c r="K121" s="25"/>
      <c r="L121" s="25"/>
      <c r="M121" s="25"/>
      <c r="N121" s="25"/>
      <c r="O121" s="25"/>
      <c r="P121" s="26">
        <v>0</v>
      </c>
    </row>
    <row r="122" spans="1:16" x14ac:dyDescent="0.25">
      <c r="A122" s="19"/>
      <c r="B122" s="14"/>
      <c r="C122" s="14" t="s">
        <v>488</v>
      </c>
      <c r="D122" s="38">
        <v>256779414881</v>
      </c>
      <c r="E122" s="13" t="s">
        <v>0</v>
      </c>
      <c r="F122" s="13">
        <v>4401</v>
      </c>
      <c r="G122" s="13" t="s">
        <v>489</v>
      </c>
      <c r="H122" s="13">
        <v>90</v>
      </c>
      <c r="I122" s="13"/>
      <c r="J122" s="13"/>
      <c r="K122" s="13"/>
      <c r="L122" s="13"/>
      <c r="M122" s="13"/>
      <c r="N122" s="13"/>
      <c r="O122" s="13"/>
      <c r="P122" s="21">
        <v>0</v>
      </c>
    </row>
    <row r="123" spans="1:16" x14ac:dyDescent="0.25">
      <c r="A123" s="19"/>
      <c r="B123" s="14"/>
      <c r="C123" s="14" t="s">
        <v>488</v>
      </c>
      <c r="D123" s="38">
        <v>256779415265</v>
      </c>
      <c r="E123" s="13" t="s">
        <v>0</v>
      </c>
      <c r="F123" s="13">
        <v>13884</v>
      </c>
      <c r="G123" s="13" t="s">
        <v>489</v>
      </c>
      <c r="H123" s="13">
        <v>283</v>
      </c>
      <c r="I123" s="13"/>
      <c r="J123" s="13"/>
      <c r="K123" s="13"/>
      <c r="L123" s="13"/>
      <c r="M123" s="13"/>
      <c r="N123" s="13"/>
      <c r="O123" s="13"/>
      <c r="P123" s="21">
        <v>0</v>
      </c>
    </row>
    <row r="124" spans="1:16" x14ac:dyDescent="0.25">
      <c r="A124" s="19"/>
      <c r="B124" s="14"/>
      <c r="C124" s="14" t="s">
        <v>488</v>
      </c>
      <c r="D124" s="38">
        <v>256779415020</v>
      </c>
      <c r="E124" s="13" t="s">
        <v>0</v>
      </c>
      <c r="F124" s="13">
        <v>14782</v>
      </c>
      <c r="G124" s="13" t="s">
        <v>489</v>
      </c>
      <c r="H124" s="13">
        <v>302</v>
      </c>
      <c r="I124" s="13"/>
      <c r="J124" s="13"/>
      <c r="K124" s="13"/>
      <c r="L124" s="13"/>
      <c r="M124" s="13"/>
      <c r="N124" s="13"/>
      <c r="O124" s="13"/>
      <c r="P124" s="21">
        <v>0</v>
      </c>
    </row>
    <row r="125" spans="1:16" x14ac:dyDescent="0.25">
      <c r="A125" s="19"/>
      <c r="B125" s="14"/>
      <c r="C125" s="14" t="s">
        <v>488</v>
      </c>
      <c r="D125" s="38">
        <v>256779415434</v>
      </c>
      <c r="E125" s="13" t="s">
        <v>0</v>
      </c>
      <c r="F125" s="13">
        <v>9351</v>
      </c>
      <c r="G125" s="13" t="s">
        <v>489</v>
      </c>
      <c r="H125" s="13">
        <v>191</v>
      </c>
      <c r="I125" s="13"/>
      <c r="J125" s="13"/>
      <c r="K125" s="13"/>
      <c r="L125" s="13"/>
      <c r="M125" s="13"/>
      <c r="N125" s="13"/>
      <c r="O125" s="13"/>
      <c r="P125" s="21">
        <v>0</v>
      </c>
    </row>
    <row r="126" spans="1:16" x14ac:dyDescent="0.25">
      <c r="A126" s="23"/>
      <c r="B126" s="24"/>
      <c r="C126" s="24" t="s">
        <v>488</v>
      </c>
      <c r="D126" s="39">
        <v>256779415702</v>
      </c>
      <c r="E126" s="25" t="s">
        <v>0</v>
      </c>
      <c r="F126" s="25">
        <v>16856</v>
      </c>
      <c r="G126" s="25" t="s">
        <v>489</v>
      </c>
      <c r="H126" s="25">
        <v>344</v>
      </c>
      <c r="I126" s="25"/>
      <c r="J126" s="25"/>
      <c r="K126" s="25"/>
      <c r="L126" s="25"/>
      <c r="M126" s="25"/>
      <c r="N126" s="25"/>
      <c r="O126" s="25"/>
      <c r="P126" s="26">
        <v>0</v>
      </c>
    </row>
    <row r="127" spans="1:16" x14ac:dyDescent="0.25">
      <c r="A127" s="19"/>
      <c r="B127" s="14"/>
      <c r="C127" s="14" t="s">
        <v>488</v>
      </c>
      <c r="D127" s="38">
        <v>256779415445</v>
      </c>
      <c r="E127" s="13" t="s">
        <v>0</v>
      </c>
      <c r="F127" s="13">
        <v>2199</v>
      </c>
      <c r="G127" s="13" t="s">
        <v>489</v>
      </c>
      <c r="H127" s="13">
        <v>45</v>
      </c>
      <c r="I127" s="13"/>
      <c r="J127" s="13"/>
      <c r="K127" s="13"/>
      <c r="L127" s="13"/>
      <c r="M127" s="13"/>
      <c r="N127" s="13"/>
      <c r="O127" s="13"/>
      <c r="P127" s="21">
        <v>0</v>
      </c>
    </row>
    <row r="128" spans="1:16" x14ac:dyDescent="0.25">
      <c r="A128" s="19"/>
      <c r="B128" s="14"/>
      <c r="C128" s="14" t="s">
        <v>488</v>
      </c>
      <c r="D128" s="38">
        <v>256779415458</v>
      </c>
      <c r="E128" s="13" t="s">
        <v>0</v>
      </c>
      <c r="F128" s="13">
        <v>6215</v>
      </c>
      <c r="G128" s="13" t="s">
        <v>489</v>
      </c>
      <c r="H128" s="13">
        <v>127</v>
      </c>
      <c r="I128" s="13"/>
      <c r="J128" s="13"/>
      <c r="K128" s="13"/>
      <c r="L128" s="13"/>
      <c r="M128" s="13"/>
      <c r="N128" s="13"/>
      <c r="O128" s="13"/>
      <c r="P128" s="21">
        <v>0</v>
      </c>
    </row>
    <row r="129" spans="1:16" x14ac:dyDescent="0.25">
      <c r="A129" s="23"/>
      <c r="B129" s="24"/>
      <c r="C129" s="24" t="s">
        <v>488</v>
      </c>
      <c r="D129" s="39">
        <v>256779415486</v>
      </c>
      <c r="E129" s="25" t="s">
        <v>0</v>
      </c>
      <c r="F129" s="25">
        <v>20159</v>
      </c>
      <c r="G129" s="25" t="s">
        <v>489</v>
      </c>
      <c r="H129" s="25">
        <v>411</v>
      </c>
      <c r="I129" s="25"/>
      <c r="J129" s="25"/>
      <c r="K129" s="25"/>
      <c r="L129" s="25"/>
      <c r="M129" s="25"/>
      <c r="N129" s="25"/>
      <c r="O129" s="25"/>
      <c r="P129" s="26">
        <v>0</v>
      </c>
    </row>
    <row r="130" spans="1:16" x14ac:dyDescent="0.25">
      <c r="A130" s="19"/>
      <c r="B130" s="14"/>
      <c r="C130" s="14" t="s">
        <v>488</v>
      </c>
      <c r="D130" s="38">
        <v>256779415526</v>
      </c>
      <c r="E130" s="13" t="s">
        <v>0</v>
      </c>
      <c r="F130" s="13">
        <v>232</v>
      </c>
      <c r="G130" s="13" t="s">
        <v>489</v>
      </c>
      <c r="H130" s="13">
        <v>5</v>
      </c>
      <c r="I130" s="13"/>
      <c r="J130" s="13"/>
      <c r="K130" s="13"/>
      <c r="L130" s="13"/>
      <c r="M130" s="13"/>
      <c r="N130" s="13"/>
      <c r="O130" s="13"/>
      <c r="P130" s="21">
        <v>0</v>
      </c>
    </row>
    <row r="131" spans="1:16" x14ac:dyDescent="0.25">
      <c r="A131" s="19"/>
      <c r="B131" s="14"/>
      <c r="C131" s="14" t="s">
        <v>488</v>
      </c>
      <c r="D131" s="38">
        <v>256779415946</v>
      </c>
      <c r="E131" s="13" t="s">
        <v>0</v>
      </c>
      <c r="F131" s="13">
        <v>2466</v>
      </c>
      <c r="G131" s="13" t="s">
        <v>489</v>
      </c>
      <c r="H131" s="13">
        <v>50</v>
      </c>
      <c r="I131" s="13"/>
      <c r="J131" s="13"/>
      <c r="K131" s="13"/>
      <c r="L131" s="13"/>
      <c r="M131" s="13"/>
      <c r="N131" s="13"/>
      <c r="O131" s="13"/>
      <c r="P131" s="21">
        <v>0</v>
      </c>
    </row>
    <row r="132" spans="1:16" x14ac:dyDescent="0.25">
      <c r="A132" s="19"/>
      <c r="B132" s="14"/>
      <c r="C132" s="14" t="s">
        <v>488</v>
      </c>
      <c r="D132" s="38">
        <v>256779416000</v>
      </c>
      <c r="E132" s="13" t="s">
        <v>0</v>
      </c>
      <c r="F132" s="13">
        <v>12698</v>
      </c>
      <c r="G132" s="13" t="s">
        <v>489</v>
      </c>
      <c r="H132" s="13">
        <v>259</v>
      </c>
      <c r="I132" s="13"/>
      <c r="J132" s="13"/>
      <c r="K132" s="13"/>
      <c r="L132" s="13"/>
      <c r="M132" s="13"/>
      <c r="N132" s="13"/>
      <c r="O132" s="13"/>
      <c r="P132" s="21">
        <v>0</v>
      </c>
    </row>
    <row r="133" spans="1:16" x14ac:dyDescent="0.25">
      <c r="A133" s="19"/>
      <c r="B133" s="14"/>
      <c r="C133" s="14" t="s">
        <v>488</v>
      </c>
      <c r="D133" s="38">
        <v>256779416143</v>
      </c>
      <c r="E133" s="13" t="s">
        <v>0</v>
      </c>
      <c r="F133" s="13">
        <v>2215</v>
      </c>
      <c r="G133" s="13" t="s">
        <v>489</v>
      </c>
      <c r="H133" s="13">
        <v>45</v>
      </c>
      <c r="I133" s="13"/>
      <c r="J133" s="13"/>
      <c r="K133" s="13"/>
      <c r="L133" s="13"/>
      <c r="M133" s="13"/>
      <c r="N133" s="13"/>
      <c r="O133" s="13"/>
      <c r="P133" s="21">
        <v>0</v>
      </c>
    </row>
    <row r="134" spans="1:16" x14ac:dyDescent="0.25">
      <c r="A134" s="19"/>
      <c r="B134" s="14"/>
      <c r="C134" s="14" t="s">
        <v>488</v>
      </c>
      <c r="D134" s="38">
        <v>256779416183</v>
      </c>
      <c r="E134" s="13" t="s">
        <v>0</v>
      </c>
      <c r="F134" s="13">
        <v>8627</v>
      </c>
      <c r="G134" s="13" t="s">
        <v>489</v>
      </c>
      <c r="H134" s="13">
        <v>176</v>
      </c>
      <c r="I134" s="13"/>
      <c r="J134" s="13"/>
      <c r="K134" s="13"/>
      <c r="L134" s="13"/>
      <c r="M134" s="13"/>
      <c r="N134" s="13"/>
      <c r="O134" s="13"/>
      <c r="P134" s="21">
        <v>0</v>
      </c>
    </row>
    <row r="135" spans="1:16" x14ac:dyDescent="0.25">
      <c r="A135" s="19"/>
      <c r="B135" s="14"/>
      <c r="C135" s="14" t="s">
        <v>488</v>
      </c>
      <c r="D135" s="38">
        <v>256779416229</v>
      </c>
      <c r="E135" s="13" t="s">
        <v>0</v>
      </c>
      <c r="F135" s="13">
        <v>1914</v>
      </c>
      <c r="G135" s="13" t="s">
        <v>489</v>
      </c>
      <c r="H135" s="13">
        <v>39</v>
      </c>
      <c r="I135" s="13"/>
      <c r="J135" s="13"/>
      <c r="K135" s="13"/>
      <c r="L135" s="13"/>
      <c r="M135" s="13"/>
      <c r="N135" s="13"/>
      <c r="O135" s="13"/>
      <c r="P135" s="21">
        <v>0</v>
      </c>
    </row>
    <row r="136" spans="1:16" x14ac:dyDescent="0.25">
      <c r="A136" s="19"/>
      <c r="B136" s="14"/>
      <c r="C136" s="14" t="s">
        <v>488</v>
      </c>
      <c r="D136" s="38">
        <v>256779416447</v>
      </c>
      <c r="E136" s="13" t="s">
        <v>0</v>
      </c>
      <c r="F136" s="13">
        <v>30209</v>
      </c>
      <c r="G136" s="13" t="s">
        <v>489</v>
      </c>
      <c r="H136" s="13">
        <v>617</v>
      </c>
      <c r="I136" s="13"/>
      <c r="J136" s="13"/>
      <c r="K136" s="13"/>
      <c r="L136" s="13"/>
      <c r="M136" s="13"/>
      <c r="N136" s="13"/>
      <c r="O136" s="13"/>
      <c r="P136" s="21">
        <v>0</v>
      </c>
    </row>
    <row r="137" spans="1:16" x14ac:dyDescent="0.25">
      <c r="A137" s="19"/>
      <c r="B137" s="14"/>
      <c r="C137" s="14" t="s">
        <v>488</v>
      </c>
      <c r="D137" s="38">
        <v>256779416455</v>
      </c>
      <c r="E137" s="13" t="s">
        <v>0</v>
      </c>
      <c r="F137" s="13">
        <v>1155</v>
      </c>
      <c r="G137" s="13" t="s">
        <v>489</v>
      </c>
      <c r="H137" s="13">
        <v>24</v>
      </c>
      <c r="I137" s="13"/>
      <c r="J137" s="13"/>
      <c r="K137" s="13"/>
      <c r="L137" s="13"/>
      <c r="M137" s="13"/>
      <c r="N137" s="13"/>
      <c r="O137" s="13"/>
      <c r="P137" s="21">
        <v>0</v>
      </c>
    </row>
    <row r="138" spans="1:16" x14ac:dyDescent="0.25">
      <c r="A138" s="19"/>
      <c r="B138" s="14"/>
      <c r="C138" s="14" t="s">
        <v>488</v>
      </c>
      <c r="D138" s="38">
        <v>256779416517</v>
      </c>
      <c r="E138" s="13" t="s">
        <v>0</v>
      </c>
      <c r="F138" s="13">
        <v>4749</v>
      </c>
      <c r="G138" s="13" t="s">
        <v>489</v>
      </c>
      <c r="H138" s="13">
        <v>97</v>
      </c>
      <c r="I138" s="13"/>
      <c r="J138" s="13"/>
      <c r="K138" s="13"/>
      <c r="L138" s="13"/>
      <c r="M138" s="13"/>
      <c r="N138" s="13"/>
      <c r="O138" s="13"/>
      <c r="P138" s="21">
        <v>0</v>
      </c>
    </row>
    <row r="139" spans="1:16" x14ac:dyDescent="0.25">
      <c r="A139" s="19"/>
      <c r="B139" s="14"/>
      <c r="C139" s="14" t="s">
        <v>488</v>
      </c>
      <c r="D139" s="38">
        <v>256779416848</v>
      </c>
      <c r="E139" s="13" t="s">
        <v>0</v>
      </c>
      <c r="F139" s="13">
        <v>1496</v>
      </c>
      <c r="G139" s="13" t="s">
        <v>489</v>
      </c>
      <c r="H139" s="13">
        <v>31</v>
      </c>
      <c r="I139" s="13"/>
      <c r="J139" s="13"/>
      <c r="K139" s="13"/>
      <c r="L139" s="13"/>
      <c r="M139" s="13"/>
      <c r="N139" s="13"/>
      <c r="O139" s="13"/>
      <c r="P139" s="21">
        <v>0</v>
      </c>
    </row>
    <row r="140" spans="1:16" x14ac:dyDescent="0.25">
      <c r="A140" s="19"/>
      <c r="B140" s="14"/>
      <c r="C140" s="14" t="s">
        <v>488</v>
      </c>
      <c r="D140" s="38">
        <v>256779416883</v>
      </c>
      <c r="E140" s="13" t="s">
        <v>0</v>
      </c>
      <c r="F140" s="13">
        <v>4220</v>
      </c>
      <c r="G140" s="13" t="s">
        <v>489</v>
      </c>
      <c r="H140" s="13">
        <v>86</v>
      </c>
      <c r="I140" s="13"/>
      <c r="J140" s="13"/>
      <c r="K140" s="13"/>
      <c r="L140" s="13"/>
      <c r="M140" s="13"/>
      <c r="N140" s="13"/>
      <c r="O140" s="13"/>
      <c r="P140" s="21">
        <v>0</v>
      </c>
    </row>
    <row r="141" spans="1:16" x14ac:dyDescent="0.25">
      <c r="A141" s="19"/>
      <c r="B141" s="14"/>
      <c r="C141" s="14" t="s">
        <v>488</v>
      </c>
      <c r="D141" s="38">
        <v>256779417163</v>
      </c>
      <c r="E141" s="13" t="s">
        <v>0</v>
      </c>
      <c r="F141" s="13">
        <v>6444</v>
      </c>
      <c r="G141" s="13" t="s">
        <v>489</v>
      </c>
      <c r="H141" s="13">
        <v>131</v>
      </c>
      <c r="I141" s="13"/>
      <c r="J141" s="13"/>
      <c r="K141" s="13"/>
      <c r="L141" s="13"/>
      <c r="M141" s="13"/>
      <c r="N141" s="13"/>
      <c r="O141" s="13"/>
      <c r="P141" s="21">
        <v>0</v>
      </c>
    </row>
    <row r="142" spans="1:16" x14ac:dyDescent="0.25">
      <c r="A142" s="23"/>
      <c r="B142" s="24"/>
      <c r="C142" s="24" t="s">
        <v>488</v>
      </c>
      <c r="D142" s="39">
        <v>256779417188</v>
      </c>
      <c r="E142" s="25" t="s">
        <v>0</v>
      </c>
      <c r="F142" s="25">
        <v>12007</v>
      </c>
      <c r="G142" s="25" t="s">
        <v>489</v>
      </c>
      <c r="H142" s="25">
        <v>245</v>
      </c>
      <c r="I142" s="25"/>
      <c r="J142" s="25"/>
      <c r="K142" s="25"/>
      <c r="L142" s="25"/>
      <c r="M142" s="25"/>
      <c r="N142" s="25"/>
      <c r="O142" s="25"/>
      <c r="P142" s="26">
        <v>0</v>
      </c>
    </row>
    <row r="143" spans="1:16" x14ac:dyDescent="0.25">
      <c r="A143" s="19"/>
      <c r="B143" s="14"/>
      <c r="C143" s="14" t="s">
        <v>488</v>
      </c>
      <c r="D143" s="38">
        <v>256779417247</v>
      </c>
      <c r="E143" s="13" t="s">
        <v>0</v>
      </c>
      <c r="F143" s="13">
        <v>9273</v>
      </c>
      <c r="G143" s="13" t="s">
        <v>489</v>
      </c>
      <c r="H143" s="13">
        <v>189</v>
      </c>
      <c r="I143" s="13"/>
      <c r="J143" s="13"/>
      <c r="K143" s="13"/>
      <c r="L143" s="13"/>
      <c r="M143" s="13"/>
      <c r="N143" s="13"/>
      <c r="O143" s="13"/>
      <c r="P143" s="21">
        <v>0</v>
      </c>
    </row>
    <row r="144" spans="1:16" x14ac:dyDescent="0.25">
      <c r="A144" s="23"/>
      <c r="B144" s="24"/>
      <c r="C144" s="24" t="s">
        <v>488</v>
      </c>
      <c r="D144" s="39">
        <v>256779417290</v>
      </c>
      <c r="E144" s="25" t="s">
        <v>0</v>
      </c>
      <c r="F144" s="25">
        <v>49606</v>
      </c>
      <c r="G144" s="25" t="s">
        <v>489</v>
      </c>
      <c r="H144" s="25">
        <v>1012</v>
      </c>
      <c r="I144" s="25"/>
      <c r="J144" s="25"/>
      <c r="K144" s="25"/>
      <c r="L144" s="25"/>
      <c r="M144" s="25"/>
      <c r="N144" s="25"/>
      <c r="O144" s="25"/>
      <c r="P144" s="26">
        <v>0</v>
      </c>
    </row>
    <row r="145" spans="1:16" x14ac:dyDescent="0.25">
      <c r="A145" s="19"/>
      <c r="B145" s="14"/>
      <c r="C145" s="14" t="s">
        <v>488</v>
      </c>
      <c r="D145" s="38">
        <v>256779417330</v>
      </c>
      <c r="E145" s="13" t="s">
        <v>0</v>
      </c>
      <c r="F145" s="13">
        <v>1159</v>
      </c>
      <c r="G145" s="13" t="s">
        <v>489</v>
      </c>
      <c r="H145" s="13">
        <v>24</v>
      </c>
      <c r="I145" s="13"/>
      <c r="J145" s="13"/>
      <c r="K145" s="13"/>
      <c r="L145" s="13"/>
      <c r="M145" s="13"/>
      <c r="N145" s="13"/>
      <c r="O145" s="13"/>
      <c r="P145" s="21">
        <v>0</v>
      </c>
    </row>
    <row r="146" spans="1:16" x14ac:dyDescent="0.25">
      <c r="A146" s="19"/>
      <c r="B146" s="14"/>
      <c r="C146" s="14" t="s">
        <v>488</v>
      </c>
      <c r="D146" s="38">
        <v>256779417444</v>
      </c>
      <c r="E146" s="13" t="s">
        <v>0</v>
      </c>
      <c r="F146" s="13">
        <v>113740</v>
      </c>
      <c r="G146" s="13" t="s">
        <v>489</v>
      </c>
      <c r="H146" s="13">
        <v>2321</v>
      </c>
      <c r="I146" s="13"/>
      <c r="J146" s="13"/>
      <c r="K146" s="13"/>
      <c r="L146" s="13"/>
      <c r="M146" s="13"/>
      <c r="N146" s="13"/>
      <c r="O146" s="13"/>
      <c r="P146" s="21">
        <v>0</v>
      </c>
    </row>
    <row r="147" spans="1:16" x14ac:dyDescent="0.25">
      <c r="A147" s="19"/>
      <c r="B147" s="14"/>
      <c r="C147" s="14" t="s">
        <v>488</v>
      </c>
      <c r="D147" s="38">
        <v>256779417530</v>
      </c>
      <c r="E147" s="13" t="s">
        <v>0</v>
      </c>
      <c r="F147" s="13">
        <v>3542</v>
      </c>
      <c r="G147" s="13" t="s">
        <v>489</v>
      </c>
      <c r="H147" s="13">
        <v>72</v>
      </c>
      <c r="I147" s="13"/>
      <c r="J147" s="13"/>
      <c r="K147" s="13"/>
      <c r="L147" s="13"/>
      <c r="M147" s="13"/>
      <c r="N147" s="13"/>
      <c r="O147" s="13"/>
      <c r="P147" s="21">
        <v>0</v>
      </c>
    </row>
    <row r="148" spans="1:16" x14ac:dyDescent="0.25">
      <c r="A148" s="19"/>
      <c r="B148" s="14"/>
      <c r="C148" s="14" t="s">
        <v>488</v>
      </c>
      <c r="D148" s="38">
        <v>256779417571</v>
      </c>
      <c r="E148" s="13" t="s">
        <v>0</v>
      </c>
      <c r="F148" s="13">
        <v>13451</v>
      </c>
      <c r="G148" s="13" t="s">
        <v>489</v>
      </c>
      <c r="H148" s="13">
        <v>275</v>
      </c>
      <c r="I148" s="13"/>
      <c r="J148" s="13"/>
      <c r="K148" s="13"/>
      <c r="L148" s="13"/>
      <c r="M148" s="13"/>
      <c r="N148" s="13"/>
      <c r="O148" s="13"/>
      <c r="P148" s="21">
        <v>0</v>
      </c>
    </row>
    <row r="149" spans="1:16" x14ac:dyDescent="0.25">
      <c r="A149" s="19"/>
      <c r="B149" s="14"/>
      <c r="C149" s="14" t="s">
        <v>488</v>
      </c>
      <c r="D149" s="38">
        <v>256779417904</v>
      </c>
      <c r="E149" s="13" t="s">
        <v>0</v>
      </c>
      <c r="F149" s="13">
        <v>2584</v>
      </c>
      <c r="G149" s="13" t="s">
        <v>489</v>
      </c>
      <c r="H149" s="13">
        <v>53</v>
      </c>
      <c r="I149" s="13"/>
      <c r="J149" s="13"/>
      <c r="K149" s="13"/>
      <c r="L149" s="13"/>
      <c r="M149" s="13"/>
      <c r="N149" s="13"/>
      <c r="O149" s="13"/>
      <c r="P149" s="21">
        <v>0</v>
      </c>
    </row>
    <row r="150" spans="1:16" x14ac:dyDescent="0.25">
      <c r="A150" s="19"/>
      <c r="B150" s="14"/>
      <c r="C150" s="14" t="s">
        <v>488</v>
      </c>
      <c r="D150" s="38">
        <v>256779417982</v>
      </c>
      <c r="E150" s="13" t="s">
        <v>0</v>
      </c>
      <c r="F150" s="13">
        <v>13490</v>
      </c>
      <c r="G150" s="13" t="s">
        <v>489</v>
      </c>
      <c r="H150" s="13">
        <v>275</v>
      </c>
      <c r="I150" s="13"/>
      <c r="J150" s="13"/>
      <c r="K150" s="13"/>
      <c r="L150" s="13"/>
      <c r="M150" s="13"/>
      <c r="N150" s="13"/>
      <c r="O150" s="13"/>
      <c r="P150" s="21">
        <v>0</v>
      </c>
    </row>
    <row r="151" spans="1:16" x14ac:dyDescent="0.25">
      <c r="A151" s="19"/>
      <c r="B151" s="14"/>
      <c r="C151" s="14" t="s">
        <v>488</v>
      </c>
      <c r="D151" s="38">
        <v>256779418182</v>
      </c>
      <c r="E151" s="13" t="s">
        <v>0</v>
      </c>
      <c r="F151" s="13">
        <v>48398</v>
      </c>
      <c r="G151" s="13" t="s">
        <v>489</v>
      </c>
      <c r="H151" s="13">
        <v>988</v>
      </c>
      <c r="I151" s="13"/>
      <c r="J151" s="13"/>
      <c r="K151" s="13"/>
      <c r="L151" s="13"/>
      <c r="M151" s="13"/>
      <c r="N151" s="13"/>
      <c r="O151" s="13"/>
      <c r="P151" s="21">
        <v>0</v>
      </c>
    </row>
    <row r="152" spans="1:16" x14ac:dyDescent="0.25">
      <c r="A152" s="19"/>
      <c r="B152" s="14"/>
      <c r="C152" s="14" t="s">
        <v>488</v>
      </c>
      <c r="D152" s="38">
        <v>256779418403</v>
      </c>
      <c r="E152" s="13" t="s">
        <v>0</v>
      </c>
      <c r="F152" s="13">
        <v>4437</v>
      </c>
      <c r="G152" s="13" t="s">
        <v>489</v>
      </c>
      <c r="H152" s="13">
        <v>91</v>
      </c>
      <c r="I152" s="13"/>
      <c r="J152" s="13"/>
      <c r="K152" s="13"/>
      <c r="L152" s="13"/>
      <c r="M152" s="13"/>
      <c r="N152" s="13"/>
      <c r="O152" s="13"/>
      <c r="P152" s="21">
        <v>0</v>
      </c>
    </row>
    <row r="153" spans="1:16" x14ac:dyDescent="0.25">
      <c r="A153" s="19"/>
      <c r="B153" s="14"/>
      <c r="C153" s="14" t="s">
        <v>488</v>
      </c>
      <c r="D153" s="38">
        <v>256779418430</v>
      </c>
      <c r="E153" s="13" t="s">
        <v>0</v>
      </c>
      <c r="F153" s="13">
        <v>4055</v>
      </c>
      <c r="G153" s="13" t="s">
        <v>489</v>
      </c>
      <c r="H153" s="13">
        <v>83</v>
      </c>
      <c r="I153" s="13"/>
      <c r="J153" s="13"/>
      <c r="K153" s="13"/>
      <c r="L153" s="13"/>
      <c r="M153" s="13"/>
      <c r="N153" s="13"/>
      <c r="O153" s="13"/>
      <c r="P153" s="21">
        <v>0</v>
      </c>
    </row>
    <row r="154" spans="1:16" x14ac:dyDescent="0.25">
      <c r="A154" s="19"/>
      <c r="B154" s="14"/>
      <c r="C154" s="14" t="s">
        <v>488</v>
      </c>
      <c r="D154" s="38">
        <v>256779418482</v>
      </c>
      <c r="E154" s="13" t="s">
        <v>0</v>
      </c>
      <c r="F154" s="13">
        <v>1175</v>
      </c>
      <c r="G154" s="13" t="s">
        <v>489</v>
      </c>
      <c r="H154" s="13">
        <v>24</v>
      </c>
      <c r="I154" s="13"/>
      <c r="J154" s="13"/>
      <c r="K154" s="13"/>
      <c r="L154" s="13"/>
      <c r="M154" s="13"/>
      <c r="N154" s="13"/>
      <c r="O154" s="13"/>
      <c r="P154" s="21">
        <v>0</v>
      </c>
    </row>
    <row r="155" spans="1:16" x14ac:dyDescent="0.25">
      <c r="A155" s="23"/>
      <c r="B155" s="24"/>
      <c r="C155" s="24" t="s">
        <v>488</v>
      </c>
      <c r="D155" s="39">
        <v>256779418628</v>
      </c>
      <c r="E155" s="25" t="s">
        <v>0</v>
      </c>
      <c r="F155" s="25">
        <v>20311</v>
      </c>
      <c r="G155" s="25" t="s">
        <v>489</v>
      </c>
      <c r="H155" s="25">
        <v>414</v>
      </c>
      <c r="I155" s="25"/>
      <c r="J155" s="25"/>
      <c r="K155" s="25"/>
      <c r="L155" s="25"/>
      <c r="M155" s="25"/>
      <c r="N155" s="25"/>
      <c r="O155" s="25"/>
      <c r="P155" s="26">
        <v>0</v>
      </c>
    </row>
    <row r="156" spans="1:16" x14ac:dyDescent="0.25">
      <c r="A156" s="19"/>
      <c r="B156" s="14"/>
      <c r="C156" s="14" t="s">
        <v>488</v>
      </c>
      <c r="D156" s="38">
        <v>256779418706</v>
      </c>
      <c r="E156" s="13" t="s">
        <v>0</v>
      </c>
      <c r="F156" s="13">
        <v>4696</v>
      </c>
      <c r="G156" s="13" t="s">
        <v>489</v>
      </c>
      <c r="H156" s="13">
        <v>96</v>
      </c>
      <c r="I156" s="13"/>
      <c r="J156" s="13"/>
      <c r="K156" s="13"/>
      <c r="L156" s="13"/>
      <c r="M156" s="13"/>
      <c r="N156" s="13"/>
      <c r="O156" s="13"/>
      <c r="P156" s="21">
        <v>0</v>
      </c>
    </row>
    <row r="157" spans="1:16" x14ac:dyDescent="0.25">
      <c r="A157" s="23"/>
      <c r="B157" s="24"/>
      <c r="C157" s="24" t="s">
        <v>488</v>
      </c>
      <c r="D157" s="39">
        <v>256779417943</v>
      </c>
      <c r="E157" s="25" t="s">
        <v>0</v>
      </c>
      <c r="F157" s="25">
        <v>23408</v>
      </c>
      <c r="G157" s="25" t="s">
        <v>489</v>
      </c>
      <c r="H157" s="25">
        <v>478</v>
      </c>
      <c r="I157" s="25"/>
      <c r="J157" s="25"/>
      <c r="K157" s="25"/>
      <c r="L157" s="25"/>
      <c r="M157" s="25"/>
      <c r="N157" s="25"/>
      <c r="O157" s="25"/>
      <c r="P157" s="26">
        <v>0</v>
      </c>
    </row>
    <row r="158" spans="1:16" x14ac:dyDescent="0.25">
      <c r="A158" s="23"/>
      <c r="B158" s="24"/>
      <c r="C158" s="24" t="s">
        <v>488</v>
      </c>
      <c r="D158" s="39">
        <v>256779418736</v>
      </c>
      <c r="E158" s="25" t="s">
        <v>0</v>
      </c>
      <c r="F158" s="25">
        <v>21340</v>
      </c>
      <c r="G158" s="25" t="s">
        <v>489</v>
      </c>
      <c r="H158" s="25">
        <v>436</v>
      </c>
      <c r="I158" s="25"/>
      <c r="J158" s="25"/>
      <c r="K158" s="25"/>
      <c r="L158" s="25"/>
      <c r="M158" s="25"/>
      <c r="N158" s="25"/>
      <c r="O158" s="25"/>
      <c r="P158" s="26">
        <v>0</v>
      </c>
    </row>
    <row r="159" spans="1:16" x14ac:dyDescent="0.25">
      <c r="A159" s="23"/>
      <c r="B159" s="24"/>
      <c r="C159" s="24" t="s">
        <v>488</v>
      </c>
      <c r="D159" s="39">
        <v>256779419136</v>
      </c>
      <c r="E159" s="25" t="s">
        <v>0</v>
      </c>
      <c r="F159" s="25">
        <v>39662</v>
      </c>
      <c r="G159" s="25" t="s">
        <v>489</v>
      </c>
      <c r="H159" s="25">
        <v>809</v>
      </c>
      <c r="I159" s="25"/>
      <c r="J159" s="25"/>
      <c r="K159" s="25"/>
      <c r="L159" s="25"/>
      <c r="M159" s="25"/>
      <c r="N159" s="25"/>
      <c r="O159" s="25"/>
      <c r="P159" s="26">
        <v>0</v>
      </c>
    </row>
    <row r="160" spans="1:16" x14ac:dyDescent="0.25">
      <c r="A160" s="19"/>
      <c r="B160" s="14"/>
      <c r="C160" s="14" t="s">
        <v>488</v>
      </c>
      <c r="D160" s="38">
        <v>256779418828</v>
      </c>
      <c r="E160" s="13" t="s">
        <v>0</v>
      </c>
      <c r="F160" s="13">
        <v>1167</v>
      </c>
      <c r="G160" s="13" t="s">
        <v>489</v>
      </c>
      <c r="H160" s="13">
        <v>24</v>
      </c>
      <c r="I160" s="13"/>
      <c r="J160" s="13"/>
      <c r="K160" s="13"/>
      <c r="L160" s="13"/>
      <c r="M160" s="13"/>
      <c r="N160" s="13"/>
      <c r="O160" s="13"/>
      <c r="P160" s="21">
        <v>0</v>
      </c>
    </row>
    <row r="161" spans="1:16" x14ac:dyDescent="0.25">
      <c r="A161" s="23"/>
      <c r="B161" s="24"/>
      <c r="C161" s="24" t="s">
        <v>488</v>
      </c>
      <c r="D161" s="39">
        <v>256779419087</v>
      </c>
      <c r="E161" s="25" t="s">
        <v>0</v>
      </c>
      <c r="F161" s="25">
        <v>12074</v>
      </c>
      <c r="G161" s="25" t="s">
        <v>489</v>
      </c>
      <c r="H161" s="25">
        <v>246</v>
      </c>
      <c r="I161" s="25"/>
      <c r="J161" s="25"/>
      <c r="K161" s="25"/>
      <c r="L161" s="25"/>
      <c r="M161" s="25"/>
      <c r="N161" s="25"/>
      <c r="O161" s="25"/>
      <c r="P161" s="26">
        <v>0</v>
      </c>
    </row>
    <row r="162" spans="1:16" x14ac:dyDescent="0.25">
      <c r="A162" s="19"/>
      <c r="B162" s="14"/>
      <c r="C162" s="14" t="s">
        <v>488</v>
      </c>
      <c r="D162" s="38">
        <v>256779419098</v>
      </c>
      <c r="E162" s="13" t="s">
        <v>0</v>
      </c>
      <c r="F162" s="13">
        <v>3018</v>
      </c>
      <c r="G162" s="13" t="s">
        <v>489</v>
      </c>
      <c r="H162" s="13">
        <v>62</v>
      </c>
      <c r="I162" s="13"/>
      <c r="J162" s="13"/>
      <c r="K162" s="13"/>
      <c r="L162" s="13"/>
      <c r="M162" s="13"/>
      <c r="N162" s="13"/>
      <c r="O162" s="13"/>
      <c r="P162" s="21">
        <v>0</v>
      </c>
    </row>
    <row r="163" spans="1:16" x14ac:dyDescent="0.25">
      <c r="A163" s="23"/>
      <c r="B163" s="24"/>
      <c r="C163" s="24" t="s">
        <v>488</v>
      </c>
      <c r="D163" s="39">
        <v>256779419179</v>
      </c>
      <c r="E163" s="25" t="s">
        <v>0</v>
      </c>
      <c r="F163" s="25">
        <v>27825</v>
      </c>
      <c r="G163" s="25" t="s">
        <v>489</v>
      </c>
      <c r="H163" s="25">
        <v>568</v>
      </c>
      <c r="I163" s="25"/>
      <c r="J163" s="25"/>
      <c r="K163" s="25"/>
      <c r="L163" s="25"/>
      <c r="M163" s="25"/>
      <c r="N163" s="25"/>
      <c r="O163" s="25"/>
      <c r="P163" s="26">
        <v>0</v>
      </c>
    </row>
    <row r="164" spans="1:16" x14ac:dyDescent="0.25">
      <c r="A164" s="19"/>
      <c r="B164" s="14"/>
      <c r="C164" s="14" t="s">
        <v>488</v>
      </c>
      <c r="D164" s="38">
        <v>256779419204</v>
      </c>
      <c r="E164" s="13" t="s">
        <v>0</v>
      </c>
      <c r="F164" s="13">
        <v>1147</v>
      </c>
      <c r="G164" s="13" t="s">
        <v>489</v>
      </c>
      <c r="H164" s="13">
        <v>23</v>
      </c>
      <c r="I164" s="13"/>
      <c r="J164" s="13"/>
      <c r="K164" s="13"/>
      <c r="L164" s="13"/>
      <c r="M164" s="13"/>
      <c r="N164" s="13"/>
      <c r="O164" s="13"/>
      <c r="P164" s="21">
        <v>0</v>
      </c>
    </row>
    <row r="165" spans="1:16" x14ac:dyDescent="0.25">
      <c r="A165" s="19"/>
      <c r="B165" s="14"/>
      <c r="C165" s="14" t="s">
        <v>488</v>
      </c>
      <c r="D165" s="38">
        <v>256779419267</v>
      </c>
      <c r="E165" s="13" t="s">
        <v>0</v>
      </c>
      <c r="F165" s="13">
        <v>17010</v>
      </c>
      <c r="G165" s="13" t="s">
        <v>489</v>
      </c>
      <c r="H165" s="13">
        <v>347</v>
      </c>
      <c r="I165" s="13"/>
      <c r="J165" s="13"/>
      <c r="K165" s="13"/>
      <c r="L165" s="13"/>
      <c r="M165" s="13"/>
      <c r="N165" s="13"/>
      <c r="O165" s="13"/>
      <c r="P165" s="21">
        <v>0</v>
      </c>
    </row>
    <row r="166" spans="1:16" x14ac:dyDescent="0.25">
      <c r="A166" s="19"/>
      <c r="B166" s="14"/>
      <c r="C166" s="14" t="s">
        <v>488</v>
      </c>
      <c r="D166" s="38">
        <v>256779419235</v>
      </c>
      <c r="E166" s="13" t="s">
        <v>0</v>
      </c>
      <c r="F166" s="13">
        <v>12608</v>
      </c>
      <c r="G166" s="13" t="s">
        <v>489</v>
      </c>
      <c r="H166" s="13">
        <v>257</v>
      </c>
      <c r="I166" s="13"/>
      <c r="J166" s="13"/>
      <c r="K166" s="13"/>
      <c r="L166" s="13"/>
      <c r="M166" s="13"/>
      <c r="N166" s="13"/>
      <c r="O166" s="13"/>
      <c r="P166" s="21">
        <v>0</v>
      </c>
    </row>
    <row r="167" spans="1:16" x14ac:dyDescent="0.25">
      <c r="A167" s="19"/>
      <c r="B167" s="14"/>
      <c r="C167" s="14" t="s">
        <v>488</v>
      </c>
      <c r="D167" s="38">
        <v>256779417362</v>
      </c>
      <c r="E167" s="13" t="s">
        <v>0</v>
      </c>
      <c r="F167" s="13">
        <v>141773</v>
      </c>
      <c r="G167" s="13" t="s">
        <v>489</v>
      </c>
      <c r="H167" s="13">
        <v>15753</v>
      </c>
      <c r="I167" s="13"/>
      <c r="J167" s="13"/>
      <c r="K167" s="13"/>
      <c r="L167" s="13"/>
      <c r="M167" s="13"/>
      <c r="N167" s="13"/>
      <c r="O167" s="13"/>
      <c r="P167" s="21">
        <v>0</v>
      </c>
    </row>
    <row r="168" spans="1:16" x14ac:dyDescent="0.25">
      <c r="A168" s="23"/>
      <c r="B168" s="24"/>
      <c r="C168" s="24" t="s">
        <v>488</v>
      </c>
      <c r="D168" s="39">
        <v>256779417075</v>
      </c>
      <c r="E168" s="25" t="s">
        <v>0</v>
      </c>
      <c r="F168" s="25">
        <v>86562</v>
      </c>
      <c r="G168" s="25" t="s">
        <v>489</v>
      </c>
      <c r="H168" s="25">
        <v>9618</v>
      </c>
      <c r="I168" s="25"/>
      <c r="J168" s="25"/>
      <c r="K168" s="25"/>
      <c r="L168" s="25"/>
      <c r="M168" s="25"/>
      <c r="N168" s="25"/>
      <c r="O168" s="25"/>
      <c r="P168" s="26">
        <v>0</v>
      </c>
    </row>
    <row r="169" spans="1:16" x14ac:dyDescent="0.25">
      <c r="A169" s="19"/>
      <c r="B169" s="14"/>
      <c r="C169" s="14" t="s">
        <v>488</v>
      </c>
      <c r="D169" s="38">
        <v>256779418014</v>
      </c>
      <c r="E169" s="13" t="s">
        <v>0</v>
      </c>
      <c r="F169" s="13">
        <v>105561</v>
      </c>
      <c r="G169" s="13" t="s">
        <v>489</v>
      </c>
      <c r="H169" s="13">
        <v>11729</v>
      </c>
      <c r="I169" s="13"/>
      <c r="J169" s="13"/>
      <c r="K169" s="13"/>
      <c r="L169" s="13"/>
      <c r="M169" s="13"/>
      <c r="N169" s="13"/>
      <c r="O169" s="13"/>
      <c r="P169" s="21">
        <v>0</v>
      </c>
    </row>
    <row r="170" spans="1:16" x14ac:dyDescent="0.25">
      <c r="A170" s="19"/>
      <c r="B170" s="14"/>
      <c r="C170" s="14" t="s">
        <v>488</v>
      </c>
      <c r="D170" s="38">
        <v>256779418025</v>
      </c>
      <c r="E170" s="13" t="s">
        <v>0</v>
      </c>
      <c r="F170" s="13">
        <v>142869</v>
      </c>
      <c r="G170" s="13" t="s">
        <v>489</v>
      </c>
      <c r="H170" s="13">
        <v>15874</v>
      </c>
      <c r="I170" s="13"/>
      <c r="J170" s="13"/>
      <c r="K170" s="13"/>
      <c r="L170" s="13"/>
      <c r="M170" s="13"/>
      <c r="N170" s="13"/>
      <c r="O170" s="13"/>
      <c r="P170" s="21">
        <v>0</v>
      </c>
    </row>
    <row r="171" spans="1:16" x14ac:dyDescent="0.25">
      <c r="A171" s="19"/>
      <c r="B171" s="14"/>
      <c r="C171" s="14" t="s">
        <v>488</v>
      </c>
      <c r="D171" s="38">
        <v>256779418791</v>
      </c>
      <c r="E171" s="13" t="s">
        <v>0</v>
      </c>
      <c r="F171" s="13">
        <v>142565</v>
      </c>
      <c r="G171" s="13" t="s">
        <v>489</v>
      </c>
      <c r="H171" s="13">
        <v>15841</v>
      </c>
      <c r="I171" s="13"/>
      <c r="J171" s="13"/>
      <c r="K171" s="13"/>
      <c r="L171" s="13"/>
      <c r="M171" s="13"/>
      <c r="N171" s="13"/>
      <c r="O171" s="13"/>
      <c r="P171" s="21">
        <v>0</v>
      </c>
    </row>
    <row r="172" spans="1:16" x14ac:dyDescent="0.25">
      <c r="A172" s="19"/>
      <c r="B172" s="14"/>
      <c r="C172" s="14" t="s">
        <v>488</v>
      </c>
      <c r="D172" s="38">
        <v>256779418871</v>
      </c>
      <c r="E172" s="13" t="s">
        <v>0</v>
      </c>
      <c r="F172" s="13">
        <v>84631</v>
      </c>
      <c r="G172" s="13" t="s">
        <v>489</v>
      </c>
      <c r="H172" s="13">
        <v>9404</v>
      </c>
      <c r="I172" s="13"/>
      <c r="J172" s="13"/>
      <c r="K172" s="13"/>
      <c r="L172" s="13"/>
      <c r="M172" s="13"/>
      <c r="N172" s="13"/>
      <c r="O172" s="13"/>
      <c r="P172" s="21">
        <v>0</v>
      </c>
    </row>
    <row r="173" spans="1:16" x14ac:dyDescent="0.25">
      <c r="A173" s="19"/>
      <c r="B173" s="14"/>
      <c r="C173" s="14"/>
      <c r="D173" s="14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21"/>
    </row>
    <row r="174" spans="1:16" x14ac:dyDescent="0.25">
      <c r="A174" s="23"/>
      <c r="B174" s="24"/>
      <c r="C174" s="24"/>
      <c r="D174" s="39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6"/>
    </row>
    <row r="175" spans="1:16" x14ac:dyDescent="0.25">
      <c r="A175" s="19"/>
      <c r="B175" s="14"/>
      <c r="C175" s="14"/>
      <c r="D175" s="38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21"/>
    </row>
    <row r="176" spans="1:16" x14ac:dyDescent="0.25">
      <c r="A176" s="19"/>
      <c r="B176" s="14"/>
      <c r="C176" s="14"/>
      <c r="D176" s="14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21"/>
    </row>
    <row r="177" spans="1:16" x14ac:dyDescent="0.25">
      <c r="A177" s="23"/>
      <c r="B177" s="24"/>
      <c r="C177" s="24"/>
      <c r="D177" s="39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6"/>
    </row>
    <row r="178" spans="1:16" x14ac:dyDescent="0.25">
      <c r="A178" s="19"/>
      <c r="B178" s="14"/>
      <c r="C178" s="14"/>
      <c r="D178" s="14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21"/>
    </row>
    <row r="179" spans="1:16" x14ac:dyDescent="0.25">
      <c r="A179" s="23"/>
      <c r="B179" s="24"/>
      <c r="C179" s="24"/>
      <c r="D179" s="39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6"/>
    </row>
    <row r="180" spans="1:16" x14ac:dyDescent="0.25">
      <c r="A180" s="19"/>
      <c r="B180" s="14"/>
      <c r="C180" s="14"/>
      <c r="D180" s="14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21"/>
    </row>
    <row r="181" spans="1:16" x14ac:dyDescent="0.25">
      <c r="A181" s="23"/>
      <c r="B181" s="24"/>
      <c r="C181" s="24"/>
      <c r="D181" s="39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6"/>
    </row>
    <row r="182" spans="1:16" x14ac:dyDescent="0.25">
      <c r="A182" s="19"/>
      <c r="B182" s="14"/>
      <c r="C182" s="14"/>
      <c r="D182" s="38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21"/>
    </row>
    <row r="183" spans="1:16" x14ac:dyDescent="0.25">
      <c r="A183" s="19"/>
      <c r="B183" s="14"/>
      <c r="C183" s="14"/>
      <c r="D183" s="1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21"/>
    </row>
    <row r="184" spans="1:16" x14ac:dyDescent="0.25">
      <c r="A184" s="23"/>
      <c r="B184" s="24"/>
      <c r="C184" s="24"/>
      <c r="D184" s="39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6"/>
    </row>
    <row r="185" spans="1:16" x14ac:dyDescent="0.25">
      <c r="A185" s="19"/>
      <c r="B185" s="14"/>
      <c r="C185" s="14"/>
      <c r="D185" s="38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21"/>
    </row>
    <row r="186" spans="1:16" x14ac:dyDescent="0.25">
      <c r="A186" s="19"/>
      <c r="B186" s="14"/>
      <c r="C186" s="14"/>
      <c r="D186" s="14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21"/>
    </row>
    <row r="187" spans="1:16" x14ac:dyDescent="0.25">
      <c r="A187" s="23"/>
      <c r="B187" s="24"/>
      <c r="C187" s="24"/>
      <c r="D187" s="39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6"/>
    </row>
    <row r="188" spans="1:16" x14ac:dyDescent="0.25">
      <c r="A188" s="19"/>
      <c r="B188" s="14"/>
      <c r="C188" s="14"/>
      <c r="D188" s="38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21"/>
    </row>
    <row r="189" spans="1:16" x14ac:dyDescent="0.25">
      <c r="A189" s="19"/>
      <c r="B189" s="14"/>
      <c r="C189" s="14"/>
      <c r="D189" s="38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21"/>
    </row>
    <row r="190" spans="1:16" x14ac:dyDescent="0.25">
      <c r="A190" s="19"/>
      <c r="B190" s="14"/>
      <c r="C190" s="14"/>
      <c r="D190" s="38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21"/>
    </row>
    <row r="191" spans="1:16" x14ac:dyDescent="0.25">
      <c r="A191" s="19"/>
      <c r="B191" s="14"/>
      <c r="C191" s="14"/>
      <c r="D191" s="38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21"/>
    </row>
    <row r="192" spans="1:16" x14ac:dyDescent="0.25">
      <c r="A192" s="23"/>
      <c r="B192" s="24"/>
      <c r="C192" s="24"/>
      <c r="D192" s="39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6"/>
    </row>
    <row r="193" spans="1:16" x14ac:dyDescent="0.25">
      <c r="A193" s="19"/>
      <c r="B193" s="14"/>
      <c r="C193" s="14"/>
      <c r="D193" s="1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21"/>
    </row>
    <row r="194" spans="1:16" x14ac:dyDescent="0.25">
      <c r="A194" s="19"/>
      <c r="B194" s="14"/>
      <c r="C194" s="14"/>
      <c r="D194" s="38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21"/>
    </row>
    <row r="195" spans="1:16" x14ac:dyDescent="0.25">
      <c r="A195" s="19"/>
      <c r="B195" s="14"/>
      <c r="C195" s="14"/>
      <c r="D195" s="38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21"/>
    </row>
    <row r="196" spans="1:16" x14ac:dyDescent="0.25">
      <c r="A196" s="19"/>
      <c r="B196" s="14"/>
      <c r="C196" s="14"/>
      <c r="D196" s="38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21"/>
    </row>
    <row r="197" spans="1:16" x14ac:dyDescent="0.25">
      <c r="A197" s="19"/>
      <c r="B197" s="14"/>
      <c r="C197" s="14"/>
      <c r="D197" s="38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2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C85B9-2E96-4D26-83D6-4B1D7A9F25CC}">
  <sheetPr>
    <tabColor theme="5" tint="0.39997558519241921"/>
  </sheetPr>
  <dimension ref="A1:N13"/>
  <sheetViews>
    <sheetView topLeftCell="D1" workbookViewId="0">
      <selection activeCell="K13" sqref="K13"/>
    </sheetView>
  </sheetViews>
  <sheetFormatPr defaultRowHeight="12.5" x14ac:dyDescent="0.25"/>
  <cols>
    <col min="1" max="1" width="31.6328125" bestFit="1" customWidth="1"/>
    <col min="2" max="2" width="9.90625" bestFit="1" customWidth="1"/>
    <col min="3" max="3" width="11.08984375" bestFit="1" customWidth="1"/>
    <col min="4" max="4" width="15.6328125" bestFit="1" customWidth="1"/>
    <col min="5" max="5" width="8.1796875" bestFit="1" customWidth="1"/>
    <col min="6" max="6" width="13.1796875" bestFit="1" customWidth="1"/>
    <col min="7" max="7" width="12.08984375" bestFit="1" customWidth="1"/>
    <col min="8" max="8" width="8.1796875" bestFit="1" customWidth="1"/>
    <col min="9" max="9" width="8.54296875" bestFit="1" customWidth="1"/>
    <col min="10" max="10" width="8.36328125" bestFit="1" customWidth="1"/>
    <col min="11" max="11" width="12.54296875" bestFit="1" customWidth="1"/>
    <col min="12" max="12" width="40" bestFit="1" customWidth="1"/>
    <col min="13" max="13" width="16.08984375" bestFit="1" customWidth="1"/>
  </cols>
  <sheetData>
    <row r="1" spans="1:14" ht="50" x14ac:dyDescent="0.25">
      <c r="A1" s="1" t="s">
        <v>728</v>
      </c>
      <c r="B1" s="1" t="s">
        <v>729</v>
      </c>
      <c r="C1" s="1" t="s">
        <v>441</v>
      </c>
      <c r="D1" s="1" t="s">
        <v>431</v>
      </c>
      <c r="E1" s="8" t="s">
        <v>432</v>
      </c>
      <c r="F1" s="1" t="s">
        <v>433</v>
      </c>
      <c r="G1" s="1" t="s">
        <v>730</v>
      </c>
      <c r="H1" s="8" t="s">
        <v>731</v>
      </c>
      <c r="I1" s="8" t="s">
        <v>732</v>
      </c>
      <c r="J1" s="8" t="s">
        <v>733</v>
      </c>
      <c r="K1" s="8" t="s">
        <v>734</v>
      </c>
      <c r="L1" s="1" t="s">
        <v>439</v>
      </c>
      <c r="M1" s="111" t="s">
        <v>735</v>
      </c>
    </row>
    <row r="2" spans="1:14" x14ac:dyDescent="0.25">
      <c r="A2" t="s">
        <v>736</v>
      </c>
      <c r="B2" t="s">
        <v>449</v>
      </c>
      <c r="C2" s="3">
        <v>45947</v>
      </c>
      <c r="D2">
        <v>1600002475</v>
      </c>
      <c r="E2" t="s">
        <v>97</v>
      </c>
      <c r="F2" s="3">
        <v>45947</v>
      </c>
      <c r="G2">
        <v>256779422017</v>
      </c>
      <c r="H2" t="s">
        <v>737</v>
      </c>
      <c r="I2" s="4">
        <v>-156.08000000000001</v>
      </c>
      <c r="J2" t="s">
        <v>2</v>
      </c>
      <c r="K2" s="4">
        <v>-13764.82</v>
      </c>
      <c r="L2" t="s">
        <v>412</v>
      </c>
      <c r="M2" s="112">
        <v>256779418079</v>
      </c>
      <c r="N2">
        <f>_xlfn.XLOOKUP(M2,'Invoices not in customer books'!$G:$G,'Invoices not in customer books'!$K:$K,,0)</f>
        <v>13764.82</v>
      </c>
    </row>
    <row r="3" spans="1:14" x14ac:dyDescent="0.25">
      <c r="A3" t="s">
        <v>736</v>
      </c>
      <c r="B3" t="s">
        <v>449</v>
      </c>
      <c r="C3" s="3">
        <v>45791</v>
      </c>
      <c r="D3">
        <v>1600000605</v>
      </c>
      <c r="E3" t="s">
        <v>97</v>
      </c>
      <c r="F3" s="3">
        <v>45791</v>
      </c>
      <c r="G3">
        <v>256779420314</v>
      </c>
      <c r="H3" t="s">
        <v>737</v>
      </c>
      <c r="I3" s="4">
        <v>-77.2</v>
      </c>
      <c r="J3" t="s">
        <v>2</v>
      </c>
      <c r="K3" s="4">
        <v>-6692.57</v>
      </c>
      <c r="L3" t="s">
        <v>389</v>
      </c>
      <c r="M3" s="112">
        <v>246779412247</v>
      </c>
      <c r="N3" t="e">
        <f>_xlfn.XLOOKUP(M3,'Invoices not in customer books'!$G:$G,'Invoices not in customer books'!$K:$K,,0)</f>
        <v>#N/A</v>
      </c>
    </row>
    <row r="4" spans="1:14" x14ac:dyDescent="0.25">
      <c r="A4" t="s">
        <v>736</v>
      </c>
      <c r="B4" t="s">
        <v>449</v>
      </c>
      <c r="C4" s="3">
        <v>45791</v>
      </c>
      <c r="D4">
        <v>1600000704</v>
      </c>
      <c r="E4" t="s">
        <v>97</v>
      </c>
      <c r="F4" s="3">
        <v>45791</v>
      </c>
      <c r="G4">
        <v>256779420413</v>
      </c>
      <c r="H4" t="s">
        <v>737</v>
      </c>
      <c r="I4" s="4">
        <v>-1800</v>
      </c>
      <c r="J4" t="s">
        <v>2</v>
      </c>
      <c r="K4" s="4">
        <v>-156459.28</v>
      </c>
      <c r="L4" t="s">
        <v>393</v>
      </c>
      <c r="M4" s="112">
        <v>256779410280</v>
      </c>
      <c r="N4">
        <f>_xlfn.XLOOKUP(M4,'Invoices not in customer books'!$G:$G,'Invoices not in customer books'!$K:$K,,0)</f>
        <v>156459.28</v>
      </c>
    </row>
    <row r="5" spans="1:14" x14ac:dyDescent="0.25">
      <c r="A5" t="s">
        <v>736</v>
      </c>
      <c r="B5" t="s">
        <v>449</v>
      </c>
      <c r="C5" s="3">
        <v>45791</v>
      </c>
      <c r="D5">
        <v>1600000791</v>
      </c>
      <c r="E5" t="s">
        <v>97</v>
      </c>
      <c r="F5" s="3">
        <v>45791</v>
      </c>
      <c r="G5">
        <v>256779420500</v>
      </c>
      <c r="H5" t="s">
        <v>737</v>
      </c>
      <c r="I5" s="4">
        <v>-1800</v>
      </c>
      <c r="J5" t="s">
        <v>2</v>
      </c>
      <c r="K5" s="4">
        <v>-156459.28</v>
      </c>
      <c r="L5" t="s">
        <v>397</v>
      </c>
      <c r="M5" s="112">
        <v>256779410239</v>
      </c>
      <c r="N5">
        <f>_xlfn.XLOOKUP(M5,'Invoices not in customer books'!$G:$G,'Invoices not in customer books'!$K:$K,,0)</f>
        <v>156459.28</v>
      </c>
    </row>
    <row r="6" spans="1:14" x14ac:dyDescent="0.25">
      <c r="A6" t="s">
        <v>736</v>
      </c>
      <c r="B6" t="s">
        <v>449</v>
      </c>
      <c r="C6" s="3">
        <v>45873</v>
      </c>
      <c r="D6">
        <v>1600002058</v>
      </c>
      <c r="E6" t="s">
        <v>97</v>
      </c>
      <c r="F6" s="3">
        <v>45873</v>
      </c>
      <c r="G6">
        <v>256779421634</v>
      </c>
      <c r="H6" t="s">
        <v>737</v>
      </c>
      <c r="I6" s="4">
        <v>-239.19</v>
      </c>
      <c r="J6" t="s">
        <v>2</v>
      </c>
      <c r="K6" s="4">
        <v>-20570.5</v>
      </c>
      <c r="L6" t="s">
        <v>416</v>
      </c>
      <c r="M6" s="112">
        <v>256779415806</v>
      </c>
      <c r="N6">
        <f>_xlfn.XLOOKUP(M6,'Invoices not in customer books'!$G:$G,'Invoices not in customer books'!$K:$K,,0)</f>
        <v>20570.5</v>
      </c>
    </row>
    <row r="7" spans="1:14" x14ac:dyDescent="0.25">
      <c r="A7" t="s">
        <v>736</v>
      </c>
      <c r="B7" t="s">
        <v>449</v>
      </c>
      <c r="C7" s="3">
        <v>45862</v>
      </c>
      <c r="D7">
        <v>1600001823</v>
      </c>
      <c r="E7" t="s">
        <v>97</v>
      </c>
      <c r="F7" s="3">
        <v>45862</v>
      </c>
      <c r="G7">
        <v>256779421443</v>
      </c>
      <c r="H7" t="s">
        <v>737</v>
      </c>
      <c r="I7" s="4">
        <v>-29.25</v>
      </c>
      <c r="J7" t="s">
        <v>2</v>
      </c>
      <c r="K7" s="4">
        <v>-2515.02</v>
      </c>
      <c r="L7" t="s">
        <v>414</v>
      </c>
      <c r="M7" s="112">
        <v>256779413888</v>
      </c>
      <c r="N7">
        <f>_xlfn.XLOOKUP(M7,'Invoices not in customer books'!$G:$G,'Invoices not in customer books'!$K:$K,,0)</f>
        <v>2515.02</v>
      </c>
    </row>
    <row r="8" spans="1:14" x14ac:dyDescent="0.25">
      <c r="A8" t="s">
        <v>736</v>
      </c>
      <c r="B8" t="s">
        <v>449</v>
      </c>
      <c r="C8" s="3">
        <v>45799</v>
      </c>
      <c r="D8">
        <v>1600001001</v>
      </c>
      <c r="E8" t="s">
        <v>97</v>
      </c>
      <c r="F8" s="3">
        <v>45799</v>
      </c>
      <c r="G8">
        <v>256779420689</v>
      </c>
      <c r="H8" t="s">
        <v>737</v>
      </c>
      <c r="I8" s="4">
        <v>-368.88</v>
      </c>
      <c r="J8" t="s">
        <v>2</v>
      </c>
      <c r="K8" s="4">
        <v>-31978.67</v>
      </c>
      <c r="L8" t="s">
        <v>401</v>
      </c>
      <c r="M8" s="112">
        <v>246779413091</v>
      </c>
      <c r="N8">
        <f>_xlfn.XLOOKUP(M8,'Invoices not in customer books'!$G:$G,'Invoices not in customer books'!$K:$K,,0)</f>
        <v>31978.67</v>
      </c>
    </row>
    <row r="9" spans="1:14" x14ac:dyDescent="0.25">
      <c r="A9" t="s">
        <v>736</v>
      </c>
      <c r="B9" t="s">
        <v>449</v>
      </c>
      <c r="C9" s="3">
        <v>45799</v>
      </c>
      <c r="D9">
        <v>1600001002</v>
      </c>
      <c r="E9" t="s">
        <v>97</v>
      </c>
      <c r="F9" s="3">
        <v>45799</v>
      </c>
      <c r="G9">
        <v>256779420690</v>
      </c>
      <c r="H9" t="s">
        <v>737</v>
      </c>
      <c r="I9" s="4">
        <v>-190.41</v>
      </c>
      <c r="J9" t="s">
        <v>2</v>
      </c>
      <c r="K9" s="4">
        <v>-16550.78</v>
      </c>
      <c r="L9" t="s">
        <v>407</v>
      </c>
      <c r="M9" s="112">
        <v>256779412933</v>
      </c>
      <c r="N9">
        <f>_xlfn.XLOOKUP(M9,'Invoices not in customer books'!$G:$G,'Invoices not in customer books'!$K:$K,,0)</f>
        <v>16550.78</v>
      </c>
    </row>
    <row r="10" spans="1:14" x14ac:dyDescent="0.25">
      <c r="A10" t="s">
        <v>736</v>
      </c>
      <c r="B10" t="s">
        <v>465</v>
      </c>
      <c r="C10" s="3">
        <v>46027</v>
      </c>
      <c r="D10">
        <v>1600002702</v>
      </c>
      <c r="E10" t="s">
        <v>97</v>
      </c>
      <c r="F10" s="3">
        <v>46027</v>
      </c>
      <c r="G10">
        <v>256779422172</v>
      </c>
      <c r="H10" t="s">
        <v>737</v>
      </c>
      <c r="I10" s="4">
        <v>-13.59</v>
      </c>
      <c r="J10" t="s">
        <v>2</v>
      </c>
      <c r="K10" s="4">
        <v>-1233.2</v>
      </c>
      <c r="L10" t="s">
        <v>98</v>
      </c>
      <c r="M10" s="112">
        <v>256779418497</v>
      </c>
      <c r="N10">
        <f>_xlfn.XLOOKUP(M10,'Invoices not in customer books'!$G:$G,'Invoices not in customer books'!$K:$K,,0)</f>
        <v>1198.51</v>
      </c>
    </row>
    <row r="11" spans="1:14" x14ac:dyDescent="0.25">
      <c r="K11" s="37">
        <f>SUM(K2:K10)</f>
        <v>-406224.11999999994</v>
      </c>
    </row>
    <row r="12" spans="1:14" x14ac:dyDescent="0.25">
      <c r="K12" s="37">
        <v>1407974.59</v>
      </c>
    </row>
    <row r="13" spans="1:14" x14ac:dyDescent="0.25">
      <c r="K13" s="37">
        <f>K12+K11</f>
        <v>1001750.4700000002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8AA1-08C5-4B72-B489-60D14AE154B1}">
  <sheetPr>
    <tabColor theme="9" tint="-0.249977111117893"/>
  </sheetPr>
  <dimension ref="A1:M34"/>
  <sheetViews>
    <sheetView topLeftCell="D1" workbookViewId="0">
      <selection activeCell="A4" sqref="A4"/>
    </sheetView>
  </sheetViews>
  <sheetFormatPr defaultRowHeight="12.5" x14ac:dyDescent="0.25"/>
  <cols>
    <col min="1" max="1" width="31.6328125" bestFit="1" customWidth="1"/>
    <col min="2" max="2" width="9.90625" bestFit="1" customWidth="1"/>
    <col min="3" max="3" width="11.08984375" bestFit="1" customWidth="1"/>
    <col min="4" max="4" width="15.6328125" bestFit="1" customWidth="1"/>
    <col min="5" max="5" width="8.1796875" bestFit="1" customWidth="1"/>
    <col min="6" max="6" width="13.1796875" bestFit="1" customWidth="1"/>
    <col min="7" max="7" width="12.08984375" bestFit="1" customWidth="1"/>
    <col min="8" max="9" width="8.1796875" bestFit="1" customWidth="1"/>
    <col min="10" max="10" width="8.36328125" bestFit="1" customWidth="1"/>
    <col min="11" max="11" width="11.453125" bestFit="1" customWidth="1"/>
    <col min="12" max="12" width="43.36328125" bestFit="1" customWidth="1"/>
    <col min="13" max="13" width="8.1796875" bestFit="1" customWidth="1"/>
  </cols>
  <sheetData>
    <row r="1" spans="1:13" ht="50" x14ac:dyDescent="0.25">
      <c r="A1" s="1" t="s">
        <v>728</v>
      </c>
      <c r="B1" s="1" t="s">
        <v>729</v>
      </c>
      <c r="C1" s="1" t="s">
        <v>441</v>
      </c>
      <c r="D1" s="1" t="s">
        <v>431</v>
      </c>
      <c r="E1" s="8" t="s">
        <v>432</v>
      </c>
      <c r="F1" s="1" t="s">
        <v>433</v>
      </c>
      <c r="G1" s="1" t="s">
        <v>730</v>
      </c>
      <c r="H1" s="8" t="s">
        <v>731</v>
      </c>
      <c r="I1" s="8" t="s">
        <v>732</v>
      </c>
      <c r="J1" s="8" t="s">
        <v>733</v>
      </c>
      <c r="K1" s="8" t="s">
        <v>734</v>
      </c>
      <c r="L1" s="1" t="s">
        <v>439</v>
      </c>
      <c r="M1" s="8" t="s">
        <v>735</v>
      </c>
    </row>
    <row r="2" spans="1:13" x14ac:dyDescent="0.25">
      <c r="A2" t="s">
        <v>736</v>
      </c>
      <c r="B2" t="s">
        <v>449</v>
      </c>
      <c r="C2" s="3">
        <v>45735</v>
      </c>
      <c r="D2">
        <v>1800003224</v>
      </c>
      <c r="E2" t="s">
        <v>28</v>
      </c>
      <c r="F2" s="3">
        <v>45735</v>
      </c>
      <c r="G2">
        <v>246779413091</v>
      </c>
      <c r="H2" t="s">
        <v>737</v>
      </c>
      <c r="I2" s="4">
        <v>368.88</v>
      </c>
      <c r="J2" t="s">
        <v>2</v>
      </c>
      <c r="K2" s="4">
        <v>31978.67</v>
      </c>
      <c r="L2" t="s">
        <v>403</v>
      </c>
      <c r="M2" t="e">
        <v>#N/A</v>
      </c>
    </row>
    <row r="3" spans="1:13" x14ac:dyDescent="0.25">
      <c r="A3" t="s">
        <v>736</v>
      </c>
      <c r="B3" t="s">
        <v>449</v>
      </c>
      <c r="C3" s="3">
        <v>45856</v>
      </c>
      <c r="D3">
        <v>1800011046</v>
      </c>
      <c r="E3" t="s">
        <v>28</v>
      </c>
      <c r="F3" s="3">
        <v>45856</v>
      </c>
      <c r="G3">
        <v>256779415806</v>
      </c>
      <c r="H3" t="s">
        <v>737</v>
      </c>
      <c r="I3" s="4">
        <v>239.19</v>
      </c>
      <c r="J3" t="s">
        <v>2</v>
      </c>
      <c r="K3" s="4">
        <v>20570.5</v>
      </c>
      <c r="L3" t="s">
        <v>308</v>
      </c>
      <c r="M3" t="e">
        <v>#N/A</v>
      </c>
    </row>
    <row r="4" spans="1:13" x14ac:dyDescent="0.25">
      <c r="A4" t="s">
        <v>736</v>
      </c>
      <c r="B4" t="s">
        <v>449</v>
      </c>
      <c r="C4" s="3">
        <v>45999</v>
      </c>
      <c r="D4">
        <v>1800015423</v>
      </c>
      <c r="E4" t="s">
        <v>28</v>
      </c>
      <c r="F4" s="3">
        <v>45999</v>
      </c>
      <c r="G4">
        <v>256779419872</v>
      </c>
      <c r="H4" t="s">
        <v>737</v>
      </c>
      <c r="I4" s="4">
        <v>42.73</v>
      </c>
      <c r="J4" t="s">
        <v>2</v>
      </c>
      <c r="K4" s="4">
        <v>3790.16</v>
      </c>
      <c r="L4" t="s">
        <v>93</v>
      </c>
      <c r="M4" t="e">
        <v>#N/A</v>
      </c>
    </row>
    <row r="5" spans="1:13" x14ac:dyDescent="0.25">
      <c r="A5" t="s">
        <v>736</v>
      </c>
      <c r="B5" t="s">
        <v>449</v>
      </c>
      <c r="C5" s="3">
        <v>45797</v>
      </c>
      <c r="D5">
        <v>1800009124</v>
      </c>
      <c r="E5" t="s">
        <v>28</v>
      </c>
      <c r="F5" s="3">
        <v>45797</v>
      </c>
      <c r="G5">
        <v>256779413888</v>
      </c>
      <c r="H5" t="s">
        <v>737</v>
      </c>
      <c r="I5" s="4">
        <v>29.25</v>
      </c>
      <c r="J5" t="s">
        <v>2</v>
      </c>
      <c r="K5" s="4">
        <v>2515.02</v>
      </c>
      <c r="L5" t="s">
        <v>316</v>
      </c>
      <c r="M5" t="e">
        <v>#N/A</v>
      </c>
    </row>
    <row r="6" spans="1:13" x14ac:dyDescent="0.25">
      <c r="A6" t="s">
        <v>736</v>
      </c>
      <c r="B6" t="s">
        <v>449</v>
      </c>
      <c r="C6" s="3">
        <v>45750</v>
      </c>
      <c r="D6">
        <v>1800005055</v>
      </c>
      <c r="E6" t="s">
        <v>28</v>
      </c>
      <c r="F6" s="3">
        <v>45750</v>
      </c>
      <c r="G6">
        <v>256779410001</v>
      </c>
      <c r="H6" t="s">
        <v>737</v>
      </c>
      <c r="I6" s="4">
        <v>450</v>
      </c>
      <c r="J6" t="s">
        <v>2</v>
      </c>
      <c r="K6" s="4">
        <v>39114.82</v>
      </c>
      <c r="L6" t="s">
        <v>116</v>
      </c>
      <c r="M6" t="e">
        <v>#N/A</v>
      </c>
    </row>
    <row r="7" spans="1:13" x14ac:dyDescent="0.25">
      <c r="A7" t="s">
        <v>736</v>
      </c>
      <c r="B7" t="s">
        <v>449</v>
      </c>
      <c r="C7" s="3">
        <v>45750</v>
      </c>
      <c r="D7">
        <v>1800005061</v>
      </c>
      <c r="E7" t="s">
        <v>28</v>
      </c>
      <c r="F7" s="3">
        <v>45750</v>
      </c>
      <c r="G7">
        <v>256779410007</v>
      </c>
      <c r="H7" t="s">
        <v>737</v>
      </c>
      <c r="I7" s="4">
        <v>465</v>
      </c>
      <c r="J7" t="s">
        <v>2</v>
      </c>
      <c r="K7" s="4">
        <v>40418.65</v>
      </c>
      <c r="L7" t="s">
        <v>116</v>
      </c>
      <c r="M7" t="e">
        <v>#N/A</v>
      </c>
    </row>
    <row r="8" spans="1:13" x14ac:dyDescent="0.25">
      <c r="A8" t="s">
        <v>736</v>
      </c>
      <c r="B8" t="s">
        <v>449</v>
      </c>
      <c r="C8" s="3">
        <v>45750</v>
      </c>
      <c r="D8">
        <v>1800005067</v>
      </c>
      <c r="E8" t="s">
        <v>28</v>
      </c>
      <c r="F8" s="3">
        <v>45750</v>
      </c>
      <c r="G8">
        <v>256779410013</v>
      </c>
      <c r="H8" t="s">
        <v>737</v>
      </c>
      <c r="I8" s="4">
        <v>450</v>
      </c>
      <c r="J8" t="s">
        <v>2</v>
      </c>
      <c r="K8" s="4">
        <v>39114.82</v>
      </c>
      <c r="L8" t="s">
        <v>116</v>
      </c>
      <c r="M8" t="e">
        <v>#N/A</v>
      </c>
    </row>
    <row r="9" spans="1:13" x14ac:dyDescent="0.25">
      <c r="A9" t="s">
        <v>736</v>
      </c>
      <c r="B9" t="s">
        <v>449</v>
      </c>
      <c r="C9" s="3">
        <v>45750</v>
      </c>
      <c r="D9">
        <v>1800005327</v>
      </c>
      <c r="E9" t="s">
        <v>28</v>
      </c>
      <c r="F9" s="3">
        <v>45750</v>
      </c>
      <c r="G9">
        <v>256779410219</v>
      </c>
      <c r="H9" t="s">
        <v>737</v>
      </c>
      <c r="I9" s="4">
        <v>465</v>
      </c>
      <c r="J9" t="s">
        <v>2</v>
      </c>
      <c r="K9" s="4">
        <v>40418.65</v>
      </c>
      <c r="L9" t="s">
        <v>116</v>
      </c>
      <c r="M9" t="e">
        <v>#N/A</v>
      </c>
    </row>
    <row r="10" spans="1:13" x14ac:dyDescent="0.25">
      <c r="A10" t="s">
        <v>736</v>
      </c>
      <c r="B10" t="s">
        <v>449</v>
      </c>
      <c r="C10" s="3">
        <v>45750</v>
      </c>
      <c r="D10">
        <v>1800005388</v>
      </c>
      <c r="E10" t="s">
        <v>28</v>
      </c>
      <c r="F10" s="3">
        <v>45750</v>
      </c>
      <c r="G10">
        <v>256779410280</v>
      </c>
      <c r="H10" t="s">
        <v>737</v>
      </c>
      <c r="I10" s="4">
        <v>1800</v>
      </c>
      <c r="J10" t="s">
        <v>2</v>
      </c>
      <c r="K10" s="4">
        <v>156459.28</v>
      </c>
      <c r="L10" t="s">
        <v>114</v>
      </c>
      <c r="M10" t="e">
        <v>#N/A</v>
      </c>
    </row>
    <row r="11" spans="1:13" x14ac:dyDescent="0.25">
      <c r="A11" t="s">
        <v>736</v>
      </c>
      <c r="B11" t="s">
        <v>449</v>
      </c>
      <c r="C11" s="3">
        <v>45750</v>
      </c>
      <c r="D11">
        <v>1800005347</v>
      </c>
      <c r="E11" t="s">
        <v>28</v>
      </c>
      <c r="F11" s="3">
        <v>45750</v>
      </c>
      <c r="G11">
        <v>256779410239</v>
      </c>
      <c r="H11" t="s">
        <v>737</v>
      </c>
      <c r="I11" s="4">
        <v>1800</v>
      </c>
      <c r="J11" t="s">
        <v>2</v>
      </c>
      <c r="K11" s="4">
        <v>156459.28</v>
      </c>
      <c r="L11" t="s">
        <v>112</v>
      </c>
      <c r="M11" t="e">
        <v>#N/A</v>
      </c>
    </row>
    <row r="12" spans="1:13" x14ac:dyDescent="0.25">
      <c r="A12" t="s">
        <v>736</v>
      </c>
      <c r="B12" t="s">
        <v>449</v>
      </c>
      <c r="C12" s="3">
        <v>45951</v>
      </c>
      <c r="D12">
        <v>1800013967</v>
      </c>
      <c r="E12" t="s">
        <v>28</v>
      </c>
      <c r="F12" s="3">
        <v>45951</v>
      </c>
      <c r="G12">
        <v>256779418497</v>
      </c>
      <c r="H12" t="s">
        <v>737</v>
      </c>
      <c r="I12" s="4">
        <v>13.59</v>
      </c>
      <c r="J12" t="s">
        <v>2</v>
      </c>
      <c r="K12" s="4">
        <v>1198.51</v>
      </c>
      <c r="L12" t="s">
        <v>58</v>
      </c>
      <c r="M12" t="e">
        <v>#N/A</v>
      </c>
    </row>
    <row r="13" spans="1:13" x14ac:dyDescent="0.25">
      <c r="A13" t="s">
        <v>736</v>
      </c>
      <c r="B13" t="s">
        <v>449</v>
      </c>
      <c r="C13" s="3">
        <v>45981</v>
      </c>
      <c r="D13">
        <v>1800014968</v>
      </c>
      <c r="E13" t="s">
        <v>28</v>
      </c>
      <c r="F13" s="3">
        <v>45981</v>
      </c>
      <c r="G13">
        <v>256779419469</v>
      </c>
      <c r="H13" t="s">
        <v>737</v>
      </c>
      <c r="I13" s="4">
        <v>2040.23</v>
      </c>
      <c r="J13" t="s">
        <v>2</v>
      </c>
      <c r="K13" s="4">
        <v>179547.16</v>
      </c>
      <c r="L13" t="s">
        <v>83</v>
      </c>
      <c r="M13" t="e">
        <v>#N/A</v>
      </c>
    </row>
    <row r="14" spans="1:13" x14ac:dyDescent="0.25">
      <c r="A14" t="s">
        <v>736</v>
      </c>
      <c r="B14" t="s">
        <v>449</v>
      </c>
      <c r="C14" s="3">
        <v>45981</v>
      </c>
      <c r="D14">
        <v>1800015080</v>
      </c>
      <c r="E14" t="s">
        <v>28</v>
      </c>
      <c r="F14" s="3">
        <v>45981</v>
      </c>
      <c r="G14">
        <v>256779419593</v>
      </c>
      <c r="H14" t="s">
        <v>737</v>
      </c>
      <c r="I14" s="4">
        <v>65.05</v>
      </c>
      <c r="J14" t="s">
        <v>2</v>
      </c>
      <c r="K14" s="4">
        <v>5724.62</v>
      </c>
      <c r="L14" t="s">
        <v>85</v>
      </c>
      <c r="M14" t="e">
        <v>#N/A</v>
      </c>
    </row>
    <row r="15" spans="1:13" x14ac:dyDescent="0.25">
      <c r="A15" t="s">
        <v>736</v>
      </c>
      <c r="B15" t="s">
        <v>449</v>
      </c>
      <c r="C15" s="3">
        <v>45981</v>
      </c>
      <c r="D15">
        <v>1800015135</v>
      </c>
      <c r="E15" t="s">
        <v>28</v>
      </c>
      <c r="F15" s="3">
        <v>45981</v>
      </c>
      <c r="G15">
        <v>256779419634</v>
      </c>
      <c r="H15" t="s">
        <v>737</v>
      </c>
      <c r="I15" s="4">
        <v>42.21</v>
      </c>
      <c r="J15" t="s">
        <v>2</v>
      </c>
      <c r="K15" s="4">
        <v>3714.62</v>
      </c>
      <c r="L15" t="s">
        <v>87</v>
      </c>
      <c r="M15" t="e">
        <v>#N/A</v>
      </c>
    </row>
    <row r="16" spans="1:13" x14ac:dyDescent="0.25">
      <c r="A16" t="s">
        <v>736</v>
      </c>
      <c r="B16" t="s">
        <v>449</v>
      </c>
      <c r="C16" s="3">
        <v>45996</v>
      </c>
      <c r="D16">
        <v>1800015293</v>
      </c>
      <c r="E16" t="s">
        <v>28</v>
      </c>
      <c r="F16" s="3">
        <v>45996</v>
      </c>
      <c r="G16">
        <v>256779419922</v>
      </c>
      <c r="H16" t="s">
        <v>737</v>
      </c>
      <c r="I16" s="4">
        <v>161.41</v>
      </c>
      <c r="J16" t="s">
        <v>2</v>
      </c>
      <c r="K16" s="4">
        <v>14317.09</v>
      </c>
      <c r="L16" t="s">
        <v>95</v>
      </c>
      <c r="M16" t="e">
        <v>#N/A</v>
      </c>
    </row>
    <row r="17" spans="1:13" x14ac:dyDescent="0.25">
      <c r="A17" t="s">
        <v>736</v>
      </c>
      <c r="B17" t="s">
        <v>449</v>
      </c>
      <c r="C17" s="3">
        <v>45770</v>
      </c>
      <c r="D17">
        <v>1800008042</v>
      </c>
      <c r="E17" t="s">
        <v>28</v>
      </c>
      <c r="F17" s="3">
        <v>45770</v>
      </c>
      <c r="G17">
        <v>256779412933</v>
      </c>
      <c r="H17" t="s">
        <v>737</v>
      </c>
      <c r="I17" s="4">
        <v>190.41</v>
      </c>
      <c r="J17" t="s">
        <v>2</v>
      </c>
      <c r="K17" s="4">
        <v>16550.78</v>
      </c>
      <c r="L17" t="s">
        <v>272</v>
      </c>
      <c r="M17" t="e">
        <v>#N/A</v>
      </c>
    </row>
    <row r="18" spans="1:13" x14ac:dyDescent="0.25">
      <c r="A18" t="s">
        <v>736</v>
      </c>
      <c r="B18" t="s">
        <v>449</v>
      </c>
      <c r="C18" s="3">
        <v>45935</v>
      </c>
      <c r="D18">
        <v>1800013432</v>
      </c>
      <c r="E18" t="s">
        <v>28</v>
      </c>
      <c r="F18" s="3">
        <v>45935</v>
      </c>
      <c r="G18">
        <v>256779418079</v>
      </c>
      <c r="H18" t="s">
        <v>737</v>
      </c>
      <c r="I18" s="4">
        <v>156.08000000000001</v>
      </c>
      <c r="J18" t="s">
        <v>2</v>
      </c>
      <c r="K18" s="4">
        <v>13764.82</v>
      </c>
      <c r="L18" t="s">
        <v>46</v>
      </c>
      <c r="M18" t="e">
        <v>#N/A</v>
      </c>
    </row>
    <row r="19" spans="1:13" x14ac:dyDescent="0.25">
      <c r="A19" t="s">
        <v>736</v>
      </c>
      <c r="B19" t="s">
        <v>465</v>
      </c>
      <c r="C19" s="3">
        <v>46024</v>
      </c>
      <c r="D19">
        <v>1800015673</v>
      </c>
      <c r="E19" t="s">
        <v>28</v>
      </c>
      <c r="F19" s="3">
        <v>46024</v>
      </c>
      <c r="G19">
        <v>256779440006</v>
      </c>
      <c r="H19" t="s">
        <v>737</v>
      </c>
      <c r="I19" s="4">
        <v>871.08</v>
      </c>
      <c r="J19" t="s">
        <v>2</v>
      </c>
      <c r="K19" s="4">
        <v>79044.53</v>
      </c>
      <c r="L19" t="s">
        <v>89</v>
      </c>
      <c r="M19" t="e">
        <v>#N/A</v>
      </c>
    </row>
    <row r="20" spans="1:13" x14ac:dyDescent="0.25">
      <c r="A20" t="s">
        <v>736</v>
      </c>
      <c r="B20" t="s">
        <v>465</v>
      </c>
      <c r="C20" s="3">
        <v>46024</v>
      </c>
      <c r="D20">
        <v>1800015698</v>
      </c>
      <c r="E20" t="s">
        <v>28</v>
      </c>
      <c r="F20" s="3">
        <v>46024</v>
      </c>
      <c r="G20">
        <v>256779440031</v>
      </c>
      <c r="H20" t="s">
        <v>737</v>
      </c>
      <c r="I20" s="4">
        <v>1800</v>
      </c>
      <c r="J20" t="s">
        <v>2</v>
      </c>
      <c r="K20" s="4">
        <v>163337.65</v>
      </c>
      <c r="L20" t="s">
        <v>91</v>
      </c>
      <c r="M20" t="e">
        <v>#N/A</v>
      </c>
    </row>
    <row r="21" spans="1:13" x14ac:dyDescent="0.25">
      <c r="A21" t="s">
        <v>736</v>
      </c>
      <c r="B21" t="s">
        <v>465</v>
      </c>
      <c r="C21" s="3">
        <v>46027</v>
      </c>
      <c r="D21">
        <v>1800015969</v>
      </c>
      <c r="E21" t="s">
        <v>28</v>
      </c>
      <c r="F21" s="3">
        <v>46027</v>
      </c>
      <c r="G21">
        <v>256779440083</v>
      </c>
      <c r="H21" t="s">
        <v>737</v>
      </c>
      <c r="I21" s="4">
        <v>31.82</v>
      </c>
      <c r="J21" t="s">
        <v>2</v>
      </c>
      <c r="K21" s="4">
        <v>2887.45</v>
      </c>
      <c r="L21" t="s">
        <v>358</v>
      </c>
      <c r="M21" t="e">
        <v>#N/A</v>
      </c>
    </row>
    <row r="22" spans="1:13" x14ac:dyDescent="0.25">
      <c r="A22" t="s">
        <v>736</v>
      </c>
      <c r="B22" t="s">
        <v>465</v>
      </c>
      <c r="C22" s="3">
        <v>46027</v>
      </c>
      <c r="D22">
        <v>1800016056</v>
      </c>
      <c r="E22" t="s">
        <v>28</v>
      </c>
      <c r="F22" s="3">
        <v>46027</v>
      </c>
      <c r="G22">
        <v>256779440103</v>
      </c>
      <c r="H22" t="s">
        <v>737</v>
      </c>
      <c r="I22" s="4">
        <v>347.44</v>
      </c>
      <c r="J22" t="s">
        <v>2</v>
      </c>
      <c r="K22" s="4">
        <v>31527.8</v>
      </c>
      <c r="L22" t="s">
        <v>360</v>
      </c>
      <c r="M22" t="e">
        <v>#N/A</v>
      </c>
    </row>
    <row r="23" spans="1:13" x14ac:dyDescent="0.25">
      <c r="A23" t="s">
        <v>736</v>
      </c>
      <c r="B23" t="s">
        <v>465</v>
      </c>
      <c r="C23" s="3">
        <v>46027</v>
      </c>
      <c r="D23">
        <v>1800016092</v>
      </c>
      <c r="E23" t="s">
        <v>28</v>
      </c>
      <c r="F23" s="3">
        <v>46027</v>
      </c>
      <c r="G23">
        <v>256779440120</v>
      </c>
      <c r="H23" t="s">
        <v>737</v>
      </c>
      <c r="I23" s="4">
        <v>360.71</v>
      </c>
      <c r="J23" t="s">
        <v>2</v>
      </c>
      <c r="K23" s="4">
        <v>32731.96</v>
      </c>
      <c r="L23" t="s">
        <v>362</v>
      </c>
      <c r="M23" t="e">
        <v>#N/A</v>
      </c>
    </row>
    <row r="24" spans="1:13" x14ac:dyDescent="0.25">
      <c r="A24" t="s">
        <v>736</v>
      </c>
      <c r="B24" t="s">
        <v>465</v>
      </c>
      <c r="C24" s="3">
        <v>46028</v>
      </c>
      <c r="D24">
        <v>1800016286</v>
      </c>
      <c r="E24" t="s">
        <v>28</v>
      </c>
      <c r="F24" s="3">
        <v>46028</v>
      </c>
      <c r="G24">
        <v>256779440163</v>
      </c>
      <c r="H24" t="s">
        <v>737</v>
      </c>
      <c r="I24" s="4">
        <v>55.03</v>
      </c>
      <c r="J24" t="s">
        <v>2</v>
      </c>
      <c r="K24" s="4">
        <v>4993.59</v>
      </c>
      <c r="L24" t="s">
        <v>364</v>
      </c>
      <c r="M24" t="e">
        <v>#N/A</v>
      </c>
    </row>
    <row r="25" spans="1:13" x14ac:dyDescent="0.25">
      <c r="A25" t="s">
        <v>736</v>
      </c>
      <c r="B25" t="s">
        <v>465</v>
      </c>
      <c r="C25" s="3">
        <v>46028</v>
      </c>
      <c r="D25">
        <v>1800016506</v>
      </c>
      <c r="E25" t="s">
        <v>28</v>
      </c>
      <c r="F25" s="3">
        <v>46028</v>
      </c>
      <c r="G25">
        <v>256779440212</v>
      </c>
      <c r="H25" t="s">
        <v>737</v>
      </c>
      <c r="I25" s="4">
        <v>16.75</v>
      </c>
      <c r="J25" t="s">
        <v>2</v>
      </c>
      <c r="K25" s="4">
        <v>1519.95</v>
      </c>
      <c r="L25" t="s">
        <v>370</v>
      </c>
      <c r="M25" t="e">
        <v>#N/A</v>
      </c>
    </row>
    <row r="26" spans="1:13" x14ac:dyDescent="0.25">
      <c r="A26" t="s">
        <v>736</v>
      </c>
      <c r="B26" t="s">
        <v>465</v>
      </c>
      <c r="C26" s="3">
        <v>46034</v>
      </c>
      <c r="D26">
        <v>1800016424</v>
      </c>
      <c r="E26" t="s">
        <v>28</v>
      </c>
      <c r="F26" s="3">
        <v>46034</v>
      </c>
      <c r="G26">
        <v>256779440231</v>
      </c>
      <c r="H26" t="s">
        <v>737</v>
      </c>
      <c r="I26" s="4">
        <v>45.04</v>
      </c>
      <c r="J26" t="s">
        <v>2</v>
      </c>
      <c r="K26" s="4">
        <v>4087.07</v>
      </c>
      <c r="L26" t="s">
        <v>368</v>
      </c>
      <c r="M26" t="e">
        <v>#N/A</v>
      </c>
    </row>
    <row r="27" spans="1:13" x14ac:dyDescent="0.25">
      <c r="A27" t="s">
        <v>736</v>
      </c>
      <c r="B27" t="s">
        <v>465</v>
      </c>
      <c r="C27" s="3">
        <v>46028</v>
      </c>
      <c r="D27">
        <v>1800016347</v>
      </c>
      <c r="E27" t="s">
        <v>28</v>
      </c>
      <c r="F27" s="3">
        <v>46028</v>
      </c>
      <c r="G27">
        <v>256779440237</v>
      </c>
      <c r="H27" t="s">
        <v>737</v>
      </c>
      <c r="I27" s="4">
        <v>730.62</v>
      </c>
      <c r="J27" t="s">
        <v>2</v>
      </c>
      <c r="K27" s="4">
        <v>66298.75</v>
      </c>
      <c r="L27" t="s">
        <v>366</v>
      </c>
      <c r="M27" t="e">
        <v>#N/A</v>
      </c>
    </row>
    <row r="28" spans="1:13" x14ac:dyDescent="0.25">
      <c r="A28" t="s">
        <v>736</v>
      </c>
      <c r="B28" t="s">
        <v>465</v>
      </c>
      <c r="C28" s="3">
        <v>46034</v>
      </c>
      <c r="D28">
        <v>1800016700</v>
      </c>
      <c r="E28" t="s">
        <v>28</v>
      </c>
      <c r="F28" s="3">
        <v>46034</v>
      </c>
      <c r="G28">
        <v>256779440289</v>
      </c>
      <c r="H28" t="s">
        <v>737</v>
      </c>
      <c r="I28" s="4">
        <v>126.24</v>
      </c>
      <c r="J28" t="s">
        <v>2</v>
      </c>
      <c r="K28" s="4">
        <v>11455.41</v>
      </c>
      <c r="L28" t="s">
        <v>372</v>
      </c>
      <c r="M28" t="e">
        <v>#N/A</v>
      </c>
    </row>
    <row r="29" spans="1:13" x14ac:dyDescent="0.25">
      <c r="A29" t="s">
        <v>736</v>
      </c>
      <c r="B29" t="s">
        <v>465</v>
      </c>
      <c r="C29" s="3">
        <v>46028</v>
      </c>
      <c r="D29">
        <v>1800016613</v>
      </c>
      <c r="E29" t="s">
        <v>28</v>
      </c>
      <c r="F29" s="3">
        <v>46028</v>
      </c>
      <c r="G29">
        <v>256779440322</v>
      </c>
      <c r="H29" t="s">
        <v>737</v>
      </c>
      <c r="I29" s="4">
        <v>1800</v>
      </c>
      <c r="J29" t="s">
        <v>2</v>
      </c>
      <c r="K29" s="4">
        <v>163337.65</v>
      </c>
      <c r="L29" t="s">
        <v>100</v>
      </c>
      <c r="M29" t="e">
        <v>#N/A</v>
      </c>
    </row>
    <row r="30" spans="1:13" x14ac:dyDescent="0.25">
      <c r="A30" t="s">
        <v>736</v>
      </c>
      <c r="B30" t="s">
        <v>465</v>
      </c>
      <c r="C30" s="3">
        <v>46035</v>
      </c>
      <c r="D30">
        <v>1800016780</v>
      </c>
      <c r="E30" t="s">
        <v>28</v>
      </c>
      <c r="F30" s="3">
        <v>46035</v>
      </c>
      <c r="G30">
        <v>256779440367</v>
      </c>
      <c r="H30" t="s">
        <v>737</v>
      </c>
      <c r="I30" s="4">
        <v>696.85</v>
      </c>
      <c r="J30" t="s">
        <v>2</v>
      </c>
      <c r="K30" s="4">
        <v>63234.36</v>
      </c>
      <c r="L30" t="s">
        <v>102</v>
      </c>
      <c r="M30" t="e">
        <v>#N/A</v>
      </c>
    </row>
    <row r="31" spans="1:13" x14ac:dyDescent="0.25">
      <c r="A31" t="s">
        <v>736</v>
      </c>
      <c r="B31" t="s">
        <v>465</v>
      </c>
      <c r="C31" s="3">
        <v>46045</v>
      </c>
      <c r="D31">
        <v>1800017067</v>
      </c>
      <c r="E31" t="s">
        <v>28</v>
      </c>
      <c r="F31" s="3">
        <v>46045</v>
      </c>
      <c r="G31">
        <v>256779440415</v>
      </c>
      <c r="H31" t="s">
        <v>737</v>
      </c>
      <c r="I31" s="4">
        <v>16.75</v>
      </c>
      <c r="J31" t="s">
        <v>2</v>
      </c>
      <c r="K31" s="4">
        <v>1519.95</v>
      </c>
      <c r="L31" t="s">
        <v>374</v>
      </c>
      <c r="M31" t="e">
        <v>#N/A</v>
      </c>
    </row>
    <row r="32" spans="1:13" x14ac:dyDescent="0.25">
      <c r="A32" t="s">
        <v>736</v>
      </c>
      <c r="B32" t="s">
        <v>465</v>
      </c>
      <c r="C32" s="3">
        <v>46045</v>
      </c>
      <c r="D32">
        <v>1800017113</v>
      </c>
      <c r="E32" t="s">
        <v>28</v>
      </c>
      <c r="F32" s="3">
        <v>46045</v>
      </c>
      <c r="G32">
        <v>256779440432</v>
      </c>
      <c r="H32" t="s">
        <v>737</v>
      </c>
      <c r="I32" s="4">
        <v>3.5</v>
      </c>
      <c r="J32" t="s">
        <v>2</v>
      </c>
      <c r="K32" s="4">
        <v>317.60000000000002</v>
      </c>
      <c r="L32" t="s">
        <v>376</v>
      </c>
      <c r="M32" t="e">
        <v>#N/A</v>
      </c>
    </row>
    <row r="33" spans="1:13" x14ac:dyDescent="0.25">
      <c r="A33" t="s">
        <v>736</v>
      </c>
      <c r="B33" t="s">
        <v>465</v>
      </c>
      <c r="C33" s="3">
        <v>46049</v>
      </c>
      <c r="D33">
        <v>1800017154</v>
      </c>
      <c r="E33" t="s">
        <v>28</v>
      </c>
      <c r="F33" s="3">
        <v>46049</v>
      </c>
      <c r="G33">
        <v>256779440447</v>
      </c>
      <c r="H33" t="s">
        <v>737</v>
      </c>
      <c r="I33" s="4">
        <v>176.58</v>
      </c>
      <c r="J33" t="s">
        <v>2</v>
      </c>
      <c r="K33" s="4">
        <v>16023.42</v>
      </c>
      <c r="L33" t="s">
        <v>378</v>
      </c>
      <c r="M33" t="e">
        <v>#N/A</v>
      </c>
    </row>
    <row r="34" spans="1:13" x14ac:dyDescent="0.25">
      <c r="K34" s="110">
        <f>SUM(K2:K33)</f>
        <v>1407974.59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F3C6-7D11-44D5-810C-F61BF24B8070}">
  <sheetPr filterMode="1"/>
  <dimension ref="A1:P1090"/>
  <sheetViews>
    <sheetView showGridLines="0" zoomScale="85" zoomScaleNormal="85" workbookViewId="0">
      <selection activeCell="G7" sqref="G7"/>
    </sheetView>
  </sheetViews>
  <sheetFormatPr defaultRowHeight="12.5" x14ac:dyDescent="0.25"/>
  <cols>
    <col min="1" max="1" width="10.08984375" bestFit="1" customWidth="1"/>
    <col min="2" max="2" width="9.1796875" bestFit="1" customWidth="1"/>
    <col min="3" max="3" width="30.81640625" bestFit="1" customWidth="1"/>
    <col min="4" max="4" width="12.08984375" customWidth="1"/>
    <col min="5" max="5" width="10" bestFit="1" customWidth="1"/>
    <col min="6" max="6" width="14.1796875" bestFit="1" customWidth="1"/>
    <col min="7" max="7" width="7.1796875" bestFit="1" customWidth="1"/>
    <col min="8" max="8" width="11.54296875" bestFit="1" customWidth="1"/>
    <col min="9" max="9" width="15.90625" bestFit="1" customWidth="1"/>
    <col min="10" max="10" width="18.1796875" bestFit="1" customWidth="1"/>
    <col min="11" max="11" width="18.90625" bestFit="1" customWidth="1"/>
    <col min="12" max="12" width="10" bestFit="1" customWidth="1"/>
    <col min="13" max="13" width="11" bestFit="1" customWidth="1"/>
    <col min="14" max="15" width="12.54296875" bestFit="1" customWidth="1"/>
    <col min="16" max="16" width="11.54296875" bestFit="1" customWidth="1"/>
  </cols>
  <sheetData>
    <row r="1" spans="1:16" x14ac:dyDescent="0.25">
      <c r="F1" s="37">
        <f t="shared" ref="F1" si="0">SUBTOTAL(9,F2:F1085)</f>
        <v>5695051</v>
      </c>
      <c r="G1" s="37">
        <f t="shared" ref="G1" si="1">SUBTOTAL(9,G2:G1085)</f>
        <v>4</v>
      </c>
      <c r="H1" s="37">
        <f t="shared" ref="H1" si="2">SUBTOTAL(9,H2:H1085)</f>
        <v>509405</v>
      </c>
      <c r="I1" s="37"/>
      <c r="J1" s="37"/>
      <c r="K1" s="37"/>
      <c r="L1" s="37"/>
      <c r="M1" s="37"/>
      <c r="N1" s="37">
        <f>SUBTOTAL(9,N2:N1085)</f>
        <v>0</v>
      </c>
      <c r="O1" s="37">
        <f t="shared" ref="O1:P1" si="3">SUBTOTAL(9,O2:O1085)</f>
        <v>0</v>
      </c>
      <c r="P1" s="37">
        <f t="shared" si="3"/>
        <v>0</v>
      </c>
    </row>
    <row r="2" spans="1:16" x14ac:dyDescent="0.25">
      <c r="A2" s="19" t="s">
        <v>471</v>
      </c>
      <c r="B2" s="14" t="s">
        <v>472</v>
      </c>
      <c r="C2" s="14" t="s">
        <v>696</v>
      </c>
      <c r="D2" s="14" t="s">
        <v>702</v>
      </c>
      <c r="E2" s="13">
        <v>2</v>
      </c>
      <c r="F2" s="13">
        <v>3</v>
      </c>
      <c r="G2" s="13">
        <v>4</v>
      </c>
      <c r="H2" s="13" t="s">
        <v>701</v>
      </c>
      <c r="I2" s="13" t="s">
        <v>473</v>
      </c>
      <c r="J2" s="13" t="s">
        <v>474</v>
      </c>
      <c r="K2" s="13" t="s">
        <v>475</v>
      </c>
      <c r="L2" s="13" t="s">
        <v>476</v>
      </c>
      <c r="M2" s="13" t="s">
        <v>477</v>
      </c>
      <c r="N2" s="13" t="s">
        <v>478</v>
      </c>
      <c r="O2" s="13" t="s">
        <v>479</v>
      </c>
      <c r="P2" s="13" t="s">
        <v>699</v>
      </c>
    </row>
    <row r="3" spans="1:16" hidden="1" x14ac:dyDescent="0.25">
      <c r="A3" s="19">
        <v>45707</v>
      </c>
      <c r="B3" s="14" t="s">
        <v>480</v>
      </c>
      <c r="C3" s="14" t="s">
        <v>481</v>
      </c>
      <c r="D3" s="14"/>
      <c r="E3" s="13" t="s">
        <v>0</v>
      </c>
      <c r="F3" s="13" t="s">
        <v>0</v>
      </c>
      <c r="G3" s="13" t="s">
        <v>0</v>
      </c>
      <c r="H3" s="13" t="s">
        <v>0</v>
      </c>
      <c r="I3" s="13" t="s">
        <v>482</v>
      </c>
      <c r="J3" s="13"/>
      <c r="K3" s="13">
        <v>1620.01</v>
      </c>
      <c r="L3" s="13" t="s">
        <v>483</v>
      </c>
      <c r="M3" s="13" t="s">
        <v>484</v>
      </c>
      <c r="N3" s="13"/>
      <c r="O3" s="13">
        <v>140899</v>
      </c>
      <c r="P3" s="21">
        <v>15655</v>
      </c>
    </row>
    <row r="4" spans="1:16" hidden="1" x14ac:dyDescent="0.25">
      <c r="A4" s="19" t="s">
        <v>0</v>
      </c>
      <c r="B4" s="14"/>
      <c r="C4" s="14" t="s">
        <v>485</v>
      </c>
      <c r="D4" s="14"/>
      <c r="E4" s="13" t="s">
        <v>0</v>
      </c>
      <c r="F4" s="13" t="s">
        <v>0</v>
      </c>
      <c r="G4" s="13" t="s">
        <v>0</v>
      </c>
      <c r="H4" s="13" t="s">
        <v>0</v>
      </c>
      <c r="I4" s="13" t="s">
        <v>0</v>
      </c>
      <c r="J4" s="13" t="s">
        <v>0</v>
      </c>
      <c r="K4" s="13">
        <v>156553.56</v>
      </c>
      <c r="L4" s="13"/>
      <c r="M4" s="13"/>
      <c r="N4" s="13"/>
      <c r="O4" s="13"/>
      <c r="P4" s="21">
        <v>0</v>
      </c>
    </row>
    <row r="5" spans="1:16" hidden="1" x14ac:dyDescent="0.25">
      <c r="A5" s="19" t="s">
        <v>0</v>
      </c>
      <c r="B5" s="14"/>
      <c r="C5" s="14" t="s">
        <v>486</v>
      </c>
      <c r="D5" s="14"/>
      <c r="E5" s="13" t="s">
        <v>0</v>
      </c>
      <c r="F5" s="13" t="s">
        <v>0</v>
      </c>
      <c r="G5" s="13" t="s">
        <v>0</v>
      </c>
      <c r="H5" s="13" t="s">
        <v>0</v>
      </c>
      <c r="I5" s="13" t="s">
        <v>0</v>
      </c>
      <c r="J5" s="13" t="s">
        <v>0</v>
      </c>
      <c r="K5" s="13"/>
      <c r="L5" s="13">
        <v>15655</v>
      </c>
      <c r="M5" s="13"/>
      <c r="N5" s="13"/>
      <c r="O5" s="13"/>
      <c r="P5" s="21">
        <v>0</v>
      </c>
    </row>
    <row r="6" spans="1:16" hidden="1" x14ac:dyDescent="0.25">
      <c r="A6" s="19" t="s">
        <v>0</v>
      </c>
      <c r="B6" s="14"/>
      <c r="C6" s="14" t="s">
        <v>487</v>
      </c>
      <c r="D6" s="14"/>
      <c r="E6" s="13" t="s">
        <v>0</v>
      </c>
      <c r="F6" s="13" t="s">
        <v>0</v>
      </c>
      <c r="G6" s="13" t="s">
        <v>0</v>
      </c>
      <c r="H6" s="13" t="s">
        <v>0</v>
      </c>
      <c r="I6" s="13" t="s">
        <v>0</v>
      </c>
      <c r="J6" s="13" t="s">
        <v>0</v>
      </c>
      <c r="K6" s="13">
        <v>0.44</v>
      </c>
      <c r="L6" s="13"/>
      <c r="M6" s="13"/>
      <c r="N6" s="13"/>
      <c r="O6" s="13"/>
      <c r="P6" s="21">
        <v>0</v>
      </c>
    </row>
    <row r="7" spans="1:16" x14ac:dyDescent="0.25">
      <c r="A7" s="19"/>
      <c r="B7" s="14"/>
      <c r="C7" s="14" t="s">
        <v>488</v>
      </c>
      <c r="D7" s="38">
        <v>246779410018</v>
      </c>
      <c r="E7" s="13" t="s">
        <v>0</v>
      </c>
      <c r="F7" s="13">
        <v>140899</v>
      </c>
      <c r="G7" s="13" t="s">
        <v>489</v>
      </c>
      <c r="H7" s="13">
        <f>P3</f>
        <v>15655</v>
      </c>
      <c r="I7" s="13"/>
      <c r="J7" s="13"/>
      <c r="K7" s="13"/>
      <c r="L7" s="13"/>
      <c r="M7" s="13"/>
      <c r="N7" s="13"/>
      <c r="O7" s="13"/>
      <c r="P7" s="21">
        <v>0</v>
      </c>
    </row>
    <row r="8" spans="1:16" hidden="1" x14ac:dyDescent="0.25">
      <c r="A8" s="19">
        <v>45708</v>
      </c>
      <c r="B8" s="14" t="s">
        <v>480</v>
      </c>
      <c r="C8" s="14" t="s">
        <v>481</v>
      </c>
      <c r="D8" s="14"/>
      <c r="E8" s="13" t="s">
        <v>0</v>
      </c>
      <c r="F8" s="13" t="s">
        <v>0</v>
      </c>
      <c r="G8" s="13" t="s">
        <v>0</v>
      </c>
      <c r="H8" s="13">
        <f t="shared" ref="H8:H71" si="4">P4</f>
        <v>0</v>
      </c>
      <c r="I8" s="13" t="s">
        <v>490</v>
      </c>
      <c r="J8" s="13"/>
      <c r="K8" s="13">
        <v>1620</v>
      </c>
      <c r="L8" s="13" t="s">
        <v>483</v>
      </c>
      <c r="M8" s="13" t="s">
        <v>491</v>
      </c>
      <c r="N8" s="13"/>
      <c r="O8" s="13">
        <v>140453</v>
      </c>
      <c r="P8" s="21">
        <v>15606</v>
      </c>
    </row>
    <row r="9" spans="1:16" hidden="1" x14ac:dyDescent="0.25">
      <c r="A9" s="19" t="s">
        <v>0</v>
      </c>
      <c r="B9" s="14"/>
      <c r="C9" s="14" t="s">
        <v>485</v>
      </c>
      <c r="D9" s="14"/>
      <c r="E9" s="13" t="s">
        <v>0</v>
      </c>
      <c r="F9" s="13" t="s">
        <v>0</v>
      </c>
      <c r="G9" s="13" t="s">
        <v>0</v>
      </c>
      <c r="H9" s="13">
        <f t="shared" si="4"/>
        <v>0</v>
      </c>
      <c r="I9" s="13" t="s">
        <v>0</v>
      </c>
      <c r="J9" s="13" t="s">
        <v>0</v>
      </c>
      <c r="K9" s="13">
        <v>156059.1</v>
      </c>
      <c r="L9" s="13"/>
      <c r="M9" s="13"/>
      <c r="N9" s="13"/>
      <c r="O9" s="13"/>
      <c r="P9" s="21">
        <v>0</v>
      </c>
    </row>
    <row r="10" spans="1:16" hidden="1" x14ac:dyDescent="0.25">
      <c r="A10" s="19" t="s">
        <v>0</v>
      </c>
      <c r="B10" s="14"/>
      <c r="C10" s="14" t="s">
        <v>486</v>
      </c>
      <c r="D10" s="14"/>
      <c r="E10" s="13" t="s">
        <v>0</v>
      </c>
      <c r="F10" s="13" t="s">
        <v>0</v>
      </c>
      <c r="G10" s="13" t="s">
        <v>0</v>
      </c>
      <c r="H10" s="13">
        <f t="shared" si="4"/>
        <v>0</v>
      </c>
      <c r="I10" s="13" t="s">
        <v>0</v>
      </c>
      <c r="J10" s="13" t="s">
        <v>0</v>
      </c>
      <c r="K10" s="13"/>
      <c r="L10" s="13">
        <v>15606</v>
      </c>
      <c r="M10" s="13"/>
      <c r="N10" s="13"/>
      <c r="O10" s="13"/>
      <c r="P10" s="21">
        <v>0</v>
      </c>
    </row>
    <row r="11" spans="1:16" hidden="1" x14ac:dyDescent="0.25">
      <c r="A11" s="19" t="s">
        <v>0</v>
      </c>
      <c r="B11" s="14"/>
      <c r="C11" s="14" t="s">
        <v>487</v>
      </c>
      <c r="D11" s="14"/>
      <c r="E11" s="13" t="s">
        <v>0</v>
      </c>
      <c r="F11" s="13" t="s">
        <v>0</v>
      </c>
      <c r="G11" s="13" t="s">
        <v>0</v>
      </c>
      <c r="H11" s="13">
        <f t="shared" si="4"/>
        <v>0</v>
      </c>
      <c r="I11" s="13" t="s">
        <v>0</v>
      </c>
      <c r="J11" s="13" t="s">
        <v>0</v>
      </c>
      <c r="K11" s="13"/>
      <c r="L11" s="13">
        <v>0.1</v>
      </c>
      <c r="M11" s="13"/>
      <c r="N11" s="13"/>
      <c r="O11" s="13"/>
      <c r="P11" s="21">
        <v>0</v>
      </c>
    </row>
    <row r="12" spans="1:16" x14ac:dyDescent="0.25">
      <c r="A12" s="19"/>
      <c r="B12" s="14"/>
      <c r="C12" s="14" t="s">
        <v>488</v>
      </c>
      <c r="D12" s="38">
        <v>246779410038</v>
      </c>
      <c r="E12" s="13" t="s">
        <v>0</v>
      </c>
      <c r="F12" s="13">
        <v>140453</v>
      </c>
      <c r="G12" s="13" t="s">
        <v>489</v>
      </c>
      <c r="H12" s="13">
        <f t="shared" si="4"/>
        <v>15606</v>
      </c>
      <c r="I12" s="13"/>
      <c r="J12" s="13"/>
      <c r="K12" s="13"/>
      <c r="L12" s="13"/>
      <c r="M12" s="13"/>
      <c r="N12" s="13"/>
      <c r="O12" s="13"/>
      <c r="P12" s="21">
        <v>0</v>
      </c>
    </row>
    <row r="13" spans="1:16" hidden="1" x14ac:dyDescent="0.25">
      <c r="A13" s="19">
        <v>45708</v>
      </c>
      <c r="B13" s="14" t="s">
        <v>480</v>
      </c>
      <c r="C13" s="14" t="s">
        <v>481</v>
      </c>
      <c r="D13" s="14"/>
      <c r="E13" s="13" t="s">
        <v>0</v>
      </c>
      <c r="F13" s="13" t="s">
        <v>0</v>
      </c>
      <c r="G13" s="13" t="s">
        <v>0</v>
      </c>
      <c r="H13" s="13">
        <f t="shared" si="4"/>
        <v>0</v>
      </c>
      <c r="I13" s="13" t="s">
        <v>492</v>
      </c>
      <c r="J13" s="13"/>
      <c r="K13" s="13">
        <v>1620</v>
      </c>
      <c r="L13" s="13" t="s">
        <v>483</v>
      </c>
      <c r="M13" s="13" t="s">
        <v>493</v>
      </c>
      <c r="N13" s="13"/>
      <c r="O13" s="13">
        <v>140453</v>
      </c>
      <c r="P13" s="21">
        <v>15606</v>
      </c>
    </row>
    <row r="14" spans="1:16" hidden="1" x14ac:dyDescent="0.25">
      <c r="A14" s="19" t="s">
        <v>0</v>
      </c>
      <c r="B14" s="14"/>
      <c r="C14" s="14" t="s">
        <v>485</v>
      </c>
      <c r="D14" s="14"/>
      <c r="E14" s="13" t="s">
        <v>0</v>
      </c>
      <c r="F14" s="13" t="s">
        <v>0</v>
      </c>
      <c r="G14" s="13" t="s">
        <v>0</v>
      </c>
      <c r="H14" s="13">
        <f t="shared" si="4"/>
        <v>0</v>
      </c>
      <c r="I14" s="13" t="s">
        <v>0</v>
      </c>
      <c r="J14" s="13" t="s">
        <v>0</v>
      </c>
      <c r="K14" s="13">
        <v>156059.1</v>
      </c>
      <c r="L14" s="13"/>
      <c r="M14" s="13"/>
      <c r="N14" s="13"/>
      <c r="O14" s="13"/>
      <c r="P14" s="21">
        <v>0</v>
      </c>
    </row>
    <row r="15" spans="1:16" hidden="1" x14ac:dyDescent="0.25">
      <c r="A15" s="19" t="s">
        <v>0</v>
      </c>
      <c r="B15" s="14"/>
      <c r="C15" s="14" t="s">
        <v>486</v>
      </c>
      <c r="D15" s="14"/>
      <c r="E15" s="13" t="s">
        <v>0</v>
      </c>
      <c r="F15" s="13" t="s">
        <v>0</v>
      </c>
      <c r="G15" s="13" t="s">
        <v>0</v>
      </c>
      <c r="H15" s="13">
        <f t="shared" si="4"/>
        <v>0</v>
      </c>
      <c r="I15" s="13" t="s">
        <v>0</v>
      </c>
      <c r="J15" s="13" t="s">
        <v>0</v>
      </c>
      <c r="K15" s="13"/>
      <c r="L15" s="13">
        <v>15606</v>
      </c>
      <c r="M15" s="13"/>
      <c r="N15" s="13"/>
      <c r="O15" s="13"/>
      <c r="P15" s="21">
        <v>0</v>
      </c>
    </row>
    <row r="16" spans="1:16" hidden="1" x14ac:dyDescent="0.25">
      <c r="A16" s="19" t="s">
        <v>0</v>
      </c>
      <c r="B16" s="14"/>
      <c r="C16" s="14" t="s">
        <v>487</v>
      </c>
      <c r="D16" s="14"/>
      <c r="E16" s="13" t="s">
        <v>0</v>
      </c>
      <c r="F16" s="13" t="s">
        <v>0</v>
      </c>
      <c r="G16" s="13" t="s">
        <v>0</v>
      </c>
      <c r="H16" s="13">
        <f t="shared" si="4"/>
        <v>0</v>
      </c>
      <c r="I16" s="13" t="s">
        <v>0</v>
      </c>
      <c r="J16" s="13" t="s">
        <v>0</v>
      </c>
      <c r="K16" s="13"/>
      <c r="L16" s="13">
        <v>0.1</v>
      </c>
      <c r="M16" s="13"/>
      <c r="N16" s="13"/>
      <c r="O16" s="13"/>
      <c r="P16" s="21">
        <v>0</v>
      </c>
    </row>
    <row r="17" spans="1:16" x14ac:dyDescent="0.25">
      <c r="A17" s="19"/>
      <c r="B17" s="14"/>
      <c r="C17" s="14" t="s">
        <v>488</v>
      </c>
      <c r="D17" s="38">
        <v>246779410292</v>
      </c>
      <c r="E17" s="13" t="s">
        <v>0</v>
      </c>
      <c r="F17" s="13">
        <v>140453</v>
      </c>
      <c r="G17" s="13" t="s">
        <v>489</v>
      </c>
      <c r="H17" s="13">
        <f t="shared" si="4"/>
        <v>15606</v>
      </c>
      <c r="I17" s="13"/>
      <c r="J17" s="13"/>
      <c r="K17" s="13"/>
      <c r="L17" s="13"/>
      <c r="M17" s="13"/>
      <c r="N17" s="13"/>
      <c r="O17" s="13"/>
      <c r="P17" s="21">
        <v>0</v>
      </c>
    </row>
    <row r="18" spans="1:16" hidden="1" x14ac:dyDescent="0.25">
      <c r="A18" s="19">
        <v>45708</v>
      </c>
      <c r="B18" s="14" t="s">
        <v>480</v>
      </c>
      <c r="C18" s="14" t="s">
        <v>481</v>
      </c>
      <c r="D18" s="14"/>
      <c r="E18" s="13" t="s">
        <v>0</v>
      </c>
      <c r="F18" s="13" t="s">
        <v>0</v>
      </c>
      <c r="G18" s="13" t="s">
        <v>0</v>
      </c>
      <c r="H18" s="13">
        <f t="shared" si="4"/>
        <v>0</v>
      </c>
      <c r="I18" s="13" t="s">
        <v>494</v>
      </c>
      <c r="J18" s="13"/>
      <c r="K18" s="13">
        <v>1620</v>
      </c>
      <c r="L18" s="13" t="s">
        <v>483</v>
      </c>
      <c r="M18" s="13" t="s">
        <v>495</v>
      </c>
      <c r="N18" s="13"/>
      <c r="O18" s="13">
        <v>140453</v>
      </c>
      <c r="P18" s="21">
        <v>15606</v>
      </c>
    </row>
    <row r="19" spans="1:16" hidden="1" x14ac:dyDescent="0.25">
      <c r="A19" s="19" t="s">
        <v>0</v>
      </c>
      <c r="B19" s="14"/>
      <c r="C19" s="14" t="s">
        <v>485</v>
      </c>
      <c r="D19" s="14"/>
      <c r="E19" s="13" t="s">
        <v>0</v>
      </c>
      <c r="F19" s="13" t="s">
        <v>0</v>
      </c>
      <c r="G19" s="13" t="s">
        <v>0</v>
      </c>
      <c r="H19" s="13">
        <f t="shared" si="4"/>
        <v>0</v>
      </c>
      <c r="I19" s="13" t="s">
        <v>0</v>
      </c>
      <c r="J19" s="13" t="s">
        <v>0</v>
      </c>
      <c r="K19" s="13">
        <v>156059.1</v>
      </c>
      <c r="L19" s="13"/>
      <c r="M19" s="13"/>
      <c r="N19" s="13"/>
      <c r="O19" s="13"/>
      <c r="P19" s="21">
        <v>0</v>
      </c>
    </row>
    <row r="20" spans="1:16" hidden="1" x14ac:dyDescent="0.25">
      <c r="A20" s="19" t="s">
        <v>0</v>
      </c>
      <c r="B20" s="14"/>
      <c r="C20" s="14" t="s">
        <v>486</v>
      </c>
      <c r="D20" s="14"/>
      <c r="E20" s="13" t="s">
        <v>0</v>
      </c>
      <c r="F20" s="13" t="s">
        <v>0</v>
      </c>
      <c r="G20" s="13" t="s">
        <v>0</v>
      </c>
      <c r="H20" s="13">
        <f t="shared" si="4"/>
        <v>0</v>
      </c>
      <c r="I20" s="13" t="s">
        <v>0</v>
      </c>
      <c r="J20" s="13" t="s">
        <v>0</v>
      </c>
      <c r="K20" s="13"/>
      <c r="L20" s="13">
        <v>15606</v>
      </c>
      <c r="M20" s="13"/>
      <c r="N20" s="13"/>
      <c r="O20" s="13"/>
      <c r="P20" s="21">
        <v>0</v>
      </c>
    </row>
    <row r="21" spans="1:16" hidden="1" x14ac:dyDescent="0.25">
      <c r="A21" s="19" t="s">
        <v>0</v>
      </c>
      <c r="B21" s="14"/>
      <c r="C21" s="14" t="s">
        <v>487</v>
      </c>
      <c r="D21" s="14"/>
      <c r="E21" s="13" t="s">
        <v>0</v>
      </c>
      <c r="F21" s="13" t="s">
        <v>0</v>
      </c>
      <c r="G21" s="13" t="s">
        <v>0</v>
      </c>
      <c r="H21" s="13">
        <f t="shared" si="4"/>
        <v>0</v>
      </c>
      <c r="I21" s="13" t="s">
        <v>0</v>
      </c>
      <c r="J21" s="13" t="s">
        <v>0</v>
      </c>
      <c r="K21" s="13"/>
      <c r="L21" s="13">
        <v>0.1</v>
      </c>
      <c r="M21" s="13"/>
      <c r="N21" s="13"/>
      <c r="O21" s="13"/>
      <c r="P21" s="21">
        <v>0</v>
      </c>
    </row>
    <row r="22" spans="1:16" x14ac:dyDescent="0.25">
      <c r="A22" s="19"/>
      <c r="B22" s="14"/>
      <c r="C22" s="14" t="s">
        <v>488</v>
      </c>
      <c r="D22" s="38">
        <v>246779410106</v>
      </c>
      <c r="E22" s="13" t="s">
        <v>0</v>
      </c>
      <c r="F22" s="13">
        <v>140453</v>
      </c>
      <c r="G22" s="13" t="s">
        <v>489</v>
      </c>
      <c r="H22" s="13">
        <f t="shared" si="4"/>
        <v>15606</v>
      </c>
      <c r="I22" s="13"/>
      <c r="J22" s="13"/>
      <c r="K22" s="13"/>
      <c r="L22" s="13"/>
      <c r="M22" s="13"/>
      <c r="N22" s="13"/>
      <c r="O22" s="13"/>
      <c r="P22" s="21">
        <v>0</v>
      </c>
    </row>
    <row r="23" spans="1:16" hidden="1" x14ac:dyDescent="0.25">
      <c r="A23" s="19">
        <v>45717</v>
      </c>
      <c r="B23" s="14" t="s">
        <v>480</v>
      </c>
      <c r="C23" s="14" t="s">
        <v>481</v>
      </c>
      <c r="D23" s="14"/>
      <c r="E23" s="13" t="s">
        <v>0</v>
      </c>
      <c r="F23" s="13" t="s">
        <v>0</v>
      </c>
      <c r="G23" s="13" t="s">
        <v>0</v>
      </c>
      <c r="H23" s="13">
        <f t="shared" si="4"/>
        <v>0</v>
      </c>
      <c r="I23" s="13" t="s">
        <v>496</v>
      </c>
      <c r="J23" s="13"/>
      <c r="K23" s="13">
        <v>1620</v>
      </c>
      <c r="L23" s="13" t="s">
        <v>483</v>
      </c>
      <c r="M23" s="13" t="s">
        <v>497</v>
      </c>
      <c r="N23" s="13"/>
      <c r="O23" s="13">
        <v>140453</v>
      </c>
      <c r="P23" s="21">
        <v>15606</v>
      </c>
    </row>
    <row r="24" spans="1:16" hidden="1" x14ac:dyDescent="0.25">
      <c r="A24" s="19" t="s">
        <v>0</v>
      </c>
      <c r="B24" s="14"/>
      <c r="C24" s="14" t="s">
        <v>485</v>
      </c>
      <c r="D24" s="14"/>
      <c r="E24" s="13" t="s">
        <v>0</v>
      </c>
      <c r="F24" s="13" t="s">
        <v>0</v>
      </c>
      <c r="G24" s="13" t="s">
        <v>0</v>
      </c>
      <c r="H24" s="13">
        <f t="shared" si="4"/>
        <v>0</v>
      </c>
      <c r="I24" s="13" t="s">
        <v>0</v>
      </c>
      <c r="J24" s="13" t="s">
        <v>0</v>
      </c>
      <c r="K24" s="13">
        <v>156059.1</v>
      </c>
      <c r="L24" s="13"/>
      <c r="M24" s="13"/>
      <c r="N24" s="13"/>
      <c r="O24" s="13"/>
      <c r="P24" s="21">
        <v>0</v>
      </c>
    </row>
    <row r="25" spans="1:16" hidden="1" x14ac:dyDescent="0.25">
      <c r="A25" s="19" t="s">
        <v>0</v>
      </c>
      <c r="B25" s="14"/>
      <c r="C25" s="14" t="s">
        <v>486</v>
      </c>
      <c r="D25" s="14"/>
      <c r="E25" s="13" t="s">
        <v>0</v>
      </c>
      <c r="F25" s="13" t="s">
        <v>0</v>
      </c>
      <c r="G25" s="13" t="s">
        <v>0</v>
      </c>
      <c r="H25" s="13">
        <f t="shared" si="4"/>
        <v>0</v>
      </c>
      <c r="I25" s="13" t="s">
        <v>0</v>
      </c>
      <c r="J25" s="13" t="s">
        <v>0</v>
      </c>
      <c r="K25" s="13"/>
      <c r="L25" s="13">
        <v>15606</v>
      </c>
      <c r="M25" s="13"/>
      <c r="N25" s="13"/>
      <c r="O25" s="13"/>
      <c r="P25" s="21">
        <v>0</v>
      </c>
    </row>
    <row r="26" spans="1:16" hidden="1" x14ac:dyDescent="0.25">
      <c r="A26" s="19" t="s">
        <v>0</v>
      </c>
      <c r="B26" s="14"/>
      <c r="C26" s="14" t="s">
        <v>487</v>
      </c>
      <c r="D26" s="14"/>
      <c r="E26" s="13" t="s">
        <v>0</v>
      </c>
      <c r="F26" s="13" t="s">
        <v>0</v>
      </c>
      <c r="G26" s="13" t="s">
        <v>0</v>
      </c>
      <c r="H26" s="13">
        <f t="shared" si="4"/>
        <v>0</v>
      </c>
      <c r="I26" s="13" t="s">
        <v>0</v>
      </c>
      <c r="J26" s="13" t="s">
        <v>0</v>
      </c>
      <c r="K26" s="13"/>
      <c r="L26" s="13">
        <v>0.1</v>
      </c>
      <c r="M26" s="13"/>
      <c r="N26" s="13"/>
      <c r="O26" s="13"/>
      <c r="P26" s="21">
        <v>0</v>
      </c>
    </row>
    <row r="27" spans="1:16" x14ac:dyDescent="0.25">
      <c r="A27" s="19"/>
      <c r="B27" s="14"/>
      <c r="C27" s="14" t="s">
        <v>488</v>
      </c>
      <c r="D27" s="38">
        <v>246779410149</v>
      </c>
      <c r="E27" s="13" t="s">
        <v>0</v>
      </c>
      <c r="F27" s="13">
        <v>140453</v>
      </c>
      <c r="G27" s="13" t="s">
        <v>489</v>
      </c>
      <c r="H27" s="13">
        <f t="shared" si="4"/>
        <v>15606</v>
      </c>
      <c r="I27" s="13"/>
      <c r="J27" s="13"/>
      <c r="K27" s="13"/>
      <c r="L27" s="13"/>
      <c r="M27" s="13"/>
      <c r="N27" s="13"/>
      <c r="O27" s="13"/>
      <c r="P27" s="21">
        <v>0</v>
      </c>
    </row>
    <row r="28" spans="1:16" hidden="1" x14ac:dyDescent="0.25">
      <c r="A28" s="19">
        <v>45717</v>
      </c>
      <c r="B28" s="14" t="s">
        <v>480</v>
      </c>
      <c r="C28" s="14" t="s">
        <v>481</v>
      </c>
      <c r="D28" s="14"/>
      <c r="E28" s="13" t="s">
        <v>0</v>
      </c>
      <c r="F28" s="13" t="s">
        <v>0</v>
      </c>
      <c r="G28" s="13" t="s">
        <v>0</v>
      </c>
      <c r="H28" s="13">
        <f t="shared" si="4"/>
        <v>0</v>
      </c>
      <c r="I28" s="13" t="s">
        <v>498</v>
      </c>
      <c r="J28" s="13"/>
      <c r="K28" s="13">
        <v>1620</v>
      </c>
      <c r="L28" s="13" t="s">
        <v>483</v>
      </c>
      <c r="M28" s="13" t="s">
        <v>499</v>
      </c>
      <c r="N28" s="13"/>
      <c r="O28" s="13">
        <v>140453</v>
      </c>
      <c r="P28" s="21">
        <v>15606</v>
      </c>
    </row>
    <row r="29" spans="1:16" hidden="1" x14ac:dyDescent="0.25">
      <c r="A29" s="19" t="s">
        <v>0</v>
      </c>
      <c r="B29" s="14"/>
      <c r="C29" s="14" t="s">
        <v>485</v>
      </c>
      <c r="D29" s="14"/>
      <c r="E29" s="13" t="s">
        <v>0</v>
      </c>
      <c r="F29" s="13" t="s">
        <v>0</v>
      </c>
      <c r="G29" s="13" t="s">
        <v>0</v>
      </c>
      <c r="H29" s="13">
        <f t="shared" si="4"/>
        <v>0</v>
      </c>
      <c r="I29" s="13" t="s">
        <v>0</v>
      </c>
      <c r="J29" s="13" t="s">
        <v>0</v>
      </c>
      <c r="K29" s="13">
        <v>156059.1</v>
      </c>
      <c r="L29" s="13"/>
      <c r="M29" s="13"/>
      <c r="N29" s="13"/>
      <c r="O29" s="13"/>
      <c r="P29" s="21">
        <v>0</v>
      </c>
    </row>
    <row r="30" spans="1:16" hidden="1" x14ac:dyDescent="0.25">
      <c r="A30" s="19" t="s">
        <v>0</v>
      </c>
      <c r="B30" s="14"/>
      <c r="C30" s="14" t="s">
        <v>486</v>
      </c>
      <c r="D30" s="14"/>
      <c r="E30" s="13" t="s">
        <v>0</v>
      </c>
      <c r="F30" s="13" t="s">
        <v>0</v>
      </c>
      <c r="G30" s="13" t="s">
        <v>0</v>
      </c>
      <c r="H30" s="13">
        <f t="shared" si="4"/>
        <v>0</v>
      </c>
      <c r="I30" s="13" t="s">
        <v>0</v>
      </c>
      <c r="J30" s="13" t="s">
        <v>0</v>
      </c>
      <c r="K30" s="13"/>
      <c r="L30" s="13">
        <v>15606</v>
      </c>
      <c r="M30" s="13"/>
      <c r="N30" s="13"/>
      <c r="O30" s="13"/>
      <c r="P30" s="21">
        <v>0</v>
      </c>
    </row>
    <row r="31" spans="1:16" hidden="1" x14ac:dyDescent="0.25">
      <c r="A31" s="19" t="s">
        <v>0</v>
      </c>
      <c r="B31" s="14"/>
      <c r="C31" s="14" t="s">
        <v>487</v>
      </c>
      <c r="D31" s="14"/>
      <c r="E31" s="13" t="s">
        <v>0</v>
      </c>
      <c r="F31" s="13" t="s">
        <v>0</v>
      </c>
      <c r="G31" s="13" t="s">
        <v>0</v>
      </c>
      <c r="H31" s="13">
        <f t="shared" si="4"/>
        <v>0</v>
      </c>
      <c r="I31" s="13" t="s">
        <v>0</v>
      </c>
      <c r="J31" s="13" t="s">
        <v>0</v>
      </c>
      <c r="K31" s="13"/>
      <c r="L31" s="13">
        <v>0.1</v>
      </c>
      <c r="M31" s="13"/>
      <c r="N31" s="13"/>
      <c r="O31" s="13"/>
      <c r="P31" s="21">
        <v>0</v>
      </c>
    </row>
    <row r="32" spans="1:16" x14ac:dyDescent="0.25">
      <c r="A32" s="19"/>
      <c r="B32" s="14"/>
      <c r="C32" s="14" t="s">
        <v>488</v>
      </c>
      <c r="D32" s="38">
        <v>246779410192</v>
      </c>
      <c r="E32" s="13" t="s">
        <v>0</v>
      </c>
      <c r="F32" s="13">
        <v>140453</v>
      </c>
      <c r="G32" s="13" t="s">
        <v>489</v>
      </c>
      <c r="H32" s="13">
        <f t="shared" si="4"/>
        <v>15606</v>
      </c>
      <c r="I32" s="13"/>
      <c r="J32" s="13"/>
      <c r="K32" s="13"/>
      <c r="L32" s="13"/>
      <c r="M32" s="13"/>
      <c r="N32" s="13"/>
      <c r="O32" s="13"/>
      <c r="P32" s="21">
        <v>0</v>
      </c>
    </row>
    <row r="33" spans="1:16" hidden="1" x14ac:dyDescent="0.25">
      <c r="A33" s="19">
        <v>45717</v>
      </c>
      <c r="B33" s="14" t="s">
        <v>480</v>
      </c>
      <c r="C33" s="14" t="s">
        <v>481</v>
      </c>
      <c r="D33" s="14"/>
      <c r="E33" s="13" t="s">
        <v>0</v>
      </c>
      <c r="F33" s="13" t="s">
        <v>0</v>
      </c>
      <c r="G33" s="13" t="s">
        <v>0</v>
      </c>
      <c r="H33" s="13">
        <f t="shared" si="4"/>
        <v>0</v>
      </c>
      <c r="I33" s="13" t="s">
        <v>500</v>
      </c>
      <c r="J33" s="13"/>
      <c r="K33" s="13">
        <v>1620</v>
      </c>
      <c r="L33" s="13" t="s">
        <v>483</v>
      </c>
      <c r="M33" s="13" t="s">
        <v>501</v>
      </c>
      <c r="N33" s="13"/>
      <c r="O33" s="13">
        <v>140453</v>
      </c>
      <c r="P33" s="21">
        <v>15606</v>
      </c>
    </row>
    <row r="34" spans="1:16" hidden="1" x14ac:dyDescent="0.25">
      <c r="A34" s="19" t="s">
        <v>0</v>
      </c>
      <c r="B34" s="14"/>
      <c r="C34" s="14" t="s">
        <v>485</v>
      </c>
      <c r="D34" s="14"/>
      <c r="E34" s="13" t="s">
        <v>0</v>
      </c>
      <c r="F34" s="13" t="s">
        <v>0</v>
      </c>
      <c r="G34" s="13" t="s">
        <v>0</v>
      </c>
      <c r="H34" s="13">
        <f t="shared" si="4"/>
        <v>0</v>
      </c>
      <c r="I34" s="13" t="s">
        <v>0</v>
      </c>
      <c r="J34" s="13" t="s">
        <v>0</v>
      </c>
      <c r="K34" s="13">
        <v>156059.1</v>
      </c>
      <c r="L34" s="13"/>
      <c r="M34" s="13"/>
      <c r="N34" s="13"/>
      <c r="O34" s="13"/>
      <c r="P34" s="21">
        <v>0</v>
      </c>
    </row>
    <row r="35" spans="1:16" hidden="1" x14ac:dyDescent="0.25">
      <c r="A35" s="19" t="s">
        <v>0</v>
      </c>
      <c r="B35" s="14"/>
      <c r="C35" s="14" t="s">
        <v>486</v>
      </c>
      <c r="D35" s="14"/>
      <c r="E35" s="13" t="s">
        <v>0</v>
      </c>
      <c r="F35" s="13" t="s">
        <v>0</v>
      </c>
      <c r="G35" s="13" t="s">
        <v>0</v>
      </c>
      <c r="H35" s="13">
        <f t="shared" si="4"/>
        <v>0</v>
      </c>
      <c r="I35" s="13" t="s">
        <v>0</v>
      </c>
      <c r="J35" s="13" t="s">
        <v>0</v>
      </c>
      <c r="K35" s="13"/>
      <c r="L35" s="13">
        <v>15606</v>
      </c>
      <c r="M35" s="13"/>
      <c r="N35" s="13"/>
      <c r="O35" s="13"/>
      <c r="P35" s="21">
        <v>0</v>
      </c>
    </row>
    <row r="36" spans="1:16" hidden="1" x14ac:dyDescent="0.25">
      <c r="A36" s="19" t="s">
        <v>0</v>
      </c>
      <c r="B36" s="14"/>
      <c r="C36" s="14" t="s">
        <v>487</v>
      </c>
      <c r="D36" s="14"/>
      <c r="E36" s="13" t="s">
        <v>0</v>
      </c>
      <c r="F36" s="13" t="s">
        <v>0</v>
      </c>
      <c r="G36" s="13" t="s">
        <v>0</v>
      </c>
      <c r="H36" s="13">
        <f t="shared" si="4"/>
        <v>0</v>
      </c>
      <c r="I36" s="13" t="s">
        <v>0</v>
      </c>
      <c r="J36" s="13" t="s">
        <v>0</v>
      </c>
      <c r="K36" s="13"/>
      <c r="L36" s="13">
        <v>0.1</v>
      </c>
      <c r="M36" s="13"/>
      <c r="N36" s="13"/>
      <c r="O36" s="13"/>
      <c r="P36" s="21">
        <v>0</v>
      </c>
    </row>
    <row r="37" spans="1:16" x14ac:dyDescent="0.25">
      <c r="A37" s="19"/>
      <c r="B37" s="14"/>
      <c r="C37" s="14" t="s">
        <v>488</v>
      </c>
      <c r="D37" s="38">
        <v>246779410235</v>
      </c>
      <c r="E37" s="13" t="s">
        <v>0</v>
      </c>
      <c r="F37" s="13">
        <v>140453</v>
      </c>
      <c r="G37" s="13" t="s">
        <v>489</v>
      </c>
      <c r="H37" s="13">
        <f t="shared" si="4"/>
        <v>15606</v>
      </c>
      <c r="I37" s="13"/>
      <c r="J37" s="13"/>
      <c r="K37" s="13"/>
      <c r="L37" s="13"/>
      <c r="M37" s="13"/>
      <c r="N37" s="13"/>
      <c r="O37" s="13"/>
      <c r="P37" s="21">
        <v>0</v>
      </c>
    </row>
    <row r="38" spans="1:16" hidden="1" x14ac:dyDescent="0.25">
      <c r="A38" s="19">
        <v>45717</v>
      </c>
      <c r="B38" s="14" t="s">
        <v>480</v>
      </c>
      <c r="C38" s="14" t="s">
        <v>481</v>
      </c>
      <c r="D38" s="14"/>
      <c r="E38" s="13" t="s">
        <v>0</v>
      </c>
      <c r="F38" s="13" t="s">
        <v>0</v>
      </c>
      <c r="G38" s="13" t="s">
        <v>0</v>
      </c>
      <c r="H38" s="13">
        <f t="shared" si="4"/>
        <v>0</v>
      </c>
      <c r="I38" s="13" t="s">
        <v>482</v>
      </c>
      <c r="J38" s="13"/>
      <c r="K38" s="13">
        <v>418.5</v>
      </c>
      <c r="L38" s="13" t="s">
        <v>483</v>
      </c>
      <c r="M38" s="13" t="s">
        <v>502</v>
      </c>
      <c r="N38" s="13"/>
      <c r="O38" s="13">
        <v>36410</v>
      </c>
      <c r="P38" s="21">
        <v>4046</v>
      </c>
    </row>
    <row r="39" spans="1:16" hidden="1" x14ac:dyDescent="0.25">
      <c r="A39" s="19" t="s">
        <v>0</v>
      </c>
      <c r="B39" s="14"/>
      <c r="C39" s="14" t="s">
        <v>503</v>
      </c>
      <c r="D39" s="14"/>
      <c r="E39" s="13" t="s">
        <v>0</v>
      </c>
      <c r="F39" s="13" t="s">
        <v>0</v>
      </c>
      <c r="G39" s="13" t="s">
        <v>0</v>
      </c>
      <c r="H39" s="13">
        <f t="shared" si="4"/>
        <v>0</v>
      </c>
      <c r="I39" s="13" t="s">
        <v>0</v>
      </c>
      <c r="J39" s="13" t="s">
        <v>0</v>
      </c>
      <c r="K39" s="13">
        <v>40456.019999999997</v>
      </c>
      <c r="L39" s="13"/>
      <c r="M39" s="13"/>
      <c r="N39" s="13"/>
      <c r="O39" s="13"/>
      <c r="P39" s="21">
        <v>0</v>
      </c>
    </row>
    <row r="40" spans="1:16" hidden="1" x14ac:dyDescent="0.25">
      <c r="A40" s="19" t="s">
        <v>0</v>
      </c>
      <c r="B40" s="14"/>
      <c r="C40" s="14" t="s">
        <v>486</v>
      </c>
      <c r="D40" s="14"/>
      <c r="E40" s="13" t="s">
        <v>0</v>
      </c>
      <c r="F40" s="13" t="s">
        <v>0</v>
      </c>
      <c r="G40" s="13" t="s">
        <v>0</v>
      </c>
      <c r="H40" s="13">
        <f t="shared" si="4"/>
        <v>0</v>
      </c>
      <c r="I40" s="13" t="s">
        <v>0</v>
      </c>
      <c r="J40" s="13" t="s">
        <v>0</v>
      </c>
      <c r="K40" s="13"/>
      <c r="L40" s="13">
        <v>4046</v>
      </c>
      <c r="M40" s="13"/>
      <c r="N40" s="13"/>
      <c r="O40" s="13"/>
      <c r="P40" s="21">
        <v>0</v>
      </c>
    </row>
    <row r="41" spans="1:16" hidden="1" x14ac:dyDescent="0.25">
      <c r="A41" s="19" t="s">
        <v>0</v>
      </c>
      <c r="B41" s="14"/>
      <c r="C41" s="14" t="s">
        <v>487</v>
      </c>
      <c r="D41" s="14"/>
      <c r="E41" s="13" t="s">
        <v>0</v>
      </c>
      <c r="F41" s="13" t="s">
        <v>0</v>
      </c>
      <c r="G41" s="13" t="s">
        <v>0</v>
      </c>
      <c r="H41" s="13">
        <f t="shared" si="4"/>
        <v>0</v>
      </c>
      <c r="I41" s="13" t="s">
        <v>0</v>
      </c>
      <c r="J41" s="13" t="s">
        <v>0</v>
      </c>
      <c r="K41" s="13"/>
      <c r="L41" s="13">
        <v>0.02</v>
      </c>
      <c r="M41" s="13"/>
      <c r="N41" s="13"/>
      <c r="O41" s="13"/>
      <c r="P41" s="21">
        <v>0</v>
      </c>
    </row>
    <row r="42" spans="1:16" x14ac:dyDescent="0.25">
      <c r="A42" s="19"/>
      <c r="B42" s="14"/>
      <c r="C42" s="14" t="s">
        <v>488</v>
      </c>
      <c r="D42" s="38">
        <v>246779410321</v>
      </c>
      <c r="E42" s="13" t="s">
        <v>0</v>
      </c>
      <c r="F42" s="13">
        <v>36410</v>
      </c>
      <c r="G42" s="13" t="s">
        <v>489</v>
      </c>
      <c r="H42" s="13">
        <f t="shared" si="4"/>
        <v>4046</v>
      </c>
      <c r="I42" s="13"/>
      <c r="J42" s="13"/>
      <c r="K42" s="13"/>
      <c r="L42" s="13"/>
      <c r="M42" s="13"/>
      <c r="N42" s="13"/>
      <c r="O42" s="13"/>
      <c r="P42" s="21">
        <v>0</v>
      </c>
    </row>
    <row r="43" spans="1:16" hidden="1" x14ac:dyDescent="0.25">
      <c r="A43" s="19">
        <v>45717</v>
      </c>
      <c r="B43" s="14" t="s">
        <v>480</v>
      </c>
      <c r="C43" s="14" t="s">
        <v>481</v>
      </c>
      <c r="D43" s="14"/>
      <c r="E43" s="13" t="s">
        <v>0</v>
      </c>
      <c r="F43" s="13" t="s">
        <v>0</v>
      </c>
      <c r="G43" s="13" t="s">
        <v>0</v>
      </c>
      <c r="H43" s="13">
        <f t="shared" si="4"/>
        <v>0</v>
      </c>
      <c r="I43" s="13" t="s">
        <v>490</v>
      </c>
      <c r="J43" s="13"/>
      <c r="K43" s="13">
        <v>405</v>
      </c>
      <c r="L43" s="13" t="s">
        <v>483</v>
      </c>
      <c r="M43" s="13" t="s">
        <v>504</v>
      </c>
      <c r="N43" s="13"/>
      <c r="O43" s="13">
        <v>35397</v>
      </c>
      <c r="P43" s="21">
        <v>3933</v>
      </c>
    </row>
    <row r="44" spans="1:16" hidden="1" x14ac:dyDescent="0.25">
      <c r="A44" s="19" t="s">
        <v>0</v>
      </c>
      <c r="B44" s="14"/>
      <c r="C44" s="14" t="s">
        <v>503</v>
      </c>
      <c r="D44" s="14"/>
      <c r="E44" s="13" t="s">
        <v>0</v>
      </c>
      <c r="F44" s="13" t="s">
        <v>0</v>
      </c>
      <c r="G44" s="13" t="s">
        <v>0</v>
      </c>
      <c r="H44" s="13">
        <f t="shared" si="4"/>
        <v>0</v>
      </c>
      <c r="I44" s="13" t="s">
        <v>0</v>
      </c>
      <c r="J44" s="13" t="s">
        <v>0</v>
      </c>
      <c r="K44" s="13">
        <v>39330.269999999997</v>
      </c>
      <c r="L44" s="13"/>
      <c r="M44" s="13"/>
      <c r="N44" s="13"/>
      <c r="O44" s="13"/>
      <c r="P44" s="21">
        <v>0</v>
      </c>
    </row>
    <row r="45" spans="1:16" hidden="1" x14ac:dyDescent="0.25">
      <c r="A45" s="19" t="s">
        <v>0</v>
      </c>
      <c r="B45" s="14"/>
      <c r="C45" s="14" t="s">
        <v>486</v>
      </c>
      <c r="D45" s="14"/>
      <c r="E45" s="13" t="s">
        <v>0</v>
      </c>
      <c r="F45" s="13" t="s">
        <v>0</v>
      </c>
      <c r="G45" s="13" t="s">
        <v>0</v>
      </c>
      <c r="H45" s="13">
        <f t="shared" si="4"/>
        <v>0</v>
      </c>
      <c r="I45" s="13" t="s">
        <v>0</v>
      </c>
      <c r="J45" s="13" t="s">
        <v>0</v>
      </c>
      <c r="K45" s="13"/>
      <c r="L45" s="13">
        <v>3933</v>
      </c>
      <c r="M45" s="13"/>
      <c r="N45" s="13"/>
      <c r="O45" s="13"/>
      <c r="P45" s="21">
        <v>0</v>
      </c>
    </row>
    <row r="46" spans="1:16" hidden="1" x14ac:dyDescent="0.25">
      <c r="A46" s="19" t="s">
        <v>0</v>
      </c>
      <c r="B46" s="14"/>
      <c r="C46" s="14" t="s">
        <v>487</v>
      </c>
      <c r="D46" s="14"/>
      <c r="E46" s="13" t="s">
        <v>0</v>
      </c>
      <c r="F46" s="13" t="s">
        <v>0</v>
      </c>
      <c r="G46" s="13" t="s">
        <v>0</v>
      </c>
      <c r="H46" s="13">
        <f t="shared" si="4"/>
        <v>0</v>
      </c>
      <c r="I46" s="13" t="s">
        <v>0</v>
      </c>
      <c r="J46" s="13" t="s">
        <v>0</v>
      </c>
      <c r="K46" s="13"/>
      <c r="L46" s="13">
        <v>0.27</v>
      </c>
      <c r="M46" s="13"/>
      <c r="N46" s="13"/>
      <c r="O46" s="13"/>
      <c r="P46" s="21">
        <v>0</v>
      </c>
    </row>
    <row r="47" spans="1:16" x14ac:dyDescent="0.25">
      <c r="A47" s="19"/>
      <c r="B47" s="14"/>
      <c r="C47" s="14" t="s">
        <v>488</v>
      </c>
      <c r="D47" s="38">
        <v>246779410341</v>
      </c>
      <c r="E47" s="13" t="s">
        <v>0</v>
      </c>
      <c r="F47" s="13">
        <v>35397</v>
      </c>
      <c r="G47" s="13" t="s">
        <v>489</v>
      </c>
      <c r="H47" s="13">
        <f t="shared" si="4"/>
        <v>3933</v>
      </c>
      <c r="I47" s="13"/>
      <c r="J47" s="13"/>
      <c r="K47" s="13"/>
      <c r="L47" s="13"/>
      <c r="M47" s="13"/>
      <c r="N47" s="13"/>
      <c r="O47" s="13"/>
      <c r="P47" s="21">
        <v>0</v>
      </c>
    </row>
    <row r="48" spans="1:16" hidden="1" x14ac:dyDescent="0.25">
      <c r="A48" s="19">
        <v>45717</v>
      </c>
      <c r="B48" s="14" t="s">
        <v>480</v>
      </c>
      <c r="C48" s="14" t="s">
        <v>481</v>
      </c>
      <c r="D48" s="14"/>
      <c r="E48" s="13" t="s">
        <v>0</v>
      </c>
      <c r="F48" s="13" t="s">
        <v>0</v>
      </c>
      <c r="G48" s="13" t="s">
        <v>0</v>
      </c>
      <c r="H48" s="13">
        <f t="shared" si="4"/>
        <v>0</v>
      </c>
      <c r="I48" s="13" t="s">
        <v>492</v>
      </c>
      <c r="J48" s="13"/>
      <c r="K48" s="13">
        <v>418.5</v>
      </c>
      <c r="L48" s="13" t="s">
        <v>483</v>
      </c>
      <c r="M48" s="13" t="s">
        <v>505</v>
      </c>
      <c r="N48" s="13"/>
      <c r="O48" s="13">
        <v>36577</v>
      </c>
      <c r="P48" s="21">
        <v>4064</v>
      </c>
    </row>
    <row r="49" spans="1:16" hidden="1" x14ac:dyDescent="0.25">
      <c r="A49" s="19" t="s">
        <v>0</v>
      </c>
      <c r="B49" s="14"/>
      <c r="C49" s="14" t="s">
        <v>503</v>
      </c>
      <c r="D49" s="14"/>
      <c r="E49" s="13" t="s">
        <v>0</v>
      </c>
      <c r="F49" s="13" t="s">
        <v>0</v>
      </c>
      <c r="G49" s="13" t="s">
        <v>0</v>
      </c>
      <c r="H49" s="13">
        <f t="shared" si="4"/>
        <v>0</v>
      </c>
      <c r="I49" s="13" t="s">
        <v>0</v>
      </c>
      <c r="J49" s="13" t="s">
        <v>0</v>
      </c>
      <c r="K49" s="13">
        <v>40641.279999999999</v>
      </c>
      <c r="L49" s="13"/>
      <c r="M49" s="13"/>
      <c r="N49" s="13"/>
      <c r="O49" s="13"/>
      <c r="P49" s="21">
        <v>0</v>
      </c>
    </row>
    <row r="50" spans="1:16" hidden="1" x14ac:dyDescent="0.25">
      <c r="A50" s="19" t="s">
        <v>0</v>
      </c>
      <c r="B50" s="14"/>
      <c r="C50" s="14" t="s">
        <v>486</v>
      </c>
      <c r="D50" s="14"/>
      <c r="E50" s="13" t="s">
        <v>0</v>
      </c>
      <c r="F50" s="13" t="s">
        <v>0</v>
      </c>
      <c r="G50" s="13" t="s">
        <v>0</v>
      </c>
      <c r="H50" s="13">
        <f t="shared" si="4"/>
        <v>0</v>
      </c>
      <c r="I50" s="13" t="s">
        <v>0</v>
      </c>
      <c r="J50" s="13" t="s">
        <v>0</v>
      </c>
      <c r="K50" s="13"/>
      <c r="L50" s="13">
        <v>4064</v>
      </c>
      <c r="M50" s="13"/>
      <c r="N50" s="13"/>
      <c r="O50" s="13"/>
      <c r="P50" s="21">
        <v>0</v>
      </c>
    </row>
    <row r="51" spans="1:16" hidden="1" x14ac:dyDescent="0.25">
      <c r="A51" s="19" t="s">
        <v>0</v>
      </c>
      <c r="B51" s="14"/>
      <c r="C51" s="14" t="s">
        <v>487</v>
      </c>
      <c r="D51" s="14"/>
      <c r="E51" s="13" t="s">
        <v>0</v>
      </c>
      <c r="F51" s="13" t="s">
        <v>0</v>
      </c>
      <c r="G51" s="13" t="s">
        <v>0</v>
      </c>
      <c r="H51" s="13">
        <f t="shared" si="4"/>
        <v>0</v>
      </c>
      <c r="I51" s="13" t="s">
        <v>0</v>
      </c>
      <c r="J51" s="13" t="s">
        <v>0</v>
      </c>
      <c r="K51" s="13"/>
      <c r="L51" s="13">
        <v>0.28000000000000003</v>
      </c>
      <c r="M51" s="13"/>
      <c r="N51" s="13"/>
      <c r="O51" s="13"/>
      <c r="P51" s="21">
        <v>0</v>
      </c>
    </row>
    <row r="52" spans="1:16" x14ac:dyDescent="0.25">
      <c r="A52" s="19"/>
      <c r="B52" s="14"/>
      <c r="C52" s="14" t="s">
        <v>488</v>
      </c>
      <c r="D52" s="38">
        <v>246779410345</v>
      </c>
      <c r="E52" s="13" t="s">
        <v>0</v>
      </c>
      <c r="F52" s="13">
        <v>36577</v>
      </c>
      <c r="G52" s="13" t="s">
        <v>489</v>
      </c>
      <c r="H52" s="13">
        <f t="shared" si="4"/>
        <v>4064</v>
      </c>
      <c r="I52" s="13"/>
      <c r="J52" s="13"/>
      <c r="K52" s="13"/>
      <c r="L52" s="13"/>
      <c r="M52" s="13"/>
      <c r="N52" s="13"/>
      <c r="O52" s="13"/>
      <c r="P52" s="21">
        <v>0</v>
      </c>
    </row>
    <row r="53" spans="1:16" hidden="1" x14ac:dyDescent="0.25">
      <c r="A53" s="19">
        <v>45717</v>
      </c>
      <c r="B53" s="14" t="s">
        <v>480</v>
      </c>
      <c r="C53" s="14" t="s">
        <v>481</v>
      </c>
      <c r="D53" s="14"/>
      <c r="E53" s="13" t="s">
        <v>0</v>
      </c>
      <c r="F53" s="13" t="s">
        <v>0</v>
      </c>
      <c r="G53" s="13" t="s">
        <v>0</v>
      </c>
      <c r="H53" s="13">
        <f t="shared" si="4"/>
        <v>0</v>
      </c>
      <c r="I53" s="13" t="s">
        <v>494</v>
      </c>
      <c r="J53" s="13"/>
      <c r="K53" s="13">
        <v>405</v>
      </c>
      <c r="L53" s="13" t="s">
        <v>483</v>
      </c>
      <c r="M53" s="13" t="s">
        <v>506</v>
      </c>
      <c r="N53" s="13"/>
      <c r="O53" s="13">
        <v>35397</v>
      </c>
      <c r="P53" s="21">
        <v>3933</v>
      </c>
    </row>
    <row r="54" spans="1:16" hidden="1" x14ac:dyDescent="0.25">
      <c r="A54" s="19" t="s">
        <v>0</v>
      </c>
      <c r="B54" s="14"/>
      <c r="C54" s="14" t="s">
        <v>503</v>
      </c>
      <c r="D54" s="14"/>
      <c r="E54" s="13" t="s">
        <v>0</v>
      </c>
      <c r="F54" s="13" t="s">
        <v>0</v>
      </c>
      <c r="G54" s="13" t="s">
        <v>0</v>
      </c>
      <c r="H54" s="13">
        <f t="shared" si="4"/>
        <v>0</v>
      </c>
      <c r="I54" s="13" t="s">
        <v>0</v>
      </c>
      <c r="J54" s="13" t="s">
        <v>0</v>
      </c>
      <c r="K54" s="13">
        <v>39330.269999999997</v>
      </c>
      <c r="L54" s="13"/>
      <c r="M54" s="13"/>
      <c r="N54" s="13"/>
      <c r="O54" s="13"/>
      <c r="P54" s="21">
        <v>0</v>
      </c>
    </row>
    <row r="55" spans="1:16" hidden="1" x14ac:dyDescent="0.25">
      <c r="A55" s="19" t="s">
        <v>0</v>
      </c>
      <c r="B55" s="14"/>
      <c r="C55" s="14" t="s">
        <v>486</v>
      </c>
      <c r="D55" s="14"/>
      <c r="E55" s="13" t="s">
        <v>0</v>
      </c>
      <c r="F55" s="13" t="s">
        <v>0</v>
      </c>
      <c r="G55" s="13" t="s">
        <v>0</v>
      </c>
      <c r="H55" s="13">
        <f t="shared" si="4"/>
        <v>0</v>
      </c>
      <c r="I55" s="13" t="s">
        <v>0</v>
      </c>
      <c r="J55" s="13" t="s">
        <v>0</v>
      </c>
      <c r="K55" s="13"/>
      <c r="L55" s="13">
        <v>3933</v>
      </c>
      <c r="M55" s="13"/>
      <c r="N55" s="13"/>
      <c r="O55" s="13"/>
      <c r="P55" s="21">
        <v>0</v>
      </c>
    </row>
    <row r="56" spans="1:16" hidden="1" x14ac:dyDescent="0.25">
      <c r="A56" s="19" t="s">
        <v>0</v>
      </c>
      <c r="B56" s="14"/>
      <c r="C56" s="14" t="s">
        <v>487</v>
      </c>
      <c r="D56" s="14"/>
      <c r="E56" s="13" t="s">
        <v>0</v>
      </c>
      <c r="F56" s="13" t="s">
        <v>0</v>
      </c>
      <c r="G56" s="13" t="s">
        <v>0</v>
      </c>
      <c r="H56" s="13">
        <f t="shared" si="4"/>
        <v>0</v>
      </c>
      <c r="I56" s="13" t="s">
        <v>0</v>
      </c>
      <c r="J56" s="13" t="s">
        <v>0</v>
      </c>
      <c r="K56" s="13"/>
      <c r="L56" s="13">
        <v>0.27</v>
      </c>
      <c r="M56" s="13"/>
      <c r="N56" s="13"/>
      <c r="O56" s="13"/>
      <c r="P56" s="21">
        <v>0</v>
      </c>
    </row>
    <row r="57" spans="1:16" x14ac:dyDescent="0.25">
      <c r="A57" s="19"/>
      <c r="B57" s="14"/>
      <c r="C57" s="14" t="s">
        <v>488</v>
      </c>
      <c r="D57" s="38">
        <v>246779410357</v>
      </c>
      <c r="E57" s="13" t="s">
        <v>0</v>
      </c>
      <c r="F57" s="13">
        <v>35397</v>
      </c>
      <c r="G57" s="13" t="s">
        <v>489</v>
      </c>
      <c r="H57" s="13">
        <f t="shared" si="4"/>
        <v>3933</v>
      </c>
      <c r="I57" s="13"/>
      <c r="J57" s="13"/>
      <c r="K57" s="13"/>
      <c r="L57" s="13"/>
      <c r="M57" s="13"/>
      <c r="N57" s="13"/>
      <c r="O57" s="13"/>
      <c r="P57" s="21">
        <v>0</v>
      </c>
    </row>
    <row r="58" spans="1:16" hidden="1" x14ac:dyDescent="0.25">
      <c r="A58" s="19">
        <v>45717</v>
      </c>
      <c r="B58" s="14" t="s">
        <v>480</v>
      </c>
      <c r="C58" s="14" t="s">
        <v>481</v>
      </c>
      <c r="D58" s="14"/>
      <c r="E58" s="13" t="s">
        <v>0</v>
      </c>
      <c r="F58" s="13" t="s">
        <v>0</v>
      </c>
      <c r="G58" s="13" t="s">
        <v>0</v>
      </c>
      <c r="H58" s="13">
        <f t="shared" si="4"/>
        <v>0</v>
      </c>
      <c r="I58" s="13" t="s">
        <v>496</v>
      </c>
      <c r="J58" s="13"/>
      <c r="K58" s="13">
        <v>418.5</v>
      </c>
      <c r="L58" s="13" t="s">
        <v>483</v>
      </c>
      <c r="M58" s="13" t="s">
        <v>507</v>
      </c>
      <c r="N58" s="13"/>
      <c r="O58" s="13">
        <v>36577</v>
      </c>
      <c r="P58" s="21">
        <v>4064</v>
      </c>
    </row>
    <row r="59" spans="1:16" hidden="1" x14ac:dyDescent="0.25">
      <c r="A59" s="19" t="s">
        <v>0</v>
      </c>
      <c r="B59" s="14"/>
      <c r="C59" s="14" t="s">
        <v>503</v>
      </c>
      <c r="D59" s="14"/>
      <c r="E59" s="13" t="s">
        <v>0</v>
      </c>
      <c r="F59" s="13" t="s">
        <v>0</v>
      </c>
      <c r="G59" s="13" t="s">
        <v>0</v>
      </c>
      <c r="H59" s="13">
        <f t="shared" si="4"/>
        <v>0</v>
      </c>
      <c r="I59" s="13" t="s">
        <v>0</v>
      </c>
      <c r="J59" s="13" t="s">
        <v>0</v>
      </c>
      <c r="K59" s="13">
        <v>40641.279999999999</v>
      </c>
      <c r="L59" s="13"/>
      <c r="M59" s="13"/>
      <c r="N59" s="13"/>
      <c r="O59" s="13"/>
      <c r="P59" s="21">
        <v>0</v>
      </c>
    </row>
    <row r="60" spans="1:16" hidden="1" x14ac:dyDescent="0.25">
      <c r="A60" s="19" t="s">
        <v>0</v>
      </c>
      <c r="B60" s="14"/>
      <c r="C60" s="14" t="s">
        <v>486</v>
      </c>
      <c r="D60" s="14"/>
      <c r="E60" s="13" t="s">
        <v>0</v>
      </c>
      <c r="F60" s="13" t="s">
        <v>0</v>
      </c>
      <c r="G60" s="13" t="s">
        <v>0</v>
      </c>
      <c r="H60" s="13">
        <f t="shared" si="4"/>
        <v>0</v>
      </c>
      <c r="I60" s="13" t="s">
        <v>0</v>
      </c>
      <c r="J60" s="13" t="s">
        <v>0</v>
      </c>
      <c r="K60" s="13"/>
      <c r="L60" s="13">
        <v>4064</v>
      </c>
      <c r="M60" s="13"/>
      <c r="N60" s="13"/>
      <c r="O60" s="13"/>
      <c r="P60" s="21">
        <v>0</v>
      </c>
    </row>
    <row r="61" spans="1:16" hidden="1" x14ac:dyDescent="0.25">
      <c r="A61" s="19" t="s">
        <v>0</v>
      </c>
      <c r="B61" s="14"/>
      <c r="C61" s="14" t="s">
        <v>487</v>
      </c>
      <c r="D61" s="14"/>
      <c r="E61" s="13" t="s">
        <v>0</v>
      </c>
      <c r="F61" s="13" t="s">
        <v>0</v>
      </c>
      <c r="G61" s="13" t="s">
        <v>0</v>
      </c>
      <c r="H61" s="13">
        <f t="shared" si="4"/>
        <v>0</v>
      </c>
      <c r="I61" s="13" t="s">
        <v>0</v>
      </c>
      <c r="J61" s="13" t="s">
        <v>0</v>
      </c>
      <c r="K61" s="13"/>
      <c r="L61" s="13">
        <v>0.28000000000000003</v>
      </c>
      <c r="M61" s="13"/>
      <c r="N61" s="13"/>
      <c r="O61" s="13"/>
      <c r="P61" s="21">
        <v>0</v>
      </c>
    </row>
    <row r="62" spans="1:16" x14ac:dyDescent="0.25">
      <c r="A62" s="19"/>
      <c r="B62" s="14"/>
      <c r="C62" s="14" t="s">
        <v>488</v>
      </c>
      <c r="D62" s="38">
        <v>246779410351</v>
      </c>
      <c r="E62" s="13" t="s">
        <v>0</v>
      </c>
      <c r="F62" s="13">
        <v>36577</v>
      </c>
      <c r="G62" s="13" t="s">
        <v>489</v>
      </c>
      <c r="H62" s="13">
        <f t="shared" si="4"/>
        <v>4064</v>
      </c>
      <c r="I62" s="13"/>
      <c r="J62" s="13"/>
      <c r="K62" s="13"/>
      <c r="L62" s="13"/>
      <c r="M62" s="13"/>
      <c r="N62" s="13"/>
      <c r="O62" s="13"/>
      <c r="P62" s="21">
        <v>0</v>
      </c>
    </row>
    <row r="63" spans="1:16" hidden="1" x14ac:dyDescent="0.25">
      <c r="A63" s="19">
        <v>45719</v>
      </c>
      <c r="B63" s="14" t="s">
        <v>480</v>
      </c>
      <c r="C63" s="14" t="s">
        <v>481</v>
      </c>
      <c r="D63" s="14"/>
      <c r="E63" s="13" t="s">
        <v>0</v>
      </c>
      <c r="F63" s="13" t="s">
        <v>0</v>
      </c>
      <c r="G63" s="13" t="s">
        <v>0</v>
      </c>
      <c r="H63" s="13">
        <f t="shared" si="4"/>
        <v>0</v>
      </c>
      <c r="I63" s="13" t="s">
        <v>482</v>
      </c>
      <c r="J63" s="13"/>
      <c r="K63" s="13">
        <v>916.54</v>
      </c>
      <c r="L63" s="13" t="s">
        <v>483</v>
      </c>
      <c r="M63" s="13" t="s">
        <v>508</v>
      </c>
      <c r="N63" s="13"/>
      <c r="O63" s="13">
        <v>80043</v>
      </c>
      <c r="P63" s="21">
        <v>8894</v>
      </c>
    </row>
    <row r="64" spans="1:16" hidden="1" x14ac:dyDescent="0.25">
      <c r="A64" s="19" t="s">
        <v>0</v>
      </c>
      <c r="B64" s="14"/>
      <c r="C64" s="14" t="s">
        <v>485</v>
      </c>
      <c r="D64" s="14"/>
      <c r="E64" s="13" t="s">
        <v>0</v>
      </c>
      <c r="F64" s="13" t="s">
        <v>0</v>
      </c>
      <c r="G64" s="13" t="s">
        <v>0</v>
      </c>
      <c r="H64" s="13">
        <f t="shared" si="4"/>
        <v>0</v>
      </c>
      <c r="I64" s="13" t="s">
        <v>0</v>
      </c>
      <c r="J64" s="13" t="s">
        <v>0</v>
      </c>
      <c r="K64" s="13">
        <v>88936.55</v>
      </c>
      <c r="L64" s="13"/>
      <c r="M64" s="13"/>
      <c r="N64" s="13"/>
      <c r="O64" s="13"/>
      <c r="P64" s="21">
        <v>0</v>
      </c>
    </row>
    <row r="65" spans="1:16" hidden="1" x14ac:dyDescent="0.25">
      <c r="A65" s="19" t="s">
        <v>0</v>
      </c>
      <c r="B65" s="14"/>
      <c r="C65" s="14" t="s">
        <v>486</v>
      </c>
      <c r="D65" s="14"/>
      <c r="E65" s="13" t="s">
        <v>0</v>
      </c>
      <c r="F65" s="13" t="s">
        <v>0</v>
      </c>
      <c r="G65" s="13" t="s">
        <v>0</v>
      </c>
      <c r="H65" s="13">
        <f t="shared" si="4"/>
        <v>0</v>
      </c>
      <c r="I65" s="13" t="s">
        <v>0</v>
      </c>
      <c r="J65" s="13" t="s">
        <v>0</v>
      </c>
      <c r="K65" s="13"/>
      <c r="L65" s="13">
        <v>8894</v>
      </c>
      <c r="M65" s="13"/>
      <c r="N65" s="13"/>
      <c r="O65" s="13"/>
      <c r="P65" s="21">
        <v>0</v>
      </c>
    </row>
    <row r="66" spans="1:16" hidden="1" x14ac:dyDescent="0.25">
      <c r="A66" s="19" t="s">
        <v>0</v>
      </c>
      <c r="B66" s="14"/>
      <c r="C66" s="14" t="s">
        <v>487</v>
      </c>
      <c r="D66" s="14"/>
      <c r="E66" s="13" t="s">
        <v>0</v>
      </c>
      <c r="F66" s="13" t="s">
        <v>0</v>
      </c>
      <c r="G66" s="13" t="s">
        <v>0</v>
      </c>
      <c r="H66" s="13">
        <f t="shared" si="4"/>
        <v>0</v>
      </c>
      <c r="I66" s="13" t="s">
        <v>0</v>
      </c>
      <c r="J66" s="13" t="s">
        <v>0</v>
      </c>
      <c r="K66" s="13">
        <v>0.45</v>
      </c>
      <c r="L66" s="13"/>
      <c r="M66" s="13"/>
      <c r="N66" s="13"/>
      <c r="O66" s="13"/>
      <c r="P66" s="21">
        <v>0</v>
      </c>
    </row>
    <row r="67" spans="1:16" x14ac:dyDescent="0.25">
      <c r="A67" s="19"/>
      <c r="B67" s="14"/>
      <c r="C67" s="14" t="s">
        <v>488</v>
      </c>
      <c r="D67" s="38">
        <v>246779410365</v>
      </c>
      <c r="E67" s="13" t="s">
        <v>0</v>
      </c>
      <c r="F67" s="13">
        <v>80043</v>
      </c>
      <c r="G67" s="13" t="s">
        <v>489</v>
      </c>
      <c r="H67" s="13">
        <f t="shared" si="4"/>
        <v>8894</v>
      </c>
      <c r="I67" s="13"/>
      <c r="J67" s="13"/>
      <c r="K67" s="13"/>
      <c r="L67" s="13"/>
      <c r="M67" s="13"/>
      <c r="N67" s="13"/>
      <c r="O67" s="13"/>
      <c r="P67" s="21">
        <v>0</v>
      </c>
    </row>
    <row r="68" spans="1:16" hidden="1" x14ac:dyDescent="0.25">
      <c r="A68" s="19">
        <v>45719</v>
      </c>
      <c r="B68" s="14" t="s">
        <v>480</v>
      </c>
      <c r="C68" s="14" t="s">
        <v>481</v>
      </c>
      <c r="D68" s="14"/>
      <c r="E68" s="13" t="s">
        <v>0</v>
      </c>
      <c r="F68" s="13" t="s">
        <v>0</v>
      </c>
      <c r="G68" s="13" t="s">
        <v>0</v>
      </c>
      <c r="H68" s="13">
        <f t="shared" si="4"/>
        <v>0</v>
      </c>
      <c r="I68" s="13" t="s">
        <v>490</v>
      </c>
      <c r="J68" s="13"/>
      <c r="K68" s="13">
        <v>1704.9</v>
      </c>
      <c r="L68" s="13" t="s">
        <v>483</v>
      </c>
      <c r="M68" s="13" t="s">
        <v>509</v>
      </c>
      <c r="N68" s="13"/>
      <c r="O68" s="13">
        <v>148891</v>
      </c>
      <c r="P68" s="21">
        <v>16543</v>
      </c>
    </row>
    <row r="69" spans="1:16" hidden="1" x14ac:dyDescent="0.25">
      <c r="A69" s="19" t="s">
        <v>0</v>
      </c>
      <c r="B69" s="14"/>
      <c r="C69" s="14" t="s">
        <v>485</v>
      </c>
      <c r="D69" s="14"/>
      <c r="E69" s="13" t="s">
        <v>0</v>
      </c>
      <c r="F69" s="13" t="s">
        <v>0</v>
      </c>
      <c r="G69" s="13" t="s">
        <v>0</v>
      </c>
      <c r="H69" s="13">
        <f t="shared" si="4"/>
        <v>0</v>
      </c>
      <c r="I69" s="13" t="s">
        <v>0</v>
      </c>
      <c r="J69" s="13" t="s">
        <v>0</v>
      </c>
      <c r="K69" s="13">
        <v>165433.62</v>
      </c>
      <c r="L69" s="13"/>
      <c r="M69" s="13"/>
      <c r="N69" s="13"/>
      <c r="O69" s="13"/>
      <c r="P69" s="21">
        <v>0</v>
      </c>
    </row>
    <row r="70" spans="1:16" hidden="1" x14ac:dyDescent="0.25">
      <c r="A70" s="19" t="s">
        <v>0</v>
      </c>
      <c r="B70" s="14"/>
      <c r="C70" s="14" t="s">
        <v>486</v>
      </c>
      <c r="D70" s="14"/>
      <c r="E70" s="13" t="s">
        <v>0</v>
      </c>
      <c r="F70" s="13" t="s">
        <v>0</v>
      </c>
      <c r="G70" s="13" t="s">
        <v>0</v>
      </c>
      <c r="H70" s="13">
        <f t="shared" si="4"/>
        <v>0</v>
      </c>
      <c r="I70" s="13" t="s">
        <v>0</v>
      </c>
      <c r="J70" s="13" t="s">
        <v>0</v>
      </c>
      <c r="K70" s="13"/>
      <c r="L70" s="13">
        <v>16543</v>
      </c>
      <c r="M70" s="13"/>
      <c r="N70" s="13"/>
      <c r="O70" s="13"/>
      <c r="P70" s="21">
        <v>0</v>
      </c>
    </row>
    <row r="71" spans="1:16" hidden="1" x14ac:dyDescent="0.25">
      <c r="A71" s="19" t="s">
        <v>0</v>
      </c>
      <c r="B71" s="14"/>
      <c r="C71" s="14" t="s">
        <v>487</v>
      </c>
      <c r="D71" s="14"/>
      <c r="E71" s="13" t="s">
        <v>0</v>
      </c>
      <c r="F71" s="13" t="s">
        <v>0</v>
      </c>
      <c r="G71" s="13" t="s">
        <v>0</v>
      </c>
      <c r="H71" s="13">
        <f t="shared" si="4"/>
        <v>0</v>
      </c>
      <c r="I71" s="13" t="s">
        <v>0</v>
      </c>
      <c r="J71" s="13" t="s">
        <v>0</v>
      </c>
      <c r="K71" s="13">
        <v>0.38</v>
      </c>
      <c r="L71" s="13"/>
      <c r="M71" s="13"/>
      <c r="N71" s="13"/>
      <c r="O71" s="13"/>
      <c r="P71" s="21">
        <v>0</v>
      </c>
    </row>
    <row r="72" spans="1:16" x14ac:dyDescent="0.25">
      <c r="A72" s="19"/>
      <c r="B72" s="14"/>
      <c r="C72" s="14" t="s">
        <v>488</v>
      </c>
      <c r="D72" s="38">
        <v>246779410391</v>
      </c>
      <c r="E72" s="13" t="s">
        <v>0</v>
      </c>
      <c r="F72" s="13">
        <v>148891</v>
      </c>
      <c r="G72" s="13" t="s">
        <v>489</v>
      </c>
      <c r="H72" s="13">
        <f t="shared" ref="H72:H135" si="5">P68</f>
        <v>16543</v>
      </c>
      <c r="I72" s="13"/>
      <c r="J72" s="13"/>
      <c r="K72" s="13"/>
      <c r="L72" s="13"/>
      <c r="M72" s="13"/>
      <c r="N72" s="13"/>
      <c r="O72" s="13"/>
      <c r="P72" s="21">
        <v>0</v>
      </c>
    </row>
    <row r="73" spans="1:16" hidden="1" x14ac:dyDescent="0.25">
      <c r="A73" s="19">
        <v>45719</v>
      </c>
      <c r="B73" s="14" t="s">
        <v>480</v>
      </c>
      <c r="C73" s="14" t="s">
        <v>481</v>
      </c>
      <c r="D73" s="14"/>
      <c r="E73" s="13" t="s">
        <v>0</v>
      </c>
      <c r="F73" s="13" t="s">
        <v>0</v>
      </c>
      <c r="G73" s="13" t="s">
        <v>0</v>
      </c>
      <c r="H73" s="13">
        <f t="shared" si="5"/>
        <v>0</v>
      </c>
      <c r="I73" s="13" t="s">
        <v>492</v>
      </c>
      <c r="J73" s="13"/>
      <c r="K73" s="13">
        <v>1737.83</v>
      </c>
      <c r="L73" s="13" t="s">
        <v>483</v>
      </c>
      <c r="M73" s="13" t="s">
        <v>510</v>
      </c>
      <c r="N73" s="13"/>
      <c r="O73" s="13">
        <v>151767</v>
      </c>
      <c r="P73" s="21">
        <v>16863</v>
      </c>
    </row>
    <row r="74" spans="1:16" hidden="1" x14ac:dyDescent="0.25">
      <c r="A74" s="19" t="s">
        <v>0</v>
      </c>
      <c r="B74" s="14"/>
      <c r="C74" s="14" t="s">
        <v>485</v>
      </c>
      <c r="D74" s="14"/>
      <c r="E74" s="13" t="s">
        <v>0</v>
      </c>
      <c r="F74" s="13" t="s">
        <v>0</v>
      </c>
      <c r="G74" s="13" t="s">
        <v>0</v>
      </c>
      <c r="H74" s="13">
        <f t="shared" si="5"/>
        <v>0</v>
      </c>
      <c r="I74" s="13" t="s">
        <v>0</v>
      </c>
      <c r="J74" s="13" t="s">
        <v>0</v>
      </c>
      <c r="K74" s="13">
        <v>168629.95</v>
      </c>
      <c r="L74" s="13"/>
      <c r="M74" s="13"/>
      <c r="N74" s="13"/>
      <c r="O74" s="13"/>
      <c r="P74" s="21">
        <v>0</v>
      </c>
    </row>
    <row r="75" spans="1:16" hidden="1" x14ac:dyDescent="0.25">
      <c r="A75" s="19" t="s">
        <v>0</v>
      </c>
      <c r="B75" s="14"/>
      <c r="C75" s="14" t="s">
        <v>486</v>
      </c>
      <c r="D75" s="14"/>
      <c r="E75" s="13" t="s">
        <v>0</v>
      </c>
      <c r="F75" s="13" t="s">
        <v>0</v>
      </c>
      <c r="G75" s="13" t="s">
        <v>0</v>
      </c>
      <c r="H75" s="13">
        <f t="shared" si="5"/>
        <v>0</v>
      </c>
      <c r="I75" s="13" t="s">
        <v>0</v>
      </c>
      <c r="J75" s="13" t="s">
        <v>0</v>
      </c>
      <c r="K75" s="13"/>
      <c r="L75" s="13">
        <v>16863</v>
      </c>
      <c r="M75" s="13"/>
      <c r="N75" s="13"/>
      <c r="O75" s="13"/>
      <c r="P75" s="21">
        <v>0</v>
      </c>
    </row>
    <row r="76" spans="1:16" hidden="1" x14ac:dyDescent="0.25">
      <c r="A76" s="19" t="s">
        <v>0</v>
      </c>
      <c r="B76" s="14"/>
      <c r="C76" s="14" t="s">
        <v>487</v>
      </c>
      <c r="D76" s="14"/>
      <c r="E76" s="13" t="s">
        <v>0</v>
      </c>
      <c r="F76" s="13" t="s">
        <v>0</v>
      </c>
      <c r="G76" s="13" t="s">
        <v>0</v>
      </c>
      <c r="H76" s="13">
        <f t="shared" si="5"/>
        <v>0</v>
      </c>
      <c r="I76" s="13" t="s">
        <v>0</v>
      </c>
      <c r="J76" s="13" t="s">
        <v>0</v>
      </c>
      <c r="K76" s="13">
        <v>0.05</v>
      </c>
      <c r="L76" s="13"/>
      <c r="M76" s="13"/>
      <c r="N76" s="13"/>
      <c r="O76" s="13"/>
      <c r="P76" s="21">
        <v>0</v>
      </c>
    </row>
    <row r="77" spans="1:16" x14ac:dyDescent="0.25">
      <c r="A77" s="19"/>
      <c r="B77" s="14"/>
      <c r="C77" s="14" t="s">
        <v>488</v>
      </c>
      <c r="D77" s="38">
        <v>246779410415</v>
      </c>
      <c r="E77" s="13" t="s">
        <v>0</v>
      </c>
      <c r="F77" s="13">
        <v>151767</v>
      </c>
      <c r="G77" s="13" t="s">
        <v>489</v>
      </c>
      <c r="H77" s="13">
        <f t="shared" si="5"/>
        <v>16863</v>
      </c>
      <c r="I77" s="13"/>
      <c r="J77" s="13"/>
      <c r="K77" s="13"/>
      <c r="L77" s="13"/>
      <c r="M77" s="13"/>
      <c r="N77" s="13"/>
      <c r="O77" s="13"/>
      <c r="P77" s="21">
        <v>0</v>
      </c>
    </row>
    <row r="78" spans="1:16" hidden="1" x14ac:dyDescent="0.25">
      <c r="A78" s="19">
        <v>45722</v>
      </c>
      <c r="B78" s="14" t="s">
        <v>480</v>
      </c>
      <c r="C78" s="14" t="s">
        <v>481</v>
      </c>
      <c r="D78" s="14"/>
      <c r="E78" s="13" t="s">
        <v>0</v>
      </c>
      <c r="F78" s="13" t="s">
        <v>0</v>
      </c>
      <c r="G78" s="13" t="s">
        <v>0</v>
      </c>
      <c r="H78" s="13">
        <f t="shared" si="5"/>
        <v>0</v>
      </c>
      <c r="I78" s="13" t="s">
        <v>494</v>
      </c>
      <c r="J78" s="13"/>
      <c r="K78" s="13">
        <v>2075.86</v>
      </c>
      <c r="L78" s="13" t="s">
        <v>483</v>
      </c>
      <c r="M78" s="13" t="s">
        <v>511</v>
      </c>
      <c r="N78" s="13"/>
      <c r="O78" s="13">
        <v>180778</v>
      </c>
      <c r="P78" s="21">
        <v>20087</v>
      </c>
    </row>
    <row r="79" spans="1:16" hidden="1" x14ac:dyDescent="0.25">
      <c r="A79" s="19" t="s">
        <v>0</v>
      </c>
      <c r="B79" s="14"/>
      <c r="C79" s="14" t="s">
        <v>485</v>
      </c>
      <c r="D79" s="14"/>
      <c r="E79" s="13" t="s">
        <v>0</v>
      </c>
      <c r="F79" s="13" t="s">
        <v>0</v>
      </c>
      <c r="G79" s="13" t="s">
        <v>0</v>
      </c>
      <c r="H79" s="13">
        <f t="shared" si="5"/>
        <v>0</v>
      </c>
      <c r="I79" s="13" t="s">
        <v>0</v>
      </c>
      <c r="J79" s="13" t="s">
        <v>0</v>
      </c>
      <c r="K79" s="13">
        <v>200865.37</v>
      </c>
      <c r="L79" s="13"/>
      <c r="M79" s="13"/>
      <c r="N79" s="13"/>
      <c r="O79" s="13"/>
      <c r="P79" s="21">
        <v>0</v>
      </c>
    </row>
    <row r="80" spans="1:16" hidden="1" x14ac:dyDescent="0.25">
      <c r="A80" s="19" t="s">
        <v>0</v>
      </c>
      <c r="B80" s="14"/>
      <c r="C80" s="14" t="s">
        <v>486</v>
      </c>
      <c r="D80" s="14"/>
      <c r="E80" s="13" t="s">
        <v>0</v>
      </c>
      <c r="F80" s="13" t="s">
        <v>0</v>
      </c>
      <c r="G80" s="13" t="s">
        <v>0</v>
      </c>
      <c r="H80" s="13">
        <f t="shared" si="5"/>
        <v>0</v>
      </c>
      <c r="I80" s="13" t="s">
        <v>0</v>
      </c>
      <c r="J80" s="13" t="s">
        <v>0</v>
      </c>
      <c r="K80" s="13"/>
      <c r="L80" s="13">
        <v>20087</v>
      </c>
      <c r="M80" s="13"/>
      <c r="N80" s="13"/>
      <c r="O80" s="13"/>
      <c r="P80" s="21">
        <v>0</v>
      </c>
    </row>
    <row r="81" spans="1:16" hidden="1" x14ac:dyDescent="0.25">
      <c r="A81" s="19" t="s">
        <v>0</v>
      </c>
      <c r="B81" s="14"/>
      <c r="C81" s="14" t="s">
        <v>487</v>
      </c>
      <c r="D81" s="14"/>
      <c r="E81" s="13" t="s">
        <v>0</v>
      </c>
      <c r="F81" s="13" t="s">
        <v>0</v>
      </c>
      <c r="G81" s="13" t="s">
        <v>0</v>
      </c>
      <c r="H81" s="13">
        <f t="shared" si="5"/>
        <v>0</v>
      </c>
      <c r="I81" s="13" t="s">
        <v>0</v>
      </c>
      <c r="J81" s="13" t="s">
        <v>0</v>
      </c>
      <c r="K81" s="13"/>
      <c r="L81" s="13">
        <v>0.37</v>
      </c>
      <c r="M81" s="13"/>
      <c r="N81" s="13"/>
      <c r="O81" s="13"/>
      <c r="P81" s="21">
        <v>0</v>
      </c>
    </row>
    <row r="82" spans="1:16" x14ac:dyDescent="0.25">
      <c r="A82" s="19"/>
      <c r="B82" s="14"/>
      <c r="C82" s="14" t="s">
        <v>488</v>
      </c>
      <c r="D82" s="38">
        <v>246779410862</v>
      </c>
      <c r="E82" s="13" t="s">
        <v>0</v>
      </c>
      <c r="F82" s="13">
        <v>180778</v>
      </c>
      <c r="G82" s="13" t="s">
        <v>489</v>
      </c>
      <c r="H82" s="13">
        <f t="shared" si="5"/>
        <v>20087</v>
      </c>
      <c r="I82" s="13"/>
      <c r="J82" s="13"/>
      <c r="K82" s="13"/>
      <c r="L82" s="13"/>
      <c r="M82" s="13"/>
      <c r="N82" s="13"/>
      <c r="O82" s="13"/>
      <c r="P82" s="21">
        <v>0</v>
      </c>
    </row>
    <row r="83" spans="1:16" hidden="1" x14ac:dyDescent="0.25">
      <c r="A83" s="19">
        <v>45722</v>
      </c>
      <c r="B83" s="14" t="s">
        <v>480</v>
      </c>
      <c r="C83" s="14" t="s">
        <v>481</v>
      </c>
      <c r="D83" s="14"/>
      <c r="E83" s="13" t="s">
        <v>0</v>
      </c>
      <c r="F83" s="13" t="s">
        <v>0</v>
      </c>
      <c r="G83" s="13" t="s">
        <v>0</v>
      </c>
      <c r="H83" s="13">
        <f t="shared" si="5"/>
        <v>0</v>
      </c>
      <c r="I83" s="13" t="s">
        <v>496</v>
      </c>
      <c r="J83" s="13"/>
      <c r="K83" s="13">
        <v>2151.52</v>
      </c>
      <c r="L83" s="13" t="s">
        <v>483</v>
      </c>
      <c r="M83" s="13" t="s">
        <v>512</v>
      </c>
      <c r="N83" s="13"/>
      <c r="O83" s="13">
        <v>187367</v>
      </c>
      <c r="P83" s="21">
        <v>20819</v>
      </c>
    </row>
    <row r="84" spans="1:16" hidden="1" x14ac:dyDescent="0.25">
      <c r="A84" s="19" t="s">
        <v>0</v>
      </c>
      <c r="B84" s="14"/>
      <c r="C84" s="14" t="s">
        <v>485</v>
      </c>
      <c r="D84" s="14"/>
      <c r="E84" s="13" t="s">
        <v>0</v>
      </c>
      <c r="F84" s="13" t="s">
        <v>0</v>
      </c>
      <c r="G84" s="13" t="s">
        <v>0</v>
      </c>
      <c r="H84" s="13">
        <f t="shared" si="5"/>
        <v>0</v>
      </c>
      <c r="I84" s="13" t="s">
        <v>0</v>
      </c>
      <c r="J84" s="13" t="s">
        <v>0</v>
      </c>
      <c r="K84" s="13">
        <v>208185.81</v>
      </c>
      <c r="L84" s="13"/>
      <c r="M84" s="13"/>
      <c r="N84" s="13"/>
      <c r="O84" s="13"/>
      <c r="P84" s="21">
        <v>0</v>
      </c>
    </row>
    <row r="85" spans="1:16" hidden="1" x14ac:dyDescent="0.25">
      <c r="A85" s="19" t="s">
        <v>0</v>
      </c>
      <c r="B85" s="14"/>
      <c r="C85" s="14" t="s">
        <v>486</v>
      </c>
      <c r="D85" s="14"/>
      <c r="E85" s="13" t="s">
        <v>0</v>
      </c>
      <c r="F85" s="13" t="s">
        <v>0</v>
      </c>
      <c r="G85" s="13" t="s">
        <v>0</v>
      </c>
      <c r="H85" s="13">
        <f t="shared" si="5"/>
        <v>0</v>
      </c>
      <c r="I85" s="13" t="s">
        <v>0</v>
      </c>
      <c r="J85" s="13" t="s">
        <v>0</v>
      </c>
      <c r="K85" s="13"/>
      <c r="L85" s="13">
        <v>20819</v>
      </c>
      <c r="M85" s="13"/>
      <c r="N85" s="13"/>
      <c r="O85" s="13"/>
      <c r="P85" s="21">
        <v>0</v>
      </c>
    </row>
    <row r="86" spans="1:16" hidden="1" x14ac:dyDescent="0.25">
      <c r="A86" s="19" t="s">
        <v>0</v>
      </c>
      <c r="B86" s="14"/>
      <c r="C86" s="14" t="s">
        <v>487</v>
      </c>
      <c r="D86" s="14"/>
      <c r="E86" s="13" t="s">
        <v>0</v>
      </c>
      <c r="F86" s="13" t="s">
        <v>0</v>
      </c>
      <c r="G86" s="13" t="s">
        <v>0</v>
      </c>
      <c r="H86" s="13">
        <f t="shared" si="5"/>
        <v>0</v>
      </c>
      <c r="I86" s="13" t="s">
        <v>0</v>
      </c>
      <c r="J86" s="13" t="s">
        <v>0</v>
      </c>
      <c r="K86" s="13">
        <v>0.19</v>
      </c>
      <c r="L86" s="13"/>
      <c r="M86" s="13"/>
      <c r="N86" s="13"/>
      <c r="O86" s="13"/>
      <c r="P86" s="21">
        <v>0</v>
      </c>
    </row>
    <row r="87" spans="1:16" x14ac:dyDescent="0.25">
      <c r="A87" s="19"/>
      <c r="B87" s="14"/>
      <c r="C87" s="14" t="s">
        <v>488</v>
      </c>
      <c r="D87" s="38">
        <v>246779410885</v>
      </c>
      <c r="E87" s="13" t="s">
        <v>0</v>
      </c>
      <c r="F87" s="13">
        <v>187367</v>
      </c>
      <c r="G87" s="13" t="s">
        <v>489</v>
      </c>
      <c r="H87" s="13">
        <f t="shared" si="5"/>
        <v>20819</v>
      </c>
      <c r="I87" s="13"/>
      <c r="J87" s="13"/>
      <c r="K87" s="13"/>
      <c r="L87" s="13"/>
      <c r="M87" s="13"/>
      <c r="N87" s="13"/>
      <c r="O87" s="13"/>
      <c r="P87" s="21">
        <v>0</v>
      </c>
    </row>
    <row r="88" spans="1:16" hidden="1" x14ac:dyDescent="0.25">
      <c r="A88" s="19">
        <v>45735</v>
      </c>
      <c r="B88" s="14" t="s">
        <v>480</v>
      </c>
      <c r="C88" s="14" t="s">
        <v>481</v>
      </c>
      <c r="D88" s="14"/>
      <c r="E88" s="13" t="s">
        <v>0</v>
      </c>
      <c r="F88" s="13" t="s">
        <v>0</v>
      </c>
      <c r="G88" s="13" t="s">
        <v>0</v>
      </c>
      <c r="H88" s="13">
        <f t="shared" si="5"/>
        <v>0</v>
      </c>
      <c r="I88" s="13" t="s">
        <v>513</v>
      </c>
      <c r="J88" s="13"/>
      <c r="K88" s="13">
        <v>167.47</v>
      </c>
      <c r="L88" s="13" t="s">
        <v>483</v>
      </c>
      <c r="M88" s="13" t="s">
        <v>514</v>
      </c>
      <c r="N88" s="13"/>
      <c r="O88" s="13">
        <v>14486</v>
      </c>
      <c r="P88" s="21">
        <v>1610</v>
      </c>
    </row>
    <row r="89" spans="1:16" hidden="1" x14ac:dyDescent="0.25">
      <c r="A89" s="19" t="s">
        <v>0</v>
      </c>
      <c r="B89" s="14"/>
      <c r="C89" s="14" t="s">
        <v>485</v>
      </c>
      <c r="D89" s="14"/>
      <c r="E89" s="13" t="s">
        <v>0</v>
      </c>
      <c r="F89" s="13" t="s">
        <v>0</v>
      </c>
      <c r="G89" s="13" t="s">
        <v>0</v>
      </c>
      <c r="H89" s="13">
        <f t="shared" si="5"/>
        <v>0</v>
      </c>
      <c r="I89" s="13" t="s">
        <v>0</v>
      </c>
      <c r="J89" s="13" t="s">
        <v>0</v>
      </c>
      <c r="K89" s="13">
        <v>16096.22</v>
      </c>
      <c r="L89" s="13"/>
      <c r="M89" s="13"/>
      <c r="N89" s="13"/>
      <c r="O89" s="13"/>
      <c r="P89" s="21">
        <v>0</v>
      </c>
    </row>
    <row r="90" spans="1:16" hidden="1" x14ac:dyDescent="0.25">
      <c r="A90" s="19" t="s">
        <v>0</v>
      </c>
      <c r="B90" s="14"/>
      <c r="C90" s="14" t="s">
        <v>486</v>
      </c>
      <c r="D90" s="14"/>
      <c r="E90" s="13" t="s">
        <v>0</v>
      </c>
      <c r="F90" s="13" t="s">
        <v>0</v>
      </c>
      <c r="G90" s="13" t="s">
        <v>0</v>
      </c>
      <c r="H90" s="13">
        <f t="shared" si="5"/>
        <v>0</v>
      </c>
      <c r="I90" s="13" t="s">
        <v>0</v>
      </c>
      <c r="J90" s="13" t="s">
        <v>0</v>
      </c>
      <c r="K90" s="13"/>
      <c r="L90" s="13">
        <v>1610</v>
      </c>
      <c r="M90" s="13"/>
      <c r="N90" s="13"/>
      <c r="O90" s="13"/>
      <c r="P90" s="21">
        <v>0</v>
      </c>
    </row>
    <row r="91" spans="1:16" hidden="1" x14ac:dyDescent="0.25">
      <c r="A91" s="19" t="s">
        <v>0</v>
      </c>
      <c r="B91" s="14"/>
      <c r="C91" s="14" t="s">
        <v>487</v>
      </c>
      <c r="D91" s="14"/>
      <c r="E91" s="13" t="s">
        <v>0</v>
      </c>
      <c r="F91" s="13" t="s">
        <v>0</v>
      </c>
      <c r="G91" s="13" t="s">
        <v>0</v>
      </c>
      <c r="H91" s="13">
        <f t="shared" si="5"/>
        <v>0</v>
      </c>
      <c r="I91" s="13" t="s">
        <v>0</v>
      </c>
      <c r="J91" s="13" t="s">
        <v>0</v>
      </c>
      <c r="K91" s="13"/>
      <c r="L91" s="13">
        <v>0.22</v>
      </c>
      <c r="M91" s="13"/>
      <c r="N91" s="13"/>
      <c r="O91" s="13"/>
      <c r="P91" s="21">
        <v>0</v>
      </c>
    </row>
    <row r="92" spans="1:16" x14ac:dyDescent="0.25">
      <c r="A92" s="19"/>
      <c r="B92" s="14"/>
      <c r="C92" s="14" t="s">
        <v>488</v>
      </c>
      <c r="D92" s="38">
        <v>246779412999</v>
      </c>
      <c r="E92" s="13" t="s">
        <v>0</v>
      </c>
      <c r="F92" s="13">
        <v>14486</v>
      </c>
      <c r="G92" s="13" t="s">
        <v>489</v>
      </c>
      <c r="H92" s="13">
        <f t="shared" si="5"/>
        <v>1610</v>
      </c>
      <c r="I92" s="13"/>
      <c r="J92" s="13"/>
      <c r="K92" s="13"/>
      <c r="L92" s="13"/>
      <c r="M92" s="13"/>
      <c r="N92" s="13"/>
      <c r="O92" s="13"/>
      <c r="P92" s="21">
        <v>0</v>
      </c>
    </row>
    <row r="93" spans="1:16" hidden="1" x14ac:dyDescent="0.25">
      <c r="A93" s="19">
        <v>45736</v>
      </c>
      <c r="B93" s="14" t="s">
        <v>480</v>
      </c>
      <c r="C93" s="14" t="s">
        <v>481</v>
      </c>
      <c r="D93" s="14"/>
      <c r="E93" s="13" t="s">
        <v>0</v>
      </c>
      <c r="F93" s="13" t="s">
        <v>0</v>
      </c>
      <c r="G93" s="13" t="s">
        <v>0</v>
      </c>
      <c r="H93" s="13">
        <f t="shared" si="5"/>
        <v>0</v>
      </c>
      <c r="I93" s="13" t="s">
        <v>498</v>
      </c>
      <c r="J93" s="13"/>
      <c r="K93" s="13">
        <v>418.5</v>
      </c>
      <c r="L93" s="13" t="s">
        <v>483</v>
      </c>
      <c r="M93" s="13" t="s">
        <v>515</v>
      </c>
      <c r="N93" s="13"/>
      <c r="O93" s="13">
        <v>36118</v>
      </c>
      <c r="P93" s="21">
        <v>4013</v>
      </c>
    </row>
    <row r="94" spans="1:16" hidden="1" x14ac:dyDescent="0.25">
      <c r="A94" s="19" t="s">
        <v>0</v>
      </c>
      <c r="B94" s="14"/>
      <c r="C94" s="14" t="s">
        <v>503</v>
      </c>
      <c r="D94" s="14"/>
      <c r="E94" s="13" t="s">
        <v>0</v>
      </c>
      <c r="F94" s="13" t="s">
        <v>0</v>
      </c>
      <c r="G94" s="13" t="s">
        <v>0</v>
      </c>
      <c r="H94" s="13">
        <f t="shared" si="5"/>
        <v>0</v>
      </c>
      <c r="I94" s="13" t="s">
        <v>0</v>
      </c>
      <c r="J94" s="13" t="s">
        <v>0</v>
      </c>
      <c r="K94" s="13">
        <v>40131.360000000001</v>
      </c>
      <c r="L94" s="13"/>
      <c r="M94" s="13"/>
      <c r="N94" s="13"/>
      <c r="O94" s="13"/>
      <c r="P94" s="21">
        <v>0</v>
      </c>
    </row>
    <row r="95" spans="1:16" hidden="1" x14ac:dyDescent="0.25">
      <c r="A95" s="19" t="s">
        <v>0</v>
      </c>
      <c r="B95" s="14"/>
      <c r="C95" s="14" t="s">
        <v>486</v>
      </c>
      <c r="D95" s="14"/>
      <c r="E95" s="13" t="s">
        <v>0</v>
      </c>
      <c r="F95" s="13" t="s">
        <v>0</v>
      </c>
      <c r="G95" s="13" t="s">
        <v>0</v>
      </c>
      <c r="H95" s="13">
        <f t="shared" si="5"/>
        <v>0</v>
      </c>
      <c r="I95" s="13" t="s">
        <v>0</v>
      </c>
      <c r="J95" s="13" t="s">
        <v>0</v>
      </c>
      <c r="K95" s="13"/>
      <c r="L95" s="13">
        <v>4013</v>
      </c>
      <c r="M95" s="13"/>
      <c r="N95" s="13"/>
      <c r="O95" s="13"/>
      <c r="P95" s="21">
        <v>0</v>
      </c>
    </row>
    <row r="96" spans="1:16" hidden="1" x14ac:dyDescent="0.25">
      <c r="A96" s="19" t="s">
        <v>0</v>
      </c>
      <c r="B96" s="14"/>
      <c r="C96" s="14" t="s">
        <v>487</v>
      </c>
      <c r="D96" s="14"/>
      <c r="E96" s="13" t="s">
        <v>0</v>
      </c>
      <c r="F96" s="13" t="s">
        <v>0</v>
      </c>
      <c r="G96" s="13" t="s">
        <v>0</v>
      </c>
      <c r="H96" s="13">
        <f t="shared" si="5"/>
        <v>0</v>
      </c>
      <c r="I96" s="13" t="s">
        <v>0</v>
      </c>
      <c r="J96" s="13" t="s">
        <v>0</v>
      </c>
      <c r="K96" s="13"/>
      <c r="L96" s="13">
        <v>0.36</v>
      </c>
      <c r="M96" s="13"/>
      <c r="N96" s="13"/>
      <c r="O96" s="13"/>
      <c r="P96" s="21">
        <v>0</v>
      </c>
    </row>
    <row r="97" spans="1:16" x14ac:dyDescent="0.25">
      <c r="A97" s="19"/>
      <c r="B97" s="14"/>
      <c r="C97" s="14" t="s">
        <v>488</v>
      </c>
      <c r="D97" s="38">
        <v>246779413798</v>
      </c>
      <c r="E97" s="13" t="s">
        <v>0</v>
      </c>
      <c r="F97" s="13">
        <v>36118</v>
      </c>
      <c r="G97" s="13" t="s">
        <v>489</v>
      </c>
      <c r="H97" s="13">
        <f t="shared" si="5"/>
        <v>4013</v>
      </c>
      <c r="I97" s="13"/>
      <c r="J97" s="13"/>
      <c r="K97" s="13"/>
      <c r="L97" s="13"/>
      <c r="M97" s="13"/>
      <c r="N97" s="13"/>
      <c r="O97" s="13"/>
      <c r="P97" s="21">
        <v>0</v>
      </c>
    </row>
    <row r="98" spans="1:16" hidden="1" x14ac:dyDescent="0.25">
      <c r="A98" s="19">
        <v>45736</v>
      </c>
      <c r="B98" s="14" t="s">
        <v>480</v>
      </c>
      <c r="C98" s="14" t="s">
        <v>481</v>
      </c>
      <c r="D98" s="14"/>
      <c r="E98" s="13" t="s">
        <v>0</v>
      </c>
      <c r="F98" s="13" t="s">
        <v>0</v>
      </c>
      <c r="G98" s="13" t="s">
        <v>0</v>
      </c>
      <c r="H98" s="13">
        <f t="shared" si="5"/>
        <v>0</v>
      </c>
      <c r="I98" s="13" t="s">
        <v>500</v>
      </c>
      <c r="J98" s="13"/>
      <c r="K98" s="13">
        <v>378</v>
      </c>
      <c r="L98" s="13" t="s">
        <v>483</v>
      </c>
      <c r="M98" s="13" t="s">
        <v>516</v>
      </c>
      <c r="N98" s="13"/>
      <c r="O98" s="13">
        <v>32623</v>
      </c>
      <c r="P98" s="21">
        <v>3625</v>
      </c>
    </row>
    <row r="99" spans="1:16" hidden="1" x14ac:dyDescent="0.25">
      <c r="A99" s="19" t="s">
        <v>0</v>
      </c>
      <c r="B99" s="14"/>
      <c r="C99" s="14" t="s">
        <v>503</v>
      </c>
      <c r="D99" s="14"/>
      <c r="E99" s="13" t="s">
        <v>0</v>
      </c>
      <c r="F99" s="13" t="s">
        <v>0</v>
      </c>
      <c r="G99" s="13" t="s">
        <v>0</v>
      </c>
      <c r="H99" s="13">
        <f t="shared" si="5"/>
        <v>0</v>
      </c>
      <c r="I99" s="13" t="s">
        <v>0</v>
      </c>
      <c r="J99" s="13" t="s">
        <v>0</v>
      </c>
      <c r="K99" s="13">
        <v>36247.68</v>
      </c>
      <c r="L99" s="13"/>
      <c r="M99" s="13"/>
      <c r="N99" s="13"/>
      <c r="O99" s="13"/>
      <c r="P99" s="21">
        <v>0</v>
      </c>
    </row>
    <row r="100" spans="1:16" hidden="1" x14ac:dyDescent="0.25">
      <c r="A100" s="19" t="s">
        <v>0</v>
      </c>
      <c r="B100" s="14"/>
      <c r="C100" s="14" t="s">
        <v>486</v>
      </c>
      <c r="D100" s="14"/>
      <c r="E100" s="13" t="s">
        <v>0</v>
      </c>
      <c r="F100" s="13" t="s">
        <v>0</v>
      </c>
      <c r="G100" s="13" t="s">
        <v>0</v>
      </c>
      <c r="H100" s="13">
        <f t="shared" si="5"/>
        <v>0</v>
      </c>
      <c r="I100" s="13" t="s">
        <v>0</v>
      </c>
      <c r="J100" s="13" t="s">
        <v>0</v>
      </c>
      <c r="K100" s="13"/>
      <c r="L100" s="13">
        <v>3625</v>
      </c>
      <c r="M100" s="13"/>
      <c r="N100" s="13"/>
      <c r="O100" s="13"/>
      <c r="P100" s="21">
        <v>0</v>
      </c>
    </row>
    <row r="101" spans="1:16" hidden="1" x14ac:dyDescent="0.25">
      <c r="A101" s="19" t="s">
        <v>0</v>
      </c>
      <c r="B101" s="14"/>
      <c r="C101" s="14" t="s">
        <v>487</v>
      </c>
      <c r="D101" s="14"/>
      <c r="E101" s="13" t="s">
        <v>0</v>
      </c>
      <c r="F101" s="13" t="s">
        <v>0</v>
      </c>
      <c r="G101" s="13" t="s">
        <v>0</v>
      </c>
      <c r="H101" s="13">
        <f t="shared" si="5"/>
        <v>0</v>
      </c>
      <c r="I101" s="13" t="s">
        <v>0</v>
      </c>
      <c r="J101" s="13" t="s">
        <v>0</v>
      </c>
      <c r="K101" s="13">
        <v>0.32</v>
      </c>
      <c r="L101" s="13"/>
      <c r="M101" s="13"/>
      <c r="N101" s="13"/>
      <c r="O101" s="13"/>
      <c r="P101" s="21">
        <v>0</v>
      </c>
    </row>
    <row r="102" spans="1:16" x14ac:dyDescent="0.25">
      <c r="A102" s="19"/>
      <c r="B102" s="14"/>
      <c r="C102" s="14" t="s">
        <v>488</v>
      </c>
      <c r="D102" s="38">
        <v>246779413809</v>
      </c>
      <c r="E102" s="13" t="s">
        <v>0</v>
      </c>
      <c r="F102" s="13">
        <v>32623</v>
      </c>
      <c r="G102" s="13" t="s">
        <v>489</v>
      </c>
      <c r="H102" s="13">
        <f t="shared" si="5"/>
        <v>3625</v>
      </c>
      <c r="I102" s="13"/>
      <c r="J102" s="13"/>
      <c r="K102" s="13"/>
      <c r="L102" s="13"/>
      <c r="M102" s="13"/>
      <c r="N102" s="13"/>
      <c r="O102" s="13"/>
      <c r="P102" s="21">
        <v>0</v>
      </c>
    </row>
    <row r="103" spans="1:16" hidden="1" x14ac:dyDescent="0.25">
      <c r="A103" s="19">
        <v>45776</v>
      </c>
      <c r="B103" s="14" t="s">
        <v>489</v>
      </c>
      <c r="C103" s="14" t="s">
        <v>517</v>
      </c>
      <c r="D103" s="14"/>
      <c r="E103" s="13" t="s">
        <v>0</v>
      </c>
      <c r="F103" s="13" t="s">
        <v>0</v>
      </c>
      <c r="G103" s="13" t="s">
        <v>0</v>
      </c>
      <c r="H103" s="13">
        <f t="shared" si="5"/>
        <v>0</v>
      </c>
      <c r="I103" s="13" t="s">
        <v>518</v>
      </c>
      <c r="J103" s="13"/>
      <c r="K103" s="13"/>
      <c r="L103" s="13" t="s">
        <v>519</v>
      </c>
      <c r="M103" s="13" t="s">
        <v>520</v>
      </c>
      <c r="N103" s="13">
        <v>257391</v>
      </c>
      <c r="O103" s="13"/>
      <c r="P103" s="21">
        <v>0</v>
      </c>
    </row>
    <row r="104" spans="1:16" hidden="1" x14ac:dyDescent="0.25">
      <c r="A104" s="19"/>
      <c r="B104" s="14"/>
      <c r="C104" s="14" t="s">
        <v>521</v>
      </c>
      <c r="D104" s="38">
        <v>246779410018</v>
      </c>
      <c r="E104" s="13" t="s">
        <v>0</v>
      </c>
      <c r="F104" s="13">
        <v>140899</v>
      </c>
      <c r="G104" s="13" t="s">
        <v>480</v>
      </c>
      <c r="H104" s="13">
        <f t="shared" si="5"/>
        <v>0</v>
      </c>
      <c r="I104" s="13"/>
      <c r="J104" s="13"/>
      <c r="K104" s="13"/>
      <c r="L104" s="13"/>
      <c r="M104" s="13"/>
      <c r="N104" s="13"/>
      <c r="O104" s="13"/>
      <c r="P104" s="21">
        <v>0</v>
      </c>
    </row>
    <row r="105" spans="1:16" hidden="1" x14ac:dyDescent="0.25">
      <c r="A105" s="19"/>
      <c r="B105" s="14"/>
      <c r="C105" s="14" t="s">
        <v>521</v>
      </c>
      <c r="D105" s="38">
        <v>246779410321</v>
      </c>
      <c r="E105" s="13" t="s">
        <v>0</v>
      </c>
      <c r="F105" s="13">
        <v>36410</v>
      </c>
      <c r="G105" s="13" t="s">
        <v>480</v>
      </c>
      <c r="H105" s="13">
        <f t="shared" si="5"/>
        <v>0</v>
      </c>
      <c r="I105" s="13"/>
      <c r="J105" s="13"/>
      <c r="K105" s="13"/>
      <c r="L105" s="13"/>
      <c r="M105" s="13"/>
      <c r="N105" s="13"/>
      <c r="O105" s="13"/>
      <c r="P105" s="21">
        <v>0</v>
      </c>
    </row>
    <row r="106" spans="1:16" hidden="1" x14ac:dyDescent="0.25">
      <c r="A106" s="19"/>
      <c r="B106" s="14"/>
      <c r="C106" s="14" t="s">
        <v>521</v>
      </c>
      <c r="D106" s="38">
        <v>246779410365</v>
      </c>
      <c r="E106" s="13" t="s">
        <v>0</v>
      </c>
      <c r="F106" s="13">
        <v>80043</v>
      </c>
      <c r="G106" s="13" t="s">
        <v>480</v>
      </c>
      <c r="H106" s="13">
        <f t="shared" si="5"/>
        <v>0</v>
      </c>
      <c r="I106" s="13"/>
      <c r="J106" s="13"/>
      <c r="K106" s="13"/>
      <c r="L106" s="13"/>
      <c r="M106" s="13"/>
      <c r="N106" s="13"/>
      <c r="O106" s="13"/>
      <c r="P106" s="21">
        <v>0</v>
      </c>
    </row>
    <row r="107" spans="1:16" hidden="1" x14ac:dyDescent="0.25">
      <c r="A107" s="19"/>
      <c r="B107" s="14"/>
      <c r="C107" s="14" t="s">
        <v>521</v>
      </c>
      <c r="D107" s="38">
        <v>246779410038</v>
      </c>
      <c r="E107" s="13" t="s">
        <v>0</v>
      </c>
      <c r="F107" s="13">
        <v>39</v>
      </c>
      <c r="G107" s="13" t="s">
        <v>480</v>
      </c>
      <c r="H107" s="13">
        <f t="shared" si="5"/>
        <v>0</v>
      </c>
      <c r="I107" s="13"/>
      <c r="J107" s="13"/>
      <c r="K107" s="13"/>
      <c r="L107" s="13"/>
      <c r="M107" s="13"/>
      <c r="N107" s="13"/>
      <c r="O107" s="13"/>
      <c r="P107" s="21">
        <v>0</v>
      </c>
    </row>
    <row r="108" spans="1:16" hidden="1" x14ac:dyDescent="0.25">
      <c r="A108" s="19">
        <v>45803</v>
      </c>
      <c r="B108" s="14" t="s">
        <v>489</v>
      </c>
      <c r="C108" s="14" t="s">
        <v>517</v>
      </c>
      <c r="D108" s="14"/>
      <c r="E108" s="13" t="s">
        <v>0</v>
      </c>
      <c r="F108" s="13" t="s">
        <v>0</v>
      </c>
      <c r="G108" s="13" t="s">
        <v>0</v>
      </c>
      <c r="H108" s="13">
        <f t="shared" si="5"/>
        <v>0</v>
      </c>
      <c r="I108" s="13" t="s">
        <v>518</v>
      </c>
      <c r="J108" s="13"/>
      <c r="K108" s="13"/>
      <c r="L108" s="13" t="s">
        <v>519</v>
      </c>
      <c r="M108" s="13" t="s">
        <v>522</v>
      </c>
      <c r="N108" s="13">
        <v>324702</v>
      </c>
      <c r="O108" s="13"/>
      <c r="P108" s="21">
        <v>0</v>
      </c>
    </row>
    <row r="109" spans="1:16" hidden="1" x14ac:dyDescent="0.25">
      <c r="A109" s="19"/>
      <c r="B109" s="14"/>
      <c r="C109" s="14" t="s">
        <v>521</v>
      </c>
      <c r="D109" s="38">
        <v>246779410038</v>
      </c>
      <c r="E109" s="13" t="s">
        <v>0</v>
      </c>
      <c r="F109" s="13">
        <v>140414</v>
      </c>
      <c r="G109" s="13" t="s">
        <v>480</v>
      </c>
      <c r="H109" s="13">
        <f t="shared" si="5"/>
        <v>0</v>
      </c>
      <c r="I109" s="13"/>
      <c r="J109" s="13"/>
      <c r="K109" s="13"/>
      <c r="L109" s="13"/>
      <c r="M109" s="13"/>
      <c r="N109" s="13"/>
      <c r="O109" s="13"/>
      <c r="P109" s="21">
        <v>0</v>
      </c>
    </row>
    <row r="110" spans="1:16" hidden="1" x14ac:dyDescent="0.25">
      <c r="A110" s="19"/>
      <c r="B110" s="14"/>
      <c r="C110" s="14" t="s">
        <v>521</v>
      </c>
      <c r="D110" s="38">
        <v>246779410341</v>
      </c>
      <c r="E110" s="13" t="s">
        <v>0</v>
      </c>
      <c r="F110" s="13">
        <v>35397</v>
      </c>
      <c r="G110" s="13" t="s">
        <v>480</v>
      </c>
      <c r="H110" s="13">
        <f t="shared" si="5"/>
        <v>0</v>
      </c>
      <c r="I110" s="13"/>
      <c r="J110" s="13"/>
      <c r="K110" s="13"/>
      <c r="L110" s="13"/>
      <c r="M110" s="13"/>
      <c r="N110" s="13"/>
      <c r="O110" s="13"/>
      <c r="P110" s="21">
        <v>0</v>
      </c>
    </row>
    <row r="111" spans="1:16" hidden="1" x14ac:dyDescent="0.25">
      <c r="A111" s="19"/>
      <c r="B111" s="14"/>
      <c r="C111" s="14" t="s">
        <v>521</v>
      </c>
      <c r="D111" s="38">
        <v>246779410391</v>
      </c>
      <c r="E111" s="13" t="s">
        <v>0</v>
      </c>
      <c r="F111" s="13">
        <v>148891</v>
      </c>
      <c r="G111" s="13" t="s">
        <v>480</v>
      </c>
      <c r="H111" s="13">
        <f t="shared" si="5"/>
        <v>0</v>
      </c>
      <c r="I111" s="13"/>
      <c r="J111" s="13"/>
      <c r="K111" s="13"/>
      <c r="L111" s="13"/>
      <c r="M111" s="13"/>
      <c r="N111" s="13"/>
      <c r="O111" s="13"/>
      <c r="P111" s="21">
        <v>0</v>
      </c>
    </row>
    <row r="112" spans="1:16" hidden="1" x14ac:dyDescent="0.25">
      <c r="A112" s="19">
        <v>45809</v>
      </c>
      <c r="B112" s="14" t="s">
        <v>480</v>
      </c>
      <c r="C112" s="14" t="s">
        <v>481</v>
      </c>
      <c r="D112" s="14"/>
      <c r="E112" s="13" t="s">
        <v>0</v>
      </c>
      <c r="F112" s="13" t="s">
        <v>0</v>
      </c>
      <c r="G112" s="13" t="s">
        <v>0</v>
      </c>
      <c r="H112" s="13">
        <f t="shared" si="5"/>
        <v>0</v>
      </c>
      <c r="I112" s="13" t="s">
        <v>513</v>
      </c>
      <c r="J112" s="13"/>
      <c r="K112" s="13">
        <v>75.66</v>
      </c>
      <c r="L112" s="13" t="s">
        <v>483</v>
      </c>
      <c r="M112" s="13" t="s">
        <v>523</v>
      </c>
      <c r="N112" s="13"/>
      <c r="O112" s="13">
        <v>6589</v>
      </c>
      <c r="P112" s="21">
        <v>134</v>
      </c>
    </row>
    <row r="113" spans="1:16" hidden="1" x14ac:dyDescent="0.25">
      <c r="A113" s="19" t="s">
        <v>0</v>
      </c>
      <c r="B113" s="14"/>
      <c r="C113" s="14" t="s">
        <v>524</v>
      </c>
      <c r="D113" s="14"/>
      <c r="E113" s="13" t="s">
        <v>0</v>
      </c>
      <c r="F113" s="13" t="s">
        <v>0</v>
      </c>
      <c r="G113" s="13" t="s">
        <v>0</v>
      </c>
      <c r="H113" s="13">
        <f t="shared" si="5"/>
        <v>0</v>
      </c>
      <c r="I113" s="13" t="s">
        <v>0</v>
      </c>
      <c r="J113" s="13" t="s">
        <v>0</v>
      </c>
      <c r="K113" s="13">
        <v>6722.83</v>
      </c>
      <c r="L113" s="13"/>
      <c r="M113" s="13"/>
      <c r="N113" s="13"/>
      <c r="O113" s="13"/>
      <c r="P113" s="21">
        <v>0</v>
      </c>
    </row>
    <row r="114" spans="1:16" hidden="1" x14ac:dyDescent="0.25">
      <c r="A114" s="19" t="s">
        <v>0</v>
      </c>
      <c r="B114" s="14"/>
      <c r="C114" s="14" t="s">
        <v>525</v>
      </c>
      <c r="D114" s="14"/>
      <c r="E114" s="13" t="s">
        <v>0</v>
      </c>
      <c r="F114" s="13" t="s">
        <v>0</v>
      </c>
      <c r="G114" s="13" t="s">
        <v>0</v>
      </c>
      <c r="H114" s="13">
        <f t="shared" si="5"/>
        <v>0</v>
      </c>
      <c r="I114" s="13" t="s">
        <v>0</v>
      </c>
      <c r="J114" s="13" t="s">
        <v>0</v>
      </c>
      <c r="K114" s="13"/>
      <c r="L114" s="13">
        <v>134</v>
      </c>
      <c r="M114" s="13"/>
      <c r="N114" s="13"/>
      <c r="O114" s="13"/>
      <c r="P114" s="21">
        <v>0</v>
      </c>
    </row>
    <row r="115" spans="1:16" hidden="1" x14ac:dyDescent="0.25">
      <c r="A115" s="19" t="s">
        <v>0</v>
      </c>
      <c r="B115" s="14"/>
      <c r="C115" s="14" t="s">
        <v>487</v>
      </c>
      <c r="D115" s="14"/>
      <c r="E115" s="13" t="s">
        <v>0</v>
      </c>
      <c r="F115" s="13" t="s">
        <v>0</v>
      </c>
      <c r="G115" s="13" t="s">
        <v>0</v>
      </c>
      <c r="H115" s="13">
        <f t="shared" si="5"/>
        <v>0</v>
      </c>
      <c r="I115" s="13" t="s">
        <v>0</v>
      </c>
      <c r="J115" s="13" t="s">
        <v>0</v>
      </c>
      <c r="K115" s="13">
        <v>0.17</v>
      </c>
      <c r="L115" s="13"/>
      <c r="M115" s="13"/>
      <c r="N115" s="13"/>
      <c r="O115" s="13"/>
      <c r="P115" s="21">
        <v>0</v>
      </c>
    </row>
    <row r="116" spans="1:16" x14ac:dyDescent="0.25">
      <c r="A116" s="19"/>
      <c r="B116" s="14"/>
      <c r="C116" s="14" t="s">
        <v>488</v>
      </c>
      <c r="D116" s="38">
        <v>246779411458</v>
      </c>
      <c r="E116" s="13" t="s">
        <v>0</v>
      </c>
      <c r="F116" s="13">
        <v>6589</v>
      </c>
      <c r="G116" s="13" t="s">
        <v>489</v>
      </c>
      <c r="H116" s="13">
        <f t="shared" si="5"/>
        <v>134</v>
      </c>
      <c r="I116" s="13"/>
      <c r="J116" s="13"/>
      <c r="K116" s="13"/>
      <c r="L116" s="13"/>
      <c r="M116" s="13"/>
      <c r="N116" s="13"/>
      <c r="O116" s="13"/>
      <c r="P116" s="21">
        <v>0</v>
      </c>
    </row>
    <row r="117" spans="1:16" hidden="1" x14ac:dyDescent="0.25">
      <c r="A117" s="19">
        <v>45809</v>
      </c>
      <c r="B117" s="14" t="s">
        <v>480</v>
      </c>
      <c r="C117" s="14" t="s">
        <v>481</v>
      </c>
      <c r="D117" s="14"/>
      <c r="E117" s="13" t="s">
        <v>0</v>
      </c>
      <c r="F117" s="13" t="s">
        <v>0</v>
      </c>
      <c r="G117" s="13" t="s">
        <v>0</v>
      </c>
      <c r="H117" s="13">
        <f t="shared" si="5"/>
        <v>0</v>
      </c>
      <c r="I117" s="13" t="s">
        <v>513</v>
      </c>
      <c r="J117" s="13"/>
      <c r="K117" s="13">
        <v>240.78</v>
      </c>
      <c r="L117" s="13" t="s">
        <v>483</v>
      </c>
      <c r="M117" s="13" t="s">
        <v>526</v>
      </c>
      <c r="N117" s="13"/>
      <c r="O117" s="13">
        <v>20898</v>
      </c>
      <c r="P117" s="21">
        <v>426</v>
      </c>
    </row>
    <row r="118" spans="1:16" hidden="1" x14ac:dyDescent="0.25">
      <c r="A118" s="19" t="s">
        <v>0</v>
      </c>
      <c r="B118" s="14"/>
      <c r="C118" s="14" t="s">
        <v>524</v>
      </c>
      <c r="D118" s="14"/>
      <c r="E118" s="13" t="s">
        <v>0</v>
      </c>
      <c r="F118" s="13" t="s">
        <v>0</v>
      </c>
      <c r="G118" s="13" t="s">
        <v>0</v>
      </c>
      <c r="H118" s="13">
        <f t="shared" si="5"/>
        <v>0</v>
      </c>
      <c r="I118" s="13" t="s">
        <v>0</v>
      </c>
      <c r="J118" s="13" t="s">
        <v>0</v>
      </c>
      <c r="K118" s="13">
        <v>21323.93</v>
      </c>
      <c r="L118" s="13"/>
      <c r="M118" s="13"/>
      <c r="N118" s="13"/>
      <c r="O118" s="13"/>
      <c r="P118" s="21">
        <v>0</v>
      </c>
    </row>
    <row r="119" spans="1:16" hidden="1" x14ac:dyDescent="0.25">
      <c r="A119" s="19" t="s">
        <v>0</v>
      </c>
      <c r="B119" s="14"/>
      <c r="C119" s="14" t="s">
        <v>525</v>
      </c>
      <c r="D119" s="14"/>
      <c r="E119" s="13" t="s">
        <v>0</v>
      </c>
      <c r="F119" s="13" t="s">
        <v>0</v>
      </c>
      <c r="G119" s="13" t="s">
        <v>0</v>
      </c>
      <c r="H119" s="13">
        <f t="shared" si="5"/>
        <v>0</v>
      </c>
      <c r="I119" s="13" t="s">
        <v>0</v>
      </c>
      <c r="J119" s="13" t="s">
        <v>0</v>
      </c>
      <c r="K119" s="13"/>
      <c r="L119" s="13">
        <v>426</v>
      </c>
      <c r="M119" s="13"/>
      <c r="N119" s="13"/>
      <c r="O119" s="13"/>
      <c r="P119" s="21">
        <v>0</v>
      </c>
    </row>
    <row r="120" spans="1:16" hidden="1" x14ac:dyDescent="0.25">
      <c r="A120" s="19" t="s">
        <v>0</v>
      </c>
      <c r="B120" s="14"/>
      <c r="C120" s="14" t="s">
        <v>487</v>
      </c>
      <c r="D120" s="14"/>
      <c r="E120" s="13" t="s">
        <v>0</v>
      </c>
      <c r="F120" s="13" t="s">
        <v>0</v>
      </c>
      <c r="G120" s="13" t="s">
        <v>0</v>
      </c>
      <c r="H120" s="13">
        <f t="shared" si="5"/>
        <v>0</v>
      </c>
      <c r="I120" s="13" t="s">
        <v>0</v>
      </c>
      <c r="J120" s="13" t="s">
        <v>0</v>
      </c>
      <c r="K120" s="13">
        <v>7.0000000000000007E-2</v>
      </c>
      <c r="L120" s="13"/>
      <c r="M120" s="13"/>
      <c r="N120" s="13"/>
      <c r="O120" s="13"/>
      <c r="P120" s="21">
        <v>0</v>
      </c>
    </row>
    <row r="121" spans="1:16" x14ac:dyDescent="0.25">
      <c r="A121" s="19"/>
      <c r="B121" s="14"/>
      <c r="C121" s="14" t="s">
        <v>488</v>
      </c>
      <c r="D121" s="38">
        <v>246779411624</v>
      </c>
      <c r="E121" s="13" t="s">
        <v>0</v>
      </c>
      <c r="F121" s="13">
        <v>20898</v>
      </c>
      <c r="G121" s="13" t="s">
        <v>489</v>
      </c>
      <c r="H121" s="13">
        <f t="shared" si="5"/>
        <v>426</v>
      </c>
      <c r="I121" s="13"/>
      <c r="J121" s="13"/>
      <c r="K121" s="13"/>
      <c r="L121" s="13"/>
      <c r="M121" s="13"/>
      <c r="N121" s="13"/>
      <c r="O121" s="13"/>
      <c r="P121" s="21">
        <v>0</v>
      </c>
    </row>
    <row r="122" spans="1:16" hidden="1" x14ac:dyDescent="0.25">
      <c r="A122" s="19">
        <v>45809</v>
      </c>
      <c r="B122" s="14" t="s">
        <v>480</v>
      </c>
      <c r="C122" s="14" t="s">
        <v>481</v>
      </c>
      <c r="D122" s="14"/>
      <c r="E122" s="13" t="s">
        <v>0</v>
      </c>
      <c r="F122" s="13" t="s">
        <v>0</v>
      </c>
      <c r="G122" s="13" t="s">
        <v>0</v>
      </c>
      <c r="H122" s="13">
        <f t="shared" si="5"/>
        <v>0</v>
      </c>
      <c r="I122" s="13" t="s">
        <v>513</v>
      </c>
      <c r="J122" s="13"/>
      <c r="K122" s="13">
        <v>68.430000000000007</v>
      </c>
      <c r="L122" s="13" t="s">
        <v>483</v>
      </c>
      <c r="M122" s="13" t="s">
        <v>527</v>
      </c>
      <c r="N122" s="13"/>
      <c r="O122" s="13">
        <v>5939</v>
      </c>
      <c r="P122" s="21">
        <v>121</v>
      </c>
    </row>
    <row r="123" spans="1:16" hidden="1" x14ac:dyDescent="0.25">
      <c r="A123" s="19" t="s">
        <v>0</v>
      </c>
      <c r="B123" s="14"/>
      <c r="C123" s="14" t="s">
        <v>524</v>
      </c>
      <c r="D123" s="14"/>
      <c r="E123" s="13" t="s">
        <v>0</v>
      </c>
      <c r="F123" s="13" t="s">
        <v>0</v>
      </c>
      <c r="G123" s="13" t="s">
        <v>0</v>
      </c>
      <c r="H123" s="13">
        <f t="shared" si="5"/>
        <v>0</v>
      </c>
      <c r="I123" s="13" t="s">
        <v>0</v>
      </c>
      <c r="J123" s="13" t="s">
        <v>0</v>
      </c>
      <c r="K123" s="13">
        <v>6059.82</v>
      </c>
      <c r="L123" s="13"/>
      <c r="M123" s="13"/>
      <c r="N123" s="13"/>
      <c r="O123" s="13"/>
      <c r="P123" s="21">
        <v>0</v>
      </c>
    </row>
    <row r="124" spans="1:16" hidden="1" x14ac:dyDescent="0.25">
      <c r="A124" s="19" t="s">
        <v>0</v>
      </c>
      <c r="B124" s="14"/>
      <c r="C124" s="14" t="s">
        <v>525</v>
      </c>
      <c r="D124" s="14"/>
      <c r="E124" s="13" t="s">
        <v>0</v>
      </c>
      <c r="F124" s="13" t="s">
        <v>0</v>
      </c>
      <c r="G124" s="13" t="s">
        <v>0</v>
      </c>
      <c r="H124" s="13">
        <f t="shared" si="5"/>
        <v>0</v>
      </c>
      <c r="I124" s="13" t="s">
        <v>0</v>
      </c>
      <c r="J124" s="13" t="s">
        <v>0</v>
      </c>
      <c r="K124" s="13"/>
      <c r="L124" s="13">
        <v>121</v>
      </c>
      <c r="M124" s="13"/>
      <c r="N124" s="13"/>
      <c r="O124" s="13"/>
      <c r="P124" s="21">
        <v>0</v>
      </c>
    </row>
    <row r="125" spans="1:16" hidden="1" x14ac:dyDescent="0.25">
      <c r="A125" s="19" t="s">
        <v>0</v>
      </c>
      <c r="B125" s="14"/>
      <c r="C125" s="14" t="s">
        <v>487</v>
      </c>
      <c r="D125" s="14"/>
      <c r="E125" s="13" t="s">
        <v>0</v>
      </c>
      <c r="F125" s="13" t="s">
        <v>0</v>
      </c>
      <c r="G125" s="13" t="s">
        <v>0</v>
      </c>
      <c r="H125" s="13">
        <f t="shared" si="5"/>
        <v>0</v>
      </c>
      <c r="I125" s="13" t="s">
        <v>0</v>
      </c>
      <c r="J125" s="13" t="s">
        <v>0</v>
      </c>
      <c r="K125" s="13">
        <v>0.18</v>
      </c>
      <c r="L125" s="13"/>
      <c r="M125" s="13"/>
      <c r="N125" s="13"/>
      <c r="O125" s="13"/>
      <c r="P125" s="21">
        <v>0</v>
      </c>
    </row>
    <row r="126" spans="1:16" x14ac:dyDescent="0.25">
      <c r="A126" s="19"/>
      <c r="B126" s="14"/>
      <c r="C126" s="14" t="s">
        <v>488</v>
      </c>
      <c r="D126" s="38">
        <v>246779411625</v>
      </c>
      <c r="E126" s="13" t="s">
        <v>0</v>
      </c>
      <c r="F126" s="13">
        <v>5939</v>
      </c>
      <c r="G126" s="13" t="s">
        <v>489</v>
      </c>
      <c r="H126" s="13">
        <f t="shared" si="5"/>
        <v>121</v>
      </c>
      <c r="I126" s="13"/>
      <c r="J126" s="13"/>
      <c r="K126" s="13"/>
      <c r="L126" s="13"/>
      <c r="M126" s="13"/>
      <c r="N126" s="13"/>
      <c r="O126" s="13"/>
      <c r="P126" s="21">
        <v>0</v>
      </c>
    </row>
    <row r="127" spans="1:16" hidden="1" x14ac:dyDescent="0.25">
      <c r="A127" s="19">
        <v>45809</v>
      </c>
      <c r="B127" s="14" t="s">
        <v>480</v>
      </c>
      <c r="C127" s="14" t="s">
        <v>481</v>
      </c>
      <c r="D127" s="14"/>
      <c r="E127" s="13" t="s">
        <v>0</v>
      </c>
      <c r="F127" s="13" t="s">
        <v>0</v>
      </c>
      <c r="G127" s="13" t="s">
        <v>0</v>
      </c>
      <c r="H127" s="13">
        <f t="shared" si="5"/>
        <v>0</v>
      </c>
      <c r="I127" s="13" t="s">
        <v>513</v>
      </c>
      <c r="J127" s="13"/>
      <c r="K127" s="13">
        <v>70.180000000000007</v>
      </c>
      <c r="L127" s="13" t="s">
        <v>483</v>
      </c>
      <c r="M127" s="13" t="s">
        <v>528</v>
      </c>
      <c r="N127" s="13"/>
      <c r="O127" s="13">
        <v>6091</v>
      </c>
      <c r="P127" s="21">
        <v>124</v>
      </c>
    </row>
    <row r="128" spans="1:16" hidden="1" x14ac:dyDescent="0.25">
      <c r="A128" s="19" t="s">
        <v>0</v>
      </c>
      <c r="B128" s="14"/>
      <c r="C128" s="14" t="s">
        <v>524</v>
      </c>
      <c r="D128" s="14"/>
      <c r="E128" s="13" t="s">
        <v>0</v>
      </c>
      <c r="F128" s="13" t="s">
        <v>0</v>
      </c>
      <c r="G128" s="13" t="s">
        <v>0</v>
      </c>
      <c r="H128" s="13">
        <f t="shared" si="5"/>
        <v>0</v>
      </c>
      <c r="I128" s="13" t="s">
        <v>0</v>
      </c>
      <c r="J128" s="13" t="s">
        <v>0</v>
      </c>
      <c r="K128" s="13">
        <v>6215.18</v>
      </c>
      <c r="L128" s="13"/>
      <c r="M128" s="13"/>
      <c r="N128" s="13"/>
      <c r="O128" s="13"/>
      <c r="P128" s="21">
        <v>0</v>
      </c>
    </row>
    <row r="129" spans="1:16" hidden="1" x14ac:dyDescent="0.25">
      <c r="A129" s="19" t="s">
        <v>0</v>
      </c>
      <c r="B129" s="14"/>
      <c r="C129" s="14" t="s">
        <v>525</v>
      </c>
      <c r="D129" s="14"/>
      <c r="E129" s="13" t="s">
        <v>0</v>
      </c>
      <c r="F129" s="13" t="s">
        <v>0</v>
      </c>
      <c r="G129" s="13" t="s">
        <v>0</v>
      </c>
      <c r="H129" s="13">
        <f t="shared" si="5"/>
        <v>0</v>
      </c>
      <c r="I129" s="13" t="s">
        <v>0</v>
      </c>
      <c r="J129" s="13" t="s">
        <v>0</v>
      </c>
      <c r="K129" s="13"/>
      <c r="L129" s="13">
        <v>124</v>
      </c>
      <c r="M129" s="13"/>
      <c r="N129" s="13"/>
      <c r="O129" s="13"/>
      <c r="P129" s="21">
        <v>0</v>
      </c>
    </row>
    <row r="130" spans="1:16" hidden="1" x14ac:dyDescent="0.25">
      <c r="A130" s="19" t="s">
        <v>0</v>
      </c>
      <c r="B130" s="14"/>
      <c r="C130" s="14" t="s">
        <v>487</v>
      </c>
      <c r="D130" s="14"/>
      <c r="E130" s="13" t="s">
        <v>0</v>
      </c>
      <c r="F130" s="13" t="s">
        <v>0</v>
      </c>
      <c r="G130" s="13" t="s">
        <v>0</v>
      </c>
      <c r="H130" s="13">
        <f t="shared" si="5"/>
        <v>0</v>
      </c>
      <c r="I130" s="13" t="s">
        <v>0</v>
      </c>
      <c r="J130" s="13" t="s">
        <v>0</v>
      </c>
      <c r="K130" s="13"/>
      <c r="L130" s="13">
        <v>0.18</v>
      </c>
      <c r="M130" s="13"/>
      <c r="N130" s="13"/>
      <c r="O130" s="13"/>
      <c r="P130" s="21">
        <v>0</v>
      </c>
    </row>
    <row r="131" spans="1:16" x14ac:dyDescent="0.25">
      <c r="A131" s="19"/>
      <c r="B131" s="14"/>
      <c r="C131" s="14" t="s">
        <v>488</v>
      </c>
      <c r="D131" s="38">
        <v>246779411626</v>
      </c>
      <c r="E131" s="13" t="s">
        <v>0</v>
      </c>
      <c r="F131" s="13">
        <v>6091</v>
      </c>
      <c r="G131" s="13" t="s">
        <v>489</v>
      </c>
      <c r="H131" s="13">
        <f t="shared" si="5"/>
        <v>124</v>
      </c>
      <c r="I131" s="13"/>
      <c r="J131" s="13"/>
      <c r="K131" s="13"/>
      <c r="L131" s="13"/>
      <c r="M131" s="13"/>
      <c r="N131" s="13"/>
      <c r="O131" s="13"/>
      <c r="P131" s="21">
        <v>0</v>
      </c>
    </row>
    <row r="132" spans="1:16" hidden="1" x14ac:dyDescent="0.25">
      <c r="A132" s="19">
        <v>45809</v>
      </c>
      <c r="B132" s="14" t="s">
        <v>480</v>
      </c>
      <c r="C132" s="14" t="s">
        <v>481</v>
      </c>
      <c r="D132" s="14"/>
      <c r="E132" s="13" t="s">
        <v>0</v>
      </c>
      <c r="F132" s="13" t="s">
        <v>0</v>
      </c>
      <c r="G132" s="13" t="s">
        <v>0</v>
      </c>
      <c r="H132" s="13">
        <f t="shared" si="5"/>
        <v>0</v>
      </c>
      <c r="I132" s="13" t="s">
        <v>513</v>
      </c>
      <c r="J132" s="13"/>
      <c r="K132" s="13">
        <v>60.58</v>
      </c>
      <c r="L132" s="13" t="s">
        <v>483</v>
      </c>
      <c r="M132" s="13" t="s">
        <v>529</v>
      </c>
      <c r="N132" s="13"/>
      <c r="O132" s="13">
        <v>5258</v>
      </c>
      <c r="P132" s="21">
        <v>107</v>
      </c>
    </row>
    <row r="133" spans="1:16" hidden="1" x14ac:dyDescent="0.25">
      <c r="A133" s="19" t="s">
        <v>0</v>
      </c>
      <c r="B133" s="14"/>
      <c r="C133" s="14" t="s">
        <v>524</v>
      </c>
      <c r="D133" s="14"/>
      <c r="E133" s="13" t="s">
        <v>0</v>
      </c>
      <c r="F133" s="13" t="s">
        <v>0</v>
      </c>
      <c r="G133" s="13" t="s">
        <v>0</v>
      </c>
      <c r="H133" s="13">
        <f t="shared" si="5"/>
        <v>0</v>
      </c>
      <c r="I133" s="13" t="s">
        <v>0</v>
      </c>
      <c r="J133" s="13" t="s">
        <v>0</v>
      </c>
      <c r="K133" s="13">
        <v>5365.48</v>
      </c>
      <c r="L133" s="13"/>
      <c r="M133" s="13"/>
      <c r="N133" s="13"/>
      <c r="O133" s="13"/>
      <c r="P133" s="21">
        <v>0</v>
      </c>
    </row>
    <row r="134" spans="1:16" hidden="1" x14ac:dyDescent="0.25">
      <c r="A134" s="19" t="s">
        <v>0</v>
      </c>
      <c r="B134" s="14"/>
      <c r="C134" s="14" t="s">
        <v>525</v>
      </c>
      <c r="D134" s="14"/>
      <c r="E134" s="13" t="s">
        <v>0</v>
      </c>
      <c r="F134" s="13" t="s">
        <v>0</v>
      </c>
      <c r="G134" s="13" t="s">
        <v>0</v>
      </c>
      <c r="H134" s="13">
        <f t="shared" si="5"/>
        <v>0</v>
      </c>
      <c r="I134" s="13" t="s">
        <v>0</v>
      </c>
      <c r="J134" s="13" t="s">
        <v>0</v>
      </c>
      <c r="K134" s="13"/>
      <c r="L134" s="13">
        <v>107</v>
      </c>
      <c r="M134" s="13"/>
      <c r="N134" s="13"/>
      <c r="O134" s="13"/>
      <c r="P134" s="21">
        <v>0</v>
      </c>
    </row>
    <row r="135" spans="1:16" hidden="1" x14ac:dyDescent="0.25">
      <c r="A135" s="19" t="s">
        <v>0</v>
      </c>
      <c r="B135" s="14"/>
      <c r="C135" s="14" t="s">
        <v>487</v>
      </c>
      <c r="D135" s="14"/>
      <c r="E135" s="13" t="s">
        <v>0</v>
      </c>
      <c r="F135" s="13" t="s">
        <v>0</v>
      </c>
      <c r="G135" s="13" t="s">
        <v>0</v>
      </c>
      <c r="H135" s="13">
        <f t="shared" si="5"/>
        <v>0</v>
      </c>
      <c r="I135" s="13" t="s">
        <v>0</v>
      </c>
      <c r="J135" s="13" t="s">
        <v>0</v>
      </c>
      <c r="K135" s="13"/>
      <c r="L135" s="13">
        <v>0.48</v>
      </c>
      <c r="M135" s="13"/>
      <c r="N135" s="13"/>
      <c r="O135" s="13"/>
      <c r="P135" s="21">
        <v>0</v>
      </c>
    </row>
    <row r="136" spans="1:16" x14ac:dyDescent="0.25">
      <c r="A136" s="19"/>
      <c r="B136" s="14"/>
      <c r="C136" s="14" t="s">
        <v>488</v>
      </c>
      <c r="D136" s="38">
        <v>246779411627</v>
      </c>
      <c r="E136" s="13" t="s">
        <v>0</v>
      </c>
      <c r="F136" s="13">
        <v>5258</v>
      </c>
      <c r="G136" s="13" t="s">
        <v>489</v>
      </c>
      <c r="H136" s="13">
        <f t="shared" ref="H136:H199" si="6">P132</f>
        <v>107</v>
      </c>
      <c r="I136" s="13"/>
      <c r="J136" s="13"/>
      <c r="K136" s="13"/>
      <c r="L136" s="13"/>
      <c r="M136" s="13"/>
      <c r="N136" s="13"/>
      <c r="O136" s="13"/>
      <c r="P136" s="21">
        <v>0</v>
      </c>
    </row>
    <row r="137" spans="1:16" hidden="1" x14ac:dyDescent="0.25">
      <c r="A137" s="19">
        <v>45809</v>
      </c>
      <c r="B137" s="14" t="s">
        <v>480</v>
      </c>
      <c r="C137" s="14" t="s">
        <v>481</v>
      </c>
      <c r="D137" s="14"/>
      <c r="E137" s="13" t="s">
        <v>0</v>
      </c>
      <c r="F137" s="13" t="s">
        <v>0</v>
      </c>
      <c r="G137" s="13" t="s">
        <v>0</v>
      </c>
      <c r="H137" s="13">
        <f t="shared" si="6"/>
        <v>0</v>
      </c>
      <c r="I137" s="13" t="s">
        <v>513</v>
      </c>
      <c r="J137" s="13"/>
      <c r="K137" s="13">
        <v>119.73</v>
      </c>
      <c r="L137" s="13" t="s">
        <v>483</v>
      </c>
      <c r="M137" s="13" t="s">
        <v>530</v>
      </c>
      <c r="N137" s="13"/>
      <c r="O137" s="13">
        <v>10392</v>
      </c>
      <c r="P137" s="21">
        <v>212</v>
      </c>
    </row>
    <row r="138" spans="1:16" hidden="1" x14ac:dyDescent="0.25">
      <c r="A138" s="19" t="s">
        <v>0</v>
      </c>
      <c r="B138" s="14"/>
      <c r="C138" s="14" t="s">
        <v>524</v>
      </c>
      <c r="D138" s="14"/>
      <c r="E138" s="13" t="s">
        <v>0</v>
      </c>
      <c r="F138" s="13" t="s">
        <v>0</v>
      </c>
      <c r="G138" s="13" t="s">
        <v>0</v>
      </c>
      <c r="H138" s="13">
        <f t="shared" si="6"/>
        <v>0</v>
      </c>
      <c r="I138" s="13" t="s">
        <v>0</v>
      </c>
      <c r="J138" s="13" t="s">
        <v>0</v>
      </c>
      <c r="K138" s="13">
        <v>10604.25</v>
      </c>
      <c r="L138" s="13"/>
      <c r="M138" s="13"/>
      <c r="N138" s="13"/>
      <c r="O138" s="13"/>
      <c r="P138" s="21">
        <v>0</v>
      </c>
    </row>
    <row r="139" spans="1:16" hidden="1" x14ac:dyDescent="0.25">
      <c r="A139" s="19" t="s">
        <v>0</v>
      </c>
      <c r="B139" s="14"/>
      <c r="C139" s="14" t="s">
        <v>525</v>
      </c>
      <c r="D139" s="14"/>
      <c r="E139" s="13" t="s">
        <v>0</v>
      </c>
      <c r="F139" s="13" t="s">
        <v>0</v>
      </c>
      <c r="G139" s="13" t="s">
        <v>0</v>
      </c>
      <c r="H139" s="13">
        <f t="shared" si="6"/>
        <v>0</v>
      </c>
      <c r="I139" s="13" t="s">
        <v>0</v>
      </c>
      <c r="J139" s="13" t="s">
        <v>0</v>
      </c>
      <c r="K139" s="13"/>
      <c r="L139" s="13">
        <v>212</v>
      </c>
      <c r="M139" s="13"/>
      <c r="N139" s="13"/>
      <c r="O139" s="13"/>
      <c r="P139" s="21">
        <v>0</v>
      </c>
    </row>
    <row r="140" spans="1:16" hidden="1" x14ac:dyDescent="0.25">
      <c r="A140" s="19" t="s">
        <v>0</v>
      </c>
      <c r="B140" s="14"/>
      <c r="C140" s="14" t="s">
        <v>487</v>
      </c>
      <c r="D140" s="14"/>
      <c r="E140" s="13" t="s">
        <v>0</v>
      </c>
      <c r="F140" s="13" t="s">
        <v>0</v>
      </c>
      <c r="G140" s="13" t="s">
        <v>0</v>
      </c>
      <c r="H140" s="13">
        <f t="shared" si="6"/>
        <v>0</v>
      </c>
      <c r="I140" s="13" t="s">
        <v>0</v>
      </c>
      <c r="J140" s="13" t="s">
        <v>0</v>
      </c>
      <c r="K140" s="13"/>
      <c r="L140" s="13">
        <v>0.25</v>
      </c>
      <c r="M140" s="13"/>
      <c r="N140" s="13"/>
      <c r="O140" s="13"/>
      <c r="P140" s="21">
        <v>0</v>
      </c>
    </row>
    <row r="141" spans="1:16" x14ac:dyDescent="0.25">
      <c r="A141" s="19"/>
      <c r="B141" s="14"/>
      <c r="C141" s="14" t="s">
        <v>488</v>
      </c>
      <c r="D141" s="38">
        <v>246779412068</v>
      </c>
      <c r="E141" s="13" t="s">
        <v>0</v>
      </c>
      <c r="F141" s="13">
        <v>10392</v>
      </c>
      <c r="G141" s="13" t="s">
        <v>489</v>
      </c>
      <c r="H141" s="13">
        <f t="shared" si="6"/>
        <v>212</v>
      </c>
      <c r="I141" s="13"/>
      <c r="J141" s="13"/>
      <c r="K141" s="13"/>
      <c r="L141" s="13"/>
      <c r="M141" s="13"/>
      <c r="N141" s="13"/>
      <c r="O141" s="13"/>
      <c r="P141" s="21">
        <v>0</v>
      </c>
    </row>
    <row r="142" spans="1:16" hidden="1" x14ac:dyDescent="0.25">
      <c r="A142" s="19">
        <v>45809</v>
      </c>
      <c r="B142" s="14" t="s">
        <v>480</v>
      </c>
      <c r="C142" s="14" t="s">
        <v>481</v>
      </c>
      <c r="D142" s="14"/>
      <c r="E142" s="13" t="s">
        <v>0</v>
      </c>
      <c r="F142" s="13" t="s">
        <v>0</v>
      </c>
      <c r="G142" s="13" t="s">
        <v>0</v>
      </c>
      <c r="H142" s="13">
        <f t="shared" si="6"/>
        <v>0</v>
      </c>
      <c r="I142" s="13" t="s">
        <v>513</v>
      </c>
      <c r="J142" s="13"/>
      <c r="K142" s="13">
        <v>75.66</v>
      </c>
      <c r="L142" s="13" t="s">
        <v>483</v>
      </c>
      <c r="M142" s="13" t="s">
        <v>531</v>
      </c>
      <c r="N142" s="13"/>
      <c r="O142" s="13">
        <v>6589</v>
      </c>
      <c r="P142" s="21">
        <v>134</v>
      </c>
    </row>
    <row r="143" spans="1:16" hidden="1" x14ac:dyDescent="0.25">
      <c r="A143" s="19" t="s">
        <v>0</v>
      </c>
      <c r="B143" s="14"/>
      <c r="C143" s="14" t="s">
        <v>524</v>
      </c>
      <c r="D143" s="14"/>
      <c r="E143" s="13" t="s">
        <v>0</v>
      </c>
      <c r="F143" s="13" t="s">
        <v>0</v>
      </c>
      <c r="G143" s="13" t="s">
        <v>0</v>
      </c>
      <c r="H143" s="13">
        <f t="shared" si="6"/>
        <v>0</v>
      </c>
      <c r="I143" s="13" t="s">
        <v>0</v>
      </c>
      <c r="J143" s="13" t="s">
        <v>0</v>
      </c>
      <c r="K143" s="13">
        <v>6722.83</v>
      </c>
      <c r="L143" s="13"/>
      <c r="M143" s="13"/>
      <c r="N143" s="13"/>
      <c r="O143" s="13"/>
      <c r="P143" s="21">
        <v>0</v>
      </c>
    </row>
    <row r="144" spans="1:16" hidden="1" x14ac:dyDescent="0.25">
      <c r="A144" s="19" t="s">
        <v>0</v>
      </c>
      <c r="B144" s="14"/>
      <c r="C144" s="14" t="s">
        <v>525</v>
      </c>
      <c r="D144" s="14"/>
      <c r="E144" s="13" t="s">
        <v>0</v>
      </c>
      <c r="F144" s="13" t="s">
        <v>0</v>
      </c>
      <c r="G144" s="13" t="s">
        <v>0</v>
      </c>
      <c r="H144" s="13">
        <f t="shared" si="6"/>
        <v>0</v>
      </c>
      <c r="I144" s="13" t="s">
        <v>0</v>
      </c>
      <c r="J144" s="13" t="s">
        <v>0</v>
      </c>
      <c r="K144" s="13"/>
      <c r="L144" s="13">
        <v>134</v>
      </c>
      <c r="M144" s="13"/>
      <c r="N144" s="13"/>
      <c r="O144" s="13"/>
      <c r="P144" s="21">
        <v>0</v>
      </c>
    </row>
    <row r="145" spans="1:16" hidden="1" x14ac:dyDescent="0.25">
      <c r="A145" s="19" t="s">
        <v>0</v>
      </c>
      <c r="B145" s="14"/>
      <c r="C145" s="14" t="s">
        <v>487</v>
      </c>
      <c r="D145" s="14"/>
      <c r="E145" s="13" t="s">
        <v>0</v>
      </c>
      <c r="F145" s="13" t="s">
        <v>0</v>
      </c>
      <c r="G145" s="13" t="s">
        <v>0</v>
      </c>
      <c r="H145" s="13">
        <f t="shared" si="6"/>
        <v>0</v>
      </c>
      <c r="I145" s="13" t="s">
        <v>0</v>
      </c>
      <c r="J145" s="13" t="s">
        <v>0</v>
      </c>
      <c r="K145" s="13">
        <v>0.17</v>
      </c>
      <c r="L145" s="13"/>
      <c r="M145" s="13"/>
      <c r="N145" s="13"/>
      <c r="O145" s="13"/>
      <c r="P145" s="21">
        <v>0</v>
      </c>
    </row>
    <row r="146" spans="1:16" x14ac:dyDescent="0.25">
      <c r="A146" s="19"/>
      <c r="B146" s="14"/>
      <c r="C146" s="14" t="s">
        <v>488</v>
      </c>
      <c r="D146" s="38">
        <v>246779412247</v>
      </c>
      <c r="E146" s="13" t="s">
        <v>0</v>
      </c>
      <c r="F146" s="13">
        <v>6589</v>
      </c>
      <c r="G146" s="13" t="s">
        <v>489</v>
      </c>
      <c r="H146" s="13">
        <f t="shared" si="6"/>
        <v>134</v>
      </c>
      <c r="I146" s="13"/>
      <c r="J146" s="13"/>
      <c r="K146" s="13"/>
      <c r="L146" s="13"/>
      <c r="M146" s="13"/>
      <c r="N146" s="13"/>
      <c r="O146" s="13"/>
      <c r="P146" s="21">
        <v>0</v>
      </c>
    </row>
    <row r="147" spans="1:16" s="27" customFormat="1" hidden="1" x14ac:dyDescent="0.25">
      <c r="A147" s="23">
        <v>45809</v>
      </c>
      <c r="B147" s="24" t="s">
        <v>480</v>
      </c>
      <c r="C147" s="24" t="s">
        <v>481</v>
      </c>
      <c r="D147" s="24"/>
      <c r="E147" s="25" t="s">
        <v>0</v>
      </c>
      <c r="F147" s="25" t="s">
        <v>0</v>
      </c>
      <c r="G147" s="25" t="s">
        <v>0</v>
      </c>
      <c r="H147" s="13">
        <f t="shared" si="6"/>
        <v>0</v>
      </c>
      <c r="I147" s="25" t="s">
        <v>513</v>
      </c>
      <c r="J147" s="25"/>
      <c r="K147" s="25">
        <v>267.54000000000002</v>
      </c>
      <c r="L147" s="25" t="s">
        <v>483</v>
      </c>
      <c r="M147" s="25" t="s">
        <v>532</v>
      </c>
      <c r="N147" s="25"/>
      <c r="O147" s="25">
        <v>23090</v>
      </c>
      <c r="P147" s="26">
        <v>471</v>
      </c>
    </row>
    <row r="148" spans="1:16" hidden="1" x14ac:dyDescent="0.25">
      <c r="A148" s="19" t="s">
        <v>0</v>
      </c>
      <c r="B148" s="14"/>
      <c r="C148" s="14" t="s">
        <v>533</v>
      </c>
      <c r="D148" s="14"/>
      <c r="E148" s="13" t="s">
        <v>0</v>
      </c>
      <c r="F148" s="13" t="s">
        <v>0</v>
      </c>
      <c r="G148" s="13" t="s">
        <v>0</v>
      </c>
      <c r="H148" s="13">
        <f t="shared" si="6"/>
        <v>0</v>
      </c>
      <c r="I148" s="13" t="s">
        <v>0</v>
      </c>
      <c r="J148" s="13" t="s">
        <v>0</v>
      </c>
      <c r="K148" s="13">
        <v>6300.19</v>
      </c>
      <c r="L148" s="13"/>
      <c r="M148" s="13"/>
      <c r="N148" s="13"/>
      <c r="O148" s="13"/>
      <c r="P148" s="21">
        <v>0</v>
      </c>
    </row>
    <row r="149" spans="1:16" hidden="1" x14ac:dyDescent="0.25">
      <c r="A149" s="19" t="s">
        <v>0</v>
      </c>
      <c r="B149" s="14"/>
      <c r="C149" s="14" t="s">
        <v>534</v>
      </c>
      <c r="D149" s="14"/>
      <c r="E149" s="13" t="s">
        <v>0</v>
      </c>
      <c r="F149" s="13" t="s">
        <v>0</v>
      </c>
      <c r="G149" s="13" t="s">
        <v>0</v>
      </c>
      <c r="H149" s="13">
        <f t="shared" si="6"/>
        <v>0</v>
      </c>
      <c r="I149" s="13" t="s">
        <v>0</v>
      </c>
      <c r="J149" s="13" t="s">
        <v>0</v>
      </c>
      <c r="K149" s="13">
        <v>17260.8</v>
      </c>
      <c r="L149" s="13"/>
      <c r="M149" s="13"/>
      <c r="N149" s="13"/>
      <c r="O149" s="13"/>
      <c r="P149" s="21">
        <v>0</v>
      </c>
    </row>
    <row r="150" spans="1:16" hidden="1" x14ac:dyDescent="0.25">
      <c r="A150" s="19" t="s">
        <v>0</v>
      </c>
      <c r="B150" s="14"/>
      <c r="C150" s="14" t="s">
        <v>525</v>
      </c>
      <c r="D150" s="14"/>
      <c r="E150" s="13" t="s">
        <v>0</v>
      </c>
      <c r="F150" s="13" t="s">
        <v>0</v>
      </c>
      <c r="G150" s="13" t="s">
        <v>0</v>
      </c>
      <c r="H150" s="13">
        <f t="shared" si="6"/>
        <v>0</v>
      </c>
      <c r="I150" s="13" t="s">
        <v>0</v>
      </c>
      <c r="J150" s="13" t="s">
        <v>0</v>
      </c>
      <c r="K150" s="13"/>
      <c r="L150" s="13">
        <v>471</v>
      </c>
      <c r="M150" s="13"/>
      <c r="N150" s="13"/>
      <c r="O150" s="13"/>
      <c r="P150" s="21">
        <v>0</v>
      </c>
    </row>
    <row r="151" spans="1:16" hidden="1" x14ac:dyDescent="0.25">
      <c r="A151" s="19" t="s">
        <v>0</v>
      </c>
      <c r="B151" s="14"/>
      <c r="C151" s="14" t="s">
        <v>487</v>
      </c>
      <c r="D151" s="14"/>
      <c r="E151" s="13" t="s">
        <v>0</v>
      </c>
      <c r="F151" s="13" t="s">
        <v>0</v>
      </c>
      <c r="G151" s="13" t="s">
        <v>0</v>
      </c>
      <c r="H151" s="13"/>
      <c r="I151" s="13" t="s">
        <v>0</v>
      </c>
      <c r="J151" s="13" t="s">
        <v>0</v>
      </c>
      <c r="K151" s="13">
        <v>0.01</v>
      </c>
      <c r="L151" s="13"/>
      <c r="M151" s="13"/>
      <c r="N151" s="13"/>
      <c r="O151" s="13"/>
      <c r="P151" s="21">
        <v>0</v>
      </c>
    </row>
    <row r="152" spans="1:16" s="27" customFormat="1" x14ac:dyDescent="0.25">
      <c r="A152" s="23"/>
      <c r="B152" s="24"/>
      <c r="C152" s="24" t="s">
        <v>488</v>
      </c>
      <c r="D152" s="39">
        <v>246779414060</v>
      </c>
      <c r="E152" s="25" t="s">
        <v>0</v>
      </c>
      <c r="F152" s="25">
        <v>23090</v>
      </c>
      <c r="G152" s="25" t="s">
        <v>489</v>
      </c>
      <c r="H152" s="25">
        <v>471</v>
      </c>
      <c r="I152" s="25"/>
      <c r="J152" s="25"/>
      <c r="K152" s="25"/>
      <c r="L152" s="25"/>
      <c r="M152" s="25"/>
      <c r="N152" s="25"/>
      <c r="O152" s="25"/>
      <c r="P152" s="26">
        <v>0</v>
      </c>
    </row>
    <row r="153" spans="1:16" s="27" customFormat="1" hidden="1" x14ac:dyDescent="0.25">
      <c r="A153" s="23">
        <v>45809</v>
      </c>
      <c r="B153" s="24" t="s">
        <v>480</v>
      </c>
      <c r="C153" s="24" t="s">
        <v>481</v>
      </c>
      <c r="D153" s="24"/>
      <c r="E153" s="25" t="s">
        <v>0</v>
      </c>
      <c r="F153" s="25" t="s">
        <v>0</v>
      </c>
      <c r="G153" s="25" t="s">
        <v>0</v>
      </c>
      <c r="H153" s="13">
        <f t="shared" si="6"/>
        <v>0</v>
      </c>
      <c r="I153" s="25" t="s">
        <v>513</v>
      </c>
      <c r="J153" s="25"/>
      <c r="K153" s="25">
        <v>271.75</v>
      </c>
      <c r="L153" s="25" t="s">
        <v>483</v>
      </c>
      <c r="M153" s="25" t="s">
        <v>535</v>
      </c>
      <c r="N153" s="25"/>
      <c r="O153" s="25">
        <v>23453</v>
      </c>
      <c r="P153" s="26">
        <v>479</v>
      </c>
    </row>
    <row r="154" spans="1:16" hidden="1" x14ac:dyDescent="0.25">
      <c r="A154" s="19" t="s">
        <v>0</v>
      </c>
      <c r="B154" s="14"/>
      <c r="C154" s="14" t="s">
        <v>533</v>
      </c>
      <c r="D154" s="14"/>
      <c r="E154" s="13" t="s">
        <v>0</v>
      </c>
      <c r="F154" s="13" t="s">
        <v>0</v>
      </c>
      <c r="G154" s="13" t="s">
        <v>0</v>
      </c>
      <c r="H154" s="13">
        <f t="shared" si="6"/>
        <v>0</v>
      </c>
      <c r="I154" s="13" t="s">
        <v>0</v>
      </c>
      <c r="J154" s="13" t="s">
        <v>0</v>
      </c>
      <c r="K154" s="13">
        <v>6671.3</v>
      </c>
      <c r="L154" s="13"/>
      <c r="M154" s="13"/>
      <c r="N154" s="13"/>
      <c r="O154" s="13"/>
      <c r="P154" s="21">
        <v>0</v>
      </c>
    </row>
    <row r="155" spans="1:16" hidden="1" x14ac:dyDescent="0.25">
      <c r="A155" s="19" t="s">
        <v>0</v>
      </c>
      <c r="B155" s="14"/>
      <c r="C155" s="14" t="s">
        <v>534</v>
      </c>
      <c r="D155" s="14"/>
      <c r="E155" s="13" t="s">
        <v>0</v>
      </c>
      <c r="F155" s="13" t="s">
        <v>0</v>
      </c>
      <c r="G155" s="13" t="s">
        <v>0</v>
      </c>
      <c r="H155" s="13">
        <f t="shared" si="6"/>
        <v>0</v>
      </c>
      <c r="I155" s="13" t="s">
        <v>0</v>
      </c>
      <c r="J155" s="13" t="s">
        <v>0</v>
      </c>
      <c r="K155" s="13">
        <v>17260.8</v>
      </c>
      <c r="L155" s="13"/>
      <c r="M155" s="13"/>
      <c r="N155" s="13"/>
      <c r="O155" s="13"/>
      <c r="P155" s="21">
        <v>0</v>
      </c>
    </row>
    <row r="156" spans="1:16" hidden="1" x14ac:dyDescent="0.25">
      <c r="A156" s="19" t="s">
        <v>0</v>
      </c>
      <c r="B156" s="14"/>
      <c r="C156" s="14" t="s">
        <v>525</v>
      </c>
      <c r="D156" s="14"/>
      <c r="E156" s="13" t="s">
        <v>0</v>
      </c>
      <c r="F156" s="13" t="s">
        <v>0</v>
      </c>
      <c r="G156" s="13" t="s">
        <v>0</v>
      </c>
      <c r="H156" s="13">
        <f t="shared" si="6"/>
        <v>0</v>
      </c>
      <c r="I156" s="13" t="s">
        <v>0</v>
      </c>
      <c r="J156" s="13" t="s">
        <v>0</v>
      </c>
      <c r="K156" s="13"/>
      <c r="L156" s="13">
        <v>479</v>
      </c>
      <c r="M156" s="13"/>
      <c r="N156" s="13"/>
      <c r="O156" s="13"/>
      <c r="P156" s="21">
        <v>0</v>
      </c>
    </row>
    <row r="157" spans="1:16" hidden="1" x14ac:dyDescent="0.25">
      <c r="A157" s="19" t="s">
        <v>0</v>
      </c>
      <c r="B157" s="14"/>
      <c r="C157" s="14" t="s">
        <v>487</v>
      </c>
      <c r="D157" s="14"/>
      <c r="E157" s="13" t="s">
        <v>0</v>
      </c>
      <c r="F157" s="13" t="s">
        <v>0</v>
      </c>
      <c r="G157" s="13" t="s">
        <v>0</v>
      </c>
      <c r="H157" s="13"/>
      <c r="I157" s="13" t="s">
        <v>0</v>
      </c>
      <c r="J157" s="13" t="s">
        <v>0</v>
      </c>
      <c r="K157" s="13"/>
      <c r="L157" s="13">
        <v>0.1</v>
      </c>
      <c r="M157" s="13"/>
      <c r="N157" s="13"/>
      <c r="O157" s="13"/>
      <c r="P157" s="21">
        <v>0</v>
      </c>
    </row>
    <row r="158" spans="1:16" s="27" customFormat="1" x14ac:dyDescent="0.25">
      <c r="A158" s="23"/>
      <c r="B158" s="24"/>
      <c r="C158" s="24" t="s">
        <v>488</v>
      </c>
      <c r="D158" s="39">
        <v>246779414061</v>
      </c>
      <c r="E158" s="25" t="s">
        <v>0</v>
      </c>
      <c r="F158" s="25">
        <v>23453</v>
      </c>
      <c r="G158" s="25" t="s">
        <v>489</v>
      </c>
      <c r="H158" s="25">
        <v>479</v>
      </c>
      <c r="I158" s="25"/>
      <c r="J158" s="25"/>
      <c r="K158" s="25"/>
      <c r="L158" s="25"/>
      <c r="M158" s="25"/>
      <c r="N158" s="25"/>
      <c r="O158" s="25"/>
      <c r="P158" s="26">
        <v>0</v>
      </c>
    </row>
    <row r="159" spans="1:16" s="27" customFormat="1" hidden="1" x14ac:dyDescent="0.25">
      <c r="A159" s="23">
        <v>45809</v>
      </c>
      <c r="B159" s="24" t="s">
        <v>480</v>
      </c>
      <c r="C159" s="24" t="s">
        <v>481</v>
      </c>
      <c r="D159" s="24"/>
      <c r="E159" s="25" t="s">
        <v>0</v>
      </c>
      <c r="F159" s="25" t="s">
        <v>0</v>
      </c>
      <c r="G159" s="25" t="s">
        <v>0</v>
      </c>
      <c r="H159" s="13">
        <f t="shared" si="6"/>
        <v>0</v>
      </c>
      <c r="I159" s="25" t="s">
        <v>513</v>
      </c>
      <c r="J159" s="25"/>
      <c r="K159" s="25">
        <v>246.47</v>
      </c>
      <c r="L159" s="25" t="s">
        <v>483</v>
      </c>
      <c r="M159" s="25" t="s">
        <v>536</v>
      </c>
      <c r="N159" s="25"/>
      <c r="O159" s="25">
        <v>21271</v>
      </c>
      <c r="P159" s="26">
        <v>434</v>
      </c>
    </row>
    <row r="160" spans="1:16" hidden="1" x14ac:dyDescent="0.25">
      <c r="A160" s="19" t="s">
        <v>0</v>
      </c>
      <c r="B160" s="14"/>
      <c r="C160" s="14" t="s">
        <v>533</v>
      </c>
      <c r="D160" s="14"/>
      <c r="E160" s="13" t="s">
        <v>0</v>
      </c>
      <c r="F160" s="13" t="s">
        <v>0</v>
      </c>
      <c r="G160" s="13" t="s">
        <v>0</v>
      </c>
      <c r="H160" s="13">
        <f t="shared" si="6"/>
        <v>0</v>
      </c>
      <c r="I160" s="13" t="s">
        <v>0</v>
      </c>
      <c r="J160" s="13" t="s">
        <v>0</v>
      </c>
      <c r="K160" s="13">
        <v>4444.66</v>
      </c>
      <c r="L160" s="13"/>
      <c r="M160" s="13"/>
      <c r="N160" s="13"/>
      <c r="O160" s="13"/>
      <c r="P160" s="21">
        <v>0</v>
      </c>
    </row>
    <row r="161" spans="1:16" hidden="1" x14ac:dyDescent="0.25">
      <c r="A161" s="19" t="s">
        <v>0</v>
      </c>
      <c r="B161" s="14"/>
      <c r="C161" s="14" t="s">
        <v>534</v>
      </c>
      <c r="D161" s="14"/>
      <c r="E161" s="13" t="s">
        <v>0</v>
      </c>
      <c r="F161" s="13" t="s">
        <v>0</v>
      </c>
      <c r="G161" s="13" t="s">
        <v>0</v>
      </c>
      <c r="H161" s="13">
        <f t="shared" si="6"/>
        <v>0</v>
      </c>
      <c r="I161" s="13" t="s">
        <v>0</v>
      </c>
      <c r="J161" s="13" t="s">
        <v>0</v>
      </c>
      <c r="K161" s="13">
        <v>17260.8</v>
      </c>
      <c r="L161" s="13"/>
      <c r="M161" s="13"/>
      <c r="N161" s="13"/>
      <c r="O161" s="13"/>
      <c r="P161" s="21">
        <v>0</v>
      </c>
    </row>
    <row r="162" spans="1:16" hidden="1" x14ac:dyDescent="0.25">
      <c r="A162" s="19" t="s">
        <v>0</v>
      </c>
      <c r="B162" s="14"/>
      <c r="C162" s="14" t="s">
        <v>525</v>
      </c>
      <c r="D162" s="14"/>
      <c r="E162" s="13" t="s">
        <v>0</v>
      </c>
      <c r="F162" s="13" t="s">
        <v>0</v>
      </c>
      <c r="G162" s="13" t="s">
        <v>0</v>
      </c>
      <c r="H162" s="13">
        <f t="shared" si="6"/>
        <v>0</v>
      </c>
      <c r="I162" s="13" t="s">
        <v>0</v>
      </c>
      <c r="J162" s="13" t="s">
        <v>0</v>
      </c>
      <c r="K162" s="13"/>
      <c r="L162" s="13">
        <v>434</v>
      </c>
      <c r="M162" s="13"/>
      <c r="N162" s="13"/>
      <c r="O162" s="13"/>
      <c r="P162" s="21">
        <v>0</v>
      </c>
    </row>
    <row r="163" spans="1:16" hidden="1" x14ac:dyDescent="0.25">
      <c r="A163" s="19" t="s">
        <v>0</v>
      </c>
      <c r="B163" s="14"/>
      <c r="C163" s="14" t="s">
        <v>487</v>
      </c>
      <c r="D163" s="14"/>
      <c r="E163" s="13" t="s">
        <v>0</v>
      </c>
      <c r="F163" s="13" t="s">
        <v>0</v>
      </c>
      <c r="G163" s="13" t="s">
        <v>0</v>
      </c>
      <c r="H163" s="13"/>
      <c r="I163" s="13" t="s">
        <v>0</v>
      </c>
      <c r="J163" s="13" t="s">
        <v>0</v>
      </c>
      <c r="K163" s="13"/>
      <c r="L163" s="13">
        <v>0.46</v>
      </c>
      <c r="M163" s="13"/>
      <c r="N163" s="13"/>
      <c r="O163" s="13"/>
      <c r="P163" s="21">
        <v>0</v>
      </c>
    </row>
    <row r="164" spans="1:16" s="27" customFormat="1" x14ac:dyDescent="0.25">
      <c r="A164" s="23"/>
      <c r="B164" s="24"/>
      <c r="C164" s="24" t="s">
        <v>488</v>
      </c>
      <c r="D164" s="39">
        <v>246779414062</v>
      </c>
      <c r="E164" s="25" t="s">
        <v>0</v>
      </c>
      <c r="F164" s="25">
        <v>21271</v>
      </c>
      <c r="G164" s="25" t="s">
        <v>489</v>
      </c>
      <c r="H164" s="25">
        <v>434</v>
      </c>
      <c r="I164" s="25"/>
      <c r="J164" s="25"/>
      <c r="K164" s="25"/>
      <c r="L164" s="25"/>
      <c r="M164" s="25"/>
      <c r="N164" s="25"/>
      <c r="O164" s="25"/>
      <c r="P164" s="26">
        <v>0</v>
      </c>
    </row>
    <row r="165" spans="1:16" s="27" customFormat="1" hidden="1" x14ac:dyDescent="0.25">
      <c r="A165" s="23">
        <v>45809</v>
      </c>
      <c r="B165" s="24" t="s">
        <v>480</v>
      </c>
      <c r="C165" s="24" t="s">
        <v>481</v>
      </c>
      <c r="D165" s="24"/>
      <c r="E165" s="25" t="s">
        <v>0</v>
      </c>
      <c r="F165" s="25" t="s">
        <v>0</v>
      </c>
      <c r="G165" s="25" t="s">
        <v>0</v>
      </c>
      <c r="H165" s="13">
        <f t="shared" si="6"/>
        <v>0</v>
      </c>
      <c r="I165" s="25" t="s">
        <v>513</v>
      </c>
      <c r="J165" s="25"/>
      <c r="K165" s="25">
        <v>543.51</v>
      </c>
      <c r="L165" s="25" t="s">
        <v>483</v>
      </c>
      <c r="M165" s="25" t="s">
        <v>537</v>
      </c>
      <c r="N165" s="25"/>
      <c r="O165" s="25">
        <v>46907</v>
      </c>
      <c r="P165" s="26">
        <v>957</v>
      </c>
    </row>
    <row r="166" spans="1:16" hidden="1" x14ac:dyDescent="0.25">
      <c r="A166" s="19" t="s">
        <v>0</v>
      </c>
      <c r="B166" s="14"/>
      <c r="C166" s="14" t="s">
        <v>533</v>
      </c>
      <c r="D166" s="14"/>
      <c r="E166" s="13" t="s">
        <v>0</v>
      </c>
      <c r="F166" s="13" t="s">
        <v>0</v>
      </c>
      <c r="G166" s="13" t="s">
        <v>0</v>
      </c>
      <c r="H166" s="13">
        <f t="shared" si="6"/>
        <v>0</v>
      </c>
      <c r="I166" s="13" t="s">
        <v>0</v>
      </c>
      <c r="J166" s="13" t="s">
        <v>0</v>
      </c>
      <c r="K166" s="13">
        <v>13342.6</v>
      </c>
      <c r="L166" s="13"/>
      <c r="M166" s="13"/>
      <c r="N166" s="13"/>
      <c r="O166" s="13"/>
      <c r="P166" s="21">
        <v>0</v>
      </c>
    </row>
    <row r="167" spans="1:16" hidden="1" x14ac:dyDescent="0.25">
      <c r="A167" s="19" t="s">
        <v>0</v>
      </c>
      <c r="B167" s="14"/>
      <c r="C167" s="14" t="s">
        <v>534</v>
      </c>
      <c r="D167" s="14"/>
      <c r="E167" s="13" t="s">
        <v>0</v>
      </c>
      <c r="F167" s="13" t="s">
        <v>0</v>
      </c>
      <c r="G167" s="13" t="s">
        <v>0</v>
      </c>
      <c r="H167" s="13">
        <f t="shared" si="6"/>
        <v>0</v>
      </c>
      <c r="I167" s="13" t="s">
        <v>0</v>
      </c>
      <c r="J167" s="13" t="s">
        <v>0</v>
      </c>
      <c r="K167" s="13">
        <v>34521.599999999999</v>
      </c>
      <c r="L167" s="13"/>
      <c r="M167" s="13"/>
      <c r="N167" s="13"/>
      <c r="O167" s="13"/>
      <c r="P167" s="21">
        <v>0</v>
      </c>
    </row>
    <row r="168" spans="1:16" hidden="1" x14ac:dyDescent="0.25">
      <c r="A168" s="19" t="s">
        <v>0</v>
      </c>
      <c r="B168" s="14"/>
      <c r="C168" s="14" t="s">
        <v>525</v>
      </c>
      <c r="D168" s="14"/>
      <c r="E168" s="13" t="s">
        <v>0</v>
      </c>
      <c r="F168" s="13" t="s">
        <v>0</v>
      </c>
      <c r="G168" s="13" t="s">
        <v>0</v>
      </c>
      <c r="H168" s="13">
        <f t="shared" si="6"/>
        <v>0</v>
      </c>
      <c r="I168" s="13" t="s">
        <v>0</v>
      </c>
      <c r="J168" s="13" t="s">
        <v>0</v>
      </c>
      <c r="K168" s="13"/>
      <c r="L168" s="13">
        <v>957</v>
      </c>
      <c r="M168" s="13"/>
      <c r="N168" s="13"/>
      <c r="O168" s="13"/>
      <c r="P168" s="21">
        <v>0</v>
      </c>
    </row>
    <row r="169" spans="1:16" hidden="1" x14ac:dyDescent="0.25">
      <c r="A169" s="19" t="s">
        <v>0</v>
      </c>
      <c r="B169" s="14"/>
      <c r="C169" s="14" t="s">
        <v>487</v>
      </c>
      <c r="D169" s="14"/>
      <c r="E169" s="13" t="s">
        <v>0</v>
      </c>
      <c r="F169" s="13" t="s">
        <v>0</v>
      </c>
      <c r="G169" s="13" t="s">
        <v>0</v>
      </c>
      <c r="H169" s="13"/>
      <c r="I169" s="13" t="s">
        <v>0</v>
      </c>
      <c r="J169" s="13" t="s">
        <v>0</v>
      </c>
      <c r="K169" s="13"/>
      <c r="L169" s="13">
        <v>0.2</v>
      </c>
      <c r="M169" s="13"/>
      <c r="N169" s="13"/>
      <c r="O169" s="13"/>
      <c r="P169" s="21">
        <v>0</v>
      </c>
    </row>
    <row r="170" spans="1:16" s="27" customFormat="1" x14ac:dyDescent="0.25">
      <c r="A170" s="23"/>
      <c r="B170" s="24"/>
      <c r="C170" s="24" t="s">
        <v>488</v>
      </c>
      <c r="D170" s="39">
        <v>246779414063</v>
      </c>
      <c r="E170" s="25" t="s">
        <v>0</v>
      </c>
      <c r="F170" s="25">
        <v>46907</v>
      </c>
      <c r="G170" s="25" t="s">
        <v>489</v>
      </c>
      <c r="H170" s="25">
        <v>957</v>
      </c>
      <c r="I170" s="25"/>
      <c r="J170" s="25"/>
      <c r="K170" s="25"/>
      <c r="L170" s="25"/>
      <c r="M170" s="25"/>
      <c r="N170" s="25"/>
      <c r="O170" s="25"/>
      <c r="P170" s="26">
        <v>0</v>
      </c>
    </row>
    <row r="171" spans="1:16" s="27" customFormat="1" hidden="1" x14ac:dyDescent="0.25">
      <c r="A171" s="23">
        <v>45809</v>
      </c>
      <c r="B171" s="24" t="s">
        <v>480</v>
      </c>
      <c r="C171" s="24" t="s">
        <v>481</v>
      </c>
      <c r="D171" s="24"/>
      <c r="E171" s="25" t="s">
        <v>0</v>
      </c>
      <c r="F171" s="25" t="s">
        <v>0</v>
      </c>
      <c r="G171" s="25" t="s">
        <v>0</v>
      </c>
      <c r="H171" s="13">
        <f t="shared" si="6"/>
        <v>0</v>
      </c>
      <c r="I171" s="25" t="s">
        <v>513</v>
      </c>
      <c r="J171" s="25"/>
      <c r="K171" s="25">
        <v>346.14</v>
      </c>
      <c r="L171" s="25" t="s">
        <v>483</v>
      </c>
      <c r="M171" s="25" t="s">
        <v>538</v>
      </c>
      <c r="N171" s="25"/>
      <c r="O171" s="25">
        <v>29873</v>
      </c>
      <c r="P171" s="26">
        <v>610</v>
      </c>
    </row>
    <row r="172" spans="1:16" hidden="1" x14ac:dyDescent="0.25">
      <c r="A172" s="19" t="s">
        <v>0</v>
      </c>
      <c r="B172" s="14"/>
      <c r="C172" s="14" t="s">
        <v>533</v>
      </c>
      <c r="D172" s="14"/>
      <c r="E172" s="13" t="s">
        <v>0</v>
      </c>
      <c r="F172" s="13" t="s">
        <v>0</v>
      </c>
      <c r="G172" s="13" t="s">
        <v>0</v>
      </c>
      <c r="H172" s="13">
        <f t="shared" si="6"/>
        <v>0</v>
      </c>
      <c r="I172" s="13" t="s">
        <v>0</v>
      </c>
      <c r="J172" s="13" t="s">
        <v>0</v>
      </c>
      <c r="K172" s="13">
        <v>11495.69</v>
      </c>
      <c r="L172" s="13"/>
      <c r="M172" s="13"/>
      <c r="N172" s="13"/>
      <c r="O172" s="13"/>
      <c r="P172" s="21">
        <v>0</v>
      </c>
    </row>
    <row r="173" spans="1:16" hidden="1" x14ac:dyDescent="0.25">
      <c r="A173" s="19" t="s">
        <v>0</v>
      </c>
      <c r="B173" s="14"/>
      <c r="C173" s="14" t="s">
        <v>534</v>
      </c>
      <c r="D173" s="14"/>
      <c r="E173" s="13" t="s">
        <v>0</v>
      </c>
      <c r="F173" s="13" t="s">
        <v>0</v>
      </c>
      <c r="G173" s="13" t="s">
        <v>0</v>
      </c>
      <c r="H173" s="13">
        <f t="shared" si="6"/>
        <v>0</v>
      </c>
      <c r="I173" s="13" t="s">
        <v>0</v>
      </c>
      <c r="J173" s="13" t="s">
        <v>0</v>
      </c>
      <c r="K173" s="13">
        <v>18986.88</v>
      </c>
      <c r="L173" s="13"/>
      <c r="M173" s="13"/>
      <c r="N173" s="13"/>
      <c r="O173" s="13"/>
      <c r="P173" s="21">
        <v>0</v>
      </c>
    </row>
    <row r="174" spans="1:16" hidden="1" x14ac:dyDescent="0.25">
      <c r="A174" s="19" t="s">
        <v>0</v>
      </c>
      <c r="B174" s="14"/>
      <c r="C174" s="14" t="s">
        <v>525</v>
      </c>
      <c r="D174" s="14"/>
      <c r="E174" s="13" t="s">
        <v>0</v>
      </c>
      <c r="F174" s="13" t="s">
        <v>0</v>
      </c>
      <c r="G174" s="13" t="s">
        <v>0</v>
      </c>
      <c r="H174" s="13">
        <f t="shared" si="6"/>
        <v>0</v>
      </c>
      <c r="I174" s="13" t="s">
        <v>0</v>
      </c>
      <c r="J174" s="13" t="s">
        <v>0</v>
      </c>
      <c r="K174" s="13"/>
      <c r="L174" s="13">
        <v>610</v>
      </c>
      <c r="M174" s="13"/>
      <c r="N174" s="13"/>
      <c r="O174" s="13"/>
      <c r="P174" s="21">
        <v>0</v>
      </c>
    </row>
    <row r="175" spans="1:16" hidden="1" x14ac:dyDescent="0.25">
      <c r="A175" s="19" t="s">
        <v>0</v>
      </c>
      <c r="B175" s="14"/>
      <c r="C175" s="14" t="s">
        <v>487</v>
      </c>
      <c r="D175" s="14"/>
      <c r="E175" s="13" t="s">
        <v>0</v>
      </c>
      <c r="F175" s="13" t="s">
        <v>0</v>
      </c>
      <c r="G175" s="13" t="s">
        <v>0</v>
      </c>
      <c r="H175" s="13"/>
      <c r="I175" s="13" t="s">
        <v>0</v>
      </c>
      <c r="J175" s="13" t="s">
        <v>0</v>
      </c>
      <c r="K175" s="13">
        <v>0.43</v>
      </c>
      <c r="L175" s="13"/>
      <c r="M175" s="13"/>
      <c r="N175" s="13"/>
      <c r="O175" s="13"/>
      <c r="P175" s="21">
        <v>0</v>
      </c>
    </row>
    <row r="176" spans="1:16" s="27" customFormat="1" x14ac:dyDescent="0.25">
      <c r="A176" s="23"/>
      <c r="B176" s="24"/>
      <c r="C176" s="24" t="s">
        <v>488</v>
      </c>
      <c r="D176" s="39">
        <v>246779414064</v>
      </c>
      <c r="E176" s="25" t="s">
        <v>0</v>
      </c>
      <c r="F176" s="25">
        <v>29873</v>
      </c>
      <c r="G176" s="25" t="s">
        <v>489</v>
      </c>
      <c r="H176" s="25">
        <v>610</v>
      </c>
      <c r="I176" s="25"/>
      <c r="J176" s="25"/>
      <c r="K176" s="25"/>
      <c r="L176" s="25"/>
      <c r="M176" s="25"/>
      <c r="N176" s="25"/>
      <c r="O176" s="25"/>
      <c r="P176" s="26">
        <v>0</v>
      </c>
    </row>
    <row r="177" spans="1:16" s="27" customFormat="1" hidden="1" x14ac:dyDescent="0.25">
      <c r="A177" s="23">
        <v>45809</v>
      </c>
      <c r="B177" s="24" t="s">
        <v>480</v>
      </c>
      <c r="C177" s="24" t="s">
        <v>481</v>
      </c>
      <c r="D177" s="24"/>
      <c r="E177" s="25" t="s">
        <v>0</v>
      </c>
      <c r="F177" s="25" t="s">
        <v>0</v>
      </c>
      <c r="G177" s="25" t="s">
        <v>0</v>
      </c>
      <c r="H177" s="13">
        <f t="shared" si="6"/>
        <v>0</v>
      </c>
      <c r="I177" s="25" t="s">
        <v>513</v>
      </c>
      <c r="J177" s="25"/>
      <c r="K177" s="25">
        <v>271.75</v>
      </c>
      <c r="L177" s="25" t="s">
        <v>483</v>
      </c>
      <c r="M177" s="25" t="s">
        <v>539</v>
      </c>
      <c r="N177" s="25"/>
      <c r="O177" s="25">
        <v>23453</v>
      </c>
      <c r="P177" s="26">
        <v>479</v>
      </c>
    </row>
    <row r="178" spans="1:16" hidden="1" x14ac:dyDescent="0.25">
      <c r="A178" s="19" t="s">
        <v>0</v>
      </c>
      <c r="B178" s="14"/>
      <c r="C178" s="14" t="s">
        <v>533</v>
      </c>
      <c r="D178" s="14"/>
      <c r="E178" s="13" t="s">
        <v>0</v>
      </c>
      <c r="F178" s="13" t="s">
        <v>0</v>
      </c>
      <c r="G178" s="13" t="s">
        <v>0</v>
      </c>
      <c r="H178" s="13">
        <f t="shared" si="6"/>
        <v>0</v>
      </c>
      <c r="I178" s="13" t="s">
        <v>0</v>
      </c>
      <c r="J178" s="13" t="s">
        <v>0</v>
      </c>
      <c r="K178" s="13">
        <v>6671.3</v>
      </c>
      <c r="L178" s="13"/>
      <c r="M178" s="13"/>
      <c r="N178" s="13"/>
      <c r="O178" s="13"/>
      <c r="P178" s="21">
        <v>0</v>
      </c>
    </row>
    <row r="179" spans="1:16" hidden="1" x14ac:dyDescent="0.25">
      <c r="A179" s="19" t="s">
        <v>0</v>
      </c>
      <c r="B179" s="14"/>
      <c r="C179" s="14" t="s">
        <v>534</v>
      </c>
      <c r="D179" s="14"/>
      <c r="E179" s="13" t="s">
        <v>0</v>
      </c>
      <c r="F179" s="13" t="s">
        <v>0</v>
      </c>
      <c r="G179" s="13" t="s">
        <v>0</v>
      </c>
      <c r="H179" s="13">
        <f t="shared" si="6"/>
        <v>0</v>
      </c>
      <c r="I179" s="13" t="s">
        <v>0</v>
      </c>
      <c r="J179" s="13" t="s">
        <v>0</v>
      </c>
      <c r="K179" s="13">
        <v>17260.8</v>
      </c>
      <c r="L179" s="13"/>
      <c r="M179" s="13"/>
      <c r="N179" s="13"/>
      <c r="O179" s="13"/>
      <c r="P179" s="21">
        <v>0</v>
      </c>
    </row>
    <row r="180" spans="1:16" hidden="1" x14ac:dyDescent="0.25">
      <c r="A180" s="19" t="s">
        <v>0</v>
      </c>
      <c r="B180" s="14"/>
      <c r="C180" s="14" t="s">
        <v>525</v>
      </c>
      <c r="D180" s="14"/>
      <c r="E180" s="13" t="s">
        <v>0</v>
      </c>
      <c r="F180" s="13" t="s">
        <v>0</v>
      </c>
      <c r="G180" s="13" t="s">
        <v>0</v>
      </c>
      <c r="H180" s="13">
        <f t="shared" si="6"/>
        <v>0</v>
      </c>
      <c r="I180" s="13" t="s">
        <v>0</v>
      </c>
      <c r="J180" s="13" t="s">
        <v>0</v>
      </c>
      <c r="K180" s="13"/>
      <c r="L180" s="13">
        <v>479</v>
      </c>
      <c r="M180" s="13"/>
      <c r="N180" s="13"/>
      <c r="O180" s="13"/>
      <c r="P180" s="21">
        <v>0</v>
      </c>
    </row>
    <row r="181" spans="1:16" hidden="1" x14ac:dyDescent="0.25">
      <c r="A181" s="19" t="s">
        <v>0</v>
      </c>
      <c r="B181" s="14"/>
      <c r="C181" s="14" t="s">
        <v>487</v>
      </c>
      <c r="D181" s="14"/>
      <c r="E181" s="13" t="s">
        <v>0</v>
      </c>
      <c r="F181" s="13" t="s">
        <v>0</v>
      </c>
      <c r="G181" s="13" t="s">
        <v>0</v>
      </c>
      <c r="H181" s="13"/>
      <c r="I181" s="13" t="s">
        <v>0</v>
      </c>
      <c r="J181" s="13" t="s">
        <v>0</v>
      </c>
      <c r="K181" s="13"/>
      <c r="L181" s="13">
        <v>0.1</v>
      </c>
      <c r="M181" s="13"/>
      <c r="N181" s="13"/>
      <c r="O181" s="13"/>
      <c r="P181" s="21">
        <v>0</v>
      </c>
    </row>
    <row r="182" spans="1:16" s="27" customFormat="1" x14ac:dyDescent="0.25">
      <c r="A182" s="23"/>
      <c r="B182" s="24"/>
      <c r="C182" s="24" t="s">
        <v>488</v>
      </c>
      <c r="D182" s="39">
        <v>246779414065</v>
      </c>
      <c r="E182" s="25" t="s">
        <v>0</v>
      </c>
      <c r="F182" s="25">
        <v>23453</v>
      </c>
      <c r="G182" s="25" t="s">
        <v>489</v>
      </c>
      <c r="H182" s="25">
        <v>479</v>
      </c>
      <c r="I182" s="25"/>
      <c r="J182" s="25"/>
      <c r="K182" s="25"/>
      <c r="L182" s="25"/>
      <c r="M182" s="25"/>
      <c r="N182" s="25"/>
      <c r="O182" s="25"/>
      <c r="P182" s="26">
        <v>0</v>
      </c>
    </row>
    <row r="183" spans="1:16" hidden="1" x14ac:dyDescent="0.25">
      <c r="A183" s="19">
        <v>45809</v>
      </c>
      <c r="B183" s="14" t="s">
        <v>480</v>
      </c>
      <c r="C183" s="14" t="s">
        <v>481</v>
      </c>
      <c r="D183" s="14"/>
      <c r="E183" s="13" t="s">
        <v>0</v>
      </c>
      <c r="F183" s="13" t="s">
        <v>0</v>
      </c>
      <c r="G183" s="13" t="s">
        <v>0</v>
      </c>
      <c r="H183" s="13">
        <f t="shared" si="6"/>
        <v>0</v>
      </c>
      <c r="I183" s="13" t="s">
        <v>513</v>
      </c>
      <c r="J183" s="13"/>
      <c r="K183" s="13">
        <v>20.72</v>
      </c>
      <c r="L183" s="13" t="s">
        <v>483</v>
      </c>
      <c r="M183" s="13" t="s">
        <v>540</v>
      </c>
      <c r="N183" s="13"/>
      <c r="O183" s="13">
        <v>1788</v>
      </c>
      <c r="P183" s="21">
        <v>36</v>
      </c>
    </row>
    <row r="184" spans="1:16" hidden="1" x14ac:dyDescent="0.25">
      <c r="A184" s="19" t="s">
        <v>0</v>
      </c>
      <c r="B184" s="14"/>
      <c r="C184" s="14" t="s">
        <v>533</v>
      </c>
      <c r="D184" s="14"/>
      <c r="E184" s="13" t="s">
        <v>0</v>
      </c>
      <c r="F184" s="13" t="s">
        <v>0</v>
      </c>
      <c r="G184" s="13" t="s">
        <v>0</v>
      </c>
      <c r="H184" s="13">
        <f t="shared" si="6"/>
        <v>0</v>
      </c>
      <c r="I184" s="13" t="s">
        <v>0</v>
      </c>
      <c r="J184" s="13" t="s">
        <v>0</v>
      </c>
      <c r="K184" s="13">
        <v>1823.6</v>
      </c>
      <c r="L184" s="13"/>
      <c r="M184" s="13"/>
      <c r="N184" s="13"/>
      <c r="O184" s="13"/>
      <c r="P184" s="21">
        <v>0</v>
      </c>
    </row>
    <row r="185" spans="1:16" hidden="1" x14ac:dyDescent="0.25">
      <c r="A185" s="19" t="s">
        <v>0</v>
      </c>
      <c r="B185" s="14"/>
      <c r="C185" s="14" t="s">
        <v>525</v>
      </c>
      <c r="D185" s="14"/>
      <c r="E185" s="13" t="s">
        <v>0</v>
      </c>
      <c r="F185" s="13" t="s">
        <v>0</v>
      </c>
      <c r="G185" s="13" t="s">
        <v>0</v>
      </c>
      <c r="H185" s="13">
        <f t="shared" si="6"/>
        <v>0</v>
      </c>
      <c r="I185" s="13" t="s">
        <v>0</v>
      </c>
      <c r="J185" s="13" t="s">
        <v>0</v>
      </c>
      <c r="K185" s="13"/>
      <c r="L185" s="13">
        <v>36</v>
      </c>
      <c r="M185" s="13"/>
      <c r="N185" s="13"/>
      <c r="O185" s="13"/>
      <c r="P185" s="21">
        <v>0</v>
      </c>
    </row>
    <row r="186" spans="1:16" hidden="1" x14ac:dyDescent="0.25">
      <c r="A186" s="19" t="s">
        <v>0</v>
      </c>
      <c r="B186" s="14"/>
      <c r="C186" s="14" t="s">
        <v>487</v>
      </c>
      <c r="D186" s="14"/>
      <c r="E186" s="13" t="s">
        <v>0</v>
      </c>
      <c r="F186" s="13" t="s">
        <v>0</v>
      </c>
      <c r="G186" s="13" t="s">
        <v>0</v>
      </c>
      <c r="H186" s="13">
        <f t="shared" si="6"/>
        <v>0</v>
      </c>
      <c r="I186" s="13" t="s">
        <v>0</v>
      </c>
      <c r="J186" s="13" t="s">
        <v>0</v>
      </c>
      <c r="K186" s="13">
        <v>0.4</v>
      </c>
      <c r="L186" s="13"/>
      <c r="M186" s="13"/>
      <c r="N186" s="13"/>
      <c r="O186" s="13"/>
      <c r="P186" s="21">
        <v>0</v>
      </c>
    </row>
    <row r="187" spans="1:16" x14ac:dyDescent="0.25">
      <c r="A187" s="19"/>
      <c r="B187" s="14"/>
      <c r="C187" s="14" t="s">
        <v>488</v>
      </c>
      <c r="D187" s="38">
        <v>246779414066</v>
      </c>
      <c r="E187" s="13" t="s">
        <v>0</v>
      </c>
      <c r="F187" s="13">
        <v>1788</v>
      </c>
      <c r="G187" s="13" t="s">
        <v>489</v>
      </c>
      <c r="H187" s="13">
        <f t="shared" si="6"/>
        <v>36</v>
      </c>
      <c r="I187" s="13"/>
      <c r="J187" s="13"/>
      <c r="K187" s="13"/>
      <c r="L187" s="13"/>
      <c r="M187" s="13"/>
      <c r="N187" s="13"/>
      <c r="O187" s="13"/>
      <c r="P187" s="21">
        <v>0</v>
      </c>
    </row>
    <row r="188" spans="1:16" hidden="1" x14ac:dyDescent="0.25">
      <c r="A188" s="19">
        <v>45809</v>
      </c>
      <c r="B188" s="14" t="s">
        <v>480</v>
      </c>
      <c r="C188" s="14" t="s">
        <v>481</v>
      </c>
      <c r="D188" s="14"/>
      <c r="E188" s="13" t="s">
        <v>0</v>
      </c>
      <c r="F188" s="13" t="s">
        <v>0</v>
      </c>
      <c r="G188" s="13" t="s">
        <v>0</v>
      </c>
      <c r="H188" s="13">
        <f t="shared" si="6"/>
        <v>0</v>
      </c>
      <c r="I188" s="13" t="s">
        <v>513</v>
      </c>
      <c r="J188" s="13"/>
      <c r="K188" s="13">
        <v>34.299999999999997</v>
      </c>
      <c r="L188" s="13" t="s">
        <v>483</v>
      </c>
      <c r="M188" s="13" t="s">
        <v>541</v>
      </c>
      <c r="N188" s="13"/>
      <c r="O188" s="13">
        <v>2987</v>
      </c>
      <c r="P188" s="21">
        <v>61</v>
      </c>
    </row>
    <row r="189" spans="1:16" hidden="1" x14ac:dyDescent="0.25">
      <c r="A189" s="19" t="s">
        <v>0</v>
      </c>
      <c r="B189" s="14"/>
      <c r="C189" s="14" t="s">
        <v>533</v>
      </c>
      <c r="D189" s="14"/>
      <c r="E189" s="13" t="s">
        <v>0</v>
      </c>
      <c r="F189" s="13" t="s">
        <v>0</v>
      </c>
      <c r="G189" s="13" t="s">
        <v>0</v>
      </c>
      <c r="H189" s="13">
        <f t="shared" si="6"/>
        <v>0</v>
      </c>
      <c r="I189" s="13" t="s">
        <v>0</v>
      </c>
      <c r="J189" s="13" t="s">
        <v>0</v>
      </c>
      <c r="K189" s="13">
        <v>3047.92</v>
      </c>
      <c r="L189" s="13"/>
      <c r="M189" s="13"/>
      <c r="N189" s="13"/>
      <c r="O189" s="13"/>
      <c r="P189" s="21">
        <v>0</v>
      </c>
    </row>
    <row r="190" spans="1:16" hidden="1" x14ac:dyDescent="0.25">
      <c r="A190" s="19" t="s">
        <v>0</v>
      </c>
      <c r="B190" s="14"/>
      <c r="C190" s="14" t="s">
        <v>525</v>
      </c>
      <c r="D190" s="14"/>
      <c r="E190" s="13" t="s">
        <v>0</v>
      </c>
      <c r="F190" s="13" t="s">
        <v>0</v>
      </c>
      <c r="G190" s="13" t="s">
        <v>0</v>
      </c>
      <c r="H190" s="13">
        <f t="shared" si="6"/>
        <v>0</v>
      </c>
      <c r="I190" s="13" t="s">
        <v>0</v>
      </c>
      <c r="J190" s="13" t="s">
        <v>0</v>
      </c>
      <c r="K190" s="13"/>
      <c r="L190" s="13">
        <v>61</v>
      </c>
      <c r="M190" s="13"/>
      <c r="N190" s="13"/>
      <c r="O190" s="13"/>
      <c r="P190" s="21">
        <v>0</v>
      </c>
    </row>
    <row r="191" spans="1:16" hidden="1" x14ac:dyDescent="0.25">
      <c r="A191" s="19" t="s">
        <v>0</v>
      </c>
      <c r="B191" s="14"/>
      <c r="C191" s="14" t="s">
        <v>487</v>
      </c>
      <c r="D191" s="14"/>
      <c r="E191" s="13" t="s">
        <v>0</v>
      </c>
      <c r="F191" s="13" t="s">
        <v>0</v>
      </c>
      <c r="G191" s="13" t="s">
        <v>0</v>
      </c>
      <c r="H191" s="13">
        <f t="shared" si="6"/>
        <v>0</v>
      </c>
      <c r="I191" s="13" t="s">
        <v>0</v>
      </c>
      <c r="J191" s="13" t="s">
        <v>0</v>
      </c>
      <c r="K191" s="13">
        <v>0.08</v>
      </c>
      <c r="L191" s="13"/>
      <c r="M191" s="13"/>
      <c r="N191" s="13"/>
      <c r="O191" s="13"/>
      <c r="P191" s="21">
        <v>0</v>
      </c>
    </row>
    <row r="192" spans="1:16" x14ac:dyDescent="0.25">
      <c r="A192" s="19"/>
      <c r="B192" s="14"/>
      <c r="C192" s="14" t="s">
        <v>488</v>
      </c>
      <c r="D192" s="38">
        <v>246779411302</v>
      </c>
      <c r="E192" s="13" t="s">
        <v>0</v>
      </c>
      <c r="F192" s="13">
        <v>2987</v>
      </c>
      <c r="G192" s="13" t="s">
        <v>489</v>
      </c>
      <c r="H192" s="13">
        <f t="shared" si="6"/>
        <v>61</v>
      </c>
      <c r="I192" s="13"/>
      <c r="J192" s="13"/>
      <c r="K192" s="13"/>
      <c r="L192" s="13"/>
      <c r="M192" s="13"/>
      <c r="N192" s="13"/>
      <c r="O192" s="13"/>
      <c r="P192" s="21">
        <v>0</v>
      </c>
    </row>
    <row r="193" spans="1:16" hidden="1" x14ac:dyDescent="0.25">
      <c r="A193" s="19">
        <v>45809</v>
      </c>
      <c r="B193" s="14" t="s">
        <v>480</v>
      </c>
      <c r="C193" s="14" t="s">
        <v>481</v>
      </c>
      <c r="D193" s="14"/>
      <c r="E193" s="13" t="s">
        <v>0</v>
      </c>
      <c r="F193" s="13" t="s">
        <v>0</v>
      </c>
      <c r="G193" s="13" t="s">
        <v>0</v>
      </c>
      <c r="H193" s="13">
        <f t="shared" si="6"/>
        <v>0</v>
      </c>
      <c r="I193" s="13" t="s">
        <v>513</v>
      </c>
      <c r="J193" s="13"/>
      <c r="K193" s="13">
        <v>25.51</v>
      </c>
      <c r="L193" s="13" t="s">
        <v>483</v>
      </c>
      <c r="M193" s="13" t="s">
        <v>542</v>
      </c>
      <c r="N193" s="13"/>
      <c r="O193" s="13">
        <v>2207</v>
      </c>
      <c r="P193" s="21">
        <v>45</v>
      </c>
    </row>
    <row r="194" spans="1:16" hidden="1" x14ac:dyDescent="0.25">
      <c r="A194" s="19" t="s">
        <v>0</v>
      </c>
      <c r="B194" s="14"/>
      <c r="C194" s="14" t="s">
        <v>533</v>
      </c>
      <c r="D194" s="14"/>
      <c r="E194" s="13" t="s">
        <v>0</v>
      </c>
      <c r="F194" s="13" t="s">
        <v>0</v>
      </c>
      <c r="G194" s="13" t="s">
        <v>0</v>
      </c>
      <c r="H194" s="13">
        <f t="shared" si="6"/>
        <v>0</v>
      </c>
      <c r="I194" s="13" t="s">
        <v>0</v>
      </c>
      <c r="J194" s="13" t="s">
        <v>0</v>
      </c>
      <c r="K194" s="13">
        <v>2252.5</v>
      </c>
      <c r="L194" s="13"/>
      <c r="M194" s="13"/>
      <c r="N194" s="13"/>
      <c r="O194" s="13"/>
      <c r="P194" s="21">
        <v>0</v>
      </c>
    </row>
    <row r="195" spans="1:16" hidden="1" x14ac:dyDescent="0.25">
      <c r="A195" s="19" t="s">
        <v>0</v>
      </c>
      <c r="B195" s="14"/>
      <c r="C195" s="14" t="s">
        <v>525</v>
      </c>
      <c r="D195" s="14"/>
      <c r="E195" s="13" t="s">
        <v>0</v>
      </c>
      <c r="F195" s="13" t="s">
        <v>0</v>
      </c>
      <c r="G195" s="13" t="s">
        <v>0</v>
      </c>
      <c r="H195" s="13">
        <f t="shared" si="6"/>
        <v>0</v>
      </c>
      <c r="I195" s="13" t="s">
        <v>0</v>
      </c>
      <c r="J195" s="13" t="s">
        <v>0</v>
      </c>
      <c r="K195" s="13"/>
      <c r="L195" s="13">
        <v>45</v>
      </c>
      <c r="M195" s="13"/>
      <c r="N195" s="13"/>
      <c r="O195" s="13"/>
      <c r="P195" s="21">
        <v>0</v>
      </c>
    </row>
    <row r="196" spans="1:16" hidden="1" x14ac:dyDescent="0.25">
      <c r="A196" s="19" t="s">
        <v>0</v>
      </c>
      <c r="B196" s="14"/>
      <c r="C196" s="14" t="s">
        <v>487</v>
      </c>
      <c r="D196" s="14"/>
      <c r="E196" s="13" t="s">
        <v>0</v>
      </c>
      <c r="F196" s="13" t="s">
        <v>0</v>
      </c>
      <c r="G196" s="13" t="s">
        <v>0</v>
      </c>
      <c r="H196" s="13">
        <f t="shared" si="6"/>
        <v>0</v>
      </c>
      <c r="I196" s="13" t="s">
        <v>0</v>
      </c>
      <c r="J196" s="13" t="s">
        <v>0</v>
      </c>
      <c r="K196" s="13"/>
      <c r="L196" s="13">
        <v>0.5</v>
      </c>
      <c r="M196" s="13"/>
      <c r="N196" s="13"/>
      <c r="O196" s="13"/>
      <c r="P196" s="21">
        <v>0</v>
      </c>
    </row>
    <row r="197" spans="1:16" x14ac:dyDescent="0.25">
      <c r="A197" s="19"/>
      <c r="B197" s="14"/>
      <c r="C197" s="14" t="s">
        <v>488</v>
      </c>
      <c r="D197" s="38">
        <v>246779413220</v>
      </c>
      <c r="E197" s="13" t="s">
        <v>0</v>
      </c>
      <c r="F197" s="13">
        <v>2207</v>
      </c>
      <c r="G197" s="13" t="s">
        <v>489</v>
      </c>
      <c r="H197" s="13">
        <f t="shared" si="6"/>
        <v>45</v>
      </c>
      <c r="I197" s="13"/>
      <c r="J197" s="13"/>
      <c r="K197" s="13"/>
      <c r="L197" s="13"/>
      <c r="M197" s="13"/>
      <c r="N197" s="13"/>
      <c r="O197" s="13"/>
      <c r="P197" s="21">
        <v>0</v>
      </c>
    </row>
    <row r="198" spans="1:16" hidden="1" x14ac:dyDescent="0.25">
      <c r="A198" s="19">
        <v>45809</v>
      </c>
      <c r="B198" s="14" t="s">
        <v>480</v>
      </c>
      <c r="C198" s="14" t="s">
        <v>481</v>
      </c>
      <c r="D198" s="14"/>
      <c r="E198" s="13" t="s">
        <v>0</v>
      </c>
      <c r="F198" s="13" t="s">
        <v>0</v>
      </c>
      <c r="G198" s="13" t="s">
        <v>0</v>
      </c>
      <c r="H198" s="13">
        <f t="shared" si="6"/>
        <v>0</v>
      </c>
      <c r="I198" s="13" t="s">
        <v>513</v>
      </c>
      <c r="J198" s="13"/>
      <c r="K198" s="13">
        <v>125.95</v>
      </c>
      <c r="L198" s="13" t="s">
        <v>483</v>
      </c>
      <c r="M198" s="13" t="s">
        <v>543</v>
      </c>
      <c r="N198" s="13"/>
      <c r="O198" s="13">
        <v>10870</v>
      </c>
      <c r="P198" s="21">
        <v>222</v>
      </c>
    </row>
    <row r="199" spans="1:16" hidden="1" x14ac:dyDescent="0.25">
      <c r="A199" s="19" t="s">
        <v>0</v>
      </c>
      <c r="B199" s="14"/>
      <c r="C199" s="14" t="s">
        <v>544</v>
      </c>
      <c r="D199" s="14"/>
      <c r="E199" s="13" t="s">
        <v>0</v>
      </c>
      <c r="F199" s="13" t="s">
        <v>0</v>
      </c>
      <c r="G199" s="13" t="s">
        <v>0</v>
      </c>
      <c r="H199" s="13">
        <f t="shared" si="6"/>
        <v>0</v>
      </c>
      <c r="I199" s="13" t="s">
        <v>0</v>
      </c>
      <c r="J199" s="13" t="s">
        <v>0</v>
      </c>
      <c r="K199" s="13">
        <v>11091.79</v>
      </c>
      <c r="L199" s="13"/>
      <c r="M199" s="13"/>
      <c r="N199" s="13"/>
      <c r="O199" s="13"/>
      <c r="P199" s="21">
        <v>0</v>
      </c>
    </row>
    <row r="200" spans="1:16" hidden="1" x14ac:dyDescent="0.25">
      <c r="A200" s="19" t="s">
        <v>0</v>
      </c>
      <c r="B200" s="14"/>
      <c r="C200" s="14" t="s">
        <v>525</v>
      </c>
      <c r="D200" s="14"/>
      <c r="E200" s="13" t="s">
        <v>0</v>
      </c>
      <c r="F200" s="13" t="s">
        <v>0</v>
      </c>
      <c r="G200" s="13" t="s">
        <v>0</v>
      </c>
      <c r="H200" s="13">
        <f t="shared" ref="H200:H263" si="7">P196</f>
        <v>0</v>
      </c>
      <c r="I200" s="13" t="s">
        <v>0</v>
      </c>
      <c r="J200" s="13" t="s">
        <v>0</v>
      </c>
      <c r="K200" s="13"/>
      <c r="L200" s="13">
        <v>222</v>
      </c>
      <c r="M200" s="13"/>
      <c r="N200" s="13"/>
      <c r="O200" s="13"/>
      <c r="P200" s="21">
        <v>0</v>
      </c>
    </row>
    <row r="201" spans="1:16" hidden="1" x14ac:dyDescent="0.25">
      <c r="A201" s="19" t="s">
        <v>0</v>
      </c>
      <c r="B201" s="14"/>
      <c r="C201" s="14" t="s">
        <v>487</v>
      </c>
      <c r="D201" s="14"/>
      <c r="E201" s="13" t="s">
        <v>0</v>
      </c>
      <c r="F201" s="13" t="s">
        <v>0</v>
      </c>
      <c r="G201" s="13" t="s">
        <v>0</v>
      </c>
      <c r="H201" s="13">
        <f t="shared" si="7"/>
        <v>0</v>
      </c>
      <c r="I201" s="13" t="s">
        <v>0</v>
      </c>
      <c r="J201" s="13" t="s">
        <v>0</v>
      </c>
      <c r="K201" s="13">
        <v>0.21</v>
      </c>
      <c r="L201" s="13"/>
      <c r="M201" s="13"/>
      <c r="N201" s="13"/>
      <c r="O201" s="13"/>
      <c r="P201" s="21">
        <v>0</v>
      </c>
    </row>
    <row r="202" spans="1:16" x14ac:dyDescent="0.25">
      <c r="A202" s="19"/>
      <c r="B202" s="14"/>
      <c r="C202" s="14" t="s">
        <v>488</v>
      </c>
      <c r="D202" s="38">
        <v>246779413884</v>
      </c>
      <c r="E202" s="13" t="s">
        <v>0</v>
      </c>
      <c r="F202" s="13">
        <v>10870</v>
      </c>
      <c r="G202" s="13" t="s">
        <v>489</v>
      </c>
      <c r="H202" s="13">
        <f t="shared" si="7"/>
        <v>222</v>
      </c>
      <c r="I202" s="13"/>
      <c r="J202" s="13"/>
      <c r="K202" s="13"/>
      <c r="L202" s="13"/>
      <c r="M202" s="13"/>
      <c r="N202" s="13"/>
      <c r="O202" s="13"/>
      <c r="P202" s="21">
        <v>0</v>
      </c>
    </row>
    <row r="203" spans="1:16" hidden="1" x14ac:dyDescent="0.25">
      <c r="A203" s="19">
        <v>45809</v>
      </c>
      <c r="B203" s="14" t="s">
        <v>480</v>
      </c>
      <c r="C203" s="14" t="s">
        <v>481</v>
      </c>
      <c r="D203" s="14"/>
      <c r="E203" s="13" t="s">
        <v>0</v>
      </c>
      <c r="F203" s="13" t="s">
        <v>0</v>
      </c>
      <c r="G203" s="13" t="s">
        <v>0</v>
      </c>
      <c r="H203" s="13">
        <f t="shared" si="7"/>
        <v>0</v>
      </c>
      <c r="I203" s="13" t="s">
        <v>513</v>
      </c>
      <c r="J203" s="13"/>
      <c r="K203" s="13">
        <v>1.71</v>
      </c>
      <c r="L203" s="13" t="s">
        <v>483</v>
      </c>
      <c r="M203" s="13" t="s">
        <v>545</v>
      </c>
      <c r="N203" s="13"/>
      <c r="O203" s="13">
        <v>148</v>
      </c>
      <c r="P203" s="21">
        <v>3</v>
      </c>
    </row>
    <row r="204" spans="1:16" hidden="1" x14ac:dyDescent="0.25">
      <c r="A204" s="19" t="s">
        <v>0</v>
      </c>
      <c r="B204" s="14"/>
      <c r="C204" s="14" t="s">
        <v>544</v>
      </c>
      <c r="D204" s="14"/>
      <c r="E204" s="13" t="s">
        <v>0</v>
      </c>
      <c r="F204" s="13" t="s">
        <v>0</v>
      </c>
      <c r="G204" s="13" t="s">
        <v>0</v>
      </c>
      <c r="H204" s="13">
        <f t="shared" si="7"/>
        <v>0</v>
      </c>
      <c r="I204" s="13" t="s">
        <v>0</v>
      </c>
      <c r="J204" s="13" t="s">
        <v>0</v>
      </c>
      <c r="K204" s="13">
        <v>151.03</v>
      </c>
      <c r="L204" s="13"/>
      <c r="M204" s="13"/>
      <c r="N204" s="13"/>
      <c r="O204" s="13"/>
      <c r="P204" s="21">
        <v>0</v>
      </c>
    </row>
    <row r="205" spans="1:16" hidden="1" x14ac:dyDescent="0.25">
      <c r="A205" s="19" t="s">
        <v>0</v>
      </c>
      <c r="B205" s="14"/>
      <c r="C205" s="14" t="s">
        <v>525</v>
      </c>
      <c r="D205" s="14"/>
      <c r="E205" s="13" t="s">
        <v>0</v>
      </c>
      <c r="F205" s="13" t="s">
        <v>0</v>
      </c>
      <c r="G205" s="13" t="s">
        <v>0</v>
      </c>
      <c r="H205" s="13">
        <f t="shared" si="7"/>
        <v>0</v>
      </c>
      <c r="I205" s="13" t="s">
        <v>0</v>
      </c>
      <c r="J205" s="13" t="s">
        <v>0</v>
      </c>
      <c r="K205" s="13"/>
      <c r="L205" s="13">
        <v>3</v>
      </c>
      <c r="M205" s="13"/>
      <c r="N205" s="13"/>
      <c r="O205" s="13"/>
      <c r="P205" s="21">
        <v>0</v>
      </c>
    </row>
    <row r="206" spans="1:16" hidden="1" x14ac:dyDescent="0.25">
      <c r="A206" s="19" t="s">
        <v>0</v>
      </c>
      <c r="B206" s="14"/>
      <c r="C206" s="14" t="s">
        <v>487</v>
      </c>
      <c r="D206" s="14"/>
      <c r="E206" s="13" t="s">
        <v>0</v>
      </c>
      <c r="F206" s="13" t="s">
        <v>0</v>
      </c>
      <c r="G206" s="13" t="s">
        <v>0</v>
      </c>
      <c r="H206" s="13">
        <f t="shared" si="7"/>
        <v>0</v>
      </c>
      <c r="I206" s="13" t="s">
        <v>0</v>
      </c>
      <c r="J206" s="13" t="s">
        <v>0</v>
      </c>
      <c r="K206" s="13"/>
      <c r="L206" s="13">
        <v>0.03</v>
      </c>
      <c r="M206" s="13"/>
      <c r="N206" s="13"/>
      <c r="O206" s="13"/>
      <c r="P206" s="21">
        <v>0</v>
      </c>
    </row>
    <row r="207" spans="1:16" x14ac:dyDescent="0.25">
      <c r="A207" s="19"/>
      <c r="B207" s="14"/>
      <c r="C207" s="14" t="s">
        <v>488</v>
      </c>
      <c r="D207" s="38">
        <v>246779413893</v>
      </c>
      <c r="E207" s="13" t="s">
        <v>0</v>
      </c>
      <c r="F207" s="13">
        <v>148</v>
      </c>
      <c r="G207" s="13" t="s">
        <v>489</v>
      </c>
      <c r="H207" s="13">
        <f t="shared" si="7"/>
        <v>3</v>
      </c>
      <c r="I207" s="13"/>
      <c r="J207" s="13"/>
      <c r="K207" s="13"/>
      <c r="L207" s="13"/>
      <c r="M207" s="13"/>
      <c r="N207" s="13"/>
      <c r="O207" s="13"/>
      <c r="P207" s="21">
        <v>0</v>
      </c>
    </row>
    <row r="208" spans="1:16" hidden="1" x14ac:dyDescent="0.25">
      <c r="A208" s="19">
        <v>45809</v>
      </c>
      <c r="B208" s="14" t="s">
        <v>480</v>
      </c>
      <c r="C208" s="14" t="s">
        <v>481</v>
      </c>
      <c r="D208" s="14"/>
      <c r="E208" s="13" t="s">
        <v>0</v>
      </c>
      <c r="F208" s="13" t="s">
        <v>0</v>
      </c>
      <c r="G208" s="13" t="s">
        <v>0</v>
      </c>
      <c r="H208" s="13">
        <f t="shared" si="7"/>
        <v>0</v>
      </c>
      <c r="I208" s="13" t="s">
        <v>513</v>
      </c>
      <c r="J208" s="13"/>
      <c r="K208" s="13">
        <v>1.97</v>
      </c>
      <c r="L208" s="13" t="s">
        <v>483</v>
      </c>
      <c r="M208" s="13" t="s">
        <v>546</v>
      </c>
      <c r="N208" s="13"/>
      <c r="O208" s="13">
        <v>170</v>
      </c>
      <c r="P208" s="21">
        <v>3</v>
      </c>
    </row>
    <row r="209" spans="1:16" hidden="1" x14ac:dyDescent="0.25">
      <c r="A209" s="19" t="s">
        <v>0</v>
      </c>
      <c r="B209" s="14"/>
      <c r="C209" s="14" t="s">
        <v>544</v>
      </c>
      <c r="D209" s="14"/>
      <c r="E209" s="13" t="s">
        <v>0</v>
      </c>
      <c r="F209" s="13" t="s">
        <v>0</v>
      </c>
      <c r="G209" s="13" t="s">
        <v>0</v>
      </c>
      <c r="H209" s="13">
        <f t="shared" si="7"/>
        <v>0</v>
      </c>
      <c r="I209" s="13" t="s">
        <v>0</v>
      </c>
      <c r="J209" s="13" t="s">
        <v>0</v>
      </c>
      <c r="K209" s="13">
        <v>172.61</v>
      </c>
      <c r="L209" s="13"/>
      <c r="M209" s="13"/>
      <c r="N209" s="13"/>
      <c r="O209" s="13"/>
      <c r="P209" s="21">
        <v>0</v>
      </c>
    </row>
    <row r="210" spans="1:16" hidden="1" x14ac:dyDescent="0.25">
      <c r="A210" s="19" t="s">
        <v>0</v>
      </c>
      <c r="B210" s="14"/>
      <c r="C210" s="14" t="s">
        <v>525</v>
      </c>
      <c r="D210" s="14"/>
      <c r="E210" s="13" t="s">
        <v>0</v>
      </c>
      <c r="F210" s="13" t="s">
        <v>0</v>
      </c>
      <c r="G210" s="13" t="s">
        <v>0</v>
      </c>
      <c r="H210" s="13">
        <f t="shared" si="7"/>
        <v>0</v>
      </c>
      <c r="I210" s="13" t="s">
        <v>0</v>
      </c>
      <c r="J210" s="13" t="s">
        <v>0</v>
      </c>
      <c r="K210" s="13"/>
      <c r="L210" s="13">
        <v>3</v>
      </c>
      <c r="M210" s="13"/>
      <c r="N210" s="13"/>
      <c r="O210" s="13"/>
      <c r="P210" s="21">
        <v>0</v>
      </c>
    </row>
    <row r="211" spans="1:16" hidden="1" x14ac:dyDescent="0.25">
      <c r="A211" s="19" t="s">
        <v>0</v>
      </c>
      <c r="B211" s="14"/>
      <c r="C211" s="14" t="s">
        <v>487</v>
      </c>
      <c r="D211" s="14"/>
      <c r="E211" s="13" t="s">
        <v>0</v>
      </c>
      <c r="F211" s="13" t="s">
        <v>0</v>
      </c>
      <c r="G211" s="13" t="s">
        <v>0</v>
      </c>
      <c r="H211" s="13">
        <f t="shared" si="7"/>
        <v>0</v>
      </c>
      <c r="I211" s="13" t="s">
        <v>0</v>
      </c>
      <c r="J211" s="13" t="s">
        <v>0</v>
      </c>
      <c r="K211" s="13">
        <v>0.39</v>
      </c>
      <c r="L211" s="13"/>
      <c r="M211" s="13"/>
      <c r="N211" s="13"/>
      <c r="O211" s="13"/>
      <c r="P211" s="21">
        <v>0</v>
      </c>
    </row>
    <row r="212" spans="1:16" x14ac:dyDescent="0.25">
      <c r="A212" s="19"/>
      <c r="B212" s="14"/>
      <c r="C212" s="14" t="s">
        <v>488</v>
      </c>
      <c r="D212" s="38">
        <v>246779413894</v>
      </c>
      <c r="E212" s="13" t="s">
        <v>0</v>
      </c>
      <c r="F212" s="13">
        <v>170</v>
      </c>
      <c r="G212" s="13" t="s">
        <v>489</v>
      </c>
      <c r="H212" s="13">
        <f t="shared" si="7"/>
        <v>3</v>
      </c>
      <c r="I212" s="13"/>
      <c r="J212" s="13"/>
      <c r="K212" s="13"/>
      <c r="L212" s="13"/>
      <c r="M212" s="13"/>
      <c r="N212" s="13"/>
      <c r="O212" s="13"/>
      <c r="P212" s="21">
        <v>0</v>
      </c>
    </row>
    <row r="213" spans="1:16" hidden="1" x14ac:dyDescent="0.25">
      <c r="A213" s="19">
        <v>45809</v>
      </c>
      <c r="B213" s="14" t="s">
        <v>480</v>
      </c>
      <c r="C213" s="14" t="s">
        <v>481</v>
      </c>
      <c r="D213" s="14"/>
      <c r="E213" s="13" t="s">
        <v>0</v>
      </c>
      <c r="F213" s="13" t="s">
        <v>0</v>
      </c>
      <c r="G213" s="13" t="s">
        <v>0</v>
      </c>
      <c r="H213" s="13">
        <f t="shared" si="7"/>
        <v>0</v>
      </c>
      <c r="I213" s="13" t="s">
        <v>513</v>
      </c>
      <c r="J213" s="13"/>
      <c r="K213" s="13">
        <v>1.71</v>
      </c>
      <c r="L213" s="13" t="s">
        <v>483</v>
      </c>
      <c r="M213" s="13" t="s">
        <v>547</v>
      </c>
      <c r="N213" s="13"/>
      <c r="O213" s="13">
        <v>148</v>
      </c>
      <c r="P213" s="21">
        <v>3</v>
      </c>
    </row>
    <row r="214" spans="1:16" hidden="1" x14ac:dyDescent="0.25">
      <c r="A214" s="19" t="s">
        <v>0</v>
      </c>
      <c r="B214" s="14"/>
      <c r="C214" s="14" t="s">
        <v>544</v>
      </c>
      <c r="D214" s="14"/>
      <c r="E214" s="13" t="s">
        <v>0</v>
      </c>
      <c r="F214" s="13" t="s">
        <v>0</v>
      </c>
      <c r="G214" s="13" t="s">
        <v>0</v>
      </c>
      <c r="H214" s="13">
        <f t="shared" si="7"/>
        <v>0</v>
      </c>
      <c r="I214" s="13" t="s">
        <v>0</v>
      </c>
      <c r="J214" s="13" t="s">
        <v>0</v>
      </c>
      <c r="K214" s="13">
        <v>151.03</v>
      </c>
      <c r="L214" s="13"/>
      <c r="M214" s="13"/>
      <c r="N214" s="13"/>
      <c r="O214" s="13"/>
      <c r="P214" s="21">
        <v>0</v>
      </c>
    </row>
    <row r="215" spans="1:16" hidden="1" x14ac:dyDescent="0.25">
      <c r="A215" s="19" t="s">
        <v>0</v>
      </c>
      <c r="B215" s="14"/>
      <c r="C215" s="14" t="s">
        <v>525</v>
      </c>
      <c r="D215" s="14"/>
      <c r="E215" s="13" t="s">
        <v>0</v>
      </c>
      <c r="F215" s="13" t="s">
        <v>0</v>
      </c>
      <c r="G215" s="13" t="s">
        <v>0</v>
      </c>
      <c r="H215" s="13">
        <f t="shared" si="7"/>
        <v>0</v>
      </c>
      <c r="I215" s="13" t="s">
        <v>0</v>
      </c>
      <c r="J215" s="13" t="s">
        <v>0</v>
      </c>
      <c r="K215" s="13"/>
      <c r="L215" s="13">
        <v>3</v>
      </c>
      <c r="M215" s="13"/>
      <c r="N215" s="13"/>
      <c r="O215" s="13"/>
      <c r="P215" s="21">
        <v>0</v>
      </c>
    </row>
    <row r="216" spans="1:16" hidden="1" x14ac:dyDescent="0.25">
      <c r="A216" s="19" t="s">
        <v>0</v>
      </c>
      <c r="B216" s="14"/>
      <c r="C216" s="14" t="s">
        <v>487</v>
      </c>
      <c r="D216" s="14"/>
      <c r="E216" s="13" t="s">
        <v>0</v>
      </c>
      <c r="F216" s="13" t="s">
        <v>0</v>
      </c>
      <c r="G216" s="13" t="s">
        <v>0</v>
      </c>
      <c r="H216" s="13">
        <f t="shared" si="7"/>
        <v>0</v>
      </c>
      <c r="I216" s="13" t="s">
        <v>0</v>
      </c>
      <c r="J216" s="13" t="s">
        <v>0</v>
      </c>
      <c r="K216" s="13"/>
      <c r="L216" s="13">
        <v>0.03</v>
      </c>
      <c r="M216" s="13"/>
      <c r="N216" s="13"/>
      <c r="O216" s="13"/>
      <c r="P216" s="21">
        <v>0</v>
      </c>
    </row>
    <row r="217" spans="1:16" x14ac:dyDescent="0.25">
      <c r="A217" s="19"/>
      <c r="B217" s="14"/>
      <c r="C217" s="14" t="s">
        <v>488</v>
      </c>
      <c r="D217" s="38">
        <v>246779413901</v>
      </c>
      <c r="E217" s="13" t="s">
        <v>0</v>
      </c>
      <c r="F217" s="13">
        <v>148</v>
      </c>
      <c r="G217" s="13" t="s">
        <v>489</v>
      </c>
      <c r="H217" s="13">
        <f t="shared" si="7"/>
        <v>3</v>
      </c>
      <c r="I217" s="13"/>
      <c r="J217" s="13"/>
      <c r="K217" s="13"/>
      <c r="L217" s="13"/>
      <c r="M217" s="13"/>
      <c r="N217" s="13"/>
      <c r="O217" s="13"/>
      <c r="P217" s="21">
        <v>0</v>
      </c>
    </row>
    <row r="218" spans="1:16" hidden="1" x14ac:dyDescent="0.25">
      <c r="A218" s="19">
        <v>45810</v>
      </c>
      <c r="B218" s="14" t="s">
        <v>480</v>
      </c>
      <c r="C218" s="14" t="s">
        <v>481</v>
      </c>
      <c r="D218" s="14"/>
      <c r="E218" s="13" t="s">
        <v>0</v>
      </c>
      <c r="F218" s="13" t="s">
        <v>0</v>
      </c>
      <c r="G218" s="13" t="s">
        <v>0</v>
      </c>
      <c r="H218" s="13">
        <f t="shared" si="7"/>
        <v>0</v>
      </c>
      <c r="I218" s="13" t="s">
        <v>548</v>
      </c>
      <c r="J218" s="13"/>
      <c r="K218" s="13">
        <v>405.01</v>
      </c>
      <c r="L218" s="13" t="s">
        <v>483</v>
      </c>
      <c r="M218" s="13" t="s">
        <v>520</v>
      </c>
      <c r="N218" s="13"/>
      <c r="O218" s="13">
        <v>34824</v>
      </c>
      <c r="P218" s="21">
        <v>3869</v>
      </c>
    </row>
    <row r="219" spans="1:16" hidden="1" x14ac:dyDescent="0.25">
      <c r="A219" s="19" t="s">
        <v>0</v>
      </c>
      <c r="B219" s="14"/>
      <c r="C219" s="14" t="s">
        <v>503</v>
      </c>
      <c r="D219" s="14"/>
      <c r="E219" s="13" t="s">
        <v>0</v>
      </c>
      <c r="F219" s="13" t="s">
        <v>0</v>
      </c>
      <c r="G219" s="13" t="s">
        <v>0</v>
      </c>
      <c r="H219" s="13">
        <f t="shared" si="7"/>
        <v>0</v>
      </c>
      <c r="I219" s="13" t="s">
        <v>0</v>
      </c>
      <c r="J219" s="13" t="s">
        <v>0</v>
      </c>
      <c r="K219" s="13">
        <v>38692.67</v>
      </c>
      <c r="L219" s="13"/>
      <c r="M219" s="13"/>
      <c r="N219" s="13"/>
      <c r="O219" s="13"/>
      <c r="P219" s="21">
        <v>0</v>
      </c>
    </row>
    <row r="220" spans="1:16" hidden="1" x14ac:dyDescent="0.25">
      <c r="A220" s="19" t="s">
        <v>0</v>
      </c>
      <c r="B220" s="14"/>
      <c r="C220" s="14" t="s">
        <v>486</v>
      </c>
      <c r="D220" s="14"/>
      <c r="E220" s="13" t="s">
        <v>0</v>
      </c>
      <c r="F220" s="13" t="s">
        <v>0</v>
      </c>
      <c r="G220" s="13" t="s">
        <v>0</v>
      </c>
      <c r="H220" s="13">
        <f t="shared" si="7"/>
        <v>0</v>
      </c>
      <c r="I220" s="13" t="s">
        <v>0</v>
      </c>
      <c r="J220" s="13" t="s">
        <v>0</v>
      </c>
      <c r="K220" s="13"/>
      <c r="L220" s="13">
        <v>3869</v>
      </c>
      <c r="M220" s="13"/>
      <c r="N220" s="13"/>
      <c r="O220" s="13"/>
      <c r="P220" s="21">
        <v>0</v>
      </c>
    </row>
    <row r="221" spans="1:16" hidden="1" x14ac:dyDescent="0.25">
      <c r="A221" s="19" t="s">
        <v>0</v>
      </c>
      <c r="B221" s="14"/>
      <c r="C221" s="14" t="s">
        <v>487</v>
      </c>
      <c r="D221" s="14"/>
      <c r="E221" s="13" t="s">
        <v>0</v>
      </c>
      <c r="F221" s="13" t="s">
        <v>0</v>
      </c>
      <c r="G221" s="13" t="s">
        <v>0</v>
      </c>
      <c r="H221" s="13">
        <f t="shared" si="7"/>
        <v>0</v>
      </c>
      <c r="I221" s="13" t="s">
        <v>0</v>
      </c>
      <c r="J221" s="13" t="s">
        <v>0</v>
      </c>
      <c r="K221" s="13">
        <v>0.33</v>
      </c>
      <c r="L221" s="13"/>
      <c r="M221" s="13"/>
      <c r="N221" s="13"/>
      <c r="O221" s="13"/>
      <c r="P221" s="21">
        <v>0</v>
      </c>
    </row>
    <row r="222" spans="1:16" x14ac:dyDescent="0.25">
      <c r="A222" s="19"/>
      <c r="B222" s="14"/>
      <c r="C222" s="14" t="s">
        <v>488</v>
      </c>
      <c r="D222" s="38">
        <v>256779413186</v>
      </c>
      <c r="E222" s="13" t="s">
        <v>0</v>
      </c>
      <c r="F222" s="13">
        <v>34824</v>
      </c>
      <c r="G222" s="13" t="s">
        <v>489</v>
      </c>
      <c r="H222" s="13">
        <f t="shared" si="7"/>
        <v>3869</v>
      </c>
      <c r="I222" s="13"/>
      <c r="J222" s="13"/>
      <c r="K222" s="13"/>
      <c r="L222" s="13"/>
      <c r="M222" s="13"/>
      <c r="N222" s="13"/>
      <c r="O222" s="13"/>
      <c r="P222" s="21">
        <v>0</v>
      </c>
    </row>
    <row r="223" spans="1:16" hidden="1" x14ac:dyDescent="0.25">
      <c r="A223" s="19">
        <v>45818</v>
      </c>
      <c r="B223" s="14" t="s">
        <v>489</v>
      </c>
      <c r="C223" s="14" t="s">
        <v>517</v>
      </c>
      <c r="D223" s="14"/>
      <c r="E223" s="13" t="s">
        <v>0</v>
      </c>
      <c r="F223" s="13" t="s">
        <v>0</v>
      </c>
      <c r="G223" s="13" t="s">
        <v>0</v>
      </c>
      <c r="H223" s="13">
        <f t="shared" si="7"/>
        <v>0</v>
      </c>
      <c r="I223" s="13" t="s">
        <v>518</v>
      </c>
      <c r="J223" s="13"/>
      <c r="K223" s="13"/>
      <c r="L223" s="13" t="s">
        <v>519</v>
      </c>
      <c r="M223" s="13" t="s">
        <v>511</v>
      </c>
      <c r="N223" s="13">
        <v>500000</v>
      </c>
      <c r="O223" s="13"/>
      <c r="P223" s="21">
        <v>0</v>
      </c>
    </row>
    <row r="224" spans="1:16" hidden="1" x14ac:dyDescent="0.25">
      <c r="A224" s="19"/>
      <c r="B224" s="14"/>
      <c r="C224" s="14" t="s">
        <v>521</v>
      </c>
      <c r="D224" s="38">
        <v>246779410292</v>
      </c>
      <c r="E224" s="13" t="s">
        <v>0</v>
      </c>
      <c r="F224" s="13">
        <v>140453</v>
      </c>
      <c r="G224" s="13" t="s">
        <v>480</v>
      </c>
      <c r="H224" s="13">
        <f t="shared" si="7"/>
        <v>0</v>
      </c>
      <c r="I224" s="13"/>
      <c r="J224" s="13"/>
      <c r="K224" s="13"/>
      <c r="L224" s="13"/>
      <c r="M224" s="13"/>
      <c r="N224" s="13"/>
      <c r="O224" s="13"/>
      <c r="P224" s="21">
        <v>0</v>
      </c>
    </row>
    <row r="225" spans="1:16" hidden="1" x14ac:dyDescent="0.25">
      <c r="A225" s="19"/>
      <c r="B225" s="14"/>
      <c r="C225" s="14" t="s">
        <v>521</v>
      </c>
      <c r="D225" s="38">
        <v>246779410106</v>
      </c>
      <c r="E225" s="13" t="s">
        <v>0</v>
      </c>
      <c r="F225" s="13">
        <v>140453</v>
      </c>
      <c r="G225" s="13" t="s">
        <v>480</v>
      </c>
      <c r="H225" s="13">
        <f t="shared" si="7"/>
        <v>0</v>
      </c>
      <c r="I225" s="13"/>
      <c r="J225" s="13"/>
      <c r="K225" s="13"/>
      <c r="L225" s="13"/>
      <c r="M225" s="13"/>
      <c r="N225" s="13"/>
      <c r="O225" s="13"/>
      <c r="P225" s="21">
        <v>0</v>
      </c>
    </row>
    <row r="226" spans="1:16" hidden="1" x14ac:dyDescent="0.25">
      <c r="A226" s="19"/>
      <c r="B226" s="14"/>
      <c r="C226" s="14" t="s">
        <v>521</v>
      </c>
      <c r="D226" s="38">
        <v>246779410149</v>
      </c>
      <c r="E226" s="13" t="s">
        <v>0</v>
      </c>
      <c r="F226" s="13">
        <v>140453</v>
      </c>
      <c r="G226" s="13" t="s">
        <v>480</v>
      </c>
      <c r="H226" s="13">
        <f t="shared" si="7"/>
        <v>0</v>
      </c>
      <c r="I226" s="13"/>
      <c r="J226" s="13"/>
      <c r="K226" s="13"/>
      <c r="L226" s="13"/>
      <c r="M226" s="13"/>
      <c r="N226" s="13"/>
      <c r="O226" s="13"/>
      <c r="P226" s="21">
        <v>0</v>
      </c>
    </row>
    <row r="227" spans="1:16" hidden="1" x14ac:dyDescent="0.25">
      <c r="A227" s="19"/>
      <c r="B227" s="14"/>
      <c r="C227" s="14" t="s">
        <v>521</v>
      </c>
      <c r="D227" s="38">
        <v>246779410192</v>
      </c>
      <c r="E227" s="13" t="s">
        <v>0</v>
      </c>
      <c r="F227" s="13">
        <v>78641</v>
      </c>
      <c r="G227" s="13" t="s">
        <v>480</v>
      </c>
      <c r="H227" s="13">
        <f t="shared" si="7"/>
        <v>0</v>
      </c>
      <c r="I227" s="13"/>
      <c r="J227" s="13"/>
      <c r="K227" s="13"/>
      <c r="L227" s="13"/>
      <c r="M227" s="13"/>
      <c r="N227" s="13"/>
      <c r="O227" s="13"/>
      <c r="P227" s="21">
        <v>0</v>
      </c>
    </row>
    <row r="228" spans="1:16" hidden="1" x14ac:dyDescent="0.25">
      <c r="A228" s="19">
        <v>45821</v>
      </c>
      <c r="B228" s="14" t="s">
        <v>480</v>
      </c>
      <c r="C228" s="14" t="s">
        <v>481</v>
      </c>
      <c r="D228" s="14"/>
      <c r="E228" s="13" t="s">
        <v>0</v>
      </c>
      <c r="F228" s="13" t="s">
        <v>0</v>
      </c>
      <c r="G228" s="13" t="s">
        <v>0</v>
      </c>
      <c r="H228" s="13">
        <f t="shared" si="7"/>
        <v>0</v>
      </c>
      <c r="I228" s="13" t="s">
        <v>513</v>
      </c>
      <c r="J228" s="13"/>
      <c r="K228" s="13">
        <v>417.76</v>
      </c>
      <c r="L228" s="13" t="s">
        <v>483</v>
      </c>
      <c r="M228" s="13" t="s">
        <v>549</v>
      </c>
      <c r="N228" s="13"/>
      <c r="O228" s="13">
        <v>35715</v>
      </c>
      <c r="P228" s="21">
        <v>3968</v>
      </c>
    </row>
    <row r="229" spans="1:16" hidden="1" x14ac:dyDescent="0.25">
      <c r="A229" s="19" t="s">
        <v>0</v>
      </c>
      <c r="B229" s="14"/>
      <c r="C229" s="14" t="s">
        <v>550</v>
      </c>
      <c r="D229" s="14"/>
      <c r="E229" s="13" t="s">
        <v>0</v>
      </c>
      <c r="F229" s="13" t="s">
        <v>0</v>
      </c>
      <c r="G229" s="13" t="s">
        <v>0</v>
      </c>
      <c r="H229" s="13">
        <f t="shared" si="7"/>
        <v>0</v>
      </c>
      <c r="I229" s="13" t="s">
        <v>0</v>
      </c>
      <c r="J229" s="13" t="s">
        <v>0</v>
      </c>
      <c r="K229" s="13">
        <v>39683.21</v>
      </c>
      <c r="L229" s="13"/>
      <c r="M229" s="13"/>
      <c r="N229" s="13"/>
      <c r="O229" s="13"/>
      <c r="P229" s="21">
        <v>0</v>
      </c>
    </row>
    <row r="230" spans="1:16" hidden="1" x14ac:dyDescent="0.25">
      <c r="A230" s="19" t="s">
        <v>0</v>
      </c>
      <c r="B230" s="14"/>
      <c r="C230" s="14" t="s">
        <v>486</v>
      </c>
      <c r="D230" s="14"/>
      <c r="E230" s="13" t="s">
        <v>0</v>
      </c>
      <c r="F230" s="13" t="s">
        <v>0</v>
      </c>
      <c r="G230" s="13" t="s">
        <v>0</v>
      </c>
      <c r="H230" s="13">
        <f t="shared" si="7"/>
        <v>0</v>
      </c>
      <c r="I230" s="13" t="s">
        <v>0</v>
      </c>
      <c r="J230" s="13" t="s">
        <v>0</v>
      </c>
      <c r="K230" s="13"/>
      <c r="L230" s="13">
        <v>3968</v>
      </c>
      <c r="M230" s="13"/>
      <c r="N230" s="13"/>
      <c r="O230" s="13"/>
      <c r="P230" s="21">
        <v>0</v>
      </c>
    </row>
    <row r="231" spans="1:16" hidden="1" x14ac:dyDescent="0.25">
      <c r="A231" s="19" t="s">
        <v>0</v>
      </c>
      <c r="B231" s="14"/>
      <c r="C231" s="14" t="s">
        <v>487</v>
      </c>
      <c r="D231" s="14"/>
      <c r="E231" s="13" t="s">
        <v>0</v>
      </c>
      <c r="F231" s="13" t="s">
        <v>0</v>
      </c>
      <c r="G231" s="13" t="s">
        <v>0</v>
      </c>
      <c r="H231" s="13">
        <f t="shared" si="7"/>
        <v>0</v>
      </c>
      <c r="I231" s="13" t="s">
        <v>0</v>
      </c>
      <c r="J231" s="13" t="s">
        <v>0</v>
      </c>
      <c r="K231" s="13"/>
      <c r="L231" s="13">
        <v>0.21</v>
      </c>
      <c r="M231" s="13"/>
      <c r="N231" s="13"/>
      <c r="O231" s="13"/>
      <c r="P231" s="21">
        <v>0</v>
      </c>
    </row>
    <row r="232" spans="1:16" x14ac:dyDescent="0.25">
      <c r="A232" s="19"/>
      <c r="B232" s="14"/>
      <c r="C232" s="14" t="s">
        <v>488</v>
      </c>
      <c r="D232" s="38">
        <v>256779414342</v>
      </c>
      <c r="E232" s="13" t="s">
        <v>0</v>
      </c>
      <c r="F232" s="13">
        <v>35715</v>
      </c>
      <c r="G232" s="13" t="s">
        <v>489</v>
      </c>
      <c r="H232" s="13">
        <f t="shared" si="7"/>
        <v>3968</v>
      </c>
      <c r="I232" s="13"/>
      <c r="J232" s="13"/>
      <c r="K232" s="13"/>
      <c r="L232" s="13"/>
      <c r="M232" s="13"/>
      <c r="N232" s="13"/>
      <c r="O232" s="13"/>
      <c r="P232" s="21">
        <v>0</v>
      </c>
    </row>
    <row r="233" spans="1:16" hidden="1" x14ac:dyDescent="0.25">
      <c r="A233" s="19">
        <v>45826</v>
      </c>
      <c r="B233" s="14" t="s">
        <v>489</v>
      </c>
      <c r="C233" s="14" t="s">
        <v>517</v>
      </c>
      <c r="D233" s="14"/>
      <c r="E233" s="13" t="s">
        <v>0</v>
      </c>
      <c r="F233" s="13" t="s">
        <v>0</v>
      </c>
      <c r="G233" s="13" t="s">
        <v>0</v>
      </c>
      <c r="H233" s="13">
        <f t="shared" si="7"/>
        <v>0</v>
      </c>
      <c r="I233" s="13" t="s">
        <v>518</v>
      </c>
      <c r="J233" s="13"/>
      <c r="K233" s="13"/>
      <c r="L233" s="13" t="s">
        <v>519</v>
      </c>
      <c r="M233" s="13" t="s">
        <v>551</v>
      </c>
      <c r="N233" s="13">
        <v>100000</v>
      </c>
      <c r="O233" s="13"/>
      <c r="P233" s="21">
        <v>0</v>
      </c>
    </row>
    <row r="234" spans="1:16" hidden="1" x14ac:dyDescent="0.25">
      <c r="A234" s="19"/>
      <c r="B234" s="14"/>
      <c r="C234" s="14" t="s">
        <v>521</v>
      </c>
      <c r="D234" s="38">
        <v>246779410192</v>
      </c>
      <c r="E234" s="13" t="s">
        <v>0</v>
      </c>
      <c r="F234" s="13">
        <v>61812</v>
      </c>
      <c r="G234" s="13" t="s">
        <v>480</v>
      </c>
      <c r="H234" s="13">
        <f t="shared" si="7"/>
        <v>0</v>
      </c>
      <c r="I234" s="13"/>
      <c r="J234" s="13"/>
      <c r="K234" s="13"/>
      <c r="L234" s="13"/>
      <c r="M234" s="13"/>
      <c r="N234" s="13"/>
      <c r="O234" s="13"/>
      <c r="P234" s="21">
        <v>0</v>
      </c>
    </row>
    <row r="235" spans="1:16" hidden="1" x14ac:dyDescent="0.25">
      <c r="A235" s="19"/>
      <c r="B235" s="14"/>
      <c r="C235" s="14" t="s">
        <v>521</v>
      </c>
      <c r="D235" s="38">
        <v>246779410235</v>
      </c>
      <c r="E235" s="13" t="s">
        <v>0</v>
      </c>
      <c r="F235" s="13">
        <v>38188</v>
      </c>
      <c r="G235" s="13" t="s">
        <v>480</v>
      </c>
      <c r="H235" s="13">
        <f t="shared" si="7"/>
        <v>0</v>
      </c>
      <c r="I235" s="13"/>
      <c r="J235" s="13"/>
      <c r="K235" s="13"/>
      <c r="L235" s="13"/>
      <c r="M235" s="13"/>
      <c r="N235" s="13"/>
      <c r="O235" s="13"/>
      <c r="P235" s="21">
        <v>0</v>
      </c>
    </row>
    <row r="236" spans="1:16" hidden="1" x14ac:dyDescent="0.25">
      <c r="A236" s="19">
        <v>45835</v>
      </c>
      <c r="B236" s="14" t="s">
        <v>489</v>
      </c>
      <c r="C236" s="14" t="s">
        <v>517</v>
      </c>
      <c r="D236" s="14"/>
      <c r="E236" s="13" t="s">
        <v>0</v>
      </c>
      <c r="F236" s="13" t="s">
        <v>0</v>
      </c>
      <c r="G236" s="13" t="s">
        <v>0</v>
      </c>
      <c r="H236" s="13">
        <f t="shared" si="7"/>
        <v>0</v>
      </c>
      <c r="I236" s="13" t="s">
        <v>518</v>
      </c>
      <c r="J236" s="13"/>
      <c r="K236" s="13"/>
      <c r="L236" s="13" t="s">
        <v>519</v>
      </c>
      <c r="M236" s="13" t="s">
        <v>552</v>
      </c>
      <c r="N236" s="13">
        <v>700000</v>
      </c>
      <c r="O236" s="13"/>
      <c r="P236" s="21">
        <v>0</v>
      </c>
    </row>
    <row r="237" spans="1:16" hidden="1" x14ac:dyDescent="0.25">
      <c r="A237" s="19"/>
      <c r="B237" s="14"/>
      <c r="C237" s="14" t="s">
        <v>521</v>
      </c>
      <c r="D237" s="38">
        <v>246779410235</v>
      </c>
      <c r="E237" s="13" t="s">
        <v>0</v>
      </c>
      <c r="F237" s="13">
        <v>102265</v>
      </c>
      <c r="G237" s="13" t="s">
        <v>480</v>
      </c>
      <c r="H237" s="13">
        <f t="shared" si="7"/>
        <v>0</v>
      </c>
      <c r="I237" s="13"/>
      <c r="J237" s="13"/>
      <c r="K237" s="13"/>
      <c r="L237" s="13"/>
      <c r="M237" s="13"/>
      <c r="N237" s="13"/>
      <c r="O237" s="13"/>
      <c r="P237" s="21">
        <v>0</v>
      </c>
    </row>
    <row r="238" spans="1:16" hidden="1" x14ac:dyDescent="0.25">
      <c r="A238" s="19"/>
      <c r="B238" s="14"/>
      <c r="C238" s="14" t="s">
        <v>521</v>
      </c>
      <c r="D238" s="38">
        <v>246779410345</v>
      </c>
      <c r="E238" s="13" t="s">
        <v>0</v>
      </c>
      <c r="F238" s="13">
        <v>36577</v>
      </c>
      <c r="G238" s="13" t="s">
        <v>480</v>
      </c>
      <c r="H238" s="13">
        <f t="shared" si="7"/>
        <v>0</v>
      </c>
      <c r="I238" s="13"/>
      <c r="J238" s="13"/>
      <c r="K238" s="13"/>
      <c r="L238" s="13"/>
      <c r="M238" s="13"/>
      <c r="N238" s="13"/>
      <c r="O238" s="13"/>
      <c r="P238" s="21">
        <v>0</v>
      </c>
    </row>
    <row r="239" spans="1:16" hidden="1" x14ac:dyDescent="0.25">
      <c r="A239" s="19"/>
      <c r="B239" s="14"/>
      <c r="C239" s="14" t="s">
        <v>521</v>
      </c>
      <c r="D239" s="38">
        <v>246779410351</v>
      </c>
      <c r="E239" s="13" t="s">
        <v>0</v>
      </c>
      <c r="F239" s="13">
        <v>36577</v>
      </c>
      <c r="G239" s="13" t="s">
        <v>480</v>
      </c>
      <c r="H239" s="13">
        <f t="shared" si="7"/>
        <v>0</v>
      </c>
      <c r="I239" s="13"/>
      <c r="J239" s="13"/>
      <c r="K239" s="13"/>
      <c r="L239" s="13"/>
      <c r="M239" s="13"/>
      <c r="N239" s="13"/>
      <c r="O239" s="13"/>
      <c r="P239" s="21">
        <v>0</v>
      </c>
    </row>
    <row r="240" spans="1:16" hidden="1" x14ac:dyDescent="0.25">
      <c r="A240" s="19"/>
      <c r="B240" s="14"/>
      <c r="C240" s="14" t="s">
        <v>521</v>
      </c>
      <c r="D240" s="38">
        <v>246779410357</v>
      </c>
      <c r="E240" s="13" t="s">
        <v>0</v>
      </c>
      <c r="F240" s="13">
        <v>35397</v>
      </c>
      <c r="G240" s="13" t="s">
        <v>480</v>
      </c>
      <c r="H240" s="13">
        <f t="shared" si="7"/>
        <v>0</v>
      </c>
      <c r="I240" s="13"/>
      <c r="J240" s="13"/>
      <c r="K240" s="13"/>
      <c r="L240" s="13"/>
      <c r="M240" s="13"/>
      <c r="N240" s="13"/>
      <c r="O240" s="13"/>
      <c r="P240" s="21">
        <v>0</v>
      </c>
    </row>
    <row r="241" spans="1:16" hidden="1" x14ac:dyDescent="0.25">
      <c r="A241" s="19"/>
      <c r="B241" s="14"/>
      <c r="C241" s="14" t="s">
        <v>521</v>
      </c>
      <c r="D241" s="38">
        <v>246779410415</v>
      </c>
      <c r="E241" s="13" t="s">
        <v>0</v>
      </c>
      <c r="F241" s="13">
        <v>151767</v>
      </c>
      <c r="G241" s="13" t="s">
        <v>480</v>
      </c>
      <c r="H241" s="13">
        <f t="shared" si="7"/>
        <v>0</v>
      </c>
      <c r="I241" s="13"/>
      <c r="J241" s="13"/>
      <c r="K241" s="13"/>
      <c r="L241" s="13"/>
      <c r="M241" s="13"/>
      <c r="N241" s="13"/>
      <c r="O241" s="13"/>
      <c r="P241" s="21">
        <v>0</v>
      </c>
    </row>
    <row r="242" spans="1:16" hidden="1" x14ac:dyDescent="0.25">
      <c r="A242" s="19"/>
      <c r="B242" s="14"/>
      <c r="C242" s="14" t="s">
        <v>521</v>
      </c>
      <c r="D242" s="38">
        <v>246779410862</v>
      </c>
      <c r="E242" s="13" t="s">
        <v>0</v>
      </c>
      <c r="F242" s="13">
        <v>180778</v>
      </c>
      <c r="G242" s="13" t="s">
        <v>480</v>
      </c>
      <c r="H242" s="13">
        <f t="shared" si="7"/>
        <v>0</v>
      </c>
      <c r="I242" s="13"/>
      <c r="J242" s="13"/>
      <c r="K242" s="13"/>
      <c r="L242" s="13"/>
      <c r="M242" s="13"/>
      <c r="N242" s="13"/>
      <c r="O242" s="13"/>
      <c r="P242" s="21">
        <v>0</v>
      </c>
    </row>
    <row r="243" spans="1:16" hidden="1" x14ac:dyDescent="0.25">
      <c r="A243" s="19"/>
      <c r="B243" s="14"/>
      <c r="C243" s="14" t="s">
        <v>521</v>
      </c>
      <c r="D243" s="38">
        <v>246779410885</v>
      </c>
      <c r="E243" s="13" t="s">
        <v>0</v>
      </c>
      <c r="F243" s="13">
        <v>156639</v>
      </c>
      <c r="G243" s="13" t="s">
        <v>480</v>
      </c>
      <c r="H243" s="13">
        <f t="shared" si="7"/>
        <v>0</v>
      </c>
      <c r="I243" s="13"/>
      <c r="J243" s="13"/>
      <c r="K243" s="13"/>
      <c r="L243" s="13"/>
      <c r="M243" s="13"/>
      <c r="N243" s="13"/>
      <c r="O243" s="13"/>
      <c r="P243" s="21">
        <v>0</v>
      </c>
    </row>
    <row r="244" spans="1:16" hidden="1" x14ac:dyDescent="0.25">
      <c r="A244" s="19">
        <v>45839</v>
      </c>
      <c r="B244" s="14" t="s">
        <v>480</v>
      </c>
      <c r="C244" s="14" t="s">
        <v>481</v>
      </c>
      <c r="D244" s="14"/>
      <c r="E244" s="13" t="s">
        <v>0</v>
      </c>
      <c r="F244" s="13" t="s">
        <v>0</v>
      </c>
      <c r="G244" s="13" t="s">
        <v>0</v>
      </c>
      <c r="H244" s="13">
        <f t="shared" si="7"/>
        <v>0</v>
      </c>
      <c r="I244" s="13" t="s">
        <v>513</v>
      </c>
      <c r="J244" s="13"/>
      <c r="K244" s="13">
        <v>1.96</v>
      </c>
      <c r="L244" s="13" t="s">
        <v>483</v>
      </c>
      <c r="M244" s="13" t="s">
        <v>553</v>
      </c>
      <c r="N244" s="13"/>
      <c r="O244" s="13">
        <v>169</v>
      </c>
      <c r="P244" s="21">
        <v>3</v>
      </c>
    </row>
    <row r="245" spans="1:16" hidden="1" x14ac:dyDescent="0.25">
      <c r="A245" s="19" t="s">
        <v>0</v>
      </c>
      <c r="B245" s="14"/>
      <c r="C245" s="14" t="s">
        <v>544</v>
      </c>
      <c r="D245" s="14"/>
      <c r="E245" s="13" t="s">
        <v>0</v>
      </c>
      <c r="F245" s="13" t="s">
        <v>0</v>
      </c>
      <c r="G245" s="13" t="s">
        <v>0</v>
      </c>
      <c r="H245" s="13">
        <f t="shared" si="7"/>
        <v>0</v>
      </c>
      <c r="I245" s="13" t="s">
        <v>0</v>
      </c>
      <c r="J245" s="13" t="s">
        <v>0</v>
      </c>
      <c r="K245" s="13">
        <v>171.74</v>
      </c>
      <c r="L245" s="13"/>
      <c r="M245" s="13"/>
      <c r="N245" s="13"/>
      <c r="O245" s="13"/>
      <c r="P245" s="21">
        <v>0</v>
      </c>
    </row>
    <row r="246" spans="1:16" hidden="1" x14ac:dyDescent="0.25">
      <c r="A246" s="19" t="s">
        <v>0</v>
      </c>
      <c r="B246" s="14"/>
      <c r="C246" s="14" t="s">
        <v>525</v>
      </c>
      <c r="D246" s="14"/>
      <c r="E246" s="13" t="s">
        <v>0</v>
      </c>
      <c r="F246" s="13" t="s">
        <v>0</v>
      </c>
      <c r="G246" s="13" t="s">
        <v>0</v>
      </c>
      <c r="H246" s="13">
        <f t="shared" si="7"/>
        <v>0</v>
      </c>
      <c r="I246" s="13" t="s">
        <v>0</v>
      </c>
      <c r="J246" s="13" t="s">
        <v>0</v>
      </c>
      <c r="K246" s="13"/>
      <c r="L246" s="13">
        <v>3</v>
      </c>
      <c r="M246" s="13"/>
      <c r="N246" s="13"/>
      <c r="O246" s="13"/>
      <c r="P246" s="21">
        <v>0</v>
      </c>
    </row>
    <row r="247" spans="1:16" hidden="1" x14ac:dyDescent="0.25">
      <c r="A247" s="19" t="s">
        <v>0</v>
      </c>
      <c r="B247" s="14"/>
      <c r="C247" s="14" t="s">
        <v>487</v>
      </c>
      <c r="D247" s="14"/>
      <c r="E247" s="13" t="s">
        <v>0</v>
      </c>
      <c r="F247" s="13" t="s">
        <v>0</v>
      </c>
      <c r="G247" s="13" t="s">
        <v>0</v>
      </c>
      <c r="H247" s="13">
        <f t="shared" si="7"/>
        <v>0</v>
      </c>
      <c r="I247" s="13" t="s">
        <v>0</v>
      </c>
      <c r="J247" s="13" t="s">
        <v>0</v>
      </c>
      <c r="K247" s="13">
        <v>0.26</v>
      </c>
      <c r="L247" s="13"/>
      <c r="M247" s="13"/>
      <c r="N247" s="13"/>
      <c r="O247" s="13"/>
      <c r="P247" s="21">
        <v>0</v>
      </c>
    </row>
    <row r="248" spans="1:16" x14ac:dyDescent="0.25">
      <c r="A248" s="19"/>
      <c r="B248" s="14"/>
      <c r="C248" s="14" t="s">
        <v>488</v>
      </c>
      <c r="D248" s="38">
        <v>246779413911</v>
      </c>
      <c r="E248" s="13" t="s">
        <v>0</v>
      </c>
      <c r="F248" s="13">
        <v>169</v>
      </c>
      <c r="G248" s="13" t="s">
        <v>489</v>
      </c>
      <c r="H248" s="13">
        <f t="shared" si="7"/>
        <v>3</v>
      </c>
      <c r="I248" s="13"/>
      <c r="J248" s="13"/>
      <c r="K248" s="13"/>
      <c r="L248" s="13"/>
      <c r="M248" s="13"/>
      <c r="N248" s="13"/>
      <c r="O248" s="13"/>
      <c r="P248" s="21">
        <v>0</v>
      </c>
    </row>
    <row r="249" spans="1:16" hidden="1" x14ac:dyDescent="0.25">
      <c r="A249" s="19">
        <v>45839</v>
      </c>
      <c r="B249" s="14" t="s">
        <v>480</v>
      </c>
      <c r="C249" s="14" t="s">
        <v>481</v>
      </c>
      <c r="D249" s="14"/>
      <c r="E249" s="13" t="s">
        <v>0</v>
      </c>
      <c r="F249" s="13" t="s">
        <v>0</v>
      </c>
      <c r="G249" s="13" t="s">
        <v>0</v>
      </c>
      <c r="H249" s="13">
        <f t="shared" si="7"/>
        <v>0</v>
      </c>
      <c r="I249" s="13" t="s">
        <v>513</v>
      </c>
      <c r="J249" s="13"/>
      <c r="K249" s="13">
        <v>14.5</v>
      </c>
      <c r="L249" s="13" t="s">
        <v>483</v>
      </c>
      <c r="M249" s="13" t="s">
        <v>554</v>
      </c>
      <c r="N249" s="13"/>
      <c r="O249" s="13">
        <v>1251</v>
      </c>
      <c r="P249" s="21">
        <v>26</v>
      </c>
    </row>
    <row r="250" spans="1:16" hidden="1" x14ac:dyDescent="0.25">
      <c r="A250" s="19" t="s">
        <v>0</v>
      </c>
      <c r="B250" s="14"/>
      <c r="C250" s="14" t="s">
        <v>544</v>
      </c>
      <c r="D250" s="14"/>
      <c r="E250" s="13" t="s">
        <v>0</v>
      </c>
      <c r="F250" s="13" t="s">
        <v>0</v>
      </c>
      <c r="G250" s="13" t="s">
        <v>0</v>
      </c>
      <c r="H250" s="13">
        <f t="shared" si="7"/>
        <v>0</v>
      </c>
      <c r="I250" s="13" t="s">
        <v>0</v>
      </c>
      <c r="J250" s="13" t="s">
        <v>0</v>
      </c>
      <c r="K250" s="13">
        <v>1277.3</v>
      </c>
      <c r="L250" s="13"/>
      <c r="M250" s="13"/>
      <c r="N250" s="13"/>
      <c r="O250" s="13"/>
      <c r="P250" s="21">
        <v>0</v>
      </c>
    </row>
    <row r="251" spans="1:16" hidden="1" x14ac:dyDescent="0.25">
      <c r="A251" s="19" t="s">
        <v>0</v>
      </c>
      <c r="B251" s="14"/>
      <c r="C251" s="14" t="s">
        <v>525</v>
      </c>
      <c r="D251" s="14"/>
      <c r="E251" s="13" t="s">
        <v>0</v>
      </c>
      <c r="F251" s="13" t="s">
        <v>0</v>
      </c>
      <c r="G251" s="13" t="s">
        <v>0</v>
      </c>
      <c r="H251" s="13">
        <f t="shared" si="7"/>
        <v>0</v>
      </c>
      <c r="I251" s="13" t="s">
        <v>0</v>
      </c>
      <c r="J251" s="13" t="s">
        <v>0</v>
      </c>
      <c r="K251" s="13"/>
      <c r="L251" s="13">
        <v>26</v>
      </c>
      <c r="M251" s="13"/>
      <c r="N251" s="13"/>
      <c r="O251" s="13"/>
      <c r="P251" s="21">
        <v>0</v>
      </c>
    </row>
    <row r="252" spans="1:16" hidden="1" x14ac:dyDescent="0.25">
      <c r="A252" s="19" t="s">
        <v>0</v>
      </c>
      <c r="B252" s="14"/>
      <c r="C252" s="14" t="s">
        <v>487</v>
      </c>
      <c r="D252" s="14"/>
      <c r="E252" s="13" t="s">
        <v>0</v>
      </c>
      <c r="F252" s="13" t="s">
        <v>0</v>
      </c>
      <c r="G252" s="13" t="s">
        <v>0</v>
      </c>
      <c r="H252" s="13">
        <f t="shared" si="7"/>
        <v>0</v>
      </c>
      <c r="I252" s="13" t="s">
        <v>0</v>
      </c>
      <c r="J252" s="13" t="s">
        <v>0</v>
      </c>
      <c r="K252" s="13"/>
      <c r="L252" s="13">
        <v>0.3</v>
      </c>
      <c r="M252" s="13"/>
      <c r="N252" s="13"/>
      <c r="O252" s="13"/>
      <c r="P252" s="21">
        <v>0</v>
      </c>
    </row>
    <row r="253" spans="1:16" x14ac:dyDescent="0.25">
      <c r="A253" s="19"/>
      <c r="B253" s="14"/>
      <c r="C253" s="14" t="s">
        <v>488</v>
      </c>
      <c r="D253" s="38">
        <v>246779413913</v>
      </c>
      <c r="E253" s="13" t="s">
        <v>0</v>
      </c>
      <c r="F253" s="13">
        <v>1251</v>
      </c>
      <c r="G253" s="13" t="s">
        <v>489</v>
      </c>
      <c r="H253" s="13">
        <f t="shared" si="7"/>
        <v>26</v>
      </c>
      <c r="I253" s="13"/>
      <c r="J253" s="13"/>
      <c r="K253" s="13"/>
      <c r="L253" s="13"/>
      <c r="M253" s="13"/>
      <c r="N253" s="13"/>
      <c r="O253" s="13"/>
      <c r="P253" s="21">
        <v>0</v>
      </c>
    </row>
    <row r="254" spans="1:16" hidden="1" x14ac:dyDescent="0.25">
      <c r="A254" s="19">
        <v>45839</v>
      </c>
      <c r="B254" s="14" t="s">
        <v>480</v>
      </c>
      <c r="C254" s="14" t="s">
        <v>481</v>
      </c>
      <c r="D254" s="14"/>
      <c r="E254" s="13" t="s">
        <v>0</v>
      </c>
      <c r="F254" s="13" t="s">
        <v>0</v>
      </c>
      <c r="G254" s="13" t="s">
        <v>0</v>
      </c>
      <c r="H254" s="13">
        <f t="shared" si="7"/>
        <v>0</v>
      </c>
      <c r="I254" s="13" t="s">
        <v>513</v>
      </c>
      <c r="J254" s="13"/>
      <c r="K254" s="13">
        <v>12</v>
      </c>
      <c r="L254" s="13" t="s">
        <v>483</v>
      </c>
      <c r="M254" s="13" t="s">
        <v>555</v>
      </c>
      <c r="N254" s="13"/>
      <c r="O254" s="13">
        <v>1036</v>
      </c>
      <c r="P254" s="21">
        <v>21</v>
      </c>
    </row>
    <row r="255" spans="1:16" hidden="1" x14ac:dyDescent="0.25">
      <c r="A255" s="19" t="s">
        <v>0</v>
      </c>
      <c r="B255" s="14"/>
      <c r="C255" s="14" t="s">
        <v>533</v>
      </c>
      <c r="D255" s="14"/>
      <c r="E255" s="13" t="s">
        <v>0</v>
      </c>
      <c r="F255" s="13" t="s">
        <v>0</v>
      </c>
      <c r="G255" s="13" t="s">
        <v>0</v>
      </c>
      <c r="H255" s="13">
        <f t="shared" si="7"/>
        <v>0</v>
      </c>
      <c r="I255" s="13" t="s">
        <v>0</v>
      </c>
      <c r="J255" s="13" t="s">
        <v>0</v>
      </c>
      <c r="K255" s="13">
        <v>1057.22</v>
      </c>
      <c r="L255" s="13"/>
      <c r="M255" s="13"/>
      <c r="N255" s="13"/>
      <c r="O255" s="13"/>
      <c r="P255" s="21">
        <v>0</v>
      </c>
    </row>
    <row r="256" spans="1:16" hidden="1" x14ac:dyDescent="0.25">
      <c r="A256" s="19" t="s">
        <v>0</v>
      </c>
      <c r="B256" s="14"/>
      <c r="C256" s="14" t="s">
        <v>525</v>
      </c>
      <c r="D256" s="14"/>
      <c r="E256" s="13" t="s">
        <v>0</v>
      </c>
      <c r="F256" s="13" t="s">
        <v>0</v>
      </c>
      <c r="G256" s="13" t="s">
        <v>0</v>
      </c>
      <c r="H256" s="13">
        <f t="shared" si="7"/>
        <v>0</v>
      </c>
      <c r="I256" s="13" t="s">
        <v>0</v>
      </c>
      <c r="J256" s="13" t="s">
        <v>0</v>
      </c>
      <c r="K256" s="13"/>
      <c r="L256" s="13">
        <v>21</v>
      </c>
      <c r="M256" s="13"/>
      <c r="N256" s="13"/>
      <c r="O256" s="13"/>
      <c r="P256" s="21">
        <v>0</v>
      </c>
    </row>
    <row r="257" spans="1:16" hidden="1" x14ac:dyDescent="0.25">
      <c r="A257" s="19" t="s">
        <v>0</v>
      </c>
      <c r="B257" s="14"/>
      <c r="C257" s="14" t="s">
        <v>487</v>
      </c>
      <c r="D257" s="14"/>
      <c r="E257" s="13" t="s">
        <v>0</v>
      </c>
      <c r="F257" s="13" t="s">
        <v>0</v>
      </c>
      <c r="G257" s="13" t="s">
        <v>0</v>
      </c>
      <c r="H257" s="13">
        <f t="shared" si="7"/>
        <v>0</v>
      </c>
      <c r="I257" s="13" t="s">
        <v>0</v>
      </c>
      <c r="J257" s="13" t="s">
        <v>0</v>
      </c>
      <c r="K257" s="13"/>
      <c r="L257" s="13">
        <v>0.22</v>
      </c>
      <c r="M257" s="13"/>
      <c r="N257" s="13"/>
      <c r="O257" s="13"/>
      <c r="P257" s="21">
        <v>0</v>
      </c>
    </row>
    <row r="258" spans="1:16" x14ac:dyDescent="0.25">
      <c r="A258" s="19"/>
      <c r="B258" s="14"/>
      <c r="C258" s="14" t="s">
        <v>488</v>
      </c>
      <c r="D258" s="38">
        <v>246779414150</v>
      </c>
      <c r="E258" s="13" t="s">
        <v>0</v>
      </c>
      <c r="F258" s="13">
        <v>1036</v>
      </c>
      <c r="G258" s="13" t="s">
        <v>489</v>
      </c>
      <c r="H258" s="13">
        <f t="shared" si="7"/>
        <v>21</v>
      </c>
      <c r="I258" s="13"/>
      <c r="J258" s="13"/>
      <c r="K258" s="13"/>
      <c r="L258" s="13"/>
      <c r="M258" s="13"/>
      <c r="N258" s="13"/>
      <c r="O258" s="13"/>
      <c r="P258" s="21">
        <v>0</v>
      </c>
    </row>
    <row r="259" spans="1:16" hidden="1" x14ac:dyDescent="0.25">
      <c r="A259" s="19">
        <v>45839</v>
      </c>
      <c r="B259" s="14" t="s">
        <v>480</v>
      </c>
      <c r="C259" s="14" t="s">
        <v>481</v>
      </c>
      <c r="D259" s="14"/>
      <c r="E259" s="13" t="s">
        <v>0</v>
      </c>
      <c r="F259" s="13" t="s">
        <v>0</v>
      </c>
      <c r="G259" s="13" t="s">
        <v>0</v>
      </c>
      <c r="H259" s="13">
        <f t="shared" si="7"/>
        <v>0</v>
      </c>
      <c r="I259" s="13" t="s">
        <v>513</v>
      </c>
      <c r="J259" s="13"/>
      <c r="K259" s="13">
        <v>14.7</v>
      </c>
      <c r="L259" s="13" t="s">
        <v>483</v>
      </c>
      <c r="M259" s="13" t="s">
        <v>556</v>
      </c>
      <c r="N259" s="13"/>
      <c r="O259" s="13">
        <v>1269</v>
      </c>
      <c r="P259" s="21">
        <v>26</v>
      </c>
    </row>
    <row r="260" spans="1:16" hidden="1" x14ac:dyDescent="0.25">
      <c r="A260" s="19" t="s">
        <v>0</v>
      </c>
      <c r="B260" s="14"/>
      <c r="C260" s="14" t="s">
        <v>533</v>
      </c>
      <c r="D260" s="14"/>
      <c r="E260" s="13" t="s">
        <v>0</v>
      </c>
      <c r="F260" s="13" t="s">
        <v>0</v>
      </c>
      <c r="G260" s="13" t="s">
        <v>0</v>
      </c>
      <c r="H260" s="13">
        <f t="shared" si="7"/>
        <v>0</v>
      </c>
      <c r="I260" s="13" t="s">
        <v>0</v>
      </c>
      <c r="J260" s="13" t="s">
        <v>0</v>
      </c>
      <c r="K260" s="13">
        <v>1294.56</v>
      </c>
      <c r="L260" s="13"/>
      <c r="M260" s="13"/>
      <c r="N260" s="13"/>
      <c r="O260" s="13"/>
      <c r="P260" s="21">
        <v>0</v>
      </c>
    </row>
    <row r="261" spans="1:16" hidden="1" x14ac:dyDescent="0.25">
      <c r="A261" s="19" t="s">
        <v>0</v>
      </c>
      <c r="B261" s="14"/>
      <c r="C261" s="14" t="s">
        <v>525</v>
      </c>
      <c r="D261" s="14"/>
      <c r="E261" s="13" t="s">
        <v>0</v>
      </c>
      <c r="F261" s="13" t="s">
        <v>0</v>
      </c>
      <c r="G261" s="13" t="s">
        <v>0</v>
      </c>
      <c r="H261" s="13">
        <f t="shared" si="7"/>
        <v>0</v>
      </c>
      <c r="I261" s="13" t="s">
        <v>0</v>
      </c>
      <c r="J261" s="13" t="s">
        <v>0</v>
      </c>
      <c r="K261" s="13"/>
      <c r="L261" s="13">
        <v>26</v>
      </c>
      <c r="M261" s="13"/>
      <c r="N261" s="13"/>
      <c r="O261" s="13"/>
      <c r="P261" s="21">
        <v>0</v>
      </c>
    </row>
    <row r="262" spans="1:16" hidden="1" x14ac:dyDescent="0.25">
      <c r="A262" s="19" t="s">
        <v>0</v>
      </c>
      <c r="B262" s="14"/>
      <c r="C262" s="14" t="s">
        <v>487</v>
      </c>
      <c r="D262" s="14"/>
      <c r="E262" s="13" t="s">
        <v>0</v>
      </c>
      <c r="F262" s="13" t="s">
        <v>0</v>
      </c>
      <c r="G262" s="13" t="s">
        <v>0</v>
      </c>
      <c r="H262" s="13">
        <f t="shared" si="7"/>
        <v>0</v>
      </c>
      <c r="I262" s="13" t="s">
        <v>0</v>
      </c>
      <c r="J262" s="13" t="s">
        <v>0</v>
      </c>
      <c r="K262" s="13">
        <v>0.44</v>
      </c>
      <c r="L262" s="13"/>
      <c r="M262" s="13"/>
      <c r="N262" s="13"/>
      <c r="O262" s="13"/>
      <c r="P262" s="21">
        <v>0</v>
      </c>
    </row>
    <row r="263" spans="1:16" x14ac:dyDescent="0.25">
      <c r="A263" s="19"/>
      <c r="B263" s="14"/>
      <c r="C263" s="14" t="s">
        <v>488</v>
      </c>
      <c r="D263" s="38">
        <v>246779414151</v>
      </c>
      <c r="E263" s="13" t="s">
        <v>0</v>
      </c>
      <c r="F263" s="13">
        <v>1269</v>
      </c>
      <c r="G263" s="13" t="s">
        <v>489</v>
      </c>
      <c r="H263" s="13">
        <f t="shared" si="7"/>
        <v>26</v>
      </c>
      <c r="I263" s="13"/>
      <c r="J263" s="13"/>
      <c r="K263" s="13"/>
      <c r="L263" s="13"/>
      <c r="M263" s="13"/>
      <c r="N263" s="13"/>
      <c r="O263" s="13"/>
      <c r="P263" s="21">
        <v>0</v>
      </c>
    </row>
    <row r="264" spans="1:16" hidden="1" x14ac:dyDescent="0.25">
      <c r="A264" s="19">
        <v>45839</v>
      </c>
      <c r="B264" s="14" t="s">
        <v>480</v>
      </c>
      <c r="C264" s="14" t="s">
        <v>481</v>
      </c>
      <c r="D264" s="14"/>
      <c r="E264" s="13" t="s">
        <v>0</v>
      </c>
      <c r="F264" s="13" t="s">
        <v>0</v>
      </c>
      <c r="G264" s="13" t="s">
        <v>0</v>
      </c>
      <c r="H264" s="13">
        <f t="shared" ref="H264:H327" si="8">P260</f>
        <v>0</v>
      </c>
      <c r="I264" s="13" t="s">
        <v>513</v>
      </c>
      <c r="J264" s="13"/>
      <c r="K264" s="13">
        <v>8.91</v>
      </c>
      <c r="L264" s="13" t="s">
        <v>483</v>
      </c>
      <c r="M264" s="13" t="s">
        <v>557</v>
      </c>
      <c r="N264" s="13"/>
      <c r="O264" s="13">
        <v>769</v>
      </c>
      <c r="P264" s="21">
        <v>16</v>
      </c>
    </row>
    <row r="265" spans="1:16" hidden="1" x14ac:dyDescent="0.25">
      <c r="A265" s="19" t="s">
        <v>0</v>
      </c>
      <c r="B265" s="14"/>
      <c r="C265" s="14" t="s">
        <v>544</v>
      </c>
      <c r="D265" s="14"/>
      <c r="E265" s="13" t="s">
        <v>0</v>
      </c>
      <c r="F265" s="13" t="s">
        <v>0</v>
      </c>
      <c r="G265" s="13" t="s">
        <v>0</v>
      </c>
      <c r="H265" s="13">
        <f t="shared" si="8"/>
        <v>0</v>
      </c>
      <c r="I265" s="13" t="s">
        <v>0</v>
      </c>
      <c r="J265" s="13" t="s">
        <v>0</v>
      </c>
      <c r="K265" s="13">
        <v>785.37</v>
      </c>
      <c r="L265" s="13"/>
      <c r="M265" s="13"/>
      <c r="N265" s="13"/>
      <c r="O265" s="13"/>
      <c r="P265" s="21">
        <v>0</v>
      </c>
    </row>
    <row r="266" spans="1:16" hidden="1" x14ac:dyDescent="0.25">
      <c r="A266" s="19" t="s">
        <v>0</v>
      </c>
      <c r="B266" s="14"/>
      <c r="C266" s="14" t="s">
        <v>525</v>
      </c>
      <c r="D266" s="14"/>
      <c r="E266" s="13" t="s">
        <v>0</v>
      </c>
      <c r="F266" s="13" t="s">
        <v>0</v>
      </c>
      <c r="G266" s="13" t="s">
        <v>0</v>
      </c>
      <c r="H266" s="13">
        <f t="shared" si="8"/>
        <v>0</v>
      </c>
      <c r="I266" s="13" t="s">
        <v>0</v>
      </c>
      <c r="J266" s="13" t="s">
        <v>0</v>
      </c>
      <c r="K266" s="13"/>
      <c r="L266" s="13">
        <v>16</v>
      </c>
      <c r="M266" s="13"/>
      <c r="N266" s="13"/>
      <c r="O266" s="13"/>
      <c r="P266" s="21">
        <v>0</v>
      </c>
    </row>
    <row r="267" spans="1:16" hidden="1" x14ac:dyDescent="0.25">
      <c r="A267" s="19" t="s">
        <v>0</v>
      </c>
      <c r="B267" s="14"/>
      <c r="C267" s="14" t="s">
        <v>487</v>
      </c>
      <c r="D267" s="14"/>
      <c r="E267" s="13" t="s">
        <v>0</v>
      </c>
      <c r="F267" s="13" t="s">
        <v>0</v>
      </c>
      <c r="G267" s="13" t="s">
        <v>0</v>
      </c>
      <c r="H267" s="13">
        <f t="shared" si="8"/>
        <v>0</v>
      </c>
      <c r="I267" s="13" t="s">
        <v>0</v>
      </c>
      <c r="J267" s="13" t="s">
        <v>0</v>
      </c>
      <c r="K267" s="13"/>
      <c r="L267" s="13">
        <v>0.37</v>
      </c>
      <c r="M267" s="13"/>
      <c r="N267" s="13"/>
      <c r="O267" s="13"/>
      <c r="P267" s="21">
        <v>0</v>
      </c>
    </row>
    <row r="268" spans="1:16" x14ac:dyDescent="0.25">
      <c r="A268" s="19"/>
      <c r="B268" s="14"/>
      <c r="C268" s="14" t="s">
        <v>488</v>
      </c>
      <c r="D268" s="38">
        <v>246779414229</v>
      </c>
      <c r="E268" s="13" t="s">
        <v>0</v>
      </c>
      <c r="F268" s="13">
        <v>769</v>
      </c>
      <c r="G268" s="13" t="s">
        <v>489</v>
      </c>
      <c r="H268" s="13">
        <f t="shared" si="8"/>
        <v>16</v>
      </c>
      <c r="I268" s="13"/>
      <c r="J268" s="13"/>
      <c r="K268" s="13"/>
      <c r="L268" s="13"/>
      <c r="M268" s="13"/>
      <c r="N268" s="13"/>
      <c r="O268" s="13"/>
      <c r="P268" s="21">
        <v>0</v>
      </c>
    </row>
    <row r="269" spans="1:16" hidden="1" x14ac:dyDescent="0.25">
      <c r="A269" s="19">
        <v>45839</v>
      </c>
      <c r="B269" s="14" t="s">
        <v>480</v>
      </c>
      <c r="C269" s="14" t="s">
        <v>481</v>
      </c>
      <c r="D269" s="14"/>
      <c r="E269" s="13" t="s">
        <v>0</v>
      </c>
      <c r="F269" s="13" t="s">
        <v>0</v>
      </c>
      <c r="G269" s="13" t="s">
        <v>0</v>
      </c>
      <c r="H269" s="13">
        <f t="shared" si="8"/>
        <v>0</v>
      </c>
      <c r="I269" s="13" t="s">
        <v>513</v>
      </c>
      <c r="J269" s="13"/>
      <c r="K269" s="13">
        <v>0.97</v>
      </c>
      <c r="L269" s="13" t="s">
        <v>483</v>
      </c>
      <c r="M269" s="13" t="s">
        <v>558</v>
      </c>
      <c r="N269" s="13"/>
      <c r="O269" s="13">
        <v>84</v>
      </c>
      <c r="P269" s="21">
        <v>2</v>
      </c>
    </row>
    <row r="270" spans="1:16" hidden="1" x14ac:dyDescent="0.25">
      <c r="A270" s="19" t="s">
        <v>0</v>
      </c>
      <c r="B270" s="14"/>
      <c r="C270" s="14" t="s">
        <v>533</v>
      </c>
      <c r="D270" s="14"/>
      <c r="E270" s="13" t="s">
        <v>0</v>
      </c>
      <c r="F270" s="13" t="s">
        <v>0</v>
      </c>
      <c r="G270" s="13" t="s">
        <v>0</v>
      </c>
      <c r="H270" s="13">
        <f t="shared" si="8"/>
        <v>0</v>
      </c>
      <c r="I270" s="13" t="s">
        <v>0</v>
      </c>
      <c r="J270" s="13" t="s">
        <v>0</v>
      </c>
      <c r="K270" s="13">
        <v>86.3</v>
      </c>
      <c r="L270" s="13"/>
      <c r="M270" s="13"/>
      <c r="N270" s="13"/>
      <c r="O270" s="13"/>
      <c r="P270" s="21">
        <v>0</v>
      </c>
    </row>
    <row r="271" spans="1:16" hidden="1" x14ac:dyDescent="0.25">
      <c r="A271" s="19" t="s">
        <v>0</v>
      </c>
      <c r="B271" s="14"/>
      <c r="C271" s="14" t="s">
        <v>525</v>
      </c>
      <c r="D271" s="14"/>
      <c r="E271" s="13" t="s">
        <v>0</v>
      </c>
      <c r="F271" s="13" t="s">
        <v>0</v>
      </c>
      <c r="G271" s="13" t="s">
        <v>0</v>
      </c>
      <c r="H271" s="13">
        <f t="shared" si="8"/>
        <v>0</v>
      </c>
      <c r="I271" s="13" t="s">
        <v>0</v>
      </c>
      <c r="J271" s="13" t="s">
        <v>0</v>
      </c>
      <c r="K271" s="13"/>
      <c r="L271" s="13">
        <v>2</v>
      </c>
      <c r="M271" s="13"/>
      <c r="N271" s="13"/>
      <c r="O271" s="13"/>
      <c r="P271" s="21">
        <v>0</v>
      </c>
    </row>
    <row r="272" spans="1:16" hidden="1" x14ac:dyDescent="0.25">
      <c r="A272" s="19" t="s">
        <v>0</v>
      </c>
      <c r="B272" s="14"/>
      <c r="C272" s="14" t="s">
        <v>487</v>
      </c>
      <c r="D272" s="14"/>
      <c r="E272" s="13" t="s">
        <v>0</v>
      </c>
      <c r="F272" s="13" t="s">
        <v>0</v>
      </c>
      <c r="G272" s="13" t="s">
        <v>0</v>
      </c>
      <c r="H272" s="13">
        <f t="shared" si="8"/>
        <v>0</v>
      </c>
      <c r="I272" s="13" t="s">
        <v>0</v>
      </c>
      <c r="J272" s="13" t="s">
        <v>0</v>
      </c>
      <c r="K272" s="13"/>
      <c r="L272" s="13">
        <v>0.3</v>
      </c>
      <c r="M272" s="13"/>
      <c r="N272" s="13"/>
      <c r="O272" s="13"/>
      <c r="P272" s="21">
        <v>0</v>
      </c>
    </row>
    <row r="273" spans="1:16" x14ac:dyDescent="0.25">
      <c r="A273" s="19"/>
      <c r="B273" s="14"/>
      <c r="C273" s="14" t="s">
        <v>488</v>
      </c>
      <c r="D273" s="38">
        <v>246779414230</v>
      </c>
      <c r="E273" s="13" t="s">
        <v>0</v>
      </c>
      <c r="F273" s="13">
        <v>84</v>
      </c>
      <c r="G273" s="13" t="s">
        <v>489</v>
      </c>
      <c r="H273" s="13">
        <f t="shared" si="8"/>
        <v>2</v>
      </c>
      <c r="I273" s="13"/>
      <c r="J273" s="13"/>
      <c r="K273" s="13"/>
      <c r="L273" s="13"/>
      <c r="M273" s="13"/>
      <c r="N273" s="13"/>
      <c r="O273" s="13"/>
      <c r="P273" s="21">
        <v>0</v>
      </c>
    </row>
    <row r="274" spans="1:16" hidden="1" x14ac:dyDescent="0.25">
      <c r="A274" s="19">
        <v>45839</v>
      </c>
      <c r="B274" s="14" t="s">
        <v>480</v>
      </c>
      <c r="C274" s="14" t="s">
        <v>481</v>
      </c>
      <c r="D274" s="14"/>
      <c r="E274" s="13" t="s">
        <v>0</v>
      </c>
      <c r="F274" s="13" t="s">
        <v>0</v>
      </c>
      <c r="G274" s="13" t="s">
        <v>0</v>
      </c>
      <c r="H274" s="13">
        <f t="shared" si="8"/>
        <v>0</v>
      </c>
      <c r="I274" s="13" t="s">
        <v>513</v>
      </c>
      <c r="J274" s="13"/>
      <c r="K274" s="13">
        <v>12.98</v>
      </c>
      <c r="L274" s="13" t="s">
        <v>483</v>
      </c>
      <c r="M274" s="13" t="s">
        <v>559</v>
      </c>
      <c r="N274" s="13"/>
      <c r="O274" s="13">
        <v>1119</v>
      </c>
      <c r="P274" s="21">
        <v>23</v>
      </c>
    </row>
    <row r="275" spans="1:16" hidden="1" x14ac:dyDescent="0.25">
      <c r="A275" s="19" t="s">
        <v>0</v>
      </c>
      <c r="B275" s="14"/>
      <c r="C275" s="14" t="s">
        <v>533</v>
      </c>
      <c r="D275" s="14"/>
      <c r="E275" s="13" t="s">
        <v>0</v>
      </c>
      <c r="F275" s="13" t="s">
        <v>0</v>
      </c>
      <c r="G275" s="13" t="s">
        <v>0</v>
      </c>
      <c r="H275" s="13">
        <f t="shared" si="8"/>
        <v>0</v>
      </c>
      <c r="I275" s="13" t="s">
        <v>0</v>
      </c>
      <c r="J275" s="13" t="s">
        <v>0</v>
      </c>
      <c r="K275" s="13">
        <v>1142.3900000000001</v>
      </c>
      <c r="L275" s="13"/>
      <c r="M275" s="13"/>
      <c r="N275" s="13"/>
      <c r="O275" s="13"/>
      <c r="P275" s="21">
        <v>0</v>
      </c>
    </row>
    <row r="276" spans="1:16" hidden="1" x14ac:dyDescent="0.25">
      <c r="A276" s="19" t="s">
        <v>0</v>
      </c>
      <c r="B276" s="14"/>
      <c r="C276" s="14" t="s">
        <v>525</v>
      </c>
      <c r="D276" s="14"/>
      <c r="E276" s="13" t="s">
        <v>0</v>
      </c>
      <c r="F276" s="13" t="s">
        <v>0</v>
      </c>
      <c r="G276" s="13" t="s">
        <v>0</v>
      </c>
      <c r="H276" s="13">
        <f t="shared" si="8"/>
        <v>0</v>
      </c>
      <c r="I276" s="13" t="s">
        <v>0</v>
      </c>
      <c r="J276" s="13" t="s">
        <v>0</v>
      </c>
      <c r="K276" s="13"/>
      <c r="L276" s="13">
        <v>23</v>
      </c>
      <c r="M276" s="13"/>
      <c r="N276" s="13"/>
      <c r="O276" s="13"/>
      <c r="P276" s="21">
        <v>0</v>
      </c>
    </row>
    <row r="277" spans="1:16" hidden="1" x14ac:dyDescent="0.25">
      <c r="A277" s="19" t="s">
        <v>0</v>
      </c>
      <c r="B277" s="14"/>
      <c r="C277" s="14" t="s">
        <v>487</v>
      </c>
      <c r="D277" s="14"/>
      <c r="E277" s="13" t="s">
        <v>0</v>
      </c>
      <c r="F277" s="13" t="s">
        <v>0</v>
      </c>
      <c r="G277" s="13" t="s">
        <v>0</v>
      </c>
      <c r="H277" s="13">
        <f t="shared" si="8"/>
        <v>0</v>
      </c>
      <c r="I277" s="13" t="s">
        <v>0</v>
      </c>
      <c r="J277" s="13" t="s">
        <v>0</v>
      </c>
      <c r="K277" s="13"/>
      <c r="L277" s="13">
        <v>0.39</v>
      </c>
      <c r="M277" s="13"/>
      <c r="N277" s="13"/>
      <c r="O277" s="13"/>
      <c r="P277" s="21">
        <v>0</v>
      </c>
    </row>
    <row r="278" spans="1:16" x14ac:dyDescent="0.25">
      <c r="A278" s="19"/>
      <c r="B278" s="14"/>
      <c r="C278" s="14" t="s">
        <v>488</v>
      </c>
      <c r="D278" s="38">
        <v>246779414319</v>
      </c>
      <c r="E278" s="13" t="s">
        <v>0</v>
      </c>
      <c r="F278" s="13">
        <v>1119</v>
      </c>
      <c r="G278" s="13" t="s">
        <v>489</v>
      </c>
      <c r="H278" s="13">
        <f t="shared" si="8"/>
        <v>23</v>
      </c>
      <c r="I278" s="13"/>
      <c r="J278" s="13"/>
      <c r="K278" s="13"/>
      <c r="L278" s="13"/>
      <c r="M278" s="13"/>
      <c r="N278" s="13"/>
      <c r="O278" s="13"/>
      <c r="P278" s="21">
        <v>0</v>
      </c>
    </row>
    <row r="279" spans="1:16" hidden="1" x14ac:dyDescent="0.25">
      <c r="A279" s="19">
        <v>45839</v>
      </c>
      <c r="B279" s="14" t="s">
        <v>480</v>
      </c>
      <c r="C279" s="14" t="s">
        <v>481</v>
      </c>
      <c r="D279" s="14"/>
      <c r="E279" s="13" t="s">
        <v>0</v>
      </c>
      <c r="F279" s="13" t="s">
        <v>0</v>
      </c>
      <c r="G279" s="13" t="s">
        <v>0</v>
      </c>
      <c r="H279" s="13">
        <f t="shared" si="8"/>
        <v>0</v>
      </c>
      <c r="I279" s="13" t="s">
        <v>513</v>
      </c>
      <c r="J279" s="13"/>
      <c r="K279" s="13">
        <v>37.729999999999997</v>
      </c>
      <c r="L279" s="13" t="s">
        <v>483</v>
      </c>
      <c r="M279" s="13" t="s">
        <v>560</v>
      </c>
      <c r="N279" s="13"/>
      <c r="O279" s="13">
        <v>3253</v>
      </c>
      <c r="P279" s="21">
        <v>66</v>
      </c>
    </row>
    <row r="280" spans="1:16" hidden="1" x14ac:dyDescent="0.25">
      <c r="A280" s="19" t="s">
        <v>0</v>
      </c>
      <c r="B280" s="14"/>
      <c r="C280" s="14" t="s">
        <v>533</v>
      </c>
      <c r="D280" s="14"/>
      <c r="E280" s="13" t="s">
        <v>0</v>
      </c>
      <c r="F280" s="13" t="s">
        <v>0</v>
      </c>
      <c r="G280" s="13" t="s">
        <v>0</v>
      </c>
      <c r="H280" s="13">
        <f t="shared" si="8"/>
        <v>0</v>
      </c>
      <c r="I280" s="13" t="s">
        <v>0</v>
      </c>
      <c r="J280" s="13" t="s">
        <v>0</v>
      </c>
      <c r="K280" s="13">
        <v>3319.41</v>
      </c>
      <c r="L280" s="13"/>
      <c r="M280" s="13"/>
      <c r="N280" s="13"/>
      <c r="O280" s="13"/>
      <c r="P280" s="21">
        <v>0</v>
      </c>
    </row>
    <row r="281" spans="1:16" hidden="1" x14ac:dyDescent="0.25">
      <c r="A281" s="19" t="s">
        <v>0</v>
      </c>
      <c r="B281" s="14"/>
      <c r="C281" s="14" t="s">
        <v>525</v>
      </c>
      <c r="D281" s="14"/>
      <c r="E281" s="13" t="s">
        <v>0</v>
      </c>
      <c r="F281" s="13" t="s">
        <v>0</v>
      </c>
      <c r="G281" s="13" t="s">
        <v>0</v>
      </c>
      <c r="H281" s="13">
        <f t="shared" si="8"/>
        <v>0</v>
      </c>
      <c r="I281" s="13" t="s">
        <v>0</v>
      </c>
      <c r="J281" s="13" t="s">
        <v>0</v>
      </c>
      <c r="K281" s="13"/>
      <c r="L281" s="13">
        <v>66</v>
      </c>
      <c r="M281" s="13"/>
      <c r="N281" s="13"/>
      <c r="O281" s="13"/>
      <c r="P281" s="21">
        <v>0</v>
      </c>
    </row>
    <row r="282" spans="1:16" hidden="1" x14ac:dyDescent="0.25">
      <c r="A282" s="19" t="s">
        <v>0</v>
      </c>
      <c r="B282" s="14"/>
      <c r="C282" s="14" t="s">
        <v>487</v>
      </c>
      <c r="D282" s="14"/>
      <c r="E282" s="13" t="s">
        <v>0</v>
      </c>
      <c r="F282" s="13" t="s">
        <v>0</v>
      </c>
      <c r="G282" s="13" t="s">
        <v>0</v>
      </c>
      <c r="H282" s="13">
        <f t="shared" si="8"/>
        <v>0</v>
      </c>
      <c r="I282" s="13" t="s">
        <v>0</v>
      </c>
      <c r="J282" s="13" t="s">
        <v>0</v>
      </c>
      <c r="K282" s="13"/>
      <c r="L282" s="13">
        <v>0.41</v>
      </c>
      <c r="M282" s="13"/>
      <c r="N282" s="13"/>
      <c r="O282" s="13"/>
      <c r="P282" s="21">
        <v>0</v>
      </c>
    </row>
    <row r="283" spans="1:16" x14ac:dyDescent="0.25">
      <c r="A283" s="19"/>
      <c r="B283" s="14"/>
      <c r="C283" s="14" t="s">
        <v>488</v>
      </c>
      <c r="D283" s="38">
        <v>246779414320</v>
      </c>
      <c r="E283" s="13" t="s">
        <v>0</v>
      </c>
      <c r="F283" s="13">
        <v>3253</v>
      </c>
      <c r="G283" s="13" t="s">
        <v>489</v>
      </c>
      <c r="H283" s="13">
        <f t="shared" si="8"/>
        <v>66</v>
      </c>
      <c r="I283" s="13"/>
      <c r="J283" s="13"/>
      <c r="K283" s="13"/>
      <c r="L283" s="13"/>
      <c r="M283" s="13"/>
      <c r="N283" s="13"/>
      <c r="O283" s="13"/>
      <c r="P283" s="21">
        <v>0</v>
      </c>
    </row>
    <row r="284" spans="1:16" hidden="1" x14ac:dyDescent="0.25">
      <c r="A284" s="19">
        <v>45839</v>
      </c>
      <c r="B284" s="14" t="s">
        <v>480</v>
      </c>
      <c r="C284" s="14" t="s">
        <v>481</v>
      </c>
      <c r="D284" s="14"/>
      <c r="E284" s="13" t="s">
        <v>0</v>
      </c>
      <c r="F284" s="13" t="s">
        <v>0</v>
      </c>
      <c r="G284" s="13" t="s">
        <v>0</v>
      </c>
      <c r="H284" s="13">
        <f t="shared" si="8"/>
        <v>0</v>
      </c>
      <c r="I284" s="13" t="s">
        <v>513</v>
      </c>
      <c r="J284" s="13"/>
      <c r="K284" s="13">
        <v>29.4</v>
      </c>
      <c r="L284" s="13" t="s">
        <v>483</v>
      </c>
      <c r="M284" s="13" t="s">
        <v>561</v>
      </c>
      <c r="N284" s="13"/>
      <c r="O284" s="13">
        <v>2535</v>
      </c>
      <c r="P284" s="21">
        <v>52</v>
      </c>
    </row>
    <row r="285" spans="1:16" hidden="1" x14ac:dyDescent="0.25">
      <c r="A285" s="19" t="s">
        <v>0</v>
      </c>
      <c r="B285" s="14"/>
      <c r="C285" s="14" t="s">
        <v>533</v>
      </c>
      <c r="D285" s="14"/>
      <c r="E285" s="13" t="s">
        <v>0</v>
      </c>
      <c r="F285" s="13" t="s">
        <v>0</v>
      </c>
      <c r="G285" s="13" t="s">
        <v>0</v>
      </c>
      <c r="H285" s="13">
        <f t="shared" si="8"/>
        <v>0</v>
      </c>
      <c r="I285" s="13" t="s">
        <v>0</v>
      </c>
      <c r="J285" s="13" t="s">
        <v>0</v>
      </c>
      <c r="K285" s="13">
        <v>2586.5500000000002</v>
      </c>
      <c r="L285" s="13"/>
      <c r="M285" s="13"/>
      <c r="N285" s="13"/>
      <c r="O285" s="13"/>
      <c r="P285" s="21">
        <v>0</v>
      </c>
    </row>
    <row r="286" spans="1:16" hidden="1" x14ac:dyDescent="0.25">
      <c r="A286" s="19" t="s">
        <v>0</v>
      </c>
      <c r="B286" s="14"/>
      <c r="C286" s="14" t="s">
        <v>525</v>
      </c>
      <c r="D286" s="14"/>
      <c r="E286" s="13" t="s">
        <v>0</v>
      </c>
      <c r="F286" s="13" t="s">
        <v>0</v>
      </c>
      <c r="G286" s="13" t="s">
        <v>0</v>
      </c>
      <c r="H286" s="13">
        <f t="shared" si="8"/>
        <v>0</v>
      </c>
      <c r="I286" s="13" t="s">
        <v>0</v>
      </c>
      <c r="J286" s="13" t="s">
        <v>0</v>
      </c>
      <c r="K286" s="13"/>
      <c r="L286" s="13">
        <v>52</v>
      </c>
      <c r="M286" s="13"/>
      <c r="N286" s="13"/>
      <c r="O286" s="13"/>
      <c r="P286" s="21">
        <v>0</v>
      </c>
    </row>
    <row r="287" spans="1:16" hidden="1" x14ac:dyDescent="0.25">
      <c r="A287" s="19" t="s">
        <v>0</v>
      </c>
      <c r="B287" s="14"/>
      <c r="C287" s="14" t="s">
        <v>487</v>
      </c>
      <c r="D287" s="14"/>
      <c r="E287" s="13" t="s">
        <v>0</v>
      </c>
      <c r="F287" s="13" t="s">
        <v>0</v>
      </c>
      <c r="G287" s="13" t="s">
        <v>0</v>
      </c>
      <c r="H287" s="13">
        <f t="shared" si="8"/>
        <v>0</v>
      </c>
      <c r="I287" s="13" t="s">
        <v>0</v>
      </c>
      <c r="J287" s="13" t="s">
        <v>0</v>
      </c>
      <c r="K287" s="13">
        <v>0.45</v>
      </c>
      <c r="L287" s="13"/>
      <c r="M287" s="13"/>
      <c r="N287" s="13"/>
      <c r="O287" s="13"/>
      <c r="P287" s="21">
        <v>0</v>
      </c>
    </row>
    <row r="288" spans="1:16" x14ac:dyDescent="0.25">
      <c r="A288" s="19"/>
      <c r="B288" s="14"/>
      <c r="C288" s="14" t="s">
        <v>488</v>
      </c>
      <c r="D288" s="38">
        <v>246779414321</v>
      </c>
      <c r="E288" s="13" t="s">
        <v>0</v>
      </c>
      <c r="F288" s="13">
        <v>2535</v>
      </c>
      <c r="G288" s="13" t="s">
        <v>489</v>
      </c>
      <c r="H288" s="13">
        <f t="shared" si="8"/>
        <v>52</v>
      </c>
      <c r="I288" s="13"/>
      <c r="J288" s="13"/>
      <c r="K288" s="13"/>
      <c r="L288" s="13"/>
      <c r="M288" s="13"/>
      <c r="N288" s="13"/>
      <c r="O288" s="13"/>
      <c r="P288" s="21">
        <v>0</v>
      </c>
    </row>
    <row r="289" spans="1:16" hidden="1" x14ac:dyDescent="0.25">
      <c r="A289" s="19">
        <v>45839</v>
      </c>
      <c r="B289" s="14" t="s">
        <v>480</v>
      </c>
      <c r="C289" s="14" t="s">
        <v>481</v>
      </c>
      <c r="D289" s="14"/>
      <c r="E289" s="13" t="s">
        <v>0</v>
      </c>
      <c r="F289" s="13" t="s">
        <v>0</v>
      </c>
      <c r="G289" s="13" t="s">
        <v>0</v>
      </c>
      <c r="H289" s="13">
        <f t="shared" si="8"/>
        <v>0</v>
      </c>
      <c r="I289" s="13" t="s">
        <v>513</v>
      </c>
      <c r="J289" s="13"/>
      <c r="K289" s="13">
        <v>10.29</v>
      </c>
      <c r="L289" s="13" t="s">
        <v>483</v>
      </c>
      <c r="M289" s="13" t="s">
        <v>562</v>
      </c>
      <c r="N289" s="13"/>
      <c r="O289" s="13">
        <v>888</v>
      </c>
      <c r="P289" s="21">
        <v>18</v>
      </c>
    </row>
    <row r="290" spans="1:16" hidden="1" x14ac:dyDescent="0.25">
      <c r="A290" s="19" t="s">
        <v>0</v>
      </c>
      <c r="B290" s="14"/>
      <c r="C290" s="14" t="s">
        <v>533</v>
      </c>
      <c r="D290" s="14"/>
      <c r="E290" s="13" t="s">
        <v>0</v>
      </c>
      <c r="F290" s="13" t="s">
        <v>0</v>
      </c>
      <c r="G290" s="13" t="s">
        <v>0</v>
      </c>
      <c r="H290" s="13">
        <f t="shared" si="8"/>
        <v>0</v>
      </c>
      <c r="I290" s="13" t="s">
        <v>0</v>
      </c>
      <c r="J290" s="13" t="s">
        <v>0</v>
      </c>
      <c r="K290" s="13">
        <v>906.19</v>
      </c>
      <c r="L290" s="13"/>
      <c r="M290" s="13"/>
      <c r="N290" s="13"/>
      <c r="O290" s="13"/>
      <c r="P290" s="21">
        <v>0</v>
      </c>
    </row>
    <row r="291" spans="1:16" hidden="1" x14ac:dyDescent="0.25">
      <c r="A291" s="19" t="s">
        <v>0</v>
      </c>
      <c r="B291" s="14"/>
      <c r="C291" s="14" t="s">
        <v>525</v>
      </c>
      <c r="D291" s="14"/>
      <c r="E291" s="13" t="s">
        <v>0</v>
      </c>
      <c r="F291" s="13" t="s">
        <v>0</v>
      </c>
      <c r="G291" s="13" t="s">
        <v>0</v>
      </c>
      <c r="H291" s="13">
        <f t="shared" si="8"/>
        <v>0</v>
      </c>
      <c r="I291" s="13" t="s">
        <v>0</v>
      </c>
      <c r="J291" s="13" t="s">
        <v>0</v>
      </c>
      <c r="K291" s="13"/>
      <c r="L291" s="13">
        <v>18</v>
      </c>
      <c r="M291" s="13"/>
      <c r="N291" s="13"/>
      <c r="O291" s="13"/>
      <c r="P291" s="21">
        <v>0</v>
      </c>
    </row>
    <row r="292" spans="1:16" hidden="1" x14ac:dyDescent="0.25">
      <c r="A292" s="19" t="s">
        <v>0</v>
      </c>
      <c r="B292" s="14"/>
      <c r="C292" s="14" t="s">
        <v>487</v>
      </c>
      <c r="D292" s="14"/>
      <c r="E292" s="13" t="s">
        <v>0</v>
      </c>
      <c r="F292" s="13" t="s">
        <v>0</v>
      </c>
      <c r="G292" s="13" t="s">
        <v>0</v>
      </c>
      <c r="H292" s="13">
        <f t="shared" si="8"/>
        <v>0</v>
      </c>
      <c r="I292" s="13" t="s">
        <v>0</v>
      </c>
      <c r="J292" s="13" t="s">
        <v>0</v>
      </c>
      <c r="K292" s="13"/>
      <c r="L292" s="13">
        <v>0.19</v>
      </c>
      <c r="M292" s="13"/>
      <c r="N292" s="13"/>
      <c r="O292" s="13"/>
      <c r="P292" s="21">
        <v>0</v>
      </c>
    </row>
    <row r="293" spans="1:16" x14ac:dyDescent="0.25">
      <c r="A293" s="19"/>
      <c r="B293" s="14"/>
      <c r="C293" s="14" t="s">
        <v>488</v>
      </c>
      <c r="D293" s="38">
        <v>246779414402</v>
      </c>
      <c r="E293" s="13" t="s">
        <v>0</v>
      </c>
      <c r="F293" s="13">
        <v>888</v>
      </c>
      <c r="G293" s="13" t="s">
        <v>489</v>
      </c>
      <c r="H293" s="13">
        <f t="shared" si="8"/>
        <v>18</v>
      </c>
      <c r="I293" s="13"/>
      <c r="J293" s="13"/>
      <c r="K293" s="13"/>
      <c r="L293" s="13"/>
      <c r="M293" s="13"/>
      <c r="N293" s="13"/>
      <c r="O293" s="13"/>
      <c r="P293" s="21">
        <v>0</v>
      </c>
    </row>
    <row r="294" spans="1:16" hidden="1" x14ac:dyDescent="0.25">
      <c r="A294" s="19">
        <v>45839</v>
      </c>
      <c r="B294" s="14" t="s">
        <v>480</v>
      </c>
      <c r="C294" s="14" t="s">
        <v>481</v>
      </c>
      <c r="D294" s="14"/>
      <c r="E294" s="13" t="s">
        <v>0</v>
      </c>
      <c r="F294" s="13" t="s">
        <v>0</v>
      </c>
      <c r="G294" s="13" t="s">
        <v>0</v>
      </c>
      <c r="H294" s="13">
        <f t="shared" si="8"/>
        <v>0</v>
      </c>
      <c r="I294" s="13" t="s">
        <v>513</v>
      </c>
      <c r="J294" s="13"/>
      <c r="K294" s="13">
        <v>14.7</v>
      </c>
      <c r="L294" s="13" t="s">
        <v>483</v>
      </c>
      <c r="M294" s="13" t="s">
        <v>563</v>
      </c>
      <c r="N294" s="13"/>
      <c r="O294" s="13">
        <v>1269</v>
      </c>
      <c r="P294" s="21">
        <v>26</v>
      </c>
    </row>
    <row r="295" spans="1:16" hidden="1" x14ac:dyDescent="0.25">
      <c r="A295" s="19" t="s">
        <v>0</v>
      </c>
      <c r="B295" s="14"/>
      <c r="C295" s="14" t="s">
        <v>533</v>
      </c>
      <c r="D295" s="14"/>
      <c r="E295" s="13" t="s">
        <v>0</v>
      </c>
      <c r="F295" s="13" t="s">
        <v>0</v>
      </c>
      <c r="G295" s="13" t="s">
        <v>0</v>
      </c>
      <c r="H295" s="13">
        <f t="shared" si="8"/>
        <v>0</v>
      </c>
      <c r="I295" s="13" t="s">
        <v>0</v>
      </c>
      <c r="J295" s="13" t="s">
        <v>0</v>
      </c>
      <c r="K295" s="13">
        <v>1294.56</v>
      </c>
      <c r="L295" s="13"/>
      <c r="M295" s="13"/>
      <c r="N295" s="13"/>
      <c r="O295" s="13"/>
      <c r="P295" s="21">
        <v>0</v>
      </c>
    </row>
    <row r="296" spans="1:16" hidden="1" x14ac:dyDescent="0.25">
      <c r="A296" s="19" t="s">
        <v>0</v>
      </c>
      <c r="B296" s="14"/>
      <c r="C296" s="14" t="s">
        <v>525</v>
      </c>
      <c r="D296" s="14"/>
      <c r="E296" s="13" t="s">
        <v>0</v>
      </c>
      <c r="F296" s="13" t="s">
        <v>0</v>
      </c>
      <c r="G296" s="13" t="s">
        <v>0</v>
      </c>
      <c r="H296" s="13">
        <f t="shared" si="8"/>
        <v>0</v>
      </c>
      <c r="I296" s="13" t="s">
        <v>0</v>
      </c>
      <c r="J296" s="13" t="s">
        <v>0</v>
      </c>
      <c r="K296" s="13"/>
      <c r="L296" s="13">
        <v>26</v>
      </c>
      <c r="M296" s="13"/>
      <c r="N296" s="13"/>
      <c r="O296" s="13"/>
      <c r="P296" s="21">
        <v>0</v>
      </c>
    </row>
    <row r="297" spans="1:16" hidden="1" x14ac:dyDescent="0.25">
      <c r="A297" s="19" t="s">
        <v>0</v>
      </c>
      <c r="B297" s="14"/>
      <c r="C297" s="14" t="s">
        <v>487</v>
      </c>
      <c r="D297" s="14"/>
      <c r="E297" s="13" t="s">
        <v>0</v>
      </c>
      <c r="F297" s="13" t="s">
        <v>0</v>
      </c>
      <c r="G297" s="13" t="s">
        <v>0</v>
      </c>
      <c r="H297" s="13">
        <f t="shared" si="8"/>
        <v>0</v>
      </c>
      <c r="I297" s="13" t="s">
        <v>0</v>
      </c>
      <c r="J297" s="13" t="s">
        <v>0</v>
      </c>
      <c r="K297" s="13">
        <v>0.44</v>
      </c>
      <c r="L297" s="13"/>
      <c r="M297" s="13"/>
      <c r="N297" s="13"/>
      <c r="O297" s="13"/>
      <c r="P297" s="21">
        <v>0</v>
      </c>
    </row>
    <row r="298" spans="1:16" x14ac:dyDescent="0.25">
      <c r="A298" s="19"/>
      <c r="B298" s="14"/>
      <c r="C298" s="14" t="s">
        <v>488</v>
      </c>
      <c r="D298" s="38">
        <v>246779414403</v>
      </c>
      <c r="E298" s="13" t="s">
        <v>0</v>
      </c>
      <c r="F298" s="13">
        <v>1269</v>
      </c>
      <c r="G298" s="13" t="s">
        <v>489</v>
      </c>
      <c r="H298" s="13">
        <f t="shared" si="8"/>
        <v>26</v>
      </c>
      <c r="I298" s="13"/>
      <c r="J298" s="13"/>
      <c r="K298" s="13"/>
      <c r="L298" s="13"/>
      <c r="M298" s="13"/>
      <c r="N298" s="13"/>
      <c r="O298" s="13"/>
      <c r="P298" s="21">
        <v>0</v>
      </c>
    </row>
    <row r="299" spans="1:16" hidden="1" x14ac:dyDescent="0.25">
      <c r="A299" s="19">
        <v>45839</v>
      </c>
      <c r="B299" s="14" t="s">
        <v>480</v>
      </c>
      <c r="C299" s="14" t="s">
        <v>481</v>
      </c>
      <c r="D299" s="14"/>
      <c r="E299" s="13" t="s">
        <v>0</v>
      </c>
      <c r="F299" s="13" t="s">
        <v>0</v>
      </c>
      <c r="G299" s="13" t="s">
        <v>0</v>
      </c>
      <c r="H299" s="13">
        <f t="shared" si="8"/>
        <v>0</v>
      </c>
      <c r="I299" s="13" t="s">
        <v>513</v>
      </c>
      <c r="J299" s="13"/>
      <c r="K299" s="13">
        <v>17.809999999999999</v>
      </c>
      <c r="L299" s="13" t="s">
        <v>483</v>
      </c>
      <c r="M299" s="13" t="s">
        <v>564</v>
      </c>
      <c r="N299" s="13"/>
      <c r="O299" s="13">
        <v>1537</v>
      </c>
      <c r="P299" s="21">
        <v>31</v>
      </c>
    </row>
    <row r="300" spans="1:16" hidden="1" x14ac:dyDescent="0.25">
      <c r="A300" s="19" t="s">
        <v>0</v>
      </c>
      <c r="B300" s="14"/>
      <c r="C300" s="14" t="s">
        <v>533</v>
      </c>
      <c r="D300" s="14"/>
      <c r="E300" s="13" t="s">
        <v>0</v>
      </c>
      <c r="F300" s="13" t="s">
        <v>0</v>
      </c>
      <c r="G300" s="13" t="s">
        <v>0</v>
      </c>
      <c r="H300" s="13">
        <f t="shared" si="8"/>
        <v>0</v>
      </c>
      <c r="I300" s="13" t="s">
        <v>0</v>
      </c>
      <c r="J300" s="13" t="s">
        <v>0</v>
      </c>
      <c r="K300" s="13">
        <v>1568.14</v>
      </c>
      <c r="L300" s="13"/>
      <c r="M300" s="13"/>
      <c r="N300" s="13"/>
      <c r="O300" s="13"/>
      <c r="P300" s="21">
        <v>0</v>
      </c>
    </row>
    <row r="301" spans="1:16" hidden="1" x14ac:dyDescent="0.25">
      <c r="A301" s="19" t="s">
        <v>0</v>
      </c>
      <c r="B301" s="14"/>
      <c r="C301" s="14" t="s">
        <v>525</v>
      </c>
      <c r="D301" s="14"/>
      <c r="E301" s="13" t="s">
        <v>0</v>
      </c>
      <c r="F301" s="13" t="s">
        <v>0</v>
      </c>
      <c r="G301" s="13" t="s">
        <v>0</v>
      </c>
      <c r="H301" s="13">
        <f t="shared" si="8"/>
        <v>0</v>
      </c>
      <c r="I301" s="13" t="s">
        <v>0</v>
      </c>
      <c r="J301" s="13" t="s">
        <v>0</v>
      </c>
      <c r="K301" s="13"/>
      <c r="L301" s="13">
        <v>31</v>
      </c>
      <c r="M301" s="13"/>
      <c r="N301" s="13"/>
      <c r="O301" s="13"/>
      <c r="P301" s="21">
        <v>0</v>
      </c>
    </row>
    <row r="302" spans="1:16" hidden="1" x14ac:dyDescent="0.25">
      <c r="A302" s="19" t="s">
        <v>0</v>
      </c>
      <c r="B302" s="14"/>
      <c r="C302" s="14" t="s">
        <v>487</v>
      </c>
      <c r="D302" s="14"/>
      <c r="E302" s="13" t="s">
        <v>0</v>
      </c>
      <c r="F302" s="13" t="s">
        <v>0</v>
      </c>
      <c r="G302" s="13" t="s">
        <v>0</v>
      </c>
      <c r="H302" s="13">
        <f t="shared" si="8"/>
        <v>0</v>
      </c>
      <c r="I302" s="13" t="s">
        <v>0</v>
      </c>
      <c r="J302" s="13" t="s">
        <v>0</v>
      </c>
      <c r="K302" s="13"/>
      <c r="L302" s="13">
        <v>0.14000000000000001</v>
      </c>
      <c r="M302" s="13"/>
      <c r="N302" s="13"/>
      <c r="O302" s="13"/>
      <c r="P302" s="21">
        <v>0</v>
      </c>
    </row>
    <row r="303" spans="1:16" x14ac:dyDescent="0.25">
      <c r="A303" s="19"/>
      <c r="B303" s="14"/>
      <c r="C303" s="14" t="s">
        <v>488</v>
      </c>
      <c r="D303" s="38">
        <v>246779414472</v>
      </c>
      <c r="E303" s="13" t="s">
        <v>0</v>
      </c>
      <c r="F303" s="13">
        <v>1537</v>
      </c>
      <c r="G303" s="13" t="s">
        <v>489</v>
      </c>
      <c r="H303" s="13">
        <f t="shared" si="8"/>
        <v>31</v>
      </c>
      <c r="I303" s="13"/>
      <c r="J303" s="13"/>
      <c r="K303" s="13"/>
      <c r="L303" s="13"/>
      <c r="M303" s="13"/>
      <c r="N303" s="13"/>
      <c r="O303" s="13"/>
      <c r="P303" s="21">
        <v>0</v>
      </c>
    </row>
    <row r="304" spans="1:16" hidden="1" x14ac:dyDescent="0.25">
      <c r="A304" s="19">
        <v>45839</v>
      </c>
      <c r="B304" s="14" t="s">
        <v>480</v>
      </c>
      <c r="C304" s="14" t="s">
        <v>481</v>
      </c>
      <c r="D304" s="14"/>
      <c r="E304" s="13" t="s">
        <v>0</v>
      </c>
      <c r="F304" s="13" t="s">
        <v>0</v>
      </c>
      <c r="G304" s="13" t="s">
        <v>0</v>
      </c>
      <c r="H304" s="13">
        <f t="shared" si="8"/>
        <v>0</v>
      </c>
      <c r="I304" s="13" t="s">
        <v>513</v>
      </c>
      <c r="J304" s="13"/>
      <c r="K304" s="13">
        <v>6.26</v>
      </c>
      <c r="L304" s="13" t="s">
        <v>483</v>
      </c>
      <c r="M304" s="13" t="s">
        <v>565</v>
      </c>
      <c r="N304" s="13"/>
      <c r="O304" s="13">
        <v>540</v>
      </c>
      <c r="P304" s="21">
        <v>11</v>
      </c>
    </row>
    <row r="305" spans="1:16" hidden="1" x14ac:dyDescent="0.25">
      <c r="A305" s="19" t="s">
        <v>0</v>
      </c>
      <c r="B305" s="14"/>
      <c r="C305" s="14" t="s">
        <v>533</v>
      </c>
      <c r="D305" s="14"/>
      <c r="E305" s="13" t="s">
        <v>0</v>
      </c>
      <c r="F305" s="13" t="s">
        <v>0</v>
      </c>
      <c r="G305" s="13" t="s">
        <v>0</v>
      </c>
      <c r="H305" s="13">
        <f t="shared" si="8"/>
        <v>0</v>
      </c>
      <c r="I305" s="13" t="s">
        <v>0</v>
      </c>
      <c r="J305" s="13" t="s">
        <v>0</v>
      </c>
      <c r="K305" s="13">
        <v>550.62</v>
      </c>
      <c r="L305" s="13"/>
      <c r="M305" s="13"/>
      <c r="N305" s="13"/>
      <c r="O305" s="13"/>
      <c r="P305" s="21">
        <v>0</v>
      </c>
    </row>
    <row r="306" spans="1:16" hidden="1" x14ac:dyDescent="0.25">
      <c r="A306" s="19" t="s">
        <v>0</v>
      </c>
      <c r="B306" s="14"/>
      <c r="C306" s="14" t="s">
        <v>525</v>
      </c>
      <c r="D306" s="14"/>
      <c r="E306" s="13" t="s">
        <v>0</v>
      </c>
      <c r="F306" s="13" t="s">
        <v>0</v>
      </c>
      <c r="G306" s="13" t="s">
        <v>0</v>
      </c>
      <c r="H306" s="13">
        <f t="shared" si="8"/>
        <v>0</v>
      </c>
      <c r="I306" s="13" t="s">
        <v>0</v>
      </c>
      <c r="J306" s="13" t="s">
        <v>0</v>
      </c>
      <c r="K306" s="13"/>
      <c r="L306" s="13">
        <v>11</v>
      </c>
      <c r="M306" s="13"/>
      <c r="N306" s="13"/>
      <c r="O306" s="13"/>
      <c r="P306" s="21">
        <v>0</v>
      </c>
    </row>
    <row r="307" spans="1:16" hidden="1" x14ac:dyDescent="0.25">
      <c r="A307" s="19" t="s">
        <v>0</v>
      </c>
      <c r="B307" s="14"/>
      <c r="C307" s="14" t="s">
        <v>487</v>
      </c>
      <c r="D307" s="14"/>
      <c r="E307" s="13" t="s">
        <v>0</v>
      </c>
      <c r="F307" s="13" t="s">
        <v>0</v>
      </c>
      <c r="G307" s="13" t="s">
        <v>0</v>
      </c>
      <c r="H307" s="13">
        <f t="shared" si="8"/>
        <v>0</v>
      </c>
      <c r="I307" s="13" t="s">
        <v>0</v>
      </c>
      <c r="J307" s="13" t="s">
        <v>0</v>
      </c>
      <c r="K307" s="13">
        <v>0.38</v>
      </c>
      <c r="L307" s="13"/>
      <c r="M307" s="13"/>
      <c r="N307" s="13"/>
      <c r="O307" s="13"/>
      <c r="P307" s="21">
        <v>0</v>
      </c>
    </row>
    <row r="308" spans="1:16" x14ac:dyDescent="0.25">
      <c r="A308" s="19"/>
      <c r="B308" s="14"/>
      <c r="C308" s="14" t="s">
        <v>488</v>
      </c>
      <c r="D308" s="38">
        <v>246779414473</v>
      </c>
      <c r="E308" s="13" t="s">
        <v>0</v>
      </c>
      <c r="F308" s="13">
        <v>540</v>
      </c>
      <c r="G308" s="13" t="s">
        <v>489</v>
      </c>
      <c r="H308" s="13">
        <f t="shared" si="8"/>
        <v>11</v>
      </c>
      <c r="I308" s="13"/>
      <c r="J308" s="13"/>
      <c r="K308" s="13"/>
      <c r="L308" s="13"/>
      <c r="M308" s="13"/>
      <c r="N308" s="13"/>
      <c r="O308" s="13"/>
      <c r="P308" s="21">
        <v>0</v>
      </c>
    </row>
    <row r="309" spans="1:16" hidden="1" x14ac:dyDescent="0.25">
      <c r="A309" s="19">
        <v>45839</v>
      </c>
      <c r="B309" s="14" t="s">
        <v>480</v>
      </c>
      <c r="C309" s="14" t="s">
        <v>481</v>
      </c>
      <c r="D309" s="14"/>
      <c r="E309" s="13" t="s">
        <v>0</v>
      </c>
      <c r="F309" s="13" t="s">
        <v>0</v>
      </c>
      <c r="G309" s="13" t="s">
        <v>0</v>
      </c>
      <c r="H309" s="13">
        <f t="shared" si="8"/>
        <v>0</v>
      </c>
      <c r="I309" s="13" t="s">
        <v>513</v>
      </c>
      <c r="J309" s="13"/>
      <c r="K309" s="13">
        <v>58.79</v>
      </c>
      <c r="L309" s="13" t="s">
        <v>483</v>
      </c>
      <c r="M309" s="13" t="s">
        <v>566</v>
      </c>
      <c r="N309" s="13"/>
      <c r="O309" s="13">
        <v>5074</v>
      </c>
      <c r="P309" s="21">
        <v>104</v>
      </c>
    </row>
    <row r="310" spans="1:16" hidden="1" x14ac:dyDescent="0.25">
      <c r="A310" s="19" t="s">
        <v>0</v>
      </c>
      <c r="B310" s="14"/>
      <c r="C310" s="14" t="s">
        <v>533</v>
      </c>
      <c r="D310" s="14"/>
      <c r="E310" s="13" t="s">
        <v>0</v>
      </c>
      <c r="F310" s="13" t="s">
        <v>0</v>
      </c>
      <c r="G310" s="13" t="s">
        <v>0</v>
      </c>
      <c r="H310" s="13">
        <f t="shared" si="8"/>
        <v>0</v>
      </c>
      <c r="I310" s="13" t="s">
        <v>0</v>
      </c>
      <c r="J310" s="13" t="s">
        <v>0</v>
      </c>
      <c r="K310" s="13">
        <v>5178.24</v>
      </c>
      <c r="L310" s="13"/>
      <c r="M310" s="13"/>
      <c r="N310" s="13"/>
      <c r="O310" s="13"/>
      <c r="P310" s="21">
        <v>0</v>
      </c>
    </row>
    <row r="311" spans="1:16" hidden="1" x14ac:dyDescent="0.25">
      <c r="A311" s="19" t="s">
        <v>0</v>
      </c>
      <c r="B311" s="14"/>
      <c r="C311" s="14" t="s">
        <v>525</v>
      </c>
      <c r="D311" s="14"/>
      <c r="E311" s="13" t="s">
        <v>0</v>
      </c>
      <c r="F311" s="13" t="s">
        <v>0</v>
      </c>
      <c r="G311" s="13" t="s">
        <v>0</v>
      </c>
      <c r="H311" s="13">
        <f t="shared" si="8"/>
        <v>0</v>
      </c>
      <c r="I311" s="13" t="s">
        <v>0</v>
      </c>
      <c r="J311" s="13" t="s">
        <v>0</v>
      </c>
      <c r="K311" s="13"/>
      <c r="L311" s="13">
        <v>104</v>
      </c>
      <c r="M311" s="13"/>
      <c r="N311" s="13"/>
      <c r="O311" s="13"/>
      <c r="P311" s="21">
        <v>0</v>
      </c>
    </row>
    <row r="312" spans="1:16" hidden="1" x14ac:dyDescent="0.25">
      <c r="A312" s="19" t="s">
        <v>0</v>
      </c>
      <c r="B312" s="14"/>
      <c r="C312" s="14" t="s">
        <v>487</v>
      </c>
      <c r="D312" s="14"/>
      <c r="E312" s="13" t="s">
        <v>0</v>
      </c>
      <c r="F312" s="13" t="s">
        <v>0</v>
      </c>
      <c r="G312" s="13" t="s">
        <v>0</v>
      </c>
      <c r="H312" s="13">
        <f t="shared" si="8"/>
        <v>0</v>
      </c>
      <c r="I312" s="13" t="s">
        <v>0</v>
      </c>
      <c r="J312" s="13" t="s">
        <v>0</v>
      </c>
      <c r="K312" s="13"/>
      <c r="L312" s="13">
        <v>0.24</v>
      </c>
      <c r="M312" s="13"/>
      <c r="N312" s="13"/>
      <c r="O312" s="13"/>
      <c r="P312" s="21">
        <v>0</v>
      </c>
    </row>
    <row r="313" spans="1:16" x14ac:dyDescent="0.25">
      <c r="A313" s="19"/>
      <c r="B313" s="14"/>
      <c r="C313" s="14" t="s">
        <v>488</v>
      </c>
      <c r="D313" s="38">
        <v>246779414474</v>
      </c>
      <c r="E313" s="13" t="s">
        <v>0</v>
      </c>
      <c r="F313" s="13">
        <v>5074</v>
      </c>
      <c r="G313" s="13" t="s">
        <v>489</v>
      </c>
      <c r="H313" s="13">
        <f t="shared" si="8"/>
        <v>104</v>
      </c>
      <c r="I313" s="13"/>
      <c r="J313" s="13"/>
      <c r="K313" s="13"/>
      <c r="L313" s="13"/>
      <c r="M313" s="13"/>
      <c r="N313" s="13"/>
      <c r="O313" s="13"/>
      <c r="P313" s="21">
        <v>0</v>
      </c>
    </row>
    <row r="314" spans="1:16" hidden="1" x14ac:dyDescent="0.25">
      <c r="A314" s="19">
        <v>45839</v>
      </c>
      <c r="B314" s="14" t="s">
        <v>480</v>
      </c>
      <c r="C314" s="14" t="s">
        <v>481</v>
      </c>
      <c r="D314" s="14"/>
      <c r="E314" s="13" t="s">
        <v>0</v>
      </c>
      <c r="F314" s="13" t="s">
        <v>0</v>
      </c>
      <c r="G314" s="13" t="s">
        <v>0</v>
      </c>
      <c r="H314" s="13">
        <f t="shared" si="8"/>
        <v>0</v>
      </c>
      <c r="I314" s="13" t="s">
        <v>513</v>
      </c>
      <c r="J314" s="13"/>
      <c r="K314" s="13">
        <v>6.86</v>
      </c>
      <c r="L314" s="13" t="s">
        <v>483</v>
      </c>
      <c r="M314" s="13" t="s">
        <v>567</v>
      </c>
      <c r="N314" s="13"/>
      <c r="O314" s="13">
        <v>592</v>
      </c>
      <c r="P314" s="21">
        <v>12</v>
      </c>
    </row>
    <row r="315" spans="1:16" hidden="1" x14ac:dyDescent="0.25">
      <c r="A315" s="19" t="s">
        <v>0</v>
      </c>
      <c r="B315" s="14"/>
      <c r="C315" s="14" t="s">
        <v>544</v>
      </c>
      <c r="D315" s="14"/>
      <c r="E315" s="13" t="s">
        <v>0</v>
      </c>
      <c r="F315" s="13" t="s">
        <v>0</v>
      </c>
      <c r="G315" s="13" t="s">
        <v>0</v>
      </c>
      <c r="H315" s="13">
        <f t="shared" si="8"/>
        <v>0</v>
      </c>
      <c r="I315" s="13" t="s">
        <v>0</v>
      </c>
      <c r="J315" s="13" t="s">
        <v>0</v>
      </c>
      <c r="K315" s="13">
        <v>604.13</v>
      </c>
      <c r="L315" s="13"/>
      <c r="M315" s="13"/>
      <c r="N315" s="13"/>
      <c r="O315" s="13"/>
      <c r="P315" s="21">
        <v>0</v>
      </c>
    </row>
    <row r="316" spans="1:16" hidden="1" x14ac:dyDescent="0.25">
      <c r="A316" s="19" t="s">
        <v>0</v>
      </c>
      <c r="B316" s="14"/>
      <c r="C316" s="14" t="s">
        <v>525</v>
      </c>
      <c r="D316" s="14"/>
      <c r="E316" s="13" t="s">
        <v>0</v>
      </c>
      <c r="F316" s="13" t="s">
        <v>0</v>
      </c>
      <c r="G316" s="13" t="s">
        <v>0</v>
      </c>
      <c r="H316" s="13">
        <f t="shared" si="8"/>
        <v>0</v>
      </c>
      <c r="I316" s="13" t="s">
        <v>0</v>
      </c>
      <c r="J316" s="13" t="s">
        <v>0</v>
      </c>
      <c r="K316" s="13"/>
      <c r="L316" s="13">
        <v>12</v>
      </c>
      <c r="M316" s="13"/>
      <c r="N316" s="13"/>
      <c r="O316" s="13"/>
      <c r="P316" s="21">
        <v>0</v>
      </c>
    </row>
    <row r="317" spans="1:16" hidden="1" x14ac:dyDescent="0.25">
      <c r="A317" s="19" t="s">
        <v>0</v>
      </c>
      <c r="B317" s="14"/>
      <c r="C317" s="14" t="s">
        <v>487</v>
      </c>
      <c r="D317" s="14"/>
      <c r="E317" s="13" t="s">
        <v>0</v>
      </c>
      <c r="F317" s="13" t="s">
        <v>0</v>
      </c>
      <c r="G317" s="13" t="s">
        <v>0</v>
      </c>
      <c r="H317" s="13">
        <f t="shared" si="8"/>
        <v>0</v>
      </c>
      <c r="I317" s="13" t="s">
        <v>0</v>
      </c>
      <c r="J317" s="13" t="s">
        <v>0</v>
      </c>
      <c r="K317" s="13"/>
      <c r="L317" s="13">
        <v>0.13</v>
      </c>
      <c r="M317" s="13"/>
      <c r="N317" s="13"/>
      <c r="O317" s="13"/>
      <c r="P317" s="21">
        <v>0</v>
      </c>
    </row>
    <row r="318" spans="1:16" x14ac:dyDescent="0.25">
      <c r="A318" s="19"/>
      <c r="B318" s="14"/>
      <c r="C318" s="14" t="s">
        <v>488</v>
      </c>
      <c r="D318" s="38">
        <v>246779414610</v>
      </c>
      <c r="E318" s="13" t="s">
        <v>0</v>
      </c>
      <c r="F318" s="13">
        <v>592</v>
      </c>
      <c r="G318" s="13" t="s">
        <v>489</v>
      </c>
      <c r="H318" s="13">
        <f t="shared" si="8"/>
        <v>12</v>
      </c>
      <c r="I318" s="13"/>
      <c r="J318" s="13"/>
      <c r="K318" s="13"/>
      <c r="L318" s="13"/>
      <c r="M318" s="13"/>
      <c r="N318" s="13"/>
      <c r="O318" s="13"/>
      <c r="P318" s="21">
        <v>0</v>
      </c>
    </row>
    <row r="319" spans="1:16" hidden="1" x14ac:dyDescent="0.25">
      <c r="A319" s="19">
        <v>45839</v>
      </c>
      <c r="B319" s="14" t="s">
        <v>480</v>
      </c>
      <c r="C319" s="14" t="s">
        <v>481</v>
      </c>
      <c r="D319" s="14"/>
      <c r="E319" s="13" t="s">
        <v>0</v>
      </c>
      <c r="F319" s="13" t="s">
        <v>0</v>
      </c>
      <c r="G319" s="13" t="s">
        <v>0</v>
      </c>
      <c r="H319" s="13">
        <f t="shared" si="8"/>
        <v>0</v>
      </c>
      <c r="I319" s="13" t="s">
        <v>513</v>
      </c>
      <c r="J319" s="13"/>
      <c r="K319" s="13">
        <v>9.6999999999999993</v>
      </c>
      <c r="L319" s="13" t="s">
        <v>483</v>
      </c>
      <c r="M319" s="13" t="s">
        <v>568</v>
      </c>
      <c r="N319" s="13"/>
      <c r="O319" s="13">
        <v>837</v>
      </c>
      <c r="P319" s="21">
        <v>17</v>
      </c>
    </row>
    <row r="320" spans="1:16" hidden="1" x14ac:dyDescent="0.25">
      <c r="A320" s="19" t="s">
        <v>0</v>
      </c>
      <c r="B320" s="14"/>
      <c r="C320" s="14" t="s">
        <v>533</v>
      </c>
      <c r="D320" s="14"/>
      <c r="E320" s="13" t="s">
        <v>0</v>
      </c>
      <c r="F320" s="13" t="s">
        <v>0</v>
      </c>
      <c r="G320" s="13" t="s">
        <v>0</v>
      </c>
      <c r="H320" s="13">
        <f t="shared" si="8"/>
        <v>0</v>
      </c>
      <c r="I320" s="13" t="s">
        <v>0</v>
      </c>
      <c r="J320" s="13" t="s">
        <v>0</v>
      </c>
      <c r="K320" s="13">
        <v>854.41</v>
      </c>
      <c r="L320" s="13"/>
      <c r="M320" s="13"/>
      <c r="N320" s="13"/>
      <c r="O320" s="13"/>
      <c r="P320" s="21">
        <v>0</v>
      </c>
    </row>
    <row r="321" spans="1:16" hidden="1" x14ac:dyDescent="0.25">
      <c r="A321" s="19" t="s">
        <v>0</v>
      </c>
      <c r="B321" s="14"/>
      <c r="C321" s="14" t="s">
        <v>525</v>
      </c>
      <c r="D321" s="14"/>
      <c r="E321" s="13" t="s">
        <v>0</v>
      </c>
      <c r="F321" s="13" t="s">
        <v>0</v>
      </c>
      <c r="G321" s="13" t="s">
        <v>0</v>
      </c>
      <c r="H321" s="13">
        <f t="shared" si="8"/>
        <v>0</v>
      </c>
      <c r="I321" s="13" t="s">
        <v>0</v>
      </c>
      <c r="J321" s="13" t="s">
        <v>0</v>
      </c>
      <c r="K321" s="13"/>
      <c r="L321" s="13">
        <v>17</v>
      </c>
      <c r="M321" s="13"/>
      <c r="N321" s="13"/>
      <c r="O321" s="13"/>
      <c r="P321" s="21">
        <v>0</v>
      </c>
    </row>
    <row r="322" spans="1:16" hidden="1" x14ac:dyDescent="0.25">
      <c r="A322" s="19" t="s">
        <v>0</v>
      </c>
      <c r="B322" s="14"/>
      <c r="C322" s="14" t="s">
        <v>487</v>
      </c>
      <c r="D322" s="14"/>
      <c r="E322" s="13" t="s">
        <v>0</v>
      </c>
      <c r="F322" s="13" t="s">
        <v>0</v>
      </c>
      <c r="G322" s="13" t="s">
        <v>0</v>
      </c>
      <c r="H322" s="13">
        <f t="shared" si="8"/>
        <v>0</v>
      </c>
      <c r="I322" s="13" t="s">
        <v>0</v>
      </c>
      <c r="J322" s="13" t="s">
        <v>0</v>
      </c>
      <c r="K322" s="13"/>
      <c r="L322" s="13">
        <v>0.41</v>
      </c>
      <c r="M322" s="13"/>
      <c r="N322" s="13"/>
      <c r="O322" s="13"/>
      <c r="P322" s="21">
        <v>0</v>
      </c>
    </row>
    <row r="323" spans="1:16" x14ac:dyDescent="0.25">
      <c r="A323" s="19"/>
      <c r="B323" s="14"/>
      <c r="C323" s="14" t="s">
        <v>488</v>
      </c>
      <c r="D323" s="38">
        <v>246779414688</v>
      </c>
      <c r="E323" s="13" t="s">
        <v>0</v>
      </c>
      <c r="F323" s="13">
        <v>837</v>
      </c>
      <c r="G323" s="13" t="s">
        <v>489</v>
      </c>
      <c r="H323" s="13">
        <f t="shared" si="8"/>
        <v>17</v>
      </c>
      <c r="I323" s="13"/>
      <c r="J323" s="13"/>
      <c r="K323" s="13"/>
      <c r="L323" s="13"/>
      <c r="M323" s="13"/>
      <c r="N323" s="13"/>
      <c r="O323" s="13"/>
      <c r="P323" s="21">
        <v>0</v>
      </c>
    </row>
    <row r="324" spans="1:16" hidden="1" x14ac:dyDescent="0.25">
      <c r="A324" s="19">
        <v>45839</v>
      </c>
      <c r="B324" s="14" t="s">
        <v>480</v>
      </c>
      <c r="C324" s="14" t="s">
        <v>481</v>
      </c>
      <c r="D324" s="14"/>
      <c r="E324" s="13" t="s">
        <v>0</v>
      </c>
      <c r="F324" s="13" t="s">
        <v>0</v>
      </c>
      <c r="G324" s="13" t="s">
        <v>0</v>
      </c>
      <c r="H324" s="13">
        <f t="shared" si="8"/>
        <v>0</v>
      </c>
      <c r="I324" s="13" t="s">
        <v>513</v>
      </c>
      <c r="J324" s="13"/>
      <c r="K324" s="13">
        <v>49.73</v>
      </c>
      <c r="L324" s="13" t="s">
        <v>483</v>
      </c>
      <c r="M324" s="13" t="s">
        <v>569</v>
      </c>
      <c r="N324" s="13"/>
      <c r="O324" s="13">
        <v>4292</v>
      </c>
      <c r="P324" s="21">
        <v>88</v>
      </c>
    </row>
    <row r="325" spans="1:16" hidden="1" x14ac:dyDescent="0.25">
      <c r="A325" s="19" t="s">
        <v>0</v>
      </c>
      <c r="B325" s="14"/>
      <c r="C325" s="14" t="s">
        <v>544</v>
      </c>
      <c r="D325" s="14"/>
      <c r="E325" s="13" t="s">
        <v>0</v>
      </c>
      <c r="F325" s="13" t="s">
        <v>0</v>
      </c>
      <c r="G325" s="13" t="s">
        <v>0</v>
      </c>
      <c r="H325" s="13">
        <f t="shared" si="8"/>
        <v>0</v>
      </c>
      <c r="I325" s="13" t="s">
        <v>0</v>
      </c>
      <c r="J325" s="13" t="s">
        <v>0</v>
      </c>
      <c r="K325" s="13">
        <v>4379.93</v>
      </c>
      <c r="L325" s="13"/>
      <c r="M325" s="13"/>
      <c r="N325" s="13"/>
      <c r="O325" s="13"/>
      <c r="P325" s="21">
        <v>0</v>
      </c>
    </row>
    <row r="326" spans="1:16" hidden="1" x14ac:dyDescent="0.25">
      <c r="A326" s="19" t="s">
        <v>0</v>
      </c>
      <c r="B326" s="14"/>
      <c r="C326" s="14" t="s">
        <v>525</v>
      </c>
      <c r="D326" s="14"/>
      <c r="E326" s="13" t="s">
        <v>0</v>
      </c>
      <c r="F326" s="13" t="s">
        <v>0</v>
      </c>
      <c r="G326" s="13" t="s">
        <v>0</v>
      </c>
      <c r="H326" s="13">
        <f t="shared" si="8"/>
        <v>0</v>
      </c>
      <c r="I326" s="13" t="s">
        <v>0</v>
      </c>
      <c r="J326" s="13" t="s">
        <v>0</v>
      </c>
      <c r="K326" s="13"/>
      <c r="L326" s="13">
        <v>88</v>
      </c>
      <c r="M326" s="13"/>
      <c r="N326" s="13"/>
      <c r="O326" s="13"/>
      <c r="P326" s="21">
        <v>0</v>
      </c>
    </row>
    <row r="327" spans="1:16" hidden="1" x14ac:dyDescent="0.25">
      <c r="A327" s="19" t="s">
        <v>0</v>
      </c>
      <c r="B327" s="14"/>
      <c r="C327" s="14" t="s">
        <v>487</v>
      </c>
      <c r="D327" s="14"/>
      <c r="E327" s="13" t="s">
        <v>0</v>
      </c>
      <c r="F327" s="13" t="s">
        <v>0</v>
      </c>
      <c r="G327" s="13" t="s">
        <v>0</v>
      </c>
      <c r="H327" s="13">
        <f t="shared" si="8"/>
        <v>0</v>
      </c>
      <c r="I327" s="13" t="s">
        <v>0</v>
      </c>
      <c r="J327" s="13" t="s">
        <v>0</v>
      </c>
      <c r="K327" s="13">
        <v>7.0000000000000007E-2</v>
      </c>
      <c r="L327" s="13"/>
      <c r="M327" s="13"/>
      <c r="N327" s="13"/>
      <c r="O327" s="13"/>
      <c r="P327" s="21">
        <v>0</v>
      </c>
    </row>
    <row r="328" spans="1:16" x14ac:dyDescent="0.25">
      <c r="A328" s="19"/>
      <c r="B328" s="14"/>
      <c r="C328" s="14" t="s">
        <v>488</v>
      </c>
      <c r="D328" s="38">
        <v>246779414689</v>
      </c>
      <c r="E328" s="13" t="s">
        <v>0</v>
      </c>
      <c r="F328" s="13">
        <v>4292</v>
      </c>
      <c r="G328" s="13" t="s">
        <v>489</v>
      </c>
      <c r="H328" s="13">
        <f t="shared" ref="H328:H391" si="9">P324</f>
        <v>88</v>
      </c>
      <c r="I328" s="13"/>
      <c r="J328" s="13"/>
      <c r="K328" s="13"/>
      <c r="L328" s="13"/>
      <c r="M328" s="13"/>
      <c r="N328" s="13"/>
      <c r="O328" s="13"/>
      <c r="P328" s="21">
        <v>0</v>
      </c>
    </row>
    <row r="329" spans="1:16" hidden="1" x14ac:dyDescent="0.25">
      <c r="A329" s="19">
        <v>45839</v>
      </c>
      <c r="B329" s="14" t="s">
        <v>480</v>
      </c>
      <c r="C329" s="14" t="s">
        <v>481</v>
      </c>
      <c r="D329" s="14"/>
      <c r="E329" s="13" t="s">
        <v>0</v>
      </c>
      <c r="F329" s="13" t="s">
        <v>0</v>
      </c>
      <c r="G329" s="13" t="s">
        <v>0</v>
      </c>
      <c r="H329" s="13">
        <f t="shared" si="9"/>
        <v>0</v>
      </c>
      <c r="I329" s="13" t="s">
        <v>513</v>
      </c>
      <c r="J329" s="13"/>
      <c r="K329" s="13">
        <v>58.79</v>
      </c>
      <c r="L329" s="13" t="s">
        <v>483</v>
      </c>
      <c r="M329" s="13" t="s">
        <v>570</v>
      </c>
      <c r="N329" s="13"/>
      <c r="O329" s="13">
        <v>5074</v>
      </c>
      <c r="P329" s="21">
        <v>104</v>
      </c>
    </row>
    <row r="330" spans="1:16" hidden="1" x14ac:dyDescent="0.25">
      <c r="A330" s="19" t="s">
        <v>0</v>
      </c>
      <c r="B330" s="14"/>
      <c r="C330" s="14" t="s">
        <v>544</v>
      </c>
      <c r="D330" s="14"/>
      <c r="E330" s="13" t="s">
        <v>0</v>
      </c>
      <c r="F330" s="13" t="s">
        <v>0</v>
      </c>
      <c r="G330" s="13" t="s">
        <v>0</v>
      </c>
      <c r="H330" s="13">
        <f t="shared" si="9"/>
        <v>0</v>
      </c>
      <c r="I330" s="13" t="s">
        <v>0</v>
      </c>
      <c r="J330" s="13" t="s">
        <v>0</v>
      </c>
      <c r="K330" s="13">
        <v>5178.24</v>
      </c>
      <c r="L330" s="13"/>
      <c r="M330" s="13"/>
      <c r="N330" s="13"/>
      <c r="O330" s="13"/>
      <c r="P330" s="21">
        <v>0</v>
      </c>
    </row>
    <row r="331" spans="1:16" hidden="1" x14ac:dyDescent="0.25">
      <c r="A331" s="19" t="s">
        <v>0</v>
      </c>
      <c r="B331" s="14"/>
      <c r="C331" s="14" t="s">
        <v>525</v>
      </c>
      <c r="D331" s="14"/>
      <c r="E331" s="13" t="s">
        <v>0</v>
      </c>
      <c r="F331" s="13" t="s">
        <v>0</v>
      </c>
      <c r="G331" s="13" t="s">
        <v>0</v>
      </c>
      <c r="H331" s="13">
        <f t="shared" si="9"/>
        <v>0</v>
      </c>
      <c r="I331" s="13" t="s">
        <v>0</v>
      </c>
      <c r="J331" s="13" t="s">
        <v>0</v>
      </c>
      <c r="K331" s="13"/>
      <c r="L331" s="13">
        <v>104</v>
      </c>
      <c r="M331" s="13"/>
      <c r="N331" s="13"/>
      <c r="O331" s="13"/>
      <c r="P331" s="21">
        <v>0</v>
      </c>
    </row>
    <row r="332" spans="1:16" hidden="1" x14ac:dyDescent="0.25">
      <c r="A332" s="19" t="s">
        <v>0</v>
      </c>
      <c r="B332" s="14"/>
      <c r="C332" s="14" t="s">
        <v>487</v>
      </c>
      <c r="D332" s="14"/>
      <c r="E332" s="13" t="s">
        <v>0</v>
      </c>
      <c r="F332" s="13" t="s">
        <v>0</v>
      </c>
      <c r="G332" s="13" t="s">
        <v>0</v>
      </c>
      <c r="H332" s="13">
        <f t="shared" si="9"/>
        <v>0</v>
      </c>
      <c r="I332" s="13" t="s">
        <v>0</v>
      </c>
      <c r="J332" s="13" t="s">
        <v>0</v>
      </c>
      <c r="K332" s="13"/>
      <c r="L332" s="13">
        <v>0.24</v>
      </c>
      <c r="M332" s="13"/>
      <c r="N332" s="13"/>
      <c r="O332" s="13"/>
      <c r="P332" s="21">
        <v>0</v>
      </c>
    </row>
    <row r="333" spans="1:16" x14ac:dyDescent="0.25">
      <c r="A333" s="19"/>
      <c r="B333" s="14"/>
      <c r="C333" s="14" t="s">
        <v>488</v>
      </c>
      <c r="D333" s="38">
        <v>246779414690</v>
      </c>
      <c r="E333" s="13" t="s">
        <v>0</v>
      </c>
      <c r="F333" s="13">
        <v>5074</v>
      </c>
      <c r="G333" s="13" t="s">
        <v>489</v>
      </c>
      <c r="H333" s="13">
        <f t="shared" si="9"/>
        <v>104</v>
      </c>
      <c r="I333" s="13"/>
      <c r="J333" s="13"/>
      <c r="K333" s="13"/>
      <c r="L333" s="13"/>
      <c r="M333" s="13"/>
      <c r="N333" s="13"/>
      <c r="O333" s="13"/>
      <c r="P333" s="21">
        <v>0</v>
      </c>
    </row>
    <row r="334" spans="1:16" hidden="1" x14ac:dyDescent="0.25">
      <c r="A334" s="19">
        <v>45839</v>
      </c>
      <c r="B334" s="14" t="s">
        <v>480</v>
      </c>
      <c r="C334" s="14" t="s">
        <v>481</v>
      </c>
      <c r="D334" s="14"/>
      <c r="E334" s="13" t="s">
        <v>0</v>
      </c>
      <c r="F334" s="13" t="s">
        <v>0</v>
      </c>
      <c r="G334" s="13" t="s">
        <v>0</v>
      </c>
      <c r="H334" s="13">
        <f t="shared" si="9"/>
        <v>0</v>
      </c>
      <c r="I334" s="13" t="s">
        <v>513</v>
      </c>
      <c r="J334" s="13"/>
      <c r="K334" s="13">
        <v>108.95</v>
      </c>
      <c r="L334" s="13" t="s">
        <v>483</v>
      </c>
      <c r="M334" s="13" t="s">
        <v>571</v>
      </c>
      <c r="N334" s="13"/>
      <c r="O334" s="13">
        <v>9403</v>
      </c>
      <c r="P334" s="21">
        <v>192</v>
      </c>
    </row>
    <row r="335" spans="1:16" hidden="1" x14ac:dyDescent="0.25">
      <c r="A335" s="19" t="s">
        <v>0</v>
      </c>
      <c r="B335" s="14"/>
      <c r="C335" s="14" t="s">
        <v>544</v>
      </c>
      <c r="D335" s="14"/>
      <c r="E335" s="13" t="s">
        <v>0</v>
      </c>
      <c r="F335" s="13" t="s">
        <v>0</v>
      </c>
      <c r="G335" s="13" t="s">
        <v>0</v>
      </c>
      <c r="H335" s="13">
        <f t="shared" si="9"/>
        <v>0</v>
      </c>
      <c r="I335" s="13" t="s">
        <v>0</v>
      </c>
      <c r="J335" s="13" t="s">
        <v>0</v>
      </c>
      <c r="K335" s="13">
        <v>9595.2800000000007</v>
      </c>
      <c r="L335" s="13"/>
      <c r="M335" s="13"/>
      <c r="N335" s="13"/>
      <c r="O335" s="13"/>
      <c r="P335" s="21">
        <v>0</v>
      </c>
    </row>
    <row r="336" spans="1:16" hidden="1" x14ac:dyDescent="0.25">
      <c r="A336" s="19" t="s">
        <v>0</v>
      </c>
      <c r="B336" s="14"/>
      <c r="C336" s="14" t="s">
        <v>525</v>
      </c>
      <c r="D336" s="14"/>
      <c r="E336" s="13" t="s">
        <v>0</v>
      </c>
      <c r="F336" s="13" t="s">
        <v>0</v>
      </c>
      <c r="G336" s="13" t="s">
        <v>0</v>
      </c>
      <c r="H336" s="13">
        <f t="shared" si="9"/>
        <v>0</v>
      </c>
      <c r="I336" s="13" t="s">
        <v>0</v>
      </c>
      <c r="J336" s="13" t="s">
        <v>0</v>
      </c>
      <c r="K336" s="13"/>
      <c r="L336" s="13">
        <v>192</v>
      </c>
      <c r="M336" s="13"/>
      <c r="N336" s="13"/>
      <c r="O336" s="13"/>
      <c r="P336" s="21">
        <v>0</v>
      </c>
    </row>
    <row r="337" spans="1:16" hidden="1" x14ac:dyDescent="0.25">
      <c r="A337" s="19" t="s">
        <v>0</v>
      </c>
      <c r="B337" s="14"/>
      <c r="C337" s="14" t="s">
        <v>487</v>
      </c>
      <c r="D337" s="14"/>
      <c r="E337" s="13" t="s">
        <v>0</v>
      </c>
      <c r="F337" s="13" t="s">
        <v>0</v>
      </c>
      <c r="G337" s="13" t="s">
        <v>0</v>
      </c>
      <c r="H337" s="13">
        <f t="shared" si="9"/>
        <v>0</v>
      </c>
      <c r="I337" s="13" t="s">
        <v>0</v>
      </c>
      <c r="J337" s="13" t="s">
        <v>0</v>
      </c>
      <c r="K337" s="13"/>
      <c r="L337" s="13">
        <v>0.28000000000000003</v>
      </c>
      <c r="M337" s="13"/>
      <c r="N337" s="13"/>
      <c r="O337" s="13"/>
      <c r="P337" s="21">
        <v>0</v>
      </c>
    </row>
    <row r="338" spans="1:16" x14ac:dyDescent="0.25">
      <c r="A338" s="19"/>
      <c r="B338" s="14"/>
      <c r="C338" s="14" t="s">
        <v>488</v>
      </c>
      <c r="D338" s="38">
        <v>246779414740</v>
      </c>
      <c r="E338" s="13" t="s">
        <v>0</v>
      </c>
      <c r="F338" s="13">
        <v>9403</v>
      </c>
      <c r="G338" s="13" t="s">
        <v>489</v>
      </c>
      <c r="H338" s="13">
        <f t="shared" si="9"/>
        <v>192</v>
      </c>
      <c r="I338" s="13"/>
      <c r="J338" s="13"/>
      <c r="K338" s="13"/>
      <c r="L338" s="13"/>
      <c r="M338" s="13"/>
      <c r="N338" s="13"/>
      <c r="O338" s="13"/>
      <c r="P338" s="21">
        <v>0</v>
      </c>
    </row>
    <row r="339" spans="1:16" hidden="1" x14ac:dyDescent="0.25">
      <c r="A339" s="19">
        <v>45839</v>
      </c>
      <c r="B339" s="14" t="s">
        <v>480</v>
      </c>
      <c r="C339" s="14" t="s">
        <v>481</v>
      </c>
      <c r="D339" s="14"/>
      <c r="E339" s="13" t="s">
        <v>0</v>
      </c>
      <c r="F339" s="13" t="s">
        <v>0</v>
      </c>
      <c r="G339" s="13" t="s">
        <v>0</v>
      </c>
      <c r="H339" s="13">
        <f t="shared" si="9"/>
        <v>0</v>
      </c>
      <c r="I339" s="13" t="s">
        <v>513</v>
      </c>
      <c r="J339" s="13"/>
      <c r="K339" s="13">
        <v>1.94</v>
      </c>
      <c r="L339" s="13" t="s">
        <v>483</v>
      </c>
      <c r="M339" s="13" t="s">
        <v>572</v>
      </c>
      <c r="N339" s="13"/>
      <c r="O339" s="13">
        <v>167</v>
      </c>
      <c r="P339" s="21">
        <v>3</v>
      </c>
    </row>
    <row r="340" spans="1:16" hidden="1" x14ac:dyDescent="0.25">
      <c r="A340" s="19" t="s">
        <v>0</v>
      </c>
      <c r="B340" s="14"/>
      <c r="C340" s="14" t="s">
        <v>533</v>
      </c>
      <c r="D340" s="14"/>
      <c r="E340" s="13" t="s">
        <v>0</v>
      </c>
      <c r="F340" s="13" t="s">
        <v>0</v>
      </c>
      <c r="G340" s="13" t="s">
        <v>0</v>
      </c>
      <c r="H340" s="13">
        <f t="shared" si="9"/>
        <v>0</v>
      </c>
      <c r="I340" s="13" t="s">
        <v>0</v>
      </c>
      <c r="J340" s="13" t="s">
        <v>0</v>
      </c>
      <c r="K340" s="13">
        <v>170.02</v>
      </c>
      <c r="L340" s="13"/>
      <c r="M340" s="13"/>
      <c r="N340" s="13"/>
      <c r="O340" s="13"/>
      <c r="P340" s="21">
        <v>0</v>
      </c>
    </row>
    <row r="341" spans="1:16" hidden="1" x14ac:dyDescent="0.25">
      <c r="A341" s="19" t="s">
        <v>0</v>
      </c>
      <c r="B341" s="14"/>
      <c r="C341" s="14" t="s">
        <v>525</v>
      </c>
      <c r="D341" s="14"/>
      <c r="E341" s="13" t="s">
        <v>0</v>
      </c>
      <c r="F341" s="13" t="s">
        <v>0</v>
      </c>
      <c r="G341" s="13" t="s">
        <v>0</v>
      </c>
      <c r="H341" s="13">
        <f t="shared" si="9"/>
        <v>0</v>
      </c>
      <c r="I341" s="13" t="s">
        <v>0</v>
      </c>
      <c r="J341" s="13" t="s">
        <v>0</v>
      </c>
      <c r="K341" s="13"/>
      <c r="L341" s="13">
        <v>3</v>
      </c>
      <c r="M341" s="13"/>
      <c r="N341" s="13"/>
      <c r="O341" s="13"/>
      <c r="P341" s="21">
        <v>0</v>
      </c>
    </row>
    <row r="342" spans="1:16" hidden="1" x14ac:dyDescent="0.25">
      <c r="A342" s="19" t="s">
        <v>0</v>
      </c>
      <c r="B342" s="14"/>
      <c r="C342" s="14" t="s">
        <v>487</v>
      </c>
      <c r="D342" s="14"/>
      <c r="E342" s="13" t="s">
        <v>0</v>
      </c>
      <c r="F342" s="13" t="s">
        <v>0</v>
      </c>
      <c r="G342" s="13" t="s">
        <v>0</v>
      </c>
      <c r="H342" s="13">
        <f t="shared" si="9"/>
        <v>0</v>
      </c>
      <c r="I342" s="13" t="s">
        <v>0</v>
      </c>
      <c r="J342" s="13" t="s">
        <v>0</v>
      </c>
      <c r="K342" s="13"/>
      <c r="L342" s="13">
        <v>0.02</v>
      </c>
      <c r="M342" s="13"/>
      <c r="N342" s="13"/>
      <c r="O342" s="13"/>
      <c r="P342" s="21">
        <v>0</v>
      </c>
    </row>
    <row r="343" spans="1:16" x14ac:dyDescent="0.25">
      <c r="A343" s="19"/>
      <c r="B343" s="14"/>
      <c r="C343" s="14" t="s">
        <v>488</v>
      </c>
      <c r="D343" s="38">
        <v>246779414741</v>
      </c>
      <c r="E343" s="13" t="s">
        <v>0</v>
      </c>
      <c r="F343" s="13">
        <v>167</v>
      </c>
      <c r="G343" s="13" t="s">
        <v>489</v>
      </c>
      <c r="H343" s="13">
        <f t="shared" si="9"/>
        <v>3</v>
      </c>
      <c r="I343" s="13"/>
      <c r="J343" s="13"/>
      <c r="K343" s="13"/>
      <c r="L343" s="13"/>
      <c r="M343" s="13"/>
      <c r="N343" s="13"/>
      <c r="O343" s="13"/>
      <c r="P343" s="21">
        <v>0</v>
      </c>
    </row>
    <row r="344" spans="1:16" hidden="1" x14ac:dyDescent="0.25">
      <c r="A344" s="19">
        <v>45839</v>
      </c>
      <c r="B344" s="14" t="s">
        <v>480</v>
      </c>
      <c r="C344" s="14" t="s">
        <v>481</v>
      </c>
      <c r="D344" s="14"/>
      <c r="E344" s="13" t="s">
        <v>0</v>
      </c>
      <c r="F344" s="13" t="s">
        <v>0</v>
      </c>
      <c r="G344" s="13" t="s">
        <v>0</v>
      </c>
      <c r="H344" s="13">
        <f t="shared" si="9"/>
        <v>0</v>
      </c>
      <c r="I344" s="13" t="s">
        <v>513</v>
      </c>
      <c r="J344" s="13"/>
      <c r="K344" s="13">
        <v>58.79</v>
      </c>
      <c r="L344" s="13" t="s">
        <v>483</v>
      </c>
      <c r="M344" s="13" t="s">
        <v>573</v>
      </c>
      <c r="N344" s="13"/>
      <c r="O344" s="13">
        <v>5074</v>
      </c>
      <c r="P344" s="21">
        <v>104</v>
      </c>
    </row>
    <row r="345" spans="1:16" hidden="1" x14ac:dyDescent="0.25">
      <c r="A345" s="19" t="s">
        <v>0</v>
      </c>
      <c r="B345" s="14"/>
      <c r="C345" s="14" t="s">
        <v>544</v>
      </c>
      <c r="D345" s="14"/>
      <c r="E345" s="13" t="s">
        <v>0</v>
      </c>
      <c r="F345" s="13" t="s">
        <v>0</v>
      </c>
      <c r="G345" s="13" t="s">
        <v>0</v>
      </c>
      <c r="H345" s="13">
        <f t="shared" si="9"/>
        <v>0</v>
      </c>
      <c r="I345" s="13" t="s">
        <v>0</v>
      </c>
      <c r="J345" s="13" t="s">
        <v>0</v>
      </c>
      <c r="K345" s="13">
        <v>5178.24</v>
      </c>
      <c r="L345" s="13"/>
      <c r="M345" s="13"/>
      <c r="N345" s="13"/>
      <c r="O345" s="13"/>
      <c r="P345" s="21">
        <v>0</v>
      </c>
    </row>
    <row r="346" spans="1:16" hidden="1" x14ac:dyDescent="0.25">
      <c r="A346" s="19" t="s">
        <v>0</v>
      </c>
      <c r="B346" s="14"/>
      <c r="C346" s="14" t="s">
        <v>525</v>
      </c>
      <c r="D346" s="14"/>
      <c r="E346" s="13" t="s">
        <v>0</v>
      </c>
      <c r="F346" s="13" t="s">
        <v>0</v>
      </c>
      <c r="G346" s="13" t="s">
        <v>0</v>
      </c>
      <c r="H346" s="13">
        <f t="shared" si="9"/>
        <v>0</v>
      </c>
      <c r="I346" s="13" t="s">
        <v>0</v>
      </c>
      <c r="J346" s="13" t="s">
        <v>0</v>
      </c>
      <c r="K346" s="13"/>
      <c r="L346" s="13">
        <v>104</v>
      </c>
      <c r="M346" s="13"/>
      <c r="N346" s="13"/>
      <c r="O346" s="13"/>
      <c r="P346" s="21">
        <v>0</v>
      </c>
    </row>
    <row r="347" spans="1:16" hidden="1" x14ac:dyDescent="0.25">
      <c r="A347" s="19" t="s">
        <v>0</v>
      </c>
      <c r="B347" s="14"/>
      <c r="C347" s="14" t="s">
        <v>487</v>
      </c>
      <c r="D347" s="14"/>
      <c r="E347" s="13" t="s">
        <v>0</v>
      </c>
      <c r="F347" s="13" t="s">
        <v>0</v>
      </c>
      <c r="G347" s="13" t="s">
        <v>0</v>
      </c>
      <c r="H347" s="13">
        <f t="shared" si="9"/>
        <v>0</v>
      </c>
      <c r="I347" s="13" t="s">
        <v>0</v>
      </c>
      <c r="J347" s="13" t="s">
        <v>0</v>
      </c>
      <c r="K347" s="13"/>
      <c r="L347" s="13">
        <v>0.24</v>
      </c>
      <c r="M347" s="13"/>
      <c r="N347" s="13"/>
      <c r="O347" s="13"/>
      <c r="P347" s="21">
        <v>0</v>
      </c>
    </row>
    <row r="348" spans="1:16" x14ac:dyDescent="0.25">
      <c r="A348" s="19"/>
      <c r="B348" s="14"/>
      <c r="C348" s="14" t="s">
        <v>488</v>
      </c>
      <c r="D348" s="38">
        <v>246779414895</v>
      </c>
      <c r="E348" s="13" t="s">
        <v>0</v>
      </c>
      <c r="F348" s="13">
        <v>5074</v>
      </c>
      <c r="G348" s="13" t="s">
        <v>489</v>
      </c>
      <c r="H348" s="13">
        <f t="shared" si="9"/>
        <v>104</v>
      </c>
      <c r="I348" s="13"/>
      <c r="J348" s="13"/>
      <c r="K348" s="13"/>
      <c r="L348" s="13"/>
      <c r="M348" s="13"/>
      <c r="N348" s="13"/>
      <c r="O348" s="13"/>
      <c r="P348" s="21">
        <v>0</v>
      </c>
    </row>
    <row r="349" spans="1:16" hidden="1" x14ac:dyDescent="0.25">
      <c r="A349" s="19">
        <v>45839</v>
      </c>
      <c r="B349" s="14" t="s">
        <v>480</v>
      </c>
      <c r="C349" s="14" t="s">
        <v>481</v>
      </c>
      <c r="D349" s="14"/>
      <c r="E349" s="13" t="s">
        <v>0</v>
      </c>
      <c r="F349" s="13" t="s">
        <v>0</v>
      </c>
      <c r="G349" s="13" t="s">
        <v>0</v>
      </c>
      <c r="H349" s="13">
        <f t="shared" si="9"/>
        <v>0</v>
      </c>
      <c r="I349" s="13" t="s">
        <v>513</v>
      </c>
      <c r="J349" s="13"/>
      <c r="K349" s="13">
        <v>42.14</v>
      </c>
      <c r="L349" s="13" t="s">
        <v>483</v>
      </c>
      <c r="M349" s="13" t="s">
        <v>574</v>
      </c>
      <c r="N349" s="13"/>
      <c r="O349" s="13">
        <v>3637</v>
      </c>
      <c r="P349" s="21">
        <v>74</v>
      </c>
    </row>
    <row r="350" spans="1:16" hidden="1" x14ac:dyDescent="0.25">
      <c r="A350" s="19" t="s">
        <v>0</v>
      </c>
      <c r="B350" s="14"/>
      <c r="C350" s="14" t="s">
        <v>544</v>
      </c>
      <c r="D350" s="14"/>
      <c r="E350" s="13" t="s">
        <v>0</v>
      </c>
      <c r="F350" s="13" t="s">
        <v>0</v>
      </c>
      <c r="G350" s="13" t="s">
        <v>0</v>
      </c>
      <c r="H350" s="13">
        <f t="shared" si="9"/>
        <v>0</v>
      </c>
      <c r="I350" s="13" t="s">
        <v>0</v>
      </c>
      <c r="J350" s="13" t="s">
        <v>0</v>
      </c>
      <c r="K350" s="13">
        <v>3711.07</v>
      </c>
      <c r="L350" s="13"/>
      <c r="M350" s="13"/>
      <c r="N350" s="13"/>
      <c r="O350" s="13"/>
      <c r="P350" s="21">
        <v>0</v>
      </c>
    </row>
    <row r="351" spans="1:16" hidden="1" x14ac:dyDescent="0.25">
      <c r="A351" s="19" t="s">
        <v>0</v>
      </c>
      <c r="B351" s="14"/>
      <c r="C351" s="14" t="s">
        <v>525</v>
      </c>
      <c r="D351" s="14"/>
      <c r="E351" s="13" t="s">
        <v>0</v>
      </c>
      <c r="F351" s="13" t="s">
        <v>0</v>
      </c>
      <c r="G351" s="13" t="s">
        <v>0</v>
      </c>
      <c r="H351" s="13">
        <f t="shared" si="9"/>
        <v>0</v>
      </c>
      <c r="I351" s="13" t="s">
        <v>0</v>
      </c>
      <c r="J351" s="13" t="s">
        <v>0</v>
      </c>
      <c r="K351" s="13"/>
      <c r="L351" s="13">
        <v>74</v>
      </c>
      <c r="M351" s="13"/>
      <c r="N351" s="13"/>
      <c r="O351" s="13"/>
      <c r="P351" s="21">
        <v>0</v>
      </c>
    </row>
    <row r="352" spans="1:16" hidden="1" x14ac:dyDescent="0.25">
      <c r="A352" s="19" t="s">
        <v>0</v>
      </c>
      <c r="B352" s="14"/>
      <c r="C352" s="14" t="s">
        <v>487</v>
      </c>
      <c r="D352" s="14"/>
      <c r="E352" s="13" t="s">
        <v>0</v>
      </c>
      <c r="F352" s="13" t="s">
        <v>0</v>
      </c>
      <c r="G352" s="13" t="s">
        <v>0</v>
      </c>
      <c r="H352" s="13">
        <f t="shared" si="9"/>
        <v>0</v>
      </c>
      <c r="I352" s="13" t="s">
        <v>0</v>
      </c>
      <c r="J352" s="13" t="s">
        <v>0</v>
      </c>
      <c r="K352" s="13"/>
      <c r="L352" s="13">
        <v>7.0000000000000007E-2</v>
      </c>
      <c r="M352" s="13"/>
      <c r="N352" s="13"/>
      <c r="O352" s="13"/>
      <c r="P352" s="21">
        <v>0</v>
      </c>
    </row>
    <row r="353" spans="1:16" x14ac:dyDescent="0.25">
      <c r="A353" s="19"/>
      <c r="B353" s="14"/>
      <c r="C353" s="14" t="s">
        <v>488</v>
      </c>
      <c r="D353" s="38">
        <v>246779414896</v>
      </c>
      <c r="E353" s="13" t="s">
        <v>0</v>
      </c>
      <c r="F353" s="13">
        <v>3637</v>
      </c>
      <c r="G353" s="13" t="s">
        <v>489</v>
      </c>
      <c r="H353" s="13">
        <f t="shared" si="9"/>
        <v>74</v>
      </c>
      <c r="I353" s="13"/>
      <c r="J353" s="13"/>
      <c r="K353" s="13"/>
      <c r="L353" s="13"/>
      <c r="M353" s="13"/>
      <c r="N353" s="13"/>
      <c r="O353" s="13"/>
      <c r="P353" s="21">
        <v>0</v>
      </c>
    </row>
    <row r="354" spans="1:16" hidden="1" x14ac:dyDescent="0.25">
      <c r="A354" s="19">
        <v>45839</v>
      </c>
      <c r="B354" s="14" t="s">
        <v>480</v>
      </c>
      <c r="C354" s="14" t="s">
        <v>481</v>
      </c>
      <c r="D354" s="14"/>
      <c r="E354" s="13" t="s">
        <v>0</v>
      </c>
      <c r="F354" s="13" t="s">
        <v>0</v>
      </c>
      <c r="G354" s="13" t="s">
        <v>0</v>
      </c>
      <c r="H354" s="13">
        <f t="shared" si="9"/>
        <v>0</v>
      </c>
      <c r="I354" s="13" t="s">
        <v>513</v>
      </c>
      <c r="J354" s="13"/>
      <c r="K354" s="13">
        <v>46.35</v>
      </c>
      <c r="L354" s="13" t="s">
        <v>483</v>
      </c>
      <c r="M354" s="13" t="s">
        <v>575</v>
      </c>
      <c r="N354" s="13"/>
      <c r="O354" s="13">
        <v>4000</v>
      </c>
      <c r="P354" s="21">
        <v>82</v>
      </c>
    </row>
    <row r="355" spans="1:16" hidden="1" x14ac:dyDescent="0.25">
      <c r="A355" s="19" t="s">
        <v>0</v>
      </c>
      <c r="B355" s="14"/>
      <c r="C355" s="14" t="s">
        <v>544</v>
      </c>
      <c r="D355" s="14"/>
      <c r="E355" s="13" t="s">
        <v>0</v>
      </c>
      <c r="F355" s="13" t="s">
        <v>0</v>
      </c>
      <c r="G355" s="13" t="s">
        <v>0</v>
      </c>
      <c r="H355" s="13">
        <f t="shared" si="9"/>
        <v>0</v>
      </c>
      <c r="I355" s="13" t="s">
        <v>0</v>
      </c>
      <c r="J355" s="13" t="s">
        <v>0</v>
      </c>
      <c r="K355" s="13">
        <v>4082.18</v>
      </c>
      <c r="L355" s="13"/>
      <c r="M355" s="13"/>
      <c r="N355" s="13"/>
      <c r="O355" s="13"/>
      <c r="P355" s="21">
        <v>0</v>
      </c>
    </row>
    <row r="356" spans="1:16" hidden="1" x14ac:dyDescent="0.25">
      <c r="A356" s="19" t="s">
        <v>0</v>
      </c>
      <c r="B356" s="14"/>
      <c r="C356" s="14" t="s">
        <v>525</v>
      </c>
      <c r="D356" s="14"/>
      <c r="E356" s="13" t="s">
        <v>0</v>
      </c>
      <c r="F356" s="13" t="s">
        <v>0</v>
      </c>
      <c r="G356" s="13" t="s">
        <v>0</v>
      </c>
      <c r="H356" s="13">
        <f t="shared" si="9"/>
        <v>0</v>
      </c>
      <c r="I356" s="13" t="s">
        <v>0</v>
      </c>
      <c r="J356" s="13" t="s">
        <v>0</v>
      </c>
      <c r="K356" s="13"/>
      <c r="L356" s="13">
        <v>82</v>
      </c>
      <c r="M356" s="13"/>
      <c r="N356" s="13"/>
      <c r="O356" s="13"/>
      <c r="P356" s="21">
        <v>0</v>
      </c>
    </row>
    <row r="357" spans="1:16" hidden="1" x14ac:dyDescent="0.25">
      <c r="A357" s="19" t="s">
        <v>0</v>
      </c>
      <c r="B357" s="14"/>
      <c r="C357" s="14" t="s">
        <v>487</v>
      </c>
      <c r="D357" s="14"/>
      <c r="E357" s="13" t="s">
        <v>0</v>
      </c>
      <c r="F357" s="13" t="s">
        <v>0</v>
      </c>
      <c r="G357" s="13" t="s">
        <v>0</v>
      </c>
      <c r="H357" s="13">
        <f t="shared" si="9"/>
        <v>0</v>
      </c>
      <c r="I357" s="13" t="s">
        <v>0</v>
      </c>
      <c r="J357" s="13" t="s">
        <v>0</v>
      </c>
      <c r="K357" s="13"/>
      <c r="L357" s="13">
        <v>0.18</v>
      </c>
      <c r="M357" s="13"/>
      <c r="N357" s="13"/>
      <c r="O357" s="13"/>
      <c r="P357" s="21">
        <v>0</v>
      </c>
    </row>
    <row r="358" spans="1:16" x14ac:dyDescent="0.25">
      <c r="A358" s="19"/>
      <c r="B358" s="14"/>
      <c r="C358" s="14" t="s">
        <v>488</v>
      </c>
      <c r="D358" s="38">
        <v>246779414897</v>
      </c>
      <c r="E358" s="13" t="s">
        <v>0</v>
      </c>
      <c r="F358" s="13">
        <v>4000</v>
      </c>
      <c r="G358" s="13" t="s">
        <v>489</v>
      </c>
      <c r="H358" s="13">
        <f t="shared" si="9"/>
        <v>82</v>
      </c>
      <c r="I358" s="13"/>
      <c r="J358" s="13"/>
      <c r="K358" s="13"/>
      <c r="L358" s="13"/>
      <c r="M358" s="13"/>
      <c r="N358" s="13"/>
      <c r="O358" s="13"/>
      <c r="P358" s="21">
        <v>0</v>
      </c>
    </row>
    <row r="359" spans="1:16" hidden="1" x14ac:dyDescent="0.25">
      <c r="A359" s="19">
        <v>45839</v>
      </c>
      <c r="B359" s="14" t="s">
        <v>480</v>
      </c>
      <c r="C359" s="14" t="s">
        <v>481</v>
      </c>
      <c r="D359" s="14"/>
      <c r="E359" s="13" t="s">
        <v>0</v>
      </c>
      <c r="F359" s="13" t="s">
        <v>0</v>
      </c>
      <c r="G359" s="13" t="s">
        <v>0</v>
      </c>
      <c r="H359" s="13">
        <f t="shared" si="9"/>
        <v>0</v>
      </c>
      <c r="I359" s="13" t="s">
        <v>513</v>
      </c>
      <c r="J359" s="13"/>
      <c r="K359" s="13">
        <v>92.71</v>
      </c>
      <c r="L359" s="13" t="s">
        <v>483</v>
      </c>
      <c r="M359" s="13" t="s">
        <v>576</v>
      </c>
      <c r="N359" s="13"/>
      <c r="O359" s="13">
        <v>8001</v>
      </c>
      <c r="P359" s="21">
        <v>163</v>
      </c>
    </row>
    <row r="360" spans="1:16" hidden="1" x14ac:dyDescent="0.25">
      <c r="A360" s="19" t="s">
        <v>0</v>
      </c>
      <c r="B360" s="14"/>
      <c r="C360" s="14" t="s">
        <v>544</v>
      </c>
      <c r="D360" s="14"/>
      <c r="E360" s="13" t="s">
        <v>0</v>
      </c>
      <c r="F360" s="13" t="s">
        <v>0</v>
      </c>
      <c r="G360" s="13" t="s">
        <v>0</v>
      </c>
      <c r="H360" s="13">
        <f t="shared" si="9"/>
        <v>0</v>
      </c>
      <c r="I360" s="13" t="s">
        <v>0</v>
      </c>
      <c r="J360" s="13" t="s">
        <v>0</v>
      </c>
      <c r="K360" s="13">
        <v>8164.36</v>
      </c>
      <c r="L360" s="13"/>
      <c r="M360" s="13"/>
      <c r="N360" s="13"/>
      <c r="O360" s="13"/>
      <c r="P360" s="21">
        <v>0</v>
      </c>
    </row>
    <row r="361" spans="1:16" hidden="1" x14ac:dyDescent="0.25">
      <c r="A361" s="19" t="s">
        <v>0</v>
      </c>
      <c r="B361" s="14"/>
      <c r="C361" s="14" t="s">
        <v>525</v>
      </c>
      <c r="D361" s="14"/>
      <c r="E361" s="13" t="s">
        <v>0</v>
      </c>
      <c r="F361" s="13" t="s">
        <v>0</v>
      </c>
      <c r="G361" s="13" t="s">
        <v>0</v>
      </c>
      <c r="H361" s="13">
        <f t="shared" si="9"/>
        <v>0</v>
      </c>
      <c r="I361" s="13" t="s">
        <v>0</v>
      </c>
      <c r="J361" s="13" t="s">
        <v>0</v>
      </c>
      <c r="K361" s="13"/>
      <c r="L361" s="13">
        <v>163</v>
      </c>
      <c r="M361" s="13"/>
      <c r="N361" s="13"/>
      <c r="O361" s="13"/>
      <c r="P361" s="21">
        <v>0</v>
      </c>
    </row>
    <row r="362" spans="1:16" hidden="1" x14ac:dyDescent="0.25">
      <c r="A362" s="19" t="s">
        <v>0</v>
      </c>
      <c r="B362" s="14"/>
      <c r="C362" s="14" t="s">
        <v>487</v>
      </c>
      <c r="D362" s="14"/>
      <c r="E362" s="13" t="s">
        <v>0</v>
      </c>
      <c r="F362" s="13" t="s">
        <v>0</v>
      </c>
      <c r="G362" s="13" t="s">
        <v>0</v>
      </c>
      <c r="H362" s="13">
        <f t="shared" si="9"/>
        <v>0</v>
      </c>
      <c r="I362" s="13" t="s">
        <v>0</v>
      </c>
      <c r="J362" s="13" t="s">
        <v>0</v>
      </c>
      <c r="K362" s="13"/>
      <c r="L362" s="13">
        <v>0.36</v>
      </c>
      <c r="M362" s="13"/>
      <c r="N362" s="13"/>
      <c r="O362" s="13"/>
      <c r="P362" s="21">
        <v>0</v>
      </c>
    </row>
    <row r="363" spans="1:16" x14ac:dyDescent="0.25">
      <c r="A363" s="19"/>
      <c r="B363" s="14"/>
      <c r="C363" s="14" t="s">
        <v>488</v>
      </c>
      <c r="D363" s="38">
        <v>246779414898</v>
      </c>
      <c r="E363" s="13" t="s">
        <v>0</v>
      </c>
      <c r="F363" s="13">
        <v>8001</v>
      </c>
      <c r="G363" s="13" t="s">
        <v>489</v>
      </c>
      <c r="H363" s="13">
        <f t="shared" si="9"/>
        <v>163</v>
      </c>
      <c r="I363" s="13"/>
      <c r="J363" s="13"/>
      <c r="K363" s="13"/>
      <c r="L363" s="13"/>
      <c r="M363" s="13"/>
      <c r="N363" s="13"/>
      <c r="O363" s="13"/>
      <c r="P363" s="21">
        <v>0</v>
      </c>
    </row>
    <row r="364" spans="1:16" hidden="1" x14ac:dyDescent="0.25">
      <c r="A364" s="19">
        <v>45839</v>
      </c>
      <c r="B364" s="14" t="s">
        <v>480</v>
      </c>
      <c r="C364" s="14" t="s">
        <v>481</v>
      </c>
      <c r="D364" s="14"/>
      <c r="E364" s="13" t="s">
        <v>0</v>
      </c>
      <c r="F364" s="13" t="s">
        <v>0</v>
      </c>
      <c r="G364" s="13" t="s">
        <v>0</v>
      </c>
      <c r="H364" s="13">
        <f t="shared" si="9"/>
        <v>0</v>
      </c>
      <c r="I364" s="13" t="s">
        <v>513</v>
      </c>
      <c r="J364" s="13"/>
      <c r="K364" s="13">
        <v>50.57</v>
      </c>
      <c r="L364" s="13" t="s">
        <v>483</v>
      </c>
      <c r="M364" s="13" t="s">
        <v>577</v>
      </c>
      <c r="N364" s="13"/>
      <c r="O364" s="13">
        <v>4384</v>
      </c>
      <c r="P364" s="21">
        <v>89</v>
      </c>
    </row>
    <row r="365" spans="1:16" hidden="1" x14ac:dyDescent="0.25">
      <c r="A365" s="19" t="s">
        <v>0</v>
      </c>
      <c r="B365" s="14"/>
      <c r="C365" s="14" t="s">
        <v>544</v>
      </c>
      <c r="D365" s="14"/>
      <c r="E365" s="13" t="s">
        <v>0</v>
      </c>
      <c r="F365" s="13" t="s">
        <v>0</v>
      </c>
      <c r="G365" s="13" t="s">
        <v>0</v>
      </c>
      <c r="H365" s="13">
        <f t="shared" si="9"/>
        <v>0</v>
      </c>
      <c r="I365" s="13" t="s">
        <v>0</v>
      </c>
      <c r="J365" s="13" t="s">
        <v>0</v>
      </c>
      <c r="K365" s="13">
        <v>4473.2700000000004</v>
      </c>
      <c r="L365" s="13"/>
      <c r="M365" s="13"/>
      <c r="N365" s="13"/>
      <c r="O365" s="13"/>
      <c r="P365" s="21">
        <v>0</v>
      </c>
    </row>
    <row r="366" spans="1:16" hidden="1" x14ac:dyDescent="0.25">
      <c r="A366" s="19" t="s">
        <v>0</v>
      </c>
      <c r="B366" s="14"/>
      <c r="C366" s="14" t="s">
        <v>525</v>
      </c>
      <c r="D366" s="14"/>
      <c r="E366" s="13" t="s">
        <v>0</v>
      </c>
      <c r="F366" s="13" t="s">
        <v>0</v>
      </c>
      <c r="G366" s="13" t="s">
        <v>0</v>
      </c>
      <c r="H366" s="13">
        <f t="shared" si="9"/>
        <v>0</v>
      </c>
      <c r="I366" s="13" t="s">
        <v>0</v>
      </c>
      <c r="J366" s="13" t="s">
        <v>0</v>
      </c>
      <c r="K366" s="13"/>
      <c r="L366" s="13">
        <v>89</v>
      </c>
      <c r="M366" s="13"/>
      <c r="N366" s="13"/>
      <c r="O366" s="13"/>
      <c r="P366" s="21">
        <v>0</v>
      </c>
    </row>
    <row r="367" spans="1:16" hidden="1" x14ac:dyDescent="0.25">
      <c r="A367" s="19" t="s">
        <v>0</v>
      </c>
      <c r="B367" s="14"/>
      <c r="C367" s="14" t="s">
        <v>487</v>
      </c>
      <c r="D367" s="14"/>
      <c r="E367" s="13" t="s">
        <v>0</v>
      </c>
      <c r="F367" s="13" t="s">
        <v>0</v>
      </c>
      <c r="G367" s="13" t="s">
        <v>0</v>
      </c>
      <c r="H367" s="13">
        <f t="shared" si="9"/>
        <v>0</v>
      </c>
      <c r="I367" s="13" t="s">
        <v>0</v>
      </c>
      <c r="J367" s="13" t="s">
        <v>0</v>
      </c>
      <c r="K367" s="13"/>
      <c r="L367" s="13">
        <v>0.27</v>
      </c>
      <c r="M367" s="13"/>
      <c r="N367" s="13"/>
      <c r="O367" s="13"/>
      <c r="P367" s="21">
        <v>0</v>
      </c>
    </row>
    <row r="368" spans="1:16" x14ac:dyDescent="0.25">
      <c r="A368" s="19"/>
      <c r="B368" s="14"/>
      <c r="C368" s="14" t="s">
        <v>488</v>
      </c>
      <c r="D368" s="38">
        <v>246779414899</v>
      </c>
      <c r="E368" s="13" t="s">
        <v>0</v>
      </c>
      <c r="F368" s="13">
        <v>4384</v>
      </c>
      <c r="G368" s="13" t="s">
        <v>489</v>
      </c>
      <c r="H368" s="13">
        <f t="shared" si="9"/>
        <v>89</v>
      </c>
      <c r="I368" s="13"/>
      <c r="J368" s="13"/>
      <c r="K368" s="13"/>
      <c r="L368" s="13"/>
      <c r="M368" s="13"/>
      <c r="N368" s="13"/>
      <c r="O368" s="13"/>
      <c r="P368" s="21">
        <v>0</v>
      </c>
    </row>
    <row r="369" spans="1:16" hidden="1" x14ac:dyDescent="0.25">
      <c r="A369" s="19">
        <v>45839</v>
      </c>
      <c r="B369" s="14" t="s">
        <v>480</v>
      </c>
      <c r="C369" s="14" t="s">
        <v>481</v>
      </c>
      <c r="D369" s="14"/>
      <c r="E369" s="13" t="s">
        <v>0</v>
      </c>
      <c r="F369" s="13" t="s">
        <v>0</v>
      </c>
      <c r="G369" s="13" t="s">
        <v>0</v>
      </c>
      <c r="H369" s="13">
        <f t="shared" si="9"/>
        <v>0</v>
      </c>
      <c r="I369" s="13" t="s">
        <v>513</v>
      </c>
      <c r="J369" s="13"/>
      <c r="K369" s="13">
        <v>50.57</v>
      </c>
      <c r="L369" s="13" t="s">
        <v>483</v>
      </c>
      <c r="M369" s="13" t="s">
        <v>578</v>
      </c>
      <c r="N369" s="13"/>
      <c r="O369" s="13">
        <v>4364</v>
      </c>
      <c r="P369" s="21">
        <v>89</v>
      </c>
    </row>
    <row r="370" spans="1:16" hidden="1" x14ac:dyDescent="0.25">
      <c r="A370" s="19" t="s">
        <v>0</v>
      </c>
      <c r="B370" s="14"/>
      <c r="C370" s="14" t="s">
        <v>544</v>
      </c>
      <c r="D370" s="14"/>
      <c r="E370" s="13" t="s">
        <v>0</v>
      </c>
      <c r="F370" s="13" t="s">
        <v>0</v>
      </c>
      <c r="G370" s="13" t="s">
        <v>0</v>
      </c>
      <c r="H370" s="13">
        <f t="shared" si="9"/>
        <v>0</v>
      </c>
      <c r="I370" s="13" t="s">
        <v>0</v>
      </c>
      <c r="J370" s="13" t="s">
        <v>0</v>
      </c>
      <c r="K370" s="13">
        <v>4453.29</v>
      </c>
      <c r="L370" s="13"/>
      <c r="M370" s="13"/>
      <c r="N370" s="13"/>
      <c r="O370" s="13"/>
      <c r="P370" s="21">
        <v>0</v>
      </c>
    </row>
    <row r="371" spans="1:16" hidden="1" x14ac:dyDescent="0.25">
      <c r="A371" s="19" t="s">
        <v>0</v>
      </c>
      <c r="B371" s="14"/>
      <c r="C371" s="14" t="s">
        <v>525</v>
      </c>
      <c r="D371" s="14"/>
      <c r="E371" s="13" t="s">
        <v>0</v>
      </c>
      <c r="F371" s="13" t="s">
        <v>0</v>
      </c>
      <c r="G371" s="13" t="s">
        <v>0</v>
      </c>
      <c r="H371" s="13">
        <f t="shared" si="9"/>
        <v>0</v>
      </c>
      <c r="I371" s="13" t="s">
        <v>0</v>
      </c>
      <c r="J371" s="13" t="s">
        <v>0</v>
      </c>
      <c r="K371" s="13"/>
      <c r="L371" s="13">
        <v>89</v>
      </c>
      <c r="M371" s="13"/>
      <c r="N371" s="13"/>
      <c r="O371" s="13"/>
      <c r="P371" s="21">
        <v>0</v>
      </c>
    </row>
    <row r="372" spans="1:16" hidden="1" x14ac:dyDescent="0.25">
      <c r="A372" s="19" t="s">
        <v>0</v>
      </c>
      <c r="B372" s="14"/>
      <c r="C372" s="14" t="s">
        <v>487</v>
      </c>
      <c r="D372" s="14"/>
      <c r="E372" s="13" t="s">
        <v>0</v>
      </c>
      <c r="F372" s="13" t="s">
        <v>0</v>
      </c>
      <c r="G372" s="13" t="s">
        <v>0</v>
      </c>
      <c r="H372" s="13">
        <f t="shared" si="9"/>
        <v>0</v>
      </c>
      <c r="I372" s="13" t="s">
        <v>0</v>
      </c>
      <c r="J372" s="13" t="s">
        <v>0</v>
      </c>
      <c r="K372" s="13"/>
      <c r="L372" s="13">
        <v>0.28999999999999998</v>
      </c>
      <c r="M372" s="13"/>
      <c r="N372" s="13"/>
      <c r="O372" s="13"/>
      <c r="P372" s="21">
        <v>0</v>
      </c>
    </row>
    <row r="373" spans="1:16" x14ac:dyDescent="0.25">
      <c r="A373" s="19"/>
      <c r="B373" s="14"/>
      <c r="C373" s="14" t="s">
        <v>488</v>
      </c>
      <c r="D373" s="38">
        <v>246779414900</v>
      </c>
      <c r="E373" s="13" t="s">
        <v>0</v>
      </c>
      <c r="F373" s="13">
        <v>4364</v>
      </c>
      <c r="G373" s="13" t="s">
        <v>489</v>
      </c>
      <c r="H373" s="13">
        <f t="shared" si="9"/>
        <v>89</v>
      </c>
      <c r="I373" s="13"/>
      <c r="J373" s="13"/>
      <c r="K373" s="13"/>
      <c r="L373" s="13"/>
      <c r="M373" s="13"/>
      <c r="N373" s="13"/>
      <c r="O373" s="13"/>
      <c r="P373" s="21">
        <v>0</v>
      </c>
    </row>
    <row r="374" spans="1:16" hidden="1" x14ac:dyDescent="0.25">
      <c r="A374" s="19">
        <v>45839</v>
      </c>
      <c r="B374" s="14" t="s">
        <v>480</v>
      </c>
      <c r="C374" s="14" t="s">
        <v>481</v>
      </c>
      <c r="D374" s="14"/>
      <c r="E374" s="13" t="s">
        <v>0</v>
      </c>
      <c r="F374" s="13" t="s">
        <v>0</v>
      </c>
      <c r="G374" s="13" t="s">
        <v>0</v>
      </c>
      <c r="H374" s="13">
        <f t="shared" si="9"/>
        <v>0</v>
      </c>
      <c r="I374" s="13" t="s">
        <v>513</v>
      </c>
      <c r="J374" s="13"/>
      <c r="K374" s="13">
        <v>6</v>
      </c>
      <c r="L374" s="13" t="s">
        <v>483</v>
      </c>
      <c r="M374" s="13" t="s">
        <v>579</v>
      </c>
      <c r="N374" s="13"/>
      <c r="O374" s="13">
        <v>518</v>
      </c>
      <c r="P374" s="21">
        <v>11</v>
      </c>
    </row>
    <row r="375" spans="1:16" hidden="1" x14ac:dyDescent="0.25">
      <c r="A375" s="19" t="s">
        <v>0</v>
      </c>
      <c r="B375" s="14"/>
      <c r="C375" s="14" t="s">
        <v>544</v>
      </c>
      <c r="D375" s="14"/>
      <c r="E375" s="13" t="s">
        <v>0</v>
      </c>
      <c r="F375" s="13" t="s">
        <v>0</v>
      </c>
      <c r="G375" s="13" t="s">
        <v>0</v>
      </c>
      <c r="H375" s="13">
        <f t="shared" si="9"/>
        <v>0</v>
      </c>
      <c r="I375" s="13" t="s">
        <v>0</v>
      </c>
      <c r="J375" s="13" t="s">
        <v>0</v>
      </c>
      <c r="K375" s="13">
        <v>529.04</v>
      </c>
      <c r="L375" s="13"/>
      <c r="M375" s="13"/>
      <c r="N375" s="13"/>
      <c r="O375" s="13"/>
      <c r="P375" s="21">
        <v>0</v>
      </c>
    </row>
    <row r="376" spans="1:16" hidden="1" x14ac:dyDescent="0.25">
      <c r="A376" s="19" t="s">
        <v>0</v>
      </c>
      <c r="B376" s="14"/>
      <c r="C376" s="14" t="s">
        <v>525</v>
      </c>
      <c r="D376" s="14"/>
      <c r="E376" s="13" t="s">
        <v>0</v>
      </c>
      <c r="F376" s="13" t="s">
        <v>0</v>
      </c>
      <c r="G376" s="13" t="s">
        <v>0</v>
      </c>
      <c r="H376" s="13">
        <f t="shared" si="9"/>
        <v>0</v>
      </c>
      <c r="I376" s="13" t="s">
        <v>0</v>
      </c>
      <c r="J376" s="13" t="s">
        <v>0</v>
      </c>
      <c r="K376" s="13"/>
      <c r="L376" s="13">
        <v>11</v>
      </c>
      <c r="M376" s="13"/>
      <c r="N376" s="13"/>
      <c r="O376" s="13"/>
      <c r="P376" s="21">
        <v>0</v>
      </c>
    </row>
    <row r="377" spans="1:16" hidden="1" x14ac:dyDescent="0.25">
      <c r="A377" s="19" t="s">
        <v>0</v>
      </c>
      <c r="B377" s="14"/>
      <c r="C377" s="14" t="s">
        <v>487</v>
      </c>
      <c r="D377" s="14"/>
      <c r="E377" s="13" t="s">
        <v>0</v>
      </c>
      <c r="F377" s="13" t="s">
        <v>0</v>
      </c>
      <c r="G377" s="13" t="s">
        <v>0</v>
      </c>
      <c r="H377" s="13">
        <f t="shared" si="9"/>
        <v>0</v>
      </c>
      <c r="I377" s="13" t="s">
        <v>0</v>
      </c>
      <c r="J377" s="13" t="s">
        <v>0</v>
      </c>
      <c r="K377" s="13"/>
      <c r="L377" s="13">
        <v>0.04</v>
      </c>
      <c r="M377" s="13"/>
      <c r="N377" s="13"/>
      <c r="O377" s="13"/>
      <c r="P377" s="21">
        <v>0</v>
      </c>
    </row>
    <row r="378" spans="1:16" x14ac:dyDescent="0.25">
      <c r="A378" s="19"/>
      <c r="B378" s="14"/>
      <c r="C378" s="14" t="s">
        <v>488</v>
      </c>
      <c r="D378" s="38">
        <v>246779414901</v>
      </c>
      <c r="E378" s="13" t="s">
        <v>0</v>
      </c>
      <c r="F378" s="13">
        <v>518</v>
      </c>
      <c r="G378" s="13" t="s">
        <v>489</v>
      </c>
      <c r="H378" s="13">
        <f t="shared" si="9"/>
        <v>11</v>
      </c>
      <c r="I378" s="13"/>
      <c r="J378" s="13"/>
      <c r="K378" s="13"/>
      <c r="L378" s="13"/>
      <c r="M378" s="13"/>
      <c r="N378" s="13"/>
      <c r="O378" s="13"/>
      <c r="P378" s="21">
        <v>0</v>
      </c>
    </row>
    <row r="379" spans="1:16" hidden="1" x14ac:dyDescent="0.25">
      <c r="A379" s="19">
        <v>45839</v>
      </c>
      <c r="B379" s="14" t="s">
        <v>480</v>
      </c>
      <c r="C379" s="14" t="s">
        <v>481</v>
      </c>
      <c r="D379" s="14"/>
      <c r="E379" s="13" t="s">
        <v>0</v>
      </c>
      <c r="F379" s="13" t="s">
        <v>0</v>
      </c>
      <c r="G379" s="13" t="s">
        <v>0</v>
      </c>
      <c r="H379" s="13">
        <f t="shared" si="9"/>
        <v>0</v>
      </c>
      <c r="I379" s="13" t="s">
        <v>513</v>
      </c>
      <c r="J379" s="13"/>
      <c r="K379" s="13">
        <v>3.45</v>
      </c>
      <c r="L379" s="13" t="s">
        <v>483</v>
      </c>
      <c r="M379" s="13" t="s">
        <v>580</v>
      </c>
      <c r="N379" s="13"/>
      <c r="O379" s="13">
        <v>298</v>
      </c>
      <c r="P379" s="21">
        <v>6</v>
      </c>
    </row>
    <row r="380" spans="1:16" hidden="1" x14ac:dyDescent="0.25">
      <c r="A380" s="19" t="s">
        <v>0</v>
      </c>
      <c r="B380" s="14"/>
      <c r="C380" s="14" t="s">
        <v>544</v>
      </c>
      <c r="D380" s="14"/>
      <c r="E380" s="13" t="s">
        <v>0</v>
      </c>
      <c r="F380" s="13" t="s">
        <v>0</v>
      </c>
      <c r="G380" s="13" t="s">
        <v>0</v>
      </c>
      <c r="H380" s="13">
        <f t="shared" si="9"/>
        <v>0</v>
      </c>
      <c r="I380" s="13" t="s">
        <v>0</v>
      </c>
      <c r="J380" s="13" t="s">
        <v>0</v>
      </c>
      <c r="K380" s="13">
        <v>303.79000000000002</v>
      </c>
      <c r="L380" s="13"/>
      <c r="M380" s="13"/>
      <c r="N380" s="13"/>
      <c r="O380" s="13"/>
      <c r="P380" s="21">
        <v>0</v>
      </c>
    </row>
    <row r="381" spans="1:16" hidden="1" x14ac:dyDescent="0.25">
      <c r="A381" s="19" t="s">
        <v>0</v>
      </c>
      <c r="B381" s="14"/>
      <c r="C381" s="14" t="s">
        <v>525</v>
      </c>
      <c r="D381" s="14"/>
      <c r="E381" s="13" t="s">
        <v>0</v>
      </c>
      <c r="F381" s="13" t="s">
        <v>0</v>
      </c>
      <c r="G381" s="13" t="s">
        <v>0</v>
      </c>
      <c r="H381" s="13">
        <f t="shared" si="9"/>
        <v>0</v>
      </c>
      <c r="I381" s="13" t="s">
        <v>0</v>
      </c>
      <c r="J381" s="13" t="s">
        <v>0</v>
      </c>
      <c r="K381" s="13"/>
      <c r="L381" s="13">
        <v>6</v>
      </c>
      <c r="M381" s="13"/>
      <c r="N381" s="13"/>
      <c r="O381" s="13"/>
      <c r="P381" s="21">
        <v>0</v>
      </c>
    </row>
    <row r="382" spans="1:16" hidden="1" x14ac:dyDescent="0.25">
      <c r="A382" s="19" t="s">
        <v>0</v>
      </c>
      <c r="B382" s="14"/>
      <c r="C382" s="14" t="s">
        <v>487</v>
      </c>
      <c r="D382" s="14"/>
      <c r="E382" s="13" t="s">
        <v>0</v>
      </c>
      <c r="F382" s="13" t="s">
        <v>0</v>
      </c>
      <c r="G382" s="13" t="s">
        <v>0</v>
      </c>
      <c r="H382" s="13">
        <f t="shared" si="9"/>
        <v>0</v>
      </c>
      <c r="I382" s="13" t="s">
        <v>0</v>
      </c>
      <c r="J382" s="13" t="s">
        <v>0</v>
      </c>
      <c r="K382" s="13">
        <v>0.21</v>
      </c>
      <c r="L382" s="13"/>
      <c r="M382" s="13"/>
      <c r="N382" s="13"/>
      <c r="O382" s="13"/>
      <c r="P382" s="21">
        <v>0</v>
      </c>
    </row>
    <row r="383" spans="1:16" x14ac:dyDescent="0.25">
      <c r="A383" s="19"/>
      <c r="B383" s="14"/>
      <c r="C383" s="14" t="s">
        <v>488</v>
      </c>
      <c r="D383" s="38">
        <v>246779414902</v>
      </c>
      <c r="E383" s="13" t="s">
        <v>0</v>
      </c>
      <c r="F383" s="13">
        <v>298</v>
      </c>
      <c r="G383" s="13" t="s">
        <v>489</v>
      </c>
      <c r="H383" s="13">
        <f t="shared" si="9"/>
        <v>6</v>
      </c>
      <c r="I383" s="13"/>
      <c r="J383" s="13"/>
      <c r="K383" s="13"/>
      <c r="L383" s="13"/>
      <c r="M383" s="13"/>
      <c r="N383" s="13"/>
      <c r="O383" s="13"/>
      <c r="P383" s="21">
        <v>0</v>
      </c>
    </row>
    <row r="384" spans="1:16" hidden="1" x14ac:dyDescent="0.25">
      <c r="A384" s="19">
        <v>45840</v>
      </c>
      <c r="B384" s="14" t="s">
        <v>480</v>
      </c>
      <c r="C384" s="14" t="s">
        <v>481</v>
      </c>
      <c r="D384" s="14"/>
      <c r="E384" s="13" t="s">
        <v>0</v>
      </c>
      <c r="F384" s="13" t="s">
        <v>0</v>
      </c>
      <c r="G384" s="13" t="s">
        <v>0</v>
      </c>
      <c r="H384" s="13">
        <f t="shared" si="9"/>
        <v>0</v>
      </c>
      <c r="I384" s="13" t="s">
        <v>500</v>
      </c>
      <c r="J384" s="13"/>
      <c r="K384" s="13">
        <v>1255.18</v>
      </c>
      <c r="L384" s="13" t="s">
        <v>483</v>
      </c>
      <c r="M384" s="13" t="s">
        <v>581</v>
      </c>
      <c r="N384" s="13"/>
      <c r="O384" s="13">
        <v>106977</v>
      </c>
      <c r="P384" s="21">
        <v>11886</v>
      </c>
    </row>
    <row r="385" spans="1:16" hidden="1" x14ac:dyDescent="0.25">
      <c r="A385" s="19" t="s">
        <v>0</v>
      </c>
      <c r="B385" s="14"/>
      <c r="C385" s="14" t="s">
        <v>550</v>
      </c>
      <c r="D385" s="14"/>
      <c r="E385" s="13" t="s">
        <v>0</v>
      </c>
      <c r="F385" s="13" t="s">
        <v>0</v>
      </c>
      <c r="G385" s="13" t="s">
        <v>0</v>
      </c>
      <c r="H385" s="13">
        <f t="shared" si="9"/>
        <v>0</v>
      </c>
      <c r="I385" s="13" t="s">
        <v>0</v>
      </c>
      <c r="J385" s="13" t="s">
        <v>0</v>
      </c>
      <c r="K385" s="13">
        <v>118862.52</v>
      </c>
      <c r="L385" s="13"/>
      <c r="M385" s="13"/>
      <c r="N385" s="13"/>
      <c r="O385" s="13"/>
      <c r="P385" s="21">
        <v>0</v>
      </c>
    </row>
    <row r="386" spans="1:16" hidden="1" x14ac:dyDescent="0.25">
      <c r="A386" s="19" t="s">
        <v>0</v>
      </c>
      <c r="B386" s="14"/>
      <c r="C386" s="14" t="s">
        <v>486</v>
      </c>
      <c r="D386" s="14"/>
      <c r="E386" s="13" t="s">
        <v>0</v>
      </c>
      <c r="F386" s="13" t="s">
        <v>0</v>
      </c>
      <c r="G386" s="13" t="s">
        <v>0</v>
      </c>
      <c r="H386" s="13">
        <f t="shared" si="9"/>
        <v>0</v>
      </c>
      <c r="I386" s="13" t="s">
        <v>0</v>
      </c>
      <c r="J386" s="13" t="s">
        <v>0</v>
      </c>
      <c r="K386" s="13"/>
      <c r="L386" s="13">
        <v>11886</v>
      </c>
      <c r="M386" s="13"/>
      <c r="N386" s="13"/>
      <c r="O386" s="13"/>
      <c r="P386" s="21">
        <v>0</v>
      </c>
    </row>
    <row r="387" spans="1:16" hidden="1" x14ac:dyDescent="0.25">
      <c r="A387" s="19" t="s">
        <v>0</v>
      </c>
      <c r="B387" s="14"/>
      <c r="C387" s="14" t="s">
        <v>487</v>
      </c>
      <c r="D387" s="14"/>
      <c r="E387" s="13" t="s">
        <v>0</v>
      </c>
      <c r="F387" s="13" t="s">
        <v>0</v>
      </c>
      <c r="G387" s="13" t="s">
        <v>0</v>
      </c>
      <c r="H387" s="13">
        <f t="shared" si="9"/>
        <v>0</v>
      </c>
      <c r="I387" s="13" t="s">
        <v>0</v>
      </c>
      <c r="J387" s="13" t="s">
        <v>0</v>
      </c>
      <c r="K387" s="13">
        <v>0.48</v>
      </c>
      <c r="L387" s="13"/>
      <c r="M387" s="13"/>
      <c r="N387" s="13"/>
      <c r="O387" s="13"/>
      <c r="P387" s="21">
        <v>0</v>
      </c>
    </row>
    <row r="388" spans="1:16" x14ac:dyDescent="0.25">
      <c r="A388" s="19"/>
      <c r="B388" s="14"/>
      <c r="C388" s="14" t="s">
        <v>488</v>
      </c>
      <c r="D388" s="38">
        <v>256779410788</v>
      </c>
      <c r="E388" s="13" t="s">
        <v>0</v>
      </c>
      <c r="F388" s="13">
        <v>106977</v>
      </c>
      <c r="G388" s="13" t="s">
        <v>489</v>
      </c>
      <c r="H388" s="13">
        <f t="shared" si="9"/>
        <v>11886</v>
      </c>
      <c r="I388" s="13"/>
      <c r="J388" s="13"/>
      <c r="K388" s="13"/>
      <c r="L388" s="13"/>
      <c r="M388" s="13"/>
      <c r="N388" s="13"/>
      <c r="O388" s="13"/>
      <c r="P388" s="21">
        <v>0</v>
      </c>
    </row>
    <row r="389" spans="1:16" hidden="1" x14ac:dyDescent="0.25">
      <c r="A389" s="19">
        <v>45840</v>
      </c>
      <c r="B389" s="14" t="s">
        <v>480</v>
      </c>
      <c r="C389" s="14" t="s">
        <v>481</v>
      </c>
      <c r="D389" s="14"/>
      <c r="E389" s="13" t="s">
        <v>0</v>
      </c>
      <c r="F389" s="13" t="s">
        <v>0</v>
      </c>
      <c r="G389" s="13" t="s">
        <v>0</v>
      </c>
      <c r="H389" s="13">
        <f t="shared" si="9"/>
        <v>0</v>
      </c>
      <c r="I389" s="13" t="s">
        <v>498</v>
      </c>
      <c r="J389" s="13"/>
      <c r="K389" s="13">
        <v>2333.4699999999998</v>
      </c>
      <c r="L389" s="13" t="s">
        <v>483</v>
      </c>
      <c r="M389" s="13" t="s">
        <v>582</v>
      </c>
      <c r="N389" s="13"/>
      <c r="O389" s="13">
        <v>198877</v>
      </c>
      <c r="P389" s="21">
        <v>22098</v>
      </c>
    </row>
    <row r="390" spans="1:16" hidden="1" x14ac:dyDescent="0.25">
      <c r="A390" s="19" t="s">
        <v>0</v>
      </c>
      <c r="B390" s="14"/>
      <c r="C390" s="14" t="s">
        <v>550</v>
      </c>
      <c r="D390" s="14"/>
      <c r="E390" s="13" t="s">
        <v>0</v>
      </c>
      <c r="F390" s="13" t="s">
        <v>0</v>
      </c>
      <c r="G390" s="13" t="s">
        <v>0</v>
      </c>
      <c r="H390" s="13">
        <f t="shared" si="9"/>
        <v>0</v>
      </c>
      <c r="I390" s="13" t="s">
        <v>0</v>
      </c>
      <c r="J390" s="13" t="s">
        <v>0</v>
      </c>
      <c r="K390" s="13">
        <v>220975.16</v>
      </c>
      <c r="L390" s="13"/>
      <c r="M390" s="13"/>
      <c r="N390" s="13"/>
      <c r="O390" s="13"/>
      <c r="P390" s="21">
        <v>0</v>
      </c>
    </row>
    <row r="391" spans="1:16" hidden="1" x14ac:dyDescent="0.25">
      <c r="A391" s="19" t="s">
        <v>0</v>
      </c>
      <c r="B391" s="14"/>
      <c r="C391" s="14" t="s">
        <v>486</v>
      </c>
      <c r="D391" s="14"/>
      <c r="E391" s="13" t="s">
        <v>0</v>
      </c>
      <c r="F391" s="13" t="s">
        <v>0</v>
      </c>
      <c r="G391" s="13" t="s">
        <v>0</v>
      </c>
      <c r="H391" s="13">
        <f t="shared" si="9"/>
        <v>0</v>
      </c>
      <c r="I391" s="13" t="s">
        <v>0</v>
      </c>
      <c r="J391" s="13" t="s">
        <v>0</v>
      </c>
      <c r="K391" s="13"/>
      <c r="L391" s="13">
        <v>22098</v>
      </c>
      <c r="M391" s="13"/>
      <c r="N391" s="13"/>
      <c r="O391" s="13"/>
      <c r="P391" s="21">
        <v>0</v>
      </c>
    </row>
    <row r="392" spans="1:16" hidden="1" x14ac:dyDescent="0.25">
      <c r="A392" s="19" t="s">
        <v>0</v>
      </c>
      <c r="B392" s="14"/>
      <c r="C392" s="14" t="s">
        <v>487</v>
      </c>
      <c r="D392" s="14"/>
      <c r="E392" s="13" t="s">
        <v>0</v>
      </c>
      <c r="F392" s="13" t="s">
        <v>0</v>
      </c>
      <c r="G392" s="13" t="s">
        <v>0</v>
      </c>
      <c r="H392" s="13">
        <f t="shared" ref="H392:H455" si="10">P388</f>
        <v>0</v>
      </c>
      <c r="I392" s="13" t="s">
        <v>0</v>
      </c>
      <c r="J392" s="13" t="s">
        <v>0</v>
      </c>
      <c r="K392" s="13"/>
      <c r="L392" s="13">
        <v>0.16</v>
      </c>
      <c r="M392" s="13"/>
      <c r="N392" s="13"/>
      <c r="O392" s="13"/>
      <c r="P392" s="21">
        <v>0</v>
      </c>
    </row>
    <row r="393" spans="1:16" x14ac:dyDescent="0.25">
      <c r="A393" s="19"/>
      <c r="B393" s="14"/>
      <c r="C393" s="14" t="s">
        <v>488</v>
      </c>
      <c r="D393" s="38">
        <v>256779410804</v>
      </c>
      <c r="E393" s="13" t="s">
        <v>0</v>
      </c>
      <c r="F393" s="13">
        <v>198877</v>
      </c>
      <c r="G393" s="13" t="s">
        <v>489</v>
      </c>
      <c r="H393" s="13">
        <f t="shared" si="10"/>
        <v>22098</v>
      </c>
      <c r="I393" s="13"/>
      <c r="J393" s="13"/>
      <c r="K393" s="13"/>
      <c r="L393" s="13"/>
      <c r="M393" s="13"/>
      <c r="N393" s="13"/>
      <c r="O393" s="13"/>
      <c r="P393" s="21">
        <v>0</v>
      </c>
    </row>
    <row r="394" spans="1:16" hidden="1" x14ac:dyDescent="0.25">
      <c r="A394" s="19">
        <v>45840</v>
      </c>
      <c r="B394" s="14" t="s">
        <v>480</v>
      </c>
      <c r="C394" s="14" t="s">
        <v>481</v>
      </c>
      <c r="D394" s="14"/>
      <c r="E394" s="13" t="s">
        <v>0</v>
      </c>
      <c r="F394" s="13" t="s">
        <v>0</v>
      </c>
      <c r="G394" s="13" t="s">
        <v>0</v>
      </c>
      <c r="H394" s="13">
        <f t="shared" si="10"/>
        <v>0</v>
      </c>
      <c r="I394" s="13" t="s">
        <v>513</v>
      </c>
      <c r="J394" s="13"/>
      <c r="K394" s="13">
        <v>974.38</v>
      </c>
      <c r="L394" s="13" t="s">
        <v>483</v>
      </c>
      <c r="M394" s="13" t="s">
        <v>583</v>
      </c>
      <c r="N394" s="13"/>
      <c r="O394" s="13">
        <v>83452</v>
      </c>
      <c r="P394" s="21">
        <v>9272</v>
      </c>
    </row>
    <row r="395" spans="1:16" hidden="1" x14ac:dyDescent="0.25">
      <c r="A395" s="19" t="s">
        <v>0</v>
      </c>
      <c r="B395" s="14"/>
      <c r="C395" s="14" t="s">
        <v>550</v>
      </c>
      <c r="D395" s="14"/>
      <c r="E395" s="13" t="s">
        <v>0</v>
      </c>
      <c r="F395" s="13" t="s">
        <v>0</v>
      </c>
      <c r="G395" s="13" t="s">
        <v>0</v>
      </c>
      <c r="H395" s="13">
        <f t="shared" si="10"/>
        <v>0</v>
      </c>
      <c r="I395" s="13" t="s">
        <v>0</v>
      </c>
      <c r="J395" s="13" t="s">
        <v>0</v>
      </c>
      <c r="K395" s="13">
        <v>92724.22</v>
      </c>
      <c r="L395" s="13"/>
      <c r="M395" s="13"/>
      <c r="N395" s="13"/>
      <c r="O395" s="13"/>
      <c r="P395" s="21">
        <v>0</v>
      </c>
    </row>
    <row r="396" spans="1:16" hidden="1" x14ac:dyDescent="0.25">
      <c r="A396" s="19" t="s">
        <v>0</v>
      </c>
      <c r="B396" s="14"/>
      <c r="C396" s="14" t="s">
        <v>486</v>
      </c>
      <c r="D396" s="14"/>
      <c r="E396" s="13" t="s">
        <v>0</v>
      </c>
      <c r="F396" s="13" t="s">
        <v>0</v>
      </c>
      <c r="G396" s="13" t="s">
        <v>0</v>
      </c>
      <c r="H396" s="13">
        <f t="shared" si="10"/>
        <v>0</v>
      </c>
      <c r="I396" s="13" t="s">
        <v>0</v>
      </c>
      <c r="J396" s="13" t="s">
        <v>0</v>
      </c>
      <c r="K396" s="13"/>
      <c r="L396" s="13">
        <v>9272</v>
      </c>
      <c r="M396" s="13"/>
      <c r="N396" s="13"/>
      <c r="O396" s="13"/>
      <c r="P396" s="21">
        <v>0</v>
      </c>
    </row>
    <row r="397" spans="1:16" hidden="1" x14ac:dyDescent="0.25">
      <c r="A397" s="19" t="s">
        <v>0</v>
      </c>
      <c r="B397" s="14"/>
      <c r="C397" s="14" t="s">
        <v>487</v>
      </c>
      <c r="D397" s="14"/>
      <c r="E397" s="13" t="s">
        <v>0</v>
      </c>
      <c r="F397" s="13" t="s">
        <v>0</v>
      </c>
      <c r="G397" s="13" t="s">
        <v>0</v>
      </c>
      <c r="H397" s="13">
        <f t="shared" si="10"/>
        <v>0</v>
      </c>
      <c r="I397" s="13" t="s">
        <v>0</v>
      </c>
      <c r="J397" s="13" t="s">
        <v>0</v>
      </c>
      <c r="K397" s="13"/>
      <c r="L397" s="13">
        <v>0.22</v>
      </c>
      <c r="M397" s="13"/>
      <c r="N397" s="13"/>
      <c r="O397" s="13"/>
      <c r="P397" s="21">
        <v>0</v>
      </c>
    </row>
    <row r="398" spans="1:16" x14ac:dyDescent="0.25">
      <c r="A398" s="19"/>
      <c r="B398" s="14"/>
      <c r="C398" s="14" t="s">
        <v>488</v>
      </c>
      <c r="D398" s="38">
        <v>256779412111</v>
      </c>
      <c r="E398" s="13" t="s">
        <v>0</v>
      </c>
      <c r="F398" s="13">
        <v>83452</v>
      </c>
      <c r="G398" s="13" t="s">
        <v>489</v>
      </c>
      <c r="H398" s="13">
        <f t="shared" si="10"/>
        <v>9272</v>
      </c>
      <c r="I398" s="13"/>
      <c r="J398" s="13"/>
      <c r="K398" s="13"/>
      <c r="L398" s="13"/>
      <c r="M398" s="13"/>
      <c r="N398" s="13"/>
      <c r="O398" s="13"/>
      <c r="P398" s="21">
        <v>0</v>
      </c>
    </row>
    <row r="399" spans="1:16" hidden="1" x14ac:dyDescent="0.25">
      <c r="A399" s="19">
        <v>45840</v>
      </c>
      <c r="B399" s="14" t="s">
        <v>480</v>
      </c>
      <c r="C399" s="14" t="s">
        <v>481</v>
      </c>
      <c r="D399" s="14"/>
      <c r="E399" s="13" t="s">
        <v>0</v>
      </c>
      <c r="F399" s="13" t="s">
        <v>0</v>
      </c>
      <c r="G399" s="13" t="s">
        <v>0</v>
      </c>
      <c r="H399" s="13">
        <f t="shared" si="10"/>
        <v>0</v>
      </c>
      <c r="I399" s="13" t="s">
        <v>548</v>
      </c>
      <c r="J399" s="13"/>
      <c r="K399" s="13">
        <v>169.91</v>
      </c>
      <c r="L399" s="13" t="s">
        <v>483</v>
      </c>
      <c r="M399" s="13" t="s">
        <v>584</v>
      </c>
      <c r="N399" s="13"/>
      <c r="O399" s="13">
        <v>14552</v>
      </c>
      <c r="P399" s="21">
        <v>1617</v>
      </c>
    </row>
    <row r="400" spans="1:16" hidden="1" x14ac:dyDescent="0.25">
      <c r="A400" s="19" t="s">
        <v>0</v>
      </c>
      <c r="B400" s="14"/>
      <c r="C400" s="14" t="s">
        <v>485</v>
      </c>
      <c r="D400" s="14"/>
      <c r="E400" s="13" t="s">
        <v>0</v>
      </c>
      <c r="F400" s="13" t="s">
        <v>0</v>
      </c>
      <c r="G400" s="13" t="s">
        <v>0</v>
      </c>
      <c r="H400" s="13">
        <f t="shared" si="10"/>
        <v>0</v>
      </c>
      <c r="I400" s="13" t="s">
        <v>0</v>
      </c>
      <c r="J400" s="13" t="s">
        <v>0</v>
      </c>
      <c r="K400" s="13">
        <v>16169.18</v>
      </c>
      <c r="L400" s="13"/>
      <c r="M400" s="13"/>
      <c r="N400" s="13"/>
      <c r="O400" s="13"/>
      <c r="P400" s="21">
        <v>0</v>
      </c>
    </row>
    <row r="401" spans="1:16" hidden="1" x14ac:dyDescent="0.25">
      <c r="A401" s="19" t="s">
        <v>0</v>
      </c>
      <c r="B401" s="14"/>
      <c r="C401" s="14" t="s">
        <v>486</v>
      </c>
      <c r="D401" s="14"/>
      <c r="E401" s="13" t="s">
        <v>0</v>
      </c>
      <c r="F401" s="13" t="s">
        <v>0</v>
      </c>
      <c r="G401" s="13" t="s">
        <v>0</v>
      </c>
      <c r="H401" s="13">
        <f t="shared" si="10"/>
        <v>0</v>
      </c>
      <c r="I401" s="13" t="s">
        <v>0</v>
      </c>
      <c r="J401" s="13" t="s">
        <v>0</v>
      </c>
      <c r="K401" s="13"/>
      <c r="L401" s="13">
        <v>1617</v>
      </c>
      <c r="M401" s="13"/>
      <c r="N401" s="13"/>
      <c r="O401" s="13"/>
      <c r="P401" s="21">
        <v>0</v>
      </c>
    </row>
    <row r="402" spans="1:16" hidden="1" x14ac:dyDescent="0.25">
      <c r="A402" s="19" t="s">
        <v>0</v>
      </c>
      <c r="B402" s="14"/>
      <c r="C402" s="14" t="s">
        <v>487</v>
      </c>
      <c r="D402" s="14"/>
      <c r="E402" s="13" t="s">
        <v>0</v>
      </c>
      <c r="F402" s="13" t="s">
        <v>0</v>
      </c>
      <c r="G402" s="13" t="s">
        <v>0</v>
      </c>
      <c r="H402" s="13">
        <f t="shared" si="10"/>
        <v>0</v>
      </c>
      <c r="I402" s="13" t="s">
        <v>0</v>
      </c>
      <c r="J402" s="13" t="s">
        <v>0</v>
      </c>
      <c r="K402" s="13"/>
      <c r="L402" s="13">
        <v>0.18</v>
      </c>
      <c r="M402" s="13"/>
      <c r="N402" s="13"/>
      <c r="O402" s="13"/>
      <c r="P402" s="21">
        <v>0</v>
      </c>
    </row>
    <row r="403" spans="1:16" x14ac:dyDescent="0.25">
      <c r="A403" s="19"/>
      <c r="B403" s="14"/>
      <c r="C403" s="14" t="s">
        <v>488</v>
      </c>
      <c r="D403" s="38">
        <v>256779412160</v>
      </c>
      <c r="E403" s="13" t="s">
        <v>0</v>
      </c>
      <c r="F403" s="13">
        <v>14552</v>
      </c>
      <c r="G403" s="13" t="s">
        <v>489</v>
      </c>
      <c r="H403" s="13">
        <f t="shared" si="10"/>
        <v>1617</v>
      </c>
      <c r="I403" s="13"/>
      <c r="J403" s="13"/>
      <c r="K403" s="13"/>
      <c r="L403" s="13"/>
      <c r="M403" s="13"/>
      <c r="N403" s="13"/>
      <c r="O403" s="13"/>
      <c r="P403" s="21">
        <v>0</v>
      </c>
    </row>
    <row r="404" spans="1:16" hidden="1" x14ac:dyDescent="0.25">
      <c r="A404" s="19">
        <v>45840</v>
      </c>
      <c r="B404" s="14" t="s">
        <v>480</v>
      </c>
      <c r="C404" s="14" t="s">
        <v>481</v>
      </c>
      <c r="D404" s="14"/>
      <c r="E404" s="13" t="s">
        <v>0</v>
      </c>
      <c r="F404" s="13" t="s">
        <v>0</v>
      </c>
      <c r="G404" s="13" t="s">
        <v>0</v>
      </c>
      <c r="H404" s="13">
        <f t="shared" si="10"/>
        <v>0</v>
      </c>
      <c r="I404" s="13" t="s">
        <v>548</v>
      </c>
      <c r="J404" s="13"/>
      <c r="K404" s="13">
        <v>1638.13</v>
      </c>
      <c r="L404" s="13" t="s">
        <v>483</v>
      </c>
      <c r="M404" s="13" t="s">
        <v>585</v>
      </c>
      <c r="N404" s="13"/>
      <c r="O404" s="13">
        <v>140371</v>
      </c>
      <c r="P404" s="21">
        <v>15597</v>
      </c>
    </row>
    <row r="405" spans="1:16" hidden="1" x14ac:dyDescent="0.25">
      <c r="A405" s="19" t="s">
        <v>0</v>
      </c>
      <c r="B405" s="14"/>
      <c r="C405" s="14" t="s">
        <v>524</v>
      </c>
      <c r="D405" s="14"/>
      <c r="E405" s="13" t="s">
        <v>0</v>
      </c>
      <c r="F405" s="13" t="s">
        <v>0</v>
      </c>
      <c r="G405" s="13" t="s">
        <v>0</v>
      </c>
      <c r="H405" s="13">
        <f t="shared" si="10"/>
        <v>0</v>
      </c>
      <c r="I405" s="13" t="s">
        <v>0</v>
      </c>
      <c r="J405" s="13" t="s">
        <v>0</v>
      </c>
      <c r="K405" s="13">
        <v>155967.79999999999</v>
      </c>
      <c r="L405" s="13"/>
      <c r="M405" s="13"/>
      <c r="N405" s="13"/>
      <c r="O405" s="13"/>
      <c r="P405" s="21">
        <v>0</v>
      </c>
    </row>
    <row r="406" spans="1:16" hidden="1" x14ac:dyDescent="0.25">
      <c r="A406" s="19" t="s">
        <v>0</v>
      </c>
      <c r="B406" s="14"/>
      <c r="C406" s="14" t="s">
        <v>486</v>
      </c>
      <c r="D406" s="14"/>
      <c r="E406" s="13" t="s">
        <v>0</v>
      </c>
      <c r="F406" s="13" t="s">
        <v>0</v>
      </c>
      <c r="G406" s="13" t="s">
        <v>0</v>
      </c>
      <c r="H406" s="13">
        <f t="shared" si="10"/>
        <v>0</v>
      </c>
      <c r="I406" s="13" t="s">
        <v>0</v>
      </c>
      <c r="J406" s="13" t="s">
        <v>0</v>
      </c>
      <c r="K406" s="13"/>
      <c r="L406" s="13">
        <v>15597</v>
      </c>
      <c r="M406" s="13"/>
      <c r="N406" s="13"/>
      <c r="O406" s="13"/>
      <c r="P406" s="21">
        <v>0</v>
      </c>
    </row>
    <row r="407" spans="1:16" hidden="1" x14ac:dyDescent="0.25">
      <c r="A407" s="19" t="s">
        <v>0</v>
      </c>
      <c r="B407" s="14"/>
      <c r="C407" s="14" t="s">
        <v>487</v>
      </c>
      <c r="D407" s="14"/>
      <c r="E407" s="13" t="s">
        <v>0</v>
      </c>
      <c r="F407" s="13" t="s">
        <v>0</v>
      </c>
      <c r="G407" s="13" t="s">
        <v>0</v>
      </c>
      <c r="H407" s="13">
        <f t="shared" si="10"/>
        <v>0</v>
      </c>
      <c r="I407" s="13" t="s">
        <v>0</v>
      </c>
      <c r="J407" s="13" t="s">
        <v>0</v>
      </c>
      <c r="K407" s="13">
        <v>0.2</v>
      </c>
      <c r="L407" s="13"/>
      <c r="M407" s="13"/>
      <c r="N407" s="13"/>
      <c r="O407" s="13"/>
      <c r="P407" s="21">
        <v>0</v>
      </c>
    </row>
    <row r="408" spans="1:16" x14ac:dyDescent="0.25">
      <c r="A408" s="19"/>
      <c r="B408" s="14"/>
      <c r="C408" s="14" t="s">
        <v>488</v>
      </c>
      <c r="D408" s="38">
        <v>256779412779</v>
      </c>
      <c r="E408" s="13" t="s">
        <v>0</v>
      </c>
      <c r="F408" s="13">
        <v>140371</v>
      </c>
      <c r="G408" s="13" t="s">
        <v>489</v>
      </c>
      <c r="H408" s="13">
        <f t="shared" si="10"/>
        <v>15597</v>
      </c>
      <c r="I408" s="13"/>
      <c r="J408" s="13"/>
      <c r="K408" s="13"/>
      <c r="L408" s="13"/>
      <c r="M408" s="13"/>
      <c r="N408" s="13"/>
      <c r="O408" s="13"/>
      <c r="P408" s="21">
        <v>0</v>
      </c>
    </row>
    <row r="409" spans="1:16" hidden="1" x14ac:dyDescent="0.25">
      <c r="A409" s="19">
        <v>45842</v>
      </c>
      <c r="B409" s="14" t="s">
        <v>489</v>
      </c>
      <c r="C409" s="14" t="s">
        <v>517</v>
      </c>
      <c r="D409" s="14"/>
      <c r="E409" s="13" t="s">
        <v>0</v>
      </c>
      <c r="F409" s="13" t="s">
        <v>0</v>
      </c>
      <c r="G409" s="13" t="s">
        <v>0</v>
      </c>
      <c r="H409" s="13">
        <f t="shared" si="10"/>
        <v>0</v>
      </c>
      <c r="I409" s="13" t="s">
        <v>518</v>
      </c>
      <c r="J409" s="13"/>
      <c r="K409" s="13"/>
      <c r="L409" s="13" t="s">
        <v>519</v>
      </c>
      <c r="M409" s="13" t="s">
        <v>586</v>
      </c>
      <c r="N409" s="13">
        <v>150000</v>
      </c>
      <c r="O409" s="13"/>
      <c r="P409" s="21">
        <v>0</v>
      </c>
    </row>
    <row r="410" spans="1:16" hidden="1" x14ac:dyDescent="0.25">
      <c r="A410" s="19"/>
      <c r="B410" s="14"/>
      <c r="C410" s="14" t="s">
        <v>521</v>
      </c>
      <c r="D410" s="38">
        <v>246779410885</v>
      </c>
      <c r="E410" s="13" t="s">
        <v>0</v>
      </c>
      <c r="F410" s="13">
        <v>30728</v>
      </c>
      <c r="G410" s="13" t="s">
        <v>480</v>
      </c>
      <c r="H410" s="13">
        <f t="shared" si="10"/>
        <v>0</v>
      </c>
      <c r="I410" s="13"/>
      <c r="J410" s="13"/>
      <c r="K410" s="13"/>
      <c r="L410" s="13"/>
      <c r="M410" s="13"/>
      <c r="N410" s="13"/>
      <c r="O410" s="13"/>
      <c r="P410" s="21">
        <v>0</v>
      </c>
    </row>
    <row r="411" spans="1:16" hidden="1" x14ac:dyDescent="0.25">
      <c r="A411" s="19"/>
      <c r="B411" s="14"/>
      <c r="C411" s="14" t="s">
        <v>521</v>
      </c>
      <c r="D411" s="38">
        <v>246779411458</v>
      </c>
      <c r="E411" s="13" t="s">
        <v>0</v>
      </c>
      <c r="F411" s="13">
        <v>6589</v>
      </c>
      <c r="G411" s="13" t="s">
        <v>480</v>
      </c>
      <c r="H411" s="13">
        <f t="shared" si="10"/>
        <v>0</v>
      </c>
      <c r="I411" s="13"/>
      <c r="J411" s="13"/>
      <c r="K411" s="13"/>
      <c r="L411" s="13"/>
      <c r="M411" s="13"/>
      <c r="N411" s="13"/>
      <c r="O411" s="13"/>
      <c r="P411" s="21">
        <v>0</v>
      </c>
    </row>
    <row r="412" spans="1:16" hidden="1" x14ac:dyDescent="0.25">
      <c r="A412" s="19"/>
      <c r="B412" s="14"/>
      <c r="C412" s="14" t="s">
        <v>521</v>
      </c>
      <c r="D412" s="38">
        <v>246779411624</v>
      </c>
      <c r="E412" s="13" t="s">
        <v>0</v>
      </c>
      <c r="F412" s="13">
        <v>20898</v>
      </c>
      <c r="G412" s="13" t="s">
        <v>480</v>
      </c>
      <c r="H412" s="13">
        <f t="shared" si="10"/>
        <v>0</v>
      </c>
      <c r="I412" s="13"/>
      <c r="J412" s="13"/>
      <c r="K412" s="13"/>
      <c r="L412" s="13"/>
      <c r="M412" s="13"/>
      <c r="N412" s="13"/>
      <c r="O412" s="13"/>
      <c r="P412" s="21">
        <v>0</v>
      </c>
    </row>
    <row r="413" spans="1:16" hidden="1" x14ac:dyDescent="0.25">
      <c r="A413" s="19"/>
      <c r="B413" s="14"/>
      <c r="C413" s="14" t="s">
        <v>521</v>
      </c>
      <c r="D413" s="38">
        <v>246779411625</v>
      </c>
      <c r="E413" s="13" t="s">
        <v>0</v>
      </c>
      <c r="F413" s="13">
        <v>5939</v>
      </c>
      <c r="G413" s="13" t="s">
        <v>480</v>
      </c>
      <c r="H413" s="13">
        <f t="shared" si="10"/>
        <v>0</v>
      </c>
      <c r="I413" s="13"/>
      <c r="J413" s="13"/>
      <c r="K413" s="13"/>
      <c r="L413" s="13"/>
      <c r="M413" s="13"/>
      <c r="N413" s="13"/>
      <c r="O413" s="13"/>
      <c r="P413" s="21">
        <v>0</v>
      </c>
    </row>
    <row r="414" spans="1:16" hidden="1" x14ac:dyDescent="0.25">
      <c r="A414" s="19"/>
      <c r="B414" s="14"/>
      <c r="C414" s="14" t="s">
        <v>521</v>
      </c>
      <c r="D414" s="38">
        <v>246779411626</v>
      </c>
      <c r="E414" s="13" t="s">
        <v>0</v>
      </c>
      <c r="F414" s="13">
        <v>6091</v>
      </c>
      <c r="G414" s="13" t="s">
        <v>480</v>
      </c>
      <c r="H414" s="13">
        <f t="shared" si="10"/>
        <v>0</v>
      </c>
      <c r="I414" s="13"/>
      <c r="J414" s="13"/>
      <c r="K414" s="13"/>
      <c r="L414" s="13"/>
      <c r="M414" s="13"/>
      <c r="N414" s="13"/>
      <c r="O414" s="13"/>
      <c r="P414" s="21">
        <v>0</v>
      </c>
    </row>
    <row r="415" spans="1:16" hidden="1" x14ac:dyDescent="0.25">
      <c r="A415" s="19"/>
      <c r="B415" s="14"/>
      <c r="C415" s="14" t="s">
        <v>521</v>
      </c>
      <c r="D415" s="38">
        <v>246779411627</v>
      </c>
      <c r="E415" s="13" t="s">
        <v>0</v>
      </c>
      <c r="F415" s="13">
        <v>5258</v>
      </c>
      <c r="G415" s="13" t="s">
        <v>480</v>
      </c>
      <c r="H415" s="13">
        <f t="shared" si="10"/>
        <v>0</v>
      </c>
      <c r="I415" s="13"/>
      <c r="J415" s="13"/>
      <c r="K415" s="13"/>
      <c r="L415" s="13"/>
      <c r="M415" s="13"/>
      <c r="N415" s="13"/>
      <c r="O415" s="13"/>
      <c r="P415" s="21">
        <v>0</v>
      </c>
    </row>
    <row r="416" spans="1:16" hidden="1" x14ac:dyDescent="0.25">
      <c r="A416" s="19"/>
      <c r="B416" s="14"/>
      <c r="C416" s="14" t="s">
        <v>521</v>
      </c>
      <c r="D416" s="38">
        <v>246779412068</v>
      </c>
      <c r="E416" s="13" t="s">
        <v>0</v>
      </c>
      <c r="F416" s="13">
        <v>10392</v>
      </c>
      <c r="G416" s="13" t="s">
        <v>480</v>
      </c>
      <c r="H416" s="13">
        <f t="shared" si="10"/>
        <v>0</v>
      </c>
      <c r="I416" s="13"/>
      <c r="J416" s="13"/>
      <c r="K416" s="13"/>
      <c r="L416" s="13"/>
      <c r="M416" s="13"/>
      <c r="N416" s="13"/>
      <c r="O416" s="13"/>
      <c r="P416" s="21">
        <v>0</v>
      </c>
    </row>
    <row r="417" spans="1:16" hidden="1" x14ac:dyDescent="0.25">
      <c r="A417" s="19"/>
      <c r="B417" s="14"/>
      <c r="C417" s="14" t="s">
        <v>521</v>
      </c>
      <c r="D417" s="38">
        <v>246779412247</v>
      </c>
      <c r="E417" s="13" t="s">
        <v>0</v>
      </c>
      <c r="F417" s="13">
        <v>6589</v>
      </c>
      <c r="G417" s="13" t="s">
        <v>480</v>
      </c>
      <c r="H417" s="13">
        <f t="shared" si="10"/>
        <v>0</v>
      </c>
      <c r="I417" s="13"/>
      <c r="J417" s="13"/>
      <c r="K417" s="13"/>
      <c r="L417" s="13"/>
      <c r="M417" s="13"/>
      <c r="N417" s="13"/>
      <c r="O417" s="13"/>
      <c r="P417" s="21">
        <v>0</v>
      </c>
    </row>
    <row r="418" spans="1:16" hidden="1" x14ac:dyDescent="0.25">
      <c r="A418" s="19"/>
      <c r="B418" s="14"/>
      <c r="C418" s="14" t="s">
        <v>521</v>
      </c>
      <c r="D418" s="38">
        <v>246779414060</v>
      </c>
      <c r="E418" s="13" t="s">
        <v>0</v>
      </c>
      <c r="F418" s="13">
        <v>23090</v>
      </c>
      <c r="G418" s="13" t="s">
        <v>480</v>
      </c>
      <c r="H418" s="13">
        <f t="shared" si="10"/>
        <v>0</v>
      </c>
      <c r="I418" s="13"/>
      <c r="J418" s="13"/>
      <c r="K418" s="13"/>
      <c r="L418" s="13"/>
      <c r="M418" s="13"/>
      <c r="N418" s="13"/>
      <c r="O418" s="13"/>
      <c r="P418" s="21">
        <v>0</v>
      </c>
    </row>
    <row r="419" spans="1:16" hidden="1" x14ac:dyDescent="0.25">
      <c r="A419" s="19"/>
      <c r="B419" s="14"/>
      <c r="C419" s="14" t="s">
        <v>521</v>
      </c>
      <c r="D419" s="38">
        <v>246779414061</v>
      </c>
      <c r="E419" s="13" t="s">
        <v>0</v>
      </c>
      <c r="F419" s="13">
        <v>23453</v>
      </c>
      <c r="G419" s="13" t="s">
        <v>480</v>
      </c>
      <c r="H419" s="13">
        <f t="shared" si="10"/>
        <v>0</v>
      </c>
      <c r="I419" s="13"/>
      <c r="J419" s="13"/>
      <c r="K419" s="13"/>
      <c r="L419" s="13"/>
      <c r="M419" s="13"/>
      <c r="N419" s="13"/>
      <c r="O419" s="13"/>
      <c r="P419" s="21">
        <v>0</v>
      </c>
    </row>
    <row r="420" spans="1:16" hidden="1" x14ac:dyDescent="0.25">
      <c r="A420" s="19"/>
      <c r="B420" s="14"/>
      <c r="C420" s="14" t="s">
        <v>521</v>
      </c>
      <c r="D420" s="38">
        <v>246779414062</v>
      </c>
      <c r="E420" s="13" t="s">
        <v>0</v>
      </c>
      <c r="F420" s="13">
        <v>10973</v>
      </c>
      <c r="G420" s="13" t="s">
        <v>480</v>
      </c>
      <c r="H420" s="13">
        <f t="shared" si="10"/>
        <v>0</v>
      </c>
      <c r="I420" s="13"/>
      <c r="J420" s="13"/>
      <c r="K420" s="13"/>
      <c r="L420" s="13"/>
      <c r="M420" s="13"/>
      <c r="N420" s="13"/>
      <c r="O420" s="13"/>
      <c r="P420" s="21">
        <v>0</v>
      </c>
    </row>
    <row r="421" spans="1:16" hidden="1" x14ac:dyDescent="0.25">
      <c r="A421" s="19">
        <v>45849</v>
      </c>
      <c r="B421" s="14" t="s">
        <v>489</v>
      </c>
      <c r="C421" s="14" t="s">
        <v>517</v>
      </c>
      <c r="D421" s="14"/>
      <c r="E421" s="13" t="s">
        <v>0</v>
      </c>
      <c r="F421" s="13" t="s">
        <v>0</v>
      </c>
      <c r="G421" s="13" t="s">
        <v>0</v>
      </c>
      <c r="H421" s="13">
        <f t="shared" si="10"/>
        <v>0</v>
      </c>
      <c r="I421" s="13" t="s">
        <v>518</v>
      </c>
      <c r="J421" s="13"/>
      <c r="K421" s="13"/>
      <c r="L421" s="13" t="s">
        <v>519</v>
      </c>
      <c r="M421" s="13" t="s">
        <v>587</v>
      </c>
      <c r="N421" s="13">
        <v>150000</v>
      </c>
      <c r="O421" s="13"/>
      <c r="P421" s="21">
        <v>0</v>
      </c>
    </row>
    <row r="422" spans="1:16" hidden="1" x14ac:dyDescent="0.25">
      <c r="A422" s="19"/>
      <c r="B422" s="14"/>
      <c r="C422" s="14" t="s">
        <v>521</v>
      </c>
      <c r="D422" s="38">
        <v>246779414062</v>
      </c>
      <c r="E422" s="13" t="s">
        <v>0</v>
      </c>
      <c r="F422" s="13">
        <v>10298</v>
      </c>
      <c r="G422" s="13" t="s">
        <v>480</v>
      </c>
      <c r="H422" s="13">
        <f t="shared" si="10"/>
        <v>0</v>
      </c>
      <c r="I422" s="13"/>
      <c r="J422" s="13"/>
      <c r="K422" s="13"/>
      <c r="L422" s="13"/>
      <c r="M422" s="13"/>
      <c r="N422" s="13"/>
      <c r="O422" s="13"/>
      <c r="P422" s="21">
        <v>0</v>
      </c>
    </row>
    <row r="423" spans="1:16" hidden="1" x14ac:dyDescent="0.25">
      <c r="A423" s="19"/>
      <c r="B423" s="14"/>
      <c r="C423" s="14" t="s">
        <v>521</v>
      </c>
      <c r="D423" s="38">
        <v>246779414063</v>
      </c>
      <c r="E423" s="13" t="s">
        <v>0</v>
      </c>
      <c r="F423" s="13">
        <v>46907</v>
      </c>
      <c r="G423" s="13" t="s">
        <v>480</v>
      </c>
      <c r="H423" s="13">
        <f t="shared" si="10"/>
        <v>0</v>
      </c>
      <c r="I423" s="13"/>
      <c r="J423" s="13"/>
      <c r="K423" s="13"/>
      <c r="L423" s="13"/>
      <c r="M423" s="13"/>
      <c r="N423" s="13"/>
      <c r="O423" s="13"/>
      <c r="P423" s="21">
        <v>0</v>
      </c>
    </row>
    <row r="424" spans="1:16" hidden="1" x14ac:dyDescent="0.25">
      <c r="A424" s="19"/>
      <c r="B424" s="14"/>
      <c r="C424" s="14" t="s">
        <v>521</v>
      </c>
      <c r="D424" s="38">
        <v>246779414064</v>
      </c>
      <c r="E424" s="13" t="s">
        <v>0</v>
      </c>
      <c r="F424" s="13">
        <v>29873</v>
      </c>
      <c r="G424" s="13" t="s">
        <v>480</v>
      </c>
      <c r="H424" s="13">
        <f t="shared" si="10"/>
        <v>0</v>
      </c>
      <c r="I424" s="13"/>
      <c r="J424" s="13"/>
      <c r="K424" s="13"/>
      <c r="L424" s="13"/>
      <c r="M424" s="13"/>
      <c r="N424" s="13"/>
      <c r="O424" s="13"/>
      <c r="P424" s="21">
        <v>0</v>
      </c>
    </row>
    <row r="425" spans="1:16" hidden="1" x14ac:dyDescent="0.25">
      <c r="A425" s="19"/>
      <c r="B425" s="14"/>
      <c r="C425" s="14" t="s">
        <v>521</v>
      </c>
      <c r="D425" s="38">
        <v>246779414065</v>
      </c>
      <c r="E425" s="13" t="s">
        <v>0</v>
      </c>
      <c r="F425" s="13">
        <v>23453</v>
      </c>
      <c r="G425" s="13" t="s">
        <v>480</v>
      </c>
      <c r="H425" s="13">
        <f t="shared" si="10"/>
        <v>0</v>
      </c>
      <c r="I425" s="13"/>
      <c r="J425" s="13"/>
      <c r="K425" s="13"/>
      <c r="L425" s="13"/>
      <c r="M425" s="13"/>
      <c r="N425" s="13"/>
      <c r="O425" s="13"/>
      <c r="P425" s="21">
        <v>0</v>
      </c>
    </row>
    <row r="426" spans="1:16" hidden="1" x14ac:dyDescent="0.25">
      <c r="A426" s="19"/>
      <c r="B426" s="14"/>
      <c r="C426" s="14" t="s">
        <v>521</v>
      </c>
      <c r="D426" s="38">
        <v>246779414066</v>
      </c>
      <c r="E426" s="13" t="s">
        <v>0</v>
      </c>
      <c r="F426" s="13">
        <v>1788</v>
      </c>
      <c r="G426" s="13" t="s">
        <v>480</v>
      </c>
      <c r="H426" s="13">
        <f t="shared" si="10"/>
        <v>0</v>
      </c>
      <c r="I426" s="13"/>
      <c r="J426" s="13"/>
      <c r="K426" s="13"/>
      <c r="L426" s="13"/>
      <c r="M426" s="13"/>
      <c r="N426" s="13"/>
      <c r="O426" s="13"/>
      <c r="P426" s="21">
        <v>0</v>
      </c>
    </row>
    <row r="427" spans="1:16" hidden="1" x14ac:dyDescent="0.25">
      <c r="A427" s="19"/>
      <c r="B427" s="14"/>
      <c r="C427" s="14" t="s">
        <v>521</v>
      </c>
      <c r="D427" s="38">
        <v>246779411302</v>
      </c>
      <c r="E427" s="13" t="s">
        <v>0</v>
      </c>
      <c r="F427" s="13">
        <v>2987</v>
      </c>
      <c r="G427" s="13" t="s">
        <v>480</v>
      </c>
      <c r="H427" s="13">
        <f t="shared" si="10"/>
        <v>0</v>
      </c>
      <c r="I427" s="13"/>
      <c r="J427" s="13"/>
      <c r="K427" s="13"/>
      <c r="L427" s="13"/>
      <c r="M427" s="13"/>
      <c r="N427" s="13"/>
      <c r="O427" s="13"/>
      <c r="P427" s="21">
        <v>0</v>
      </c>
    </row>
    <row r="428" spans="1:16" hidden="1" x14ac:dyDescent="0.25">
      <c r="A428" s="19"/>
      <c r="B428" s="14"/>
      <c r="C428" s="14" t="s">
        <v>521</v>
      </c>
      <c r="D428" s="38">
        <v>246779413220</v>
      </c>
      <c r="E428" s="13" t="s">
        <v>0</v>
      </c>
      <c r="F428" s="13">
        <v>2207</v>
      </c>
      <c r="G428" s="13" t="s">
        <v>480</v>
      </c>
      <c r="H428" s="13">
        <f t="shared" si="10"/>
        <v>0</v>
      </c>
      <c r="I428" s="13"/>
      <c r="J428" s="13"/>
      <c r="K428" s="13"/>
      <c r="L428" s="13"/>
      <c r="M428" s="13"/>
      <c r="N428" s="13"/>
      <c r="O428" s="13"/>
      <c r="P428" s="21">
        <v>0</v>
      </c>
    </row>
    <row r="429" spans="1:16" hidden="1" x14ac:dyDescent="0.25">
      <c r="A429" s="19"/>
      <c r="B429" s="14"/>
      <c r="C429" s="14" t="s">
        <v>521</v>
      </c>
      <c r="D429" s="38">
        <v>246779413884</v>
      </c>
      <c r="E429" s="13" t="s">
        <v>0</v>
      </c>
      <c r="F429" s="13">
        <v>10870</v>
      </c>
      <c r="G429" s="13" t="s">
        <v>480</v>
      </c>
      <c r="H429" s="13">
        <f t="shared" si="10"/>
        <v>0</v>
      </c>
      <c r="I429" s="13"/>
      <c r="J429" s="13"/>
      <c r="K429" s="13"/>
      <c r="L429" s="13"/>
      <c r="M429" s="13"/>
      <c r="N429" s="13"/>
      <c r="O429" s="13"/>
      <c r="P429" s="21">
        <v>0</v>
      </c>
    </row>
    <row r="430" spans="1:16" hidden="1" x14ac:dyDescent="0.25">
      <c r="A430" s="19"/>
      <c r="B430" s="14"/>
      <c r="C430" s="14" t="s">
        <v>521</v>
      </c>
      <c r="D430" s="38">
        <v>246779413893</v>
      </c>
      <c r="E430" s="13" t="s">
        <v>0</v>
      </c>
      <c r="F430" s="13">
        <v>148</v>
      </c>
      <c r="G430" s="13" t="s">
        <v>480</v>
      </c>
      <c r="H430" s="13">
        <f t="shared" si="10"/>
        <v>0</v>
      </c>
      <c r="I430" s="13"/>
      <c r="J430" s="13"/>
      <c r="K430" s="13"/>
      <c r="L430" s="13"/>
      <c r="M430" s="13"/>
      <c r="N430" s="13"/>
      <c r="O430" s="13"/>
      <c r="P430" s="21">
        <v>0</v>
      </c>
    </row>
    <row r="431" spans="1:16" hidden="1" x14ac:dyDescent="0.25">
      <c r="A431" s="19"/>
      <c r="B431" s="14"/>
      <c r="C431" s="14" t="s">
        <v>521</v>
      </c>
      <c r="D431" s="38">
        <v>246779413894</v>
      </c>
      <c r="E431" s="13" t="s">
        <v>0</v>
      </c>
      <c r="F431" s="13">
        <v>170</v>
      </c>
      <c r="G431" s="13" t="s">
        <v>480</v>
      </c>
      <c r="H431" s="13">
        <f t="shared" si="10"/>
        <v>0</v>
      </c>
      <c r="I431" s="13"/>
      <c r="J431" s="13"/>
      <c r="K431" s="13"/>
      <c r="L431" s="13"/>
      <c r="M431" s="13"/>
      <c r="N431" s="13"/>
      <c r="O431" s="13"/>
      <c r="P431" s="21">
        <v>0</v>
      </c>
    </row>
    <row r="432" spans="1:16" hidden="1" x14ac:dyDescent="0.25">
      <c r="A432" s="19"/>
      <c r="B432" s="14"/>
      <c r="C432" s="14" t="s">
        <v>521</v>
      </c>
      <c r="D432" s="38">
        <v>246779413901</v>
      </c>
      <c r="E432" s="13" t="s">
        <v>0</v>
      </c>
      <c r="F432" s="13">
        <v>148</v>
      </c>
      <c r="G432" s="13" t="s">
        <v>480</v>
      </c>
      <c r="H432" s="13">
        <f t="shared" si="10"/>
        <v>0</v>
      </c>
      <c r="I432" s="13"/>
      <c r="J432" s="13"/>
      <c r="K432" s="13"/>
      <c r="L432" s="13"/>
      <c r="M432" s="13"/>
      <c r="N432" s="13"/>
      <c r="O432" s="13"/>
      <c r="P432" s="21">
        <v>0</v>
      </c>
    </row>
    <row r="433" spans="1:16" hidden="1" x14ac:dyDescent="0.25">
      <c r="A433" s="19"/>
      <c r="B433" s="14"/>
      <c r="C433" s="14" t="s">
        <v>521</v>
      </c>
      <c r="D433" s="38">
        <v>246779413911</v>
      </c>
      <c r="E433" s="13" t="s">
        <v>0</v>
      </c>
      <c r="F433" s="13">
        <v>169</v>
      </c>
      <c r="G433" s="13" t="s">
        <v>480</v>
      </c>
      <c r="H433" s="13">
        <f t="shared" si="10"/>
        <v>0</v>
      </c>
      <c r="I433" s="13"/>
      <c r="J433" s="13"/>
      <c r="K433" s="13"/>
      <c r="L433" s="13"/>
      <c r="M433" s="13"/>
      <c r="N433" s="13"/>
      <c r="O433" s="13"/>
      <c r="P433" s="21">
        <v>0</v>
      </c>
    </row>
    <row r="434" spans="1:16" hidden="1" x14ac:dyDescent="0.25">
      <c r="A434" s="19"/>
      <c r="B434" s="14"/>
      <c r="C434" s="14" t="s">
        <v>521</v>
      </c>
      <c r="D434" s="38">
        <v>246779413913</v>
      </c>
      <c r="E434" s="13" t="s">
        <v>0</v>
      </c>
      <c r="F434" s="13">
        <v>1251</v>
      </c>
      <c r="G434" s="13" t="s">
        <v>480</v>
      </c>
      <c r="H434" s="13">
        <f t="shared" si="10"/>
        <v>0</v>
      </c>
      <c r="I434" s="13"/>
      <c r="J434" s="13"/>
      <c r="K434" s="13"/>
      <c r="L434" s="13"/>
      <c r="M434" s="13"/>
      <c r="N434" s="13"/>
      <c r="O434" s="13"/>
      <c r="P434" s="21">
        <v>0</v>
      </c>
    </row>
    <row r="435" spans="1:16" hidden="1" x14ac:dyDescent="0.25">
      <c r="A435" s="19"/>
      <c r="B435" s="14"/>
      <c r="C435" s="14" t="s">
        <v>521</v>
      </c>
      <c r="D435" s="38">
        <v>246779414150</v>
      </c>
      <c r="E435" s="13" t="s">
        <v>0</v>
      </c>
      <c r="F435" s="13">
        <v>1036</v>
      </c>
      <c r="G435" s="13" t="s">
        <v>480</v>
      </c>
      <c r="H435" s="13">
        <f t="shared" si="10"/>
        <v>0</v>
      </c>
      <c r="I435" s="13"/>
      <c r="J435" s="13"/>
      <c r="K435" s="13"/>
      <c r="L435" s="13"/>
      <c r="M435" s="13"/>
      <c r="N435" s="13"/>
      <c r="O435" s="13"/>
      <c r="P435" s="21">
        <v>0</v>
      </c>
    </row>
    <row r="436" spans="1:16" hidden="1" x14ac:dyDescent="0.25">
      <c r="A436" s="19"/>
      <c r="B436" s="14"/>
      <c r="C436" s="14" t="s">
        <v>521</v>
      </c>
      <c r="D436" s="38">
        <v>246779414151</v>
      </c>
      <c r="E436" s="13" t="s">
        <v>0</v>
      </c>
      <c r="F436" s="13">
        <v>1269</v>
      </c>
      <c r="G436" s="13" t="s">
        <v>480</v>
      </c>
      <c r="H436" s="13">
        <f t="shared" si="10"/>
        <v>0</v>
      </c>
      <c r="I436" s="13"/>
      <c r="J436" s="13"/>
      <c r="K436" s="13"/>
      <c r="L436" s="13"/>
      <c r="M436" s="13"/>
      <c r="N436" s="13"/>
      <c r="O436" s="13"/>
      <c r="P436" s="21">
        <v>0</v>
      </c>
    </row>
    <row r="437" spans="1:16" hidden="1" x14ac:dyDescent="0.25">
      <c r="A437" s="19"/>
      <c r="B437" s="14"/>
      <c r="C437" s="14" t="s">
        <v>521</v>
      </c>
      <c r="D437" s="38">
        <v>246779414229</v>
      </c>
      <c r="E437" s="13" t="s">
        <v>0</v>
      </c>
      <c r="F437" s="13">
        <v>769</v>
      </c>
      <c r="G437" s="13" t="s">
        <v>480</v>
      </c>
      <c r="H437" s="13">
        <f t="shared" si="10"/>
        <v>0</v>
      </c>
      <c r="I437" s="13"/>
      <c r="J437" s="13"/>
      <c r="K437" s="13"/>
      <c r="L437" s="13"/>
      <c r="M437" s="13"/>
      <c r="N437" s="13"/>
      <c r="O437" s="13"/>
      <c r="P437" s="21">
        <v>0</v>
      </c>
    </row>
    <row r="438" spans="1:16" hidden="1" x14ac:dyDescent="0.25">
      <c r="A438" s="19"/>
      <c r="B438" s="14"/>
      <c r="C438" s="14" t="s">
        <v>521</v>
      </c>
      <c r="D438" s="38">
        <v>246779414230</v>
      </c>
      <c r="E438" s="13" t="s">
        <v>0</v>
      </c>
      <c r="F438" s="13">
        <v>84</v>
      </c>
      <c r="G438" s="13" t="s">
        <v>480</v>
      </c>
      <c r="H438" s="13">
        <f t="shared" si="10"/>
        <v>0</v>
      </c>
      <c r="I438" s="13"/>
      <c r="J438" s="13"/>
      <c r="K438" s="13"/>
      <c r="L438" s="13"/>
      <c r="M438" s="13"/>
      <c r="N438" s="13"/>
      <c r="O438" s="13"/>
      <c r="P438" s="21">
        <v>0</v>
      </c>
    </row>
    <row r="439" spans="1:16" hidden="1" x14ac:dyDescent="0.25">
      <c r="A439" s="19"/>
      <c r="B439" s="14"/>
      <c r="C439" s="14" t="s">
        <v>521</v>
      </c>
      <c r="D439" s="38">
        <v>246779414319</v>
      </c>
      <c r="E439" s="13" t="s">
        <v>0</v>
      </c>
      <c r="F439" s="13">
        <v>1119</v>
      </c>
      <c r="G439" s="13" t="s">
        <v>480</v>
      </c>
      <c r="H439" s="13">
        <f t="shared" si="10"/>
        <v>0</v>
      </c>
      <c r="I439" s="13"/>
      <c r="J439" s="13"/>
      <c r="K439" s="13"/>
      <c r="L439" s="13"/>
      <c r="M439" s="13"/>
      <c r="N439" s="13"/>
      <c r="O439" s="13"/>
      <c r="P439" s="21">
        <v>0</v>
      </c>
    </row>
    <row r="440" spans="1:16" hidden="1" x14ac:dyDescent="0.25">
      <c r="A440" s="19"/>
      <c r="B440" s="14"/>
      <c r="C440" s="14" t="s">
        <v>521</v>
      </c>
      <c r="D440" s="38">
        <v>246779414320</v>
      </c>
      <c r="E440" s="13" t="s">
        <v>0</v>
      </c>
      <c r="F440" s="13">
        <v>3253</v>
      </c>
      <c r="G440" s="13" t="s">
        <v>480</v>
      </c>
      <c r="H440" s="13">
        <f t="shared" si="10"/>
        <v>0</v>
      </c>
      <c r="I440" s="13"/>
      <c r="J440" s="13"/>
      <c r="K440" s="13"/>
      <c r="L440" s="13"/>
      <c r="M440" s="13"/>
      <c r="N440" s="13"/>
      <c r="O440" s="13"/>
      <c r="P440" s="21">
        <v>0</v>
      </c>
    </row>
    <row r="441" spans="1:16" hidden="1" x14ac:dyDescent="0.25">
      <c r="A441" s="19"/>
      <c r="B441" s="14"/>
      <c r="C441" s="14" t="s">
        <v>521</v>
      </c>
      <c r="D441" s="38">
        <v>246779414321</v>
      </c>
      <c r="E441" s="13" t="s">
        <v>0</v>
      </c>
      <c r="F441" s="13">
        <v>2535</v>
      </c>
      <c r="G441" s="13" t="s">
        <v>480</v>
      </c>
      <c r="H441" s="13">
        <f t="shared" si="10"/>
        <v>0</v>
      </c>
      <c r="I441" s="13"/>
      <c r="J441" s="13"/>
      <c r="K441" s="13"/>
      <c r="L441" s="13"/>
      <c r="M441" s="13"/>
      <c r="N441" s="13"/>
      <c r="O441" s="13"/>
      <c r="P441" s="21">
        <v>0</v>
      </c>
    </row>
    <row r="442" spans="1:16" hidden="1" x14ac:dyDescent="0.25">
      <c r="A442" s="19"/>
      <c r="B442" s="14"/>
      <c r="C442" s="14" t="s">
        <v>521</v>
      </c>
      <c r="D442" s="38">
        <v>246779414402</v>
      </c>
      <c r="E442" s="13" t="s">
        <v>0</v>
      </c>
      <c r="F442" s="13">
        <v>888</v>
      </c>
      <c r="G442" s="13" t="s">
        <v>480</v>
      </c>
      <c r="H442" s="13">
        <f t="shared" si="10"/>
        <v>0</v>
      </c>
      <c r="I442" s="13"/>
      <c r="J442" s="13"/>
      <c r="K442" s="13"/>
      <c r="L442" s="13"/>
      <c r="M442" s="13"/>
      <c r="N442" s="13"/>
      <c r="O442" s="13"/>
      <c r="P442" s="21">
        <v>0</v>
      </c>
    </row>
    <row r="443" spans="1:16" hidden="1" x14ac:dyDescent="0.25">
      <c r="A443" s="19"/>
      <c r="B443" s="14"/>
      <c r="C443" s="14" t="s">
        <v>521</v>
      </c>
      <c r="D443" s="38">
        <v>246779414403</v>
      </c>
      <c r="E443" s="13" t="s">
        <v>0</v>
      </c>
      <c r="F443" s="13">
        <v>1269</v>
      </c>
      <c r="G443" s="13" t="s">
        <v>480</v>
      </c>
      <c r="H443" s="13">
        <f t="shared" si="10"/>
        <v>0</v>
      </c>
      <c r="I443" s="13"/>
      <c r="J443" s="13"/>
      <c r="K443" s="13"/>
      <c r="L443" s="13"/>
      <c r="M443" s="13"/>
      <c r="N443" s="13"/>
      <c r="O443" s="13"/>
      <c r="P443" s="21">
        <v>0</v>
      </c>
    </row>
    <row r="444" spans="1:16" hidden="1" x14ac:dyDescent="0.25">
      <c r="A444" s="19"/>
      <c r="B444" s="14"/>
      <c r="C444" s="14" t="s">
        <v>521</v>
      </c>
      <c r="D444" s="38">
        <v>246779414472</v>
      </c>
      <c r="E444" s="13" t="s">
        <v>0</v>
      </c>
      <c r="F444" s="13">
        <v>1537</v>
      </c>
      <c r="G444" s="13" t="s">
        <v>480</v>
      </c>
      <c r="H444" s="13">
        <f t="shared" si="10"/>
        <v>0</v>
      </c>
      <c r="I444" s="13"/>
      <c r="J444" s="13"/>
      <c r="K444" s="13"/>
      <c r="L444" s="13"/>
      <c r="M444" s="13"/>
      <c r="N444" s="13"/>
      <c r="O444" s="13"/>
      <c r="P444" s="21">
        <v>0</v>
      </c>
    </row>
    <row r="445" spans="1:16" hidden="1" x14ac:dyDescent="0.25">
      <c r="A445" s="19"/>
      <c r="B445" s="14"/>
      <c r="C445" s="14" t="s">
        <v>521</v>
      </c>
      <c r="D445" s="38">
        <v>246779414473</v>
      </c>
      <c r="E445" s="13" t="s">
        <v>0</v>
      </c>
      <c r="F445" s="13">
        <v>540</v>
      </c>
      <c r="G445" s="13" t="s">
        <v>480</v>
      </c>
      <c r="H445" s="13">
        <f t="shared" si="10"/>
        <v>0</v>
      </c>
      <c r="I445" s="13"/>
      <c r="J445" s="13"/>
      <c r="K445" s="13"/>
      <c r="L445" s="13"/>
      <c r="M445" s="13"/>
      <c r="N445" s="13"/>
      <c r="O445" s="13"/>
      <c r="P445" s="21">
        <v>0</v>
      </c>
    </row>
    <row r="446" spans="1:16" hidden="1" x14ac:dyDescent="0.25">
      <c r="A446" s="19"/>
      <c r="B446" s="14"/>
      <c r="C446" s="14" t="s">
        <v>521</v>
      </c>
      <c r="D446" s="38">
        <v>246779414474</v>
      </c>
      <c r="E446" s="13" t="s">
        <v>0</v>
      </c>
      <c r="F446" s="13">
        <v>5074</v>
      </c>
      <c r="G446" s="13" t="s">
        <v>480</v>
      </c>
      <c r="H446" s="13">
        <f t="shared" si="10"/>
        <v>0</v>
      </c>
      <c r="I446" s="13"/>
      <c r="J446" s="13"/>
      <c r="K446" s="13"/>
      <c r="L446" s="13"/>
      <c r="M446" s="13"/>
      <c r="N446" s="13"/>
      <c r="O446" s="13"/>
      <c r="P446" s="21">
        <v>0</v>
      </c>
    </row>
    <row r="447" spans="1:16" hidden="1" x14ac:dyDescent="0.25">
      <c r="A447" s="19"/>
      <c r="B447" s="14"/>
      <c r="C447" s="14" t="s">
        <v>521</v>
      </c>
      <c r="D447" s="38">
        <v>246779414610</v>
      </c>
      <c r="E447" s="13" t="s">
        <v>0</v>
      </c>
      <c r="F447" s="13">
        <v>358</v>
      </c>
      <c r="G447" s="13" t="s">
        <v>480</v>
      </c>
      <c r="H447" s="13">
        <f t="shared" si="10"/>
        <v>0</v>
      </c>
      <c r="I447" s="13"/>
      <c r="J447" s="13"/>
      <c r="K447" s="13"/>
      <c r="L447" s="13"/>
      <c r="M447" s="13"/>
      <c r="N447" s="13"/>
      <c r="O447" s="13"/>
      <c r="P447" s="21">
        <v>0</v>
      </c>
    </row>
    <row r="448" spans="1:16" hidden="1" x14ac:dyDescent="0.25">
      <c r="A448" s="19">
        <v>45857</v>
      </c>
      <c r="B448" s="14" t="s">
        <v>489</v>
      </c>
      <c r="C448" s="14" t="s">
        <v>517</v>
      </c>
      <c r="D448" s="14"/>
      <c r="E448" s="13" t="s">
        <v>0</v>
      </c>
      <c r="F448" s="13" t="s">
        <v>0</v>
      </c>
      <c r="G448" s="13" t="s">
        <v>0</v>
      </c>
      <c r="H448" s="13">
        <f t="shared" si="10"/>
        <v>0</v>
      </c>
      <c r="I448" s="13" t="s">
        <v>518</v>
      </c>
      <c r="J448" s="13"/>
      <c r="K448" s="13"/>
      <c r="L448" s="13" t="s">
        <v>519</v>
      </c>
      <c r="M448" s="13" t="s">
        <v>588</v>
      </c>
      <c r="N448" s="13">
        <v>150000</v>
      </c>
      <c r="O448" s="13"/>
      <c r="P448" s="21">
        <v>0</v>
      </c>
    </row>
    <row r="449" spans="1:16" hidden="1" x14ac:dyDescent="0.25">
      <c r="A449" s="19"/>
      <c r="B449" s="14"/>
      <c r="C449" s="14" t="s">
        <v>521</v>
      </c>
      <c r="D449" s="38">
        <v>246779414610</v>
      </c>
      <c r="E449" s="13" t="s">
        <v>0</v>
      </c>
      <c r="F449" s="13">
        <v>234</v>
      </c>
      <c r="G449" s="13" t="s">
        <v>480</v>
      </c>
      <c r="H449" s="13">
        <f t="shared" si="10"/>
        <v>0</v>
      </c>
      <c r="I449" s="13"/>
      <c r="J449" s="13"/>
      <c r="K449" s="13"/>
      <c r="L449" s="13"/>
      <c r="M449" s="13"/>
      <c r="N449" s="13"/>
      <c r="O449" s="13"/>
      <c r="P449" s="21">
        <v>0</v>
      </c>
    </row>
    <row r="450" spans="1:16" hidden="1" x14ac:dyDescent="0.25">
      <c r="A450" s="19"/>
      <c r="B450" s="14"/>
      <c r="C450" s="14" t="s">
        <v>521</v>
      </c>
      <c r="D450" s="38">
        <v>246779414688</v>
      </c>
      <c r="E450" s="13" t="s">
        <v>0</v>
      </c>
      <c r="F450" s="13">
        <v>837</v>
      </c>
      <c r="G450" s="13" t="s">
        <v>480</v>
      </c>
      <c r="H450" s="13">
        <f t="shared" si="10"/>
        <v>0</v>
      </c>
      <c r="I450" s="13"/>
      <c r="J450" s="13"/>
      <c r="K450" s="13"/>
      <c r="L450" s="13"/>
      <c r="M450" s="13"/>
      <c r="N450" s="13"/>
      <c r="O450" s="13"/>
      <c r="P450" s="21">
        <v>0</v>
      </c>
    </row>
    <row r="451" spans="1:16" hidden="1" x14ac:dyDescent="0.25">
      <c r="A451" s="19"/>
      <c r="B451" s="14"/>
      <c r="C451" s="14" t="s">
        <v>521</v>
      </c>
      <c r="D451" s="38">
        <v>246779414689</v>
      </c>
      <c r="E451" s="13" t="s">
        <v>0</v>
      </c>
      <c r="F451" s="13">
        <v>4292</v>
      </c>
      <c r="G451" s="13" t="s">
        <v>480</v>
      </c>
      <c r="H451" s="13">
        <f t="shared" si="10"/>
        <v>0</v>
      </c>
      <c r="I451" s="13"/>
      <c r="J451" s="13"/>
      <c r="K451" s="13"/>
      <c r="L451" s="13"/>
      <c r="M451" s="13"/>
      <c r="N451" s="13"/>
      <c r="O451" s="13"/>
      <c r="P451" s="21">
        <v>0</v>
      </c>
    </row>
    <row r="452" spans="1:16" hidden="1" x14ac:dyDescent="0.25">
      <c r="A452" s="19"/>
      <c r="B452" s="14"/>
      <c r="C452" s="14" t="s">
        <v>521</v>
      </c>
      <c r="D452" s="38">
        <v>246779414690</v>
      </c>
      <c r="E452" s="13" t="s">
        <v>0</v>
      </c>
      <c r="F452" s="13">
        <v>5074</v>
      </c>
      <c r="G452" s="13" t="s">
        <v>480</v>
      </c>
      <c r="H452" s="13">
        <f t="shared" si="10"/>
        <v>0</v>
      </c>
      <c r="I452" s="13"/>
      <c r="J452" s="13"/>
      <c r="K452" s="13"/>
      <c r="L452" s="13"/>
      <c r="M452" s="13"/>
      <c r="N452" s="13"/>
      <c r="O452" s="13"/>
      <c r="P452" s="21">
        <v>0</v>
      </c>
    </row>
    <row r="453" spans="1:16" hidden="1" x14ac:dyDescent="0.25">
      <c r="A453" s="19"/>
      <c r="B453" s="14"/>
      <c r="C453" s="14" t="s">
        <v>521</v>
      </c>
      <c r="D453" s="38">
        <v>246779414740</v>
      </c>
      <c r="E453" s="13" t="s">
        <v>0</v>
      </c>
      <c r="F453" s="13">
        <v>9403</v>
      </c>
      <c r="G453" s="13" t="s">
        <v>480</v>
      </c>
      <c r="H453" s="13">
        <f t="shared" si="10"/>
        <v>0</v>
      </c>
      <c r="I453" s="13"/>
      <c r="J453" s="13"/>
      <c r="K453" s="13"/>
      <c r="L453" s="13"/>
      <c r="M453" s="13"/>
      <c r="N453" s="13"/>
      <c r="O453" s="13"/>
      <c r="P453" s="21">
        <v>0</v>
      </c>
    </row>
    <row r="454" spans="1:16" hidden="1" x14ac:dyDescent="0.25">
      <c r="A454" s="19"/>
      <c r="B454" s="14"/>
      <c r="C454" s="14" t="s">
        <v>521</v>
      </c>
      <c r="D454" s="38">
        <v>246779414741</v>
      </c>
      <c r="E454" s="13" t="s">
        <v>0</v>
      </c>
      <c r="F454" s="13">
        <v>167</v>
      </c>
      <c r="G454" s="13" t="s">
        <v>480</v>
      </c>
      <c r="H454" s="13">
        <f t="shared" si="10"/>
        <v>0</v>
      </c>
      <c r="I454" s="13"/>
      <c r="J454" s="13"/>
      <c r="K454" s="13"/>
      <c r="L454" s="13"/>
      <c r="M454" s="13"/>
      <c r="N454" s="13"/>
      <c r="O454" s="13"/>
      <c r="P454" s="21">
        <v>0</v>
      </c>
    </row>
    <row r="455" spans="1:16" hidden="1" x14ac:dyDescent="0.25">
      <c r="A455" s="19"/>
      <c r="B455" s="14"/>
      <c r="C455" s="14" t="s">
        <v>521</v>
      </c>
      <c r="D455" s="38">
        <v>246779414895</v>
      </c>
      <c r="E455" s="13" t="s">
        <v>0</v>
      </c>
      <c r="F455" s="13">
        <v>5074</v>
      </c>
      <c r="G455" s="13" t="s">
        <v>480</v>
      </c>
      <c r="H455" s="13">
        <f t="shared" si="10"/>
        <v>0</v>
      </c>
      <c r="I455" s="13"/>
      <c r="J455" s="13"/>
      <c r="K455" s="13"/>
      <c r="L455" s="13"/>
      <c r="M455" s="13"/>
      <c r="N455" s="13"/>
      <c r="O455" s="13"/>
      <c r="P455" s="21">
        <v>0</v>
      </c>
    </row>
    <row r="456" spans="1:16" hidden="1" x14ac:dyDescent="0.25">
      <c r="A456" s="19"/>
      <c r="B456" s="14"/>
      <c r="C456" s="14" t="s">
        <v>521</v>
      </c>
      <c r="D456" s="38">
        <v>246779414896</v>
      </c>
      <c r="E456" s="13" t="s">
        <v>0</v>
      </c>
      <c r="F456" s="13">
        <v>3637</v>
      </c>
      <c r="G456" s="13" t="s">
        <v>480</v>
      </c>
      <c r="H456" s="13">
        <f t="shared" ref="H456:H519" si="11">P452</f>
        <v>0</v>
      </c>
      <c r="I456" s="13"/>
      <c r="J456" s="13"/>
      <c r="K456" s="13"/>
      <c r="L456" s="13"/>
      <c r="M456" s="13"/>
      <c r="N456" s="13"/>
      <c r="O456" s="13"/>
      <c r="P456" s="21">
        <v>0</v>
      </c>
    </row>
    <row r="457" spans="1:16" hidden="1" x14ac:dyDescent="0.25">
      <c r="A457" s="19"/>
      <c r="B457" s="14"/>
      <c r="C457" s="14" t="s">
        <v>521</v>
      </c>
      <c r="D457" s="38">
        <v>246779414897</v>
      </c>
      <c r="E457" s="13" t="s">
        <v>0</v>
      </c>
      <c r="F457" s="13">
        <v>4000</v>
      </c>
      <c r="G457" s="13" t="s">
        <v>480</v>
      </c>
      <c r="H457" s="13">
        <f t="shared" si="11"/>
        <v>0</v>
      </c>
      <c r="I457" s="13"/>
      <c r="J457" s="13"/>
      <c r="K457" s="13"/>
      <c r="L457" s="13"/>
      <c r="M457" s="13"/>
      <c r="N457" s="13"/>
      <c r="O457" s="13"/>
      <c r="P457" s="21">
        <v>0</v>
      </c>
    </row>
    <row r="458" spans="1:16" hidden="1" x14ac:dyDescent="0.25">
      <c r="A458" s="19"/>
      <c r="B458" s="14"/>
      <c r="C458" s="14" t="s">
        <v>521</v>
      </c>
      <c r="D458" s="38">
        <v>246779414898</v>
      </c>
      <c r="E458" s="13" t="s">
        <v>0</v>
      </c>
      <c r="F458" s="13">
        <v>8001</v>
      </c>
      <c r="G458" s="13" t="s">
        <v>480</v>
      </c>
      <c r="H458" s="13">
        <f t="shared" si="11"/>
        <v>0</v>
      </c>
      <c r="I458" s="13"/>
      <c r="J458" s="13"/>
      <c r="K458" s="13"/>
      <c r="L458" s="13"/>
      <c r="M458" s="13"/>
      <c r="N458" s="13"/>
      <c r="O458" s="13"/>
      <c r="P458" s="21">
        <v>0</v>
      </c>
    </row>
    <row r="459" spans="1:16" hidden="1" x14ac:dyDescent="0.25">
      <c r="A459" s="19"/>
      <c r="B459" s="14"/>
      <c r="C459" s="14" t="s">
        <v>521</v>
      </c>
      <c r="D459" s="38">
        <v>246779412999</v>
      </c>
      <c r="E459" s="13" t="s">
        <v>0</v>
      </c>
      <c r="F459" s="13">
        <v>14486</v>
      </c>
      <c r="G459" s="13" t="s">
        <v>480</v>
      </c>
      <c r="H459" s="13">
        <f t="shared" si="11"/>
        <v>0</v>
      </c>
      <c r="I459" s="13"/>
      <c r="J459" s="13"/>
      <c r="K459" s="13"/>
      <c r="L459" s="13"/>
      <c r="M459" s="13"/>
      <c r="N459" s="13"/>
      <c r="O459" s="13"/>
      <c r="P459" s="21">
        <v>0</v>
      </c>
    </row>
    <row r="460" spans="1:16" hidden="1" x14ac:dyDescent="0.25">
      <c r="A460" s="19"/>
      <c r="B460" s="14"/>
      <c r="C460" s="14" t="s">
        <v>521</v>
      </c>
      <c r="D460" s="38">
        <v>246779413798</v>
      </c>
      <c r="E460" s="13" t="s">
        <v>0</v>
      </c>
      <c r="F460" s="13">
        <v>36118</v>
      </c>
      <c r="G460" s="13" t="s">
        <v>480</v>
      </c>
      <c r="H460" s="13">
        <f t="shared" si="11"/>
        <v>0</v>
      </c>
      <c r="I460" s="13"/>
      <c r="J460" s="13"/>
      <c r="K460" s="13"/>
      <c r="L460" s="13"/>
      <c r="M460" s="13"/>
      <c r="N460" s="13"/>
      <c r="O460" s="13"/>
      <c r="P460" s="21">
        <v>0</v>
      </c>
    </row>
    <row r="461" spans="1:16" hidden="1" x14ac:dyDescent="0.25">
      <c r="A461" s="19"/>
      <c r="B461" s="14"/>
      <c r="C461" s="14" t="s">
        <v>521</v>
      </c>
      <c r="D461" s="38">
        <v>246779413809</v>
      </c>
      <c r="E461" s="13" t="s">
        <v>0</v>
      </c>
      <c r="F461" s="13">
        <v>32623</v>
      </c>
      <c r="G461" s="13" t="s">
        <v>480</v>
      </c>
      <c r="H461" s="13">
        <f t="shared" si="11"/>
        <v>0</v>
      </c>
      <c r="I461" s="13"/>
      <c r="J461" s="13"/>
      <c r="K461" s="13"/>
      <c r="L461" s="13"/>
      <c r="M461" s="13"/>
      <c r="N461" s="13"/>
      <c r="O461" s="13"/>
      <c r="P461" s="21">
        <v>0</v>
      </c>
    </row>
    <row r="462" spans="1:16" hidden="1" x14ac:dyDescent="0.25">
      <c r="A462" s="19"/>
      <c r="B462" s="14"/>
      <c r="C462" s="14" t="s">
        <v>521</v>
      </c>
      <c r="D462" s="38">
        <v>246779414899</v>
      </c>
      <c r="E462" s="13" t="s">
        <v>0</v>
      </c>
      <c r="F462" s="13">
        <v>4384</v>
      </c>
      <c r="G462" s="13" t="s">
        <v>480</v>
      </c>
      <c r="H462" s="13">
        <f t="shared" si="11"/>
        <v>0</v>
      </c>
      <c r="I462" s="13"/>
      <c r="J462" s="13"/>
      <c r="K462" s="13"/>
      <c r="L462" s="13"/>
      <c r="M462" s="13"/>
      <c r="N462" s="13"/>
      <c r="O462" s="13"/>
      <c r="P462" s="21">
        <v>0</v>
      </c>
    </row>
    <row r="463" spans="1:16" hidden="1" x14ac:dyDescent="0.25">
      <c r="A463" s="19"/>
      <c r="B463" s="14"/>
      <c r="C463" s="14" t="s">
        <v>521</v>
      </c>
      <c r="D463" s="38">
        <v>246779414900</v>
      </c>
      <c r="E463" s="13" t="s">
        <v>0</v>
      </c>
      <c r="F463" s="13">
        <v>4364</v>
      </c>
      <c r="G463" s="13" t="s">
        <v>480</v>
      </c>
      <c r="H463" s="13">
        <f t="shared" si="11"/>
        <v>0</v>
      </c>
      <c r="I463" s="13"/>
      <c r="J463" s="13"/>
      <c r="K463" s="13"/>
      <c r="L463" s="13"/>
      <c r="M463" s="13"/>
      <c r="N463" s="13"/>
      <c r="O463" s="13"/>
      <c r="P463" s="21">
        <v>0</v>
      </c>
    </row>
    <row r="464" spans="1:16" hidden="1" x14ac:dyDescent="0.25">
      <c r="A464" s="19"/>
      <c r="B464" s="14"/>
      <c r="C464" s="14" t="s">
        <v>521</v>
      </c>
      <c r="D464" s="38">
        <v>246779414901</v>
      </c>
      <c r="E464" s="13" t="s">
        <v>0</v>
      </c>
      <c r="F464" s="13">
        <v>518</v>
      </c>
      <c r="G464" s="13" t="s">
        <v>480</v>
      </c>
      <c r="H464" s="13">
        <f t="shared" si="11"/>
        <v>0</v>
      </c>
      <c r="I464" s="13"/>
      <c r="J464" s="13"/>
      <c r="K464" s="13"/>
      <c r="L464" s="13"/>
      <c r="M464" s="13"/>
      <c r="N464" s="13"/>
      <c r="O464" s="13"/>
      <c r="P464" s="21">
        <v>0</v>
      </c>
    </row>
    <row r="465" spans="1:16" hidden="1" x14ac:dyDescent="0.25">
      <c r="A465" s="19"/>
      <c r="B465" s="14"/>
      <c r="C465" s="14" t="s">
        <v>521</v>
      </c>
      <c r="D465" s="38">
        <v>246779414902</v>
      </c>
      <c r="E465" s="13" t="s">
        <v>0</v>
      </c>
      <c r="F465" s="13">
        <v>298</v>
      </c>
      <c r="G465" s="13" t="s">
        <v>480</v>
      </c>
      <c r="H465" s="13">
        <f t="shared" si="11"/>
        <v>0</v>
      </c>
      <c r="I465" s="13"/>
      <c r="J465" s="13"/>
      <c r="K465" s="13"/>
      <c r="L465" s="13"/>
      <c r="M465" s="13"/>
      <c r="N465" s="13"/>
      <c r="O465" s="13"/>
      <c r="P465" s="21">
        <v>0</v>
      </c>
    </row>
    <row r="466" spans="1:16" hidden="1" x14ac:dyDescent="0.25">
      <c r="A466" s="19"/>
      <c r="B466" s="14"/>
      <c r="C466" s="14" t="s">
        <v>521</v>
      </c>
      <c r="D466" s="38">
        <v>256779410788</v>
      </c>
      <c r="E466" s="13" t="s">
        <v>0</v>
      </c>
      <c r="F466" s="13">
        <v>16490</v>
      </c>
      <c r="G466" s="13" t="s">
        <v>480</v>
      </c>
      <c r="H466" s="13">
        <f t="shared" si="11"/>
        <v>0</v>
      </c>
      <c r="I466" s="13"/>
      <c r="J466" s="13"/>
      <c r="K466" s="13"/>
      <c r="L466" s="13"/>
      <c r="M466" s="13"/>
      <c r="N466" s="13"/>
      <c r="O466" s="13"/>
      <c r="P466" s="21">
        <v>0</v>
      </c>
    </row>
    <row r="467" spans="1:16" hidden="1" x14ac:dyDescent="0.25">
      <c r="A467" s="19">
        <v>45863</v>
      </c>
      <c r="B467" s="14" t="s">
        <v>489</v>
      </c>
      <c r="C467" s="14" t="s">
        <v>517</v>
      </c>
      <c r="D467" s="14"/>
      <c r="E467" s="13" t="s">
        <v>0</v>
      </c>
      <c r="F467" s="13" t="s">
        <v>0</v>
      </c>
      <c r="G467" s="13" t="s">
        <v>0</v>
      </c>
      <c r="H467" s="13">
        <f t="shared" si="11"/>
        <v>0</v>
      </c>
      <c r="I467" s="13" t="s">
        <v>518</v>
      </c>
      <c r="J467" s="13"/>
      <c r="K467" s="13"/>
      <c r="L467" s="13" t="s">
        <v>519</v>
      </c>
      <c r="M467" s="13" t="s">
        <v>589</v>
      </c>
      <c r="N467" s="13">
        <v>150000</v>
      </c>
      <c r="O467" s="13"/>
      <c r="P467" s="21">
        <v>0</v>
      </c>
    </row>
    <row r="468" spans="1:16" hidden="1" x14ac:dyDescent="0.25">
      <c r="A468" s="19"/>
      <c r="B468" s="14"/>
      <c r="C468" s="14" t="s">
        <v>521</v>
      </c>
      <c r="D468" s="38">
        <v>256779410788</v>
      </c>
      <c r="E468" s="13" t="s">
        <v>0</v>
      </c>
      <c r="F468" s="13">
        <v>90487</v>
      </c>
      <c r="G468" s="13" t="s">
        <v>480</v>
      </c>
      <c r="H468" s="13">
        <f t="shared" si="11"/>
        <v>0</v>
      </c>
      <c r="I468" s="13"/>
      <c r="J468" s="13"/>
      <c r="K468" s="13"/>
      <c r="L468" s="13"/>
      <c r="M468" s="13"/>
      <c r="N468" s="13"/>
      <c r="O468" s="13"/>
      <c r="P468" s="21">
        <v>0</v>
      </c>
    </row>
    <row r="469" spans="1:16" hidden="1" x14ac:dyDescent="0.25">
      <c r="A469" s="19"/>
      <c r="B469" s="14"/>
      <c r="C469" s="14" t="s">
        <v>521</v>
      </c>
      <c r="D469" s="38">
        <v>256779410804</v>
      </c>
      <c r="E469" s="13" t="s">
        <v>0</v>
      </c>
      <c r="F469" s="13">
        <v>59513</v>
      </c>
      <c r="G469" s="13" t="s">
        <v>480</v>
      </c>
      <c r="H469" s="13">
        <f t="shared" si="11"/>
        <v>0</v>
      </c>
      <c r="I469" s="13"/>
      <c r="J469" s="13"/>
      <c r="K469" s="13"/>
      <c r="L469" s="13"/>
      <c r="M469" s="13"/>
      <c r="N469" s="13"/>
      <c r="O469" s="13"/>
      <c r="P469" s="21">
        <v>0</v>
      </c>
    </row>
    <row r="470" spans="1:16" hidden="1" x14ac:dyDescent="0.25">
      <c r="A470" s="19">
        <v>45870</v>
      </c>
      <c r="B470" s="14" t="s">
        <v>480</v>
      </c>
      <c r="C470" s="14" t="s">
        <v>481</v>
      </c>
      <c r="D470" s="14"/>
      <c r="E470" s="13" t="s">
        <v>0</v>
      </c>
      <c r="F470" s="13" t="s">
        <v>0</v>
      </c>
      <c r="G470" s="13" t="s">
        <v>0</v>
      </c>
      <c r="H470" s="13">
        <f t="shared" si="11"/>
        <v>0</v>
      </c>
      <c r="I470" s="13" t="s">
        <v>548</v>
      </c>
      <c r="J470" s="13"/>
      <c r="K470" s="13">
        <v>5.15</v>
      </c>
      <c r="L470" s="13" t="s">
        <v>483</v>
      </c>
      <c r="M470" s="13" t="s">
        <v>590</v>
      </c>
      <c r="N470" s="13"/>
      <c r="O470" s="13">
        <v>441</v>
      </c>
      <c r="P470" s="21">
        <v>9</v>
      </c>
    </row>
    <row r="471" spans="1:16" hidden="1" x14ac:dyDescent="0.25">
      <c r="A471" s="19" t="s">
        <v>0</v>
      </c>
      <c r="B471" s="14"/>
      <c r="C471" s="14" t="s">
        <v>533</v>
      </c>
      <c r="D471" s="14"/>
      <c r="E471" s="13" t="s">
        <v>0</v>
      </c>
      <c r="F471" s="13" t="s">
        <v>0</v>
      </c>
      <c r="G471" s="13" t="s">
        <v>0</v>
      </c>
      <c r="H471" s="13">
        <f t="shared" si="11"/>
        <v>0</v>
      </c>
      <c r="I471" s="13" t="s">
        <v>0</v>
      </c>
      <c r="J471" s="13" t="s">
        <v>0</v>
      </c>
      <c r="K471" s="13">
        <v>449.65</v>
      </c>
      <c r="L471" s="13"/>
      <c r="M471" s="13"/>
      <c r="N471" s="13"/>
      <c r="O471" s="13"/>
      <c r="P471" s="21">
        <v>0</v>
      </c>
    </row>
    <row r="472" spans="1:16" hidden="1" x14ac:dyDescent="0.25">
      <c r="A472" s="19" t="s">
        <v>0</v>
      </c>
      <c r="B472" s="14"/>
      <c r="C472" s="14" t="s">
        <v>525</v>
      </c>
      <c r="D472" s="14"/>
      <c r="E472" s="13" t="s">
        <v>0</v>
      </c>
      <c r="F472" s="13" t="s">
        <v>0</v>
      </c>
      <c r="G472" s="13" t="s">
        <v>0</v>
      </c>
      <c r="H472" s="13">
        <f t="shared" si="11"/>
        <v>0</v>
      </c>
      <c r="I472" s="13" t="s">
        <v>0</v>
      </c>
      <c r="J472" s="13" t="s">
        <v>0</v>
      </c>
      <c r="K472" s="13"/>
      <c r="L472" s="13">
        <v>9</v>
      </c>
      <c r="M472" s="13"/>
      <c r="N472" s="13"/>
      <c r="O472" s="13"/>
      <c r="P472" s="21">
        <v>0</v>
      </c>
    </row>
    <row r="473" spans="1:16" hidden="1" x14ac:dyDescent="0.25">
      <c r="A473" s="19" t="s">
        <v>0</v>
      </c>
      <c r="B473" s="14"/>
      <c r="C473" s="14" t="s">
        <v>487</v>
      </c>
      <c r="D473" s="14"/>
      <c r="E473" s="13" t="s">
        <v>0</v>
      </c>
      <c r="F473" s="13" t="s">
        <v>0</v>
      </c>
      <c r="G473" s="13" t="s">
        <v>0</v>
      </c>
      <c r="H473" s="13">
        <f t="shared" si="11"/>
        <v>0</v>
      </c>
      <c r="I473" s="13" t="s">
        <v>0</v>
      </c>
      <c r="J473" s="13" t="s">
        <v>0</v>
      </c>
      <c r="K473" s="13">
        <v>0.35</v>
      </c>
      <c r="L473" s="13"/>
      <c r="M473" s="13"/>
      <c r="N473" s="13"/>
      <c r="O473" s="13"/>
      <c r="P473" s="21">
        <v>0</v>
      </c>
    </row>
    <row r="474" spans="1:16" x14ac:dyDescent="0.25">
      <c r="A474" s="19"/>
      <c r="B474" s="14"/>
      <c r="C474" s="14" t="s">
        <v>488</v>
      </c>
      <c r="D474" s="38">
        <v>256779410088</v>
      </c>
      <c r="E474" s="13" t="s">
        <v>0</v>
      </c>
      <c r="F474" s="13">
        <v>441</v>
      </c>
      <c r="G474" s="13" t="s">
        <v>489</v>
      </c>
      <c r="H474" s="13">
        <f t="shared" si="11"/>
        <v>9</v>
      </c>
      <c r="I474" s="13"/>
      <c r="J474" s="13"/>
      <c r="K474" s="13"/>
      <c r="L474" s="13"/>
      <c r="M474" s="13"/>
      <c r="N474" s="13"/>
      <c r="O474" s="13"/>
      <c r="P474" s="21">
        <v>0</v>
      </c>
    </row>
    <row r="475" spans="1:16" hidden="1" x14ac:dyDescent="0.25">
      <c r="A475" s="19">
        <v>45870</v>
      </c>
      <c r="B475" s="14" t="s">
        <v>480</v>
      </c>
      <c r="C475" s="14" t="s">
        <v>481</v>
      </c>
      <c r="D475" s="14"/>
      <c r="E475" s="13" t="s">
        <v>0</v>
      </c>
      <c r="F475" s="13" t="s">
        <v>0</v>
      </c>
      <c r="G475" s="13" t="s">
        <v>0</v>
      </c>
      <c r="H475" s="13">
        <f t="shared" si="11"/>
        <v>0</v>
      </c>
      <c r="I475" s="13" t="s">
        <v>548</v>
      </c>
      <c r="J475" s="13"/>
      <c r="K475" s="13">
        <v>29.4</v>
      </c>
      <c r="L475" s="13" t="s">
        <v>483</v>
      </c>
      <c r="M475" s="13" t="s">
        <v>591</v>
      </c>
      <c r="N475" s="13"/>
      <c r="O475" s="13">
        <v>2518</v>
      </c>
      <c r="P475" s="21">
        <v>51</v>
      </c>
    </row>
    <row r="476" spans="1:16" hidden="1" x14ac:dyDescent="0.25">
      <c r="A476" s="19" t="s">
        <v>0</v>
      </c>
      <c r="B476" s="14"/>
      <c r="C476" s="14" t="s">
        <v>533</v>
      </c>
      <c r="D476" s="14"/>
      <c r="E476" s="13" t="s">
        <v>0</v>
      </c>
      <c r="F476" s="13" t="s">
        <v>0</v>
      </c>
      <c r="G476" s="13" t="s">
        <v>0</v>
      </c>
      <c r="H476" s="13">
        <f t="shared" si="11"/>
        <v>0</v>
      </c>
      <c r="I476" s="13" t="s">
        <v>0</v>
      </c>
      <c r="J476" s="13" t="s">
        <v>0</v>
      </c>
      <c r="K476" s="13">
        <v>2569.4</v>
      </c>
      <c r="L476" s="13"/>
      <c r="M476" s="13"/>
      <c r="N476" s="13"/>
      <c r="O476" s="13"/>
      <c r="P476" s="21">
        <v>0</v>
      </c>
    </row>
    <row r="477" spans="1:16" hidden="1" x14ac:dyDescent="0.25">
      <c r="A477" s="19" t="s">
        <v>0</v>
      </c>
      <c r="B477" s="14"/>
      <c r="C477" s="14" t="s">
        <v>525</v>
      </c>
      <c r="D477" s="14"/>
      <c r="E477" s="13" t="s">
        <v>0</v>
      </c>
      <c r="F477" s="13" t="s">
        <v>0</v>
      </c>
      <c r="G477" s="13" t="s">
        <v>0</v>
      </c>
      <c r="H477" s="13">
        <f t="shared" si="11"/>
        <v>0</v>
      </c>
      <c r="I477" s="13" t="s">
        <v>0</v>
      </c>
      <c r="J477" s="13" t="s">
        <v>0</v>
      </c>
      <c r="K477" s="13"/>
      <c r="L477" s="13">
        <v>51</v>
      </c>
      <c r="M477" s="13"/>
      <c r="N477" s="13"/>
      <c r="O477" s="13"/>
      <c r="P477" s="21">
        <v>0</v>
      </c>
    </row>
    <row r="478" spans="1:16" hidden="1" x14ac:dyDescent="0.25">
      <c r="A478" s="19" t="s">
        <v>0</v>
      </c>
      <c r="B478" s="14"/>
      <c r="C478" s="14" t="s">
        <v>487</v>
      </c>
      <c r="D478" s="14"/>
      <c r="E478" s="13" t="s">
        <v>0</v>
      </c>
      <c r="F478" s="13" t="s">
        <v>0</v>
      </c>
      <c r="G478" s="13" t="s">
        <v>0</v>
      </c>
      <c r="H478" s="13">
        <f t="shared" si="11"/>
        <v>0</v>
      </c>
      <c r="I478" s="13" t="s">
        <v>0</v>
      </c>
      <c r="J478" s="13" t="s">
        <v>0</v>
      </c>
      <c r="K478" s="13"/>
      <c r="L478" s="13">
        <v>0.4</v>
      </c>
      <c r="M478" s="13"/>
      <c r="N478" s="13"/>
      <c r="O478" s="13"/>
      <c r="P478" s="21">
        <v>0</v>
      </c>
    </row>
    <row r="479" spans="1:16" x14ac:dyDescent="0.25">
      <c r="A479" s="19"/>
      <c r="B479" s="14"/>
      <c r="C479" s="14" t="s">
        <v>488</v>
      </c>
      <c r="D479" s="38">
        <v>256779410089</v>
      </c>
      <c r="E479" s="13" t="s">
        <v>0</v>
      </c>
      <c r="F479" s="13">
        <v>2518</v>
      </c>
      <c r="G479" s="13" t="s">
        <v>489</v>
      </c>
      <c r="H479" s="13">
        <f t="shared" si="11"/>
        <v>51</v>
      </c>
      <c r="I479" s="13"/>
      <c r="J479" s="13"/>
      <c r="K479" s="13"/>
      <c r="L479" s="13"/>
      <c r="M479" s="13"/>
      <c r="N479" s="13"/>
      <c r="O479" s="13"/>
      <c r="P479" s="21">
        <v>0</v>
      </c>
    </row>
    <row r="480" spans="1:16" hidden="1" x14ac:dyDescent="0.25">
      <c r="A480" s="19">
        <v>45870</v>
      </c>
      <c r="B480" s="14" t="s">
        <v>480</v>
      </c>
      <c r="C480" s="14" t="s">
        <v>481</v>
      </c>
      <c r="D480" s="14"/>
      <c r="E480" s="13" t="s">
        <v>0</v>
      </c>
      <c r="F480" s="13" t="s">
        <v>0</v>
      </c>
      <c r="G480" s="13" t="s">
        <v>0</v>
      </c>
      <c r="H480" s="13">
        <f t="shared" si="11"/>
        <v>0</v>
      </c>
      <c r="I480" s="13" t="s">
        <v>548</v>
      </c>
      <c r="J480" s="13"/>
      <c r="K480" s="13">
        <v>3.43</v>
      </c>
      <c r="L480" s="13" t="s">
        <v>483</v>
      </c>
      <c r="M480" s="13" t="s">
        <v>592</v>
      </c>
      <c r="N480" s="13"/>
      <c r="O480" s="13">
        <v>294</v>
      </c>
      <c r="P480" s="21">
        <v>6</v>
      </c>
    </row>
    <row r="481" spans="1:16" hidden="1" x14ac:dyDescent="0.25">
      <c r="A481" s="19" t="s">
        <v>0</v>
      </c>
      <c r="B481" s="14"/>
      <c r="C481" s="14" t="s">
        <v>533</v>
      </c>
      <c r="D481" s="14"/>
      <c r="E481" s="13" t="s">
        <v>0</v>
      </c>
      <c r="F481" s="13" t="s">
        <v>0</v>
      </c>
      <c r="G481" s="13" t="s">
        <v>0</v>
      </c>
      <c r="H481" s="13">
        <f t="shared" si="11"/>
        <v>0</v>
      </c>
      <c r="I481" s="13" t="s">
        <v>0</v>
      </c>
      <c r="J481" s="13" t="s">
        <v>0</v>
      </c>
      <c r="K481" s="13">
        <v>299.76</v>
      </c>
      <c r="L481" s="13"/>
      <c r="M481" s="13"/>
      <c r="N481" s="13"/>
      <c r="O481" s="13"/>
      <c r="P481" s="21">
        <v>0</v>
      </c>
    </row>
    <row r="482" spans="1:16" hidden="1" x14ac:dyDescent="0.25">
      <c r="A482" s="19" t="s">
        <v>0</v>
      </c>
      <c r="B482" s="14"/>
      <c r="C482" s="14" t="s">
        <v>525</v>
      </c>
      <c r="D482" s="14"/>
      <c r="E482" s="13" t="s">
        <v>0</v>
      </c>
      <c r="F482" s="13" t="s">
        <v>0</v>
      </c>
      <c r="G482" s="13" t="s">
        <v>0</v>
      </c>
      <c r="H482" s="13">
        <f t="shared" si="11"/>
        <v>0</v>
      </c>
      <c r="I482" s="13" t="s">
        <v>0</v>
      </c>
      <c r="J482" s="13" t="s">
        <v>0</v>
      </c>
      <c r="K482" s="13"/>
      <c r="L482" s="13">
        <v>6</v>
      </c>
      <c r="M482" s="13"/>
      <c r="N482" s="13"/>
      <c r="O482" s="13"/>
      <c r="P482" s="21">
        <v>0</v>
      </c>
    </row>
    <row r="483" spans="1:16" hidden="1" x14ac:dyDescent="0.25">
      <c r="A483" s="19" t="s">
        <v>0</v>
      </c>
      <c r="B483" s="14"/>
      <c r="C483" s="14" t="s">
        <v>487</v>
      </c>
      <c r="D483" s="14"/>
      <c r="E483" s="13" t="s">
        <v>0</v>
      </c>
      <c r="F483" s="13" t="s">
        <v>0</v>
      </c>
      <c r="G483" s="13" t="s">
        <v>0</v>
      </c>
      <c r="H483" s="13">
        <f t="shared" si="11"/>
        <v>0</v>
      </c>
      <c r="I483" s="13" t="s">
        <v>0</v>
      </c>
      <c r="J483" s="13" t="s">
        <v>0</v>
      </c>
      <c r="K483" s="13">
        <v>0.24</v>
      </c>
      <c r="L483" s="13"/>
      <c r="M483" s="13"/>
      <c r="N483" s="13"/>
      <c r="O483" s="13"/>
      <c r="P483" s="21">
        <v>0</v>
      </c>
    </row>
    <row r="484" spans="1:16" x14ac:dyDescent="0.25">
      <c r="A484" s="19"/>
      <c r="B484" s="14"/>
      <c r="C484" s="14" t="s">
        <v>488</v>
      </c>
      <c r="D484" s="38">
        <v>256779410139</v>
      </c>
      <c r="E484" s="13" t="s">
        <v>0</v>
      </c>
      <c r="F484" s="13">
        <v>294</v>
      </c>
      <c r="G484" s="13" t="s">
        <v>489</v>
      </c>
      <c r="H484" s="13">
        <f t="shared" si="11"/>
        <v>6</v>
      </c>
      <c r="I484" s="13"/>
      <c r="J484" s="13"/>
      <c r="K484" s="13"/>
      <c r="L484" s="13"/>
      <c r="M484" s="13"/>
      <c r="N484" s="13"/>
      <c r="O484" s="13"/>
      <c r="P484" s="21">
        <v>0</v>
      </c>
    </row>
    <row r="485" spans="1:16" hidden="1" x14ac:dyDescent="0.25">
      <c r="A485" s="19">
        <v>45870</v>
      </c>
      <c r="B485" s="14" t="s">
        <v>480</v>
      </c>
      <c r="C485" s="14" t="s">
        <v>481</v>
      </c>
      <c r="D485" s="14"/>
      <c r="E485" s="13" t="s">
        <v>0</v>
      </c>
      <c r="F485" s="13" t="s">
        <v>0</v>
      </c>
      <c r="G485" s="13" t="s">
        <v>0</v>
      </c>
      <c r="H485" s="13">
        <f t="shared" si="11"/>
        <v>0</v>
      </c>
      <c r="I485" s="13" t="s">
        <v>548</v>
      </c>
      <c r="J485" s="13"/>
      <c r="K485" s="13">
        <v>0.98</v>
      </c>
      <c r="L485" s="13" t="s">
        <v>483</v>
      </c>
      <c r="M485" s="13" t="s">
        <v>593</v>
      </c>
      <c r="N485" s="13"/>
      <c r="O485" s="13">
        <v>84</v>
      </c>
      <c r="P485" s="21">
        <v>2</v>
      </c>
    </row>
    <row r="486" spans="1:16" hidden="1" x14ac:dyDescent="0.25">
      <c r="A486" s="19" t="s">
        <v>0</v>
      </c>
      <c r="B486" s="14"/>
      <c r="C486" s="14" t="s">
        <v>533</v>
      </c>
      <c r="D486" s="14"/>
      <c r="E486" s="13" t="s">
        <v>0</v>
      </c>
      <c r="F486" s="13" t="s">
        <v>0</v>
      </c>
      <c r="G486" s="13" t="s">
        <v>0</v>
      </c>
      <c r="H486" s="13">
        <f t="shared" si="11"/>
        <v>0</v>
      </c>
      <c r="I486" s="13" t="s">
        <v>0</v>
      </c>
      <c r="J486" s="13" t="s">
        <v>0</v>
      </c>
      <c r="K486" s="13">
        <v>85.65</v>
      </c>
      <c r="L486" s="13"/>
      <c r="M486" s="13"/>
      <c r="N486" s="13"/>
      <c r="O486" s="13"/>
      <c r="P486" s="21">
        <v>0</v>
      </c>
    </row>
    <row r="487" spans="1:16" hidden="1" x14ac:dyDescent="0.25">
      <c r="A487" s="19" t="s">
        <v>0</v>
      </c>
      <c r="B487" s="14"/>
      <c r="C487" s="14" t="s">
        <v>525</v>
      </c>
      <c r="D487" s="14"/>
      <c r="E487" s="13" t="s">
        <v>0</v>
      </c>
      <c r="F487" s="13" t="s">
        <v>0</v>
      </c>
      <c r="G487" s="13" t="s">
        <v>0</v>
      </c>
      <c r="H487" s="13">
        <f t="shared" si="11"/>
        <v>0</v>
      </c>
      <c r="I487" s="13" t="s">
        <v>0</v>
      </c>
      <c r="J487" s="13" t="s">
        <v>0</v>
      </c>
      <c r="K487" s="13"/>
      <c r="L487" s="13">
        <v>2</v>
      </c>
      <c r="M487" s="13"/>
      <c r="N487" s="13"/>
      <c r="O487" s="13"/>
      <c r="P487" s="21">
        <v>0</v>
      </c>
    </row>
    <row r="488" spans="1:16" hidden="1" x14ac:dyDescent="0.25">
      <c r="A488" s="19" t="s">
        <v>0</v>
      </c>
      <c r="B488" s="14"/>
      <c r="C488" s="14" t="s">
        <v>487</v>
      </c>
      <c r="D488" s="14"/>
      <c r="E488" s="13" t="s">
        <v>0</v>
      </c>
      <c r="F488" s="13" t="s">
        <v>0</v>
      </c>
      <c r="G488" s="13" t="s">
        <v>0</v>
      </c>
      <c r="H488" s="13">
        <f t="shared" si="11"/>
        <v>0</v>
      </c>
      <c r="I488" s="13" t="s">
        <v>0</v>
      </c>
      <c r="J488" s="13" t="s">
        <v>0</v>
      </c>
      <c r="K488" s="13">
        <v>0.35</v>
      </c>
      <c r="L488" s="13"/>
      <c r="M488" s="13"/>
      <c r="N488" s="13"/>
      <c r="O488" s="13"/>
      <c r="P488" s="21">
        <v>0</v>
      </c>
    </row>
    <row r="489" spans="1:16" x14ac:dyDescent="0.25">
      <c r="A489" s="19"/>
      <c r="B489" s="14"/>
      <c r="C489" s="14" t="s">
        <v>488</v>
      </c>
      <c r="D489" s="38">
        <v>256779410140</v>
      </c>
      <c r="E489" s="13" t="s">
        <v>0</v>
      </c>
      <c r="F489" s="13">
        <v>84</v>
      </c>
      <c r="G489" s="13" t="s">
        <v>489</v>
      </c>
      <c r="H489" s="13">
        <f t="shared" si="11"/>
        <v>2</v>
      </c>
      <c r="I489" s="13"/>
      <c r="J489" s="13"/>
      <c r="K489" s="13"/>
      <c r="L489" s="13"/>
      <c r="M489" s="13"/>
      <c r="N489" s="13"/>
      <c r="O489" s="13"/>
      <c r="P489" s="21">
        <v>0</v>
      </c>
    </row>
    <row r="490" spans="1:16" hidden="1" x14ac:dyDescent="0.25">
      <c r="A490" s="19">
        <v>45870</v>
      </c>
      <c r="B490" s="14" t="s">
        <v>480</v>
      </c>
      <c r="C490" s="14" t="s">
        <v>481</v>
      </c>
      <c r="D490" s="14"/>
      <c r="E490" s="13" t="s">
        <v>0</v>
      </c>
      <c r="F490" s="13" t="s">
        <v>0</v>
      </c>
      <c r="G490" s="13" t="s">
        <v>0</v>
      </c>
      <c r="H490" s="13">
        <f t="shared" si="11"/>
        <v>0</v>
      </c>
      <c r="I490" s="13" t="s">
        <v>548</v>
      </c>
      <c r="J490" s="13"/>
      <c r="K490" s="13">
        <v>67.44</v>
      </c>
      <c r="L490" s="13" t="s">
        <v>483</v>
      </c>
      <c r="M490" s="13" t="s">
        <v>594</v>
      </c>
      <c r="N490" s="13"/>
      <c r="O490" s="13">
        <v>5779</v>
      </c>
      <c r="P490" s="21">
        <v>118</v>
      </c>
    </row>
    <row r="491" spans="1:16" hidden="1" x14ac:dyDescent="0.25">
      <c r="A491" s="19" t="s">
        <v>0</v>
      </c>
      <c r="B491" s="14"/>
      <c r="C491" s="14" t="s">
        <v>533</v>
      </c>
      <c r="D491" s="14"/>
      <c r="E491" s="13" t="s">
        <v>0</v>
      </c>
      <c r="F491" s="13" t="s">
        <v>0</v>
      </c>
      <c r="G491" s="13" t="s">
        <v>0</v>
      </c>
      <c r="H491" s="13">
        <f t="shared" si="11"/>
        <v>0</v>
      </c>
      <c r="I491" s="13" t="s">
        <v>0</v>
      </c>
      <c r="J491" s="13" t="s">
        <v>0</v>
      </c>
      <c r="K491" s="13">
        <v>5897.22</v>
      </c>
      <c r="L491" s="13"/>
      <c r="M491" s="13"/>
      <c r="N491" s="13"/>
      <c r="O491" s="13"/>
      <c r="P491" s="21">
        <v>0</v>
      </c>
    </row>
    <row r="492" spans="1:16" hidden="1" x14ac:dyDescent="0.25">
      <c r="A492" s="19" t="s">
        <v>0</v>
      </c>
      <c r="B492" s="14"/>
      <c r="C492" s="14" t="s">
        <v>525</v>
      </c>
      <c r="D492" s="14"/>
      <c r="E492" s="13" t="s">
        <v>0</v>
      </c>
      <c r="F492" s="13" t="s">
        <v>0</v>
      </c>
      <c r="G492" s="13" t="s">
        <v>0</v>
      </c>
      <c r="H492" s="13">
        <f t="shared" si="11"/>
        <v>0</v>
      </c>
      <c r="I492" s="13" t="s">
        <v>0</v>
      </c>
      <c r="J492" s="13" t="s">
        <v>0</v>
      </c>
      <c r="K492" s="13"/>
      <c r="L492" s="13">
        <v>118</v>
      </c>
      <c r="M492" s="13"/>
      <c r="N492" s="13"/>
      <c r="O492" s="13"/>
      <c r="P492" s="21">
        <v>0</v>
      </c>
    </row>
    <row r="493" spans="1:16" hidden="1" x14ac:dyDescent="0.25">
      <c r="A493" s="19" t="s">
        <v>0</v>
      </c>
      <c r="B493" s="14"/>
      <c r="C493" s="14" t="s">
        <v>487</v>
      </c>
      <c r="D493" s="14"/>
      <c r="E493" s="13" t="s">
        <v>0</v>
      </c>
      <c r="F493" s="13" t="s">
        <v>0</v>
      </c>
      <c r="G493" s="13" t="s">
        <v>0</v>
      </c>
      <c r="H493" s="13">
        <f t="shared" si="11"/>
        <v>0</v>
      </c>
      <c r="I493" s="13" t="s">
        <v>0</v>
      </c>
      <c r="J493" s="13" t="s">
        <v>0</v>
      </c>
      <c r="K493" s="13"/>
      <c r="L493" s="13">
        <v>0.22</v>
      </c>
      <c r="M493" s="13"/>
      <c r="N493" s="13"/>
      <c r="O493" s="13"/>
      <c r="P493" s="21">
        <v>0</v>
      </c>
    </row>
    <row r="494" spans="1:16" x14ac:dyDescent="0.25">
      <c r="A494" s="19"/>
      <c r="B494" s="14"/>
      <c r="C494" s="14" t="s">
        <v>488</v>
      </c>
      <c r="D494" s="38">
        <v>256779411167</v>
      </c>
      <c r="E494" s="13" t="s">
        <v>0</v>
      </c>
      <c r="F494" s="13">
        <v>5779</v>
      </c>
      <c r="G494" s="13" t="s">
        <v>489</v>
      </c>
      <c r="H494" s="13">
        <f t="shared" si="11"/>
        <v>118</v>
      </c>
      <c r="I494" s="13"/>
      <c r="J494" s="13"/>
      <c r="K494" s="13"/>
      <c r="L494" s="13"/>
      <c r="M494" s="13"/>
      <c r="N494" s="13"/>
      <c r="O494" s="13"/>
      <c r="P494" s="21">
        <v>0</v>
      </c>
    </row>
    <row r="495" spans="1:16" hidden="1" x14ac:dyDescent="0.25">
      <c r="A495" s="19">
        <v>45870</v>
      </c>
      <c r="B495" s="14" t="s">
        <v>480</v>
      </c>
      <c r="C495" s="14" t="s">
        <v>481</v>
      </c>
      <c r="D495" s="14"/>
      <c r="E495" s="13" t="s">
        <v>0</v>
      </c>
      <c r="F495" s="13" t="s">
        <v>0</v>
      </c>
      <c r="G495" s="13" t="s">
        <v>0</v>
      </c>
      <c r="H495" s="13">
        <f t="shared" si="11"/>
        <v>0</v>
      </c>
      <c r="I495" s="13" t="s">
        <v>548</v>
      </c>
      <c r="J495" s="13"/>
      <c r="K495" s="13">
        <v>59.29</v>
      </c>
      <c r="L495" s="13" t="s">
        <v>483</v>
      </c>
      <c r="M495" s="13" t="s">
        <v>595</v>
      </c>
      <c r="N495" s="13"/>
      <c r="O495" s="13">
        <v>5081</v>
      </c>
      <c r="P495" s="21">
        <v>104</v>
      </c>
    </row>
    <row r="496" spans="1:16" hidden="1" x14ac:dyDescent="0.25">
      <c r="A496" s="19" t="s">
        <v>0</v>
      </c>
      <c r="B496" s="14"/>
      <c r="C496" s="14" t="s">
        <v>533</v>
      </c>
      <c r="D496" s="14"/>
      <c r="E496" s="13" t="s">
        <v>0</v>
      </c>
      <c r="F496" s="13" t="s">
        <v>0</v>
      </c>
      <c r="G496" s="13" t="s">
        <v>0</v>
      </c>
      <c r="H496" s="13">
        <f t="shared" si="11"/>
        <v>0</v>
      </c>
      <c r="I496" s="13" t="s">
        <v>0</v>
      </c>
      <c r="J496" s="13" t="s">
        <v>0</v>
      </c>
      <c r="K496" s="13">
        <v>5185.13</v>
      </c>
      <c r="L496" s="13"/>
      <c r="M496" s="13"/>
      <c r="N496" s="13"/>
      <c r="O496" s="13"/>
      <c r="P496" s="21">
        <v>0</v>
      </c>
    </row>
    <row r="497" spans="1:16" hidden="1" x14ac:dyDescent="0.25">
      <c r="A497" s="19" t="s">
        <v>0</v>
      </c>
      <c r="B497" s="14"/>
      <c r="C497" s="14" t="s">
        <v>525</v>
      </c>
      <c r="D497" s="14"/>
      <c r="E497" s="13" t="s">
        <v>0</v>
      </c>
      <c r="F497" s="13" t="s">
        <v>0</v>
      </c>
      <c r="G497" s="13" t="s">
        <v>0</v>
      </c>
      <c r="H497" s="13">
        <f t="shared" si="11"/>
        <v>0</v>
      </c>
      <c r="I497" s="13" t="s">
        <v>0</v>
      </c>
      <c r="J497" s="13" t="s">
        <v>0</v>
      </c>
      <c r="K497" s="13"/>
      <c r="L497" s="13">
        <v>104</v>
      </c>
      <c r="M497" s="13"/>
      <c r="N497" s="13"/>
      <c r="O497" s="13"/>
      <c r="P497" s="21">
        <v>0</v>
      </c>
    </row>
    <row r="498" spans="1:16" hidden="1" x14ac:dyDescent="0.25">
      <c r="A498" s="19" t="s">
        <v>0</v>
      </c>
      <c r="B498" s="14"/>
      <c r="C498" s="14" t="s">
        <v>487</v>
      </c>
      <c r="D498" s="14"/>
      <c r="E498" s="13" t="s">
        <v>0</v>
      </c>
      <c r="F498" s="13" t="s">
        <v>0</v>
      </c>
      <c r="G498" s="13" t="s">
        <v>0</v>
      </c>
      <c r="H498" s="13">
        <f t="shared" si="11"/>
        <v>0</v>
      </c>
      <c r="I498" s="13" t="s">
        <v>0</v>
      </c>
      <c r="J498" s="13" t="s">
        <v>0</v>
      </c>
      <c r="K498" s="13"/>
      <c r="L498" s="13">
        <v>0.13</v>
      </c>
      <c r="M498" s="13"/>
      <c r="N498" s="13"/>
      <c r="O498" s="13"/>
      <c r="P498" s="21">
        <v>0</v>
      </c>
    </row>
    <row r="499" spans="1:16" x14ac:dyDescent="0.25">
      <c r="A499" s="19"/>
      <c r="B499" s="14"/>
      <c r="C499" s="14" t="s">
        <v>488</v>
      </c>
      <c r="D499" s="38">
        <v>256779411168</v>
      </c>
      <c r="E499" s="13" t="s">
        <v>0</v>
      </c>
      <c r="F499" s="13">
        <v>5081</v>
      </c>
      <c r="G499" s="13" t="s">
        <v>489</v>
      </c>
      <c r="H499" s="13">
        <f t="shared" si="11"/>
        <v>104</v>
      </c>
      <c r="I499" s="13"/>
      <c r="J499" s="13"/>
      <c r="K499" s="13"/>
      <c r="L499" s="13"/>
      <c r="M499" s="13"/>
      <c r="N499" s="13"/>
      <c r="O499" s="13"/>
      <c r="P499" s="21">
        <v>0</v>
      </c>
    </row>
    <row r="500" spans="1:16" hidden="1" x14ac:dyDescent="0.25">
      <c r="A500" s="19">
        <v>45870</v>
      </c>
      <c r="B500" s="14" t="s">
        <v>480</v>
      </c>
      <c r="C500" s="14" t="s">
        <v>481</v>
      </c>
      <c r="D500" s="14"/>
      <c r="E500" s="13" t="s">
        <v>0</v>
      </c>
      <c r="F500" s="13" t="s">
        <v>0</v>
      </c>
      <c r="G500" s="13" t="s">
        <v>0</v>
      </c>
      <c r="H500" s="13">
        <f t="shared" si="11"/>
        <v>0</v>
      </c>
      <c r="I500" s="13" t="s">
        <v>548</v>
      </c>
      <c r="J500" s="13"/>
      <c r="K500" s="13">
        <v>49</v>
      </c>
      <c r="L500" s="13" t="s">
        <v>483</v>
      </c>
      <c r="M500" s="13" t="s">
        <v>596</v>
      </c>
      <c r="N500" s="13"/>
      <c r="O500" s="13">
        <v>4199</v>
      </c>
      <c r="P500" s="21">
        <v>86</v>
      </c>
    </row>
    <row r="501" spans="1:16" hidden="1" x14ac:dyDescent="0.25">
      <c r="A501" s="19" t="s">
        <v>0</v>
      </c>
      <c r="B501" s="14"/>
      <c r="C501" s="14" t="s">
        <v>533</v>
      </c>
      <c r="D501" s="14"/>
      <c r="E501" s="13" t="s">
        <v>0</v>
      </c>
      <c r="F501" s="13" t="s">
        <v>0</v>
      </c>
      <c r="G501" s="13" t="s">
        <v>0</v>
      </c>
      <c r="H501" s="13">
        <f t="shared" si="11"/>
        <v>0</v>
      </c>
      <c r="I501" s="13" t="s">
        <v>0</v>
      </c>
      <c r="J501" s="13" t="s">
        <v>0</v>
      </c>
      <c r="K501" s="13">
        <v>4284.53</v>
      </c>
      <c r="L501" s="13"/>
      <c r="M501" s="13"/>
      <c r="N501" s="13"/>
      <c r="O501" s="13"/>
      <c r="P501" s="21">
        <v>0</v>
      </c>
    </row>
    <row r="502" spans="1:16" hidden="1" x14ac:dyDescent="0.25">
      <c r="A502" s="19" t="s">
        <v>0</v>
      </c>
      <c r="B502" s="14"/>
      <c r="C502" s="14" t="s">
        <v>525</v>
      </c>
      <c r="D502" s="14"/>
      <c r="E502" s="13" t="s">
        <v>0</v>
      </c>
      <c r="F502" s="13" t="s">
        <v>0</v>
      </c>
      <c r="G502" s="13" t="s">
        <v>0</v>
      </c>
      <c r="H502" s="13">
        <f t="shared" si="11"/>
        <v>0</v>
      </c>
      <c r="I502" s="13" t="s">
        <v>0</v>
      </c>
      <c r="J502" s="13" t="s">
        <v>0</v>
      </c>
      <c r="K502" s="13"/>
      <c r="L502" s="13">
        <v>86</v>
      </c>
      <c r="M502" s="13"/>
      <c r="N502" s="13"/>
      <c r="O502" s="13"/>
      <c r="P502" s="21">
        <v>0</v>
      </c>
    </row>
    <row r="503" spans="1:16" hidden="1" x14ac:dyDescent="0.25">
      <c r="A503" s="19" t="s">
        <v>0</v>
      </c>
      <c r="B503" s="14"/>
      <c r="C503" s="14" t="s">
        <v>487</v>
      </c>
      <c r="D503" s="14"/>
      <c r="E503" s="13" t="s">
        <v>0</v>
      </c>
      <c r="F503" s="13" t="s">
        <v>0</v>
      </c>
      <c r="G503" s="13" t="s">
        <v>0</v>
      </c>
      <c r="H503" s="13">
        <f t="shared" si="11"/>
        <v>0</v>
      </c>
      <c r="I503" s="13" t="s">
        <v>0</v>
      </c>
      <c r="J503" s="13" t="s">
        <v>0</v>
      </c>
      <c r="K503" s="13">
        <v>0.47</v>
      </c>
      <c r="L503" s="13"/>
      <c r="M503" s="13"/>
      <c r="N503" s="13"/>
      <c r="O503" s="13"/>
      <c r="P503" s="21">
        <v>0</v>
      </c>
    </row>
    <row r="504" spans="1:16" x14ac:dyDescent="0.25">
      <c r="A504" s="19"/>
      <c r="B504" s="14"/>
      <c r="C504" s="14" t="s">
        <v>488</v>
      </c>
      <c r="D504" s="38">
        <v>256779411169</v>
      </c>
      <c r="E504" s="13" t="s">
        <v>0</v>
      </c>
      <c r="F504" s="13">
        <v>4199</v>
      </c>
      <c r="G504" s="13" t="s">
        <v>489</v>
      </c>
      <c r="H504" s="13">
        <f t="shared" si="11"/>
        <v>86</v>
      </c>
      <c r="I504" s="13"/>
      <c r="J504" s="13"/>
      <c r="K504" s="13"/>
      <c r="L504" s="13"/>
      <c r="M504" s="13"/>
      <c r="N504" s="13"/>
      <c r="O504" s="13"/>
      <c r="P504" s="21">
        <v>0</v>
      </c>
    </row>
    <row r="505" spans="1:16" hidden="1" x14ac:dyDescent="0.25">
      <c r="A505" s="19">
        <v>45870</v>
      </c>
      <c r="B505" s="14" t="s">
        <v>480</v>
      </c>
      <c r="C505" s="14" t="s">
        <v>481</v>
      </c>
      <c r="D505" s="14"/>
      <c r="E505" s="13" t="s">
        <v>0</v>
      </c>
      <c r="F505" s="13" t="s">
        <v>0</v>
      </c>
      <c r="G505" s="13" t="s">
        <v>0</v>
      </c>
      <c r="H505" s="13">
        <f t="shared" si="11"/>
        <v>0</v>
      </c>
      <c r="I505" s="13" t="s">
        <v>548</v>
      </c>
      <c r="J505" s="13"/>
      <c r="K505" s="13">
        <v>117.6</v>
      </c>
      <c r="L505" s="13" t="s">
        <v>483</v>
      </c>
      <c r="M505" s="13" t="s">
        <v>597</v>
      </c>
      <c r="N505" s="13"/>
      <c r="O505" s="13">
        <v>10077</v>
      </c>
      <c r="P505" s="21">
        <v>206</v>
      </c>
    </row>
    <row r="506" spans="1:16" hidden="1" x14ac:dyDescent="0.25">
      <c r="A506" s="19" t="s">
        <v>0</v>
      </c>
      <c r="B506" s="14"/>
      <c r="C506" s="14" t="s">
        <v>533</v>
      </c>
      <c r="D506" s="14"/>
      <c r="E506" s="13" t="s">
        <v>0</v>
      </c>
      <c r="F506" s="13" t="s">
        <v>0</v>
      </c>
      <c r="G506" s="13" t="s">
        <v>0</v>
      </c>
      <c r="H506" s="13">
        <f t="shared" si="11"/>
        <v>0</v>
      </c>
      <c r="I506" s="13" t="s">
        <v>0</v>
      </c>
      <c r="J506" s="13" t="s">
        <v>0</v>
      </c>
      <c r="K506" s="13">
        <v>10282.86</v>
      </c>
      <c r="L506" s="13"/>
      <c r="M506" s="13"/>
      <c r="N506" s="13"/>
      <c r="O506" s="13"/>
      <c r="P506" s="21">
        <v>0</v>
      </c>
    </row>
    <row r="507" spans="1:16" hidden="1" x14ac:dyDescent="0.25">
      <c r="A507" s="19" t="s">
        <v>0</v>
      </c>
      <c r="B507" s="14"/>
      <c r="C507" s="14" t="s">
        <v>525</v>
      </c>
      <c r="D507" s="14"/>
      <c r="E507" s="13" t="s">
        <v>0</v>
      </c>
      <c r="F507" s="13" t="s">
        <v>0</v>
      </c>
      <c r="G507" s="13" t="s">
        <v>0</v>
      </c>
      <c r="H507" s="13">
        <f t="shared" si="11"/>
        <v>0</v>
      </c>
      <c r="I507" s="13" t="s">
        <v>0</v>
      </c>
      <c r="J507" s="13" t="s">
        <v>0</v>
      </c>
      <c r="K507" s="13"/>
      <c r="L507" s="13">
        <v>206</v>
      </c>
      <c r="M507" s="13"/>
      <c r="N507" s="13"/>
      <c r="O507" s="13"/>
      <c r="P507" s="21">
        <v>0</v>
      </c>
    </row>
    <row r="508" spans="1:16" hidden="1" x14ac:dyDescent="0.25">
      <c r="A508" s="19" t="s">
        <v>0</v>
      </c>
      <c r="B508" s="14"/>
      <c r="C508" s="14" t="s">
        <v>487</v>
      </c>
      <c r="D508" s="14"/>
      <c r="E508" s="13" t="s">
        <v>0</v>
      </c>
      <c r="F508" s="13" t="s">
        <v>0</v>
      </c>
      <c r="G508" s="13" t="s">
        <v>0</v>
      </c>
      <c r="H508" s="13">
        <f t="shared" si="11"/>
        <v>0</v>
      </c>
      <c r="I508" s="13" t="s">
        <v>0</v>
      </c>
      <c r="J508" s="13" t="s">
        <v>0</v>
      </c>
      <c r="K508" s="13">
        <v>0.14000000000000001</v>
      </c>
      <c r="L508" s="13"/>
      <c r="M508" s="13"/>
      <c r="N508" s="13"/>
      <c r="O508" s="13"/>
      <c r="P508" s="21">
        <v>0</v>
      </c>
    </row>
    <row r="509" spans="1:16" x14ac:dyDescent="0.25">
      <c r="A509" s="19"/>
      <c r="B509" s="14"/>
      <c r="C509" s="14" t="s">
        <v>488</v>
      </c>
      <c r="D509" s="38">
        <v>256779411170</v>
      </c>
      <c r="E509" s="13" t="s">
        <v>0</v>
      </c>
      <c r="F509" s="13">
        <v>10077</v>
      </c>
      <c r="G509" s="13" t="s">
        <v>489</v>
      </c>
      <c r="H509" s="13">
        <f t="shared" si="11"/>
        <v>206</v>
      </c>
      <c r="I509" s="13"/>
      <c r="J509" s="13"/>
      <c r="K509" s="13"/>
      <c r="L509" s="13"/>
      <c r="M509" s="13"/>
      <c r="N509" s="13"/>
      <c r="O509" s="13"/>
      <c r="P509" s="21">
        <v>0</v>
      </c>
    </row>
    <row r="510" spans="1:16" s="27" customFormat="1" hidden="1" x14ac:dyDescent="0.25">
      <c r="A510" s="23">
        <v>45870</v>
      </c>
      <c r="B510" s="24" t="s">
        <v>480</v>
      </c>
      <c r="C510" s="24" t="s">
        <v>481</v>
      </c>
      <c r="D510" s="24"/>
      <c r="E510" s="25" t="s">
        <v>0</v>
      </c>
      <c r="F510" s="25" t="s">
        <v>0</v>
      </c>
      <c r="G510" s="25" t="s">
        <v>0</v>
      </c>
      <c r="H510" s="13">
        <f t="shared" si="11"/>
        <v>0</v>
      </c>
      <c r="I510" s="25" t="s">
        <v>548</v>
      </c>
      <c r="J510" s="25"/>
      <c r="K510" s="25">
        <v>607.6</v>
      </c>
      <c r="L510" s="25" t="s">
        <v>483</v>
      </c>
      <c r="M510" s="25" t="s">
        <v>598</v>
      </c>
      <c r="N510" s="25"/>
      <c r="O510" s="25">
        <v>52814</v>
      </c>
      <c r="P510" s="26">
        <v>1078</v>
      </c>
    </row>
    <row r="511" spans="1:16" hidden="1" x14ac:dyDescent="0.25">
      <c r="A511" s="19" t="s">
        <v>0</v>
      </c>
      <c r="B511" s="14"/>
      <c r="C511" s="14" t="s">
        <v>599</v>
      </c>
      <c r="D511" s="14"/>
      <c r="E511" s="13" t="s">
        <v>0</v>
      </c>
      <c r="F511" s="13" t="s">
        <v>0</v>
      </c>
      <c r="G511" s="13" t="s">
        <v>0</v>
      </c>
      <c r="H511" s="13">
        <f t="shared" si="11"/>
        <v>0</v>
      </c>
      <c r="I511" s="13" t="s">
        <v>0</v>
      </c>
      <c r="J511" s="13" t="s">
        <v>0</v>
      </c>
      <c r="K511" s="13">
        <v>53891.53</v>
      </c>
      <c r="L511" s="13"/>
      <c r="M511" s="13"/>
      <c r="N511" s="13"/>
      <c r="O511" s="13"/>
      <c r="P511" s="21">
        <v>0</v>
      </c>
    </row>
    <row r="512" spans="1:16" hidden="1" x14ac:dyDescent="0.25">
      <c r="A512" s="19" t="s">
        <v>0</v>
      </c>
      <c r="B512" s="14"/>
      <c r="C512" s="14" t="s">
        <v>600</v>
      </c>
      <c r="D512" s="14"/>
      <c r="E512" s="13" t="s">
        <v>0</v>
      </c>
      <c r="F512" s="13" t="s">
        <v>0</v>
      </c>
      <c r="G512" s="13" t="s">
        <v>0</v>
      </c>
      <c r="H512" s="13">
        <f t="shared" si="11"/>
        <v>0</v>
      </c>
      <c r="I512" s="13" t="s">
        <v>0</v>
      </c>
      <c r="J512" s="13" t="s">
        <v>0</v>
      </c>
      <c r="K512" s="13">
        <v>2694.55</v>
      </c>
      <c r="L512" s="13"/>
      <c r="M512" s="13"/>
      <c r="N512" s="13"/>
      <c r="O512" s="13"/>
      <c r="P512" s="21">
        <v>0</v>
      </c>
    </row>
    <row r="513" spans="1:16" hidden="1" x14ac:dyDescent="0.25">
      <c r="A513" s="19" t="s">
        <v>0</v>
      </c>
      <c r="B513" s="14"/>
      <c r="C513" s="14" t="s">
        <v>601</v>
      </c>
      <c r="D513" s="14"/>
      <c r="E513" s="13" t="s">
        <v>0</v>
      </c>
      <c r="F513" s="13" t="s">
        <v>0</v>
      </c>
      <c r="G513" s="13" t="s">
        <v>0</v>
      </c>
      <c r="H513" s="13">
        <f t="shared" si="11"/>
        <v>0</v>
      </c>
      <c r="I513" s="13" t="s">
        <v>0</v>
      </c>
      <c r="J513" s="13" t="s">
        <v>0</v>
      </c>
      <c r="K513" s="13"/>
      <c r="L513" s="13">
        <v>2694.55</v>
      </c>
      <c r="M513" s="13"/>
      <c r="N513" s="13"/>
      <c r="O513" s="13"/>
      <c r="P513" s="21">
        <v>0</v>
      </c>
    </row>
    <row r="514" spans="1:16" hidden="1" x14ac:dyDescent="0.25">
      <c r="A514" s="19" t="s">
        <v>0</v>
      </c>
      <c r="B514" s="14"/>
      <c r="C514" s="14" t="s">
        <v>525</v>
      </c>
      <c r="D514" s="14"/>
      <c r="E514" s="13" t="s">
        <v>0</v>
      </c>
      <c r="F514" s="13" t="s">
        <v>0</v>
      </c>
      <c r="G514" s="13" t="s">
        <v>0</v>
      </c>
      <c r="H514" s="13"/>
      <c r="I514" s="13" t="s">
        <v>0</v>
      </c>
      <c r="J514" s="13" t="s">
        <v>0</v>
      </c>
      <c r="K514" s="13"/>
      <c r="L514" s="13">
        <v>1078</v>
      </c>
      <c r="M514" s="13"/>
      <c r="N514" s="13"/>
      <c r="O514" s="13"/>
      <c r="P514" s="21">
        <v>0</v>
      </c>
    </row>
    <row r="515" spans="1:16" hidden="1" x14ac:dyDescent="0.25">
      <c r="A515" s="19" t="s">
        <v>0</v>
      </c>
      <c r="B515" s="14"/>
      <c r="C515" s="14" t="s">
        <v>487</v>
      </c>
      <c r="D515" s="14"/>
      <c r="E515" s="13" t="s">
        <v>0</v>
      </c>
      <c r="F515" s="13" t="s">
        <v>0</v>
      </c>
      <c r="G515" s="13" t="s">
        <v>0</v>
      </c>
      <c r="H515" s="13">
        <f t="shared" si="11"/>
        <v>0</v>
      </c>
      <c r="I515" s="13" t="s">
        <v>0</v>
      </c>
      <c r="J515" s="13" t="s">
        <v>0</v>
      </c>
      <c r="K515" s="13">
        <v>0.47</v>
      </c>
      <c r="L515" s="13"/>
      <c r="M515" s="13"/>
      <c r="N515" s="13"/>
      <c r="O515" s="13"/>
      <c r="P515" s="21">
        <v>0</v>
      </c>
    </row>
    <row r="516" spans="1:16" s="27" customFormat="1" x14ac:dyDescent="0.25">
      <c r="A516" s="23"/>
      <c r="B516" s="24"/>
      <c r="C516" s="24" t="s">
        <v>488</v>
      </c>
      <c r="D516" s="39">
        <v>256779411724</v>
      </c>
      <c r="E516" s="25" t="s">
        <v>0</v>
      </c>
      <c r="F516" s="25">
        <v>52814</v>
      </c>
      <c r="G516" s="25" t="s">
        <v>489</v>
      </c>
      <c r="H516" s="25">
        <v>1078</v>
      </c>
      <c r="I516" s="25"/>
      <c r="J516" s="25"/>
      <c r="K516" s="25"/>
      <c r="L516" s="25"/>
      <c r="M516" s="25"/>
      <c r="N516" s="25"/>
      <c r="O516" s="25"/>
      <c r="P516" s="26">
        <v>0</v>
      </c>
    </row>
    <row r="517" spans="1:16" hidden="1" x14ac:dyDescent="0.25">
      <c r="A517" s="19">
        <v>45870</v>
      </c>
      <c r="B517" s="14" t="s">
        <v>480</v>
      </c>
      <c r="C517" s="14" t="s">
        <v>481</v>
      </c>
      <c r="D517" s="14"/>
      <c r="E517" s="13" t="s">
        <v>0</v>
      </c>
      <c r="F517" s="13" t="s">
        <v>0</v>
      </c>
      <c r="G517" s="13" t="s">
        <v>0</v>
      </c>
      <c r="H517" s="13">
        <f t="shared" si="11"/>
        <v>0</v>
      </c>
      <c r="I517" s="13" t="s">
        <v>548</v>
      </c>
      <c r="J517" s="13"/>
      <c r="K517" s="13">
        <v>1.72</v>
      </c>
      <c r="L517" s="13" t="s">
        <v>483</v>
      </c>
      <c r="M517" s="13" t="s">
        <v>602</v>
      </c>
      <c r="N517" s="13"/>
      <c r="O517" s="13">
        <v>147</v>
      </c>
      <c r="P517" s="21">
        <v>3</v>
      </c>
    </row>
    <row r="518" spans="1:16" hidden="1" x14ac:dyDescent="0.25">
      <c r="A518" s="19" t="s">
        <v>0</v>
      </c>
      <c r="B518" s="14"/>
      <c r="C518" s="14" t="s">
        <v>533</v>
      </c>
      <c r="D518" s="14"/>
      <c r="E518" s="13" t="s">
        <v>0</v>
      </c>
      <c r="F518" s="13" t="s">
        <v>0</v>
      </c>
      <c r="G518" s="13" t="s">
        <v>0</v>
      </c>
      <c r="H518" s="13">
        <f t="shared" si="11"/>
        <v>0</v>
      </c>
      <c r="I518" s="13" t="s">
        <v>0</v>
      </c>
      <c r="J518" s="13" t="s">
        <v>0</v>
      </c>
      <c r="K518" s="13">
        <v>149.88</v>
      </c>
      <c r="L518" s="13"/>
      <c r="M518" s="13"/>
      <c r="N518" s="13"/>
      <c r="O518" s="13"/>
      <c r="P518" s="21">
        <v>0</v>
      </c>
    </row>
    <row r="519" spans="1:16" hidden="1" x14ac:dyDescent="0.25">
      <c r="A519" s="19" t="s">
        <v>0</v>
      </c>
      <c r="B519" s="14"/>
      <c r="C519" s="14" t="s">
        <v>525</v>
      </c>
      <c r="D519" s="14"/>
      <c r="E519" s="13" t="s">
        <v>0</v>
      </c>
      <c r="F519" s="13" t="s">
        <v>0</v>
      </c>
      <c r="G519" s="13" t="s">
        <v>0</v>
      </c>
      <c r="H519" s="13">
        <f t="shared" si="11"/>
        <v>0</v>
      </c>
      <c r="I519" s="13" t="s">
        <v>0</v>
      </c>
      <c r="J519" s="13" t="s">
        <v>0</v>
      </c>
      <c r="K519" s="13"/>
      <c r="L519" s="13">
        <v>3</v>
      </c>
      <c r="M519" s="13"/>
      <c r="N519" s="13"/>
      <c r="O519" s="13"/>
      <c r="P519" s="21">
        <v>0</v>
      </c>
    </row>
    <row r="520" spans="1:16" hidden="1" x14ac:dyDescent="0.25">
      <c r="A520" s="19" t="s">
        <v>0</v>
      </c>
      <c r="B520" s="14"/>
      <c r="C520" s="14" t="s">
        <v>487</v>
      </c>
      <c r="D520" s="14"/>
      <c r="E520" s="13" t="s">
        <v>0</v>
      </c>
      <c r="F520" s="13" t="s">
        <v>0</v>
      </c>
      <c r="G520" s="13" t="s">
        <v>0</v>
      </c>
      <c r="H520" s="13">
        <f t="shared" ref="H520:H583" si="12">P516</f>
        <v>0</v>
      </c>
      <c r="I520" s="13" t="s">
        <v>0</v>
      </c>
      <c r="J520" s="13" t="s">
        <v>0</v>
      </c>
      <c r="K520" s="13">
        <v>0.12</v>
      </c>
      <c r="L520" s="13"/>
      <c r="M520" s="13"/>
      <c r="N520" s="13"/>
      <c r="O520" s="13"/>
      <c r="P520" s="21">
        <v>0</v>
      </c>
    </row>
    <row r="521" spans="1:16" x14ac:dyDescent="0.25">
      <c r="A521" s="19"/>
      <c r="B521" s="14"/>
      <c r="C521" s="14" t="s">
        <v>488</v>
      </c>
      <c r="D521" s="38">
        <v>256779411813</v>
      </c>
      <c r="E521" s="13" t="s">
        <v>0</v>
      </c>
      <c r="F521" s="13">
        <v>147</v>
      </c>
      <c r="G521" s="13" t="s">
        <v>489</v>
      </c>
      <c r="H521" s="13">
        <f t="shared" si="12"/>
        <v>3</v>
      </c>
      <c r="I521" s="13"/>
      <c r="J521" s="13"/>
      <c r="K521" s="13"/>
      <c r="L521" s="13"/>
      <c r="M521" s="13"/>
      <c r="N521" s="13"/>
      <c r="O521" s="13"/>
      <c r="P521" s="21">
        <v>0</v>
      </c>
    </row>
    <row r="522" spans="1:16" hidden="1" x14ac:dyDescent="0.25">
      <c r="A522" s="19">
        <v>45870</v>
      </c>
      <c r="B522" s="14" t="s">
        <v>480</v>
      </c>
      <c r="C522" s="14" t="s">
        <v>481</v>
      </c>
      <c r="D522" s="14"/>
      <c r="E522" s="13" t="s">
        <v>0</v>
      </c>
      <c r="F522" s="13" t="s">
        <v>0</v>
      </c>
      <c r="G522" s="13" t="s">
        <v>0</v>
      </c>
      <c r="H522" s="13">
        <f t="shared" si="12"/>
        <v>0</v>
      </c>
      <c r="I522" s="13" t="s">
        <v>548</v>
      </c>
      <c r="J522" s="13"/>
      <c r="K522" s="13">
        <v>0.98</v>
      </c>
      <c r="L522" s="13" t="s">
        <v>483</v>
      </c>
      <c r="M522" s="13" t="s">
        <v>603</v>
      </c>
      <c r="N522" s="13"/>
      <c r="O522" s="13">
        <v>84</v>
      </c>
      <c r="P522" s="21">
        <v>2</v>
      </c>
    </row>
    <row r="523" spans="1:16" hidden="1" x14ac:dyDescent="0.25">
      <c r="A523" s="19" t="s">
        <v>0</v>
      </c>
      <c r="B523" s="14"/>
      <c r="C523" s="14" t="s">
        <v>533</v>
      </c>
      <c r="D523" s="14"/>
      <c r="E523" s="13" t="s">
        <v>0</v>
      </c>
      <c r="F523" s="13" t="s">
        <v>0</v>
      </c>
      <c r="G523" s="13" t="s">
        <v>0</v>
      </c>
      <c r="H523" s="13">
        <f t="shared" si="12"/>
        <v>0</v>
      </c>
      <c r="I523" s="13" t="s">
        <v>0</v>
      </c>
      <c r="J523" s="13" t="s">
        <v>0</v>
      </c>
      <c r="K523" s="13">
        <v>85.65</v>
      </c>
      <c r="L523" s="13"/>
      <c r="M523" s="13"/>
      <c r="N523" s="13"/>
      <c r="O523" s="13"/>
      <c r="P523" s="21">
        <v>0</v>
      </c>
    </row>
    <row r="524" spans="1:16" hidden="1" x14ac:dyDescent="0.25">
      <c r="A524" s="19" t="s">
        <v>0</v>
      </c>
      <c r="B524" s="14"/>
      <c r="C524" s="14" t="s">
        <v>525</v>
      </c>
      <c r="D524" s="14"/>
      <c r="E524" s="13" t="s">
        <v>0</v>
      </c>
      <c r="F524" s="13" t="s">
        <v>0</v>
      </c>
      <c r="G524" s="13" t="s">
        <v>0</v>
      </c>
      <c r="H524" s="13">
        <f t="shared" si="12"/>
        <v>0</v>
      </c>
      <c r="I524" s="13" t="s">
        <v>0</v>
      </c>
      <c r="J524" s="13" t="s">
        <v>0</v>
      </c>
      <c r="K524" s="13"/>
      <c r="L524" s="13">
        <v>2</v>
      </c>
      <c r="M524" s="13"/>
      <c r="N524" s="13"/>
      <c r="O524" s="13"/>
      <c r="P524" s="21">
        <v>0</v>
      </c>
    </row>
    <row r="525" spans="1:16" hidden="1" x14ac:dyDescent="0.25">
      <c r="A525" s="19" t="s">
        <v>0</v>
      </c>
      <c r="B525" s="14"/>
      <c r="C525" s="14" t="s">
        <v>487</v>
      </c>
      <c r="D525" s="14"/>
      <c r="E525" s="13" t="s">
        <v>0</v>
      </c>
      <c r="F525" s="13" t="s">
        <v>0</v>
      </c>
      <c r="G525" s="13" t="s">
        <v>0</v>
      </c>
      <c r="H525" s="13">
        <f t="shared" si="12"/>
        <v>0</v>
      </c>
      <c r="I525" s="13" t="s">
        <v>0</v>
      </c>
      <c r="J525" s="13" t="s">
        <v>0</v>
      </c>
      <c r="K525" s="13">
        <v>0.35</v>
      </c>
      <c r="L525" s="13"/>
      <c r="M525" s="13"/>
      <c r="N525" s="13"/>
      <c r="O525" s="13"/>
      <c r="P525" s="21">
        <v>0</v>
      </c>
    </row>
    <row r="526" spans="1:16" x14ac:dyDescent="0.25">
      <c r="A526" s="19"/>
      <c r="B526" s="14"/>
      <c r="C526" s="14" t="s">
        <v>488</v>
      </c>
      <c r="D526" s="38">
        <v>256779411814</v>
      </c>
      <c r="E526" s="13" t="s">
        <v>0</v>
      </c>
      <c r="F526" s="13">
        <v>84</v>
      </c>
      <c r="G526" s="13" t="s">
        <v>489</v>
      </c>
      <c r="H526" s="13">
        <f t="shared" si="12"/>
        <v>2</v>
      </c>
      <c r="I526" s="13"/>
      <c r="J526" s="13"/>
      <c r="K526" s="13"/>
      <c r="L526" s="13"/>
      <c r="M526" s="13"/>
      <c r="N526" s="13"/>
      <c r="O526" s="13"/>
      <c r="P526" s="21">
        <v>0</v>
      </c>
    </row>
    <row r="527" spans="1:16" hidden="1" x14ac:dyDescent="0.25">
      <c r="A527" s="19">
        <v>45870</v>
      </c>
      <c r="B527" s="14" t="s">
        <v>480</v>
      </c>
      <c r="C527" s="14" t="s">
        <v>481</v>
      </c>
      <c r="D527" s="14"/>
      <c r="E527" s="13" t="s">
        <v>0</v>
      </c>
      <c r="F527" s="13" t="s">
        <v>0</v>
      </c>
      <c r="G527" s="13" t="s">
        <v>0</v>
      </c>
      <c r="H527" s="13">
        <f t="shared" si="12"/>
        <v>0</v>
      </c>
      <c r="I527" s="13" t="s">
        <v>548</v>
      </c>
      <c r="J527" s="13"/>
      <c r="K527" s="13">
        <v>14.7</v>
      </c>
      <c r="L527" s="13" t="s">
        <v>483</v>
      </c>
      <c r="M527" s="13" t="s">
        <v>604</v>
      </c>
      <c r="N527" s="13"/>
      <c r="O527" s="13">
        <v>1259</v>
      </c>
      <c r="P527" s="21">
        <v>26</v>
      </c>
    </row>
    <row r="528" spans="1:16" hidden="1" x14ac:dyDescent="0.25">
      <c r="A528" s="19" t="s">
        <v>0</v>
      </c>
      <c r="B528" s="14"/>
      <c r="C528" s="14" t="s">
        <v>533</v>
      </c>
      <c r="D528" s="14"/>
      <c r="E528" s="13" t="s">
        <v>0</v>
      </c>
      <c r="F528" s="13" t="s">
        <v>0</v>
      </c>
      <c r="G528" s="13" t="s">
        <v>0</v>
      </c>
      <c r="H528" s="13">
        <f t="shared" si="12"/>
        <v>0</v>
      </c>
      <c r="I528" s="13" t="s">
        <v>0</v>
      </c>
      <c r="J528" s="13" t="s">
        <v>0</v>
      </c>
      <c r="K528" s="13">
        <v>1284.7</v>
      </c>
      <c r="L528" s="13"/>
      <c r="M528" s="13"/>
      <c r="N528" s="13"/>
      <c r="O528" s="13"/>
      <c r="P528" s="21">
        <v>0</v>
      </c>
    </row>
    <row r="529" spans="1:16" hidden="1" x14ac:dyDescent="0.25">
      <c r="A529" s="19" t="s">
        <v>0</v>
      </c>
      <c r="B529" s="14"/>
      <c r="C529" s="14" t="s">
        <v>525</v>
      </c>
      <c r="D529" s="14"/>
      <c r="E529" s="13" t="s">
        <v>0</v>
      </c>
      <c r="F529" s="13" t="s">
        <v>0</v>
      </c>
      <c r="G529" s="13" t="s">
        <v>0</v>
      </c>
      <c r="H529" s="13">
        <f t="shared" si="12"/>
        <v>0</v>
      </c>
      <c r="I529" s="13" t="s">
        <v>0</v>
      </c>
      <c r="J529" s="13" t="s">
        <v>0</v>
      </c>
      <c r="K529" s="13"/>
      <c r="L529" s="13">
        <v>26</v>
      </c>
      <c r="M529" s="13"/>
      <c r="N529" s="13"/>
      <c r="O529" s="13"/>
      <c r="P529" s="21">
        <v>0</v>
      </c>
    </row>
    <row r="530" spans="1:16" hidden="1" x14ac:dyDescent="0.25">
      <c r="A530" s="19" t="s">
        <v>0</v>
      </c>
      <c r="B530" s="14"/>
      <c r="C530" s="14" t="s">
        <v>487</v>
      </c>
      <c r="D530" s="14"/>
      <c r="E530" s="13" t="s">
        <v>0</v>
      </c>
      <c r="F530" s="13" t="s">
        <v>0</v>
      </c>
      <c r="G530" s="13" t="s">
        <v>0</v>
      </c>
      <c r="H530" s="13">
        <f t="shared" si="12"/>
        <v>0</v>
      </c>
      <c r="I530" s="13" t="s">
        <v>0</v>
      </c>
      <c r="J530" s="13" t="s">
        <v>0</v>
      </c>
      <c r="K530" s="13">
        <v>0.3</v>
      </c>
      <c r="L530" s="13"/>
      <c r="M530" s="13"/>
      <c r="N530" s="13"/>
      <c r="O530" s="13"/>
      <c r="P530" s="21">
        <v>0</v>
      </c>
    </row>
    <row r="531" spans="1:16" x14ac:dyDescent="0.25">
      <c r="A531" s="19"/>
      <c r="B531" s="14"/>
      <c r="C531" s="14" t="s">
        <v>488</v>
      </c>
      <c r="D531" s="38">
        <v>256779411815</v>
      </c>
      <c r="E531" s="13" t="s">
        <v>0</v>
      </c>
      <c r="F531" s="13">
        <v>1259</v>
      </c>
      <c r="G531" s="13" t="s">
        <v>489</v>
      </c>
      <c r="H531" s="13">
        <f t="shared" si="12"/>
        <v>26</v>
      </c>
      <c r="I531" s="13"/>
      <c r="J531" s="13"/>
      <c r="K531" s="13"/>
      <c r="L531" s="13"/>
      <c r="M531" s="13"/>
      <c r="N531" s="13"/>
      <c r="O531" s="13"/>
      <c r="P531" s="21">
        <v>0</v>
      </c>
    </row>
    <row r="532" spans="1:16" hidden="1" x14ac:dyDescent="0.25">
      <c r="A532" s="19">
        <v>45870</v>
      </c>
      <c r="B532" s="14" t="s">
        <v>480</v>
      </c>
      <c r="C532" s="14" t="s">
        <v>481</v>
      </c>
      <c r="D532" s="14"/>
      <c r="E532" s="13" t="s">
        <v>0</v>
      </c>
      <c r="F532" s="13" t="s">
        <v>0</v>
      </c>
      <c r="G532" s="13" t="s">
        <v>0</v>
      </c>
      <c r="H532" s="13">
        <f t="shared" si="12"/>
        <v>0</v>
      </c>
      <c r="I532" s="13" t="s">
        <v>548</v>
      </c>
      <c r="J532" s="13"/>
      <c r="K532" s="13">
        <v>6.94</v>
      </c>
      <c r="L532" s="13" t="s">
        <v>483</v>
      </c>
      <c r="M532" s="13" t="s">
        <v>605</v>
      </c>
      <c r="N532" s="13"/>
      <c r="O532" s="13">
        <v>594</v>
      </c>
      <c r="P532" s="21">
        <v>12</v>
      </c>
    </row>
    <row r="533" spans="1:16" hidden="1" x14ac:dyDescent="0.25">
      <c r="A533" s="19" t="s">
        <v>0</v>
      </c>
      <c r="B533" s="14"/>
      <c r="C533" s="14" t="s">
        <v>544</v>
      </c>
      <c r="D533" s="14"/>
      <c r="E533" s="13" t="s">
        <v>0</v>
      </c>
      <c r="F533" s="13" t="s">
        <v>0</v>
      </c>
      <c r="G533" s="13" t="s">
        <v>0</v>
      </c>
      <c r="H533" s="13">
        <f t="shared" si="12"/>
        <v>0</v>
      </c>
      <c r="I533" s="13" t="s">
        <v>0</v>
      </c>
      <c r="J533" s="13" t="s">
        <v>0</v>
      </c>
      <c r="K533" s="13">
        <v>605.52</v>
      </c>
      <c r="L533" s="13"/>
      <c r="M533" s="13"/>
      <c r="N533" s="13"/>
      <c r="O533" s="13"/>
      <c r="P533" s="21">
        <v>0</v>
      </c>
    </row>
    <row r="534" spans="1:16" hidden="1" x14ac:dyDescent="0.25">
      <c r="A534" s="19" t="s">
        <v>0</v>
      </c>
      <c r="B534" s="14"/>
      <c r="C534" s="14" t="s">
        <v>525</v>
      </c>
      <c r="D534" s="14"/>
      <c r="E534" s="13" t="s">
        <v>0</v>
      </c>
      <c r="F534" s="13" t="s">
        <v>0</v>
      </c>
      <c r="G534" s="13" t="s">
        <v>0</v>
      </c>
      <c r="H534" s="13">
        <f t="shared" si="12"/>
        <v>0</v>
      </c>
      <c r="I534" s="13" t="s">
        <v>0</v>
      </c>
      <c r="J534" s="13" t="s">
        <v>0</v>
      </c>
      <c r="K534" s="13"/>
      <c r="L534" s="13">
        <v>12</v>
      </c>
      <c r="M534" s="13"/>
      <c r="N534" s="13"/>
      <c r="O534" s="13"/>
      <c r="P534" s="21">
        <v>0</v>
      </c>
    </row>
    <row r="535" spans="1:16" hidden="1" x14ac:dyDescent="0.25">
      <c r="A535" s="19" t="s">
        <v>0</v>
      </c>
      <c r="B535" s="14"/>
      <c r="C535" s="14" t="s">
        <v>487</v>
      </c>
      <c r="D535" s="14"/>
      <c r="E535" s="13" t="s">
        <v>0</v>
      </c>
      <c r="F535" s="13" t="s">
        <v>0</v>
      </c>
      <c r="G535" s="13" t="s">
        <v>0</v>
      </c>
      <c r="H535" s="13">
        <f t="shared" si="12"/>
        <v>0</v>
      </c>
      <c r="I535" s="13" t="s">
        <v>0</v>
      </c>
      <c r="J535" s="13" t="s">
        <v>0</v>
      </c>
      <c r="K535" s="13">
        <v>0.48</v>
      </c>
      <c r="L535" s="13"/>
      <c r="M535" s="13"/>
      <c r="N535" s="13"/>
      <c r="O535" s="13"/>
      <c r="P535" s="21">
        <v>0</v>
      </c>
    </row>
    <row r="536" spans="1:16" x14ac:dyDescent="0.25">
      <c r="A536" s="19"/>
      <c r="B536" s="14"/>
      <c r="C536" s="14" t="s">
        <v>488</v>
      </c>
      <c r="D536" s="38">
        <v>256779411894</v>
      </c>
      <c r="E536" s="13" t="s">
        <v>0</v>
      </c>
      <c r="F536" s="13">
        <v>594</v>
      </c>
      <c r="G536" s="13" t="s">
        <v>489</v>
      </c>
      <c r="H536" s="13">
        <f t="shared" si="12"/>
        <v>12</v>
      </c>
      <c r="I536" s="13"/>
      <c r="J536" s="13"/>
      <c r="K536" s="13"/>
      <c r="L536" s="13"/>
      <c r="M536" s="13"/>
      <c r="N536" s="13"/>
      <c r="O536" s="13"/>
      <c r="P536" s="21">
        <v>0</v>
      </c>
    </row>
    <row r="537" spans="1:16" hidden="1" x14ac:dyDescent="0.25">
      <c r="A537" s="19">
        <v>45870</v>
      </c>
      <c r="B537" s="14" t="s">
        <v>480</v>
      </c>
      <c r="C537" s="14" t="s">
        <v>481</v>
      </c>
      <c r="D537" s="14"/>
      <c r="E537" s="13" t="s">
        <v>0</v>
      </c>
      <c r="F537" s="13" t="s">
        <v>0</v>
      </c>
      <c r="G537" s="13" t="s">
        <v>0</v>
      </c>
      <c r="H537" s="13">
        <f t="shared" si="12"/>
        <v>0</v>
      </c>
      <c r="I537" s="13" t="s">
        <v>548</v>
      </c>
      <c r="J537" s="13"/>
      <c r="K537" s="13">
        <v>0.98</v>
      </c>
      <c r="L537" s="13" t="s">
        <v>483</v>
      </c>
      <c r="M537" s="13" t="s">
        <v>606</v>
      </c>
      <c r="N537" s="13"/>
      <c r="O537" s="13">
        <v>84</v>
      </c>
      <c r="P537" s="21">
        <v>2</v>
      </c>
    </row>
    <row r="538" spans="1:16" hidden="1" x14ac:dyDescent="0.25">
      <c r="A538" s="19" t="s">
        <v>0</v>
      </c>
      <c r="B538" s="14"/>
      <c r="C538" s="14" t="s">
        <v>533</v>
      </c>
      <c r="D538" s="14"/>
      <c r="E538" s="13" t="s">
        <v>0</v>
      </c>
      <c r="F538" s="13" t="s">
        <v>0</v>
      </c>
      <c r="G538" s="13" t="s">
        <v>0</v>
      </c>
      <c r="H538" s="13">
        <f t="shared" si="12"/>
        <v>0</v>
      </c>
      <c r="I538" s="13" t="s">
        <v>0</v>
      </c>
      <c r="J538" s="13" t="s">
        <v>0</v>
      </c>
      <c r="K538" s="13">
        <v>85.65</v>
      </c>
      <c r="L538" s="13"/>
      <c r="M538" s="13"/>
      <c r="N538" s="13"/>
      <c r="O538" s="13"/>
      <c r="P538" s="21">
        <v>0</v>
      </c>
    </row>
    <row r="539" spans="1:16" hidden="1" x14ac:dyDescent="0.25">
      <c r="A539" s="19" t="s">
        <v>0</v>
      </c>
      <c r="B539" s="14"/>
      <c r="C539" s="14" t="s">
        <v>525</v>
      </c>
      <c r="D539" s="14"/>
      <c r="E539" s="13" t="s">
        <v>0</v>
      </c>
      <c r="F539" s="13" t="s">
        <v>0</v>
      </c>
      <c r="G539" s="13" t="s">
        <v>0</v>
      </c>
      <c r="H539" s="13">
        <f t="shared" si="12"/>
        <v>0</v>
      </c>
      <c r="I539" s="13" t="s">
        <v>0</v>
      </c>
      <c r="J539" s="13" t="s">
        <v>0</v>
      </c>
      <c r="K539" s="13"/>
      <c r="L539" s="13">
        <v>2</v>
      </c>
      <c r="M539" s="13"/>
      <c r="N539" s="13"/>
      <c r="O539" s="13"/>
      <c r="P539" s="21">
        <v>0</v>
      </c>
    </row>
    <row r="540" spans="1:16" hidden="1" x14ac:dyDescent="0.25">
      <c r="A540" s="19" t="s">
        <v>0</v>
      </c>
      <c r="B540" s="14"/>
      <c r="C540" s="14" t="s">
        <v>487</v>
      </c>
      <c r="D540" s="14"/>
      <c r="E540" s="13" t="s">
        <v>0</v>
      </c>
      <c r="F540" s="13" t="s">
        <v>0</v>
      </c>
      <c r="G540" s="13" t="s">
        <v>0</v>
      </c>
      <c r="H540" s="13">
        <f t="shared" si="12"/>
        <v>0</v>
      </c>
      <c r="I540" s="13" t="s">
        <v>0</v>
      </c>
      <c r="J540" s="13" t="s">
        <v>0</v>
      </c>
      <c r="K540" s="13">
        <v>0.35</v>
      </c>
      <c r="L540" s="13"/>
      <c r="M540" s="13"/>
      <c r="N540" s="13"/>
      <c r="O540" s="13"/>
      <c r="P540" s="21">
        <v>0</v>
      </c>
    </row>
    <row r="541" spans="1:16" x14ac:dyDescent="0.25">
      <c r="A541" s="19"/>
      <c r="B541" s="14"/>
      <c r="C541" s="14" t="s">
        <v>488</v>
      </c>
      <c r="D541" s="38">
        <v>256779411895</v>
      </c>
      <c r="E541" s="13" t="s">
        <v>0</v>
      </c>
      <c r="F541" s="13">
        <v>84</v>
      </c>
      <c r="G541" s="13" t="s">
        <v>489</v>
      </c>
      <c r="H541" s="13">
        <f t="shared" si="12"/>
        <v>2</v>
      </c>
      <c r="I541" s="13"/>
      <c r="J541" s="13"/>
      <c r="K541" s="13"/>
      <c r="L541" s="13"/>
      <c r="M541" s="13"/>
      <c r="N541" s="13"/>
      <c r="O541" s="13"/>
      <c r="P541" s="21">
        <v>0</v>
      </c>
    </row>
    <row r="542" spans="1:16" hidden="1" x14ac:dyDescent="0.25">
      <c r="A542" s="19">
        <v>45870</v>
      </c>
      <c r="B542" s="14" t="s">
        <v>480</v>
      </c>
      <c r="C542" s="14" t="s">
        <v>481</v>
      </c>
      <c r="D542" s="14"/>
      <c r="E542" s="13" t="s">
        <v>0</v>
      </c>
      <c r="F542" s="13" t="s">
        <v>0</v>
      </c>
      <c r="G542" s="13" t="s">
        <v>0</v>
      </c>
      <c r="H542" s="13">
        <f t="shared" si="12"/>
        <v>0</v>
      </c>
      <c r="I542" s="13" t="s">
        <v>548</v>
      </c>
      <c r="J542" s="13"/>
      <c r="K542" s="13">
        <v>479.77</v>
      </c>
      <c r="L542" s="13" t="s">
        <v>483</v>
      </c>
      <c r="M542" s="13" t="s">
        <v>607</v>
      </c>
      <c r="N542" s="13"/>
      <c r="O542" s="13">
        <v>41567</v>
      </c>
      <c r="P542" s="21">
        <v>848</v>
      </c>
    </row>
    <row r="543" spans="1:16" hidden="1" x14ac:dyDescent="0.25">
      <c r="A543" s="19" t="s">
        <v>0</v>
      </c>
      <c r="B543" s="14"/>
      <c r="C543" s="14" t="s">
        <v>524</v>
      </c>
      <c r="D543" s="14"/>
      <c r="E543" s="13" t="s">
        <v>0</v>
      </c>
      <c r="F543" s="13" t="s">
        <v>0</v>
      </c>
      <c r="G543" s="13" t="s">
        <v>0</v>
      </c>
      <c r="H543" s="13">
        <f t="shared" si="12"/>
        <v>0</v>
      </c>
      <c r="I543" s="13" t="s">
        <v>0</v>
      </c>
      <c r="J543" s="13" t="s">
        <v>0</v>
      </c>
      <c r="K543" s="13">
        <v>42414.61</v>
      </c>
      <c r="L543" s="13"/>
      <c r="M543" s="13"/>
      <c r="N543" s="13"/>
      <c r="O543" s="13"/>
      <c r="P543" s="21">
        <v>0</v>
      </c>
    </row>
    <row r="544" spans="1:16" hidden="1" x14ac:dyDescent="0.25">
      <c r="A544" s="19" t="s">
        <v>0</v>
      </c>
      <c r="B544" s="14"/>
      <c r="C544" s="14" t="s">
        <v>525</v>
      </c>
      <c r="D544" s="14"/>
      <c r="E544" s="13" t="s">
        <v>0</v>
      </c>
      <c r="F544" s="13" t="s">
        <v>0</v>
      </c>
      <c r="G544" s="13" t="s">
        <v>0</v>
      </c>
      <c r="H544" s="13">
        <f t="shared" si="12"/>
        <v>0</v>
      </c>
      <c r="I544" s="13" t="s">
        <v>0</v>
      </c>
      <c r="J544" s="13" t="s">
        <v>0</v>
      </c>
      <c r="K544" s="13"/>
      <c r="L544" s="13">
        <v>848</v>
      </c>
      <c r="M544" s="13"/>
      <c r="N544" s="13"/>
      <c r="O544" s="13"/>
      <c r="P544" s="21">
        <v>0</v>
      </c>
    </row>
    <row r="545" spans="1:16" hidden="1" x14ac:dyDescent="0.25">
      <c r="A545" s="19" t="s">
        <v>0</v>
      </c>
      <c r="B545" s="14"/>
      <c r="C545" s="14" t="s">
        <v>487</v>
      </c>
      <c r="D545" s="14"/>
      <c r="E545" s="13" t="s">
        <v>0</v>
      </c>
      <c r="F545" s="13" t="s">
        <v>0</v>
      </c>
      <c r="G545" s="13" t="s">
        <v>0</v>
      </c>
      <c r="H545" s="13">
        <f t="shared" si="12"/>
        <v>0</v>
      </c>
      <c r="I545" s="13" t="s">
        <v>0</v>
      </c>
      <c r="J545" s="13" t="s">
        <v>0</v>
      </c>
      <c r="K545" s="13">
        <v>0.39</v>
      </c>
      <c r="L545" s="13"/>
      <c r="M545" s="13"/>
      <c r="N545" s="13"/>
      <c r="O545" s="13"/>
      <c r="P545" s="21">
        <v>0</v>
      </c>
    </row>
    <row r="546" spans="1:16" x14ac:dyDescent="0.25">
      <c r="A546" s="19"/>
      <c r="B546" s="14"/>
      <c r="C546" s="14" t="s">
        <v>488</v>
      </c>
      <c r="D546" s="38">
        <v>256779412024</v>
      </c>
      <c r="E546" s="13" t="s">
        <v>0</v>
      </c>
      <c r="F546" s="13">
        <v>41567</v>
      </c>
      <c r="G546" s="13" t="s">
        <v>489</v>
      </c>
      <c r="H546" s="13">
        <f t="shared" si="12"/>
        <v>848</v>
      </c>
      <c r="I546" s="13"/>
      <c r="J546" s="13"/>
      <c r="K546" s="13"/>
      <c r="L546" s="13"/>
      <c r="M546" s="13"/>
      <c r="N546" s="13"/>
      <c r="O546" s="13"/>
      <c r="P546" s="21">
        <v>0</v>
      </c>
    </row>
    <row r="547" spans="1:16" hidden="1" x14ac:dyDescent="0.25">
      <c r="A547" s="19">
        <v>45870</v>
      </c>
      <c r="B547" s="14" t="s">
        <v>480</v>
      </c>
      <c r="C547" s="14" t="s">
        <v>481</v>
      </c>
      <c r="D547" s="14"/>
      <c r="E547" s="13" t="s">
        <v>0</v>
      </c>
      <c r="F547" s="13" t="s">
        <v>0</v>
      </c>
      <c r="G547" s="13" t="s">
        <v>0</v>
      </c>
      <c r="H547" s="13">
        <f t="shared" si="12"/>
        <v>0</v>
      </c>
      <c r="I547" s="13" t="s">
        <v>548</v>
      </c>
      <c r="J547" s="13"/>
      <c r="K547" s="13">
        <v>12.6</v>
      </c>
      <c r="L547" s="13" t="s">
        <v>483</v>
      </c>
      <c r="M547" s="13" t="s">
        <v>608</v>
      </c>
      <c r="N547" s="13"/>
      <c r="O547" s="13">
        <v>1078</v>
      </c>
      <c r="P547" s="21">
        <v>22</v>
      </c>
    </row>
    <row r="548" spans="1:16" hidden="1" x14ac:dyDescent="0.25">
      <c r="A548" s="19" t="s">
        <v>0</v>
      </c>
      <c r="B548" s="14"/>
      <c r="C548" s="14" t="s">
        <v>524</v>
      </c>
      <c r="D548" s="14"/>
      <c r="E548" s="13" t="s">
        <v>0</v>
      </c>
      <c r="F548" s="13" t="s">
        <v>0</v>
      </c>
      <c r="G548" s="13" t="s">
        <v>0</v>
      </c>
      <c r="H548" s="13">
        <f t="shared" si="12"/>
        <v>0</v>
      </c>
      <c r="I548" s="13" t="s">
        <v>0</v>
      </c>
      <c r="J548" s="13" t="s">
        <v>0</v>
      </c>
      <c r="K548" s="13">
        <v>1099.7</v>
      </c>
      <c r="L548" s="13"/>
      <c r="M548" s="13"/>
      <c r="N548" s="13"/>
      <c r="O548" s="13"/>
      <c r="P548" s="21">
        <v>0</v>
      </c>
    </row>
    <row r="549" spans="1:16" hidden="1" x14ac:dyDescent="0.25">
      <c r="A549" s="19" t="s">
        <v>0</v>
      </c>
      <c r="B549" s="14"/>
      <c r="C549" s="14" t="s">
        <v>525</v>
      </c>
      <c r="D549" s="14"/>
      <c r="E549" s="13" t="s">
        <v>0</v>
      </c>
      <c r="F549" s="13" t="s">
        <v>0</v>
      </c>
      <c r="G549" s="13" t="s">
        <v>0</v>
      </c>
      <c r="H549" s="13">
        <f t="shared" si="12"/>
        <v>0</v>
      </c>
      <c r="I549" s="13" t="s">
        <v>0</v>
      </c>
      <c r="J549" s="13" t="s">
        <v>0</v>
      </c>
      <c r="K549" s="13"/>
      <c r="L549" s="13">
        <v>22</v>
      </c>
      <c r="M549" s="13"/>
      <c r="N549" s="13"/>
      <c r="O549" s="13"/>
      <c r="P549" s="21">
        <v>0</v>
      </c>
    </row>
    <row r="550" spans="1:16" hidden="1" x14ac:dyDescent="0.25">
      <c r="A550" s="19" t="s">
        <v>0</v>
      </c>
      <c r="B550" s="14"/>
      <c r="C550" s="14" t="s">
        <v>487</v>
      </c>
      <c r="D550" s="14"/>
      <c r="E550" s="13" t="s">
        <v>0</v>
      </c>
      <c r="F550" s="13" t="s">
        <v>0</v>
      </c>
      <c r="G550" s="13" t="s">
        <v>0</v>
      </c>
      <c r="H550" s="13">
        <f t="shared" si="12"/>
        <v>0</v>
      </c>
      <c r="I550" s="13" t="s">
        <v>0</v>
      </c>
      <c r="J550" s="13" t="s">
        <v>0</v>
      </c>
      <c r="K550" s="13">
        <v>0.3</v>
      </c>
      <c r="L550" s="13"/>
      <c r="M550" s="13"/>
      <c r="N550" s="13"/>
      <c r="O550" s="13"/>
      <c r="P550" s="21">
        <v>0</v>
      </c>
    </row>
    <row r="551" spans="1:16" x14ac:dyDescent="0.25">
      <c r="A551" s="19"/>
      <c r="B551" s="14"/>
      <c r="C551" s="14" t="s">
        <v>488</v>
      </c>
      <c r="D551" s="38">
        <v>256779412105</v>
      </c>
      <c r="E551" s="13" t="s">
        <v>0</v>
      </c>
      <c r="F551" s="13">
        <v>1078</v>
      </c>
      <c r="G551" s="13" t="s">
        <v>489</v>
      </c>
      <c r="H551" s="13">
        <f t="shared" si="12"/>
        <v>22</v>
      </c>
      <c r="I551" s="13"/>
      <c r="J551" s="13"/>
      <c r="K551" s="13"/>
      <c r="L551" s="13"/>
      <c r="M551" s="13"/>
      <c r="N551" s="13"/>
      <c r="O551" s="13"/>
      <c r="P551" s="21">
        <v>0</v>
      </c>
    </row>
    <row r="552" spans="1:16" hidden="1" x14ac:dyDescent="0.25">
      <c r="A552" s="19">
        <v>45870</v>
      </c>
      <c r="B552" s="14" t="s">
        <v>480</v>
      </c>
      <c r="C552" s="14" t="s">
        <v>481</v>
      </c>
      <c r="D552" s="14"/>
      <c r="E552" s="13" t="s">
        <v>0</v>
      </c>
      <c r="F552" s="13" t="s">
        <v>0</v>
      </c>
      <c r="G552" s="13" t="s">
        <v>0</v>
      </c>
      <c r="H552" s="13">
        <f t="shared" si="12"/>
        <v>0</v>
      </c>
      <c r="I552" s="13" t="s">
        <v>548</v>
      </c>
      <c r="J552" s="13"/>
      <c r="K552" s="13">
        <v>17.39</v>
      </c>
      <c r="L552" s="13" t="s">
        <v>483</v>
      </c>
      <c r="M552" s="13" t="s">
        <v>609</v>
      </c>
      <c r="N552" s="13"/>
      <c r="O552" s="13">
        <v>1512</v>
      </c>
      <c r="P552" s="21">
        <v>31</v>
      </c>
    </row>
    <row r="553" spans="1:16" hidden="1" x14ac:dyDescent="0.25">
      <c r="A553" s="19" t="s">
        <v>0</v>
      </c>
      <c r="B553" s="14"/>
      <c r="C553" s="14" t="s">
        <v>533</v>
      </c>
      <c r="D553" s="14"/>
      <c r="E553" s="13" t="s">
        <v>0</v>
      </c>
      <c r="F553" s="13" t="s">
        <v>0</v>
      </c>
      <c r="G553" s="13" t="s">
        <v>0</v>
      </c>
      <c r="H553" s="13">
        <f t="shared" si="12"/>
        <v>0</v>
      </c>
      <c r="I553" s="13" t="s">
        <v>0</v>
      </c>
      <c r="J553" s="13" t="s">
        <v>0</v>
      </c>
      <c r="K553" s="13">
        <v>1542.86</v>
      </c>
      <c r="L553" s="13"/>
      <c r="M553" s="13"/>
      <c r="N553" s="13"/>
      <c r="O553" s="13"/>
      <c r="P553" s="21">
        <v>0</v>
      </c>
    </row>
    <row r="554" spans="1:16" hidden="1" x14ac:dyDescent="0.25">
      <c r="A554" s="19" t="s">
        <v>0</v>
      </c>
      <c r="B554" s="14"/>
      <c r="C554" s="14" t="s">
        <v>525</v>
      </c>
      <c r="D554" s="14"/>
      <c r="E554" s="13" t="s">
        <v>0</v>
      </c>
      <c r="F554" s="13" t="s">
        <v>0</v>
      </c>
      <c r="G554" s="13" t="s">
        <v>0</v>
      </c>
      <c r="H554" s="13">
        <f t="shared" si="12"/>
        <v>0</v>
      </c>
      <c r="I554" s="13" t="s">
        <v>0</v>
      </c>
      <c r="J554" s="13" t="s">
        <v>0</v>
      </c>
      <c r="K554" s="13"/>
      <c r="L554" s="13">
        <v>31</v>
      </c>
      <c r="M554" s="13"/>
      <c r="N554" s="13"/>
      <c r="O554" s="13"/>
      <c r="P554" s="21">
        <v>0</v>
      </c>
    </row>
    <row r="555" spans="1:16" hidden="1" x14ac:dyDescent="0.25">
      <c r="A555" s="19" t="s">
        <v>0</v>
      </c>
      <c r="B555" s="14"/>
      <c r="C555" s="14" t="s">
        <v>487</v>
      </c>
      <c r="D555" s="14"/>
      <c r="E555" s="13" t="s">
        <v>0</v>
      </c>
      <c r="F555" s="13" t="s">
        <v>0</v>
      </c>
      <c r="G555" s="13" t="s">
        <v>0</v>
      </c>
      <c r="H555" s="13">
        <f t="shared" si="12"/>
        <v>0</v>
      </c>
      <c r="I555" s="13" t="s">
        <v>0</v>
      </c>
      <c r="J555" s="13" t="s">
        <v>0</v>
      </c>
      <c r="K555" s="13">
        <v>0.14000000000000001</v>
      </c>
      <c r="L555" s="13"/>
      <c r="M555" s="13"/>
      <c r="N555" s="13"/>
      <c r="O555" s="13"/>
      <c r="P555" s="21">
        <v>0</v>
      </c>
    </row>
    <row r="556" spans="1:16" x14ac:dyDescent="0.25">
      <c r="A556" s="19"/>
      <c r="B556" s="14"/>
      <c r="C556" s="14" t="s">
        <v>488</v>
      </c>
      <c r="D556" s="38">
        <v>256779412567</v>
      </c>
      <c r="E556" s="13" t="s">
        <v>0</v>
      </c>
      <c r="F556" s="13">
        <v>1512</v>
      </c>
      <c r="G556" s="13" t="s">
        <v>489</v>
      </c>
      <c r="H556" s="13">
        <f t="shared" si="12"/>
        <v>31</v>
      </c>
      <c r="I556" s="13"/>
      <c r="J556" s="13"/>
      <c r="K556" s="13"/>
      <c r="L556" s="13"/>
      <c r="M556" s="13"/>
      <c r="N556" s="13"/>
      <c r="O556" s="13"/>
      <c r="P556" s="21">
        <v>0</v>
      </c>
    </row>
    <row r="557" spans="1:16" hidden="1" x14ac:dyDescent="0.25">
      <c r="A557" s="19">
        <v>45870</v>
      </c>
      <c r="B557" s="14" t="s">
        <v>480</v>
      </c>
      <c r="C557" s="14" t="s">
        <v>481</v>
      </c>
      <c r="D557" s="14"/>
      <c r="E557" s="13" t="s">
        <v>0</v>
      </c>
      <c r="F557" s="13" t="s">
        <v>0</v>
      </c>
      <c r="G557" s="13" t="s">
        <v>0</v>
      </c>
      <c r="H557" s="13">
        <f t="shared" si="12"/>
        <v>0</v>
      </c>
      <c r="I557" s="13" t="s">
        <v>548</v>
      </c>
      <c r="J557" s="13"/>
      <c r="K557" s="13">
        <v>42.15</v>
      </c>
      <c r="L557" s="13" t="s">
        <v>483</v>
      </c>
      <c r="M557" s="13" t="s">
        <v>610</v>
      </c>
      <c r="N557" s="13"/>
      <c r="O557" s="13">
        <v>3664</v>
      </c>
      <c r="P557" s="21">
        <v>75</v>
      </c>
    </row>
    <row r="558" spans="1:16" hidden="1" x14ac:dyDescent="0.25">
      <c r="A558" s="19" t="s">
        <v>0</v>
      </c>
      <c r="B558" s="14"/>
      <c r="C558" s="14" t="s">
        <v>533</v>
      </c>
      <c r="D558" s="14"/>
      <c r="E558" s="13" t="s">
        <v>0</v>
      </c>
      <c r="F558" s="13" t="s">
        <v>0</v>
      </c>
      <c r="G558" s="13" t="s">
        <v>0</v>
      </c>
      <c r="H558" s="13">
        <f t="shared" si="12"/>
        <v>0</v>
      </c>
      <c r="I558" s="13" t="s">
        <v>0</v>
      </c>
      <c r="J558" s="13" t="s">
        <v>0</v>
      </c>
      <c r="K558" s="13">
        <v>3739.38</v>
      </c>
      <c r="L558" s="13"/>
      <c r="M558" s="13"/>
      <c r="N558" s="13"/>
      <c r="O558" s="13"/>
      <c r="P558" s="21">
        <v>0</v>
      </c>
    </row>
    <row r="559" spans="1:16" hidden="1" x14ac:dyDescent="0.25">
      <c r="A559" s="19" t="s">
        <v>0</v>
      </c>
      <c r="B559" s="14"/>
      <c r="C559" s="14" t="s">
        <v>525</v>
      </c>
      <c r="D559" s="14"/>
      <c r="E559" s="13" t="s">
        <v>0</v>
      </c>
      <c r="F559" s="13" t="s">
        <v>0</v>
      </c>
      <c r="G559" s="13" t="s">
        <v>0</v>
      </c>
      <c r="H559" s="13">
        <f t="shared" si="12"/>
        <v>0</v>
      </c>
      <c r="I559" s="13" t="s">
        <v>0</v>
      </c>
      <c r="J559" s="13" t="s">
        <v>0</v>
      </c>
      <c r="K559" s="13"/>
      <c r="L559" s="13">
        <v>75</v>
      </c>
      <c r="M559" s="13"/>
      <c r="N559" s="13"/>
      <c r="O559" s="13"/>
      <c r="P559" s="21">
        <v>0</v>
      </c>
    </row>
    <row r="560" spans="1:16" hidden="1" x14ac:dyDescent="0.25">
      <c r="A560" s="19" t="s">
        <v>0</v>
      </c>
      <c r="B560" s="14"/>
      <c r="C560" s="14" t="s">
        <v>487</v>
      </c>
      <c r="D560" s="14"/>
      <c r="E560" s="13" t="s">
        <v>0</v>
      </c>
      <c r="F560" s="13" t="s">
        <v>0</v>
      </c>
      <c r="G560" s="13" t="s">
        <v>0</v>
      </c>
      <c r="H560" s="13">
        <f t="shared" si="12"/>
        <v>0</v>
      </c>
      <c r="I560" s="13" t="s">
        <v>0</v>
      </c>
      <c r="J560" s="13" t="s">
        <v>0</v>
      </c>
      <c r="K560" s="13"/>
      <c r="L560" s="13">
        <v>0.38</v>
      </c>
      <c r="M560" s="13"/>
      <c r="N560" s="13"/>
      <c r="O560" s="13"/>
      <c r="P560" s="21">
        <v>0</v>
      </c>
    </row>
    <row r="561" spans="1:16" x14ac:dyDescent="0.25">
      <c r="A561" s="19"/>
      <c r="B561" s="14"/>
      <c r="C561" s="14" t="s">
        <v>488</v>
      </c>
      <c r="D561" s="38">
        <v>256779412618</v>
      </c>
      <c r="E561" s="13" t="s">
        <v>0</v>
      </c>
      <c r="F561" s="13">
        <v>3664</v>
      </c>
      <c r="G561" s="13" t="s">
        <v>489</v>
      </c>
      <c r="H561" s="13">
        <f t="shared" si="12"/>
        <v>75</v>
      </c>
      <c r="I561" s="13"/>
      <c r="J561" s="13"/>
      <c r="K561" s="13"/>
      <c r="L561" s="13"/>
      <c r="M561" s="13"/>
      <c r="N561" s="13"/>
      <c r="O561" s="13"/>
      <c r="P561" s="21">
        <v>0</v>
      </c>
    </row>
    <row r="562" spans="1:16" hidden="1" x14ac:dyDescent="0.25">
      <c r="A562" s="19">
        <v>45870</v>
      </c>
      <c r="B562" s="14" t="s">
        <v>489</v>
      </c>
      <c r="C562" s="14" t="s">
        <v>517</v>
      </c>
      <c r="D562" s="14"/>
      <c r="E562" s="13" t="s">
        <v>0</v>
      </c>
      <c r="F562" s="13" t="s">
        <v>0</v>
      </c>
      <c r="G562" s="13" t="s">
        <v>0</v>
      </c>
      <c r="H562" s="13">
        <f t="shared" si="12"/>
        <v>0</v>
      </c>
      <c r="I562" s="13" t="s">
        <v>518</v>
      </c>
      <c r="J562" s="13"/>
      <c r="K562" s="13"/>
      <c r="L562" s="13" t="s">
        <v>519</v>
      </c>
      <c r="M562" s="13" t="s">
        <v>611</v>
      </c>
      <c r="N562" s="13">
        <v>450000</v>
      </c>
      <c r="O562" s="13"/>
      <c r="P562" s="21">
        <v>0</v>
      </c>
    </row>
    <row r="563" spans="1:16" hidden="1" x14ac:dyDescent="0.25">
      <c r="A563" s="19"/>
      <c r="B563" s="14"/>
      <c r="C563" s="14" t="s">
        <v>521</v>
      </c>
      <c r="D563" s="38">
        <v>256779410804</v>
      </c>
      <c r="E563" s="13" t="s">
        <v>0</v>
      </c>
      <c r="F563" s="13">
        <v>139364</v>
      </c>
      <c r="G563" s="13" t="s">
        <v>480</v>
      </c>
      <c r="H563" s="13">
        <f t="shared" si="12"/>
        <v>0</v>
      </c>
      <c r="I563" s="13"/>
      <c r="J563" s="13"/>
      <c r="K563" s="13"/>
      <c r="L563" s="13"/>
      <c r="M563" s="13"/>
      <c r="N563" s="13"/>
      <c r="O563" s="13"/>
      <c r="P563" s="21">
        <v>0</v>
      </c>
    </row>
    <row r="564" spans="1:16" hidden="1" x14ac:dyDescent="0.25">
      <c r="A564" s="19"/>
      <c r="B564" s="14"/>
      <c r="C564" s="14" t="s">
        <v>521</v>
      </c>
      <c r="D564" s="38">
        <v>256779410088</v>
      </c>
      <c r="E564" s="13" t="s">
        <v>0</v>
      </c>
      <c r="F564" s="13">
        <v>441</v>
      </c>
      <c r="G564" s="13" t="s">
        <v>480</v>
      </c>
      <c r="H564" s="13">
        <f t="shared" si="12"/>
        <v>0</v>
      </c>
      <c r="I564" s="13"/>
      <c r="J564" s="13"/>
      <c r="K564" s="13"/>
      <c r="L564" s="13"/>
      <c r="M564" s="13"/>
      <c r="N564" s="13"/>
      <c r="O564" s="13"/>
      <c r="P564" s="21">
        <v>0</v>
      </c>
    </row>
    <row r="565" spans="1:16" hidden="1" x14ac:dyDescent="0.25">
      <c r="A565" s="19"/>
      <c r="B565" s="14"/>
      <c r="C565" s="14" t="s">
        <v>521</v>
      </c>
      <c r="D565" s="38">
        <v>256779410089</v>
      </c>
      <c r="E565" s="13" t="s">
        <v>0</v>
      </c>
      <c r="F565" s="13">
        <v>2518</v>
      </c>
      <c r="G565" s="13" t="s">
        <v>480</v>
      </c>
      <c r="H565" s="13">
        <f t="shared" si="12"/>
        <v>0</v>
      </c>
      <c r="I565" s="13"/>
      <c r="J565" s="13"/>
      <c r="K565" s="13"/>
      <c r="L565" s="13"/>
      <c r="M565" s="13"/>
      <c r="N565" s="13"/>
      <c r="O565" s="13"/>
      <c r="P565" s="21">
        <v>0</v>
      </c>
    </row>
    <row r="566" spans="1:16" hidden="1" x14ac:dyDescent="0.25">
      <c r="A566" s="19"/>
      <c r="B566" s="14"/>
      <c r="C566" s="14" t="s">
        <v>521</v>
      </c>
      <c r="D566" s="38">
        <v>256779410139</v>
      </c>
      <c r="E566" s="13" t="s">
        <v>0</v>
      </c>
      <c r="F566" s="13">
        <v>294</v>
      </c>
      <c r="G566" s="13" t="s">
        <v>480</v>
      </c>
      <c r="H566" s="13">
        <f t="shared" si="12"/>
        <v>0</v>
      </c>
      <c r="I566" s="13"/>
      <c r="J566" s="13"/>
      <c r="K566" s="13"/>
      <c r="L566" s="13"/>
      <c r="M566" s="13"/>
      <c r="N566" s="13"/>
      <c r="O566" s="13"/>
      <c r="P566" s="21">
        <v>0</v>
      </c>
    </row>
    <row r="567" spans="1:16" hidden="1" x14ac:dyDescent="0.25">
      <c r="A567" s="19"/>
      <c r="B567" s="14"/>
      <c r="C567" s="14" t="s">
        <v>521</v>
      </c>
      <c r="D567" s="38">
        <v>256779410140</v>
      </c>
      <c r="E567" s="13" t="s">
        <v>0</v>
      </c>
      <c r="F567" s="13">
        <v>84</v>
      </c>
      <c r="G567" s="13" t="s">
        <v>480</v>
      </c>
      <c r="H567" s="13">
        <f t="shared" si="12"/>
        <v>0</v>
      </c>
      <c r="I567" s="13"/>
      <c r="J567" s="13"/>
      <c r="K567" s="13"/>
      <c r="L567" s="13"/>
      <c r="M567" s="13"/>
      <c r="N567" s="13"/>
      <c r="O567" s="13"/>
      <c r="P567" s="21">
        <v>0</v>
      </c>
    </row>
    <row r="568" spans="1:16" hidden="1" x14ac:dyDescent="0.25">
      <c r="A568" s="19"/>
      <c r="B568" s="14"/>
      <c r="C568" s="14" t="s">
        <v>521</v>
      </c>
      <c r="D568" s="38">
        <v>256779411167</v>
      </c>
      <c r="E568" s="13" t="s">
        <v>0</v>
      </c>
      <c r="F568" s="13">
        <v>5779</v>
      </c>
      <c r="G568" s="13" t="s">
        <v>480</v>
      </c>
      <c r="H568" s="13">
        <f t="shared" si="12"/>
        <v>0</v>
      </c>
      <c r="I568" s="13"/>
      <c r="J568" s="13"/>
      <c r="K568" s="13"/>
      <c r="L568" s="13"/>
      <c r="M568" s="13"/>
      <c r="N568" s="13"/>
      <c r="O568" s="13"/>
      <c r="P568" s="21">
        <v>0</v>
      </c>
    </row>
    <row r="569" spans="1:16" hidden="1" x14ac:dyDescent="0.25">
      <c r="A569" s="19"/>
      <c r="B569" s="14"/>
      <c r="C569" s="14" t="s">
        <v>521</v>
      </c>
      <c r="D569" s="38">
        <v>256779411168</v>
      </c>
      <c r="E569" s="13" t="s">
        <v>0</v>
      </c>
      <c r="F569" s="13">
        <v>5081</v>
      </c>
      <c r="G569" s="13" t="s">
        <v>480</v>
      </c>
      <c r="H569" s="13">
        <f t="shared" si="12"/>
        <v>0</v>
      </c>
      <c r="I569" s="13"/>
      <c r="J569" s="13"/>
      <c r="K569" s="13"/>
      <c r="L569" s="13"/>
      <c r="M569" s="13"/>
      <c r="N569" s="13"/>
      <c r="O569" s="13"/>
      <c r="P569" s="21">
        <v>0</v>
      </c>
    </row>
    <row r="570" spans="1:16" hidden="1" x14ac:dyDescent="0.25">
      <c r="A570" s="19"/>
      <c r="B570" s="14"/>
      <c r="C570" s="14" t="s">
        <v>521</v>
      </c>
      <c r="D570" s="38">
        <v>256779411169</v>
      </c>
      <c r="E570" s="13" t="s">
        <v>0</v>
      </c>
      <c r="F570" s="13">
        <v>4199</v>
      </c>
      <c r="G570" s="13" t="s">
        <v>480</v>
      </c>
      <c r="H570" s="13">
        <f t="shared" si="12"/>
        <v>0</v>
      </c>
      <c r="I570" s="13"/>
      <c r="J570" s="13"/>
      <c r="K570" s="13"/>
      <c r="L570" s="13"/>
      <c r="M570" s="13"/>
      <c r="N570" s="13"/>
      <c r="O570" s="13"/>
      <c r="P570" s="21">
        <v>0</v>
      </c>
    </row>
    <row r="571" spans="1:16" hidden="1" x14ac:dyDescent="0.25">
      <c r="A571" s="19"/>
      <c r="B571" s="14"/>
      <c r="C571" s="14" t="s">
        <v>521</v>
      </c>
      <c r="D571" s="38">
        <v>256779411170</v>
      </c>
      <c r="E571" s="13" t="s">
        <v>0</v>
      </c>
      <c r="F571" s="13">
        <v>10077</v>
      </c>
      <c r="G571" s="13" t="s">
        <v>480</v>
      </c>
      <c r="H571" s="13">
        <f t="shared" si="12"/>
        <v>0</v>
      </c>
      <c r="I571" s="13"/>
      <c r="J571" s="13"/>
      <c r="K571" s="13"/>
      <c r="L571" s="13"/>
      <c r="M571" s="13"/>
      <c r="N571" s="13"/>
      <c r="O571" s="13"/>
      <c r="P571" s="21">
        <v>0</v>
      </c>
    </row>
    <row r="572" spans="1:16" hidden="1" x14ac:dyDescent="0.25">
      <c r="A572" s="19"/>
      <c r="B572" s="14"/>
      <c r="C572" s="14" t="s">
        <v>521</v>
      </c>
      <c r="D572" s="38">
        <v>256779411724</v>
      </c>
      <c r="E572" s="13" t="s">
        <v>0</v>
      </c>
      <c r="F572" s="13">
        <v>52814</v>
      </c>
      <c r="G572" s="13" t="s">
        <v>480</v>
      </c>
      <c r="H572" s="13">
        <f t="shared" si="12"/>
        <v>0</v>
      </c>
      <c r="I572" s="13"/>
      <c r="J572" s="13"/>
      <c r="K572" s="13"/>
      <c r="L572" s="13"/>
      <c r="M572" s="13"/>
      <c r="N572" s="13"/>
      <c r="O572" s="13"/>
      <c r="P572" s="21">
        <v>0</v>
      </c>
    </row>
    <row r="573" spans="1:16" hidden="1" x14ac:dyDescent="0.25">
      <c r="A573" s="19"/>
      <c r="B573" s="14"/>
      <c r="C573" s="14" t="s">
        <v>521</v>
      </c>
      <c r="D573" s="38">
        <v>256779411813</v>
      </c>
      <c r="E573" s="13" t="s">
        <v>0</v>
      </c>
      <c r="F573" s="13">
        <v>147</v>
      </c>
      <c r="G573" s="13" t="s">
        <v>480</v>
      </c>
      <c r="H573" s="13">
        <f t="shared" si="12"/>
        <v>0</v>
      </c>
      <c r="I573" s="13"/>
      <c r="J573" s="13"/>
      <c r="K573" s="13"/>
      <c r="L573" s="13"/>
      <c r="M573" s="13"/>
      <c r="N573" s="13"/>
      <c r="O573" s="13"/>
      <c r="P573" s="21">
        <v>0</v>
      </c>
    </row>
    <row r="574" spans="1:16" hidden="1" x14ac:dyDescent="0.25">
      <c r="A574" s="19"/>
      <c r="B574" s="14"/>
      <c r="C574" s="14" t="s">
        <v>521</v>
      </c>
      <c r="D574" s="38">
        <v>256779411814</v>
      </c>
      <c r="E574" s="13" t="s">
        <v>0</v>
      </c>
      <c r="F574" s="13">
        <v>84</v>
      </c>
      <c r="G574" s="13" t="s">
        <v>480</v>
      </c>
      <c r="H574" s="13">
        <f t="shared" si="12"/>
        <v>0</v>
      </c>
      <c r="I574" s="13"/>
      <c r="J574" s="13"/>
      <c r="K574" s="13"/>
      <c r="L574" s="13"/>
      <c r="M574" s="13"/>
      <c r="N574" s="13"/>
      <c r="O574" s="13"/>
      <c r="P574" s="21">
        <v>0</v>
      </c>
    </row>
    <row r="575" spans="1:16" hidden="1" x14ac:dyDescent="0.25">
      <c r="A575" s="19"/>
      <c r="B575" s="14"/>
      <c r="C575" s="14" t="s">
        <v>521</v>
      </c>
      <c r="D575" s="38">
        <v>256779411815</v>
      </c>
      <c r="E575" s="13" t="s">
        <v>0</v>
      </c>
      <c r="F575" s="13">
        <v>1259</v>
      </c>
      <c r="G575" s="13" t="s">
        <v>480</v>
      </c>
      <c r="H575" s="13">
        <f t="shared" si="12"/>
        <v>0</v>
      </c>
      <c r="I575" s="13"/>
      <c r="J575" s="13"/>
      <c r="K575" s="13"/>
      <c r="L575" s="13"/>
      <c r="M575" s="13"/>
      <c r="N575" s="13"/>
      <c r="O575" s="13"/>
      <c r="P575" s="21">
        <v>0</v>
      </c>
    </row>
    <row r="576" spans="1:16" hidden="1" x14ac:dyDescent="0.25">
      <c r="A576" s="19"/>
      <c r="B576" s="14"/>
      <c r="C576" s="14" t="s">
        <v>521</v>
      </c>
      <c r="D576" s="38">
        <v>256779411894</v>
      </c>
      <c r="E576" s="13" t="s">
        <v>0</v>
      </c>
      <c r="F576" s="13">
        <v>594</v>
      </c>
      <c r="G576" s="13" t="s">
        <v>480</v>
      </c>
      <c r="H576" s="13">
        <f t="shared" si="12"/>
        <v>0</v>
      </c>
      <c r="I576" s="13"/>
      <c r="J576" s="13"/>
      <c r="K576" s="13"/>
      <c r="L576" s="13"/>
      <c r="M576" s="13"/>
      <c r="N576" s="13"/>
      <c r="O576" s="13"/>
      <c r="P576" s="21">
        <v>0</v>
      </c>
    </row>
    <row r="577" spans="1:16" hidden="1" x14ac:dyDescent="0.25">
      <c r="A577" s="19"/>
      <c r="B577" s="14"/>
      <c r="C577" s="14" t="s">
        <v>521</v>
      </c>
      <c r="D577" s="38">
        <v>256779411895</v>
      </c>
      <c r="E577" s="13" t="s">
        <v>0</v>
      </c>
      <c r="F577" s="13">
        <v>84</v>
      </c>
      <c r="G577" s="13" t="s">
        <v>480</v>
      </c>
      <c r="H577" s="13">
        <f t="shared" si="12"/>
        <v>0</v>
      </c>
      <c r="I577" s="13"/>
      <c r="J577" s="13"/>
      <c r="K577" s="13"/>
      <c r="L577" s="13"/>
      <c r="M577" s="13"/>
      <c r="N577" s="13"/>
      <c r="O577" s="13"/>
      <c r="P577" s="21">
        <v>0</v>
      </c>
    </row>
    <row r="578" spans="1:16" hidden="1" x14ac:dyDescent="0.25">
      <c r="A578" s="19"/>
      <c r="B578" s="14"/>
      <c r="C578" s="14" t="s">
        <v>521</v>
      </c>
      <c r="D578" s="38">
        <v>256779412024</v>
      </c>
      <c r="E578" s="13" t="s">
        <v>0</v>
      </c>
      <c r="F578" s="13">
        <v>41567</v>
      </c>
      <c r="G578" s="13" t="s">
        <v>480</v>
      </c>
      <c r="H578" s="13">
        <f t="shared" si="12"/>
        <v>0</v>
      </c>
      <c r="I578" s="13"/>
      <c r="J578" s="13"/>
      <c r="K578" s="13"/>
      <c r="L578" s="13"/>
      <c r="M578" s="13"/>
      <c r="N578" s="13"/>
      <c r="O578" s="13"/>
      <c r="P578" s="21">
        <v>0</v>
      </c>
    </row>
    <row r="579" spans="1:16" hidden="1" x14ac:dyDescent="0.25">
      <c r="A579" s="19"/>
      <c r="B579" s="14"/>
      <c r="C579" s="14" t="s">
        <v>521</v>
      </c>
      <c r="D579" s="38">
        <v>256779412105</v>
      </c>
      <c r="E579" s="13" t="s">
        <v>0</v>
      </c>
      <c r="F579" s="13">
        <v>1078</v>
      </c>
      <c r="G579" s="13" t="s">
        <v>480</v>
      </c>
      <c r="H579" s="13">
        <f t="shared" si="12"/>
        <v>0</v>
      </c>
      <c r="I579" s="13"/>
      <c r="J579" s="13"/>
      <c r="K579" s="13"/>
      <c r="L579" s="13"/>
      <c r="M579" s="13"/>
      <c r="N579" s="13"/>
      <c r="O579" s="13"/>
      <c r="P579" s="21">
        <v>0</v>
      </c>
    </row>
    <row r="580" spans="1:16" hidden="1" x14ac:dyDescent="0.25">
      <c r="A580" s="19"/>
      <c r="B580" s="14"/>
      <c r="C580" s="14" t="s">
        <v>521</v>
      </c>
      <c r="D580" s="38">
        <v>256779412111</v>
      </c>
      <c r="E580" s="13" t="s">
        <v>0</v>
      </c>
      <c r="F580" s="13">
        <v>83452</v>
      </c>
      <c r="G580" s="13" t="s">
        <v>480</v>
      </c>
      <c r="H580" s="13">
        <f t="shared" si="12"/>
        <v>0</v>
      </c>
      <c r="I580" s="13"/>
      <c r="J580" s="13"/>
      <c r="K580" s="13"/>
      <c r="L580" s="13"/>
      <c r="M580" s="13"/>
      <c r="N580" s="13"/>
      <c r="O580" s="13"/>
      <c r="P580" s="21">
        <v>0</v>
      </c>
    </row>
    <row r="581" spans="1:16" hidden="1" x14ac:dyDescent="0.25">
      <c r="A581" s="19"/>
      <c r="B581" s="14"/>
      <c r="C581" s="14" t="s">
        <v>521</v>
      </c>
      <c r="D581" s="38">
        <v>256779412160</v>
      </c>
      <c r="E581" s="13" t="s">
        <v>0</v>
      </c>
      <c r="F581" s="13">
        <v>14552</v>
      </c>
      <c r="G581" s="13" t="s">
        <v>480</v>
      </c>
      <c r="H581" s="13">
        <f t="shared" si="12"/>
        <v>0</v>
      </c>
      <c r="I581" s="13"/>
      <c r="J581" s="13"/>
      <c r="K581" s="13"/>
      <c r="L581" s="13"/>
      <c r="M581" s="13"/>
      <c r="N581" s="13"/>
      <c r="O581" s="13"/>
      <c r="P581" s="21">
        <v>0</v>
      </c>
    </row>
    <row r="582" spans="1:16" hidden="1" x14ac:dyDescent="0.25">
      <c r="A582" s="19"/>
      <c r="B582" s="14"/>
      <c r="C582" s="14" t="s">
        <v>521</v>
      </c>
      <c r="D582" s="38">
        <v>256779412567</v>
      </c>
      <c r="E582" s="13" t="s">
        <v>0</v>
      </c>
      <c r="F582" s="13">
        <v>1512</v>
      </c>
      <c r="G582" s="13" t="s">
        <v>480</v>
      </c>
      <c r="H582" s="13">
        <f t="shared" si="12"/>
        <v>0</v>
      </c>
      <c r="I582" s="13"/>
      <c r="J582" s="13"/>
      <c r="K582" s="13"/>
      <c r="L582" s="13"/>
      <c r="M582" s="13"/>
      <c r="N582" s="13"/>
      <c r="O582" s="13"/>
      <c r="P582" s="21">
        <v>0</v>
      </c>
    </row>
    <row r="583" spans="1:16" hidden="1" x14ac:dyDescent="0.25">
      <c r="A583" s="19"/>
      <c r="B583" s="14"/>
      <c r="C583" s="14" t="s">
        <v>521</v>
      </c>
      <c r="D583" s="38">
        <v>256779412618</v>
      </c>
      <c r="E583" s="13" t="s">
        <v>0</v>
      </c>
      <c r="F583" s="13">
        <v>3664</v>
      </c>
      <c r="G583" s="13" t="s">
        <v>480</v>
      </c>
      <c r="H583" s="13">
        <f t="shared" si="12"/>
        <v>0</v>
      </c>
      <c r="I583" s="13"/>
      <c r="J583" s="13"/>
      <c r="K583" s="13"/>
      <c r="L583" s="13"/>
      <c r="M583" s="13"/>
      <c r="N583" s="13"/>
      <c r="O583" s="13"/>
      <c r="P583" s="21">
        <v>0</v>
      </c>
    </row>
    <row r="584" spans="1:16" s="27" customFormat="1" hidden="1" x14ac:dyDescent="0.25">
      <c r="A584" s="23"/>
      <c r="B584" s="24"/>
      <c r="C584" s="24" t="s">
        <v>521</v>
      </c>
      <c r="D584" s="39">
        <v>256779412661</v>
      </c>
      <c r="E584" s="25" t="s">
        <v>0</v>
      </c>
      <c r="F584" s="25">
        <v>515</v>
      </c>
      <c r="G584" s="25" t="s">
        <v>480</v>
      </c>
      <c r="H584" s="25">
        <f t="shared" ref="H584:H647" si="13">P580</f>
        <v>0</v>
      </c>
      <c r="I584" s="25"/>
      <c r="J584" s="25"/>
      <c r="K584" s="25"/>
      <c r="L584" s="25"/>
      <c r="M584" s="25"/>
      <c r="N584" s="25"/>
      <c r="O584" s="25"/>
      <c r="P584" s="26">
        <v>0</v>
      </c>
    </row>
    <row r="585" spans="1:16" hidden="1" x14ac:dyDescent="0.25">
      <c r="A585" s="19"/>
      <c r="B585" s="14"/>
      <c r="C585" s="14" t="s">
        <v>521</v>
      </c>
      <c r="D585" s="38">
        <v>256779412779</v>
      </c>
      <c r="E585" s="13" t="s">
        <v>0</v>
      </c>
      <c r="F585" s="13">
        <v>80841</v>
      </c>
      <c r="G585" s="13" t="s">
        <v>480</v>
      </c>
      <c r="H585" s="13">
        <f t="shared" si="13"/>
        <v>0</v>
      </c>
      <c r="I585" s="13"/>
      <c r="J585" s="13"/>
      <c r="K585" s="13"/>
      <c r="L585" s="13"/>
      <c r="M585" s="13"/>
      <c r="N585" s="13"/>
      <c r="O585" s="13"/>
      <c r="P585" s="21">
        <v>0</v>
      </c>
    </row>
    <row r="586" spans="1:16" hidden="1" x14ac:dyDescent="0.25">
      <c r="A586" s="19">
        <v>45870</v>
      </c>
      <c r="B586" s="14" t="s">
        <v>480</v>
      </c>
      <c r="C586" s="14" t="s">
        <v>481</v>
      </c>
      <c r="D586" s="14"/>
      <c r="E586" s="13" t="s">
        <v>0</v>
      </c>
      <c r="F586" s="13" t="s">
        <v>0</v>
      </c>
      <c r="G586" s="13" t="s">
        <v>0</v>
      </c>
      <c r="H586" s="13">
        <f t="shared" si="13"/>
        <v>0</v>
      </c>
      <c r="I586" s="13" t="s">
        <v>548</v>
      </c>
      <c r="J586" s="13"/>
      <c r="K586" s="13">
        <v>5.92</v>
      </c>
      <c r="L586" s="13" t="s">
        <v>483</v>
      </c>
      <c r="M586" s="13" t="s">
        <v>612</v>
      </c>
      <c r="N586" s="13"/>
      <c r="O586" s="13">
        <v>515</v>
      </c>
      <c r="P586" s="21">
        <v>11</v>
      </c>
    </row>
    <row r="587" spans="1:16" hidden="1" x14ac:dyDescent="0.25">
      <c r="A587" s="19" t="s">
        <v>0</v>
      </c>
      <c r="B587" s="14"/>
      <c r="C587" s="14" t="s">
        <v>544</v>
      </c>
      <c r="D587" s="14"/>
      <c r="E587" s="13" t="s">
        <v>0</v>
      </c>
      <c r="F587" s="13" t="s">
        <v>0</v>
      </c>
      <c r="G587" s="13" t="s">
        <v>0</v>
      </c>
      <c r="H587" s="13">
        <f t="shared" si="13"/>
        <v>0</v>
      </c>
      <c r="I587" s="13" t="s">
        <v>0</v>
      </c>
      <c r="J587" s="13" t="s">
        <v>0</v>
      </c>
      <c r="K587" s="13">
        <v>525.88</v>
      </c>
      <c r="L587" s="13"/>
      <c r="M587" s="13"/>
      <c r="N587" s="13"/>
      <c r="O587" s="13"/>
      <c r="P587" s="21">
        <v>0</v>
      </c>
    </row>
    <row r="588" spans="1:16" hidden="1" x14ac:dyDescent="0.25">
      <c r="A588" s="19" t="s">
        <v>0</v>
      </c>
      <c r="B588" s="14"/>
      <c r="C588" s="14" t="s">
        <v>525</v>
      </c>
      <c r="D588" s="14"/>
      <c r="E588" s="13" t="s">
        <v>0</v>
      </c>
      <c r="F588" s="13" t="s">
        <v>0</v>
      </c>
      <c r="G588" s="13" t="s">
        <v>0</v>
      </c>
      <c r="H588" s="13">
        <f t="shared" si="13"/>
        <v>0</v>
      </c>
      <c r="I588" s="13" t="s">
        <v>0</v>
      </c>
      <c r="J588" s="13" t="s">
        <v>0</v>
      </c>
      <c r="K588" s="13"/>
      <c r="L588" s="13">
        <v>11</v>
      </c>
      <c r="M588" s="13"/>
      <c r="N588" s="13"/>
      <c r="O588" s="13"/>
      <c r="P588" s="21">
        <v>0</v>
      </c>
    </row>
    <row r="589" spans="1:16" hidden="1" x14ac:dyDescent="0.25">
      <c r="A589" s="19" t="s">
        <v>0</v>
      </c>
      <c r="B589" s="14"/>
      <c r="C589" s="14" t="s">
        <v>487</v>
      </c>
      <c r="D589" s="14"/>
      <c r="E589" s="13" t="s">
        <v>0</v>
      </c>
      <c r="F589" s="13" t="s">
        <v>0</v>
      </c>
      <c r="G589" s="13" t="s">
        <v>0</v>
      </c>
      <c r="H589" s="13">
        <f t="shared" si="13"/>
        <v>0</v>
      </c>
      <c r="I589" s="13" t="s">
        <v>0</v>
      </c>
      <c r="J589" s="13" t="s">
        <v>0</v>
      </c>
      <c r="K589" s="13">
        <v>0.12</v>
      </c>
      <c r="L589" s="13"/>
      <c r="M589" s="13"/>
      <c r="N589" s="13"/>
      <c r="O589" s="13"/>
      <c r="P589" s="21">
        <v>0</v>
      </c>
    </row>
    <row r="590" spans="1:16" x14ac:dyDescent="0.25">
      <c r="A590" s="19"/>
      <c r="B590" s="14"/>
      <c r="C590" s="14" t="s">
        <v>521</v>
      </c>
      <c r="D590" s="38">
        <v>256779412661</v>
      </c>
      <c r="E590" s="13" t="s">
        <v>0</v>
      </c>
      <c r="F590" s="13">
        <v>515</v>
      </c>
      <c r="G590" s="13" t="s">
        <v>489</v>
      </c>
      <c r="H590" s="13">
        <f t="shared" si="13"/>
        <v>11</v>
      </c>
      <c r="I590" s="13"/>
      <c r="J590" s="13"/>
      <c r="K590" s="13"/>
      <c r="L590" s="13"/>
      <c r="M590" s="13"/>
      <c r="N590" s="13"/>
      <c r="O590" s="13"/>
      <c r="P590" s="21">
        <v>0</v>
      </c>
    </row>
    <row r="591" spans="1:16" hidden="1" x14ac:dyDescent="0.25">
      <c r="A591" s="19">
        <v>45870</v>
      </c>
      <c r="B591" s="14" t="s">
        <v>480</v>
      </c>
      <c r="C591" s="14" t="s">
        <v>481</v>
      </c>
      <c r="D591" s="14"/>
      <c r="E591" s="13" t="s">
        <v>0</v>
      </c>
      <c r="F591" s="13" t="s">
        <v>0</v>
      </c>
      <c r="G591" s="13" t="s">
        <v>0</v>
      </c>
      <c r="H591" s="13">
        <f t="shared" si="13"/>
        <v>0</v>
      </c>
      <c r="I591" s="13" t="s">
        <v>548</v>
      </c>
      <c r="J591" s="13"/>
      <c r="K591" s="13">
        <v>185.42</v>
      </c>
      <c r="L591" s="13" t="s">
        <v>483</v>
      </c>
      <c r="M591" s="13" t="s">
        <v>613</v>
      </c>
      <c r="N591" s="13"/>
      <c r="O591" s="13">
        <v>16117</v>
      </c>
      <c r="P591" s="21">
        <v>329</v>
      </c>
    </row>
    <row r="592" spans="1:16" hidden="1" x14ac:dyDescent="0.25">
      <c r="A592" s="19" t="s">
        <v>0</v>
      </c>
      <c r="B592" s="14"/>
      <c r="C592" s="14" t="s">
        <v>533</v>
      </c>
      <c r="D592" s="14"/>
      <c r="E592" s="13" t="s">
        <v>0</v>
      </c>
      <c r="F592" s="13" t="s">
        <v>0</v>
      </c>
      <c r="G592" s="13" t="s">
        <v>0</v>
      </c>
      <c r="H592" s="13">
        <f t="shared" si="13"/>
        <v>0</v>
      </c>
      <c r="I592" s="13" t="s">
        <v>0</v>
      </c>
      <c r="J592" s="13" t="s">
        <v>0</v>
      </c>
      <c r="K592" s="13">
        <v>16445.599999999999</v>
      </c>
      <c r="L592" s="13"/>
      <c r="M592" s="13"/>
      <c r="N592" s="13"/>
      <c r="O592" s="13"/>
      <c r="P592" s="21">
        <v>0</v>
      </c>
    </row>
    <row r="593" spans="1:16" hidden="1" x14ac:dyDescent="0.25">
      <c r="A593" s="19" t="s">
        <v>0</v>
      </c>
      <c r="B593" s="14"/>
      <c r="C593" s="14" t="s">
        <v>525</v>
      </c>
      <c r="D593" s="14"/>
      <c r="E593" s="13" t="s">
        <v>0</v>
      </c>
      <c r="F593" s="13" t="s">
        <v>0</v>
      </c>
      <c r="G593" s="13" t="s">
        <v>0</v>
      </c>
      <c r="H593" s="13">
        <f t="shared" si="13"/>
        <v>0</v>
      </c>
      <c r="I593" s="13" t="s">
        <v>0</v>
      </c>
      <c r="J593" s="13" t="s">
        <v>0</v>
      </c>
      <c r="K593" s="13"/>
      <c r="L593" s="13">
        <v>329</v>
      </c>
      <c r="M593" s="13"/>
      <c r="N593" s="13"/>
      <c r="O593" s="13"/>
      <c r="P593" s="21">
        <v>0</v>
      </c>
    </row>
    <row r="594" spans="1:16" hidden="1" x14ac:dyDescent="0.25">
      <c r="A594" s="19" t="s">
        <v>0</v>
      </c>
      <c r="B594" s="14"/>
      <c r="C594" s="14" t="s">
        <v>487</v>
      </c>
      <c r="D594" s="14"/>
      <c r="E594" s="13" t="s">
        <v>0</v>
      </c>
      <c r="F594" s="13" t="s">
        <v>0</v>
      </c>
      <c r="G594" s="13" t="s">
        <v>0</v>
      </c>
      <c r="H594" s="13">
        <f t="shared" si="13"/>
        <v>0</v>
      </c>
      <c r="I594" s="13" t="s">
        <v>0</v>
      </c>
      <c r="J594" s="13" t="s">
        <v>0</v>
      </c>
      <c r="K594" s="13">
        <v>0.4</v>
      </c>
      <c r="L594" s="13"/>
      <c r="M594" s="13"/>
      <c r="N594" s="13"/>
      <c r="O594" s="13"/>
      <c r="P594" s="21">
        <v>0</v>
      </c>
    </row>
    <row r="595" spans="1:16" x14ac:dyDescent="0.25">
      <c r="A595" s="19"/>
      <c r="B595" s="14"/>
      <c r="C595" s="14" t="s">
        <v>488</v>
      </c>
      <c r="D595" s="38">
        <v>256779412892</v>
      </c>
      <c r="E595" s="13" t="s">
        <v>0</v>
      </c>
      <c r="F595" s="13">
        <v>16117</v>
      </c>
      <c r="G595" s="13" t="s">
        <v>489</v>
      </c>
      <c r="H595" s="13">
        <f t="shared" si="13"/>
        <v>329</v>
      </c>
      <c r="I595" s="13"/>
      <c r="J595" s="13"/>
      <c r="K595" s="13"/>
      <c r="L595" s="13"/>
      <c r="M595" s="13"/>
      <c r="N595" s="13"/>
      <c r="O595" s="13"/>
      <c r="P595" s="21">
        <v>0</v>
      </c>
    </row>
    <row r="596" spans="1:16" hidden="1" x14ac:dyDescent="0.25">
      <c r="A596" s="19">
        <v>45870</v>
      </c>
      <c r="B596" s="14" t="s">
        <v>480</v>
      </c>
      <c r="C596" s="14" t="s">
        <v>481</v>
      </c>
      <c r="D596" s="14"/>
      <c r="E596" s="13" t="s">
        <v>0</v>
      </c>
      <c r="F596" s="13" t="s">
        <v>0</v>
      </c>
      <c r="G596" s="13" t="s">
        <v>0</v>
      </c>
      <c r="H596" s="13">
        <f t="shared" si="13"/>
        <v>0</v>
      </c>
      <c r="I596" s="13" t="s">
        <v>614</v>
      </c>
      <c r="J596" s="13"/>
      <c r="K596" s="13">
        <v>388.85</v>
      </c>
      <c r="L596" s="13" t="s">
        <v>483</v>
      </c>
      <c r="M596" s="13" t="s">
        <v>615</v>
      </c>
      <c r="N596" s="13"/>
      <c r="O596" s="13">
        <v>33169</v>
      </c>
      <c r="P596" s="21">
        <v>677</v>
      </c>
    </row>
    <row r="597" spans="1:16" hidden="1" x14ac:dyDescent="0.25">
      <c r="A597" s="19" t="s">
        <v>0</v>
      </c>
      <c r="B597" s="14"/>
      <c r="C597" s="14" t="s">
        <v>524</v>
      </c>
      <c r="D597" s="14"/>
      <c r="E597" s="13" t="s">
        <v>0</v>
      </c>
      <c r="F597" s="13" t="s">
        <v>0</v>
      </c>
      <c r="G597" s="13" t="s">
        <v>0</v>
      </c>
      <c r="H597" s="13">
        <f t="shared" si="13"/>
        <v>0</v>
      </c>
      <c r="I597" s="13" t="s">
        <v>0</v>
      </c>
      <c r="J597" s="13" t="s">
        <v>0</v>
      </c>
      <c r="K597" s="13">
        <v>33846.19</v>
      </c>
      <c r="L597" s="13"/>
      <c r="M597" s="13"/>
      <c r="N597" s="13"/>
      <c r="O597" s="13"/>
      <c r="P597" s="21">
        <v>0</v>
      </c>
    </row>
    <row r="598" spans="1:16" hidden="1" x14ac:dyDescent="0.25">
      <c r="A598" s="19" t="s">
        <v>0</v>
      </c>
      <c r="B598" s="14"/>
      <c r="C598" s="14" t="s">
        <v>525</v>
      </c>
      <c r="D598" s="14"/>
      <c r="E598" s="13" t="s">
        <v>0</v>
      </c>
      <c r="F598" s="13" t="s">
        <v>0</v>
      </c>
      <c r="G598" s="13" t="s">
        <v>0</v>
      </c>
      <c r="H598" s="13">
        <f t="shared" si="13"/>
        <v>0</v>
      </c>
      <c r="I598" s="13" t="s">
        <v>0</v>
      </c>
      <c r="J598" s="13" t="s">
        <v>0</v>
      </c>
      <c r="K598" s="13"/>
      <c r="L598" s="13">
        <v>677</v>
      </c>
      <c r="M598" s="13"/>
      <c r="N598" s="13"/>
      <c r="O598" s="13"/>
      <c r="P598" s="21">
        <v>0</v>
      </c>
    </row>
    <row r="599" spans="1:16" hidden="1" x14ac:dyDescent="0.25">
      <c r="A599" s="19" t="s">
        <v>0</v>
      </c>
      <c r="B599" s="14"/>
      <c r="C599" s="14" t="s">
        <v>487</v>
      </c>
      <c r="D599" s="14"/>
      <c r="E599" s="13" t="s">
        <v>0</v>
      </c>
      <c r="F599" s="13" t="s">
        <v>0</v>
      </c>
      <c r="G599" s="13" t="s">
        <v>0</v>
      </c>
      <c r="H599" s="13">
        <f t="shared" si="13"/>
        <v>0</v>
      </c>
      <c r="I599" s="13" t="s">
        <v>0</v>
      </c>
      <c r="J599" s="13" t="s">
        <v>0</v>
      </c>
      <c r="K599" s="13"/>
      <c r="L599" s="13">
        <v>0.19</v>
      </c>
      <c r="M599" s="13"/>
      <c r="N599" s="13"/>
      <c r="O599" s="13"/>
      <c r="P599" s="21">
        <v>0</v>
      </c>
    </row>
    <row r="600" spans="1:16" x14ac:dyDescent="0.25">
      <c r="A600" s="19"/>
      <c r="B600" s="14"/>
      <c r="C600" s="14" t="s">
        <v>488</v>
      </c>
      <c r="D600" s="38">
        <v>256779413245</v>
      </c>
      <c r="E600" s="13" t="s">
        <v>0</v>
      </c>
      <c r="F600" s="13">
        <v>33169</v>
      </c>
      <c r="G600" s="13" t="s">
        <v>489</v>
      </c>
      <c r="H600" s="13">
        <f t="shared" si="13"/>
        <v>677</v>
      </c>
      <c r="I600" s="13"/>
      <c r="J600" s="13"/>
      <c r="K600" s="13"/>
      <c r="L600" s="13"/>
      <c r="M600" s="13"/>
      <c r="N600" s="13"/>
      <c r="O600" s="13"/>
      <c r="P600" s="21">
        <v>0</v>
      </c>
    </row>
    <row r="601" spans="1:16" s="27" customFormat="1" hidden="1" x14ac:dyDescent="0.25">
      <c r="A601" s="23">
        <v>45870</v>
      </c>
      <c r="B601" s="24" t="s">
        <v>480</v>
      </c>
      <c r="C601" s="24" t="s">
        <v>481</v>
      </c>
      <c r="D601" s="24"/>
      <c r="E601" s="25" t="s">
        <v>0</v>
      </c>
      <c r="F601" s="25" t="s">
        <v>0</v>
      </c>
      <c r="G601" s="25" t="s">
        <v>0</v>
      </c>
      <c r="H601" s="13">
        <f t="shared" si="13"/>
        <v>0</v>
      </c>
      <c r="I601" s="25" t="s">
        <v>614</v>
      </c>
      <c r="J601" s="25"/>
      <c r="K601" s="25">
        <v>535.08000000000004</v>
      </c>
      <c r="L601" s="25" t="s">
        <v>483</v>
      </c>
      <c r="M601" s="25" t="s">
        <v>616</v>
      </c>
      <c r="N601" s="25"/>
      <c r="O601" s="25">
        <v>46008</v>
      </c>
      <c r="P601" s="26">
        <v>939</v>
      </c>
    </row>
    <row r="602" spans="1:16" hidden="1" x14ac:dyDescent="0.25">
      <c r="A602" s="19" t="s">
        <v>0</v>
      </c>
      <c r="B602" s="14"/>
      <c r="C602" s="14" t="s">
        <v>599</v>
      </c>
      <c r="D602" s="14"/>
      <c r="E602" s="13" t="s">
        <v>0</v>
      </c>
      <c r="F602" s="13" t="s">
        <v>0</v>
      </c>
      <c r="G602" s="13" t="s">
        <v>0</v>
      </c>
      <c r="H602" s="13">
        <f t="shared" si="13"/>
        <v>0</v>
      </c>
      <c r="I602" s="13" t="s">
        <v>0</v>
      </c>
      <c r="J602" s="13" t="s">
        <v>0</v>
      </c>
      <c r="K602" s="13">
        <v>34393.480000000003</v>
      </c>
      <c r="L602" s="13"/>
      <c r="M602" s="13"/>
      <c r="N602" s="13"/>
      <c r="O602" s="13"/>
      <c r="P602" s="21">
        <v>0</v>
      </c>
    </row>
    <row r="603" spans="1:16" hidden="1" x14ac:dyDescent="0.25">
      <c r="A603" s="19" t="s">
        <v>0</v>
      </c>
      <c r="B603" s="14"/>
      <c r="C603" s="14" t="s">
        <v>600</v>
      </c>
      <c r="D603" s="14"/>
      <c r="E603" s="13" t="s">
        <v>0</v>
      </c>
      <c r="F603" s="13" t="s">
        <v>0</v>
      </c>
      <c r="G603" s="13" t="s">
        <v>0</v>
      </c>
      <c r="H603" s="13">
        <f t="shared" si="13"/>
        <v>0</v>
      </c>
      <c r="I603" s="13" t="s">
        <v>0</v>
      </c>
      <c r="J603" s="13" t="s">
        <v>0</v>
      </c>
      <c r="K603" s="13">
        <v>1719.67</v>
      </c>
      <c r="L603" s="13"/>
      <c r="M603" s="13"/>
      <c r="N603" s="13"/>
      <c r="O603" s="13"/>
      <c r="P603" s="21">
        <v>0</v>
      </c>
    </row>
    <row r="604" spans="1:16" hidden="1" x14ac:dyDescent="0.25">
      <c r="A604" s="19" t="s">
        <v>0</v>
      </c>
      <c r="B604" s="14"/>
      <c r="C604" s="14" t="s">
        <v>601</v>
      </c>
      <c r="D604" s="14"/>
      <c r="E604" s="13" t="s">
        <v>0</v>
      </c>
      <c r="F604" s="13" t="s">
        <v>0</v>
      </c>
      <c r="G604" s="13" t="s">
        <v>0</v>
      </c>
      <c r="H604" s="13">
        <f t="shared" si="13"/>
        <v>0</v>
      </c>
      <c r="I604" s="13" t="s">
        <v>0</v>
      </c>
      <c r="J604" s="13" t="s">
        <v>0</v>
      </c>
      <c r="K604" s="13"/>
      <c r="L604" s="13">
        <v>1719.67</v>
      </c>
      <c r="M604" s="13"/>
      <c r="N604" s="13"/>
      <c r="O604" s="13"/>
      <c r="P604" s="21">
        <v>0</v>
      </c>
    </row>
    <row r="605" spans="1:16" hidden="1" x14ac:dyDescent="0.25">
      <c r="A605" s="19" t="s">
        <v>0</v>
      </c>
      <c r="B605" s="14"/>
      <c r="C605" s="14" t="s">
        <v>533</v>
      </c>
      <c r="D605" s="14"/>
      <c r="E605" s="13" t="s">
        <v>0</v>
      </c>
      <c r="F605" s="13" t="s">
        <v>0</v>
      </c>
      <c r="G605" s="13" t="s">
        <v>0</v>
      </c>
      <c r="H605" s="13"/>
      <c r="I605" s="13" t="s">
        <v>0</v>
      </c>
      <c r="J605" s="13" t="s">
        <v>0</v>
      </c>
      <c r="K605" s="13">
        <v>12553.62</v>
      </c>
      <c r="L605" s="13"/>
      <c r="M605" s="13"/>
      <c r="N605" s="13"/>
      <c r="O605" s="13"/>
      <c r="P605" s="21">
        <v>0</v>
      </c>
    </row>
    <row r="606" spans="1:16" hidden="1" x14ac:dyDescent="0.25">
      <c r="A606" s="19" t="s">
        <v>0</v>
      </c>
      <c r="B606" s="14"/>
      <c r="C606" s="14" t="s">
        <v>525</v>
      </c>
      <c r="D606" s="14"/>
      <c r="E606" s="13" t="s">
        <v>0</v>
      </c>
      <c r="F606" s="13" t="s">
        <v>0</v>
      </c>
      <c r="G606" s="13" t="s">
        <v>0</v>
      </c>
      <c r="H606" s="13">
        <f t="shared" si="13"/>
        <v>0</v>
      </c>
      <c r="I606" s="13" t="s">
        <v>0</v>
      </c>
      <c r="J606" s="13" t="s">
        <v>0</v>
      </c>
      <c r="K606" s="13"/>
      <c r="L606" s="13">
        <v>939</v>
      </c>
      <c r="M606" s="13"/>
      <c r="N606" s="13"/>
      <c r="O606" s="13"/>
      <c r="P606" s="21">
        <v>0</v>
      </c>
    </row>
    <row r="607" spans="1:16" hidden="1" x14ac:dyDescent="0.25">
      <c r="A607" s="19" t="s">
        <v>0</v>
      </c>
      <c r="B607" s="14"/>
      <c r="C607" s="14" t="s">
        <v>487</v>
      </c>
      <c r="D607" s="14"/>
      <c r="E607" s="13" t="s">
        <v>0</v>
      </c>
      <c r="F607" s="13" t="s">
        <v>0</v>
      </c>
      <c r="G607" s="13" t="s">
        <v>0</v>
      </c>
      <c r="H607" s="13">
        <f t="shared" si="13"/>
        <v>0</v>
      </c>
      <c r="I607" s="13" t="s">
        <v>0</v>
      </c>
      <c r="J607" s="13" t="s">
        <v>0</v>
      </c>
      <c r="K607" s="13"/>
      <c r="L607" s="13">
        <v>0.1</v>
      </c>
      <c r="M607" s="13"/>
      <c r="N607" s="13"/>
      <c r="O607" s="13"/>
      <c r="P607" s="21">
        <v>0</v>
      </c>
    </row>
    <row r="608" spans="1:16" s="27" customFormat="1" x14ac:dyDescent="0.25">
      <c r="A608" s="23"/>
      <c r="B608" s="24"/>
      <c r="C608" s="24" t="s">
        <v>488</v>
      </c>
      <c r="D608" s="39">
        <v>256779413316</v>
      </c>
      <c r="E608" s="25" t="s">
        <v>0</v>
      </c>
      <c r="F608" s="25">
        <v>46008</v>
      </c>
      <c r="G608" s="25" t="s">
        <v>489</v>
      </c>
      <c r="H608" s="25">
        <v>939</v>
      </c>
      <c r="I608" s="25"/>
      <c r="J608" s="25"/>
      <c r="K608" s="25"/>
      <c r="L608" s="25"/>
      <c r="M608" s="25"/>
      <c r="N608" s="25"/>
      <c r="O608" s="25"/>
      <c r="P608" s="26">
        <v>0</v>
      </c>
    </row>
    <row r="609" spans="1:16" hidden="1" x14ac:dyDescent="0.25">
      <c r="A609" s="19">
        <v>45870</v>
      </c>
      <c r="B609" s="14" t="s">
        <v>480</v>
      </c>
      <c r="C609" s="14" t="s">
        <v>481</v>
      </c>
      <c r="D609" s="14"/>
      <c r="E609" s="13" t="s">
        <v>0</v>
      </c>
      <c r="F609" s="13" t="s">
        <v>0</v>
      </c>
      <c r="G609" s="13" t="s">
        <v>0</v>
      </c>
      <c r="H609" s="13">
        <f t="shared" si="13"/>
        <v>0</v>
      </c>
      <c r="I609" s="13" t="s">
        <v>614</v>
      </c>
      <c r="J609" s="13"/>
      <c r="K609" s="13">
        <v>86.97</v>
      </c>
      <c r="L609" s="13" t="s">
        <v>483</v>
      </c>
      <c r="M609" s="13" t="s">
        <v>617</v>
      </c>
      <c r="N609" s="13"/>
      <c r="O609" s="13">
        <v>7478</v>
      </c>
      <c r="P609" s="21">
        <v>153</v>
      </c>
    </row>
    <row r="610" spans="1:16" hidden="1" x14ac:dyDescent="0.25">
      <c r="A610" s="19" t="s">
        <v>0</v>
      </c>
      <c r="B610" s="14"/>
      <c r="C610" s="14" t="s">
        <v>544</v>
      </c>
      <c r="D610" s="14"/>
      <c r="E610" s="13" t="s">
        <v>0</v>
      </c>
      <c r="F610" s="13" t="s">
        <v>0</v>
      </c>
      <c r="G610" s="13" t="s">
        <v>0</v>
      </c>
      <c r="H610" s="13">
        <f t="shared" si="13"/>
        <v>0</v>
      </c>
      <c r="I610" s="13" t="s">
        <v>0</v>
      </c>
      <c r="J610" s="13" t="s">
        <v>0</v>
      </c>
      <c r="K610" s="13">
        <v>7631.05</v>
      </c>
      <c r="L610" s="13"/>
      <c r="M610" s="13"/>
      <c r="N610" s="13"/>
      <c r="O610" s="13"/>
      <c r="P610" s="21">
        <v>0</v>
      </c>
    </row>
    <row r="611" spans="1:16" hidden="1" x14ac:dyDescent="0.25">
      <c r="A611" s="19" t="s">
        <v>0</v>
      </c>
      <c r="B611" s="14"/>
      <c r="C611" s="14" t="s">
        <v>525</v>
      </c>
      <c r="D611" s="14"/>
      <c r="E611" s="13" t="s">
        <v>0</v>
      </c>
      <c r="F611" s="13" t="s">
        <v>0</v>
      </c>
      <c r="G611" s="13" t="s">
        <v>0</v>
      </c>
      <c r="H611" s="13">
        <f t="shared" si="13"/>
        <v>0</v>
      </c>
      <c r="I611" s="13" t="s">
        <v>0</v>
      </c>
      <c r="J611" s="13" t="s">
        <v>0</v>
      </c>
      <c r="K611" s="13"/>
      <c r="L611" s="13">
        <v>153</v>
      </c>
      <c r="M611" s="13"/>
      <c r="N611" s="13"/>
      <c r="O611" s="13"/>
      <c r="P611" s="21">
        <v>0</v>
      </c>
    </row>
    <row r="612" spans="1:16" hidden="1" x14ac:dyDescent="0.25">
      <c r="A612" s="19" t="s">
        <v>0</v>
      </c>
      <c r="B612" s="14"/>
      <c r="C612" s="14" t="s">
        <v>487</v>
      </c>
      <c r="D612" s="14"/>
      <c r="E612" s="13" t="s">
        <v>0</v>
      </c>
      <c r="F612" s="13" t="s">
        <v>0</v>
      </c>
      <c r="G612" s="13" t="s">
        <v>0</v>
      </c>
      <c r="H612" s="13">
        <f t="shared" si="13"/>
        <v>0</v>
      </c>
      <c r="I612" s="13" t="s">
        <v>0</v>
      </c>
      <c r="J612" s="13" t="s">
        <v>0</v>
      </c>
      <c r="K612" s="13"/>
      <c r="L612" s="13">
        <v>0.05</v>
      </c>
      <c r="M612" s="13"/>
      <c r="N612" s="13"/>
      <c r="O612" s="13"/>
      <c r="P612" s="21">
        <v>0</v>
      </c>
    </row>
    <row r="613" spans="1:16" x14ac:dyDescent="0.25">
      <c r="A613" s="19"/>
      <c r="B613" s="14"/>
      <c r="C613" s="14" t="s">
        <v>488</v>
      </c>
      <c r="D613" s="38">
        <v>256779413491</v>
      </c>
      <c r="E613" s="13" t="s">
        <v>0</v>
      </c>
      <c r="F613" s="13">
        <v>7478</v>
      </c>
      <c r="G613" s="13" t="s">
        <v>489</v>
      </c>
      <c r="H613" s="13">
        <f t="shared" si="13"/>
        <v>153</v>
      </c>
      <c r="I613" s="13"/>
      <c r="J613" s="13"/>
      <c r="K613" s="13"/>
      <c r="L613" s="13"/>
      <c r="M613" s="13"/>
      <c r="N613" s="13"/>
      <c r="O613" s="13"/>
      <c r="P613" s="21">
        <v>0</v>
      </c>
    </row>
    <row r="614" spans="1:16" hidden="1" x14ac:dyDescent="0.25">
      <c r="A614" s="19">
        <v>45870</v>
      </c>
      <c r="B614" s="14" t="s">
        <v>480</v>
      </c>
      <c r="C614" s="14" t="s">
        <v>481</v>
      </c>
      <c r="D614" s="14"/>
      <c r="E614" s="13" t="s">
        <v>0</v>
      </c>
      <c r="F614" s="13" t="s">
        <v>0</v>
      </c>
      <c r="G614" s="13" t="s">
        <v>0</v>
      </c>
      <c r="H614" s="13">
        <f t="shared" si="13"/>
        <v>0</v>
      </c>
      <c r="I614" s="13" t="s">
        <v>618</v>
      </c>
      <c r="J614" s="13"/>
      <c r="K614" s="13">
        <v>361.5</v>
      </c>
      <c r="L614" s="13" t="s">
        <v>483</v>
      </c>
      <c r="M614" s="13" t="s">
        <v>484</v>
      </c>
      <c r="N614" s="13"/>
      <c r="O614" s="13">
        <v>30905</v>
      </c>
      <c r="P614" s="21">
        <v>631</v>
      </c>
    </row>
    <row r="615" spans="1:16" hidden="1" x14ac:dyDescent="0.25">
      <c r="A615" s="19" t="s">
        <v>0</v>
      </c>
      <c r="B615" s="14"/>
      <c r="C615" s="14" t="s">
        <v>544</v>
      </c>
      <c r="D615" s="14"/>
      <c r="E615" s="13" t="s">
        <v>0</v>
      </c>
      <c r="F615" s="13" t="s">
        <v>0</v>
      </c>
      <c r="G615" s="13" t="s">
        <v>0</v>
      </c>
      <c r="H615" s="13">
        <f t="shared" si="13"/>
        <v>0</v>
      </c>
      <c r="I615" s="13" t="s">
        <v>0</v>
      </c>
      <c r="J615" s="13" t="s">
        <v>0</v>
      </c>
      <c r="K615" s="13">
        <v>31535.84</v>
      </c>
      <c r="L615" s="13"/>
      <c r="M615" s="13"/>
      <c r="N615" s="13"/>
      <c r="O615" s="13"/>
      <c r="P615" s="21">
        <v>0</v>
      </c>
    </row>
    <row r="616" spans="1:16" hidden="1" x14ac:dyDescent="0.25">
      <c r="A616" s="19" t="s">
        <v>0</v>
      </c>
      <c r="B616" s="14"/>
      <c r="C616" s="14" t="s">
        <v>525</v>
      </c>
      <c r="D616" s="14"/>
      <c r="E616" s="13" t="s">
        <v>0</v>
      </c>
      <c r="F616" s="13" t="s">
        <v>0</v>
      </c>
      <c r="G616" s="13" t="s">
        <v>0</v>
      </c>
      <c r="H616" s="13">
        <f t="shared" si="13"/>
        <v>0</v>
      </c>
      <c r="I616" s="13" t="s">
        <v>0</v>
      </c>
      <c r="J616" s="13" t="s">
        <v>0</v>
      </c>
      <c r="K616" s="13"/>
      <c r="L616" s="13">
        <v>631</v>
      </c>
      <c r="M616" s="13"/>
      <c r="N616" s="13"/>
      <c r="O616" s="13"/>
      <c r="P616" s="21">
        <v>0</v>
      </c>
    </row>
    <row r="617" spans="1:16" hidden="1" x14ac:dyDescent="0.25">
      <c r="A617" s="19" t="s">
        <v>0</v>
      </c>
      <c r="B617" s="14"/>
      <c r="C617" s="14" t="s">
        <v>487</v>
      </c>
      <c r="D617" s="14"/>
      <c r="E617" s="13" t="s">
        <v>0</v>
      </c>
      <c r="F617" s="13" t="s">
        <v>0</v>
      </c>
      <c r="G617" s="13" t="s">
        <v>0</v>
      </c>
      <c r="H617" s="13">
        <f t="shared" si="13"/>
        <v>0</v>
      </c>
      <c r="I617" s="13" t="s">
        <v>0</v>
      </c>
      <c r="J617" s="13" t="s">
        <v>0</v>
      </c>
      <c r="K617" s="13">
        <v>0.16</v>
      </c>
      <c r="L617" s="13"/>
      <c r="M617" s="13"/>
      <c r="N617" s="13"/>
      <c r="O617" s="13"/>
      <c r="P617" s="21">
        <v>0</v>
      </c>
    </row>
    <row r="618" spans="1:16" x14ac:dyDescent="0.25">
      <c r="A618" s="19"/>
      <c r="B618" s="14"/>
      <c r="C618" s="14" t="s">
        <v>488</v>
      </c>
      <c r="D618" s="38">
        <v>256779413922</v>
      </c>
      <c r="E618" s="13" t="s">
        <v>0</v>
      </c>
      <c r="F618" s="13">
        <v>30905</v>
      </c>
      <c r="G618" s="13" t="s">
        <v>489</v>
      </c>
      <c r="H618" s="13">
        <f t="shared" si="13"/>
        <v>631</v>
      </c>
      <c r="I618" s="13"/>
      <c r="J618" s="13"/>
      <c r="K618" s="13"/>
      <c r="L618" s="13"/>
      <c r="M618" s="13"/>
      <c r="N618" s="13"/>
      <c r="O618" s="13"/>
      <c r="P618" s="21">
        <v>0</v>
      </c>
    </row>
    <row r="619" spans="1:16" hidden="1" x14ac:dyDescent="0.25">
      <c r="A619" s="19">
        <v>45870</v>
      </c>
      <c r="B619" s="14" t="s">
        <v>480</v>
      </c>
      <c r="C619" s="14" t="s">
        <v>481</v>
      </c>
      <c r="D619" s="14"/>
      <c r="E619" s="13" t="s">
        <v>0</v>
      </c>
      <c r="F619" s="13" t="s">
        <v>0</v>
      </c>
      <c r="G619" s="13" t="s">
        <v>0</v>
      </c>
      <c r="H619" s="13">
        <f t="shared" si="13"/>
        <v>0</v>
      </c>
      <c r="I619" s="13" t="s">
        <v>618</v>
      </c>
      <c r="J619" s="13"/>
      <c r="K619" s="13">
        <v>186.41</v>
      </c>
      <c r="L619" s="13" t="s">
        <v>483</v>
      </c>
      <c r="M619" s="13" t="s">
        <v>619</v>
      </c>
      <c r="N619" s="13"/>
      <c r="O619" s="13">
        <v>15936</v>
      </c>
      <c r="P619" s="21">
        <v>325</v>
      </c>
    </row>
    <row r="620" spans="1:16" hidden="1" x14ac:dyDescent="0.25">
      <c r="A620" s="19" t="s">
        <v>0</v>
      </c>
      <c r="B620" s="14"/>
      <c r="C620" s="14" t="s">
        <v>544</v>
      </c>
      <c r="D620" s="14"/>
      <c r="E620" s="13" t="s">
        <v>0</v>
      </c>
      <c r="F620" s="13" t="s">
        <v>0</v>
      </c>
      <c r="G620" s="13" t="s">
        <v>0</v>
      </c>
      <c r="H620" s="13">
        <f t="shared" si="13"/>
        <v>0</v>
      </c>
      <c r="I620" s="13" t="s">
        <v>0</v>
      </c>
      <c r="J620" s="13" t="s">
        <v>0</v>
      </c>
      <c r="K620" s="13">
        <v>16261.2</v>
      </c>
      <c r="L620" s="13"/>
      <c r="M620" s="13"/>
      <c r="N620" s="13"/>
      <c r="O620" s="13"/>
      <c r="P620" s="21">
        <v>0</v>
      </c>
    </row>
    <row r="621" spans="1:16" hidden="1" x14ac:dyDescent="0.25">
      <c r="A621" s="19" t="s">
        <v>0</v>
      </c>
      <c r="B621" s="14"/>
      <c r="C621" s="14" t="s">
        <v>525</v>
      </c>
      <c r="D621" s="14"/>
      <c r="E621" s="13" t="s">
        <v>0</v>
      </c>
      <c r="F621" s="13" t="s">
        <v>0</v>
      </c>
      <c r="G621" s="13" t="s">
        <v>0</v>
      </c>
      <c r="H621" s="13">
        <f t="shared" si="13"/>
        <v>0</v>
      </c>
      <c r="I621" s="13" t="s">
        <v>0</v>
      </c>
      <c r="J621" s="13" t="s">
        <v>0</v>
      </c>
      <c r="K621" s="13"/>
      <c r="L621" s="13">
        <v>325</v>
      </c>
      <c r="M621" s="13"/>
      <c r="N621" s="13"/>
      <c r="O621" s="13"/>
      <c r="P621" s="21">
        <v>0</v>
      </c>
    </row>
    <row r="622" spans="1:16" hidden="1" x14ac:dyDescent="0.25">
      <c r="A622" s="19" t="s">
        <v>0</v>
      </c>
      <c r="B622" s="14"/>
      <c r="C622" s="14" t="s">
        <v>487</v>
      </c>
      <c r="D622" s="14"/>
      <c r="E622" s="13" t="s">
        <v>0</v>
      </c>
      <c r="F622" s="13" t="s">
        <v>0</v>
      </c>
      <c r="G622" s="13" t="s">
        <v>0</v>
      </c>
      <c r="H622" s="13">
        <f t="shared" si="13"/>
        <v>0</v>
      </c>
      <c r="I622" s="13" t="s">
        <v>0</v>
      </c>
      <c r="J622" s="13" t="s">
        <v>0</v>
      </c>
      <c r="K622" s="13"/>
      <c r="L622" s="13">
        <v>0.2</v>
      </c>
      <c r="M622" s="13"/>
      <c r="N622" s="13"/>
      <c r="O622" s="13"/>
      <c r="P622" s="21">
        <v>0</v>
      </c>
    </row>
    <row r="623" spans="1:16" x14ac:dyDescent="0.25">
      <c r="A623" s="19"/>
      <c r="B623" s="14"/>
      <c r="C623" s="14" t="s">
        <v>488</v>
      </c>
      <c r="D623" s="38">
        <v>256779413998</v>
      </c>
      <c r="E623" s="13" t="s">
        <v>0</v>
      </c>
      <c r="F623" s="13">
        <v>15936</v>
      </c>
      <c r="G623" s="13" t="s">
        <v>489</v>
      </c>
      <c r="H623" s="13">
        <f t="shared" si="13"/>
        <v>325</v>
      </c>
      <c r="I623" s="13"/>
      <c r="J623" s="13"/>
      <c r="K623" s="13"/>
      <c r="L623" s="13"/>
      <c r="M623" s="13"/>
      <c r="N623" s="13"/>
      <c r="O623" s="13"/>
      <c r="P623" s="21">
        <v>0</v>
      </c>
    </row>
    <row r="624" spans="1:16" hidden="1" x14ac:dyDescent="0.25">
      <c r="A624" s="19">
        <v>45870</v>
      </c>
      <c r="B624" s="14" t="s">
        <v>480</v>
      </c>
      <c r="C624" s="14" t="s">
        <v>481</v>
      </c>
      <c r="D624" s="14"/>
      <c r="E624" s="13" t="s">
        <v>0</v>
      </c>
      <c r="F624" s="13" t="s">
        <v>0</v>
      </c>
      <c r="G624" s="13" t="s">
        <v>0</v>
      </c>
      <c r="H624" s="13">
        <f t="shared" si="13"/>
        <v>0</v>
      </c>
      <c r="I624" s="13" t="s">
        <v>618</v>
      </c>
      <c r="J624" s="13"/>
      <c r="K624" s="13">
        <v>126.73</v>
      </c>
      <c r="L624" s="13" t="s">
        <v>483</v>
      </c>
      <c r="M624" s="13" t="s">
        <v>491</v>
      </c>
      <c r="N624" s="13"/>
      <c r="O624" s="13">
        <v>10834</v>
      </c>
      <c r="P624" s="21">
        <v>221</v>
      </c>
    </row>
    <row r="625" spans="1:16" hidden="1" x14ac:dyDescent="0.25">
      <c r="A625" s="19" t="s">
        <v>0</v>
      </c>
      <c r="B625" s="14"/>
      <c r="C625" s="14" t="s">
        <v>544</v>
      </c>
      <c r="D625" s="14"/>
      <c r="E625" s="13" t="s">
        <v>0</v>
      </c>
      <c r="F625" s="13" t="s">
        <v>0</v>
      </c>
      <c r="G625" s="13" t="s">
        <v>0</v>
      </c>
      <c r="H625" s="13">
        <f t="shared" si="13"/>
        <v>0</v>
      </c>
      <c r="I625" s="13" t="s">
        <v>0</v>
      </c>
      <c r="J625" s="13" t="s">
        <v>0</v>
      </c>
      <c r="K625" s="13">
        <v>11054.81</v>
      </c>
      <c r="L625" s="13"/>
      <c r="M625" s="13"/>
      <c r="N625" s="13"/>
      <c r="O625" s="13"/>
      <c r="P625" s="21">
        <v>0</v>
      </c>
    </row>
    <row r="626" spans="1:16" hidden="1" x14ac:dyDescent="0.25">
      <c r="A626" s="19" t="s">
        <v>0</v>
      </c>
      <c r="B626" s="14"/>
      <c r="C626" s="14" t="s">
        <v>525</v>
      </c>
      <c r="D626" s="14"/>
      <c r="E626" s="13" t="s">
        <v>0</v>
      </c>
      <c r="F626" s="13" t="s">
        <v>0</v>
      </c>
      <c r="G626" s="13" t="s">
        <v>0</v>
      </c>
      <c r="H626" s="13">
        <f t="shared" si="13"/>
        <v>0</v>
      </c>
      <c r="I626" s="13" t="s">
        <v>0</v>
      </c>
      <c r="J626" s="13" t="s">
        <v>0</v>
      </c>
      <c r="K626" s="13"/>
      <c r="L626" s="13">
        <v>221</v>
      </c>
      <c r="M626" s="13"/>
      <c r="N626" s="13"/>
      <c r="O626" s="13"/>
      <c r="P626" s="21">
        <v>0</v>
      </c>
    </row>
    <row r="627" spans="1:16" hidden="1" x14ac:dyDescent="0.25">
      <c r="A627" s="19" t="s">
        <v>0</v>
      </c>
      <c r="B627" s="14"/>
      <c r="C627" s="14" t="s">
        <v>487</v>
      </c>
      <c r="D627" s="14"/>
      <c r="E627" s="13" t="s">
        <v>0</v>
      </c>
      <c r="F627" s="13" t="s">
        <v>0</v>
      </c>
      <c r="G627" s="13" t="s">
        <v>0</v>
      </c>
      <c r="H627" s="13">
        <f t="shared" si="13"/>
        <v>0</v>
      </c>
      <c r="I627" s="13" t="s">
        <v>0</v>
      </c>
      <c r="J627" s="13" t="s">
        <v>0</v>
      </c>
      <c r="K627" s="13">
        <v>0.19</v>
      </c>
      <c r="L627" s="13"/>
      <c r="M627" s="13"/>
      <c r="N627" s="13"/>
      <c r="O627" s="13"/>
      <c r="P627" s="21">
        <v>0</v>
      </c>
    </row>
    <row r="628" spans="1:16" x14ac:dyDescent="0.25">
      <c r="A628" s="19"/>
      <c r="B628" s="14"/>
      <c r="C628" s="14" t="s">
        <v>488</v>
      </c>
      <c r="D628" s="38">
        <v>256779414176</v>
      </c>
      <c r="E628" s="13" t="s">
        <v>0</v>
      </c>
      <c r="F628" s="13">
        <v>10834</v>
      </c>
      <c r="G628" s="13" t="s">
        <v>489</v>
      </c>
      <c r="H628" s="13">
        <f t="shared" si="13"/>
        <v>221</v>
      </c>
      <c r="I628" s="13"/>
      <c r="J628" s="13"/>
      <c r="K628" s="13"/>
      <c r="L628" s="13"/>
      <c r="M628" s="13"/>
      <c r="N628" s="13"/>
      <c r="O628" s="13"/>
      <c r="P628" s="21">
        <v>0</v>
      </c>
    </row>
    <row r="629" spans="1:16" hidden="1" x14ac:dyDescent="0.25">
      <c r="A629" s="19">
        <v>45870</v>
      </c>
      <c r="B629" s="14" t="s">
        <v>480</v>
      </c>
      <c r="C629" s="14" t="s">
        <v>481</v>
      </c>
      <c r="D629" s="14"/>
      <c r="E629" s="13" t="s">
        <v>0</v>
      </c>
      <c r="F629" s="13" t="s">
        <v>0</v>
      </c>
      <c r="G629" s="13" t="s">
        <v>0</v>
      </c>
      <c r="H629" s="13">
        <f t="shared" si="13"/>
        <v>0</v>
      </c>
      <c r="I629" s="13" t="s">
        <v>618</v>
      </c>
      <c r="J629" s="13"/>
      <c r="K629" s="13">
        <v>45.29</v>
      </c>
      <c r="L629" s="13" t="s">
        <v>483</v>
      </c>
      <c r="M629" s="13" t="s">
        <v>493</v>
      </c>
      <c r="N629" s="13"/>
      <c r="O629" s="13">
        <v>3872</v>
      </c>
      <c r="P629" s="21">
        <v>79</v>
      </c>
    </row>
    <row r="630" spans="1:16" hidden="1" x14ac:dyDescent="0.25">
      <c r="A630" s="19" t="s">
        <v>0</v>
      </c>
      <c r="B630" s="14"/>
      <c r="C630" s="14" t="s">
        <v>544</v>
      </c>
      <c r="D630" s="14"/>
      <c r="E630" s="13" t="s">
        <v>0</v>
      </c>
      <c r="F630" s="13" t="s">
        <v>0</v>
      </c>
      <c r="G630" s="13" t="s">
        <v>0</v>
      </c>
      <c r="H630" s="13">
        <f t="shared" si="13"/>
        <v>0</v>
      </c>
      <c r="I630" s="13" t="s">
        <v>0</v>
      </c>
      <c r="J630" s="13" t="s">
        <v>0</v>
      </c>
      <c r="K630" s="13">
        <v>3951.38</v>
      </c>
      <c r="L630" s="13"/>
      <c r="M630" s="13"/>
      <c r="N630" s="13"/>
      <c r="O630" s="13"/>
      <c r="P630" s="21">
        <v>0</v>
      </c>
    </row>
    <row r="631" spans="1:16" hidden="1" x14ac:dyDescent="0.25">
      <c r="A631" s="19" t="s">
        <v>0</v>
      </c>
      <c r="B631" s="14"/>
      <c r="C631" s="14" t="s">
        <v>525</v>
      </c>
      <c r="D631" s="14"/>
      <c r="E631" s="13" t="s">
        <v>0</v>
      </c>
      <c r="F631" s="13" t="s">
        <v>0</v>
      </c>
      <c r="G631" s="13" t="s">
        <v>0</v>
      </c>
      <c r="H631" s="13">
        <f t="shared" si="13"/>
        <v>0</v>
      </c>
      <c r="I631" s="13" t="s">
        <v>0</v>
      </c>
      <c r="J631" s="13" t="s">
        <v>0</v>
      </c>
      <c r="K631" s="13"/>
      <c r="L631" s="13">
        <v>79</v>
      </c>
      <c r="M631" s="13"/>
      <c r="N631" s="13"/>
      <c r="O631" s="13"/>
      <c r="P631" s="21">
        <v>0</v>
      </c>
    </row>
    <row r="632" spans="1:16" hidden="1" x14ac:dyDescent="0.25">
      <c r="A632" s="19" t="s">
        <v>0</v>
      </c>
      <c r="B632" s="14"/>
      <c r="C632" s="14" t="s">
        <v>487</v>
      </c>
      <c r="D632" s="14"/>
      <c r="E632" s="13" t="s">
        <v>0</v>
      </c>
      <c r="F632" s="13" t="s">
        <v>0</v>
      </c>
      <c r="G632" s="13" t="s">
        <v>0</v>
      </c>
      <c r="H632" s="13">
        <f t="shared" si="13"/>
        <v>0</v>
      </c>
      <c r="I632" s="13" t="s">
        <v>0</v>
      </c>
      <c r="J632" s="13" t="s">
        <v>0</v>
      </c>
      <c r="K632" s="13"/>
      <c r="L632" s="13">
        <v>0.38</v>
      </c>
      <c r="M632" s="13"/>
      <c r="N632" s="13"/>
      <c r="O632" s="13"/>
      <c r="P632" s="21">
        <v>0</v>
      </c>
    </row>
    <row r="633" spans="1:16" x14ac:dyDescent="0.25">
      <c r="A633" s="19"/>
      <c r="B633" s="14"/>
      <c r="C633" s="14" t="s">
        <v>488</v>
      </c>
      <c r="D633" s="38">
        <v>256779414221</v>
      </c>
      <c r="E633" s="13" t="s">
        <v>0</v>
      </c>
      <c r="F633" s="13">
        <v>3872</v>
      </c>
      <c r="G633" s="13" t="s">
        <v>489</v>
      </c>
      <c r="H633" s="13">
        <f t="shared" si="13"/>
        <v>79</v>
      </c>
      <c r="I633" s="13"/>
      <c r="J633" s="13"/>
      <c r="K633" s="13"/>
      <c r="L633" s="13"/>
      <c r="M633" s="13"/>
      <c r="N633" s="13"/>
      <c r="O633" s="13"/>
      <c r="P633" s="21">
        <v>0</v>
      </c>
    </row>
    <row r="634" spans="1:16" hidden="1" x14ac:dyDescent="0.25">
      <c r="A634" s="19">
        <v>45870</v>
      </c>
      <c r="B634" s="14" t="s">
        <v>480</v>
      </c>
      <c r="C634" s="14" t="s">
        <v>481</v>
      </c>
      <c r="D634" s="14"/>
      <c r="E634" s="13" t="s">
        <v>0</v>
      </c>
      <c r="F634" s="13" t="s">
        <v>0</v>
      </c>
      <c r="G634" s="13" t="s">
        <v>0</v>
      </c>
      <c r="H634" s="13">
        <f t="shared" si="13"/>
        <v>0</v>
      </c>
      <c r="I634" s="13" t="s">
        <v>618</v>
      </c>
      <c r="J634" s="13"/>
      <c r="K634" s="13">
        <v>6.88</v>
      </c>
      <c r="L634" s="13" t="s">
        <v>483</v>
      </c>
      <c r="M634" s="13" t="s">
        <v>495</v>
      </c>
      <c r="N634" s="13"/>
      <c r="O634" s="13">
        <v>588</v>
      </c>
      <c r="P634" s="21">
        <v>12</v>
      </c>
    </row>
    <row r="635" spans="1:16" hidden="1" x14ac:dyDescent="0.25">
      <c r="A635" s="19" t="s">
        <v>0</v>
      </c>
      <c r="B635" s="14"/>
      <c r="C635" s="14" t="s">
        <v>533</v>
      </c>
      <c r="D635" s="14"/>
      <c r="E635" s="13" t="s">
        <v>0</v>
      </c>
      <c r="F635" s="13" t="s">
        <v>0</v>
      </c>
      <c r="G635" s="13" t="s">
        <v>0</v>
      </c>
      <c r="H635" s="13">
        <f t="shared" si="13"/>
        <v>0</v>
      </c>
      <c r="I635" s="13" t="s">
        <v>0</v>
      </c>
      <c r="J635" s="13" t="s">
        <v>0</v>
      </c>
      <c r="K635" s="13">
        <v>600.15</v>
      </c>
      <c r="L635" s="13"/>
      <c r="M635" s="13"/>
      <c r="N635" s="13"/>
      <c r="O635" s="13"/>
      <c r="P635" s="21">
        <v>0</v>
      </c>
    </row>
    <row r="636" spans="1:16" hidden="1" x14ac:dyDescent="0.25">
      <c r="A636" s="19" t="s">
        <v>0</v>
      </c>
      <c r="B636" s="14"/>
      <c r="C636" s="14" t="s">
        <v>525</v>
      </c>
      <c r="D636" s="14"/>
      <c r="E636" s="13" t="s">
        <v>0</v>
      </c>
      <c r="F636" s="13" t="s">
        <v>0</v>
      </c>
      <c r="G636" s="13" t="s">
        <v>0</v>
      </c>
      <c r="H636" s="13">
        <f t="shared" si="13"/>
        <v>0</v>
      </c>
      <c r="I636" s="13" t="s">
        <v>0</v>
      </c>
      <c r="J636" s="13" t="s">
        <v>0</v>
      </c>
      <c r="K636" s="13"/>
      <c r="L636" s="13">
        <v>12</v>
      </c>
      <c r="M636" s="13"/>
      <c r="N636" s="13"/>
      <c r="O636" s="13"/>
      <c r="P636" s="21">
        <v>0</v>
      </c>
    </row>
    <row r="637" spans="1:16" hidden="1" x14ac:dyDescent="0.25">
      <c r="A637" s="19" t="s">
        <v>0</v>
      </c>
      <c r="B637" s="14"/>
      <c r="C637" s="14" t="s">
        <v>487</v>
      </c>
      <c r="D637" s="14"/>
      <c r="E637" s="13" t="s">
        <v>0</v>
      </c>
      <c r="F637" s="13" t="s">
        <v>0</v>
      </c>
      <c r="G637" s="13" t="s">
        <v>0</v>
      </c>
      <c r="H637" s="13">
        <f t="shared" si="13"/>
        <v>0</v>
      </c>
      <c r="I637" s="13" t="s">
        <v>0</v>
      </c>
      <c r="J637" s="13" t="s">
        <v>0</v>
      </c>
      <c r="K637" s="13"/>
      <c r="L637" s="13">
        <v>0.15</v>
      </c>
      <c r="M637" s="13"/>
      <c r="N637" s="13"/>
      <c r="O637" s="13"/>
      <c r="P637" s="21">
        <v>0</v>
      </c>
    </row>
    <row r="638" spans="1:16" x14ac:dyDescent="0.25">
      <c r="A638" s="19"/>
      <c r="B638" s="14"/>
      <c r="C638" s="14" t="s">
        <v>488</v>
      </c>
      <c r="D638" s="38">
        <v>256779414264</v>
      </c>
      <c r="E638" s="13" t="s">
        <v>0</v>
      </c>
      <c r="F638" s="13">
        <v>588</v>
      </c>
      <c r="G638" s="13" t="s">
        <v>489</v>
      </c>
      <c r="H638" s="13">
        <f t="shared" si="13"/>
        <v>12</v>
      </c>
      <c r="I638" s="13"/>
      <c r="J638" s="13"/>
      <c r="K638" s="13"/>
      <c r="L638" s="13"/>
      <c r="M638" s="13"/>
      <c r="N638" s="13"/>
      <c r="O638" s="13"/>
      <c r="P638" s="21">
        <v>0</v>
      </c>
    </row>
    <row r="639" spans="1:16" s="27" customFormat="1" hidden="1" x14ac:dyDescent="0.25">
      <c r="A639" s="23">
        <v>45870</v>
      </c>
      <c r="B639" s="24" t="s">
        <v>480</v>
      </c>
      <c r="C639" s="24" t="s">
        <v>481</v>
      </c>
      <c r="D639" s="24"/>
      <c r="E639" s="25" t="s">
        <v>0</v>
      </c>
      <c r="F639" s="25" t="s">
        <v>0</v>
      </c>
      <c r="G639" s="25" t="s">
        <v>0</v>
      </c>
      <c r="H639" s="13">
        <f t="shared" si="13"/>
        <v>0</v>
      </c>
      <c r="I639" s="25" t="s">
        <v>618</v>
      </c>
      <c r="J639" s="25"/>
      <c r="K639" s="25">
        <v>599.14</v>
      </c>
      <c r="L639" s="25" t="s">
        <v>483</v>
      </c>
      <c r="M639" s="25" t="s">
        <v>620</v>
      </c>
      <c r="N639" s="25"/>
      <c r="O639" s="25">
        <v>51221</v>
      </c>
      <c r="P639" s="26">
        <v>1045</v>
      </c>
    </row>
    <row r="640" spans="1:16" hidden="1" x14ac:dyDescent="0.25">
      <c r="A640" s="19" t="s">
        <v>0</v>
      </c>
      <c r="B640" s="14"/>
      <c r="C640" s="14" t="s">
        <v>599</v>
      </c>
      <c r="D640" s="14"/>
      <c r="E640" s="13" t="s">
        <v>0</v>
      </c>
      <c r="F640" s="13" t="s">
        <v>0</v>
      </c>
      <c r="G640" s="13" t="s">
        <v>0</v>
      </c>
      <c r="H640" s="13">
        <f t="shared" si="13"/>
        <v>0</v>
      </c>
      <c r="I640" s="13" t="s">
        <v>0</v>
      </c>
      <c r="J640" s="13" t="s">
        <v>0</v>
      </c>
      <c r="K640" s="13">
        <v>34196.31</v>
      </c>
      <c r="L640" s="13"/>
      <c r="M640" s="13"/>
      <c r="N640" s="13"/>
      <c r="O640" s="13"/>
      <c r="P640" s="21">
        <v>0</v>
      </c>
    </row>
    <row r="641" spans="1:16" hidden="1" x14ac:dyDescent="0.25">
      <c r="A641" s="19" t="s">
        <v>0</v>
      </c>
      <c r="B641" s="14"/>
      <c r="C641" s="14" t="s">
        <v>533</v>
      </c>
      <c r="D641" s="14"/>
      <c r="E641" s="13" t="s">
        <v>0</v>
      </c>
      <c r="F641" s="13" t="s">
        <v>0</v>
      </c>
      <c r="G641" s="13" t="s">
        <v>0</v>
      </c>
      <c r="H641" s="13">
        <f t="shared" si="13"/>
        <v>0</v>
      </c>
      <c r="I641" s="13" t="s">
        <v>0</v>
      </c>
      <c r="J641" s="13" t="s">
        <v>0</v>
      </c>
      <c r="K641" s="13">
        <v>18069.330000000002</v>
      </c>
      <c r="L641" s="13"/>
      <c r="M641" s="13"/>
      <c r="N641" s="13"/>
      <c r="O641" s="13"/>
      <c r="P641" s="21">
        <v>0</v>
      </c>
    </row>
    <row r="642" spans="1:16" hidden="1" x14ac:dyDescent="0.25">
      <c r="A642" s="19" t="s">
        <v>0</v>
      </c>
      <c r="B642" s="14"/>
      <c r="C642" s="14" t="s">
        <v>600</v>
      </c>
      <c r="D642" s="14"/>
      <c r="E642" s="13" t="s">
        <v>0</v>
      </c>
      <c r="F642" s="13" t="s">
        <v>0</v>
      </c>
      <c r="G642" s="13" t="s">
        <v>0</v>
      </c>
      <c r="H642" s="13">
        <f t="shared" si="13"/>
        <v>0</v>
      </c>
      <c r="I642" s="13" t="s">
        <v>0</v>
      </c>
      <c r="J642" s="13" t="s">
        <v>0</v>
      </c>
      <c r="K642" s="13">
        <v>1709.82</v>
      </c>
      <c r="L642" s="13"/>
      <c r="M642" s="13"/>
      <c r="N642" s="13"/>
      <c r="O642" s="13"/>
      <c r="P642" s="21">
        <v>0</v>
      </c>
    </row>
    <row r="643" spans="1:16" hidden="1" x14ac:dyDescent="0.25">
      <c r="A643" s="19" t="s">
        <v>0</v>
      </c>
      <c r="B643" s="14"/>
      <c r="C643" s="14" t="s">
        <v>601</v>
      </c>
      <c r="D643" s="14"/>
      <c r="E643" s="13" t="s">
        <v>0</v>
      </c>
      <c r="F643" s="13" t="s">
        <v>0</v>
      </c>
      <c r="G643" s="13" t="s">
        <v>0</v>
      </c>
      <c r="H643" s="13"/>
      <c r="I643" s="13" t="s">
        <v>0</v>
      </c>
      <c r="J643" s="13" t="s">
        <v>0</v>
      </c>
      <c r="K643" s="13"/>
      <c r="L643" s="13">
        <v>1709.82</v>
      </c>
      <c r="M643" s="13"/>
      <c r="N643" s="13"/>
      <c r="O643" s="13"/>
      <c r="P643" s="21">
        <v>0</v>
      </c>
    </row>
    <row r="644" spans="1:16" hidden="1" x14ac:dyDescent="0.25">
      <c r="A644" s="19" t="s">
        <v>0</v>
      </c>
      <c r="B644" s="14"/>
      <c r="C644" s="14" t="s">
        <v>525</v>
      </c>
      <c r="D644" s="14"/>
      <c r="E644" s="13" t="s">
        <v>0</v>
      </c>
      <c r="F644" s="13" t="s">
        <v>0</v>
      </c>
      <c r="G644" s="13" t="s">
        <v>0</v>
      </c>
      <c r="H644" s="13">
        <f t="shared" si="13"/>
        <v>0</v>
      </c>
      <c r="I644" s="13" t="s">
        <v>0</v>
      </c>
      <c r="J644" s="13" t="s">
        <v>0</v>
      </c>
      <c r="K644" s="13"/>
      <c r="L644" s="13">
        <v>1045</v>
      </c>
      <c r="M644" s="13"/>
      <c r="N644" s="13"/>
      <c r="O644" s="13"/>
      <c r="P644" s="21">
        <v>0</v>
      </c>
    </row>
    <row r="645" spans="1:16" hidden="1" x14ac:dyDescent="0.25">
      <c r="A645" s="19" t="s">
        <v>0</v>
      </c>
      <c r="B645" s="14"/>
      <c r="C645" s="14" t="s">
        <v>487</v>
      </c>
      <c r="D645" s="14"/>
      <c r="E645" s="13" t="s">
        <v>0</v>
      </c>
      <c r="F645" s="13" t="s">
        <v>0</v>
      </c>
      <c r="G645" s="13" t="s">
        <v>0</v>
      </c>
      <c r="H645" s="13">
        <f t="shared" si="13"/>
        <v>0</v>
      </c>
      <c r="I645" s="13" t="s">
        <v>0</v>
      </c>
      <c r="J645" s="13" t="s">
        <v>0</v>
      </c>
      <c r="K645" s="13">
        <v>0.36</v>
      </c>
      <c r="L645" s="13"/>
      <c r="M645" s="13"/>
      <c r="N645" s="13"/>
      <c r="O645" s="13"/>
      <c r="P645" s="21">
        <v>0</v>
      </c>
    </row>
    <row r="646" spans="1:16" s="27" customFormat="1" x14ac:dyDescent="0.25">
      <c r="A646" s="23"/>
      <c r="B646" s="24"/>
      <c r="C646" s="24" t="s">
        <v>488</v>
      </c>
      <c r="D646" s="39">
        <v>256779414320</v>
      </c>
      <c r="E646" s="25" t="s">
        <v>0</v>
      </c>
      <c r="F646" s="25">
        <v>51221</v>
      </c>
      <c r="G646" s="25" t="s">
        <v>489</v>
      </c>
      <c r="H646" s="25">
        <v>1045</v>
      </c>
      <c r="I646" s="25"/>
      <c r="J646" s="25"/>
      <c r="K646" s="25"/>
      <c r="L646" s="25"/>
      <c r="M646" s="25"/>
      <c r="N646" s="25"/>
      <c r="O646" s="25"/>
      <c r="P646" s="26">
        <v>0</v>
      </c>
    </row>
    <row r="647" spans="1:16" hidden="1" x14ac:dyDescent="0.25">
      <c r="A647" s="19">
        <v>45870</v>
      </c>
      <c r="B647" s="14" t="s">
        <v>480</v>
      </c>
      <c r="C647" s="14" t="s">
        <v>481</v>
      </c>
      <c r="D647" s="14"/>
      <c r="E647" s="13" t="s">
        <v>0</v>
      </c>
      <c r="F647" s="13" t="s">
        <v>0</v>
      </c>
      <c r="G647" s="13" t="s">
        <v>0</v>
      </c>
      <c r="H647" s="13">
        <f t="shared" si="13"/>
        <v>0</v>
      </c>
      <c r="I647" s="13" t="s">
        <v>618</v>
      </c>
      <c r="J647" s="13"/>
      <c r="K647" s="13">
        <v>107.8</v>
      </c>
      <c r="L647" s="13" t="s">
        <v>483</v>
      </c>
      <c r="M647" s="13" t="s">
        <v>497</v>
      </c>
      <c r="N647" s="13"/>
      <c r="O647" s="13">
        <v>9282</v>
      </c>
      <c r="P647" s="21">
        <v>189</v>
      </c>
    </row>
    <row r="648" spans="1:16" hidden="1" x14ac:dyDescent="0.25">
      <c r="A648" s="19" t="s">
        <v>0</v>
      </c>
      <c r="B648" s="14"/>
      <c r="C648" s="14" t="s">
        <v>533</v>
      </c>
      <c r="D648" s="14"/>
      <c r="E648" s="13" t="s">
        <v>0</v>
      </c>
      <c r="F648" s="13" t="s">
        <v>0</v>
      </c>
      <c r="G648" s="13" t="s">
        <v>0</v>
      </c>
      <c r="H648" s="13">
        <f t="shared" ref="H648:H711" si="14">P644</f>
        <v>0</v>
      </c>
      <c r="I648" s="13" t="s">
        <v>0</v>
      </c>
      <c r="J648" s="13" t="s">
        <v>0</v>
      </c>
      <c r="K648" s="13">
        <v>9471</v>
      </c>
      <c r="L648" s="13"/>
      <c r="M648" s="13"/>
      <c r="N648" s="13"/>
      <c r="O648" s="13"/>
      <c r="P648" s="21">
        <v>0</v>
      </c>
    </row>
    <row r="649" spans="1:16" hidden="1" x14ac:dyDescent="0.25">
      <c r="A649" s="19" t="s">
        <v>0</v>
      </c>
      <c r="B649" s="14"/>
      <c r="C649" s="14" t="s">
        <v>525</v>
      </c>
      <c r="D649" s="14"/>
      <c r="E649" s="13" t="s">
        <v>0</v>
      </c>
      <c r="F649" s="13" t="s">
        <v>0</v>
      </c>
      <c r="G649" s="13" t="s">
        <v>0</v>
      </c>
      <c r="H649" s="13">
        <f t="shared" si="14"/>
        <v>0</v>
      </c>
      <c r="I649" s="13" t="s">
        <v>0</v>
      </c>
      <c r="J649" s="13" t="s">
        <v>0</v>
      </c>
      <c r="K649" s="13"/>
      <c r="L649" s="13">
        <v>189</v>
      </c>
      <c r="M649" s="13"/>
      <c r="N649" s="13"/>
      <c r="O649" s="13"/>
      <c r="P649" s="21">
        <v>0</v>
      </c>
    </row>
    <row r="650" spans="1:16" s="27" customFormat="1" x14ac:dyDescent="0.25">
      <c r="A650" s="23"/>
      <c r="B650" s="24"/>
      <c r="C650" s="24" t="s">
        <v>488</v>
      </c>
      <c r="D650" s="39">
        <v>256779414736</v>
      </c>
      <c r="E650" s="25" t="s">
        <v>0</v>
      </c>
      <c r="F650" s="25">
        <v>9282</v>
      </c>
      <c r="G650" s="25" t="s">
        <v>489</v>
      </c>
      <c r="H650" s="25">
        <v>189</v>
      </c>
      <c r="I650" s="25"/>
      <c r="J650" s="25"/>
      <c r="K650" s="25"/>
      <c r="L650" s="25"/>
      <c r="M650" s="25"/>
      <c r="N650" s="25"/>
      <c r="O650" s="25"/>
      <c r="P650" s="26">
        <v>0</v>
      </c>
    </row>
    <row r="651" spans="1:16" hidden="1" x14ac:dyDescent="0.25">
      <c r="A651" s="19">
        <v>45870</v>
      </c>
      <c r="B651" s="14" t="s">
        <v>480</v>
      </c>
      <c r="C651" s="14" t="s">
        <v>481</v>
      </c>
      <c r="D651" s="14"/>
      <c r="E651" s="13" t="s">
        <v>0</v>
      </c>
      <c r="F651" s="13" t="s">
        <v>0</v>
      </c>
      <c r="G651" s="13" t="s">
        <v>0</v>
      </c>
      <c r="H651" s="13"/>
      <c r="I651" s="13" t="s">
        <v>618</v>
      </c>
      <c r="J651" s="13"/>
      <c r="K651" s="13">
        <v>282.04000000000002</v>
      </c>
      <c r="L651" s="13" t="s">
        <v>483</v>
      </c>
      <c r="M651" s="13" t="s">
        <v>499</v>
      </c>
      <c r="N651" s="13"/>
      <c r="O651" s="13">
        <v>24284</v>
      </c>
      <c r="P651" s="21">
        <v>496</v>
      </c>
    </row>
    <row r="652" spans="1:16" hidden="1" x14ac:dyDescent="0.25">
      <c r="A652" s="19" t="s">
        <v>0</v>
      </c>
      <c r="B652" s="14"/>
      <c r="C652" s="14" t="s">
        <v>524</v>
      </c>
      <c r="D652" s="14"/>
      <c r="E652" s="13" t="s">
        <v>0</v>
      </c>
      <c r="F652" s="13" t="s">
        <v>0</v>
      </c>
      <c r="G652" s="13" t="s">
        <v>0</v>
      </c>
      <c r="H652" s="13">
        <f t="shared" si="14"/>
        <v>0</v>
      </c>
      <c r="I652" s="13" t="s">
        <v>0</v>
      </c>
      <c r="J652" s="13" t="s">
        <v>0</v>
      </c>
      <c r="K652" s="13">
        <v>24780.44</v>
      </c>
      <c r="L652" s="13"/>
      <c r="M652" s="13"/>
      <c r="N652" s="13"/>
      <c r="O652" s="13"/>
      <c r="P652" s="21">
        <v>0</v>
      </c>
    </row>
    <row r="653" spans="1:16" hidden="1" x14ac:dyDescent="0.25">
      <c r="A653" s="19" t="s">
        <v>0</v>
      </c>
      <c r="B653" s="14"/>
      <c r="C653" s="14" t="s">
        <v>525</v>
      </c>
      <c r="D653" s="14"/>
      <c r="E653" s="13" t="s">
        <v>0</v>
      </c>
      <c r="F653" s="13" t="s">
        <v>0</v>
      </c>
      <c r="G653" s="13" t="s">
        <v>0</v>
      </c>
      <c r="H653" s="13">
        <f t="shared" si="14"/>
        <v>0</v>
      </c>
      <c r="I653" s="13" t="s">
        <v>0</v>
      </c>
      <c r="J653" s="13" t="s">
        <v>0</v>
      </c>
      <c r="K653" s="13"/>
      <c r="L653" s="13">
        <v>496</v>
      </c>
      <c r="M653" s="13"/>
      <c r="N653" s="13"/>
      <c r="O653" s="13"/>
      <c r="P653" s="21">
        <v>0</v>
      </c>
    </row>
    <row r="654" spans="1:16" hidden="1" x14ac:dyDescent="0.25">
      <c r="A654" s="19" t="s">
        <v>0</v>
      </c>
      <c r="B654" s="14"/>
      <c r="C654" s="14" t="s">
        <v>487</v>
      </c>
      <c r="D654" s="14"/>
      <c r="E654" s="13" t="s">
        <v>0</v>
      </c>
      <c r="F654" s="13" t="s">
        <v>0</v>
      </c>
      <c r="G654" s="13" t="s">
        <v>0</v>
      </c>
      <c r="H654" s="13">
        <f t="shared" si="14"/>
        <v>0</v>
      </c>
      <c r="I654" s="13" t="s">
        <v>0</v>
      </c>
      <c r="J654" s="13" t="s">
        <v>0</v>
      </c>
      <c r="K654" s="13"/>
      <c r="L654" s="13">
        <v>0.44</v>
      </c>
      <c r="M654" s="13"/>
      <c r="N654" s="13"/>
      <c r="O654" s="13"/>
      <c r="P654" s="21">
        <v>0</v>
      </c>
    </row>
    <row r="655" spans="1:16" x14ac:dyDescent="0.25">
      <c r="A655" s="19"/>
      <c r="B655" s="14"/>
      <c r="C655" s="14" t="s">
        <v>488</v>
      </c>
      <c r="D655" s="38">
        <v>256779414744</v>
      </c>
      <c r="E655" s="13" t="s">
        <v>0</v>
      </c>
      <c r="F655" s="13">
        <v>24284</v>
      </c>
      <c r="G655" s="13" t="s">
        <v>489</v>
      </c>
      <c r="H655" s="13">
        <f t="shared" si="14"/>
        <v>496</v>
      </c>
      <c r="I655" s="13"/>
      <c r="J655" s="13"/>
      <c r="K655" s="13"/>
      <c r="L655" s="13"/>
      <c r="M655" s="13"/>
      <c r="N655" s="13"/>
      <c r="O655" s="13"/>
      <c r="P655" s="21">
        <v>0</v>
      </c>
    </row>
    <row r="656" spans="1:16" hidden="1" x14ac:dyDescent="0.25">
      <c r="A656" s="19">
        <v>45871</v>
      </c>
      <c r="B656" s="14" t="s">
        <v>480</v>
      </c>
      <c r="C656" s="14" t="s">
        <v>481</v>
      </c>
      <c r="D656" s="14"/>
      <c r="E656" s="13" t="s">
        <v>0</v>
      </c>
      <c r="F656" s="13" t="s">
        <v>0</v>
      </c>
      <c r="G656" s="13" t="s">
        <v>0</v>
      </c>
      <c r="H656" s="13">
        <f t="shared" si="14"/>
        <v>0</v>
      </c>
      <c r="I656" s="13" t="s">
        <v>614</v>
      </c>
      <c r="J656" s="13"/>
      <c r="K656" s="13">
        <v>1620</v>
      </c>
      <c r="L656" s="13" t="s">
        <v>483</v>
      </c>
      <c r="M656" s="13" t="s">
        <v>501</v>
      </c>
      <c r="N656" s="13"/>
      <c r="O656" s="13">
        <v>139294</v>
      </c>
      <c r="P656" s="21">
        <v>15477</v>
      </c>
    </row>
    <row r="657" spans="1:16" hidden="1" x14ac:dyDescent="0.25">
      <c r="A657" s="19" t="s">
        <v>0</v>
      </c>
      <c r="B657" s="14"/>
      <c r="C657" s="14" t="s">
        <v>485</v>
      </c>
      <c r="D657" s="14"/>
      <c r="E657" s="13" t="s">
        <v>0</v>
      </c>
      <c r="F657" s="13" t="s">
        <v>0</v>
      </c>
      <c r="G657" s="13" t="s">
        <v>0</v>
      </c>
      <c r="H657" s="13">
        <f t="shared" si="14"/>
        <v>0</v>
      </c>
      <c r="I657" s="13" t="s">
        <v>0</v>
      </c>
      <c r="J657" s="13" t="s">
        <v>0</v>
      </c>
      <c r="K657" s="13">
        <v>154770.66</v>
      </c>
      <c r="L657" s="13"/>
      <c r="M657" s="13"/>
      <c r="N657" s="13"/>
      <c r="O657" s="13"/>
      <c r="P657" s="21">
        <v>0</v>
      </c>
    </row>
    <row r="658" spans="1:16" hidden="1" x14ac:dyDescent="0.25">
      <c r="A658" s="19" t="s">
        <v>0</v>
      </c>
      <c r="B658" s="14"/>
      <c r="C658" s="14" t="s">
        <v>486</v>
      </c>
      <c r="D658" s="14"/>
      <c r="E658" s="13" t="s">
        <v>0</v>
      </c>
      <c r="F658" s="13" t="s">
        <v>0</v>
      </c>
      <c r="G658" s="13" t="s">
        <v>0</v>
      </c>
      <c r="H658" s="13">
        <f t="shared" si="14"/>
        <v>0</v>
      </c>
      <c r="I658" s="13" t="s">
        <v>0</v>
      </c>
      <c r="J658" s="13" t="s">
        <v>0</v>
      </c>
      <c r="K658" s="13"/>
      <c r="L658" s="13">
        <v>15477</v>
      </c>
      <c r="M658" s="13"/>
      <c r="N658" s="13"/>
      <c r="O658" s="13"/>
      <c r="P658" s="21">
        <v>0</v>
      </c>
    </row>
    <row r="659" spans="1:16" hidden="1" x14ac:dyDescent="0.25">
      <c r="A659" s="19" t="s">
        <v>0</v>
      </c>
      <c r="B659" s="14"/>
      <c r="C659" s="14" t="s">
        <v>487</v>
      </c>
      <c r="D659" s="14"/>
      <c r="E659" s="13" t="s">
        <v>0</v>
      </c>
      <c r="F659" s="13" t="s">
        <v>0</v>
      </c>
      <c r="G659" s="13" t="s">
        <v>0</v>
      </c>
      <c r="H659" s="13">
        <f t="shared" si="14"/>
        <v>0</v>
      </c>
      <c r="I659" s="13" t="s">
        <v>0</v>
      </c>
      <c r="J659" s="13" t="s">
        <v>0</v>
      </c>
      <c r="K659" s="13">
        <v>0.34</v>
      </c>
      <c r="L659" s="13"/>
      <c r="M659" s="13"/>
      <c r="N659" s="13"/>
      <c r="O659" s="13"/>
      <c r="P659" s="21">
        <v>0</v>
      </c>
    </row>
    <row r="660" spans="1:16" x14ac:dyDescent="0.25">
      <c r="A660" s="19"/>
      <c r="B660" s="14"/>
      <c r="C660" s="14" t="s">
        <v>488</v>
      </c>
      <c r="D660" s="38">
        <v>256779413115</v>
      </c>
      <c r="E660" s="13" t="s">
        <v>0</v>
      </c>
      <c r="F660" s="13">
        <v>139294</v>
      </c>
      <c r="G660" s="13" t="s">
        <v>489</v>
      </c>
      <c r="H660" s="13">
        <f t="shared" si="14"/>
        <v>15477</v>
      </c>
      <c r="I660" s="13"/>
      <c r="J660" s="13"/>
      <c r="K660" s="13"/>
      <c r="L660" s="13"/>
      <c r="M660" s="13"/>
      <c r="N660" s="13"/>
      <c r="O660" s="13"/>
      <c r="P660" s="21">
        <v>0</v>
      </c>
    </row>
    <row r="661" spans="1:16" hidden="1" x14ac:dyDescent="0.25">
      <c r="A661" s="19">
        <v>45871</v>
      </c>
      <c r="B661" s="14" t="s">
        <v>480</v>
      </c>
      <c r="C661" s="14" t="s">
        <v>481</v>
      </c>
      <c r="D661" s="14"/>
      <c r="E661" s="13" t="s">
        <v>0</v>
      </c>
      <c r="F661" s="13" t="s">
        <v>0</v>
      </c>
      <c r="G661" s="13" t="s">
        <v>0</v>
      </c>
      <c r="H661" s="13">
        <f t="shared" si="14"/>
        <v>0</v>
      </c>
      <c r="I661" s="13" t="s">
        <v>618</v>
      </c>
      <c r="J661" s="13"/>
      <c r="K661" s="13">
        <v>1116.3699999999999</v>
      </c>
      <c r="L661" s="13" t="s">
        <v>483</v>
      </c>
      <c r="M661" s="13" t="s">
        <v>502</v>
      </c>
      <c r="N661" s="13"/>
      <c r="O661" s="13">
        <v>95439</v>
      </c>
      <c r="P661" s="21">
        <v>10604</v>
      </c>
    </row>
    <row r="662" spans="1:16" hidden="1" x14ac:dyDescent="0.25">
      <c r="A662" s="19" t="s">
        <v>0</v>
      </c>
      <c r="B662" s="14"/>
      <c r="C662" s="14" t="s">
        <v>485</v>
      </c>
      <c r="D662" s="14"/>
      <c r="E662" s="13" t="s">
        <v>0</v>
      </c>
      <c r="F662" s="13" t="s">
        <v>0</v>
      </c>
      <c r="G662" s="13" t="s">
        <v>0</v>
      </c>
      <c r="H662" s="13">
        <f t="shared" si="14"/>
        <v>0</v>
      </c>
      <c r="I662" s="13" t="s">
        <v>0</v>
      </c>
      <c r="J662" s="13" t="s">
        <v>0</v>
      </c>
      <c r="K662" s="13">
        <v>106042.76</v>
      </c>
      <c r="L662" s="13"/>
      <c r="M662" s="13"/>
      <c r="N662" s="13"/>
      <c r="O662" s="13"/>
      <c r="P662" s="21">
        <v>0</v>
      </c>
    </row>
    <row r="663" spans="1:16" hidden="1" x14ac:dyDescent="0.25">
      <c r="A663" s="19" t="s">
        <v>0</v>
      </c>
      <c r="B663" s="14"/>
      <c r="C663" s="14" t="s">
        <v>486</v>
      </c>
      <c r="D663" s="14"/>
      <c r="E663" s="13" t="s">
        <v>0</v>
      </c>
      <c r="F663" s="13" t="s">
        <v>0</v>
      </c>
      <c r="G663" s="13" t="s">
        <v>0</v>
      </c>
      <c r="H663" s="13">
        <f t="shared" si="14"/>
        <v>0</v>
      </c>
      <c r="I663" s="13" t="s">
        <v>0</v>
      </c>
      <c r="J663" s="13" t="s">
        <v>0</v>
      </c>
      <c r="K663" s="13"/>
      <c r="L663" s="13">
        <v>10604</v>
      </c>
      <c r="M663" s="13"/>
      <c r="N663" s="13"/>
      <c r="O663" s="13"/>
      <c r="P663" s="21">
        <v>0</v>
      </c>
    </row>
    <row r="664" spans="1:16" hidden="1" x14ac:dyDescent="0.25">
      <c r="A664" s="19" t="s">
        <v>0</v>
      </c>
      <c r="B664" s="14"/>
      <c r="C664" s="14" t="s">
        <v>487</v>
      </c>
      <c r="D664" s="14"/>
      <c r="E664" s="13" t="s">
        <v>0</v>
      </c>
      <c r="F664" s="13" t="s">
        <v>0</v>
      </c>
      <c r="G664" s="13" t="s">
        <v>0</v>
      </c>
      <c r="H664" s="13">
        <f t="shared" si="14"/>
        <v>0</v>
      </c>
      <c r="I664" s="13" t="s">
        <v>0</v>
      </c>
      <c r="J664" s="13" t="s">
        <v>0</v>
      </c>
      <c r="K664" s="13">
        <v>0.24</v>
      </c>
      <c r="L664" s="13"/>
      <c r="M664" s="13"/>
      <c r="N664" s="13"/>
      <c r="O664" s="13"/>
      <c r="P664" s="21">
        <v>0</v>
      </c>
    </row>
    <row r="665" spans="1:16" x14ac:dyDescent="0.25">
      <c r="A665" s="19"/>
      <c r="B665" s="14"/>
      <c r="C665" s="14" t="s">
        <v>488</v>
      </c>
      <c r="D665" s="38">
        <v>256779414232</v>
      </c>
      <c r="E665" s="13" t="s">
        <v>0</v>
      </c>
      <c r="F665" s="13">
        <v>95439</v>
      </c>
      <c r="G665" s="13" t="s">
        <v>489</v>
      </c>
      <c r="H665" s="13">
        <f t="shared" si="14"/>
        <v>10604</v>
      </c>
      <c r="I665" s="13"/>
      <c r="J665" s="13"/>
      <c r="K665" s="13"/>
      <c r="L665" s="13"/>
      <c r="M665" s="13"/>
      <c r="N665" s="13"/>
      <c r="O665" s="13"/>
      <c r="P665" s="21">
        <v>0</v>
      </c>
    </row>
    <row r="666" spans="1:16" hidden="1" x14ac:dyDescent="0.25">
      <c r="A666" s="19">
        <v>45871</v>
      </c>
      <c r="B666" s="14" t="s">
        <v>480</v>
      </c>
      <c r="C666" s="14" t="s">
        <v>481</v>
      </c>
      <c r="D666" s="14"/>
      <c r="E666" s="13" t="s">
        <v>0</v>
      </c>
      <c r="F666" s="13" t="s">
        <v>0</v>
      </c>
      <c r="G666" s="13" t="s">
        <v>0</v>
      </c>
      <c r="H666" s="13">
        <f t="shared" si="14"/>
        <v>0</v>
      </c>
      <c r="I666" s="13" t="s">
        <v>618</v>
      </c>
      <c r="J666" s="13"/>
      <c r="K666" s="13">
        <v>1620</v>
      </c>
      <c r="L666" s="13" t="s">
        <v>483</v>
      </c>
      <c r="M666" s="13" t="s">
        <v>504</v>
      </c>
      <c r="N666" s="13"/>
      <c r="O666" s="13">
        <v>138495</v>
      </c>
      <c r="P666" s="21">
        <v>15388</v>
      </c>
    </row>
    <row r="667" spans="1:16" hidden="1" x14ac:dyDescent="0.25">
      <c r="A667" s="19" t="s">
        <v>0</v>
      </c>
      <c r="B667" s="14"/>
      <c r="C667" s="14" t="s">
        <v>485</v>
      </c>
      <c r="D667" s="14"/>
      <c r="E667" s="13" t="s">
        <v>0</v>
      </c>
      <c r="F667" s="13" t="s">
        <v>0</v>
      </c>
      <c r="G667" s="13" t="s">
        <v>0</v>
      </c>
      <c r="H667" s="13">
        <f t="shared" si="14"/>
        <v>0</v>
      </c>
      <c r="I667" s="13" t="s">
        <v>0</v>
      </c>
      <c r="J667" s="13" t="s">
        <v>0</v>
      </c>
      <c r="K667" s="13">
        <v>153883.4</v>
      </c>
      <c r="L667" s="13"/>
      <c r="M667" s="13"/>
      <c r="N667" s="13"/>
      <c r="O667" s="13"/>
      <c r="P667" s="21">
        <v>0</v>
      </c>
    </row>
    <row r="668" spans="1:16" hidden="1" x14ac:dyDescent="0.25">
      <c r="A668" s="19" t="s">
        <v>0</v>
      </c>
      <c r="B668" s="14"/>
      <c r="C668" s="14" t="s">
        <v>486</v>
      </c>
      <c r="D668" s="14"/>
      <c r="E668" s="13" t="s">
        <v>0</v>
      </c>
      <c r="F668" s="13" t="s">
        <v>0</v>
      </c>
      <c r="G668" s="13" t="s">
        <v>0</v>
      </c>
      <c r="H668" s="13">
        <f t="shared" si="14"/>
        <v>0</v>
      </c>
      <c r="I668" s="13" t="s">
        <v>0</v>
      </c>
      <c r="J668" s="13" t="s">
        <v>0</v>
      </c>
      <c r="K668" s="13"/>
      <c r="L668" s="13">
        <v>15388</v>
      </c>
      <c r="M668" s="13"/>
      <c r="N668" s="13"/>
      <c r="O668" s="13"/>
      <c r="P668" s="21">
        <v>0</v>
      </c>
    </row>
    <row r="669" spans="1:16" hidden="1" x14ac:dyDescent="0.25">
      <c r="A669" s="19" t="s">
        <v>0</v>
      </c>
      <c r="B669" s="14"/>
      <c r="C669" s="14" t="s">
        <v>487</v>
      </c>
      <c r="D669" s="14"/>
      <c r="E669" s="13" t="s">
        <v>0</v>
      </c>
      <c r="F669" s="13" t="s">
        <v>0</v>
      </c>
      <c r="G669" s="13" t="s">
        <v>0</v>
      </c>
      <c r="H669" s="13">
        <f t="shared" si="14"/>
        <v>0</v>
      </c>
      <c r="I669" s="13" t="s">
        <v>0</v>
      </c>
      <c r="J669" s="13" t="s">
        <v>0</v>
      </c>
      <c r="K669" s="13"/>
      <c r="L669" s="13">
        <v>0.4</v>
      </c>
      <c r="M669" s="13"/>
      <c r="N669" s="13"/>
      <c r="O669" s="13"/>
      <c r="P669" s="21">
        <v>0</v>
      </c>
    </row>
    <row r="670" spans="1:16" x14ac:dyDescent="0.25">
      <c r="A670" s="19"/>
      <c r="B670" s="14"/>
      <c r="C670" s="14" t="s">
        <v>488</v>
      </c>
      <c r="D670" s="38">
        <v>256779414374</v>
      </c>
      <c r="E670" s="13" t="s">
        <v>0</v>
      </c>
      <c r="F670" s="13">
        <v>138495</v>
      </c>
      <c r="G670" s="13" t="s">
        <v>489</v>
      </c>
      <c r="H670" s="13">
        <f t="shared" si="14"/>
        <v>15388</v>
      </c>
      <c r="I670" s="13"/>
      <c r="J670" s="13"/>
      <c r="K670" s="13"/>
      <c r="L670" s="13"/>
      <c r="M670" s="13"/>
      <c r="N670" s="13"/>
      <c r="O670" s="13"/>
      <c r="P670" s="21">
        <v>0</v>
      </c>
    </row>
    <row r="671" spans="1:16" hidden="1" x14ac:dyDescent="0.25">
      <c r="A671" s="19">
        <v>45909</v>
      </c>
      <c r="B671" s="14" t="s">
        <v>489</v>
      </c>
      <c r="C671" s="14" t="s">
        <v>517</v>
      </c>
      <c r="D671" s="14"/>
      <c r="E671" s="13" t="s">
        <v>0</v>
      </c>
      <c r="F671" s="13" t="s">
        <v>0</v>
      </c>
      <c r="G671" s="13" t="s">
        <v>0</v>
      </c>
      <c r="H671" s="13">
        <f t="shared" si="14"/>
        <v>0</v>
      </c>
      <c r="I671" s="13" t="s">
        <v>518</v>
      </c>
      <c r="J671" s="13"/>
      <c r="K671" s="13"/>
      <c r="L671" s="13" t="s">
        <v>519</v>
      </c>
      <c r="M671" s="13" t="s">
        <v>621</v>
      </c>
      <c r="N671" s="13">
        <v>100000</v>
      </c>
      <c r="O671" s="13"/>
      <c r="P671" s="21">
        <v>0</v>
      </c>
    </row>
    <row r="672" spans="1:16" hidden="1" x14ac:dyDescent="0.25">
      <c r="A672" s="19"/>
      <c r="B672" s="14"/>
      <c r="C672" s="14" t="s">
        <v>521</v>
      </c>
      <c r="D672" s="38">
        <v>256779412779</v>
      </c>
      <c r="E672" s="13" t="s">
        <v>0</v>
      </c>
      <c r="F672" s="13">
        <v>59530</v>
      </c>
      <c r="G672" s="13" t="s">
        <v>480</v>
      </c>
      <c r="H672" s="13">
        <f t="shared" si="14"/>
        <v>0</v>
      </c>
      <c r="I672" s="13"/>
      <c r="J672" s="13"/>
      <c r="K672" s="13"/>
      <c r="L672" s="13"/>
      <c r="M672" s="13"/>
      <c r="N672" s="13"/>
      <c r="O672" s="13"/>
      <c r="P672" s="21">
        <v>0</v>
      </c>
    </row>
    <row r="673" spans="1:16" hidden="1" x14ac:dyDescent="0.25">
      <c r="A673" s="19"/>
      <c r="B673" s="14"/>
      <c r="C673" s="14" t="s">
        <v>521</v>
      </c>
      <c r="D673" s="38">
        <v>256779412892</v>
      </c>
      <c r="E673" s="13" t="s">
        <v>0</v>
      </c>
      <c r="F673" s="13">
        <v>16117</v>
      </c>
      <c r="G673" s="13" t="s">
        <v>480</v>
      </c>
      <c r="H673" s="13">
        <f t="shared" si="14"/>
        <v>0</v>
      </c>
      <c r="I673" s="13"/>
      <c r="J673" s="13"/>
      <c r="K673" s="13"/>
      <c r="L673" s="13"/>
      <c r="M673" s="13"/>
      <c r="N673" s="13"/>
      <c r="O673" s="13"/>
      <c r="P673" s="21">
        <v>0</v>
      </c>
    </row>
    <row r="674" spans="1:16" hidden="1" x14ac:dyDescent="0.25">
      <c r="A674" s="19"/>
      <c r="B674" s="14"/>
      <c r="C674" s="14" t="s">
        <v>521</v>
      </c>
      <c r="D674" s="38">
        <v>256779413115</v>
      </c>
      <c r="E674" s="13" t="s">
        <v>0</v>
      </c>
      <c r="F674" s="13">
        <v>24353</v>
      </c>
      <c r="G674" s="13" t="s">
        <v>480</v>
      </c>
      <c r="H674" s="13">
        <f t="shared" si="14"/>
        <v>0</v>
      </c>
      <c r="I674" s="13"/>
      <c r="J674" s="13"/>
      <c r="K674" s="13"/>
      <c r="L674" s="13"/>
      <c r="M674" s="13"/>
      <c r="N674" s="13"/>
      <c r="O674" s="13"/>
      <c r="P674" s="21">
        <v>0</v>
      </c>
    </row>
    <row r="675" spans="1:16" hidden="1" x14ac:dyDescent="0.25">
      <c r="A675" s="19">
        <v>45918</v>
      </c>
      <c r="B675" s="14" t="s">
        <v>489</v>
      </c>
      <c r="C675" s="14" t="s">
        <v>517</v>
      </c>
      <c r="D675" s="14"/>
      <c r="E675" s="13" t="s">
        <v>0</v>
      </c>
      <c r="F675" s="13" t="s">
        <v>0</v>
      </c>
      <c r="G675" s="13" t="s">
        <v>0</v>
      </c>
      <c r="H675" s="13">
        <f t="shared" si="14"/>
        <v>0</v>
      </c>
      <c r="I675" s="13" t="s">
        <v>518</v>
      </c>
      <c r="J675" s="13"/>
      <c r="K675" s="13"/>
      <c r="L675" s="13" t="s">
        <v>519</v>
      </c>
      <c r="M675" s="13" t="s">
        <v>622</v>
      </c>
      <c r="N675" s="13">
        <v>100000</v>
      </c>
      <c r="O675" s="13"/>
      <c r="P675" s="21">
        <v>0</v>
      </c>
    </row>
    <row r="676" spans="1:16" hidden="1" x14ac:dyDescent="0.25">
      <c r="A676" s="19"/>
      <c r="B676" s="14"/>
      <c r="C676" s="14" t="s">
        <v>521</v>
      </c>
      <c r="D676" s="38">
        <v>256779413115</v>
      </c>
      <c r="E676" s="13" t="s">
        <v>0</v>
      </c>
      <c r="F676" s="13">
        <v>100000</v>
      </c>
      <c r="G676" s="13" t="s">
        <v>480</v>
      </c>
      <c r="H676" s="13">
        <f t="shared" si="14"/>
        <v>0</v>
      </c>
      <c r="I676" s="13"/>
      <c r="J676" s="13"/>
      <c r="K676" s="13"/>
      <c r="L676" s="13"/>
      <c r="M676" s="13"/>
      <c r="N676" s="13"/>
      <c r="O676" s="13"/>
      <c r="P676" s="21">
        <v>0</v>
      </c>
    </row>
    <row r="677" spans="1:16" hidden="1" x14ac:dyDescent="0.25">
      <c r="A677" s="19">
        <v>45929</v>
      </c>
      <c r="B677" s="14" t="s">
        <v>489</v>
      </c>
      <c r="C677" s="14" t="s">
        <v>517</v>
      </c>
      <c r="D677" s="14"/>
      <c r="E677" s="13" t="s">
        <v>0</v>
      </c>
      <c r="F677" s="13" t="s">
        <v>0</v>
      </c>
      <c r="G677" s="13" t="s">
        <v>0</v>
      </c>
      <c r="H677" s="13">
        <f t="shared" si="14"/>
        <v>0</v>
      </c>
      <c r="I677" s="13" t="s">
        <v>518</v>
      </c>
      <c r="J677" s="13"/>
      <c r="K677" s="13"/>
      <c r="L677" s="13" t="s">
        <v>519</v>
      </c>
      <c r="M677" s="13" t="s">
        <v>623</v>
      </c>
      <c r="N677" s="13">
        <v>100000</v>
      </c>
      <c r="O677" s="13"/>
      <c r="P677" s="21">
        <v>0</v>
      </c>
    </row>
    <row r="678" spans="1:16" hidden="1" x14ac:dyDescent="0.25">
      <c r="A678" s="19"/>
      <c r="B678" s="14"/>
      <c r="C678" s="14" t="s">
        <v>521</v>
      </c>
      <c r="D678" s="38">
        <v>256779413115</v>
      </c>
      <c r="E678" s="13" t="s">
        <v>0</v>
      </c>
      <c r="F678" s="13">
        <v>14941</v>
      </c>
      <c r="G678" s="13" t="s">
        <v>480</v>
      </c>
      <c r="H678" s="13">
        <f t="shared" si="14"/>
        <v>0</v>
      </c>
      <c r="I678" s="13"/>
      <c r="J678" s="13"/>
      <c r="K678" s="13"/>
      <c r="L678" s="13"/>
      <c r="M678" s="13"/>
      <c r="N678" s="13"/>
      <c r="O678" s="13"/>
      <c r="P678" s="21">
        <v>0</v>
      </c>
    </row>
    <row r="679" spans="1:16" hidden="1" x14ac:dyDescent="0.25">
      <c r="A679" s="19"/>
      <c r="B679" s="14"/>
      <c r="C679" s="14" t="s">
        <v>521</v>
      </c>
      <c r="D679" s="38">
        <v>256779413186</v>
      </c>
      <c r="E679" s="13" t="s">
        <v>0</v>
      </c>
      <c r="F679" s="13">
        <v>34824</v>
      </c>
      <c r="G679" s="13" t="s">
        <v>480</v>
      </c>
      <c r="H679" s="13">
        <f t="shared" si="14"/>
        <v>0</v>
      </c>
      <c r="I679" s="13"/>
      <c r="J679" s="13"/>
      <c r="K679" s="13"/>
      <c r="L679" s="13"/>
      <c r="M679" s="13"/>
      <c r="N679" s="13"/>
      <c r="O679" s="13"/>
      <c r="P679" s="21">
        <v>0</v>
      </c>
    </row>
    <row r="680" spans="1:16" hidden="1" x14ac:dyDescent="0.25">
      <c r="A680" s="19"/>
      <c r="B680" s="14"/>
      <c r="C680" s="14" t="s">
        <v>521</v>
      </c>
      <c r="D680" s="38">
        <v>256779413245</v>
      </c>
      <c r="E680" s="13" t="s">
        <v>0</v>
      </c>
      <c r="F680" s="13">
        <v>33169</v>
      </c>
      <c r="G680" s="13" t="s">
        <v>480</v>
      </c>
      <c r="H680" s="13">
        <f t="shared" si="14"/>
        <v>0</v>
      </c>
      <c r="I680" s="13"/>
      <c r="J680" s="13"/>
      <c r="K680" s="13"/>
      <c r="L680" s="13"/>
      <c r="M680" s="13"/>
      <c r="N680" s="13"/>
      <c r="O680" s="13"/>
      <c r="P680" s="21">
        <v>0</v>
      </c>
    </row>
    <row r="681" spans="1:16" hidden="1" x14ac:dyDescent="0.25">
      <c r="A681" s="19"/>
      <c r="B681" s="14"/>
      <c r="C681" s="14" t="s">
        <v>521</v>
      </c>
      <c r="D681" s="38">
        <v>256779413316</v>
      </c>
      <c r="E681" s="13" t="s">
        <v>0</v>
      </c>
      <c r="F681" s="13">
        <v>17066</v>
      </c>
      <c r="G681" s="13" t="s">
        <v>480</v>
      </c>
      <c r="H681" s="13">
        <f t="shared" si="14"/>
        <v>0</v>
      </c>
      <c r="I681" s="13"/>
      <c r="J681" s="13"/>
      <c r="K681" s="13"/>
      <c r="L681" s="13"/>
      <c r="M681" s="13"/>
      <c r="N681" s="13"/>
      <c r="O681" s="13"/>
      <c r="P681" s="21">
        <v>0</v>
      </c>
    </row>
    <row r="682" spans="1:16" hidden="1" x14ac:dyDescent="0.25">
      <c r="A682" s="19">
        <v>45931</v>
      </c>
      <c r="B682" s="14" t="s">
        <v>480</v>
      </c>
      <c r="C682" s="14" t="s">
        <v>481</v>
      </c>
      <c r="D682" s="14"/>
      <c r="E682" s="13" t="s">
        <v>0</v>
      </c>
      <c r="F682" s="13" t="s">
        <v>0</v>
      </c>
      <c r="G682" s="13" t="s">
        <v>0</v>
      </c>
      <c r="H682" s="13">
        <f t="shared" si="14"/>
        <v>0</v>
      </c>
      <c r="I682" s="13" t="s">
        <v>548</v>
      </c>
      <c r="J682" s="13"/>
      <c r="K682" s="13">
        <v>1351.62</v>
      </c>
      <c r="L682" s="13" t="s">
        <v>483</v>
      </c>
      <c r="M682" s="13" t="s">
        <v>511</v>
      </c>
      <c r="N682" s="13"/>
      <c r="O682" s="13">
        <v>116217</v>
      </c>
      <c r="P682" s="21">
        <v>12913</v>
      </c>
    </row>
    <row r="683" spans="1:16" hidden="1" x14ac:dyDescent="0.25">
      <c r="A683" s="19" t="s">
        <v>0</v>
      </c>
      <c r="B683" s="14"/>
      <c r="C683" s="14" t="s">
        <v>485</v>
      </c>
      <c r="D683" s="14"/>
      <c r="E683" s="13" t="s">
        <v>0</v>
      </c>
      <c r="F683" s="13" t="s">
        <v>0</v>
      </c>
      <c r="G683" s="13" t="s">
        <v>0</v>
      </c>
      <c r="H683" s="13">
        <f t="shared" si="14"/>
        <v>0</v>
      </c>
      <c r="I683" s="13" t="s">
        <v>0</v>
      </c>
      <c r="J683" s="13" t="s">
        <v>0</v>
      </c>
      <c r="K683" s="13">
        <v>129130.32</v>
      </c>
      <c r="L683" s="13"/>
      <c r="M683" s="13"/>
      <c r="N683" s="13"/>
      <c r="O683" s="13"/>
      <c r="P683" s="21">
        <v>0</v>
      </c>
    </row>
    <row r="684" spans="1:16" hidden="1" x14ac:dyDescent="0.25">
      <c r="A684" s="19" t="s">
        <v>0</v>
      </c>
      <c r="B684" s="14"/>
      <c r="C684" s="14" t="s">
        <v>486</v>
      </c>
      <c r="D684" s="14"/>
      <c r="E684" s="13" t="s">
        <v>0</v>
      </c>
      <c r="F684" s="13" t="s">
        <v>0</v>
      </c>
      <c r="G684" s="13" t="s">
        <v>0</v>
      </c>
      <c r="H684" s="13">
        <f t="shared" si="14"/>
        <v>0</v>
      </c>
      <c r="I684" s="13" t="s">
        <v>0</v>
      </c>
      <c r="J684" s="13" t="s">
        <v>0</v>
      </c>
      <c r="K684" s="13"/>
      <c r="L684" s="13">
        <v>12913</v>
      </c>
      <c r="M684" s="13"/>
      <c r="N684" s="13"/>
      <c r="O684" s="13"/>
      <c r="P684" s="21">
        <v>0</v>
      </c>
    </row>
    <row r="685" spans="1:16" hidden="1" x14ac:dyDescent="0.25">
      <c r="A685" s="19" t="s">
        <v>0</v>
      </c>
      <c r="B685" s="14"/>
      <c r="C685" s="14" t="s">
        <v>487</v>
      </c>
      <c r="D685" s="14"/>
      <c r="E685" s="13" t="s">
        <v>0</v>
      </c>
      <c r="F685" s="13" t="s">
        <v>0</v>
      </c>
      <c r="G685" s="13" t="s">
        <v>0</v>
      </c>
      <c r="H685" s="13">
        <f t="shared" si="14"/>
        <v>0</v>
      </c>
      <c r="I685" s="13" t="s">
        <v>0</v>
      </c>
      <c r="J685" s="13" t="s">
        <v>0</v>
      </c>
      <c r="K685" s="13"/>
      <c r="L685" s="13">
        <v>0.32</v>
      </c>
      <c r="M685" s="13"/>
      <c r="N685" s="13"/>
      <c r="O685" s="13"/>
      <c r="P685" s="21">
        <v>0</v>
      </c>
    </row>
    <row r="686" spans="1:16" x14ac:dyDescent="0.25">
      <c r="A686" s="19"/>
      <c r="B686" s="14"/>
      <c r="C686" s="14" t="s">
        <v>488</v>
      </c>
      <c r="D686" s="38">
        <v>256779413891</v>
      </c>
      <c r="E686" s="13" t="s">
        <v>0</v>
      </c>
      <c r="F686" s="13">
        <v>116217</v>
      </c>
      <c r="G686" s="13" t="s">
        <v>489</v>
      </c>
      <c r="H686" s="13">
        <f t="shared" si="14"/>
        <v>12913</v>
      </c>
      <c r="I686" s="13"/>
      <c r="J686" s="13"/>
      <c r="K686" s="13"/>
      <c r="L686" s="13"/>
      <c r="M686" s="13"/>
      <c r="N686" s="13"/>
      <c r="O686" s="13"/>
      <c r="P686" s="21">
        <v>0</v>
      </c>
    </row>
    <row r="687" spans="1:16" hidden="1" x14ac:dyDescent="0.25">
      <c r="A687" s="19">
        <v>45931</v>
      </c>
      <c r="B687" s="14" t="s">
        <v>480</v>
      </c>
      <c r="C687" s="14" t="s">
        <v>481</v>
      </c>
      <c r="D687" s="14"/>
      <c r="E687" s="13" t="s">
        <v>0</v>
      </c>
      <c r="F687" s="13" t="s">
        <v>0</v>
      </c>
      <c r="G687" s="13" t="s">
        <v>0</v>
      </c>
      <c r="H687" s="13">
        <f t="shared" si="14"/>
        <v>0</v>
      </c>
      <c r="I687" s="13" t="s">
        <v>618</v>
      </c>
      <c r="J687" s="13"/>
      <c r="K687" s="13">
        <v>1369.06</v>
      </c>
      <c r="L687" s="13" t="s">
        <v>483</v>
      </c>
      <c r="M687" s="13" t="s">
        <v>512</v>
      </c>
      <c r="N687" s="13"/>
      <c r="O687" s="13">
        <v>117740</v>
      </c>
      <c r="P687" s="21">
        <v>13082</v>
      </c>
    </row>
    <row r="688" spans="1:16" hidden="1" x14ac:dyDescent="0.25">
      <c r="A688" s="19" t="s">
        <v>0</v>
      </c>
      <c r="B688" s="14"/>
      <c r="C688" s="14" t="s">
        <v>485</v>
      </c>
      <c r="D688" s="14"/>
      <c r="E688" s="13" t="s">
        <v>0</v>
      </c>
      <c r="F688" s="13" t="s">
        <v>0</v>
      </c>
      <c r="G688" s="13" t="s">
        <v>0</v>
      </c>
      <c r="H688" s="13">
        <f t="shared" si="14"/>
        <v>0</v>
      </c>
      <c r="I688" s="13" t="s">
        <v>0</v>
      </c>
      <c r="J688" s="13" t="s">
        <v>0</v>
      </c>
      <c r="K688" s="13">
        <v>130822.5</v>
      </c>
      <c r="L688" s="13"/>
      <c r="M688" s="13"/>
      <c r="N688" s="13"/>
      <c r="O688" s="13"/>
      <c r="P688" s="21">
        <v>0</v>
      </c>
    </row>
    <row r="689" spans="1:16" hidden="1" x14ac:dyDescent="0.25">
      <c r="A689" s="19" t="s">
        <v>0</v>
      </c>
      <c r="B689" s="14"/>
      <c r="C689" s="14" t="s">
        <v>486</v>
      </c>
      <c r="D689" s="14"/>
      <c r="E689" s="13" t="s">
        <v>0</v>
      </c>
      <c r="F689" s="13" t="s">
        <v>0</v>
      </c>
      <c r="G689" s="13" t="s">
        <v>0</v>
      </c>
      <c r="H689" s="13">
        <f t="shared" si="14"/>
        <v>0</v>
      </c>
      <c r="I689" s="13" t="s">
        <v>0</v>
      </c>
      <c r="J689" s="13" t="s">
        <v>0</v>
      </c>
      <c r="K689" s="13"/>
      <c r="L689" s="13">
        <v>13082</v>
      </c>
      <c r="M689" s="13"/>
      <c r="N689" s="13"/>
      <c r="O689" s="13"/>
      <c r="P689" s="21">
        <v>0</v>
      </c>
    </row>
    <row r="690" spans="1:16" hidden="1" x14ac:dyDescent="0.25">
      <c r="A690" s="19" t="s">
        <v>0</v>
      </c>
      <c r="B690" s="14"/>
      <c r="C690" s="14" t="s">
        <v>487</v>
      </c>
      <c r="D690" s="14"/>
      <c r="E690" s="13" t="s">
        <v>0</v>
      </c>
      <c r="F690" s="13" t="s">
        <v>0</v>
      </c>
      <c r="G690" s="13" t="s">
        <v>0</v>
      </c>
      <c r="H690" s="13">
        <f t="shared" si="14"/>
        <v>0</v>
      </c>
      <c r="I690" s="13" t="s">
        <v>0</v>
      </c>
      <c r="J690" s="13" t="s">
        <v>0</v>
      </c>
      <c r="K690" s="13"/>
      <c r="L690" s="13">
        <v>0.5</v>
      </c>
      <c r="M690" s="13"/>
      <c r="N690" s="13"/>
      <c r="O690" s="13"/>
      <c r="P690" s="21">
        <v>0</v>
      </c>
    </row>
    <row r="691" spans="1:16" x14ac:dyDescent="0.25">
      <c r="A691" s="19"/>
      <c r="B691" s="14"/>
      <c r="C691" s="14" t="s">
        <v>488</v>
      </c>
      <c r="D691" s="38">
        <v>256779415188</v>
      </c>
      <c r="E691" s="13" t="s">
        <v>0</v>
      </c>
      <c r="F691" s="13">
        <v>117740</v>
      </c>
      <c r="G691" s="13" t="s">
        <v>489</v>
      </c>
      <c r="H691" s="13">
        <f t="shared" si="14"/>
        <v>13082</v>
      </c>
      <c r="I691" s="13"/>
      <c r="J691" s="13"/>
      <c r="K691" s="13"/>
      <c r="L691" s="13"/>
      <c r="M691" s="13"/>
      <c r="N691" s="13"/>
      <c r="O691" s="13"/>
      <c r="P691" s="21">
        <v>0</v>
      </c>
    </row>
    <row r="692" spans="1:16" hidden="1" x14ac:dyDescent="0.25">
      <c r="A692" s="19">
        <v>45931</v>
      </c>
      <c r="B692" s="14" t="s">
        <v>480</v>
      </c>
      <c r="C692" s="14" t="s">
        <v>481</v>
      </c>
      <c r="D692" s="14"/>
      <c r="E692" s="13" t="s">
        <v>0</v>
      </c>
      <c r="F692" s="13" t="s">
        <v>0</v>
      </c>
      <c r="G692" s="13" t="s">
        <v>0</v>
      </c>
      <c r="H692" s="13">
        <f t="shared" si="14"/>
        <v>0</v>
      </c>
      <c r="I692" s="13" t="s">
        <v>624</v>
      </c>
      <c r="J692" s="13"/>
      <c r="K692" s="13">
        <v>1140.75</v>
      </c>
      <c r="L692" s="13" t="s">
        <v>483</v>
      </c>
      <c r="M692" s="13" t="s">
        <v>625</v>
      </c>
      <c r="N692" s="13"/>
      <c r="O692" s="13">
        <v>98139</v>
      </c>
      <c r="P692" s="21">
        <v>10904</v>
      </c>
    </row>
    <row r="693" spans="1:16" hidden="1" x14ac:dyDescent="0.25">
      <c r="A693" s="19" t="s">
        <v>0</v>
      </c>
      <c r="B693" s="14"/>
      <c r="C693" s="14" t="s">
        <v>485</v>
      </c>
      <c r="D693" s="14"/>
      <c r="E693" s="13" t="s">
        <v>0</v>
      </c>
      <c r="F693" s="13" t="s">
        <v>0</v>
      </c>
      <c r="G693" s="13" t="s">
        <v>0</v>
      </c>
      <c r="H693" s="13">
        <f t="shared" si="14"/>
        <v>0</v>
      </c>
      <c r="I693" s="13" t="s">
        <v>0</v>
      </c>
      <c r="J693" s="13" t="s">
        <v>0</v>
      </c>
      <c r="K693" s="13">
        <v>109043.18</v>
      </c>
      <c r="L693" s="13"/>
      <c r="M693" s="13"/>
      <c r="N693" s="13"/>
      <c r="O693" s="13"/>
      <c r="P693" s="21">
        <v>0</v>
      </c>
    </row>
    <row r="694" spans="1:16" hidden="1" x14ac:dyDescent="0.25">
      <c r="A694" s="19" t="s">
        <v>0</v>
      </c>
      <c r="B694" s="14"/>
      <c r="C694" s="14" t="s">
        <v>486</v>
      </c>
      <c r="D694" s="14"/>
      <c r="E694" s="13" t="s">
        <v>0</v>
      </c>
      <c r="F694" s="13" t="s">
        <v>0</v>
      </c>
      <c r="G694" s="13" t="s">
        <v>0</v>
      </c>
      <c r="H694" s="13">
        <f t="shared" si="14"/>
        <v>0</v>
      </c>
      <c r="I694" s="13" t="s">
        <v>0</v>
      </c>
      <c r="J694" s="13" t="s">
        <v>0</v>
      </c>
      <c r="K694" s="13"/>
      <c r="L694" s="13">
        <v>10904</v>
      </c>
      <c r="M694" s="13"/>
      <c r="N694" s="13"/>
      <c r="O694" s="13"/>
      <c r="P694" s="21">
        <v>0</v>
      </c>
    </row>
    <row r="695" spans="1:16" hidden="1" x14ac:dyDescent="0.25">
      <c r="A695" s="19" t="s">
        <v>0</v>
      </c>
      <c r="B695" s="14"/>
      <c r="C695" s="14" t="s">
        <v>487</v>
      </c>
      <c r="D695" s="14"/>
      <c r="E695" s="13" t="s">
        <v>0</v>
      </c>
      <c r="F695" s="13" t="s">
        <v>0</v>
      </c>
      <c r="G695" s="13" t="s">
        <v>0</v>
      </c>
      <c r="H695" s="13">
        <f t="shared" si="14"/>
        <v>0</v>
      </c>
      <c r="I695" s="13" t="s">
        <v>0</v>
      </c>
      <c r="J695" s="13" t="s">
        <v>0</v>
      </c>
      <c r="K695" s="13"/>
      <c r="L695" s="13">
        <v>0.18</v>
      </c>
      <c r="M695" s="13"/>
      <c r="N695" s="13"/>
      <c r="O695" s="13"/>
      <c r="P695" s="21">
        <v>0</v>
      </c>
    </row>
    <row r="696" spans="1:16" x14ac:dyDescent="0.25">
      <c r="A696" s="19"/>
      <c r="B696" s="14"/>
      <c r="C696" s="14" t="s">
        <v>488</v>
      </c>
      <c r="D696" s="38">
        <v>256779416081</v>
      </c>
      <c r="E696" s="13" t="s">
        <v>0</v>
      </c>
      <c r="F696" s="13">
        <v>98139</v>
      </c>
      <c r="G696" s="13" t="s">
        <v>489</v>
      </c>
      <c r="H696" s="13">
        <f t="shared" si="14"/>
        <v>10904</v>
      </c>
      <c r="I696" s="13"/>
      <c r="J696" s="13"/>
      <c r="K696" s="13"/>
      <c r="L696" s="13"/>
      <c r="M696" s="13"/>
      <c r="N696" s="13"/>
      <c r="O696" s="13"/>
      <c r="P696" s="21">
        <v>0</v>
      </c>
    </row>
    <row r="697" spans="1:16" hidden="1" x14ac:dyDescent="0.25">
      <c r="A697" s="19">
        <v>45931</v>
      </c>
      <c r="B697" s="14" t="s">
        <v>480</v>
      </c>
      <c r="C697" s="14" t="s">
        <v>481</v>
      </c>
      <c r="D697" s="14"/>
      <c r="E697" s="13" t="s">
        <v>0</v>
      </c>
      <c r="F697" s="13" t="s">
        <v>0</v>
      </c>
      <c r="G697" s="13" t="s">
        <v>0</v>
      </c>
      <c r="H697" s="13">
        <f t="shared" si="14"/>
        <v>0</v>
      </c>
      <c r="I697" s="13" t="s">
        <v>624</v>
      </c>
      <c r="J697" s="13"/>
      <c r="K697" s="13">
        <v>1620</v>
      </c>
      <c r="L697" s="13" t="s">
        <v>483</v>
      </c>
      <c r="M697" s="13" t="s">
        <v>626</v>
      </c>
      <c r="N697" s="13"/>
      <c r="O697" s="13">
        <v>139321</v>
      </c>
      <c r="P697" s="21">
        <v>15480</v>
      </c>
    </row>
    <row r="698" spans="1:16" hidden="1" x14ac:dyDescent="0.25">
      <c r="A698" s="19" t="s">
        <v>0</v>
      </c>
      <c r="B698" s="14"/>
      <c r="C698" s="14" t="s">
        <v>485</v>
      </c>
      <c r="D698" s="14"/>
      <c r="E698" s="13" t="s">
        <v>0</v>
      </c>
      <c r="F698" s="13" t="s">
        <v>0</v>
      </c>
      <c r="G698" s="13" t="s">
        <v>0</v>
      </c>
      <c r="H698" s="13">
        <f t="shared" si="14"/>
        <v>0</v>
      </c>
      <c r="I698" s="13" t="s">
        <v>0</v>
      </c>
      <c r="J698" s="13" t="s">
        <v>0</v>
      </c>
      <c r="K698" s="13">
        <v>154801.21</v>
      </c>
      <c r="L698" s="13"/>
      <c r="M698" s="13"/>
      <c r="N698" s="13"/>
      <c r="O698" s="13"/>
      <c r="P698" s="21">
        <v>0</v>
      </c>
    </row>
    <row r="699" spans="1:16" hidden="1" x14ac:dyDescent="0.25">
      <c r="A699" s="19" t="s">
        <v>0</v>
      </c>
      <c r="B699" s="14"/>
      <c r="C699" s="14" t="s">
        <v>486</v>
      </c>
      <c r="D699" s="14"/>
      <c r="E699" s="13" t="s">
        <v>0</v>
      </c>
      <c r="F699" s="13" t="s">
        <v>0</v>
      </c>
      <c r="G699" s="13" t="s">
        <v>0</v>
      </c>
      <c r="H699" s="13">
        <f t="shared" si="14"/>
        <v>0</v>
      </c>
      <c r="I699" s="13" t="s">
        <v>0</v>
      </c>
      <c r="J699" s="13" t="s">
        <v>0</v>
      </c>
      <c r="K699" s="13"/>
      <c r="L699" s="13">
        <v>15480</v>
      </c>
      <c r="M699" s="13"/>
      <c r="N699" s="13"/>
      <c r="O699" s="13"/>
      <c r="P699" s="21">
        <v>0</v>
      </c>
    </row>
    <row r="700" spans="1:16" hidden="1" x14ac:dyDescent="0.25">
      <c r="A700" s="19" t="s">
        <v>0</v>
      </c>
      <c r="B700" s="14"/>
      <c r="C700" s="14" t="s">
        <v>487</v>
      </c>
      <c r="D700" s="14"/>
      <c r="E700" s="13" t="s">
        <v>0</v>
      </c>
      <c r="F700" s="13" t="s">
        <v>0</v>
      </c>
      <c r="G700" s="13" t="s">
        <v>0</v>
      </c>
      <c r="H700" s="13">
        <f t="shared" si="14"/>
        <v>0</v>
      </c>
      <c r="I700" s="13" t="s">
        <v>0</v>
      </c>
      <c r="J700" s="13" t="s">
        <v>0</v>
      </c>
      <c r="K700" s="13"/>
      <c r="L700" s="13">
        <v>0.21</v>
      </c>
      <c r="M700" s="13"/>
      <c r="N700" s="13"/>
      <c r="O700" s="13"/>
      <c r="P700" s="21">
        <v>0</v>
      </c>
    </row>
    <row r="701" spans="1:16" x14ac:dyDescent="0.25">
      <c r="A701" s="19"/>
      <c r="B701" s="14"/>
      <c r="C701" s="14" t="s">
        <v>488</v>
      </c>
      <c r="D701" s="38">
        <v>256779414932</v>
      </c>
      <c r="E701" s="13" t="s">
        <v>0</v>
      </c>
      <c r="F701" s="13">
        <v>139321</v>
      </c>
      <c r="G701" s="13" t="s">
        <v>489</v>
      </c>
      <c r="H701" s="13">
        <f t="shared" si="14"/>
        <v>15480</v>
      </c>
      <c r="I701" s="13"/>
      <c r="J701" s="13"/>
      <c r="K701" s="13"/>
      <c r="L701" s="13"/>
      <c r="M701" s="13"/>
      <c r="N701" s="13"/>
      <c r="O701" s="13"/>
      <c r="P701" s="21">
        <v>0</v>
      </c>
    </row>
    <row r="702" spans="1:16" hidden="1" x14ac:dyDescent="0.25">
      <c r="A702" s="19">
        <v>45931</v>
      </c>
      <c r="B702" s="14" t="s">
        <v>480</v>
      </c>
      <c r="C702" s="14" t="s">
        <v>481</v>
      </c>
      <c r="D702" s="14"/>
      <c r="E702" s="13" t="s">
        <v>0</v>
      </c>
      <c r="F702" s="13" t="s">
        <v>0</v>
      </c>
      <c r="G702" s="13" t="s">
        <v>0</v>
      </c>
      <c r="H702" s="13">
        <f t="shared" si="14"/>
        <v>0</v>
      </c>
      <c r="I702" s="13" t="s">
        <v>627</v>
      </c>
      <c r="J702" s="13"/>
      <c r="K702" s="13">
        <v>1620</v>
      </c>
      <c r="L702" s="13" t="s">
        <v>483</v>
      </c>
      <c r="M702" s="13" t="s">
        <v>514</v>
      </c>
      <c r="N702" s="13"/>
      <c r="O702" s="13">
        <v>139369</v>
      </c>
      <c r="P702" s="21">
        <v>15485</v>
      </c>
    </row>
    <row r="703" spans="1:16" hidden="1" x14ac:dyDescent="0.25">
      <c r="A703" s="19" t="s">
        <v>0</v>
      </c>
      <c r="B703" s="14"/>
      <c r="C703" s="14" t="s">
        <v>485</v>
      </c>
      <c r="D703" s="14"/>
      <c r="E703" s="13" t="s">
        <v>0</v>
      </c>
      <c r="F703" s="13" t="s">
        <v>0</v>
      </c>
      <c r="G703" s="13" t="s">
        <v>0</v>
      </c>
      <c r="H703" s="13">
        <f t="shared" si="14"/>
        <v>0</v>
      </c>
      <c r="I703" s="13" t="s">
        <v>0</v>
      </c>
      <c r="J703" s="13" t="s">
        <v>0</v>
      </c>
      <c r="K703" s="13">
        <v>154854.22</v>
      </c>
      <c r="L703" s="13"/>
      <c r="M703" s="13"/>
      <c r="N703" s="13"/>
      <c r="O703" s="13"/>
      <c r="P703" s="21">
        <v>0</v>
      </c>
    </row>
    <row r="704" spans="1:16" hidden="1" x14ac:dyDescent="0.25">
      <c r="A704" s="19" t="s">
        <v>0</v>
      </c>
      <c r="B704" s="14"/>
      <c r="C704" s="14" t="s">
        <v>486</v>
      </c>
      <c r="D704" s="14"/>
      <c r="E704" s="13" t="s">
        <v>0</v>
      </c>
      <c r="F704" s="13" t="s">
        <v>0</v>
      </c>
      <c r="G704" s="13" t="s">
        <v>0</v>
      </c>
      <c r="H704" s="13">
        <f t="shared" si="14"/>
        <v>0</v>
      </c>
      <c r="I704" s="13" t="s">
        <v>0</v>
      </c>
      <c r="J704" s="13" t="s">
        <v>0</v>
      </c>
      <c r="K704" s="13"/>
      <c r="L704" s="13">
        <v>15485</v>
      </c>
      <c r="M704" s="13"/>
      <c r="N704" s="13"/>
      <c r="O704" s="13"/>
      <c r="P704" s="21">
        <v>0</v>
      </c>
    </row>
    <row r="705" spans="1:16" hidden="1" x14ac:dyDescent="0.25">
      <c r="A705" s="19" t="s">
        <v>0</v>
      </c>
      <c r="B705" s="14"/>
      <c r="C705" s="14" t="s">
        <v>487</v>
      </c>
      <c r="D705" s="14"/>
      <c r="E705" s="13" t="s">
        <v>0</v>
      </c>
      <c r="F705" s="13" t="s">
        <v>0</v>
      </c>
      <c r="G705" s="13" t="s">
        <v>0</v>
      </c>
      <c r="H705" s="13">
        <f t="shared" si="14"/>
        <v>0</v>
      </c>
      <c r="I705" s="13" t="s">
        <v>0</v>
      </c>
      <c r="J705" s="13" t="s">
        <v>0</v>
      </c>
      <c r="K705" s="13"/>
      <c r="L705" s="13">
        <v>0.22</v>
      </c>
      <c r="M705" s="13"/>
      <c r="N705" s="13"/>
      <c r="O705" s="13"/>
      <c r="P705" s="21">
        <v>0</v>
      </c>
    </row>
    <row r="706" spans="1:16" x14ac:dyDescent="0.25">
      <c r="A706" s="19"/>
      <c r="B706" s="14"/>
      <c r="C706" s="14" t="s">
        <v>488</v>
      </c>
      <c r="D706" s="38">
        <v>256779416043</v>
      </c>
      <c r="E706" s="13" t="s">
        <v>0</v>
      </c>
      <c r="F706" s="13">
        <v>139369</v>
      </c>
      <c r="G706" s="13" t="s">
        <v>489</v>
      </c>
      <c r="H706" s="13">
        <f t="shared" si="14"/>
        <v>15485</v>
      </c>
      <c r="I706" s="13"/>
      <c r="J706" s="13"/>
      <c r="K706" s="13"/>
      <c r="L706" s="13"/>
      <c r="M706" s="13"/>
      <c r="N706" s="13"/>
      <c r="O706" s="13"/>
      <c r="P706" s="21">
        <v>0</v>
      </c>
    </row>
    <row r="707" spans="1:16" hidden="1" x14ac:dyDescent="0.25">
      <c r="A707" s="19">
        <v>45931</v>
      </c>
      <c r="B707" s="14" t="s">
        <v>480</v>
      </c>
      <c r="C707" s="14" t="s">
        <v>481</v>
      </c>
      <c r="D707" s="14"/>
      <c r="E707" s="13" t="s">
        <v>0</v>
      </c>
      <c r="F707" s="13" t="s">
        <v>0</v>
      </c>
      <c r="G707" s="13" t="s">
        <v>0</v>
      </c>
      <c r="H707" s="13">
        <f t="shared" si="14"/>
        <v>0</v>
      </c>
      <c r="I707" s="13" t="s">
        <v>614</v>
      </c>
      <c r="J707" s="13"/>
      <c r="K707" s="13">
        <v>418.5</v>
      </c>
      <c r="L707" s="13" t="s">
        <v>483</v>
      </c>
      <c r="M707" s="13" t="s">
        <v>515</v>
      </c>
      <c r="N707" s="13"/>
      <c r="O707" s="13">
        <v>35991</v>
      </c>
      <c r="P707" s="21">
        <v>3999</v>
      </c>
    </row>
    <row r="708" spans="1:16" hidden="1" x14ac:dyDescent="0.25">
      <c r="A708" s="19" t="s">
        <v>0</v>
      </c>
      <c r="B708" s="14"/>
      <c r="C708" s="14" t="s">
        <v>503</v>
      </c>
      <c r="D708" s="14"/>
      <c r="E708" s="13" t="s">
        <v>0</v>
      </c>
      <c r="F708" s="13" t="s">
        <v>0</v>
      </c>
      <c r="G708" s="13" t="s">
        <v>0</v>
      </c>
      <c r="H708" s="13">
        <f t="shared" si="14"/>
        <v>0</v>
      </c>
      <c r="I708" s="13" t="s">
        <v>0</v>
      </c>
      <c r="J708" s="13" t="s">
        <v>0</v>
      </c>
      <c r="K708" s="13">
        <v>39990.31</v>
      </c>
      <c r="L708" s="13"/>
      <c r="M708" s="13"/>
      <c r="N708" s="13"/>
      <c r="O708" s="13"/>
      <c r="P708" s="21">
        <v>0</v>
      </c>
    </row>
    <row r="709" spans="1:16" hidden="1" x14ac:dyDescent="0.25">
      <c r="A709" s="19" t="s">
        <v>0</v>
      </c>
      <c r="B709" s="14"/>
      <c r="C709" s="14" t="s">
        <v>486</v>
      </c>
      <c r="D709" s="14"/>
      <c r="E709" s="13" t="s">
        <v>0</v>
      </c>
      <c r="F709" s="13" t="s">
        <v>0</v>
      </c>
      <c r="G709" s="13" t="s">
        <v>0</v>
      </c>
      <c r="H709" s="13">
        <f t="shared" si="14"/>
        <v>0</v>
      </c>
      <c r="I709" s="13" t="s">
        <v>0</v>
      </c>
      <c r="J709" s="13" t="s">
        <v>0</v>
      </c>
      <c r="K709" s="13"/>
      <c r="L709" s="13">
        <v>3999</v>
      </c>
      <c r="M709" s="13"/>
      <c r="N709" s="13"/>
      <c r="O709" s="13"/>
      <c r="P709" s="21">
        <v>0</v>
      </c>
    </row>
    <row r="710" spans="1:16" hidden="1" x14ac:dyDescent="0.25">
      <c r="A710" s="19" t="s">
        <v>0</v>
      </c>
      <c r="B710" s="14"/>
      <c r="C710" s="14" t="s">
        <v>487</v>
      </c>
      <c r="D710" s="14"/>
      <c r="E710" s="13" t="s">
        <v>0</v>
      </c>
      <c r="F710" s="13" t="s">
        <v>0</v>
      </c>
      <c r="G710" s="13" t="s">
        <v>0</v>
      </c>
      <c r="H710" s="13">
        <f t="shared" si="14"/>
        <v>0</v>
      </c>
      <c r="I710" s="13" t="s">
        <v>0</v>
      </c>
      <c r="J710" s="13" t="s">
        <v>0</v>
      </c>
      <c r="K710" s="13"/>
      <c r="L710" s="13">
        <v>0.31</v>
      </c>
      <c r="M710" s="13"/>
      <c r="N710" s="13"/>
      <c r="O710" s="13"/>
      <c r="P710" s="21">
        <v>0</v>
      </c>
    </row>
    <row r="711" spans="1:16" x14ac:dyDescent="0.25">
      <c r="A711" s="19"/>
      <c r="B711" s="14"/>
      <c r="C711" s="14" t="s">
        <v>488</v>
      </c>
      <c r="D711" s="38">
        <v>256779415968</v>
      </c>
      <c r="E711" s="13" t="s">
        <v>0</v>
      </c>
      <c r="F711" s="13">
        <v>35991</v>
      </c>
      <c r="G711" s="13" t="s">
        <v>489</v>
      </c>
      <c r="H711" s="13">
        <f t="shared" si="14"/>
        <v>3999</v>
      </c>
      <c r="I711" s="13"/>
      <c r="J711" s="13"/>
      <c r="K711" s="13"/>
      <c r="L711" s="13"/>
      <c r="M711" s="13"/>
      <c r="N711" s="13"/>
      <c r="O711" s="13"/>
      <c r="P711" s="21">
        <v>0</v>
      </c>
    </row>
    <row r="712" spans="1:16" hidden="1" x14ac:dyDescent="0.25">
      <c r="A712" s="19">
        <v>45932</v>
      </c>
      <c r="B712" s="14" t="s">
        <v>480</v>
      </c>
      <c r="C712" s="14" t="s">
        <v>481</v>
      </c>
      <c r="D712" s="14"/>
      <c r="E712" s="13" t="s">
        <v>0</v>
      </c>
      <c r="F712" s="13" t="s">
        <v>0</v>
      </c>
      <c r="G712" s="13" t="s">
        <v>0</v>
      </c>
      <c r="H712" s="13">
        <f t="shared" ref="H712:H775" si="15">P708</f>
        <v>0</v>
      </c>
      <c r="I712" s="13" t="s">
        <v>618</v>
      </c>
      <c r="J712" s="13"/>
      <c r="K712" s="13">
        <v>14.98</v>
      </c>
      <c r="L712" s="13" t="s">
        <v>483</v>
      </c>
      <c r="M712" s="13" t="s">
        <v>516</v>
      </c>
      <c r="N712" s="13"/>
      <c r="O712" s="13">
        <v>1288</v>
      </c>
      <c r="P712" s="21">
        <v>26</v>
      </c>
    </row>
    <row r="713" spans="1:16" hidden="1" x14ac:dyDescent="0.25">
      <c r="A713" s="19" t="s">
        <v>0</v>
      </c>
      <c r="B713" s="14"/>
      <c r="C713" s="14" t="s">
        <v>544</v>
      </c>
      <c r="D713" s="14"/>
      <c r="E713" s="13" t="s">
        <v>0</v>
      </c>
      <c r="F713" s="13" t="s">
        <v>0</v>
      </c>
      <c r="G713" s="13" t="s">
        <v>0</v>
      </c>
      <c r="H713" s="13">
        <f t="shared" si="15"/>
        <v>0</v>
      </c>
      <c r="I713" s="13" t="s">
        <v>0</v>
      </c>
      <c r="J713" s="13" t="s">
        <v>0</v>
      </c>
      <c r="K713" s="13">
        <v>1314.09</v>
      </c>
      <c r="L713" s="13"/>
      <c r="M713" s="13"/>
      <c r="N713" s="13"/>
      <c r="O713" s="13"/>
      <c r="P713" s="21">
        <v>0</v>
      </c>
    </row>
    <row r="714" spans="1:16" hidden="1" x14ac:dyDescent="0.25">
      <c r="A714" s="19" t="s">
        <v>0</v>
      </c>
      <c r="B714" s="14"/>
      <c r="C714" s="14" t="s">
        <v>525</v>
      </c>
      <c r="D714" s="14"/>
      <c r="E714" s="13" t="s">
        <v>0</v>
      </c>
      <c r="F714" s="13" t="s">
        <v>0</v>
      </c>
      <c r="G714" s="13" t="s">
        <v>0</v>
      </c>
      <c r="H714" s="13">
        <f t="shared" si="15"/>
        <v>0</v>
      </c>
      <c r="I714" s="13" t="s">
        <v>0</v>
      </c>
      <c r="J714" s="13" t="s">
        <v>0</v>
      </c>
      <c r="K714" s="13"/>
      <c r="L714" s="13">
        <v>26</v>
      </c>
      <c r="M714" s="13"/>
      <c r="N714" s="13"/>
      <c r="O714" s="13"/>
      <c r="P714" s="21">
        <v>0</v>
      </c>
    </row>
    <row r="715" spans="1:16" hidden="1" x14ac:dyDescent="0.25">
      <c r="A715" s="19" t="s">
        <v>0</v>
      </c>
      <c r="B715" s="14"/>
      <c r="C715" s="14" t="s">
        <v>487</v>
      </c>
      <c r="D715" s="14"/>
      <c r="E715" s="13" t="s">
        <v>0</v>
      </c>
      <c r="F715" s="13" t="s">
        <v>0</v>
      </c>
      <c r="G715" s="13" t="s">
        <v>0</v>
      </c>
      <c r="H715" s="13">
        <f t="shared" si="15"/>
        <v>0</v>
      </c>
      <c r="I715" s="13" t="s">
        <v>0</v>
      </c>
      <c r="J715" s="13" t="s">
        <v>0</v>
      </c>
      <c r="K715" s="13"/>
      <c r="L715" s="13">
        <v>0.09</v>
      </c>
      <c r="M715" s="13"/>
      <c r="N715" s="13"/>
      <c r="O715" s="13"/>
      <c r="P715" s="21">
        <v>0</v>
      </c>
    </row>
    <row r="716" spans="1:16" x14ac:dyDescent="0.25">
      <c r="A716" s="19"/>
      <c r="B716" s="14"/>
      <c r="C716" s="14" t="s">
        <v>488</v>
      </c>
      <c r="D716" s="38">
        <v>256779414834</v>
      </c>
      <c r="E716" s="13" t="s">
        <v>0</v>
      </c>
      <c r="F716" s="13">
        <v>1288</v>
      </c>
      <c r="G716" s="13" t="s">
        <v>489</v>
      </c>
      <c r="H716" s="13">
        <f t="shared" si="15"/>
        <v>26</v>
      </c>
      <c r="I716" s="13"/>
      <c r="J716" s="13"/>
      <c r="K716" s="13"/>
      <c r="L716" s="13"/>
      <c r="M716" s="13"/>
      <c r="N716" s="13"/>
      <c r="O716" s="13"/>
      <c r="P716" s="21">
        <v>0</v>
      </c>
    </row>
    <row r="717" spans="1:16" hidden="1" x14ac:dyDescent="0.25">
      <c r="A717" s="19">
        <v>45932</v>
      </c>
      <c r="B717" s="14" t="s">
        <v>480</v>
      </c>
      <c r="C717" s="14" t="s">
        <v>481</v>
      </c>
      <c r="D717" s="14"/>
      <c r="E717" s="13" t="s">
        <v>0</v>
      </c>
      <c r="F717" s="13" t="s">
        <v>0</v>
      </c>
      <c r="G717" s="13" t="s">
        <v>0</v>
      </c>
      <c r="H717" s="13">
        <f t="shared" si="15"/>
        <v>0</v>
      </c>
      <c r="I717" s="13" t="s">
        <v>618</v>
      </c>
      <c r="J717" s="13"/>
      <c r="K717" s="13">
        <v>65.45</v>
      </c>
      <c r="L717" s="13" t="s">
        <v>483</v>
      </c>
      <c r="M717" s="13" t="s">
        <v>628</v>
      </c>
      <c r="N717" s="13"/>
      <c r="O717" s="13">
        <v>5629</v>
      </c>
      <c r="P717" s="21">
        <v>115</v>
      </c>
    </row>
    <row r="718" spans="1:16" hidden="1" x14ac:dyDescent="0.25">
      <c r="A718" s="19" t="s">
        <v>0</v>
      </c>
      <c r="B718" s="14"/>
      <c r="C718" s="14" t="s">
        <v>533</v>
      </c>
      <c r="D718" s="14"/>
      <c r="E718" s="13" t="s">
        <v>0</v>
      </c>
      <c r="F718" s="13" t="s">
        <v>0</v>
      </c>
      <c r="G718" s="13" t="s">
        <v>0</v>
      </c>
      <c r="H718" s="13">
        <f t="shared" si="15"/>
        <v>0</v>
      </c>
      <c r="I718" s="13" t="s">
        <v>0</v>
      </c>
      <c r="J718" s="13" t="s">
        <v>0</v>
      </c>
      <c r="K718" s="13">
        <v>5743.98</v>
      </c>
      <c r="L718" s="13"/>
      <c r="M718" s="13"/>
      <c r="N718" s="13"/>
      <c r="O718" s="13"/>
      <c r="P718" s="21">
        <v>0</v>
      </c>
    </row>
    <row r="719" spans="1:16" hidden="1" x14ac:dyDescent="0.25">
      <c r="A719" s="19" t="s">
        <v>0</v>
      </c>
      <c r="B719" s="14"/>
      <c r="C719" s="14" t="s">
        <v>525</v>
      </c>
      <c r="D719" s="14"/>
      <c r="E719" s="13" t="s">
        <v>0</v>
      </c>
      <c r="F719" s="13" t="s">
        <v>0</v>
      </c>
      <c r="G719" s="13" t="s">
        <v>0</v>
      </c>
      <c r="H719" s="13">
        <f t="shared" si="15"/>
        <v>0</v>
      </c>
      <c r="I719" s="13" t="s">
        <v>0</v>
      </c>
      <c r="J719" s="13" t="s">
        <v>0</v>
      </c>
      <c r="K719" s="13"/>
      <c r="L719" s="13">
        <v>115</v>
      </c>
      <c r="M719" s="13"/>
      <c r="N719" s="13"/>
      <c r="O719" s="13"/>
      <c r="P719" s="21">
        <v>0</v>
      </c>
    </row>
    <row r="720" spans="1:16" hidden="1" x14ac:dyDescent="0.25">
      <c r="A720" s="19" t="s">
        <v>0</v>
      </c>
      <c r="B720" s="14"/>
      <c r="C720" s="14" t="s">
        <v>487</v>
      </c>
      <c r="D720" s="14"/>
      <c r="E720" s="13" t="s">
        <v>0</v>
      </c>
      <c r="F720" s="13" t="s">
        <v>0</v>
      </c>
      <c r="G720" s="13" t="s">
        <v>0</v>
      </c>
      <c r="H720" s="13">
        <f t="shared" si="15"/>
        <v>0</v>
      </c>
      <c r="I720" s="13" t="s">
        <v>0</v>
      </c>
      <c r="J720" s="13" t="s">
        <v>0</v>
      </c>
      <c r="K720" s="13">
        <v>0.02</v>
      </c>
      <c r="L720" s="13"/>
      <c r="M720" s="13"/>
      <c r="N720" s="13"/>
      <c r="O720" s="13"/>
      <c r="P720" s="21">
        <v>0</v>
      </c>
    </row>
    <row r="721" spans="1:16" x14ac:dyDescent="0.25">
      <c r="A721" s="19"/>
      <c r="B721" s="14"/>
      <c r="C721" s="14" t="s">
        <v>488</v>
      </c>
      <c r="D721" s="38">
        <v>256779414769</v>
      </c>
      <c r="E721" s="13" t="s">
        <v>0</v>
      </c>
      <c r="F721" s="13">
        <v>5629</v>
      </c>
      <c r="G721" s="13" t="s">
        <v>489</v>
      </c>
      <c r="H721" s="13">
        <f t="shared" si="15"/>
        <v>115</v>
      </c>
      <c r="I721" s="13"/>
      <c r="J721" s="13"/>
      <c r="K721" s="13"/>
      <c r="L721" s="13"/>
      <c r="M721" s="13"/>
      <c r="N721" s="13"/>
      <c r="O721" s="13"/>
      <c r="P721" s="21">
        <v>0</v>
      </c>
    </row>
    <row r="722" spans="1:16" s="27" customFormat="1" hidden="1" x14ac:dyDescent="0.25">
      <c r="A722" s="23">
        <v>45932</v>
      </c>
      <c r="B722" s="24" t="s">
        <v>480</v>
      </c>
      <c r="C722" s="24" t="s">
        <v>481</v>
      </c>
      <c r="D722" s="24"/>
      <c r="E722" s="25" t="s">
        <v>0</v>
      </c>
      <c r="F722" s="25" t="s">
        <v>0</v>
      </c>
      <c r="G722" s="25"/>
      <c r="H722" s="13">
        <f t="shared" si="15"/>
        <v>0</v>
      </c>
      <c r="I722" s="25" t="s">
        <v>618</v>
      </c>
      <c r="J722" s="25"/>
      <c r="K722" s="25">
        <v>312.25</v>
      </c>
      <c r="L722" s="25" t="s">
        <v>483</v>
      </c>
      <c r="M722" s="25" t="s">
        <v>629</v>
      </c>
      <c r="N722" s="25"/>
      <c r="O722" s="25">
        <v>26854</v>
      </c>
      <c r="P722" s="26">
        <v>548</v>
      </c>
    </row>
    <row r="723" spans="1:16" hidden="1" x14ac:dyDescent="0.25">
      <c r="A723" s="19" t="s">
        <v>0</v>
      </c>
      <c r="B723" s="14"/>
      <c r="C723" s="14" t="s">
        <v>533</v>
      </c>
      <c r="D723" s="14"/>
      <c r="E723" s="13" t="s">
        <v>0</v>
      </c>
      <c r="F723" s="13" t="s">
        <v>0</v>
      </c>
      <c r="G723" s="13" t="s">
        <v>0</v>
      </c>
      <c r="H723" s="13">
        <f t="shared" si="15"/>
        <v>0</v>
      </c>
      <c r="I723" s="13" t="s">
        <v>0</v>
      </c>
      <c r="J723" s="13" t="s">
        <v>0</v>
      </c>
      <c r="K723" s="13">
        <v>10202.26</v>
      </c>
      <c r="L723" s="13"/>
      <c r="M723" s="13"/>
      <c r="N723" s="13"/>
      <c r="O723" s="13"/>
      <c r="P723" s="21">
        <v>0</v>
      </c>
    </row>
    <row r="724" spans="1:16" hidden="1" x14ac:dyDescent="0.25">
      <c r="A724" s="19" t="s">
        <v>0</v>
      </c>
      <c r="B724" s="14"/>
      <c r="C724" s="14" t="s">
        <v>599</v>
      </c>
      <c r="D724" s="14"/>
      <c r="E724" s="13" t="s">
        <v>0</v>
      </c>
      <c r="F724" s="13" t="s">
        <v>0</v>
      </c>
      <c r="G724" s="13" t="s">
        <v>0</v>
      </c>
      <c r="H724" s="13">
        <f t="shared" si="15"/>
        <v>0</v>
      </c>
      <c r="I724" s="13" t="s">
        <v>0</v>
      </c>
      <c r="J724" s="13" t="s">
        <v>0</v>
      </c>
      <c r="K724" s="13">
        <v>17200.13</v>
      </c>
      <c r="L724" s="13"/>
      <c r="M724" s="13"/>
      <c r="N724" s="13"/>
      <c r="O724" s="13"/>
      <c r="P724" s="21">
        <v>0</v>
      </c>
    </row>
    <row r="725" spans="1:16" hidden="1" x14ac:dyDescent="0.25">
      <c r="A725" s="19" t="s">
        <v>0</v>
      </c>
      <c r="B725" s="14"/>
      <c r="C725" s="14" t="s">
        <v>600</v>
      </c>
      <c r="D725" s="14"/>
      <c r="E725" s="13" t="s">
        <v>0</v>
      </c>
      <c r="F725" s="13" t="s">
        <v>0</v>
      </c>
      <c r="G725" s="13" t="s">
        <v>0</v>
      </c>
      <c r="H725" s="13">
        <f t="shared" si="15"/>
        <v>0</v>
      </c>
      <c r="I725" s="13" t="s">
        <v>0</v>
      </c>
      <c r="J725" s="13" t="s">
        <v>0</v>
      </c>
      <c r="K725" s="13">
        <v>860.01</v>
      </c>
      <c r="L725" s="13"/>
      <c r="M725" s="13"/>
      <c r="N725" s="13"/>
      <c r="O725" s="13"/>
      <c r="P725" s="21">
        <v>0</v>
      </c>
    </row>
    <row r="726" spans="1:16" hidden="1" x14ac:dyDescent="0.25">
      <c r="A726" s="19" t="s">
        <v>0</v>
      </c>
      <c r="B726" s="14"/>
      <c r="C726" s="14" t="s">
        <v>601</v>
      </c>
      <c r="D726" s="14"/>
      <c r="E726" s="13" t="s">
        <v>0</v>
      </c>
      <c r="F726" s="13" t="s">
        <v>0</v>
      </c>
      <c r="G726" s="13" t="s">
        <v>0</v>
      </c>
      <c r="H726" s="13"/>
      <c r="I726" s="13" t="s">
        <v>0</v>
      </c>
      <c r="J726" s="13" t="s">
        <v>0</v>
      </c>
      <c r="K726" s="13"/>
      <c r="L726" s="13">
        <v>860.01</v>
      </c>
      <c r="M726" s="13"/>
      <c r="N726" s="13"/>
      <c r="O726" s="13"/>
      <c r="P726" s="21">
        <v>0</v>
      </c>
    </row>
    <row r="727" spans="1:16" hidden="1" x14ac:dyDescent="0.25">
      <c r="A727" s="19" t="s">
        <v>0</v>
      </c>
      <c r="B727" s="14"/>
      <c r="C727" s="14" t="s">
        <v>525</v>
      </c>
      <c r="D727" s="14"/>
      <c r="E727" s="13" t="s">
        <v>0</v>
      </c>
      <c r="F727" s="13" t="s">
        <v>0</v>
      </c>
      <c r="G727" s="13" t="s">
        <v>0</v>
      </c>
      <c r="H727" s="13">
        <f t="shared" si="15"/>
        <v>0</v>
      </c>
      <c r="I727" s="13" t="s">
        <v>0</v>
      </c>
      <c r="J727" s="13" t="s">
        <v>0</v>
      </c>
      <c r="K727" s="13"/>
      <c r="L727" s="13">
        <v>548</v>
      </c>
      <c r="M727" s="13"/>
      <c r="N727" s="13"/>
      <c r="O727" s="13"/>
      <c r="P727" s="21">
        <v>0</v>
      </c>
    </row>
    <row r="728" spans="1:16" hidden="1" x14ac:dyDescent="0.25">
      <c r="A728" s="19" t="s">
        <v>0</v>
      </c>
      <c r="B728" s="14"/>
      <c r="C728" s="14" t="s">
        <v>487</v>
      </c>
      <c r="D728" s="14"/>
      <c r="E728" s="13" t="s">
        <v>0</v>
      </c>
      <c r="F728" s="13" t="s">
        <v>0</v>
      </c>
      <c r="G728" s="13" t="s">
        <v>0</v>
      </c>
      <c r="H728" s="13">
        <f t="shared" si="15"/>
        <v>0</v>
      </c>
      <c r="I728" s="13" t="s">
        <v>0</v>
      </c>
      <c r="J728" s="13" t="s">
        <v>0</v>
      </c>
      <c r="K728" s="13"/>
      <c r="L728" s="13">
        <v>0.39</v>
      </c>
      <c r="M728" s="13"/>
      <c r="N728" s="13"/>
      <c r="O728" s="13"/>
      <c r="P728" s="21">
        <v>0</v>
      </c>
    </row>
    <row r="729" spans="1:16" s="27" customFormat="1" x14ac:dyDescent="0.25">
      <c r="A729" s="23"/>
      <c r="B729" s="24"/>
      <c r="C729" s="24" t="s">
        <v>488</v>
      </c>
      <c r="D729" s="39">
        <v>256779414803</v>
      </c>
      <c r="E729" s="25" t="s">
        <v>0</v>
      </c>
      <c r="F729" s="25">
        <v>26854</v>
      </c>
      <c r="G729" s="25" t="s">
        <v>489</v>
      </c>
      <c r="H729" s="25">
        <v>548</v>
      </c>
      <c r="I729" s="25"/>
      <c r="J729" s="25"/>
      <c r="K729" s="25"/>
      <c r="L729" s="25"/>
      <c r="M729" s="25"/>
      <c r="N729" s="25"/>
      <c r="O729" s="25"/>
      <c r="P729" s="26">
        <v>0</v>
      </c>
    </row>
    <row r="730" spans="1:16" hidden="1" x14ac:dyDescent="0.25">
      <c r="A730" s="19">
        <v>45932</v>
      </c>
      <c r="B730" s="14" t="s">
        <v>480</v>
      </c>
      <c r="C730" s="14" t="s">
        <v>481</v>
      </c>
      <c r="D730" s="14"/>
      <c r="E730" s="13" t="s">
        <v>0</v>
      </c>
      <c r="F730" s="13" t="s">
        <v>0</v>
      </c>
      <c r="G730" s="13" t="s">
        <v>0</v>
      </c>
      <c r="H730" s="13">
        <f t="shared" si="15"/>
        <v>0</v>
      </c>
      <c r="I730" s="13" t="s">
        <v>618</v>
      </c>
      <c r="J730" s="13"/>
      <c r="K730" s="13">
        <v>51.17</v>
      </c>
      <c r="L730" s="13" t="s">
        <v>483</v>
      </c>
      <c r="M730" s="13" t="s">
        <v>630</v>
      </c>
      <c r="N730" s="13"/>
      <c r="O730" s="13">
        <v>4401</v>
      </c>
      <c r="P730" s="21">
        <v>90</v>
      </c>
    </row>
    <row r="731" spans="1:16" hidden="1" x14ac:dyDescent="0.25">
      <c r="A731" s="19" t="s">
        <v>0</v>
      </c>
      <c r="B731" s="14"/>
      <c r="C731" s="14" t="s">
        <v>533</v>
      </c>
      <c r="D731" s="14"/>
      <c r="E731" s="13" t="s">
        <v>0</v>
      </c>
      <c r="F731" s="13" t="s">
        <v>0</v>
      </c>
      <c r="G731" s="13" t="s">
        <v>0</v>
      </c>
      <c r="H731" s="13">
        <f t="shared" si="15"/>
        <v>0</v>
      </c>
      <c r="I731" s="13" t="s">
        <v>0</v>
      </c>
      <c r="J731" s="13" t="s">
        <v>0</v>
      </c>
      <c r="K731" s="13">
        <v>4490.95</v>
      </c>
      <c r="L731" s="13"/>
      <c r="M731" s="13"/>
      <c r="N731" s="13"/>
      <c r="O731" s="13"/>
      <c r="P731" s="21">
        <v>0</v>
      </c>
    </row>
    <row r="732" spans="1:16" hidden="1" x14ac:dyDescent="0.25">
      <c r="A732" s="19" t="s">
        <v>0</v>
      </c>
      <c r="B732" s="14"/>
      <c r="C732" s="14" t="s">
        <v>525</v>
      </c>
      <c r="D732" s="14"/>
      <c r="E732" s="13" t="s">
        <v>0</v>
      </c>
      <c r="F732" s="13" t="s">
        <v>0</v>
      </c>
      <c r="G732" s="13" t="s">
        <v>0</v>
      </c>
      <c r="H732" s="13">
        <f t="shared" si="15"/>
        <v>0</v>
      </c>
      <c r="I732" s="13" t="s">
        <v>0</v>
      </c>
      <c r="J732" s="13" t="s">
        <v>0</v>
      </c>
      <c r="K732" s="13"/>
      <c r="L732" s="13">
        <v>90</v>
      </c>
      <c r="M732" s="13"/>
      <c r="N732" s="13"/>
      <c r="O732" s="13"/>
      <c r="P732" s="21">
        <v>0</v>
      </c>
    </row>
    <row r="733" spans="1:16" hidden="1" x14ac:dyDescent="0.25">
      <c r="A733" s="19" t="s">
        <v>0</v>
      </c>
      <c r="B733" s="14"/>
      <c r="C733" s="14" t="s">
        <v>487</v>
      </c>
      <c r="D733" s="14"/>
      <c r="E733" s="13" t="s">
        <v>0</v>
      </c>
      <c r="F733" s="13" t="s">
        <v>0</v>
      </c>
      <c r="G733" s="13" t="s">
        <v>0</v>
      </c>
      <c r="H733" s="13">
        <f t="shared" si="15"/>
        <v>0</v>
      </c>
      <c r="I733" s="13" t="s">
        <v>0</v>
      </c>
      <c r="J733" s="13" t="s">
        <v>0</v>
      </c>
      <c r="K733" s="13">
        <v>0.05</v>
      </c>
      <c r="L733" s="13"/>
      <c r="M733" s="13"/>
      <c r="N733" s="13"/>
      <c r="O733" s="13"/>
      <c r="P733" s="21">
        <v>0</v>
      </c>
    </row>
    <row r="734" spans="1:16" x14ac:dyDescent="0.25">
      <c r="A734" s="19"/>
      <c r="B734" s="14"/>
      <c r="C734" s="14" t="s">
        <v>488</v>
      </c>
      <c r="D734" s="38">
        <v>256779414881</v>
      </c>
      <c r="E734" s="13" t="s">
        <v>0</v>
      </c>
      <c r="F734" s="13">
        <v>4401</v>
      </c>
      <c r="G734" s="13" t="s">
        <v>489</v>
      </c>
      <c r="H734" s="13">
        <f t="shared" si="15"/>
        <v>90</v>
      </c>
      <c r="I734" s="13"/>
      <c r="J734" s="13"/>
      <c r="K734" s="13"/>
      <c r="L734" s="13"/>
      <c r="M734" s="13"/>
      <c r="N734" s="13"/>
      <c r="O734" s="13"/>
      <c r="P734" s="21">
        <v>0</v>
      </c>
    </row>
    <row r="735" spans="1:16" hidden="1" x14ac:dyDescent="0.25">
      <c r="A735" s="19">
        <v>45932</v>
      </c>
      <c r="B735" s="14" t="s">
        <v>480</v>
      </c>
      <c r="C735" s="14" t="s">
        <v>481</v>
      </c>
      <c r="D735" s="14"/>
      <c r="E735" s="13" t="s">
        <v>0</v>
      </c>
      <c r="F735" s="13" t="s">
        <v>0</v>
      </c>
      <c r="G735" s="13" t="s">
        <v>0</v>
      </c>
      <c r="H735" s="13">
        <f t="shared" si="15"/>
        <v>0</v>
      </c>
      <c r="I735" s="13" t="s">
        <v>618</v>
      </c>
      <c r="J735" s="13"/>
      <c r="K735" s="13">
        <v>161.44</v>
      </c>
      <c r="L735" s="13" t="s">
        <v>483</v>
      </c>
      <c r="M735" s="13" t="s">
        <v>631</v>
      </c>
      <c r="N735" s="13"/>
      <c r="O735" s="13">
        <v>13884</v>
      </c>
      <c r="P735" s="21">
        <v>283</v>
      </c>
    </row>
    <row r="736" spans="1:16" hidden="1" x14ac:dyDescent="0.25">
      <c r="A736" s="19" t="s">
        <v>0</v>
      </c>
      <c r="B736" s="14"/>
      <c r="C736" s="14" t="s">
        <v>524</v>
      </c>
      <c r="D736" s="14"/>
      <c r="E736" s="13" t="s">
        <v>0</v>
      </c>
      <c r="F736" s="13" t="s">
        <v>0</v>
      </c>
      <c r="G736" s="13" t="s">
        <v>0</v>
      </c>
      <c r="H736" s="13">
        <f t="shared" si="15"/>
        <v>0</v>
      </c>
      <c r="I736" s="13" t="s">
        <v>0</v>
      </c>
      <c r="J736" s="13" t="s">
        <v>0</v>
      </c>
      <c r="K736" s="13">
        <v>14166.89</v>
      </c>
      <c r="L736" s="13"/>
      <c r="M736" s="13"/>
      <c r="N736" s="13"/>
      <c r="O736" s="13"/>
      <c r="P736" s="21">
        <v>0</v>
      </c>
    </row>
    <row r="737" spans="1:16" hidden="1" x14ac:dyDescent="0.25">
      <c r="A737" s="19" t="s">
        <v>0</v>
      </c>
      <c r="B737" s="14"/>
      <c r="C737" s="14" t="s">
        <v>525</v>
      </c>
      <c r="D737" s="14"/>
      <c r="E737" s="13" t="s">
        <v>0</v>
      </c>
      <c r="F737" s="13" t="s">
        <v>0</v>
      </c>
      <c r="G737" s="13" t="s">
        <v>0</v>
      </c>
      <c r="H737" s="13">
        <f t="shared" si="15"/>
        <v>0</v>
      </c>
      <c r="I737" s="13" t="s">
        <v>0</v>
      </c>
      <c r="J737" s="13" t="s">
        <v>0</v>
      </c>
      <c r="K737" s="13"/>
      <c r="L737" s="13">
        <v>283</v>
      </c>
      <c r="M737" s="13"/>
      <c r="N737" s="13"/>
      <c r="O737" s="13"/>
      <c r="P737" s="21">
        <v>0</v>
      </c>
    </row>
    <row r="738" spans="1:16" hidden="1" x14ac:dyDescent="0.25">
      <c r="A738" s="19" t="s">
        <v>0</v>
      </c>
      <c r="B738" s="14"/>
      <c r="C738" s="14" t="s">
        <v>487</v>
      </c>
      <c r="D738" s="14"/>
      <c r="E738" s="13" t="s">
        <v>0</v>
      </c>
      <c r="F738" s="13" t="s">
        <v>0</v>
      </c>
      <c r="G738" s="13" t="s">
        <v>0</v>
      </c>
      <c r="H738" s="13">
        <f t="shared" si="15"/>
        <v>0</v>
      </c>
      <c r="I738" s="13" t="s">
        <v>0</v>
      </c>
      <c r="J738" s="13" t="s">
        <v>0</v>
      </c>
      <c r="K738" s="13">
        <v>0.11</v>
      </c>
      <c r="L738" s="13"/>
      <c r="M738" s="13"/>
      <c r="N738" s="13"/>
      <c r="O738" s="13"/>
      <c r="P738" s="21">
        <v>0</v>
      </c>
    </row>
    <row r="739" spans="1:16" x14ac:dyDescent="0.25">
      <c r="A739" s="19"/>
      <c r="B739" s="14"/>
      <c r="C739" s="14" t="s">
        <v>488</v>
      </c>
      <c r="D739" s="38">
        <v>256779415265</v>
      </c>
      <c r="E739" s="13" t="s">
        <v>0</v>
      </c>
      <c r="F739" s="13">
        <v>13884</v>
      </c>
      <c r="G739" s="13" t="s">
        <v>489</v>
      </c>
      <c r="H739" s="13">
        <f t="shared" si="15"/>
        <v>283</v>
      </c>
      <c r="I739" s="13"/>
      <c r="J739" s="13"/>
      <c r="K739" s="13"/>
      <c r="L739" s="13"/>
      <c r="M739" s="13"/>
      <c r="N739" s="13"/>
      <c r="O739" s="13"/>
      <c r="P739" s="21">
        <v>0</v>
      </c>
    </row>
    <row r="740" spans="1:16" hidden="1" x14ac:dyDescent="0.25">
      <c r="A740" s="19">
        <v>45932</v>
      </c>
      <c r="B740" s="14" t="s">
        <v>480</v>
      </c>
      <c r="C740" s="14" t="s">
        <v>481</v>
      </c>
      <c r="D740" s="14"/>
      <c r="E740" s="13" t="s">
        <v>0</v>
      </c>
      <c r="F740" s="13" t="s">
        <v>0</v>
      </c>
      <c r="G740" s="13" t="s">
        <v>0</v>
      </c>
      <c r="H740" s="13">
        <f t="shared" si="15"/>
        <v>0</v>
      </c>
      <c r="I740" s="13" t="s">
        <v>618</v>
      </c>
      <c r="J740" s="13"/>
      <c r="K740" s="13">
        <v>171.88</v>
      </c>
      <c r="L740" s="13" t="s">
        <v>483</v>
      </c>
      <c r="M740" s="13" t="s">
        <v>632</v>
      </c>
      <c r="N740" s="13"/>
      <c r="O740" s="13">
        <v>14782</v>
      </c>
      <c r="P740" s="21">
        <v>302</v>
      </c>
    </row>
    <row r="741" spans="1:16" hidden="1" x14ac:dyDescent="0.25">
      <c r="A741" s="19" t="s">
        <v>0</v>
      </c>
      <c r="B741" s="14"/>
      <c r="C741" s="14" t="s">
        <v>544</v>
      </c>
      <c r="D741" s="14"/>
      <c r="E741" s="13" t="s">
        <v>0</v>
      </c>
      <c r="F741" s="13" t="s">
        <v>0</v>
      </c>
      <c r="G741" s="13" t="s">
        <v>0</v>
      </c>
      <c r="H741" s="13">
        <f t="shared" si="15"/>
        <v>0</v>
      </c>
      <c r="I741" s="13" t="s">
        <v>0</v>
      </c>
      <c r="J741" s="13" t="s">
        <v>0</v>
      </c>
      <c r="K741" s="13">
        <v>15083.66</v>
      </c>
      <c r="L741" s="13"/>
      <c r="M741" s="13"/>
      <c r="N741" s="13"/>
      <c r="O741" s="13"/>
      <c r="P741" s="21">
        <v>0</v>
      </c>
    </row>
    <row r="742" spans="1:16" hidden="1" x14ac:dyDescent="0.25">
      <c r="A742" s="19" t="s">
        <v>0</v>
      </c>
      <c r="B742" s="14"/>
      <c r="C742" s="14" t="s">
        <v>525</v>
      </c>
      <c r="D742" s="14"/>
      <c r="E742" s="13" t="s">
        <v>0</v>
      </c>
      <c r="F742" s="13" t="s">
        <v>0</v>
      </c>
      <c r="G742" s="13" t="s">
        <v>0</v>
      </c>
      <c r="H742" s="13">
        <f t="shared" si="15"/>
        <v>0</v>
      </c>
      <c r="I742" s="13" t="s">
        <v>0</v>
      </c>
      <c r="J742" s="13" t="s">
        <v>0</v>
      </c>
      <c r="K742" s="13"/>
      <c r="L742" s="13">
        <v>302</v>
      </c>
      <c r="M742" s="13"/>
      <c r="N742" s="13"/>
      <c r="O742" s="13"/>
      <c r="P742" s="21">
        <v>0</v>
      </c>
    </row>
    <row r="743" spans="1:16" hidden="1" x14ac:dyDescent="0.25">
      <c r="A743" s="19" t="s">
        <v>0</v>
      </c>
      <c r="B743" s="14"/>
      <c r="C743" s="14" t="s">
        <v>487</v>
      </c>
      <c r="D743" s="14"/>
      <c r="E743" s="13" t="s">
        <v>0</v>
      </c>
      <c r="F743" s="13" t="s">
        <v>0</v>
      </c>
      <c r="G743" s="13" t="s">
        <v>0</v>
      </c>
      <c r="H743" s="13">
        <f t="shared" si="15"/>
        <v>0</v>
      </c>
      <c r="I743" s="13" t="s">
        <v>0</v>
      </c>
      <c r="J743" s="13" t="s">
        <v>0</v>
      </c>
      <c r="K743" s="13">
        <v>0.34</v>
      </c>
      <c r="L743" s="13"/>
      <c r="M743" s="13"/>
      <c r="N743" s="13"/>
      <c r="O743" s="13"/>
      <c r="P743" s="21">
        <v>0</v>
      </c>
    </row>
    <row r="744" spans="1:16" x14ac:dyDescent="0.25">
      <c r="A744" s="19"/>
      <c r="B744" s="14"/>
      <c r="C744" s="14" t="s">
        <v>488</v>
      </c>
      <c r="D744" s="38">
        <v>256779415020</v>
      </c>
      <c r="E744" s="13" t="s">
        <v>0</v>
      </c>
      <c r="F744" s="13">
        <v>14782</v>
      </c>
      <c r="G744" s="13" t="s">
        <v>489</v>
      </c>
      <c r="H744" s="13">
        <f t="shared" si="15"/>
        <v>302</v>
      </c>
      <c r="I744" s="13"/>
      <c r="J744" s="13"/>
      <c r="K744" s="13"/>
      <c r="L744" s="13"/>
      <c r="M744" s="13"/>
      <c r="N744" s="13"/>
      <c r="O744" s="13"/>
      <c r="P744" s="21">
        <v>0</v>
      </c>
    </row>
    <row r="745" spans="1:16" hidden="1" x14ac:dyDescent="0.25">
      <c r="A745" s="19">
        <v>45932</v>
      </c>
      <c r="B745" s="14" t="s">
        <v>480</v>
      </c>
      <c r="C745" s="14" t="s">
        <v>481</v>
      </c>
      <c r="D745" s="14"/>
      <c r="E745" s="13" t="s">
        <v>0</v>
      </c>
      <c r="F745" s="13" t="s">
        <v>0</v>
      </c>
      <c r="G745" s="13" t="s">
        <v>0</v>
      </c>
      <c r="H745" s="13">
        <f t="shared" si="15"/>
        <v>0</v>
      </c>
      <c r="I745" s="13" t="s">
        <v>618</v>
      </c>
      <c r="J745" s="13"/>
      <c r="K745" s="13">
        <v>108.73</v>
      </c>
      <c r="L745" s="13" t="s">
        <v>483</v>
      </c>
      <c r="M745" s="13" t="s">
        <v>633</v>
      </c>
      <c r="N745" s="13"/>
      <c r="O745" s="13">
        <v>9351</v>
      </c>
      <c r="P745" s="21">
        <v>191</v>
      </c>
    </row>
    <row r="746" spans="1:16" hidden="1" x14ac:dyDescent="0.25">
      <c r="A746" s="19" t="s">
        <v>0</v>
      </c>
      <c r="B746" s="14"/>
      <c r="C746" s="14" t="s">
        <v>533</v>
      </c>
      <c r="D746" s="14"/>
      <c r="E746" s="13" t="s">
        <v>0</v>
      </c>
      <c r="F746" s="13" t="s">
        <v>0</v>
      </c>
      <c r="G746" s="13" t="s">
        <v>0</v>
      </c>
      <c r="H746" s="13">
        <f t="shared" si="15"/>
        <v>0</v>
      </c>
      <c r="I746" s="13" t="s">
        <v>0</v>
      </c>
      <c r="J746" s="13" t="s">
        <v>0</v>
      </c>
      <c r="K746" s="13">
        <v>9541.77</v>
      </c>
      <c r="L746" s="13"/>
      <c r="M746" s="13"/>
      <c r="N746" s="13"/>
      <c r="O746" s="13"/>
      <c r="P746" s="21">
        <v>0</v>
      </c>
    </row>
    <row r="747" spans="1:16" hidden="1" x14ac:dyDescent="0.25">
      <c r="A747" s="19" t="s">
        <v>0</v>
      </c>
      <c r="B747" s="14"/>
      <c r="C747" s="14" t="s">
        <v>525</v>
      </c>
      <c r="D747" s="14"/>
      <c r="E747" s="13" t="s">
        <v>0</v>
      </c>
      <c r="F747" s="13" t="s">
        <v>0</v>
      </c>
      <c r="G747" s="13" t="s">
        <v>0</v>
      </c>
      <c r="H747" s="13">
        <f t="shared" si="15"/>
        <v>0</v>
      </c>
      <c r="I747" s="13" t="s">
        <v>0</v>
      </c>
      <c r="J747" s="13" t="s">
        <v>0</v>
      </c>
      <c r="K747" s="13"/>
      <c r="L747" s="13">
        <v>191</v>
      </c>
      <c r="M747" s="13"/>
      <c r="N747" s="13"/>
      <c r="O747" s="13"/>
      <c r="P747" s="21">
        <v>0</v>
      </c>
    </row>
    <row r="748" spans="1:16" hidden="1" x14ac:dyDescent="0.25">
      <c r="A748" s="19" t="s">
        <v>0</v>
      </c>
      <c r="B748" s="14"/>
      <c r="C748" s="14" t="s">
        <v>487</v>
      </c>
      <c r="D748" s="14"/>
      <c r="E748" s="13" t="s">
        <v>0</v>
      </c>
      <c r="F748" s="13" t="s">
        <v>0</v>
      </c>
      <c r="G748" s="13" t="s">
        <v>0</v>
      </c>
      <c r="H748" s="13">
        <f t="shared" si="15"/>
        <v>0</v>
      </c>
      <c r="I748" s="13" t="s">
        <v>0</v>
      </c>
      <c r="J748" s="13" t="s">
        <v>0</v>
      </c>
      <c r="K748" s="13">
        <v>0.23</v>
      </c>
      <c r="L748" s="13"/>
      <c r="M748" s="13"/>
      <c r="N748" s="13"/>
      <c r="O748" s="13"/>
      <c r="P748" s="21">
        <v>0</v>
      </c>
    </row>
    <row r="749" spans="1:16" x14ac:dyDescent="0.25">
      <c r="A749" s="19"/>
      <c r="B749" s="14"/>
      <c r="C749" s="14" t="s">
        <v>488</v>
      </c>
      <c r="D749" s="38">
        <v>256779415434</v>
      </c>
      <c r="E749" s="13" t="s">
        <v>0</v>
      </c>
      <c r="F749" s="13">
        <v>9351</v>
      </c>
      <c r="G749" s="13" t="s">
        <v>489</v>
      </c>
      <c r="H749" s="13">
        <f t="shared" si="15"/>
        <v>191</v>
      </c>
      <c r="I749" s="13"/>
      <c r="J749" s="13"/>
      <c r="K749" s="13"/>
      <c r="L749" s="13"/>
      <c r="M749" s="13"/>
      <c r="N749" s="13"/>
      <c r="O749" s="13"/>
      <c r="P749" s="21">
        <v>0</v>
      </c>
    </row>
    <row r="750" spans="1:16" s="27" customFormat="1" hidden="1" x14ac:dyDescent="0.25">
      <c r="A750" s="23">
        <v>45932</v>
      </c>
      <c r="B750" s="24" t="s">
        <v>480</v>
      </c>
      <c r="C750" s="24" t="s">
        <v>481</v>
      </c>
      <c r="D750" s="24"/>
      <c r="E750" s="25" t="s">
        <v>0</v>
      </c>
      <c r="F750" s="25" t="s">
        <v>0</v>
      </c>
      <c r="G750" s="25" t="s">
        <v>0</v>
      </c>
      <c r="H750" s="13">
        <f t="shared" si="15"/>
        <v>0</v>
      </c>
      <c r="I750" s="25" t="s">
        <v>624</v>
      </c>
      <c r="J750" s="25"/>
      <c r="K750" s="25">
        <v>196</v>
      </c>
      <c r="L750" s="25" t="s">
        <v>483</v>
      </c>
      <c r="M750" s="25" t="s">
        <v>634</v>
      </c>
      <c r="N750" s="25"/>
      <c r="O750" s="25">
        <v>16856</v>
      </c>
      <c r="P750" s="26">
        <v>344</v>
      </c>
    </row>
    <row r="751" spans="1:16" hidden="1" x14ac:dyDescent="0.25">
      <c r="A751" s="19" t="s">
        <v>0</v>
      </c>
      <c r="B751" s="14"/>
      <c r="C751" s="14" t="s">
        <v>599</v>
      </c>
      <c r="D751" s="14"/>
      <c r="E751" s="13" t="s">
        <v>0</v>
      </c>
      <c r="F751" s="13" t="s">
        <v>0</v>
      </c>
      <c r="G751" s="13" t="s">
        <v>0</v>
      </c>
      <c r="H751" s="13">
        <f t="shared" si="15"/>
        <v>0</v>
      </c>
      <c r="I751" s="13" t="s">
        <v>0</v>
      </c>
      <c r="J751" s="13" t="s">
        <v>0</v>
      </c>
      <c r="K751" s="13">
        <v>17200.13</v>
      </c>
      <c r="L751" s="13"/>
      <c r="M751" s="13"/>
      <c r="N751" s="13"/>
      <c r="O751" s="13"/>
      <c r="P751" s="21">
        <v>0</v>
      </c>
    </row>
    <row r="752" spans="1:16" hidden="1" x14ac:dyDescent="0.25">
      <c r="A752" s="19" t="s">
        <v>0</v>
      </c>
      <c r="B752" s="14"/>
      <c r="C752" s="14" t="s">
        <v>600</v>
      </c>
      <c r="D752" s="14"/>
      <c r="E752" s="13" t="s">
        <v>0</v>
      </c>
      <c r="F752" s="13" t="s">
        <v>0</v>
      </c>
      <c r="G752" s="13" t="s">
        <v>0</v>
      </c>
      <c r="H752" s="13">
        <f t="shared" si="15"/>
        <v>0</v>
      </c>
      <c r="I752" s="13" t="s">
        <v>0</v>
      </c>
      <c r="J752" s="13" t="s">
        <v>0</v>
      </c>
      <c r="K752" s="13">
        <v>860.01</v>
      </c>
      <c r="L752" s="13"/>
      <c r="M752" s="13"/>
      <c r="N752" s="13"/>
      <c r="O752" s="13"/>
      <c r="P752" s="21">
        <v>0</v>
      </c>
    </row>
    <row r="753" spans="1:16" hidden="1" x14ac:dyDescent="0.25">
      <c r="A753" s="19" t="s">
        <v>0</v>
      </c>
      <c r="B753" s="14"/>
      <c r="C753" s="14" t="s">
        <v>601</v>
      </c>
      <c r="D753" s="14"/>
      <c r="E753" s="13" t="s">
        <v>0</v>
      </c>
      <c r="F753" s="13" t="s">
        <v>0</v>
      </c>
      <c r="G753" s="13" t="s">
        <v>0</v>
      </c>
      <c r="H753" s="13">
        <f t="shared" si="15"/>
        <v>0</v>
      </c>
      <c r="I753" s="13" t="s">
        <v>0</v>
      </c>
      <c r="J753" s="13" t="s">
        <v>0</v>
      </c>
      <c r="K753" s="13"/>
      <c r="L753" s="13">
        <v>860.01</v>
      </c>
      <c r="M753" s="13"/>
      <c r="N753" s="13"/>
      <c r="O753" s="13"/>
      <c r="P753" s="21">
        <v>0</v>
      </c>
    </row>
    <row r="754" spans="1:16" hidden="1" x14ac:dyDescent="0.25">
      <c r="A754" s="19" t="s">
        <v>0</v>
      </c>
      <c r="B754" s="14"/>
      <c r="C754" s="14" t="s">
        <v>525</v>
      </c>
      <c r="D754" s="14"/>
      <c r="E754" s="13" t="s">
        <v>0</v>
      </c>
      <c r="F754" s="13" t="s">
        <v>0</v>
      </c>
      <c r="G754" s="13" t="s">
        <v>0</v>
      </c>
      <c r="H754" s="13"/>
      <c r="I754" s="13" t="s">
        <v>0</v>
      </c>
      <c r="J754" s="13" t="s">
        <v>0</v>
      </c>
      <c r="K754" s="13"/>
      <c r="L754" s="13">
        <v>344</v>
      </c>
      <c r="M754" s="13"/>
      <c r="N754" s="13"/>
      <c r="O754" s="13"/>
      <c r="P754" s="21">
        <v>0</v>
      </c>
    </row>
    <row r="755" spans="1:16" hidden="1" x14ac:dyDescent="0.25">
      <c r="A755" s="19" t="s">
        <v>0</v>
      </c>
      <c r="B755" s="14"/>
      <c r="C755" s="14" t="s">
        <v>487</v>
      </c>
      <c r="D755" s="14"/>
      <c r="E755" s="13" t="s">
        <v>0</v>
      </c>
      <c r="F755" s="13" t="s">
        <v>0</v>
      </c>
      <c r="G755" s="13" t="s">
        <v>0</v>
      </c>
      <c r="H755" s="13">
        <f t="shared" si="15"/>
        <v>0</v>
      </c>
      <c r="I755" s="13" t="s">
        <v>0</v>
      </c>
      <c r="J755" s="13" t="s">
        <v>0</v>
      </c>
      <c r="K755" s="13"/>
      <c r="L755" s="13">
        <v>0.13</v>
      </c>
      <c r="M755" s="13"/>
      <c r="N755" s="13"/>
      <c r="O755" s="13"/>
      <c r="P755" s="21">
        <v>0</v>
      </c>
    </row>
    <row r="756" spans="1:16" s="27" customFormat="1" x14ac:dyDescent="0.25">
      <c r="A756" s="23"/>
      <c r="B756" s="24"/>
      <c r="C756" s="24" t="s">
        <v>488</v>
      </c>
      <c r="D756" s="39">
        <v>256779415702</v>
      </c>
      <c r="E756" s="25" t="s">
        <v>0</v>
      </c>
      <c r="F756" s="25">
        <v>16856</v>
      </c>
      <c r="G756" s="25" t="s">
        <v>489</v>
      </c>
      <c r="H756" s="25">
        <v>344</v>
      </c>
      <c r="I756" s="25"/>
      <c r="J756" s="25"/>
      <c r="K756" s="25"/>
      <c r="L756" s="25"/>
      <c r="M756" s="25"/>
      <c r="N756" s="25"/>
      <c r="O756" s="25"/>
      <c r="P756" s="26">
        <v>0</v>
      </c>
    </row>
    <row r="757" spans="1:16" hidden="1" x14ac:dyDescent="0.25">
      <c r="A757" s="19">
        <v>45932</v>
      </c>
      <c r="B757" s="14" t="s">
        <v>480</v>
      </c>
      <c r="C757" s="14" t="s">
        <v>481</v>
      </c>
      <c r="D757" s="14"/>
      <c r="E757" s="13" t="s">
        <v>0</v>
      </c>
      <c r="F757" s="13" t="s">
        <v>0</v>
      </c>
      <c r="G757" s="13" t="s">
        <v>0</v>
      </c>
      <c r="H757" s="13">
        <f t="shared" si="15"/>
        <v>0</v>
      </c>
      <c r="I757" s="13" t="s">
        <v>624</v>
      </c>
      <c r="J757" s="13"/>
      <c r="K757" s="13">
        <v>25.57</v>
      </c>
      <c r="L757" s="13" t="s">
        <v>483</v>
      </c>
      <c r="M757" s="13" t="s">
        <v>635</v>
      </c>
      <c r="N757" s="13"/>
      <c r="O757" s="13">
        <v>2199</v>
      </c>
      <c r="P757" s="21">
        <v>45</v>
      </c>
    </row>
    <row r="758" spans="1:16" hidden="1" x14ac:dyDescent="0.25">
      <c r="A758" s="19" t="s">
        <v>0</v>
      </c>
      <c r="B758" s="14"/>
      <c r="C758" s="14" t="s">
        <v>533</v>
      </c>
      <c r="D758" s="14"/>
      <c r="E758" s="13" t="s">
        <v>0</v>
      </c>
      <c r="F758" s="13" t="s">
        <v>0</v>
      </c>
      <c r="G758" s="13" t="s">
        <v>0</v>
      </c>
      <c r="H758" s="13">
        <f t="shared" si="15"/>
        <v>0</v>
      </c>
      <c r="I758" s="13" t="s">
        <v>0</v>
      </c>
      <c r="J758" s="13" t="s">
        <v>0</v>
      </c>
      <c r="K758" s="13">
        <v>2243.7600000000002</v>
      </c>
      <c r="L758" s="13"/>
      <c r="M758" s="13"/>
      <c r="N758" s="13"/>
      <c r="O758" s="13"/>
      <c r="P758" s="21">
        <v>0</v>
      </c>
    </row>
    <row r="759" spans="1:16" hidden="1" x14ac:dyDescent="0.25">
      <c r="A759" s="19" t="s">
        <v>0</v>
      </c>
      <c r="B759" s="14"/>
      <c r="C759" s="14" t="s">
        <v>525</v>
      </c>
      <c r="D759" s="14"/>
      <c r="E759" s="13" t="s">
        <v>0</v>
      </c>
      <c r="F759" s="13" t="s">
        <v>0</v>
      </c>
      <c r="G759" s="13" t="s">
        <v>0</v>
      </c>
      <c r="H759" s="13">
        <f t="shared" si="15"/>
        <v>0</v>
      </c>
      <c r="I759" s="13" t="s">
        <v>0</v>
      </c>
      <c r="J759" s="13" t="s">
        <v>0</v>
      </c>
      <c r="K759" s="13"/>
      <c r="L759" s="13">
        <v>45</v>
      </c>
      <c r="M759" s="13"/>
      <c r="N759" s="13"/>
      <c r="O759" s="13"/>
      <c r="P759" s="21">
        <v>0</v>
      </c>
    </row>
    <row r="760" spans="1:16" hidden="1" x14ac:dyDescent="0.25">
      <c r="A760" s="19" t="s">
        <v>0</v>
      </c>
      <c r="B760" s="14"/>
      <c r="C760" s="14" t="s">
        <v>487</v>
      </c>
      <c r="D760" s="14"/>
      <c r="E760" s="13" t="s">
        <v>0</v>
      </c>
      <c r="F760" s="13" t="s">
        <v>0</v>
      </c>
      <c r="G760" s="13" t="s">
        <v>0</v>
      </c>
      <c r="H760" s="13">
        <f t="shared" si="15"/>
        <v>0</v>
      </c>
      <c r="I760" s="13" t="s">
        <v>0</v>
      </c>
      <c r="J760" s="13" t="s">
        <v>0</v>
      </c>
      <c r="K760" s="13">
        <v>0.24</v>
      </c>
      <c r="L760" s="13"/>
      <c r="M760" s="13"/>
      <c r="N760" s="13"/>
      <c r="O760" s="13"/>
      <c r="P760" s="21">
        <v>0</v>
      </c>
    </row>
    <row r="761" spans="1:16" x14ac:dyDescent="0.25">
      <c r="A761" s="19"/>
      <c r="B761" s="14"/>
      <c r="C761" s="14" t="s">
        <v>488</v>
      </c>
      <c r="D761" s="38">
        <v>256779415445</v>
      </c>
      <c r="E761" s="13" t="s">
        <v>0</v>
      </c>
      <c r="F761" s="13">
        <v>2199</v>
      </c>
      <c r="G761" s="13" t="s">
        <v>489</v>
      </c>
      <c r="H761" s="13">
        <f t="shared" si="15"/>
        <v>45</v>
      </c>
      <c r="I761" s="13"/>
      <c r="J761" s="13"/>
      <c r="K761" s="13"/>
      <c r="L761" s="13"/>
      <c r="M761" s="13"/>
      <c r="N761" s="13"/>
      <c r="O761" s="13"/>
      <c r="P761" s="21">
        <v>0</v>
      </c>
    </row>
    <row r="762" spans="1:16" hidden="1" x14ac:dyDescent="0.25">
      <c r="A762" s="19">
        <v>45932</v>
      </c>
      <c r="B762" s="14" t="s">
        <v>480</v>
      </c>
      <c r="C762" s="14" t="s">
        <v>481</v>
      </c>
      <c r="D762" s="14"/>
      <c r="E762" s="13" t="s">
        <v>0</v>
      </c>
      <c r="F762" s="13" t="s">
        <v>0</v>
      </c>
      <c r="G762" s="13" t="s">
        <v>0</v>
      </c>
      <c r="H762" s="13">
        <f t="shared" si="15"/>
        <v>0</v>
      </c>
      <c r="I762" s="13" t="s">
        <v>624</v>
      </c>
      <c r="J762" s="13"/>
      <c r="K762" s="13">
        <v>72.27</v>
      </c>
      <c r="L762" s="13" t="s">
        <v>483</v>
      </c>
      <c r="M762" s="13" t="s">
        <v>551</v>
      </c>
      <c r="N762" s="13"/>
      <c r="O762" s="13">
        <v>6215</v>
      </c>
      <c r="P762" s="21">
        <v>127</v>
      </c>
    </row>
    <row r="763" spans="1:16" hidden="1" x14ac:dyDescent="0.25">
      <c r="A763" s="19" t="s">
        <v>0</v>
      </c>
      <c r="B763" s="14"/>
      <c r="C763" s="14" t="s">
        <v>544</v>
      </c>
      <c r="D763" s="14"/>
      <c r="E763" s="13" t="s">
        <v>0</v>
      </c>
      <c r="F763" s="13" t="s">
        <v>0</v>
      </c>
      <c r="G763" s="13" t="s">
        <v>0</v>
      </c>
      <c r="H763" s="13">
        <f t="shared" si="15"/>
        <v>0</v>
      </c>
      <c r="I763" s="13" t="s">
        <v>0</v>
      </c>
      <c r="J763" s="13" t="s">
        <v>0</v>
      </c>
      <c r="K763" s="13">
        <v>6341.69</v>
      </c>
      <c r="L763" s="13"/>
      <c r="M763" s="13"/>
      <c r="N763" s="13"/>
      <c r="O763" s="13"/>
      <c r="P763" s="21">
        <v>0</v>
      </c>
    </row>
    <row r="764" spans="1:16" hidden="1" x14ac:dyDescent="0.25">
      <c r="A764" s="19" t="s">
        <v>0</v>
      </c>
      <c r="B764" s="14"/>
      <c r="C764" s="14" t="s">
        <v>525</v>
      </c>
      <c r="D764" s="14"/>
      <c r="E764" s="13" t="s">
        <v>0</v>
      </c>
      <c r="F764" s="13" t="s">
        <v>0</v>
      </c>
      <c r="G764" s="13" t="s">
        <v>0</v>
      </c>
      <c r="H764" s="13">
        <f t="shared" si="15"/>
        <v>0</v>
      </c>
      <c r="I764" s="13" t="s">
        <v>0</v>
      </c>
      <c r="J764" s="13" t="s">
        <v>0</v>
      </c>
      <c r="K764" s="13"/>
      <c r="L764" s="13">
        <v>127</v>
      </c>
      <c r="M764" s="13"/>
      <c r="N764" s="13"/>
      <c r="O764" s="13"/>
      <c r="P764" s="21">
        <v>0</v>
      </c>
    </row>
    <row r="765" spans="1:16" hidden="1" x14ac:dyDescent="0.25">
      <c r="A765" s="19" t="s">
        <v>0</v>
      </c>
      <c r="B765" s="14"/>
      <c r="C765" s="14" t="s">
        <v>487</v>
      </c>
      <c r="D765" s="14"/>
      <c r="E765" s="13" t="s">
        <v>0</v>
      </c>
      <c r="F765" s="13" t="s">
        <v>0</v>
      </c>
      <c r="G765" s="13" t="s">
        <v>0</v>
      </c>
      <c r="H765" s="13">
        <f t="shared" si="15"/>
        <v>0</v>
      </c>
      <c r="I765" s="13" t="s">
        <v>0</v>
      </c>
      <c r="J765" s="13" t="s">
        <v>0</v>
      </c>
      <c r="K765" s="13">
        <v>0.31</v>
      </c>
      <c r="L765" s="13"/>
      <c r="M765" s="13"/>
      <c r="N765" s="13"/>
      <c r="O765" s="13"/>
      <c r="P765" s="21">
        <v>0</v>
      </c>
    </row>
    <row r="766" spans="1:16" x14ac:dyDescent="0.25">
      <c r="A766" s="19"/>
      <c r="B766" s="14"/>
      <c r="C766" s="14" t="s">
        <v>488</v>
      </c>
      <c r="D766" s="38">
        <v>256779415458</v>
      </c>
      <c r="E766" s="13" t="s">
        <v>0</v>
      </c>
      <c r="F766" s="13">
        <v>6215</v>
      </c>
      <c r="G766" s="13" t="s">
        <v>489</v>
      </c>
      <c r="H766" s="13">
        <f t="shared" si="15"/>
        <v>127</v>
      </c>
      <c r="I766" s="13"/>
      <c r="J766" s="13"/>
      <c r="K766" s="13"/>
      <c r="L766" s="13"/>
      <c r="M766" s="13"/>
      <c r="N766" s="13"/>
      <c r="O766" s="13"/>
      <c r="P766" s="21">
        <v>0</v>
      </c>
    </row>
    <row r="767" spans="1:16" s="27" customFormat="1" hidden="1" x14ac:dyDescent="0.25">
      <c r="A767" s="23">
        <v>45932</v>
      </c>
      <c r="B767" s="24" t="s">
        <v>480</v>
      </c>
      <c r="C767" s="24" t="s">
        <v>481</v>
      </c>
      <c r="D767" s="24"/>
      <c r="E767" s="25" t="s">
        <v>0</v>
      </c>
      <c r="F767" s="25" t="s">
        <v>0</v>
      </c>
      <c r="G767" s="25" t="s">
        <v>0</v>
      </c>
      <c r="H767" s="13">
        <f t="shared" si="15"/>
        <v>0</v>
      </c>
      <c r="I767" s="25" t="s">
        <v>624</v>
      </c>
      <c r="J767" s="25"/>
      <c r="K767" s="25">
        <v>234.41</v>
      </c>
      <c r="L767" s="25" t="s">
        <v>483</v>
      </c>
      <c r="M767" s="25" t="s">
        <v>636</v>
      </c>
      <c r="N767" s="25"/>
      <c r="O767" s="25">
        <v>20159</v>
      </c>
      <c r="P767" s="26">
        <v>411</v>
      </c>
    </row>
    <row r="768" spans="1:16" hidden="1" x14ac:dyDescent="0.25">
      <c r="A768" s="19" t="s">
        <v>0</v>
      </c>
      <c r="B768" s="14"/>
      <c r="C768" s="14" t="s">
        <v>533</v>
      </c>
      <c r="D768" s="14"/>
      <c r="E768" s="13" t="s">
        <v>0</v>
      </c>
      <c r="F768" s="13" t="s">
        <v>0</v>
      </c>
      <c r="G768" s="13" t="s">
        <v>0</v>
      </c>
      <c r="H768" s="13">
        <f t="shared" si="15"/>
        <v>0</v>
      </c>
      <c r="I768" s="13" t="s">
        <v>0</v>
      </c>
      <c r="J768" s="13" t="s">
        <v>0</v>
      </c>
      <c r="K768" s="13">
        <v>11110.43</v>
      </c>
      <c r="L768" s="13"/>
      <c r="M768" s="13"/>
      <c r="N768" s="13"/>
      <c r="O768" s="13"/>
      <c r="P768" s="21">
        <v>0</v>
      </c>
    </row>
    <row r="769" spans="1:16" hidden="1" x14ac:dyDescent="0.25">
      <c r="A769" s="19" t="s">
        <v>0</v>
      </c>
      <c r="B769" s="14"/>
      <c r="C769" s="14" t="s">
        <v>599</v>
      </c>
      <c r="D769" s="14"/>
      <c r="E769" s="13" t="s">
        <v>0</v>
      </c>
      <c r="F769" s="13" t="s">
        <v>0</v>
      </c>
      <c r="G769" s="13" t="s">
        <v>0</v>
      </c>
      <c r="H769" s="13">
        <f t="shared" si="15"/>
        <v>0</v>
      </c>
      <c r="I769" s="13" t="s">
        <v>0</v>
      </c>
      <c r="J769" s="13" t="s">
        <v>0</v>
      </c>
      <c r="K769" s="13">
        <v>9460</v>
      </c>
      <c r="L769" s="13"/>
      <c r="M769" s="13"/>
      <c r="N769" s="13"/>
      <c r="O769" s="13"/>
      <c r="P769" s="21">
        <v>0</v>
      </c>
    </row>
    <row r="770" spans="1:16" hidden="1" x14ac:dyDescent="0.25">
      <c r="A770" s="19" t="s">
        <v>0</v>
      </c>
      <c r="B770" s="14"/>
      <c r="C770" s="14" t="s">
        <v>600</v>
      </c>
      <c r="D770" s="14"/>
      <c r="E770" s="13" t="s">
        <v>0</v>
      </c>
      <c r="F770" s="13" t="s">
        <v>0</v>
      </c>
      <c r="G770" s="13" t="s">
        <v>0</v>
      </c>
      <c r="H770" s="13">
        <f t="shared" si="15"/>
        <v>0</v>
      </c>
      <c r="I770" s="13" t="s">
        <v>0</v>
      </c>
      <c r="J770" s="13" t="s">
        <v>0</v>
      </c>
      <c r="K770" s="13">
        <v>473</v>
      </c>
      <c r="L770" s="13"/>
      <c r="M770" s="13"/>
      <c r="N770" s="13"/>
      <c r="O770" s="13"/>
      <c r="P770" s="21">
        <v>0</v>
      </c>
    </row>
    <row r="771" spans="1:16" hidden="1" x14ac:dyDescent="0.25">
      <c r="A771" s="19" t="s">
        <v>0</v>
      </c>
      <c r="B771" s="14"/>
      <c r="C771" s="14" t="s">
        <v>601</v>
      </c>
      <c r="D771" s="14"/>
      <c r="E771" s="13" t="s">
        <v>0</v>
      </c>
      <c r="F771" s="13" t="s">
        <v>0</v>
      </c>
      <c r="G771" s="13" t="s">
        <v>0</v>
      </c>
      <c r="H771" s="13"/>
      <c r="I771" s="13" t="s">
        <v>0</v>
      </c>
      <c r="J771" s="13" t="s">
        <v>0</v>
      </c>
      <c r="K771" s="13"/>
      <c r="L771" s="13">
        <v>473</v>
      </c>
      <c r="M771" s="13"/>
      <c r="N771" s="13"/>
      <c r="O771" s="13"/>
      <c r="P771" s="21">
        <v>0</v>
      </c>
    </row>
    <row r="772" spans="1:16" hidden="1" x14ac:dyDescent="0.25">
      <c r="A772" s="19" t="s">
        <v>0</v>
      </c>
      <c r="B772" s="14"/>
      <c r="C772" s="14" t="s">
        <v>525</v>
      </c>
      <c r="D772" s="14"/>
      <c r="E772" s="13" t="s">
        <v>0</v>
      </c>
      <c r="F772" s="13" t="s">
        <v>0</v>
      </c>
      <c r="G772" s="13" t="s">
        <v>0</v>
      </c>
      <c r="H772" s="13">
        <f t="shared" si="15"/>
        <v>0</v>
      </c>
      <c r="I772" s="13" t="s">
        <v>0</v>
      </c>
      <c r="J772" s="13" t="s">
        <v>0</v>
      </c>
      <c r="K772" s="13"/>
      <c r="L772" s="13">
        <v>411</v>
      </c>
      <c r="M772" s="13"/>
      <c r="N772" s="13"/>
      <c r="O772" s="13"/>
      <c r="P772" s="21">
        <v>0</v>
      </c>
    </row>
    <row r="773" spans="1:16" hidden="1" x14ac:dyDescent="0.25">
      <c r="A773" s="19" t="s">
        <v>0</v>
      </c>
      <c r="B773" s="14"/>
      <c r="C773" s="14" t="s">
        <v>487</v>
      </c>
      <c r="D773" s="14"/>
      <c r="E773" s="13" t="s">
        <v>0</v>
      </c>
      <c r="F773" s="13" t="s">
        <v>0</v>
      </c>
      <c r="G773" s="13" t="s">
        <v>0</v>
      </c>
      <c r="H773" s="13">
        <f t="shared" si="15"/>
        <v>0</v>
      </c>
      <c r="I773" s="13" t="s">
        <v>0</v>
      </c>
      <c r="J773" s="13" t="s">
        <v>0</v>
      </c>
      <c r="K773" s="13"/>
      <c r="L773" s="13">
        <v>0.43</v>
      </c>
      <c r="M773" s="13"/>
      <c r="N773" s="13"/>
      <c r="O773" s="13"/>
      <c r="P773" s="21">
        <v>0</v>
      </c>
    </row>
    <row r="774" spans="1:16" s="27" customFormat="1" x14ac:dyDescent="0.25">
      <c r="A774" s="23"/>
      <c r="B774" s="24"/>
      <c r="C774" s="24" t="s">
        <v>488</v>
      </c>
      <c r="D774" s="39">
        <v>256779415486</v>
      </c>
      <c r="E774" s="25" t="s">
        <v>0</v>
      </c>
      <c r="F774" s="25">
        <v>20159</v>
      </c>
      <c r="G774" s="25" t="s">
        <v>489</v>
      </c>
      <c r="H774" s="25">
        <v>411</v>
      </c>
      <c r="I774" s="25"/>
      <c r="J774" s="25"/>
      <c r="K774" s="25"/>
      <c r="L774" s="25"/>
      <c r="M774" s="25"/>
      <c r="N774" s="25"/>
      <c r="O774" s="25"/>
      <c r="P774" s="26">
        <v>0</v>
      </c>
    </row>
    <row r="775" spans="1:16" hidden="1" x14ac:dyDescent="0.25">
      <c r="A775" s="19">
        <v>45932</v>
      </c>
      <c r="B775" s="14" t="s">
        <v>480</v>
      </c>
      <c r="C775" s="14" t="s">
        <v>481</v>
      </c>
      <c r="D775" s="14"/>
      <c r="E775" s="13" t="s">
        <v>0</v>
      </c>
      <c r="F775" s="13" t="s">
        <v>0</v>
      </c>
      <c r="G775" s="13" t="s">
        <v>0</v>
      </c>
      <c r="H775" s="13">
        <f t="shared" si="15"/>
        <v>0</v>
      </c>
      <c r="I775" s="13" t="s">
        <v>624</v>
      </c>
      <c r="J775" s="13"/>
      <c r="K775" s="13">
        <v>2.7</v>
      </c>
      <c r="L775" s="13" t="s">
        <v>483</v>
      </c>
      <c r="M775" s="13" t="s">
        <v>637</v>
      </c>
      <c r="N775" s="13"/>
      <c r="O775" s="13">
        <v>232</v>
      </c>
      <c r="P775" s="21">
        <v>5</v>
      </c>
    </row>
    <row r="776" spans="1:16" hidden="1" x14ac:dyDescent="0.25">
      <c r="A776" s="19" t="s">
        <v>0</v>
      </c>
      <c r="B776" s="14"/>
      <c r="C776" s="14" t="s">
        <v>544</v>
      </c>
      <c r="D776" s="14"/>
      <c r="E776" s="13" t="s">
        <v>0</v>
      </c>
      <c r="F776" s="13" t="s">
        <v>0</v>
      </c>
      <c r="G776" s="13" t="s">
        <v>0</v>
      </c>
      <c r="H776" s="13">
        <f t="shared" ref="H776:H839" si="16">P772</f>
        <v>0</v>
      </c>
      <c r="I776" s="13" t="s">
        <v>0</v>
      </c>
      <c r="J776" s="13" t="s">
        <v>0</v>
      </c>
      <c r="K776" s="13">
        <v>236.5</v>
      </c>
      <c r="L776" s="13"/>
      <c r="M776" s="13"/>
      <c r="N776" s="13"/>
      <c r="O776" s="13"/>
      <c r="P776" s="21">
        <v>0</v>
      </c>
    </row>
    <row r="777" spans="1:16" hidden="1" x14ac:dyDescent="0.25">
      <c r="A777" s="19" t="s">
        <v>0</v>
      </c>
      <c r="B777" s="14"/>
      <c r="C777" s="14" t="s">
        <v>525</v>
      </c>
      <c r="D777" s="14"/>
      <c r="E777" s="13" t="s">
        <v>0</v>
      </c>
      <c r="F777" s="13" t="s">
        <v>0</v>
      </c>
      <c r="G777" s="13" t="s">
        <v>0</v>
      </c>
      <c r="H777" s="13">
        <f t="shared" si="16"/>
        <v>0</v>
      </c>
      <c r="I777" s="13" t="s">
        <v>0</v>
      </c>
      <c r="J777" s="13" t="s">
        <v>0</v>
      </c>
      <c r="K777" s="13"/>
      <c r="L777" s="13">
        <v>5</v>
      </c>
      <c r="M777" s="13"/>
      <c r="N777" s="13"/>
      <c r="O777" s="13"/>
      <c r="P777" s="21">
        <v>0</v>
      </c>
    </row>
    <row r="778" spans="1:16" hidden="1" x14ac:dyDescent="0.25">
      <c r="A778" s="19" t="s">
        <v>0</v>
      </c>
      <c r="B778" s="14"/>
      <c r="C778" s="14" t="s">
        <v>487</v>
      </c>
      <c r="D778" s="14"/>
      <c r="E778" s="13" t="s">
        <v>0</v>
      </c>
      <c r="F778" s="13" t="s">
        <v>0</v>
      </c>
      <c r="G778" s="13" t="s">
        <v>0</v>
      </c>
      <c r="H778" s="13">
        <f t="shared" si="16"/>
        <v>0</v>
      </c>
      <c r="I778" s="13" t="s">
        <v>0</v>
      </c>
      <c r="J778" s="13" t="s">
        <v>0</v>
      </c>
      <c r="K778" s="13">
        <v>0.5</v>
      </c>
      <c r="L778" s="13"/>
      <c r="M778" s="13"/>
      <c r="N778" s="13"/>
      <c r="O778" s="13"/>
      <c r="P778" s="21">
        <v>0</v>
      </c>
    </row>
    <row r="779" spans="1:16" x14ac:dyDescent="0.25">
      <c r="A779" s="19"/>
      <c r="B779" s="14"/>
      <c r="C779" s="14" t="s">
        <v>488</v>
      </c>
      <c r="D779" s="38">
        <v>256779415526</v>
      </c>
      <c r="E779" s="13" t="s">
        <v>0</v>
      </c>
      <c r="F779" s="13">
        <v>232</v>
      </c>
      <c r="G779" s="13" t="s">
        <v>489</v>
      </c>
      <c r="H779" s="13">
        <f t="shared" si="16"/>
        <v>5</v>
      </c>
      <c r="I779" s="13"/>
      <c r="J779" s="13"/>
      <c r="K779" s="13"/>
      <c r="L779" s="13"/>
      <c r="M779" s="13"/>
      <c r="N779" s="13"/>
      <c r="O779" s="13"/>
      <c r="P779" s="21">
        <v>0</v>
      </c>
    </row>
    <row r="780" spans="1:16" hidden="1" x14ac:dyDescent="0.25">
      <c r="A780" s="19">
        <v>45932</v>
      </c>
      <c r="B780" s="14" t="s">
        <v>480</v>
      </c>
      <c r="C780" s="14" t="s">
        <v>481</v>
      </c>
      <c r="D780" s="14"/>
      <c r="E780" s="13" t="s">
        <v>0</v>
      </c>
      <c r="F780" s="13" t="s">
        <v>0</v>
      </c>
      <c r="G780" s="13" t="s">
        <v>0</v>
      </c>
      <c r="H780" s="13">
        <f t="shared" si="16"/>
        <v>0</v>
      </c>
      <c r="I780" s="13" t="s">
        <v>614</v>
      </c>
      <c r="J780" s="13"/>
      <c r="K780" s="13">
        <v>28.67</v>
      </c>
      <c r="L780" s="13" t="s">
        <v>483</v>
      </c>
      <c r="M780" s="13" t="s">
        <v>638</v>
      </c>
      <c r="N780" s="13"/>
      <c r="O780" s="13">
        <v>2466</v>
      </c>
      <c r="P780" s="21">
        <v>50</v>
      </c>
    </row>
    <row r="781" spans="1:16" hidden="1" x14ac:dyDescent="0.25">
      <c r="A781" s="19" t="s">
        <v>0</v>
      </c>
      <c r="B781" s="14"/>
      <c r="C781" s="14" t="s">
        <v>533</v>
      </c>
      <c r="D781" s="14"/>
      <c r="E781" s="13" t="s">
        <v>0</v>
      </c>
      <c r="F781" s="13" t="s">
        <v>0</v>
      </c>
      <c r="G781" s="13" t="s">
        <v>0</v>
      </c>
      <c r="H781" s="13">
        <f t="shared" si="16"/>
        <v>0</v>
      </c>
      <c r="I781" s="13" t="s">
        <v>0</v>
      </c>
      <c r="J781" s="13" t="s">
        <v>0</v>
      </c>
      <c r="K781" s="13">
        <v>2515.52</v>
      </c>
      <c r="L781" s="13"/>
      <c r="M781" s="13"/>
      <c r="N781" s="13"/>
      <c r="O781" s="13"/>
      <c r="P781" s="21">
        <v>0</v>
      </c>
    </row>
    <row r="782" spans="1:16" hidden="1" x14ac:dyDescent="0.25">
      <c r="A782" s="19" t="s">
        <v>0</v>
      </c>
      <c r="B782" s="14"/>
      <c r="C782" s="14" t="s">
        <v>525</v>
      </c>
      <c r="D782" s="14"/>
      <c r="E782" s="13" t="s">
        <v>0</v>
      </c>
      <c r="F782" s="13" t="s">
        <v>0</v>
      </c>
      <c r="G782" s="13" t="s">
        <v>0</v>
      </c>
      <c r="H782" s="13">
        <f t="shared" si="16"/>
        <v>0</v>
      </c>
      <c r="I782" s="13" t="s">
        <v>0</v>
      </c>
      <c r="J782" s="13" t="s">
        <v>0</v>
      </c>
      <c r="K782" s="13"/>
      <c r="L782" s="13">
        <v>50</v>
      </c>
      <c r="M782" s="13"/>
      <c r="N782" s="13"/>
      <c r="O782" s="13"/>
      <c r="P782" s="21">
        <v>0</v>
      </c>
    </row>
    <row r="783" spans="1:16" hidden="1" x14ac:dyDescent="0.25">
      <c r="A783" s="19" t="s">
        <v>0</v>
      </c>
      <c r="B783" s="14"/>
      <c r="C783" s="14" t="s">
        <v>487</v>
      </c>
      <c r="D783" s="14"/>
      <c r="E783" s="13" t="s">
        <v>0</v>
      </c>
      <c r="F783" s="13" t="s">
        <v>0</v>
      </c>
      <c r="G783" s="13" t="s">
        <v>0</v>
      </c>
      <c r="H783" s="13">
        <f t="shared" si="16"/>
        <v>0</v>
      </c>
      <c r="I783" s="13" t="s">
        <v>0</v>
      </c>
      <c r="J783" s="13" t="s">
        <v>0</v>
      </c>
      <c r="K783" s="13">
        <v>0.48</v>
      </c>
      <c r="L783" s="13"/>
      <c r="M783" s="13"/>
      <c r="N783" s="13"/>
      <c r="O783" s="13"/>
      <c r="P783" s="21">
        <v>0</v>
      </c>
    </row>
    <row r="784" spans="1:16" x14ac:dyDescent="0.25">
      <c r="A784" s="19"/>
      <c r="B784" s="14"/>
      <c r="C784" s="14" t="s">
        <v>488</v>
      </c>
      <c r="D784" s="38">
        <v>256779415946</v>
      </c>
      <c r="E784" s="13" t="s">
        <v>0</v>
      </c>
      <c r="F784" s="13">
        <v>2466</v>
      </c>
      <c r="G784" s="13" t="s">
        <v>489</v>
      </c>
      <c r="H784" s="13">
        <f t="shared" si="16"/>
        <v>50</v>
      </c>
      <c r="I784" s="13"/>
      <c r="J784" s="13"/>
      <c r="K784" s="13"/>
      <c r="L784" s="13"/>
      <c r="M784" s="13"/>
      <c r="N784" s="13"/>
      <c r="O784" s="13"/>
      <c r="P784" s="21">
        <v>0</v>
      </c>
    </row>
    <row r="785" spans="1:16" hidden="1" x14ac:dyDescent="0.25">
      <c r="A785" s="19">
        <v>45932</v>
      </c>
      <c r="B785" s="14" t="s">
        <v>480</v>
      </c>
      <c r="C785" s="14" t="s">
        <v>481</v>
      </c>
      <c r="D785" s="14"/>
      <c r="E785" s="13" t="s">
        <v>0</v>
      </c>
      <c r="F785" s="13" t="s">
        <v>0</v>
      </c>
      <c r="G785" s="13" t="s">
        <v>0</v>
      </c>
      <c r="H785" s="13">
        <f t="shared" si="16"/>
        <v>0</v>
      </c>
      <c r="I785" s="13" t="s">
        <v>614</v>
      </c>
      <c r="J785" s="13"/>
      <c r="K785" s="13">
        <v>148.55000000000001</v>
      </c>
      <c r="L785" s="13" t="s">
        <v>483</v>
      </c>
      <c r="M785" s="13" t="s">
        <v>639</v>
      </c>
      <c r="N785" s="13"/>
      <c r="O785" s="13">
        <v>12698</v>
      </c>
      <c r="P785" s="21">
        <v>259</v>
      </c>
    </row>
    <row r="786" spans="1:16" hidden="1" x14ac:dyDescent="0.25">
      <c r="A786" s="19" t="s">
        <v>0</v>
      </c>
      <c r="B786" s="14"/>
      <c r="C786" s="14" t="s">
        <v>524</v>
      </c>
      <c r="D786" s="14"/>
      <c r="E786" s="13" t="s">
        <v>0</v>
      </c>
      <c r="F786" s="13" t="s">
        <v>0</v>
      </c>
      <c r="G786" s="13" t="s">
        <v>0</v>
      </c>
      <c r="H786" s="13">
        <f t="shared" si="16"/>
        <v>0</v>
      </c>
      <c r="I786" s="13" t="s">
        <v>0</v>
      </c>
      <c r="J786" s="13" t="s">
        <v>0</v>
      </c>
      <c r="K786" s="13">
        <v>12957.06</v>
      </c>
      <c r="L786" s="13"/>
      <c r="M786" s="13"/>
      <c r="N786" s="13"/>
      <c r="O786" s="13"/>
      <c r="P786" s="21">
        <v>0</v>
      </c>
    </row>
    <row r="787" spans="1:16" hidden="1" x14ac:dyDescent="0.25">
      <c r="A787" s="19" t="s">
        <v>0</v>
      </c>
      <c r="B787" s="14"/>
      <c r="C787" s="14" t="s">
        <v>525</v>
      </c>
      <c r="D787" s="14"/>
      <c r="E787" s="13" t="s">
        <v>0</v>
      </c>
      <c r="F787" s="13" t="s">
        <v>0</v>
      </c>
      <c r="G787" s="13" t="s">
        <v>0</v>
      </c>
      <c r="H787" s="13">
        <f t="shared" si="16"/>
        <v>0</v>
      </c>
      <c r="I787" s="13" t="s">
        <v>0</v>
      </c>
      <c r="J787" s="13" t="s">
        <v>0</v>
      </c>
      <c r="K787" s="13"/>
      <c r="L787" s="13">
        <v>259</v>
      </c>
      <c r="M787" s="13"/>
      <c r="N787" s="13"/>
      <c r="O787" s="13"/>
      <c r="P787" s="21">
        <v>0</v>
      </c>
    </row>
    <row r="788" spans="1:16" hidden="1" x14ac:dyDescent="0.25">
      <c r="A788" s="19" t="s">
        <v>0</v>
      </c>
      <c r="B788" s="14"/>
      <c r="C788" s="14" t="s">
        <v>487</v>
      </c>
      <c r="D788" s="14"/>
      <c r="E788" s="13" t="s">
        <v>0</v>
      </c>
      <c r="F788" s="13" t="s">
        <v>0</v>
      </c>
      <c r="G788" s="13" t="s">
        <v>0</v>
      </c>
      <c r="H788" s="13">
        <f t="shared" si="16"/>
        <v>0</v>
      </c>
      <c r="I788" s="13" t="s">
        <v>0</v>
      </c>
      <c r="J788" s="13" t="s">
        <v>0</v>
      </c>
      <c r="K788" s="13"/>
      <c r="L788" s="13">
        <v>0.06</v>
      </c>
      <c r="M788" s="13"/>
      <c r="N788" s="13"/>
      <c r="O788" s="13"/>
      <c r="P788" s="21">
        <v>0</v>
      </c>
    </row>
    <row r="789" spans="1:16" x14ac:dyDescent="0.25">
      <c r="A789" s="19"/>
      <c r="B789" s="14"/>
      <c r="C789" s="14" t="s">
        <v>488</v>
      </c>
      <c r="D789" s="38">
        <v>256779416000</v>
      </c>
      <c r="E789" s="13" t="s">
        <v>0</v>
      </c>
      <c r="F789" s="13">
        <v>12698</v>
      </c>
      <c r="G789" s="13" t="s">
        <v>489</v>
      </c>
      <c r="H789" s="13">
        <f t="shared" si="16"/>
        <v>259</v>
      </c>
      <c r="I789" s="13"/>
      <c r="J789" s="13"/>
      <c r="K789" s="13"/>
      <c r="L789" s="13"/>
      <c r="M789" s="13"/>
      <c r="N789" s="13"/>
      <c r="O789" s="13"/>
      <c r="P789" s="21">
        <v>0</v>
      </c>
    </row>
    <row r="790" spans="1:16" hidden="1" x14ac:dyDescent="0.25">
      <c r="A790" s="19">
        <v>45932</v>
      </c>
      <c r="B790" s="14" t="s">
        <v>480</v>
      </c>
      <c r="C790" s="14" t="s">
        <v>481</v>
      </c>
      <c r="D790" s="14"/>
      <c r="E790" s="13" t="s">
        <v>0</v>
      </c>
      <c r="F790" s="13" t="s">
        <v>0</v>
      </c>
      <c r="G790" s="13" t="s">
        <v>0</v>
      </c>
      <c r="H790" s="13">
        <f t="shared" si="16"/>
        <v>0</v>
      </c>
      <c r="I790" s="13" t="s">
        <v>624</v>
      </c>
      <c r="J790" s="13"/>
      <c r="K790" s="13">
        <v>25.75</v>
      </c>
      <c r="L790" s="13" t="s">
        <v>483</v>
      </c>
      <c r="M790" s="13" t="s">
        <v>640</v>
      </c>
      <c r="N790" s="13"/>
      <c r="O790" s="13">
        <v>2215</v>
      </c>
      <c r="P790" s="21">
        <v>45</v>
      </c>
    </row>
    <row r="791" spans="1:16" hidden="1" x14ac:dyDescent="0.25">
      <c r="A791" s="19" t="s">
        <v>0</v>
      </c>
      <c r="B791" s="14"/>
      <c r="C791" s="14" t="s">
        <v>533</v>
      </c>
      <c r="D791" s="14"/>
      <c r="E791" s="13" t="s">
        <v>0</v>
      </c>
      <c r="F791" s="13" t="s">
        <v>0</v>
      </c>
      <c r="G791" s="13" t="s">
        <v>0</v>
      </c>
      <c r="H791" s="13">
        <f t="shared" si="16"/>
        <v>0</v>
      </c>
      <c r="I791" s="13" t="s">
        <v>0</v>
      </c>
      <c r="J791" s="13" t="s">
        <v>0</v>
      </c>
      <c r="K791" s="13">
        <v>2260.0100000000002</v>
      </c>
      <c r="L791" s="13"/>
      <c r="M791" s="13"/>
      <c r="N791" s="13"/>
      <c r="O791" s="13"/>
      <c r="P791" s="21">
        <v>0</v>
      </c>
    </row>
    <row r="792" spans="1:16" hidden="1" x14ac:dyDescent="0.25">
      <c r="A792" s="19" t="s">
        <v>0</v>
      </c>
      <c r="B792" s="14"/>
      <c r="C792" s="14" t="s">
        <v>525</v>
      </c>
      <c r="D792" s="14"/>
      <c r="E792" s="13" t="s">
        <v>0</v>
      </c>
      <c r="F792" s="13" t="s">
        <v>0</v>
      </c>
      <c r="G792" s="13" t="s">
        <v>0</v>
      </c>
      <c r="H792" s="13">
        <f t="shared" si="16"/>
        <v>0</v>
      </c>
      <c r="I792" s="13" t="s">
        <v>0</v>
      </c>
      <c r="J792" s="13" t="s">
        <v>0</v>
      </c>
      <c r="K792" s="13"/>
      <c r="L792" s="13">
        <v>45</v>
      </c>
      <c r="M792" s="13"/>
      <c r="N792" s="13"/>
      <c r="O792" s="13"/>
      <c r="P792" s="21">
        <v>0</v>
      </c>
    </row>
    <row r="793" spans="1:16" hidden="1" x14ac:dyDescent="0.25">
      <c r="A793" s="19" t="s">
        <v>0</v>
      </c>
      <c r="B793" s="14"/>
      <c r="C793" s="14" t="s">
        <v>487</v>
      </c>
      <c r="D793" s="14"/>
      <c r="E793" s="13" t="s">
        <v>0</v>
      </c>
      <c r="F793" s="13" t="s">
        <v>0</v>
      </c>
      <c r="G793" s="13" t="s">
        <v>0</v>
      </c>
      <c r="H793" s="13">
        <f t="shared" si="16"/>
        <v>0</v>
      </c>
      <c r="I793" s="13" t="s">
        <v>0</v>
      </c>
      <c r="J793" s="13" t="s">
        <v>0</v>
      </c>
      <c r="K793" s="13"/>
      <c r="L793" s="13">
        <v>0.01</v>
      </c>
      <c r="M793" s="13"/>
      <c r="N793" s="13"/>
      <c r="O793" s="13"/>
      <c r="P793" s="21">
        <v>0</v>
      </c>
    </row>
    <row r="794" spans="1:16" x14ac:dyDescent="0.25">
      <c r="A794" s="19"/>
      <c r="B794" s="14"/>
      <c r="C794" s="14" t="s">
        <v>488</v>
      </c>
      <c r="D794" s="38">
        <v>256779416143</v>
      </c>
      <c r="E794" s="13" t="s">
        <v>0</v>
      </c>
      <c r="F794" s="13">
        <v>2215</v>
      </c>
      <c r="G794" s="13" t="s">
        <v>489</v>
      </c>
      <c r="H794" s="13">
        <f t="shared" si="16"/>
        <v>45</v>
      </c>
      <c r="I794" s="13"/>
      <c r="J794" s="13"/>
      <c r="K794" s="13"/>
      <c r="L794" s="13"/>
      <c r="M794" s="13"/>
      <c r="N794" s="13"/>
      <c r="O794" s="13"/>
      <c r="P794" s="21">
        <v>0</v>
      </c>
    </row>
    <row r="795" spans="1:16" hidden="1" x14ac:dyDescent="0.25">
      <c r="A795" s="19">
        <v>45932</v>
      </c>
      <c r="B795" s="14" t="s">
        <v>480</v>
      </c>
      <c r="C795" s="14" t="s">
        <v>481</v>
      </c>
      <c r="D795" s="14"/>
      <c r="E795" s="13" t="s">
        <v>0</v>
      </c>
      <c r="F795" s="13" t="s">
        <v>0</v>
      </c>
      <c r="G795" s="13" t="s">
        <v>0</v>
      </c>
      <c r="H795" s="13">
        <f t="shared" si="16"/>
        <v>0</v>
      </c>
      <c r="I795" s="13" t="s">
        <v>624</v>
      </c>
      <c r="J795" s="13"/>
      <c r="K795" s="13">
        <v>100.28</v>
      </c>
      <c r="L795" s="13" t="s">
        <v>483</v>
      </c>
      <c r="M795" s="13" t="s">
        <v>641</v>
      </c>
      <c r="N795" s="13"/>
      <c r="O795" s="13">
        <v>8627</v>
      </c>
      <c r="P795" s="21">
        <v>176</v>
      </c>
    </row>
    <row r="796" spans="1:16" hidden="1" x14ac:dyDescent="0.25">
      <c r="A796" s="19" t="s">
        <v>0</v>
      </c>
      <c r="B796" s="14"/>
      <c r="C796" s="14" t="s">
        <v>533</v>
      </c>
      <c r="D796" s="14"/>
      <c r="E796" s="13" t="s">
        <v>0</v>
      </c>
      <c r="F796" s="13" t="s">
        <v>0</v>
      </c>
      <c r="G796" s="13" t="s">
        <v>0</v>
      </c>
      <c r="H796" s="13">
        <f t="shared" si="16"/>
        <v>0</v>
      </c>
      <c r="I796" s="13" t="s">
        <v>0</v>
      </c>
      <c r="J796" s="13" t="s">
        <v>0</v>
      </c>
      <c r="K796" s="13">
        <v>8803.4599999999991</v>
      </c>
      <c r="L796" s="13"/>
      <c r="M796" s="13"/>
      <c r="N796" s="13"/>
      <c r="O796" s="13"/>
      <c r="P796" s="21">
        <v>0</v>
      </c>
    </row>
    <row r="797" spans="1:16" hidden="1" x14ac:dyDescent="0.25">
      <c r="A797" s="19" t="s">
        <v>0</v>
      </c>
      <c r="B797" s="14"/>
      <c r="C797" s="14" t="s">
        <v>525</v>
      </c>
      <c r="D797" s="14"/>
      <c r="E797" s="13" t="s">
        <v>0</v>
      </c>
      <c r="F797" s="13" t="s">
        <v>0</v>
      </c>
      <c r="G797" s="13" t="s">
        <v>0</v>
      </c>
      <c r="H797" s="13">
        <f t="shared" si="16"/>
        <v>0</v>
      </c>
      <c r="I797" s="13" t="s">
        <v>0</v>
      </c>
      <c r="J797" s="13" t="s">
        <v>0</v>
      </c>
      <c r="K797" s="13"/>
      <c r="L797" s="13">
        <v>176</v>
      </c>
      <c r="M797" s="13"/>
      <c r="N797" s="13"/>
      <c r="O797" s="13"/>
      <c r="P797" s="21">
        <v>0</v>
      </c>
    </row>
    <row r="798" spans="1:16" hidden="1" x14ac:dyDescent="0.25">
      <c r="A798" s="19" t="s">
        <v>0</v>
      </c>
      <c r="B798" s="14"/>
      <c r="C798" s="14" t="s">
        <v>487</v>
      </c>
      <c r="D798" s="14"/>
      <c r="E798" s="13" t="s">
        <v>0</v>
      </c>
      <c r="F798" s="13" t="s">
        <v>0</v>
      </c>
      <c r="G798" s="13" t="s">
        <v>0</v>
      </c>
      <c r="H798" s="13">
        <f t="shared" si="16"/>
        <v>0</v>
      </c>
      <c r="I798" s="13" t="s">
        <v>0</v>
      </c>
      <c r="J798" s="13" t="s">
        <v>0</v>
      </c>
      <c r="K798" s="13"/>
      <c r="L798" s="13">
        <v>0.46</v>
      </c>
      <c r="M798" s="13"/>
      <c r="N798" s="13"/>
      <c r="O798" s="13"/>
      <c r="P798" s="21">
        <v>0</v>
      </c>
    </row>
    <row r="799" spans="1:16" x14ac:dyDescent="0.25">
      <c r="A799" s="19"/>
      <c r="B799" s="14"/>
      <c r="C799" s="14" t="s">
        <v>488</v>
      </c>
      <c r="D799" s="38">
        <v>256779416183</v>
      </c>
      <c r="E799" s="13" t="s">
        <v>0</v>
      </c>
      <c r="F799" s="13">
        <v>8627</v>
      </c>
      <c r="G799" s="13" t="s">
        <v>489</v>
      </c>
      <c r="H799" s="13">
        <f t="shared" si="16"/>
        <v>176</v>
      </c>
      <c r="I799" s="13"/>
      <c r="J799" s="13"/>
      <c r="K799" s="13"/>
      <c r="L799" s="13"/>
      <c r="M799" s="13"/>
      <c r="N799" s="13"/>
      <c r="O799" s="13"/>
      <c r="P799" s="21">
        <v>0</v>
      </c>
    </row>
    <row r="800" spans="1:16" hidden="1" x14ac:dyDescent="0.25">
      <c r="A800" s="19">
        <v>45932</v>
      </c>
      <c r="B800" s="14" t="s">
        <v>480</v>
      </c>
      <c r="C800" s="14" t="s">
        <v>481</v>
      </c>
      <c r="D800" s="14"/>
      <c r="E800" s="13" t="s">
        <v>0</v>
      </c>
      <c r="F800" s="13" t="s">
        <v>0</v>
      </c>
      <c r="G800" s="13" t="s">
        <v>0</v>
      </c>
      <c r="H800" s="13">
        <f t="shared" si="16"/>
        <v>0</v>
      </c>
      <c r="I800" s="13" t="s">
        <v>624</v>
      </c>
      <c r="J800" s="13"/>
      <c r="K800" s="13">
        <v>22.25</v>
      </c>
      <c r="L800" s="13" t="s">
        <v>483</v>
      </c>
      <c r="M800" s="13" t="s">
        <v>642</v>
      </c>
      <c r="N800" s="13"/>
      <c r="O800" s="13">
        <v>1914</v>
      </c>
      <c r="P800" s="21">
        <v>39</v>
      </c>
    </row>
    <row r="801" spans="1:16" hidden="1" x14ac:dyDescent="0.25">
      <c r="A801" s="19" t="s">
        <v>0</v>
      </c>
      <c r="B801" s="14"/>
      <c r="C801" s="14" t="s">
        <v>544</v>
      </c>
      <c r="D801" s="14"/>
      <c r="E801" s="13" t="s">
        <v>0</v>
      </c>
      <c r="F801" s="13" t="s">
        <v>0</v>
      </c>
      <c r="G801" s="13" t="s">
        <v>0</v>
      </c>
      <c r="H801" s="13">
        <f t="shared" si="16"/>
        <v>0</v>
      </c>
      <c r="I801" s="13" t="s">
        <v>0</v>
      </c>
      <c r="J801" s="13" t="s">
        <v>0</v>
      </c>
      <c r="K801" s="13">
        <v>1952.88</v>
      </c>
      <c r="L801" s="13"/>
      <c r="M801" s="13"/>
      <c r="N801" s="13"/>
      <c r="O801" s="13"/>
      <c r="P801" s="21">
        <v>0</v>
      </c>
    </row>
    <row r="802" spans="1:16" hidden="1" x14ac:dyDescent="0.25">
      <c r="A802" s="19" t="s">
        <v>0</v>
      </c>
      <c r="B802" s="14"/>
      <c r="C802" s="14" t="s">
        <v>525</v>
      </c>
      <c r="D802" s="14"/>
      <c r="E802" s="13" t="s">
        <v>0</v>
      </c>
      <c r="F802" s="13" t="s">
        <v>0</v>
      </c>
      <c r="G802" s="13" t="s">
        <v>0</v>
      </c>
      <c r="H802" s="13">
        <f t="shared" si="16"/>
        <v>0</v>
      </c>
      <c r="I802" s="13" t="s">
        <v>0</v>
      </c>
      <c r="J802" s="13" t="s">
        <v>0</v>
      </c>
      <c r="K802" s="13"/>
      <c r="L802" s="13">
        <v>39</v>
      </c>
      <c r="M802" s="13"/>
      <c r="N802" s="13"/>
      <c r="O802" s="13"/>
      <c r="P802" s="21">
        <v>0</v>
      </c>
    </row>
    <row r="803" spans="1:16" hidden="1" x14ac:dyDescent="0.25">
      <c r="A803" s="19" t="s">
        <v>0</v>
      </c>
      <c r="B803" s="14"/>
      <c r="C803" s="14" t="s">
        <v>487</v>
      </c>
      <c r="D803" s="14"/>
      <c r="E803" s="13" t="s">
        <v>0</v>
      </c>
      <c r="F803" s="13" t="s">
        <v>0</v>
      </c>
      <c r="G803" s="13" t="s">
        <v>0</v>
      </c>
      <c r="H803" s="13">
        <f t="shared" si="16"/>
        <v>0</v>
      </c>
      <c r="I803" s="13" t="s">
        <v>0</v>
      </c>
      <c r="J803" s="13" t="s">
        <v>0</v>
      </c>
      <c r="K803" s="13">
        <v>0.12</v>
      </c>
      <c r="L803" s="13"/>
      <c r="M803" s="13"/>
      <c r="N803" s="13"/>
      <c r="O803" s="13"/>
      <c r="P803" s="21">
        <v>0</v>
      </c>
    </row>
    <row r="804" spans="1:16" x14ac:dyDescent="0.25">
      <c r="A804" s="19"/>
      <c r="B804" s="14"/>
      <c r="C804" s="14" t="s">
        <v>488</v>
      </c>
      <c r="D804" s="38">
        <v>256779416229</v>
      </c>
      <c r="E804" s="13" t="s">
        <v>0</v>
      </c>
      <c r="F804" s="13">
        <v>1914</v>
      </c>
      <c r="G804" s="13" t="s">
        <v>489</v>
      </c>
      <c r="H804" s="13">
        <f t="shared" si="16"/>
        <v>39</v>
      </c>
      <c r="I804" s="13"/>
      <c r="J804" s="13"/>
      <c r="K804" s="13"/>
      <c r="L804" s="13"/>
      <c r="M804" s="13"/>
      <c r="N804" s="13"/>
      <c r="O804" s="13"/>
      <c r="P804" s="21">
        <v>0</v>
      </c>
    </row>
    <row r="805" spans="1:16" hidden="1" x14ac:dyDescent="0.25">
      <c r="A805" s="19">
        <v>45932</v>
      </c>
      <c r="B805" s="14" t="s">
        <v>480</v>
      </c>
      <c r="C805" s="14" t="s">
        <v>481</v>
      </c>
      <c r="D805" s="14"/>
      <c r="E805" s="13" t="s">
        <v>0</v>
      </c>
      <c r="F805" s="13" t="s">
        <v>0</v>
      </c>
      <c r="G805" s="13" t="s">
        <v>0</v>
      </c>
      <c r="H805" s="13">
        <f t="shared" si="16"/>
        <v>0</v>
      </c>
      <c r="I805" s="13" t="s">
        <v>624</v>
      </c>
      <c r="J805" s="13"/>
      <c r="K805" s="13">
        <v>351.14</v>
      </c>
      <c r="L805" s="13" t="s">
        <v>483</v>
      </c>
      <c r="M805" s="13" t="s">
        <v>643</v>
      </c>
      <c r="N805" s="13"/>
      <c r="O805" s="13">
        <v>30209</v>
      </c>
      <c r="P805" s="21">
        <v>617</v>
      </c>
    </row>
    <row r="806" spans="1:16" hidden="1" x14ac:dyDescent="0.25">
      <c r="A806" s="19" t="s">
        <v>0</v>
      </c>
      <c r="B806" s="14"/>
      <c r="C806" s="14" t="s">
        <v>524</v>
      </c>
      <c r="D806" s="14"/>
      <c r="E806" s="13" t="s">
        <v>0</v>
      </c>
      <c r="F806" s="13" t="s">
        <v>0</v>
      </c>
      <c r="G806" s="13" t="s">
        <v>0</v>
      </c>
      <c r="H806" s="13">
        <f t="shared" si="16"/>
        <v>0</v>
      </c>
      <c r="I806" s="13" t="s">
        <v>0</v>
      </c>
      <c r="J806" s="13" t="s">
        <v>0</v>
      </c>
      <c r="K806" s="13">
        <v>30826.31</v>
      </c>
      <c r="L806" s="13"/>
      <c r="M806" s="13"/>
      <c r="N806" s="13"/>
      <c r="O806" s="13"/>
      <c r="P806" s="21">
        <v>0</v>
      </c>
    </row>
    <row r="807" spans="1:16" hidden="1" x14ac:dyDescent="0.25">
      <c r="A807" s="19" t="s">
        <v>0</v>
      </c>
      <c r="B807" s="14"/>
      <c r="C807" s="14" t="s">
        <v>525</v>
      </c>
      <c r="D807" s="14"/>
      <c r="E807" s="13" t="s">
        <v>0</v>
      </c>
      <c r="F807" s="13" t="s">
        <v>0</v>
      </c>
      <c r="G807" s="13" t="s">
        <v>0</v>
      </c>
      <c r="H807" s="13">
        <f t="shared" si="16"/>
        <v>0</v>
      </c>
      <c r="I807" s="13" t="s">
        <v>0</v>
      </c>
      <c r="J807" s="13" t="s">
        <v>0</v>
      </c>
      <c r="K807" s="13"/>
      <c r="L807" s="13">
        <v>617</v>
      </c>
      <c r="M807" s="13"/>
      <c r="N807" s="13"/>
      <c r="O807" s="13"/>
      <c r="P807" s="21">
        <v>0</v>
      </c>
    </row>
    <row r="808" spans="1:16" hidden="1" x14ac:dyDescent="0.25">
      <c r="A808" s="19" t="s">
        <v>0</v>
      </c>
      <c r="B808" s="14"/>
      <c r="C808" s="14" t="s">
        <v>487</v>
      </c>
      <c r="D808" s="14"/>
      <c r="E808" s="13" t="s">
        <v>0</v>
      </c>
      <c r="F808" s="13" t="s">
        <v>0</v>
      </c>
      <c r="G808" s="13" t="s">
        <v>0</v>
      </c>
      <c r="H808" s="13">
        <f t="shared" si="16"/>
        <v>0</v>
      </c>
      <c r="I808" s="13" t="s">
        <v>0</v>
      </c>
      <c r="J808" s="13" t="s">
        <v>0</v>
      </c>
      <c r="K808" s="13"/>
      <c r="L808" s="13">
        <v>0.31</v>
      </c>
      <c r="M808" s="13"/>
      <c r="N808" s="13"/>
      <c r="O808" s="13"/>
      <c r="P808" s="21">
        <v>0</v>
      </c>
    </row>
    <row r="809" spans="1:16" x14ac:dyDescent="0.25">
      <c r="A809" s="19"/>
      <c r="B809" s="14"/>
      <c r="C809" s="14" t="s">
        <v>488</v>
      </c>
      <c r="D809" s="38">
        <v>256779416447</v>
      </c>
      <c r="E809" s="13" t="s">
        <v>0</v>
      </c>
      <c r="F809" s="13">
        <v>30209</v>
      </c>
      <c r="G809" s="13" t="s">
        <v>489</v>
      </c>
      <c r="H809" s="13">
        <f t="shared" si="16"/>
        <v>617</v>
      </c>
      <c r="I809" s="13"/>
      <c r="J809" s="13"/>
      <c r="K809" s="13"/>
      <c r="L809" s="13"/>
      <c r="M809" s="13"/>
      <c r="N809" s="13"/>
      <c r="O809" s="13"/>
      <c r="P809" s="21">
        <v>0</v>
      </c>
    </row>
    <row r="810" spans="1:16" hidden="1" x14ac:dyDescent="0.25">
      <c r="A810" s="19">
        <v>45932</v>
      </c>
      <c r="B810" s="14" t="s">
        <v>480</v>
      </c>
      <c r="C810" s="14" t="s">
        <v>481</v>
      </c>
      <c r="D810" s="14"/>
      <c r="E810" s="13" t="s">
        <v>0</v>
      </c>
      <c r="F810" s="13" t="s">
        <v>0</v>
      </c>
      <c r="G810" s="13" t="s">
        <v>0</v>
      </c>
      <c r="H810" s="13">
        <f t="shared" si="16"/>
        <v>0</v>
      </c>
      <c r="I810" s="13" t="s">
        <v>624</v>
      </c>
      <c r="J810" s="13"/>
      <c r="K810" s="13">
        <v>13.43</v>
      </c>
      <c r="L810" s="13" t="s">
        <v>483</v>
      </c>
      <c r="M810" s="13" t="s">
        <v>644</v>
      </c>
      <c r="N810" s="13"/>
      <c r="O810" s="13">
        <v>1155</v>
      </c>
      <c r="P810" s="21">
        <v>24</v>
      </c>
    </row>
    <row r="811" spans="1:16" hidden="1" x14ac:dyDescent="0.25">
      <c r="A811" s="19" t="s">
        <v>0</v>
      </c>
      <c r="B811" s="14"/>
      <c r="C811" s="14" t="s">
        <v>524</v>
      </c>
      <c r="D811" s="14"/>
      <c r="E811" s="13" t="s">
        <v>0</v>
      </c>
      <c r="F811" s="13" t="s">
        <v>0</v>
      </c>
      <c r="G811" s="13" t="s">
        <v>0</v>
      </c>
      <c r="H811" s="13">
        <f t="shared" si="16"/>
        <v>0</v>
      </c>
      <c r="I811" s="13" t="s">
        <v>0</v>
      </c>
      <c r="J811" s="13" t="s">
        <v>0</v>
      </c>
      <c r="K811" s="13">
        <v>1179.47</v>
      </c>
      <c r="L811" s="13"/>
      <c r="M811" s="13"/>
      <c r="N811" s="13"/>
      <c r="O811" s="13"/>
      <c r="P811" s="21">
        <v>0</v>
      </c>
    </row>
    <row r="812" spans="1:16" hidden="1" x14ac:dyDescent="0.25">
      <c r="A812" s="19" t="s">
        <v>0</v>
      </c>
      <c r="B812" s="14"/>
      <c r="C812" s="14" t="s">
        <v>525</v>
      </c>
      <c r="D812" s="14"/>
      <c r="E812" s="13" t="s">
        <v>0</v>
      </c>
      <c r="F812" s="13" t="s">
        <v>0</v>
      </c>
      <c r="G812" s="13" t="s">
        <v>0</v>
      </c>
      <c r="H812" s="13">
        <f t="shared" si="16"/>
        <v>0</v>
      </c>
      <c r="I812" s="13" t="s">
        <v>0</v>
      </c>
      <c r="J812" s="13" t="s">
        <v>0</v>
      </c>
      <c r="K812" s="13"/>
      <c r="L812" s="13">
        <v>24</v>
      </c>
      <c r="M812" s="13"/>
      <c r="N812" s="13"/>
      <c r="O812" s="13"/>
      <c r="P812" s="21">
        <v>0</v>
      </c>
    </row>
    <row r="813" spans="1:16" hidden="1" x14ac:dyDescent="0.25">
      <c r="A813" s="19" t="s">
        <v>0</v>
      </c>
      <c r="B813" s="14"/>
      <c r="C813" s="14" t="s">
        <v>487</v>
      </c>
      <c r="D813" s="14"/>
      <c r="E813" s="13" t="s">
        <v>0</v>
      </c>
      <c r="F813" s="13" t="s">
        <v>0</v>
      </c>
      <c r="G813" s="13" t="s">
        <v>0</v>
      </c>
      <c r="H813" s="13">
        <f t="shared" si="16"/>
        <v>0</v>
      </c>
      <c r="I813" s="13" t="s">
        <v>0</v>
      </c>
      <c r="J813" s="13" t="s">
        <v>0</v>
      </c>
      <c r="K813" s="13"/>
      <c r="L813" s="13">
        <v>0.47</v>
      </c>
      <c r="M813" s="13"/>
      <c r="N813" s="13"/>
      <c r="O813" s="13"/>
      <c r="P813" s="21">
        <v>0</v>
      </c>
    </row>
    <row r="814" spans="1:16" x14ac:dyDescent="0.25">
      <c r="A814" s="19"/>
      <c r="B814" s="14"/>
      <c r="C814" s="14" t="s">
        <v>488</v>
      </c>
      <c r="D814" s="38">
        <v>256779416455</v>
      </c>
      <c r="E814" s="13" t="s">
        <v>0</v>
      </c>
      <c r="F814" s="13">
        <v>1155</v>
      </c>
      <c r="G814" s="13" t="s">
        <v>489</v>
      </c>
      <c r="H814" s="13">
        <f t="shared" si="16"/>
        <v>24</v>
      </c>
      <c r="I814" s="13"/>
      <c r="J814" s="13"/>
      <c r="K814" s="13"/>
      <c r="L814" s="13"/>
      <c r="M814" s="13"/>
      <c r="N814" s="13"/>
      <c r="O814" s="13"/>
      <c r="P814" s="21">
        <v>0</v>
      </c>
    </row>
    <row r="815" spans="1:16" hidden="1" x14ac:dyDescent="0.25">
      <c r="A815" s="19">
        <v>45932</v>
      </c>
      <c r="B815" s="14" t="s">
        <v>480</v>
      </c>
      <c r="C815" s="14" t="s">
        <v>481</v>
      </c>
      <c r="D815" s="14"/>
      <c r="E815" s="13" t="s">
        <v>0</v>
      </c>
      <c r="F815" s="13" t="s">
        <v>0</v>
      </c>
      <c r="G815" s="13" t="s">
        <v>0</v>
      </c>
      <c r="H815" s="13">
        <f t="shared" si="16"/>
        <v>0</v>
      </c>
      <c r="I815" s="13" t="s">
        <v>624</v>
      </c>
      <c r="J815" s="13"/>
      <c r="K815" s="13">
        <v>55.2</v>
      </c>
      <c r="L815" s="13" t="s">
        <v>483</v>
      </c>
      <c r="M815" s="13" t="s">
        <v>645</v>
      </c>
      <c r="N815" s="13"/>
      <c r="O815" s="13">
        <v>4749</v>
      </c>
      <c r="P815" s="21">
        <v>97</v>
      </c>
    </row>
    <row r="816" spans="1:16" hidden="1" x14ac:dyDescent="0.25">
      <c r="A816" s="19" t="s">
        <v>0</v>
      </c>
      <c r="B816" s="14"/>
      <c r="C816" s="14" t="s">
        <v>524</v>
      </c>
      <c r="D816" s="14"/>
      <c r="E816" s="13" t="s">
        <v>0</v>
      </c>
      <c r="F816" s="13" t="s">
        <v>0</v>
      </c>
      <c r="G816" s="13" t="s">
        <v>0</v>
      </c>
      <c r="H816" s="13">
        <f t="shared" si="16"/>
        <v>0</v>
      </c>
      <c r="I816" s="13" t="s">
        <v>0</v>
      </c>
      <c r="J816" s="13" t="s">
        <v>0</v>
      </c>
      <c r="K816" s="13">
        <v>4846.08</v>
      </c>
      <c r="L816" s="13"/>
      <c r="M816" s="13"/>
      <c r="N816" s="13"/>
      <c r="O816" s="13"/>
      <c r="P816" s="21">
        <v>0</v>
      </c>
    </row>
    <row r="817" spans="1:16" hidden="1" x14ac:dyDescent="0.25">
      <c r="A817" s="19" t="s">
        <v>0</v>
      </c>
      <c r="B817" s="14"/>
      <c r="C817" s="14" t="s">
        <v>525</v>
      </c>
      <c r="D817" s="14"/>
      <c r="E817" s="13" t="s">
        <v>0</v>
      </c>
      <c r="F817" s="13" t="s">
        <v>0</v>
      </c>
      <c r="G817" s="13" t="s">
        <v>0</v>
      </c>
      <c r="H817" s="13">
        <f t="shared" si="16"/>
        <v>0</v>
      </c>
      <c r="I817" s="13" t="s">
        <v>0</v>
      </c>
      <c r="J817" s="13" t="s">
        <v>0</v>
      </c>
      <c r="K817" s="13"/>
      <c r="L817" s="13">
        <v>97</v>
      </c>
      <c r="M817" s="13"/>
      <c r="N817" s="13"/>
      <c r="O817" s="13"/>
      <c r="P817" s="21">
        <v>0</v>
      </c>
    </row>
    <row r="818" spans="1:16" hidden="1" x14ac:dyDescent="0.25">
      <c r="A818" s="19" t="s">
        <v>0</v>
      </c>
      <c r="B818" s="14"/>
      <c r="C818" s="14" t="s">
        <v>487</v>
      </c>
      <c r="D818" s="14"/>
      <c r="E818" s="13" t="s">
        <v>0</v>
      </c>
      <c r="F818" s="13" t="s">
        <v>0</v>
      </c>
      <c r="G818" s="13" t="s">
        <v>0</v>
      </c>
      <c r="H818" s="13">
        <f t="shared" si="16"/>
        <v>0</v>
      </c>
      <c r="I818" s="13" t="s">
        <v>0</v>
      </c>
      <c r="J818" s="13" t="s">
        <v>0</v>
      </c>
      <c r="K818" s="13"/>
      <c r="L818" s="13">
        <v>0.08</v>
      </c>
      <c r="M818" s="13"/>
      <c r="N818" s="13"/>
      <c r="O818" s="13"/>
      <c r="P818" s="21">
        <v>0</v>
      </c>
    </row>
    <row r="819" spans="1:16" x14ac:dyDescent="0.25">
      <c r="A819" s="19"/>
      <c r="B819" s="14"/>
      <c r="C819" s="14" t="s">
        <v>488</v>
      </c>
      <c r="D819" s="38">
        <v>256779416517</v>
      </c>
      <c r="E819" s="13" t="s">
        <v>0</v>
      </c>
      <c r="F819" s="13">
        <v>4749</v>
      </c>
      <c r="G819" s="13" t="s">
        <v>489</v>
      </c>
      <c r="H819" s="13">
        <f t="shared" si="16"/>
        <v>97</v>
      </c>
      <c r="I819" s="13"/>
      <c r="J819" s="13"/>
      <c r="K819" s="13"/>
      <c r="L819" s="13"/>
      <c r="M819" s="13"/>
      <c r="N819" s="13"/>
      <c r="O819" s="13"/>
      <c r="P819" s="21">
        <v>0</v>
      </c>
    </row>
    <row r="820" spans="1:16" hidden="1" x14ac:dyDescent="0.25">
      <c r="A820" s="19">
        <v>45932</v>
      </c>
      <c r="B820" s="14" t="s">
        <v>480</v>
      </c>
      <c r="C820" s="14" t="s">
        <v>481</v>
      </c>
      <c r="D820" s="14"/>
      <c r="E820" s="13" t="s">
        <v>0</v>
      </c>
      <c r="F820" s="13" t="s">
        <v>0</v>
      </c>
      <c r="G820" s="13" t="s">
        <v>0</v>
      </c>
      <c r="H820" s="13">
        <f t="shared" si="16"/>
        <v>0</v>
      </c>
      <c r="I820" s="13" t="s">
        <v>627</v>
      </c>
      <c r="J820" s="13"/>
      <c r="K820" s="13">
        <v>17.39</v>
      </c>
      <c r="L820" s="13" t="s">
        <v>483</v>
      </c>
      <c r="M820" s="13" t="s">
        <v>646</v>
      </c>
      <c r="N820" s="13"/>
      <c r="O820" s="13">
        <v>1496</v>
      </c>
      <c r="P820" s="21">
        <v>31</v>
      </c>
    </row>
    <row r="821" spans="1:16" hidden="1" x14ac:dyDescent="0.25">
      <c r="A821" s="19" t="s">
        <v>0</v>
      </c>
      <c r="B821" s="14"/>
      <c r="C821" s="14" t="s">
        <v>533</v>
      </c>
      <c r="D821" s="14"/>
      <c r="E821" s="13" t="s">
        <v>0</v>
      </c>
      <c r="F821" s="13" t="s">
        <v>0</v>
      </c>
      <c r="G821" s="13" t="s">
        <v>0</v>
      </c>
      <c r="H821" s="13">
        <f t="shared" si="16"/>
        <v>0</v>
      </c>
      <c r="I821" s="13" t="s">
        <v>0</v>
      </c>
      <c r="J821" s="13" t="s">
        <v>0</v>
      </c>
      <c r="K821" s="13">
        <v>1527.03</v>
      </c>
      <c r="L821" s="13"/>
      <c r="M821" s="13"/>
      <c r="N821" s="13"/>
      <c r="O821" s="13"/>
      <c r="P821" s="21">
        <v>0</v>
      </c>
    </row>
    <row r="822" spans="1:16" hidden="1" x14ac:dyDescent="0.25">
      <c r="A822" s="19" t="s">
        <v>0</v>
      </c>
      <c r="B822" s="14"/>
      <c r="C822" s="14" t="s">
        <v>525</v>
      </c>
      <c r="D822" s="14"/>
      <c r="E822" s="13" t="s">
        <v>0</v>
      </c>
      <c r="F822" s="13" t="s">
        <v>0</v>
      </c>
      <c r="G822" s="13" t="s">
        <v>0</v>
      </c>
      <c r="H822" s="13">
        <f t="shared" si="16"/>
        <v>0</v>
      </c>
      <c r="I822" s="13" t="s">
        <v>0</v>
      </c>
      <c r="J822" s="13" t="s">
        <v>0</v>
      </c>
      <c r="K822" s="13"/>
      <c r="L822" s="13">
        <v>31</v>
      </c>
      <c r="M822" s="13"/>
      <c r="N822" s="13"/>
      <c r="O822" s="13"/>
      <c r="P822" s="21">
        <v>0</v>
      </c>
    </row>
    <row r="823" spans="1:16" hidden="1" x14ac:dyDescent="0.25">
      <c r="A823" s="19" t="s">
        <v>0</v>
      </c>
      <c r="B823" s="14"/>
      <c r="C823" s="14" t="s">
        <v>487</v>
      </c>
      <c r="D823" s="14"/>
      <c r="E823" s="13" t="s">
        <v>0</v>
      </c>
      <c r="F823" s="13" t="s">
        <v>0</v>
      </c>
      <c r="G823" s="13" t="s">
        <v>0</v>
      </c>
      <c r="H823" s="13">
        <f t="shared" si="16"/>
        <v>0</v>
      </c>
      <c r="I823" s="13" t="s">
        <v>0</v>
      </c>
      <c r="J823" s="13" t="s">
        <v>0</v>
      </c>
      <c r="K823" s="13"/>
      <c r="L823" s="13">
        <v>0.03</v>
      </c>
      <c r="M823" s="13"/>
      <c r="N823" s="13"/>
      <c r="O823" s="13"/>
      <c r="P823" s="21">
        <v>0</v>
      </c>
    </row>
    <row r="824" spans="1:16" x14ac:dyDescent="0.25">
      <c r="A824" s="19"/>
      <c r="B824" s="14"/>
      <c r="C824" s="14" t="s">
        <v>488</v>
      </c>
      <c r="D824" s="38">
        <v>256779416848</v>
      </c>
      <c r="E824" s="13" t="s">
        <v>0</v>
      </c>
      <c r="F824" s="13">
        <v>1496</v>
      </c>
      <c r="G824" s="13" t="s">
        <v>489</v>
      </c>
      <c r="H824" s="13">
        <f t="shared" si="16"/>
        <v>31</v>
      </c>
      <c r="I824" s="13"/>
      <c r="J824" s="13"/>
      <c r="K824" s="13"/>
      <c r="L824" s="13"/>
      <c r="M824" s="13"/>
      <c r="N824" s="13"/>
      <c r="O824" s="13"/>
      <c r="P824" s="21">
        <v>0</v>
      </c>
    </row>
    <row r="825" spans="1:16" hidden="1" x14ac:dyDescent="0.25">
      <c r="A825" s="19">
        <v>45932</v>
      </c>
      <c r="B825" s="14" t="s">
        <v>480</v>
      </c>
      <c r="C825" s="14" t="s">
        <v>481</v>
      </c>
      <c r="D825" s="14"/>
      <c r="E825" s="13" t="s">
        <v>0</v>
      </c>
      <c r="F825" s="13" t="s">
        <v>0</v>
      </c>
      <c r="G825" s="13" t="s">
        <v>0</v>
      </c>
      <c r="H825" s="13">
        <f t="shared" si="16"/>
        <v>0</v>
      </c>
      <c r="I825" s="13" t="s">
        <v>627</v>
      </c>
      <c r="J825" s="13"/>
      <c r="K825" s="13">
        <v>49.05</v>
      </c>
      <c r="L825" s="13" t="s">
        <v>483</v>
      </c>
      <c r="M825" s="13" t="s">
        <v>647</v>
      </c>
      <c r="N825" s="13"/>
      <c r="O825" s="13">
        <v>4220</v>
      </c>
      <c r="P825" s="21">
        <v>86</v>
      </c>
    </row>
    <row r="826" spans="1:16" hidden="1" x14ac:dyDescent="0.25">
      <c r="A826" s="19" t="s">
        <v>0</v>
      </c>
      <c r="B826" s="14"/>
      <c r="C826" s="14" t="s">
        <v>544</v>
      </c>
      <c r="D826" s="14"/>
      <c r="E826" s="13" t="s">
        <v>0</v>
      </c>
      <c r="F826" s="13" t="s">
        <v>0</v>
      </c>
      <c r="G826" s="13" t="s">
        <v>0</v>
      </c>
      <c r="H826" s="13">
        <f t="shared" si="16"/>
        <v>0</v>
      </c>
      <c r="I826" s="13" t="s">
        <v>0</v>
      </c>
      <c r="J826" s="13" t="s">
        <v>0</v>
      </c>
      <c r="K826" s="13">
        <v>4305.8100000000004</v>
      </c>
      <c r="L826" s="13"/>
      <c r="M826" s="13"/>
      <c r="N826" s="13"/>
      <c r="O826" s="13"/>
      <c r="P826" s="21">
        <v>0</v>
      </c>
    </row>
    <row r="827" spans="1:16" hidden="1" x14ac:dyDescent="0.25">
      <c r="A827" s="19" t="s">
        <v>0</v>
      </c>
      <c r="B827" s="14"/>
      <c r="C827" s="14" t="s">
        <v>525</v>
      </c>
      <c r="D827" s="14"/>
      <c r="E827" s="13" t="s">
        <v>0</v>
      </c>
      <c r="F827" s="13" t="s">
        <v>0</v>
      </c>
      <c r="G827" s="13" t="s">
        <v>0</v>
      </c>
      <c r="H827" s="13">
        <f t="shared" si="16"/>
        <v>0</v>
      </c>
      <c r="I827" s="13" t="s">
        <v>0</v>
      </c>
      <c r="J827" s="13" t="s">
        <v>0</v>
      </c>
      <c r="K827" s="13"/>
      <c r="L827" s="13">
        <v>86</v>
      </c>
      <c r="M827" s="13"/>
      <c r="N827" s="13"/>
      <c r="O827" s="13"/>
      <c r="P827" s="21">
        <v>0</v>
      </c>
    </row>
    <row r="828" spans="1:16" hidden="1" x14ac:dyDescent="0.25">
      <c r="A828" s="19" t="s">
        <v>0</v>
      </c>
      <c r="B828" s="14"/>
      <c r="C828" s="14" t="s">
        <v>487</v>
      </c>
      <c r="D828" s="14"/>
      <c r="E828" s="13" t="s">
        <v>0</v>
      </c>
      <c r="F828" s="13" t="s">
        <v>0</v>
      </c>
      <c r="G828" s="13" t="s">
        <v>0</v>
      </c>
      <c r="H828" s="13">
        <f t="shared" si="16"/>
        <v>0</v>
      </c>
      <c r="I828" s="13" t="s">
        <v>0</v>
      </c>
      <c r="J828" s="13" t="s">
        <v>0</v>
      </c>
      <c r="K828" s="13">
        <v>0.19</v>
      </c>
      <c r="L828" s="13"/>
      <c r="M828" s="13"/>
      <c r="N828" s="13"/>
      <c r="O828" s="13"/>
      <c r="P828" s="21">
        <v>0</v>
      </c>
    </row>
    <row r="829" spans="1:16" x14ac:dyDescent="0.25">
      <c r="A829" s="19"/>
      <c r="B829" s="14"/>
      <c r="C829" s="14" t="s">
        <v>488</v>
      </c>
      <c r="D829" s="38">
        <v>256779416883</v>
      </c>
      <c r="E829" s="13" t="s">
        <v>0</v>
      </c>
      <c r="F829" s="13">
        <v>4220</v>
      </c>
      <c r="G829" s="13" t="s">
        <v>489</v>
      </c>
      <c r="H829" s="13">
        <f t="shared" si="16"/>
        <v>86</v>
      </c>
      <c r="I829" s="13"/>
      <c r="J829" s="13"/>
      <c r="K829" s="13"/>
      <c r="L829" s="13"/>
      <c r="M829" s="13"/>
      <c r="N829" s="13"/>
      <c r="O829" s="13"/>
      <c r="P829" s="21">
        <v>0</v>
      </c>
    </row>
    <row r="830" spans="1:16" hidden="1" x14ac:dyDescent="0.25">
      <c r="A830" s="19">
        <v>45937</v>
      </c>
      <c r="B830" s="14" t="s">
        <v>489</v>
      </c>
      <c r="C830" s="14" t="s">
        <v>517</v>
      </c>
      <c r="D830" s="14"/>
      <c r="E830" s="13" t="s">
        <v>0</v>
      </c>
      <c r="F830" s="13" t="s">
        <v>0</v>
      </c>
      <c r="G830" s="13" t="s">
        <v>0</v>
      </c>
      <c r="H830" s="13">
        <f t="shared" si="16"/>
        <v>0</v>
      </c>
      <c r="I830" s="13" t="s">
        <v>518</v>
      </c>
      <c r="J830" s="13"/>
      <c r="K830" s="13"/>
      <c r="L830" s="13" t="s">
        <v>519</v>
      </c>
      <c r="M830" s="13" t="s">
        <v>648</v>
      </c>
      <c r="N830" s="13">
        <v>100000</v>
      </c>
      <c r="O830" s="13"/>
      <c r="P830" s="21">
        <v>0</v>
      </c>
    </row>
    <row r="831" spans="1:16" hidden="1" x14ac:dyDescent="0.25">
      <c r="A831" s="19"/>
      <c r="B831" s="14"/>
      <c r="C831" s="14" t="s">
        <v>521</v>
      </c>
      <c r="D831" s="38">
        <v>256779413316</v>
      </c>
      <c r="E831" s="13" t="s">
        <v>0</v>
      </c>
      <c r="F831" s="13">
        <v>28942</v>
      </c>
      <c r="G831" s="13" t="s">
        <v>480</v>
      </c>
      <c r="H831" s="13">
        <f t="shared" si="16"/>
        <v>0</v>
      </c>
      <c r="I831" s="13"/>
      <c r="J831" s="13"/>
      <c r="K831" s="13"/>
      <c r="L831" s="13"/>
      <c r="M831" s="13"/>
      <c r="N831" s="13"/>
      <c r="O831" s="13"/>
      <c r="P831" s="21">
        <v>0</v>
      </c>
    </row>
    <row r="832" spans="1:16" hidden="1" x14ac:dyDescent="0.25">
      <c r="A832" s="19"/>
      <c r="B832" s="14"/>
      <c r="C832" s="14" t="s">
        <v>521</v>
      </c>
      <c r="D832" s="38">
        <v>256779413491</v>
      </c>
      <c r="E832" s="13" t="s">
        <v>0</v>
      </c>
      <c r="F832" s="13">
        <v>7478</v>
      </c>
      <c r="G832" s="13" t="s">
        <v>480</v>
      </c>
      <c r="H832" s="13">
        <f t="shared" si="16"/>
        <v>0</v>
      </c>
      <c r="I832" s="13"/>
      <c r="J832" s="13"/>
      <c r="K832" s="13"/>
      <c r="L832" s="13"/>
      <c r="M832" s="13"/>
      <c r="N832" s="13"/>
      <c r="O832" s="13"/>
      <c r="P832" s="21">
        <v>0</v>
      </c>
    </row>
    <row r="833" spans="1:16" hidden="1" x14ac:dyDescent="0.25">
      <c r="A833" s="19"/>
      <c r="B833" s="14"/>
      <c r="C833" s="14" t="s">
        <v>521</v>
      </c>
      <c r="D833" s="38">
        <v>256779413891</v>
      </c>
      <c r="E833" s="13" t="s">
        <v>0</v>
      </c>
      <c r="F833" s="13">
        <v>63580</v>
      </c>
      <c r="G833" s="13" t="s">
        <v>480</v>
      </c>
      <c r="H833" s="13">
        <f t="shared" si="16"/>
        <v>0</v>
      </c>
      <c r="I833" s="13"/>
      <c r="J833" s="13"/>
      <c r="K833" s="13"/>
      <c r="L833" s="13"/>
      <c r="M833" s="13"/>
      <c r="N833" s="13"/>
      <c r="O833" s="13"/>
      <c r="P833" s="21">
        <v>0</v>
      </c>
    </row>
    <row r="834" spans="1:16" hidden="1" x14ac:dyDescent="0.25">
      <c r="A834" s="19">
        <v>45947</v>
      </c>
      <c r="B834" s="14" t="s">
        <v>489</v>
      </c>
      <c r="C834" s="14" t="s">
        <v>517</v>
      </c>
      <c r="D834" s="14"/>
      <c r="E834" s="13" t="s">
        <v>0</v>
      </c>
      <c r="F834" s="13" t="s">
        <v>0</v>
      </c>
      <c r="G834" s="13" t="s">
        <v>0</v>
      </c>
      <c r="H834" s="13">
        <f t="shared" si="16"/>
        <v>0</v>
      </c>
      <c r="I834" s="13" t="s">
        <v>518</v>
      </c>
      <c r="J834" s="13"/>
      <c r="K834" s="13"/>
      <c r="L834" s="13" t="s">
        <v>519</v>
      </c>
      <c r="M834" s="13" t="s">
        <v>649</v>
      </c>
      <c r="N834" s="13">
        <v>100000</v>
      </c>
      <c r="O834" s="13"/>
      <c r="P834" s="21">
        <v>0</v>
      </c>
    </row>
    <row r="835" spans="1:16" hidden="1" x14ac:dyDescent="0.25">
      <c r="A835" s="19"/>
      <c r="B835" s="14"/>
      <c r="C835" s="14" t="s">
        <v>521</v>
      </c>
      <c r="D835" s="38">
        <v>256779413891</v>
      </c>
      <c r="E835" s="13" t="s">
        <v>0</v>
      </c>
      <c r="F835" s="13">
        <v>52637</v>
      </c>
      <c r="G835" s="13" t="s">
        <v>480</v>
      </c>
      <c r="H835" s="13">
        <f t="shared" si="16"/>
        <v>0</v>
      </c>
      <c r="I835" s="13"/>
      <c r="J835" s="13"/>
      <c r="K835" s="13"/>
      <c r="L835" s="13"/>
      <c r="M835" s="13"/>
      <c r="N835" s="13"/>
      <c r="O835" s="13"/>
      <c r="P835" s="21">
        <v>0</v>
      </c>
    </row>
    <row r="836" spans="1:16" hidden="1" x14ac:dyDescent="0.25">
      <c r="A836" s="19"/>
      <c r="B836" s="14"/>
      <c r="C836" s="14" t="s">
        <v>521</v>
      </c>
      <c r="D836" s="38">
        <v>256779413922</v>
      </c>
      <c r="E836" s="13" t="s">
        <v>0</v>
      </c>
      <c r="F836" s="13">
        <v>30905</v>
      </c>
      <c r="G836" s="13" t="s">
        <v>480</v>
      </c>
      <c r="H836" s="13">
        <f t="shared" si="16"/>
        <v>0</v>
      </c>
      <c r="I836" s="13"/>
      <c r="J836" s="13"/>
      <c r="K836" s="13"/>
      <c r="L836" s="13"/>
      <c r="M836" s="13"/>
      <c r="N836" s="13"/>
      <c r="O836" s="13"/>
      <c r="P836" s="21">
        <v>0</v>
      </c>
    </row>
    <row r="837" spans="1:16" hidden="1" x14ac:dyDescent="0.25">
      <c r="A837" s="19"/>
      <c r="B837" s="14"/>
      <c r="C837" s="14" t="s">
        <v>521</v>
      </c>
      <c r="D837" s="38">
        <v>256779413998</v>
      </c>
      <c r="E837" s="13" t="s">
        <v>0</v>
      </c>
      <c r="F837" s="13">
        <v>15936</v>
      </c>
      <c r="G837" s="13" t="s">
        <v>480</v>
      </c>
      <c r="H837" s="13">
        <f t="shared" si="16"/>
        <v>0</v>
      </c>
      <c r="I837" s="13"/>
      <c r="J837" s="13"/>
      <c r="K837" s="13"/>
      <c r="L837" s="13"/>
      <c r="M837" s="13"/>
      <c r="N837" s="13"/>
      <c r="O837" s="13"/>
      <c r="P837" s="21">
        <v>0</v>
      </c>
    </row>
    <row r="838" spans="1:16" hidden="1" x14ac:dyDescent="0.25">
      <c r="A838" s="19"/>
      <c r="B838" s="14"/>
      <c r="C838" s="14" t="s">
        <v>521</v>
      </c>
      <c r="D838" s="38">
        <v>256779414176</v>
      </c>
      <c r="E838" s="13" t="s">
        <v>0</v>
      </c>
      <c r="F838" s="13">
        <v>522</v>
      </c>
      <c r="G838" s="13" t="s">
        <v>480</v>
      </c>
      <c r="H838" s="13">
        <f t="shared" si="16"/>
        <v>0</v>
      </c>
      <c r="I838" s="13"/>
      <c r="J838" s="13"/>
      <c r="K838" s="13"/>
      <c r="L838" s="13"/>
      <c r="M838" s="13"/>
      <c r="N838" s="13"/>
      <c r="O838" s="13"/>
      <c r="P838" s="21">
        <v>0</v>
      </c>
    </row>
    <row r="839" spans="1:16" hidden="1" x14ac:dyDescent="0.25">
      <c r="A839" s="19">
        <v>45959</v>
      </c>
      <c r="B839" s="14" t="s">
        <v>489</v>
      </c>
      <c r="C839" s="14" t="s">
        <v>517</v>
      </c>
      <c r="D839" s="14"/>
      <c r="E839" s="13" t="s">
        <v>0</v>
      </c>
      <c r="F839" s="13" t="s">
        <v>0</v>
      </c>
      <c r="G839" s="13" t="s">
        <v>0</v>
      </c>
      <c r="H839" s="13">
        <f t="shared" si="16"/>
        <v>0</v>
      </c>
      <c r="I839" s="13" t="s">
        <v>518</v>
      </c>
      <c r="J839" s="13"/>
      <c r="K839" s="13"/>
      <c r="L839" s="13" t="s">
        <v>519</v>
      </c>
      <c r="M839" s="13" t="s">
        <v>650</v>
      </c>
      <c r="N839" s="13">
        <v>100000</v>
      </c>
      <c r="O839" s="13"/>
      <c r="P839" s="21">
        <v>0</v>
      </c>
    </row>
    <row r="840" spans="1:16" hidden="1" x14ac:dyDescent="0.25">
      <c r="A840" s="19"/>
      <c r="B840" s="14"/>
      <c r="C840" s="14" t="s">
        <v>521</v>
      </c>
      <c r="D840" s="38">
        <v>256779414176</v>
      </c>
      <c r="E840" s="13" t="s">
        <v>0</v>
      </c>
      <c r="F840" s="13">
        <v>10312</v>
      </c>
      <c r="G840" s="13" t="s">
        <v>480</v>
      </c>
      <c r="H840" s="13">
        <f t="shared" ref="H840:H903" si="17">P836</f>
        <v>0</v>
      </c>
      <c r="I840" s="13"/>
      <c r="J840" s="13"/>
      <c r="K840" s="13"/>
      <c r="L840" s="13"/>
      <c r="M840" s="13"/>
      <c r="N840" s="13"/>
      <c r="O840" s="13"/>
      <c r="P840" s="21">
        <v>0</v>
      </c>
    </row>
    <row r="841" spans="1:16" hidden="1" x14ac:dyDescent="0.25">
      <c r="A841" s="19"/>
      <c r="B841" s="14"/>
      <c r="C841" s="14" t="s">
        <v>521</v>
      </c>
      <c r="D841" s="38">
        <v>256779414221</v>
      </c>
      <c r="E841" s="13" t="s">
        <v>0</v>
      </c>
      <c r="F841" s="13">
        <v>3872</v>
      </c>
      <c r="G841" s="13" t="s">
        <v>480</v>
      </c>
      <c r="H841" s="13">
        <f t="shared" si="17"/>
        <v>0</v>
      </c>
      <c r="I841" s="13"/>
      <c r="J841" s="13"/>
      <c r="K841" s="13"/>
      <c r="L841" s="13"/>
      <c r="M841" s="13"/>
      <c r="N841" s="13"/>
      <c r="O841" s="13"/>
      <c r="P841" s="21">
        <v>0</v>
      </c>
    </row>
    <row r="842" spans="1:16" hidden="1" x14ac:dyDescent="0.25">
      <c r="A842" s="19"/>
      <c r="B842" s="14"/>
      <c r="C842" s="14" t="s">
        <v>521</v>
      </c>
      <c r="D842" s="38">
        <v>256779414232</v>
      </c>
      <c r="E842" s="13" t="s">
        <v>0</v>
      </c>
      <c r="F842" s="13">
        <v>85816</v>
      </c>
      <c r="G842" s="13" t="s">
        <v>480</v>
      </c>
      <c r="H842" s="13">
        <f t="shared" si="17"/>
        <v>0</v>
      </c>
      <c r="I842" s="13"/>
      <c r="J842" s="13"/>
      <c r="K842" s="13"/>
      <c r="L842" s="13"/>
      <c r="M842" s="13"/>
      <c r="N842" s="13"/>
      <c r="O842" s="13"/>
      <c r="P842" s="21">
        <v>0</v>
      </c>
    </row>
    <row r="843" spans="1:16" hidden="1" x14ac:dyDescent="0.25">
      <c r="A843" s="19">
        <v>45962</v>
      </c>
      <c r="B843" s="14" t="s">
        <v>480</v>
      </c>
      <c r="C843" s="14" t="s">
        <v>481</v>
      </c>
      <c r="D843" s="14"/>
      <c r="E843" s="13" t="s">
        <v>0</v>
      </c>
      <c r="F843" s="13" t="s">
        <v>0</v>
      </c>
      <c r="G843" s="13" t="s">
        <v>0</v>
      </c>
      <c r="H843" s="13">
        <f t="shared" si="17"/>
        <v>0</v>
      </c>
      <c r="I843" s="13" t="s">
        <v>627</v>
      </c>
      <c r="J843" s="13"/>
      <c r="K843" s="13">
        <v>73.63</v>
      </c>
      <c r="L843" s="13" t="s">
        <v>483</v>
      </c>
      <c r="M843" s="13" t="s">
        <v>651</v>
      </c>
      <c r="N843" s="13"/>
      <c r="O843" s="13">
        <v>6444</v>
      </c>
      <c r="P843" s="21">
        <v>131</v>
      </c>
    </row>
    <row r="844" spans="1:16" hidden="1" x14ac:dyDescent="0.25">
      <c r="A844" s="19" t="s">
        <v>0</v>
      </c>
      <c r="B844" s="14"/>
      <c r="C844" s="14" t="s">
        <v>524</v>
      </c>
      <c r="D844" s="14"/>
      <c r="E844" s="13" t="s">
        <v>0</v>
      </c>
      <c r="F844" s="13" t="s">
        <v>0</v>
      </c>
      <c r="G844" s="13" t="s">
        <v>0</v>
      </c>
      <c r="H844" s="13">
        <f t="shared" si="17"/>
        <v>0</v>
      </c>
      <c r="I844" s="13" t="s">
        <v>0</v>
      </c>
      <c r="J844" s="13" t="s">
        <v>0</v>
      </c>
      <c r="K844" s="13">
        <v>6574.95</v>
      </c>
      <c r="L844" s="13"/>
      <c r="M844" s="13"/>
      <c r="N844" s="13"/>
      <c r="O844" s="13"/>
      <c r="P844" s="21">
        <v>0</v>
      </c>
    </row>
    <row r="845" spans="1:16" hidden="1" x14ac:dyDescent="0.25">
      <c r="A845" s="19" t="s">
        <v>0</v>
      </c>
      <c r="B845" s="14"/>
      <c r="C845" s="14" t="s">
        <v>525</v>
      </c>
      <c r="D845" s="14"/>
      <c r="E845" s="13" t="s">
        <v>0</v>
      </c>
      <c r="F845" s="13" t="s">
        <v>0</v>
      </c>
      <c r="G845" s="13" t="s">
        <v>0</v>
      </c>
      <c r="H845" s="13">
        <f t="shared" si="17"/>
        <v>0</v>
      </c>
      <c r="I845" s="13" t="s">
        <v>0</v>
      </c>
      <c r="J845" s="13" t="s">
        <v>0</v>
      </c>
      <c r="K845" s="13"/>
      <c r="L845" s="13">
        <v>131</v>
      </c>
      <c r="M845" s="13"/>
      <c r="N845" s="13"/>
      <c r="O845" s="13"/>
      <c r="P845" s="21">
        <v>0</v>
      </c>
    </row>
    <row r="846" spans="1:16" hidden="1" x14ac:dyDescent="0.25">
      <c r="A846" s="19" t="s">
        <v>0</v>
      </c>
      <c r="B846" s="14"/>
      <c r="C846" s="14" t="s">
        <v>487</v>
      </c>
      <c r="D846" s="14"/>
      <c r="E846" s="13" t="s">
        <v>0</v>
      </c>
      <c r="F846" s="13" t="s">
        <v>0</v>
      </c>
      <c r="G846" s="13" t="s">
        <v>0</v>
      </c>
      <c r="H846" s="13">
        <f t="shared" si="17"/>
        <v>0</v>
      </c>
      <c r="I846" s="13" t="s">
        <v>0</v>
      </c>
      <c r="J846" s="13" t="s">
        <v>0</v>
      </c>
      <c r="K846" s="13">
        <v>0.05</v>
      </c>
      <c r="L846" s="13"/>
      <c r="M846" s="13"/>
      <c r="N846" s="13"/>
      <c r="O846" s="13"/>
      <c r="P846" s="21">
        <v>0</v>
      </c>
    </row>
    <row r="847" spans="1:16" x14ac:dyDescent="0.25">
      <c r="A847" s="19"/>
      <c r="B847" s="14"/>
      <c r="C847" s="14" t="s">
        <v>488</v>
      </c>
      <c r="D847" s="38">
        <v>256779417163</v>
      </c>
      <c r="E847" s="13" t="s">
        <v>0</v>
      </c>
      <c r="F847" s="13">
        <v>6444</v>
      </c>
      <c r="G847" s="13" t="s">
        <v>489</v>
      </c>
      <c r="H847" s="13">
        <f t="shared" si="17"/>
        <v>131</v>
      </c>
      <c r="I847" s="13"/>
      <c r="J847" s="13"/>
      <c r="K847" s="13"/>
      <c r="L847" s="13"/>
      <c r="M847" s="13"/>
      <c r="N847" s="13"/>
      <c r="O847" s="13"/>
      <c r="P847" s="21">
        <v>0</v>
      </c>
    </row>
    <row r="848" spans="1:16" s="27" customFormat="1" hidden="1" x14ac:dyDescent="0.25">
      <c r="A848" s="23">
        <v>45962</v>
      </c>
      <c r="B848" s="24" t="s">
        <v>480</v>
      </c>
      <c r="C848" s="24" t="s">
        <v>481</v>
      </c>
      <c r="D848" s="24"/>
      <c r="E848" s="25" t="s">
        <v>0</v>
      </c>
      <c r="F848" s="25" t="s">
        <v>0</v>
      </c>
      <c r="G848" s="25" t="s">
        <v>0</v>
      </c>
      <c r="H848" s="13">
        <f t="shared" si="17"/>
        <v>0</v>
      </c>
      <c r="I848" s="25" t="s">
        <v>627</v>
      </c>
      <c r="J848" s="25"/>
      <c r="K848" s="25">
        <v>137.19999999999999</v>
      </c>
      <c r="L848" s="25" t="s">
        <v>483</v>
      </c>
      <c r="M848" s="25" t="s">
        <v>652</v>
      </c>
      <c r="N848" s="25"/>
      <c r="O848" s="25">
        <v>12007</v>
      </c>
      <c r="P848" s="26">
        <v>245</v>
      </c>
    </row>
    <row r="849" spans="1:16" hidden="1" x14ac:dyDescent="0.25">
      <c r="A849" s="19" t="s">
        <v>0</v>
      </c>
      <c r="B849" s="14"/>
      <c r="C849" s="14" t="s">
        <v>599</v>
      </c>
      <c r="D849" s="14"/>
      <c r="E849" s="13" t="s">
        <v>0</v>
      </c>
      <c r="F849" s="13" t="s">
        <v>0</v>
      </c>
      <c r="G849" s="13" t="s">
        <v>0</v>
      </c>
      <c r="H849" s="13">
        <f t="shared" si="17"/>
        <v>0</v>
      </c>
      <c r="I849" s="13" t="s">
        <v>0</v>
      </c>
      <c r="J849" s="13" t="s">
        <v>0</v>
      </c>
      <c r="K849" s="13">
        <v>12252.01</v>
      </c>
      <c r="L849" s="13"/>
      <c r="M849" s="13"/>
      <c r="N849" s="13"/>
      <c r="O849" s="13"/>
      <c r="P849" s="21">
        <v>0</v>
      </c>
    </row>
    <row r="850" spans="1:16" hidden="1" x14ac:dyDescent="0.25">
      <c r="A850" s="19" t="s">
        <v>0</v>
      </c>
      <c r="B850" s="14"/>
      <c r="C850" s="14" t="s">
        <v>600</v>
      </c>
      <c r="D850" s="14"/>
      <c r="E850" s="13" t="s">
        <v>0</v>
      </c>
      <c r="F850" s="13" t="s">
        <v>0</v>
      </c>
      <c r="G850" s="13" t="s">
        <v>0</v>
      </c>
      <c r="H850" s="13">
        <f t="shared" si="17"/>
        <v>0</v>
      </c>
      <c r="I850" s="13" t="s">
        <v>0</v>
      </c>
      <c r="J850" s="13" t="s">
        <v>0</v>
      </c>
      <c r="K850" s="13">
        <v>612.6</v>
      </c>
      <c r="L850" s="13"/>
      <c r="M850" s="13"/>
      <c r="N850" s="13"/>
      <c r="O850" s="13"/>
      <c r="P850" s="21">
        <v>0</v>
      </c>
    </row>
    <row r="851" spans="1:16" hidden="1" x14ac:dyDescent="0.25">
      <c r="A851" s="19" t="s">
        <v>0</v>
      </c>
      <c r="B851" s="14"/>
      <c r="C851" s="14" t="s">
        <v>601</v>
      </c>
      <c r="D851" s="14"/>
      <c r="E851" s="13" t="s">
        <v>0</v>
      </c>
      <c r="F851" s="13" t="s">
        <v>0</v>
      </c>
      <c r="G851" s="13" t="s">
        <v>0</v>
      </c>
      <c r="H851" s="13">
        <f t="shared" si="17"/>
        <v>0</v>
      </c>
      <c r="I851" s="13" t="s">
        <v>0</v>
      </c>
      <c r="J851" s="13" t="s">
        <v>0</v>
      </c>
      <c r="K851" s="13"/>
      <c r="L851" s="13">
        <v>612.6</v>
      </c>
      <c r="M851" s="13"/>
      <c r="N851" s="13"/>
      <c r="O851" s="13"/>
      <c r="P851" s="21">
        <v>0</v>
      </c>
    </row>
    <row r="852" spans="1:16" hidden="1" x14ac:dyDescent="0.25">
      <c r="A852" s="19" t="s">
        <v>0</v>
      </c>
      <c r="B852" s="14"/>
      <c r="C852" s="14" t="s">
        <v>525</v>
      </c>
      <c r="D852" s="14"/>
      <c r="E852" s="13" t="s">
        <v>0</v>
      </c>
      <c r="F852" s="13" t="s">
        <v>0</v>
      </c>
      <c r="G852" s="13" t="s">
        <v>0</v>
      </c>
      <c r="H852" s="13"/>
      <c r="I852" s="13" t="s">
        <v>0</v>
      </c>
      <c r="J852" s="13" t="s">
        <v>0</v>
      </c>
      <c r="K852" s="13"/>
      <c r="L852" s="13">
        <v>245</v>
      </c>
      <c r="M852" s="13"/>
      <c r="N852" s="13"/>
      <c r="O852" s="13"/>
      <c r="P852" s="21">
        <v>0</v>
      </c>
    </row>
    <row r="853" spans="1:16" hidden="1" x14ac:dyDescent="0.25">
      <c r="A853" s="19" t="s">
        <v>0</v>
      </c>
      <c r="B853" s="14"/>
      <c r="C853" s="14" t="s">
        <v>487</v>
      </c>
      <c r="D853" s="14"/>
      <c r="E853" s="13" t="s">
        <v>0</v>
      </c>
      <c r="F853" s="13" t="s">
        <v>0</v>
      </c>
      <c r="G853" s="13" t="s">
        <v>0</v>
      </c>
      <c r="H853" s="13">
        <f t="shared" si="17"/>
        <v>0</v>
      </c>
      <c r="I853" s="13" t="s">
        <v>0</v>
      </c>
      <c r="J853" s="13" t="s">
        <v>0</v>
      </c>
      <c r="K853" s="13"/>
      <c r="L853" s="13">
        <v>0.01</v>
      </c>
      <c r="M853" s="13"/>
      <c r="N853" s="13"/>
      <c r="O853" s="13"/>
      <c r="P853" s="21">
        <v>0</v>
      </c>
    </row>
    <row r="854" spans="1:16" s="27" customFormat="1" x14ac:dyDescent="0.25">
      <c r="A854" s="23"/>
      <c r="B854" s="24"/>
      <c r="C854" s="24" t="s">
        <v>488</v>
      </c>
      <c r="D854" s="39">
        <v>256779417188</v>
      </c>
      <c r="E854" s="25" t="s">
        <v>0</v>
      </c>
      <c r="F854" s="25">
        <v>12007</v>
      </c>
      <c r="G854" s="25" t="s">
        <v>489</v>
      </c>
      <c r="H854" s="25">
        <v>245</v>
      </c>
      <c r="I854" s="25"/>
      <c r="J854" s="25"/>
      <c r="K854" s="25"/>
      <c r="L854" s="25"/>
      <c r="M854" s="25"/>
      <c r="N854" s="25"/>
      <c r="O854" s="25"/>
      <c r="P854" s="26">
        <v>0</v>
      </c>
    </row>
    <row r="855" spans="1:16" hidden="1" x14ac:dyDescent="0.25">
      <c r="A855" s="19">
        <v>45962</v>
      </c>
      <c r="B855" s="14" t="s">
        <v>480</v>
      </c>
      <c r="C855" s="14" t="s">
        <v>481</v>
      </c>
      <c r="D855" s="14"/>
      <c r="E855" s="13" t="s">
        <v>0</v>
      </c>
      <c r="F855" s="13" t="s">
        <v>0</v>
      </c>
      <c r="G855" s="13" t="s">
        <v>0</v>
      </c>
      <c r="H855" s="13">
        <f t="shared" si="17"/>
        <v>0</v>
      </c>
      <c r="I855" s="13" t="s">
        <v>627</v>
      </c>
      <c r="J855" s="13"/>
      <c r="K855" s="13">
        <v>105.96</v>
      </c>
      <c r="L855" s="13" t="s">
        <v>483</v>
      </c>
      <c r="M855" s="13" t="s">
        <v>653</v>
      </c>
      <c r="N855" s="13"/>
      <c r="O855" s="13">
        <v>9273</v>
      </c>
      <c r="P855" s="21">
        <v>189</v>
      </c>
    </row>
    <row r="856" spans="1:16" hidden="1" x14ac:dyDescent="0.25">
      <c r="A856" s="19" t="s">
        <v>0</v>
      </c>
      <c r="B856" s="14"/>
      <c r="C856" s="14" t="s">
        <v>533</v>
      </c>
      <c r="D856" s="14"/>
      <c r="E856" s="13" t="s">
        <v>0</v>
      </c>
      <c r="F856" s="13" t="s">
        <v>0</v>
      </c>
      <c r="G856" s="13" t="s">
        <v>0</v>
      </c>
      <c r="H856" s="13">
        <f t="shared" si="17"/>
        <v>0</v>
      </c>
      <c r="I856" s="13" t="s">
        <v>0</v>
      </c>
      <c r="J856" s="13" t="s">
        <v>0</v>
      </c>
      <c r="K856" s="13">
        <v>9462.0499999999993</v>
      </c>
      <c r="L856" s="13"/>
      <c r="M856" s="13"/>
      <c r="N856" s="13"/>
      <c r="O856" s="13"/>
      <c r="P856" s="21">
        <v>0</v>
      </c>
    </row>
    <row r="857" spans="1:16" hidden="1" x14ac:dyDescent="0.25">
      <c r="A857" s="19" t="s">
        <v>0</v>
      </c>
      <c r="B857" s="14"/>
      <c r="C857" s="14" t="s">
        <v>525</v>
      </c>
      <c r="D857" s="14"/>
      <c r="E857" s="13" t="s">
        <v>0</v>
      </c>
      <c r="F857" s="13" t="s">
        <v>0</v>
      </c>
      <c r="G857" s="13" t="s">
        <v>0</v>
      </c>
      <c r="H857" s="13">
        <f t="shared" si="17"/>
        <v>0</v>
      </c>
      <c r="I857" s="13" t="s">
        <v>0</v>
      </c>
      <c r="J857" s="13" t="s">
        <v>0</v>
      </c>
      <c r="K857" s="13"/>
      <c r="L857" s="13">
        <v>189</v>
      </c>
      <c r="M857" s="13"/>
      <c r="N857" s="13"/>
      <c r="O857" s="13"/>
      <c r="P857" s="21">
        <v>0</v>
      </c>
    </row>
    <row r="858" spans="1:16" hidden="1" x14ac:dyDescent="0.25">
      <c r="A858" s="19" t="s">
        <v>0</v>
      </c>
      <c r="B858" s="14"/>
      <c r="C858" s="14" t="s">
        <v>487</v>
      </c>
      <c r="D858" s="14"/>
      <c r="E858" s="13" t="s">
        <v>0</v>
      </c>
      <c r="F858" s="13" t="s">
        <v>0</v>
      </c>
      <c r="G858" s="13" t="s">
        <v>0</v>
      </c>
      <c r="H858" s="13">
        <f t="shared" si="17"/>
        <v>0</v>
      </c>
      <c r="I858" s="13" t="s">
        <v>0</v>
      </c>
      <c r="J858" s="13" t="s">
        <v>0</v>
      </c>
      <c r="K858" s="13"/>
      <c r="L858" s="13">
        <v>0.05</v>
      </c>
      <c r="M858" s="13"/>
      <c r="N858" s="13"/>
      <c r="O858" s="13"/>
      <c r="P858" s="21">
        <v>0</v>
      </c>
    </row>
    <row r="859" spans="1:16" x14ac:dyDescent="0.25">
      <c r="A859" s="19"/>
      <c r="B859" s="14"/>
      <c r="C859" s="14" t="s">
        <v>488</v>
      </c>
      <c r="D859" s="38">
        <v>256779417247</v>
      </c>
      <c r="E859" s="13" t="s">
        <v>0</v>
      </c>
      <c r="F859" s="13">
        <v>9273</v>
      </c>
      <c r="G859" s="13" t="s">
        <v>489</v>
      </c>
      <c r="H859" s="13">
        <f t="shared" si="17"/>
        <v>189</v>
      </c>
      <c r="I859" s="13"/>
      <c r="J859" s="13"/>
      <c r="K859" s="13"/>
      <c r="L859" s="13"/>
      <c r="M859" s="13"/>
      <c r="N859" s="13"/>
      <c r="O859" s="13"/>
      <c r="P859" s="21">
        <v>0</v>
      </c>
    </row>
    <row r="860" spans="1:16" s="27" customFormat="1" hidden="1" x14ac:dyDescent="0.25">
      <c r="A860" s="23">
        <v>45962</v>
      </c>
      <c r="B860" s="24" t="s">
        <v>480</v>
      </c>
      <c r="C860" s="24" t="s">
        <v>481</v>
      </c>
      <c r="D860" s="24"/>
      <c r="E860" s="25" t="s">
        <v>0</v>
      </c>
      <c r="F860" s="25" t="s">
        <v>0</v>
      </c>
      <c r="G860" s="25" t="s">
        <v>0</v>
      </c>
      <c r="H860" s="13">
        <f t="shared" si="17"/>
        <v>0</v>
      </c>
      <c r="I860" s="25" t="s">
        <v>627</v>
      </c>
      <c r="J860" s="25"/>
      <c r="K860" s="25">
        <v>566.83000000000004</v>
      </c>
      <c r="L860" s="25" t="s">
        <v>483</v>
      </c>
      <c r="M860" s="25" t="s">
        <v>654</v>
      </c>
      <c r="N860" s="25"/>
      <c r="O860" s="25">
        <v>49606</v>
      </c>
      <c r="P860" s="26">
        <v>1012</v>
      </c>
    </row>
    <row r="861" spans="1:16" hidden="1" x14ac:dyDescent="0.25">
      <c r="A861" s="19" t="s">
        <v>0</v>
      </c>
      <c r="B861" s="14"/>
      <c r="C861" s="14" t="s">
        <v>533</v>
      </c>
      <c r="D861" s="14"/>
      <c r="E861" s="13" t="s">
        <v>0</v>
      </c>
      <c r="F861" s="13" t="s">
        <v>0</v>
      </c>
      <c r="G861" s="13" t="s">
        <v>0</v>
      </c>
      <c r="H861" s="13">
        <f t="shared" si="17"/>
        <v>0</v>
      </c>
      <c r="I861" s="13" t="s">
        <v>0</v>
      </c>
      <c r="J861" s="13" t="s">
        <v>0</v>
      </c>
      <c r="K861" s="13">
        <v>10361.700000000001</v>
      </c>
      <c r="L861" s="13"/>
      <c r="M861" s="13"/>
      <c r="N861" s="13"/>
      <c r="O861" s="13"/>
      <c r="P861" s="21">
        <v>0</v>
      </c>
    </row>
    <row r="862" spans="1:16" hidden="1" x14ac:dyDescent="0.25">
      <c r="A862" s="19" t="s">
        <v>0</v>
      </c>
      <c r="B862" s="14"/>
      <c r="C862" s="14" t="s">
        <v>599</v>
      </c>
      <c r="D862" s="14"/>
      <c r="E862" s="13" t="s">
        <v>0</v>
      </c>
      <c r="F862" s="13" t="s">
        <v>0</v>
      </c>
      <c r="G862" s="13" t="s">
        <v>0</v>
      </c>
      <c r="H862" s="13">
        <f t="shared" si="17"/>
        <v>0</v>
      </c>
      <c r="I862" s="13" t="s">
        <v>0</v>
      </c>
      <c r="J862" s="13" t="s">
        <v>0</v>
      </c>
      <c r="K862" s="13">
        <v>40256.589999999997</v>
      </c>
      <c r="L862" s="13"/>
      <c r="M862" s="13"/>
      <c r="N862" s="13"/>
      <c r="O862" s="13"/>
      <c r="P862" s="21">
        <v>0</v>
      </c>
    </row>
    <row r="863" spans="1:16" hidden="1" x14ac:dyDescent="0.25">
      <c r="A863" s="19" t="s">
        <v>0</v>
      </c>
      <c r="B863" s="14"/>
      <c r="C863" s="14" t="s">
        <v>600</v>
      </c>
      <c r="D863" s="14"/>
      <c r="E863" s="13" t="s">
        <v>0</v>
      </c>
      <c r="F863" s="13" t="s">
        <v>0</v>
      </c>
      <c r="G863" s="13" t="s">
        <v>0</v>
      </c>
      <c r="H863" s="13">
        <f t="shared" si="17"/>
        <v>0</v>
      </c>
      <c r="I863" s="13" t="s">
        <v>0</v>
      </c>
      <c r="J863" s="13" t="s">
        <v>0</v>
      </c>
      <c r="K863" s="13">
        <v>2012.83</v>
      </c>
      <c r="L863" s="13"/>
      <c r="M863" s="13"/>
      <c r="N863" s="13"/>
      <c r="O863" s="13"/>
      <c r="P863" s="21">
        <v>0</v>
      </c>
    </row>
    <row r="864" spans="1:16" hidden="1" x14ac:dyDescent="0.25">
      <c r="A864" s="19" t="s">
        <v>0</v>
      </c>
      <c r="B864" s="14"/>
      <c r="C864" s="14" t="s">
        <v>601</v>
      </c>
      <c r="D864" s="14"/>
      <c r="E864" s="13" t="s">
        <v>0</v>
      </c>
      <c r="F864" s="13" t="s">
        <v>0</v>
      </c>
      <c r="G864" s="13" t="s">
        <v>0</v>
      </c>
      <c r="H864" s="13"/>
      <c r="I864" s="13" t="s">
        <v>0</v>
      </c>
      <c r="J864" s="13" t="s">
        <v>0</v>
      </c>
      <c r="K864" s="13"/>
      <c r="L864" s="13">
        <v>2012.83</v>
      </c>
      <c r="M864" s="13"/>
      <c r="N864" s="13"/>
      <c r="O864" s="13"/>
      <c r="P864" s="21">
        <v>0</v>
      </c>
    </row>
    <row r="865" spans="1:16" hidden="1" x14ac:dyDescent="0.25">
      <c r="A865" s="19" t="s">
        <v>0</v>
      </c>
      <c r="B865" s="14"/>
      <c r="C865" s="14" t="s">
        <v>525</v>
      </c>
      <c r="D865" s="14"/>
      <c r="E865" s="13" t="s">
        <v>0</v>
      </c>
      <c r="F865" s="13" t="s">
        <v>0</v>
      </c>
      <c r="G865" s="13" t="s">
        <v>0</v>
      </c>
      <c r="H865" s="13">
        <f t="shared" si="17"/>
        <v>0</v>
      </c>
      <c r="I865" s="13" t="s">
        <v>0</v>
      </c>
      <c r="J865" s="13" t="s">
        <v>0</v>
      </c>
      <c r="K865" s="13"/>
      <c r="L865" s="13">
        <v>1012</v>
      </c>
      <c r="M865" s="13"/>
      <c r="N865" s="13"/>
      <c r="O865" s="13"/>
      <c r="P865" s="21">
        <v>0</v>
      </c>
    </row>
    <row r="866" spans="1:16" hidden="1" x14ac:dyDescent="0.25">
      <c r="A866" s="19" t="s">
        <v>0</v>
      </c>
      <c r="B866" s="14"/>
      <c r="C866" s="14" t="s">
        <v>487</v>
      </c>
      <c r="D866" s="14"/>
      <c r="E866" s="13" t="s">
        <v>0</v>
      </c>
      <c r="F866" s="13" t="s">
        <v>0</v>
      </c>
      <c r="G866" s="13" t="s">
        <v>0</v>
      </c>
      <c r="H866" s="13">
        <f t="shared" si="17"/>
        <v>0</v>
      </c>
      <c r="I866" s="13" t="s">
        <v>0</v>
      </c>
      <c r="J866" s="13" t="s">
        <v>0</v>
      </c>
      <c r="K866" s="13"/>
      <c r="L866" s="13">
        <v>0.28999999999999998</v>
      </c>
      <c r="M866" s="13"/>
      <c r="N866" s="13"/>
      <c r="O866" s="13"/>
      <c r="P866" s="21">
        <v>0</v>
      </c>
    </row>
    <row r="867" spans="1:16" s="27" customFormat="1" x14ac:dyDescent="0.25">
      <c r="A867" s="23"/>
      <c r="B867" s="24"/>
      <c r="C867" s="24" t="s">
        <v>488</v>
      </c>
      <c r="D867" s="39">
        <v>256779417290</v>
      </c>
      <c r="E867" s="25" t="s">
        <v>0</v>
      </c>
      <c r="F867" s="25">
        <v>49606</v>
      </c>
      <c r="G867" s="25" t="s">
        <v>489</v>
      </c>
      <c r="H867" s="25">
        <v>1012</v>
      </c>
      <c r="I867" s="25"/>
      <c r="J867" s="25"/>
      <c r="K867" s="25"/>
      <c r="L867" s="25"/>
      <c r="M867" s="25"/>
      <c r="N867" s="25"/>
      <c r="O867" s="25"/>
      <c r="P867" s="26">
        <v>0</v>
      </c>
    </row>
    <row r="868" spans="1:16" hidden="1" x14ac:dyDescent="0.25">
      <c r="A868" s="19">
        <v>45962</v>
      </c>
      <c r="B868" s="14" t="s">
        <v>480</v>
      </c>
      <c r="C868" s="14" t="s">
        <v>481</v>
      </c>
      <c r="D868" s="14"/>
      <c r="E868" s="13" t="s">
        <v>0</v>
      </c>
      <c r="F868" s="13" t="s">
        <v>0</v>
      </c>
      <c r="G868" s="13" t="s">
        <v>0</v>
      </c>
      <c r="H868" s="13">
        <f t="shared" si="17"/>
        <v>0</v>
      </c>
      <c r="I868" s="13" t="s">
        <v>627</v>
      </c>
      <c r="J868" s="13"/>
      <c r="K868" s="13">
        <v>13.24</v>
      </c>
      <c r="L868" s="13" t="s">
        <v>483</v>
      </c>
      <c r="M868" s="13" t="s">
        <v>655</v>
      </c>
      <c r="N868" s="13"/>
      <c r="O868" s="13">
        <v>1159</v>
      </c>
      <c r="P868" s="21">
        <v>24</v>
      </c>
    </row>
    <row r="869" spans="1:16" hidden="1" x14ac:dyDescent="0.25">
      <c r="A869" s="19" t="s">
        <v>0</v>
      </c>
      <c r="B869" s="14"/>
      <c r="C869" s="14" t="s">
        <v>544</v>
      </c>
      <c r="D869" s="14"/>
      <c r="E869" s="13" t="s">
        <v>0</v>
      </c>
      <c r="F869" s="13" t="s">
        <v>0</v>
      </c>
      <c r="G869" s="13" t="s">
        <v>0</v>
      </c>
      <c r="H869" s="13">
        <f t="shared" si="17"/>
        <v>0</v>
      </c>
      <c r="I869" s="13" t="s">
        <v>0</v>
      </c>
      <c r="J869" s="13" t="s">
        <v>0</v>
      </c>
      <c r="K869" s="13">
        <v>1183.19</v>
      </c>
      <c r="L869" s="13"/>
      <c r="M869" s="13"/>
      <c r="N869" s="13"/>
      <c r="O869" s="13"/>
      <c r="P869" s="21">
        <v>0</v>
      </c>
    </row>
    <row r="870" spans="1:16" hidden="1" x14ac:dyDescent="0.25">
      <c r="A870" s="19" t="s">
        <v>0</v>
      </c>
      <c r="B870" s="14"/>
      <c r="C870" s="14" t="s">
        <v>525</v>
      </c>
      <c r="D870" s="14"/>
      <c r="E870" s="13" t="s">
        <v>0</v>
      </c>
      <c r="F870" s="13" t="s">
        <v>0</v>
      </c>
      <c r="G870" s="13" t="s">
        <v>0</v>
      </c>
      <c r="H870" s="13">
        <f t="shared" si="17"/>
        <v>0</v>
      </c>
      <c r="I870" s="13" t="s">
        <v>0</v>
      </c>
      <c r="J870" s="13" t="s">
        <v>0</v>
      </c>
      <c r="K870" s="13"/>
      <c r="L870" s="13">
        <v>24</v>
      </c>
      <c r="M870" s="13"/>
      <c r="N870" s="13"/>
      <c r="O870" s="13"/>
      <c r="P870" s="21">
        <v>0</v>
      </c>
    </row>
    <row r="871" spans="1:16" hidden="1" x14ac:dyDescent="0.25">
      <c r="A871" s="19" t="s">
        <v>0</v>
      </c>
      <c r="B871" s="14"/>
      <c r="C871" s="14" t="s">
        <v>487</v>
      </c>
      <c r="D871" s="14"/>
      <c r="E871" s="13" t="s">
        <v>0</v>
      </c>
      <c r="F871" s="13" t="s">
        <v>0</v>
      </c>
      <c r="G871" s="13" t="s">
        <v>0</v>
      </c>
      <c r="H871" s="13">
        <f t="shared" si="17"/>
        <v>0</v>
      </c>
      <c r="I871" s="13" t="s">
        <v>0</v>
      </c>
      <c r="J871" s="13" t="s">
        <v>0</v>
      </c>
      <c r="K871" s="13"/>
      <c r="L871" s="13">
        <v>0.19</v>
      </c>
      <c r="M871" s="13"/>
      <c r="N871" s="13"/>
      <c r="O871" s="13"/>
      <c r="P871" s="21">
        <v>0</v>
      </c>
    </row>
    <row r="872" spans="1:16" x14ac:dyDescent="0.25">
      <c r="A872" s="19"/>
      <c r="B872" s="14"/>
      <c r="C872" s="14" t="s">
        <v>488</v>
      </c>
      <c r="D872" s="38">
        <v>256779417330</v>
      </c>
      <c r="E872" s="13" t="s">
        <v>0</v>
      </c>
      <c r="F872" s="13">
        <v>1159</v>
      </c>
      <c r="G872" s="13" t="s">
        <v>489</v>
      </c>
      <c r="H872" s="13">
        <f t="shared" si="17"/>
        <v>24</v>
      </c>
      <c r="I872" s="13"/>
      <c r="J872" s="13"/>
      <c r="K872" s="13"/>
      <c r="L872" s="13"/>
      <c r="M872" s="13"/>
      <c r="N872" s="13"/>
      <c r="O872" s="13"/>
      <c r="P872" s="21">
        <v>0</v>
      </c>
    </row>
    <row r="873" spans="1:16" hidden="1" x14ac:dyDescent="0.25">
      <c r="A873" s="19">
        <v>45962</v>
      </c>
      <c r="B873" s="14" t="s">
        <v>480</v>
      </c>
      <c r="C873" s="14" t="s">
        <v>481</v>
      </c>
      <c r="D873" s="14"/>
      <c r="E873" s="13" t="s">
        <v>0</v>
      </c>
      <c r="F873" s="13" t="s">
        <v>0</v>
      </c>
      <c r="G873" s="13" t="s">
        <v>0</v>
      </c>
      <c r="H873" s="13">
        <f t="shared" si="17"/>
        <v>0</v>
      </c>
      <c r="I873" s="13" t="s">
        <v>656</v>
      </c>
      <c r="J873" s="13"/>
      <c r="K873" s="13">
        <v>1299.67</v>
      </c>
      <c r="L873" s="13" t="s">
        <v>483</v>
      </c>
      <c r="M873" s="13" t="s">
        <v>657</v>
      </c>
      <c r="N873" s="13"/>
      <c r="O873" s="13">
        <v>113740</v>
      </c>
      <c r="P873" s="21">
        <v>2321</v>
      </c>
    </row>
    <row r="874" spans="1:16" hidden="1" x14ac:dyDescent="0.25">
      <c r="A874" s="19" t="s">
        <v>0</v>
      </c>
      <c r="B874" s="14"/>
      <c r="C874" s="14" t="s">
        <v>524</v>
      </c>
      <c r="D874" s="14"/>
      <c r="E874" s="13" t="s">
        <v>0</v>
      </c>
      <c r="F874" s="13" t="s">
        <v>0</v>
      </c>
      <c r="G874" s="13" t="s">
        <v>0</v>
      </c>
      <c r="H874" s="13">
        <f t="shared" si="17"/>
        <v>0</v>
      </c>
      <c r="I874" s="13" t="s">
        <v>0</v>
      </c>
      <c r="J874" s="13" t="s">
        <v>0</v>
      </c>
      <c r="K874" s="13">
        <v>116061.5</v>
      </c>
      <c r="L874" s="13"/>
      <c r="M874" s="13"/>
      <c r="N874" s="13"/>
      <c r="O874" s="13"/>
      <c r="P874" s="21">
        <v>0</v>
      </c>
    </row>
    <row r="875" spans="1:16" hidden="1" x14ac:dyDescent="0.25">
      <c r="A875" s="19" t="s">
        <v>0</v>
      </c>
      <c r="B875" s="14"/>
      <c r="C875" s="14" t="s">
        <v>525</v>
      </c>
      <c r="D875" s="14"/>
      <c r="E875" s="13" t="s">
        <v>0</v>
      </c>
      <c r="F875" s="13" t="s">
        <v>0</v>
      </c>
      <c r="G875" s="13" t="s">
        <v>0</v>
      </c>
      <c r="H875" s="13">
        <f t="shared" si="17"/>
        <v>0</v>
      </c>
      <c r="I875" s="13" t="s">
        <v>0</v>
      </c>
      <c r="J875" s="13" t="s">
        <v>0</v>
      </c>
      <c r="K875" s="13"/>
      <c r="L875" s="13">
        <v>2321</v>
      </c>
      <c r="M875" s="13"/>
      <c r="N875" s="13"/>
      <c r="O875" s="13"/>
      <c r="P875" s="21">
        <v>0</v>
      </c>
    </row>
    <row r="876" spans="1:16" hidden="1" x14ac:dyDescent="0.25">
      <c r="A876" s="19" t="s">
        <v>0</v>
      </c>
      <c r="B876" s="14"/>
      <c r="C876" s="14" t="s">
        <v>487</v>
      </c>
      <c r="D876" s="14"/>
      <c r="E876" s="13" t="s">
        <v>0</v>
      </c>
      <c r="F876" s="13" t="s">
        <v>0</v>
      </c>
      <c r="G876" s="13" t="s">
        <v>0</v>
      </c>
      <c r="H876" s="13">
        <f t="shared" si="17"/>
        <v>0</v>
      </c>
      <c r="I876" s="13" t="s">
        <v>0</v>
      </c>
      <c r="J876" s="13" t="s">
        <v>0</v>
      </c>
      <c r="K876" s="13"/>
      <c r="L876" s="13">
        <v>0.5</v>
      </c>
      <c r="M876" s="13"/>
      <c r="N876" s="13"/>
      <c r="O876" s="13"/>
      <c r="P876" s="21">
        <v>0</v>
      </c>
    </row>
    <row r="877" spans="1:16" x14ac:dyDescent="0.25">
      <c r="A877" s="19"/>
      <c r="B877" s="14"/>
      <c r="C877" s="14" t="s">
        <v>488</v>
      </c>
      <c r="D877" s="38">
        <v>256779417444</v>
      </c>
      <c r="E877" s="13" t="s">
        <v>0</v>
      </c>
      <c r="F877" s="13">
        <v>113740</v>
      </c>
      <c r="G877" s="13" t="s">
        <v>489</v>
      </c>
      <c r="H877" s="13">
        <f t="shared" si="17"/>
        <v>2321</v>
      </c>
      <c r="I877" s="13"/>
      <c r="J877" s="13"/>
      <c r="K877" s="13"/>
      <c r="L877" s="13"/>
      <c r="M877" s="13"/>
      <c r="N877" s="13"/>
      <c r="O877" s="13"/>
      <c r="P877" s="21">
        <v>0</v>
      </c>
    </row>
    <row r="878" spans="1:16" hidden="1" x14ac:dyDescent="0.25">
      <c r="A878" s="19">
        <v>45962</v>
      </c>
      <c r="B878" s="14" t="s">
        <v>480</v>
      </c>
      <c r="C878" s="14" t="s">
        <v>481</v>
      </c>
      <c r="D878" s="14"/>
      <c r="E878" s="13" t="s">
        <v>0</v>
      </c>
      <c r="F878" s="13" t="s">
        <v>0</v>
      </c>
      <c r="G878" s="13" t="s">
        <v>0</v>
      </c>
      <c r="H878" s="13">
        <f t="shared" si="17"/>
        <v>0</v>
      </c>
      <c r="I878" s="13" t="s">
        <v>656</v>
      </c>
      <c r="J878" s="13"/>
      <c r="K878" s="13">
        <v>40.47</v>
      </c>
      <c r="L878" s="13" t="s">
        <v>483</v>
      </c>
      <c r="M878" s="13" t="s">
        <v>658</v>
      </c>
      <c r="N878" s="13"/>
      <c r="O878" s="13">
        <v>3542</v>
      </c>
      <c r="P878" s="21">
        <v>72</v>
      </c>
    </row>
    <row r="879" spans="1:16" hidden="1" x14ac:dyDescent="0.25">
      <c r="A879" s="19" t="s">
        <v>0</v>
      </c>
      <c r="B879" s="14"/>
      <c r="C879" s="14" t="s">
        <v>544</v>
      </c>
      <c r="D879" s="14"/>
      <c r="E879" s="13" t="s">
        <v>0</v>
      </c>
      <c r="F879" s="13" t="s">
        <v>0</v>
      </c>
      <c r="G879" s="13" t="s">
        <v>0</v>
      </c>
      <c r="H879" s="13">
        <f t="shared" si="17"/>
        <v>0</v>
      </c>
      <c r="I879" s="13" t="s">
        <v>0</v>
      </c>
      <c r="J879" s="13" t="s">
        <v>0</v>
      </c>
      <c r="K879" s="13">
        <v>3614.34</v>
      </c>
      <c r="L879" s="13"/>
      <c r="M879" s="13"/>
      <c r="N879" s="13"/>
      <c r="O879" s="13"/>
      <c r="P879" s="21">
        <v>0</v>
      </c>
    </row>
    <row r="880" spans="1:16" hidden="1" x14ac:dyDescent="0.25">
      <c r="A880" s="19" t="s">
        <v>0</v>
      </c>
      <c r="B880" s="14"/>
      <c r="C880" s="14" t="s">
        <v>525</v>
      </c>
      <c r="D880" s="14"/>
      <c r="E880" s="13" t="s">
        <v>0</v>
      </c>
      <c r="F880" s="13" t="s">
        <v>0</v>
      </c>
      <c r="G880" s="13" t="s">
        <v>0</v>
      </c>
      <c r="H880" s="13">
        <f t="shared" si="17"/>
        <v>0</v>
      </c>
      <c r="I880" s="13" t="s">
        <v>0</v>
      </c>
      <c r="J880" s="13" t="s">
        <v>0</v>
      </c>
      <c r="K880" s="13"/>
      <c r="L880" s="13">
        <v>72</v>
      </c>
      <c r="M880" s="13"/>
      <c r="N880" s="13"/>
      <c r="O880" s="13"/>
      <c r="P880" s="21">
        <v>0</v>
      </c>
    </row>
    <row r="881" spans="1:16" hidden="1" x14ac:dyDescent="0.25">
      <c r="A881" s="19" t="s">
        <v>0</v>
      </c>
      <c r="B881" s="14"/>
      <c r="C881" s="14" t="s">
        <v>487</v>
      </c>
      <c r="D881" s="14"/>
      <c r="E881" s="13" t="s">
        <v>0</v>
      </c>
      <c r="F881" s="13" t="s">
        <v>0</v>
      </c>
      <c r="G881" s="13" t="s">
        <v>0</v>
      </c>
      <c r="H881" s="13">
        <f t="shared" si="17"/>
        <v>0</v>
      </c>
      <c r="I881" s="13" t="s">
        <v>0</v>
      </c>
      <c r="J881" s="13" t="s">
        <v>0</v>
      </c>
      <c r="K881" s="13"/>
      <c r="L881" s="13">
        <v>0.34</v>
      </c>
      <c r="M881" s="13"/>
      <c r="N881" s="13"/>
      <c r="O881" s="13"/>
      <c r="P881" s="21">
        <v>0</v>
      </c>
    </row>
    <row r="882" spans="1:16" x14ac:dyDescent="0.25">
      <c r="A882" s="19"/>
      <c r="B882" s="14"/>
      <c r="C882" s="14" t="s">
        <v>488</v>
      </c>
      <c r="D882" s="38">
        <v>256779417530</v>
      </c>
      <c r="E882" s="13" t="s">
        <v>0</v>
      </c>
      <c r="F882" s="13">
        <v>3542</v>
      </c>
      <c r="G882" s="13" t="s">
        <v>489</v>
      </c>
      <c r="H882" s="13">
        <f t="shared" si="17"/>
        <v>72</v>
      </c>
      <c r="I882" s="13"/>
      <c r="J882" s="13"/>
      <c r="K882" s="13"/>
      <c r="L882" s="13"/>
      <c r="M882" s="13"/>
      <c r="N882" s="13"/>
      <c r="O882" s="13"/>
      <c r="P882" s="21">
        <v>0</v>
      </c>
    </row>
    <row r="883" spans="1:16" hidden="1" x14ac:dyDescent="0.25">
      <c r="A883" s="19">
        <v>45962</v>
      </c>
      <c r="B883" s="14" t="s">
        <v>480</v>
      </c>
      <c r="C883" s="14" t="s">
        <v>481</v>
      </c>
      <c r="D883" s="14"/>
      <c r="E883" s="13" t="s">
        <v>0</v>
      </c>
      <c r="F883" s="13" t="s">
        <v>0</v>
      </c>
      <c r="G883" s="13" t="s">
        <v>0</v>
      </c>
      <c r="H883" s="13">
        <f t="shared" si="17"/>
        <v>0</v>
      </c>
      <c r="I883" s="13" t="s">
        <v>656</v>
      </c>
      <c r="J883" s="13"/>
      <c r="K883" s="13">
        <v>153.69999999999999</v>
      </c>
      <c r="L883" s="13" t="s">
        <v>483</v>
      </c>
      <c r="M883" s="13" t="s">
        <v>659</v>
      </c>
      <c r="N883" s="13"/>
      <c r="O883" s="13">
        <v>13451</v>
      </c>
      <c r="P883" s="21">
        <v>275</v>
      </c>
    </row>
    <row r="884" spans="1:16" hidden="1" x14ac:dyDescent="0.25">
      <c r="A884" s="19" t="s">
        <v>0</v>
      </c>
      <c r="B884" s="14"/>
      <c r="C884" s="14" t="s">
        <v>533</v>
      </c>
      <c r="D884" s="14"/>
      <c r="E884" s="13" t="s">
        <v>0</v>
      </c>
      <c r="F884" s="13" t="s">
        <v>0</v>
      </c>
      <c r="G884" s="13" t="s">
        <v>0</v>
      </c>
      <c r="H884" s="13">
        <f t="shared" si="17"/>
        <v>0</v>
      </c>
      <c r="I884" s="13" t="s">
        <v>0</v>
      </c>
      <c r="J884" s="13" t="s">
        <v>0</v>
      </c>
      <c r="K884" s="13">
        <v>13725.75</v>
      </c>
      <c r="L884" s="13"/>
      <c r="M884" s="13"/>
      <c r="N884" s="13"/>
      <c r="O884" s="13"/>
      <c r="P884" s="21">
        <v>0</v>
      </c>
    </row>
    <row r="885" spans="1:16" hidden="1" x14ac:dyDescent="0.25">
      <c r="A885" s="19" t="s">
        <v>0</v>
      </c>
      <c r="B885" s="14"/>
      <c r="C885" s="14" t="s">
        <v>525</v>
      </c>
      <c r="D885" s="14"/>
      <c r="E885" s="13" t="s">
        <v>0</v>
      </c>
      <c r="F885" s="13" t="s">
        <v>0</v>
      </c>
      <c r="G885" s="13" t="s">
        <v>0</v>
      </c>
      <c r="H885" s="13">
        <f t="shared" si="17"/>
        <v>0</v>
      </c>
      <c r="I885" s="13" t="s">
        <v>0</v>
      </c>
      <c r="J885" s="13" t="s">
        <v>0</v>
      </c>
      <c r="K885" s="13"/>
      <c r="L885" s="13">
        <v>275</v>
      </c>
      <c r="M885" s="13"/>
      <c r="N885" s="13"/>
      <c r="O885" s="13"/>
      <c r="P885" s="21">
        <v>0</v>
      </c>
    </row>
    <row r="886" spans="1:16" hidden="1" x14ac:dyDescent="0.25">
      <c r="A886" s="19" t="s">
        <v>0</v>
      </c>
      <c r="B886" s="14"/>
      <c r="C886" s="14" t="s">
        <v>487</v>
      </c>
      <c r="D886" s="14"/>
      <c r="E886" s="13" t="s">
        <v>0</v>
      </c>
      <c r="F886" s="13" t="s">
        <v>0</v>
      </c>
      <c r="G886" s="13" t="s">
        <v>0</v>
      </c>
      <c r="H886" s="13">
        <f t="shared" si="17"/>
        <v>0</v>
      </c>
      <c r="I886" s="13" t="s">
        <v>0</v>
      </c>
      <c r="J886" s="13" t="s">
        <v>0</v>
      </c>
      <c r="K886" s="13">
        <v>0.25</v>
      </c>
      <c r="L886" s="13"/>
      <c r="M886" s="13"/>
      <c r="N886" s="13"/>
      <c r="O886" s="13"/>
      <c r="P886" s="21">
        <v>0</v>
      </c>
    </row>
    <row r="887" spans="1:16" x14ac:dyDescent="0.25">
      <c r="A887" s="19"/>
      <c r="B887" s="14"/>
      <c r="C887" s="14" t="s">
        <v>488</v>
      </c>
      <c r="D887" s="38">
        <v>256779417571</v>
      </c>
      <c r="E887" s="13" t="s">
        <v>0</v>
      </c>
      <c r="F887" s="13">
        <v>13451</v>
      </c>
      <c r="G887" s="13" t="s">
        <v>489</v>
      </c>
      <c r="H887" s="13">
        <f t="shared" si="17"/>
        <v>275</v>
      </c>
      <c r="I887" s="13"/>
      <c r="J887" s="13"/>
      <c r="K887" s="13"/>
      <c r="L887" s="13"/>
      <c r="M887" s="13"/>
      <c r="N887" s="13"/>
      <c r="O887" s="13"/>
      <c r="P887" s="21">
        <v>0</v>
      </c>
    </row>
    <row r="888" spans="1:16" hidden="1" x14ac:dyDescent="0.25">
      <c r="A888" s="19">
        <v>45962</v>
      </c>
      <c r="B888" s="14" t="s">
        <v>480</v>
      </c>
      <c r="C888" s="14" t="s">
        <v>481</v>
      </c>
      <c r="D888" s="14"/>
      <c r="E888" s="13" t="s">
        <v>0</v>
      </c>
      <c r="F888" s="13" t="s">
        <v>0</v>
      </c>
      <c r="G888" s="13" t="s">
        <v>0</v>
      </c>
      <c r="H888" s="13">
        <f t="shared" si="17"/>
        <v>0</v>
      </c>
      <c r="I888" s="13" t="s">
        <v>656</v>
      </c>
      <c r="J888" s="13"/>
      <c r="K888" s="13">
        <v>29.3</v>
      </c>
      <c r="L888" s="13" t="s">
        <v>483</v>
      </c>
      <c r="M888" s="13" t="s">
        <v>660</v>
      </c>
      <c r="N888" s="13"/>
      <c r="O888" s="13">
        <v>2584</v>
      </c>
      <c r="P888" s="21">
        <v>53</v>
      </c>
    </row>
    <row r="889" spans="1:16" hidden="1" x14ac:dyDescent="0.25">
      <c r="A889" s="19" t="s">
        <v>0</v>
      </c>
      <c r="B889" s="14"/>
      <c r="C889" s="14" t="s">
        <v>533</v>
      </c>
      <c r="D889" s="14"/>
      <c r="E889" s="13" t="s">
        <v>0</v>
      </c>
      <c r="F889" s="13" t="s">
        <v>0</v>
      </c>
      <c r="G889" s="13" t="s">
        <v>0</v>
      </c>
      <c r="H889" s="13">
        <f t="shared" si="17"/>
        <v>0</v>
      </c>
      <c r="I889" s="13" t="s">
        <v>0</v>
      </c>
      <c r="J889" s="13" t="s">
        <v>0</v>
      </c>
      <c r="K889" s="13">
        <v>2636.9</v>
      </c>
      <c r="L889" s="13"/>
      <c r="M889" s="13"/>
      <c r="N889" s="13"/>
      <c r="O889" s="13"/>
      <c r="P889" s="21">
        <v>0</v>
      </c>
    </row>
    <row r="890" spans="1:16" hidden="1" x14ac:dyDescent="0.25">
      <c r="A890" s="19" t="s">
        <v>0</v>
      </c>
      <c r="B890" s="14"/>
      <c r="C890" s="14" t="s">
        <v>525</v>
      </c>
      <c r="D890" s="14"/>
      <c r="E890" s="13" t="s">
        <v>0</v>
      </c>
      <c r="F890" s="13" t="s">
        <v>0</v>
      </c>
      <c r="G890" s="13" t="s">
        <v>0</v>
      </c>
      <c r="H890" s="13">
        <f t="shared" si="17"/>
        <v>0</v>
      </c>
      <c r="I890" s="13" t="s">
        <v>0</v>
      </c>
      <c r="J890" s="13" t="s">
        <v>0</v>
      </c>
      <c r="K890" s="13"/>
      <c r="L890" s="13">
        <v>53</v>
      </c>
      <c r="M890" s="13"/>
      <c r="N890" s="13"/>
      <c r="O890" s="13"/>
      <c r="P890" s="21">
        <v>0</v>
      </c>
    </row>
    <row r="891" spans="1:16" hidden="1" x14ac:dyDescent="0.25">
      <c r="A891" s="19" t="s">
        <v>0</v>
      </c>
      <c r="B891" s="14"/>
      <c r="C891" s="14" t="s">
        <v>487</v>
      </c>
      <c r="D891" s="14"/>
      <c r="E891" s="13" t="s">
        <v>0</v>
      </c>
      <c r="F891" s="13" t="s">
        <v>0</v>
      </c>
      <c r="G891" s="13" t="s">
        <v>0</v>
      </c>
      <c r="H891" s="13">
        <f t="shared" si="17"/>
        <v>0</v>
      </c>
      <c r="I891" s="13" t="s">
        <v>0</v>
      </c>
      <c r="J891" s="13" t="s">
        <v>0</v>
      </c>
      <c r="K891" s="13">
        <v>0.1</v>
      </c>
      <c r="L891" s="13"/>
      <c r="M891" s="13"/>
      <c r="N891" s="13"/>
      <c r="O891" s="13"/>
      <c r="P891" s="21">
        <v>0</v>
      </c>
    </row>
    <row r="892" spans="1:16" x14ac:dyDescent="0.25">
      <c r="A892" s="19"/>
      <c r="B892" s="14"/>
      <c r="C892" s="14" t="s">
        <v>488</v>
      </c>
      <c r="D892" s="38">
        <v>256779417904</v>
      </c>
      <c r="E892" s="13" t="s">
        <v>0</v>
      </c>
      <c r="F892" s="13">
        <v>2584</v>
      </c>
      <c r="G892" s="13" t="s">
        <v>489</v>
      </c>
      <c r="H892" s="13">
        <f t="shared" si="17"/>
        <v>53</v>
      </c>
      <c r="I892" s="13"/>
      <c r="J892" s="13"/>
      <c r="K892" s="13"/>
      <c r="L892" s="13"/>
      <c r="M892" s="13"/>
      <c r="N892" s="13"/>
      <c r="O892" s="13"/>
      <c r="P892" s="21">
        <v>0</v>
      </c>
    </row>
    <row r="893" spans="1:16" hidden="1" x14ac:dyDescent="0.25">
      <c r="A893" s="19">
        <v>45962</v>
      </c>
      <c r="B893" s="14" t="s">
        <v>480</v>
      </c>
      <c r="C893" s="14" t="s">
        <v>481</v>
      </c>
      <c r="D893" s="14"/>
      <c r="E893" s="13" t="s">
        <v>0</v>
      </c>
      <c r="F893" s="13" t="s">
        <v>0</v>
      </c>
      <c r="G893" s="13" t="s">
        <v>0</v>
      </c>
      <c r="H893" s="13">
        <f t="shared" si="17"/>
        <v>0</v>
      </c>
      <c r="I893" s="13" t="s">
        <v>656</v>
      </c>
      <c r="J893" s="13"/>
      <c r="K893" s="13">
        <v>152.96</v>
      </c>
      <c r="L893" s="13" t="s">
        <v>483</v>
      </c>
      <c r="M893" s="13" t="s">
        <v>661</v>
      </c>
      <c r="N893" s="13"/>
      <c r="O893" s="13">
        <v>13490</v>
      </c>
      <c r="P893" s="21">
        <v>275</v>
      </c>
    </row>
    <row r="894" spans="1:16" hidden="1" x14ac:dyDescent="0.25">
      <c r="A894" s="19" t="s">
        <v>0</v>
      </c>
      <c r="B894" s="14"/>
      <c r="C894" s="14" t="s">
        <v>544</v>
      </c>
      <c r="D894" s="14"/>
      <c r="E894" s="13" t="s">
        <v>0</v>
      </c>
      <c r="F894" s="13" t="s">
        <v>0</v>
      </c>
      <c r="G894" s="13" t="s">
        <v>0</v>
      </c>
      <c r="H894" s="13">
        <f t="shared" si="17"/>
        <v>0</v>
      </c>
      <c r="I894" s="13" t="s">
        <v>0</v>
      </c>
      <c r="J894" s="13" t="s">
        <v>0</v>
      </c>
      <c r="K894" s="13">
        <v>13764.82</v>
      </c>
      <c r="L894" s="13"/>
      <c r="M894" s="13"/>
      <c r="N894" s="13"/>
      <c r="O894" s="13"/>
      <c r="P894" s="21">
        <v>0</v>
      </c>
    </row>
    <row r="895" spans="1:16" hidden="1" x14ac:dyDescent="0.25">
      <c r="A895" s="19" t="s">
        <v>0</v>
      </c>
      <c r="B895" s="14"/>
      <c r="C895" s="14" t="s">
        <v>525</v>
      </c>
      <c r="D895" s="14"/>
      <c r="E895" s="13" t="s">
        <v>0</v>
      </c>
      <c r="F895" s="13" t="s">
        <v>0</v>
      </c>
      <c r="G895" s="13" t="s">
        <v>0</v>
      </c>
      <c r="H895" s="13">
        <f t="shared" si="17"/>
        <v>0</v>
      </c>
      <c r="I895" s="13" t="s">
        <v>0</v>
      </c>
      <c r="J895" s="13" t="s">
        <v>0</v>
      </c>
      <c r="K895" s="13"/>
      <c r="L895" s="13">
        <v>275</v>
      </c>
      <c r="M895" s="13"/>
      <c r="N895" s="13"/>
      <c r="O895" s="13"/>
      <c r="P895" s="21">
        <v>0</v>
      </c>
    </row>
    <row r="896" spans="1:16" hidden="1" x14ac:dyDescent="0.25">
      <c r="A896" s="19" t="s">
        <v>0</v>
      </c>
      <c r="B896" s="14"/>
      <c r="C896" s="14" t="s">
        <v>487</v>
      </c>
      <c r="D896" s="14"/>
      <c r="E896" s="13" t="s">
        <v>0</v>
      </c>
      <c r="F896" s="13" t="s">
        <v>0</v>
      </c>
      <c r="G896" s="13" t="s">
        <v>0</v>
      </c>
      <c r="H896" s="13">
        <f t="shared" si="17"/>
        <v>0</v>
      </c>
      <c r="I896" s="13" t="s">
        <v>0</v>
      </c>
      <c r="J896" s="13" t="s">
        <v>0</v>
      </c>
      <c r="K896" s="13">
        <v>0.18</v>
      </c>
      <c r="L896" s="13"/>
      <c r="M896" s="13"/>
      <c r="N896" s="13"/>
      <c r="O896" s="13"/>
      <c r="P896" s="21">
        <v>0</v>
      </c>
    </row>
    <row r="897" spans="1:16" x14ac:dyDescent="0.25">
      <c r="A897" s="19"/>
      <c r="B897" s="14"/>
      <c r="C897" s="14" t="s">
        <v>488</v>
      </c>
      <c r="D897" s="38">
        <v>256779417982</v>
      </c>
      <c r="E897" s="13" t="s">
        <v>0</v>
      </c>
      <c r="F897" s="13">
        <v>13490</v>
      </c>
      <c r="G897" s="13" t="s">
        <v>489</v>
      </c>
      <c r="H897" s="13">
        <f t="shared" si="17"/>
        <v>275</v>
      </c>
      <c r="I897" s="13"/>
      <c r="J897" s="13"/>
      <c r="K897" s="13"/>
      <c r="L897" s="13"/>
      <c r="M897" s="13"/>
      <c r="N897" s="13"/>
      <c r="O897" s="13"/>
      <c r="P897" s="21">
        <v>0</v>
      </c>
    </row>
    <row r="898" spans="1:16" hidden="1" x14ac:dyDescent="0.25">
      <c r="A898" s="19">
        <v>45962</v>
      </c>
      <c r="B898" s="14" t="s">
        <v>480</v>
      </c>
      <c r="C898" s="14" t="s">
        <v>481</v>
      </c>
      <c r="D898" s="14"/>
      <c r="E898" s="13" t="s">
        <v>0</v>
      </c>
      <c r="F898" s="13" t="s">
        <v>0</v>
      </c>
      <c r="G898" s="13" t="s">
        <v>0</v>
      </c>
      <c r="H898" s="13">
        <f t="shared" si="17"/>
        <v>0</v>
      </c>
      <c r="I898" s="13" t="s">
        <v>656</v>
      </c>
      <c r="J898" s="13"/>
      <c r="K898" s="13">
        <v>548.79</v>
      </c>
      <c r="L898" s="13" t="s">
        <v>483</v>
      </c>
      <c r="M898" s="13" t="s">
        <v>662</v>
      </c>
      <c r="N898" s="13"/>
      <c r="O898" s="13">
        <v>48398</v>
      </c>
      <c r="P898" s="21">
        <v>988</v>
      </c>
    </row>
    <row r="899" spans="1:16" hidden="1" x14ac:dyDescent="0.25">
      <c r="A899" s="19" t="s">
        <v>0</v>
      </c>
      <c r="B899" s="14"/>
      <c r="C899" s="14" t="s">
        <v>524</v>
      </c>
      <c r="D899" s="14"/>
      <c r="E899" s="13" t="s">
        <v>0</v>
      </c>
      <c r="F899" s="13" t="s">
        <v>0</v>
      </c>
      <c r="G899" s="13" t="s">
        <v>0</v>
      </c>
      <c r="H899" s="13">
        <f t="shared" si="17"/>
        <v>0</v>
      </c>
      <c r="I899" s="13" t="s">
        <v>0</v>
      </c>
      <c r="J899" s="13" t="s">
        <v>0</v>
      </c>
      <c r="K899" s="13">
        <v>49385.95</v>
      </c>
      <c r="L899" s="13"/>
      <c r="M899" s="13"/>
      <c r="N899" s="13"/>
      <c r="O899" s="13"/>
      <c r="P899" s="21">
        <v>0</v>
      </c>
    </row>
    <row r="900" spans="1:16" hidden="1" x14ac:dyDescent="0.25">
      <c r="A900" s="19" t="s">
        <v>0</v>
      </c>
      <c r="B900" s="14"/>
      <c r="C900" s="14" t="s">
        <v>525</v>
      </c>
      <c r="D900" s="14"/>
      <c r="E900" s="13" t="s">
        <v>0</v>
      </c>
      <c r="F900" s="13" t="s">
        <v>0</v>
      </c>
      <c r="G900" s="13" t="s">
        <v>0</v>
      </c>
      <c r="H900" s="13">
        <f t="shared" si="17"/>
        <v>0</v>
      </c>
      <c r="I900" s="13" t="s">
        <v>0</v>
      </c>
      <c r="J900" s="13" t="s">
        <v>0</v>
      </c>
      <c r="K900" s="13"/>
      <c r="L900" s="13">
        <v>988</v>
      </c>
      <c r="M900" s="13"/>
      <c r="N900" s="13"/>
      <c r="O900" s="13"/>
      <c r="P900" s="21">
        <v>0</v>
      </c>
    </row>
    <row r="901" spans="1:16" hidden="1" x14ac:dyDescent="0.25">
      <c r="A901" s="19" t="s">
        <v>0</v>
      </c>
      <c r="B901" s="14"/>
      <c r="C901" s="14" t="s">
        <v>487</v>
      </c>
      <c r="D901" s="14"/>
      <c r="E901" s="13" t="s">
        <v>0</v>
      </c>
      <c r="F901" s="13" t="s">
        <v>0</v>
      </c>
      <c r="G901" s="13" t="s">
        <v>0</v>
      </c>
      <c r="H901" s="13">
        <f t="shared" si="17"/>
        <v>0</v>
      </c>
      <c r="I901" s="13" t="s">
        <v>0</v>
      </c>
      <c r="J901" s="13" t="s">
        <v>0</v>
      </c>
      <c r="K901" s="13">
        <v>0.05</v>
      </c>
      <c r="L901" s="13"/>
      <c r="M901" s="13"/>
      <c r="N901" s="13"/>
      <c r="O901" s="13"/>
      <c r="P901" s="21">
        <v>0</v>
      </c>
    </row>
    <row r="902" spans="1:16" x14ac:dyDescent="0.25">
      <c r="A902" s="19"/>
      <c r="B902" s="14"/>
      <c r="C902" s="14" t="s">
        <v>488</v>
      </c>
      <c r="D902" s="38">
        <v>256779418182</v>
      </c>
      <c r="E902" s="13" t="s">
        <v>0</v>
      </c>
      <c r="F902" s="13">
        <v>48398</v>
      </c>
      <c r="G902" s="13" t="s">
        <v>489</v>
      </c>
      <c r="H902" s="13">
        <f t="shared" si="17"/>
        <v>988</v>
      </c>
      <c r="I902" s="13"/>
      <c r="J902" s="13"/>
      <c r="K902" s="13"/>
      <c r="L902" s="13"/>
      <c r="M902" s="13"/>
      <c r="N902" s="13"/>
      <c r="O902" s="13"/>
      <c r="P902" s="21">
        <v>0</v>
      </c>
    </row>
    <row r="903" spans="1:16" hidden="1" x14ac:dyDescent="0.25">
      <c r="A903" s="19">
        <v>45962</v>
      </c>
      <c r="B903" s="14" t="s">
        <v>480</v>
      </c>
      <c r="C903" s="14" t="s">
        <v>481</v>
      </c>
      <c r="D903" s="14"/>
      <c r="E903" s="13" t="s">
        <v>0</v>
      </c>
      <c r="F903" s="13" t="s">
        <v>0</v>
      </c>
      <c r="G903" s="13" t="s">
        <v>0</v>
      </c>
      <c r="H903" s="13">
        <f t="shared" si="17"/>
        <v>0</v>
      </c>
      <c r="I903" s="13" t="s">
        <v>656</v>
      </c>
      <c r="J903" s="13"/>
      <c r="K903" s="13">
        <v>50.31</v>
      </c>
      <c r="L903" s="13" t="s">
        <v>483</v>
      </c>
      <c r="M903" s="13" t="s">
        <v>663</v>
      </c>
      <c r="N903" s="13"/>
      <c r="O903" s="13">
        <v>4437</v>
      </c>
      <c r="P903" s="21">
        <v>91</v>
      </c>
    </row>
    <row r="904" spans="1:16" hidden="1" x14ac:dyDescent="0.25">
      <c r="A904" s="19" t="s">
        <v>0</v>
      </c>
      <c r="B904" s="14"/>
      <c r="C904" s="14" t="s">
        <v>533</v>
      </c>
      <c r="D904" s="14"/>
      <c r="E904" s="13" t="s">
        <v>0</v>
      </c>
      <c r="F904" s="13" t="s">
        <v>0</v>
      </c>
      <c r="G904" s="13" t="s">
        <v>0</v>
      </c>
      <c r="H904" s="13">
        <f t="shared" ref="H904:H967" si="18">P900</f>
        <v>0</v>
      </c>
      <c r="I904" s="13" t="s">
        <v>0</v>
      </c>
      <c r="J904" s="13" t="s">
        <v>0</v>
      </c>
      <c r="K904" s="13">
        <v>4527.71</v>
      </c>
      <c r="L904" s="13"/>
      <c r="M904" s="13"/>
      <c r="N904" s="13"/>
      <c r="O904" s="13"/>
      <c r="P904" s="21">
        <v>0</v>
      </c>
    </row>
    <row r="905" spans="1:16" hidden="1" x14ac:dyDescent="0.25">
      <c r="A905" s="19" t="s">
        <v>0</v>
      </c>
      <c r="B905" s="14"/>
      <c r="C905" s="14" t="s">
        <v>525</v>
      </c>
      <c r="D905" s="14"/>
      <c r="E905" s="13" t="s">
        <v>0</v>
      </c>
      <c r="F905" s="13" t="s">
        <v>0</v>
      </c>
      <c r="G905" s="13" t="s">
        <v>0</v>
      </c>
      <c r="H905" s="13">
        <f t="shared" si="18"/>
        <v>0</v>
      </c>
      <c r="I905" s="13" t="s">
        <v>0</v>
      </c>
      <c r="J905" s="13" t="s">
        <v>0</v>
      </c>
      <c r="K905" s="13"/>
      <c r="L905" s="13">
        <v>91</v>
      </c>
      <c r="M905" s="13"/>
      <c r="N905" s="13"/>
      <c r="O905" s="13"/>
      <c r="P905" s="21">
        <v>0</v>
      </c>
    </row>
    <row r="906" spans="1:16" hidden="1" x14ac:dyDescent="0.25">
      <c r="A906" s="19" t="s">
        <v>0</v>
      </c>
      <c r="B906" s="14"/>
      <c r="C906" s="14" t="s">
        <v>487</v>
      </c>
      <c r="D906" s="14"/>
      <c r="E906" s="13" t="s">
        <v>0</v>
      </c>
      <c r="F906" s="13" t="s">
        <v>0</v>
      </c>
      <c r="G906" s="13" t="s">
        <v>0</v>
      </c>
      <c r="H906" s="13">
        <f t="shared" si="18"/>
        <v>0</v>
      </c>
      <c r="I906" s="13" t="s">
        <v>0</v>
      </c>
      <c r="J906" s="13" t="s">
        <v>0</v>
      </c>
      <c r="K906" s="13">
        <v>0.28999999999999998</v>
      </c>
      <c r="L906" s="13"/>
      <c r="M906" s="13"/>
      <c r="N906" s="13"/>
      <c r="O906" s="13"/>
      <c r="P906" s="21">
        <v>0</v>
      </c>
    </row>
    <row r="907" spans="1:16" x14ac:dyDescent="0.25">
      <c r="A907" s="19"/>
      <c r="B907" s="14"/>
      <c r="C907" s="14" t="s">
        <v>488</v>
      </c>
      <c r="D907" s="38">
        <v>256779418403</v>
      </c>
      <c r="E907" s="13" t="s">
        <v>0</v>
      </c>
      <c r="F907" s="13">
        <v>4437</v>
      </c>
      <c r="G907" s="13" t="s">
        <v>489</v>
      </c>
      <c r="H907" s="13">
        <f t="shared" si="18"/>
        <v>91</v>
      </c>
      <c r="I907" s="13"/>
      <c r="J907" s="13"/>
      <c r="K907" s="13"/>
      <c r="L907" s="13"/>
      <c r="M907" s="13"/>
      <c r="N907" s="13"/>
      <c r="O907" s="13"/>
      <c r="P907" s="21">
        <v>0</v>
      </c>
    </row>
    <row r="908" spans="1:16" hidden="1" x14ac:dyDescent="0.25">
      <c r="A908" s="19">
        <v>45962</v>
      </c>
      <c r="B908" s="14" t="s">
        <v>480</v>
      </c>
      <c r="C908" s="14" t="s">
        <v>481</v>
      </c>
      <c r="D908" s="14"/>
      <c r="E908" s="13" t="s">
        <v>0</v>
      </c>
      <c r="F908" s="13" t="s">
        <v>0</v>
      </c>
      <c r="G908" s="13" t="s">
        <v>0</v>
      </c>
      <c r="H908" s="13">
        <f t="shared" si="18"/>
        <v>0</v>
      </c>
      <c r="I908" s="13" t="s">
        <v>664</v>
      </c>
      <c r="J908" s="13"/>
      <c r="K908" s="13">
        <v>45.98</v>
      </c>
      <c r="L908" s="13" t="s">
        <v>483</v>
      </c>
      <c r="M908" s="13" t="s">
        <v>665</v>
      </c>
      <c r="N908" s="13"/>
      <c r="O908" s="13">
        <v>4055</v>
      </c>
      <c r="P908" s="21">
        <v>83</v>
      </c>
    </row>
    <row r="909" spans="1:16" hidden="1" x14ac:dyDescent="0.25">
      <c r="A909" s="19" t="s">
        <v>0</v>
      </c>
      <c r="B909" s="14"/>
      <c r="C909" s="14" t="s">
        <v>533</v>
      </c>
      <c r="D909" s="14"/>
      <c r="E909" s="13" t="s">
        <v>0</v>
      </c>
      <c r="F909" s="13" t="s">
        <v>0</v>
      </c>
      <c r="G909" s="13" t="s">
        <v>0</v>
      </c>
      <c r="H909" s="13">
        <f t="shared" si="18"/>
        <v>0</v>
      </c>
      <c r="I909" s="13" t="s">
        <v>0</v>
      </c>
      <c r="J909" s="13" t="s">
        <v>0</v>
      </c>
      <c r="K909" s="13">
        <v>4137.91</v>
      </c>
      <c r="L909" s="13"/>
      <c r="M909" s="13"/>
      <c r="N909" s="13"/>
      <c r="O909" s="13"/>
      <c r="P909" s="21">
        <v>0</v>
      </c>
    </row>
    <row r="910" spans="1:16" hidden="1" x14ac:dyDescent="0.25">
      <c r="A910" s="19" t="s">
        <v>0</v>
      </c>
      <c r="B910" s="14"/>
      <c r="C910" s="14" t="s">
        <v>525</v>
      </c>
      <c r="D910" s="14"/>
      <c r="E910" s="13" t="s">
        <v>0</v>
      </c>
      <c r="F910" s="13" t="s">
        <v>0</v>
      </c>
      <c r="G910" s="13" t="s">
        <v>0</v>
      </c>
      <c r="H910" s="13">
        <f t="shared" si="18"/>
        <v>0</v>
      </c>
      <c r="I910" s="13" t="s">
        <v>0</v>
      </c>
      <c r="J910" s="13" t="s">
        <v>0</v>
      </c>
      <c r="K910" s="13"/>
      <c r="L910" s="13">
        <v>83</v>
      </c>
      <c r="M910" s="13"/>
      <c r="N910" s="13"/>
      <c r="O910" s="13"/>
      <c r="P910" s="21">
        <v>0</v>
      </c>
    </row>
    <row r="911" spans="1:16" hidden="1" x14ac:dyDescent="0.25">
      <c r="A911" s="19" t="s">
        <v>0</v>
      </c>
      <c r="B911" s="14"/>
      <c r="C911" s="14" t="s">
        <v>487</v>
      </c>
      <c r="D911" s="14"/>
      <c r="E911" s="13" t="s">
        <v>0</v>
      </c>
      <c r="F911" s="13" t="s">
        <v>0</v>
      </c>
      <c r="G911" s="13" t="s">
        <v>0</v>
      </c>
      <c r="H911" s="13">
        <f t="shared" si="18"/>
        <v>0</v>
      </c>
      <c r="I911" s="13" t="s">
        <v>0</v>
      </c>
      <c r="J911" s="13" t="s">
        <v>0</v>
      </c>
      <c r="K911" s="13">
        <v>0.09</v>
      </c>
      <c r="L911" s="13"/>
      <c r="M911" s="13"/>
      <c r="N911" s="13"/>
      <c r="O911" s="13"/>
      <c r="P911" s="21">
        <v>0</v>
      </c>
    </row>
    <row r="912" spans="1:16" x14ac:dyDescent="0.25">
      <c r="A912" s="19"/>
      <c r="B912" s="14"/>
      <c r="C912" s="14" t="s">
        <v>488</v>
      </c>
      <c r="D912" s="38">
        <v>256779418430</v>
      </c>
      <c r="E912" s="13" t="s">
        <v>0</v>
      </c>
      <c r="F912" s="13">
        <v>4055</v>
      </c>
      <c r="G912" s="13" t="s">
        <v>489</v>
      </c>
      <c r="H912" s="13">
        <f t="shared" si="18"/>
        <v>83</v>
      </c>
      <c r="I912" s="13"/>
      <c r="J912" s="13"/>
      <c r="K912" s="13"/>
      <c r="L912" s="13"/>
      <c r="M912" s="13"/>
      <c r="N912" s="13"/>
      <c r="O912" s="13"/>
      <c r="P912" s="21">
        <v>0</v>
      </c>
    </row>
    <row r="913" spans="1:16" hidden="1" x14ac:dyDescent="0.25">
      <c r="A913" s="19">
        <v>45962</v>
      </c>
      <c r="B913" s="14" t="s">
        <v>480</v>
      </c>
      <c r="C913" s="14" t="s">
        <v>481</v>
      </c>
      <c r="D913" s="14"/>
      <c r="E913" s="13" t="s">
        <v>0</v>
      </c>
      <c r="F913" s="13" t="s">
        <v>0</v>
      </c>
      <c r="G913" s="13" t="s">
        <v>0</v>
      </c>
      <c r="H913" s="13">
        <f t="shared" si="18"/>
        <v>0</v>
      </c>
      <c r="I913" s="13" t="s">
        <v>664</v>
      </c>
      <c r="J913" s="13"/>
      <c r="K913" s="13">
        <v>13.32</v>
      </c>
      <c r="L913" s="13" t="s">
        <v>483</v>
      </c>
      <c r="M913" s="13" t="s">
        <v>666</v>
      </c>
      <c r="N913" s="13"/>
      <c r="O913" s="13">
        <v>1175</v>
      </c>
      <c r="P913" s="21">
        <v>24</v>
      </c>
    </row>
    <row r="914" spans="1:16" hidden="1" x14ac:dyDescent="0.25">
      <c r="A914" s="19" t="s">
        <v>0</v>
      </c>
      <c r="B914" s="14"/>
      <c r="C914" s="14" t="s">
        <v>533</v>
      </c>
      <c r="D914" s="14"/>
      <c r="E914" s="13" t="s">
        <v>0</v>
      </c>
      <c r="F914" s="13" t="s">
        <v>0</v>
      </c>
      <c r="G914" s="13" t="s">
        <v>0</v>
      </c>
      <c r="H914" s="13">
        <f t="shared" si="18"/>
        <v>0</v>
      </c>
      <c r="I914" s="13" t="s">
        <v>0</v>
      </c>
      <c r="J914" s="13" t="s">
        <v>0</v>
      </c>
      <c r="K914" s="13">
        <v>1198.51</v>
      </c>
      <c r="L914" s="13"/>
      <c r="M914" s="13"/>
      <c r="N914" s="13"/>
      <c r="O914" s="13"/>
      <c r="P914" s="21">
        <v>0</v>
      </c>
    </row>
    <row r="915" spans="1:16" hidden="1" x14ac:dyDescent="0.25">
      <c r="A915" s="19" t="s">
        <v>0</v>
      </c>
      <c r="B915" s="14"/>
      <c r="C915" s="14" t="s">
        <v>525</v>
      </c>
      <c r="D915" s="14"/>
      <c r="E915" s="13" t="s">
        <v>0</v>
      </c>
      <c r="F915" s="13" t="s">
        <v>0</v>
      </c>
      <c r="G915" s="13" t="s">
        <v>0</v>
      </c>
      <c r="H915" s="13">
        <f t="shared" si="18"/>
        <v>0</v>
      </c>
      <c r="I915" s="13" t="s">
        <v>0</v>
      </c>
      <c r="J915" s="13" t="s">
        <v>0</v>
      </c>
      <c r="K915" s="13"/>
      <c r="L915" s="13">
        <v>24</v>
      </c>
      <c r="M915" s="13"/>
      <c r="N915" s="13"/>
      <c r="O915" s="13"/>
      <c r="P915" s="21">
        <v>0</v>
      </c>
    </row>
    <row r="916" spans="1:16" hidden="1" x14ac:dyDescent="0.25">
      <c r="A916" s="19" t="s">
        <v>0</v>
      </c>
      <c r="B916" s="14"/>
      <c r="C916" s="14" t="s">
        <v>487</v>
      </c>
      <c r="D916" s="14"/>
      <c r="E916" s="13" t="s">
        <v>0</v>
      </c>
      <c r="F916" s="13" t="s">
        <v>0</v>
      </c>
      <c r="G916" s="13" t="s">
        <v>0</v>
      </c>
      <c r="H916" s="13">
        <f t="shared" si="18"/>
        <v>0</v>
      </c>
      <c r="I916" s="13" t="s">
        <v>0</v>
      </c>
      <c r="J916" s="13" t="s">
        <v>0</v>
      </c>
      <c r="K916" s="13">
        <v>0.49</v>
      </c>
      <c r="L916" s="13"/>
      <c r="M916" s="13"/>
      <c r="N916" s="13"/>
      <c r="O916" s="13"/>
      <c r="P916" s="21">
        <v>0</v>
      </c>
    </row>
    <row r="917" spans="1:16" x14ac:dyDescent="0.25">
      <c r="A917" s="19"/>
      <c r="B917" s="14"/>
      <c r="C917" s="14" t="s">
        <v>488</v>
      </c>
      <c r="D917" s="38">
        <v>256779418482</v>
      </c>
      <c r="E917" s="13" t="s">
        <v>0</v>
      </c>
      <c r="F917" s="13">
        <v>1175</v>
      </c>
      <c r="G917" s="13" t="s">
        <v>489</v>
      </c>
      <c r="H917" s="13">
        <f t="shared" si="18"/>
        <v>24</v>
      </c>
      <c r="I917" s="13"/>
      <c r="J917" s="13"/>
      <c r="K917" s="13"/>
      <c r="L917" s="13"/>
      <c r="M917" s="13"/>
      <c r="N917" s="13"/>
      <c r="O917" s="13"/>
      <c r="P917" s="21">
        <v>0</v>
      </c>
    </row>
    <row r="918" spans="1:16" s="27" customFormat="1" hidden="1" x14ac:dyDescent="0.25">
      <c r="A918" s="23">
        <v>45962</v>
      </c>
      <c r="B918" s="24" t="s">
        <v>480</v>
      </c>
      <c r="C918" s="24" t="s">
        <v>481</v>
      </c>
      <c r="D918" s="24"/>
      <c r="E918" s="25" t="s">
        <v>0</v>
      </c>
      <c r="F918" s="25" t="s">
        <v>0</v>
      </c>
      <c r="G918" s="25" t="s">
        <v>0</v>
      </c>
      <c r="H918" s="13">
        <f t="shared" si="18"/>
        <v>0</v>
      </c>
      <c r="I918" s="25" t="s">
        <v>664</v>
      </c>
      <c r="J918" s="25"/>
      <c r="K918" s="25">
        <v>230.31</v>
      </c>
      <c r="L918" s="25" t="s">
        <v>483</v>
      </c>
      <c r="M918" s="25" t="s">
        <v>667</v>
      </c>
      <c r="N918" s="25"/>
      <c r="O918" s="25">
        <v>20311</v>
      </c>
      <c r="P918" s="26">
        <v>414</v>
      </c>
    </row>
    <row r="919" spans="1:16" hidden="1" x14ac:dyDescent="0.25">
      <c r="A919" s="19" t="s">
        <v>0</v>
      </c>
      <c r="B919" s="14"/>
      <c r="C919" s="14" t="s">
        <v>599</v>
      </c>
      <c r="D919" s="14"/>
      <c r="E919" s="13" t="s">
        <v>0</v>
      </c>
      <c r="F919" s="13" t="s">
        <v>0</v>
      </c>
      <c r="G919" s="13" t="s">
        <v>0</v>
      </c>
      <c r="H919" s="13">
        <f t="shared" si="18"/>
        <v>0</v>
      </c>
      <c r="I919" s="13" t="s">
        <v>0</v>
      </c>
      <c r="J919" s="13" t="s">
        <v>0</v>
      </c>
      <c r="K919" s="13">
        <v>20724.830000000002</v>
      </c>
      <c r="L919" s="13"/>
      <c r="M919" s="13"/>
      <c r="N919" s="13"/>
      <c r="O919" s="13"/>
      <c r="P919" s="21">
        <v>0</v>
      </c>
    </row>
    <row r="920" spans="1:16" hidden="1" x14ac:dyDescent="0.25">
      <c r="A920" s="19" t="s">
        <v>0</v>
      </c>
      <c r="B920" s="14"/>
      <c r="C920" s="14" t="s">
        <v>600</v>
      </c>
      <c r="D920" s="14"/>
      <c r="E920" s="13" t="s">
        <v>0</v>
      </c>
      <c r="F920" s="13" t="s">
        <v>0</v>
      </c>
      <c r="G920" s="13" t="s">
        <v>0</v>
      </c>
      <c r="H920" s="13">
        <f t="shared" si="18"/>
        <v>0</v>
      </c>
      <c r="I920" s="13" t="s">
        <v>0</v>
      </c>
      <c r="J920" s="13" t="s">
        <v>0</v>
      </c>
      <c r="K920" s="13">
        <v>1036.24</v>
      </c>
      <c r="L920" s="13"/>
      <c r="M920" s="13"/>
      <c r="N920" s="13"/>
      <c r="O920" s="13"/>
      <c r="P920" s="21">
        <v>0</v>
      </c>
    </row>
    <row r="921" spans="1:16" hidden="1" x14ac:dyDescent="0.25">
      <c r="A921" s="19" t="s">
        <v>0</v>
      </c>
      <c r="B921" s="14"/>
      <c r="C921" s="14" t="s">
        <v>601</v>
      </c>
      <c r="D921" s="14"/>
      <c r="E921" s="13" t="s">
        <v>0</v>
      </c>
      <c r="F921" s="13" t="s">
        <v>0</v>
      </c>
      <c r="G921" s="13" t="s">
        <v>0</v>
      </c>
      <c r="H921" s="13">
        <f t="shared" si="18"/>
        <v>0</v>
      </c>
      <c r="I921" s="13" t="s">
        <v>0</v>
      </c>
      <c r="J921" s="13" t="s">
        <v>0</v>
      </c>
      <c r="K921" s="13"/>
      <c r="L921" s="13">
        <v>1036.24</v>
      </c>
      <c r="M921" s="13"/>
      <c r="N921" s="13"/>
      <c r="O921" s="13"/>
      <c r="P921" s="21">
        <v>0</v>
      </c>
    </row>
    <row r="922" spans="1:16" hidden="1" x14ac:dyDescent="0.25">
      <c r="A922" s="19" t="s">
        <v>0</v>
      </c>
      <c r="B922" s="14"/>
      <c r="C922" s="14" t="s">
        <v>525</v>
      </c>
      <c r="D922" s="14"/>
      <c r="E922" s="13" t="s">
        <v>0</v>
      </c>
      <c r="F922" s="13" t="s">
        <v>0</v>
      </c>
      <c r="G922" s="13" t="s">
        <v>0</v>
      </c>
      <c r="H922" s="13"/>
      <c r="I922" s="13" t="s">
        <v>0</v>
      </c>
      <c r="J922" s="13" t="s">
        <v>0</v>
      </c>
      <c r="K922" s="13"/>
      <c r="L922" s="13">
        <v>414</v>
      </c>
      <c r="M922" s="13"/>
      <c r="N922" s="13"/>
      <c r="O922" s="13"/>
      <c r="P922" s="21">
        <v>0</v>
      </c>
    </row>
    <row r="923" spans="1:16" hidden="1" x14ac:dyDescent="0.25">
      <c r="A923" s="19" t="s">
        <v>0</v>
      </c>
      <c r="B923" s="14"/>
      <c r="C923" s="14" t="s">
        <v>487</v>
      </c>
      <c r="D923" s="14"/>
      <c r="E923" s="13" t="s">
        <v>0</v>
      </c>
      <c r="F923" s="13" t="s">
        <v>0</v>
      </c>
      <c r="G923" s="13" t="s">
        <v>0</v>
      </c>
      <c r="H923" s="13">
        <f t="shared" si="18"/>
        <v>0</v>
      </c>
      <c r="I923" s="13" t="s">
        <v>0</v>
      </c>
      <c r="J923" s="13" t="s">
        <v>0</v>
      </c>
      <c r="K923" s="13">
        <v>0.17</v>
      </c>
      <c r="L923" s="13"/>
      <c r="M923" s="13"/>
      <c r="N923" s="13"/>
      <c r="O923" s="13"/>
      <c r="P923" s="21">
        <v>0</v>
      </c>
    </row>
    <row r="924" spans="1:16" s="27" customFormat="1" x14ac:dyDescent="0.25">
      <c r="A924" s="23"/>
      <c r="B924" s="24"/>
      <c r="C924" s="24" t="s">
        <v>488</v>
      </c>
      <c r="D924" s="39">
        <v>256779418628</v>
      </c>
      <c r="E924" s="25" t="s">
        <v>0</v>
      </c>
      <c r="F924" s="25">
        <v>20311</v>
      </c>
      <c r="G924" s="25" t="s">
        <v>489</v>
      </c>
      <c r="H924" s="25">
        <v>414</v>
      </c>
      <c r="I924" s="25"/>
      <c r="J924" s="25"/>
      <c r="K924" s="25"/>
      <c r="L924" s="25"/>
      <c r="M924" s="25"/>
      <c r="N924" s="25"/>
      <c r="O924" s="25"/>
      <c r="P924" s="26">
        <v>0</v>
      </c>
    </row>
    <row r="925" spans="1:16" hidden="1" x14ac:dyDescent="0.25">
      <c r="A925" s="19">
        <v>45962</v>
      </c>
      <c r="B925" s="14" t="s">
        <v>480</v>
      </c>
      <c r="C925" s="14" t="s">
        <v>481</v>
      </c>
      <c r="D925" s="14"/>
      <c r="E925" s="13" t="s">
        <v>0</v>
      </c>
      <c r="F925" s="13" t="s">
        <v>0</v>
      </c>
      <c r="G925" s="13" t="s">
        <v>0</v>
      </c>
      <c r="H925" s="13">
        <f t="shared" si="18"/>
        <v>0</v>
      </c>
      <c r="I925" s="13" t="s">
        <v>664</v>
      </c>
      <c r="J925" s="13"/>
      <c r="K925" s="13">
        <v>53.25</v>
      </c>
      <c r="L925" s="13" t="s">
        <v>483</v>
      </c>
      <c r="M925" s="13" t="s">
        <v>668</v>
      </c>
      <c r="N925" s="13"/>
      <c r="O925" s="13">
        <v>4696</v>
      </c>
      <c r="P925" s="21">
        <v>96</v>
      </c>
    </row>
    <row r="926" spans="1:16" hidden="1" x14ac:dyDescent="0.25">
      <c r="A926" s="19" t="s">
        <v>0</v>
      </c>
      <c r="B926" s="14"/>
      <c r="C926" s="14" t="s">
        <v>544</v>
      </c>
      <c r="D926" s="14"/>
      <c r="E926" s="13" t="s">
        <v>0</v>
      </c>
      <c r="F926" s="13" t="s">
        <v>0</v>
      </c>
      <c r="G926" s="13" t="s">
        <v>0</v>
      </c>
      <c r="H926" s="13">
        <f t="shared" si="18"/>
        <v>0</v>
      </c>
      <c r="I926" s="13" t="s">
        <v>0</v>
      </c>
      <c r="J926" s="13" t="s">
        <v>0</v>
      </c>
      <c r="K926" s="13">
        <v>4792.29</v>
      </c>
      <c r="L926" s="13"/>
      <c r="M926" s="13"/>
      <c r="N926" s="13"/>
      <c r="O926" s="13"/>
      <c r="P926" s="21">
        <v>0</v>
      </c>
    </row>
    <row r="927" spans="1:16" hidden="1" x14ac:dyDescent="0.25">
      <c r="A927" s="19" t="s">
        <v>0</v>
      </c>
      <c r="B927" s="14"/>
      <c r="C927" s="14" t="s">
        <v>525</v>
      </c>
      <c r="D927" s="14"/>
      <c r="E927" s="13" t="s">
        <v>0</v>
      </c>
      <c r="F927" s="13" t="s">
        <v>0</v>
      </c>
      <c r="G927" s="13" t="s">
        <v>0</v>
      </c>
      <c r="H927" s="13">
        <f t="shared" si="18"/>
        <v>0</v>
      </c>
      <c r="I927" s="13" t="s">
        <v>0</v>
      </c>
      <c r="J927" s="13" t="s">
        <v>0</v>
      </c>
      <c r="K927" s="13"/>
      <c r="L927" s="13">
        <v>96</v>
      </c>
      <c r="M927" s="13"/>
      <c r="N927" s="13"/>
      <c r="O927" s="13"/>
      <c r="P927" s="21">
        <v>0</v>
      </c>
    </row>
    <row r="928" spans="1:16" hidden="1" x14ac:dyDescent="0.25">
      <c r="A928" s="19" t="s">
        <v>0</v>
      </c>
      <c r="B928" s="14"/>
      <c r="C928" s="14" t="s">
        <v>487</v>
      </c>
      <c r="D928" s="14"/>
      <c r="E928" s="13" t="s">
        <v>0</v>
      </c>
      <c r="F928" s="13" t="s">
        <v>0</v>
      </c>
      <c r="G928" s="13" t="s">
        <v>0</v>
      </c>
      <c r="H928" s="13">
        <f t="shared" si="18"/>
        <v>0</v>
      </c>
      <c r="I928" s="13" t="s">
        <v>0</v>
      </c>
      <c r="J928" s="13" t="s">
        <v>0</v>
      </c>
      <c r="K928" s="13"/>
      <c r="L928" s="13">
        <v>0.28999999999999998</v>
      </c>
      <c r="M928" s="13"/>
      <c r="N928" s="13"/>
      <c r="O928" s="13"/>
      <c r="P928" s="21">
        <v>0</v>
      </c>
    </row>
    <row r="929" spans="1:16" x14ac:dyDescent="0.25">
      <c r="A929" s="19"/>
      <c r="B929" s="14"/>
      <c r="C929" s="14" t="s">
        <v>488</v>
      </c>
      <c r="D929" s="38">
        <v>256779418706</v>
      </c>
      <c r="E929" s="13" t="s">
        <v>0</v>
      </c>
      <c r="F929" s="13">
        <v>4696</v>
      </c>
      <c r="G929" s="13" t="s">
        <v>489</v>
      </c>
      <c r="H929" s="13">
        <f t="shared" si="18"/>
        <v>96</v>
      </c>
      <c r="I929" s="13"/>
      <c r="J929" s="13"/>
      <c r="K929" s="13"/>
      <c r="L929" s="13"/>
      <c r="M929" s="13"/>
      <c r="N929" s="13"/>
      <c r="O929" s="13"/>
      <c r="P929" s="21">
        <v>0</v>
      </c>
    </row>
    <row r="930" spans="1:16" s="27" customFormat="1" hidden="1" x14ac:dyDescent="0.25">
      <c r="A930" s="23">
        <v>45962</v>
      </c>
      <c r="B930" s="24" t="s">
        <v>480</v>
      </c>
      <c r="C930" s="24" t="s">
        <v>481</v>
      </c>
      <c r="D930" s="24"/>
      <c r="E930" s="25" t="s">
        <v>0</v>
      </c>
      <c r="F930" s="25" t="s">
        <v>0</v>
      </c>
      <c r="G930" s="25" t="s">
        <v>0</v>
      </c>
      <c r="H930" s="13">
        <f t="shared" si="18"/>
        <v>0</v>
      </c>
      <c r="I930" s="25" t="s">
        <v>656</v>
      </c>
      <c r="J930" s="25"/>
      <c r="K930" s="25">
        <v>265.42</v>
      </c>
      <c r="L930" s="25" t="s">
        <v>483</v>
      </c>
      <c r="M930" s="25" t="s">
        <v>669</v>
      </c>
      <c r="N930" s="25"/>
      <c r="O930" s="25">
        <v>23408</v>
      </c>
      <c r="P930" s="26">
        <v>478</v>
      </c>
    </row>
    <row r="931" spans="1:16" hidden="1" x14ac:dyDescent="0.25">
      <c r="A931" s="19" t="s">
        <v>0</v>
      </c>
      <c r="B931" s="14"/>
      <c r="C931" s="14" t="s">
        <v>533</v>
      </c>
      <c r="D931" s="14"/>
      <c r="E931" s="13" t="s">
        <v>0</v>
      </c>
      <c r="F931" s="13" t="s">
        <v>0</v>
      </c>
      <c r="G931" s="13" t="s">
        <v>0</v>
      </c>
      <c r="H931" s="13">
        <f t="shared" si="18"/>
        <v>0</v>
      </c>
      <c r="I931" s="13" t="s">
        <v>0</v>
      </c>
      <c r="J931" s="13" t="s">
        <v>0</v>
      </c>
      <c r="K931" s="13">
        <v>3602.59</v>
      </c>
      <c r="L931" s="13"/>
      <c r="M931" s="13"/>
      <c r="N931" s="13"/>
      <c r="O931" s="13"/>
      <c r="P931" s="21">
        <v>0</v>
      </c>
    </row>
    <row r="932" spans="1:16" hidden="1" x14ac:dyDescent="0.25">
      <c r="A932" s="19" t="s">
        <v>0</v>
      </c>
      <c r="B932" s="14"/>
      <c r="C932" s="14" t="s">
        <v>599</v>
      </c>
      <c r="D932" s="14"/>
      <c r="E932" s="13" t="s">
        <v>0</v>
      </c>
      <c r="F932" s="13" t="s">
        <v>0</v>
      </c>
      <c r="G932" s="13" t="s">
        <v>0</v>
      </c>
      <c r="H932" s="13">
        <f t="shared" si="18"/>
        <v>0</v>
      </c>
      <c r="I932" s="13" t="s">
        <v>0</v>
      </c>
      <c r="J932" s="13" t="s">
        <v>0</v>
      </c>
      <c r="K932" s="13">
        <v>20283.88</v>
      </c>
      <c r="L932" s="13"/>
      <c r="M932" s="13"/>
      <c r="N932" s="13"/>
      <c r="O932" s="13"/>
      <c r="P932" s="21">
        <v>0</v>
      </c>
    </row>
    <row r="933" spans="1:16" hidden="1" x14ac:dyDescent="0.25">
      <c r="A933" s="19" t="s">
        <v>0</v>
      </c>
      <c r="B933" s="14"/>
      <c r="C933" s="14" t="s">
        <v>600</v>
      </c>
      <c r="D933" s="14"/>
      <c r="E933" s="13" t="s">
        <v>0</v>
      </c>
      <c r="F933" s="13" t="s">
        <v>0</v>
      </c>
      <c r="G933" s="13" t="s">
        <v>0</v>
      </c>
      <c r="H933" s="13">
        <f t="shared" si="18"/>
        <v>0</v>
      </c>
      <c r="I933" s="13" t="s">
        <v>0</v>
      </c>
      <c r="J933" s="13" t="s">
        <v>0</v>
      </c>
      <c r="K933" s="13">
        <v>1014.19</v>
      </c>
      <c r="L933" s="13"/>
      <c r="M933" s="13"/>
      <c r="N933" s="13"/>
      <c r="O933" s="13"/>
      <c r="P933" s="21">
        <v>0</v>
      </c>
    </row>
    <row r="934" spans="1:16" hidden="1" x14ac:dyDescent="0.25">
      <c r="A934" s="19" t="s">
        <v>0</v>
      </c>
      <c r="B934" s="14"/>
      <c r="C934" s="14" t="s">
        <v>601</v>
      </c>
      <c r="D934" s="14"/>
      <c r="E934" s="13" t="s">
        <v>0</v>
      </c>
      <c r="F934" s="13" t="s">
        <v>0</v>
      </c>
      <c r="G934" s="13" t="s">
        <v>0</v>
      </c>
      <c r="H934" s="13"/>
      <c r="I934" s="13" t="s">
        <v>0</v>
      </c>
      <c r="J934" s="13" t="s">
        <v>0</v>
      </c>
      <c r="K934" s="13"/>
      <c r="L934" s="13">
        <v>1014.19</v>
      </c>
      <c r="M934" s="13"/>
      <c r="N934" s="13"/>
      <c r="O934" s="13"/>
      <c r="P934" s="21">
        <v>0</v>
      </c>
    </row>
    <row r="935" spans="1:16" hidden="1" x14ac:dyDescent="0.25">
      <c r="A935" s="19" t="s">
        <v>0</v>
      </c>
      <c r="B935" s="14"/>
      <c r="C935" s="14" t="s">
        <v>525</v>
      </c>
      <c r="D935" s="14"/>
      <c r="E935" s="13" t="s">
        <v>0</v>
      </c>
      <c r="F935" s="13" t="s">
        <v>0</v>
      </c>
      <c r="G935" s="13" t="s">
        <v>0</v>
      </c>
      <c r="H935" s="13">
        <f t="shared" si="18"/>
        <v>0</v>
      </c>
      <c r="I935" s="13" t="s">
        <v>0</v>
      </c>
      <c r="J935" s="13" t="s">
        <v>0</v>
      </c>
      <c r="K935" s="13"/>
      <c r="L935" s="13">
        <v>478</v>
      </c>
      <c r="M935" s="13"/>
      <c r="N935" s="13"/>
      <c r="O935" s="13"/>
      <c r="P935" s="21">
        <v>0</v>
      </c>
    </row>
    <row r="936" spans="1:16" hidden="1" x14ac:dyDescent="0.25">
      <c r="A936" s="19" t="s">
        <v>0</v>
      </c>
      <c r="B936" s="14"/>
      <c r="C936" s="14" t="s">
        <v>487</v>
      </c>
      <c r="D936" s="14"/>
      <c r="E936" s="13" t="s">
        <v>0</v>
      </c>
      <c r="F936" s="13" t="s">
        <v>0</v>
      </c>
      <c r="G936" s="13" t="s">
        <v>0</v>
      </c>
      <c r="H936" s="13">
        <f t="shared" si="18"/>
        <v>0</v>
      </c>
      <c r="I936" s="13" t="s">
        <v>0</v>
      </c>
      <c r="J936" s="13" t="s">
        <v>0</v>
      </c>
      <c r="K936" s="13"/>
      <c r="L936" s="13">
        <v>0.47</v>
      </c>
      <c r="M936" s="13"/>
      <c r="N936" s="13"/>
      <c r="O936" s="13"/>
      <c r="P936" s="21">
        <v>0</v>
      </c>
    </row>
    <row r="937" spans="1:16" s="27" customFormat="1" x14ac:dyDescent="0.25">
      <c r="A937" s="23"/>
      <c r="B937" s="24"/>
      <c r="C937" s="24" t="s">
        <v>488</v>
      </c>
      <c r="D937" s="39">
        <v>256779417943</v>
      </c>
      <c r="E937" s="25" t="s">
        <v>0</v>
      </c>
      <c r="F937" s="25">
        <v>23408</v>
      </c>
      <c r="G937" s="25" t="s">
        <v>489</v>
      </c>
      <c r="H937" s="25">
        <v>478</v>
      </c>
      <c r="I937" s="25"/>
      <c r="J937" s="25"/>
      <c r="K937" s="25"/>
      <c r="L937" s="25"/>
      <c r="M937" s="25"/>
      <c r="N937" s="25"/>
      <c r="O937" s="25"/>
      <c r="P937" s="26">
        <v>0</v>
      </c>
    </row>
    <row r="938" spans="1:16" s="27" customFormat="1" hidden="1" x14ac:dyDescent="0.25">
      <c r="A938" s="23">
        <v>45962</v>
      </c>
      <c r="B938" s="24" t="s">
        <v>480</v>
      </c>
      <c r="C938" s="24" t="s">
        <v>481</v>
      </c>
      <c r="D938" s="24"/>
      <c r="E938" s="25" t="s">
        <v>0</v>
      </c>
      <c r="F938" s="25" t="s">
        <v>0</v>
      </c>
      <c r="G938" s="25" t="s">
        <v>0</v>
      </c>
      <c r="H938" s="13">
        <f t="shared" si="18"/>
        <v>0</v>
      </c>
      <c r="I938" s="25" t="s">
        <v>664</v>
      </c>
      <c r="J938" s="25"/>
      <c r="K938" s="25">
        <v>241.98</v>
      </c>
      <c r="L938" s="25" t="s">
        <v>483</v>
      </c>
      <c r="M938" s="25" t="s">
        <v>670</v>
      </c>
      <c r="N938" s="25"/>
      <c r="O938" s="25">
        <v>21340</v>
      </c>
      <c r="P938" s="26">
        <v>436</v>
      </c>
    </row>
    <row r="939" spans="1:16" hidden="1" x14ac:dyDescent="0.25">
      <c r="A939" s="19" t="s">
        <v>0</v>
      </c>
      <c r="B939" s="14"/>
      <c r="C939" s="14" t="s">
        <v>533</v>
      </c>
      <c r="D939" s="14"/>
      <c r="E939" s="13" t="s">
        <v>0</v>
      </c>
      <c r="F939" s="13" t="s">
        <v>0</v>
      </c>
      <c r="G939" s="13" t="s">
        <v>0</v>
      </c>
      <c r="H939" s="13">
        <f t="shared" si="18"/>
        <v>0</v>
      </c>
      <c r="I939" s="13" t="s">
        <v>0</v>
      </c>
      <c r="J939" s="13" t="s">
        <v>0</v>
      </c>
      <c r="K939" s="13">
        <v>9429.36</v>
      </c>
      <c r="L939" s="13"/>
      <c r="M939" s="13"/>
      <c r="N939" s="13"/>
      <c r="O939" s="13"/>
      <c r="P939" s="21">
        <v>0</v>
      </c>
    </row>
    <row r="940" spans="1:16" hidden="1" x14ac:dyDescent="0.25">
      <c r="A940" s="19" t="s">
        <v>0</v>
      </c>
      <c r="B940" s="14"/>
      <c r="C940" s="14" t="s">
        <v>599</v>
      </c>
      <c r="D940" s="14"/>
      <c r="E940" s="13" t="s">
        <v>0</v>
      </c>
      <c r="F940" s="13" t="s">
        <v>0</v>
      </c>
      <c r="G940" s="13" t="s">
        <v>0</v>
      </c>
      <c r="H940" s="13">
        <f t="shared" si="18"/>
        <v>0</v>
      </c>
      <c r="I940" s="13" t="s">
        <v>0</v>
      </c>
      <c r="J940" s="13" t="s">
        <v>0</v>
      </c>
      <c r="K940" s="13">
        <v>12347</v>
      </c>
      <c r="L940" s="13"/>
      <c r="M940" s="13"/>
      <c r="N940" s="13"/>
      <c r="O940" s="13"/>
      <c r="P940" s="21">
        <v>0</v>
      </c>
    </row>
    <row r="941" spans="1:16" hidden="1" x14ac:dyDescent="0.25">
      <c r="A941" s="19" t="s">
        <v>0</v>
      </c>
      <c r="B941" s="14"/>
      <c r="C941" s="14" t="s">
        <v>600</v>
      </c>
      <c r="D941" s="14"/>
      <c r="E941" s="13" t="s">
        <v>0</v>
      </c>
      <c r="F941" s="13" t="s">
        <v>0</v>
      </c>
      <c r="G941" s="13" t="s">
        <v>0</v>
      </c>
      <c r="H941" s="13">
        <f t="shared" si="18"/>
        <v>0</v>
      </c>
      <c r="I941" s="13" t="s">
        <v>0</v>
      </c>
      <c r="J941" s="13" t="s">
        <v>0</v>
      </c>
      <c r="K941" s="13">
        <v>617.35</v>
      </c>
      <c r="L941" s="13"/>
      <c r="M941" s="13"/>
      <c r="N941" s="13"/>
      <c r="O941" s="13"/>
      <c r="P941" s="21">
        <v>0</v>
      </c>
    </row>
    <row r="942" spans="1:16" hidden="1" x14ac:dyDescent="0.25">
      <c r="A942" s="19" t="s">
        <v>0</v>
      </c>
      <c r="B942" s="14"/>
      <c r="C942" s="14" t="s">
        <v>601</v>
      </c>
      <c r="D942" s="14"/>
      <c r="E942" s="13" t="s">
        <v>0</v>
      </c>
      <c r="F942" s="13" t="s">
        <v>0</v>
      </c>
      <c r="G942" s="13" t="s">
        <v>0</v>
      </c>
      <c r="H942" s="13"/>
      <c r="I942" s="13" t="s">
        <v>0</v>
      </c>
      <c r="J942" s="13" t="s">
        <v>0</v>
      </c>
      <c r="K942" s="13"/>
      <c r="L942" s="13">
        <v>617.35</v>
      </c>
      <c r="M942" s="13"/>
      <c r="N942" s="13"/>
      <c r="O942" s="13"/>
      <c r="P942" s="21">
        <v>0</v>
      </c>
    </row>
    <row r="943" spans="1:16" hidden="1" x14ac:dyDescent="0.25">
      <c r="A943" s="19" t="s">
        <v>0</v>
      </c>
      <c r="B943" s="14"/>
      <c r="C943" s="14" t="s">
        <v>525</v>
      </c>
      <c r="D943" s="14"/>
      <c r="E943" s="13" t="s">
        <v>0</v>
      </c>
      <c r="F943" s="13" t="s">
        <v>0</v>
      </c>
      <c r="G943" s="13" t="s">
        <v>0</v>
      </c>
      <c r="H943" s="13">
        <f t="shared" si="18"/>
        <v>0</v>
      </c>
      <c r="I943" s="13" t="s">
        <v>0</v>
      </c>
      <c r="J943" s="13" t="s">
        <v>0</v>
      </c>
      <c r="K943" s="13"/>
      <c r="L943" s="13">
        <v>436</v>
      </c>
      <c r="M943" s="13"/>
      <c r="N943" s="13"/>
      <c r="O943" s="13"/>
      <c r="P943" s="21">
        <v>0</v>
      </c>
    </row>
    <row r="944" spans="1:16" hidden="1" x14ac:dyDescent="0.25">
      <c r="A944" s="19" t="s">
        <v>0</v>
      </c>
      <c r="B944" s="14"/>
      <c r="C944" s="14" t="s">
        <v>487</v>
      </c>
      <c r="D944" s="14"/>
      <c r="E944" s="13" t="s">
        <v>0</v>
      </c>
      <c r="F944" s="13" t="s">
        <v>0</v>
      </c>
      <c r="G944" s="13" t="s">
        <v>0</v>
      </c>
      <c r="H944" s="13">
        <f t="shared" si="18"/>
        <v>0</v>
      </c>
      <c r="I944" s="13" t="s">
        <v>0</v>
      </c>
      <c r="J944" s="13" t="s">
        <v>0</v>
      </c>
      <c r="K944" s="13"/>
      <c r="L944" s="13">
        <v>0.36</v>
      </c>
      <c r="M944" s="13"/>
      <c r="N944" s="13"/>
      <c r="O944" s="13"/>
      <c r="P944" s="21">
        <v>0</v>
      </c>
    </row>
    <row r="945" spans="1:16" s="27" customFormat="1" x14ac:dyDescent="0.25">
      <c r="A945" s="23"/>
      <c r="B945" s="24"/>
      <c r="C945" s="24" t="s">
        <v>488</v>
      </c>
      <c r="D945" s="39">
        <v>256779418736</v>
      </c>
      <c r="E945" s="25" t="s">
        <v>0</v>
      </c>
      <c r="F945" s="25">
        <v>21340</v>
      </c>
      <c r="G945" s="25" t="s">
        <v>489</v>
      </c>
      <c r="H945" s="25">
        <v>436</v>
      </c>
      <c r="I945" s="25"/>
      <c r="J945" s="25"/>
      <c r="K945" s="25"/>
      <c r="L945" s="25"/>
      <c r="M945" s="25"/>
      <c r="N945" s="25"/>
      <c r="O945" s="25"/>
      <c r="P945" s="26">
        <v>0</v>
      </c>
    </row>
    <row r="946" spans="1:16" s="27" customFormat="1" hidden="1" x14ac:dyDescent="0.25">
      <c r="A946" s="23">
        <v>45964</v>
      </c>
      <c r="B946" s="24" t="s">
        <v>480</v>
      </c>
      <c r="C946" s="24" t="s">
        <v>481</v>
      </c>
      <c r="D946" s="24"/>
      <c r="E946" s="25" t="s">
        <v>0</v>
      </c>
      <c r="F946" s="25" t="s">
        <v>0</v>
      </c>
      <c r="G946" s="25" t="s">
        <v>0</v>
      </c>
      <c r="H946" s="13">
        <f t="shared" si="18"/>
        <v>0</v>
      </c>
      <c r="I946" s="25" t="s">
        <v>664</v>
      </c>
      <c r="J946" s="25"/>
      <c r="K946" s="25">
        <v>450.69</v>
      </c>
      <c r="L946" s="25" t="s">
        <v>483</v>
      </c>
      <c r="M946" s="25" t="s">
        <v>671</v>
      </c>
      <c r="N946" s="25"/>
      <c r="O946" s="25">
        <v>39662</v>
      </c>
      <c r="P946" s="26">
        <v>809</v>
      </c>
    </row>
    <row r="947" spans="1:16" hidden="1" x14ac:dyDescent="0.25">
      <c r="A947" s="19" t="s">
        <v>0</v>
      </c>
      <c r="B947" s="14"/>
      <c r="C947" s="14" t="s">
        <v>533</v>
      </c>
      <c r="D947" s="14"/>
      <c r="E947" s="13" t="s">
        <v>0</v>
      </c>
      <c r="F947" s="13" t="s">
        <v>0</v>
      </c>
      <c r="G947" s="13" t="s">
        <v>0</v>
      </c>
      <c r="H947" s="13">
        <f t="shared" si="18"/>
        <v>0</v>
      </c>
      <c r="I947" s="13" t="s">
        <v>0</v>
      </c>
      <c r="J947" s="13" t="s">
        <v>0</v>
      </c>
      <c r="K947" s="13">
        <v>18470.150000000001</v>
      </c>
      <c r="L947" s="13"/>
      <c r="M947" s="13"/>
      <c r="N947" s="13"/>
      <c r="O947" s="13"/>
      <c r="P947" s="21">
        <v>0</v>
      </c>
    </row>
    <row r="948" spans="1:16" hidden="1" x14ac:dyDescent="0.25">
      <c r="A948" s="19" t="s">
        <v>0</v>
      </c>
      <c r="B948" s="14"/>
      <c r="C948" s="14" t="s">
        <v>599</v>
      </c>
      <c r="D948" s="14"/>
      <c r="E948" s="13" t="s">
        <v>0</v>
      </c>
      <c r="F948" s="13" t="s">
        <v>0</v>
      </c>
      <c r="G948" s="13" t="s">
        <v>0</v>
      </c>
      <c r="H948" s="13">
        <f t="shared" si="18"/>
        <v>0</v>
      </c>
      <c r="I948" s="13" t="s">
        <v>0</v>
      </c>
      <c r="J948" s="13" t="s">
        <v>0</v>
      </c>
      <c r="K948" s="13">
        <v>22001</v>
      </c>
      <c r="L948" s="13"/>
      <c r="M948" s="13"/>
      <c r="N948" s="13"/>
      <c r="O948" s="13"/>
      <c r="P948" s="21">
        <v>0</v>
      </c>
    </row>
    <row r="949" spans="1:16" hidden="1" x14ac:dyDescent="0.25">
      <c r="A949" s="19" t="s">
        <v>0</v>
      </c>
      <c r="B949" s="14"/>
      <c r="C949" s="14" t="s">
        <v>600</v>
      </c>
      <c r="D949" s="14"/>
      <c r="E949" s="13" t="s">
        <v>0</v>
      </c>
      <c r="F949" s="13" t="s">
        <v>0</v>
      </c>
      <c r="G949" s="13" t="s">
        <v>0</v>
      </c>
      <c r="H949" s="13">
        <f t="shared" si="18"/>
        <v>0</v>
      </c>
      <c r="I949" s="13" t="s">
        <v>0</v>
      </c>
      <c r="J949" s="13" t="s">
        <v>0</v>
      </c>
      <c r="K949" s="13">
        <v>1100.05</v>
      </c>
      <c r="L949" s="13"/>
      <c r="M949" s="13"/>
      <c r="N949" s="13"/>
      <c r="O949" s="13"/>
      <c r="P949" s="21">
        <v>0</v>
      </c>
    </row>
    <row r="950" spans="1:16" hidden="1" x14ac:dyDescent="0.25">
      <c r="A950" s="19" t="s">
        <v>0</v>
      </c>
      <c r="B950" s="14"/>
      <c r="C950" s="14" t="s">
        <v>601</v>
      </c>
      <c r="D950" s="14"/>
      <c r="E950" s="13" t="s">
        <v>0</v>
      </c>
      <c r="F950" s="13" t="s">
        <v>0</v>
      </c>
      <c r="G950" s="13" t="s">
        <v>0</v>
      </c>
      <c r="H950" s="13"/>
      <c r="I950" s="13" t="s">
        <v>0</v>
      </c>
      <c r="J950" s="13" t="s">
        <v>0</v>
      </c>
      <c r="K950" s="13"/>
      <c r="L950" s="13">
        <v>1100.05</v>
      </c>
      <c r="M950" s="13"/>
      <c r="N950" s="13"/>
      <c r="O950" s="13"/>
      <c r="P950" s="21">
        <v>0</v>
      </c>
    </row>
    <row r="951" spans="1:16" hidden="1" x14ac:dyDescent="0.25">
      <c r="A951" s="19" t="s">
        <v>0</v>
      </c>
      <c r="B951" s="14"/>
      <c r="C951" s="14" t="s">
        <v>525</v>
      </c>
      <c r="D951" s="14"/>
      <c r="E951" s="13" t="s">
        <v>0</v>
      </c>
      <c r="F951" s="13" t="s">
        <v>0</v>
      </c>
      <c r="G951" s="13" t="s">
        <v>0</v>
      </c>
      <c r="H951" s="13">
        <f t="shared" si="18"/>
        <v>0</v>
      </c>
      <c r="I951" s="13" t="s">
        <v>0</v>
      </c>
      <c r="J951" s="13" t="s">
        <v>0</v>
      </c>
      <c r="K951" s="13"/>
      <c r="L951" s="13">
        <v>809</v>
      </c>
      <c r="M951" s="13"/>
      <c r="N951" s="13"/>
      <c r="O951" s="13"/>
      <c r="P951" s="21">
        <v>0</v>
      </c>
    </row>
    <row r="952" spans="1:16" hidden="1" x14ac:dyDescent="0.25">
      <c r="A952" s="19" t="s">
        <v>0</v>
      </c>
      <c r="B952" s="14"/>
      <c r="C952" s="14" t="s">
        <v>487</v>
      </c>
      <c r="D952" s="14"/>
      <c r="E952" s="13" t="s">
        <v>0</v>
      </c>
      <c r="F952" s="13" t="s">
        <v>0</v>
      </c>
      <c r="G952" s="13" t="s">
        <v>0</v>
      </c>
      <c r="H952" s="13">
        <f t="shared" si="18"/>
        <v>0</v>
      </c>
      <c r="I952" s="13" t="s">
        <v>0</v>
      </c>
      <c r="J952" s="13" t="s">
        <v>0</v>
      </c>
      <c r="K952" s="13"/>
      <c r="L952" s="13">
        <v>0.15</v>
      </c>
      <c r="M952" s="13"/>
      <c r="N952" s="13"/>
      <c r="O952" s="13"/>
      <c r="P952" s="21">
        <v>0</v>
      </c>
    </row>
    <row r="953" spans="1:16" s="27" customFormat="1" x14ac:dyDescent="0.25">
      <c r="A953" s="23"/>
      <c r="B953" s="24"/>
      <c r="C953" s="24" t="s">
        <v>488</v>
      </c>
      <c r="D953" s="39">
        <v>256779419136</v>
      </c>
      <c r="E953" s="25" t="s">
        <v>0</v>
      </c>
      <c r="F953" s="25">
        <v>39662</v>
      </c>
      <c r="G953" s="25" t="s">
        <v>489</v>
      </c>
      <c r="H953" s="25">
        <v>809</v>
      </c>
      <c r="I953" s="25"/>
      <c r="J953" s="25"/>
      <c r="K953" s="25"/>
      <c r="L953" s="25"/>
      <c r="M953" s="25"/>
      <c r="N953" s="25"/>
      <c r="O953" s="25"/>
      <c r="P953" s="26">
        <v>0</v>
      </c>
    </row>
    <row r="954" spans="1:16" hidden="1" x14ac:dyDescent="0.25">
      <c r="A954" s="19">
        <v>45966</v>
      </c>
      <c r="B954" s="14" t="s">
        <v>480</v>
      </c>
      <c r="C954" s="14" t="s">
        <v>481</v>
      </c>
      <c r="D954" s="14"/>
      <c r="E954" s="13" t="s">
        <v>0</v>
      </c>
      <c r="F954" s="13" t="s">
        <v>0</v>
      </c>
      <c r="G954" s="13" t="s">
        <v>0</v>
      </c>
      <c r="H954" s="13">
        <f t="shared" si="18"/>
        <v>0</v>
      </c>
      <c r="I954" s="13" t="s">
        <v>664</v>
      </c>
      <c r="J954" s="13"/>
      <c r="K954" s="13">
        <v>13.26</v>
      </c>
      <c r="L954" s="13" t="s">
        <v>483</v>
      </c>
      <c r="M954" s="13" t="s">
        <v>672</v>
      </c>
      <c r="N954" s="13"/>
      <c r="O954" s="13">
        <v>1167</v>
      </c>
      <c r="P954" s="21">
        <v>24</v>
      </c>
    </row>
    <row r="955" spans="1:16" hidden="1" x14ac:dyDescent="0.25">
      <c r="A955" s="19" t="s">
        <v>0</v>
      </c>
      <c r="B955" s="14"/>
      <c r="C955" s="14" t="s">
        <v>533</v>
      </c>
      <c r="D955" s="14"/>
      <c r="E955" s="13" t="s">
        <v>0</v>
      </c>
      <c r="F955" s="13" t="s">
        <v>0</v>
      </c>
      <c r="G955" s="13" t="s">
        <v>0</v>
      </c>
      <c r="H955" s="13">
        <f t="shared" si="18"/>
        <v>0</v>
      </c>
      <c r="I955" s="13" t="s">
        <v>0</v>
      </c>
      <c r="J955" s="13" t="s">
        <v>0</v>
      </c>
      <c r="K955" s="13">
        <v>1190.69</v>
      </c>
      <c r="L955" s="13"/>
      <c r="M955" s="13"/>
      <c r="N955" s="13"/>
      <c r="O955" s="13"/>
      <c r="P955" s="21">
        <v>0</v>
      </c>
    </row>
    <row r="956" spans="1:16" hidden="1" x14ac:dyDescent="0.25">
      <c r="A956" s="19" t="s">
        <v>0</v>
      </c>
      <c r="B956" s="14"/>
      <c r="C956" s="14" t="s">
        <v>525</v>
      </c>
      <c r="D956" s="14"/>
      <c r="E956" s="13" t="s">
        <v>0</v>
      </c>
      <c r="F956" s="13" t="s">
        <v>0</v>
      </c>
      <c r="G956" s="13" t="s">
        <v>0</v>
      </c>
      <c r="H956" s="13">
        <f t="shared" si="18"/>
        <v>0</v>
      </c>
      <c r="I956" s="13" t="s">
        <v>0</v>
      </c>
      <c r="J956" s="13" t="s">
        <v>0</v>
      </c>
      <c r="K956" s="13"/>
      <c r="L956" s="13">
        <v>24</v>
      </c>
      <c r="M956" s="13"/>
      <c r="N956" s="13"/>
      <c r="O956" s="13"/>
      <c r="P956" s="21">
        <v>0</v>
      </c>
    </row>
    <row r="957" spans="1:16" hidden="1" x14ac:dyDescent="0.25">
      <c r="A957" s="19" t="s">
        <v>0</v>
      </c>
      <c r="B957" s="14"/>
      <c r="C957" s="14" t="s">
        <v>487</v>
      </c>
      <c r="D957" s="14"/>
      <c r="E957" s="13" t="s">
        <v>0</v>
      </c>
      <c r="F957" s="13" t="s">
        <v>0</v>
      </c>
      <c r="G957" s="13" t="s">
        <v>0</v>
      </c>
      <c r="H957" s="13">
        <f t="shared" si="18"/>
        <v>0</v>
      </c>
      <c r="I957" s="13" t="s">
        <v>0</v>
      </c>
      <c r="J957" s="13" t="s">
        <v>0</v>
      </c>
      <c r="K957" s="13">
        <v>0.31</v>
      </c>
      <c r="L957" s="13"/>
      <c r="M957" s="13"/>
      <c r="N957" s="13"/>
      <c r="O957" s="13"/>
      <c r="P957" s="21">
        <v>0</v>
      </c>
    </row>
    <row r="958" spans="1:16" x14ac:dyDescent="0.25">
      <c r="A958" s="19"/>
      <c r="B958" s="14"/>
      <c r="C958" s="14" t="s">
        <v>488</v>
      </c>
      <c r="D958" s="38">
        <v>256779418828</v>
      </c>
      <c r="E958" s="13" t="s">
        <v>0</v>
      </c>
      <c r="F958" s="13">
        <v>1167</v>
      </c>
      <c r="G958" s="13" t="s">
        <v>489</v>
      </c>
      <c r="H958" s="13">
        <f t="shared" si="18"/>
        <v>24</v>
      </c>
      <c r="I958" s="13"/>
      <c r="J958" s="13"/>
      <c r="K958" s="13"/>
      <c r="L958" s="13"/>
      <c r="M958" s="13"/>
      <c r="N958" s="13"/>
      <c r="O958" s="13"/>
      <c r="P958" s="21">
        <v>0</v>
      </c>
    </row>
    <row r="959" spans="1:16" s="27" customFormat="1" hidden="1" x14ac:dyDescent="0.25">
      <c r="A959" s="23">
        <v>45966</v>
      </c>
      <c r="B959" s="24" t="s">
        <v>480</v>
      </c>
      <c r="C959" s="24" t="s">
        <v>481</v>
      </c>
      <c r="D959" s="24"/>
      <c r="E959" s="25" t="s">
        <v>0</v>
      </c>
      <c r="F959" s="25" t="s">
        <v>0</v>
      </c>
      <c r="G959" s="25" t="s">
        <v>0</v>
      </c>
      <c r="H959" s="13">
        <f t="shared" si="18"/>
        <v>0</v>
      </c>
      <c r="I959" s="25" t="s">
        <v>664</v>
      </c>
      <c r="J959" s="25"/>
      <c r="K959" s="25">
        <v>137.19999999999999</v>
      </c>
      <c r="L959" s="25" t="s">
        <v>483</v>
      </c>
      <c r="M959" s="25" t="s">
        <v>673</v>
      </c>
      <c r="N959" s="25"/>
      <c r="O959" s="25">
        <v>12074</v>
      </c>
      <c r="P959" s="26">
        <v>246</v>
      </c>
    </row>
    <row r="960" spans="1:16" hidden="1" x14ac:dyDescent="0.25">
      <c r="A960" s="19" t="s">
        <v>0</v>
      </c>
      <c r="B960" s="14"/>
      <c r="C960" s="14" t="s">
        <v>599</v>
      </c>
      <c r="D960" s="14"/>
      <c r="E960" s="13" t="s">
        <v>0</v>
      </c>
      <c r="F960" s="13" t="s">
        <v>0</v>
      </c>
      <c r="G960" s="13" t="s">
        <v>0</v>
      </c>
      <c r="H960" s="13">
        <f t="shared" si="18"/>
        <v>0</v>
      </c>
      <c r="I960" s="13" t="s">
        <v>0</v>
      </c>
      <c r="J960" s="13" t="s">
        <v>0</v>
      </c>
      <c r="K960" s="13">
        <v>12320.47</v>
      </c>
      <c r="L960" s="13"/>
      <c r="M960" s="13"/>
      <c r="N960" s="13"/>
      <c r="O960" s="13"/>
      <c r="P960" s="21">
        <v>0</v>
      </c>
    </row>
    <row r="961" spans="1:16" hidden="1" x14ac:dyDescent="0.25">
      <c r="A961" s="19" t="s">
        <v>0</v>
      </c>
      <c r="B961" s="14"/>
      <c r="C961" s="14" t="s">
        <v>600</v>
      </c>
      <c r="D961" s="14"/>
      <c r="E961" s="13" t="s">
        <v>0</v>
      </c>
      <c r="F961" s="13" t="s">
        <v>0</v>
      </c>
      <c r="G961" s="13" t="s">
        <v>0</v>
      </c>
      <c r="H961" s="13">
        <f t="shared" si="18"/>
        <v>0</v>
      </c>
      <c r="I961" s="13" t="s">
        <v>0</v>
      </c>
      <c r="J961" s="13" t="s">
        <v>0</v>
      </c>
      <c r="K961" s="13">
        <v>616.02</v>
      </c>
      <c r="L961" s="13"/>
      <c r="M961" s="13"/>
      <c r="N961" s="13"/>
      <c r="O961" s="13"/>
      <c r="P961" s="21">
        <v>0</v>
      </c>
    </row>
    <row r="962" spans="1:16" hidden="1" x14ac:dyDescent="0.25">
      <c r="A962" s="19" t="s">
        <v>0</v>
      </c>
      <c r="B962" s="14"/>
      <c r="C962" s="14" t="s">
        <v>601</v>
      </c>
      <c r="D962" s="14"/>
      <c r="E962" s="13" t="s">
        <v>0</v>
      </c>
      <c r="F962" s="13" t="s">
        <v>0</v>
      </c>
      <c r="G962" s="13" t="s">
        <v>0</v>
      </c>
      <c r="H962" s="13">
        <f t="shared" si="18"/>
        <v>0</v>
      </c>
      <c r="I962" s="13" t="s">
        <v>0</v>
      </c>
      <c r="J962" s="13" t="s">
        <v>0</v>
      </c>
      <c r="K962" s="13"/>
      <c r="L962" s="13">
        <v>616.02</v>
      </c>
      <c r="M962" s="13"/>
      <c r="N962" s="13"/>
      <c r="O962" s="13"/>
      <c r="P962" s="21">
        <v>0</v>
      </c>
    </row>
    <row r="963" spans="1:16" hidden="1" x14ac:dyDescent="0.25">
      <c r="A963" s="19" t="s">
        <v>0</v>
      </c>
      <c r="B963" s="14"/>
      <c r="C963" s="14" t="s">
        <v>525</v>
      </c>
      <c r="D963" s="14"/>
      <c r="E963" s="13" t="s">
        <v>0</v>
      </c>
      <c r="F963" s="13" t="s">
        <v>0</v>
      </c>
      <c r="G963" s="13" t="s">
        <v>0</v>
      </c>
      <c r="H963" s="13"/>
      <c r="I963" s="13" t="s">
        <v>0</v>
      </c>
      <c r="J963" s="13" t="s">
        <v>0</v>
      </c>
      <c r="K963" s="13"/>
      <c r="L963" s="13">
        <v>246</v>
      </c>
      <c r="M963" s="13"/>
      <c r="N963" s="13"/>
      <c r="O963" s="13"/>
      <c r="P963" s="21">
        <v>0</v>
      </c>
    </row>
    <row r="964" spans="1:16" hidden="1" x14ac:dyDescent="0.25">
      <c r="A964" s="19" t="s">
        <v>0</v>
      </c>
      <c r="B964" s="14"/>
      <c r="C964" s="14" t="s">
        <v>487</v>
      </c>
      <c r="D964" s="14"/>
      <c r="E964" s="13" t="s">
        <v>0</v>
      </c>
      <c r="F964" s="13" t="s">
        <v>0</v>
      </c>
      <c r="G964" s="13" t="s">
        <v>0</v>
      </c>
      <c r="H964" s="13">
        <f t="shared" si="18"/>
        <v>0</v>
      </c>
      <c r="I964" s="13" t="s">
        <v>0</v>
      </c>
      <c r="J964" s="13" t="s">
        <v>0</v>
      </c>
      <c r="K964" s="13"/>
      <c r="L964" s="13">
        <v>0.47</v>
      </c>
      <c r="M964" s="13"/>
      <c r="N964" s="13"/>
      <c r="O964" s="13"/>
      <c r="P964" s="21">
        <v>0</v>
      </c>
    </row>
    <row r="965" spans="1:16" s="27" customFormat="1" x14ac:dyDescent="0.25">
      <c r="A965" s="23"/>
      <c r="B965" s="24"/>
      <c r="C965" s="24" t="s">
        <v>488</v>
      </c>
      <c r="D965" s="39">
        <v>256779419087</v>
      </c>
      <c r="E965" s="25" t="s">
        <v>0</v>
      </c>
      <c r="F965" s="25">
        <v>12074</v>
      </c>
      <c r="G965" s="25" t="s">
        <v>489</v>
      </c>
      <c r="H965" s="25">
        <v>246</v>
      </c>
      <c r="I965" s="25"/>
      <c r="J965" s="25"/>
      <c r="K965" s="25"/>
      <c r="L965" s="25"/>
      <c r="M965" s="25"/>
      <c r="N965" s="25"/>
      <c r="O965" s="25"/>
      <c r="P965" s="26">
        <v>0</v>
      </c>
    </row>
    <row r="966" spans="1:16" hidden="1" x14ac:dyDescent="0.25">
      <c r="A966" s="19">
        <v>45966</v>
      </c>
      <c r="B966" s="14" t="s">
        <v>480</v>
      </c>
      <c r="C966" s="14" t="s">
        <v>481</v>
      </c>
      <c r="D966" s="14"/>
      <c r="E966" s="13" t="s">
        <v>0</v>
      </c>
      <c r="F966" s="13" t="s">
        <v>0</v>
      </c>
      <c r="G966" s="13" t="s">
        <v>0</v>
      </c>
      <c r="H966" s="13">
        <f t="shared" si="18"/>
        <v>0</v>
      </c>
      <c r="I966" s="13" t="s">
        <v>664</v>
      </c>
      <c r="J966" s="13"/>
      <c r="K966" s="13">
        <v>34.29</v>
      </c>
      <c r="L966" s="13" t="s">
        <v>483</v>
      </c>
      <c r="M966" s="13" t="s">
        <v>674</v>
      </c>
      <c r="N966" s="13"/>
      <c r="O966" s="13">
        <v>3018</v>
      </c>
      <c r="P966" s="21">
        <v>62</v>
      </c>
    </row>
    <row r="967" spans="1:16" hidden="1" x14ac:dyDescent="0.25">
      <c r="A967" s="19" t="s">
        <v>0</v>
      </c>
      <c r="B967" s="14"/>
      <c r="C967" s="14" t="s">
        <v>533</v>
      </c>
      <c r="D967" s="14"/>
      <c r="E967" s="13" t="s">
        <v>0</v>
      </c>
      <c r="F967" s="13" t="s">
        <v>0</v>
      </c>
      <c r="G967" s="13" t="s">
        <v>0</v>
      </c>
      <c r="H967" s="13">
        <f t="shared" si="18"/>
        <v>0</v>
      </c>
      <c r="I967" s="13" t="s">
        <v>0</v>
      </c>
      <c r="J967" s="13" t="s">
        <v>0</v>
      </c>
      <c r="K967" s="13">
        <v>3080.12</v>
      </c>
      <c r="L967" s="13"/>
      <c r="M967" s="13"/>
      <c r="N967" s="13"/>
      <c r="O967" s="13"/>
      <c r="P967" s="21">
        <v>0</v>
      </c>
    </row>
    <row r="968" spans="1:16" hidden="1" x14ac:dyDescent="0.25">
      <c r="A968" s="19" t="s">
        <v>0</v>
      </c>
      <c r="B968" s="14"/>
      <c r="C968" s="14" t="s">
        <v>525</v>
      </c>
      <c r="D968" s="14"/>
      <c r="E968" s="13" t="s">
        <v>0</v>
      </c>
      <c r="F968" s="13" t="s">
        <v>0</v>
      </c>
      <c r="G968" s="13" t="s">
        <v>0</v>
      </c>
      <c r="H968" s="13">
        <f t="shared" ref="H968:H1031" si="19">P964</f>
        <v>0</v>
      </c>
      <c r="I968" s="13" t="s">
        <v>0</v>
      </c>
      <c r="J968" s="13" t="s">
        <v>0</v>
      </c>
      <c r="K968" s="13"/>
      <c r="L968" s="13">
        <v>62</v>
      </c>
      <c r="M968" s="13"/>
      <c r="N968" s="13"/>
      <c r="O968" s="13"/>
      <c r="P968" s="21">
        <v>0</v>
      </c>
    </row>
    <row r="969" spans="1:16" hidden="1" x14ac:dyDescent="0.25">
      <c r="A969" s="19" t="s">
        <v>0</v>
      </c>
      <c r="B969" s="14"/>
      <c r="C969" s="14" t="s">
        <v>487</v>
      </c>
      <c r="D969" s="14"/>
      <c r="E969" s="13" t="s">
        <v>0</v>
      </c>
      <c r="F969" s="13" t="s">
        <v>0</v>
      </c>
      <c r="G969" s="13" t="s">
        <v>0</v>
      </c>
      <c r="H969" s="13">
        <f t="shared" si="19"/>
        <v>0</v>
      </c>
      <c r="I969" s="13" t="s">
        <v>0</v>
      </c>
      <c r="J969" s="13" t="s">
        <v>0</v>
      </c>
      <c r="K969" s="13"/>
      <c r="L969" s="13">
        <v>0.12</v>
      </c>
      <c r="M969" s="13"/>
      <c r="N969" s="13"/>
      <c r="O969" s="13"/>
      <c r="P969" s="21">
        <v>0</v>
      </c>
    </row>
    <row r="970" spans="1:16" x14ac:dyDescent="0.25">
      <c r="A970" s="19"/>
      <c r="B970" s="14"/>
      <c r="C970" s="14" t="s">
        <v>488</v>
      </c>
      <c r="D970" s="38">
        <v>256779419098</v>
      </c>
      <c r="E970" s="13" t="s">
        <v>0</v>
      </c>
      <c r="F970" s="13">
        <v>3018</v>
      </c>
      <c r="G970" s="13" t="s">
        <v>489</v>
      </c>
      <c r="H970" s="13">
        <f t="shared" si="19"/>
        <v>62</v>
      </c>
      <c r="I970" s="13"/>
      <c r="J970" s="13"/>
      <c r="K970" s="13"/>
      <c r="L970" s="13"/>
      <c r="M970" s="13"/>
      <c r="N970" s="13"/>
      <c r="O970" s="13"/>
      <c r="P970" s="21">
        <v>0</v>
      </c>
    </row>
    <row r="971" spans="1:16" s="27" customFormat="1" hidden="1" x14ac:dyDescent="0.25">
      <c r="A971" s="23">
        <v>45966</v>
      </c>
      <c r="B971" s="24" t="s">
        <v>480</v>
      </c>
      <c r="C971" s="24" t="s">
        <v>481</v>
      </c>
      <c r="D971" s="24"/>
      <c r="E971" s="25" t="s">
        <v>0</v>
      </c>
      <c r="F971" s="25" t="s">
        <v>0</v>
      </c>
      <c r="G971" s="25" t="s">
        <v>0</v>
      </c>
      <c r="H971" s="13">
        <f t="shared" si="19"/>
        <v>0</v>
      </c>
      <c r="I971" s="25" t="s">
        <v>664</v>
      </c>
      <c r="J971" s="25"/>
      <c r="K971" s="25">
        <v>316.18</v>
      </c>
      <c r="L971" s="25" t="s">
        <v>483</v>
      </c>
      <c r="M971" s="25" t="s">
        <v>675</v>
      </c>
      <c r="N971" s="25"/>
      <c r="O971" s="25">
        <v>27825</v>
      </c>
      <c r="P971" s="26">
        <v>568</v>
      </c>
    </row>
    <row r="972" spans="1:16" hidden="1" x14ac:dyDescent="0.25">
      <c r="A972" s="19" t="s">
        <v>0</v>
      </c>
      <c r="B972" s="14"/>
      <c r="C972" s="14" t="s">
        <v>544</v>
      </c>
      <c r="D972" s="14"/>
      <c r="E972" s="13" t="s">
        <v>0</v>
      </c>
      <c r="F972" s="13" t="s">
        <v>0</v>
      </c>
      <c r="G972" s="13" t="s">
        <v>0</v>
      </c>
      <c r="H972" s="13">
        <f t="shared" si="19"/>
        <v>0</v>
      </c>
      <c r="I972" s="13" t="s">
        <v>0</v>
      </c>
      <c r="J972" s="13" t="s">
        <v>0</v>
      </c>
      <c r="K972" s="13">
        <v>16072.94</v>
      </c>
      <c r="L972" s="13"/>
      <c r="M972" s="13"/>
      <c r="N972" s="13"/>
      <c r="O972" s="13"/>
      <c r="P972" s="21">
        <v>0</v>
      </c>
    </row>
    <row r="973" spans="1:16" hidden="1" x14ac:dyDescent="0.25">
      <c r="A973" s="19" t="s">
        <v>0</v>
      </c>
      <c r="B973" s="14"/>
      <c r="C973" s="14" t="s">
        <v>599</v>
      </c>
      <c r="D973" s="14"/>
      <c r="E973" s="13" t="s">
        <v>0</v>
      </c>
      <c r="F973" s="13" t="s">
        <v>0</v>
      </c>
      <c r="G973" s="13" t="s">
        <v>0</v>
      </c>
      <c r="H973" s="13">
        <f t="shared" si="19"/>
        <v>0</v>
      </c>
      <c r="I973" s="13" t="s">
        <v>0</v>
      </c>
      <c r="J973" s="13" t="s">
        <v>0</v>
      </c>
      <c r="K973" s="13">
        <v>12320.47</v>
      </c>
      <c r="L973" s="13"/>
      <c r="M973" s="13"/>
      <c r="N973" s="13"/>
      <c r="O973" s="13"/>
      <c r="P973" s="21">
        <v>0</v>
      </c>
    </row>
    <row r="974" spans="1:16" hidden="1" x14ac:dyDescent="0.25">
      <c r="A974" s="19" t="s">
        <v>0</v>
      </c>
      <c r="B974" s="14"/>
      <c r="C974" s="14" t="s">
        <v>600</v>
      </c>
      <c r="D974" s="14"/>
      <c r="E974" s="13" t="s">
        <v>0</v>
      </c>
      <c r="F974" s="13" t="s">
        <v>0</v>
      </c>
      <c r="G974" s="13" t="s">
        <v>0</v>
      </c>
      <c r="H974" s="13">
        <f t="shared" si="19"/>
        <v>0</v>
      </c>
      <c r="I974" s="13" t="s">
        <v>0</v>
      </c>
      <c r="J974" s="13" t="s">
        <v>0</v>
      </c>
      <c r="K974" s="13">
        <v>616.02</v>
      </c>
      <c r="L974" s="13"/>
      <c r="M974" s="13"/>
      <c r="N974" s="13"/>
      <c r="O974" s="13"/>
      <c r="P974" s="21">
        <v>0</v>
      </c>
    </row>
    <row r="975" spans="1:16" hidden="1" x14ac:dyDescent="0.25">
      <c r="A975" s="19" t="s">
        <v>0</v>
      </c>
      <c r="B975" s="14"/>
      <c r="C975" s="14" t="s">
        <v>601</v>
      </c>
      <c r="D975" s="14"/>
      <c r="E975" s="13" t="s">
        <v>0</v>
      </c>
      <c r="F975" s="13" t="s">
        <v>0</v>
      </c>
      <c r="G975" s="13" t="s">
        <v>0</v>
      </c>
      <c r="H975" s="13"/>
      <c r="I975" s="13" t="s">
        <v>0</v>
      </c>
      <c r="J975" s="13" t="s">
        <v>0</v>
      </c>
      <c r="K975" s="13"/>
      <c r="L975" s="13">
        <v>616.02</v>
      </c>
      <c r="M975" s="13"/>
      <c r="N975" s="13"/>
      <c r="O975" s="13"/>
      <c r="P975" s="21">
        <v>0</v>
      </c>
    </row>
    <row r="976" spans="1:16" hidden="1" x14ac:dyDescent="0.25">
      <c r="A976" s="19" t="s">
        <v>0</v>
      </c>
      <c r="B976" s="14"/>
      <c r="C976" s="14" t="s">
        <v>525</v>
      </c>
      <c r="D976" s="14"/>
      <c r="E976" s="13" t="s">
        <v>0</v>
      </c>
      <c r="F976" s="13" t="s">
        <v>0</v>
      </c>
      <c r="G976" s="13" t="s">
        <v>0</v>
      </c>
      <c r="H976" s="13">
        <f t="shared" si="19"/>
        <v>0</v>
      </c>
      <c r="I976" s="13" t="s">
        <v>0</v>
      </c>
      <c r="J976" s="13" t="s">
        <v>0</v>
      </c>
      <c r="K976" s="13"/>
      <c r="L976" s="13">
        <v>568</v>
      </c>
      <c r="M976" s="13"/>
      <c r="N976" s="13"/>
      <c r="O976" s="13"/>
      <c r="P976" s="21">
        <v>0</v>
      </c>
    </row>
    <row r="977" spans="1:16" hidden="1" x14ac:dyDescent="0.25">
      <c r="A977" s="19" t="s">
        <v>0</v>
      </c>
      <c r="B977" s="14"/>
      <c r="C977" s="14" t="s">
        <v>487</v>
      </c>
      <c r="D977" s="14"/>
      <c r="E977" s="13" t="s">
        <v>0</v>
      </c>
      <c r="F977" s="13" t="s">
        <v>0</v>
      </c>
      <c r="G977" s="13" t="s">
        <v>0</v>
      </c>
      <c r="H977" s="13">
        <f t="shared" si="19"/>
        <v>0</v>
      </c>
      <c r="I977" s="13" t="s">
        <v>0</v>
      </c>
      <c r="J977" s="13" t="s">
        <v>0</v>
      </c>
      <c r="K977" s="13"/>
      <c r="L977" s="13">
        <v>0.41</v>
      </c>
      <c r="M977" s="13"/>
      <c r="N977" s="13"/>
      <c r="O977" s="13"/>
      <c r="P977" s="21">
        <v>0</v>
      </c>
    </row>
    <row r="978" spans="1:16" s="27" customFormat="1" x14ac:dyDescent="0.25">
      <c r="A978" s="23"/>
      <c r="B978" s="24"/>
      <c r="C978" s="24" t="s">
        <v>488</v>
      </c>
      <c r="D978" s="39">
        <v>256779419179</v>
      </c>
      <c r="E978" s="25" t="s">
        <v>0</v>
      </c>
      <c r="F978" s="25">
        <v>27825</v>
      </c>
      <c r="G978" s="25" t="s">
        <v>489</v>
      </c>
      <c r="H978" s="25">
        <v>568</v>
      </c>
      <c r="I978" s="25"/>
      <c r="J978" s="25"/>
      <c r="K978" s="25"/>
      <c r="L978" s="25"/>
      <c r="M978" s="25"/>
      <c r="N978" s="25"/>
      <c r="O978" s="25"/>
      <c r="P978" s="26">
        <v>0</v>
      </c>
    </row>
    <row r="979" spans="1:16" hidden="1" x14ac:dyDescent="0.25">
      <c r="A979" s="19">
        <v>45966</v>
      </c>
      <c r="B979" s="14" t="s">
        <v>480</v>
      </c>
      <c r="C979" s="14" t="s">
        <v>481</v>
      </c>
      <c r="D979" s="14"/>
      <c r="E979" s="13" t="s">
        <v>0</v>
      </c>
      <c r="F979" s="13" t="s">
        <v>0</v>
      </c>
      <c r="G979" s="13" t="s">
        <v>0</v>
      </c>
      <c r="H979" s="13">
        <f t="shared" si="19"/>
        <v>0</v>
      </c>
      <c r="I979" s="13" t="s">
        <v>664</v>
      </c>
      <c r="J979" s="13"/>
      <c r="K979" s="13">
        <v>13.03</v>
      </c>
      <c r="L979" s="13" t="s">
        <v>483</v>
      </c>
      <c r="M979" s="13" t="s">
        <v>676</v>
      </c>
      <c r="N979" s="13"/>
      <c r="O979" s="13">
        <v>1147</v>
      </c>
      <c r="P979" s="21">
        <v>23</v>
      </c>
    </row>
    <row r="980" spans="1:16" hidden="1" x14ac:dyDescent="0.25">
      <c r="A980" s="19" t="s">
        <v>0</v>
      </c>
      <c r="B980" s="14"/>
      <c r="C980" s="14" t="s">
        <v>533</v>
      </c>
      <c r="D980" s="14"/>
      <c r="E980" s="13" t="s">
        <v>0</v>
      </c>
      <c r="F980" s="13" t="s">
        <v>0</v>
      </c>
      <c r="G980" s="13" t="s">
        <v>0</v>
      </c>
      <c r="H980" s="13">
        <f t="shared" si="19"/>
        <v>0</v>
      </c>
      <c r="I980" s="13" t="s">
        <v>0</v>
      </c>
      <c r="J980" s="13" t="s">
        <v>0</v>
      </c>
      <c r="K980" s="13">
        <v>1170.45</v>
      </c>
      <c r="L980" s="13"/>
      <c r="M980" s="13"/>
      <c r="N980" s="13"/>
      <c r="O980" s="13"/>
      <c r="P980" s="21">
        <v>0</v>
      </c>
    </row>
    <row r="981" spans="1:16" hidden="1" x14ac:dyDescent="0.25">
      <c r="A981" s="19" t="s">
        <v>0</v>
      </c>
      <c r="B981" s="14"/>
      <c r="C981" s="14" t="s">
        <v>525</v>
      </c>
      <c r="D981" s="14"/>
      <c r="E981" s="13" t="s">
        <v>0</v>
      </c>
      <c r="F981" s="13" t="s">
        <v>0</v>
      </c>
      <c r="G981" s="13" t="s">
        <v>0</v>
      </c>
      <c r="H981" s="13">
        <f t="shared" si="19"/>
        <v>0</v>
      </c>
      <c r="I981" s="13" t="s">
        <v>0</v>
      </c>
      <c r="J981" s="13" t="s">
        <v>0</v>
      </c>
      <c r="K981" s="13"/>
      <c r="L981" s="13">
        <v>23</v>
      </c>
      <c r="M981" s="13"/>
      <c r="N981" s="13"/>
      <c r="O981" s="13"/>
      <c r="P981" s="21">
        <v>0</v>
      </c>
    </row>
    <row r="982" spans="1:16" hidden="1" x14ac:dyDescent="0.25">
      <c r="A982" s="19" t="s">
        <v>0</v>
      </c>
      <c r="B982" s="14"/>
      <c r="C982" s="14" t="s">
        <v>487</v>
      </c>
      <c r="D982" s="14"/>
      <c r="E982" s="13" t="s">
        <v>0</v>
      </c>
      <c r="F982" s="13" t="s">
        <v>0</v>
      </c>
      <c r="G982" s="13" t="s">
        <v>0</v>
      </c>
      <c r="H982" s="13">
        <f t="shared" si="19"/>
        <v>0</v>
      </c>
      <c r="I982" s="13" t="s">
        <v>0</v>
      </c>
      <c r="J982" s="13" t="s">
        <v>0</v>
      </c>
      <c r="K982" s="13"/>
      <c r="L982" s="13">
        <v>0.45</v>
      </c>
      <c r="M982" s="13"/>
      <c r="N982" s="13"/>
      <c r="O982" s="13"/>
      <c r="P982" s="21">
        <v>0</v>
      </c>
    </row>
    <row r="983" spans="1:16" x14ac:dyDescent="0.25">
      <c r="A983" s="19"/>
      <c r="B983" s="14"/>
      <c r="C983" s="14" t="s">
        <v>488</v>
      </c>
      <c r="D983" s="38">
        <v>256779419204</v>
      </c>
      <c r="E983" s="13" t="s">
        <v>0</v>
      </c>
      <c r="F983" s="13">
        <v>1147</v>
      </c>
      <c r="G983" s="13" t="s">
        <v>489</v>
      </c>
      <c r="H983" s="13">
        <f t="shared" si="19"/>
        <v>23</v>
      </c>
      <c r="I983" s="13"/>
      <c r="J983" s="13"/>
      <c r="K983" s="13"/>
      <c r="L983" s="13"/>
      <c r="M983" s="13"/>
      <c r="N983" s="13"/>
      <c r="O983" s="13"/>
      <c r="P983" s="21">
        <v>0</v>
      </c>
    </row>
    <row r="984" spans="1:16" hidden="1" x14ac:dyDescent="0.25">
      <c r="A984" s="19">
        <v>45966</v>
      </c>
      <c r="B984" s="14" t="s">
        <v>480</v>
      </c>
      <c r="C984" s="14" t="s">
        <v>481</v>
      </c>
      <c r="D984" s="14"/>
      <c r="E984" s="13" t="s">
        <v>0</v>
      </c>
      <c r="F984" s="13" t="s">
        <v>0</v>
      </c>
      <c r="G984" s="13" t="s">
        <v>0</v>
      </c>
      <c r="H984" s="13">
        <f t="shared" si="19"/>
        <v>0</v>
      </c>
      <c r="I984" s="13" t="s">
        <v>664</v>
      </c>
      <c r="J984" s="13"/>
      <c r="K984" s="13">
        <v>193.29</v>
      </c>
      <c r="L984" s="13" t="s">
        <v>483</v>
      </c>
      <c r="M984" s="13" t="s">
        <v>677</v>
      </c>
      <c r="N984" s="13"/>
      <c r="O984" s="13">
        <v>17010</v>
      </c>
      <c r="P984" s="21">
        <v>347</v>
      </c>
    </row>
    <row r="985" spans="1:16" hidden="1" x14ac:dyDescent="0.25">
      <c r="A985" s="19" t="s">
        <v>0</v>
      </c>
      <c r="B985" s="14"/>
      <c r="C985" s="14" t="s">
        <v>678</v>
      </c>
      <c r="D985" s="14"/>
      <c r="E985" s="13" t="s">
        <v>0</v>
      </c>
      <c r="F985" s="13" t="s">
        <v>0</v>
      </c>
      <c r="G985" s="13" t="s">
        <v>0</v>
      </c>
      <c r="H985" s="13">
        <f t="shared" si="19"/>
        <v>0</v>
      </c>
      <c r="I985" s="13" t="s">
        <v>0</v>
      </c>
      <c r="J985" s="13" t="s">
        <v>0</v>
      </c>
      <c r="K985" s="13">
        <v>17356.91</v>
      </c>
      <c r="L985" s="13"/>
      <c r="M985" s="13"/>
      <c r="N985" s="13"/>
      <c r="O985" s="13"/>
      <c r="P985" s="21">
        <v>0</v>
      </c>
    </row>
    <row r="986" spans="1:16" hidden="1" x14ac:dyDescent="0.25">
      <c r="A986" s="19" t="s">
        <v>0</v>
      </c>
      <c r="B986" s="14"/>
      <c r="C986" s="14" t="s">
        <v>525</v>
      </c>
      <c r="D986" s="14"/>
      <c r="E986" s="13" t="s">
        <v>0</v>
      </c>
      <c r="F986" s="13" t="s">
        <v>0</v>
      </c>
      <c r="G986" s="13" t="s">
        <v>0</v>
      </c>
      <c r="H986" s="13">
        <f t="shared" si="19"/>
        <v>0</v>
      </c>
      <c r="I986" s="13" t="s">
        <v>0</v>
      </c>
      <c r="J986" s="13" t="s">
        <v>0</v>
      </c>
      <c r="K986" s="13"/>
      <c r="L986" s="13">
        <v>347</v>
      </c>
      <c r="M986" s="13"/>
      <c r="N986" s="13"/>
      <c r="O986" s="13"/>
      <c r="P986" s="21">
        <v>0</v>
      </c>
    </row>
    <row r="987" spans="1:16" hidden="1" x14ac:dyDescent="0.25">
      <c r="A987" s="19" t="s">
        <v>0</v>
      </c>
      <c r="B987" s="14"/>
      <c r="C987" s="14" t="s">
        <v>487</v>
      </c>
      <c r="D987" s="14"/>
      <c r="E987" s="13" t="s">
        <v>0</v>
      </c>
      <c r="F987" s="13" t="s">
        <v>0</v>
      </c>
      <c r="G987" s="13" t="s">
        <v>0</v>
      </c>
      <c r="H987" s="13">
        <f t="shared" si="19"/>
        <v>0</v>
      </c>
      <c r="I987" s="13" t="s">
        <v>0</v>
      </c>
      <c r="J987" s="13" t="s">
        <v>0</v>
      </c>
      <c r="K987" s="13">
        <v>0.09</v>
      </c>
      <c r="L987" s="13"/>
      <c r="M987" s="13"/>
      <c r="N987" s="13"/>
      <c r="O987" s="13"/>
      <c r="P987" s="21">
        <v>0</v>
      </c>
    </row>
    <row r="988" spans="1:16" x14ac:dyDescent="0.25">
      <c r="A988" s="19"/>
      <c r="B988" s="14"/>
      <c r="C988" s="14" t="s">
        <v>488</v>
      </c>
      <c r="D988" s="38">
        <v>256779419267</v>
      </c>
      <c r="E988" s="13" t="s">
        <v>0</v>
      </c>
      <c r="F988" s="13">
        <v>17010</v>
      </c>
      <c r="G988" s="13" t="s">
        <v>489</v>
      </c>
      <c r="H988" s="13">
        <f t="shared" si="19"/>
        <v>347</v>
      </c>
      <c r="I988" s="13"/>
      <c r="J988" s="13"/>
      <c r="K988" s="13"/>
      <c r="L988" s="13"/>
      <c r="M988" s="13"/>
      <c r="N988" s="13"/>
      <c r="O988" s="13"/>
      <c r="P988" s="21">
        <v>0</v>
      </c>
    </row>
    <row r="989" spans="1:16" hidden="1" x14ac:dyDescent="0.25">
      <c r="A989" s="19">
        <v>45966</v>
      </c>
      <c r="B989" s="14" t="s">
        <v>480</v>
      </c>
      <c r="C989" s="14" t="s">
        <v>481</v>
      </c>
      <c r="D989" s="14"/>
      <c r="E989" s="13" t="s">
        <v>0</v>
      </c>
      <c r="F989" s="13" t="s">
        <v>0</v>
      </c>
      <c r="G989" s="13" t="s">
        <v>0</v>
      </c>
      <c r="H989" s="13">
        <f t="shared" si="19"/>
        <v>0</v>
      </c>
      <c r="I989" s="13" t="s">
        <v>664</v>
      </c>
      <c r="J989" s="13"/>
      <c r="K989" s="13">
        <v>143.27000000000001</v>
      </c>
      <c r="L989" s="13" t="s">
        <v>483</v>
      </c>
      <c r="M989" s="13" t="s">
        <v>679</v>
      </c>
      <c r="N989" s="13"/>
      <c r="O989" s="13">
        <v>12608</v>
      </c>
      <c r="P989" s="21">
        <v>257</v>
      </c>
    </row>
    <row r="990" spans="1:16" hidden="1" x14ac:dyDescent="0.25">
      <c r="A990" s="19" t="s">
        <v>0</v>
      </c>
      <c r="B990" s="14"/>
      <c r="C990" s="14" t="s">
        <v>533</v>
      </c>
      <c r="D990" s="14"/>
      <c r="E990" s="13" t="s">
        <v>0</v>
      </c>
      <c r="F990" s="13" t="s">
        <v>0</v>
      </c>
      <c r="G990" s="13" t="s">
        <v>0</v>
      </c>
      <c r="H990" s="13">
        <f t="shared" si="19"/>
        <v>0</v>
      </c>
      <c r="I990" s="13" t="s">
        <v>0</v>
      </c>
      <c r="J990" s="13" t="s">
        <v>0</v>
      </c>
      <c r="K990" s="13">
        <v>12865.22</v>
      </c>
      <c r="L990" s="13"/>
      <c r="M990" s="13"/>
      <c r="N990" s="13"/>
      <c r="O990" s="13"/>
      <c r="P990" s="21">
        <v>0</v>
      </c>
    </row>
    <row r="991" spans="1:16" hidden="1" x14ac:dyDescent="0.25">
      <c r="A991" s="19" t="s">
        <v>0</v>
      </c>
      <c r="B991" s="14"/>
      <c r="C991" s="14" t="s">
        <v>525</v>
      </c>
      <c r="D991" s="14"/>
      <c r="E991" s="13" t="s">
        <v>0</v>
      </c>
      <c r="F991" s="13" t="s">
        <v>0</v>
      </c>
      <c r="G991" s="13" t="s">
        <v>0</v>
      </c>
      <c r="H991" s="13">
        <f t="shared" si="19"/>
        <v>0</v>
      </c>
      <c r="I991" s="13" t="s">
        <v>0</v>
      </c>
      <c r="J991" s="13" t="s">
        <v>0</v>
      </c>
      <c r="K991" s="13"/>
      <c r="L991" s="13">
        <v>257</v>
      </c>
      <c r="M991" s="13"/>
      <c r="N991" s="13"/>
      <c r="O991" s="13"/>
      <c r="P991" s="21">
        <v>0</v>
      </c>
    </row>
    <row r="992" spans="1:16" hidden="1" x14ac:dyDescent="0.25">
      <c r="A992" s="19" t="s">
        <v>0</v>
      </c>
      <c r="B992" s="14"/>
      <c r="C992" s="14" t="s">
        <v>487</v>
      </c>
      <c r="D992" s="14"/>
      <c r="E992" s="13" t="s">
        <v>0</v>
      </c>
      <c r="F992" s="13" t="s">
        <v>0</v>
      </c>
      <c r="G992" s="13" t="s">
        <v>0</v>
      </c>
      <c r="H992" s="13">
        <f t="shared" si="19"/>
        <v>0</v>
      </c>
      <c r="I992" s="13" t="s">
        <v>0</v>
      </c>
      <c r="J992" s="13" t="s">
        <v>0</v>
      </c>
      <c r="K992" s="13"/>
      <c r="L992" s="13">
        <v>0.22</v>
      </c>
      <c r="M992" s="13"/>
      <c r="N992" s="13"/>
      <c r="O992" s="13"/>
      <c r="P992" s="21">
        <v>0</v>
      </c>
    </row>
    <row r="993" spans="1:16" x14ac:dyDescent="0.25">
      <c r="A993" s="19"/>
      <c r="B993" s="14"/>
      <c r="C993" s="14" t="s">
        <v>488</v>
      </c>
      <c r="D993" s="38">
        <v>256779419235</v>
      </c>
      <c r="E993" s="13" t="s">
        <v>0</v>
      </c>
      <c r="F993" s="13">
        <v>12608</v>
      </c>
      <c r="G993" s="13" t="s">
        <v>489</v>
      </c>
      <c r="H993" s="13">
        <f t="shared" si="19"/>
        <v>257</v>
      </c>
      <c r="I993" s="13"/>
      <c r="J993" s="13"/>
      <c r="K993" s="13"/>
      <c r="L993" s="13"/>
      <c r="M993" s="13"/>
      <c r="N993" s="13"/>
      <c r="O993" s="13"/>
      <c r="P993" s="21">
        <v>0</v>
      </c>
    </row>
    <row r="994" spans="1:16" hidden="1" x14ac:dyDescent="0.25">
      <c r="A994" s="19">
        <v>45967</v>
      </c>
      <c r="B994" s="14" t="s">
        <v>489</v>
      </c>
      <c r="C994" s="14" t="s">
        <v>517</v>
      </c>
      <c r="D994" s="14"/>
      <c r="E994" s="13" t="s">
        <v>0</v>
      </c>
      <c r="F994" s="13" t="s">
        <v>0</v>
      </c>
      <c r="G994" s="13" t="s">
        <v>0</v>
      </c>
      <c r="H994" s="13">
        <f t="shared" si="19"/>
        <v>0</v>
      </c>
      <c r="I994" s="13" t="s">
        <v>518</v>
      </c>
      <c r="J994" s="13"/>
      <c r="K994" s="13"/>
      <c r="L994" s="13" t="s">
        <v>519</v>
      </c>
      <c r="M994" s="13" t="s">
        <v>680</v>
      </c>
      <c r="N994" s="13">
        <v>100000</v>
      </c>
      <c r="O994" s="13"/>
      <c r="P994" s="21">
        <v>0</v>
      </c>
    </row>
    <row r="995" spans="1:16" hidden="1" x14ac:dyDescent="0.25">
      <c r="A995" s="19"/>
      <c r="B995" s="14"/>
      <c r="C995" s="14" t="s">
        <v>521</v>
      </c>
      <c r="D995" s="38">
        <v>256779414232</v>
      </c>
      <c r="E995" s="13" t="s">
        <v>0</v>
      </c>
      <c r="F995" s="13">
        <v>9623</v>
      </c>
      <c r="G995" s="13" t="s">
        <v>480</v>
      </c>
      <c r="H995" s="13">
        <f t="shared" si="19"/>
        <v>0</v>
      </c>
      <c r="I995" s="13"/>
      <c r="J995" s="13"/>
      <c r="K995" s="13"/>
      <c r="L995" s="13"/>
      <c r="M995" s="13"/>
      <c r="N995" s="13"/>
      <c r="O995" s="13"/>
      <c r="P995" s="21">
        <v>0</v>
      </c>
    </row>
    <row r="996" spans="1:16" hidden="1" x14ac:dyDescent="0.25">
      <c r="A996" s="19"/>
      <c r="B996" s="14"/>
      <c r="C996" s="14" t="s">
        <v>521</v>
      </c>
      <c r="D996" s="38">
        <v>256779414264</v>
      </c>
      <c r="E996" s="13" t="s">
        <v>0</v>
      </c>
      <c r="F996" s="13">
        <v>588</v>
      </c>
      <c r="G996" s="13" t="s">
        <v>480</v>
      </c>
      <c r="H996" s="13">
        <f t="shared" si="19"/>
        <v>0</v>
      </c>
      <c r="I996" s="13"/>
      <c r="J996" s="13"/>
      <c r="K996" s="13"/>
      <c r="L996" s="13"/>
      <c r="M996" s="13"/>
      <c r="N996" s="13"/>
      <c r="O996" s="13"/>
      <c r="P996" s="21">
        <v>0</v>
      </c>
    </row>
    <row r="997" spans="1:16" hidden="1" x14ac:dyDescent="0.25">
      <c r="A997" s="19"/>
      <c r="B997" s="14"/>
      <c r="C997" s="14" t="s">
        <v>521</v>
      </c>
      <c r="D997" s="38">
        <v>256779414320</v>
      </c>
      <c r="E997" s="13" t="s">
        <v>0</v>
      </c>
      <c r="F997" s="13">
        <v>51221</v>
      </c>
      <c r="G997" s="13" t="s">
        <v>480</v>
      </c>
      <c r="H997" s="13">
        <f t="shared" si="19"/>
        <v>0</v>
      </c>
      <c r="I997" s="13"/>
      <c r="J997" s="13"/>
      <c r="K997" s="13"/>
      <c r="L997" s="13"/>
      <c r="M997" s="13"/>
      <c r="N997" s="13"/>
      <c r="O997" s="13"/>
      <c r="P997" s="21">
        <v>0</v>
      </c>
    </row>
    <row r="998" spans="1:16" hidden="1" x14ac:dyDescent="0.25">
      <c r="A998" s="19"/>
      <c r="B998" s="14"/>
      <c r="C998" s="14" t="s">
        <v>521</v>
      </c>
      <c r="D998" s="38">
        <v>256779414342</v>
      </c>
      <c r="E998" s="13" t="s">
        <v>0</v>
      </c>
      <c r="F998" s="13">
        <v>35715</v>
      </c>
      <c r="G998" s="13" t="s">
        <v>480</v>
      </c>
      <c r="H998" s="13">
        <f t="shared" si="19"/>
        <v>0</v>
      </c>
      <c r="I998" s="13"/>
      <c r="J998" s="13"/>
      <c r="K998" s="13"/>
      <c r="L998" s="13"/>
      <c r="M998" s="13"/>
      <c r="N998" s="13"/>
      <c r="O998" s="13"/>
      <c r="P998" s="21">
        <v>0</v>
      </c>
    </row>
    <row r="999" spans="1:16" hidden="1" x14ac:dyDescent="0.25">
      <c r="A999" s="19"/>
      <c r="B999" s="14"/>
      <c r="C999" s="14" t="s">
        <v>521</v>
      </c>
      <c r="D999" s="38">
        <v>256779414374</v>
      </c>
      <c r="E999" s="13" t="s">
        <v>0</v>
      </c>
      <c r="F999" s="13">
        <v>2853</v>
      </c>
      <c r="G999" s="13" t="s">
        <v>480</v>
      </c>
      <c r="H999" s="13">
        <f t="shared" si="19"/>
        <v>0</v>
      </c>
      <c r="I999" s="13"/>
      <c r="J999" s="13"/>
      <c r="K999" s="13"/>
      <c r="L999" s="13"/>
      <c r="M999" s="13"/>
      <c r="N999" s="13"/>
      <c r="O999" s="13"/>
      <c r="P999" s="21">
        <v>0</v>
      </c>
    </row>
    <row r="1000" spans="1:16" hidden="1" x14ac:dyDescent="0.25">
      <c r="A1000" s="19">
        <v>45967</v>
      </c>
      <c r="B1000" s="14" t="s">
        <v>480</v>
      </c>
      <c r="C1000" s="14" t="s">
        <v>481</v>
      </c>
      <c r="D1000" s="14"/>
      <c r="E1000" s="13" t="s">
        <v>0</v>
      </c>
      <c r="F1000" s="13" t="s">
        <v>0</v>
      </c>
      <c r="G1000" s="13" t="s">
        <v>0</v>
      </c>
      <c r="H1000" s="13">
        <f t="shared" si="19"/>
        <v>0</v>
      </c>
      <c r="I1000" s="13" t="s">
        <v>656</v>
      </c>
      <c r="J1000" s="13"/>
      <c r="K1000" s="13">
        <v>1620</v>
      </c>
      <c r="L1000" s="13" t="s">
        <v>483</v>
      </c>
      <c r="M1000" s="13" t="s">
        <v>681</v>
      </c>
      <c r="N1000" s="13"/>
      <c r="O1000" s="13">
        <v>141773</v>
      </c>
      <c r="P1000" s="21">
        <v>15753</v>
      </c>
    </row>
    <row r="1001" spans="1:16" hidden="1" x14ac:dyDescent="0.25">
      <c r="A1001" s="19" t="s">
        <v>0</v>
      </c>
      <c r="B1001" s="14"/>
      <c r="C1001" s="14" t="s">
        <v>485</v>
      </c>
      <c r="D1001" s="14"/>
      <c r="E1001" s="13" t="s">
        <v>0</v>
      </c>
      <c r="F1001" s="13" t="s">
        <v>0</v>
      </c>
      <c r="G1001" s="13" t="s">
        <v>0</v>
      </c>
      <c r="H1001" s="13">
        <f t="shared" si="19"/>
        <v>0</v>
      </c>
      <c r="I1001" s="13" t="s">
        <v>0</v>
      </c>
      <c r="J1001" s="13" t="s">
        <v>0</v>
      </c>
      <c r="K1001" s="13">
        <v>157525.79</v>
      </c>
      <c r="L1001" s="13"/>
      <c r="M1001" s="13"/>
      <c r="N1001" s="13"/>
      <c r="O1001" s="13"/>
      <c r="P1001" s="21">
        <v>0</v>
      </c>
    </row>
    <row r="1002" spans="1:16" hidden="1" x14ac:dyDescent="0.25">
      <c r="A1002" s="19" t="s">
        <v>0</v>
      </c>
      <c r="B1002" s="14"/>
      <c r="C1002" s="14" t="s">
        <v>486</v>
      </c>
      <c r="D1002" s="14"/>
      <c r="E1002" s="13" t="s">
        <v>0</v>
      </c>
      <c r="F1002" s="13" t="s">
        <v>0</v>
      </c>
      <c r="G1002" s="13" t="s">
        <v>0</v>
      </c>
      <c r="H1002" s="13">
        <f t="shared" si="19"/>
        <v>0</v>
      </c>
      <c r="I1002" s="13" t="s">
        <v>0</v>
      </c>
      <c r="J1002" s="13" t="s">
        <v>0</v>
      </c>
      <c r="K1002" s="13"/>
      <c r="L1002" s="13">
        <v>15753</v>
      </c>
      <c r="M1002" s="13"/>
      <c r="N1002" s="13"/>
      <c r="O1002" s="13"/>
      <c r="P1002" s="21">
        <v>0</v>
      </c>
    </row>
    <row r="1003" spans="1:16" hidden="1" x14ac:dyDescent="0.25">
      <c r="A1003" s="19" t="s">
        <v>0</v>
      </c>
      <c r="B1003" s="14"/>
      <c r="C1003" s="14" t="s">
        <v>487</v>
      </c>
      <c r="D1003" s="14"/>
      <c r="E1003" s="13" t="s">
        <v>0</v>
      </c>
      <c r="F1003" s="13" t="s">
        <v>0</v>
      </c>
      <c r="G1003" s="13" t="s">
        <v>0</v>
      </c>
      <c r="H1003" s="13">
        <f t="shared" si="19"/>
        <v>0</v>
      </c>
      <c r="I1003" s="13" t="s">
        <v>0</v>
      </c>
      <c r="J1003" s="13" t="s">
        <v>0</v>
      </c>
      <c r="K1003" s="13">
        <v>0.21</v>
      </c>
      <c r="L1003" s="13"/>
      <c r="M1003" s="13"/>
      <c r="N1003" s="13"/>
      <c r="O1003" s="13"/>
      <c r="P1003" s="21">
        <v>0</v>
      </c>
    </row>
    <row r="1004" spans="1:16" x14ac:dyDescent="0.25">
      <c r="A1004" s="19"/>
      <c r="B1004" s="14"/>
      <c r="C1004" s="14" t="s">
        <v>488</v>
      </c>
      <c r="D1004" s="38">
        <v>256779417362</v>
      </c>
      <c r="E1004" s="13" t="s">
        <v>0</v>
      </c>
      <c r="F1004" s="13">
        <v>141773</v>
      </c>
      <c r="G1004" s="13" t="s">
        <v>489</v>
      </c>
      <c r="H1004" s="13">
        <f t="shared" si="19"/>
        <v>15753</v>
      </c>
      <c r="I1004" s="13"/>
      <c r="J1004" s="13"/>
      <c r="K1004" s="13"/>
      <c r="L1004" s="13"/>
      <c r="M1004" s="13"/>
      <c r="N1004" s="13"/>
      <c r="O1004" s="13"/>
      <c r="P1004" s="21">
        <v>0</v>
      </c>
    </row>
    <row r="1005" spans="1:16" hidden="1" x14ac:dyDescent="0.25">
      <c r="A1005" s="19">
        <v>45967</v>
      </c>
      <c r="B1005" s="14" t="s">
        <v>480</v>
      </c>
      <c r="C1005" s="14" t="s">
        <v>481</v>
      </c>
      <c r="D1005" s="14"/>
      <c r="E1005" s="13" t="s">
        <v>0</v>
      </c>
      <c r="F1005" s="13" t="s">
        <v>0</v>
      </c>
      <c r="G1005" s="13" t="s">
        <v>0</v>
      </c>
      <c r="H1005" s="13">
        <f t="shared" si="19"/>
        <v>0</v>
      </c>
      <c r="I1005" s="13" t="s">
        <v>627</v>
      </c>
      <c r="J1005" s="13"/>
      <c r="K1005" s="13">
        <v>989.12</v>
      </c>
      <c r="L1005" s="13" t="s">
        <v>483</v>
      </c>
      <c r="M1005" s="13" t="s">
        <v>682</v>
      </c>
      <c r="N1005" s="13"/>
      <c r="O1005" s="13">
        <v>86562</v>
      </c>
      <c r="P1005" s="21">
        <v>9618</v>
      </c>
    </row>
    <row r="1006" spans="1:16" hidden="1" x14ac:dyDescent="0.25">
      <c r="A1006" s="19" t="s">
        <v>0</v>
      </c>
      <c r="B1006" s="14"/>
      <c r="C1006" s="14" t="s">
        <v>485</v>
      </c>
      <c r="D1006" s="14"/>
      <c r="E1006" s="13" t="s">
        <v>0</v>
      </c>
      <c r="F1006" s="13" t="s">
        <v>0</v>
      </c>
      <c r="G1006" s="13" t="s">
        <v>0</v>
      </c>
      <c r="H1006" s="13">
        <f t="shared" si="19"/>
        <v>0</v>
      </c>
      <c r="I1006" s="13" t="s">
        <v>0</v>
      </c>
      <c r="J1006" s="13" t="s">
        <v>0</v>
      </c>
      <c r="K1006" s="13">
        <v>96180</v>
      </c>
      <c r="L1006" s="13"/>
      <c r="M1006" s="13"/>
      <c r="N1006" s="13"/>
      <c r="O1006" s="13"/>
      <c r="P1006" s="21">
        <v>0</v>
      </c>
    </row>
    <row r="1007" spans="1:16" hidden="1" x14ac:dyDescent="0.25">
      <c r="A1007" s="19" t="s">
        <v>0</v>
      </c>
      <c r="B1007" s="14"/>
      <c r="C1007" s="14" t="s">
        <v>486</v>
      </c>
      <c r="D1007" s="14"/>
      <c r="E1007" s="13" t="s">
        <v>0</v>
      </c>
      <c r="F1007" s="13" t="s">
        <v>0</v>
      </c>
      <c r="G1007" s="13" t="s">
        <v>0</v>
      </c>
      <c r="H1007" s="13">
        <f t="shared" si="19"/>
        <v>0</v>
      </c>
      <c r="I1007" s="13" t="s">
        <v>0</v>
      </c>
      <c r="J1007" s="13" t="s">
        <v>0</v>
      </c>
      <c r="K1007" s="13"/>
      <c r="L1007" s="13">
        <v>9618</v>
      </c>
      <c r="M1007" s="13"/>
      <c r="N1007" s="13"/>
      <c r="O1007" s="13"/>
      <c r="P1007" s="21">
        <v>0</v>
      </c>
    </row>
    <row r="1008" spans="1:16" s="27" customFormat="1" x14ac:dyDescent="0.25">
      <c r="A1008" s="23"/>
      <c r="B1008" s="24"/>
      <c r="C1008" s="24" t="s">
        <v>488</v>
      </c>
      <c r="D1008" s="39">
        <v>256779417075</v>
      </c>
      <c r="E1008" s="25" t="s">
        <v>0</v>
      </c>
      <c r="F1008" s="25">
        <v>86562</v>
      </c>
      <c r="G1008" s="25" t="s">
        <v>489</v>
      </c>
      <c r="H1008" s="25">
        <v>9618</v>
      </c>
      <c r="I1008" s="25"/>
      <c r="J1008" s="25"/>
      <c r="K1008" s="25"/>
      <c r="L1008" s="25"/>
      <c r="M1008" s="25"/>
      <c r="N1008" s="25"/>
      <c r="O1008" s="25"/>
      <c r="P1008" s="26">
        <v>0</v>
      </c>
    </row>
    <row r="1009" spans="1:16" hidden="1" x14ac:dyDescent="0.25">
      <c r="A1009" s="19">
        <v>45967</v>
      </c>
      <c r="B1009" s="14" t="s">
        <v>480</v>
      </c>
      <c r="C1009" s="14" t="s">
        <v>481</v>
      </c>
      <c r="D1009" s="14"/>
      <c r="E1009" s="13" t="s">
        <v>0</v>
      </c>
      <c r="F1009" s="13" t="s">
        <v>0</v>
      </c>
      <c r="G1009" s="13" t="s">
        <v>0</v>
      </c>
      <c r="H1009" s="13"/>
      <c r="I1009" s="13" t="s">
        <v>656</v>
      </c>
      <c r="J1009" s="13"/>
      <c r="K1009" s="13">
        <v>1196.96</v>
      </c>
      <c r="L1009" s="13" t="s">
        <v>483</v>
      </c>
      <c r="M1009" s="13" t="s">
        <v>683</v>
      </c>
      <c r="N1009" s="13"/>
      <c r="O1009" s="13">
        <v>105561</v>
      </c>
      <c r="P1009" s="21">
        <v>11729</v>
      </c>
    </row>
    <row r="1010" spans="1:16" hidden="1" x14ac:dyDescent="0.25">
      <c r="A1010" s="19" t="s">
        <v>0</v>
      </c>
      <c r="B1010" s="14"/>
      <c r="C1010" s="14" t="s">
        <v>485</v>
      </c>
      <c r="D1010" s="14"/>
      <c r="E1010" s="13" t="s">
        <v>0</v>
      </c>
      <c r="F1010" s="13" t="s">
        <v>0</v>
      </c>
      <c r="G1010" s="13" t="s">
        <v>0</v>
      </c>
      <c r="H1010" s="13">
        <f t="shared" si="19"/>
        <v>0</v>
      </c>
      <c r="I1010" s="13" t="s">
        <v>0</v>
      </c>
      <c r="J1010" s="13" t="s">
        <v>0</v>
      </c>
      <c r="K1010" s="13">
        <v>117290.2</v>
      </c>
      <c r="L1010" s="13"/>
      <c r="M1010" s="13"/>
      <c r="N1010" s="13"/>
      <c r="O1010" s="13"/>
      <c r="P1010" s="21">
        <v>0</v>
      </c>
    </row>
    <row r="1011" spans="1:16" hidden="1" x14ac:dyDescent="0.25">
      <c r="A1011" s="19" t="s">
        <v>0</v>
      </c>
      <c r="B1011" s="14"/>
      <c r="C1011" s="14" t="s">
        <v>486</v>
      </c>
      <c r="D1011" s="14"/>
      <c r="E1011" s="13" t="s">
        <v>0</v>
      </c>
      <c r="F1011" s="13" t="s">
        <v>0</v>
      </c>
      <c r="G1011" s="13" t="s">
        <v>0</v>
      </c>
      <c r="H1011" s="13">
        <f t="shared" si="19"/>
        <v>0</v>
      </c>
      <c r="I1011" s="13" t="s">
        <v>0</v>
      </c>
      <c r="J1011" s="13" t="s">
        <v>0</v>
      </c>
      <c r="K1011" s="13"/>
      <c r="L1011" s="13">
        <v>11729</v>
      </c>
      <c r="M1011" s="13"/>
      <c r="N1011" s="13"/>
      <c r="O1011" s="13"/>
      <c r="P1011" s="21">
        <v>0</v>
      </c>
    </row>
    <row r="1012" spans="1:16" hidden="1" x14ac:dyDescent="0.25">
      <c r="A1012" s="19" t="s">
        <v>0</v>
      </c>
      <c r="B1012" s="14"/>
      <c r="C1012" s="14" t="s">
        <v>487</v>
      </c>
      <c r="D1012" s="14"/>
      <c r="E1012" s="13" t="s">
        <v>0</v>
      </c>
      <c r="F1012" s="13" t="s">
        <v>0</v>
      </c>
      <c r="G1012" s="13" t="s">
        <v>0</v>
      </c>
      <c r="H1012" s="13">
        <f t="shared" si="19"/>
        <v>0</v>
      </c>
      <c r="I1012" s="13" t="s">
        <v>0</v>
      </c>
      <c r="J1012" s="13" t="s">
        <v>0</v>
      </c>
      <c r="K1012" s="13"/>
      <c r="L1012" s="13">
        <v>0.2</v>
      </c>
      <c r="M1012" s="13"/>
      <c r="N1012" s="13"/>
      <c r="O1012" s="13"/>
      <c r="P1012" s="21">
        <v>0</v>
      </c>
    </row>
    <row r="1013" spans="1:16" x14ac:dyDescent="0.25">
      <c r="A1013" s="19"/>
      <c r="B1013" s="14"/>
      <c r="C1013" s="14" t="s">
        <v>488</v>
      </c>
      <c r="D1013" s="38">
        <v>256779418014</v>
      </c>
      <c r="E1013" s="13" t="s">
        <v>0</v>
      </c>
      <c r="F1013" s="13">
        <v>105561</v>
      </c>
      <c r="G1013" s="13" t="s">
        <v>489</v>
      </c>
      <c r="H1013" s="13">
        <f t="shared" si="19"/>
        <v>11729</v>
      </c>
      <c r="I1013" s="13"/>
      <c r="J1013" s="13"/>
      <c r="K1013" s="13"/>
      <c r="L1013" s="13"/>
      <c r="M1013" s="13"/>
      <c r="N1013" s="13"/>
      <c r="O1013" s="13"/>
      <c r="P1013" s="21">
        <v>0</v>
      </c>
    </row>
    <row r="1014" spans="1:16" hidden="1" x14ac:dyDescent="0.25">
      <c r="A1014" s="19">
        <v>45975</v>
      </c>
      <c r="B1014" s="14" t="s">
        <v>489</v>
      </c>
      <c r="C1014" s="14" t="s">
        <v>517</v>
      </c>
      <c r="D1014" s="14"/>
      <c r="E1014" s="13" t="s">
        <v>0</v>
      </c>
      <c r="F1014" s="13" t="s">
        <v>0</v>
      </c>
      <c r="G1014" s="13" t="s">
        <v>0</v>
      </c>
      <c r="H1014" s="13">
        <f t="shared" si="19"/>
        <v>0</v>
      </c>
      <c r="I1014" s="13" t="s">
        <v>518</v>
      </c>
      <c r="J1014" s="13"/>
      <c r="K1014" s="13"/>
      <c r="L1014" s="13" t="s">
        <v>519</v>
      </c>
      <c r="M1014" s="13" t="s">
        <v>684</v>
      </c>
      <c r="N1014" s="13">
        <v>100000</v>
      </c>
      <c r="O1014" s="13"/>
      <c r="P1014" s="21">
        <v>0</v>
      </c>
    </row>
    <row r="1015" spans="1:16" hidden="1" x14ac:dyDescent="0.25">
      <c r="A1015" s="19"/>
      <c r="B1015" s="14"/>
      <c r="C1015" s="14" t="s">
        <v>521</v>
      </c>
      <c r="D1015" s="38">
        <v>256779414374</v>
      </c>
      <c r="E1015" s="13" t="s">
        <v>0</v>
      </c>
      <c r="F1015" s="13">
        <v>100000</v>
      </c>
      <c r="G1015" s="13" t="s">
        <v>480</v>
      </c>
      <c r="H1015" s="13">
        <f t="shared" si="19"/>
        <v>0</v>
      </c>
      <c r="I1015" s="13"/>
      <c r="J1015" s="13"/>
      <c r="K1015" s="13"/>
      <c r="L1015" s="13"/>
      <c r="M1015" s="13"/>
      <c r="N1015" s="13"/>
      <c r="O1015" s="13"/>
      <c r="P1015" s="21">
        <v>0</v>
      </c>
    </row>
    <row r="1016" spans="1:16" hidden="1" x14ac:dyDescent="0.25">
      <c r="A1016" s="19">
        <v>45987</v>
      </c>
      <c r="B1016" s="14" t="s">
        <v>489</v>
      </c>
      <c r="C1016" s="14" t="s">
        <v>517</v>
      </c>
      <c r="D1016" s="14"/>
      <c r="E1016" s="13" t="s">
        <v>0</v>
      </c>
      <c r="F1016" s="13" t="s">
        <v>0</v>
      </c>
      <c r="G1016" s="13" t="s">
        <v>0</v>
      </c>
      <c r="H1016" s="13">
        <f t="shared" si="19"/>
        <v>0</v>
      </c>
      <c r="I1016" s="13" t="s">
        <v>518</v>
      </c>
      <c r="J1016" s="13"/>
      <c r="K1016" s="13"/>
      <c r="L1016" s="13" t="s">
        <v>519</v>
      </c>
      <c r="M1016" s="13" t="s">
        <v>685</v>
      </c>
      <c r="N1016" s="13">
        <v>100000</v>
      </c>
      <c r="O1016" s="13"/>
      <c r="P1016" s="21">
        <v>0</v>
      </c>
    </row>
    <row r="1017" spans="1:16" hidden="1" x14ac:dyDescent="0.25">
      <c r="A1017" s="19"/>
      <c r="B1017" s="14"/>
      <c r="C1017" s="14" t="s">
        <v>521</v>
      </c>
      <c r="D1017" s="38">
        <v>256779414374</v>
      </c>
      <c r="E1017" s="13" t="s">
        <v>0</v>
      </c>
      <c r="F1017" s="13">
        <v>35642</v>
      </c>
      <c r="G1017" s="13" t="s">
        <v>480</v>
      </c>
      <c r="H1017" s="13">
        <f t="shared" si="19"/>
        <v>0</v>
      </c>
      <c r="I1017" s="13"/>
      <c r="J1017" s="13"/>
      <c r="K1017" s="13"/>
      <c r="L1017" s="13"/>
      <c r="M1017" s="13"/>
      <c r="N1017" s="13"/>
      <c r="O1017" s="13"/>
      <c r="P1017" s="21">
        <v>0</v>
      </c>
    </row>
    <row r="1018" spans="1:16" hidden="1" x14ac:dyDescent="0.25">
      <c r="A1018" s="19"/>
      <c r="B1018" s="14"/>
      <c r="C1018" s="14" t="s">
        <v>521</v>
      </c>
      <c r="D1018" s="38">
        <v>256779414736</v>
      </c>
      <c r="E1018" s="13" t="s">
        <v>0</v>
      </c>
      <c r="F1018" s="13">
        <v>9282</v>
      </c>
      <c r="G1018" s="13" t="s">
        <v>480</v>
      </c>
      <c r="H1018" s="13">
        <f t="shared" si="19"/>
        <v>0</v>
      </c>
      <c r="I1018" s="13"/>
      <c r="J1018" s="13"/>
      <c r="K1018" s="13"/>
      <c r="L1018" s="13"/>
      <c r="M1018" s="13"/>
      <c r="N1018" s="13"/>
      <c r="O1018" s="13"/>
      <c r="P1018" s="21">
        <v>0</v>
      </c>
    </row>
    <row r="1019" spans="1:16" hidden="1" x14ac:dyDescent="0.25">
      <c r="A1019" s="19"/>
      <c r="B1019" s="14"/>
      <c r="C1019" s="14" t="s">
        <v>521</v>
      </c>
      <c r="D1019" s="38">
        <v>256779414744</v>
      </c>
      <c r="E1019" s="13" t="s">
        <v>0</v>
      </c>
      <c r="F1019" s="13">
        <v>24284</v>
      </c>
      <c r="G1019" s="13" t="s">
        <v>480</v>
      </c>
      <c r="H1019" s="13">
        <f t="shared" si="19"/>
        <v>0</v>
      </c>
      <c r="I1019" s="13"/>
      <c r="J1019" s="13"/>
      <c r="K1019" s="13"/>
      <c r="L1019" s="13"/>
      <c r="M1019" s="13"/>
      <c r="N1019" s="13"/>
      <c r="O1019" s="13"/>
      <c r="P1019" s="21">
        <v>0</v>
      </c>
    </row>
    <row r="1020" spans="1:16" hidden="1" x14ac:dyDescent="0.25">
      <c r="A1020" s="19"/>
      <c r="B1020" s="14"/>
      <c r="C1020" s="14" t="s">
        <v>521</v>
      </c>
      <c r="D1020" s="38">
        <v>256779414769</v>
      </c>
      <c r="E1020" s="13" t="s">
        <v>0</v>
      </c>
      <c r="F1020" s="13">
        <v>5629</v>
      </c>
      <c r="G1020" s="13" t="s">
        <v>480</v>
      </c>
      <c r="H1020" s="13">
        <f t="shared" si="19"/>
        <v>0</v>
      </c>
      <c r="I1020" s="13"/>
      <c r="J1020" s="13"/>
      <c r="K1020" s="13"/>
      <c r="L1020" s="13"/>
      <c r="M1020" s="13"/>
      <c r="N1020" s="13"/>
      <c r="O1020" s="13"/>
      <c r="P1020" s="21">
        <v>0</v>
      </c>
    </row>
    <row r="1021" spans="1:16" hidden="1" x14ac:dyDescent="0.25">
      <c r="A1021" s="19"/>
      <c r="B1021" s="14"/>
      <c r="C1021" s="14" t="s">
        <v>521</v>
      </c>
      <c r="D1021" s="38">
        <v>256779414803</v>
      </c>
      <c r="E1021" s="13" t="s">
        <v>0</v>
      </c>
      <c r="F1021" s="13">
        <v>25163</v>
      </c>
      <c r="G1021" s="13" t="s">
        <v>480</v>
      </c>
      <c r="H1021" s="13">
        <f t="shared" si="19"/>
        <v>0</v>
      </c>
      <c r="I1021" s="13"/>
      <c r="J1021" s="13"/>
      <c r="K1021" s="13"/>
      <c r="L1021" s="13"/>
      <c r="M1021" s="13"/>
      <c r="N1021" s="13"/>
      <c r="O1021" s="13"/>
      <c r="P1021" s="21">
        <v>0</v>
      </c>
    </row>
    <row r="1022" spans="1:16" hidden="1" x14ac:dyDescent="0.25">
      <c r="A1022" s="19">
        <v>45992</v>
      </c>
      <c r="B1022" s="14" t="s">
        <v>480</v>
      </c>
      <c r="C1022" s="14" t="s">
        <v>481</v>
      </c>
      <c r="D1022" s="14"/>
      <c r="E1022" s="13" t="s">
        <v>0</v>
      </c>
      <c r="F1022" s="13" t="s">
        <v>0</v>
      </c>
      <c r="G1022" s="13" t="s">
        <v>0</v>
      </c>
      <c r="H1022" s="13">
        <f t="shared" si="19"/>
        <v>0</v>
      </c>
      <c r="I1022" s="13" t="s">
        <v>664</v>
      </c>
      <c r="J1022" s="13"/>
      <c r="K1022" s="13">
        <v>1620</v>
      </c>
      <c r="L1022" s="13" t="s">
        <v>483</v>
      </c>
      <c r="M1022" s="13" t="s">
        <v>686</v>
      </c>
      <c r="N1022" s="13"/>
      <c r="O1022" s="13">
        <v>142869</v>
      </c>
      <c r="P1022" s="21">
        <v>15874</v>
      </c>
    </row>
    <row r="1023" spans="1:16" hidden="1" x14ac:dyDescent="0.25">
      <c r="A1023" s="19" t="s">
        <v>0</v>
      </c>
      <c r="B1023" s="14"/>
      <c r="C1023" s="14" t="s">
        <v>485</v>
      </c>
      <c r="D1023" s="14"/>
      <c r="E1023" s="13" t="s">
        <v>0</v>
      </c>
      <c r="F1023" s="13" t="s">
        <v>0</v>
      </c>
      <c r="G1023" s="13" t="s">
        <v>0</v>
      </c>
      <c r="H1023" s="13">
        <f t="shared" si="19"/>
        <v>0</v>
      </c>
      <c r="I1023" s="13" t="s">
        <v>0</v>
      </c>
      <c r="J1023" s="13" t="s">
        <v>0</v>
      </c>
      <c r="K1023" s="13">
        <v>158743.39000000001</v>
      </c>
      <c r="L1023" s="13"/>
      <c r="M1023" s="13"/>
      <c r="N1023" s="13"/>
      <c r="O1023" s="13"/>
      <c r="P1023" s="21">
        <v>0</v>
      </c>
    </row>
    <row r="1024" spans="1:16" hidden="1" x14ac:dyDescent="0.25">
      <c r="A1024" s="19" t="s">
        <v>0</v>
      </c>
      <c r="B1024" s="14"/>
      <c r="C1024" s="14" t="s">
        <v>486</v>
      </c>
      <c r="D1024" s="14"/>
      <c r="E1024" s="13" t="s">
        <v>0</v>
      </c>
      <c r="F1024" s="13" t="s">
        <v>0</v>
      </c>
      <c r="G1024" s="13" t="s">
        <v>0</v>
      </c>
      <c r="H1024" s="13">
        <f t="shared" si="19"/>
        <v>0</v>
      </c>
      <c r="I1024" s="13" t="s">
        <v>0</v>
      </c>
      <c r="J1024" s="13" t="s">
        <v>0</v>
      </c>
      <c r="K1024" s="13"/>
      <c r="L1024" s="13">
        <v>15874</v>
      </c>
      <c r="M1024" s="13"/>
      <c r="N1024" s="13"/>
      <c r="O1024" s="13"/>
      <c r="P1024" s="21">
        <v>0</v>
      </c>
    </row>
    <row r="1025" spans="1:16" hidden="1" x14ac:dyDescent="0.25">
      <c r="A1025" s="19" t="s">
        <v>0</v>
      </c>
      <c r="B1025" s="14"/>
      <c r="C1025" s="14" t="s">
        <v>487</v>
      </c>
      <c r="D1025" s="14"/>
      <c r="E1025" s="13" t="s">
        <v>0</v>
      </c>
      <c r="F1025" s="13" t="s">
        <v>0</v>
      </c>
      <c r="G1025" s="13" t="s">
        <v>0</v>
      </c>
      <c r="H1025" s="13">
        <f t="shared" si="19"/>
        <v>0</v>
      </c>
      <c r="I1025" s="13" t="s">
        <v>0</v>
      </c>
      <c r="J1025" s="13" t="s">
        <v>0</v>
      </c>
      <c r="K1025" s="13"/>
      <c r="L1025" s="13">
        <v>0.39</v>
      </c>
      <c r="M1025" s="13"/>
      <c r="N1025" s="13"/>
      <c r="O1025" s="13"/>
      <c r="P1025" s="21">
        <v>0</v>
      </c>
    </row>
    <row r="1026" spans="1:16" x14ac:dyDescent="0.25">
      <c r="A1026" s="19"/>
      <c r="B1026" s="14"/>
      <c r="C1026" s="14" t="s">
        <v>488</v>
      </c>
      <c r="D1026" s="38">
        <v>256779418025</v>
      </c>
      <c r="E1026" s="13" t="s">
        <v>0</v>
      </c>
      <c r="F1026" s="13">
        <v>142869</v>
      </c>
      <c r="G1026" s="13" t="s">
        <v>489</v>
      </c>
      <c r="H1026" s="13">
        <f t="shared" si="19"/>
        <v>15874</v>
      </c>
      <c r="I1026" s="13"/>
      <c r="J1026" s="13"/>
      <c r="K1026" s="13"/>
      <c r="L1026" s="13"/>
      <c r="M1026" s="13"/>
      <c r="N1026" s="13"/>
      <c r="O1026" s="13"/>
      <c r="P1026" s="21">
        <v>0</v>
      </c>
    </row>
    <row r="1027" spans="1:16" hidden="1" x14ac:dyDescent="0.25">
      <c r="A1027" s="19">
        <v>45992</v>
      </c>
      <c r="B1027" s="14" t="s">
        <v>480</v>
      </c>
      <c r="C1027" s="14" t="s">
        <v>481</v>
      </c>
      <c r="D1027" s="14"/>
      <c r="E1027" s="13" t="s">
        <v>0</v>
      </c>
      <c r="F1027" s="13" t="s">
        <v>0</v>
      </c>
      <c r="G1027" s="13" t="s">
        <v>0</v>
      </c>
      <c r="H1027" s="13">
        <f t="shared" si="19"/>
        <v>0</v>
      </c>
      <c r="I1027" s="13" t="s">
        <v>687</v>
      </c>
      <c r="J1027" s="13"/>
      <c r="K1027" s="13">
        <v>1619.99</v>
      </c>
      <c r="L1027" s="13" t="s">
        <v>483</v>
      </c>
      <c r="M1027" s="13" t="s">
        <v>586</v>
      </c>
      <c r="N1027" s="13"/>
      <c r="O1027" s="13">
        <v>142565</v>
      </c>
      <c r="P1027" s="21">
        <v>15841</v>
      </c>
    </row>
    <row r="1028" spans="1:16" hidden="1" x14ac:dyDescent="0.25">
      <c r="A1028" s="19" t="s">
        <v>0</v>
      </c>
      <c r="B1028" s="14"/>
      <c r="C1028" s="14" t="s">
        <v>485</v>
      </c>
      <c r="D1028" s="14"/>
      <c r="E1028" s="13" t="s">
        <v>0</v>
      </c>
      <c r="F1028" s="13" t="s">
        <v>0</v>
      </c>
      <c r="G1028" s="13" t="s">
        <v>0</v>
      </c>
      <c r="H1028" s="13">
        <f t="shared" si="19"/>
        <v>0</v>
      </c>
      <c r="I1028" s="13" t="s">
        <v>0</v>
      </c>
      <c r="J1028" s="13" t="s">
        <v>0</v>
      </c>
      <c r="K1028" s="13">
        <v>158406.1</v>
      </c>
      <c r="L1028" s="13"/>
      <c r="M1028" s="13"/>
      <c r="N1028" s="13"/>
      <c r="O1028" s="13"/>
      <c r="P1028" s="21">
        <v>0</v>
      </c>
    </row>
    <row r="1029" spans="1:16" hidden="1" x14ac:dyDescent="0.25">
      <c r="A1029" s="19" t="s">
        <v>0</v>
      </c>
      <c r="B1029" s="14"/>
      <c r="C1029" s="14" t="s">
        <v>486</v>
      </c>
      <c r="D1029" s="14"/>
      <c r="E1029" s="13" t="s">
        <v>0</v>
      </c>
      <c r="F1029" s="13" t="s">
        <v>0</v>
      </c>
      <c r="G1029" s="13" t="s">
        <v>0</v>
      </c>
      <c r="H1029" s="13">
        <f t="shared" si="19"/>
        <v>0</v>
      </c>
      <c r="I1029" s="13" t="s">
        <v>0</v>
      </c>
      <c r="J1029" s="13" t="s">
        <v>0</v>
      </c>
      <c r="K1029" s="13"/>
      <c r="L1029" s="13">
        <v>15841</v>
      </c>
      <c r="M1029" s="13"/>
      <c r="N1029" s="13"/>
      <c r="O1029" s="13"/>
      <c r="P1029" s="21">
        <v>0</v>
      </c>
    </row>
    <row r="1030" spans="1:16" hidden="1" x14ac:dyDescent="0.25">
      <c r="A1030" s="19" t="s">
        <v>0</v>
      </c>
      <c r="B1030" s="14"/>
      <c r="C1030" s="14" t="s">
        <v>487</v>
      </c>
      <c r="D1030" s="14"/>
      <c r="E1030" s="13" t="s">
        <v>0</v>
      </c>
      <c r="F1030" s="13" t="s">
        <v>0</v>
      </c>
      <c r="G1030" s="13" t="s">
        <v>0</v>
      </c>
      <c r="H1030" s="13">
        <f t="shared" si="19"/>
        <v>0</v>
      </c>
      <c r="I1030" s="13" t="s">
        <v>0</v>
      </c>
      <c r="J1030" s="13" t="s">
        <v>0</v>
      </c>
      <c r="K1030" s="13"/>
      <c r="L1030" s="13">
        <v>0.1</v>
      </c>
      <c r="M1030" s="13"/>
      <c r="N1030" s="13"/>
      <c r="O1030" s="13"/>
      <c r="P1030" s="21">
        <v>0</v>
      </c>
    </row>
    <row r="1031" spans="1:16" x14ac:dyDescent="0.25">
      <c r="A1031" s="19"/>
      <c r="B1031" s="14"/>
      <c r="C1031" s="14" t="s">
        <v>488</v>
      </c>
      <c r="D1031" s="38">
        <v>256779418791</v>
      </c>
      <c r="E1031" s="13" t="s">
        <v>0</v>
      </c>
      <c r="F1031" s="13">
        <v>142565</v>
      </c>
      <c r="G1031" s="13" t="s">
        <v>489</v>
      </c>
      <c r="H1031" s="13">
        <f t="shared" si="19"/>
        <v>15841</v>
      </c>
      <c r="I1031" s="13"/>
      <c r="J1031" s="13"/>
      <c r="K1031" s="13"/>
      <c r="L1031" s="13"/>
      <c r="M1031" s="13"/>
      <c r="N1031" s="13"/>
      <c r="O1031" s="13"/>
      <c r="P1031" s="21">
        <v>0</v>
      </c>
    </row>
    <row r="1032" spans="1:16" hidden="1" x14ac:dyDescent="0.25">
      <c r="A1032" s="19">
        <v>45992</v>
      </c>
      <c r="B1032" s="14" t="s">
        <v>480</v>
      </c>
      <c r="C1032" s="14" t="s">
        <v>481</v>
      </c>
      <c r="D1032" s="14"/>
      <c r="E1032" s="13" t="s">
        <v>0</v>
      </c>
      <c r="F1032" s="13" t="s">
        <v>0</v>
      </c>
      <c r="G1032" s="13" t="s">
        <v>0</v>
      </c>
      <c r="H1032" s="13">
        <f t="shared" ref="H1032:H1084" si="20">P1028</f>
        <v>0</v>
      </c>
      <c r="I1032" s="13" t="s">
        <v>664</v>
      </c>
      <c r="J1032" s="13"/>
      <c r="K1032" s="13">
        <v>961.68</v>
      </c>
      <c r="L1032" s="13" t="s">
        <v>483</v>
      </c>
      <c r="M1032" s="13" t="s">
        <v>688</v>
      </c>
      <c r="N1032" s="13"/>
      <c r="O1032" s="13">
        <v>84631</v>
      </c>
      <c r="P1032" s="21">
        <v>9404</v>
      </c>
    </row>
    <row r="1033" spans="1:16" hidden="1" x14ac:dyDescent="0.25">
      <c r="A1033" s="19" t="s">
        <v>0</v>
      </c>
      <c r="B1033" s="14"/>
      <c r="C1033" s="14" t="s">
        <v>485</v>
      </c>
      <c r="D1033" s="14"/>
      <c r="E1033" s="13" t="s">
        <v>0</v>
      </c>
      <c r="F1033" s="13" t="s">
        <v>0</v>
      </c>
      <c r="G1033" s="13" t="s">
        <v>0</v>
      </c>
      <c r="H1033" s="13">
        <f t="shared" si="20"/>
        <v>0</v>
      </c>
      <c r="I1033" s="13" t="s">
        <v>0</v>
      </c>
      <c r="J1033" s="13" t="s">
        <v>0</v>
      </c>
      <c r="K1033" s="13">
        <v>94035.14</v>
      </c>
      <c r="L1033" s="13"/>
      <c r="M1033" s="13"/>
      <c r="N1033" s="13"/>
      <c r="O1033" s="13"/>
      <c r="P1033" s="21">
        <v>0</v>
      </c>
    </row>
    <row r="1034" spans="1:16" hidden="1" x14ac:dyDescent="0.25">
      <c r="A1034" s="19" t="s">
        <v>0</v>
      </c>
      <c r="B1034" s="14"/>
      <c r="C1034" s="14" t="s">
        <v>486</v>
      </c>
      <c r="D1034" s="14"/>
      <c r="E1034" s="13" t="s">
        <v>0</v>
      </c>
      <c r="F1034" s="13" t="s">
        <v>0</v>
      </c>
      <c r="G1034" s="13" t="s">
        <v>0</v>
      </c>
      <c r="H1034" s="13">
        <f t="shared" si="20"/>
        <v>0</v>
      </c>
      <c r="I1034" s="13" t="s">
        <v>0</v>
      </c>
      <c r="J1034" s="13" t="s">
        <v>0</v>
      </c>
      <c r="K1034" s="13"/>
      <c r="L1034" s="13">
        <v>9404</v>
      </c>
      <c r="M1034" s="13"/>
      <c r="N1034" s="13"/>
      <c r="O1034" s="13"/>
      <c r="P1034" s="21">
        <v>0</v>
      </c>
    </row>
    <row r="1035" spans="1:16" hidden="1" x14ac:dyDescent="0.25">
      <c r="A1035" s="19" t="s">
        <v>0</v>
      </c>
      <c r="B1035" s="14"/>
      <c r="C1035" s="14" t="s">
        <v>487</v>
      </c>
      <c r="D1035" s="14"/>
      <c r="E1035" s="13" t="s">
        <v>0</v>
      </c>
      <c r="F1035" s="13" t="s">
        <v>0</v>
      </c>
      <c r="G1035" s="13" t="s">
        <v>0</v>
      </c>
      <c r="H1035" s="13">
        <f t="shared" si="20"/>
        <v>0</v>
      </c>
      <c r="I1035" s="13" t="s">
        <v>0</v>
      </c>
      <c r="J1035" s="13" t="s">
        <v>0</v>
      </c>
      <c r="K1035" s="13"/>
      <c r="L1035" s="13">
        <v>0.14000000000000001</v>
      </c>
      <c r="M1035" s="13"/>
      <c r="N1035" s="13"/>
      <c r="O1035" s="13"/>
      <c r="P1035" s="21">
        <v>0</v>
      </c>
    </row>
    <row r="1036" spans="1:16" x14ac:dyDescent="0.25">
      <c r="A1036" s="19"/>
      <c r="B1036" s="14"/>
      <c r="C1036" s="14" t="s">
        <v>488</v>
      </c>
      <c r="D1036" s="38">
        <v>256779418871</v>
      </c>
      <c r="E1036" s="13" t="s">
        <v>0</v>
      </c>
      <c r="F1036" s="13">
        <v>84631</v>
      </c>
      <c r="G1036" s="13" t="s">
        <v>489</v>
      </c>
      <c r="H1036" s="13">
        <f t="shared" si="20"/>
        <v>9404</v>
      </c>
      <c r="I1036" s="13"/>
      <c r="J1036" s="13"/>
      <c r="K1036" s="13"/>
      <c r="L1036" s="13"/>
      <c r="M1036" s="13"/>
      <c r="N1036" s="13"/>
      <c r="O1036" s="13"/>
      <c r="P1036" s="21">
        <v>0</v>
      </c>
    </row>
    <row r="1037" spans="1:16" hidden="1" x14ac:dyDescent="0.25">
      <c r="A1037" s="19">
        <v>46006</v>
      </c>
      <c r="B1037" s="14" t="s">
        <v>489</v>
      </c>
      <c r="C1037" s="14" t="s">
        <v>517</v>
      </c>
      <c r="D1037" s="14"/>
      <c r="E1037" s="13" t="s">
        <v>0</v>
      </c>
      <c r="F1037" s="13" t="s">
        <v>0</v>
      </c>
      <c r="G1037" s="13" t="s">
        <v>0</v>
      </c>
      <c r="H1037" s="13">
        <f t="shared" si="20"/>
        <v>0</v>
      </c>
      <c r="I1037" s="13" t="s">
        <v>518</v>
      </c>
      <c r="J1037" s="13"/>
      <c r="K1037" s="13"/>
      <c r="L1037" s="13" t="s">
        <v>519</v>
      </c>
      <c r="M1037" s="13" t="s">
        <v>689</v>
      </c>
      <c r="N1037" s="13">
        <v>100000</v>
      </c>
      <c r="O1037" s="13"/>
      <c r="P1037" s="21">
        <v>0</v>
      </c>
    </row>
    <row r="1038" spans="1:16" hidden="1" x14ac:dyDescent="0.25">
      <c r="A1038" s="19"/>
      <c r="B1038" s="14"/>
      <c r="C1038" s="14" t="s">
        <v>521</v>
      </c>
      <c r="D1038" s="38">
        <v>256779414803</v>
      </c>
      <c r="E1038" s="13" t="s">
        <v>0</v>
      </c>
      <c r="F1038" s="13">
        <v>1691</v>
      </c>
      <c r="G1038" s="13" t="s">
        <v>480</v>
      </c>
      <c r="H1038" s="13">
        <f t="shared" si="20"/>
        <v>0</v>
      </c>
      <c r="I1038" s="13"/>
      <c r="J1038" s="13"/>
      <c r="K1038" s="13"/>
      <c r="L1038" s="13"/>
      <c r="M1038" s="13"/>
      <c r="N1038" s="13"/>
      <c r="O1038" s="13"/>
      <c r="P1038" s="21">
        <v>0</v>
      </c>
    </row>
    <row r="1039" spans="1:16" hidden="1" x14ac:dyDescent="0.25">
      <c r="A1039" s="19"/>
      <c r="B1039" s="14"/>
      <c r="C1039" s="14" t="s">
        <v>521</v>
      </c>
      <c r="D1039" s="38">
        <v>256779414834</v>
      </c>
      <c r="E1039" s="13" t="s">
        <v>0</v>
      </c>
      <c r="F1039" s="13">
        <v>1288</v>
      </c>
      <c r="G1039" s="13" t="s">
        <v>480</v>
      </c>
      <c r="H1039" s="13">
        <f t="shared" si="20"/>
        <v>0</v>
      </c>
      <c r="I1039" s="13"/>
      <c r="J1039" s="13"/>
      <c r="K1039" s="13"/>
      <c r="L1039" s="13"/>
      <c r="M1039" s="13"/>
      <c r="N1039" s="13"/>
      <c r="O1039" s="13"/>
      <c r="P1039" s="21">
        <v>0</v>
      </c>
    </row>
    <row r="1040" spans="1:16" hidden="1" x14ac:dyDescent="0.25">
      <c r="A1040" s="19"/>
      <c r="B1040" s="14"/>
      <c r="C1040" s="14" t="s">
        <v>521</v>
      </c>
      <c r="D1040" s="38">
        <v>256779414881</v>
      </c>
      <c r="E1040" s="13" t="s">
        <v>0</v>
      </c>
      <c r="F1040" s="13">
        <v>4401</v>
      </c>
      <c r="G1040" s="13" t="s">
        <v>480</v>
      </c>
      <c r="H1040" s="13">
        <f t="shared" si="20"/>
        <v>0</v>
      </c>
      <c r="I1040" s="13"/>
      <c r="J1040" s="13"/>
      <c r="K1040" s="13"/>
      <c r="L1040" s="13"/>
      <c r="M1040" s="13"/>
      <c r="N1040" s="13"/>
      <c r="O1040" s="13"/>
      <c r="P1040" s="21">
        <v>0</v>
      </c>
    </row>
    <row r="1041" spans="1:16" hidden="1" x14ac:dyDescent="0.25">
      <c r="A1041" s="19"/>
      <c r="B1041" s="14"/>
      <c r="C1041" s="14" t="s">
        <v>521</v>
      </c>
      <c r="D1041" s="38">
        <v>256779414932</v>
      </c>
      <c r="E1041" s="13" t="s">
        <v>0</v>
      </c>
      <c r="F1041" s="13">
        <v>92620</v>
      </c>
      <c r="G1041" s="13" t="s">
        <v>480</v>
      </c>
      <c r="H1041" s="13">
        <f t="shared" si="20"/>
        <v>0</v>
      </c>
      <c r="I1041" s="13"/>
      <c r="J1041" s="13"/>
      <c r="K1041" s="13"/>
      <c r="L1041" s="13"/>
      <c r="M1041" s="13"/>
      <c r="N1041" s="13"/>
      <c r="O1041" s="13"/>
      <c r="P1041" s="21">
        <v>0</v>
      </c>
    </row>
    <row r="1042" spans="1:16" hidden="1" x14ac:dyDescent="0.25">
      <c r="A1042" s="19">
        <v>46021</v>
      </c>
      <c r="B1042" s="14" t="s">
        <v>489</v>
      </c>
      <c r="C1042" s="14" t="s">
        <v>517</v>
      </c>
      <c r="D1042" s="14"/>
      <c r="E1042" s="13" t="s">
        <v>0</v>
      </c>
      <c r="F1042" s="13" t="s">
        <v>0</v>
      </c>
      <c r="G1042" s="13" t="s">
        <v>0</v>
      </c>
      <c r="H1042" s="13">
        <f t="shared" si="20"/>
        <v>0</v>
      </c>
      <c r="I1042" s="13" t="s">
        <v>518</v>
      </c>
      <c r="J1042" s="13"/>
      <c r="K1042" s="13"/>
      <c r="L1042" s="13" t="s">
        <v>519</v>
      </c>
      <c r="M1042" s="13" t="s">
        <v>690</v>
      </c>
      <c r="N1042" s="13">
        <v>200000</v>
      </c>
      <c r="O1042" s="13"/>
      <c r="P1042" s="21">
        <v>0</v>
      </c>
    </row>
    <row r="1043" spans="1:16" hidden="1" x14ac:dyDescent="0.25">
      <c r="A1043" s="19"/>
      <c r="B1043" s="14"/>
      <c r="C1043" s="14" t="s">
        <v>521</v>
      </c>
      <c r="D1043" s="38">
        <v>256779414932</v>
      </c>
      <c r="E1043" s="13" t="s">
        <v>0</v>
      </c>
      <c r="F1043" s="13">
        <v>46701</v>
      </c>
      <c r="G1043" s="13" t="s">
        <v>480</v>
      </c>
      <c r="H1043" s="13">
        <f t="shared" si="20"/>
        <v>0</v>
      </c>
      <c r="I1043" s="13"/>
      <c r="J1043" s="13"/>
      <c r="K1043" s="13"/>
      <c r="L1043" s="13"/>
      <c r="M1043" s="13"/>
      <c r="N1043" s="13"/>
      <c r="O1043" s="13"/>
      <c r="P1043" s="21">
        <v>0</v>
      </c>
    </row>
    <row r="1044" spans="1:16" hidden="1" x14ac:dyDescent="0.25">
      <c r="A1044" s="19"/>
      <c r="B1044" s="14"/>
      <c r="C1044" s="14" t="s">
        <v>521</v>
      </c>
      <c r="D1044" s="38">
        <v>256779415020</v>
      </c>
      <c r="E1044" s="13" t="s">
        <v>0</v>
      </c>
      <c r="F1044" s="13">
        <v>14782</v>
      </c>
      <c r="G1044" s="13" t="s">
        <v>480</v>
      </c>
      <c r="H1044" s="13">
        <f t="shared" si="20"/>
        <v>0</v>
      </c>
      <c r="I1044" s="13"/>
      <c r="J1044" s="13"/>
      <c r="K1044" s="13"/>
      <c r="L1044" s="13"/>
      <c r="M1044" s="13"/>
      <c r="N1044" s="13"/>
      <c r="O1044" s="13"/>
      <c r="P1044" s="21">
        <v>0</v>
      </c>
    </row>
    <row r="1045" spans="1:16" hidden="1" x14ac:dyDescent="0.25">
      <c r="A1045" s="19"/>
      <c r="B1045" s="14"/>
      <c r="C1045" s="14" t="s">
        <v>521</v>
      </c>
      <c r="D1045" s="38">
        <v>256779415188</v>
      </c>
      <c r="E1045" s="13" t="s">
        <v>0</v>
      </c>
      <c r="F1045" s="13">
        <v>117740</v>
      </c>
      <c r="G1045" s="13" t="s">
        <v>480</v>
      </c>
      <c r="H1045" s="13">
        <f t="shared" si="20"/>
        <v>0</v>
      </c>
      <c r="I1045" s="13"/>
      <c r="J1045" s="13"/>
      <c r="K1045" s="13"/>
      <c r="L1045" s="13"/>
      <c r="M1045" s="13"/>
      <c r="N1045" s="13"/>
      <c r="O1045" s="13"/>
      <c r="P1045" s="21">
        <v>0</v>
      </c>
    </row>
    <row r="1046" spans="1:16" hidden="1" x14ac:dyDescent="0.25">
      <c r="A1046" s="19"/>
      <c r="B1046" s="14"/>
      <c r="C1046" s="14" t="s">
        <v>521</v>
      </c>
      <c r="D1046" s="38">
        <v>256779415265</v>
      </c>
      <c r="E1046" s="13" t="s">
        <v>0</v>
      </c>
      <c r="F1046" s="13">
        <v>13884</v>
      </c>
      <c r="G1046" s="13" t="s">
        <v>480</v>
      </c>
      <c r="H1046" s="13">
        <f t="shared" si="20"/>
        <v>0</v>
      </c>
      <c r="I1046" s="13"/>
      <c r="J1046" s="13"/>
      <c r="K1046" s="13"/>
      <c r="L1046" s="13"/>
      <c r="M1046" s="13"/>
      <c r="N1046" s="13"/>
      <c r="O1046" s="13"/>
      <c r="P1046" s="21">
        <v>0</v>
      </c>
    </row>
    <row r="1047" spans="1:16" hidden="1" x14ac:dyDescent="0.25">
      <c r="A1047" s="19"/>
      <c r="B1047" s="14"/>
      <c r="C1047" s="14" t="s">
        <v>521</v>
      </c>
      <c r="D1047" s="38">
        <v>256779415434</v>
      </c>
      <c r="E1047" s="13" t="s">
        <v>0</v>
      </c>
      <c r="F1047" s="13">
        <v>6893</v>
      </c>
      <c r="G1047" s="13" t="s">
        <v>480</v>
      </c>
      <c r="H1047" s="13">
        <f t="shared" si="20"/>
        <v>0</v>
      </c>
      <c r="I1047" s="13"/>
      <c r="J1047" s="13"/>
      <c r="K1047" s="13"/>
      <c r="L1047" s="13"/>
      <c r="M1047" s="13"/>
      <c r="N1047" s="13"/>
      <c r="O1047" s="13"/>
      <c r="P1047" s="21">
        <v>0</v>
      </c>
    </row>
    <row r="1048" spans="1:16" hidden="1" x14ac:dyDescent="0.25">
      <c r="A1048" s="19">
        <v>46028</v>
      </c>
      <c r="B1048" s="14" t="s">
        <v>489</v>
      </c>
      <c r="C1048" s="14" t="s">
        <v>517</v>
      </c>
      <c r="D1048" s="14"/>
      <c r="E1048" s="13" t="s">
        <v>0</v>
      </c>
      <c r="F1048" s="13" t="s">
        <v>0</v>
      </c>
      <c r="G1048" s="13" t="s">
        <v>0</v>
      </c>
      <c r="H1048" s="13">
        <f t="shared" si="20"/>
        <v>0</v>
      </c>
      <c r="I1048" s="13" t="s">
        <v>518</v>
      </c>
      <c r="J1048" s="13"/>
      <c r="K1048" s="13"/>
      <c r="L1048" s="13" t="s">
        <v>519</v>
      </c>
      <c r="M1048" s="13" t="s">
        <v>691</v>
      </c>
      <c r="N1048" s="13">
        <v>100000</v>
      </c>
      <c r="O1048" s="13"/>
      <c r="P1048" s="21">
        <v>0</v>
      </c>
    </row>
    <row r="1049" spans="1:16" hidden="1" x14ac:dyDescent="0.25">
      <c r="A1049" s="19"/>
      <c r="B1049" s="14"/>
      <c r="C1049" s="14" t="s">
        <v>521</v>
      </c>
      <c r="D1049" s="38">
        <v>256779415434</v>
      </c>
      <c r="E1049" s="13" t="s">
        <v>0</v>
      </c>
      <c r="F1049" s="13">
        <v>2458</v>
      </c>
      <c r="G1049" s="13" t="s">
        <v>480</v>
      </c>
      <c r="H1049" s="13">
        <f t="shared" si="20"/>
        <v>0</v>
      </c>
      <c r="I1049" s="13"/>
      <c r="J1049" s="13"/>
      <c r="K1049" s="13"/>
      <c r="L1049" s="13"/>
      <c r="M1049" s="13"/>
      <c r="N1049" s="13"/>
      <c r="O1049" s="13"/>
      <c r="P1049" s="21">
        <v>0</v>
      </c>
    </row>
    <row r="1050" spans="1:16" hidden="1" x14ac:dyDescent="0.25">
      <c r="A1050" s="19"/>
      <c r="B1050" s="14"/>
      <c r="C1050" s="14" t="s">
        <v>521</v>
      </c>
      <c r="D1050" s="38">
        <v>256779415445</v>
      </c>
      <c r="E1050" s="13" t="s">
        <v>0</v>
      </c>
      <c r="F1050" s="13">
        <v>2199</v>
      </c>
      <c r="G1050" s="13" t="s">
        <v>480</v>
      </c>
      <c r="H1050" s="13">
        <f t="shared" si="20"/>
        <v>0</v>
      </c>
      <c r="I1050" s="13"/>
      <c r="J1050" s="13"/>
      <c r="K1050" s="13"/>
      <c r="L1050" s="13"/>
      <c r="M1050" s="13"/>
      <c r="N1050" s="13"/>
      <c r="O1050" s="13"/>
      <c r="P1050" s="21">
        <v>0</v>
      </c>
    </row>
    <row r="1051" spans="1:16" hidden="1" x14ac:dyDescent="0.25">
      <c r="A1051" s="19"/>
      <c r="B1051" s="14"/>
      <c r="C1051" s="14" t="s">
        <v>521</v>
      </c>
      <c r="D1051" s="38">
        <v>256779415458</v>
      </c>
      <c r="E1051" s="13" t="s">
        <v>0</v>
      </c>
      <c r="F1051" s="13">
        <v>6215</v>
      </c>
      <c r="G1051" s="13" t="s">
        <v>480</v>
      </c>
      <c r="H1051" s="13">
        <f t="shared" si="20"/>
        <v>0</v>
      </c>
      <c r="I1051" s="13"/>
      <c r="J1051" s="13"/>
      <c r="K1051" s="13"/>
      <c r="L1051" s="13"/>
      <c r="M1051" s="13"/>
      <c r="N1051" s="13"/>
      <c r="O1051" s="13"/>
      <c r="P1051" s="21">
        <v>0</v>
      </c>
    </row>
    <row r="1052" spans="1:16" hidden="1" x14ac:dyDescent="0.25">
      <c r="A1052" s="19"/>
      <c r="B1052" s="14"/>
      <c r="C1052" s="14" t="s">
        <v>521</v>
      </c>
      <c r="D1052" s="38">
        <v>256779415486</v>
      </c>
      <c r="E1052" s="13" t="s">
        <v>0</v>
      </c>
      <c r="F1052" s="13">
        <v>20159</v>
      </c>
      <c r="G1052" s="13" t="s">
        <v>480</v>
      </c>
      <c r="H1052" s="13">
        <f t="shared" si="20"/>
        <v>0</v>
      </c>
      <c r="I1052" s="13"/>
      <c r="J1052" s="13"/>
      <c r="K1052" s="13"/>
      <c r="L1052" s="13"/>
      <c r="M1052" s="13"/>
      <c r="N1052" s="13"/>
      <c r="O1052" s="13"/>
      <c r="P1052" s="21">
        <v>0</v>
      </c>
    </row>
    <row r="1053" spans="1:16" hidden="1" x14ac:dyDescent="0.25">
      <c r="A1053" s="19"/>
      <c r="B1053" s="14"/>
      <c r="C1053" s="14" t="s">
        <v>521</v>
      </c>
      <c r="D1053" s="38">
        <v>256779415526</v>
      </c>
      <c r="E1053" s="13" t="s">
        <v>0</v>
      </c>
      <c r="F1053" s="13">
        <v>232</v>
      </c>
      <c r="G1053" s="13" t="s">
        <v>480</v>
      </c>
      <c r="H1053" s="13">
        <f t="shared" si="20"/>
        <v>0</v>
      </c>
      <c r="I1053" s="13"/>
      <c r="J1053" s="13"/>
      <c r="K1053" s="13"/>
      <c r="L1053" s="13"/>
      <c r="M1053" s="13"/>
      <c r="N1053" s="13"/>
      <c r="O1053" s="13"/>
      <c r="P1053" s="21">
        <v>0</v>
      </c>
    </row>
    <row r="1054" spans="1:16" hidden="1" x14ac:dyDescent="0.25">
      <c r="A1054" s="19"/>
      <c r="B1054" s="14"/>
      <c r="C1054" s="14" t="s">
        <v>521</v>
      </c>
      <c r="D1054" s="38">
        <v>256779415702</v>
      </c>
      <c r="E1054" s="13" t="s">
        <v>0</v>
      </c>
      <c r="F1054" s="13">
        <v>16856</v>
      </c>
      <c r="G1054" s="13" t="s">
        <v>480</v>
      </c>
      <c r="H1054" s="13">
        <f t="shared" si="20"/>
        <v>0</v>
      </c>
      <c r="I1054" s="13"/>
      <c r="J1054" s="13"/>
      <c r="K1054" s="13"/>
      <c r="L1054" s="13"/>
      <c r="M1054" s="13"/>
      <c r="N1054" s="13"/>
      <c r="O1054" s="13"/>
      <c r="P1054" s="21">
        <v>0</v>
      </c>
    </row>
    <row r="1055" spans="1:16" hidden="1" x14ac:dyDescent="0.25">
      <c r="A1055" s="19"/>
      <c r="B1055" s="14"/>
      <c r="C1055" s="14" t="s">
        <v>521</v>
      </c>
      <c r="D1055" s="38">
        <v>256779415946</v>
      </c>
      <c r="E1055" s="13" t="s">
        <v>0</v>
      </c>
      <c r="F1055" s="13">
        <v>2466</v>
      </c>
      <c r="G1055" s="13" t="s">
        <v>480</v>
      </c>
      <c r="H1055" s="13">
        <f t="shared" si="20"/>
        <v>0</v>
      </c>
      <c r="I1055" s="13"/>
      <c r="J1055" s="13"/>
      <c r="K1055" s="13"/>
      <c r="L1055" s="13"/>
      <c r="M1055" s="13"/>
      <c r="N1055" s="13"/>
      <c r="O1055" s="13"/>
      <c r="P1055" s="21">
        <v>0</v>
      </c>
    </row>
    <row r="1056" spans="1:16" hidden="1" x14ac:dyDescent="0.25">
      <c r="A1056" s="19"/>
      <c r="B1056" s="14"/>
      <c r="C1056" s="14" t="s">
        <v>521</v>
      </c>
      <c r="D1056" s="38">
        <v>256779415968</v>
      </c>
      <c r="E1056" s="13" t="s">
        <v>0</v>
      </c>
      <c r="F1056" s="13">
        <v>35991</v>
      </c>
      <c r="G1056" s="13" t="s">
        <v>480</v>
      </c>
      <c r="H1056" s="13">
        <f t="shared" si="20"/>
        <v>0</v>
      </c>
      <c r="I1056" s="13"/>
      <c r="J1056" s="13"/>
      <c r="K1056" s="13"/>
      <c r="L1056" s="13"/>
      <c r="M1056" s="13"/>
      <c r="N1056" s="13"/>
      <c r="O1056" s="13"/>
      <c r="P1056" s="21">
        <v>0</v>
      </c>
    </row>
    <row r="1057" spans="1:16" hidden="1" x14ac:dyDescent="0.25">
      <c r="A1057" s="19"/>
      <c r="B1057" s="14"/>
      <c r="C1057" s="14" t="s">
        <v>521</v>
      </c>
      <c r="D1057" s="38">
        <v>256779416000</v>
      </c>
      <c r="E1057" s="13" t="s">
        <v>0</v>
      </c>
      <c r="F1057" s="13">
        <v>12698</v>
      </c>
      <c r="G1057" s="13" t="s">
        <v>480</v>
      </c>
      <c r="H1057" s="13">
        <f t="shared" si="20"/>
        <v>0</v>
      </c>
      <c r="I1057" s="13"/>
      <c r="J1057" s="13"/>
      <c r="K1057" s="13"/>
      <c r="L1057" s="13"/>
      <c r="M1057" s="13"/>
      <c r="N1057" s="13"/>
      <c r="O1057" s="13"/>
      <c r="P1057" s="21">
        <v>0</v>
      </c>
    </row>
    <row r="1058" spans="1:16" hidden="1" x14ac:dyDescent="0.25">
      <c r="A1058" s="19"/>
      <c r="B1058" s="14"/>
      <c r="C1058" s="14" t="s">
        <v>521</v>
      </c>
      <c r="D1058" s="38">
        <v>256779416143</v>
      </c>
      <c r="E1058" s="13" t="s">
        <v>0</v>
      </c>
      <c r="F1058" s="13">
        <v>726</v>
      </c>
      <c r="G1058" s="13" t="s">
        <v>480</v>
      </c>
      <c r="H1058" s="13">
        <f t="shared" si="20"/>
        <v>0</v>
      </c>
      <c r="I1058" s="13"/>
      <c r="J1058" s="13"/>
      <c r="K1058" s="13"/>
      <c r="L1058" s="13"/>
      <c r="M1058" s="13"/>
      <c r="N1058" s="13"/>
      <c r="O1058" s="13"/>
      <c r="P1058" s="21">
        <v>0</v>
      </c>
    </row>
    <row r="1059" spans="1:16" hidden="1" x14ac:dyDescent="0.25">
      <c r="A1059" s="19">
        <v>46036</v>
      </c>
      <c r="B1059" s="14" t="s">
        <v>489</v>
      </c>
      <c r="C1059" s="14" t="s">
        <v>517</v>
      </c>
      <c r="D1059" s="14"/>
      <c r="E1059" s="13" t="s">
        <v>0</v>
      </c>
      <c r="F1059" s="13" t="s">
        <v>0</v>
      </c>
      <c r="G1059" s="13" t="s">
        <v>0</v>
      </c>
      <c r="H1059" s="13">
        <f t="shared" si="20"/>
        <v>0</v>
      </c>
      <c r="I1059" s="13" t="s">
        <v>518</v>
      </c>
      <c r="J1059" s="13"/>
      <c r="K1059" s="13"/>
      <c r="L1059" s="13" t="s">
        <v>519</v>
      </c>
      <c r="M1059" s="13" t="s">
        <v>692</v>
      </c>
      <c r="N1059" s="13">
        <v>150000</v>
      </c>
      <c r="O1059" s="13"/>
      <c r="P1059" s="21">
        <v>0</v>
      </c>
    </row>
    <row r="1060" spans="1:16" hidden="1" x14ac:dyDescent="0.25">
      <c r="A1060" s="19"/>
      <c r="B1060" s="14"/>
      <c r="C1060" s="14" t="s">
        <v>521</v>
      </c>
      <c r="D1060" s="38">
        <v>256779416143</v>
      </c>
      <c r="E1060" s="13" t="s">
        <v>0</v>
      </c>
      <c r="F1060" s="13">
        <v>1489</v>
      </c>
      <c r="G1060" s="13" t="s">
        <v>480</v>
      </c>
      <c r="H1060" s="13">
        <f t="shared" si="20"/>
        <v>0</v>
      </c>
      <c r="I1060" s="13"/>
      <c r="J1060" s="13"/>
      <c r="K1060" s="13"/>
      <c r="L1060" s="13"/>
      <c r="M1060" s="13"/>
      <c r="N1060" s="13"/>
      <c r="O1060" s="13"/>
      <c r="P1060" s="21">
        <v>0</v>
      </c>
    </row>
    <row r="1061" spans="1:16" hidden="1" x14ac:dyDescent="0.25">
      <c r="A1061" s="19"/>
      <c r="B1061" s="14"/>
      <c r="C1061" s="14" t="s">
        <v>521</v>
      </c>
      <c r="D1061" s="38">
        <v>256779416043</v>
      </c>
      <c r="E1061" s="13" t="s">
        <v>0</v>
      </c>
      <c r="F1061" s="13">
        <v>139369</v>
      </c>
      <c r="G1061" s="13" t="s">
        <v>480</v>
      </c>
      <c r="H1061" s="13">
        <f t="shared" si="20"/>
        <v>0</v>
      </c>
      <c r="I1061" s="13"/>
      <c r="J1061" s="13"/>
      <c r="K1061" s="13"/>
      <c r="L1061" s="13"/>
      <c r="M1061" s="13"/>
      <c r="N1061" s="13"/>
      <c r="O1061" s="13"/>
      <c r="P1061" s="21">
        <v>0</v>
      </c>
    </row>
    <row r="1062" spans="1:16" hidden="1" x14ac:dyDescent="0.25">
      <c r="A1062" s="19"/>
      <c r="B1062" s="14"/>
      <c r="C1062" s="14" t="s">
        <v>521</v>
      </c>
      <c r="D1062" s="38">
        <v>256779416183</v>
      </c>
      <c r="E1062" s="13" t="s">
        <v>0</v>
      </c>
      <c r="F1062" s="13">
        <v>8627</v>
      </c>
      <c r="G1062" s="13" t="s">
        <v>480</v>
      </c>
      <c r="H1062" s="13">
        <f t="shared" si="20"/>
        <v>0</v>
      </c>
      <c r="I1062" s="13"/>
      <c r="J1062" s="13"/>
      <c r="K1062" s="13"/>
      <c r="L1062" s="13"/>
      <c r="M1062" s="13"/>
      <c r="N1062" s="13"/>
      <c r="O1062" s="13"/>
      <c r="P1062" s="21">
        <v>0</v>
      </c>
    </row>
    <row r="1063" spans="1:16" hidden="1" x14ac:dyDescent="0.25">
      <c r="A1063" s="19"/>
      <c r="B1063" s="14"/>
      <c r="C1063" s="14" t="s">
        <v>521</v>
      </c>
      <c r="D1063" s="38">
        <v>256779416229</v>
      </c>
      <c r="E1063" s="13" t="s">
        <v>0</v>
      </c>
      <c r="F1063" s="13">
        <v>515</v>
      </c>
      <c r="G1063" s="13" t="s">
        <v>480</v>
      </c>
      <c r="H1063" s="13">
        <f t="shared" si="20"/>
        <v>0</v>
      </c>
      <c r="I1063" s="13"/>
      <c r="J1063" s="13"/>
      <c r="K1063" s="13"/>
      <c r="L1063" s="13"/>
      <c r="M1063" s="13"/>
      <c r="N1063" s="13"/>
      <c r="O1063" s="13"/>
      <c r="P1063" s="21">
        <v>0</v>
      </c>
    </row>
    <row r="1064" spans="1:16" hidden="1" x14ac:dyDescent="0.25">
      <c r="A1064" s="19">
        <v>46043</v>
      </c>
      <c r="B1064" s="14" t="s">
        <v>489</v>
      </c>
      <c r="C1064" s="14" t="s">
        <v>517</v>
      </c>
      <c r="D1064" s="14"/>
      <c r="E1064" s="13" t="s">
        <v>0</v>
      </c>
      <c r="F1064" s="13" t="s">
        <v>0</v>
      </c>
      <c r="G1064" s="13" t="s">
        <v>0</v>
      </c>
      <c r="H1064" s="13">
        <f t="shared" si="20"/>
        <v>0</v>
      </c>
      <c r="I1064" s="13" t="s">
        <v>518</v>
      </c>
      <c r="J1064" s="13"/>
      <c r="K1064" s="13"/>
      <c r="L1064" s="13" t="s">
        <v>519</v>
      </c>
      <c r="M1064" s="13" t="s">
        <v>693</v>
      </c>
      <c r="N1064" s="13">
        <v>150000</v>
      </c>
      <c r="O1064" s="13"/>
      <c r="P1064" s="21">
        <v>0</v>
      </c>
    </row>
    <row r="1065" spans="1:16" hidden="1" x14ac:dyDescent="0.25">
      <c r="A1065" s="19"/>
      <c r="B1065" s="14"/>
      <c r="C1065" s="14" t="s">
        <v>521</v>
      </c>
      <c r="D1065" s="38">
        <v>256779416229</v>
      </c>
      <c r="E1065" s="13" t="s">
        <v>0</v>
      </c>
      <c r="F1065" s="13">
        <v>1399</v>
      </c>
      <c r="G1065" s="13" t="s">
        <v>480</v>
      </c>
      <c r="H1065" s="13">
        <f t="shared" si="20"/>
        <v>0</v>
      </c>
      <c r="I1065" s="13"/>
      <c r="J1065" s="13"/>
      <c r="K1065" s="13"/>
      <c r="L1065" s="13"/>
      <c r="M1065" s="13"/>
      <c r="N1065" s="13"/>
      <c r="O1065" s="13"/>
      <c r="P1065" s="21">
        <v>0</v>
      </c>
    </row>
    <row r="1066" spans="1:16" hidden="1" x14ac:dyDescent="0.25">
      <c r="A1066" s="19"/>
      <c r="B1066" s="14"/>
      <c r="C1066" s="14" t="s">
        <v>521</v>
      </c>
      <c r="D1066" s="38">
        <v>256779416081</v>
      </c>
      <c r="E1066" s="13" t="s">
        <v>0</v>
      </c>
      <c r="F1066" s="13">
        <v>98139</v>
      </c>
      <c r="G1066" s="13" t="s">
        <v>480</v>
      </c>
      <c r="H1066" s="13">
        <f t="shared" si="20"/>
        <v>0</v>
      </c>
      <c r="I1066" s="13"/>
      <c r="J1066" s="13"/>
      <c r="K1066" s="13"/>
      <c r="L1066" s="13"/>
      <c r="M1066" s="13"/>
      <c r="N1066" s="13"/>
      <c r="O1066" s="13"/>
      <c r="P1066" s="21">
        <v>0</v>
      </c>
    </row>
    <row r="1067" spans="1:16" hidden="1" x14ac:dyDescent="0.25">
      <c r="A1067" s="19"/>
      <c r="B1067" s="14"/>
      <c r="C1067" s="14" t="s">
        <v>521</v>
      </c>
      <c r="D1067" s="38">
        <v>256779416447</v>
      </c>
      <c r="E1067" s="13" t="s">
        <v>0</v>
      </c>
      <c r="F1067" s="13">
        <v>30209</v>
      </c>
      <c r="G1067" s="13" t="s">
        <v>480</v>
      </c>
      <c r="H1067" s="13">
        <f t="shared" si="20"/>
        <v>0</v>
      </c>
      <c r="I1067" s="13"/>
      <c r="J1067" s="13"/>
      <c r="K1067" s="13"/>
      <c r="L1067" s="13"/>
      <c r="M1067" s="13"/>
      <c r="N1067" s="13"/>
      <c r="O1067" s="13"/>
      <c r="P1067" s="21">
        <v>0</v>
      </c>
    </row>
    <row r="1068" spans="1:16" hidden="1" x14ac:dyDescent="0.25">
      <c r="A1068" s="19"/>
      <c r="B1068" s="14"/>
      <c r="C1068" s="14" t="s">
        <v>521</v>
      </c>
      <c r="D1068" s="38">
        <v>256779416455</v>
      </c>
      <c r="E1068" s="13" t="s">
        <v>0</v>
      </c>
      <c r="F1068" s="13">
        <v>1155</v>
      </c>
      <c r="G1068" s="13" t="s">
        <v>480</v>
      </c>
      <c r="H1068" s="13">
        <f t="shared" si="20"/>
        <v>0</v>
      </c>
      <c r="I1068" s="13"/>
      <c r="J1068" s="13"/>
      <c r="K1068" s="13"/>
      <c r="L1068" s="13"/>
      <c r="M1068" s="13"/>
      <c r="N1068" s="13"/>
      <c r="O1068" s="13"/>
      <c r="P1068" s="21">
        <v>0</v>
      </c>
    </row>
    <row r="1069" spans="1:16" hidden="1" x14ac:dyDescent="0.25">
      <c r="A1069" s="19"/>
      <c r="B1069" s="14"/>
      <c r="C1069" s="14" t="s">
        <v>521</v>
      </c>
      <c r="D1069" s="38">
        <v>256779416517</v>
      </c>
      <c r="E1069" s="13" t="s">
        <v>0</v>
      </c>
      <c r="F1069" s="13">
        <v>4749</v>
      </c>
      <c r="G1069" s="13" t="s">
        <v>480</v>
      </c>
      <c r="H1069" s="13">
        <f t="shared" si="20"/>
        <v>0</v>
      </c>
      <c r="I1069" s="13"/>
      <c r="J1069" s="13"/>
      <c r="K1069" s="13"/>
      <c r="L1069" s="13"/>
      <c r="M1069" s="13"/>
      <c r="N1069" s="13"/>
      <c r="O1069" s="13"/>
      <c r="P1069" s="21">
        <v>0</v>
      </c>
    </row>
    <row r="1070" spans="1:16" hidden="1" x14ac:dyDescent="0.25">
      <c r="A1070" s="19"/>
      <c r="B1070" s="14"/>
      <c r="C1070" s="14" t="s">
        <v>521</v>
      </c>
      <c r="D1070" s="38">
        <v>256779416848</v>
      </c>
      <c r="E1070" s="13" t="s">
        <v>0</v>
      </c>
      <c r="F1070" s="13">
        <v>1496</v>
      </c>
      <c r="G1070" s="13" t="s">
        <v>480</v>
      </c>
      <c r="H1070" s="13">
        <f t="shared" si="20"/>
        <v>0</v>
      </c>
      <c r="I1070" s="13"/>
      <c r="J1070" s="13"/>
      <c r="K1070" s="13"/>
      <c r="L1070" s="13"/>
      <c r="M1070" s="13"/>
      <c r="N1070" s="13"/>
      <c r="O1070" s="13"/>
      <c r="P1070" s="21">
        <v>0</v>
      </c>
    </row>
    <row r="1071" spans="1:16" hidden="1" x14ac:dyDescent="0.25">
      <c r="A1071" s="19"/>
      <c r="B1071" s="14"/>
      <c r="C1071" s="14" t="s">
        <v>521</v>
      </c>
      <c r="D1071" s="38">
        <v>256779416883</v>
      </c>
      <c r="E1071" s="13" t="s">
        <v>0</v>
      </c>
      <c r="F1071" s="13">
        <v>4220</v>
      </c>
      <c r="G1071" s="13" t="s">
        <v>480</v>
      </c>
      <c r="H1071" s="13">
        <f t="shared" si="20"/>
        <v>0</v>
      </c>
      <c r="I1071" s="13"/>
      <c r="J1071" s="13"/>
      <c r="K1071" s="13"/>
      <c r="L1071" s="13"/>
      <c r="M1071" s="13"/>
      <c r="N1071" s="13"/>
      <c r="O1071" s="13"/>
      <c r="P1071" s="21">
        <v>0</v>
      </c>
    </row>
    <row r="1072" spans="1:16" hidden="1" x14ac:dyDescent="0.25">
      <c r="A1072" s="19"/>
      <c r="B1072" s="14"/>
      <c r="C1072" s="14" t="s">
        <v>521</v>
      </c>
      <c r="D1072" s="38">
        <v>256779417163</v>
      </c>
      <c r="E1072" s="13" t="s">
        <v>0</v>
      </c>
      <c r="F1072" s="13">
        <v>6444</v>
      </c>
      <c r="G1072" s="13" t="s">
        <v>480</v>
      </c>
      <c r="H1072" s="13">
        <f t="shared" si="20"/>
        <v>0</v>
      </c>
      <c r="I1072" s="13"/>
      <c r="J1072" s="13"/>
      <c r="K1072" s="13"/>
      <c r="L1072" s="13"/>
      <c r="M1072" s="13"/>
      <c r="N1072" s="13"/>
      <c r="O1072" s="13"/>
      <c r="P1072" s="21">
        <v>0</v>
      </c>
    </row>
    <row r="1073" spans="1:16" hidden="1" x14ac:dyDescent="0.25">
      <c r="A1073" s="19"/>
      <c r="B1073" s="14"/>
      <c r="C1073" s="14" t="s">
        <v>521</v>
      </c>
      <c r="D1073" s="38">
        <v>256779417075</v>
      </c>
      <c r="E1073" s="13" t="s">
        <v>0</v>
      </c>
      <c r="F1073" s="13">
        <v>2189</v>
      </c>
      <c r="G1073" s="13" t="s">
        <v>480</v>
      </c>
      <c r="H1073" s="13">
        <f t="shared" si="20"/>
        <v>0</v>
      </c>
      <c r="I1073" s="13"/>
      <c r="J1073" s="13"/>
      <c r="K1073" s="13"/>
      <c r="L1073" s="13"/>
      <c r="M1073" s="13"/>
      <c r="N1073" s="13"/>
      <c r="O1073" s="13"/>
      <c r="P1073" s="21">
        <v>0</v>
      </c>
    </row>
    <row r="1074" spans="1:16" hidden="1" x14ac:dyDescent="0.25">
      <c r="A1074" s="19">
        <v>46053</v>
      </c>
      <c r="B1074" s="14" t="s">
        <v>489</v>
      </c>
      <c r="C1074" s="14" t="s">
        <v>517</v>
      </c>
      <c r="D1074" s="14"/>
      <c r="E1074" s="13" t="s">
        <v>0</v>
      </c>
      <c r="F1074" s="13" t="s">
        <v>0</v>
      </c>
      <c r="G1074" s="13" t="s">
        <v>0</v>
      </c>
      <c r="H1074" s="13">
        <f t="shared" si="20"/>
        <v>0</v>
      </c>
      <c r="I1074" s="13" t="s">
        <v>518</v>
      </c>
      <c r="J1074" s="13"/>
      <c r="K1074" s="13"/>
      <c r="L1074" s="13" t="s">
        <v>519</v>
      </c>
      <c r="M1074" s="13" t="s">
        <v>694</v>
      </c>
      <c r="N1074" s="13">
        <v>200000</v>
      </c>
      <c r="O1074" s="13"/>
      <c r="P1074" s="21">
        <v>0</v>
      </c>
    </row>
    <row r="1075" spans="1:16" hidden="1" x14ac:dyDescent="0.25">
      <c r="A1075" s="19"/>
      <c r="B1075" s="14"/>
      <c r="C1075" s="14" t="s">
        <v>521</v>
      </c>
      <c r="D1075" s="38">
        <v>256779417075</v>
      </c>
      <c r="E1075" s="13" t="s">
        <v>0</v>
      </c>
      <c r="F1075" s="13">
        <v>84373</v>
      </c>
      <c r="G1075" s="13" t="s">
        <v>480</v>
      </c>
      <c r="H1075" s="13">
        <f t="shared" si="20"/>
        <v>0</v>
      </c>
      <c r="I1075" s="13"/>
      <c r="J1075" s="13"/>
      <c r="K1075" s="13"/>
      <c r="L1075" s="13"/>
      <c r="M1075" s="13"/>
      <c r="N1075" s="13"/>
      <c r="O1075" s="13"/>
      <c r="P1075" s="21">
        <v>0</v>
      </c>
    </row>
    <row r="1076" spans="1:16" hidden="1" x14ac:dyDescent="0.25">
      <c r="A1076" s="19"/>
      <c r="B1076" s="14"/>
      <c r="C1076" s="14" t="s">
        <v>521</v>
      </c>
      <c r="D1076" s="38">
        <v>256779417188</v>
      </c>
      <c r="E1076" s="13" t="s">
        <v>0</v>
      </c>
      <c r="F1076" s="13">
        <v>12007</v>
      </c>
      <c r="G1076" s="13" t="s">
        <v>480</v>
      </c>
      <c r="H1076" s="13">
        <f t="shared" si="20"/>
        <v>0</v>
      </c>
      <c r="I1076" s="13"/>
      <c r="J1076" s="13"/>
      <c r="K1076" s="13"/>
      <c r="L1076" s="13"/>
      <c r="M1076" s="13"/>
      <c r="N1076" s="13"/>
      <c r="O1076" s="13"/>
      <c r="P1076" s="21">
        <v>0</v>
      </c>
    </row>
    <row r="1077" spans="1:16" hidden="1" x14ac:dyDescent="0.25">
      <c r="A1077" s="19"/>
      <c r="B1077" s="14"/>
      <c r="C1077" s="14" t="s">
        <v>521</v>
      </c>
      <c r="D1077" s="38">
        <v>256779417247</v>
      </c>
      <c r="E1077" s="13" t="s">
        <v>0</v>
      </c>
      <c r="F1077" s="13">
        <v>9273</v>
      </c>
      <c r="G1077" s="13" t="s">
        <v>480</v>
      </c>
      <c r="H1077" s="13">
        <f t="shared" si="20"/>
        <v>0</v>
      </c>
      <c r="I1077" s="13"/>
      <c r="J1077" s="13"/>
      <c r="K1077" s="13"/>
      <c r="L1077" s="13"/>
      <c r="M1077" s="13"/>
      <c r="N1077" s="13"/>
      <c r="O1077" s="13"/>
      <c r="P1077" s="21">
        <v>0</v>
      </c>
    </row>
    <row r="1078" spans="1:16" hidden="1" x14ac:dyDescent="0.25">
      <c r="A1078" s="19"/>
      <c r="B1078" s="14"/>
      <c r="C1078" s="14" t="s">
        <v>521</v>
      </c>
      <c r="D1078" s="38">
        <v>256779417290</v>
      </c>
      <c r="E1078" s="13" t="s">
        <v>0</v>
      </c>
      <c r="F1078" s="13">
        <v>49606</v>
      </c>
      <c r="G1078" s="13" t="s">
        <v>480</v>
      </c>
      <c r="H1078" s="13">
        <f t="shared" si="20"/>
        <v>0</v>
      </c>
      <c r="I1078" s="13"/>
      <c r="J1078" s="13"/>
      <c r="K1078" s="13"/>
      <c r="L1078" s="13"/>
      <c r="M1078" s="13"/>
      <c r="N1078" s="13"/>
      <c r="O1078" s="13"/>
      <c r="P1078" s="21">
        <v>0</v>
      </c>
    </row>
    <row r="1079" spans="1:16" hidden="1" x14ac:dyDescent="0.25">
      <c r="A1079" s="19"/>
      <c r="B1079" s="14"/>
      <c r="C1079" s="14" t="s">
        <v>521</v>
      </c>
      <c r="D1079" s="38">
        <v>256779417330</v>
      </c>
      <c r="E1079" s="13" t="s">
        <v>0</v>
      </c>
      <c r="F1079" s="13">
        <v>1159</v>
      </c>
      <c r="G1079" s="13" t="s">
        <v>480</v>
      </c>
      <c r="H1079" s="13">
        <f t="shared" si="20"/>
        <v>0</v>
      </c>
      <c r="I1079" s="13"/>
      <c r="J1079" s="13"/>
      <c r="K1079" s="13"/>
      <c r="L1079" s="13"/>
      <c r="M1079" s="13"/>
      <c r="N1079" s="13"/>
      <c r="O1079" s="13"/>
      <c r="P1079" s="21">
        <v>0</v>
      </c>
    </row>
    <row r="1080" spans="1:16" hidden="1" x14ac:dyDescent="0.25">
      <c r="A1080" s="19"/>
      <c r="B1080" s="14"/>
      <c r="C1080" s="14" t="s">
        <v>521</v>
      </c>
      <c r="D1080" s="38">
        <v>256779417530</v>
      </c>
      <c r="E1080" s="13" t="s">
        <v>0</v>
      </c>
      <c r="F1080" s="13">
        <v>3542</v>
      </c>
      <c r="G1080" s="13" t="s">
        <v>480</v>
      </c>
      <c r="H1080" s="13">
        <f t="shared" si="20"/>
        <v>0</v>
      </c>
      <c r="I1080" s="13"/>
      <c r="J1080" s="13"/>
      <c r="K1080" s="13"/>
      <c r="L1080" s="13"/>
      <c r="M1080" s="13"/>
      <c r="N1080" s="13"/>
      <c r="O1080" s="13"/>
      <c r="P1080" s="21">
        <v>0</v>
      </c>
    </row>
    <row r="1081" spans="1:16" hidden="1" x14ac:dyDescent="0.25">
      <c r="A1081" s="19"/>
      <c r="B1081" s="14"/>
      <c r="C1081" s="14" t="s">
        <v>521</v>
      </c>
      <c r="D1081" s="38">
        <v>256779417571</v>
      </c>
      <c r="E1081" s="13" t="s">
        <v>0</v>
      </c>
      <c r="F1081" s="13">
        <v>13451</v>
      </c>
      <c r="G1081" s="13" t="s">
        <v>480</v>
      </c>
      <c r="H1081" s="13">
        <f t="shared" si="20"/>
        <v>0</v>
      </c>
      <c r="I1081" s="13"/>
      <c r="J1081" s="13"/>
      <c r="K1081" s="13"/>
      <c r="L1081" s="13"/>
      <c r="M1081" s="13"/>
      <c r="N1081" s="13"/>
      <c r="O1081" s="13"/>
      <c r="P1081" s="21">
        <v>0</v>
      </c>
    </row>
    <row r="1082" spans="1:16" hidden="1" x14ac:dyDescent="0.25">
      <c r="A1082" s="19"/>
      <c r="B1082" s="14"/>
      <c r="C1082" s="14" t="s">
        <v>521</v>
      </c>
      <c r="D1082" s="38">
        <v>256779417904</v>
      </c>
      <c r="E1082" s="13" t="s">
        <v>0</v>
      </c>
      <c r="F1082" s="13">
        <v>2584</v>
      </c>
      <c r="G1082" s="13" t="s">
        <v>480</v>
      </c>
      <c r="H1082" s="13">
        <f t="shared" si="20"/>
        <v>0</v>
      </c>
      <c r="I1082" s="13"/>
      <c r="J1082" s="13"/>
      <c r="K1082" s="13"/>
      <c r="L1082" s="13"/>
      <c r="M1082" s="13"/>
      <c r="N1082" s="13"/>
      <c r="O1082" s="13"/>
      <c r="P1082" s="21">
        <v>0</v>
      </c>
    </row>
    <row r="1083" spans="1:16" hidden="1" x14ac:dyDescent="0.25">
      <c r="A1083" s="19"/>
      <c r="B1083" s="14"/>
      <c r="C1083" s="14" t="s">
        <v>521</v>
      </c>
      <c r="D1083" s="38">
        <v>256779417943</v>
      </c>
      <c r="E1083" s="13" t="s">
        <v>0</v>
      </c>
      <c r="F1083" s="13">
        <v>23408</v>
      </c>
      <c r="G1083" s="13" t="s">
        <v>480</v>
      </c>
      <c r="H1083" s="13">
        <f t="shared" si="20"/>
        <v>0</v>
      </c>
      <c r="I1083" s="13"/>
      <c r="J1083" s="13"/>
      <c r="K1083" s="13"/>
      <c r="L1083" s="13"/>
      <c r="M1083" s="13"/>
      <c r="N1083" s="13"/>
      <c r="O1083" s="13"/>
      <c r="P1083" s="21">
        <v>0</v>
      </c>
    </row>
    <row r="1084" spans="1:16" hidden="1" x14ac:dyDescent="0.25">
      <c r="A1084" s="19"/>
      <c r="B1084" s="14"/>
      <c r="C1084" s="14" t="s">
        <v>521</v>
      </c>
      <c r="D1084" s="38">
        <v>256779418828</v>
      </c>
      <c r="E1084" s="13" t="s">
        <v>0</v>
      </c>
      <c r="F1084" s="13">
        <v>597</v>
      </c>
      <c r="G1084" s="13" t="s">
        <v>480</v>
      </c>
      <c r="H1084" s="13">
        <f t="shared" si="20"/>
        <v>0</v>
      </c>
      <c r="I1084" s="13"/>
      <c r="J1084" s="13"/>
      <c r="K1084" s="13"/>
      <c r="L1084" s="13"/>
      <c r="M1084" s="13"/>
      <c r="N1084" s="13"/>
      <c r="O1084" s="13"/>
      <c r="P1084" s="21">
        <v>0</v>
      </c>
    </row>
    <row r="1085" spans="1:16" x14ac:dyDescent="0.25">
      <c r="A1085" s="15"/>
      <c r="B1085" s="16"/>
      <c r="C1085" s="16"/>
      <c r="D1085" s="16"/>
      <c r="E1085" s="17"/>
      <c r="F1085" s="17"/>
      <c r="G1085" s="17"/>
      <c r="H1085" s="17"/>
      <c r="I1085" s="17"/>
      <c r="J1085" s="17"/>
      <c r="K1085" s="17"/>
      <c r="L1085" s="17"/>
      <c r="M1085" s="17"/>
      <c r="N1085" s="17"/>
      <c r="O1085" s="17"/>
    </row>
    <row r="1086" spans="1:16" x14ac:dyDescent="0.25">
      <c r="A1086" s="15"/>
      <c r="B1086" s="16"/>
      <c r="C1086" s="16"/>
      <c r="D1086" s="16"/>
      <c r="E1086" s="17"/>
      <c r="F1086" s="17"/>
      <c r="G1086" s="17"/>
      <c r="H1086" s="17"/>
      <c r="I1086" s="17"/>
      <c r="J1086" s="17"/>
      <c r="K1086" s="17"/>
      <c r="L1086" s="17"/>
      <c r="M1086" s="17"/>
      <c r="N1086" s="17"/>
      <c r="O1086" s="17"/>
    </row>
    <row r="1087" spans="1:16" x14ac:dyDescent="0.25">
      <c r="A1087" s="15" t="s">
        <v>0</v>
      </c>
      <c r="B1087" s="16" t="s">
        <v>0</v>
      </c>
      <c r="C1087" s="16" t="s">
        <v>0</v>
      </c>
      <c r="D1087" s="16" t="s">
        <v>0</v>
      </c>
      <c r="E1087" s="17">
        <v>4732093</v>
      </c>
      <c r="F1087" s="17"/>
      <c r="G1087" s="17"/>
      <c r="H1087" s="17"/>
      <c r="I1087" s="17"/>
      <c r="J1087" s="17"/>
      <c r="K1087" s="17"/>
      <c r="L1087" s="17">
        <v>5695048</v>
      </c>
      <c r="M1087" s="17"/>
      <c r="N1087" s="17"/>
      <c r="O1087" s="17"/>
    </row>
    <row r="1088" spans="1:16" ht="14.5" x14ac:dyDescent="0.35">
      <c r="A1088" s="15" t="s">
        <v>0</v>
      </c>
      <c r="B1088" s="16" t="s">
        <v>489</v>
      </c>
      <c r="C1088" s="16" t="s">
        <v>695</v>
      </c>
      <c r="D1088" s="16" t="s">
        <v>0</v>
      </c>
      <c r="E1088" s="17" t="s">
        <v>0</v>
      </c>
      <c r="F1088" s="17" t="s">
        <v>0</v>
      </c>
      <c r="G1088" s="17" t="s">
        <v>0</v>
      </c>
      <c r="H1088" s="17" t="s">
        <v>0</v>
      </c>
      <c r="I1088" s="17"/>
      <c r="J1088" s="17">
        <v>65718.86</v>
      </c>
      <c r="K1088" s="17" t="s">
        <v>0</v>
      </c>
      <c r="L1088" s="17" t="s">
        <v>0</v>
      </c>
      <c r="M1088" s="18">
        <v>962955</v>
      </c>
      <c r="N1088" s="17"/>
      <c r="O1088" s="17"/>
    </row>
    <row r="1089" spans="1:15" x14ac:dyDescent="0.25">
      <c r="A1089" s="15" t="s">
        <v>0</v>
      </c>
      <c r="B1089" s="16" t="s">
        <v>0</v>
      </c>
      <c r="C1089" s="16" t="s">
        <v>0</v>
      </c>
      <c r="D1089" s="16" t="s">
        <v>0</v>
      </c>
      <c r="E1089" s="17">
        <v>5695048</v>
      </c>
      <c r="F1089" s="17"/>
      <c r="G1089" s="17"/>
      <c r="H1089" s="17"/>
      <c r="I1089" s="17"/>
      <c r="J1089" s="17"/>
      <c r="K1089" s="17"/>
      <c r="L1089" s="17">
        <v>5695048</v>
      </c>
      <c r="M1089" s="17"/>
      <c r="N1089" s="17"/>
      <c r="O1089" s="17"/>
    </row>
    <row r="1090" spans="1:15" x14ac:dyDescent="0.25">
      <c r="A1090" s="15"/>
      <c r="B1090" s="16"/>
      <c r="C1090" s="16"/>
      <c r="D1090" s="16"/>
      <c r="E1090" s="17"/>
      <c r="F1090" s="17"/>
      <c r="G1090" s="17"/>
      <c r="H1090" s="17"/>
      <c r="I1090" s="17"/>
      <c r="J1090" s="17"/>
      <c r="K1090" s="17"/>
      <c r="L1090" s="17"/>
      <c r="M1090" s="17"/>
      <c r="N1090" s="17"/>
      <c r="O1090" s="17"/>
    </row>
  </sheetData>
  <autoFilter ref="A2:P1084" xr:uid="{FF51F3C6-7D11-44D5-810C-F61BF24B8070}">
    <filterColumn colId="7">
      <filters>
        <filter val="1,012"/>
        <filter val="1,045"/>
        <filter val="1,078"/>
        <filter val="1,610"/>
        <filter val="1,617"/>
        <filter val="10,604"/>
        <filter val="10,904"/>
        <filter val="104"/>
        <filter val="107"/>
        <filter val="11"/>
        <filter val="11,729"/>
        <filter val="11,886"/>
        <filter val="115"/>
        <filter val="118"/>
        <filter val="12"/>
        <filter val="12,913"/>
        <filter val="121"/>
        <filter val="124"/>
        <filter val="127"/>
        <filter val="13,082"/>
        <filter val="131"/>
        <filter val="134"/>
        <filter val="15,388"/>
        <filter val="15,477"/>
        <filter val="15,480"/>
        <filter val="15,485"/>
        <filter val="15,597"/>
        <filter val="15,606"/>
        <filter val="15,655"/>
        <filter val="15,753"/>
        <filter val="15,841"/>
        <filter val="15,874"/>
        <filter val="153"/>
        <filter val="16"/>
        <filter val="16,543"/>
        <filter val="16,863"/>
        <filter val="163"/>
        <filter val="17"/>
        <filter val="176"/>
        <filter val="18"/>
        <filter val="189"/>
        <filter val="191"/>
        <filter val="192"/>
        <filter val="2"/>
        <filter val="2,321"/>
        <filter val="20,087"/>
        <filter val="20,819"/>
        <filter val="206"/>
        <filter val="21"/>
        <filter val="212"/>
        <filter val="22"/>
        <filter val="22,098"/>
        <filter val="221"/>
        <filter val="222"/>
        <filter val="23"/>
        <filter val="24"/>
        <filter val="245"/>
        <filter val="246"/>
        <filter val="257"/>
        <filter val="259"/>
        <filter val="26"/>
        <filter val="275"/>
        <filter val="283"/>
        <filter val="3"/>
        <filter val="3,625"/>
        <filter val="3,869"/>
        <filter val="3,933"/>
        <filter val="3,968"/>
        <filter val="3,999"/>
        <filter val="302"/>
        <filter val="31"/>
        <filter val="325"/>
        <filter val="329"/>
        <filter val="344"/>
        <filter val="347"/>
        <filter val="36"/>
        <filter val="39"/>
        <filter val="4,013"/>
        <filter val="4,046"/>
        <filter val="4,064"/>
        <filter val="411"/>
        <filter val="414"/>
        <filter val="426"/>
        <filter val="434"/>
        <filter val="436"/>
        <filter val="45"/>
        <filter val="471"/>
        <filter val="478"/>
        <filter val="479"/>
        <filter val="496"/>
        <filter val="5"/>
        <filter val="50"/>
        <filter val="51"/>
        <filter val="52"/>
        <filter val="53"/>
        <filter val="548"/>
        <filter val="568"/>
        <filter val="6"/>
        <filter val="61"/>
        <filter val="610"/>
        <filter val="617"/>
        <filter val="62"/>
        <filter val="631"/>
        <filter val="66"/>
        <filter val="677"/>
        <filter val="72"/>
        <filter val="74"/>
        <filter val="75"/>
        <filter val="79"/>
        <filter val="8,894"/>
        <filter val="809"/>
        <filter val="82"/>
        <filter val="83"/>
        <filter val="848"/>
        <filter val="86"/>
        <filter val="88"/>
        <filter val="89"/>
        <filter val="9"/>
        <filter val="9,272"/>
        <filter val="9,404"/>
        <filter val="9,618"/>
        <filter val="90"/>
        <filter val="91"/>
        <filter val="939"/>
        <filter val="957"/>
        <filter val="96"/>
        <filter val="97"/>
        <filter val="988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5"/>
  <sheetViews>
    <sheetView topLeftCell="B1" zoomScale="115" zoomScaleNormal="115" workbookViewId="0">
      <selection activeCell="G2" sqref="G2"/>
    </sheetView>
  </sheetViews>
  <sheetFormatPr defaultRowHeight="12.5" outlineLevelRow="3" x14ac:dyDescent="0.25"/>
  <cols>
    <col min="1" max="1" width="7.6328125" hidden="1" customWidth="1"/>
    <col min="2" max="2" width="17.90625" bestFit="1" customWidth="1"/>
    <col min="3" max="3" width="11.08984375" bestFit="1" customWidth="1"/>
    <col min="4" max="4" width="15.54296875" bestFit="1" customWidth="1"/>
    <col min="5" max="5" width="16.08984375" hidden="1" customWidth="1"/>
    <col min="6" max="6" width="13.90625" hidden="1" customWidth="1"/>
    <col min="7" max="7" width="15.1796875" bestFit="1" customWidth="1"/>
    <col min="8" max="8" width="10.1796875" bestFit="1" customWidth="1"/>
    <col min="9" max="9" width="18.1796875" bestFit="1" customWidth="1"/>
    <col min="10" max="10" width="44.90625" bestFit="1" customWidth="1"/>
    <col min="11" max="11" width="10.81640625" hidden="1" customWidth="1"/>
    <col min="12" max="12" width="13.36328125" hidden="1" customWidth="1"/>
    <col min="13" max="13" width="10.81640625" hidden="1" customWidth="1"/>
    <col min="14" max="14" width="11.1796875" hidden="1" customWidth="1"/>
    <col min="15" max="15" width="16.81640625" hidden="1" customWidth="1"/>
    <col min="16" max="16" width="13" hidden="1" customWidth="1"/>
    <col min="17" max="17" width="0" hidden="1" customWidth="1"/>
    <col min="18" max="18" width="13.453125" bestFit="1" customWidth="1"/>
    <col min="19" max="19" width="13.1796875" style="28" bestFit="1" customWidth="1"/>
    <col min="20" max="20" width="21.453125" bestFit="1" customWidth="1"/>
    <col min="21" max="21" width="12.90625" bestFit="1" customWidth="1"/>
    <col min="22" max="22" width="44.90625" bestFit="1" customWidth="1"/>
  </cols>
  <sheetData>
    <row r="1" spans="1:18" ht="29" customHeight="1" x14ac:dyDescent="0.25">
      <c r="A1" s="1" t="s">
        <v>430</v>
      </c>
      <c r="B1" s="1" t="s">
        <v>431</v>
      </c>
      <c r="C1" s="8" t="s">
        <v>432</v>
      </c>
      <c r="D1" s="1" t="s">
        <v>433</v>
      </c>
      <c r="E1" s="1" t="s">
        <v>434</v>
      </c>
      <c r="F1" s="8" t="s">
        <v>435</v>
      </c>
      <c r="G1" s="8" t="s">
        <v>436</v>
      </c>
      <c r="H1" s="8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 t="s">
        <v>442</v>
      </c>
      <c r="N1" s="1" t="s">
        <v>443</v>
      </c>
      <c r="O1" s="1" t="s">
        <v>444</v>
      </c>
      <c r="P1" s="1" t="s">
        <v>445</v>
      </c>
      <c r="R1" t="s">
        <v>699</v>
      </c>
    </row>
    <row r="2" spans="1:18" ht="14" customHeight="1" outlineLevel="3" x14ac:dyDescent="0.25">
      <c r="A2" s="2" t="s">
        <v>0</v>
      </c>
      <c r="B2">
        <v>1400000077</v>
      </c>
      <c r="C2" t="s">
        <v>1</v>
      </c>
      <c r="D2" s="3">
        <v>45832</v>
      </c>
      <c r="E2" t="s">
        <v>0</v>
      </c>
      <c r="F2" s="2" t="s">
        <v>0</v>
      </c>
      <c r="G2" s="4">
        <v>-324702</v>
      </c>
      <c r="H2" t="s">
        <v>2</v>
      </c>
      <c r="I2" t="s">
        <v>0</v>
      </c>
      <c r="J2" t="s">
        <v>0</v>
      </c>
      <c r="K2" t="s">
        <v>3</v>
      </c>
      <c r="L2" s="3">
        <v>45839</v>
      </c>
      <c r="M2" t="s">
        <v>0</v>
      </c>
      <c r="N2" t="s">
        <v>0</v>
      </c>
      <c r="O2" t="s">
        <v>0</v>
      </c>
      <c r="P2" t="s">
        <v>4</v>
      </c>
    </row>
    <row r="3" spans="1:18" ht="14" customHeight="1" outlineLevel="3" x14ac:dyDescent="0.25">
      <c r="A3" s="2" t="s">
        <v>0</v>
      </c>
      <c r="B3" t="s">
        <v>5</v>
      </c>
      <c r="C3" t="s">
        <v>1</v>
      </c>
      <c r="D3" s="3">
        <v>45832</v>
      </c>
      <c r="E3" t="s">
        <v>0</v>
      </c>
      <c r="F3" s="2" t="s">
        <v>0</v>
      </c>
      <c r="G3" s="4">
        <v>-500000</v>
      </c>
      <c r="H3" t="s">
        <v>2</v>
      </c>
      <c r="I3" t="s">
        <v>0</v>
      </c>
      <c r="J3" t="s">
        <v>0</v>
      </c>
      <c r="K3" t="s">
        <v>3</v>
      </c>
      <c r="L3" s="3">
        <v>45839</v>
      </c>
      <c r="M3" t="s">
        <v>0</v>
      </c>
      <c r="N3" t="s">
        <v>0</v>
      </c>
      <c r="O3" t="s">
        <v>0</v>
      </c>
      <c r="P3" t="s">
        <v>4</v>
      </c>
    </row>
    <row r="4" spans="1:18" ht="14" customHeight="1" outlineLevel="3" x14ac:dyDescent="0.25">
      <c r="A4" s="2" t="s">
        <v>0</v>
      </c>
      <c r="B4" t="s">
        <v>6</v>
      </c>
      <c r="C4" t="s">
        <v>1</v>
      </c>
      <c r="D4" s="3">
        <v>45890</v>
      </c>
      <c r="E4" t="s">
        <v>0</v>
      </c>
      <c r="F4" s="2" t="s">
        <v>0</v>
      </c>
      <c r="G4" s="4">
        <v>-100000</v>
      </c>
      <c r="H4" t="s">
        <v>2</v>
      </c>
      <c r="I4" t="s">
        <v>0</v>
      </c>
      <c r="J4" t="s">
        <v>0</v>
      </c>
      <c r="K4" t="s">
        <v>3</v>
      </c>
      <c r="L4" s="3">
        <v>45890</v>
      </c>
      <c r="M4" t="s">
        <v>0</v>
      </c>
      <c r="N4" t="s">
        <v>0</v>
      </c>
      <c r="O4" t="s">
        <v>0</v>
      </c>
      <c r="P4" t="s">
        <v>4</v>
      </c>
    </row>
    <row r="5" spans="1:18" ht="14" customHeight="1" outlineLevel="3" x14ac:dyDescent="0.25">
      <c r="A5" s="2" t="s">
        <v>0</v>
      </c>
      <c r="B5" t="s">
        <v>7</v>
      </c>
      <c r="C5" t="s">
        <v>1</v>
      </c>
      <c r="D5" s="3">
        <v>45890</v>
      </c>
      <c r="E5" t="s">
        <v>0</v>
      </c>
      <c r="F5" s="2" t="s">
        <v>0</v>
      </c>
      <c r="G5" s="4">
        <v>-700000</v>
      </c>
      <c r="H5" t="s">
        <v>2</v>
      </c>
      <c r="I5" t="s">
        <v>0</v>
      </c>
      <c r="J5" t="s">
        <v>0</v>
      </c>
      <c r="K5" t="s">
        <v>3</v>
      </c>
      <c r="L5" s="3">
        <v>45890</v>
      </c>
      <c r="M5" t="s">
        <v>0</v>
      </c>
      <c r="N5" t="s">
        <v>0</v>
      </c>
      <c r="O5" t="s">
        <v>0</v>
      </c>
      <c r="P5" t="s">
        <v>4</v>
      </c>
    </row>
    <row r="6" spans="1:18" ht="14" customHeight="1" outlineLevel="3" x14ac:dyDescent="0.25">
      <c r="A6" s="2" t="s">
        <v>0</v>
      </c>
      <c r="B6" t="s">
        <v>8</v>
      </c>
      <c r="C6" t="s">
        <v>1</v>
      </c>
      <c r="D6" s="3">
        <v>45890</v>
      </c>
      <c r="E6" t="s">
        <v>0</v>
      </c>
      <c r="F6" s="2" t="s">
        <v>0</v>
      </c>
      <c r="G6" s="4">
        <v>-150000</v>
      </c>
      <c r="H6" t="s">
        <v>2</v>
      </c>
      <c r="I6" t="s">
        <v>0</v>
      </c>
      <c r="J6" t="s">
        <v>0</v>
      </c>
      <c r="K6" t="s">
        <v>3</v>
      </c>
      <c r="L6" s="3">
        <v>45890</v>
      </c>
      <c r="M6" t="s">
        <v>0</v>
      </c>
      <c r="N6" t="s">
        <v>0</v>
      </c>
      <c r="O6" t="s">
        <v>0</v>
      </c>
      <c r="P6" t="s">
        <v>4</v>
      </c>
    </row>
    <row r="7" spans="1:18" ht="14" customHeight="1" outlineLevel="3" x14ac:dyDescent="0.25">
      <c r="A7" s="2" t="s">
        <v>0</v>
      </c>
      <c r="B7" t="s">
        <v>9</v>
      </c>
      <c r="C7" t="s">
        <v>1</v>
      </c>
      <c r="D7" s="3">
        <v>45890</v>
      </c>
      <c r="E7" t="s">
        <v>0</v>
      </c>
      <c r="F7" s="2" t="s">
        <v>0</v>
      </c>
      <c r="G7" s="4">
        <v>-150000</v>
      </c>
      <c r="H7" t="s">
        <v>2</v>
      </c>
      <c r="I7" t="s">
        <v>0</v>
      </c>
      <c r="J7" t="s">
        <v>0</v>
      </c>
      <c r="K7" t="s">
        <v>3</v>
      </c>
      <c r="L7" s="3">
        <v>45890</v>
      </c>
      <c r="M7" t="s">
        <v>0</v>
      </c>
      <c r="N7" t="s">
        <v>0</v>
      </c>
      <c r="O7" t="s">
        <v>0</v>
      </c>
      <c r="P7" t="s">
        <v>4</v>
      </c>
    </row>
    <row r="8" spans="1:18" ht="14" customHeight="1" outlineLevel="3" x14ac:dyDescent="0.25">
      <c r="A8" s="2" t="s">
        <v>0</v>
      </c>
      <c r="B8" t="s">
        <v>10</v>
      </c>
      <c r="C8" t="s">
        <v>1</v>
      </c>
      <c r="D8" s="3">
        <v>45890</v>
      </c>
      <c r="E8" t="s">
        <v>0</v>
      </c>
      <c r="F8" s="2" t="s">
        <v>0</v>
      </c>
      <c r="G8" s="4">
        <v>-150000</v>
      </c>
      <c r="H8" t="s">
        <v>2</v>
      </c>
      <c r="I8" t="s">
        <v>0</v>
      </c>
      <c r="J8" t="s">
        <v>0</v>
      </c>
      <c r="K8" t="s">
        <v>3</v>
      </c>
      <c r="L8" s="3">
        <v>45890</v>
      </c>
      <c r="M8" t="s">
        <v>0</v>
      </c>
      <c r="N8" t="s">
        <v>0</v>
      </c>
      <c r="O8" t="s">
        <v>0</v>
      </c>
      <c r="P8" t="s">
        <v>4</v>
      </c>
    </row>
    <row r="9" spans="1:18" ht="14" customHeight="1" outlineLevel="3" x14ac:dyDescent="0.25">
      <c r="A9" s="2" t="s">
        <v>0</v>
      </c>
      <c r="B9" t="s">
        <v>11</v>
      </c>
      <c r="C9" t="s">
        <v>1</v>
      </c>
      <c r="D9" s="3">
        <v>45890</v>
      </c>
      <c r="E9" t="s">
        <v>0</v>
      </c>
      <c r="F9" s="2" t="s">
        <v>0</v>
      </c>
      <c r="G9" s="4">
        <v>-150000</v>
      </c>
      <c r="H9" t="s">
        <v>2</v>
      </c>
      <c r="I9" t="s">
        <v>0</v>
      </c>
      <c r="J9" t="s">
        <v>0</v>
      </c>
      <c r="K9" t="s">
        <v>3</v>
      </c>
      <c r="L9" s="3">
        <v>45890</v>
      </c>
      <c r="M9" t="s">
        <v>0</v>
      </c>
      <c r="N9" t="s">
        <v>0</v>
      </c>
      <c r="O9" t="s">
        <v>0</v>
      </c>
      <c r="P9" t="s">
        <v>4</v>
      </c>
    </row>
    <row r="10" spans="1:18" ht="14" customHeight="1" outlineLevel="3" x14ac:dyDescent="0.25">
      <c r="A10" s="2" t="s">
        <v>0</v>
      </c>
      <c r="B10" t="s">
        <v>12</v>
      </c>
      <c r="C10" t="s">
        <v>1</v>
      </c>
      <c r="D10" s="3">
        <v>45931</v>
      </c>
      <c r="E10" t="s">
        <v>0</v>
      </c>
      <c r="F10" s="2" t="s">
        <v>0</v>
      </c>
      <c r="G10" s="4">
        <v>-100000</v>
      </c>
      <c r="H10" t="s">
        <v>2</v>
      </c>
      <c r="I10" t="s">
        <v>0</v>
      </c>
      <c r="J10" t="s">
        <v>0</v>
      </c>
      <c r="K10" t="s">
        <v>3</v>
      </c>
      <c r="L10" s="3">
        <v>45931</v>
      </c>
      <c r="M10" t="s">
        <v>0</v>
      </c>
      <c r="N10" t="s">
        <v>0</v>
      </c>
      <c r="O10" t="s">
        <v>0</v>
      </c>
      <c r="P10" t="s">
        <v>4</v>
      </c>
    </row>
    <row r="11" spans="1:18" ht="14" customHeight="1" outlineLevel="3" x14ac:dyDescent="0.25">
      <c r="A11" s="2" t="s">
        <v>0</v>
      </c>
      <c r="B11" t="s">
        <v>13</v>
      </c>
      <c r="C11" t="s">
        <v>1</v>
      </c>
      <c r="D11" s="3">
        <v>45931</v>
      </c>
      <c r="E11" t="s">
        <v>0</v>
      </c>
      <c r="F11" s="2" t="s">
        <v>0</v>
      </c>
      <c r="G11" s="4">
        <v>-100000</v>
      </c>
      <c r="H11" t="s">
        <v>2</v>
      </c>
      <c r="I11" t="s">
        <v>0</v>
      </c>
      <c r="J11" t="s">
        <v>0</v>
      </c>
      <c r="K11" t="s">
        <v>3</v>
      </c>
      <c r="L11" s="3">
        <v>45931</v>
      </c>
      <c r="M11" t="s">
        <v>0</v>
      </c>
      <c r="N11" t="s">
        <v>0</v>
      </c>
      <c r="O11" t="s">
        <v>0</v>
      </c>
      <c r="P11" t="s">
        <v>4</v>
      </c>
    </row>
    <row r="12" spans="1:18" ht="14" customHeight="1" outlineLevel="3" x14ac:dyDescent="0.25">
      <c r="A12" s="2" t="s">
        <v>0</v>
      </c>
      <c r="B12" t="s">
        <v>14</v>
      </c>
      <c r="C12" t="s">
        <v>1</v>
      </c>
      <c r="D12" s="3">
        <v>45931</v>
      </c>
      <c r="E12" t="s">
        <v>0</v>
      </c>
      <c r="F12" s="2" t="s">
        <v>0</v>
      </c>
      <c r="G12" s="4">
        <v>-450000</v>
      </c>
      <c r="H12" t="s">
        <v>2</v>
      </c>
      <c r="I12" t="s">
        <v>0</v>
      </c>
      <c r="J12" t="s">
        <v>0</v>
      </c>
      <c r="K12" t="s">
        <v>3</v>
      </c>
      <c r="L12" s="3">
        <v>45931</v>
      </c>
      <c r="M12" t="s">
        <v>0</v>
      </c>
      <c r="N12" t="s">
        <v>0</v>
      </c>
      <c r="O12" t="s">
        <v>0</v>
      </c>
      <c r="P12" t="s">
        <v>4</v>
      </c>
    </row>
    <row r="13" spans="1:18" ht="14" customHeight="1" outlineLevel="3" x14ac:dyDescent="0.25">
      <c r="A13" s="2" t="s">
        <v>0</v>
      </c>
      <c r="B13" t="s">
        <v>15</v>
      </c>
      <c r="C13" t="s">
        <v>1</v>
      </c>
      <c r="D13" s="3">
        <v>45931</v>
      </c>
      <c r="E13" t="s">
        <v>0</v>
      </c>
      <c r="F13" s="2" t="s">
        <v>0</v>
      </c>
      <c r="G13" s="4">
        <v>-100000</v>
      </c>
      <c r="H13" t="s">
        <v>2</v>
      </c>
      <c r="I13" t="s">
        <v>0</v>
      </c>
      <c r="J13" t="s">
        <v>0</v>
      </c>
      <c r="K13" t="s">
        <v>3</v>
      </c>
      <c r="L13" s="3">
        <v>45931</v>
      </c>
      <c r="M13" t="s">
        <v>0</v>
      </c>
      <c r="N13" t="s">
        <v>0</v>
      </c>
      <c r="O13" t="s">
        <v>0</v>
      </c>
      <c r="P13" t="s">
        <v>4</v>
      </c>
    </row>
    <row r="14" spans="1:18" ht="14" customHeight="1" outlineLevel="3" x14ac:dyDescent="0.25">
      <c r="A14" s="2" t="s">
        <v>0</v>
      </c>
      <c r="B14" t="s">
        <v>16</v>
      </c>
      <c r="C14" t="s">
        <v>1</v>
      </c>
      <c r="D14" s="3">
        <v>45944</v>
      </c>
      <c r="E14" t="s">
        <v>0</v>
      </c>
      <c r="F14" s="2" t="s">
        <v>0</v>
      </c>
      <c r="G14" s="4">
        <v>-100000</v>
      </c>
      <c r="H14" t="s">
        <v>2</v>
      </c>
      <c r="I14" t="s">
        <v>0</v>
      </c>
      <c r="J14" t="s">
        <v>0</v>
      </c>
      <c r="K14" t="s">
        <v>3</v>
      </c>
      <c r="L14" s="3">
        <v>45944</v>
      </c>
      <c r="M14" t="s">
        <v>0</v>
      </c>
      <c r="N14" t="s">
        <v>0</v>
      </c>
      <c r="O14" t="s">
        <v>0</v>
      </c>
      <c r="P14" t="s">
        <v>4</v>
      </c>
    </row>
    <row r="15" spans="1:18" ht="14" customHeight="1" outlineLevel="3" x14ac:dyDescent="0.25">
      <c r="A15" s="2" t="s">
        <v>0</v>
      </c>
      <c r="B15" t="s">
        <v>17</v>
      </c>
      <c r="C15" t="s">
        <v>1</v>
      </c>
      <c r="D15" s="3">
        <v>45972</v>
      </c>
      <c r="E15" t="s">
        <v>0</v>
      </c>
      <c r="F15" s="2" t="s">
        <v>0</v>
      </c>
      <c r="G15" s="4">
        <v>-100000</v>
      </c>
      <c r="H15" t="s">
        <v>2</v>
      </c>
      <c r="I15" t="s">
        <v>0</v>
      </c>
      <c r="J15" t="s">
        <v>0</v>
      </c>
      <c r="K15" t="s">
        <v>3</v>
      </c>
      <c r="L15" s="3">
        <v>45972</v>
      </c>
      <c r="M15" t="s">
        <v>0</v>
      </c>
      <c r="N15" t="s">
        <v>0</v>
      </c>
      <c r="O15" t="s">
        <v>0</v>
      </c>
      <c r="P15" t="s">
        <v>4</v>
      </c>
    </row>
    <row r="16" spans="1:18" ht="14" customHeight="1" outlineLevel="3" x14ac:dyDescent="0.25">
      <c r="A16" s="2" t="s">
        <v>0</v>
      </c>
      <c r="B16" t="s">
        <v>18</v>
      </c>
      <c r="C16" t="s">
        <v>1</v>
      </c>
      <c r="D16" s="3">
        <v>45972</v>
      </c>
      <c r="E16" t="s">
        <v>0</v>
      </c>
      <c r="F16" s="2" t="s">
        <v>0</v>
      </c>
      <c r="G16" s="4">
        <v>-100000</v>
      </c>
      <c r="H16" t="s">
        <v>2</v>
      </c>
      <c r="I16" t="s">
        <v>0</v>
      </c>
      <c r="J16" t="s">
        <v>0</v>
      </c>
      <c r="K16" t="s">
        <v>3</v>
      </c>
      <c r="L16" s="3">
        <v>45972</v>
      </c>
      <c r="M16" t="s">
        <v>0</v>
      </c>
      <c r="N16" t="s">
        <v>0</v>
      </c>
      <c r="O16" t="s">
        <v>0</v>
      </c>
      <c r="P16" t="s">
        <v>4</v>
      </c>
    </row>
    <row r="17" spans="1:16" ht="14" customHeight="1" outlineLevel="3" x14ac:dyDescent="0.25">
      <c r="A17" s="2" t="s">
        <v>0</v>
      </c>
      <c r="B17" t="s">
        <v>19</v>
      </c>
      <c r="C17" t="s">
        <v>1</v>
      </c>
      <c r="D17" s="3">
        <v>45977</v>
      </c>
      <c r="E17" t="s">
        <v>0</v>
      </c>
      <c r="F17" s="2" t="s">
        <v>0</v>
      </c>
      <c r="G17" s="4">
        <v>-100000</v>
      </c>
      <c r="H17" t="s">
        <v>2</v>
      </c>
      <c r="I17" t="s">
        <v>0</v>
      </c>
      <c r="J17" t="s">
        <v>0</v>
      </c>
      <c r="K17" t="s">
        <v>3</v>
      </c>
      <c r="L17" s="3">
        <v>45977</v>
      </c>
      <c r="M17" t="s">
        <v>0</v>
      </c>
      <c r="N17" t="s">
        <v>0</v>
      </c>
      <c r="O17" t="s">
        <v>0</v>
      </c>
      <c r="P17" t="s">
        <v>4</v>
      </c>
    </row>
    <row r="18" spans="1:16" ht="14" customHeight="1" outlineLevel="3" x14ac:dyDescent="0.25">
      <c r="A18" s="2" t="s">
        <v>0</v>
      </c>
      <c r="B18" t="s">
        <v>20</v>
      </c>
      <c r="C18" t="s">
        <v>1</v>
      </c>
      <c r="D18" s="3">
        <v>45986</v>
      </c>
      <c r="E18" t="s">
        <v>0</v>
      </c>
      <c r="F18" s="2" t="s">
        <v>0</v>
      </c>
      <c r="G18" s="4">
        <v>-100000</v>
      </c>
      <c r="H18" t="s">
        <v>2</v>
      </c>
      <c r="I18" t="s">
        <v>0</v>
      </c>
      <c r="J18" t="s">
        <v>0</v>
      </c>
      <c r="K18" t="s">
        <v>3</v>
      </c>
      <c r="L18" s="3">
        <v>45986</v>
      </c>
      <c r="M18" t="s">
        <v>0</v>
      </c>
      <c r="N18" t="s">
        <v>0</v>
      </c>
      <c r="O18" t="s">
        <v>0</v>
      </c>
      <c r="P18" t="s">
        <v>4</v>
      </c>
    </row>
    <row r="19" spans="1:16" ht="14" customHeight="1" outlineLevel="3" x14ac:dyDescent="0.25">
      <c r="A19" s="2" t="s">
        <v>0</v>
      </c>
      <c r="B19" t="s">
        <v>21</v>
      </c>
      <c r="C19" t="s">
        <v>1</v>
      </c>
      <c r="D19" s="3">
        <v>45994</v>
      </c>
      <c r="E19" t="s">
        <v>0</v>
      </c>
      <c r="F19" s="2" t="s">
        <v>0</v>
      </c>
      <c r="G19" s="4">
        <v>-100000</v>
      </c>
      <c r="H19" t="s">
        <v>2</v>
      </c>
      <c r="I19" t="s">
        <v>0</v>
      </c>
      <c r="J19" t="s">
        <v>0</v>
      </c>
      <c r="K19" t="s">
        <v>3</v>
      </c>
      <c r="L19" s="3">
        <v>45994</v>
      </c>
      <c r="M19" t="s">
        <v>0</v>
      </c>
      <c r="N19" t="s">
        <v>0</v>
      </c>
      <c r="O19" t="s">
        <v>0</v>
      </c>
      <c r="P19" t="s">
        <v>4</v>
      </c>
    </row>
    <row r="20" spans="1:16" ht="14" customHeight="1" outlineLevel="3" x14ac:dyDescent="0.25">
      <c r="A20" s="2" t="s">
        <v>0</v>
      </c>
      <c r="B20" t="s">
        <v>22</v>
      </c>
      <c r="C20" t="s">
        <v>1</v>
      </c>
      <c r="D20" s="3">
        <v>46009</v>
      </c>
      <c r="E20" t="s">
        <v>0</v>
      </c>
      <c r="F20" s="2" t="s">
        <v>0</v>
      </c>
      <c r="G20" s="4">
        <v>-100000</v>
      </c>
      <c r="H20" t="s">
        <v>2</v>
      </c>
      <c r="I20" t="s">
        <v>0</v>
      </c>
      <c r="J20" t="s">
        <v>0</v>
      </c>
      <c r="K20" t="s">
        <v>3</v>
      </c>
      <c r="L20" s="3">
        <v>46009</v>
      </c>
      <c r="M20" t="s">
        <v>0</v>
      </c>
      <c r="N20" t="s">
        <v>0</v>
      </c>
      <c r="O20" t="s">
        <v>0</v>
      </c>
      <c r="P20" t="s">
        <v>4</v>
      </c>
    </row>
    <row r="21" spans="1:16" ht="14" customHeight="1" outlineLevel="3" x14ac:dyDescent="0.25">
      <c r="A21" s="2" t="s">
        <v>0</v>
      </c>
      <c r="B21" t="s">
        <v>23</v>
      </c>
      <c r="C21" t="s">
        <v>1</v>
      </c>
      <c r="D21" s="3">
        <v>46030</v>
      </c>
      <c r="E21" t="s">
        <v>0</v>
      </c>
      <c r="F21" s="2" t="s">
        <v>0</v>
      </c>
      <c r="G21" s="4">
        <v>-200000</v>
      </c>
      <c r="H21" t="s">
        <v>2</v>
      </c>
      <c r="I21" t="s">
        <v>0</v>
      </c>
      <c r="J21" t="s">
        <v>0</v>
      </c>
      <c r="K21" t="s">
        <v>3</v>
      </c>
      <c r="L21" s="3">
        <v>46030</v>
      </c>
      <c r="M21" t="s">
        <v>0</v>
      </c>
      <c r="N21" t="s">
        <v>0</v>
      </c>
      <c r="O21" t="s">
        <v>0</v>
      </c>
      <c r="P21" t="s">
        <v>4</v>
      </c>
    </row>
    <row r="22" spans="1:16" ht="14" customHeight="1" outlineLevel="3" x14ac:dyDescent="0.25">
      <c r="A22" s="2" t="s">
        <v>0</v>
      </c>
      <c r="B22" t="s">
        <v>24</v>
      </c>
      <c r="C22" t="s">
        <v>1</v>
      </c>
      <c r="D22" s="3">
        <v>46031</v>
      </c>
      <c r="E22" t="s">
        <v>0</v>
      </c>
      <c r="F22" s="2" t="s">
        <v>0</v>
      </c>
      <c r="G22" s="4">
        <v>-100000</v>
      </c>
      <c r="H22" t="s">
        <v>2</v>
      </c>
      <c r="I22" t="s">
        <v>0</v>
      </c>
      <c r="J22" t="s">
        <v>0</v>
      </c>
      <c r="K22" t="s">
        <v>3</v>
      </c>
      <c r="L22" s="3">
        <v>46031</v>
      </c>
      <c r="M22" t="s">
        <v>0</v>
      </c>
      <c r="N22" t="s">
        <v>0</v>
      </c>
      <c r="O22" t="s">
        <v>0</v>
      </c>
      <c r="P22" t="s">
        <v>4</v>
      </c>
    </row>
    <row r="23" spans="1:16" ht="14" customHeight="1" outlineLevel="3" x14ac:dyDescent="0.25">
      <c r="A23" s="2" t="s">
        <v>0</v>
      </c>
      <c r="B23" t="s">
        <v>25</v>
      </c>
      <c r="C23" t="s">
        <v>1</v>
      </c>
      <c r="D23" s="3">
        <v>46041</v>
      </c>
      <c r="E23" t="s">
        <v>0</v>
      </c>
      <c r="F23" s="2" t="s">
        <v>0</v>
      </c>
      <c r="G23" s="4">
        <v>-150000</v>
      </c>
      <c r="H23" t="s">
        <v>2</v>
      </c>
      <c r="I23" t="s">
        <v>0</v>
      </c>
      <c r="J23" t="s">
        <v>0</v>
      </c>
      <c r="K23" t="s">
        <v>3</v>
      </c>
      <c r="L23" s="3">
        <v>46041</v>
      </c>
      <c r="M23" t="s">
        <v>0</v>
      </c>
      <c r="N23" t="s">
        <v>0</v>
      </c>
      <c r="O23" t="s">
        <v>0</v>
      </c>
      <c r="P23" t="s">
        <v>4</v>
      </c>
    </row>
    <row r="24" spans="1:16" ht="14" customHeight="1" outlineLevel="3" x14ac:dyDescent="0.25">
      <c r="A24" s="2" t="s">
        <v>0</v>
      </c>
      <c r="B24" t="s">
        <v>26</v>
      </c>
      <c r="C24" t="s">
        <v>1</v>
      </c>
      <c r="D24" s="3">
        <v>46045</v>
      </c>
      <c r="E24" t="s">
        <v>0</v>
      </c>
      <c r="F24" s="2" t="s">
        <v>0</v>
      </c>
      <c r="G24" s="4">
        <v>-150000</v>
      </c>
      <c r="H24" t="s">
        <v>2</v>
      </c>
      <c r="I24" t="s">
        <v>0</v>
      </c>
      <c r="J24" t="s">
        <v>0</v>
      </c>
      <c r="K24" t="s">
        <v>3</v>
      </c>
      <c r="L24" s="3">
        <v>46045</v>
      </c>
      <c r="M24" t="s">
        <v>0</v>
      </c>
      <c r="N24" t="s">
        <v>0</v>
      </c>
      <c r="O24" t="s">
        <v>0</v>
      </c>
      <c r="P24" t="s">
        <v>4</v>
      </c>
    </row>
    <row r="25" spans="1:16" ht="14" customHeight="1" outlineLevel="3" x14ac:dyDescent="0.25">
      <c r="A25" s="2" t="s">
        <v>0</v>
      </c>
      <c r="B25" t="s">
        <v>27</v>
      </c>
      <c r="C25" t="s">
        <v>28</v>
      </c>
      <c r="D25" s="3">
        <v>45827</v>
      </c>
      <c r="E25" t="s">
        <v>0</v>
      </c>
      <c r="F25" s="2" t="s">
        <v>0</v>
      </c>
      <c r="G25" s="4">
        <v>24605.1</v>
      </c>
      <c r="H25" t="s">
        <v>2</v>
      </c>
      <c r="I25" t="s">
        <v>0</v>
      </c>
      <c r="J25" t="s">
        <v>29</v>
      </c>
      <c r="K25" t="s">
        <v>3</v>
      </c>
      <c r="L25" s="3">
        <v>45827</v>
      </c>
      <c r="M25" t="s">
        <v>30</v>
      </c>
      <c r="N25" t="s">
        <v>0</v>
      </c>
      <c r="O25" t="s">
        <v>0</v>
      </c>
      <c r="P25" t="s">
        <v>4</v>
      </c>
    </row>
    <row r="26" spans="1:16" ht="14" customHeight="1" outlineLevel="3" x14ac:dyDescent="0.25">
      <c r="A26" s="2" t="s">
        <v>0</v>
      </c>
      <c r="B26" t="s">
        <v>31</v>
      </c>
      <c r="C26" t="s">
        <v>28</v>
      </c>
      <c r="D26" s="3">
        <v>45842</v>
      </c>
      <c r="E26" t="s">
        <v>0</v>
      </c>
      <c r="F26" s="2" t="s">
        <v>0</v>
      </c>
      <c r="G26" s="4">
        <v>14166.89</v>
      </c>
      <c r="H26" t="s">
        <v>2</v>
      </c>
      <c r="I26" t="s">
        <v>0</v>
      </c>
      <c r="J26" t="s">
        <v>32</v>
      </c>
      <c r="K26" t="s">
        <v>3</v>
      </c>
      <c r="L26" s="3">
        <v>45842</v>
      </c>
      <c r="M26" t="s">
        <v>30</v>
      </c>
      <c r="N26" t="s">
        <v>0</v>
      </c>
      <c r="O26" t="s">
        <v>0</v>
      </c>
      <c r="P26" t="s">
        <v>4</v>
      </c>
    </row>
    <row r="27" spans="1:16" ht="14" customHeight="1" outlineLevel="3" x14ac:dyDescent="0.25">
      <c r="A27" s="2" t="s">
        <v>0</v>
      </c>
      <c r="B27" t="s">
        <v>33</v>
      </c>
      <c r="C27" t="s">
        <v>28</v>
      </c>
      <c r="D27" s="3">
        <v>45863</v>
      </c>
      <c r="E27" t="s">
        <v>0</v>
      </c>
      <c r="F27" s="2" t="s">
        <v>0</v>
      </c>
      <c r="G27" s="4">
        <v>13035.98</v>
      </c>
      <c r="H27" t="s">
        <v>2</v>
      </c>
      <c r="I27" t="s">
        <v>0</v>
      </c>
      <c r="J27" t="s">
        <v>34</v>
      </c>
      <c r="K27" t="s">
        <v>3</v>
      </c>
      <c r="L27" s="3">
        <v>45863</v>
      </c>
      <c r="M27" t="s">
        <v>30</v>
      </c>
      <c r="N27" t="s">
        <v>0</v>
      </c>
      <c r="O27" t="s">
        <v>0</v>
      </c>
      <c r="P27" t="s">
        <v>4</v>
      </c>
    </row>
    <row r="28" spans="1:16" ht="14" customHeight="1" outlineLevel="3" x14ac:dyDescent="0.25">
      <c r="A28" s="2" t="s">
        <v>0</v>
      </c>
      <c r="B28" t="s">
        <v>35</v>
      </c>
      <c r="C28" t="s">
        <v>28</v>
      </c>
      <c r="D28" s="3">
        <v>45904</v>
      </c>
      <c r="E28" t="s">
        <v>0</v>
      </c>
      <c r="F28" s="2" t="s">
        <v>0</v>
      </c>
      <c r="G28" s="4">
        <v>1183.19</v>
      </c>
      <c r="H28" t="s">
        <v>2</v>
      </c>
      <c r="I28" t="s">
        <v>0</v>
      </c>
      <c r="J28" t="s">
        <v>36</v>
      </c>
      <c r="K28" t="s">
        <v>3</v>
      </c>
      <c r="L28" s="3">
        <v>45904</v>
      </c>
      <c r="M28" t="s">
        <v>30</v>
      </c>
      <c r="N28" t="s">
        <v>0</v>
      </c>
      <c r="O28" t="s">
        <v>0</v>
      </c>
      <c r="P28" t="s">
        <v>4</v>
      </c>
    </row>
    <row r="29" spans="1:16" ht="14" customHeight="1" outlineLevel="3" x14ac:dyDescent="0.25">
      <c r="A29" s="2" t="s">
        <v>0</v>
      </c>
      <c r="B29" t="s">
        <v>37</v>
      </c>
      <c r="C29" t="s">
        <v>28</v>
      </c>
      <c r="D29" s="3">
        <v>45918</v>
      </c>
      <c r="E29" t="s">
        <v>0</v>
      </c>
      <c r="F29" s="2" t="s">
        <v>0</v>
      </c>
      <c r="G29" s="4">
        <v>13725.75</v>
      </c>
      <c r="H29" t="s">
        <v>2</v>
      </c>
      <c r="I29" t="s">
        <v>0</v>
      </c>
      <c r="J29" t="s">
        <v>38</v>
      </c>
      <c r="K29" t="s">
        <v>3</v>
      </c>
      <c r="L29" s="3">
        <v>45918</v>
      </c>
      <c r="M29" t="s">
        <v>30</v>
      </c>
      <c r="N29" t="s">
        <v>0</v>
      </c>
      <c r="O29" t="s">
        <v>0</v>
      </c>
      <c r="P29" t="s">
        <v>4</v>
      </c>
    </row>
    <row r="30" spans="1:16" ht="14" customHeight="1" outlineLevel="3" x14ac:dyDescent="0.25">
      <c r="A30" s="2" t="s">
        <v>0</v>
      </c>
      <c r="B30" t="s">
        <v>39</v>
      </c>
      <c r="C30" t="s">
        <v>28</v>
      </c>
      <c r="D30" s="3">
        <v>45918</v>
      </c>
      <c r="E30" t="s">
        <v>0</v>
      </c>
      <c r="F30" s="2" t="s">
        <v>0</v>
      </c>
      <c r="G30" s="4">
        <v>3614.34</v>
      </c>
      <c r="H30" t="s">
        <v>2</v>
      </c>
      <c r="I30" t="s">
        <v>0</v>
      </c>
      <c r="J30" t="s">
        <v>40</v>
      </c>
      <c r="K30" t="s">
        <v>3</v>
      </c>
      <c r="L30" s="3">
        <v>45918</v>
      </c>
      <c r="M30" t="s">
        <v>30</v>
      </c>
      <c r="N30" t="s">
        <v>0</v>
      </c>
      <c r="O30" t="s">
        <v>0</v>
      </c>
      <c r="P30" t="s">
        <v>4</v>
      </c>
    </row>
    <row r="31" spans="1:16" ht="14" customHeight="1" outlineLevel="3" x14ac:dyDescent="0.25">
      <c r="A31" s="2" t="s">
        <v>0</v>
      </c>
      <c r="B31" t="s">
        <v>41</v>
      </c>
      <c r="C31" t="s">
        <v>28</v>
      </c>
      <c r="D31" s="3">
        <v>45917</v>
      </c>
      <c r="E31" t="s">
        <v>0</v>
      </c>
      <c r="F31" s="2" t="s">
        <v>0</v>
      </c>
      <c r="G31" s="4">
        <v>116061.5</v>
      </c>
      <c r="H31" t="s">
        <v>2</v>
      </c>
      <c r="I31" t="s">
        <v>0</v>
      </c>
      <c r="J31" t="s">
        <v>42</v>
      </c>
      <c r="K31" t="s">
        <v>3</v>
      </c>
      <c r="L31" s="3">
        <v>45917</v>
      </c>
      <c r="M31" t="s">
        <v>30</v>
      </c>
      <c r="N31" t="s">
        <v>0</v>
      </c>
      <c r="O31" t="s">
        <v>0</v>
      </c>
      <c r="P31" t="s">
        <v>4</v>
      </c>
    </row>
    <row r="32" spans="1:16" ht="14" customHeight="1" outlineLevel="3" x14ac:dyDescent="0.25">
      <c r="A32" s="2" t="s">
        <v>0</v>
      </c>
      <c r="B32" t="s">
        <v>43</v>
      </c>
      <c r="C32" t="s">
        <v>28</v>
      </c>
      <c r="D32" s="3">
        <v>45935</v>
      </c>
      <c r="E32" t="s">
        <v>0</v>
      </c>
      <c r="F32" s="2" t="s">
        <v>0</v>
      </c>
      <c r="G32" s="4">
        <v>2636.9</v>
      </c>
      <c r="H32" t="s">
        <v>2</v>
      </c>
      <c r="I32" t="s">
        <v>0</v>
      </c>
      <c r="J32" t="s">
        <v>44</v>
      </c>
      <c r="K32" t="s">
        <v>3</v>
      </c>
      <c r="L32" s="3">
        <v>45935</v>
      </c>
      <c r="M32" t="s">
        <v>30</v>
      </c>
      <c r="N32" t="s">
        <v>0</v>
      </c>
      <c r="O32" t="s">
        <v>0</v>
      </c>
      <c r="P32" t="s">
        <v>4</v>
      </c>
    </row>
    <row r="33" spans="1:16" ht="14" customHeight="1" outlineLevel="3" x14ac:dyDescent="0.25">
      <c r="A33" s="2" t="s">
        <v>0</v>
      </c>
      <c r="B33" t="s">
        <v>45</v>
      </c>
      <c r="C33" t="s">
        <v>28</v>
      </c>
      <c r="D33" s="3">
        <v>45935</v>
      </c>
      <c r="E33" t="s">
        <v>0</v>
      </c>
      <c r="F33" s="2" t="s">
        <v>0</v>
      </c>
      <c r="G33" s="4">
        <v>13764.82</v>
      </c>
      <c r="H33" t="s">
        <v>2</v>
      </c>
      <c r="I33" t="s">
        <v>0</v>
      </c>
      <c r="J33" t="s">
        <v>46</v>
      </c>
      <c r="K33" t="s">
        <v>3</v>
      </c>
      <c r="L33" s="3">
        <v>45935</v>
      </c>
      <c r="M33" t="s">
        <v>30</v>
      </c>
      <c r="N33" t="s">
        <v>0</v>
      </c>
      <c r="O33" t="s">
        <v>0</v>
      </c>
      <c r="P33" t="s">
        <v>4</v>
      </c>
    </row>
    <row r="34" spans="1:16" ht="14" customHeight="1" outlineLevel="3" x14ac:dyDescent="0.25">
      <c r="A34" s="2" t="s">
        <v>0</v>
      </c>
      <c r="B34" t="s">
        <v>47</v>
      </c>
      <c r="C34" t="s">
        <v>28</v>
      </c>
      <c r="D34" s="3">
        <v>45935</v>
      </c>
      <c r="E34" t="s">
        <v>0</v>
      </c>
      <c r="F34" s="2" t="s">
        <v>0</v>
      </c>
      <c r="G34" s="4">
        <v>158743.39000000001</v>
      </c>
      <c r="H34" t="s">
        <v>2</v>
      </c>
      <c r="I34" t="s">
        <v>0</v>
      </c>
      <c r="J34" t="s">
        <v>48</v>
      </c>
      <c r="K34" t="s">
        <v>3</v>
      </c>
      <c r="L34" s="3">
        <v>45935</v>
      </c>
      <c r="M34" t="s">
        <v>30</v>
      </c>
      <c r="N34" t="s">
        <v>0</v>
      </c>
      <c r="O34" t="s">
        <v>0</v>
      </c>
      <c r="P34" t="s">
        <v>4</v>
      </c>
    </row>
    <row r="35" spans="1:16" ht="14" customHeight="1" outlineLevel="3" x14ac:dyDescent="0.25">
      <c r="A35" s="2" t="s">
        <v>0</v>
      </c>
      <c r="B35" t="s">
        <v>49</v>
      </c>
      <c r="C35" t="s">
        <v>28</v>
      </c>
      <c r="D35" s="3">
        <v>45936</v>
      </c>
      <c r="E35" t="s">
        <v>0</v>
      </c>
      <c r="F35" s="2" t="s">
        <v>0</v>
      </c>
      <c r="G35" s="4">
        <v>117290.2</v>
      </c>
      <c r="H35" t="s">
        <v>2</v>
      </c>
      <c r="I35" t="s">
        <v>0</v>
      </c>
      <c r="J35" t="s">
        <v>50</v>
      </c>
      <c r="K35" t="s">
        <v>3</v>
      </c>
      <c r="L35" s="3">
        <v>45936</v>
      </c>
      <c r="M35" t="s">
        <v>30</v>
      </c>
      <c r="N35" t="s">
        <v>0</v>
      </c>
      <c r="O35" t="s">
        <v>0</v>
      </c>
      <c r="P35" t="s">
        <v>4</v>
      </c>
    </row>
    <row r="36" spans="1:16" ht="14" customHeight="1" outlineLevel="3" x14ac:dyDescent="0.25">
      <c r="A36" s="2" t="s">
        <v>0</v>
      </c>
      <c r="B36" t="s">
        <v>51</v>
      </c>
      <c r="C36" t="s">
        <v>28</v>
      </c>
      <c r="D36" s="3">
        <v>45937</v>
      </c>
      <c r="E36" t="s">
        <v>0</v>
      </c>
      <c r="F36" s="2" t="s">
        <v>0</v>
      </c>
      <c r="G36" s="4">
        <v>49385.95</v>
      </c>
      <c r="H36" t="s">
        <v>2</v>
      </c>
      <c r="I36" t="s">
        <v>0</v>
      </c>
      <c r="J36" t="s">
        <v>52</v>
      </c>
      <c r="K36" t="s">
        <v>3</v>
      </c>
      <c r="L36" s="3">
        <v>45937</v>
      </c>
      <c r="M36" t="s">
        <v>30</v>
      </c>
      <c r="N36" t="s">
        <v>0</v>
      </c>
      <c r="O36" t="s">
        <v>0</v>
      </c>
      <c r="P36" t="s">
        <v>4</v>
      </c>
    </row>
    <row r="37" spans="1:16" ht="14" customHeight="1" outlineLevel="3" x14ac:dyDescent="0.25">
      <c r="A37" s="2" t="s">
        <v>0</v>
      </c>
      <c r="B37" t="s">
        <v>53</v>
      </c>
      <c r="C37" t="s">
        <v>28</v>
      </c>
      <c r="D37" s="3">
        <v>45935</v>
      </c>
      <c r="E37" t="s">
        <v>0</v>
      </c>
      <c r="F37" s="2" t="s">
        <v>0</v>
      </c>
      <c r="G37" s="4">
        <v>4527.71</v>
      </c>
      <c r="H37" t="s">
        <v>2</v>
      </c>
      <c r="I37" t="s">
        <v>0</v>
      </c>
      <c r="J37" t="s">
        <v>54</v>
      </c>
      <c r="K37" t="s">
        <v>3</v>
      </c>
      <c r="L37" s="3">
        <v>45935</v>
      </c>
      <c r="M37" t="s">
        <v>30</v>
      </c>
      <c r="N37" t="s">
        <v>0</v>
      </c>
      <c r="O37" t="s">
        <v>0</v>
      </c>
      <c r="P37" t="s">
        <v>4</v>
      </c>
    </row>
    <row r="38" spans="1:16" ht="14" customHeight="1" outlineLevel="3" x14ac:dyDescent="0.25">
      <c r="A38" s="2" t="s">
        <v>0</v>
      </c>
      <c r="B38" t="s">
        <v>55</v>
      </c>
      <c r="C38" t="s">
        <v>28</v>
      </c>
      <c r="D38" s="3">
        <v>45948</v>
      </c>
      <c r="E38" t="s">
        <v>0</v>
      </c>
      <c r="F38" s="2" t="s">
        <v>0</v>
      </c>
      <c r="G38" s="4">
        <v>4137.91</v>
      </c>
      <c r="H38" t="s">
        <v>2</v>
      </c>
      <c r="I38" t="s">
        <v>0</v>
      </c>
      <c r="J38" t="s">
        <v>56</v>
      </c>
      <c r="K38" t="s">
        <v>3</v>
      </c>
      <c r="L38" s="3">
        <v>45948</v>
      </c>
      <c r="M38" t="s">
        <v>30</v>
      </c>
      <c r="N38" t="s">
        <v>0</v>
      </c>
      <c r="O38" t="s">
        <v>0</v>
      </c>
      <c r="P38" t="s">
        <v>4</v>
      </c>
    </row>
    <row r="39" spans="1:16" ht="14" customHeight="1" outlineLevel="3" x14ac:dyDescent="0.25">
      <c r="A39" s="2" t="s">
        <v>0</v>
      </c>
      <c r="B39" t="s">
        <v>57</v>
      </c>
      <c r="C39" t="s">
        <v>28</v>
      </c>
      <c r="D39" s="3">
        <v>45951</v>
      </c>
      <c r="E39" t="s">
        <v>0</v>
      </c>
      <c r="F39" s="2" t="s">
        <v>0</v>
      </c>
      <c r="G39" s="4">
        <v>1198.51</v>
      </c>
      <c r="H39" t="s">
        <v>2</v>
      </c>
      <c r="I39" t="s">
        <v>0</v>
      </c>
      <c r="J39" t="s">
        <v>58</v>
      </c>
      <c r="K39" t="s">
        <v>3</v>
      </c>
      <c r="L39" s="3">
        <v>45951</v>
      </c>
      <c r="M39" t="s">
        <v>30</v>
      </c>
      <c r="N39" t="s">
        <v>0</v>
      </c>
      <c r="O39" t="s">
        <v>0</v>
      </c>
      <c r="P39" t="s">
        <v>4</v>
      </c>
    </row>
    <row r="40" spans="1:16" ht="14" customHeight="1" outlineLevel="3" x14ac:dyDescent="0.25">
      <c r="A40" s="2" t="s">
        <v>0</v>
      </c>
      <c r="B40" t="s">
        <v>59</v>
      </c>
      <c r="C40" t="s">
        <v>28</v>
      </c>
      <c r="D40" s="3">
        <v>45951</v>
      </c>
      <c r="E40" t="s">
        <v>0</v>
      </c>
      <c r="F40" s="2" t="s">
        <v>0</v>
      </c>
      <c r="G40" s="4">
        <v>1198.51</v>
      </c>
      <c r="H40" t="s">
        <v>2</v>
      </c>
      <c r="I40" t="s">
        <v>0</v>
      </c>
      <c r="J40" t="s">
        <v>58</v>
      </c>
      <c r="K40" t="s">
        <v>3</v>
      </c>
      <c r="L40" s="3">
        <v>45951</v>
      </c>
      <c r="M40" t="s">
        <v>30</v>
      </c>
      <c r="N40" t="s">
        <v>0</v>
      </c>
      <c r="O40" t="s">
        <v>0</v>
      </c>
      <c r="P40" t="s">
        <v>4</v>
      </c>
    </row>
    <row r="41" spans="1:16" ht="14" customHeight="1" outlineLevel="3" x14ac:dyDescent="0.25">
      <c r="A41" s="2" t="s">
        <v>0</v>
      </c>
      <c r="B41" t="s">
        <v>60</v>
      </c>
      <c r="C41" t="s">
        <v>28</v>
      </c>
      <c r="D41" s="3">
        <v>45950</v>
      </c>
      <c r="E41" t="s">
        <v>0</v>
      </c>
      <c r="F41" s="2" t="s">
        <v>0</v>
      </c>
      <c r="G41" s="4">
        <v>20724.830000000002</v>
      </c>
      <c r="H41" t="s">
        <v>2</v>
      </c>
      <c r="I41" t="s">
        <v>0</v>
      </c>
      <c r="J41" t="s">
        <v>61</v>
      </c>
      <c r="K41" t="s">
        <v>3</v>
      </c>
      <c r="L41" s="3">
        <v>45950</v>
      </c>
      <c r="M41" t="s">
        <v>30</v>
      </c>
      <c r="N41" t="s">
        <v>0</v>
      </c>
      <c r="O41" t="s">
        <v>0</v>
      </c>
      <c r="P41" t="s">
        <v>4</v>
      </c>
    </row>
    <row r="42" spans="1:16" ht="14" customHeight="1" outlineLevel="3" x14ac:dyDescent="0.25">
      <c r="A42" s="2" t="s">
        <v>0</v>
      </c>
      <c r="B42" t="s">
        <v>62</v>
      </c>
      <c r="C42" t="s">
        <v>28</v>
      </c>
      <c r="D42" s="3">
        <v>45950</v>
      </c>
      <c r="E42" t="s">
        <v>0</v>
      </c>
      <c r="F42" s="2" t="s">
        <v>0</v>
      </c>
      <c r="G42" s="4">
        <v>4792.29</v>
      </c>
      <c r="H42" t="s">
        <v>2</v>
      </c>
      <c r="I42" t="s">
        <v>0</v>
      </c>
      <c r="J42" t="s">
        <v>63</v>
      </c>
      <c r="K42" t="s">
        <v>3</v>
      </c>
      <c r="L42" s="3">
        <v>45950</v>
      </c>
      <c r="M42" t="s">
        <v>30</v>
      </c>
      <c r="N42" t="s">
        <v>0</v>
      </c>
      <c r="O42" t="s">
        <v>0</v>
      </c>
      <c r="P42" t="s">
        <v>4</v>
      </c>
    </row>
    <row r="43" spans="1:16" ht="14" customHeight="1" outlineLevel="3" x14ac:dyDescent="0.25">
      <c r="A43" s="2" t="s">
        <v>0</v>
      </c>
      <c r="B43" t="s">
        <v>64</v>
      </c>
      <c r="C43" t="s">
        <v>28</v>
      </c>
      <c r="D43" s="3">
        <v>45966</v>
      </c>
      <c r="E43" t="s">
        <v>0</v>
      </c>
      <c r="F43" s="2" t="s">
        <v>0</v>
      </c>
      <c r="G43" s="4">
        <v>158406.1</v>
      </c>
      <c r="H43" t="s">
        <v>2</v>
      </c>
      <c r="I43" t="s">
        <v>0</v>
      </c>
      <c r="J43" t="s">
        <v>65</v>
      </c>
      <c r="K43" t="s">
        <v>3</v>
      </c>
      <c r="L43" s="3">
        <v>45966</v>
      </c>
      <c r="M43" t="s">
        <v>30</v>
      </c>
      <c r="N43" t="s">
        <v>0</v>
      </c>
      <c r="O43" t="s">
        <v>0</v>
      </c>
      <c r="P43" t="s">
        <v>4</v>
      </c>
    </row>
    <row r="44" spans="1:16" ht="14" customHeight="1" outlineLevel="3" x14ac:dyDescent="0.25">
      <c r="A44" s="2" t="s">
        <v>0</v>
      </c>
      <c r="B44" t="s">
        <v>66</v>
      </c>
      <c r="C44" t="s">
        <v>28</v>
      </c>
      <c r="D44" s="3">
        <v>45966</v>
      </c>
      <c r="E44" t="s">
        <v>0</v>
      </c>
      <c r="F44" s="2" t="s">
        <v>0</v>
      </c>
      <c r="G44" s="4">
        <v>1190.69</v>
      </c>
      <c r="H44" t="s">
        <v>2</v>
      </c>
      <c r="I44" t="s">
        <v>0</v>
      </c>
      <c r="J44" t="s">
        <v>67</v>
      </c>
      <c r="K44" t="s">
        <v>3</v>
      </c>
      <c r="L44" s="3">
        <v>45966</v>
      </c>
      <c r="M44" t="s">
        <v>30</v>
      </c>
      <c r="N44" t="s">
        <v>0</v>
      </c>
      <c r="O44" t="s">
        <v>0</v>
      </c>
      <c r="P44" t="s">
        <v>4</v>
      </c>
    </row>
    <row r="45" spans="1:16" ht="14" customHeight="1" outlineLevel="3" x14ac:dyDescent="0.25">
      <c r="A45" s="2" t="s">
        <v>0</v>
      </c>
      <c r="B45" t="s">
        <v>68</v>
      </c>
      <c r="C45" t="s">
        <v>28</v>
      </c>
      <c r="D45" s="3">
        <v>45966</v>
      </c>
      <c r="E45" t="s">
        <v>0</v>
      </c>
      <c r="F45" s="2" t="s">
        <v>0</v>
      </c>
      <c r="G45" s="4">
        <v>94035.14</v>
      </c>
      <c r="H45" t="s">
        <v>2</v>
      </c>
      <c r="I45" t="s">
        <v>0</v>
      </c>
      <c r="J45" t="s">
        <v>69</v>
      </c>
      <c r="K45" t="s">
        <v>3</v>
      </c>
      <c r="L45" s="3">
        <v>45966</v>
      </c>
      <c r="M45" t="s">
        <v>30</v>
      </c>
      <c r="N45" t="s">
        <v>0</v>
      </c>
      <c r="O45" t="s">
        <v>0</v>
      </c>
      <c r="P45" t="s">
        <v>4</v>
      </c>
    </row>
    <row r="46" spans="1:16" ht="14" customHeight="1" outlineLevel="3" x14ac:dyDescent="0.25">
      <c r="A46" s="2" t="s">
        <v>0</v>
      </c>
      <c r="B46" t="s">
        <v>70</v>
      </c>
      <c r="C46" t="s">
        <v>28</v>
      </c>
      <c r="D46" s="3">
        <v>45966</v>
      </c>
      <c r="E46" t="s">
        <v>0</v>
      </c>
      <c r="F46" s="2" t="s">
        <v>0</v>
      </c>
      <c r="G46" s="4">
        <v>12320.47</v>
      </c>
      <c r="H46" t="s">
        <v>2</v>
      </c>
      <c r="I46" t="s">
        <v>0</v>
      </c>
      <c r="J46" t="s">
        <v>71</v>
      </c>
      <c r="K46" t="s">
        <v>3</v>
      </c>
      <c r="L46" s="3">
        <v>45966</v>
      </c>
      <c r="M46" t="s">
        <v>30</v>
      </c>
      <c r="N46" t="s">
        <v>0</v>
      </c>
      <c r="O46" t="s">
        <v>0</v>
      </c>
      <c r="P46" t="s">
        <v>4</v>
      </c>
    </row>
    <row r="47" spans="1:16" ht="14" customHeight="1" outlineLevel="3" x14ac:dyDescent="0.25">
      <c r="A47" s="2" t="s">
        <v>0</v>
      </c>
      <c r="B47" t="s">
        <v>72</v>
      </c>
      <c r="C47" t="s">
        <v>28</v>
      </c>
      <c r="D47" s="3">
        <v>45966</v>
      </c>
      <c r="E47" t="s">
        <v>0</v>
      </c>
      <c r="F47" s="2" t="s">
        <v>0</v>
      </c>
      <c r="G47" s="4">
        <v>3080.12</v>
      </c>
      <c r="H47" t="s">
        <v>2</v>
      </c>
      <c r="I47" t="s">
        <v>0</v>
      </c>
      <c r="J47" t="s">
        <v>73</v>
      </c>
      <c r="K47" t="s">
        <v>3</v>
      </c>
      <c r="L47" s="3">
        <v>45966</v>
      </c>
      <c r="M47" t="s">
        <v>30</v>
      </c>
      <c r="N47" t="s">
        <v>0</v>
      </c>
      <c r="O47" t="s">
        <v>0</v>
      </c>
      <c r="P47" t="s">
        <v>4</v>
      </c>
    </row>
    <row r="48" spans="1:16" ht="14" customHeight="1" outlineLevel="3" x14ac:dyDescent="0.25">
      <c r="A48" s="2" t="s">
        <v>0</v>
      </c>
      <c r="B48" t="s">
        <v>74</v>
      </c>
      <c r="C48" t="s">
        <v>28</v>
      </c>
      <c r="D48" s="3">
        <v>45964</v>
      </c>
      <c r="E48" t="s">
        <v>0</v>
      </c>
      <c r="F48" s="2" t="s">
        <v>0</v>
      </c>
      <c r="G48" s="4">
        <v>40471</v>
      </c>
      <c r="H48" t="s">
        <v>2</v>
      </c>
      <c r="I48" t="s">
        <v>0</v>
      </c>
      <c r="J48" t="s">
        <v>75</v>
      </c>
      <c r="K48" t="s">
        <v>3</v>
      </c>
      <c r="L48" s="3">
        <v>45964</v>
      </c>
      <c r="M48" t="s">
        <v>30</v>
      </c>
      <c r="N48" t="s">
        <v>0</v>
      </c>
      <c r="O48" t="s">
        <v>0</v>
      </c>
      <c r="P48" t="s">
        <v>4</v>
      </c>
    </row>
    <row r="49" spans="1:16" ht="14" customHeight="1" outlineLevel="3" x14ac:dyDescent="0.25">
      <c r="A49" s="2" t="s">
        <v>0</v>
      </c>
      <c r="B49" t="s">
        <v>76</v>
      </c>
      <c r="C49" t="s">
        <v>28</v>
      </c>
      <c r="D49" s="3">
        <v>45966</v>
      </c>
      <c r="E49" t="s">
        <v>0</v>
      </c>
      <c r="F49" s="2" t="s">
        <v>0</v>
      </c>
      <c r="G49" s="4">
        <v>28393.41</v>
      </c>
      <c r="H49" t="s">
        <v>2</v>
      </c>
      <c r="I49" t="s">
        <v>0</v>
      </c>
      <c r="J49" t="s">
        <v>77</v>
      </c>
      <c r="K49" t="s">
        <v>3</v>
      </c>
      <c r="L49" s="3">
        <v>45966</v>
      </c>
      <c r="M49" t="s">
        <v>30</v>
      </c>
      <c r="N49" t="s">
        <v>0</v>
      </c>
      <c r="O49" t="s">
        <v>0</v>
      </c>
      <c r="P49" t="s">
        <v>4</v>
      </c>
    </row>
    <row r="50" spans="1:16" ht="14" customHeight="1" outlineLevel="3" x14ac:dyDescent="0.25">
      <c r="A50" s="2" t="s">
        <v>0</v>
      </c>
      <c r="B50" t="s">
        <v>78</v>
      </c>
      <c r="C50" t="s">
        <v>28</v>
      </c>
      <c r="D50" s="3">
        <v>45966</v>
      </c>
      <c r="E50" t="s">
        <v>0</v>
      </c>
      <c r="F50" s="2" t="s">
        <v>0</v>
      </c>
      <c r="G50" s="4">
        <v>1170.45</v>
      </c>
      <c r="H50" t="s">
        <v>2</v>
      </c>
      <c r="I50" t="s">
        <v>0</v>
      </c>
      <c r="J50" t="s">
        <v>79</v>
      </c>
      <c r="K50" t="s">
        <v>3</v>
      </c>
      <c r="L50" s="3">
        <v>45966</v>
      </c>
      <c r="M50" t="s">
        <v>30</v>
      </c>
      <c r="N50" t="s">
        <v>0</v>
      </c>
      <c r="O50" t="s">
        <v>0</v>
      </c>
      <c r="P50" t="s">
        <v>4</v>
      </c>
    </row>
    <row r="51" spans="1:16" ht="14" customHeight="1" outlineLevel="3" x14ac:dyDescent="0.25">
      <c r="A51" s="2" t="s">
        <v>0</v>
      </c>
      <c r="B51" t="s">
        <v>80</v>
      </c>
      <c r="C51" t="s">
        <v>28</v>
      </c>
      <c r="D51" s="3">
        <v>45966</v>
      </c>
      <c r="E51" t="s">
        <v>0</v>
      </c>
      <c r="F51" s="2" t="s">
        <v>0</v>
      </c>
      <c r="G51" s="4">
        <v>17356.91</v>
      </c>
      <c r="H51" t="s">
        <v>2</v>
      </c>
      <c r="I51" t="s">
        <v>0</v>
      </c>
      <c r="J51" t="s">
        <v>81</v>
      </c>
      <c r="K51" t="s">
        <v>3</v>
      </c>
      <c r="L51" s="3">
        <v>45966</v>
      </c>
      <c r="M51" t="s">
        <v>30</v>
      </c>
      <c r="N51" t="s">
        <v>0</v>
      </c>
      <c r="O51" t="s">
        <v>0</v>
      </c>
      <c r="P51" t="s">
        <v>4</v>
      </c>
    </row>
    <row r="52" spans="1:16" ht="14" customHeight="1" outlineLevel="3" x14ac:dyDescent="0.25">
      <c r="A52" s="2" t="s">
        <v>0</v>
      </c>
      <c r="B52" t="s">
        <v>82</v>
      </c>
      <c r="C52" t="s">
        <v>28</v>
      </c>
      <c r="D52" s="3">
        <v>45981</v>
      </c>
      <c r="E52" t="s">
        <v>0</v>
      </c>
      <c r="F52" s="2" t="s">
        <v>0</v>
      </c>
      <c r="G52" s="4">
        <v>179547.16</v>
      </c>
      <c r="H52" t="s">
        <v>2</v>
      </c>
      <c r="I52" t="s">
        <v>0</v>
      </c>
      <c r="J52" t="s">
        <v>83</v>
      </c>
      <c r="K52" t="s">
        <v>3</v>
      </c>
      <c r="L52" s="3">
        <v>45981</v>
      </c>
      <c r="M52" t="s">
        <v>30</v>
      </c>
      <c r="N52" t="s">
        <v>0</v>
      </c>
      <c r="O52" t="s">
        <v>0</v>
      </c>
      <c r="P52" t="s">
        <v>4</v>
      </c>
    </row>
    <row r="53" spans="1:16" ht="14" customHeight="1" outlineLevel="3" x14ac:dyDescent="0.25">
      <c r="A53" s="2" t="s">
        <v>0</v>
      </c>
      <c r="B53" t="s">
        <v>84</v>
      </c>
      <c r="C53" t="s">
        <v>28</v>
      </c>
      <c r="D53" s="3">
        <v>45981</v>
      </c>
      <c r="E53" t="s">
        <v>0</v>
      </c>
      <c r="F53" s="2" t="s">
        <v>0</v>
      </c>
      <c r="G53" s="4">
        <v>5724.62</v>
      </c>
      <c r="H53" t="s">
        <v>2</v>
      </c>
      <c r="I53" t="s">
        <v>0</v>
      </c>
      <c r="J53" t="s">
        <v>85</v>
      </c>
      <c r="K53" t="s">
        <v>3</v>
      </c>
      <c r="L53" s="3">
        <v>45981</v>
      </c>
      <c r="M53" t="s">
        <v>30</v>
      </c>
      <c r="N53" t="s">
        <v>0</v>
      </c>
      <c r="O53" t="s">
        <v>0</v>
      </c>
      <c r="P53" t="s">
        <v>4</v>
      </c>
    </row>
    <row r="54" spans="1:16" ht="14" customHeight="1" outlineLevel="3" x14ac:dyDescent="0.25">
      <c r="A54" s="2" t="s">
        <v>0</v>
      </c>
      <c r="B54" t="s">
        <v>86</v>
      </c>
      <c r="C54" t="s">
        <v>28</v>
      </c>
      <c r="D54" s="3">
        <v>45981</v>
      </c>
      <c r="E54" t="s">
        <v>0</v>
      </c>
      <c r="F54" s="2" t="s">
        <v>0</v>
      </c>
      <c r="G54" s="4">
        <v>3714.62</v>
      </c>
      <c r="H54" t="s">
        <v>2</v>
      </c>
      <c r="I54" t="s">
        <v>0</v>
      </c>
      <c r="J54" t="s">
        <v>87</v>
      </c>
      <c r="K54" t="s">
        <v>3</v>
      </c>
      <c r="L54" s="3">
        <v>45981</v>
      </c>
      <c r="M54" t="s">
        <v>30</v>
      </c>
      <c r="N54" t="s">
        <v>0</v>
      </c>
      <c r="O54" t="s">
        <v>0</v>
      </c>
      <c r="P54" t="s">
        <v>4</v>
      </c>
    </row>
    <row r="55" spans="1:16" ht="14" customHeight="1" outlineLevel="3" x14ac:dyDescent="0.25">
      <c r="A55" s="2" t="s">
        <v>0</v>
      </c>
      <c r="B55" t="s">
        <v>88</v>
      </c>
      <c r="C55" t="s">
        <v>28</v>
      </c>
      <c r="D55" s="3">
        <v>46024</v>
      </c>
      <c r="E55" t="s">
        <v>0</v>
      </c>
      <c r="F55" s="2" t="s">
        <v>0</v>
      </c>
      <c r="G55" s="4">
        <v>79044.53</v>
      </c>
      <c r="H55" t="s">
        <v>2</v>
      </c>
      <c r="I55" t="s">
        <v>0</v>
      </c>
      <c r="J55" t="s">
        <v>89</v>
      </c>
      <c r="K55" t="s">
        <v>3</v>
      </c>
      <c r="L55" s="3">
        <v>46024</v>
      </c>
      <c r="M55" t="s">
        <v>30</v>
      </c>
      <c r="N55" t="s">
        <v>0</v>
      </c>
      <c r="O55" t="s">
        <v>0</v>
      </c>
      <c r="P55" t="s">
        <v>4</v>
      </c>
    </row>
    <row r="56" spans="1:16" ht="14" customHeight="1" outlineLevel="3" x14ac:dyDescent="0.25">
      <c r="A56" s="2" t="s">
        <v>0</v>
      </c>
      <c r="B56" t="s">
        <v>90</v>
      </c>
      <c r="C56" t="s">
        <v>28</v>
      </c>
      <c r="D56" s="3">
        <v>46024</v>
      </c>
      <c r="E56" t="s">
        <v>0</v>
      </c>
      <c r="F56" s="2" t="s">
        <v>0</v>
      </c>
      <c r="G56" s="4">
        <v>163337.65</v>
      </c>
      <c r="H56" t="s">
        <v>2</v>
      </c>
      <c r="I56" t="s">
        <v>0</v>
      </c>
      <c r="J56" t="s">
        <v>91</v>
      </c>
      <c r="K56" t="s">
        <v>3</v>
      </c>
      <c r="L56" s="3">
        <v>46024</v>
      </c>
      <c r="M56" t="s">
        <v>30</v>
      </c>
      <c r="N56" t="s">
        <v>0</v>
      </c>
      <c r="O56" t="s">
        <v>0</v>
      </c>
      <c r="P56" t="s">
        <v>4</v>
      </c>
    </row>
    <row r="57" spans="1:16" ht="14" customHeight="1" outlineLevel="3" x14ac:dyDescent="0.25">
      <c r="A57" s="2" t="s">
        <v>0</v>
      </c>
      <c r="B57" t="s">
        <v>92</v>
      </c>
      <c r="C57" t="s">
        <v>28</v>
      </c>
      <c r="D57" s="3">
        <v>45999</v>
      </c>
      <c r="E57" t="s">
        <v>0</v>
      </c>
      <c r="F57" s="2" t="s">
        <v>0</v>
      </c>
      <c r="G57" s="4">
        <v>3790.16</v>
      </c>
      <c r="H57" t="s">
        <v>2</v>
      </c>
      <c r="I57" t="s">
        <v>0</v>
      </c>
      <c r="J57" t="s">
        <v>93</v>
      </c>
      <c r="K57" t="s">
        <v>3</v>
      </c>
      <c r="L57" s="3">
        <v>45999</v>
      </c>
      <c r="M57" t="s">
        <v>30</v>
      </c>
      <c r="N57" t="s">
        <v>0</v>
      </c>
      <c r="O57" t="s">
        <v>0</v>
      </c>
      <c r="P57" t="s">
        <v>4</v>
      </c>
    </row>
    <row r="58" spans="1:16" ht="14" customHeight="1" outlineLevel="3" x14ac:dyDescent="0.25">
      <c r="A58" s="2" t="s">
        <v>0</v>
      </c>
      <c r="B58" t="s">
        <v>94</v>
      </c>
      <c r="C58" t="s">
        <v>28</v>
      </c>
      <c r="D58" s="3">
        <v>45996</v>
      </c>
      <c r="E58" t="s">
        <v>0</v>
      </c>
      <c r="F58" s="2" t="s">
        <v>0</v>
      </c>
      <c r="G58" s="4">
        <v>14317.09</v>
      </c>
      <c r="H58" t="s">
        <v>2</v>
      </c>
      <c r="I58" t="s">
        <v>0</v>
      </c>
      <c r="J58" t="s">
        <v>95</v>
      </c>
      <c r="K58" t="s">
        <v>3</v>
      </c>
      <c r="L58" s="3">
        <v>45996</v>
      </c>
      <c r="M58" t="s">
        <v>30</v>
      </c>
      <c r="N58" t="s">
        <v>0</v>
      </c>
      <c r="O58" t="s">
        <v>0</v>
      </c>
      <c r="P58" t="s">
        <v>4</v>
      </c>
    </row>
    <row r="59" spans="1:16" ht="14" customHeight="1" outlineLevel="3" x14ac:dyDescent="0.25">
      <c r="A59" s="2" t="s">
        <v>0</v>
      </c>
      <c r="B59" t="s">
        <v>96</v>
      </c>
      <c r="C59" t="s">
        <v>97</v>
      </c>
      <c r="D59" s="3">
        <v>46027</v>
      </c>
      <c r="E59" t="s">
        <v>0</v>
      </c>
      <c r="F59" s="2" t="s">
        <v>0</v>
      </c>
      <c r="G59" s="4">
        <v>-1233.2</v>
      </c>
      <c r="H59" t="s">
        <v>2</v>
      </c>
      <c r="I59" t="s">
        <v>0</v>
      </c>
      <c r="J59" t="s">
        <v>98</v>
      </c>
      <c r="K59" t="s">
        <v>3</v>
      </c>
      <c r="L59" s="3">
        <v>46027</v>
      </c>
      <c r="M59" t="s">
        <v>30</v>
      </c>
      <c r="N59" t="s">
        <v>0</v>
      </c>
      <c r="O59" t="s">
        <v>0</v>
      </c>
      <c r="P59" t="s">
        <v>4</v>
      </c>
    </row>
    <row r="60" spans="1:16" ht="14" customHeight="1" outlineLevel="3" x14ac:dyDescent="0.25">
      <c r="A60" s="2" t="s">
        <v>0</v>
      </c>
      <c r="B60" t="s">
        <v>99</v>
      </c>
      <c r="C60" t="s">
        <v>28</v>
      </c>
      <c r="D60" s="3">
        <v>46028</v>
      </c>
      <c r="E60" t="s">
        <v>0</v>
      </c>
      <c r="F60" s="2" t="s">
        <v>0</v>
      </c>
      <c r="G60" s="4">
        <v>163337.65</v>
      </c>
      <c r="H60" t="s">
        <v>2</v>
      </c>
      <c r="I60" t="s">
        <v>0</v>
      </c>
      <c r="J60" t="s">
        <v>100</v>
      </c>
      <c r="K60" t="s">
        <v>3</v>
      </c>
      <c r="L60" s="3">
        <v>46028</v>
      </c>
      <c r="M60" t="s">
        <v>30</v>
      </c>
      <c r="N60" t="s">
        <v>0</v>
      </c>
      <c r="O60" t="s">
        <v>0</v>
      </c>
      <c r="P60" t="s">
        <v>4</v>
      </c>
    </row>
    <row r="61" spans="1:16" ht="14" customHeight="1" outlineLevel="3" x14ac:dyDescent="0.25">
      <c r="A61" s="2" t="s">
        <v>0</v>
      </c>
      <c r="B61" t="s">
        <v>101</v>
      </c>
      <c r="C61" t="s">
        <v>28</v>
      </c>
      <c r="D61" s="3">
        <v>46035</v>
      </c>
      <c r="E61" t="s">
        <v>0</v>
      </c>
      <c r="F61" s="2" t="s">
        <v>0</v>
      </c>
      <c r="G61" s="4">
        <v>63234.36</v>
      </c>
      <c r="H61" t="s">
        <v>2</v>
      </c>
      <c r="I61" t="s">
        <v>0</v>
      </c>
      <c r="J61" t="s">
        <v>102</v>
      </c>
      <c r="K61" t="s">
        <v>3</v>
      </c>
      <c r="L61" s="3">
        <v>46035</v>
      </c>
      <c r="M61" t="s">
        <v>30</v>
      </c>
      <c r="N61" t="s">
        <v>0</v>
      </c>
      <c r="O61" t="s">
        <v>0</v>
      </c>
      <c r="P61" t="s">
        <v>4</v>
      </c>
    </row>
    <row r="62" spans="1:16" ht="14" customHeight="1" outlineLevel="3" x14ac:dyDescent="0.25">
      <c r="A62" s="2" t="s">
        <v>0</v>
      </c>
      <c r="B62" t="s">
        <v>103</v>
      </c>
      <c r="C62" t="s">
        <v>28</v>
      </c>
      <c r="D62" s="3">
        <v>45708</v>
      </c>
      <c r="E62" t="s">
        <v>0</v>
      </c>
      <c r="F62" s="2" t="s">
        <v>0</v>
      </c>
      <c r="G62" s="4">
        <v>155346.59</v>
      </c>
      <c r="H62" t="s">
        <v>2</v>
      </c>
      <c r="I62" t="s">
        <v>0</v>
      </c>
      <c r="J62" t="s">
        <v>104</v>
      </c>
      <c r="K62" t="s">
        <v>3</v>
      </c>
      <c r="L62" s="3">
        <v>45708</v>
      </c>
      <c r="M62" t="s">
        <v>30</v>
      </c>
      <c r="N62" t="s">
        <v>0</v>
      </c>
      <c r="O62" t="s">
        <v>0</v>
      </c>
      <c r="P62" t="s">
        <v>4</v>
      </c>
    </row>
    <row r="63" spans="1:16" ht="14" customHeight="1" outlineLevel="3" x14ac:dyDescent="0.25">
      <c r="A63" s="2" t="s">
        <v>0</v>
      </c>
      <c r="B63" t="s">
        <v>105</v>
      </c>
      <c r="C63" t="s">
        <v>28</v>
      </c>
      <c r="D63" s="3">
        <v>45708</v>
      </c>
      <c r="E63" t="s">
        <v>0</v>
      </c>
      <c r="F63" s="2" t="s">
        <v>0</v>
      </c>
      <c r="G63" s="4">
        <v>155346.59</v>
      </c>
      <c r="H63" t="s">
        <v>2</v>
      </c>
      <c r="I63" t="s">
        <v>0</v>
      </c>
      <c r="J63" t="s">
        <v>106</v>
      </c>
      <c r="K63" t="s">
        <v>3</v>
      </c>
      <c r="L63" s="3">
        <v>45708</v>
      </c>
      <c r="M63" t="s">
        <v>30</v>
      </c>
      <c r="N63" t="s">
        <v>0</v>
      </c>
      <c r="O63" t="s">
        <v>0</v>
      </c>
      <c r="P63" t="s">
        <v>4</v>
      </c>
    </row>
    <row r="64" spans="1:16" ht="14" customHeight="1" outlineLevel="3" x14ac:dyDescent="0.25">
      <c r="A64" s="2" t="s">
        <v>0</v>
      </c>
      <c r="B64" t="s">
        <v>107</v>
      </c>
      <c r="C64" t="s">
        <v>28</v>
      </c>
      <c r="D64" s="3">
        <v>45708</v>
      </c>
      <c r="E64" t="s">
        <v>0</v>
      </c>
      <c r="F64" s="2" t="s">
        <v>0</v>
      </c>
      <c r="G64" s="4">
        <v>155346.59</v>
      </c>
      <c r="H64" t="s">
        <v>2</v>
      </c>
      <c r="I64" t="s">
        <v>0</v>
      </c>
      <c r="J64" t="s">
        <v>108</v>
      </c>
      <c r="K64" t="s">
        <v>3</v>
      </c>
      <c r="L64" s="3">
        <v>45708</v>
      </c>
      <c r="M64" t="s">
        <v>30</v>
      </c>
      <c r="N64" t="s">
        <v>0</v>
      </c>
      <c r="O64" t="s">
        <v>0</v>
      </c>
      <c r="P64" t="s">
        <v>4</v>
      </c>
    </row>
    <row r="65" spans="1:16" ht="14" customHeight="1" outlineLevel="3" x14ac:dyDescent="0.25">
      <c r="A65" s="2" t="s">
        <v>0</v>
      </c>
      <c r="B65" t="s">
        <v>109</v>
      </c>
      <c r="C65" t="s">
        <v>28</v>
      </c>
      <c r="D65" s="3">
        <v>45708</v>
      </c>
      <c r="E65" t="s">
        <v>0</v>
      </c>
      <c r="F65" s="2" t="s">
        <v>0</v>
      </c>
      <c r="G65" s="4">
        <v>155346.59</v>
      </c>
      <c r="H65" t="s">
        <v>2</v>
      </c>
      <c r="I65" t="s">
        <v>0</v>
      </c>
      <c r="J65" t="s">
        <v>110</v>
      </c>
      <c r="K65" t="s">
        <v>3</v>
      </c>
      <c r="L65" s="3">
        <v>45708</v>
      </c>
      <c r="M65" t="s">
        <v>30</v>
      </c>
      <c r="N65" t="s">
        <v>0</v>
      </c>
      <c r="O65" t="s">
        <v>0</v>
      </c>
      <c r="P65" t="s">
        <v>4</v>
      </c>
    </row>
    <row r="66" spans="1:16" ht="14" customHeight="1" outlineLevel="3" x14ac:dyDescent="0.25">
      <c r="A66" s="2" t="s">
        <v>0</v>
      </c>
      <c r="B66" t="s">
        <v>111</v>
      </c>
      <c r="C66" t="s">
        <v>28</v>
      </c>
      <c r="D66" s="3">
        <v>45708</v>
      </c>
      <c r="E66" t="s">
        <v>0</v>
      </c>
      <c r="F66" s="2" t="s">
        <v>0</v>
      </c>
      <c r="G66" s="4">
        <v>155346.59</v>
      </c>
      <c r="H66" t="s">
        <v>2</v>
      </c>
      <c r="I66" t="s">
        <v>0</v>
      </c>
      <c r="J66" t="s">
        <v>112</v>
      </c>
      <c r="K66" t="s">
        <v>3</v>
      </c>
      <c r="L66" s="3">
        <v>45708</v>
      </c>
      <c r="M66" t="s">
        <v>30</v>
      </c>
      <c r="N66" t="s">
        <v>0</v>
      </c>
      <c r="O66" t="s">
        <v>0</v>
      </c>
      <c r="P66" t="s">
        <v>4</v>
      </c>
    </row>
    <row r="67" spans="1:16" ht="14" customHeight="1" outlineLevel="3" x14ac:dyDescent="0.25">
      <c r="A67" s="2" t="s">
        <v>0</v>
      </c>
      <c r="B67" t="s">
        <v>113</v>
      </c>
      <c r="C67" t="s">
        <v>28</v>
      </c>
      <c r="D67" s="3">
        <v>45708</v>
      </c>
      <c r="E67" t="s">
        <v>0</v>
      </c>
      <c r="F67" s="2" t="s">
        <v>0</v>
      </c>
      <c r="G67" s="4">
        <v>155346.59</v>
      </c>
      <c r="H67" t="s">
        <v>2</v>
      </c>
      <c r="I67" t="s">
        <v>0</v>
      </c>
      <c r="J67" t="s">
        <v>114</v>
      </c>
      <c r="K67" t="s">
        <v>3</v>
      </c>
      <c r="L67" s="3">
        <v>45708</v>
      </c>
      <c r="M67" t="s">
        <v>30</v>
      </c>
      <c r="N67" t="s">
        <v>0</v>
      </c>
      <c r="O67" t="s">
        <v>0</v>
      </c>
      <c r="P67" t="s">
        <v>4</v>
      </c>
    </row>
    <row r="68" spans="1:16" ht="14" customHeight="1" outlineLevel="3" x14ac:dyDescent="0.25">
      <c r="A68" s="2" t="s">
        <v>0</v>
      </c>
      <c r="B68" t="s">
        <v>115</v>
      </c>
      <c r="C68" t="s">
        <v>28</v>
      </c>
      <c r="D68" s="3">
        <v>45716</v>
      </c>
      <c r="E68" t="s">
        <v>0</v>
      </c>
      <c r="F68" s="2" t="s">
        <v>0</v>
      </c>
      <c r="G68" s="4">
        <v>38836.65</v>
      </c>
      <c r="H68" t="s">
        <v>2</v>
      </c>
      <c r="I68" t="s">
        <v>0</v>
      </c>
      <c r="J68" t="s">
        <v>116</v>
      </c>
      <c r="K68" t="s">
        <v>3</v>
      </c>
      <c r="L68" s="3">
        <v>45716</v>
      </c>
      <c r="M68" t="s">
        <v>30</v>
      </c>
      <c r="N68" t="s">
        <v>0</v>
      </c>
      <c r="O68" t="s">
        <v>0</v>
      </c>
      <c r="P68" t="s">
        <v>4</v>
      </c>
    </row>
    <row r="69" spans="1:16" ht="14" customHeight="1" outlineLevel="3" x14ac:dyDescent="0.25">
      <c r="A69" s="2" t="s">
        <v>0</v>
      </c>
      <c r="B69" t="s">
        <v>117</v>
      </c>
      <c r="C69" t="s">
        <v>28</v>
      </c>
      <c r="D69" s="3">
        <v>45716</v>
      </c>
      <c r="E69" t="s">
        <v>0</v>
      </c>
      <c r="F69" s="2" t="s">
        <v>0</v>
      </c>
      <c r="G69" s="4">
        <v>40131.199999999997</v>
      </c>
      <c r="H69" t="s">
        <v>2</v>
      </c>
      <c r="I69" t="s">
        <v>0</v>
      </c>
      <c r="J69" t="s">
        <v>116</v>
      </c>
      <c r="K69" t="s">
        <v>3</v>
      </c>
      <c r="L69" s="3">
        <v>45716</v>
      </c>
      <c r="M69" t="s">
        <v>30</v>
      </c>
      <c r="N69" t="s">
        <v>0</v>
      </c>
      <c r="O69" t="s">
        <v>0</v>
      </c>
      <c r="P69" t="s">
        <v>4</v>
      </c>
    </row>
    <row r="70" spans="1:16" ht="14" customHeight="1" outlineLevel="3" x14ac:dyDescent="0.25">
      <c r="A70" s="2" t="s">
        <v>0</v>
      </c>
      <c r="B70" t="s">
        <v>118</v>
      </c>
      <c r="C70" t="s">
        <v>28</v>
      </c>
      <c r="D70" s="3">
        <v>45716</v>
      </c>
      <c r="E70" t="s">
        <v>0</v>
      </c>
      <c r="F70" s="2" t="s">
        <v>0</v>
      </c>
      <c r="G70" s="4">
        <v>40131.199999999997</v>
      </c>
      <c r="H70" t="s">
        <v>2</v>
      </c>
      <c r="I70" t="s">
        <v>0</v>
      </c>
      <c r="J70" t="s">
        <v>116</v>
      </c>
      <c r="K70" t="s">
        <v>3</v>
      </c>
      <c r="L70" s="3">
        <v>45716</v>
      </c>
      <c r="M70" t="s">
        <v>30</v>
      </c>
      <c r="N70" t="s">
        <v>0</v>
      </c>
      <c r="O70" t="s">
        <v>0</v>
      </c>
      <c r="P70" t="s">
        <v>4</v>
      </c>
    </row>
    <row r="71" spans="1:16" ht="14" customHeight="1" outlineLevel="3" x14ac:dyDescent="0.25">
      <c r="A71" s="2" t="s">
        <v>0</v>
      </c>
      <c r="B71" t="s">
        <v>119</v>
      </c>
      <c r="C71" t="s">
        <v>28</v>
      </c>
      <c r="D71" s="3">
        <v>45716</v>
      </c>
      <c r="E71" t="s">
        <v>0</v>
      </c>
      <c r="F71" s="2" t="s">
        <v>0</v>
      </c>
      <c r="G71" s="4">
        <v>38836.65</v>
      </c>
      <c r="H71" t="s">
        <v>2</v>
      </c>
      <c r="I71" t="s">
        <v>0</v>
      </c>
      <c r="J71" t="s">
        <v>116</v>
      </c>
      <c r="K71" t="s">
        <v>3</v>
      </c>
      <c r="L71" s="3">
        <v>45716</v>
      </c>
      <c r="M71" t="s">
        <v>30</v>
      </c>
      <c r="N71" t="s">
        <v>0</v>
      </c>
      <c r="O71" t="s">
        <v>0</v>
      </c>
      <c r="P71" t="s">
        <v>4</v>
      </c>
    </row>
    <row r="72" spans="1:16" ht="14" customHeight="1" outlineLevel="3" x14ac:dyDescent="0.25">
      <c r="A72" s="2" t="s">
        <v>0</v>
      </c>
      <c r="B72" t="s">
        <v>120</v>
      </c>
      <c r="C72" t="s">
        <v>28</v>
      </c>
      <c r="D72" s="3">
        <v>45719</v>
      </c>
      <c r="E72" t="s">
        <v>0</v>
      </c>
      <c r="F72" s="2" t="s">
        <v>0</v>
      </c>
      <c r="G72" s="4">
        <v>164220.99</v>
      </c>
      <c r="H72" t="s">
        <v>2</v>
      </c>
      <c r="I72" t="s">
        <v>0</v>
      </c>
      <c r="J72" t="s">
        <v>121</v>
      </c>
      <c r="K72" t="s">
        <v>3</v>
      </c>
      <c r="L72" s="3">
        <v>45719</v>
      </c>
      <c r="M72" t="s">
        <v>30</v>
      </c>
      <c r="N72" t="s">
        <v>0</v>
      </c>
      <c r="O72" t="s">
        <v>0</v>
      </c>
      <c r="P72" t="s">
        <v>4</v>
      </c>
    </row>
    <row r="73" spans="1:16" ht="14" customHeight="1" outlineLevel="3" x14ac:dyDescent="0.25">
      <c r="A73" s="2" t="s">
        <v>0</v>
      </c>
      <c r="B73" t="s">
        <v>122</v>
      </c>
      <c r="C73" t="s">
        <v>28</v>
      </c>
      <c r="D73" s="3">
        <v>45719</v>
      </c>
      <c r="E73" t="s">
        <v>0</v>
      </c>
      <c r="F73" s="2" t="s">
        <v>0</v>
      </c>
      <c r="G73" s="4">
        <v>167393.89000000001</v>
      </c>
      <c r="H73" t="s">
        <v>2</v>
      </c>
      <c r="I73" t="s">
        <v>0</v>
      </c>
      <c r="J73" t="s">
        <v>123</v>
      </c>
      <c r="K73" t="s">
        <v>3</v>
      </c>
      <c r="L73" s="3">
        <v>45719</v>
      </c>
      <c r="M73" t="s">
        <v>30</v>
      </c>
      <c r="N73" t="s">
        <v>0</v>
      </c>
      <c r="O73" t="s">
        <v>0</v>
      </c>
      <c r="P73" t="s">
        <v>4</v>
      </c>
    </row>
    <row r="74" spans="1:16" ht="14" customHeight="1" outlineLevel="3" x14ac:dyDescent="0.25">
      <c r="A74" s="2" t="s">
        <v>0</v>
      </c>
      <c r="B74" t="s">
        <v>124</v>
      </c>
      <c r="C74" t="s">
        <v>28</v>
      </c>
      <c r="D74" s="3">
        <v>45722</v>
      </c>
      <c r="E74" t="s">
        <v>0</v>
      </c>
      <c r="F74" s="2" t="s">
        <v>0</v>
      </c>
      <c r="G74" s="4">
        <v>199955.13</v>
      </c>
      <c r="H74" t="s">
        <v>2</v>
      </c>
      <c r="I74" t="s">
        <v>0</v>
      </c>
      <c r="J74" t="s">
        <v>125</v>
      </c>
      <c r="K74" t="s">
        <v>3</v>
      </c>
      <c r="L74" s="3">
        <v>45722</v>
      </c>
      <c r="M74" t="s">
        <v>30</v>
      </c>
      <c r="N74" t="s">
        <v>0</v>
      </c>
      <c r="O74" t="s">
        <v>0</v>
      </c>
      <c r="P74" t="s">
        <v>4</v>
      </c>
    </row>
    <row r="75" spans="1:16" ht="14" customHeight="1" outlineLevel="3" x14ac:dyDescent="0.25">
      <c r="A75" s="2" t="s">
        <v>0</v>
      </c>
      <c r="B75" t="s">
        <v>126</v>
      </c>
      <c r="C75" t="s">
        <v>28</v>
      </c>
      <c r="D75" s="3">
        <v>45722</v>
      </c>
      <c r="E75" t="s">
        <v>0</v>
      </c>
      <c r="F75" s="2" t="s">
        <v>0</v>
      </c>
      <c r="G75" s="4">
        <v>207242.39</v>
      </c>
      <c r="H75" t="s">
        <v>2</v>
      </c>
      <c r="I75" t="s">
        <v>0</v>
      </c>
      <c r="J75" t="s">
        <v>127</v>
      </c>
      <c r="K75" t="s">
        <v>3</v>
      </c>
      <c r="L75" s="3">
        <v>45722</v>
      </c>
      <c r="M75" t="s">
        <v>30</v>
      </c>
      <c r="N75" t="s">
        <v>0</v>
      </c>
      <c r="O75" t="s">
        <v>0</v>
      </c>
      <c r="P75" t="s">
        <v>4</v>
      </c>
    </row>
    <row r="76" spans="1:16" ht="14" customHeight="1" outlineLevel="3" x14ac:dyDescent="0.25">
      <c r="A76" s="2" t="s">
        <v>0</v>
      </c>
      <c r="B76" t="s">
        <v>128</v>
      </c>
      <c r="C76" t="s">
        <v>28</v>
      </c>
      <c r="D76" s="3">
        <v>45729</v>
      </c>
      <c r="E76" t="s">
        <v>0</v>
      </c>
      <c r="F76" s="2" t="s">
        <v>0</v>
      </c>
      <c r="G76" s="4">
        <v>3034.19</v>
      </c>
      <c r="H76" t="s">
        <v>2</v>
      </c>
      <c r="I76" t="s">
        <v>0</v>
      </c>
      <c r="J76" t="s">
        <v>129</v>
      </c>
      <c r="K76" t="s">
        <v>3</v>
      </c>
      <c r="L76" s="3">
        <v>45729</v>
      </c>
      <c r="M76" t="s">
        <v>30</v>
      </c>
      <c r="N76" t="s">
        <v>0</v>
      </c>
      <c r="O76" t="s">
        <v>0</v>
      </c>
      <c r="P76" t="s">
        <v>4</v>
      </c>
    </row>
    <row r="77" spans="1:16" ht="14" customHeight="1" outlineLevel="3" x14ac:dyDescent="0.25">
      <c r="A77" s="2" t="s">
        <v>0</v>
      </c>
      <c r="B77" t="s">
        <v>130</v>
      </c>
      <c r="C77" t="s">
        <v>28</v>
      </c>
      <c r="D77" s="3">
        <v>45730</v>
      </c>
      <c r="E77" t="s">
        <v>0</v>
      </c>
      <c r="F77" s="2" t="s">
        <v>0</v>
      </c>
      <c r="G77" s="4">
        <v>6692.57</v>
      </c>
      <c r="H77" t="s">
        <v>2</v>
      </c>
      <c r="I77" t="s">
        <v>0</v>
      </c>
      <c r="J77" t="s">
        <v>131</v>
      </c>
      <c r="K77" t="s">
        <v>3</v>
      </c>
      <c r="L77" s="3">
        <v>45730</v>
      </c>
      <c r="M77" t="s">
        <v>30</v>
      </c>
      <c r="N77" t="s">
        <v>0</v>
      </c>
      <c r="O77" t="s">
        <v>0</v>
      </c>
      <c r="P77" t="s">
        <v>4</v>
      </c>
    </row>
    <row r="78" spans="1:16" ht="14" customHeight="1" outlineLevel="3" x14ac:dyDescent="0.25">
      <c r="A78" s="2" t="s">
        <v>0</v>
      </c>
      <c r="B78" t="s">
        <v>132</v>
      </c>
      <c r="C78" t="s">
        <v>28</v>
      </c>
      <c r="D78" s="3">
        <v>45733</v>
      </c>
      <c r="E78" t="s">
        <v>0</v>
      </c>
      <c r="F78" s="2" t="s">
        <v>0</v>
      </c>
      <c r="G78" s="4">
        <v>21299.18</v>
      </c>
      <c r="H78" t="s">
        <v>2</v>
      </c>
      <c r="I78" t="s">
        <v>0</v>
      </c>
      <c r="J78" t="s">
        <v>133</v>
      </c>
      <c r="K78" t="s">
        <v>3</v>
      </c>
      <c r="L78" s="3">
        <v>45733</v>
      </c>
      <c r="M78" t="s">
        <v>30</v>
      </c>
      <c r="N78" t="s">
        <v>0</v>
      </c>
      <c r="O78" t="s">
        <v>0</v>
      </c>
      <c r="P78" t="s">
        <v>4</v>
      </c>
    </row>
    <row r="79" spans="1:16" ht="14" customHeight="1" outlineLevel="3" x14ac:dyDescent="0.25">
      <c r="A79" s="2" t="s">
        <v>0</v>
      </c>
      <c r="B79" t="s">
        <v>134</v>
      </c>
      <c r="C79" t="s">
        <v>28</v>
      </c>
      <c r="D79" s="3">
        <v>45733</v>
      </c>
      <c r="E79" t="s">
        <v>0</v>
      </c>
      <c r="F79" s="2" t="s">
        <v>0</v>
      </c>
      <c r="G79" s="4">
        <v>6052.78</v>
      </c>
      <c r="H79" t="s">
        <v>2</v>
      </c>
      <c r="I79" t="s">
        <v>0</v>
      </c>
      <c r="J79" t="s">
        <v>133</v>
      </c>
      <c r="K79" t="s">
        <v>3</v>
      </c>
      <c r="L79" s="3">
        <v>45733</v>
      </c>
      <c r="M79" t="s">
        <v>30</v>
      </c>
      <c r="N79" t="s">
        <v>0</v>
      </c>
      <c r="O79" t="s">
        <v>0</v>
      </c>
      <c r="P79" t="s">
        <v>4</v>
      </c>
    </row>
    <row r="80" spans="1:16" ht="14" customHeight="1" outlineLevel="3" x14ac:dyDescent="0.25">
      <c r="A80" s="2" t="s">
        <v>0</v>
      </c>
      <c r="B80" t="s">
        <v>135</v>
      </c>
      <c r="C80" t="s">
        <v>28</v>
      </c>
      <c r="D80" s="3">
        <v>45733</v>
      </c>
      <c r="E80" t="s">
        <v>0</v>
      </c>
      <c r="F80" s="2" t="s">
        <v>0</v>
      </c>
      <c r="G80" s="4">
        <v>6207.96</v>
      </c>
      <c r="H80" t="s">
        <v>2</v>
      </c>
      <c r="I80" t="s">
        <v>0</v>
      </c>
      <c r="J80" t="s">
        <v>133</v>
      </c>
      <c r="K80" t="s">
        <v>3</v>
      </c>
      <c r="L80" s="3">
        <v>45733</v>
      </c>
      <c r="M80" t="s">
        <v>30</v>
      </c>
      <c r="N80" t="s">
        <v>0</v>
      </c>
      <c r="O80" t="s">
        <v>0</v>
      </c>
      <c r="P80" t="s">
        <v>4</v>
      </c>
    </row>
    <row r="81" spans="1:16" ht="14" customHeight="1" outlineLevel="3" x14ac:dyDescent="0.25">
      <c r="A81" s="2" t="s">
        <v>0</v>
      </c>
      <c r="B81" t="s">
        <v>136</v>
      </c>
      <c r="C81" t="s">
        <v>28</v>
      </c>
      <c r="D81" s="3">
        <v>45733</v>
      </c>
      <c r="E81" t="s">
        <v>0</v>
      </c>
      <c r="F81" s="2" t="s">
        <v>0</v>
      </c>
      <c r="G81" s="4">
        <v>5359.25</v>
      </c>
      <c r="H81" t="s">
        <v>2</v>
      </c>
      <c r="I81" t="s">
        <v>0</v>
      </c>
      <c r="J81" t="s">
        <v>133</v>
      </c>
      <c r="K81" t="s">
        <v>3</v>
      </c>
      <c r="L81" s="3">
        <v>45733</v>
      </c>
      <c r="M81" t="s">
        <v>30</v>
      </c>
      <c r="N81" t="s">
        <v>0</v>
      </c>
      <c r="O81" t="s">
        <v>0</v>
      </c>
      <c r="P81" t="s">
        <v>4</v>
      </c>
    </row>
    <row r="82" spans="1:16" ht="14" customHeight="1" outlineLevel="3" x14ac:dyDescent="0.25">
      <c r="A82" s="2" t="s">
        <v>0</v>
      </c>
      <c r="B82" t="s">
        <v>137</v>
      </c>
      <c r="C82" t="s">
        <v>28</v>
      </c>
      <c r="D82" s="3">
        <v>45733</v>
      </c>
      <c r="E82" t="s">
        <v>0</v>
      </c>
      <c r="F82" s="2" t="s">
        <v>0</v>
      </c>
      <c r="G82" s="4">
        <v>10591.94</v>
      </c>
      <c r="H82" t="s">
        <v>2</v>
      </c>
      <c r="I82" t="s">
        <v>0</v>
      </c>
      <c r="J82" t="s">
        <v>138</v>
      </c>
      <c r="K82" t="s">
        <v>3</v>
      </c>
      <c r="L82" s="3">
        <v>45733</v>
      </c>
      <c r="M82" t="s">
        <v>30</v>
      </c>
      <c r="N82" t="s">
        <v>0</v>
      </c>
      <c r="O82" t="s">
        <v>0</v>
      </c>
      <c r="P82" t="s">
        <v>4</v>
      </c>
    </row>
    <row r="83" spans="1:16" ht="14" customHeight="1" outlineLevel="3" x14ac:dyDescent="0.25">
      <c r="A83" s="2" t="s">
        <v>0</v>
      </c>
      <c r="B83" t="s">
        <v>139</v>
      </c>
      <c r="C83" t="s">
        <v>28</v>
      </c>
      <c r="D83" s="3">
        <v>45735</v>
      </c>
      <c r="E83" t="s">
        <v>0</v>
      </c>
      <c r="F83" s="2" t="s">
        <v>0</v>
      </c>
      <c r="G83" s="4">
        <v>16131.51</v>
      </c>
      <c r="H83" t="s">
        <v>2</v>
      </c>
      <c r="I83" t="s">
        <v>0</v>
      </c>
      <c r="J83" t="s">
        <v>140</v>
      </c>
      <c r="K83" t="s">
        <v>3</v>
      </c>
      <c r="L83" s="3">
        <v>45735</v>
      </c>
      <c r="M83" t="s">
        <v>30</v>
      </c>
      <c r="N83" t="s">
        <v>0</v>
      </c>
      <c r="O83" t="s">
        <v>0</v>
      </c>
      <c r="P83" t="s">
        <v>4</v>
      </c>
    </row>
    <row r="84" spans="1:16" ht="14" customHeight="1" outlineLevel="3" x14ac:dyDescent="0.25">
      <c r="A84" s="2" t="s">
        <v>0</v>
      </c>
      <c r="B84" t="s">
        <v>141</v>
      </c>
      <c r="C84" t="s">
        <v>28</v>
      </c>
      <c r="D84" s="3">
        <v>45735</v>
      </c>
      <c r="E84" t="s">
        <v>0</v>
      </c>
      <c r="F84" s="2" t="s">
        <v>0</v>
      </c>
      <c r="G84" s="4">
        <v>2257.44</v>
      </c>
      <c r="H84" t="s">
        <v>2</v>
      </c>
      <c r="I84" t="s">
        <v>0</v>
      </c>
      <c r="J84" t="s">
        <v>142</v>
      </c>
      <c r="K84" t="s">
        <v>3</v>
      </c>
      <c r="L84" s="3">
        <v>45735</v>
      </c>
      <c r="M84" t="s">
        <v>30</v>
      </c>
      <c r="N84" t="s">
        <v>0</v>
      </c>
      <c r="O84" t="s">
        <v>0</v>
      </c>
      <c r="P84" t="s">
        <v>4</v>
      </c>
    </row>
    <row r="85" spans="1:16" ht="14" customHeight="1" outlineLevel="3" x14ac:dyDescent="0.25">
      <c r="A85" s="2" t="s">
        <v>0</v>
      </c>
      <c r="B85" t="s">
        <v>143</v>
      </c>
      <c r="C85" t="s">
        <v>28</v>
      </c>
      <c r="D85" s="3">
        <v>45736</v>
      </c>
      <c r="E85" t="s">
        <v>0</v>
      </c>
      <c r="F85" s="2" t="s">
        <v>0</v>
      </c>
      <c r="G85" s="4">
        <v>40311.440000000002</v>
      </c>
      <c r="H85" t="s">
        <v>2</v>
      </c>
      <c r="I85" t="s">
        <v>0</v>
      </c>
      <c r="J85" t="s">
        <v>144</v>
      </c>
      <c r="K85" t="s">
        <v>3</v>
      </c>
      <c r="L85" s="3">
        <v>45736</v>
      </c>
      <c r="M85" t="s">
        <v>30</v>
      </c>
      <c r="N85" t="s">
        <v>0</v>
      </c>
      <c r="O85" t="s">
        <v>0</v>
      </c>
      <c r="P85" t="s">
        <v>4</v>
      </c>
    </row>
    <row r="86" spans="1:16" ht="14" customHeight="1" outlineLevel="3" x14ac:dyDescent="0.25">
      <c r="A86" s="2" t="s">
        <v>0</v>
      </c>
      <c r="B86" t="s">
        <v>145</v>
      </c>
      <c r="C86" t="s">
        <v>28</v>
      </c>
      <c r="D86" s="3">
        <v>45736</v>
      </c>
      <c r="E86" t="s">
        <v>0</v>
      </c>
      <c r="F86" s="2" t="s">
        <v>0</v>
      </c>
      <c r="G86" s="4">
        <v>36410.33</v>
      </c>
      <c r="H86" t="s">
        <v>2</v>
      </c>
      <c r="I86" t="s">
        <v>0</v>
      </c>
      <c r="J86" t="s">
        <v>146</v>
      </c>
      <c r="K86" t="s">
        <v>3</v>
      </c>
      <c r="L86" s="3">
        <v>45736</v>
      </c>
      <c r="M86" t="s">
        <v>30</v>
      </c>
      <c r="N86" t="s">
        <v>0</v>
      </c>
      <c r="O86" t="s">
        <v>0</v>
      </c>
      <c r="P86" t="s">
        <v>4</v>
      </c>
    </row>
    <row r="87" spans="1:16" ht="14" customHeight="1" outlineLevel="3" x14ac:dyDescent="0.25">
      <c r="A87" s="2" t="s">
        <v>0</v>
      </c>
      <c r="B87" t="s">
        <v>147</v>
      </c>
      <c r="C87" t="s">
        <v>28</v>
      </c>
      <c r="D87" s="3">
        <v>45736</v>
      </c>
      <c r="E87" t="s">
        <v>0</v>
      </c>
      <c r="F87" s="2" t="s">
        <v>0</v>
      </c>
      <c r="G87" s="4">
        <v>11141.56</v>
      </c>
      <c r="H87" t="s">
        <v>2</v>
      </c>
      <c r="I87" t="s">
        <v>0</v>
      </c>
      <c r="J87" t="s">
        <v>148</v>
      </c>
      <c r="K87" t="s">
        <v>3</v>
      </c>
      <c r="L87" s="3">
        <v>45736</v>
      </c>
      <c r="M87" t="s">
        <v>30</v>
      </c>
      <c r="N87" t="s">
        <v>0</v>
      </c>
      <c r="O87" t="s">
        <v>0</v>
      </c>
      <c r="P87" t="s">
        <v>4</v>
      </c>
    </row>
    <row r="88" spans="1:16" ht="14" customHeight="1" outlineLevel="3" x14ac:dyDescent="0.25">
      <c r="A88" s="2" t="s">
        <v>0</v>
      </c>
      <c r="B88" t="s">
        <v>149</v>
      </c>
      <c r="C88" t="s">
        <v>28</v>
      </c>
      <c r="D88" s="3">
        <v>45736</v>
      </c>
      <c r="E88" t="s">
        <v>0</v>
      </c>
      <c r="F88" s="2" t="s">
        <v>0</v>
      </c>
      <c r="G88" s="4">
        <v>151.71</v>
      </c>
      <c r="H88" t="s">
        <v>2</v>
      </c>
      <c r="I88" t="s">
        <v>0</v>
      </c>
      <c r="J88" t="s">
        <v>148</v>
      </c>
      <c r="K88" t="s">
        <v>3</v>
      </c>
      <c r="L88" s="3">
        <v>45736</v>
      </c>
      <c r="M88" t="s">
        <v>30</v>
      </c>
      <c r="N88" t="s">
        <v>0</v>
      </c>
      <c r="O88" t="s">
        <v>0</v>
      </c>
      <c r="P88" t="s">
        <v>4</v>
      </c>
    </row>
    <row r="89" spans="1:16" ht="14" customHeight="1" outlineLevel="3" x14ac:dyDescent="0.25">
      <c r="A89" s="2" t="s">
        <v>0</v>
      </c>
      <c r="B89" t="s">
        <v>150</v>
      </c>
      <c r="C89" t="s">
        <v>28</v>
      </c>
      <c r="D89" s="3">
        <v>45736</v>
      </c>
      <c r="E89" t="s">
        <v>0</v>
      </c>
      <c r="F89" s="2" t="s">
        <v>0</v>
      </c>
      <c r="G89" s="4">
        <v>173.38</v>
      </c>
      <c r="H89" t="s">
        <v>2</v>
      </c>
      <c r="I89" t="s">
        <v>0</v>
      </c>
      <c r="J89" t="s">
        <v>148</v>
      </c>
      <c r="K89" t="s">
        <v>3</v>
      </c>
      <c r="L89" s="3">
        <v>45736</v>
      </c>
      <c r="M89" t="s">
        <v>30</v>
      </c>
      <c r="N89" t="s">
        <v>0</v>
      </c>
      <c r="O89" t="s">
        <v>0</v>
      </c>
      <c r="P89" t="s">
        <v>4</v>
      </c>
    </row>
    <row r="90" spans="1:16" ht="14" customHeight="1" outlineLevel="3" x14ac:dyDescent="0.25">
      <c r="A90" s="2" t="s">
        <v>0</v>
      </c>
      <c r="B90" t="s">
        <v>151</v>
      </c>
      <c r="C90" t="s">
        <v>28</v>
      </c>
      <c r="D90" s="3">
        <v>45736</v>
      </c>
      <c r="E90" t="s">
        <v>0</v>
      </c>
      <c r="F90" s="2" t="s">
        <v>0</v>
      </c>
      <c r="G90" s="4">
        <v>151.71</v>
      </c>
      <c r="H90" t="s">
        <v>2</v>
      </c>
      <c r="I90" t="s">
        <v>0</v>
      </c>
      <c r="J90" t="s">
        <v>148</v>
      </c>
      <c r="K90" t="s">
        <v>3</v>
      </c>
      <c r="L90" s="3">
        <v>45736</v>
      </c>
      <c r="M90" t="s">
        <v>30</v>
      </c>
      <c r="N90" t="s">
        <v>0</v>
      </c>
      <c r="O90" t="s">
        <v>0</v>
      </c>
      <c r="P90" t="s">
        <v>4</v>
      </c>
    </row>
    <row r="91" spans="1:16" ht="14" customHeight="1" outlineLevel="3" x14ac:dyDescent="0.25">
      <c r="A91" s="2" t="s">
        <v>0</v>
      </c>
      <c r="B91" t="s">
        <v>152</v>
      </c>
      <c r="C91" t="s">
        <v>28</v>
      </c>
      <c r="D91" s="3">
        <v>45736</v>
      </c>
      <c r="E91" t="s">
        <v>0</v>
      </c>
      <c r="F91" s="2" t="s">
        <v>0</v>
      </c>
      <c r="G91" s="4">
        <v>172.52</v>
      </c>
      <c r="H91" t="s">
        <v>2</v>
      </c>
      <c r="I91" t="s">
        <v>0</v>
      </c>
      <c r="J91" t="s">
        <v>148</v>
      </c>
      <c r="K91" t="s">
        <v>3</v>
      </c>
      <c r="L91" s="3">
        <v>45736</v>
      </c>
      <c r="M91" t="s">
        <v>30</v>
      </c>
      <c r="N91" t="s">
        <v>0</v>
      </c>
      <c r="O91" t="s">
        <v>0</v>
      </c>
      <c r="P91" t="s">
        <v>4</v>
      </c>
    </row>
    <row r="92" spans="1:16" ht="14" customHeight="1" outlineLevel="3" x14ac:dyDescent="0.25">
      <c r="A92" s="2" t="s">
        <v>0</v>
      </c>
      <c r="B92" t="s">
        <v>153</v>
      </c>
      <c r="C92" t="s">
        <v>28</v>
      </c>
      <c r="D92" s="3">
        <v>45736</v>
      </c>
      <c r="E92" t="s">
        <v>0</v>
      </c>
      <c r="F92" s="2" t="s">
        <v>0</v>
      </c>
      <c r="G92" s="4">
        <v>1283.03</v>
      </c>
      <c r="H92" t="s">
        <v>2</v>
      </c>
      <c r="I92" t="s">
        <v>0</v>
      </c>
      <c r="J92" t="s">
        <v>148</v>
      </c>
      <c r="K92" t="s">
        <v>3</v>
      </c>
      <c r="L92" s="3">
        <v>45736</v>
      </c>
      <c r="M92" t="s">
        <v>30</v>
      </c>
      <c r="N92" t="s">
        <v>0</v>
      </c>
      <c r="O92" t="s">
        <v>0</v>
      </c>
      <c r="P92" t="s">
        <v>4</v>
      </c>
    </row>
    <row r="93" spans="1:16" ht="14" customHeight="1" outlineLevel="3" x14ac:dyDescent="0.25">
      <c r="A93" s="2" t="s">
        <v>0</v>
      </c>
      <c r="B93" t="s">
        <v>154</v>
      </c>
      <c r="C93" t="s">
        <v>28</v>
      </c>
      <c r="D93" s="3">
        <v>45736</v>
      </c>
      <c r="E93" t="s">
        <v>0</v>
      </c>
      <c r="F93" s="2" t="s">
        <v>0</v>
      </c>
      <c r="G93" s="4">
        <v>23666.71</v>
      </c>
      <c r="H93" t="s">
        <v>2</v>
      </c>
      <c r="I93" t="s">
        <v>0</v>
      </c>
      <c r="J93" t="s">
        <v>155</v>
      </c>
      <c r="K93" t="s">
        <v>3</v>
      </c>
      <c r="L93" s="3">
        <v>45736</v>
      </c>
      <c r="M93" t="s">
        <v>30</v>
      </c>
      <c r="N93" t="s">
        <v>0</v>
      </c>
      <c r="O93" t="s">
        <v>0</v>
      </c>
      <c r="P93" t="s">
        <v>4</v>
      </c>
    </row>
    <row r="94" spans="1:16" ht="14" customHeight="1" outlineLevel="3" x14ac:dyDescent="0.25">
      <c r="A94" s="2" t="s">
        <v>0</v>
      </c>
      <c r="B94" t="s">
        <v>156</v>
      </c>
      <c r="C94" t="s">
        <v>28</v>
      </c>
      <c r="D94" s="3">
        <v>45736</v>
      </c>
      <c r="E94" t="s">
        <v>0</v>
      </c>
      <c r="F94" s="2" t="s">
        <v>0</v>
      </c>
      <c r="G94" s="4">
        <v>24039.49</v>
      </c>
      <c r="H94" t="s">
        <v>2</v>
      </c>
      <c r="I94" t="s">
        <v>0</v>
      </c>
      <c r="J94" t="s">
        <v>155</v>
      </c>
      <c r="K94" t="s">
        <v>3</v>
      </c>
      <c r="L94" s="3">
        <v>45736</v>
      </c>
      <c r="M94" t="s">
        <v>30</v>
      </c>
      <c r="N94" t="s">
        <v>0</v>
      </c>
      <c r="O94" t="s">
        <v>0</v>
      </c>
      <c r="P94" t="s">
        <v>4</v>
      </c>
    </row>
    <row r="95" spans="1:16" ht="14" customHeight="1" outlineLevel="3" x14ac:dyDescent="0.25">
      <c r="A95" s="2" t="s">
        <v>0</v>
      </c>
      <c r="B95" t="s">
        <v>157</v>
      </c>
      <c r="C95" t="s">
        <v>28</v>
      </c>
      <c r="D95" s="3">
        <v>45736</v>
      </c>
      <c r="E95" t="s">
        <v>0</v>
      </c>
      <c r="F95" s="2" t="s">
        <v>0</v>
      </c>
      <c r="G95" s="4">
        <v>21802.85</v>
      </c>
      <c r="H95" t="s">
        <v>2</v>
      </c>
      <c r="I95" t="s">
        <v>0</v>
      </c>
      <c r="J95" t="s">
        <v>155</v>
      </c>
      <c r="K95" t="s">
        <v>3</v>
      </c>
      <c r="L95" s="3">
        <v>45736</v>
      </c>
      <c r="M95" t="s">
        <v>30</v>
      </c>
      <c r="N95" t="s">
        <v>0</v>
      </c>
      <c r="O95" t="s">
        <v>0</v>
      </c>
      <c r="P95" t="s">
        <v>4</v>
      </c>
    </row>
    <row r="96" spans="1:16" ht="14" customHeight="1" outlineLevel="3" x14ac:dyDescent="0.25">
      <c r="A96" s="2" t="s">
        <v>0</v>
      </c>
      <c r="B96" t="s">
        <v>158</v>
      </c>
      <c r="C96" t="s">
        <v>28</v>
      </c>
      <c r="D96" s="3">
        <v>45736</v>
      </c>
      <c r="E96" t="s">
        <v>0</v>
      </c>
      <c r="F96" s="2" t="s">
        <v>0</v>
      </c>
      <c r="G96" s="4">
        <v>48078.97</v>
      </c>
      <c r="H96" t="s">
        <v>2</v>
      </c>
      <c r="I96" t="s">
        <v>0</v>
      </c>
      <c r="J96" t="s">
        <v>155</v>
      </c>
      <c r="K96" t="s">
        <v>3</v>
      </c>
      <c r="L96" s="3">
        <v>45736</v>
      </c>
      <c r="M96" t="s">
        <v>30</v>
      </c>
      <c r="N96" t="s">
        <v>0</v>
      </c>
      <c r="O96" t="s">
        <v>0</v>
      </c>
      <c r="P96" t="s">
        <v>4</v>
      </c>
    </row>
    <row r="97" spans="1:16" ht="14" customHeight="1" outlineLevel="3" x14ac:dyDescent="0.25">
      <c r="A97" s="2" t="s">
        <v>0</v>
      </c>
      <c r="B97" t="s">
        <v>159</v>
      </c>
      <c r="C97" t="s">
        <v>28</v>
      </c>
      <c r="D97" s="3">
        <v>45736</v>
      </c>
      <c r="E97" t="s">
        <v>0</v>
      </c>
      <c r="F97" s="2" t="s">
        <v>0</v>
      </c>
      <c r="G97" s="4">
        <v>30619.35</v>
      </c>
      <c r="H97" t="s">
        <v>2</v>
      </c>
      <c r="I97" t="s">
        <v>0</v>
      </c>
      <c r="J97" t="s">
        <v>155</v>
      </c>
      <c r="K97" t="s">
        <v>3</v>
      </c>
      <c r="L97" s="3">
        <v>45736</v>
      </c>
      <c r="M97" t="s">
        <v>30</v>
      </c>
      <c r="N97" t="s">
        <v>0</v>
      </c>
      <c r="O97" t="s">
        <v>0</v>
      </c>
      <c r="P97" t="s">
        <v>4</v>
      </c>
    </row>
    <row r="98" spans="1:16" ht="14" customHeight="1" outlineLevel="3" x14ac:dyDescent="0.25">
      <c r="A98" s="2" t="s">
        <v>0</v>
      </c>
      <c r="B98" t="s">
        <v>160</v>
      </c>
      <c r="C98" t="s">
        <v>28</v>
      </c>
      <c r="D98" s="3">
        <v>45736</v>
      </c>
      <c r="E98" t="s">
        <v>0</v>
      </c>
      <c r="F98" s="2" t="s">
        <v>0</v>
      </c>
      <c r="G98" s="4">
        <v>24039.49</v>
      </c>
      <c r="H98" t="s">
        <v>2</v>
      </c>
      <c r="I98" t="s">
        <v>0</v>
      </c>
      <c r="J98" t="s">
        <v>155</v>
      </c>
      <c r="K98" t="s">
        <v>3</v>
      </c>
      <c r="L98" s="3">
        <v>45736</v>
      </c>
      <c r="M98" t="s">
        <v>30</v>
      </c>
      <c r="N98" t="s">
        <v>0</v>
      </c>
      <c r="O98" t="s">
        <v>0</v>
      </c>
      <c r="P98" t="s">
        <v>4</v>
      </c>
    </row>
    <row r="99" spans="1:16" ht="14" customHeight="1" outlineLevel="3" x14ac:dyDescent="0.25">
      <c r="A99" s="2" t="s">
        <v>0</v>
      </c>
      <c r="B99" t="s">
        <v>161</v>
      </c>
      <c r="C99" t="s">
        <v>28</v>
      </c>
      <c r="D99" s="3">
        <v>45736</v>
      </c>
      <c r="E99" t="s">
        <v>0</v>
      </c>
      <c r="F99" s="2" t="s">
        <v>0</v>
      </c>
      <c r="G99" s="4">
        <v>1831.79</v>
      </c>
      <c r="H99" t="s">
        <v>2</v>
      </c>
      <c r="I99" t="s">
        <v>0</v>
      </c>
      <c r="J99" t="s">
        <v>155</v>
      </c>
      <c r="K99" t="s">
        <v>3</v>
      </c>
      <c r="L99" s="3">
        <v>45736</v>
      </c>
      <c r="M99" t="s">
        <v>30</v>
      </c>
      <c r="N99" t="s">
        <v>0</v>
      </c>
      <c r="O99" t="s">
        <v>0</v>
      </c>
      <c r="P99" t="s">
        <v>4</v>
      </c>
    </row>
    <row r="100" spans="1:16" ht="14" customHeight="1" outlineLevel="3" x14ac:dyDescent="0.25">
      <c r="A100" s="2" t="s">
        <v>0</v>
      </c>
      <c r="B100" t="s">
        <v>162</v>
      </c>
      <c r="C100" t="s">
        <v>28</v>
      </c>
      <c r="D100" s="3">
        <v>45736</v>
      </c>
      <c r="E100" t="s">
        <v>0</v>
      </c>
      <c r="F100" s="2" t="s">
        <v>0</v>
      </c>
      <c r="G100" s="4">
        <v>1061.97</v>
      </c>
      <c r="H100" t="s">
        <v>2</v>
      </c>
      <c r="I100" t="s">
        <v>0</v>
      </c>
      <c r="J100" t="s">
        <v>163</v>
      </c>
      <c r="K100" t="s">
        <v>3</v>
      </c>
      <c r="L100" s="3">
        <v>45736</v>
      </c>
      <c r="M100" t="s">
        <v>30</v>
      </c>
      <c r="N100" t="s">
        <v>0</v>
      </c>
      <c r="O100" t="s">
        <v>0</v>
      </c>
      <c r="P100" t="s">
        <v>4</v>
      </c>
    </row>
    <row r="101" spans="1:16" ht="14" customHeight="1" outlineLevel="3" x14ac:dyDescent="0.25">
      <c r="A101" s="2" t="s">
        <v>0</v>
      </c>
      <c r="B101" t="s">
        <v>164</v>
      </c>
      <c r="C101" t="s">
        <v>28</v>
      </c>
      <c r="D101" s="3">
        <v>45736</v>
      </c>
      <c r="E101" t="s">
        <v>0</v>
      </c>
      <c r="F101" s="2" t="s">
        <v>0</v>
      </c>
      <c r="G101" s="4">
        <v>1300.3699999999999</v>
      </c>
      <c r="H101" t="s">
        <v>2</v>
      </c>
      <c r="I101" t="s">
        <v>0</v>
      </c>
      <c r="J101" t="s">
        <v>165</v>
      </c>
      <c r="K101" t="s">
        <v>3</v>
      </c>
      <c r="L101" s="3">
        <v>45736</v>
      </c>
      <c r="M101" t="s">
        <v>30</v>
      </c>
      <c r="N101" t="s">
        <v>0</v>
      </c>
      <c r="O101" t="s">
        <v>0</v>
      </c>
      <c r="P101" t="s">
        <v>4</v>
      </c>
    </row>
    <row r="102" spans="1:16" ht="14" customHeight="1" outlineLevel="3" x14ac:dyDescent="0.25">
      <c r="A102" s="2" t="s">
        <v>0</v>
      </c>
      <c r="B102" t="s">
        <v>166</v>
      </c>
      <c r="C102" t="s">
        <v>28</v>
      </c>
      <c r="D102" s="3">
        <v>45736</v>
      </c>
      <c r="E102" t="s">
        <v>0</v>
      </c>
      <c r="F102" s="2" t="s">
        <v>0</v>
      </c>
      <c r="G102" s="4">
        <v>788.89</v>
      </c>
      <c r="H102" t="s">
        <v>2</v>
      </c>
      <c r="I102" t="s">
        <v>0</v>
      </c>
      <c r="J102" t="s">
        <v>167</v>
      </c>
      <c r="K102" t="s">
        <v>3</v>
      </c>
      <c r="L102" s="3">
        <v>45736</v>
      </c>
      <c r="M102" t="s">
        <v>30</v>
      </c>
      <c r="N102" t="s">
        <v>0</v>
      </c>
      <c r="O102" t="s">
        <v>0</v>
      </c>
      <c r="P102" t="s">
        <v>4</v>
      </c>
    </row>
    <row r="103" spans="1:16" ht="14" customHeight="1" outlineLevel="3" x14ac:dyDescent="0.25">
      <c r="A103" s="2" t="s">
        <v>0</v>
      </c>
      <c r="B103" t="s">
        <v>168</v>
      </c>
      <c r="C103" t="s">
        <v>28</v>
      </c>
      <c r="D103" s="3">
        <v>45736</v>
      </c>
      <c r="E103" t="s">
        <v>0</v>
      </c>
      <c r="F103" s="2" t="s">
        <v>0</v>
      </c>
      <c r="G103" s="4">
        <v>86.69</v>
      </c>
      <c r="H103" t="s">
        <v>2</v>
      </c>
      <c r="I103" t="s">
        <v>0</v>
      </c>
      <c r="J103" t="s">
        <v>169</v>
      </c>
      <c r="K103" t="s">
        <v>3</v>
      </c>
      <c r="L103" s="3">
        <v>45736</v>
      </c>
      <c r="M103" t="s">
        <v>30</v>
      </c>
      <c r="N103" t="s">
        <v>0</v>
      </c>
      <c r="O103" t="s">
        <v>0</v>
      </c>
      <c r="P103" t="s">
        <v>4</v>
      </c>
    </row>
    <row r="104" spans="1:16" ht="14" customHeight="1" outlineLevel="3" x14ac:dyDescent="0.25">
      <c r="A104" s="2" t="s">
        <v>0</v>
      </c>
      <c r="B104" t="s">
        <v>170</v>
      </c>
      <c r="C104" t="s">
        <v>28</v>
      </c>
      <c r="D104" s="3">
        <v>45737</v>
      </c>
      <c r="E104" t="s">
        <v>0</v>
      </c>
      <c r="F104" s="2" t="s">
        <v>0</v>
      </c>
      <c r="G104" s="4">
        <v>1148.6600000000001</v>
      </c>
      <c r="H104" t="s">
        <v>2</v>
      </c>
      <c r="I104" t="s">
        <v>0</v>
      </c>
      <c r="J104" t="s">
        <v>171</v>
      </c>
      <c r="K104" t="s">
        <v>3</v>
      </c>
      <c r="L104" s="3">
        <v>45737</v>
      </c>
      <c r="M104" t="s">
        <v>30</v>
      </c>
      <c r="N104" t="s">
        <v>0</v>
      </c>
      <c r="O104" t="s">
        <v>0</v>
      </c>
      <c r="P104" t="s">
        <v>4</v>
      </c>
    </row>
    <row r="105" spans="1:16" ht="14" customHeight="1" outlineLevel="3" x14ac:dyDescent="0.25">
      <c r="A105" s="2" t="s">
        <v>0</v>
      </c>
      <c r="B105" t="s">
        <v>172</v>
      </c>
      <c r="C105" t="s">
        <v>28</v>
      </c>
      <c r="D105" s="3">
        <v>45737</v>
      </c>
      <c r="E105" t="s">
        <v>0</v>
      </c>
      <c r="F105" s="2" t="s">
        <v>0</v>
      </c>
      <c r="G105" s="4">
        <v>3337.61</v>
      </c>
      <c r="H105" t="s">
        <v>2</v>
      </c>
      <c r="I105" t="s">
        <v>0</v>
      </c>
      <c r="J105" t="s">
        <v>173</v>
      </c>
      <c r="K105" t="s">
        <v>3</v>
      </c>
      <c r="L105" s="3">
        <v>45737</v>
      </c>
      <c r="M105" t="s">
        <v>30</v>
      </c>
      <c r="N105" t="s">
        <v>0</v>
      </c>
      <c r="O105" t="s">
        <v>0</v>
      </c>
      <c r="P105" t="s">
        <v>4</v>
      </c>
    </row>
    <row r="106" spans="1:16" ht="14" customHeight="1" outlineLevel="3" x14ac:dyDescent="0.25">
      <c r="A106" s="2" t="s">
        <v>0</v>
      </c>
      <c r="B106" t="s">
        <v>174</v>
      </c>
      <c r="C106" t="s">
        <v>28</v>
      </c>
      <c r="D106" s="3">
        <v>45737</v>
      </c>
      <c r="E106" t="s">
        <v>0</v>
      </c>
      <c r="F106" s="2" t="s">
        <v>0</v>
      </c>
      <c r="G106" s="4">
        <v>2600.7399999999998</v>
      </c>
      <c r="H106" t="s">
        <v>2</v>
      </c>
      <c r="I106" t="s">
        <v>0</v>
      </c>
      <c r="J106" t="s">
        <v>175</v>
      </c>
      <c r="K106" t="s">
        <v>3</v>
      </c>
      <c r="L106" s="3">
        <v>45737</v>
      </c>
      <c r="M106" t="s">
        <v>30</v>
      </c>
      <c r="N106" t="s">
        <v>0</v>
      </c>
      <c r="O106" t="s">
        <v>0</v>
      </c>
      <c r="P106" t="s">
        <v>4</v>
      </c>
    </row>
    <row r="107" spans="1:16" ht="14" customHeight="1" outlineLevel="3" x14ac:dyDescent="0.25">
      <c r="A107" s="2" t="s">
        <v>0</v>
      </c>
      <c r="B107" t="s">
        <v>176</v>
      </c>
      <c r="C107" t="s">
        <v>28</v>
      </c>
      <c r="D107" s="3">
        <v>45736</v>
      </c>
      <c r="E107" t="s">
        <v>0</v>
      </c>
      <c r="F107" s="2" t="s">
        <v>0</v>
      </c>
      <c r="G107" s="4">
        <v>910.26</v>
      </c>
      <c r="H107" t="s">
        <v>2</v>
      </c>
      <c r="I107" t="s">
        <v>0</v>
      </c>
      <c r="J107" t="s">
        <v>177</v>
      </c>
      <c r="K107" t="s">
        <v>3</v>
      </c>
      <c r="L107" s="3">
        <v>45736</v>
      </c>
      <c r="M107" t="s">
        <v>30</v>
      </c>
      <c r="N107" t="s">
        <v>0</v>
      </c>
      <c r="O107" t="s">
        <v>0</v>
      </c>
      <c r="P107" t="s">
        <v>4</v>
      </c>
    </row>
    <row r="108" spans="1:16" ht="14" customHeight="1" outlineLevel="3" x14ac:dyDescent="0.25">
      <c r="A108" s="2" t="s">
        <v>0</v>
      </c>
      <c r="B108" t="s">
        <v>178</v>
      </c>
      <c r="C108" t="s">
        <v>28</v>
      </c>
      <c r="D108" s="3">
        <v>45736</v>
      </c>
      <c r="E108" t="s">
        <v>0</v>
      </c>
      <c r="F108" s="2" t="s">
        <v>0</v>
      </c>
      <c r="G108" s="4">
        <v>1300.3699999999999</v>
      </c>
      <c r="H108" t="s">
        <v>2</v>
      </c>
      <c r="I108" t="s">
        <v>0</v>
      </c>
      <c r="J108" t="s">
        <v>179</v>
      </c>
      <c r="K108" t="s">
        <v>3</v>
      </c>
      <c r="L108" s="3">
        <v>45736</v>
      </c>
      <c r="M108" t="s">
        <v>30</v>
      </c>
      <c r="N108" t="s">
        <v>0</v>
      </c>
      <c r="O108" t="s">
        <v>0</v>
      </c>
      <c r="P108" t="s">
        <v>4</v>
      </c>
    </row>
    <row r="109" spans="1:16" ht="14" customHeight="1" outlineLevel="3" x14ac:dyDescent="0.25">
      <c r="A109" s="2" t="s">
        <v>0</v>
      </c>
      <c r="B109" t="s">
        <v>180</v>
      </c>
      <c r="C109" t="s">
        <v>28</v>
      </c>
      <c r="D109" s="3">
        <v>45736</v>
      </c>
      <c r="E109" t="s">
        <v>0</v>
      </c>
      <c r="F109" s="2" t="s">
        <v>0</v>
      </c>
      <c r="G109" s="4">
        <v>1575.18</v>
      </c>
      <c r="H109" t="s">
        <v>2</v>
      </c>
      <c r="I109" t="s">
        <v>0</v>
      </c>
      <c r="J109" t="s">
        <v>155</v>
      </c>
      <c r="K109" t="s">
        <v>3</v>
      </c>
      <c r="L109" s="3">
        <v>45736</v>
      </c>
      <c r="M109" t="s">
        <v>30</v>
      </c>
      <c r="N109" t="s">
        <v>0</v>
      </c>
      <c r="O109" t="s">
        <v>0</v>
      </c>
      <c r="P109" t="s">
        <v>4</v>
      </c>
    </row>
    <row r="110" spans="1:16" ht="14" customHeight="1" outlineLevel="3" x14ac:dyDescent="0.25">
      <c r="A110" s="2" t="s">
        <v>0</v>
      </c>
      <c r="B110" t="s">
        <v>181</v>
      </c>
      <c r="C110" t="s">
        <v>28</v>
      </c>
      <c r="D110" s="3">
        <v>45736</v>
      </c>
      <c r="E110" t="s">
        <v>0</v>
      </c>
      <c r="F110" s="2" t="s">
        <v>0</v>
      </c>
      <c r="G110" s="4">
        <v>553.09</v>
      </c>
      <c r="H110" t="s">
        <v>2</v>
      </c>
      <c r="I110" t="s">
        <v>0</v>
      </c>
      <c r="J110" t="s">
        <v>182</v>
      </c>
      <c r="K110" t="s">
        <v>3</v>
      </c>
      <c r="L110" s="3">
        <v>45736</v>
      </c>
      <c r="M110" t="s">
        <v>30</v>
      </c>
      <c r="N110" t="s">
        <v>0</v>
      </c>
      <c r="O110" t="s">
        <v>0</v>
      </c>
      <c r="P110" t="s">
        <v>4</v>
      </c>
    </row>
    <row r="111" spans="1:16" ht="14" customHeight="1" outlineLevel="3" x14ac:dyDescent="0.25">
      <c r="A111" s="2" t="s">
        <v>0</v>
      </c>
      <c r="B111" t="s">
        <v>183</v>
      </c>
      <c r="C111" t="s">
        <v>28</v>
      </c>
      <c r="D111" s="3">
        <v>45736</v>
      </c>
      <c r="E111" t="s">
        <v>0</v>
      </c>
      <c r="F111" s="2" t="s">
        <v>0</v>
      </c>
      <c r="G111" s="4">
        <v>5201.4799999999996</v>
      </c>
      <c r="H111" t="s">
        <v>2</v>
      </c>
      <c r="I111" t="s">
        <v>0</v>
      </c>
      <c r="J111" t="s">
        <v>184</v>
      </c>
      <c r="K111" t="s">
        <v>3</v>
      </c>
      <c r="L111" s="3">
        <v>45736</v>
      </c>
      <c r="M111" t="s">
        <v>30</v>
      </c>
      <c r="N111" t="s">
        <v>0</v>
      </c>
      <c r="O111" t="s">
        <v>0</v>
      </c>
      <c r="P111" t="s">
        <v>4</v>
      </c>
    </row>
    <row r="112" spans="1:16" ht="14" customHeight="1" outlineLevel="3" x14ac:dyDescent="0.25">
      <c r="A112" s="2" t="s">
        <v>0</v>
      </c>
      <c r="B112" t="s">
        <v>185</v>
      </c>
      <c r="C112" t="s">
        <v>28</v>
      </c>
      <c r="D112" s="3">
        <v>45736</v>
      </c>
      <c r="E112" t="s">
        <v>0</v>
      </c>
      <c r="F112" s="2" t="s">
        <v>0</v>
      </c>
      <c r="G112" s="4">
        <v>606.84</v>
      </c>
      <c r="H112" t="s">
        <v>2</v>
      </c>
      <c r="I112" t="s">
        <v>0</v>
      </c>
      <c r="J112" t="s">
        <v>186</v>
      </c>
      <c r="K112" t="s">
        <v>3</v>
      </c>
      <c r="L112" s="3">
        <v>45736</v>
      </c>
      <c r="M112" t="s">
        <v>30</v>
      </c>
      <c r="N112" t="s">
        <v>0</v>
      </c>
      <c r="O112" t="s">
        <v>0</v>
      </c>
      <c r="P112" t="s">
        <v>4</v>
      </c>
    </row>
    <row r="113" spans="1:16" ht="14" customHeight="1" outlineLevel="3" x14ac:dyDescent="0.25">
      <c r="A113" s="2" t="s">
        <v>0</v>
      </c>
      <c r="B113" t="s">
        <v>187</v>
      </c>
      <c r="C113" t="s">
        <v>28</v>
      </c>
      <c r="D113" s="3">
        <v>45736</v>
      </c>
      <c r="E113" t="s">
        <v>0</v>
      </c>
      <c r="F113" s="2" t="s">
        <v>0</v>
      </c>
      <c r="G113" s="4">
        <v>858.24</v>
      </c>
      <c r="H113" t="s">
        <v>2</v>
      </c>
      <c r="I113" t="s">
        <v>0</v>
      </c>
      <c r="J113" t="s">
        <v>188</v>
      </c>
      <c r="K113" t="s">
        <v>3</v>
      </c>
      <c r="L113" s="3">
        <v>45736</v>
      </c>
      <c r="M113" t="s">
        <v>30</v>
      </c>
      <c r="N113" t="s">
        <v>0</v>
      </c>
      <c r="O113" t="s">
        <v>0</v>
      </c>
      <c r="P113" t="s">
        <v>4</v>
      </c>
    </row>
    <row r="114" spans="1:16" ht="14" customHeight="1" outlineLevel="3" x14ac:dyDescent="0.25">
      <c r="A114" s="2" t="s">
        <v>0</v>
      </c>
      <c r="B114" t="s">
        <v>189</v>
      </c>
      <c r="C114" t="s">
        <v>28</v>
      </c>
      <c r="D114" s="3">
        <v>45736</v>
      </c>
      <c r="E114" t="s">
        <v>0</v>
      </c>
      <c r="F114" s="2" t="s">
        <v>0</v>
      </c>
      <c r="G114" s="4">
        <v>4399.58</v>
      </c>
      <c r="H114" t="s">
        <v>2</v>
      </c>
      <c r="I114" t="s">
        <v>0</v>
      </c>
      <c r="J114" t="s">
        <v>190</v>
      </c>
      <c r="K114" t="s">
        <v>3</v>
      </c>
      <c r="L114" s="3">
        <v>45736</v>
      </c>
      <c r="M114" t="s">
        <v>30</v>
      </c>
      <c r="N114" t="s">
        <v>0</v>
      </c>
      <c r="O114" t="s">
        <v>0</v>
      </c>
      <c r="P114" t="s">
        <v>4</v>
      </c>
    </row>
    <row r="115" spans="1:16" ht="14" customHeight="1" outlineLevel="3" x14ac:dyDescent="0.25">
      <c r="A115" s="2" t="s">
        <v>0</v>
      </c>
      <c r="B115" t="s">
        <v>191</v>
      </c>
      <c r="C115" t="s">
        <v>28</v>
      </c>
      <c r="D115" s="3">
        <v>45736</v>
      </c>
      <c r="E115" t="s">
        <v>0</v>
      </c>
      <c r="F115" s="2" t="s">
        <v>0</v>
      </c>
      <c r="G115" s="4">
        <v>5201.4799999999996</v>
      </c>
      <c r="H115" t="s">
        <v>2</v>
      </c>
      <c r="I115" t="s">
        <v>0</v>
      </c>
      <c r="J115" t="s">
        <v>192</v>
      </c>
      <c r="K115" t="s">
        <v>3</v>
      </c>
      <c r="L115" s="3">
        <v>45736</v>
      </c>
      <c r="M115" t="s">
        <v>30</v>
      </c>
      <c r="N115" t="s">
        <v>0</v>
      </c>
      <c r="O115" t="s">
        <v>0</v>
      </c>
      <c r="P115" t="s">
        <v>4</v>
      </c>
    </row>
    <row r="116" spans="1:16" ht="14" customHeight="1" outlineLevel="3" x14ac:dyDescent="0.25">
      <c r="A116" s="2" t="s">
        <v>0</v>
      </c>
      <c r="B116" t="s">
        <v>193</v>
      </c>
      <c r="C116" t="s">
        <v>28</v>
      </c>
      <c r="D116" s="3">
        <v>45736</v>
      </c>
      <c r="E116" t="s">
        <v>0</v>
      </c>
      <c r="F116" s="2" t="s">
        <v>0</v>
      </c>
      <c r="G116" s="4">
        <v>9638.33</v>
      </c>
      <c r="H116" t="s">
        <v>2</v>
      </c>
      <c r="I116" t="s">
        <v>0</v>
      </c>
      <c r="J116" t="s">
        <v>194</v>
      </c>
      <c r="K116" t="s">
        <v>3</v>
      </c>
      <c r="L116" s="3">
        <v>45736</v>
      </c>
      <c r="M116" t="s">
        <v>30</v>
      </c>
      <c r="N116" t="s">
        <v>0</v>
      </c>
      <c r="O116" t="s">
        <v>0</v>
      </c>
      <c r="P116" t="s">
        <v>4</v>
      </c>
    </row>
    <row r="117" spans="1:16" ht="14" customHeight="1" outlineLevel="3" x14ac:dyDescent="0.25">
      <c r="A117" s="2" t="s">
        <v>0</v>
      </c>
      <c r="B117" t="s">
        <v>195</v>
      </c>
      <c r="C117" t="s">
        <v>28</v>
      </c>
      <c r="D117" s="3">
        <v>45736</v>
      </c>
      <c r="E117" t="s">
        <v>0</v>
      </c>
      <c r="F117" s="2" t="s">
        <v>0</v>
      </c>
      <c r="G117" s="4">
        <v>170.78</v>
      </c>
      <c r="H117" t="s">
        <v>2</v>
      </c>
      <c r="I117" t="s">
        <v>0</v>
      </c>
      <c r="J117" t="s">
        <v>196</v>
      </c>
      <c r="K117" t="s">
        <v>3</v>
      </c>
      <c r="L117" s="3">
        <v>45736</v>
      </c>
      <c r="M117" t="s">
        <v>30</v>
      </c>
      <c r="N117" t="s">
        <v>0</v>
      </c>
      <c r="O117" t="s">
        <v>0</v>
      </c>
      <c r="P117" t="s">
        <v>4</v>
      </c>
    </row>
    <row r="118" spans="1:16" ht="14" customHeight="1" outlineLevel="3" x14ac:dyDescent="0.25">
      <c r="A118" s="2" t="s">
        <v>0</v>
      </c>
      <c r="B118" t="s">
        <v>197</v>
      </c>
      <c r="C118" t="s">
        <v>28</v>
      </c>
      <c r="D118" s="3">
        <v>45736</v>
      </c>
      <c r="E118" t="s">
        <v>0</v>
      </c>
      <c r="F118" s="2" t="s">
        <v>0</v>
      </c>
      <c r="G118" s="4">
        <v>5201.4799999999996</v>
      </c>
      <c r="H118" t="s">
        <v>2</v>
      </c>
      <c r="I118" t="s">
        <v>0</v>
      </c>
      <c r="J118" t="s">
        <v>194</v>
      </c>
      <c r="K118" t="s">
        <v>3</v>
      </c>
      <c r="L118" s="3">
        <v>45736</v>
      </c>
      <c r="M118" t="s">
        <v>30</v>
      </c>
      <c r="N118" t="s">
        <v>0</v>
      </c>
      <c r="O118" t="s">
        <v>0</v>
      </c>
      <c r="P118" t="s">
        <v>4</v>
      </c>
    </row>
    <row r="119" spans="1:16" ht="14" customHeight="1" outlineLevel="3" x14ac:dyDescent="0.25">
      <c r="A119" s="2" t="s">
        <v>0</v>
      </c>
      <c r="B119" t="s">
        <v>198</v>
      </c>
      <c r="C119" t="s">
        <v>28</v>
      </c>
      <c r="D119" s="3">
        <v>45736</v>
      </c>
      <c r="E119" t="s">
        <v>0</v>
      </c>
      <c r="F119" s="2" t="s">
        <v>0</v>
      </c>
      <c r="G119" s="4">
        <v>3727.72</v>
      </c>
      <c r="H119" t="s">
        <v>2</v>
      </c>
      <c r="I119" t="s">
        <v>0</v>
      </c>
      <c r="J119" t="s">
        <v>194</v>
      </c>
      <c r="K119" t="s">
        <v>3</v>
      </c>
      <c r="L119" s="3">
        <v>45736</v>
      </c>
      <c r="M119" t="s">
        <v>30</v>
      </c>
      <c r="N119" t="s">
        <v>0</v>
      </c>
      <c r="O119" t="s">
        <v>0</v>
      </c>
      <c r="P119" t="s">
        <v>4</v>
      </c>
    </row>
    <row r="120" spans="1:16" ht="14" customHeight="1" outlineLevel="3" x14ac:dyDescent="0.25">
      <c r="A120" s="2" t="s">
        <v>0</v>
      </c>
      <c r="B120" t="s">
        <v>199</v>
      </c>
      <c r="C120" t="s">
        <v>28</v>
      </c>
      <c r="D120" s="3">
        <v>45736</v>
      </c>
      <c r="E120" t="s">
        <v>0</v>
      </c>
      <c r="F120" s="2" t="s">
        <v>0</v>
      </c>
      <c r="G120" s="4">
        <v>4100.5</v>
      </c>
      <c r="H120" t="s">
        <v>2</v>
      </c>
      <c r="I120" t="s">
        <v>0</v>
      </c>
      <c r="J120" t="s">
        <v>194</v>
      </c>
      <c r="K120" t="s">
        <v>3</v>
      </c>
      <c r="L120" s="3">
        <v>45736</v>
      </c>
      <c r="M120" t="s">
        <v>30</v>
      </c>
      <c r="N120" t="s">
        <v>0</v>
      </c>
      <c r="O120" t="s">
        <v>0</v>
      </c>
      <c r="P120" t="s">
        <v>4</v>
      </c>
    </row>
    <row r="121" spans="1:16" ht="14" customHeight="1" outlineLevel="3" x14ac:dyDescent="0.25">
      <c r="A121" s="2" t="s">
        <v>0</v>
      </c>
      <c r="B121" t="s">
        <v>200</v>
      </c>
      <c r="C121" t="s">
        <v>28</v>
      </c>
      <c r="D121" s="3">
        <v>45736</v>
      </c>
      <c r="E121" t="s">
        <v>0</v>
      </c>
      <c r="F121" s="2" t="s">
        <v>0</v>
      </c>
      <c r="G121" s="4">
        <v>8200.99</v>
      </c>
      <c r="H121" t="s">
        <v>2</v>
      </c>
      <c r="I121" t="s">
        <v>0</v>
      </c>
      <c r="J121" t="s">
        <v>194</v>
      </c>
      <c r="K121" t="s">
        <v>3</v>
      </c>
      <c r="L121" s="3">
        <v>45736</v>
      </c>
      <c r="M121" t="s">
        <v>30</v>
      </c>
      <c r="N121" t="s">
        <v>0</v>
      </c>
      <c r="O121" t="s">
        <v>0</v>
      </c>
      <c r="P121" t="s">
        <v>4</v>
      </c>
    </row>
    <row r="122" spans="1:16" ht="14" customHeight="1" outlineLevel="3" x14ac:dyDescent="0.25">
      <c r="A122" s="2" t="s">
        <v>0</v>
      </c>
      <c r="B122" t="s">
        <v>201</v>
      </c>
      <c r="C122" t="s">
        <v>28</v>
      </c>
      <c r="D122" s="3">
        <v>45736</v>
      </c>
      <c r="E122" t="s">
        <v>0</v>
      </c>
      <c r="F122" s="2" t="s">
        <v>0</v>
      </c>
      <c r="G122" s="4">
        <v>4473.2700000000004</v>
      </c>
      <c r="H122" t="s">
        <v>2</v>
      </c>
      <c r="I122" t="s">
        <v>0</v>
      </c>
      <c r="J122" t="s">
        <v>194</v>
      </c>
      <c r="K122" t="s">
        <v>3</v>
      </c>
      <c r="L122" s="3">
        <v>45736</v>
      </c>
      <c r="M122" t="s">
        <v>30</v>
      </c>
      <c r="N122" t="s">
        <v>0</v>
      </c>
      <c r="O122" t="s">
        <v>0</v>
      </c>
      <c r="P122" t="s">
        <v>4</v>
      </c>
    </row>
    <row r="123" spans="1:16" ht="14" customHeight="1" outlineLevel="3" x14ac:dyDescent="0.25">
      <c r="A123" s="2" t="s">
        <v>0</v>
      </c>
      <c r="B123" t="s">
        <v>202</v>
      </c>
      <c r="C123" t="s">
        <v>28</v>
      </c>
      <c r="D123" s="3">
        <v>45736</v>
      </c>
      <c r="E123" t="s">
        <v>0</v>
      </c>
      <c r="F123" s="2" t="s">
        <v>0</v>
      </c>
      <c r="G123" s="4">
        <v>4473.2700000000004</v>
      </c>
      <c r="H123" t="s">
        <v>2</v>
      </c>
      <c r="I123" t="s">
        <v>0</v>
      </c>
      <c r="J123" t="s">
        <v>194</v>
      </c>
      <c r="K123" t="s">
        <v>3</v>
      </c>
      <c r="L123" s="3">
        <v>45736</v>
      </c>
      <c r="M123" t="s">
        <v>30</v>
      </c>
      <c r="N123" t="s">
        <v>0</v>
      </c>
      <c r="O123" t="s">
        <v>0</v>
      </c>
      <c r="P123" t="s">
        <v>4</v>
      </c>
    </row>
    <row r="124" spans="1:16" ht="14" customHeight="1" outlineLevel="3" x14ac:dyDescent="0.25">
      <c r="A124" s="2" t="s">
        <v>0</v>
      </c>
      <c r="B124" t="s">
        <v>203</v>
      </c>
      <c r="C124" t="s">
        <v>28</v>
      </c>
      <c r="D124" s="3">
        <v>45736</v>
      </c>
      <c r="E124" t="s">
        <v>0</v>
      </c>
      <c r="F124" s="2" t="s">
        <v>0</v>
      </c>
      <c r="G124" s="4">
        <v>531.41999999999996</v>
      </c>
      <c r="H124" t="s">
        <v>2</v>
      </c>
      <c r="I124" t="s">
        <v>0</v>
      </c>
      <c r="J124" t="s">
        <v>194</v>
      </c>
      <c r="K124" t="s">
        <v>3</v>
      </c>
      <c r="L124" s="3">
        <v>45736</v>
      </c>
      <c r="M124" t="s">
        <v>30</v>
      </c>
      <c r="N124" t="s">
        <v>0</v>
      </c>
      <c r="O124" t="s">
        <v>0</v>
      </c>
      <c r="P124" t="s">
        <v>4</v>
      </c>
    </row>
    <row r="125" spans="1:16" ht="14" customHeight="1" outlineLevel="3" x14ac:dyDescent="0.25">
      <c r="A125" s="2" t="s">
        <v>0</v>
      </c>
      <c r="B125" t="s">
        <v>204</v>
      </c>
      <c r="C125" t="s">
        <v>28</v>
      </c>
      <c r="D125" s="3">
        <v>45736</v>
      </c>
      <c r="E125" t="s">
        <v>0</v>
      </c>
      <c r="F125" s="2" t="s">
        <v>0</v>
      </c>
      <c r="G125" s="4">
        <v>305.14999999999998</v>
      </c>
      <c r="H125" t="s">
        <v>2</v>
      </c>
      <c r="I125" t="s">
        <v>0</v>
      </c>
      <c r="J125" t="s">
        <v>194</v>
      </c>
      <c r="K125" t="s">
        <v>3</v>
      </c>
      <c r="L125" s="3">
        <v>45736</v>
      </c>
      <c r="M125" t="s">
        <v>30</v>
      </c>
      <c r="N125" t="s">
        <v>0</v>
      </c>
      <c r="O125" t="s">
        <v>0</v>
      </c>
      <c r="P125" t="s">
        <v>4</v>
      </c>
    </row>
    <row r="126" spans="1:16" ht="14" customHeight="1" outlineLevel="3" x14ac:dyDescent="0.25">
      <c r="A126" s="2" t="s">
        <v>0</v>
      </c>
      <c r="B126" t="s">
        <v>205</v>
      </c>
      <c r="C126" t="s">
        <v>28</v>
      </c>
      <c r="D126" s="3">
        <v>45750</v>
      </c>
      <c r="E126" t="s">
        <v>0</v>
      </c>
      <c r="F126" s="2" t="s">
        <v>0</v>
      </c>
      <c r="G126" s="4">
        <v>39114.82</v>
      </c>
      <c r="H126" t="s">
        <v>2</v>
      </c>
      <c r="I126" t="s">
        <v>0</v>
      </c>
      <c r="J126" t="s">
        <v>116</v>
      </c>
      <c r="K126" t="s">
        <v>3</v>
      </c>
      <c r="L126" s="3">
        <v>45750</v>
      </c>
      <c r="M126" t="s">
        <v>30</v>
      </c>
      <c r="N126" t="s">
        <v>0</v>
      </c>
      <c r="O126" t="s">
        <v>0</v>
      </c>
      <c r="P126" t="s">
        <v>4</v>
      </c>
    </row>
    <row r="127" spans="1:16" ht="14" customHeight="1" outlineLevel="3" x14ac:dyDescent="0.25">
      <c r="A127" s="2" t="s">
        <v>0</v>
      </c>
      <c r="B127" t="s">
        <v>206</v>
      </c>
      <c r="C127" t="s">
        <v>28</v>
      </c>
      <c r="D127" s="3">
        <v>45750</v>
      </c>
      <c r="E127" t="s">
        <v>0</v>
      </c>
      <c r="F127" s="2" t="s">
        <v>0</v>
      </c>
      <c r="G127" s="4">
        <v>40418.65</v>
      </c>
      <c r="H127" t="s">
        <v>2</v>
      </c>
      <c r="I127" t="s">
        <v>0</v>
      </c>
      <c r="J127" t="s">
        <v>116</v>
      </c>
      <c r="K127" t="s">
        <v>3</v>
      </c>
      <c r="L127" s="3">
        <v>45750</v>
      </c>
      <c r="M127" t="s">
        <v>30</v>
      </c>
      <c r="N127" t="s">
        <v>0</v>
      </c>
      <c r="O127" t="s">
        <v>0</v>
      </c>
      <c r="P127" t="s">
        <v>4</v>
      </c>
    </row>
    <row r="128" spans="1:16" ht="14" customHeight="1" outlineLevel="3" x14ac:dyDescent="0.25">
      <c r="A128" s="2" t="s">
        <v>0</v>
      </c>
      <c r="B128" t="s">
        <v>207</v>
      </c>
      <c r="C128" t="s">
        <v>28</v>
      </c>
      <c r="D128" s="3">
        <v>45750</v>
      </c>
      <c r="E128" t="s">
        <v>0</v>
      </c>
      <c r="F128" s="2" t="s">
        <v>0</v>
      </c>
      <c r="G128" s="4">
        <v>39114.82</v>
      </c>
      <c r="H128" t="s">
        <v>2</v>
      </c>
      <c r="I128" t="s">
        <v>0</v>
      </c>
      <c r="J128" t="s">
        <v>116</v>
      </c>
      <c r="K128" t="s">
        <v>3</v>
      </c>
      <c r="L128" s="3">
        <v>45750</v>
      </c>
      <c r="M128" t="s">
        <v>30</v>
      </c>
      <c r="N128" t="s">
        <v>0</v>
      </c>
      <c r="O128" t="s">
        <v>0</v>
      </c>
      <c r="P128" t="s">
        <v>4</v>
      </c>
    </row>
    <row r="129" spans="1:16" ht="14" customHeight="1" outlineLevel="3" x14ac:dyDescent="0.25">
      <c r="A129" s="2" t="s">
        <v>0</v>
      </c>
      <c r="B129" t="s">
        <v>208</v>
      </c>
      <c r="C129" t="s">
        <v>28</v>
      </c>
      <c r="D129" s="3">
        <v>45750</v>
      </c>
      <c r="E129" t="s">
        <v>0</v>
      </c>
      <c r="F129" s="2" t="s">
        <v>0</v>
      </c>
      <c r="G129" s="4">
        <v>456.34</v>
      </c>
      <c r="H129" t="s">
        <v>2</v>
      </c>
      <c r="I129" t="s">
        <v>0</v>
      </c>
      <c r="J129" t="s">
        <v>209</v>
      </c>
      <c r="K129" t="s">
        <v>3</v>
      </c>
      <c r="L129" s="3">
        <v>45750</v>
      </c>
      <c r="M129" t="s">
        <v>30</v>
      </c>
      <c r="N129" t="s">
        <v>0</v>
      </c>
      <c r="O129" t="s">
        <v>0</v>
      </c>
      <c r="P129" t="s">
        <v>4</v>
      </c>
    </row>
    <row r="130" spans="1:16" ht="14" customHeight="1" outlineLevel="3" x14ac:dyDescent="0.25">
      <c r="A130" s="2" t="s">
        <v>0</v>
      </c>
      <c r="B130" t="s">
        <v>210</v>
      </c>
      <c r="C130" t="s">
        <v>28</v>
      </c>
      <c r="D130" s="3">
        <v>45750</v>
      </c>
      <c r="E130" t="s">
        <v>0</v>
      </c>
      <c r="F130" s="2" t="s">
        <v>0</v>
      </c>
      <c r="G130" s="4">
        <v>2607.65</v>
      </c>
      <c r="H130" t="s">
        <v>2</v>
      </c>
      <c r="I130" t="s">
        <v>0</v>
      </c>
      <c r="J130" t="s">
        <v>211</v>
      </c>
      <c r="K130" t="s">
        <v>3</v>
      </c>
      <c r="L130" s="3">
        <v>45750</v>
      </c>
      <c r="M130" t="s">
        <v>30</v>
      </c>
      <c r="N130" t="s">
        <v>0</v>
      </c>
      <c r="O130" t="s">
        <v>0</v>
      </c>
      <c r="P130" t="s">
        <v>4</v>
      </c>
    </row>
    <row r="131" spans="1:16" ht="14" customHeight="1" outlineLevel="3" x14ac:dyDescent="0.25">
      <c r="A131" s="2" t="s">
        <v>0</v>
      </c>
      <c r="B131" t="s">
        <v>212</v>
      </c>
      <c r="C131" t="s">
        <v>28</v>
      </c>
      <c r="D131" s="3">
        <v>45750</v>
      </c>
      <c r="E131" t="s">
        <v>0</v>
      </c>
      <c r="F131" s="2" t="s">
        <v>0</v>
      </c>
      <c r="G131" s="4">
        <v>304.23</v>
      </c>
      <c r="H131" t="s">
        <v>2</v>
      </c>
      <c r="I131" t="s">
        <v>0</v>
      </c>
      <c r="J131" t="s">
        <v>213</v>
      </c>
      <c r="K131" t="s">
        <v>3</v>
      </c>
      <c r="L131" s="3">
        <v>45750</v>
      </c>
      <c r="M131" t="s">
        <v>30</v>
      </c>
      <c r="N131" t="s">
        <v>0</v>
      </c>
      <c r="O131" t="s">
        <v>0</v>
      </c>
      <c r="P131" t="s">
        <v>4</v>
      </c>
    </row>
    <row r="132" spans="1:16" ht="14" customHeight="1" outlineLevel="3" x14ac:dyDescent="0.25">
      <c r="A132" s="2" t="s">
        <v>0</v>
      </c>
      <c r="B132" t="s">
        <v>214</v>
      </c>
      <c r="C132" t="s">
        <v>28</v>
      </c>
      <c r="D132" s="3">
        <v>45750</v>
      </c>
      <c r="E132" t="s">
        <v>0</v>
      </c>
      <c r="F132" s="2" t="s">
        <v>0</v>
      </c>
      <c r="G132" s="4">
        <v>86.92</v>
      </c>
      <c r="H132" t="s">
        <v>2</v>
      </c>
      <c r="I132" t="s">
        <v>0</v>
      </c>
      <c r="J132" t="s">
        <v>215</v>
      </c>
      <c r="K132" t="s">
        <v>3</v>
      </c>
      <c r="L132" s="3">
        <v>45750</v>
      </c>
      <c r="M132" t="s">
        <v>30</v>
      </c>
      <c r="N132" t="s">
        <v>0</v>
      </c>
      <c r="O132" t="s">
        <v>0</v>
      </c>
      <c r="P132" t="s">
        <v>4</v>
      </c>
    </row>
    <row r="133" spans="1:16" ht="14" customHeight="1" outlineLevel="3" x14ac:dyDescent="0.25">
      <c r="A133" s="2" t="s">
        <v>0</v>
      </c>
      <c r="B133" t="s">
        <v>216</v>
      </c>
      <c r="C133" t="s">
        <v>28</v>
      </c>
      <c r="D133" s="3">
        <v>45750</v>
      </c>
      <c r="E133" t="s">
        <v>0</v>
      </c>
      <c r="F133" s="2" t="s">
        <v>0</v>
      </c>
      <c r="G133" s="4">
        <v>40418.65</v>
      </c>
      <c r="H133" t="s">
        <v>2</v>
      </c>
      <c r="I133" t="s">
        <v>0</v>
      </c>
      <c r="J133" t="s">
        <v>116</v>
      </c>
      <c r="K133" t="s">
        <v>3</v>
      </c>
      <c r="L133" s="3">
        <v>45750</v>
      </c>
      <c r="M133" t="s">
        <v>30</v>
      </c>
      <c r="N133" t="s">
        <v>0</v>
      </c>
      <c r="O133" t="s">
        <v>0</v>
      </c>
      <c r="P133" t="s">
        <v>4</v>
      </c>
    </row>
    <row r="134" spans="1:16" ht="14" customHeight="1" outlineLevel="3" x14ac:dyDescent="0.25">
      <c r="A134" s="2" t="s">
        <v>0</v>
      </c>
      <c r="B134" t="s">
        <v>217</v>
      </c>
      <c r="C134" t="s">
        <v>28</v>
      </c>
      <c r="D134" s="3">
        <v>45751</v>
      </c>
      <c r="E134" t="s">
        <v>0</v>
      </c>
      <c r="F134" s="2" t="s">
        <v>0</v>
      </c>
      <c r="G134" s="4">
        <v>121224.65</v>
      </c>
      <c r="H134" t="s">
        <v>2</v>
      </c>
      <c r="I134" t="s">
        <v>0</v>
      </c>
      <c r="J134" t="s">
        <v>218</v>
      </c>
      <c r="K134" t="s">
        <v>3</v>
      </c>
      <c r="L134" s="3">
        <v>45751</v>
      </c>
      <c r="M134" t="s">
        <v>30</v>
      </c>
      <c r="N134" t="s">
        <v>0</v>
      </c>
      <c r="O134" t="s">
        <v>0</v>
      </c>
      <c r="P134" t="s">
        <v>4</v>
      </c>
    </row>
    <row r="135" spans="1:16" ht="14" customHeight="1" outlineLevel="3" x14ac:dyDescent="0.25">
      <c r="A135" s="2" t="s">
        <v>0</v>
      </c>
      <c r="B135" t="s">
        <v>219</v>
      </c>
      <c r="C135" t="s">
        <v>28</v>
      </c>
      <c r="D135" s="3">
        <v>45751</v>
      </c>
      <c r="E135" t="s">
        <v>0</v>
      </c>
      <c r="F135" s="2" t="s">
        <v>0</v>
      </c>
      <c r="G135" s="4">
        <v>225366.55</v>
      </c>
      <c r="H135" t="s">
        <v>2</v>
      </c>
      <c r="I135" t="s">
        <v>0</v>
      </c>
      <c r="J135" t="s">
        <v>220</v>
      </c>
      <c r="K135" t="s">
        <v>3</v>
      </c>
      <c r="L135" s="3">
        <v>45751</v>
      </c>
      <c r="M135" t="s">
        <v>30</v>
      </c>
      <c r="N135" t="s">
        <v>0</v>
      </c>
      <c r="O135" t="s">
        <v>0</v>
      </c>
      <c r="P135" t="s">
        <v>4</v>
      </c>
    </row>
    <row r="136" spans="1:16" ht="14" customHeight="1" outlineLevel="3" x14ac:dyDescent="0.25">
      <c r="A136" s="2" t="s">
        <v>0</v>
      </c>
      <c r="B136" t="s">
        <v>221</v>
      </c>
      <c r="C136" t="s">
        <v>28</v>
      </c>
      <c r="D136" s="3">
        <v>45762</v>
      </c>
      <c r="E136" t="s">
        <v>0</v>
      </c>
      <c r="F136" s="2" t="s">
        <v>0</v>
      </c>
      <c r="G136" s="4">
        <v>5981.96</v>
      </c>
      <c r="H136" t="s">
        <v>2</v>
      </c>
      <c r="I136" t="s">
        <v>0</v>
      </c>
      <c r="J136" t="s">
        <v>222</v>
      </c>
      <c r="K136" t="s">
        <v>3</v>
      </c>
      <c r="L136" s="3">
        <v>45762</v>
      </c>
      <c r="M136" t="s">
        <v>30</v>
      </c>
      <c r="N136" t="s">
        <v>0</v>
      </c>
      <c r="O136" t="s">
        <v>0</v>
      </c>
      <c r="P136" t="s">
        <v>4</v>
      </c>
    </row>
    <row r="137" spans="1:16" ht="14" customHeight="1" outlineLevel="3" x14ac:dyDescent="0.25">
      <c r="A137" s="2" t="s">
        <v>0</v>
      </c>
      <c r="B137" t="s">
        <v>223</v>
      </c>
      <c r="C137" t="s">
        <v>28</v>
      </c>
      <c r="D137" s="3">
        <v>45762</v>
      </c>
      <c r="E137" t="s">
        <v>0</v>
      </c>
      <c r="F137" s="2" t="s">
        <v>0</v>
      </c>
      <c r="G137" s="4">
        <v>5259.64</v>
      </c>
      <c r="H137" t="s">
        <v>2</v>
      </c>
      <c r="I137" t="s">
        <v>0</v>
      </c>
      <c r="J137" t="s">
        <v>222</v>
      </c>
      <c r="K137" t="s">
        <v>3</v>
      </c>
      <c r="L137" s="3">
        <v>45762</v>
      </c>
      <c r="M137" t="s">
        <v>30</v>
      </c>
      <c r="N137" t="s">
        <v>0</v>
      </c>
      <c r="O137" t="s">
        <v>0</v>
      </c>
      <c r="P137" t="s">
        <v>4</v>
      </c>
    </row>
    <row r="138" spans="1:16" ht="14" customHeight="1" outlineLevel="3" x14ac:dyDescent="0.25">
      <c r="A138" s="2" t="s">
        <v>0</v>
      </c>
      <c r="B138" t="s">
        <v>224</v>
      </c>
      <c r="C138" t="s">
        <v>28</v>
      </c>
      <c r="D138" s="3">
        <v>45762</v>
      </c>
      <c r="E138" t="s">
        <v>0</v>
      </c>
      <c r="F138" s="2" t="s">
        <v>0</v>
      </c>
      <c r="G138" s="4">
        <v>4346.09</v>
      </c>
      <c r="H138" t="s">
        <v>2</v>
      </c>
      <c r="I138" t="s">
        <v>0</v>
      </c>
      <c r="J138" t="s">
        <v>222</v>
      </c>
      <c r="K138" t="s">
        <v>3</v>
      </c>
      <c r="L138" s="3">
        <v>45762</v>
      </c>
      <c r="M138" t="s">
        <v>30</v>
      </c>
      <c r="N138" t="s">
        <v>0</v>
      </c>
      <c r="O138" t="s">
        <v>0</v>
      </c>
      <c r="P138" t="s">
        <v>4</v>
      </c>
    </row>
    <row r="139" spans="1:16" ht="14" customHeight="1" outlineLevel="3" x14ac:dyDescent="0.25">
      <c r="A139" s="2" t="s">
        <v>0</v>
      </c>
      <c r="B139" t="s">
        <v>225</v>
      </c>
      <c r="C139" t="s">
        <v>28</v>
      </c>
      <c r="D139" s="3">
        <v>45762</v>
      </c>
      <c r="E139" t="s">
        <v>0</v>
      </c>
      <c r="F139" s="2" t="s">
        <v>0</v>
      </c>
      <c r="G139" s="4">
        <v>10430.620000000001</v>
      </c>
      <c r="H139" t="s">
        <v>2</v>
      </c>
      <c r="I139" t="s">
        <v>0</v>
      </c>
      <c r="J139" t="s">
        <v>226</v>
      </c>
      <c r="K139" t="s">
        <v>3</v>
      </c>
      <c r="L139" s="3">
        <v>45762</v>
      </c>
      <c r="M139" t="s">
        <v>30</v>
      </c>
      <c r="N139" t="s">
        <v>0</v>
      </c>
      <c r="O139" t="s">
        <v>0</v>
      </c>
      <c r="P139" t="s">
        <v>4</v>
      </c>
    </row>
    <row r="140" spans="1:16" ht="14" customHeight="1" outlineLevel="3" x14ac:dyDescent="0.25">
      <c r="A140" s="2" t="s">
        <v>0</v>
      </c>
      <c r="B140" t="s">
        <v>227</v>
      </c>
      <c r="C140" t="s">
        <v>28</v>
      </c>
      <c r="D140" s="3">
        <v>45763</v>
      </c>
      <c r="E140" t="s">
        <v>0</v>
      </c>
      <c r="F140" s="2" t="s">
        <v>0</v>
      </c>
      <c r="G140" s="4">
        <v>53891.53</v>
      </c>
      <c r="H140" t="s">
        <v>2</v>
      </c>
      <c r="I140" t="s">
        <v>0</v>
      </c>
      <c r="J140" t="s">
        <v>228</v>
      </c>
      <c r="K140" t="s">
        <v>3</v>
      </c>
      <c r="L140" s="3">
        <v>45763</v>
      </c>
      <c r="M140" t="s">
        <v>30</v>
      </c>
      <c r="N140" t="s">
        <v>0</v>
      </c>
      <c r="O140" t="s">
        <v>0</v>
      </c>
      <c r="P140" t="s">
        <v>4</v>
      </c>
    </row>
    <row r="141" spans="1:16" ht="14" customHeight="1" outlineLevel="3" x14ac:dyDescent="0.25">
      <c r="A141" s="2" t="s">
        <v>0</v>
      </c>
      <c r="B141" t="s">
        <v>229</v>
      </c>
      <c r="C141" t="s">
        <v>28</v>
      </c>
      <c r="D141" s="3">
        <v>45763</v>
      </c>
      <c r="E141" t="s">
        <v>0</v>
      </c>
      <c r="F141" s="2" t="s">
        <v>0</v>
      </c>
      <c r="G141" s="4">
        <v>152.11000000000001</v>
      </c>
      <c r="H141" t="s">
        <v>2</v>
      </c>
      <c r="I141" t="s">
        <v>0</v>
      </c>
      <c r="J141" t="s">
        <v>230</v>
      </c>
      <c r="K141" t="s">
        <v>3</v>
      </c>
      <c r="L141" s="3">
        <v>45763</v>
      </c>
      <c r="M141" t="s">
        <v>30</v>
      </c>
      <c r="N141" t="s">
        <v>0</v>
      </c>
      <c r="O141" t="s">
        <v>0</v>
      </c>
      <c r="P141" t="s">
        <v>4</v>
      </c>
    </row>
    <row r="142" spans="1:16" ht="14" customHeight="1" outlineLevel="3" x14ac:dyDescent="0.25">
      <c r="A142" s="2" t="s">
        <v>0</v>
      </c>
      <c r="B142" t="s">
        <v>231</v>
      </c>
      <c r="C142" t="s">
        <v>28</v>
      </c>
      <c r="D142" s="3">
        <v>45763</v>
      </c>
      <c r="E142" t="s">
        <v>0</v>
      </c>
      <c r="F142" s="2" t="s">
        <v>0</v>
      </c>
      <c r="G142" s="4">
        <v>86.92</v>
      </c>
      <c r="H142" t="s">
        <v>2</v>
      </c>
      <c r="I142" t="s">
        <v>0</v>
      </c>
      <c r="J142" t="s">
        <v>232</v>
      </c>
      <c r="K142" t="s">
        <v>3</v>
      </c>
      <c r="L142" s="3">
        <v>45763</v>
      </c>
      <c r="M142" t="s">
        <v>30</v>
      </c>
      <c r="N142" t="s">
        <v>0</v>
      </c>
      <c r="O142" t="s">
        <v>0</v>
      </c>
      <c r="P142" t="s">
        <v>4</v>
      </c>
    </row>
    <row r="143" spans="1:16" ht="14" customHeight="1" outlineLevel="3" x14ac:dyDescent="0.25">
      <c r="A143" s="2" t="s">
        <v>0</v>
      </c>
      <c r="B143" t="s">
        <v>233</v>
      </c>
      <c r="C143" t="s">
        <v>28</v>
      </c>
      <c r="D143" s="3">
        <v>45763</v>
      </c>
      <c r="E143" t="s">
        <v>0</v>
      </c>
      <c r="F143" s="2" t="s">
        <v>0</v>
      </c>
      <c r="G143" s="4">
        <v>1303.83</v>
      </c>
      <c r="H143" t="s">
        <v>2</v>
      </c>
      <c r="I143" t="s">
        <v>0</v>
      </c>
      <c r="J143" t="s">
        <v>234</v>
      </c>
      <c r="K143" t="s">
        <v>3</v>
      </c>
      <c r="L143" s="3">
        <v>45763</v>
      </c>
      <c r="M143" t="s">
        <v>30</v>
      </c>
      <c r="N143" t="s">
        <v>0</v>
      </c>
      <c r="O143" t="s">
        <v>0</v>
      </c>
      <c r="P143" t="s">
        <v>4</v>
      </c>
    </row>
    <row r="144" spans="1:16" ht="14" customHeight="1" outlineLevel="3" x14ac:dyDescent="0.25">
      <c r="A144" s="2" t="s">
        <v>0</v>
      </c>
      <c r="B144" t="s">
        <v>235</v>
      </c>
      <c r="C144" t="s">
        <v>28</v>
      </c>
      <c r="D144" s="3">
        <v>45763</v>
      </c>
      <c r="E144" t="s">
        <v>0</v>
      </c>
      <c r="F144" s="2" t="s">
        <v>0</v>
      </c>
      <c r="G144" s="4">
        <v>614.54</v>
      </c>
      <c r="H144" t="s">
        <v>2</v>
      </c>
      <c r="I144" t="s">
        <v>0</v>
      </c>
      <c r="J144" t="s">
        <v>236</v>
      </c>
      <c r="K144" t="s">
        <v>3</v>
      </c>
      <c r="L144" s="3">
        <v>45763</v>
      </c>
      <c r="M144" t="s">
        <v>30</v>
      </c>
      <c r="N144" t="s">
        <v>0</v>
      </c>
      <c r="O144" t="s">
        <v>0</v>
      </c>
      <c r="P144" t="s">
        <v>4</v>
      </c>
    </row>
    <row r="145" spans="1:16" ht="14" customHeight="1" outlineLevel="3" x14ac:dyDescent="0.25">
      <c r="A145" s="2" t="s">
        <v>0</v>
      </c>
      <c r="B145" t="s">
        <v>237</v>
      </c>
      <c r="C145" t="s">
        <v>28</v>
      </c>
      <c r="D145" s="3">
        <v>45763</v>
      </c>
      <c r="E145" t="s">
        <v>0</v>
      </c>
      <c r="F145" s="2" t="s">
        <v>0</v>
      </c>
      <c r="G145" s="4">
        <v>86.92</v>
      </c>
      <c r="H145" t="s">
        <v>2</v>
      </c>
      <c r="I145" t="s">
        <v>0</v>
      </c>
      <c r="J145" t="s">
        <v>238</v>
      </c>
      <c r="K145" t="s">
        <v>3</v>
      </c>
      <c r="L145" s="3">
        <v>45763</v>
      </c>
      <c r="M145" t="s">
        <v>30</v>
      </c>
      <c r="N145" t="s">
        <v>0</v>
      </c>
      <c r="O145" t="s">
        <v>0</v>
      </c>
      <c r="P145" t="s">
        <v>4</v>
      </c>
    </row>
    <row r="146" spans="1:16" ht="14" customHeight="1" outlineLevel="3" x14ac:dyDescent="0.25">
      <c r="A146" s="2" t="s">
        <v>0</v>
      </c>
      <c r="B146" t="s">
        <v>239</v>
      </c>
      <c r="C146" t="s">
        <v>28</v>
      </c>
      <c r="D146" s="3">
        <v>45763</v>
      </c>
      <c r="E146" t="s">
        <v>0</v>
      </c>
      <c r="F146" s="2" t="s">
        <v>0</v>
      </c>
      <c r="G146" s="4">
        <v>42552.58</v>
      </c>
      <c r="H146" t="s">
        <v>2</v>
      </c>
      <c r="I146" t="s">
        <v>0</v>
      </c>
      <c r="J146" t="s">
        <v>240</v>
      </c>
      <c r="K146" t="s">
        <v>3</v>
      </c>
      <c r="L146" s="3">
        <v>45763</v>
      </c>
      <c r="M146" t="s">
        <v>30</v>
      </c>
      <c r="N146" t="s">
        <v>0</v>
      </c>
      <c r="O146" t="s">
        <v>0</v>
      </c>
      <c r="P146" t="s">
        <v>4</v>
      </c>
    </row>
    <row r="147" spans="1:16" ht="14" customHeight="1" outlineLevel="3" x14ac:dyDescent="0.25">
      <c r="A147" s="2" t="s">
        <v>0</v>
      </c>
      <c r="B147" t="s">
        <v>241</v>
      </c>
      <c r="C147" t="s">
        <v>28</v>
      </c>
      <c r="D147" s="3">
        <v>45763</v>
      </c>
      <c r="E147" t="s">
        <v>0</v>
      </c>
      <c r="F147" s="2" t="s">
        <v>0</v>
      </c>
      <c r="G147" s="4">
        <v>1116.95</v>
      </c>
      <c r="H147" t="s">
        <v>2</v>
      </c>
      <c r="I147" t="s">
        <v>0</v>
      </c>
      <c r="J147" t="s">
        <v>242</v>
      </c>
      <c r="K147" t="s">
        <v>3</v>
      </c>
      <c r="L147" s="3">
        <v>45763</v>
      </c>
      <c r="M147" t="s">
        <v>30</v>
      </c>
      <c r="N147" t="s">
        <v>0</v>
      </c>
      <c r="O147" t="s">
        <v>0</v>
      </c>
      <c r="P147" t="s">
        <v>4</v>
      </c>
    </row>
    <row r="148" spans="1:16" ht="14" customHeight="1" outlineLevel="3" x14ac:dyDescent="0.25">
      <c r="A148" s="2" t="s">
        <v>0</v>
      </c>
      <c r="B148" t="s">
        <v>243</v>
      </c>
      <c r="C148" t="s">
        <v>28</v>
      </c>
      <c r="D148" s="3">
        <v>45763</v>
      </c>
      <c r="E148" t="s">
        <v>0</v>
      </c>
      <c r="F148" s="2" t="s">
        <v>0</v>
      </c>
      <c r="G148" s="4">
        <v>94105.04</v>
      </c>
      <c r="H148" t="s">
        <v>2</v>
      </c>
      <c r="I148" t="s">
        <v>0</v>
      </c>
      <c r="J148" t="s">
        <v>244</v>
      </c>
      <c r="K148" t="s">
        <v>3</v>
      </c>
      <c r="L148" s="3">
        <v>45763</v>
      </c>
      <c r="M148" t="s">
        <v>30</v>
      </c>
      <c r="N148" t="s">
        <v>0</v>
      </c>
      <c r="O148" t="s">
        <v>0</v>
      </c>
      <c r="P148" t="s">
        <v>4</v>
      </c>
    </row>
    <row r="149" spans="1:16" ht="14" customHeight="1" outlineLevel="3" x14ac:dyDescent="0.25">
      <c r="A149" s="2" t="s">
        <v>0</v>
      </c>
      <c r="B149" t="s">
        <v>245</v>
      </c>
      <c r="C149" t="s">
        <v>28</v>
      </c>
      <c r="D149" s="3">
        <v>45768</v>
      </c>
      <c r="E149" t="s">
        <v>0</v>
      </c>
      <c r="F149" s="2" t="s">
        <v>0</v>
      </c>
      <c r="G149" s="4">
        <v>16200.07</v>
      </c>
      <c r="H149" t="s">
        <v>2</v>
      </c>
      <c r="I149" t="s">
        <v>0</v>
      </c>
      <c r="J149" t="s">
        <v>246</v>
      </c>
      <c r="K149" t="s">
        <v>3</v>
      </c>
      <c r="L149" s="3">
        <v>45768</v>
      </c>
      <c r="M149" t="s">
        <v>30</v>
      </c>
      <c r="N149" t="s">
        <v>0</v>
      </c>
      <c r="O149" t="s">
        <v>0</v>
      </c>
      <c r="P149" t="s">
        <v>4</v>
      </c>
    </row>
    <row r="150" spans="1:16" ht="14" customHeight="1" outlineLevel="3" x14ac:dyDescent="0.25">
      <c r="A150" s="2" t="s">
        <v>0</v>
      </c>
      <c r="B150" t="s">
        <v>247</v>
      </c>
      <c r="C150" t="s">
        <v>28</v>
      </c>
      <c r="D150" s="3">
        <v>45769</v>
      </c>
      <c r="E150" t="s">
        <v>0</v>
      </c>
      <c r="F150" s="2" t="s">
        <v>0</v>
      </c>
      <c r="G150" s="4">
        <v>1542.86</v>
      </c>
      <c r="H150" t="s">
        <v>2</v>
      </c>
      <c r="I150" t="s">
        <v>0</v>
      </c>
      <c r="J150" t="s">
        <v>248</v>
      </c>
      <c r="K150" t="s">
        <v>3</v>
      </c>
      <c r="L150" s="3">
        <v>45769</v>
      </c>
      <c r="M150" t="s">
        <v>30</v>
      </c>
      <c r="N150" t="s">
        <v>0</v>
      </c>
      <c r="O150" t="s">
        <v>0</v>
      </c>
      <c r="P150" t="s">
        <v>4</v>
      </c>
    </row>
    <row r="151" spans="1:16" ht="14" customHeight="1" outlineLevel="3" x14ac:dyDescent="0.25">
      <c r="A151" s="2" t="s">
        <v>0</v>
      </c>
      <c r="B151" t="s">
        <v>249</v>
      </c>
      <c r="C151" t="s">
        <v>28</v>
      </c>
      <c r="D151" s="3">
        <v>45769</v>
      </c>
      <c r="E151" t="s">
        <v>0</v>
      </c>
      <c r="F151" s="2" t="s">
        <v>0</v>
      </c>
      <c r="G151" s="4">
        <v>3739.38</v>
      </c>
      <c r="H151" t="s">
        <v>2</v>
      </c>
      <c r="I151" t="s">
        <v>0</v>
      </c>
      <c r="J151" t="s">
        <v>250</v>
      </c>
      <c r="K151" t="s">
        <v>3</v>
      </c>
      <c r="L151" s="3">
        <v>45769</v>
      </c>
      <c r="M151" t="s">
        <v>30</v>
      </c>
      <c r="N151" t="s">
        <v>0</v>
      </c>
      <c r="O151" t="s">
        <v>0</v>
      </c>
      <c r="P151" t="s">
        <v>4</v>
      </c>
    </row>
    <row r="152" spans="1:16" ht="14" customHeight="1" outlineLevel="3" x14ac:dyDescent="0.25">
      <c r="A152" s="2" t="s">
        <v>0</v>
      </c>
      <c r="B152" t="s">
        <v>251</v>
      </c>
      <c r="C152" t="s">
        <v>28</v>
      </c>
      <c r="D152" s="3">
        <v>45769</v>
      </c>
      <c r="E152" t="s">
        <v>0</v>
      </c>
      <c r="F152" s="2" t="s">
        <v>0</v>
      </c>
      <c r="G152" s="4">
        <v>525.88</v>
      </c>
      <c r="H152" t="s">
        <v>2</v>
      </c>
      <c r="I152" t="s">
        <v>0</v>
      </c>
      <c r="J152" t="s">
        <v>252</v>
      </c>
      <c r="K152" t="s">
        <v>3</v>
      </c>
      <c r="L152" s="3">
        <v>45769</v>
      </c>
      <c r="M152" t="s">
        <v>30</v>
      </c>
      <c r="N152" t="s">
        <v>0</v>
      </c>
      <c r="O152" t="s">
        <v>0</v>
      </c>
      <c r="P152" t="s">
        <v>4</v>
      </c>
    </row>
    <row r="153" spans="1:16" ht="14" customHeight="1" outlineLevel="3" x14ac:dyDescent="0.25">
      <c r="A153" s="2" t="s">
        <v>0</v>
      </c>
      <c r="B153" t="s">
        <v>253</v>
      </c>
      <c r="C153" t="s">
        <v>28</v>
      </c>
      <c r="D153" s="3">
        <v>45771</v>
      </c>
      <c r="E153" t="s">
        <v>0</v>
      </c>
      <c r="F153" s="2" t="s">
        <v>0</v>
      </c>
      <c r="G153" s="4">
        <v>158209.88</v>
      </c>
      <c r="H153" t="s">
        <v>2</v>
      </c>
      <c r="I153" t="s">
        <v>0</v>
      </c>
      <c r="J153" t="s">
        <v>254</v>
      </c>
      <c r="K153" t="s">
        <v>3</v>
      </c>
      <c r="L153" s="3">
        <v>45771</v>
      </c>
      <c r="M153" t="s">
        <v>30</v>
      </c>
      <c r="N153" t="s">
        <v>0</v>
      </c>
      <c r="O153" t="s">
        <v>0</v>
      </c>
      <c r="P153" t="s">
        <v>4</v>
      </c>
    </row>
    <row r="154" spans="1:16" ht="14" customHeight="1" outlineLevel="3" x14ac:dyDescent="0.25">
      <c r="A154" s="2" t="s">
        <v>0</v>
      </c>
      <c r="B154" t="s">
        <v>255</v>
      </c>
      <c r="C154" t="s">
        <v>28</v>
      </c>
      <c r="D154" s="3">
        <v>45770</v>
      </c>
      <c r="E154" t="s">
        <v>0</v>
      </c>
      <c r="F154" s="2" t="s">
        <v>0</v>
      </c>
      <c r="G154" s="4">
        <v>16445.61</v>
      </c>
      <c r="H154" t="s">
        <v>2</v>
      </c>
      <c r="I154" t="s">
        <v>0</v>
      </c>
      <c r="J154" t="s">
        <v>256</v>
      </c>
      <c r="K154" t="s">
        <v>3</v>
      </c>
      <c r="L154" s="3">
        <v>45770</v>
      </c>
      <c r="M154" t="s">
        <v>30</v>
      </c>
      <c r="N154" t="s">
        <v>0</v>
      </c>
      <c r="O154" t="s">
        <v>0</v>
      </c>
      <c r="P154" t="s">
        <v>4</v>
      </c>
    </row>
    <row r="155" spans="1:16" ht="14" customHeight="1" outlineLevel="3" x14ac:dyDescent="0.25">
      <c r="A155" s="2" t="s">
        <v>0</v>
      </c>
      <c r="B155" t="s">
        <v>257</v>
      </c>
      <c r="C155" t="s">
        <v>28</v>
      </c>
      <c r="D155" s="3">
        <v>45787</v>
      </c>
      <c r="E155" t="s">
        <v>0</v>
      </c>
      <c r="F155" s="2" t="s">
        <v>0</v>
      </c>
      <c r="G155" s="4">
        <v>154770.66</v>
      </c>
      <c r="H155" t="s">
        <v>2</v>
      </c>
      <c r="I155" t="s">
        <v>0</v>
      </c>
      <c r="J155" t="s">
        <v>258</v>
      </c>
      <c r="K155" t="s">
        <v>3</v>
      </c>
      <c r="L155" s="3">
        <v>45787</v>
      </c>
      <c r="M155" t="s">
        <v>30</v>
      </c>
      <c r="N155" t="s">
        <v>0</v>
      </c>
      <c r="O155" t="s">
        <v>0</v>
      </c>
      <c r="P155" t="s">
        <v>4</v>
      </c>
    </row>
    <row r="156" spans="1:16" ht="14" customHeight="1" outlineLevel="3" x14ac:dyDescent="0.25">
      <c r="A156" s="2" t="s">
        <v>0</v>
      </c>
      <c r="B156" t="s">
        <v>259</v>
      </c>
      <c r="C156" t="s">
        <v>28</v>
      </c>
      <c r="D156" s="3">
        <v>45787</v>
      </c>
      <c r="E156" t="s">
        <v>0</v>
      </c>
      <c r="F156" s="2" t="s">
        <v>0</v>
      </c>
      <c r="G156" s="4">
        <v>38692.67</v>
      </c>
      <c r="H156" t="s">
        <v>2</v>
      </c>
      <c r="I156" t="s">
        <v>0</v>
      </c>
      <c r="J156" t="s">
        <v>260</v>
      </c>
      <c r="K156" t="s">
        <v>3</v>
      </c>
      <c r="L156" s="3">
        <v>45787</v>
      </c>
      <c r="M156" t="s">
        <v>30</v>
      </c>
      <c r="N156" t="s">
        <v>0</v>
      </c>
      <c r="O156" t="s">
        <v>0</v>
      </c>
      <c r="P156" t="s">
        <v>4</v>
      </c>
    </row>
    <row r="157" spans="1:16" ht="14" customHeight="1" outlineLevel="3" x14ac:dyDescent="0.25">
      <c r="A157" s="2" t="s">
        <v>0</v>
      </c>
      <c r="B157" t="s">
        <v>261</v>
      </c>
      <c r="C157" t="s">
        <v>28</v>
      </c>
      <c r="D157" s="3">
        <v>45787</v>
      </c>
      <c r="E157" t="s">
        <v>0</v>
      </c>
      <c r="F157" s="2" t="s">
        <v>0</v>
      </c>
      <c r="G157" s="4">
        <v>34117.47</v>
      </c>
      <c r="H157" t="s">
        <v>2</v>
      </c>
      <c r="I157" t="s">
        <v>0</v>
      </c>
      <c r="J157" t="s">
        <v>262</v>
      </c>
      <c r="K157" t="s">
        <v>3</v>
      </c>
      <c r="L157" s="3">
        <v>45787</v>
      </c>
      <c r="M157" t="s">
        <v>30</v>
      </c>
      <c r="N157" t="s">
        <v>0</v>
      </c>
      <c r="O157" t="s">
        <v>0</v>
      </c>
      <c r="P157" t="s">
        <v>4</v>
      </c>
    </row>
    <row r="158" spans="1:16" ht="14" customHeight="1" outlineLevel="3" x14ac:dyDescent="0.25">
      <c r="A158" s="2" t="s">
        <v>0</v>
      </c>
      <c r="B158" t="s">
        <v>263</v>
      </c>
      <c r="C158" t="s">
        <v>28</v>
      </c>
      <c r="D158" s="3">
        <v>45793</v>
      </c>
      <c r="E158" t="s">
        <v>0</v>
      </c>
      <c r="F158" s="2" t="s">
        <v>0</v>
      </c>
      <c r="G158" s="4">
        <v>46947.1</v>
      </c>
      <c r="H158" t="s">
        <v>2</v>
      </c>
      <c r="I158" t="s">
        <v>0</v>
      </c>
      <c r="J158" t="s">
        <v>264</v>
      </c>
      <c r="K158" t="s">
        <v>3</v>
      </c>
      <c r="L158" s="3">
        <v>45793</v>
      </c>
      <c r="M158" t="s">
        <v>30</v>
      </c>
      <c r="N158" t="s">
        <v>0</v>
      </c>
      <c r="O158" t="s">
        <v>0</v>
      </c>
      <c r="P158" t="s">
        <v>4</v>
      </c>
    </row>
    <row r="159" spans="1:16" ht="14" customHeight="1" outlineLevel="3" x14ac:dyDescent="0.25">
      <c r="A159" s="2" t="s">
        <v>0</v>
      </c>
      <c r="B159" t="s">
        <v>265</v>
      </c>
      <c r="C159" t="s">
        <v>28</v>
      </c>
      <c r="D159" s="3">
        <v>45797</v>
      </c>
      <c r="E159" t="s">
        <v>0</v>
      </c>
      <c r="F159" s="2" t="s">
        <v>0</v>
      </c>
      <c r="G159" s="4">
        <v>7631.05</v>
      </c>
      <c r="H159" t="s">
        <v>2</v>
      </c>
      <c r="I159" t="s">
        <v>0</v>
      </c>
      <c r="J159" t="s">
        <v>266</v>
      </c>
      <c r="K159" t="s">
        <v>3</v>
      </c>
      <c r="L159" s="3">
        <v>45797</v>
      </c>
      <c r="M159" t="s">
        <v>30</v>
      </c>
      <c r="N159" t="s">
        <v>0</v>
      </c>
      <c r="O159" t="s">
        <v>0</v>
      </c>
      <c r="P159" t="s">
        <v>4</v>
      </c>
    </row>
    <row r="160" spans="1:16" ht="14" customHeight="1" outlineLevel="3" x14ac:dyDescent="0.25">
      <c r="A160" s="2" t="s">
        <v>0</v>
      </c>
      <c r="B160" t="s">
        <v>267</v>
      </c>
      <c r="C160" t="s">
        <v>28</v>
      </c>
      <c r="D160" s="3">
        <v>45805</v>
      </c>
      <c r="E160" t="s">
        <v>0</v>
      </c>
      <c r="F160" s="2" t="s">
        <v>0</v>
      </c>
      <c r="G160" s="4">
        <v>129130.32</v>
      </c>
      <c r="H160" t="s">
        <v>2</v>
      </c>
      <c r="I160" t="s">
        <v>0</v>
      </c>
      <c r="J160" t="s">
        <v>268</v>
      </c>
      <c r="K160" t="s">
        <v>3</v>
      </c>
      <c r="L160" s="3">
        <v>45805</v>
      </c>
      <c r="M160" t="s">
        <v>30</v>
      </c>
      <c r="N160" t="s">
        <v>0</v>
      </c>
      <c r="O160" t="s">
        <v>0</v>
      </c>
      <c r="P160" t="s">
        <v>4</v>
      </c>
    </row>
    <row r="161" spans="1:16" ht="14" customHeight="1" outlineLevel="3" x14ac:dyDescent="0.25">
      <c r="A161" s="2" t="s">
        <v>0</v>
      </c>
      <c r="B161" t="s">
        <v>269</v>
      </c>
      <c r="C161" t="s">
        <v>28</v>
      </c>
      <c r="D161" s="3">
        <v>45810</v>
      </c>
      <c r="E161" t="s">
        <v>0</v>
      </c>
      <c r="F161" s="2" t="s">
        <v>0</v>
      </c>
      <c r="G161" s="4">
        <v>31535.84</v>
      </c>
      <c r="H161" t="s">
        <v>2</v>
      </c>
      <c r="I161" t="s">
        <v>0</v>
      </c>
      <c r="J161" t="s">
        <v>270</v>
      </c>
      <c r="K161" t="s">
        <v>3</v>
      </c>
      <c r="L161" s="3">
        <v>45810</v>
      </c>
      <c r="M161" t="s">
        <v>30</v>
      </c>
      <c r="N161" t="s">
        <v>0</v>
      </c>
      <c r="O161" t="s">
        <v>0</v>
      </c>
      <c r="P161" t="s">
        <v>4</v>
      </c>
    </row>
    <row r="162" spans="1:16" ht="14" customHeight="1" outlineLevel="3" x14ac:dyDescent="0.25">
      <c r="A162" s="2" t="s">
        <v>0</v>
      </c>
      <c r="B162" t="s">
        <v>271</v>
      </c>
      <c r="C162" t="s">
        <v>28</v>
      </c>
      <c r="D162" s="3">
        <v>45810</v>
      </c>
      <c r="E162" t="s">
        <v>0</v>
      </c>
      <c r="F162" s="2" t="s">
        <v>0</v>
      </c>
      <c r="G162" s="4">
        <v>16261.2</v>
      </c>
      <c r="H162" t="s">
        <v>2</v>
      </c>
      <c r="I162" t="s">
        <v>0</v>
      </c>
      <c r="J162" t="s">
        <v>272</v>
      </c>
      <c r="K162" t="s">
        <v>3</v>
      </c>
      <c r="L162" s="3">
        <v>45810</v>
      </c>
      <c r="M162" t="s">
        <v>30</v>
      </c>
      <c r="N162" t="s">
        <v>0</v>
      </c>
      <c r="O162" t="s">
        <v>0</v>
      </c>
      <c r="P162" t="s">
        <v>4</v>
      </c>
    </row>
    <row r="163" spans="1:16" ht="14" customHeight="1" outlineLevel="3" x14ac:dyDescent="0.25">
      <c r="A163" s="2" t="s">
        <v>0</v>
      </c>
      <c r="B163" t="s">
        <v>273</v>
      </c>
      <c r="C163" t="s">
        <v>28</v>
      </c>
      <c r="D163" s="3">
        <v>45812</v>
      </c>
      <c r="E163" t="s">
        <v>0</v>
      </c>
      <c r="F163" s="2" t="s">
        <v>0</v>
      </c>
      <c r="G163" s="4">
        <v>11054.81</v>
      </c>
      <c r="H163" t="s">
        <v>2</v>
      </c>
      <c r="I163" t="s">
        <v>0</v>
      </c>
      <c r="J163" t="s">
        <v>274</v>
      </c>
      <c r="K163" t="s">
        <v>3</v>
      </c>
      <c r="L163" s="3">
        <v>45812</v>
      </c>
      <c r="M163" t="s">
        <v>30</v>
      </c>
      <c r="N163" t="s">
        <v>0</v>
      </c>
      <c r="O163" t="s">
        <v>0</v>
      </c>
      <c r="P163" t="s">
        <v>4</v>
      </c>
    </row>
    <row r="164" spans="1:16" ht="14" customHeight="1" outlineLevel="3" x14ac:dyDescent="0.25">
      <c r="A164" s="2" t="s">
        <v>0</v>
      </c>
      <c r="B164" t="s">
        <v>275</v>
      </c>
      <c r="C164" t="s">
        <v>28</v>
      </c>
      <c r="D164" s="3">
        <v>45812</v>
      </c>
      <c r="E164" t="s">
        <v>0</v>
      </c>
      <c r="F164" s="2" t="s">
        <v>0</v>
      </c>
      <c r="G164" s="4">
        <v>3951.38</v>
      </c>
      <c r="H164" t="s">
        <v>2</v>
      </c>
      <c r="I164" t="s">
        <v>0</v>
      </c>
      <c r="J164" t="s">
        <v>276</v>
      </c>
      <c r="K164" t="s">
        <v>3</v>
      </c>
      <c r="L164" s="3">
        <v>45812</v>
      </c>
      <c r="M164" t="s">
        <v>30</v>
      </c>
      <c r="N164" t="s">
        <v>0</v>
      </c>
      <c r="O164" t="s">
        <v>0</v>
      </c>
      <c r="P164" t="s">
        <v>4</v>
      </c>
    </row>
    <row r="165" spans="1:16" ht="14" customHeight="1" outlineLevel="3" x14ac:dyDescent="0.25">
      <c r="A165" s="2" t="s">
        <v>0</v>
      </c>
      <c r="B165" t="s">
        <v>277</v>
      </c>
      <c r="C165" t="s">
        <v>28</v>
      </c>
      <c r="D165" s="3">
        <v>45815</v>
      </c>
      <c r="E165" t="s">
        <v>0</v>
      </c>
      <c r="F165" s="2" t="s">
        <v>0</v>
      </c>
      <c r="G165" s="4">
        <v>106042.76</v>
      </c>
      <c r="H165" t="s">
        <v>2</v>
      </c>
      <c r="I165" t="s">
        <v>0</v>
      </c>
      <c r="J165" t="s">
        <v>278</v>
      </c>
      <c r="K165" t="s">
        <v>3</v>
      </c>
      <c r="L165" s="3">
        <v>45815</v>
      </c>
      <c r="M165" t="s">
        <v>30</v>
      </c>
      <c r="N165" t="s">
        <v>0</v>
      </c>
      <c r="O165" t="s">
        <v>0</v>
      </c>
      <c r="P165" t="s">
        <v>4</v>
      </c>
    </row>
    <row r="166" spans="1:16" ht="14" customHeight="1" outlineLevel="3" x14ac:dyDescent="0.25">
      <c r="A166" s="2" t="s">
        <v>0</v>
      </c>
      <c r="B166" t="s">
        <v>279</v>
      </c>
      <c r="C166" t="s">
        <v>28</v>
      </c>
      <c r="D166" s="3">
        <v>45812</v>
      </c>
      <c r="E166" t="s">
        <v>0</v>
      </c>
      <c r="F166" s="2" t="s">
        <v>0</v>
      </c>
      <c r="G166" s="4">
        <v>600.15</v>
      </c>
      <c r="H166" t="s">
        <v>2</v>
      </c>
      <c r="I166" t="s">
        <v>0</v>
      </c>
      <c r="J166" t="s">
        <v>280</v>
      </c>
      <c r="K166" t="s">
        <v>3</v>
      </c>
      <c r="L166" s="3">
        <v>45812</v>
      </c>
      <c r="M166" t="s">
        <v>30</v>
      </c>
      <c r="N166" t="s">
        <v>0</v>
      </c>
      <c r="O166" t="s">
        <v>0</v>
      </c>
      <c r="P166" t="s">
        <v>4</v>
      </c>
    </row>
    <row r="167" spans="1:16" ht="14" customHeight="1" outlineLevel="3" x14ac:dyDescent="0.25">
      <c r="A167" s="2" t="s">
        <v>0</v>
      </c>
      <c r="B167" t="s">
        <v>281</v>
      </c>
      <c r="C167" t="s">
        <v>28</v>
      </c>
      <c r="D167" s="3">
        <v>45812</v>
      </c>
      <c r="E167" t="s">
        <v>0</v>
      </c>
      <c r="F167" s="2" t="s">
        <v>0</v>
      </c>
      <c r="G167" s="4">
        <v>52265.64</v>
      </c>
      <c r="H167" t="s">
        <v>2</v>
      </c>
      <c r="I167" t="s">
        <v>0</v>
      </c>
      <c r="J167" t="s">
        <v>282</v>
      </c>
      <c r="K167" t="s">
        <v>3</v>
      </c>
      <c r="L167" s="3">
        <v>45812</v>
      </c>
      <c r="M167" t="s">
        <v>30</v>
      </c>
      <c r="N167" t="s">
        <v>0</v>
      </c>
      <c r="O167" t="s">
        <v>0</v>
      </c>
      <c r="P167" t="s">
        <v>4</v>
      </c>
    </row>
    <row r="168" spans="1:16" ht="14" customHeight="1" outlineLevel="3" x14ac:dyDescent="0.25">
      <c r="A168" s="2" t="s">
        <v>0</v>
      </c>
      <c r="B168" t="s">
        <v>283</v>
      </c>
      <c r="C168" t="s">
        <v>28</v>
      </c>
      <c r="D168" s="3">
        <v>45821</v>
      </c>
      <c r="E168" t="s">
        <v>0</v>
      </c>
      <c r="F168" s="2" t="s">
        <v>0</v>
      </c>
      <c r="G168" s="4">
        <v>39753.21</v>
      </c>
      <c r="H168" t="s">
        <v>2</v>
      </c>
      <c r="I168" t="s">
        <v>0</v>
      </c>
      <c r="J168" t="s">
        <v>284</v>
      </c>
      <c r="K168" t="s">
        <v>3</v>
      </c>
      <c r="L168" s="3">
        <v>45821</v>
      </c>
      <c r="M168" t="s">
        <v>30</v>
      </c>
      <c r="N168" t="s">
        <v>0</v>
      </c>
      <c r="O168" t="s">
        <v>0</v>
      </c>
      <c r="P168" t="s">
        <v>4</v>
      </c>
    </row>
    <row r="169" spans="1:16" ht="14" customHeight="1" outlineLevel="3" x14ac:dyDescent="0.25">
      <c r="A169" s="2" t="s">
        <v>0</v>
      </c>
      <c r="B169" t="s">
        <v>285</v>
      </c>
      <c r="C169" t="s">
        <v>28</v>
      </c>
      <c r="D169" s="3">
        <v>45818</v>
      </c>
      <c r="E169" t="s">
        <v>0</v>
      </c>
      <c r="F169" s="2" t="s">
        <v>0</v>
      </c>
      <c r="G169" s="4">
        <v>153883.4</v>
      </c>
      <c r="H169" t="s">
        <v>2</v>
      </c>
      <c r="I169" t="s">
        <v>0</v>
      </c>
      <c r="J169" t="s">
        <v>286</v>
      </c>
      <c r="K169" t="s">
        <v>3</v>
      </c>
      <c r="L169" s="3">
        <v>45818</v>
      </c>
      <c r="M169" t="s">
        <v>30</v>
      </c>
      <c r="N169" t="s">
        <v>0</v>
      </c>
      <c r="O169" t="s">
        <v>0</v>
      </c>
      <c r="P169" t="s">
        <v>4</v>
      </c>
    </row>
    <row r="170" spans="1:16" ht="14" customHeight="1" outlineLevel="3" x14ac:dyDescent="0.25">
      <c r="A170" s="2" t="s">
        <v>0</v>
      </c>
      <c r="B170" t="s">
        <v>287</v>
      </c>
      <c r="C170" t="s">
        <v>28</v>
      </c>
      <c r="D170" s="3">
        <v>45827</v>
      </c>
      <c r="E170" t="s">
        <v>0</v>
      </c>
      <c r="F170" s="2" t="s">
        <v>0</v>
      </c>
      <c r="G170" s="4">
        <v>9403.99</v>
      </c>
      <c r="H170" t="s">
        <v>2</v>
      </c>
      <c r="I170" t="s">
        <v>0</v>
      </c>
      <c r="J170" t="s">
        <v>288</v>
      </c>
      <c r="K170" t="s">
        <v>3</v>
      </c>
      <c r="L170" s="3">
        <v>45827</v>
      </c>
      <c r="M170" t="s">
        <v>30</v>
      </c>
      <c r="N170" t="s">
        <v>0</v>
      </c>
      <c r="O170" t="s">
        <v>0</v>
      </c>
      <c r="P170" t="s">
        <v>4</v>
      </c>
    </row>
    <row r="171" spans="1:16" ht="14" customHeight="1" outlineLevel="3" x14ac:dyDescent="0.25">
      <c r="A171" s="2" t="s">
        <v>0</v>
      </c>
      <c r="B171" t="s">
        <v>289</v>
      </c>
      <c r="C171" t="s">
        <v>28</v>
      </c>
      <c r="D171" s="3">
        <v>45842</v>
      </c>
      <c r="E171" t="s">
        <v>0</v>
      </c>
      <c r="F171" s="2" t="s">
        <v>0</v>
      </c>
      <c r="G171" s="4">
        <v>5743.98</v>
      </c>
      <c r="H171" t="s">
        <v>2</v>
      </c>
      <c r="I171" t="s">
        <v>0</v>
      </c>
      <c r="J171" t="s">
        <v>290</v>
      </c>
      <c r="K171" t="s">
        <v>3</v>
      </c>
      <c r="L171" s="3">
        <v>45842</v>
      </c>
      <c r="M171" t="s">
        <v>30</v>
      </c>
      <c r="N171" t="s">
        <v>0</v>
      </c>
      <c r="O171" t="s">
        <v>0</v>
      </c>
      <c r="P171" t="s">
        <v>4</v>
      </c>
    </row>
    <row r="172" spans="1:16" ht="14" customHeight="1" outlineLevel="3" x14ac:dyDescent="0.25">
      <c r="A172" s="2" t="s">
        <v>0</v>
      </c>
      <c r="B172" t="s">
        <v>291</v>
      </c>
      <c r="C172" t="s">
        <v>28</v>
      </c>
      <c r="D172" s="3">
        <v>45842</v>
      </c>
      <c r="E172" t="s">
        <v>0</v>
      </c>
      <c r="F172" s="2" t="s">
        <v>0</v>
      </c>
      <c r="G172" s="4">
        <v>27402.39</v>
      </c>
      <c r="H172" t="s">
        <v>2</v>
      </c>
      <c r="I172" t="s">
        <v>0</v>
      </c>
      <c r="J172" t="s">
        <v>292</v>
      </c>
      <c r="K172" t="s">
        <v>3</v>
      </c>
      <c r="L172" s="3">
        <v>45842</v>
      </c>
      <c r="M172" t="s">
        <v>30</v>
      </c>
      <c r="N172" t="s">
        <v>0</v>
      </c>
      <c r="O172" t="s">
        <v>0</v>
      </c>
      <c r="P172" t="s">
        <v>4</v>
      </c>
    </row>
    <row r="173" spans="1:16" ht="14" customHeight="1" outlineLevel="3" x14ac:dyDescent="0.25">
      <c r="A173" s="2" t="s">
        <v>0</v>
      </c>
      <c r="B173" t="s">
        <v>293</v>
      </c>
      <c r="C173" t="s">
        <v>28</v>
      </c>
      <c r="D173" s="3">
        <v>45842</v>
      </c>
      <c r="E173" t="s">
        <v>0</v>
      </c>
      <c r="F173" s="2" t="s">
        <v>0</v>
      </c>
      <c r="G173" s="4">
        <v>1314.09</v>
      </c>
      <c r="H173" t="s">
        <v>2</v>
      </c>
      <c r="I173" t="s">
        <v>0</v>
      </c>
      <c r="J173" t="s">
        <v>294</v>
      </c>
      <c r="K173" t="s">
        <v>3</v>
      </c>
      <c r="L173" s="3">
        <v>45842</v>
      </c>
      <c r="M173" t="s">
        <v>30</v>
      </c>
      <c r="N173" t="s">
        <v>0</v>
      </c>
      <c r="O173" t="s">
        <v>0</v>
      </c>
      <c r="P173" t="s">
        <v>4</v>
      </c>
    </row>
    <row r="174" spans="1:16" ht="14" customHeight="1" outlineLevel="3" x14ac:dyDescent="0.25">
      <c r="A174" s="2" t="s">
        <v>0</v>
      </c>
      <c r="B174" t="s">
        <v>295</v>
      </c>
      <c r="C174" t="s">
        <v>28</v>
      </c>
      <c r="D174" s="3">
        <v>45842</v>
      </c>
      <c r="E174" t="s">
        <v>0</v>
      </c>
      <c r="F174" s="2" t="s">
        <v>0</v>
      </c>
      <c r="G174" s="4">
        <v>4490.95</v>
      </c>
      <c r="H174" t="s">
        <v>2</v>
      </c>
      <c r="I174" t="s">
        <v>0</v>
      </c>
      <c r="J174" t="s">
        <v>296</v>
      </c>
      <c r="K174" t="s">
        <v>3</v>
      </c>
      <c r="L174" s="3">
        <v>45842</v>
      </c>
      <c r="M174" t="s">
        <v>30</v>
      </c>
      <c r="N174" t="s">
        <v>0</v>
      </c>
      <c r="O174" t="s">
        <v>0</v>
      </c>
      <c r="P174" t="s">
        <v>4</v>
      </c>
    </row>
    <row r="175" spans="1:16" ht="14" customHeight="1" outlineLevel="3" x14ac:dyDescent="0.25">
      <c r="A175" s="2" t="s">
        <v>0</v>
      </c>
      <c r="B175" t="s">
        <v>297</v>
      </c>
      <c r="C175" t="s">
        <v>28</v>
      </c>
      <c r="D175" s="3">
        <v>45842</v>
      </c>
      <c r="E175" t="s">
        <v>0</v>
      </c>
      <c r="F175" s="2" t="s">
        <v>0</v>
      </c>
      <c r="G175" s="4">
        <v>154801.21</v>
      </c>
      <c r="H175" t="s">
        <v>2</v>
      </c>
      <c r="I175" t="s">
        <v>0</v>
      </c>
      <c r="J175" t="s">
        <v>298</v>
      </c>
      <c r="K175" t="s">
        <v>3</v>
      </c>
      <c r="L175" s="3">
        <v>45842</v>
      </c>
      <c r="M175" t="s">
        <v>30</v>
      </c>
      <c r="N175" t="s">
        <v>0</v>
      </c>
      <c r="O175" t="s">
        <v>0</v>
      </c>
      <c r="P175" t="s">
        <v>4</v>
      </c>
    </row>
    <row r="176" spans="1:16" ht="14" customHeight="1" outlineLevel="3" x14ac:dyDescent="0.25">
      <c r="A176" s="2" t="s">
        <v>0</v>
      </c>
      <c r="B176" t="s">
        <v>299</v>
      </c>
      <c r="C176" t="s">
        <v>28</v>
      </c>
      <c r="D176" s="3">
        <v>45842</v>
      </c>
      <c r="E176" t="s">
        <v>0</v>
      </c>
      <c r="F176" s="2" t="s">
        <v>0</v>
      </c>
      <c r="G176" s="4">
        <v>15083.66</v>
      </c>
      <c r="H176" t="s">
        <v>2</v>
      </c>
      <c r="I176" t="s">
        <v>0</v>
      </c>
      <c r="J176" t="s">
        <v>300</v>
      </c>
      <c r="K176" t="s">
        <v>3</v>
      </c>
      <c r="L176" s="3">
        <v>45842</v>
      </c>
      <c r="M176" t="s">
        <v>30</v>
      </c>
      <c r="N176" t="s">
        <v>0</v>
      </c>
      <c r="O176" t="s">
        <v>0</v>
      </c>
      <c r="P176" t="s">
        <v>4</v>
      </c>
    </row>
    <row r="177" spans="1:16" ht="14" customHeight="1" outlineLevel="3" x14ac:dyDescent="0.25">
      <c r="A177" s="2" t="s">
        <v>0</v>
      </c>
      <c r="B177" t="s">
        <v>301</v>
      </c>
      <c r="C177" t="s">
        <v>28</v>
      </c>
      <c r="D177" s="3">
        <v>45842</v>
      </c>
      <c r="E177" t="s">
        <v>0</v>
      </c>
      <c r="F177" s="2" t="s">
        <v>0</v>
      </c>
      <c r="G177" s="4">
        <v>130822.5</v>
      </c>
      <c r="H177" t="s">
        <v>2</v>
      </c>
      <c r="I177" t="s">
        <v>0</v>
      </c>
      <c r="J177" t="s">
        <v>302</v>
      </c>
      <c r="K177" t="s">
        <v>3</v>
      </c>
      <c r="L177" s="3">
        <v>45842</v>
      </c>
      <c r="M177" t="s">
        <v>30</v>
      </c>
      <c r="N177" t="s">
        <v>0</v>
      </c>
      <c r="O177" t="s">
        <v>0</v>
      </c>
      <c r="P177" t="s">
        <v>4</v>
      </c>
    </row>
    <row r="178" spans="1:16" ht="14" customHeight="1" outlineLevel="3" x14ac:dyDescent="0.25">
      <c r="A178" s="2" t="s">
        <v>0</v>
      </c>
      <c r="B178" t="s">
        <v>303</v>
      </c>
      <c r="C178" t="s">
        <v>28</v>
      </c>
      <c r="D178" s="3">
        <v>45856</v>
      </c>
      <c r="E178" t="s">
        <v>0</v>
      </c>
      <c r="F178" s="2" t="s">
        <v>0</v>
      </c>
      <c r="G178" s="4">
        <v>2243.7600000000002</v>
      </c>
      <c r="H178" t="s">
        <v>2</v>
      </c>
      <c r="I178" t="s">
        <v>0</v>
      </c>
      <c r="J178" t="s">
        <v>304</v>
      </c>
      <c r="K178" t="s">
        <v>3</v>
      </c>
      <c r="L178" s="3">
        <v>45856</v>
      </c>
      <c r="M178" t="s">
        <v>30</v>
      </c>
      <c r="N178" t="s">
        <v>0</v>
      </c>
      <c r="O178" t="s">
        <v>0</v>
      </c>
      <c r="P178" t="s">
        <v>4</v>
      </c>
    </row>
    <row r="179" spans="1:16" ht="14" customHeight="1" outlineLevel="3" x14ac:dyDescent="0.25">
      <c r="A179" s="2" t="s">
        <v>0</v>
      </c>
      <c r="B179" t="s">
        <v>305</v>
      </c>
      <c r="C179" t="s">
        <v>28</v>
      </c>
      <c r="D179" s="3">
        <v>45856</v>
      </c>
      <c r="E179" t="s">
        <v>0</v>
      </c>
      <c r="F179" s="2" t="s">
        <v>0</v>
      </c>
      <c r="G179" s="4">
        <v>6341.69</v>
      </c>
      <c r="H179" t="s">
        <v>2</v>
      </c>
      <c r="I179" t="s">
        <v>0</v>
      </c>
      <c r="J179" t="s">
        <v>306</v>
      </c>
      <c r="K179" t="s">
        <v>3</v>
      </c>
      <c r="L179" s="3">
        <v>45856</v>
      </c>
      <c r="M179" t="s">
        <v>30</v>
      </c>
      <c r="N179" t="s">
        <v>0</v>
      </c>
      <c r="O179" t="s">
        <v>0</v>
      </c>
      <c r="P179" t="s">
        <v>4</v>
      </c>
    </row>
    <row r="180" spans="1:16" ht="14" customHeight="1" outlineLevel="3" x14ac:dyDescent="0.25">
      <c r="A180" s="2" t="s">
        <v>0</v>
      </c>
      <c r="B180" t="s">
        <v>307</v>
      </c>
      <c r="C180" t="s">
        <v>28</v>
      </c>
      <c r="D180" s="3">
        <v>45856</v>
      </c>
      <c r="E180" t="s">
        <v>0</v>
      </c>
      <c r="F180" s="2" t="s">
        <v>0</v>
      </c>
      <c r="G180" s="4">
        <v>20570.5</v>
      </c>
      <c r="H180" t="s">
        <v>2</v>
      </c>
      <c r="I180" t="s">
        <v>0</v>
      </c>
      <c r="J180" t="s">
        <v>308</v>
      </c>
      <c r="K180" t="s">
        <v>3</v>
      </c>
      <c r="L180" s="3">
        <v>45856</v>
      </c>
      <c r="M180" t="s">
        <v>30</v>
      </c>
      <c r="N180" t="s">
        <v>0</v>
      </c>
      <c r="O180" t="s">
        <v>0</v>
      </c>
      <c r="P180" t="s">
        <v>4</v>
      </c>
    </row>
    <row r="181" spans="1:16" ht="14" customHeight="1" outlineLevel="3" x14ac:dyDescent="0.25">
      <c r="A181" s="2" t="s">
        <v>0</v>
      </c>
      <c r="B181" t="s">
        <v>309</v>
      </c>
      <c r="C181" t="s">
        <v>28</v>
      </c>
      <c r="D181" s="3">
        <v>45856</v>
      </c>
      <c r="E181" t="s">
        <v>0</v>
      </c>
      <c r="F181" s="2" t="s">
        <v>0</v>
      </c>
      <c r="G181" s="4">
        <v>236.5</v>
      </c>
      <c r="H181" t="s">
        <v>2</v>
      </c>
      <c r="I181" t="s">
        <v>0</v>
      </c>
      <c r="J181" t="s">
        <v>310</v>
      </c>
      <c r="K181" t="s">
        <v>3</v>
      </c>
      <c r="L181" s="3">
        <v>45856</v>
      </c>
      <c r="M181" t="s">
        <v>30</v>
      </c>
      <c r="N181" t="s">
        <v>0</v>
      </c>
      <c r="O181" t="s">
        <v>0</v>
      </c>
      <c r="P181" t="s">
        <v>4</v>
      </c>
    </row>
    <row r="182" spans="1:16" ht="14" customHeight="1" outlineLevel="3" x14ac:dyDescent="0.25">
      <c r="A182" s="2" t="s">
        <v>0</v>
      </c>
      <c r="B182" t="s">
        <v>311</v>
      </c>
      <c r="C182" t="s">
        <v>28</v>
      </c>
      <c r="D182" s="3">
        <v>45856</v>
      </c>
      <c r="E182" t="s">
        <v>0</v>
      </c>
      <c r="F182" s="2" t="s">
        <v>0</v>
      </c>
      <c r="G182" s="4">
        <v>9541.77</v>
      </c>
      <c r="H182" t="s">
        <v>2</v>
      </c>
      <c r="I182" t="s">
        <v>0</v>
      </c>
      <c r="J182" t="s">
        <v>312</v>
      </c>
      <c r="K182" t="s">
        <v>3</v>
      </c>
      <c r="L182" s="3">
        <v>45856</v>
      </c>
      <c r="M182" t="s">
        <v>30</v>
      </c>
      <c r="N182" t="s">
        <v>0</v>
      </c>
      <c r="O182" t="s">
        <v>0</v>
      </c>
      <c r="P182" t="s">
        <v>4</v>
      </c>
    </row>
    <row r="183" spans="1:16" ht="14" customHeight="1" outlineLevel="3" x14ac:dyDescent="0.25">
      <c r="A183" s="2" t="s">
        <v>0</v>
      </c>
      <c r="B183" t="s">
        <v>313</v>
      </c>
      <c r="C183" t="s">
        <v>28</v>
      </c>
      <c r="D183" s="3">
        <v>45856</v>
      </c>
      <c r="E183" t="s">
        <v>0</v>
      </c>
      <c r="F183" s="2" t="s">
        <v>0</v>
      </c>
      <c r="G183" s="4">
        <v>17200.13</v>
      </c>
      <c r="H183" t="s">
        <v>2</v>
      </c>
      <c r="I183" t="s">
        <v>0</v>
      </c>
      <c r="J183" t="s">
        <v>314</v>
      </c>
      <c r="K183" t="s">
        <v>3</v>
      </c>
      <c r="L183" s="3">
        <v>45856</v>
      </c>
      <c r="M183" t="s">
        <v>30</v>
      </c>
      <c r="N183" t="s">
        <v>0</v>
      </c>
      <c r="O183" t="s">
        <v>0</v>
      </c>
      <c r="P183" t="s">
        <v>4</v>
      </c>
    </row>
    <row r="184" spans="1:16" ht="14" customHeight="1" outlineLevel="3" x14ac:dyDescent="0.25">
      <c r="A184" s="2" t="s">
        <v>0</v>
      </c>
      <c r="B184" t="s">
        <v>315</v>
      </c>
      <c r="C184" t="s">
        <v>28</v>
      </c>
      <c r="D184" s="3">
        <v>45862</v>
      </c>
      <c r="E184" t="s">
        <v>0</v>
      </c>
      <c r="F184" s="2" t="s">
        <v>0</v>
      </c>
      <c r="G184" s="4">
        <v>2515.52</v>
      </c>
      <c r="H184" t="s">
        <v>2</v>
      </c>
      <c r="I184" t="s">
        <v>0</v>
      </c>
      <c r="J184" t="s">
        <v>316</v>
      </c>
      <c r="K184" t="s">
        <v>3</v>
      </c>
      <c r="L184" s="3">
        <v>45862</v>
      </c>
      <c r="M184" t="s">
        <v>30</v>
      </c>
      <c r="N184" t="s">
        <v>0</v>
      </c>
      <c r="O184" t="s">
        <v>0</v>
      </c>
      <c r="P184" t="s">
        <v>4</v>
      </c>
    </row>
    <row r="185" spans="1:16" ht="14" customHeight="1" outlineLevel="3" x14ac:dyDescent="0.25">
      <c r="A185" s="2" t="s">
        <v>0</v>
      </c>
      <c r="B185" t="s">
        <v>317</v>
      </c>
      <c r="C185" t="s">
        <v>28</v>
      </c>
      <c r="D185" s="3">
        <v>45863</v>
      </c>
      <c r="E185" t="s">
        <v>0</v>
      </c>
      <c r="F185" s="2" t="s">
        <v>0</v>
      </c>
      <c r="G185" s="4">
        <v>39990.31</v>
      </c>
      <c r="H185" t="s">
        <v>2</v>
      </c>
      <c r="I185" t="s">
        <v>0</v>
      </c>
      <c r="J185" t="s">
        <v>318</v>
      </c>
      <c r="K185" t="s">
        <v>3</v>
      </c>
      <c r="L185" s="3">
        <v>45863</v>
      </c>
      <c r="M185" t="s">
        <v>30</v>
      </c>
      <c r="N185" t="s">
        <v>0</v>
      </c>
      <c r="O185" t="s">
        <v>0</v>
      </c>
      <c r="P185" t="s">
        <v>4</v>
      </c>
    </row>
    <row r="186" spans="1:16" ht="14" customHeight="1" outlineLevel="3" x14ac:dyDescent="0.25">
      <c r="A186" s="2" t="s">
        <v>0</v>
      </c>
      <c r="B186" t="s">
        <v>319</v>
      </c>
      <c r="C186" t="s">
        <v>28</v>
      </c>
      <c r="D186" s="3">
        <v>45870</v>
      </c>
      <c r="E186" t="s">
        <v>0</v>
      </c>
      <c r="F186" s="2" t="s">
        <v>0</v>
      </c>
      <c r="G186" s="4">
        <v>154854.22</v>
      </c>
      <c r="H186" t="s">
        <v>2</v>
      </c>
      <c r="I186" t="s">
        <v>0</v>
      </c>
      <c r="J186" t="s">
        <v>320</v>
      </c>
      <c r="K186" t="s">
        <v>3</v>
      </c>
      <c r="L186" s="3">
        <v>45870</v>
      </c>
      <c r="M186" t="s">
        <v>30</v>
      </c>
      <c r="N186" t="s">
        <v>0</v>
      </c>
      <c r="O186" t="s">
        <v>0</v>
      </c>
      <c r="P186" t="s">
        <v>4</v>
      </c>
    </row>
    <row r="187" spans="1:16" ht="14" customHeight="1" outlineLevel="3" x14ac:dyDescent="0.25">
      <c r="A187" s="2" t="s">
        <v>0</v>
      </c>
      <c r="B187" t="s">
        <v>321</v>
      </c>
      <c r="C187" t="s">
        <v>28</v>
      </c>
      <c r="D187" s="3">
        <v>45877</v>
      </c>
      <c r="E187" t="s">
        <v>0</v>
      </c>
      <c r="F187" s="2" t="s">
        <v>0</v>
      </c>
      <c r="G187" s="4">
        <v>30826.31</v>
      </c>
      <c r="H187" t="s">
        <v>2</v>
      </c>
      <c r="I187" t="s">
        <v>0</v>
      </c>
      <c r="J187" t="s">
        <v>322</v>
      </c>
      <c r="K187" t="s">
        <v>3</v>
      </c>
      <c r="L187" s="3">
        <v>45877</v>
      </c>
      <c r="M187" t="s">
        <v>30</v>
      </c>
      <c r="N187" t="s">
        <v>0</v>
      </c>
      <c r="O187" t="s">
        <v>0</v>
      </c>
      <c r="P187" t="s">
        <v>4</v>
      </c>
    </row>
    <row r="188" spans="1:16" ht="14" customHeight="1" outlineLevel="3" x14ac:dyDescent="0.25">
      <c r="A188" s="2" t="s">
        <v>0</v>
      </c>
      <c r="B188" t="s">
        <v>323</v>
      </c>
      <c r="C188" t="s">
        <v>28</v>
      </c>
      <c r="D188" s="3">
        <v>45877</v>
      </c>
      <c r="E188" t="s">
        <v>0</v>
      </c>
      <c r="F188" s="2" t="s">
        <v>0</v>
      </c>
      <c r="G188" s="4">
        <v>1179.47</v>
      </c>
      <c r="H188" t="s">
        <v>2</v>
      </c>
      <c r="I188" t="s">
        <v>0</v>
      </c>
      <c r="J188" t="s">
        <v>324</v>
      </c>
      <c r="K188" t="s">
        <v>3</v>
      </c>
      <c r="L188" s="3">
        <v>45877</v>
      </c>
      <c r="M188" t="s">
        <v>30</v>
      </c>
      <c r="N188" t="s">
        <v>0</v>
      </c>
      <c r="O188" t="s">
        <v>0</v>
      </c>
      <c r="P188" t="s">
        <v>4</v>
      </c>
    </row>
    <row r="189" spans="1:16" ht="14" customHeight="1" outlineLevel="3" x14ac:dyDescent="0.25">
      <c r="A189" s="2" t="s">
        <v>0</v>
      </c>
      <c r="B189" t="s">
        <v>325</v>
      </c>
      <c r="C189" t="s">
        <v>28</v>
      </c>
      <c r="D189" s="3">
        <v>45877</v>
      </c>
      <c r="E189" t="s">
        <v>0</v>
      </c>
      <c r="F189" s="2" t="s">
        <v>0</v>
      </c>
      <c r="G189" s="4">
        <v>109043.18</v>
      </c>
      <c r="H189" t="s">
        <v>2</v>
      </c>
      <c r="I189" t="s">
        <v>0</v>
      </c>
      <c r="J189" t="s">
        <v>326</v>
      </c>
      <c r="K189" t="s">
        <v>3</v>
      </c>
      <c r="L189" s="3">
        <v>45877</v>
      </c>
      <c r="M189" t="s">
        <v>30</v>
      </c>
      <c r="N189" t="s">
        <v>0</v>
      </c>
      <c r="O189" t="s">
        <v>0</v>
      </c>
      <c r="P189" t="s">
        <v>4</v>
      </c>
    </row>
    <row r="190" spans="1:16" ht="14" customHeight="1" outlineLevel="3" x14ac:dyDescent="0.25">
      <c r="A190" s="2" t="s">
        <v>0</v>
      </c>
      <c r="B190" t="s">
        <v>327</v>
      </c>
      <c r="C190" t="s">
        <v>28</v>
      </c>
      <c r="D190" s="3">
        <v>45877</v>
      </c>
      <c r="E190" t="s">
        <v>0</v>
      </c>
      <c r="F190" s="2" t="s">
        <v>0</v>
      </c>
      <c r="G190" s="4">
        <v>1952.88</v>
      </c>
      <c r="H190" t="s">
        <v>2</v>
      </c>
      <c r="I190" t="s">
        <v>0</v>
      </c>
      <c r="J190" t="s">
        <v>328</v>
      </c>
      <c r="K190" t="s">
        <v>3</v>
      </c>
      <c r="L190" s="3">
        <v>45877</v>
      </c>
      <c r="M190" t="s">
        <v>30</v>
      </c>
      <c r="N190" t="s">
        <v>0</v>
      </c>
      <c r="O190" t="s">
        <v>0</v>
      </c>
      <c r="P190" t="s">
        <v>4</v>
      </c>
    </row>
    <row r="191" spans="1:16" ht="14" customHeight="1" outlineLevel="3" x14ac:dyDescent="0.25">
      <c r="A191" s="2" t="s">
        <v>0</v>
      </c>
      <c r="B191" t="s">
        <v>329</v>
      </c>
      <c r="C191" t="s">
        <v>28</v>
      </c>
      <c r="D191" s="3">
        <v>45877</v>
      </c>
      <c r="E191" t="s">
        <v>0</v>
      </c>
      <c r="F191" s="2" t="s">
        <v>0</v>
      </c>
      <c r="G191" s="4">
        <v>8803.4599999999991</v>
      </c>
      <c r="H191" t="s">
        <v>2</v>
      </c>
      <c r="I191" t="s">
        <v>0</v>
      </c>
      <c r="J191" t="s">
        <v>330</v>
      </c>
      <c r="K191" t="s">
        <v>3</v>
      </c>
      <c r="L191" s="3">
        <v>45877</v>
      </c>
      <c r="M191" t="s">
        <v>30</v>
      </c>
      <c r="N191" t="s">
        <v>0</v>
      </c>
      <c r="O191" t="s">
        <v>0</v>
      </c>
      <c r="P191" t="s">
        <v>4</v>
      </c>
    </row>
    <row r="192" spans="1:16" ht="14" customHeight="1" outlineLevel="3" x14ac:dyDescent="0.25">
      <c r="A192" s="2" t="s">
        <v>0</v>
      </c>
      <c r="B192" t="s">
        <v>331</v>
      </c>
      <c r="C192" t="s">
        <v>28</v>
      </c>
      <c r="D192" s="3">
        <v>45877</v>
      </c>
      <c r="E192" t="s">
        <v>0</v>
      </c>
      <c r="F192" s="2" t="s">
        <v>0</v>
      </c>
      <c r="G192" s="4">
        <v>2260.0100000000002</v>
      </c>
      <c r="H192" t="s">
        <v>2</v>
      </c>
      <c r="I192" t="s">
        <v>0</v>
      </c>
      <c r="J192" t="s">
        <v>332</v>
      </c>
      <c r="K192" t="s">
        <v>3</v>
      </c>
      <c r="L192" s="3">
        <v>45877</v>
      </c>
      <c r="M192" t="s">
        <v>30</v>
      </c>
      <c r="N192" t="s">
        <v>0</v>
      </c>
      <c r="O192" t="s">
        <v>0</v>
      </c>
      <c r="P192" t="s">
        <v>4</v>
      </c>
    </row>
    <row r="193" spans="1:16" ht="14" customHeight="1" outlineLevel="3" x14ac:dyDescent="0.25">
      <c r="A193" s="2" t="s">
        <v>0</v>
      </c>
      <c r="B193" t="s">
        <v>333</v>
      </c>
      <c r="C193" t="s">
        <v>28</v>
      </c>
      <c r="D193" s="3">
        <v>45877</v>
      </c>
      <c r="E193" t="s">
        <v>0</v>
      </c>
      <c r="F193" s="2" t="s">
        <v>0</v>
      </c>
      <c r="G193" s="4">
        <v>4846.08</v>
      </c>
      <c r="H193" t="s">
        <v>2</v>
      </c>
      <c r="I193" t="s">
        <v>0</v>
      </c>
      <c r="J193" t="s">
        <v>334</v>
      </c>
      <c r="K193" t="s">
        <v>3</v>
      </c>
      <c r="L193" s="3">
        <v>45877</v>
      </c>
      <c r="M193" t="s">
        <v>30</v>
      </c>
      <c r="N193" t="s">
        <v>0</v>
      </c>
      <c r="O193" t="s">
        <v>0</v>
      </c>
      <c r="P193" t="s">
        <v>4</v>
      </c>
    </row>
    <row r="194" spans="1:16" ht="14" customHeight="1" outlineLevel="3" x14ac:dyDescent="0.25">
      <c r="A194" s="2" t="s">
        <v>0</v>
      </c>
      <c r="B194" t="s">
        <v>335</v>
      </c>
      <c r="C194" t="s">
        <v>28</v>
      </c>
      <c r="D194" s="3">
        <v>45889</v>
      </c>
      <c r="E194" t="s">
        <v>0</v>
      </c>
      <c r="F194" s="2" t="s">
        <v>0</v>
      </c>
      <c r="G194" s="4">
        <v>4305.8100000000004</v>
      </c>
      <c r="H194" t="s">
        <v>2</v>
      </c>
      <c r="I194" t="s">
        <v>0</v>
      </c>
      <c r="J194" t="s">
        <v>336</v>
      </c>
      <c r="K194" t="s">
        <v>3</v>
      </c>
      <c r="L194" s="3">
        <v>45889</v>
      </c>
      <c r="M194" t="s">
        <v>30</v>
      </c>
      <c r="N194" t="s">
        <v>0</v>
      </c>
      <c r="O194" t="s">
        <v>0</v>
      </c>
      <c r="P194" t="s">
        <v>4</v>
      </c>
    </row>
    <row r="195" spans="1:16" ht="14" customHeight="1" outlineLevel="3" x14ac:dyDescent="0.25">
      <c r="A195" s="2" t="s">
        <v>0</v>
      </c>
      <c r="B195" t="s">
        <v>337</v>
      </c>
      <c r="C195" t="s">
        <v>28</v>
      </c>
      <c r="D195" s="3">
        <v>45889</v>
      </c>
      <c r="E195" t="s">
        <v>0</v>
      </c>
      <c r="F195" s="2" t="s">
        <v>0</v>
      </c>
      <c r="G195" s="4">
        <v>1527.03</v>
      </c>
      <c r="H195" t="s">
        <v>2</v>
      </c>
      <c r="I195" t="s">
        <v>0</v>
      </c>
      <c r="J195" t="s">
        <v>338</v>
      </c>
      <c r="K195" t="s">
        <v>3</v>
      </c>
      <c r="L195" s="3">
        <v>45889</v>
      </c>
      <c r="M195" t="s">
        <v>30</v>
      </c>
      <c r="N195" t="s">
        <v>0</v>
      </c>
      <c r="O195" t="s">
        <v>0</v>
      </c>
      <c r="P195" t="s">
        <v>4</v>
      </c>
    </row>
    <row r="196" spans="1:16" ht="14" customHeight="1" outlineLevel="3" x14ac:dyDescent="0.25">
      <c r="A196" s="2" t="s">
        <v>0</v>
      </c>
      <c r="B196" t="s">
        <v>339</v>
      </c>
      <c r="C196" t="s">
        <v>28</v>
      </c>
      <c r="D196" s="3">
        <v>45904</v>
      </c>
      <c r="E196" t="s">
        <v>0</v>
      </c>
      <c r="F196" s="2" t="s">
        <v>0</v>
      </c>
      <c r="G196" s="4">
        <v>6574.95</v>
      </c>
      <c r="H196" t="s">
        <v>2</v>
      </c>
      <c r="I196" t="s">
        <v>0</v>
      </c>
      <c r="J196" t="s">
        <v>340</v>
      </c>
      <c r="K196" t="s">
        <v>3</v>
      </c>
      <c r="L196" s="3">
        <v>45904</v>
      </c>
      <c r="M196" t="s">
        <v>30</v>
      </c>
      <c r="N196" t="s">
        <v>0</v>
      </c>
      <c r="O196" t="s">
        <v>0</v>
      </c>
      <c r="P196" t="s">
        <v>4</v>
      </c>
    </row>
    <row r="197" spans="1:16" ht="14" customHeight="1" outlineLevel="3" x14ac:dyDescent="0.25">
      <c r="A197" s="2" t="s">
        <v>0</v>
      </c>
      <c r="B197" t="s">
        <v>341</v>
      </c>
      <c r="C197" t="s">
        <v>28</v>
      </c>
      <c r="D197" s="3">
        <v>45906</v>
      </c>
      <c r="E197" t="s">
        <v>0</v>
      </c>
      <c r="F197" s="2" t="s">
        <v>0</v>
      </c>
      <c r="G197" s="4">
        <v>96180</v>
      </c>
      <c r="H197" t="s">
        <v>2</v>
      </c>
      <c r="I197" t="s">
        <v>0</v>
      </c>
      <c r="J197" t="s">
        <v>342</v>
      </c>
      <c r="K197" t="s">
        <v>3</v>
      </c>
      <c r="L197" s="3">
        <v>45906</v>
      </c>
      <c r="M197" t="s">
        <v>30</v>
      </c>
      <c r="N197" t="s">
        <v>0</v>
      </c>
      <c r="O197" t="s">
        <v>0</v>
      </c>
      <c r="P197" t="s">
        <v>4</v>
      </c>
    </row>
    <row r="198" spans="1:16" ht="14" customHeight="1" outlineLevel="3" x14ac:dyDescent="0.25">
      <c r="A198" s="2" t="s">
        <v>0</v>
      </c>
      <c r="B198" t="s">
        <v>343</v>
      </c>
      <c r="C198" t="s">
        <v>28</v>
      </c>
      <c r="D198" s="3">
        <v>45904</v>
      </c>
      <c r="E198" t="s">
        <v>0</v>
      </c>
      <c r="F198" s="2" t="s">
        <v>0</v>
      </c>
      <c r="G198" s="4">
        <v>12252.01</v>
      </c>
      <c r="H198" t="s">
        <v>2</v>
      </c>
      <c r="I198" t="s">
        <v>0</v>
      </c>
      <c r="J198" t="s">
        <v>344</v>
      </c>
      <c r="K198" t="s">
        <v>3</v>
      </c>
      <c r="L198" s="3">
        <v>45904</v>
      </c>
      <c r="M198" t="s">
        <v>30</v>
      </c>
      <c r="N198" t="s">
        <v>0</v>
      </c>
      <c r="O198" t="s">
        <v>0</v>
      </c>
      <c r="P198" t="s">
        <v>4</v>
      </c>
    </row>
    <row r="199" spans="1:16" ht="14" customHeight="1" outlineLevel="3" x14ac:dyDescent="0.25">
      <c r="A199" s="2" t="s">
        <v>0</v>
      </c>
      <c r="B199" t="s">
        <v>345</v>
      </c>
      <c r="C199" t="s">
        <v>28</v>
      </c>
      <c r="D199" s="3">
        <v>45904</v>
      </c>
      <c r="E199" t="s">
        <v>0</v>
      </c>
      <c r="F199" s="2" t="s">
        <v>0</v>
      </c>
      <c r="G199" s="4">
        <v>9462.0499999999993</v>
      </c>
      <c r="H199" t="s">
        <v>2</v>
      </c>
      <c r="I199" t="s">
        <v>0</v>
      </c>
      <c r="J199" t="s">
        <v>346</v>
      </c>
      <c r="K199" t="s">
        <v>3</v>
      </c>
      <c r="L199" s="3">
        <v>45904</v>
      </c>
      <c r="M199" t="s">
        <v>30</v>
      </c>
      <c r="N199" t="s">
        <v>0</v>
      </c>
      <c r="O199" t="s">
        <v>0</v>
      </c>
      <c r="P199" t="s">
        <v>4</v>
      </c>
    </row>
    <row r="200" spans="1:16" ht="14" customHeight="1" outlineLevel="3" x14ac:dyDescent="0.25">
      <c r="A200" s="2" t="s">
        <v>0</v>
      </c>
      <c r="B200" t="s">
        <v>347</v>
      </c>
      <c r="C200" t="s">
        <v>28</v>
      </c>
      <c r="D200" s="3">
        <v>45904</v>
      </c>
      <c r="E200" t="s">
        <v>0</v>
      </c>
      <c r="F200" s="2" t="s">
        <v>0</v>
      </c>
      <c r="G200" s="4">
        <v>50618.29</v>
      </c>
      <c r="H200" t="s">
        <v>2</v>
      </c>
      <c r="I200" t="s">
        <v>0</v>
      </c>
      <c r="J200" t="s">
        <v>348</v>
      </c>
      <c r="K200" t="s">
        <v>3</v>
      </c>
      <c r="L200" s="3">
        <v>45904</v>
      </c>
      <c r="M200" t="s">
        <v>30</v>
      </c>
      <c r="N200" t="s">
        <v>0</v>
      </c>
      <c r="O200" t="s">
        <v>0</v>
      </c>
      <c r="P200" t="s">
        <v>4</v>
      </c>
    </row>
    <row r="201" spans="1:16" ht="14" customHeight="1" outlineLevel="3" x14ac:dyDescent="0.25">
      <c r="A201" s="2" t="s">
        <v>0</v>
      </c>
      <c r="B201" t="s">
        <v>349</v>
      </c>
      <c r="C201" t="s">
        <v>28</v>
      </c>
      <c r="D201" s="3">
        <v>45904</v>
      </c>
      <c r="E201" t="s">
        <v>0</v>
      </c>
      <c r="F201" s="2" t="s">
        <v>0</v>
      </c>
      <c r="G201" s="4">
        <v>157525.79</v>
      </c>
      <c r="H201" t="s">
        <v>2</v>
      </c>
      <c r="I201" t="s">
        <v>0</v>
      </c>
      <c r="J201" t="s">
        <v>350</v>
      </c>
      <c r="K201" t="s">
        <v>3</v>
      </c>
      <c r="L201" s="3">
        <v>45904</v>
      </c>
      <c r="M201" t="s">
        <v>30</v>
      </c>
      <c r="N201" t="s">
        <v>0</v>
      </c>
      <c r="O201" t="s">
        <v>0</v>
      </c>
      <c r="P201" t="s">
        <v>4</v>
      </c>
    </row>
    <row r="202" spans="1:16" ht="14" customHeight="1" outlineLevel="3" x14ac:dyDescent="0.25">
      <c r="A202" s="2" t="s">
        <v>0</v>
      </c>
      <c r="B202" t="s">
        <v>351</v>
      </c>
      <c r="C202" t="s">
        <v>28</v>
      </c>
      <c r="D202" s="3">
        <v>45935</v>
      </c>
      <c r="E202" t="s">
        <v>0</v>
      </c>
      <c r="F202" s="2" t="s">
        <v>0</v>
      </c>
      <c r="G202" s="4">
        <v>23886.47</v>
      </c>
      <c r="H202" t="s">
        <v>2</v>
      </c>
      <c r="I202" t="s">
        <v>0</v>
      </c>
      <c r="J202" t="s">
        <v>352</v>
      </c>
      <c r="K202" t="s">
        <v>3</v>
      </c>
      <c r="L202" s="3">
        <v>45935</v>
      </c>
      <c r="M202" t="s">
        <v>30</v>
      </c>
      <c r="N202" t="s">
        <v>0</v>
      </c>
      <c r="O202" t="s">
        <v>0</v>
      </c>
      <c r="P202" t="s">
        <v>4</v>
      </c>
    </row>
    <row r="203" spans="1:16" ht="14" customHeight="1" outlineLevel="3" x14ac:dyDescent="0.25">
      <c r="A203" s="2" t="s">
        <v>0</v>
      </c>
      <c r="B203" t="s">
        <v>353</v>
      </c>
      <c r="C203" t="s">
        <v>28</v>
      </c>
      <c r="D203" s="3">
        <v>45958</v>
      </c>
      <c r="E203" t="s">
        <v>0</v>
      </c>
      <c r="F203" s="2" t="s">
        <v>0</v>
      </c>
      <c r="G203" s="4">
        <v>21776.06</v>
      </c>
      <c r="H203" t="s">
        <v>2</v>
      </c>
      <c r="I203" t="s">
        <v>0</v>
      </c>
      <c r="J203" t="s">
        <v>354</v>
      </c>
      <c r="K203" t="s">
        <v>3</v>
      </c>
      <c r="L203" s="3">
        <v>45958</v>
      </c>
      <c r="M203" t="s">
        <v>30</v>
      </c>
      <c r="N203" t="s">
        <v>0</v>
      </c>
      <c r="O203" t="s">
        <v>0</v>
      </c>
      <c r="P203" t="s">
        <v>4</v>
      </c>
    </row>
    <row r="204" spans="1:16" ht="14" customHeight="1" outlineLevel="3" x14ac:dyDescent="0.25">
      <c r="A204" s="2" t="s">
        <v>0</v>
      </c>
      <c r="B204" t="s">
        <v>355</v>
      </c>
      <c r="C204" t="s">
        <v>28</v>
      </c>
      <c r="D204" s="3">
        <v>45966</v>
      </c>
      <c r="E204" t="s">
        <v>0</v>
      </c>
      <c r="F204" s="2" t="s">
        <v>0</v>
      </c>
      <c r="G204" s="4">
        <v>12865.22</v>
      </c>
      <c r="H204" t="s">
        <v>2</v>
      </c>
      <c r="I204" t="s">
        <v>0</v>
      </c>
      <c r="J204" t="s">
        <v>356</v>
      </c>
      <c r="K204" t="s">
        <v>3</v>
      </c>
      <c r="L204" s="3">
        <v>45966</v>
      </c>
      <c r="M204" t="s">
        <v>30</v>
      </c>
      <c r="N204" t="s">
        <v>0</v>
      </c>
      <c r="O204" t="s">
        <v>0</v>
      </c>
      <c r="P204" t="s">
        <v>4</v>
      </c>
    </row>
    <row r="205" spans="1:16" ht="14" customHeight="1" outlineLevel="3" x14ac:dyDescent="0.25">
      <c r="A205" s="2" t="s">
        <v>0</v>
      </c>
      <c r="B205" t="s">
        <v>357</v>
      </c>
      <c r="C205" t="s">
        <v>28</v>
      </c>
      <c r="D205" s="3">
        <v>46027</v>
      </c>
      <c r="E205" t="s">
        <v>0</v>
      </c>
      <c r="F205" s="2" t="s">
        <v>0</v>
      </c>
      <c r="G205" s="4">
        <v>2887.45</v>
      </c>
      <c r="H205" t="s">
        <v>2</v>
      </c>
      <c r="I205" t="s">
        <v>0</v>
      </c>
      <c r="J205" t="s">
        <v>358</v>
      </c>
      <c r="K205" t="s">
        <v>3</v>
      </c>
      <c r="L205" s="3">
        <v>46027</v>
      </c>
      <c r="M205" t="s">
        <v>30</v>
      </c>
      <c r="N205" t="s">
        <v>0</v>
      </c>
      <c r="O205" t="s">
        <v>0</v>
      </c>
      <c r="P205" t="s">
        <v>4</v>
      </c>
    </row>
    <row r="206" spans="1:16" ht="14" customHeight="1" outlineLevel="3" x14ac:dyDescent="0.25">
      <c r="A206" s="2" t="s">
        <v>0</v>
      </c>
      <c r="B206" t="s">
        <v>359</v>
      </c>
      <c r="C206" t="s">
        <v>28</v>
      </c>
      <c r="D206" s="3">
        <v>46027</v>
      </c>
      <c r="E206" t="s">
        <v>0</v>
      </c>
      <c r="F206" s="2" t="s">
        <v>0</v>
      </c>
      <c r="G206" s="4">
        <v>31527.8</v>
      </c>
      <c r="H206" t="s">
        <v>2</v>
      </c>
      <c r="I206" t="s">
        <v>0</v>
      </c>
      <c r="J206" t="s">
        <v>360</v>
      </c>
      <c r="K206" t="s">
        <v>3</v>
      </c>
      <c r="L206" s="3">
        <v>46027</v>
      </c>
      <c r="M206" t="s">
        <v>30</v>
      </c>
      <c r="N206" t="s">
        <v>0</v>
      </c>
      <c r="O206" t="s">
        <v>0</v>
      </c>
      <c r="P206" t="s">
        <v>4</v>
      </c>
    </row>
    <row r="207" spans="1:16" ht="14" customHeight="1" outlineLevel="3" x14ac:dyDescent="0.25">
      <c r="A207" s="2" t="s">
        <v>0</v>
      </c>
      <c r="B207" t="s">
        <v>361</v>
      </c>
      <c r="C207" t="s">
        <v>28</v>
      </c>
      <c r="D207" s="3">
        <v>46027</v>
      </c>
      <c r="E207" t="s">
        <v>0</v>
      </c>
      <c r="F207" s="2" t="s">
        <v>0</v>
      </c>
      <c r="G207" s="4">
        <v>32731.96</v>
      </c>
      <c r="H207" t="s">
        <v>2</v>
      </c>
      <c r="I207" t="s">
        <v>0</v>
      </c>
      <c r="J207" t="s">
        <v>362</v>
      </c>
      <c r="K207" t="s">
        <v>3</v>
      </c>
      <c r="L207" s="3">
        <v>46027</v>
      </c>
      <c r="M207" t="s">
        <v>30</v>
      </c>
      <c r="N207" t="s">
        <v>0</v>
      </c>
      <c r="O207" t="s">
        <v>0</v>
      </c>
      <c r="P207" t="s">
        <v>4</v>
      </c>
    </row>
    <row r="208" spans="1:16" ht="14" customHeight="1" outlineLevel="3" x14ac:dyDescent="0.25">
      <c r="A208" s="2" t="s">
        <v>0</v>
      </c>
      <c r="B208" t="s">
        <v>363</v>
      </c>
      <c r="C208" t="s">
        <v>28</v>
      </c>
      <c r="D208" s="3">
        <v>46028</v>
      </c>
      <c r="E208" t="s">
        <v>0</v>
      </c>
      <c r="F208" s="2" t="s">
        <v>0</v>
      </c>
      <c r="G208" s="4">
        <v>4993.59</v>
      </c>
      <c r="H208" t="s">
        <v>2</v>
      </c>
      <c r="I208" t="s">
        <v>0</v>
      </c>
      <c r="J208" t="s">
        <v>364</v>
      </c>
      <c r="K208" t="s">
        <v>3</v>
      </c>
      <c r="L208" s="3">
        <v>46028</v>
      </c>
      <c r="M208" t="s">
        <v>30</v>
      </c>
      <c r="N208" t="s">
        <v>0</v>
      </c>
      <c r="O208" t="s">
        <v>0</v>
      </c>
      <c r="P208" t="s">
        <v>4</v>
      </c>
    </row>
    <row r="209" spans="1:16" ht="14" customHeight="1" outlineLevel="3" x14ac:dyDescent="0.25">
      <c r="A209" s="2" t="s">
        <v>0</v>
      </c>
      <c r="B209" t="s">
        <v>365</v>
      </c>
      <c r="C209" t="s">
        <v>28</v>
      </c>
      <c r="D209" s="3">
        <v>46028</v>
      </c>
      <c r="E209" t="s">
        <v>0</v>
      </c>
      <c r="F209" s="2" t="s">
        <v>0</v>
      </c>
      <c r="G209" s="4">
        <v>66298.75</v>
      </c>
      <c r="H209" t="s">
        <v>2</v>
      </c>
      <c r="I209" t="s">
        <v>0</v>
      </c>
      <c r="J209" t="s">
        <v>366</v>
      </c>
      <c r="K209" t="s">
        <v>3</v>
      </c>
      <c r="L209" s="3">
        <v>46028</v>
      </c>
      <c r="M209" t="s">
        <v>30</v>
      </c>
      <c r="N209" t="s">
        <v>0</v>
      </c>
      <c r="O209" t="s">
        <v>0</v>
      </c>
      <c r="P209" t="s">
        <v>4</v>
      </c>
    </row>
    <row r="210" spans="1:16" ht="14" customHeight="1" outlineLevel="3" x14ac:dyDescent="0.25">
      <c r="A210" s="2" t="s">
        <v>0</v>
      </c>
      <c r="B210" t="s">
        <v>367</v>
      </c>
      <c r="C210" t="s">
        <v>28</v>
      </c>
      <c r="D210" s="3">
        <v>46034</v>
      </c>
      <c r="E210" t="s">
        <v>0</v>
      </c>
      <c r="F210" s="2" t="s">
        <v>0</v>
      </c>
      <c r="G210" s="4">
        <v>4087.07</v>
      </c>
      <c r="H210" t="s">
        <v>2</v>
      </c>
      <c r="I210" t="s">
        <v>0</v>
      </c>
      <c r="J210" t="s">
        <v>368</v>
      </c>
      <c r="K210" t="s">
        <v>3</v>
      </c>
      <c r="L210" s="3">
        <v>46034</v>
      </c>
      <c r="M210" t="s">
        <v>30</v>
      </c>
      <c r="N210" t="s">
        <v>0</v>
      </c>
      <c r="O210" t="s">
        <v>0</v>
      </c>
      <c r="P210" t="s">
        <v>4</v>
      </c>
    </row>
    <row r="211" spans="1:16" ht="14" customHeight="1" outlineLevel="3" x14ac:dyDescent="0.25">
      <c r="A211" s="2" t="s">
        <v>0</v>
      </c>
      <c r="B211" t="s">
        <v>369</v>
      </c>
      <c r="C211" t="s">
        <v>28</v>
      </c>
      <c r="D211" s="3">
        <v>46028</v>
      </c>
      <c r="E211" t="s">
        <v>0</v>
      </c>
      <c r="F211" s="2" t="s">
        <v>0</v>
      </c>
      <c r="G211" s="4">
        <v>1519.95</v>
      </c>
      <c r="H211" t="s">
        <v>2</v>
      </c>
      <c r="I211" t="s">
        <v>0</v>
      </c>
      <c r="J211" t="s">
        <v>370</v>
      </c>
      <c r="K211" t="s">
        <v>3</v>
      </c>
      <c r="L211" s="3">
        <v>46028</v>
      </c>
      <c r="M211" t="s">
        <v>30</v>
      </c>
      <c r="N211" t="s">
        <v>0</v>
      </c>
      <c r="O211" t="s">
        <v>0</v>
      </c>
      <c r="P211" t="s">
        <v>4</v>
      </c>
    </row>
    <row r="212" spans="1:16" ht="14" customHeight="1" outlineLevel="3" x14ac:dyDescent="0.25">
      <c r="A212" s="2" t="s">
        <v>0</v>
      </c>
      <c r="B212" t="s">
        <v>371</v>
      </c>
      <c r="C212" t="s">
        <v>28</v>
      </c>
      <c r="D212" s="3">
        <v>46034</v>
      </c>
      <c r="E212" t="s">
        <v>0</v>
      </c>
      <c r="F212" s="2" t="s">
        <v>0</v>
      </c>
      <c r="G212" s="4">
        <v>11455.41</v>
      </c>
      <c r="H212" t="s">
        <v>2</v>
      </c>
      <c r="I212" t="s">
        <v>0</v>
      </c>
      <c r="J212" t="s">
        <v>372</v>
      </c>
      <c r="K212" t="s">
        <v>3</v>
      </c>
      <c r="L212" s="3">
        <v>46034</v>
      </c>
      <c r="M212" t="s">
        <v>30</v>
      </c>
      <c r="N212" t="s">
        <v>0</v>
      </c>
      <c r="O212" t="s">
        <v>0</v>
      </c>
      <c r="P212" t="s">
        <v>4</v>
      </c>
    </row>
    <row r="213" spans="1:16" ht="14" customHeight="1" outlineLevel="3" x14ac:dyDescent="0.25">
      <c r="A213" s="2" t="s">
        <v>0</v>
      </c>
      <c r="B213" t="s">
        <v>373</v>
      </c>
      <c r="C213" t="s">
        <v>28</v>
      </c>
      <c r="D213" s="3">
        <v>46045</v>
      </c>
      <c r="E213" t="s">
        <v>0</v>
      </c>
      <c r="F213" s="2" t="s">
        <v>0</v>
      </c>
      <c r="G213" s="4">
        <v>1519.95</v>
      </c>
      <c r="H213" t="s">
        <v>2</v>
      </c>
      <c r="I213" t="s">
        <v>0</v>
      </c>
      <c r="J213" t="s">
        <v>374</v>
      </c>
      <c r="K213" t="s">
        <v>3</v>
      </c>
      <c r="L213" s="3">
        <v>46045</v>
      </c>
      <c r="M213" t="s">
        <v>30</v>
      </c>
      <c r="N213" t="s">
        <v>0</v>
      </c>
      <c r="O213" t="s">
        <v>0</v>
      </c>
      <c r="P213" t="s">
        <v>4</v>
      </c>
    </row>
    <row r="214" spans="1:16" ht="14" customHeight="1" outlineLevel="3" x14ac:dyDescent="0.25">
      <c r="A214" s="2" t="s">
        <v>0</v>
      </c>
      <c r="B214" t="s">
        <v>375</v>
      </c>
      <c r="C214" t="s">
        <v>28</v>
      </c>
      <c r="D214" s="3">
        <v>46045</v>
      </c>
      <c r="E214" t="s">
        <v>0</v>
      </c>
      <c r="F214" s="2" t="s">
        <v>0</v>
      </c>
      <c r="G214" s="4">
        <v>317.60000000000002</v>
      </c>
      <c r="H214" t="s">
        <v>2</v>
      </c>
      <c r="I214" t="s">
        <v>0</v>
      </c>
      <c r="J214" t="s">
        <v>376</v>
      </c>
      <c r="K214" t="s">
        <v>3</v>
      </c>
      <c r="L214" s="3">
        <v>46045</v>
      </c>
      <c r="M214" t="s">
        <v>30</v>
      </c>
      <c r="N214" t="s">
        <v>0</v>
      </c>
      <c r="O214" t="s">
        <v>0</v>
      </c>
      <c r="P214" t="s">
        <v>4</v>
      </c>
    </row>
    <row r="215" spans="1:16" ht="14" customHeight="1" outlineLevel="3" x14ac:dyDescent="0.25">
      <c r="A215" s="2" t="s">
        <v>0</v>
      </c>
      <c r="B215" t="s">
        <v>377</v>
      </c>
      <c r="C215" t="s">
        <v>28</v>
      </c>
      <c r="D215" s="3">
        <v>46049</v>
      </c>
      <c r="E215" t="s">
        <v>0</v>
      </c>
      <c r="F215" s="2" t="s">
        <v>0</v>
      </c>
      <c r="G215" s="4">
        <v>16023.42</v>
      </c>
      <c r="H215" t="s">
        <v>2</v>
      </c>
      <c r="I215" t="s">
        <v>0</v>
      </c>
      <c r="J215" t="s">
        <v>378</v>
      </c>
      <c r="K215" t="s">
        <v>3</v>
      </c>
      <c r="L215" s="3">
        <v>46049</v>
      </c>
      <c r="M215" t="s">
        <v>30</v>
      </c>
      <c r="N215" t="s">
        <v>0</v>
      </c>
      <c r="O215" t="s">
        <v>0</v>
      </c>
      <c r="P215" t="s">
        <v>4</v>
      </c>
    </row>
    <row r="216" spans="1:16" ht="14" customHeight="1" outlineLevel="3" x14ac:dyDescent="0.25">
      <c r="A216" s="2" t="s">
        <v>0</v>
      </c>
      <c r="B216" t="s">
        <v>379</v>
      </c>
      <c r="C216" t="s">
        <v>1</v>
      </c>
      <c r="D216" s="3">
        <v>45796</v>
      </c>
      <c r="E216" t="s">
        <v>0</v>
      </c>
      <c r="F216" t="s">
        <v>0</v>
      </c>
      <c r="G216" s="4">
        <v>-283762.44</v>
      </c>
      <c r="H216" t="s">
        <v>2</v>
      </c>
      <c r="I216" t="s">
        <v>379</v>
      </c>
      <c r="J216" t="s">
        <v>380</v>
      </c>
      <c r="K216" t="s">
        <v>3</v>
      </c>
      <c r="L216" s="3">
        <v>45796</v>
      </c>
      <c r="M216" t="s">
        <v>0</v>
      </c>
      <c r="N216" t="s">
        <v>0</v>
      </c>
      <c r="O216" t="s">
        <v>0</v>
      </c>
      <c r="P216" t="s">
        <v>4</v>
      </c>
    </row>
    <row r="217" spans="1:16" ht="14" customHeight="1" outlineLevel="3" x14ac:dyDescent="0.25">
      <c r="A217" s="2" t="s">
        <v>0</v>
      </c>
      <c r="B217" t="s">
        <v>381</v>
      </c>
      <c r="C217" t="s">
        <v>28</v>
      </c>
      <c r="D217" s="3">
        <v>45707</v>
      </c>
      <c r="E217" t="s">
        <v>0</v>
      </c>
      <c r="F217" t="s">
        <v>0</v>
      </c>
      <c r="G217" s="4">
        <v>155346.59</v>
      </c>
      <c r="H217" t="s">
        <v>2</v>
      </c>
      <c r="I217" t="s">
        <v>379</v>
      </c>
      <c r="J217" t="s">
        <v>382</v>
      </c>
      <c r="K217" t="s">
        <v>3</v>
      </c>
      <c r="L217" s="3">
        <v>45707</v>
      </c>
      <c r="M217" t="s">
        <v>30</v>
      </c>
      <c r="N217" t="s">
        <v>0</v>
      </c>
      <c r="O217" t="s">
        <v>0</v>
      </c>
      <c r="P217" t="s">
        <v>4</v>
      </c>
    </row>
    <row r="218" spans="1:16" ht="14" customHeight="1" outlineLevel="3" x14ac:dyDescent="0.25">
      <c r="A218" s="2" t="s">
        <v>0</v>
      </c>
      <c r="B218" t="s">
        <v>383</v>
      </c>
      <c r="C218" t="s">
        <v>28</v>
      </c>
      <c r="D218" s="3">
        <v>45713</v>
      </c>
      <c r="E218" t="s">
        <v>0</v>
      </c>
      <c r="F218" t="s">
        <v>0</v>
      </c>
      <c r="G218" s="4">
        <v>40131.199999999997</v>
      </c>
      <c r="H218" t="s">
        <v>2</v>
      </c>
      <c r="I218" t="s">
        <v>379</v>
      </c>
      <c r="J218" t="s">
        <v>116</v>
      </c>
      <c r="K218" t="s">
        <v>3</v>
      </c>
      <c r="L218" s="3">
        <v>45713</v>
      </c>
      <c r="M218" t="s">
        <v>30</v>
      </c>
      <c r="N218" t="s">
        <v>0</v>
      </c>
      <c r="O218" t="s">
        <v>0</v>
      </c>
      <c r="P218" t="s">
        <v>4</v>
      </c>
    </row>
    <row r="219" spans="1:16" ht="14" customHeight="1" outlineLevel="3" x14ac:dyDescent="0.25">
      <c r="A219" s="2" t="s">
        <v>0</v>
      </c>
      <c r="B219" t="s">
        <v>384</v>
      </c>
      <c r="C219" t="s">
        <v>28</v>
      </c>
      <c r="D219" s="3">
        <v>45719</v>
      </c>
      <c r="E219" t="s">
        <v>0</v>
      </c>
      <c r="F219" t="s">
        <v>0</v>
      </c>
      <c r="G219" s="4">
        <v>88284.65</v>
      </c>
      <c r="H219" t="s">
        <v>2</v>
      </c>
      <c r="I219" t="s">
        <v>379</v>
      </c>
      <c r="J219" t="s">
        <v>385</v>
      </c>
      <c r="K219" t="s">
        <v>3</v>
      </c>
      <c r="L219" s="3">
        <v>45719</v>
      </c>
      <c r="M219" t="s">
        <v>30</v>
      </c>
      <c r="N219" t="s">
        <v>0</v>
      </c>
      <c r="O219" t="s">
        <v>0</v>
      </c>
      <c r="P219" t="s">
        <v>4</v>
      </c>
    </row>
    <row r="220" spans="1:16" ht="14" customHeight="1" outlineLevel="3" x14ac:dyDescent="0.25">
      <c r="A220" s="2" t="s">
        <v>0</v>
      </c>
      <c r="B220" t="s">
        <v>386</v>
      </c>
      <c r="C220" t="s">
        <v>387</v>
      </c>
      <c r="D220" s="3">
        <v>45861</v>
      </c>
      <c r="E220" t="s">
        <v>0</v>
      </c>
      <c r="F220" t="s">
        <v>0</v>
      </c>
      <c r="G220" s="4">
        <v>0</v>
      </c>
      <c r="H220" t="s">
        <v>2</v>
      </c>
      <c r="I220" t="s">
        <v>386</v>
      </c>
      <c r="J220" t="s">
        <v>0</v>
      </c>
      <c r="K220" t="s">
        <v>3</v>
      </c>
      <c r="L220" s="3">
        <v>45861</v>
      </c>
      <c r="M220" t="s">
        <v>0</v>
      </c>
      <c r="N220" t="s">
        <v>0</v>
      </c>
      <c r="O220" t="s">
        <v>0</v>
      </c>
      <c r="P220" t="s">
        <v>4</v>
      </c>
    </row>
    <row r="221" spans="1:16" ht="14" customHeight="1" outlineLevel="3" x14ac:dyDescent="0.25">
      <c r="A221" s="2" t="s">
        <v>0</v>
      </c>
      <c r="B221" t="s">
        <v>388</v>
      </c>
      <c r="C221" t="s">
        <v>97</v>
      </c>
      <c r="D221" s="3">
        <v>45791</v>
      </c>
      <c r="E221" t="s">
        <v>0</v>
      </c>
      <c r="F221" t="s">
        <v>0</v>
      </c>
      <c r="G221" s="4">
        <v>-6692.57</v>
      </c>
      <c r="H221" t="s">
        <v>2</v>
      </c>
      <c r="I221" t="s">
        <v>386</v>
      </c>
      <c r="J221" t="s">
        <v>389</v>
      </c>
      <c r="K221" t="s">
        <v>3</v>
      </c>
      <c r="L221" s="3">
        <v>45791</v>
      </c>
      <c r="M221" t="s">
        <v>30</v>
      </c>
      <c r="N221" t="s">
        <v>0</v>
      </c>
      <c r="O221" t="s">
        <v>0</v>
      </c>
      <c r="P221" t="s">
        <v>4</v>
      </c>
    </row>
    <row r="222" spans="1:16" ht="14" customHeight="1" outlineLevel="3" x14ac:dyDescent="0.25">
      <c r="A222" s="2" t="s">
        <v>0</v>
      </c>
      <c r="B222" t="s">
        <v>390</v>
      </c>
      <c r="C222" t="s">
        <v>28</v>
      </c>
      <c r="D222" s="3">
        <v>45730</v>
      </c>
      <c r="E222" t="s">
        <v>0</v>
      </c>
      <c r="F222" t="s">
        <v>0</v>
      </c>
      <c r="G222" s="4">
        <v>6692.57</v>
      </c>
      <c r="H222" t="s">
        <v>2</v>
      </c>
      <c r="I222" t="s">
        <v>386</v>
      </c>
      <c r="J222" t="s">
        <v>131</v>
      </c>
      <c r="K222" t="s">
        <v>3</v>
      </c>
      <c r="L222" s="3">
        <v>45730</v>
      </c>
      <c r="M222" t="s">
        <v>30</v>
      </c>
      <c r="N222" t="s">
        <v>0</v>
      </c>
      <c r="O222" t="s">
        <v>0</v>
      </c>
      <c r="P222" t="s">
        <v>4</v>
      </c>
    </row>
    <row r="223" spans="1:16" ht="14" customHeight="1" outlineLevel="3" x14ac:dyDescent="0.25">
      <c r="A223" s="2" t="s">
        <v>0</v>
      </c>
      <c r="B223" t="s">
        <v>391</v>
      </c>
      <c r="C223" t="s">
        <v>387</v>
      </c>
      <c r="D223" s="3">
        <v>45861</v>
      </c>
      <c r="E223" t="s">
        <v>0</v>
      </c>
      <c r="F223" t="s">
        <v>0</v>
      </c>
      <c r="G223" s="4">
        <v>156459.28</v>
      </c>
      <c r="H223" t="s">
        <v>2</v>
      </c>
      <c r="I223" t="s">
        <v>391</v>
      </c>
      <c r="J223" t="s">
        <v>0</v>
      </c>
      <c r="K223" t="s">
        <v>3</v>
      </c>
      <c r="L223" s="3">
        <v>45861</v>
      </c>
      <c r="M223" t="s">
        <v>0</v>
      </c>
      <c r="N223" t="s">
        <v>0</v>
      </c>
      <c r="O223" t="s">
        <v>0</v>
      </c>
      <c r="P223" t="s">
        <v>4</v>
      </c>
    </row>
    <row r="224" spans="1:16" ht="14" customHeight="1" outlineLevel="3" x14ac:dyDescent="0.25">
      <c r="A224" s="2" t="s">
        <v>0</v>
      </c>
      <c r="B224" t="s">
        <v>391</v>
      </c>
      <c r="C224" t="s">
        <v>387</v>
      </c>
      <c r="D224" s="3">
        <v>45861</v>
      </c>
      <c r="E224" t="s">
        <v>0</v>
      </c>
      <c r="F224" t="s">
        <v>0</v>
      </c>
      <c r="G224" s="4">
        <v>-156459.28</v>
      </c>
      <c r="H224" t="s">
        <v>2</v>
      </c>
      <c r="I224" t="s">
        <v>391</v>
      </c>
      <c r="J224" t="s">
        <v>0</v>
      </c>
      <c r="K224" t="s">
        <v>3</v>
      </c>
      <c r="L224" s="3">
        <v>45861</v>
      </c>
      <c r="M224" t="s">
        <v>0</v>
      </c>
      <c r="N224" t="s">
        <v>0</v>
      </c>
      <c r="O224" t="s">
        <v>0</v>
      </c>
      <c r="P224" t="s">
        <v>4</v>
      </c>
    </row>
    <row r="225" spans="1:16" ht="14" customHeight="1" outlineLevel="3" x14ac:dyDescent="0.25">
      <c r="A225" s="2" t="s">
        <v>0</v>
      </c>
      <c r="B225" t="s">
        <v>392</v>
      </c>
      <c r="C225" t="s">
        <v>97</v>
      </c>
      <c r="D225" s="3">
        <v>45791</v>
      </c>
      <c r="E225" t="s">
        <v>0</v>
      </c>
      <c r="F225" t="s">
        <v>0</v>
      </c>
      <c r="G225" s="4">
        <v>-156459.28</v>
      </c>
      <c r="H225" t="s">
        <v>2</v>
      </c>
      <c r="I225" t="s">
        <v>391</v>
      </c>
      <c r="J225" t="s">
        <v>393</v>
      </c>
      <c r="K225" t="s">
        <v>3</v>
      </c>
      <c r="L225" s="3">
        <v>45791</v>
      </c>
      <c r="M225" t="s">
        <v>30</v>
      </c>
      <c r="N225" t="s">
        <v>0</v>
      </c>
      <c r="O225" t="s">
        <v>0</v>
      </c>
      <c r="P225" t="s">
        <v>4</v>
      </c>
    </row>
    <row r="226" spans="1:16" ht="14" customHeight="1" outlineLevel="3" x14ac:dyDescent="0.25">
      <c r="A226" s="2" t="s">
        <v>0</v>
      </c>
      <c r="B226" t="s">
        <v>394</v>
      </c>
      <c r="C226" t="s">
        <v>28</v>
      </c>
      <c r="D226" s="3">
        <v>45750</v>
      </c>
      <c r="E226" t="s">
        <v>0</v>
      </c>
      <c r="F226" t="s">
        <v>0</v>
      </c>
      <c r="G226" s="4">
        <v>156459.28</v>
      </c>
      <c r="H226" t="s">
        <v>2</v>
      </c>
      <c r="I226" t="s">
        <v>391</v>
      </c>
      <c r="J226" t="s">
        <v>114</v>
      </c>
      <c r="K226" t="s">
        <v>3</v>
      </c>
      <c r="L226" s="3">
        <v>45750</v>
      </c>
      <c r="M226" t="s">
        <v>30</v>
      </c>
      <c r="N226" t="s">
        <v>0</v>
      </c>
      <c r="O226" t="s">
        <v>0</v>
      </c>
      <c r="P226" t="s">
        <v>4</v>
      </c>
    </row>
    <row r="227" spans="1:16" ht="14" customHeight="1" outlineLevel="3" x14ac:dyDescent="0.25">
      <c r="A227" s="2" t="s">
        <v>0</v>
      </c>
      <c r="B227" t="s">
        <v>395</v>
      </c>
      <c r="C227" t="s">
        <v>387</v>
      </c>
      <c r="D227" s="3">
        <v>45861</v>
      </c>
      <c r="E227" t="s">
        <v>0</v>
      </c>
      <c r="F227" t="s">
        <v>0</v>
      </c>
      <c r="G227" s="4">
        <v>156459.28</v>
      </c>
      <c r="H227" t="s">
        <v>2</v>
      </c>
      <c r="I227" t="s">
        <v>395</v>
      </c>
      <c r="J227" t="s">
        <v>0</v>
      </c>
      <c r="K227" t="s">
        <v>3</v>
      </c>
      <c r="L227" s="3">
        <v>45861</v>
      </c>
      <c r="M227" t="s">
        <v>0</v>
      </c>
      <c r="N227" t="s">
        <v>0</v>
      </c>
      <c r="O227" t="s">
        <v>0</v>
      </c>
      <c r="P227" t="s">
        <v>4</v>
      </c>
    </row>
    <row r="228" spans="1:16" ht="14" customHeight="1" outlineLevel="3" x14ac:dyDescent="0.25">
      <c r="A228" s="2" t="s">
        <v>0</v>
      </c>
      <c r="B228" t="s">
        <v>395</v>
      </c>
      <c r="C228" t="s">
        <v>387</v>
      </c>
      <c r="D228" s="3">
        <v>45861</v>
      </c>
      <c r="E228" t="s">
        <v>0</v>
      </c>
      <c r="F228" t="s">
        <v>0</v>
      </c>
      <c r="G228" s="4">
        <v>-156459.28</v>
      </c>
      <c r="H228" t="s">
        <v>2</v>
      </c>
      <c r="I228" t="s">
        <v>395</v>
      </c>
      <c r="J228" t="s">
        <v>0</v>
      </c>
      <c r="K228" t="s">
        <v>3</v>
      </c>
      <c r="L228" s="3">
        <v>45861</v>
      </c>
      <c r="M228" t="s">
        <v>0</v>
      </c>
      <c r="N228" t="s">
        <v>0</v>
      </c>
      <c r="O228" t="s">
        <v>0</v>
      </c>
      <c r="P228" t="s">
        <v>4</v>
      </c>
    </row>
    <row r="229" spans="1:16" ht="14" customHeight="1" outlineLevel="3" x14ac:dyDescent="0.25">
      <c r="A229" s="2" t="s">
        <v>0</v>
      </c>
      <c r="B229" t="s">
        <v>396</v>
      </c>
      <c r="C229" t="s">
        <v>97</v>
      </c>
      <c r="D229" s="3">
        <v>45791</v>
      </c>
      <c r="E229" t="s">
        <v>0</v>
      </c>
      <c r="F229" t="s">
        <v>0</v>
      </c>
      <c r="G229" s="4">
        <v>-156459.28</v>
      </c>
      <c r="H229" t="s">
        <v>2</v>
      </c>
      <c r="I229" t="s">
        <v>395</v>
      </c>
      <c r="J229" t="s">
        <v>397</v>
      </c>
      <c r="K229" t="s">
        <v>3</v>
      </c>
      <c r="L229" s="3">
        <v>45791</v>
      </c>
      <c r="M229" t="s">
        <v>30</v>
      </c>
      <c r="N229" t="s">
        <v>0</v>
      </c>
      <c r="O229" t="s">
        <v>0</v>
      </c>
      <c r="P229" t="s">
        <v>4</v>
      </c>
    </row>
    <row r="230" spans="1:16" ht="14" customHeight="1" outlineLevel="3" x14ac:dyDescent="0.25">
      <c r="A230" s="2" t="s">
        <v>0</v>
      </c>
      <c r="B230" t="s">
        <v>398</v>
      </c>
      <c r="C230" t="s">
        <v>28</v>
      </c>
      <c r="D230" s="3">
        <v>45750</v>
      </c>
      <c r="E230" t="s">
        <v>0</v>
      </c>
      <c r="F230" t="s">
        <v>0</v>
      </c>
      <c r="G230" s="4">
        <v>156459.28</v>
      </c>
      <c r="H230" t="s">
        <v>2</v>
      </c>
      <c r="I230" t="s">
        <v>395</v>
      </c>
      <c r="J230" t="s">
        <v>112</v>
      </c>
      <c r="K230" t="s">
        <v>3</v>
      </c>
      <c r="L230" s="3">
        <v>45750</v>
      </c>
      <c r="M230" t="s">
        <v>30</v>
      </c>
      <c r="N230" t="s">
        <v>0</v>
      </c>
      <c r="O230" t="s">
        <v>0</v>
      </c>
      <c r="P230" t="s">
        <v>4</v>
      </c>
    </row>
    <row r="231" spans="1:16" ht="14" customHeight="1" outlineLevel="3" x14ac:dyDescent="0.25">
      <c r="A231" s="2" t="s">
        <v>0</v>
      </c>
      <c r="B231" t="s">
        <v>399</v>
      </c>
      <c r="C231" t="s">
        <v>387</v>
      </c>
      <c r="D231" s="3">
        <v>45861</v>
      </c>
      <c r="E231" t="s">
        <v>0</v>
      </c>
      <c r="F231" t="s">
        <v>0</v>
      </c>
      <c r="G231" s="4">
        <v>0</v>
      </c>
      <c r="H231" t="s">
        <v>2</v>
      </c>
      <c r="I231" t="s">
        <v>399</v>
      </c>
      <c r="J231" t="s">
        <v>0</v>
      </c>
      <c r="K231" t="s">
        <v>3</v>
      </c>
      <c r="L231" s="3">
        <v>45861</v>
      </c>
      <c r="M231" t="s">
        <v>0</v>
      </c>
      <c r="N231" t="s">
        <v>0</v>
      </c>
      <c r="O231" t="s">
        <v>0</v>
      </c>
      <c r="P231" t="s">
        <v>4</v>
      </c>
    </row>
    <row r="232" spans="1:16" ht="14" customHeight="1" outlineLevel="3" x14ac:dyDescent="0.25">
      <c r="A232" s="2" t="s">
        <v>0</v>
      </c>
      <c r="B232" t="s">
        <v>400</v>
      </c>
      <c r="C232" t="s">
        <v>97</v>
      </c>
      <c r="D232" s="3">
        <v>45799</v>
      </c>
      <c r="E232" t="s">
        <v>0</v>
      </c>
      <c r="F232" t="s">
        <v>0</v>
      </c>
      <c r="G232" s="4">
        <v>-31978.67</v>
      </c>
      <c r="H232" t="s">
        <v>2</v>
      </c>
      <c r="I232" t="s">
        <v>399</v>
      </c>
      <c r="J232" t="s">
        <v>401</v>
      </c>
      <c r="K232" t="s">
        <v>3</v>
      </c>
      <c r="L232" s="3">
        <v>45799</v>
      </c>
      <c r="M232" t="s">
        <v>30</v>
      </c>
      <c r="N232" t="s">
        <v>0</v>
      </c>
      <c r="O232" t="s">
        <v>0</v>
      </c>
      <c r="P232" t="s">
        <v>4</v>
      </c>
    </row>
    <row r="233" spans="1:16" ht="14" customHeight="1" outlineLevel="3" x14ac:dyDescent="0.25">
      <c r="A233" s="2" t="s">
        <v>0</v>
      </c>
      <c r="B233" t="s">
        <v>402</v>
      </c>
      <c r="C233" t="s">
        <v>28</v>
      </c>
      <c r="D233" s="3">
        <v>45735</v>
      </c>
      <c r="E233" t="s">
        <v>0</v>
      </c>
      <c r="F233" t="s">
        <v>0</v>
      </c>
      <c r="G233" s="4">
        <v>31978.67</v>
      </c>
      <c r="H233" t="s">
        <v>2</v>
      </c>
      <c r="I233" t="s">
        <v>399</v>
      </c>
      <c r="J233" t="s">
        <v>403</v>
      </c>
      <c r="K233" t="s">
        <v>3</v>
      </c>
      <c r="L233" s="3">
        <v>45735</v>
      </c>
      <c r="M233" t="s">
        <v>404</v>
      </c>
      <c r="N233" t="s">
        <v>0</v>
      </c>
      <c r="O233" t="s">
        <v>0</v>
      </c>
      <c r="P233" t="s">
        <v>4</v>
      </c>
    </row>
    <row r="234" spans="1:16" ht="14" customHeight="1" outlineLevel="3" x14ac:dyDescent="0.25">
      <c r="A234" s="2" t="s">
        <v>0</v>
      </c>
      <c r="B234" t="s">
        <v>405</v>
      </c>
      <c r="C234" t="s">
        <v>387</v>
      </c>
      <c r="D234" s="3">
        <v>45861</v>
      </c>
      <c r="E234" t="s">
        <v>0</v>
      </c>
      <c r="F234" t="s">
        <v>0</v>
      </c>
      <c r="G234" s="4">
        <v>0</v>
      </c>
      <c r="H234" t="s">
        <v>2</v>
      </c>
      <c r="I234" t="s">
        <v>405</v>
      </c>
      <c r="J234" t="s">
        <v>0</v>
      </c>
      <c r="K234" t="s">
        <v>3</v>
      </c>
      <c r="L234" s="3">
        <v>45861</v>
      </c>
      <c r="M234" t="s">
        <v>0</v>
      </c>
      <c r="N234" t="s">
        <v>0</v>
      </c>
      <c r="O234" t="s">
        <v>0</v>
      </c>
      <c r="P234" t="s">
        <v>4</v>
      </c>
    </row>
    <row r="235" spans="1:16" ht="14" customHeight="1" outlineLevel="3" x14ac:dyDescent="0.25">
      <c r="A235" s="2" t="s">
        <v>0</v>
      </c>
      <c r="B235" t="s">
        <v>406</v>
      </c>
      <c r="C235" t="s">
        <v>97</v>
      </c>
      <c r="D235" s="3">
        <v>45799</v>
      </c>
      <c r="E235" t="s">
        <v>0</v>
      </c>
      <c r="F235" t="s">
        <v>0</v>
      </c>
      <c r="G235" s="4">
        <v>-16550.78</v>
      </c>
      <c r="H235" t="s">
        <v>2</v>
      </c>
      <c r="I235" t="s">
        <v>405</v>
      </c>
      <c r="J235" t="s">
        <v>407</v>
      </c>
      <c r="K235" t="s">
        <v>3</v>
      </c>
      <c r="L235" s="3">
        <v>45799</v>
      </c>
      <c r="M235" t="s">
        <v>30</v>
      </c>
      <c r="N235" t="s">
        <v>0</v>
      </c>
      <c r="O235" t="s">
        <v>0</v>
      </c>
      <c r="P235" t="s">
        <v>4</v>
      </c>
    </row>
    <row r="236" spans="1:16" ht="14" customHeight="1" outlineLevel="3" x14ac:dyDescent="0.25">
      <c r="A236" s="2" t="s">
        <v>0</v>
      </c>
      <c r="B236" t="s">
        <v>408</v>
      </c>
      <c r="C236" t="s">
        <v>28</v>
      </c>
      <c r="D236" s="3">
        <v>45770</v>
      </c>
      <c r="E236" t="s">
        <v>0</v>
      </c>
      <c r="F236" t="s">
        <v>0</v>
      </c>
      <c r="G236" s="4">
        <v>16550.78</v>
      </c>
      <c r="H236" t="s">
        <v>2</v>
      </c>
      <c r="I236" t="s">
        <v>405</v>
      </c>
      <c r="J236" t="s">
        <v>272</v>
      </c>
      <c r="K236" t="s">
        <v>3</v>
      </c>
      <c r="L236" s="3">
        <v>45770</v>
      </c>
      <c r="M236" t="s">
        <v>30</v>
      </c>
      <c r="N236" t="s">
        <v>0</v>
      </c>
      <c r="O236" t="s">
        <v>0</v>
      </c>
      <c r="P236" t="s">
        <v>4</v>
      </c>
    </row>
    <row r="237" spans="1:16" ht="14" customHeight="1" outlineLevel="3" x14ac:dyDescent="0.25">
      <c r="A237" s="2" t="s">
        <v>0</v>
      </c>
      <c r="B237" t="s">
        <v>409</v>
      </c>
      <c r="C237" t="s">
        <v>387</v>
      </c>
      <c r="D237" s="3">
        <v>45975</v>
      </c>
      <c r="E237" t="s">
        <v>0</v>
      </c>
      <c r="F237" t="s">
        <v>0</v>
      </c>
      <c r="G237" s="4">
        <v>0</v>
      </c>
      <c r="H237" t="s">
        <v>2</v>
      </c>
      <c r="I237" t="s">
        <v>409</v>
      </c>
      <c r="J237" t="s">
        <v>0</v>
      </c>
      <c r="K237" t="s">
        <v>3</v>
      </c>
      <c r="L237" s="3">
        <v>45975</v>
      </c>
      <c r="M237" t="s">
        <v>0</v>
      </c>
      <c r="N237" t="s">
        <v>0</v>
      </c>
      <c r="O237" t="s">
        <v>0</v>
      </c>
      <c r="P237" t="s">
        <v>4</v>
      </c>
    </row>
    <row r="238" spans="1:16" ht="14" customHeight="1" outlineLevel="3" x14ac:dyDescent="0.25">
      <c r="A238" s="2" t="s">
        <v>0</v>
      </c>
      <c r="B238" t="s">
        <v>410</v>
      </c>
      <c r="C238" t="s">
        <v>28</v>
      </c>
      <c r="D238" s="3">
        <v>45935</v>
      </c>
      <c r="E238" t="s">
        <v>0</v>
      </c>
      <c r="F238" t="s">
        <v>0</v>
      </c>
      <c r="G238" s="4">
        <v>13764.82</v>
      </c>
      <c r="H238" t="s">
        <v>2</v>
      </c>
      <c r="I238" t="s">
        <v>409</v>
      </c>
      <c r="J238" t="s">
        <v>46</v>
      </c>
      <c r="K238" t="s">
        <v>3</v>
      </c>
      <c r="L238" s="3">
        <v>45935</v>
      </c>
      <c r="M238" t="s">
        <v>30</v>
      </c>
      <c r="N238" t="s">
        <v>0</v>
      </c>
      <c r="O238" t="s">
        <v>0</v>
      </c>
      <c r="P238" t="s">
        <v>4</v>
      </c>
    </row>
    <row r="239" spans="1:16" ht="14" customHeight="1" outlineLevel="3" x14ac:dyDescent="0.25">
      <c r="A239" s="2" t="s">
        <v>0</v>
      </c>
      <c r="B239" t="s">
        <v>411</v>
      </c>
      <c r="C239" t="s">
        <v>97</v>
      </c>
      <c r="D239" s="3">
        <v>45947</v>
      </c>
      <c r="E239" t="s">
        <v>0</v>
      </c>
      <c r="F239" t="s">
        <v>0</v>
      </c>
      <c r="G239" s="4">
        <v>-13764.82</v>
      </c>
      <c r="H239" t="s">
        <v>2</v>
      </c>
      <c r="I239" t="s">
        <v>409</v>
      </c>
      <c r="J239" t="s">
        <v>412</v>
      </c>
      <c r="K239" t="s">
        <v>3</v>
      </c>
      <c r="L239" s="3">
        <v>45947</v>
      </c>
      <c r="M239" t="s">
        <v>30</v>
      </c>
      <c r="N239" t="s">
        <v>0</v>
      </c>
      <c r="O239" t="s">
        <v>0</v>
      </c>
      <c r="P239" t="s">
        <v>4</v>
      </c>
    </row>
    <row r="240" spans="1:16" ht="14" customHeight="1" outlineLevel="3" x14ac:dyDescent="0.25">
      <c r="A240" s="2" t="s">
        <v>0</v>
      </c>
      <c r="B240" t="s">
        <v>413</v>
      </c>
      <c r="C240" t="s">
        <v>97</v>
      </c>
      <c r="D240" s="3">
        <v>45862</v>
      </c>
      <c r="E240" t="s">
        <v>0</v>
      </c>
      <c r="F240" t="s">
        <v>0</v>
      </c>
      <c r="G240" s="4">
        <v>-2515.02</v>
      </c>
      <c r="H240" t="s">
        <v>2</v>
      </c>
      <c r="I240" t="s">
        <v>409</v>
      </c>
      <c r="J240" t="s">
        <v>414</v>
      </c>
      <c r="K240" t="s">
        <v>3</v>
      </c>
      <c r="L240" s="3">
        <v>45862</v>
      </c>
      <c r="M240" t="s">
        <v>30</v>
      </c>
      <c r="N240" t="s">
        <v>0</v>
      </c>
      <c r="O240" t="s">
        <v>0</v>
      </c>
      <c r="P240" t="s">
        <v>4</v>
      </c>
    </row>
    <row r="241" spans="1:19" ht="14" customHeight="1" outlineLevel="3" x14ac:dyDescent="0.25">
      <c r="A241" s="2" t="s">
        <v>0</v>
      </c>
      <c r="B241" t="s">
        <v>415</v>
      </c>
      <c r="C241" t="s">
        <v>97</v>
      </c>
      <c r="D241" s="3">
        <v>45873</v>
      </c>
      <c r="E241" t="s">
        <v>0</v>
      </c>
      <c r="F241" t="s">
        <v>0</v>
      </c>
      <c r="G241" s="4">
        <v>-20570.5</v>
      </c>
      <c r="H241" t="s">
        <v>2</v>
      </c>
      <c r="I241" t="s">
        <v>409</v>
      </c>
      <c r="J241" t="s">
        <v>416</v>
      </c>
      <c r="K241" t="s">
        <v>3</v>
      </c>
      <c r="L241" s="3">
        <v>45873</v>
      </c>
      <c r="M241" t="s">
        <v>30</v>
      </c>
      <c r="N241" t="s">
        <v>0</v>
      </c>
      <c r="O241" t="s">
        <v>0</v>
      </c>
      <c r="P241" t="s">
        <v>4</v>
      </c>
    </row>
    <row r="242" spans="1:19" ht="14" customHeight="1" outlineLevel="3" x14ac:dyDescent="0.25">
      <c r="A242" s="2" t="s">
        <v>0</v>
      </c>
      <c r="B242" t="s">
        <v>417</v>
      </c>
      <c r="C242" t="s">
        <v>28</v>
      </c>
      <c r="D242" s="3">
        <v>45797</v>
      </c>
      <c r="E242" t="s">
        <v>0</v>
      </c>
      <c r="F242" t="s">
        <v>0</v>
      </c>
      <c r="G242" s="4">
        <v>2515.02</v>
      </c>
      <c r="H242" t="s">
        <v>2</v>
      </c>
      <c r="I242" t="s">
        <v>409</v>
      </c>
      <c r="J242" t="s">
        <v>316</v>
      </c>
      <c r="K242" t="s">
        <v>3</v>
      </c>
      <c r="L242" s="3">
        <v>45797</v>
      </c>
      <c r="M242" t="s">
        <v>30</v>
      </c>
      <c r="N242" t="s">
        <v>0</v>
      </c>
      <c r="O242" t="s">
        <v>0</v>
      </c>
      <c r="P242" t="s">
        <v>4</v>
      </c>
    </row>
    <row r="243" spans="1:19" ht="14" customHeight="1" outlineLevel="3" x14ac:dyDescent="0.25">
      <c r="A243" s="2" t="s">
        <v>0</v>
      </c>
      <c r="B243" t="s">
        <v>418</v>
      </c>
      <c r="C243" t="s">
        <v>28</v>
      </c>
      <c r="D243" s="3">
        <v>45856</v>
      </c>
      <c r="E243" t="s">
        <v>0</v>
      </c>
      <c r="F243" t="s">
        <v>0</v>
      </c>
      <c r="G243" s="4">
        <v>20570.5</v>
      </c>
      <c r="H243" t="s">
        <v>2</v>
      </c>
      <c r="I243" t="s">
        <v>409</v>
      </c>
      <c r="J243" t="s">
        <v>308</v>
      </c>
      <c r="K243" t="s">
        <v>3</v>
      </c>
      <c r="L243" s="3">
        <v>45856</v>
      </c>
      <c r="M243" t="s">
        <v>30</v>
      </c>
      <c r="N243" t="s">
        <v>0</v>
      </c>
      <c r="O243" t="s">
        <v>0</v>
      </c>
      <c r="P243" t="s">
        <v>4</v>
      </c>
    </row>
    <row r="244" spans="1:19" ht="14" customHeight="1" outlineLevel="3" x14ac:dyDescent="0.25">
      <c r="A244" s="2" t="s">
        <v>0</v>
      </c>
      <c r="B244" t="s">
        <v>419</v>
      </c>
      <c r="C244" t="s">
        <v>1</v>
      </c>
      <c r="D244" s="3">
        <v>45959</v>
      </c>
      <c r="E244" t="s">
        <v>0</v>
      </c>
      <c r="F244" t="s">
        <v>0</v>
      </c>
      <c r="G244" s="4">
        <v>-1000000</v>
      </c>
      <c r="H244" t="s">
        <v>2</v>
      </c>
      <c r="I244" t="s">
        <v>420</v>
      </c>
      <c r="J244" t="s">
        <v>0</v>
      </c>
      <c r="K244" t="s">
        <v>3</v>
      </c>
      <c r="L244" s="3">
        <v>45959</v>
      </c>
      <c r="M244" t="s">
        <v>0</v>
      </c>
      <c r="N244" t="s">
        <v>0</v>
      </c>
      <c r="O244" t="s">
        <v>0</v>
      </c>
      <c r="P244" t="s">
        <v>4</v>
      </c>
    </row>
    <row r="245" spans="1:19" ht="14" customHeight="1" outlineLevel="3" x14ac:dyDescent="0.25">
      <c r="A245" s="2" t="s">
        <v>0</v>
      </c>
      <c r="B245" t="s">
        <v>420</v>
      </c>
      <c r="C245" t="s">
        <v>1</v>
      </c>
      <c r="D245" s="3">
        <v>45959</v>
      </c>
      <c r="E245" t="s">
        <v>0</v>
      </c>
      <c r="F245" t="s">
        <v>0</v>
      </c>
      <c r="G245" s="4">
        <v>1000000</v>
      </c>
      <c r="H245" t="s">
        <v>2</v>
      </c>
      <c r="I245" t="s">
        <v>420</v>
      </c>
      <c r="J245" t="s">
        <v>0</v>
      </c>
      <c r="K245" t="s">
        <v>3</v>
      </c>
      <c r="L245" s="3">
        <v>45986</v>
      </c>
      <c r="M245" t="s">
        <v>0</v>
      </c>
      <c r="N245" t="s">
        <v>0</v>
      </c>
      <c r="O245" t="s">
        <v>0</v>
      </c>
      <c r="P245" t="s">
        <v>4</v>
      </c>
    </row>
    <row r="246" spans="1:19" ht="14" customHeight="1" outlineLevel="3" x14ac:dyDescent="0.25">
      <c r="A246" s="2" t="s">
        <v>0</v>
      </c>
      <c r="B246" t="s">
        <v>421</v>
      </c>
      <c r="C246" t="s">
        <v>1</v>
      </c>
      <c r="D246" s="3">
        <v>45992</v>
      </c>
      <c r="E246" t="s">
        <v>0</v>
      </c>
      <c r="F246" t="s">
        <v>0</v>
      </c>
      <c r="G246" s="4">
        <v>-100000</v>
      </c>
      <c r="H246" t="s">
        <v>2</v>
      </c>
      <c r="I246" t="s">
        <v>422</v>
      </c>
      <c r="J246" t="s">
        <v>0</v>
      </c>
      <c r="K246" t="s">
        <v>3</v>
      </c>
      <c r="L246" s="3">
        <v>45992</v>
      </c>
      <c r="M246" t="s">
        <v>0</v>
      </c>
      <c r="N246" t="s">
        <v>0</v>
      </c>
      <c r="O246" t="s">
        <v>0</v>
      </c>
      <c r="P246" t="s">
        <v>4</v>
      </c>
    </row>
    <row r="247" spans="1:19" ht="14" customHeight="1" outlineLevel="3" x14ac:dyDescent="0.25">
      <c r="A247" s="2" t="s">
        <v>0</v>
      </c>
      <c r="B247" t="s">
        <v>422</v>
      </c>
      <c r="C247" t="s">
        <v>1</v>
      </c>
      <c r="D247" s="3">
        <v>45992</v>
      </c>
      <c r="E247" t="s">
        <v>0</v>
      </c>
      <c r="F247" t="s">
        <v>0</v>
      </c>
      <c r="G247" s="4">
        <v>100000</v>
      </c>
      <c r="H247" t="s">
        <v>2</v>
      </c>
      <c r="I247" t="s">
        <v>422</v>
      </c>
      <c r="J247" t="s">
        <v>0</v>
      </c>
      <c r="K247" t="s">
        <v>3</v>
      </c>
      <c r="L247" s="3">
        <v>45992</v>
      </c>
      <c r="M247" t="s">
        <v>0</v>
      </c>
      <c r="N247" t="s">
        <v>0</v>
      </c>
      <c r="O247" t="s">
        <v>0</v>
      </c>
      <c r="P247" t="s">
        <v>4</v>
      </c>
    </row>
    <row r="248" spans="1:19" ht="14" customHeight="1" outlineLevel="3" x14ac:dyDescent="0.25">
      <c r="A248" s="2" t="s">
        <v>0</v>
      </c>
      <c r="B248" t="s">
        <v>423</v>
      </c>
      <c r="C248" t="s">
        <v>424</v>
      </c>
      <c r="D248" s="3">
        <v>45758</v>
      </c>
      <c r="E248" t="s">
        <v>0</v>
      </c>
      <c r="F248" t="s">
        <v>0</v>
      </c>
      <c r="G248" s="4">
        <v>1</v>
      </c>
      <c r="H248" t="s">
        <v>2</v>
      </c>
      <c r="I248" t="s">
        <v>423</v>
      </c>
      <c r="J248" t="s">
        <v>425</v>
      </c>
      <c r="K248" t="s">
        <v>3</v>
      </c>
      <c r="L248" s="3">
        <v>45758</v>
      </c>
      <c r="M248" t="s">
        <v>0</v>
      </c>
      <c r="N248" t="s">
        <v>0</v>
      </c>
      <c r="O248" t="s">
        <v>0</v>
      </c>
      <c r="P248" t="s">
        <v>4</v>
      </c>
    </row>
    <row r="249" spans="1:19" ht="14" customHeight="1" outlineLevel="3" x14ac:dyDescent="0.25">
      <c r="A249" s="2" t="s">
        <v>0</v>
      </c>
      <c r="B249" t="s">
        <v>423</v>
      </c>
      <c r="C249" t="s">
        <v>424</v>
      </c>
      <c r="D249" s="3">
        <v>45758</v>
      </c>
      <c r="E249" t="s">
        <v>0</v>
      </c>
      <c r="F249" t="s">
        <v>0</v>
      </c>
      <c r="G249" s="4">
        <v>-1</v>
      </c>
      <c r="H249" t="s">
        <v>2</v>
      </c>
      <c r="I249" t="s">
        <v>423</v>
      </c>
      <c r="J249" t="s">
        <v>425</v>
      </c>
      <c r="K249" t="s">
        <v>3</v>
      </c>
      <c r="L249" s="3">
        <v>45758</v>
      </c>
      <c r="M249" t="s">
        <v>0</v>
      </c>
      <c r="N249" t="s">
        <v>0</v>
      </c>
      <c r="O249" t="s">
        <v>0</v>
      </c>
      <c r="P249" t="s">
        <v>4</v>
      </c>
    </row>
    <row r="250" spans="1:19" ht="14" customHeight="1" outlineLevel="3" x14ac:dyDescent="0.25">
      <c r="A250" s="2" t="s">
        <v>0</v>
      </c>
      <c r="B250" t="s">
        <v>426</v>
      </c>
      <c r="C250" t="s">
        <v>427</v>
      </c>
      <c r="D250" s="3">
        <v>45701</v>
      </c>
      <c r="E250" t="s">
        <v>0</v>
      </c>
      <c r="F250" t="s">
        <v>0</v>
      </c>
      <c r="G250" s="4">
        <v>-1</v>
      </c>
      <c r="H250" t="s">
        <v>2</v>
      </c>
      <c r="I250" t="s">
        <v>423</v>
      </c>
      <c r="J250" t="s">
        <v>425</v>
      </c>
      <c r="K250" t="s">
        <v>3</v>
      </c>
      <c r="L250" s="3">
        <v>45701</v>
      </c>
      <c r="M250" t="s">
        <v>0</v>
      </c>
      <c r="N250" t="s">
        <v>0</v>
      </c>
      <c r="O250" t="s">
        <v>0</v>
      </c>
      <c r="P250" t="s">
        <v>4</v>
      </c>
    </row>
    <row r="251" spans="1:19" ht="14" customHeight="1" outlineLevel="3" x14ac:dyDescent="0.25">
      <c r="A251" s="2" t="s">
        <v>0</v>
      </c>
      <c r="B251" t="s">
        <v>428</v>
      </c>
      <c r="C251" t="s">
        <v>427</v>
      </c>
      <c r="D251" s="3">
        <v>45701</v>
      </c>
      <c r="E251" t="s">
        <v>0</v>
      </c>
      <c r="F251" t="s">
        <v>0</v>
      </c>
      <c r="G251" s="4">
        <v>1</v>
      </c>
      <c r="H251" t="s">
        <v>2</v>
      </c>
      <c r="I251" t="s">
        <v>423</v>
      </c>
      <c r="J251" t="s">
        <v>425</v>
      </c>
      <c r="K251" t="s">
        <v>3</v>
      </c>
      <c r="L251" s="3">
        <v>45744</v>
      </c>
      <c r="M251" t="s">
        <v>0</v>
      </c>
      <c r="N251" t="s">
        <v>0</v>
      </c>
      <c r="O251" t="s">
        <v>0</v>
      </c>
      <c r="P251" t="s">
        <v>4</v>
      </c>
    </row>
    <row r="252" spans="1:19" s="41" customFormat="1" ht="14" customHeight="1" outlineLevel="3" x14ac:dyDescent="0.25">
      <c r="A252" s="102"/>
      <c r="D252" s="103"/>
      <c r="G252" s="104"/>
      <c r="L252" s="103"/>
      <c r="S252" s="42"/>
    </row>
    <row r="253" spans="1:19" s="106" customFormat="1" ht="14" customHeight="1" outlineLevel="2" x14ac:dyDescent="0.25">
      <c r="A253" s="105"/>
      <c r="D253" s="107"/>
      <c r="G253" s="108"/>
      <c r="L253" s="107"/>
      <c r="S253" s="109"/>
    </row>
    <row r="254" spans="1:19" outlineLevel="1" x14ac:dyDescent="0.25">
      <c r="A254" s="99" t="s">
        <v>429</v>
      </c>
      <c r="B254" s="99" t="s">
        <v>0</v>
      </c>
      <c r="C254" s="99" t="s">
        <v>0</v>
      </c>
      <c r="D254" s="100"/>
      <c r="E254" s="99" t="s">
        <v>0</v>
      </c>
      <c r="F254" s="99" t="s">
        <v>0</v>
      </c>
      <c r="G254" s="101">
        <v>2647562.39</v>
      </c>
      <c r="H254" s="99" t="s">
        <v>2</v>
      </c>
      <c r="I254" s="99" t="s">
        <v>0</v>
      </c>
      <c r="J254" s="99" t="s">
        <v>0</v>
      </c>
      <c r="K254" s="99" t="s">
        <v>0</v>
      </c>
      <c r="L254" s="100"/>
      <c r="M254" s="99" t="s">
        <v>0</v>
      </c>
      <c r="N254" s="99" t="s">
        <v>0</v>
      </c>
      <c r="O254" s="99" t="s">
        <v>0</v>
      </c>
      <c r="P254" s="99" t="s">
        <v>0</v>
      </c>
    </row>
    <row r="255" spans="1:19" x14ac:dyDescent="0.25">
      <c r="A255" s="5" t="s">
        <v>0</v>
      </c>
      <c r="B255" s="5" t="s">
        <v>0</v>
      </c>
      <c r="C255" s="5" t="s">
        <v>0</v>
      </c>
      <c r="D255" s="6"/>
      <c r="E255" s="5" t="s">
        <v>0</v>
      </c>
      <c r="F255" s="5" t="s">
        <v>0</v>
      </c>
      <c r="G255" s="7">
        <v>2647562.39</v>
      </c>
      <c r="H255" s="5" t="s">
        <v>2</v>
      </c>
      <c r="I255" s="5" t="s">
        <v>0</v>
      </c>
      <c r="J255" s="5" t="s">
        <v>0</v>
      </c>
      <c r="K255" s="5" t="s">
        <v>0</v>
      </c>
      <c r="L255" s="6"/>
      <c r="M255" s="5" t="s">
        <v>0</v>
      </c>
      <c r="N255" s="5" t="s">
        <v>0</v>
      </c>
      <c r="O255" s="5" t="s">
        <v>0</v>
      </c>
      <c r="P255" s="5" t="s">
        <v>0</v>
      </c>
    </row>
  </sheetData>
  <autoFilter ref="A1:S251" xr:uid="{00000000-0001-0000-0000-000000000000}"/>
  <phoneticPr fontId="0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DC8A-8121-442A-B480-AE2866AE7FD0}">
  <dimension ref="A3:L16"/>
  <sheetViews>
    <sheetView zoomScaleNormal="100" workbookViewId="0">
      <selection activeCell="G24" sqref="G24"/>
    </sheetView>
  </sheetViews>
  <sheetFormatPr defaultRowHeight="12.5" x14ac:dyDescent="0.25"/>
  <cols>
    <col min="1" max="1" width="13" bestFit="1" customWidth="1"/>
    <col min="2" max="2" width="11.90625" bestFit="1" customWidth="1"/>
    <col min="3" max="3" width="7" bestFit="1" customWidth="1"/>
    <col min="4" max="4" width="11.90625" bestFit="1" customWidth="1"/>
    <col min="5" max="5" width="12.6328125" bestFit="1" customWidth="1"/>
    <col min="6" max="6" width="11.08984375" bestFit="1" customWidth="1"/>
    <col min="8" max="8" width="6.1796875" bestFit="1" customWidth="1"/>
    <col min="9" max="10" width="12.54296875" bestFit="1" customWidth="1"/>
    <col min="11" max="11" width="11.54296875" bestFit="1" customWidth="1"/>
    <col min="12" max="12" width="9" bestFit="1" customWidth="1"/>
  </cols>
  <sheetData>
    <row r="3" spans="1:12" ht="13" x14ac:dyDescent="0.25">
      <c r="A3" s="9" t="s">
        <v>468</v>
      </c>
      <c r="B3" s="9" t="s">
        <v>469</v>
      </c>
      <c r="C3" s="9" t="s">
        <v>471</v>
      </c>
      <c r="D3" t="s">
        <v>698</v>
      </c>
      <c r="E3" t="s">
        <v>697</v>
      </c>
      <c r="F3" t="s">
        <v>700</v>
      </c>
      <c r="H3" s="30" t="s">
        <v>473</v>
      </c>
      <c r="I3" s="30" t="s">
        <v>478</v>
      </c>
      <c r="J3" s="30" t="s">
        <v>479</v>
      </c>
      <c r="K3" s="30" t="s">
        <v>699</v>
      </c>
    </row>
    <row r="4" spans="1:12" x14ac:dyDescent="0.25">
      <c r="A4" t="s">
        <v>449</v>
      </c>
      <c r="B4" t="s">
        <v>450</v>
      </c>
      <c r="C4" s="28" t="s">
        <v>451</v>
      </c>
      <c r="D4" s="12"/>
      <c r="E4" s="12">
        <v>562258</v>
      </c>
      <c r="F4" s="12">
        <v>62473</v>
      </c>
      <c r="H4" s="20" t="s">
        <v>451</v>
      </c>
      <c r="I4" s="32"/>
      <c r="J4" s="32">
        <v>562258</v>
      </c>
      <c r="K4" s="32">
        <v>62473</v>
      </c>
    </row>
    <row r="5" spans="1:12" x14ac:dyDescent="0.25">
      <c r="C5" s="28" t="s">
        <v>452</v>
      </c>
      <c r="D5" s="12"/>
      <c r="E5" s="12">
        <v>1433790</v>
      </c>
      <c r="F5" s="12">
        <v>159312</v>
      </c>
      <c r="H5" s="20" t="s">
        <v>452</v>
      </c>
      <c r="I5" s="32"/>
      <c r="J5" s="32">
        <v>1433790</v>
      </c>
      <c r="K5" s="32">
        <v>159312</v>
      </c>
    </row>
    <row r="6" spans="1:12" x14ac:dyDescent="0.25">
      <c r="B6" t="s">
        <v>453</v>
      </c>
      <c r="C6" s="28" t="s">
        <v>454</v>
      </c>
      <c r="D6" s="12">
        <v>257391</v>
      </c>
      <c r="E6" s="12"/>
      <c r="F6" s="12">
        <v>0</v>
      </c>
      <c r="H6" s="20" t="s">
        <v>454</v>
      </c>
      <c r="I6" s="32">
        <v>257391</v>
      </c>
      <c r="J6" s="32"/>
      <c r="K6" s="32">
        <v>0</v>
      </c>
    </row>
    <row r="7" spans="1:12" x14ac:dyDescent="0.25">
      <c r="C7" s="28" t="s">
        <v>455</v>
      </c>
      <c r="D7" s="12">
        <v>324702</v>
      </c>
      <c r="E7" s="12"/>
      <c r="F7" s="12">
        <v>0</v>
      </c>
      <c r="H7" s="20" t="s">
        <v>455</v>
      </c>
      <c r="I7" s="32">
        <v>324702</v>
      </c>
      <c r="J7" s="32"/>
      <c r="K7" s="32">
        <v>0</v>
      </c>
    </row>
    <row r="8" spans="1:12" x14ac:dyDescent="0.25">
      <c r="C8" s="28" t="s">
        <v>456</v>
      </c>
      <c r="D8" s="12">
        <v>1300000</v>
      </c>
      <c r="E8" s="12">
        <v>318660</v>
      </c>
      <c r="F8" s="12">
        <v>12898</v>
      </c>
      <c r="H8" s="20" t="s">
        <v>456</v>
      </c>
      <c r="I8" s="32">
        <v>1300000</v>
      </c>
      <c r="J8" s="32">
        <v>318660</v>
      </c>
      <c r="K8" s="32">
        <v>12898</v>
      </c>
    </row>
    <row r="9" spans="1:12" x14ac:dyDescent="0.25">
      <c r="B9" t="s">
        <v>457</v>
      </c>
      <c r="C9" s="28" t="s">
        <v>458</v>
      </c>
      <c r="D9" s="12">
        <v>600000</v>
      </c>
      <c r="E9" s="12">
        <v>615663</v>
      </c>
      <c r="F9" s="12">
        <v>61929</v>
      </c>
      <c r="H9" s="20" t="s">
        <v>458</v>
      </c>
      <c r="I9" s="32">
        <v>600000</v>
      </c>
      <c r="J9" s="32">
        <v>615663</v>
      </c>
      <c r="K9" s="32">
        <v>61929</v>
      </c>
    </row>
    <row r="10" spans="1:12" x14ac:dyDescent="0.25">
      <c r="C10" s="28" t="s">
        <v>459</v>
      </c>
      <c r="D10" s="12">
        <v>450000</v>
      </c>
      <c r="E10" s="12">
        <v>754713</v>
      </c>
      <c r="F10" s="12">
        <v>49257</v>
      </c>
      <c r="H10" s="20" t="s">
        <v>459</v>
      </c>
      <c r="I10" s="32">
        <v>450000</v>
      </c>
      <c r="J10" s="32">
        <v>754713</v>
      </c>
      <c r="K10" s="32">
        <v>49257</v>
      </c>
    </row>
    <row r="11" spans="1:12" x14ac:dyDescent="0.25">
      <c r="C11" s="28" t="s">
        <v>460</v>
      </c>
      <c r="D11" s="12">
        <v>300000</v>
      </c>
      <c r="E11" s="12"/>
      <c r="F11" s="12">
        <v>0</v>
      </c>
      <c r="H11" s="20" t="s">
        <v>460</v>
      </c>
      <c r="I11" s="32">
        <v>300000</v>
      </c>
      <c r="J11" s="32"/>
      <c r="K11" s="32">
        <v>0</v>
      </c>
    </row>
    <row r="12" spans="1:12" x14ac:dyDescent="0.25">
      <c r="B12" t="s">
        <v>461</v>
      </c>
      <c r="C12" s="28" t="s">
        <v>462</v>
      </c>
      <c r="D12" s="12">
        <v>300000</v>
      </c>
      <c r="E12" s="12">
        <v>838376</v>
      </c>
      <c r="F12" s="12">
        <v>75774</v>
      </c>
      <c r="H12" s="20" t="s">
        <v>462</v>
      </c>
      <c r="I12" s="32">
        <v>300000</v>
      </c>
      <c r="J12" s="32">
        <v>838376</v>
      </c>
      <c r="K12" s="32">
        <v>75774</v>
      </c>
    </row>
    <row r="13" spans="1:12" x14ac:dyDescent="0.25">
      <c r="C13" s="28" t="s">
        <v>463</v>
      </c>
      <c r="D13" s="12">
        <v>300000</v>
      </c>
      <c r="E13" s="12">
        <v>801523</v>
      </c>
      <c r="F13" s="12">
        <v>46643</v>
      </c>
      <c r="H13" s="20" t="s">
        <v>463</v>
      </c>
      <c r="I13" s="32">
        <v>300000</v>
      </c>
      <c r="J13" s="32">
        <v>801523</v>
      </c>
      <c r="K13" s="32">
        <v>46643</v>
      </c>
    </row>
    <row r="14" spans="1:12" x14ac:dyDescent="0.25">
      <c r="C14" s="28" t="s">
        <v>464</v>
      </c>
      <c r="D14" s="12">
        <v>300000</v>
      </c>
      <c r="E14" s="12">
        <v>370065</v>
      </c>
      <c r="F14" s="12">
        <v>41119</v>
      </c>
      <c r="H14" s="20" t="s">
        <v>464</v>
      </c>
      <c r="I14" s="32">
        <v>300000</v>
      </c>
      <c r="J14" s="32">
        <v>370065</v>
      </c>
      <c r="K14" s="32">
        <v>41119</v>
      </c>
    </row>
    <row r="15" spans="1:12" x14ac:dyDescent="0.25">
      <c r="A15" t="s">
        <v>465</v>
      </c>
      <c r="B15" t="s">
        <v>450</v>
      </c>
      <c r="C15" s="28" t="s">
        <v>466</v>
      </c>
      <c r="D15" s="12">
        <v>600000</v>
      </c>
      <c r="E15" s="12"/>
      <c r="F15" s="12">
        <v>0</v>
      </c>
      <c r="H15" s="20" t="s">
        <v>466</v>
      </c>
      <c r="I15" s="32">
        <v>600000</v>
      </c>
      <c r="J15" s="32"/>
      <c r="K15" s="32">
        <v>0</v>
      </c>
    </row>
    <row r="16" spans="1:12" ht="13" x14ac:dyDescent="0.25">
      <c r="H16" s="30" t="s">
        <v>470</v>
      </c>
      <c r="I16" s="33">
        <f>SUM(I4:I15)</f>
        <v>4732093</v>
      </c>
      <c r="J16" s="33">
        <f t="shared" ref="J16:K16" si="0">SUM(J4:J15)</f>
        <v>5695048</v>
      </c>
      <c r="K16" s="33">
        <f t="shared" si="0"/>
        <v>509405</v>
      </c>
      <c r="L16" s="35">
        <f>J16-I16-K16</f>
        <v>453550</v>
      </c>
    </row>
  </sheetData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1F1A1-664D-4C7C-BFD8-09AEE24571AD}">
  <dimension ref="A1:O251"/>
  <sheetViews>
    <sheetView workbookViewId="0">
      <selection activeCell="L7" sqref="J1:N17"/>
    </sheetView>
  </sheetViews>
  <sheetFormatPr defaultRowHeight="12.5" x14ac:dyDescent="0.25"/>
  <cols>
    <col min="1" max="1" width="13.453125" bestFit="1" customWidth="1"/>
    <col min="2" max="2" width="13.1796875" bestFit="1" customWidth="1"/>
    <col min="3" max="3" width="21.453125" bestFit="1" customWidth="1"/>
    <col min="4" max="4" width="12.90625" bestFit="1" customWidth="1"/>
    <col min="5" max="5" width="44.90625" bestFit="1" customWidth="1"/>
    <col min="7" max="7" width="27.81640625" bestFit="1" customWidth="1"/>
    <col min="8" max="8" width="13.1796875" bestFit="1" customWidth="1"/>
    <col min="9" max="9" width="13.36328125" bestFit="1" customWidth="1"/>
    <col min="10" max="10" width="13.54296875" bestFit="1" customWidth="1"/>
    <col min="11" max="11" width="13.1796875" bestFit="1" customWidth="1"/>
    <col min="12" max="12" width="10.81640625" bestFit="1" customWidth="1"/>
    <col min="13" max="13" width="3.36328125" bestFit="1" customWidth="1"/>
    <col min="14" max="14" width="10.453125" bestFit="1" customWidth="1"/>
    <col min="15" max="15" width="3.1796875" bestFit="1" customWidth="1"/>
    <col min="16" max="16" width="22.1796875" bestFit="1" customWidth="1"/>
    <col min="17" max="17" width="30.1796875" bestFit="1" customWidth="1"/>
    <col min="18" max="18" width="22.1796875" bestFit="1" customWidth="1"/>
    <col min="19" max="19" width="30.1796875" bestFit="1" customWidth="1"/>
    <col min="20" max="20" width="22.1796875" bestFit="1" customWidth="1"/>
    <col min="21" max="21" width="30.1796875" bestFit="1" customWidth="1"/>
    <col min="22" max="22" width="27.1796875" bestFit="1" customWidth="1"/>
    <col min="23" max="23" width="35.1796875" bestFit="1" customWidth="1"/>
  </cols>
  <sheetData>
    <row r="1" spans="1:15" x14ac:dyDescent="0.25">
      <c r="A1" t="s">
        <v>432</v>
      </c>
      <c r="B1" s="28" t="s">
        <v>433</v>
      </c>
      <c r="C1" t="s">
        <v>436</v>
      </c>
      <c r="D1" t="s">
        <v>437</v>
      </c>
      <c r="E1" t="s">
        <v>439</v>
      </c>
      <c r="G1" s="9" t="s">
        <v>467</v>
      </c>
      <c r="J1" s="9" t="s">
        <v>432</v>
      </c>
    </row>
    <row r="2" spans="1:15" x14ac:dyDescent="0.25">
      <c r="A2" t="s">
        <v>1</v>
      </c>
      <c r="B2" s="28">
        <v>45832</v>
      </c>
      <c r="C2">
        <v>-324702</v>
      </c>
      <c r="D2" t="s">
        <v>2</v>
      </c>
      <c r="E2" t="s">
        <v>0</v>
      </c>
      <c r="G2" s="9" t="s">
        <v>468</v>
      </c>
      <c r="H2" s="9" t="s">
        <v>469</v>
      </c>
      <c r="I2" s="9" t="s">
        <v>433</v>
      </c>
      <c r="J2" t="s">
        <v>424</v>
      </c>
      <c r="K2" t="s">
        <v>97</v>
      </c>
      <c r="L2" t="s">
        <v>28</v>
      </c>
      <c r="M2" t="s">
        <v>387</v>
      </c>
      <c r="N2" t="s">
        <v>1</v>
      </c>
      <c r="O2" t="s">
        <v>427</v>
      </c>
    </row>
    <row r="3" spans="1:15" x14ac:dyDescent="0.25">
      <c r="A3" t="s">
        <v>1</v>
      </c>
      <c r="B3" s="28">
        <v>45832</v>
      </c>
      <c r="C3">
        <v>-500000</v>
      </c>
      <c r="D3" t="s">
        <v>2</v>
      </c>
      <c r="E3" t="s">
        <v>0</v>
      </c>
      <c r="G3" t="s">
        <v>449</v>
      </c>
      <c r="H3" t="s">
        <v>450</v>
      </c>
      <c r="I3" t="s">
        <v>451</v>
      </c>
      <c r="J3" s="12"/>
      <c r="K3" s="12"/>
      <c r="L3" s="12">
        <v>1285493.0299999998</v>
      </c>
      <c r="M3" s="12"/>
      <c r="N3" s="12"/>
      <c r="O3" s="12">
        <v>0</v>
      </c>
    </row>
    <row r="4" spans="1:15" x14ac:dyDescent="0.25">
      <c r="A4" t="s">
        <v>1</v>
      </c>
      <c r="B4" s="28">
        <v>45890</v>
      </c>
      <c r="C4">
        <v>-100000</v>
      </c>
      <c r="D4" t="s">
        <v>2</v>
      </c>
      <c r="E4" t="s">
        <v>0</v>
      </c>
      <c r="I4" t="s">
        <v>452</v>
      </c>
      <c r="J4" s="12"/>
      <c r="K4" s="12"/>
      <c r="L4" s="12">
        <v>1279023.7999999998</v>
      </c>
      <c r="M4" s="12"/>
      <c r="N4" s="12"/>
      <c r="O4" s="12"/>
    </row>
    <row r="5" spans="1:15" x14ac:dyDescent="0.25">
      <c r="A5" t="s">
        <v>1</v>
      </c>
      <c r="B5" s="28">
        <v>45890</v>
      </c>
      <c r="C5">
        <v>-700000</v>
      </c>
      <c r="D5" t="s">
        <v>2</v>
      </c>
      <c r="E5" t="s">
        <v>0</v>
      </c>
      <c r="H5" t="s">
        <v>453</v>
      </c>
      <c r="I5" t="s">
        <v>454</v>
      </c>
      <c r="J5" s="12">
        <v>0</v>
      </c>
      <c r="K5" s="12"/>
      <c r="L5" s="12">
        <v>1255175.03</v>
      </c>
      <c r="M5" s="12"/>
      <c r="N5" s="12"/>
      <c r="O5" s="12"/>
    </row>
    <row r="6" spans="1:15" x14ac:dyDescent="0.25">
      <c r="A6" t="s">
        <v>1</v>
      </c>
      <c r="B6" s="28">
        <v>45890</v>
      </c>
      <c r="C6">
        <v>-150000</v>
      </c>
      <c r="D6" t="s">
        <v>2</v>
      </c>
      <c r="E6" t="s">
        <v>0</v>
      </c>
      <c r="I6" t="s">
        <v>455</v>
      </c>
      <c r="J6" s="12"/>
      <c r="K6" s="12">
        <v>-368140.57999999996</v>
      </c>
      <c r="L6" s="12">
        <v>413804.29000000004</v>
      </c>
      <c r="M6" s="12"/>
      <c r="N6" s="12">
        <v>-283762.44</v>
      </c>
      <c r="O6" s="12"/>
    </row>
    <row r="7" spans="1:15" x14ac:dyDescent="0.25">
      <c r="A7" t="s">
        <v>1</v>
      </c>
      <c r="B7" s="28">
        <v>45890</v>
      </c>
      <c r="C7">
        <v>-150000</v>
      </c>
      <c r="D7" t="s">
        <v>2</v>
      </c>
      <c r="E7" t="s">
        <v>0</v>
      </c>
      <c r="I7" t="s">
        <v>456</v>
      </c>
      <c r="J7" s="12"/>
      <c r="K7" s="12"/>
      <c r="L7" s="12">
        <v>449357.48</v>
      </c>
      <c r="M7" s="12"/>
      <c r="N7" s="12">
        <v>-824702</v>
      </c>
      <c r="O7" s="12"/>
    </row>
    <row r="8" spans="1:15" x14ac:dyDescent="0.25">
      <c r="A8" t="s">
        <v>1</v>
      </c>
      <c r="B8" s="28">
        <v>45890</v>
      </c>
      <c r="C8">
        <v>-150000</v>
      </c>
      <c r="D8" t="s">
        <v>2</v>
      </c>
      <c r="E8" t="s">
        <v>0</v>
      </c>
      <c r="H8" t="s">
        <v>457</v>
      </c>
      <c r="I8" t="s">
        <v>458</v>
      </c>
      <c r="J8" s="12"/>
      <c r="K8" s="12">
        <v>-2515.02</v>
      </c>
      <c r="L8" s="12">
        <v>486072.33000000007</v>
      </c>
      <c r="M8" s="12">
        <v>0</v>
      </c>
      <c r="N8" s="12"/>
      <c r="O8" s="12"/>
    </row>
    <row r="9" spans="1:15" x14ac:dyDescent="0.25">
      <c r="A9" t="s">
        <v>1</v>
      </c>
      <c r="B9" s="28">
        <v>45890</v>
      </c>
      <c r="C9">
        <v>-150000</v>
      </c>
      <c r="D9" t="s">
        <v>2</v>
      </c>
      <c r="E9" t="s">
        <v>0</v>
      </c>
      <c r="I9" t="s">
        <v>459</v>
      </c>
      <c r="J9" s="12"/>
      <c r="K9" s="12">
        <v>-20570.5</v>
      </c>
      <c r="L9" s="12">
        <v>319598.45000000007</v>
      </c>
      <c r="M9" s="12"/>
      <c r="N9" s="12">
        <v>-1400000</v>
      </c>
      <c r="O9" s="12"/>
    </row>
    <row r="10" spans="1:15" x14ac:dyDescent="0.25">
      <c r="A10" t="s">
        <v>1</v>
      </c>
      <c r="B10" s="28">
        <v>45931</v>
      </c>
      <c r="C10">
        <v>-100000</v>
      </c>
      <c r="D10" t="s">
        <v>2</v>
      </c>
      <c r="E10" t="s">
        <v>0</v>
      </c>
      <c r="I10" t="s">
        <v>460</v>
      </c>
      <c r="J10" s="12"/>
      <c r="K10" s="12"/>
      <c r="L10" s="12">
        <v>467197.87</v>
      </c>
      <c r="M10" s="12"/>
      <c r="N10" s="12"/>
      <c r="O10" s="12"/>
    </row>
    <row r="11" spans="1:15" x14ac:dyDescent="0.25">
      <c r="A11" t="s">
        <v>1</v>
      </c>
      <c r="B11" s="28">
        <v>45931</v>
      </c>
      <c r="C11">
        <v>-100000</v>
      </c>
      <c r="D11" t="s">
        <v>2</v>
      </c>
      <c r="E11" t="s">
        <v>0</v>
      </c>
      <c r="H11" t="s">
        <v>461</v>
      </c>
      <c r="I11" t="s">
        <v>462</v>
      </c>
      <c r="J11" s="12"/>
      <c r="K11" s="12">
        <v>-13764.82</v>
      </c>
      <c r="L11" s="12">
        <v>437828.37</v>
      </c>
      <c r="M11" s="12"/>
      <c r="N11" s="12">
        <v>-850000</v>
      </c>
      <c r="O11" s="12"/>
    </row>
    <row r="12" spans="1:15" x14ac:dyDescent="0.25">
      <c r="A12" t="s">
        <v>1</v>
      </c>
      <c r="B12" s="28">
        <v>45931</v>
      </c>
      <c r="C12">
        <v>-450000</v>
      </c>
      <c r="D12" t="s">
        <v>2</v>
      </c>
      <c r="E12" t="s">
        <v>0</v>
      </c>
      <c r="I12" t="s">
        <v>463</v>
      </c>
      <c r="J12" s="12"/>
      <c r="K12" s="12"/>
      <c r="L12" s="12">
        <v>558275.90999999992</v>
      </c>
      <c r="M12" s="12">
        <v>0</v>
      </c>
      <c r="N12" s="12">
        <v>-400000</v>
      </c>
      <c r="O12" s="12"/>
    </row>
    <row r="13" spans="1:15" x14ac:dyDescent="0.25">
      <c r="A13" t="s">
        <v>1</v>
      </c>
      <c r="B13" s="28">
        <v>45931</v>
      </c>
      <c r="C13">
        <v>-100000</v>
      </c>
      <c r="D13" t="s">
        <v>2</v>
      </c>
      <c r="E13" t="s">
        <v>0</v>
      </c>
      <c r="I13" t="s">
        <v>464</v>
      </c>
      <c r="J13" s="12"/>
      <c r="K13" s="12"/>
      <c r="L13" s="12">
        <v>18107.25</v>
      </c>
      <c r="M13" s="12"/>
      <c r="N13" s="12">
        <v>-200000</v>
      </c>
      <c r="O13" s="12"/>
    </row>
    <row r="14" spans="1:15" x14ac:dyDescent="0.25">
      <c r="A14" t="s">
        <v>1</v>
      </c>
      <c r="B14" s="28">
        <v>45944</v>
      </c>
      <c r="C14">
        <v>-100000</v>
      </c>
      <c r="D14" t="s">
        <v>2</v>
      </c>
      <c r="E14" t="s">
        <v>0</v>
      </c>
      <c r="G14" t="s">
        <v>465</v>
      </c>
      <c r="H14" t="s">
        <v>450</v>
      </c>
      <c r="I14" t="s">
        <v>466</v>
      </c>
      <c r="J14" s="12"/>
      <c r="K14" s="12">
        <v>-1233.2</v>
      </c>
      <c r="L14" s="12">
        <v>642317.13999999978</v>
      </c>
      <c r="M14" s="12"/>
      <c r="N14" s="12">
        <v>-600000</v>
      </c>
      <c r="O14" s="12"/>
    </row>
    <row r="15" spans="1:15" x14ac:dyDescent="0.25">
      <c r="A15" t="s">
        <v>1</v>
      </c>
      <c r="B15" s="28">
        <v>45972</v>
      </c>
      <c r="C15">
        <v>-100000</v>
      </c>
      <c r="D15" t="s">
        <v>2</v>
      </c>
      <c r="E15" t="s">
        <v>0</v>
      </c>
    </row>
    <row r="16" spans="1:15" x14ac:dyDescent="0.25">
      <c r="A16" t="s">
        <v>1</v>
      </c>
      <c r="B16" s="28">
        <v>45972</v>
      </c>
      <c r="C16">
        <v>-100000</v>
      </c>
      <c r="D16" t="s">
        <v>2</v>
      </c>
      <c r="E16" t="s">
        <v>0</v>
      </c>
    </row>
    <row r="17" spans="1:11" x14ac:dyDescent="0.25">
      <c r="A17" t="s">
        <v>1</v>
      </c>
      <c r="B17" s="28">
        <v>45977</v>
      </c>
      <c r="C17">
        <v>-100000</v>
      </c>
      <c r="D17" t="s">
        <v>2</v>
      </c>
      <c r="E17" t="s">
        <v>0</v>
      </c>
    </row>
    <row r="18" spans="1:11" x14ac:dyDescent="0.25">
      <c r="A18" t="s">
        <v>1</v>
      </c>
      <c r="B18" s="28">
        <v>45986</v>
      </c>
      <c r="C18">
        <v>-100000</v>
      </c>
      <c r="D18" t="s">
        <v>2</v>
      </c>
      <c r="E18" t="s">
        <v>0</v>
      </c>
      <c r="G18" s="20" t="s">
        <v>468</v>
      </c>
      <c r="H18" s="20" t="s">
        <v>433</v>
      </c>
      <c r="I18" s="20" t="s">
        <v>97</v>
      </c>
      <c r="J18" s="20" t="s">
        <v>28</v>
      </c>
      <c r="K18" s="20" t="s">
        <v>1</v>
      </c>
    </row>
    <row r="19" spans="1:11" x14ac:dyDescent="0.25">
      <c r="A19" t="s">
        <v>1</v>
      </c>
      <c r="B19" s="28">
        <v>45994</v>
      </c>
      <c r="C19">
        <v>-100000</v>
      </c>
      <c r="D19" t="s">
        <v>2</v>
      </c>
      <c r="E19" t="s">
        <v>0</v>
      </c>
      <c r="G19" s="20" t="s">
        <v>449</v>
      </c>
      <c r="H19" s="20" t="s">
        <v>451</v>
      </c>
      <c r="I19" s="31"/>
      <c r="J19" s="31">
        <v>1285493.0299999998</v>
      </c>
      <c r="K19" s="31"/>
    </row>
    <row r="20" spans="1:11" s="36" customFormat="1" x14ac:dyDescent="0.25">
      <c r="A20" t="s">
        <v>1</v>
      </c>
      <c r="B20" s="28">
        <v>46009</v>
      </c>
      <c r="C20">
        <v>-100000</v>
      </c>
      <c r="D20" t="s">
        <v>2</v>
      </c>
      <c r="E20" t="s">
        <v>0</v>
      </c>
      <c r="F20"/>
      <c r="G20" s="20"/>
      <c r="H20" s="20" t="s">
        <v>452</v>
      </c>
      <c r="I20" s="31"/>
      <c r="J20" s="31">
        <v>1279023.7999999998</v>
      </c>
      <c r="K20" s="31"/>
    </row>
    <row r="21" spans="1:11" s="36" customFormat="1" x14ac:dyDescent="0.25">
      <c r="A21" t="s">
        <v>1</v>
      </c>
      <c r="B21" s="28">
        <v>46030</v>
      </c>
      <c r="C21">
        <v>-200000</v>
      </c>
      <c r="D21" t="s">
        <v>2</v>
      </c>
      <c r="E21" t="s">
        <v>0</v>
      </c>
      <c r="F21"/>
      <c r="G21" s="20"/>
      <c r="H21" s="20" t="s">
        <v>454</v>
      </c>
      <c r="I21" s="31"/>
      <c r="J21" s="31">
        <v>1255175.03</v>
      </c>
      <c r="K21" s="31"/>
    </row>
    <row r="22" spans="1:11" s="36" customFormat="1" x14ac:dyDescent="0.25">
      <c r="A22" t="s">
        <v>1</v>
      </c>
      <c r="B22" s="28">
        <v>46031</v>
      </c>
      <c r="C22">
        <v>-100000</v>
      </c>
      <c r="D22" t="s">
        <v>2</v>
      </c>
      <c r="E22" t="s">
        <v>0</v>
      </c>
      <c r="F22"/>
      <c r="G22" s="20"/>
      <c r="H22" s="20" t="s">
        <v>455</v>
      </c>
      <c r="I22" s="31">
        <v>-368140.57999999996</v>
      </c>
      <c r="J22" s="31">
        <v>413804.29000000004</v>
      </c>
      <c r="K22" s="31">
        <v>-283762.44</v>
      </c>
    </row>
    <row r="23" spans="1:11" s="36" customFormat="1" x14ac:dyDescent="0.25">
      <c r="A23" t="s">
        <v>1</v>
      </c>
      <c r="B23" s="28">
        <v>46041</v>
      </c>
      <c r="C23">
        <v>-150000</v>
      </c>
      <c r="D23" t="s">
        <v>2</v>
      </c>
      <c r="E23" t="s">
        <v>0</v>
      </c>
      <c r="F23"/>
      <c r="G23" s="20"/>
      <c r="H23" s="20" t="s">
        <v>456</v>
      </c>
      <c r="I23" s="31"/>
      <c r="J23" s="31">
        <v>449357.48</v>
      </c>
      <c r="K23" s="31">
        <v>-824702</v>
      </c>
    </row>
    <row r="24" spans="1:11" s="36" customFormat="1" x14ac:dyDescent="0.25">
      <c r="A24" t="s">
        <v>1</v>
      </c>
      <c r="B24" s="28">
        <v>46045</v>
      </c>
      <c r="C24">
        <v>-150000</v>
      </c>
      <c r="D24" t="s">
        <v>2</v>
      </c>
      <c r="E24" t="s">
        <v>0</v>
      </c>
      <c r="F24"/>
      <c r="G24" s="20"/>
      <c r="H24" s="20" t="s">
        <v>458</v>
      </c>
      <c r="I24" s="31">
        <v>-2515.02</v>
      </c>
      <c r="J24" s="31">
        <v>486072.33000000007</v>
      </c>
      <c r="K24" s="31"/>
    </row>
    <row r="25" spans="1:11" s="36" customFormat="1" x14ac:dyDescent="0.25">
      <c r="A25" t="s">
        <v>28</v>
      </c>
      <c r="B25" s="28">
        <v>45827</v>
      </c>
      <c r="C25">
        <v>24605.1</v>
      </c>
      <c r="D25" t="s">
        <v>2</v>
      </c>
      <c r="E25" t="s">
        <v>29</v>
      </c>
      <c r="F25"/>
      <c r="G25" s="20"/>
      <c r="H25" s="20" t="s">
        <v>459</v>
      </c>
      <c r="I25" s="31">
        <v>-20570.5</v>
      </c>
      <c r="J25" s="31">
        <v>319598.45000000007</v>
      </c>
      <c r="K25" s="31">
        <v>-1400000</v>
      </c>
    </row>
    <row r="26" spans="1:11" s="36" customFormat="1" x14ac:dyDescent="0.25">
      <c r="A26" t="s">
        <v>28</v>
      </c>
      <c r="B26" s="28">
        <v>45842</v>
      </c>
      <c r="C26">
        <v>14166.89</v>
      </c>
      <c r="D26" t="s">
        <v>2</v>
      </c>
      <c r="E26" t="s">
        <v>32</v>
      </c>
      <c r="F26"/>
      <c r="G26" s="20"/>
      <c r="H26" s="20" t="s">
        <v>460</v>
      </c>
      <c r="I26" s="31"/>
      <c r="J26" s="31">
        <v>467197.87</v>
      </c>
      <c r="K26" s="31"/>
    </row>
    <row r="27" spans="1:11" s="36" customFormat="1" x14ac:dyDescent="0.25">
      <c r="A27" t="s">
        <v>28</v>
      </c>
      <c r="B27" s="28">
        <v>45863</v>
      </c>
      <c r="C27">
        <v>13035.98</v>
      </c>
      <c r="D27" t="s">
        <v>2</v>
      </c>
      <c r="E27" t="s">
        <v>34</v>
      </c>
      <c r="F27"/>
      <c r="G27" s="20"/>
      <c r="H27" s="20" t="s">
        <v>462</v>
      </c>
      <c r="I27" s="31">
        <v>-13764.82</v>
      </c>
      <c r="J27" s="31">
        <v>437828.37</v>
      </c>
      <c r="K27" s="31">
        <v>-850000</v>
      </c>
    </row>
    <row r="28" spans="1:11" s="36" customFormat="1" x14ac:dyDescent="0.25">
      <c r="A28" t="s">
        <v>28</v>
      </c>
      <c r="B28" s="28">
        <v>45904</v>
      </c>
      <c r="C28">
        <v>1183.19</v>
      </c>
      <c r="D28" t="s">
        <v>2</v>
      </c>
      <c r="E28" t="s">
        <v>36</v>
      </c>
      <c r="F28"/>
      <c r="G28" s="20"/>
      <c r="H28" s="20" t="s">
        <v>463</v>
      </c>
      <c r="I28" s="31"/>
      <c r="J28" s="31">
        <v>558275.90999999992</v>
      </c>
      <c r="K28" s="31">
        <v>-400000</v>
      </c>
    </row>
    <row r="29" spans="1:11" s="36" customFormat="1" x14ac:dyDescent="0.25">
      <c r="A29" t="s">
        <v>28</v>
      </c>
      <c r="B29" s="28">
        <v>45918</v>
      </c>
      <c r="C29">
        <v>13725.75</v>
      </c>
      <c r="D29" t="s">
        <v>2</v>
      </c>
      <c r="E29" t="s">
        <v>38</v>
      </c>
      <c r="F29"/>
      <c r="G29" s="20"/>
      <c r="H29" s="20" t="s">
        <v>464</v>
      </c>
      <c r="I29" s="31"/>
      <c r="J29" s="31">
        <v>18107.25</v>
      </c>
      <c r="K29" s="31">
        <v>-200000</v>
      </c>
    </row>
    <row r="30" spans="1:11" s="36" customFormat="1" x14ac:dyDescent="0.25">
      <c r="A30" t="s">
        <v>28</v>
      </c>
      <c r="B30" s="28">
        <v>45918</v>
      </c>
      <c r="C30">
        <v>3614.34</v>
      </c>
      <c r="D30" t="s">
        <v>2</v>
      </c>
      <c r="E30" t="s">
        <v>40</v>
      </c>
      <c r="F30"/>
      <c r="G30" s="20" t="s">
        <v>465</v>
      </c>
      <c r="H30" s="20" t="s">
        <v>466</v>
      </c>
      <c r="I30" s="31">
        <v>-1233.2</v>
      </c>
      <c r="J30" s="31">
        <v>642317.13999999978</v>
      </c>
      <c r="K30" s="31">
        <v>-600000</v>
      </c>
    </row>
    <row r="31" spans="1:11" s="36" customFormat="1" x14ac:dyDescent="0.25">
      <c r="A31" t="s">
        <v>28</v>
      </c>
      <c r="B31" s="28">
        <v>45917</v>
      </c>
      <c r="C31">
        <v>116061.5</v>
      </c>
      <c r="D31" t="s">
        <v>2</v>
      </c>
      <c r="E31" t="s">
        <v>42</v>
      </c>
      <c r="F31"/>
      <c r="G31"/>
      <c r="H31"/>
      <c r="I31"/>
      <c r="J31"/>
      <c r="K31"/>
    </row>
    <row r="32" spans="1:11" x14ac:dyDescent="0.25">
      <c r="A32" t="s">
        <v>28</v>
      </c>
      <c r="B32" s="28">
        <v>45935</v>
      </c>
      <c r="C32">
        <v>2636.9</v>
      </c>
      <c r="D32" t="s">
        <v>2</v>
      </c>
      <c r="E32" t="s">
        <v>44</v>
      </c>
    </row>
    <row r="33" spans="1:5" x14ac:dyDescent="0.25">
      <c r="A33" t="s">
        <v>28</v>
      </c>
      <c r="B33" s="28">
        <v>45935</v>
      </c>
      <c r="C33">
        <v>13764.82</v>
      </c>
      <c r="D33" t="s">
        <v>2</v>
      </c>
      <c r="E33" t="s">
        <v>46</v>
      </c>
    </row>
    <row r="34" spans="1:5" x14ac:dyDescent="0.25">
      <c r="A34" t="s">
        <v>28</v>
      </c>
      <c r="B34" s="28">
        <v>45935</v>
      </c>
      <c r="C34">
        <v>158743.39000000001</v>
      </c>
      <c r="D34" t="s">
        <v>2</v>
      </c>
      <c r="E34" t="s">
        <v>48</v>
      </c>
    </row>
    <row r="35" spans="1:5" x14ac:dyDescent="0.25">
      <c r="A35" t="s">
        <v>28</v>
      </c>
      <c r="B35" s="28">
        <v>45936</v>
      </c>
      <c r="C35">
        <v>117290.2</v>
      </c>
      <c r="D35" t="s">
        <v>2</v>
      </c>
      <c r="E35" t="s">
        <v>50</v>
      </c>
    </row>
    <row r="36" spans="1:5" x14ac:dyDescent="0.25">
      <c r="A36" t="s">
        <v>28</v>
      </c>
      <c r="B36" s="28">
        <v>45937</v>
      </c>
      <c r="C36">
        <v>49385.95</v>
      </c>
      <c r="D36" t="s">
        <v>2</v>
      </c>
      <c r="E36" t="s">
        <v>52</v>
      </c>
    </row>
    <row r="37" spans="1:5" x14ac:dyDescent="0.25">
      <c r="A37" t="s">
        <v>28</v>
      </c>
      <c r="B37" s="28">
        <v>45935</v>
      </c>
      <c r="C37">
        <v>4527.71</v>
      </c>
      <c r="D37" t="s">
        <v>2</v>
      </c>
      <c r="E37" t="s">
        <v>54</v>
      </c>
    </row>
    <row r="38" spans="1:5" x14ac:dyDescent="0.25">
      <c r="A38" t="s">
        <v>28</v>
      </c>
      <c r="B38" s="28">
        <v>45948</v>
      </c>
      <c r="C38">
        <v>4137.91</v>
      </c>
      <c r="D38" t="s">
        <v>2</v>
      </c>
      <c r="E38" t="s">
        <v>56</v>
      </c>
    </row>
    <row r="39" spans="1:5" x14ac:dyDescent="0.25">
      <c r="A39" t="s">
        <v>28</v>
      </c>
      <c r="B39" s="28">
        <v>45951</v>
      </c>
      <c r="C39">
        <v>1198.51</v>
      </c>
      <c r="D39" t="s">
        <v>2</v>
      </c>
      <c r="E39" t="s">
        <v>58</v>
      </c>
    </row>
    <row r="40" spans="1:5" x14ac:dyDescent="0.25">
      <c r="A40" t="s">
        <v>28</v>
      </c>
      <c r="B40" s="28">
        <v>45951</v>
      </c>
      <c r="C40">
        <v>1198.51</v>
      </c>
      <c r="D40" t="s">
        <v>2</v>
      </c>
      <c r="E40" t="s">
        <v>58</v>
      </c>
    </row>
    <row r="41" spans="1:5" x14ac:dyDescent="0.25">
      <c r="A41" t="s">
        <v>28</v>
      </c>
      <c r="B41" s="28">
        <v>45950</v>
      </c>
      <c r="C41">
        <v>20724.830000000002</v>
      </c>
      <c r="D41" t="s">
        <v>2</v>
      </c>
      <c r="E41" t="s">
        <v>61</v>
      </c>
    </row>
    <row r="42" spans="1:5" x14ac:dyDescent="0.25">
      <c r="A42" t="s">
        <v>28</v>
      </c>
      <c r="B42" s="28">
        <v>45950</v>
      </c>
      <c r="C42">
        <v>4792.29</v>
      </c>
      <c r="D42" t="s">
        <v>2</v>
      </c>
      <c r="E42" t="s">
        <v>63</v>
      </c>
    </row>
    <row r="43" spans="1:5" x14ac:dyDescent="0.25">
      <c r="A43" t="s">
        <v>28</v>
      </c>
      <c r="B43" s="28">
        <v>45966</v>
      </c>
      <c r="C43">
        <v>158406.1</v>
      </c>
      <c r="D43" t="s">
        <v>2</v>
      </c>
      <c r="E43" t="s">
        <v>65</v>
      </c>
    </row>
    <row r="44" spans="1:5" x14ac:dyDescent="0.25">
      <c r="A44" t="s">
        <v>28</v>
      </c>
      <c r="B44" s="28">
        <v>45966</v>
      </c>
      <c r="C44">
        <v>1190.69</v>
      </c>
      <c r="D44" t="s">
        <v>2</v>
      </c>
      <c r="E44" t="s">
        <v>67</v>
      </c>
    </row>
    <row r="45" spans="1:5" x14ac:dyDescent="0.25">
      <c r="A45" t="s">
        <v>28</v>
      </c>
      <c r="B45" s="28">
        <v>45966</v>
      </c>
      <c r="C45">
        <v>94035.14</v>
      </c>
      <c r="D45" t="s">
        <v>2</v>
      </c>
      <c r="E45" t="s">
        <v>69</v>
      </c>
    </row>
    <row r="46" spans="1:5" x14ac:dyDescent="0.25">
      <c r="A46" t="s">
        <v>28</v>
      </c>
      <c r="B46" s="28">
        <v>45966</v>
      </c>
      <c r="C46">
        <v>12320.47</v>
      </c>
      <c r="D46" t="s">
        <v>2</v>
      </c>
      <c r="E46" t="s">
        <v>71</v>
      </c>
    </row>
    <row r="47" spans="1:5" x14ac:dyDescent="0.25">
      <c r="A47" t="s">
        <v>28</v>
      </c>
      <c r="B47" s="28">
        <v>45966</v>
      </c>
      <c r="C47">
        <v>3080.12</v>
      </c>
      <c r="D47" t="s">
        <v>2</v>
      </c>
      <c r="E47" t="s">
        <v>73</v>
      </c>
    </row>
    <row r="48" spans="1:5" x14ac:dyDescent="0.25">
      <c r="A48" t="s">
        <v>28</v>
      </c>
      <c r="B48" s="28">
        <v>45964</v>
      </c>
      <c r="C48">
        <v>40471</v>
      </c>
      <c r="D48" t="s">
        <v>2</v>
      </c>
      <c r="E48" t="s">
        <v>75</v>
      </c>
    </row>
    <row r="49" spans="1:5" x14ac:dyDescent="0.25">
      <c r="A49" t="s">
        <v>28</v>
      </c>
      <c r="B49" s="28">
        <v>45966</v>
      </c>
      <c r="C49">
        <v>28393.41</v>
      </c>
      <c r="D49" t="s">
        <v>2</v>
      </c>
      <c r="E49" t="s">
        <v>77</v>
      </c>
    </row>
    <row r="50" spans="1:5" x14ac:dyDescent="0.25">
      <c r="A50" t="s">
        <v>28</v>
      </c>
      <c r="B50" s="28">
        <v>45966</v>
      </c>
      <c r="C50">
        <v>1170.45</v>
      </c>
      <c r="D50" t="s">
        <v>2</v>
      </c>
      <c r="E50" t="s">
        <v>79</v>
      </c>
    </row>
    <row r="51" spans="1:5" x14ac:dyDescent="0.25">
      <c r="A51" t="s">
        <v>28</v>
      </c>
      <c r="B51" s="28">
        <v>45966</v>
      </c>
      <c r="C51">
        <v>17356.91</v>
      </c>
      <c r="D51" t="s">
        <v>2</v>
      </c>
      <c r="E51" t="s">
        <v>81</v>
      </c>
    </row>
    <row r="52" spans="1:5" x14ac:dyDescent="0.25">
      <c r="A52" t="s">
        <v>28</v>
      </c>
      <c r="B52" s="28">
        <v>45981</v>
      </c>
      <c r="C52">
        <v>179547.16</v>
      </c>
      <c r="D52" t="s">
        <v>2</v>
      </c>
      <c r="E52" t="s">
        <v>83</v>
      </c>
    </row>
    <row r="53" spans="1:5" x14ac:dyDescent="0.25">
      <c r="A53" t="s">
        <v>28</v>
      </c>
      <c r="B53" s="28">
        <v>45981</v>
      </c>
      <c r="C53">
        <v>5724.62</v>
      </c>
      <c r="D53" t="s">
        <v>2</v>
      </c>
      <c r="E53" t="s">
        <v>85</v>
      </c>
    </row>
    <row r="54" spans="1:5" x14ac:dyDescent="0.25">
      <c r="A54" t="s">
        <v>28</v>
      </c>
      <c r="B54" s="28">
        <v>45981</v>
      </c>
      <c r="C54">
        <v>3714.62</v>
      </c>
      <c r="D54" t="s">
        <v>2</v>
      </c>
      <c r="E54" t="s">
        <v>87</v>
      </c>
    </row>
    <row r="55" spans="1:5" x14ac:dyDescent="0.25">
      <c r="A55" t="s">
        <v>28</v>
      </c>
      <c r="B55" s="28">
        <v>46024</v>
      </c>
      <c r="C55">
        <v>79044.53</v>
      </c>
      <c r="D55" t="s">
        <v>2</v>
      </c>
      <c r="E55" t="s">
        <v>89</v>
      </c>
    </row>
    <row r="56" spans="1:5" x14ac:dyDescent="0.25">
      <c r="A56" t="s">
        <v>28</v>
      </c>
      <c r="B56" s="28">
        <v>46024</v>
      </c>
      <c r="C56">
        <v>163337.65</v>
      </c>
      <c r="D56" t="s">
        <v>2</v>
      </c>
      <c r="E56" t="s">
        <v>91</v>
      </c>
    </row>
    <row r="57" spans="1:5" x14ac:dyDescent="0.25">
      <c r="A57" t="s">
        <v>28</v>
      </c>
      <c r="B57" s="28">
        <v>45999</v>
      </c>
      <c r="C57">
        <v>3790.16</v>
      </c>
      <c r="D57" t="s">
        <v>2</v>
      </c>
      <c r="E57" t="s">
        <v>93</v>
      </c>
    </row>
    <row r="58" spans="1:5" x14ac:dyDescent="0.25">
      <c r="A58" t="s">
        <v>28</v>
      </c>
      <c r="B58" s="28">
        <v>45996</v>
      </c>
      <c r="C58">
        <v>14317.09</v>
      </c>
      <c r="D58" t="s">
        <v>2</v>
      </c>
      <c r="E58" t="s">
        <v>95</v>
      </c>
    </row>
    <row r="59" spans="1:5" x14ac:dyDescent="0.25">
      <c r="A59" t="s">
        <v>97</v>
      </c>
      <c r="B59" s="28">
        <v>46027</v>
      </c>
      <c r="C59">
        <v>-1233.2</v>
      </c>
      <c r="D59" t="s">
        <v>2</v>
      </c>
      <c r="E59" t="s">
        <v>98</v>
      </c>
    </row>
    <row r="60" spans="1:5" x14ac:dyDescent="0.25">
      <c r="A60" t="s">
        <v>28</v>
      </c>
      <c r="B60" s="28">
        <v>46028</v>
      </c>
      <c r="C60">
        <v>163337.65</v>
      </c>
      <c r="D60" t="s">
        <v>2</v>
      </c>
      <c r="E60" t="s">
        <v>100</v>
      </c>
    </row>
    <row r="61" spans="1:5" x14ac:dyDescent="0.25">
      <c r="A61" t="s">
        <v>28</v>
      </c>
      <c r="B61" s="28">
        <v>46035</v>
      </c>
      <c r="C61">
        <v>63234.36</v>
      </c>
      <c r="D61" t="s">
        <v>2</v>
      </c>
      <c r="E61" t="s">
        <v>102</v>
      </c>
    </row>
    <row r="62" spans="1:5" x14ac:dyDescent="0.25">
      <c r="A62" t="s">
        <v>28</v>
      </c>
      <c r="B62" s="28">
        <v>45708</v>
      </c>
      <c r="C62">
        <v>155346.59</v>
      </c>
      <c r="D62" t="s">
        <v>2</v>
      </c>
      <c r="E62" t="s">
        <v>104</v>
      </c>
    </row>
    <row r="63" spans="1:5" x14ac:dyDescent="0.25">
      <c r="A63" t="s">
        <v>28</v>
      </c>
      <c r="B63" s="28">
        <v>45708</v>
      </c>
      <c r="C63">
        <v>155346.59</v>
      </c>
      <c r="D63" t="s">
        <v>2</v>
      </c>
      <c r="E63" t="s">
        <v>106</v>
      </c>
    </row>
    <row r="64" spans="1:5" x14ac:dyDescent="0.25">
      <c r="A64" t="s">
        <v>28</v>
      </c>
      <c r="B64" s="28">
        <v>45708</v>
      </c>
      <c r="C64">
        <v>155346.59</v>
      </c>
      <c r="D64" t="s">
        <v>2</v>
      </c>
      <c r="E64" t="s">
        <v>108</v>
      </c>
    </row>
    <row r="65" spans="1:5" x14ac:dyDescent="0.25">
      <c r="A65" t="s">
        <v>28</v>
      </c>
      <c r="B65" s="28">
        <v>45708</v>
      </c>
      <c r="C65">
        <v>155346.59</v>
      </c>
      <c r="D65" t="s">
        <v>2</v>
      </c>
      <c r="E65" t="s">
        <v>110</v>
      </c>
    </row>
    <row r="66" spans="1:5" x14ac:dyDescent="0.25">
      <c r="A66" t="s">
        <v>28</v>
      </c>
      <c r="B66" s="28">
        <v>45708</v>
      </c>
      <c r="C66">
        <v>155346.59</v>
      </c>
      <c r="D66" t="s">
        <v>2</v>
      </c>
      <c r="E66" t="s">
        <v>112</v>
      </c>
    </row>
    <row r="67" spans="1:5" x14ac:dyDescent="0.25">
      <c r="A67" t="s">
        <v>28</v>
      </c>
      <c r="B67" s="28">
        <v>45708</v>
      </c>
      <c r="C67">
        <v>155346.59</v>
      </c>
      <c r="D67" t="s">
        <v>2</v>
      </c>
      <c r="E67" t="s">
        <v>114</v>
      </c>
    </row>
    <row r="68" spans="1:5" x14ac:dyDescent="0.25">
      <c r="A68" t="s">
        <v>28</v>
      </c>
      <c r="B68" s="28">
        <v>45716</v>
      </c>
      <c r="C68">
        <v>38836.65</v>
      </c>
      <c r="D68" t="s">
        <v>2</v>
      </c>
      <c r="E68" t="s">
        <v>116</v>
      </c>
    </row>
    <row r="69" spans="1:5" x14ac:dyDescent="0.25">
      <c r="A69" t="s">
        <v>28</v>
      </c>
      <c r="B69" s="28">
        <v>45716</v>
      </c>
      <c r="C69">
        <v>40131.199999999997</v>
      </c>
      <c r="D69" t="s">
        <v>2</v>
      </c>
      <c r="E69" t="s">
        <v>116</v>
      </c>
    </row>
    <row r="70" spans="1:5" x14ac:dyDescent="0.25">
      <c r="A70" t="s">
        <v>28</v>
      </c>
      <c r="B70" s="28">
        <v>45716</v>
      </c>
      <c r="C70">
        <v>40131.199999999997</v>
      </c>
      <c r="D70" t="s">
        <v>2</v>
      </c>
      <c r="E70" t="s">
        <v>116</v>
      </c>
    </row>
    <row r="71" spans="1:5" x14ac:dyDescent="0.25">
      <c r="A71" t="s">
        <v>28</v>
      </c>
      <c r="B71" s="28">
        <v>45716</v>
      </c>
      <c r="C71">
        <v>38836.65</v>
      </c>
      <c r="D71" t="s">
        <v>2</v>
      </c>
      <c r="E71" t="s">
        <v>116</v>
      </c>
    </row>
    <row r="72" spans="1:5" x14ac:dyDescent="0.25">
      <c r="A72" t="s">
        <v>28</v>
      </c>
      <c r="B72" s="28">
        <v>45719</v>
      </c>
      <c r="C72">
        <v>164220.99</v>
      </c>
      <c r="D72" t="s">
        <v>2</v>
      </c>
      <c r="E72" t="s">
        <v>121</v>
      </c>
    </row>
    <row r="73" spans="1:5" x14ac:dyDescent="0.25">
      <c r="A73" t="s">
        <v>28</v>
      </c>
      <c r="B73" s="28">
        <v>45719</v>
      </c>
      <c r="C73">
        <v>167393.89000000001</v>
      </c>
      <c r="D73" t="s">
        <v>2</v>
      </c>
      <c r="E73" t="s">
        <v>123</v>
      </c>
    </row>
    <row r="74" spans="1:5" x14ac:dyDescent="0.25">
      <c r="A74" t="s">
        <v>28</v>
      </c>
      <c r="B74" s="28">
        <v>45722</v>
      </c>
      <c r="C74">
        <v>199955.13</v>
      </c>
      <c r="D74" t="s">
        <v>2</v>
      </c>
      <c r="E74" t="s">
        <v>125</v>
      </c>
    </row>
    <row r="75" spans="1:5" x14ac:dyDescent="0.25">
      <c r="A75" t="s">
        <v>28</v>
      </c>
      <c r="B75" s="28">
        <v>45722</v>
      </c>
      <c r="C75">
        <v>207242.39</v>
      </c>
      <c r="D75" t="s">
        <v>2</v>
      </c>
      <c r="E75" t="s">
        <v>127</v>
      </c>
    </row>
    <row r="76" spans="1:5" x14ac:dyDescent="0.25">
      <c r="A76" t="s">
        <v>28</v>
      </c>
      <c r="B76" s="28">
        <v>45729</v>
      </c>
      <c r="C76">
        <v>3034.19</v>
      </c>
      <c r="D76" t="s">
        <v>2</v>
      </c>
      <c r="E76" t="s">
        <v>129</v>
      </c>
    </row>
    <row r="77" spans="1:5" x14ac:dyDescent="0.25">
      <c r="A77" t="s">
        <v>28</v>
      </c>
      <c r="B77" s="28">
        <v>45730</v>
      </c>
      <c r="C77">
        <v>6692.57</v>
      </c>
      <c r="D77" t="s">
        <v>2</v>
      </c>
      <c r="E77" t="s">
        <v>131</v>
      </c>
    </row>
    <row r="78" spans="1:5" x14ac:dyDescent="0.25">
      <c r="A78" t="s">
        <v>28</v>
      </c>
      <c r="B78" s="28">
        <v>45733</v>
      </c>
      <c r="C78">
        <v>21299.18</v>
      </c>
      <c r="D78" t="s">
        <v>2</v>
      </c>
      <c r="E78" t="s">
        <v>133</v>
      </c>
    </row>
    <row r="79" spans="1:5" x14ac:dyDescent="0.25">
      <c r="A79" t="s">
        <v>28</v>
      </c>
      <c r="B79" s="28">
        <v>45733</v>
      </c>
      <c r="C79">
        <v>6052.78</v>
      </c>
      <c r="D79" t="s">
        <v>2</v>
      </c>
      <c r="E79" t="s">
        <v>133</v>
      </c>
    </row>
    <row r="80" spans="1:5" x14ac:dyDescent="0.25">
      <c r="A80" t="s">
        <v>28</v>
      </c>
      <c r="B80" s="28">
        <v>45733</v>
      </c>
      <c r="C80">
        <v>6207.96</v>
      </c>
      <c r="D80" t="s">
        <v>2</v>
      </c>
      <c r="E80" t="s">
        <v>133</v>
      </c>
    </row>
    <row r="81" spans="1:5" x14ac:dyDescent="0.25">
      <c r="A81" t="s">
        <v>28</v>
      </c>
      <c r="B81" s="28">
        <v>45733</v>
      </c>
      <c r="C81">
        <v>5359.25</v>
      </c>
      <c r="D81" t="s">
        <v>2</v>
      </c>
      <c r="E81" t="s">
        <v>133</v>
      </c>
    </row>
    <row r="82" spans="1:5" x14ac:dyDescent="0.25">
      <c r="A82" t="s">
        <v>28</v>
      </c>
      <c r="B82" s="28">
        <v>45733</v>
      </c>
      <c r="C82">
        <v>10591.94</v>
      </c>
      <c r="D82" t="s">
        <v>2</v>
      </c>
      <c r="E82" t="s">
        <v>138</v>
      </c>
    </row>
    <row r="83" spans="1:5" x14ac:dyDescent="0.25">
      <c r="A83" t="s">
        <v>28</v>
      </c>
      <c r="B83" s="28">
        <v>45735</v>
      </c>
      <c r="C83">
        <v>16131.51</v>
      </c>
      <c r="D83" t="s">
        <v>2</v>
      </c>
      <c r="E83" t="s">
        <v>140</v>
      </c>
    </row>
    <row r="84" spans="1:5" x14ac:dyDescent="0.25">
      <c r="A84" t="s">
        <v>28</v>
      </c>
      <c r="B84" s="28">
        <v>45735</v>
      </c>
      <c r="C84">
        <v>2257.44</v>
      </c>
      <c r="D84" t="s">
        <v>2</v>
      </c>
      <c r="E84" t="s">
        <v>142</v>
      </c>
    </row>
    <row r="85" spans="1:5" x14ac:dyDescent="0.25">
      <c r="A85" t="s">
        <v>28</v>
      </c>
      <c r="B85" s="28">
        <v>45736</v>
      </c>
      <c r="C85">
        <v>40311.440000000002</v>
      </c>
      <c r="D85" t="s">
        <v>2</v>
      </c>
      <c r="E85" t="s">
        <v>144</v>
      </c>
    </row>
    <row r="86" spans="1:5" x14ac:dyDescent="0.25">
      <c r="A86" t="s">
        <v>28</v>
      </c>
      <c r="B86" s="28">
        <v>45736</v>
      </c>
      <c r="C86">
        <v>36410.33</v>
      </c>
      <c r="D86" t="s">
        <v>2</v>
      </c>
      <c r="E86" t="s">
        <v>146</v>
      </c>
    </row>
    <row r="87" spans="1:5" x14ac:dyDescent="0.25">
      <c r="A87" t="s">
        <v>28</v>
      </c>
      <c r="B87" s="28">
        <v>45736</v>
      </c>
      <c r="C87">
        <v>11141.56</v>
      </c>
      <c r="D87" t="s">
        <v>2</v>
      </c>
      <c r="E87" t="s">
        <v>148</v>
      </c>
    </row>
    <row r="88" spans="1:5" x14ac:dyDescent="0.25">
      <c r="A88" t="s">
        <v>28</v>
      </c>
      <c r="B88" s="28">
        <v>45736</v>
      </c>
      <c r="C88">
        <v>151.71</v>
      </c>
      <c r="D88" t="s">
        <v>2</v>
      </c>
      <c r="E88" t="s">
        <v>148</v>
      </c>
    </row>
    <row r="89" spans="1:5" x14ac:dyDescent="0.25">
      <c r="A89" t="s">
        <v>28</v>
      </c>
      <c r="B89" s="28">
        <v>45736</v>
      </c>
      <c r="C89">
        <v>173.38</v>
      </c>
      <c r="D89" t="s">
        <v>2</v>
      </c>
      <c r="E89" t="s">
        <v>148</v>
      </c>
    </row>
    <row r="90" spans="1:5" x14ac:dyDescent="0.25">
      <c r="A90" t="s">
        <v>28</v>
      </c>
      <c r="B90" s="28">
        <v>45736</v>
      </c>
      <c r="C90">
        <v>151.71</v>
      </c>
      <c r="D90" t="s">
        <v>2</v>
      </c>
      <c r="E90" t="s">
        <v>148</v>
      </c>
    </row>
    <row r="91" spans="1:5" x14ac:dyDescent="0.25">
      <c r="A91" t="s">
        <v>28</v>
      </c>
      <c r="B91" s="28">
        <v>45736</v>
      </c>
      <c r="C91">
        <v>172.52</v>
      </c>
      <c r="D91" t="s">
        <v>2</v>
      </c>
      <c r="E91" t="s">
        <v>148</v>
      </c>
    </row>
    <row r="92" spans="1:5" x14ac:dyDescent="0.25">
      <c r="A92" t="s">
        <v>28</v>
      </c>
      <c r="B92" s="28">
        <v>45736</v>
      </c>
      <c r="C92">
        <v>1283.03</v>
      </c>
      <c r="D92" t="s">
        <v>2</v>
      </c>
      <c r="E92" t="s">
        <v>148</v>
      </c>
    </row>
    <row r="93" spans="1:5" x14ac:dyDescent="0.25">
      <c r="A93" t="s">
        <v>28</v>
      </c>
      <c r="B93" s="28">
        <v>45736</v>
      </c>
      <c r="C93">
        <v>23666.71</v>
      </c>
      <c r="D93" t="s">
        <v>2</v>
      </c>
      <c r="E93" t="s">
        <v>155</v>
      </c>
    </row>
    <row r="94" spans="1:5" x14ac:dyDescent="0.25">
      <c r="A94" t="s">
        <v>28</v>
      </c>
      <c r="B94" s="28">
        <v>45736</v>
      </c>
      <c r="C94">
        <v>24039.49</v>
      </c>
      <c r="D94" t="s">
        <v>2</v>
      </c>
      <c r="E94" t="s">
        <v>155</v>
      </c>
    </row>
    <row r="95" spans="1:5" x14ac:dyDescent="0.25">
      <c r="A95" t="s">
        <v>28</v>
      </c>
      <c r="B95" s="28">
        <v>45736</v>
      </c>
      <c r="C95">
        <v>21802.85</v>
      </c>
      <c r="D95" t="s">
        <v>2</v>
      </c>
      <c r="E95" t="s">
        <v>155</v>
      </c>
    </row>
    <row r="96" spans="1:5" x14ac:dyDescent="0.25">
      <c r="A96" t="s">
        <v>28</v>
      </c>
      <c r="B96" s="28">
        <v>45736</v>
      </c>
      <c r="C96">
        <v>48078.97</v>
      </c>
      <c r="D96" t="s">
        <v>2</v>
      </c>
      <c r="E96" t="s">
        <v>155</v>
      </c>
    </row>
    <row r="97" spans="1:5" x14ac:dyDescent="0.25">
      <c r="A97" t="s">
        <v>28</v>
      </c>
      <c r="B97" s="28">
        <v>45736</v>
      </c>
      <c r="C97">
        <v>30619.35</v>
      </c>
      <c r="D97" t="s">
        <v>2</v>
      </c>
      <c r="E97" t="s">
        <v>155</v>
      </c>
    </row>
    <row r="98" spans="1:5" x14ac:dyDescent="0.25">
      <c r="A98" t="s">
        <v>28</v>
      </c>
      <c r="B98" s="28">
        <v>45736</v>
      </c>
      <c r="C98">
        <v>24039.49</v>
      </c>
      <c r="D98" t="s">
        <v>2</v>
      </c>
      <c r="E98" t="s">
        <v>155</v>
      </c>
    </row>
    <row r="99" spans="1:5" x14ac:dyDescent="0.25">
      <c r="A99" t="s">
        <v>28</v>
      </c>
      <c r="B99" s="28">
        <v>45736</v>
      </c>
      <c r="C99">
        <v>1831.79</v>
      </c>
      <c r="D99" t="s">
        <v>2</v>
      </c>
      <c r="E99" t="s">
        <v>155</v>
      </c>
    </row>
    <row r="100" spans="1:5" x14ac:dyDescent="0.25">
      <c r="A100" t="s">
        <v>28</v>
      </c>
      <c r="B100" s="28">
        <v>45736</v>
      </c>
      <c r="C100">
        <v>1061.97</v>
      </c>
      <c r="D100" t="s">
        <v>2</v>
      </c>
      <c r="E100" t="s">
        <v>163</v>
      </c>
    </row>
    <row r="101" spans="1:5" x14ac:dyDescent="0.25">
      <c r="A101" t="s">
        <v>28</v>
      </c>
      <c r="B101" s="28">
        <v>45736</v>
      </c>
      <c r="C101">
        <v>1300.3699999999999</v>
      </c>
      <c r="D101" t="s">
        <v>2</v>
      </c>
      <c r="E101" t="s">
        <v>165</v>
      </c>
    </row>
    <row r="102" spans="1:5" x14ac:dyDescent="0.25">
      <c r="A102" t="s">
        <v>28</v>
      </c>
      <c r="B102" s="28">
        <v>45736</v>
      </c>
      <c r="C102">
        <v>788.89</v>
      </c>
      <c r="D102" t="s">
        <v>2</v>
      </c>
      <c r="E102" t="s">
        <v>167</v>
      </c>
    </row>
    <row r="103" spans="1:5" x14ac:dyDescent="0.25">
      <c r="A103" t="s">
        <v>28</v>
      </c>
      <c r="B103" s="28">
        <v>45736</v>
      </c>
      <c r="C103">
        <v>86.69</v>
      </c>
      <c r="D103" t="s">
        <v>2</v>
      </c>
      <c r="E103" t="s">
        <v>169</v>
      </c>
    </row>
    <row r="104" spans="1:5" x14ac:dyDescent="0.25">
      <c r="A104" t="s">
        <v>28</v>
      </c>
      <c r="B104" s="28">
        <v>45737</v>
      </c>
      <c r="C104">
        <v>1148.6600000000001</v>
      </c>
      <c r="D104" t="s">
        <v>2</v>
      </c>
      <c r="E104" t="s">
        <v>171</v>
      </c>
    </row>
    <row r="105" spans="1:5" x14ac:dyDescent="0.25">
      <c r="A105" t="s">
        <v>28</v>
      </c>
      <c r="B105" s="28">
        <v>45737</v>
      </c>
      <c r="C105">
        <v>3337.61</v>
      </c>
      <c r="D105" t="s">
        <v>2</v>
      </c>
      <c r="E105" t="s">
        <v>173</v>
      </c>
    </row>
    <row r="106" spans="1:5" x14ac:dyDescent="0.25">
      <c r="A106" t="s">
        <v>28</v>
      </c>
      <c r="B106" s="28">
        <v>45737</v>
      </c>
      <c r="C106">
        <v>2600.7399999999998</v>
      </c>
      <c r="D106" t="s">
        <v>2</v>
      </c>
      <c r="E106" t="s">
        <v>175</v>
      </c>
    </row>
    <row r="107" spans="1:5" x14ac:dyDescent="0.25">
      <c r="A107" t="s">
        <v>28</v>
      </c>
      <c r="B107" s="28">
        <v>45736</v>
      </c>
      <c r="C107">
        <v>910.26</v>
      </c>
      <c r="D107" t="s">
        <v>2</v>
      </c>
      <c r="E107" t="s">
        <v>177</v>
      </c>
    </row>
    <row r="108" spans="1:5" x14ac:dyDescent="0.25">
      <c r="A108" t="s">
        <v>28</v>
      </c>
      <c r="B108" s="28">
        <v>45736</v>
      </c>
      <c r="C108">
        <v>1300.3699999999999</v>
      </c>
      <c r="D108" t="s">
        <v>2</v>
      </c>
      <c r="E108" t="s">
        <v>179</v>
      </c>
    </row>
    <row r="109" spans="1:5" x14ac:dyDescent="0.25">
      <c r="A109" t="s">
        <v>28</v>
      </c>
      <c r="B109" s="28">
        <v>45736</v>
      </c>
      <c r="C109">
        <v>1575.18</v>
      </c>
      <c r="D109" t="s">
        <v>2</v>
      </c>
      <c r="E109" t="s">
        <v>155</v>
      </c>
    </row>
    <row r="110" spans="1:5" x14ac:dyDescent="0.25">
      <c r="A110" t="s">
        <v>28</v>
      </c>
      <c r="B110" s="28">
        <v>45736</v>
      </c>
      <c r="C110">
        <v>553.09</v>
      </c>
      <c r="D110" t="s">
        <v>2</v>
      </c>
      <c r="E110" t="s">
        <v>182</v>
      </c>
    </row>
    <row r="111" spans="1:5" x14ac:dyDescent="0.25">
      <c r="A111" t="s">
        <v>28</v>
      </c>
      <c r="B111" s="28">
        <v>45736</v>
      </c>
      <c r="C111">
        <v>5201.4799999999996</v>
      </c>
      <c r="D111" t="s">
        <v>2</v>
      </c>
      <c r="E111" t="s">
        <v>184</v>
      </c>
    </row>
    <row r="112" spans="1:5" x14ac:dyDescent="0.25">
      <c r="A112" t="s">
        <v>28</v>
      </c>
      <c r="B112" s="28">
        <v>45736</v>
      </c>
      <c r="C112">
        <v>606.84</v>
      </c>
      <c r="D112" t="s">
        <v>2</v>
      </c>
      <c r="E112" t="s">
        <v>186</v>
      </c>
    </row>
    <row r="113" spans="1:5" x14ac:dyDescent="0.25">
      <c r="A113" t="s">
        <v>28</v>
      </c>
      <c r="B113" s="28">
        <v>45736</v>
      </c>
      <c r="C113">
        <v>858.24</v>
      </c>
      <c r="D113" t="s">
        <v>2</v>
      </c>
      <c r="E113" t="s">
        <v>188</v>
      </c>
    </row>
    <row r="114" spans="1:5" x14ac:dyDescent="0.25">
      <c r="A114" t="s">
        <v>28</v>
      </c>
      <c r="B114" s="28">
        <v>45736</v>
      </c>
      <c r="C114">
        <v>4399.58</v>
      </c>
      <c r="D114" t="s">
        <v>2</v>
      </c>
      <c r="E114" t="s">
        <v>190</v>
      </c>
    </row>
    <row r="115" spans="1:5" x14ac:dyDescent="0.25">
      <c r="A115" t="s">
        <v>28</v>
      </c>
      <c r="B115" s="28">
        <v>45736</v>
      </c>
      <c r="C115">
        <v>5201.4799999999996</v>
      </c>
      <c r="D115" t="s">
        <v>2</v>
      </c>
      <c r="E115" t="s">
        <v>192</v>
      </c>
    </row>
    <row r="116" spans="1:5" x14ac:dyDescent="0.25">
      <c r="A116" t="s">
        <v>28</v>
      </c>
      <c r="B116" s="28">
        <v>45736</v>
      </c>
      <c r="C116">
        <v>9638.33</v>
      </c>
      <c r="D116" t="s">
        <v>2</v>
      </c>
      <c r="E116" t="s">
        <v>194</v>
      </c>
    </row>
    <row r="117" spans="1:5" x14ac:dyDescent="0.25">
      <c r="A117" t="s">
        <v>28</v>
      </c>
      <c r="B117" s="28">
        <v>45736</v>
      </c>
      <c r="C117">
        <v>170.78</v>
      </c>
      <c r="D117" t="s">
        <v>2</v>
      </c>
      <c r="E117" t="s">
        <v>196</v>
      </c>
    </row>
    <row r="118" spans="1:5" x14ac:dyDescent="0.25">
      <c r="A118" t="s">
        <v>28</v>
      </c>
      <c r="B118" s="28">
        <v>45736</v>
      </c>
      <c r="C118">
        <v>5201.4799999999996</v>
      </c>
      <c r="D118" t="s">
        <v>2</v>
      </c>
      <c r="E118" t="s">
        <v>194</v>
      </c>
    </row>
    <row r="119" spans="1:5" x14ac:dyDescent="0.25">
      <c r="A119" t="s">
        <v>28</v>
      </c>
      <c r="B119" s="28">
        <v>45736</v>
      </c>
      <c r="C119">
        <v>3727.72</v>
      </c>
      <c r="D119" t="s">
        <v>2</v>
      </c>
      <c r="E119" t="s">
        <v>194</v>
      </c>
    </row>
    <row r="120" spans="1:5" x14ac:dyDescent="0.25">
      <c r="A120" t="s">
        <v>28</v>
      </c>
      <c r="B120" s="28">
        <v>45736</v>
      </c>
      <c r="C120">
        <v>4100.5</v>
      </c>
      <c r="D120" t="s">
        <v>2</v>
      </c>
      <c r="E120" t="s">
        <v>194</v>
      </c>
    </row>
    <row r="121" spans="1:5" x14ac:dyDescent="0.25">
      <c r="A121" t="s">
        <v>28</v>
      </c>
      <c r="B121" s="28">
        <v>45736</v>
      </c>
      <c r="C121">
        <v>8200.99</v>
      </c>
      <c r="D121" t="s">
        <v>2</v>
      </c>
      <c r="E121" t="s">
        <v>194</v>
      </c>
    </row>
    <row r="122" spans="1:5" x14ac:dyDescent="0.25">
      <c r="A122" t="s">
        <v>28</v>
      </c>
      <c r="B122" s="28">
        <v>45736</v>
      </c>
      <c r="C122">
        <v>4473.2700000000004</v>
      </c>
      <c r="D122" t="s">
        <v>2</v>
      </c>
      <c r="E122" t="s">
        <v>194</v>
      </c>
    </row>
    <row r="123" spans="1:5" x14ac:dyDescent="0.25">
      <c r="A123" t="s">
        <v>28</v>
      </c>
      <c r="B123" s="28">
        <v>45736</v>
      </c>
      <c r="C123">
        <v>4473.2700000000004</v>
      </c>
      <c r="D123" t="s">
        <v>2</v>
      </c>
      <c r="E123" t="s">
        <v>194</v>
      </c>
    </row>
    <row r="124" spans="1:5" x14ac:dyDescent="0.25">
      <c r="A124" t="s">
        <v>28</v>
      </c>
      <c r="B124" s="28">
        <v>45736</v>
      </c>
      <c r="C124">
        <v>531.41999999999996</v>
      </c>
      <c r="D124" t="s">
        <v>2</v>
      </c>
      <c r="E124" t="s">
        <v>194</v>
      </c>
    </row>
    <row r="125" spans="1:5" x14ac:dyDescent="0.25">
      <c r="A125" t="s">
        <v>28</v>
      </c>
      <c r="B125" s="28">
        <v>45736</v>
      </c>
      <c r="C125">
        <v>305.14999999999998</v>
      </c>
      <c r="D125" t="s">
        <v>2</v>
      </c>
      <c r="E125" t="s">
        <v>194</v>
      </c>
    </row>
    <row r="126" spans="1:5" x14ac:dyDescent="0.25">
      <c r="A126" t="s">
        <v>28</v>
      </c>
      <c r="B126" s="28">
        <v>45750</v>
      </c>
      <c r="C126">
        <v>39114.82</v>
      </c>
      <c r="D126" t="s">
        <v>2</v>
      </c>
      <c r="E126" t="s">
        <v>116</v>
      </c>
    </row>
    <row r="127" spans="1:5" x14ac:dyDescent="0.25">
      <c r="A127" t="s">
        <v>28</v>
      </c>
      <c r="B127" s="28">
        <v>45750</v>
      </c>
      <c r="C127">
        <v>40418.65</v>
      </c>
      <c r="D127" t="s">
        <v>2</v>
      </c>
      <c r="E127" t="s">
        <v>116</v>
      </c>
    </row>
    <row r="128" spans="1:5" x14ac:dyDescent="0.25">
      <c r="A128" t="s">
        <v>28</v>
      </c>
      <c r="B128" s="28">
        <v>45750</v>
      </c>
      <c r="C128">
        <v>39114.82</v>
      </c>
      <c r="D128" t="s">
        <v>2</v>
      </c>
      <c r="E128" t="s">
        <v>116</v>
      </c>
    </row>
    <row r="129" spans="1:5" x14ac:dyDescent="0.25">
      <c r="A129" t="s">
        <v>28</v>
      </c>
      <c r="B129" s="28">
        <v>45750</v>
      </c>
      <c r="C129">
        <v>456.34</v>
      </c>
      <c r="D129" t="s">
        <v>2</v>
      </c>
      <c r="E129" t="s">
        <v>209</v>
      </c>
    </row>
    <row r="130" spans="1:5" x14ac:dyDescent="0.25">
      <c r="A130" t="s">
        <v>28</v>
      </c>
      <c r="B130" s="28">
        <v>45750</v>
      </c>
      <c r="C130">
        <v>2607.65</v>
      </c>
      <c r="D130" t="s">
        <v>2</v>
      </c>
      <c r="E130" t="s">
        <v>211</v>
      </c>
    </row>
    <row r="131" spans="1:5" x14ac:dyDescent="0.25">
      <c r="A131" t="s">
        <v>28</v>
      </c>
      <c r="B131" s="28">
        <v>45750</v>
      </c>
      <c r="C131">
        <v>304.23</v>
      </c>
      <c r="D131" t="s">
        <v>2</v>
      </c>
      <c r="E131" t="s">
        <v>213</v>
      </c>
    </row>
    <row r="132" spans="1:5" x14ac:dyDescent="0.25">
      <c r="A132" t="s">
        <v>28</v>
      </c>
      <c r="B132" s="28">
        <v>45750</v>
      </c>
      <c r="C132">
        <v>86.92</v>
      </c>
      <c r="D132" t="s">
        <v>2</v>
      </c>
      <c r="E132" t="s">
        <v>215</v>
      </c>
    </row>
    <row r="133" spans="1:5" x14ac:dyDescent="0.25">
      <c r="A133" t="s">
        <v>28</v>
      </c>
      <c r="B133" s="28">
        <v>45750</v>
      </c>
      <c r="C133">
        <v>40418.65</v>
      </c>
      <c r="D133" t="s">
        <v>2</v>
      </c>
      <c r="E133" t="s">
        <v>116</v>
      </c>
    </row>
    <row r="134" spans="1:5" x14ac:dyDescent="0.25">
      <c r="A134" t="s">
        <v>28</v>
      </c>
      <c r="B134" s="28">
        <v>45751</v>
      </c>
      <c r="C134">
        <v>121224.65</v>
      </c>
      <c r="D134" t="s">
        <v>2</v>
      </c>
      <c r="E134" t="s">
        <v>218</v>
      </c>
    </row>
    <row r="135" spans="1:5" x14ac:dyDescent="0.25">
      <c r="A135" t="s">
        <v>28</v>
      </c>
      <c r="B135" s="28">
        <v>45751</v>
      </c>
      <c r="C135">
        <v>225366.55</v>
      </c>
      <c r="D135" t="s">
        <v>2</v>
      </c>
      <c r="E135" t="s">
        <v>220</v>
      </c>
    </row>
    <row r="136" spans="1:5" x14ac:dyDescent="0.25">
      <c r="A136" t="s">
        <v>28</v>
      </c>
      <c r="B136" s="28">
        <v>45762</v>
      </c>
      <c r="C136">
        <v>5981.96</v>
      </c>
      <c r="D136" t="s">
        <v>2</v>
      </c>
      <c r="E136" t="s">
        <v>222</v>
      </c>
    </row>
    <row r="137" spans="1:5" x14ac:dyDescent="0.25">
      <c r="A137" t="s">
        <v>28</v>
      </c>
      <c r="B137" s="28">
        <v>45762</v>
      </c>
      <c r="C137">
        <v>5259.64</v>
      </c>
      <c r="D137" t="s">
        <v>2</v>
      </c>
      <c r="E137" t="s">
        <v>222</v>
      </c>
    </row>
    <row r="138" spans="1:5" x14ac:dyDescent="0.25">
      <c r="A138" t="s">
        <v>28</v>
      </c>
      <c r="B138" s="28">
        <v>45762</v>
      </c>
      <c r="C138">
        <v>4346.09</v>
      </c>
      <c r="D138" t="s">
        <v>2</v>
      </c>
      <c r="E138" t="s">
        <v>222</v>
      </c>
    </row>
    <row r="139" spans="1:5" x14ac:dyDescent="0.25">
      <c r="A139" t="s">
        <v>28</v>
      </c>
      <c r="B139" s="28">
        <v>45762</v>
      </c>
      <c r="C139">
        <v>10430.620000000001</v>
      </c>
      <c r="D139" t="s">
        <v>2</v>
      </c>
      <c r="E139" t="s">
        <v>226</v>
      </c>
    </row>
    <row r="140" spans="1:5" x14ac:dyDescent="0.25">
      <c r="A140" t="s">
        <v>28</v>
      </c>
      <c r="B140" s="28">
        <v>45763</v>
      </c>
      <c r="C140">
        <v>53891.53</v>
      </c>
      <c r="D140" t="s">
        <v>2</v>
      </c>
      <c r="E140" t="s">
        <v>228</v>
      </c>
    </row>
    <row r="141" spans="1:5" x14ac:dyDescent="0.25">
      <c r="A141" t="s">
        <v>28</v>
      </c>
      <c r="B141" s="28">
        <v>45763</v>
      </c>
      <c r="C141">
        <v>152.11000000000001</v>
      </c>
      <c r="D141" t="s">
        <v>2</v>
      </c>
      <c r="E141" t="s">
        <v>230</v>
      </c>
    </row>
    <row r="142" spans="1:5" x14ac:dyDescent="0.25">
      <c r="A142" t="s">
        <v>28</v>
      </c>
      <c r="B142" s="28">
        <v>45763</v>
      </c>
      <c r="C142">
        <v>86.92</v>
      </c>
      <c r="D142" t="s">
        <v>2</v>
      </c>
      <c r="E142" t="s">
        <v>232</v>
      </c>
    </row>
    <row r="143" spans="1:5" x14ac:dyDescent="0.25">
      <c r="A143" t="s">
        <v>28</v>
      </c>
      <c r="B143" s="28">
        <v>45763</v>
      </c>
      <c r="C143">
        <v>1303.83</v>
      </c>
      <c r="D143" t="s">
        <v>2</v>
      </c>
      <c r="E143" t="s">
        <v>234</v>
      </c>
    </row>
    <row r="144" spans="1:5" x14ac:dyDescent="0.25">
      <c r="A144" t="s">
        <v>28</v>
      </c>
      <c r="B144" s="28">
        <v>45763</v>
      </c>
      <c r="C144">
        <v>614.54</v>
      </c>
      <c r="D144" t="s">
        <v>2</v>
      </c>
      <c r="E144" t="s">
        <v>236</v>
      </c>
    </row>
    <row r="145" spans="1:5" x14ac:dyDescent="0.25">
      <c r="A145" t="s">
        <v>28</v>
      </c>
      <c r="B145" s="28">
        <v>45763</v>
      </c>
      <c r="C145">
        <v>86.92</v>
      </c>
      <c r="D145" t="s">
        <v>2</v>
      </c>
      <c r="E145" t="s">
        <v>238</v>
      </c>
    </row>
    <row r="146" spans="1:5" x14ac:dyDescent="0.25">
      <c r="A146" t="s">
        <v>28</v>
      </c>
      <c r="B146" s="28">
        <v>45763</v>
      </c>
      <c r="C146">
        <v>42552.58</v>
      </c>
      <c r="D146" t="s">
        <v>2</v>
      </c>
      <c r="E146" t="s">
        <v>240</v>
      </c>
    </row>
    <row r="147" spans="1:5" x14ac:dyDescent="0.25">
      <c r="A147" t="s">
        <v>28</v>
      </c>
      <c r="B147" s="28">
        <v>45763</v>
      </c>
      <c r="C147">
        <v>1116.95</v>
      </c>
      <c r="D147" t="s">
        <v>2</v>
      </c>
      <c r="E147" t="s">
        <v>242</v>
      </c>
    </row>
    <row r="148" spans="1:5" x14ac:dyDescent="0.25">
      <c r="A148" t="s">
        <v>28</v>
      </c>
      <c r="B148" s="28">
        <v>45763</v>
      </c>
      <c r="C148">
        <v>94105.04</v>
      </c>
      <c r="D148" t="s">
        <v>2</v>
      </c>
      <c r="E148" t="s">
        <v>244</v>
      </c>
    </row>
    <row r="149" spans="1:5" x14ac:dyDescent="0.25">
      <c r="A149" t="s">
        <v>28</v>
      </c>
      <c r="B149" s="28">
        <v>45768</v>
      </c>
      <c r="C149">
        <v>16200.07</v>
      </c>
      <c r="D149" t="s">
        <v>2</v>
      </c>
      <c r="E149" t="s">
        <v>246</v>
      </c>
    </row>
    <row r="150" spans="1:5" x14ac:dyDescent="0.25">
      <c r="A150" t="s">
        <v>28</v>
      </c>
      <c r="B150" s="28">
        <v>45769</v>
      </c>
      <c r="C150">
        <v>1542.86</v>
      </c>
      <c r="D150" t="s">
        <v>2</v>
      </c>
      <c r="E150" t="s">
        <v>248</v>
      </c>
    </row>
    <row r="151" spans="1:5" x14ac:dyDescent="0.25">
      <c r="A151" t="s">
        <v>28</v>
      </c>
      <c r="B151" s="28">
        <v>45769</v>
      </c>
      <c r="C151">
        <v>3739.38</v>
      </c>
      <c r="D151" t="s">
        <v>2</v>
      </c>
      <c r="E151" t="s">
        <v>250</v>
      </c>
    </row>
    <row r="152" spans="1:5" x14ac:dyDescent="0.25">
      <c r="A152" t="s">
        <v>28</v>
      </c>
      <c r="B152" s="28">
        <v>45769</v>
      </c>
      <c r="C152">
        <v>525.88</v>
      </c>
      <c r="D152" t="s">
        <v>2</v>
      </c>
      <c r="E152" t="s">
        <v>252</v>
      </c>
    </row>
    <row r="153" spans="1:5" x14ac:dyDescent="0.25">
      <c r="A153" t="s">
        <v>28</v>
      </c>
      <c r="B153" s="28">
        <v>45771</v>
      </c>
      <c r="C153">
        <v>158209.88</v>
      </c>
      <c r="D153" t="s">
        <v>2</v>
      </c>
      <c r="E153" t="s">
        <v>254</v>
      </c>
    </row>
    <row r="154" spans="1:5" x14ac:dyDescent="0.25">
      <c r="A154" t="s">
        <v>28</v>
      </c>
      <c r="B154" s="28">
        <v>45770</v>
      </c>
      <c r="C154">
        <v>16445.61</v>
      </c>
      <c r="D154" t="s">
        <v>2</v>
      </c>
      <c r="E154" t="s">
        <v>256</v>
      </c>
    </row>
    <row r="155" spans="1:5" x14ac:dyDescent="0.25">
      <c r="A155" t="s">
        <v>28</v>
      </c>
      <c r="B155" s="28">
        <v>45787</v>
      </c>
      <c r="C155">
        <v>154770.66</v>
      </c>
      <c r="D155" t="s">
        <v>2</v>
      </c>
      <c r="E155" t="s">
        <v>258</v>
      </c>
    </row>
    <row r="156" spans="1:5" x14ac:dyDescent="0.25">
      <c r="A156" t="s">
        <v>28</v>
      </c>
      <c r="B156" s="28">
        <v>45787</v>
      </c>
      <c r="C156">
        <v>38692.67</v>
      </c>
      <c r="D156" t="s">
        <v>2</v>
      </c>
      <c r="E156" t="s">
        <v>260</v>
      </c>
    </row>
    <row r="157" spans="1:5" x14ac:dyDescent="0.25">
      <c r="A157" t="s">
        <v>28</v>
      </c>
      <c r="B157" s="28">
        <v>45787</v>
      </c>
      <c r="C157">
        <v>34117.47</v>
      </c>
      <c r="D157" t="s">
        <v>2</v>
      </c>
      <c r="E157" t="s">
        <v>262</v>
      </c>
    </row>
    <row r="158" spans="1:5" x14ac:dyDescent="0.25">
      <c r="A158" t="s">
        <v>28</v>
      </c>
      <c r="B158" s="28">
        <v>45793</v>
      </c>
      <c r="C158">
        <v>46947.1</v>
      </c>
      <c r="D158" t="s">
        <v>2</v>
      </c>
      <c r="E158" t="s">
        <v>264</v>
      </c>
    </row>
    <row r="159" spans="1:5" x14ac:dyDescent="0.25">
      <c r="A159" t="s">
        <v>28</v>
      </c>
      <c r="B159" s="28">
        <v>45797</v>
      </c>
      <c r="C159">
        <v>7631.05</v>
      </c>
      <c r="D159" t="s">
        <v>2</v>
      </c>
      <c r="E159" t="s">
        <v>266</v>
      </c>
    </row>
    <row r="160" spans="1:5" x14ac:dyDescent="0.25">
      <c r="A160" t="s">
        <v>28</v>
      </c>
      <c r="B160" s="28">
        <v>45805</v>
      </c>
      <c r="C160">
        <v>129130.32</v>
      </c>
      <c r="D160" t="s">
        <v>2</v>
      </c>
      <c r="E160" t="s">
        <v>268</v>
      </c>
    </row>
    <row r="161" spans="1:5" x14ac:dyDescent="0.25">
      <c r="A161" t="s">
        <v>28</v>
      </c>
      <c r="B161" s="28">
        <v>45810</v>
      </c>
      <c r="C161">
        <v>31535.84</v>
      </c>
      <c r="D161" t="s">
        <v>2</v>
      </c>
      <c r="E161" t="s">
        <v>270</v>
      </c>
    </row>
    <row r="162" spans="1:5" x14ac:dyDescent="0.25">
      <c r="A162" t="s">
        <v>28</v>
      </c>
      <c r="B162" s="28">
        <v>45810</v>
      </c>
      <c r="C162">
        <v>16261.2</v>
      </c>
      <c r="D162" t="s">
        <v>2</v>
      </c>
      <c r="E162" t="s">
        <v>272</v>
      </c>
    </row>
    <row r="163" spans="1:5" x14ac:dyDescent="0.25">
      <c r="A163" t="s">
        <v>28</v>
      </c>
      <c r="B163" s="28">
        <v>45812</v>
      </c>
      <c r="C163">
        <v>11054.81</v>
      </c>
      <c r="D163" t="s">
        <v>2</v>
      </c>
      <c r="E163" t="s">
        <v>274</v>
      </c>
    </row>
    <row r="164" spans="1:5" x14ac:dyDescent="0.25">
      <c r="A164" t="s">
        <v>28</v>
      </c>
      <c r="B164" s="28">
        <v>45812</v>
      </c>
      <c r="C164">
        <v>3951.38</v>
      </c>
      <c r="D164" t="s">
        <v>2</v>
      </c>
      <c r="E164" t="s">
        <v>276</v>
      </c>
    </row>
    <row r="165" spans="1:5" x14ac:dyDescent="0.25">
      <c r="A165" t="s">
        <v>28</v>
      </c>
      <c r="B165" s="28">
        <v>45815</v>
      </c>
      <c r="C165">
        <v>106042.76</v>
      </c>
      <c r="D165" t="s">
        <v>2</v>
      </c>
      <c r="E165" t="s">
        <v>278</v>
      </c>
    </row>
    <row r="166" spans="1:5" x14ac:dyDescent="0.25">
      <c r="A166" t="s">
        <v>28</v>
      </c>
      <c r="B166" s="28">
        <v>45812</v>
      </c>
      <c r="C166">
        <v>600.15</v>
      </c>
      <c r="D166" t="s">
        <v>2</v>
      </c>
      <c r="E166" t="s">
        <v>280</v>
      </c>
    </row>
    <row r="167" spans="1:5" x14ac:dyDescent="0.25">
      <c r="A167" t="s">
        <v>28</v>
      </c>
      <c r="B167" s="28">
        <v>45812</v>
      </c>
      <c r="C167">
        <v>52265.64</v>
      </c>
      <c r="D167" t="s">
        <v>2</v>
      </c>
      <c r="E167" t="s">
        <v>282</v>
      </c>
    </row>
    <row r="168" spans="1:5" x14ac:dyDescent="0.25">
      <c r="A168" t="s">
        <v>28</v>
      </c>
      <c r="B168" s="28">
        <v>45821</v>
      </c>
      <c r="C168">
        <v>39753.21</v>
      </c>
      <c r="D168" t="s">
        <v>2</v>
      </c>
      <c r="E168" t="s">
        <v>284</v>
      </c>
    </row>
    <row r="169" spans="1:5" x14ac:dyDescent="0.25">
      <c r="A169" t="s">
        <v>28</v>
      </c>
      <c r="B169" s="28">
        <v>45818</v>
      </c>
      <c r="C169">
        <v>153883.4</v>
      </c>
      <c r="D169" t="s">
        <v>2</v>
      </c>
      <c r="E169" t="s">
        <v>286</v>
      </c>
    </row>
    <row r="170" spans="1:5" x14ac:dyDescent="0.25">
      <c r="A170" t="s">
        <v>28</v>
      </c>
      <c r="B170" s="28">
        <v>45827</v>
      </c>
      <c r="C170">
        <v>9403.99</v>
      </c>
      <c r="D170" t="s">
        <v>2</v>
      </c>
      <c r="E170" t="s">
        <v>288</v>
      </c>
    </row>
    <row r="171" spans="1:5" x14ac:dyDescent="0.25">
      <c r="A171" t="s">
        <v>28</v>
      </c>
      <c r="B171" s="28">
        <v>45842</v>
      </c>
      <c r="C171">
        <v>5743.98</v>
      </c>
      <c r="D171" t="s">
        <v>2</v>
      </c>
      <c r="E171" t="s">
        <v>290</v>
      </c>
    </row>
    <row r="172" spans="1:5" x14ac:dyDescent="0.25">
      <c r="A172" t="s">
        <v>28</v>
      </c>
      <c r="B172" s="28">
        <v>45842</v>
      </c>
      <c r="C172">
        <v>27402.39</v>
      </c>
      <c r="D172" t="s">
        <v>2</v>
      </c>
      <c r="E172" t="s">
        <v>292</v>
      </c>
    </row>
    <row r="173" spans="1:5" x14ac:dyDescent="0.25">
      <c r="A173" t="s">
        <v>28</v>
      </c>
      <c r="B173" s="28">
        <v>45842</v>
      </c>
      <c r="C173">
        <v>1314.09</v>
      </c>
      <c r="D173" t="s">
        <v>2</v>
      </c>
      <c r="E173" t="s">
        <v>294</v>
      </c>
    </row>
    <row r="174" spans="1:5" x14ac:dyDescent="0.25">
      <c r="A174" t="s">
        <v>28</v>
      </c>
      <c r="B174" s="28">
        <v>45842</v>
      </c>
      <c r="C174">
        <v>4490.95</v>
      </c>
      <c r="D174" t="s">
        <v>2</v>
      </c>
      <c r="E174" t="s">
        <v>296</v>
      </c>
    </row>
    <row r="175" spans="1:5" x14ac:dyDescent="0.25">
      <c r="A175" t="s">
        <v>28</v>
      </c>
      <c r="B175" s="28">
        <v>45842</v>
      </c>
      <c r="C175">
        <v>154801.21</v>
      </c>
      <c r="D175" t="s">
        <v>2</v>
      </c>
      <c r="E175" t="s">
        <v>298</v>
      </c>
    </row>
    <row r="176" spans="1:5" x14ac:dyDescent="0.25">
      <c r="A176" t="s">
        <v>28</v>
      </c>
      <c r="B176" s="28">
        <v>45842</v>
      </c>
      <c r="C176">
        <v>15083.66</v>
      </c>
      <c r="D176" t="s">
        <v>2</v>
      </c>
      <c r="E176" t="s">
        <v>300</v>
      </c>
    </row>
    <row r="177" spans="1:5" x14ac:dyDescent="0.25">
      <c r="A177" t="s">
        <v>28</v>
      </c>
      <c r="B177" s="28">
        <v>45842</v>
      </c>
      <c r="C177">
        <v>130822.5</v>
      </c>
      <c r="D177" t="s">
        <v>2</v>
      </c>
      <c r="E177" t="s">
        <v>302</v>
      </c>
    </row>
    <row r="178" spans="1:5" x14ac:dyDescent="0.25">
      <c r="A178" t="s">
        <v>28</v>
      </c>
      <c r="B178" s="28">
        <v>45856</v>
      </c>
      <c r="C178">
        <v>2243.7600000000002</v>
      </c>
      <c r="D178" t="s">
        <v>2</v>
      </c>
      <c r="E178" t="s">
        <v>304</v>
      </c>
    </row>
    <row r="179" spans="1:5" x14ac:dyDescent="0.25">
      <c r="A179" t="s">
        <v>28</v>
      </c>
      <c r="B179" s="28">
        <v>45856</v>
      </c>
      <c r="C179">
        <v>6341.69</v>
      </c>
      <c r="D179" t="s">
        <v>2</v>
      </c>
      <c r="E179" t="s">
        <v>306</v>
      </c>
    </row>
    <row r="180" spans="1:5" x14ac:dyDescent="0.25">
      <c r="A180" t="s">
        <v>28</v>
      </c>
      <c r="B180" s="28">
        <v>45856</v>
      </c>
      <c r="C180">
        <v>20570.5</v>
      </c>
      <c r="D180" t="s">
        <v>2</v>
      </c>
      <c r="E180" t="s">
        <v>308</v>
      </c>
    </row>
    <row r="181" spans="1:5" x14ac:dyDescent="0.25">
      <c r="A181" t="s">
        <v>28</v>
      </c>
      <c r="B181" s="28">
        <v>45856</v>
      </c>
      <c r="C181">
        <v>236.5</v>
      </c>
      <c r="D181" t="s">
        <v>2</v>
      </c>
      <c r="E181" t="s">
        <v>310</v>
      </c>
    </row>
    <row r="182" spans="1:5" x14ac:dyDescent="0.25">
      <c r="A182" t="s">
        <v>28</v>
      </c>
      <c r="B182" s="28">
        <v>45856</v>
      </c>
      <c r="C182">
        <v>9541.77</v>
      </c>
      <c r="D182" t="s">
        <v>2</v>
      </c>
      <c r="E182" t="s">
        <v>312</v>
      </c>
    </row>
    <row r="183" spans="1:5" x14ac:dyDescent="0.25">
      <c r="A183" t="s">
        <v>28</v>
      </c>
      <c r="B183" s="28">
        <v>45856</v>
      </c>
      <c r="C183">
        <v>17200.13</v>
      </c>
      <c r="D183" t="s">
        <v>2</v>
      </c>
      <c r="E183" t="s">
        <v>314</v>
      </c>
    </row>
    <row r="184" spans="1:5" x14ac:dyDescent="0.25">
      <c r="A184" t="s">
        <v>28</v>
      </c>
      <c r="B184" s="28">
        <v>45862</v>
      </c>
      <c r="C184">
        <v>2515.52</v>
      </c>
      <c r="D184" t="s">
        <v>2</v>
      </c>
      <c r="E184" t="s">
        <v>316</v>
      </c>
    </row>
    <row r="185" spans="1:5" x14ac:dyDescent="0.25">
      <c r="A185" t="s">
        <v>28</v>
      </c>
      <c r="B185" s="28">
        <v>45863</v>
      </c>
      <c r="C185">
        <v>39990.31</v>
      </c>
      <c r="D185" t="s">
        <v>2</v>
      </c>
      <c r="E185" t="s">
        <v>318</v>
      </c>
    </row>
    <row r="186" spans="1:5" x14ac:dyDescent="0.25">
      <c r="A186" t="s">
        <v>28</v>
      </c>
      <c r="B186" s="28">
        <v>45870</v>
      </c>
      <c r="C186">
        <v>154854.22</v>
      </c>
      <c r="D186" t="s">
        <v>2</v>
      </c>
      <c r="E186" t="s">
        <v>320</v>
      </c>
    </row>
    <row r="187" spans="1:5" x14ac:dyDescent="0.25">
      <c r="A187" t="s">
        <v>28</v>
      </c>
      <c r="B187" s="28">
        <v>45877</v>
      </c>
      <c r="C187">
        <v>30826.31</v>
      </c>
      <c r="D187" t="s">
        <v>2</v>
      </c>
      <c r="E187" t="s">
        <v>322</v>
      </c>
    </row>
    <row r="188" spans="1:5" x14ac:dyDescent="0.25">
      <c r="A188" t="s">
        <v>28</v>
      </c>
      <c r="B188" s="28">
        <v>45877</v>
      </c>
      <c r="C188">
        <v>1179.47</v>
      </c>
      <c r="D188" t="s">
        <v>2</v>
      </c>
      <c r="E188" t="s">
        <v>324</v>
      </c>
    </row>
    <row r="189" spans="1:5" x14ac:dyDescent="0.25">
      <c r="A189" t="s">
        <v>28</v>
      </c>
      <c r="B189" s="28">
        <v>45877</v>
      </c>
      <c r="C189">
        <v>109043.18</v>
      </c>
      <c r="D189" t="s">
        <v>2</v>
      </c>
      <c r="E189" t="s">
        <v>326</v>
      </c>
    </row>
    <row r="190" spans="1:5" x14ac:dyDescent="0.25">
      <c r="A190" t="s">
        <v>28</v>
      </c>
      <c r="B190" s="28">
        <v>45877</v>
      </c>
      <c r="C190">
        <v>1952.88</v>
      </c>
      <c r="D190" t="s">
        <v>2</v>
      </c>
      <c r="E190" t="s">
        <v>328</v>
      </c>
    </row>
    <row r="191" spans="1:5" x14ac:dyDescent="0.25">
      <c r="A191" t="s">
        <v>28</v>
      </c>
      <c r="B191" s="28">
        <v>45877</v>
      </c>
      <c r="C191">
        <v>8803.4599999999991</v>
      </c>
      <c r="D191" t="s">
        <v>2</v>
      </c>
      <c r="E191" t="s">
        <v>330</v>
      </c>
    </row>
    <row r="192" spans="1:5" x14ac:dyDescent="0.25">
      <c r="A192" t="s">
        <v>28</v>
      </c>
      <c r="B192" s="28">
        <v>45877</v>
      </c>
      <c r="C192">
        <v>2260.0100000000002</v>
      </c>
      <c r="D192" t="s">
        <v>2</v>
      </c>
      <c r="E192" t="s">
        <v>332</v>
      </c>
    </row>
    <row r="193" spans="1:5" x14ac:dyDescent="0.25">
      <c r="A193" t="s">
        <v>28</v>
      </c>
      <c r="B193" s="28">
        <v>45877</v>
      </c>
      <c r="C193">
        <v>4846.08</v>
      </c>
      <c r="D193" t="s">
        <v>2</v>
      </c>
      <c r="E193" t="s">
        <v>334</v>
      </c>
    </row>
    <row r="194" spans="1:5" x14ac:dyDescent="0.25">
      <c r="A194" t="s">
        <v>28</v>
      </c>
      <c r="B194" s="28">
        <v>45889</v>
      </c>
      <c r="C194">
        <v>4305.8100000000004</v>
      </c>
      <c r="D194" t="s">
        <v>2</v>
      </c>
      <c r="E194" t="s">
        <v>336</v>
      </c>
    </row>
    <row r="195" spans="1:5" x14ac:dyDescent="0.25">
      <c r="A195" t="s">
        <v>28</v>
      </c>
      <c r="B195" s="28">
        <v>45889</v>
      </c>
      <c r="C195">
        <v>1527.03</v>
      </c>
      <c r="D195" t="s">
        <v>2</v>
      </c>
      <c r="E195" t="s">
        <v>338</v>
      </c>
    </row>
    <row r="196" spans="1:5" x14ac:dyDescent="0.25">
      <c r="A196" t="s">
        <v>28</v>
      </c>
      <c r="B196" s="28">
        <v>45904</v>
      </c>
      <c r="C196">
        <v>6574.95</v>
      </c>
      <c r="D196" t="s">
        <v>2</v>
      </c>
      <c r="E196" t="s">
        <v>340</v>
      </c>
    </row>
    <row r="197" spans="1:5" x14ac:dyDescent="0.25">
      <c r="A197" t="s">
        <v>28</v>
      </c>
      <c r="B197" s="28">
        <v>45906</v>
      </c>
      <c r="C197">
        <v>96180</v>
      </c>
      <c r="D197" t="s">
        <v>2</v>
      </c>
      <c r="E197" t="s">
        <v>342</v>
      </c>
    </row>
    <row r="198" spans="1:5" x14ac:dyDescent="0.25">
      <c r="A198" t="s">
        <v>28</v>
      </c>
      <c r="B198" s="28">
        <v>45904</v>
      </c>
      <c r="C198">
        <v>12252.01</v>
      </c>
      <c r="D198" t="s">
        <v>2</v>
      </c>
      <c r="E198" t="s">
        <v>344</v>
      </c>
    </row>
    <row r="199" spans="1:5" x14ac:dyDescent="0.25">
      <c r="A199" t="s">
        <v>28</v>
      </c>
      <c r="B199" s="28">
        <v>45904</v>
      </c>
      <c r="C199">
        <v>9462.0499999999993</v>
      </c>
      <c r="D199" t="s">
        <v>2</v>
      </c>
      <c r="E199" t="s">
        <v>346</v>
      </c>
    </row>
    <row r="200" spans="1:5" x14ac:dyDescent="0.25">
      <c r="A200" t="s">
        <v>28</v>
      </c>
      <c r="B200" s="28">
        <v>45904</v>
      </c>
      <c r="C200">
        <v>50618.29</v>
      </c>
      <c r="D200" t="s">
        <v>2</v>
      </c>
      <c r="E200" t="s">
        <v>348</v>
      </c>
    </row>
    <row r="201" spans="1:5" x14ac:dyDescent="0.25">
      <c r="A201" t="s">
        <v>28</v>
      </c>
      <c r="B201" s="28">
        <v>45904</v>
      </c>
      <c r="C201">
        <v>157525.79</v>
      </c>
      <c r="D201" t="s">
        <v>2</v>
      </c>
      <c r="E201" t="s">
        <v>350</v>
      </c>
    </row>
    <row r="202" spans="1:5" x14ac:dyDescent="0.25">
      <c r="A202" t="s">
        <v>28</v>
      </c>
      <c r="B202" s="28">
        <v>45935</v>
      </c>
      <c r="C202">
        <v>23886.47</v>
      </c>
      <c r="D202" t="s">
        <v>2</v>
      </c>
      <c r="E202" t="s">
        <v>352</v>
      </c>
    </row>
    <row r="203" spans="1:5" x14ac:dyDescent="0.25">
      <c r="A203" t="s">
        <v>28</v>
      </c>
      <c r="B203" s="28">
        <v>45958</v>
      </c>
      <c r="C203">
        <v>21776.06</v>
      </c>
      <c r="D203" t="s">
        <v>2</v>
      </c>
      <c r="E203" t="s">
        <v>354</v>
      </c>
    </row>
    <row r="204" spans="1:5" x14ac:dyDescent="0.25">
      <c r="A204" t="s">
        <v>28</v>
      </c>
      <c r="B204" s="28">
        <v>45966</v>
      </c>
      <c r="C204">
        <v>12865.22</v>
      </c>
      <c r="D204" t="s">
        <v>2</v>
      </c>
      <c r="E204" t="s">
        <v>356</v>
      </c>
    </row>
    <row r="205" spans="1:5" x14ac:dyDescent="0.25">
      <c r="A205" t="s">
        <v>28</v>
      </c>
      <c r="B205" s="28">
        <v>46027</v>
      </c>
      <c r="C205">
        <v>2887.45</v>
      </c>
      <c r="D205" t="s">
        <v>2</v>
      </c>
      <c r="E205" t="s">
        <v>358</v>
      </c>
    </row>
    <row r="206" spans="1:5" x14ac:dyDescent="0.25">
      <c r="A206" t="s">
        <v>28</v>
      </c>
      <c r="B206" s="28">
        <v>46027</v>
      </c>
      <c r="C206">
        <v>31527.8</v>
      </c>
      <c r="D206" t="s">
        <v>2</v>
      </c>
      <c r="E206" t="s">
        <v>360</v>
      </c>
    </row>
    <row r="207" spans="1:5" x14ac:dyDescent="0.25">
      <c r="A207" t="s">
        <v>28</v>
      </c>
      <c r="B207" s="28">
        <v>46027</v>
      </c>
      <c r="C207">
        <v>32731.96</v>
      </c>
      <c r="D207" t="s">
        <v>2</v>
      </c>
      <c r="E207" t="s">
        <v>362</v>
      </c>
    </row>
    <row r="208" spans="1:5" x14ac:dyDescent="0.25">
      <c r="A208" t="s">
        <v>28</v>
      </c>
      <c r="B208" s="28">
        <v>46028</v>
      </c>
      <c r="C208">
        <v>4993.59</v>
      </c>
      <c r="D208" t="s">
        <v>2</v>
      </c>
      <c r="E208" t="s">
        <v>364</v>
      </c>
    </row>
    <row r="209" spans="1:5" x14ac:dyDescent="0.25">
      <c r="A209" t="s">
        <v>28</v>
      </c>
      <c r="B209" s="28">
        <v>46028</v>
      </c>
      <c r="C209">
        <v>66298.75</v>
      </c>
      <c r="D209" t="s">
        <v>2</v>
      </c>
      <c r="E209" t="s">
        <v>366</v>
      </c>
    </row>
    <row r="210" spans="1:5" x14ac:dyDescent="0.25">
      <c r="A210" t="s">
        <v>28</v>
      </c>
      <c r="B210" s="28">
        <v>46034</v>
      </c>
      <c r="C210">
        <v>4087.07</v>
      </c>
      <c r="D210" t="s">
        <v>2</v>
      </c>
      <c r="E210" t="s">
        <v>368</v>
      </c>
    </row>
    <row r="211" spans="1:5" x14ac:dyDescent="0.25">
      <c r="A211" t="s">
        <v>28</v>
      </c>
      <c r="B211" s="28">
        <v>46028</v>
      </c>
      <c r="C211">
        <v>1519.95</v>
      </c>
      <c r="D211" t="s">
        <v>2</v>
      </c>
      <c r="E211" t="s">
        <v>370</v>
      </c>
    </row>
    <row r="212" spans="1:5" x14ac:dyDescent="0.25">
      <c r="A212" t="s">
        <v>28</v>
      </c>
      <c r="B212" s="28">
        <v>46034</v>
      </c>
      <c r="C212">
        <v>11455.41</v>
      </c>
      <c r="D212" t="s">
        <v>2</v>
      </c>
      <c r="E212" t="s">
        <v>372</v>
      </c>
    </row>
    <row r="213" spans="1:5" x14ac:dyDescent="0.25">
      <c r="A213" t="s">
        <v>28</v>
      </c>
      <c r="B213" s="28">
        <v>46045</v>
      </c>
      <c r="C213">
        <v>1519.95</v>
      </c>
      <c r="D213" t="s">
        <v>2</v>
      </c>
      <c r="E213" t="s">
        <v>374</v>
      </c>
    </row>
    <row r="214" spans="1:5" x14ac:dyDescent="0.25">
      <c r="A214" t="s">
        <v>28</v>
      </c>
      <c r="B214" s="28">
        <v>46045</v>
      </c>
      <c r="C214">
        <v>317.60000000000002</v>
      </c>
      <c r="D214" t="s">
        <v>2</v>
      </c>
      <c r="E214" t="s">
        <v>376</v>
      </c>
    </row>
    <row r="215" spans="1:5" x14ac:dyDescent="0.25">
      <c r="A215" t="s">
        <v>28</v>
      </c>
      <c r="B215" s="28">
        <v>46049</v>
      </c>
      <c r="C215">
        <v>16023.42</v>
      </c>
      <c r="D215" t="s">
        <v>2</v>
      </c>
      <c r="E215" t="s">
        <v>378</v>
      </c>
    </row>
    <row r="216" spans="1:5" x14ac:dyDescent="0.25">
      <c r="A216" t="s">
        <v>1</v>
      </c>
      <c r="B216" s="28">
        <v>45796</v>
      </c>
      <c r="C216">
        <v>-283762.44</v>
      </c>
      <c r="D216" t="s">
        <v>2</v>
      </c>
      <c r="E216" t="s">
        <v>380</v>
      </c>
    </row>
    <row r="217" spans="1:5" x14ac:dyDescent="0.25">
      <c r="A217" t="s">
        <v>28</v>
      </c>
      <c r="B217" s="28">
        <v>45707</v>
      </c>
      <c r="C217">
        <v>155346.59</v>
      </c>
      <c r="D217" t="s">
        <v>2</v>
      </c>
      <c r="E217" t="s">
        <v>382</v>
      </c>
    </row>
    <row r="218" spans="1:5" x14ac:dyDescent="0.25">
      <c r="A218" t="s">
        <v>28</v>
      </c>
      <c r="B218" s="28">
        <v>45713</v>
      </c>
      <c r="C218">
        <v>40131.199999999997</v>
      </c>
      <c r="D218" t="s">
        <v>2</v>
      </c>
      <c r="E218" t="s">
        <v>116</v>
      </c>
    </row>
    <row r="219" spans="1:5" x14ac:dyDescent="0.25">
      <c r="A219" t="s">
        <v>28</v>
      </c>
      <c r="B219" s="28">
        <v>45719</v>
      </c>
      <c r="C219">
        <v>88284.65</v>
      </c>
      <c r="D219" t="s">
        <v>2</v>
      </c>
      <c r="E219" t="s">
        <v>385</v>
      </c>
    </row>
    <row r="220" spans="1:5" x14ac:dyDescent="0.25">
      <c r="A220" t="s">
        <v>387</v>
      </c>
      <c r="B220" s="28">
        <v>45861</v>
      </c>
      <c r="C220">
        <v>0</v>
      </c>
      <c r="D220" t="s">
        <v>2</v>
      </c>
      <c r="E220" t="s">
        <v>0</v>
      </c>
    </row>
    <row r="221" spans="1:5" x14ac:dyDescent="0.25">
      <c r="A221" t="s">
        <v>97</v>
      </c>
      <c r="B221" s="28">
        <v>45791</v>
      </c>
      <c r="C221">
        <v>-6692.57</v>
      </c>
      <c r="D221" t="s">
        <v>2</v>
      </c>
      <c r="E221" t="s">
        <v>389</v>
      </c>
    </row>
    <row r="222" spans="1:5" x14ac:dyDescent="0.25">
      <c r="A222" t="s">
        <v>28</v>
      </c>
      <c r="B222" s="28">
        <v>45730</v>
      </c>
      <c r="C222">
        <v>6692.57</v>
      </c>
      <c r="D222" t="s">
        <v>2</v>
      </c>
      <c r="E222" t="s">
        <v>131</v>
      </c>
    </row>
    <row r="223" spans="1:5" x14ac:dyDescent="0.25">
      <c r="A223" t="s">
        <v>387</v>
      </c>
      <c r="B223" s="28">
        <v>45861</v>
      </c>
      <c r="C223">
        <v>156459.28</v>
      </c>
      <c r="D223" t="s">
        <v>2</v>
      </c>
      <c r="E223" t="s">
        <v>0</v>
      </c>
    </row>
    <row r="224" spans="1:5" x14ac:dyDescent="0.25">
      <c r="A224" t="s">
        <v>387</v>
      </c>
      <c r="B224" s="28">
        <v>45861</v>
      </c>
      <c r="C224">
        <v>-156459.28</v>
      </c>
      <c r="D224" t="s">
        <v>2</v>
      </c>
      <c r="E224" t="s">
        <v>0</v>
      </c>
    </row>
    <row r="225" spans="1:5" x14ac:dyDescent="0.25">
      <c r="A225" t="s">
        <v>97</v>
      </c>
      <c r="B225" s="28">
        <v>45791</v>
      </c>
      <c r="C225">
        <v>-156459.28</v>
      </c>
      <c r="D225" t="s">
        <v>2</v>
      </c>
      <c r="E225" t="s">
        <v>393</v>
      </c>
    </row>
    <row r="226" spans="1:5" x14ac:dyDescent="0.25">
      <c r="A226" t="s">
        <v>28</v>
      </c>
      <c r="B226" s="28">
        <v>45750</v>
      </c>
      <c r="C226">
        <v>156459.28</v>
      </c>
      <c r="D226" t="s">
        <v>2</v>
      </c>
      <c r="E226" t="s">
        <v>114</v>
      </c>
    </row>
    <row r="227" spans="1:5" x14ac:dyDescent="0.25">
      <c r="A227" t="s">
        <v>387</v>
      </c>
      <c r="B227" s="28">
        <v>45861</v>
      </c>
      <c r="C227">
        <v>156459.28</v>
      </c>
      <c r="D227" t="s">
        <v>2</v>
      </c>
      <c r="E227" t="s">
        <v>0</v>
      </c>
    </row>
    <row r="228" spans="1:5" x14ac:dyDescent="0.25">
      <c r="A228" t="s">
        <v>387</v>
      </c>
      <c r="B228" s="28">
        <v>45861</v>
      </c>
      <c r="C228">
        <v>-156459.28</v>
      </c>
      <c r="D228" t="s">
        <v>2</v>
      </c>
      <c r="E228" t="s">
        <v>0</v>
      </c>
    </row>
    <row r="229" spans="1:5" x14ac:dyDescent="0.25">
      <c r="A229" t="s">
        <v>97</v>
      </c>
      <c r="B229" s="28">
        <v>45791</v>
      </c>
      <c r="C229">
        <v>-156459.28</v>
      </c>
      <c r="D229" t="s">
        <v>2</v>
      </c>
      <c r="E229" t="s">
        <v>397</v>
      </c>
    </row>
    <row r="230" spans="1:5" x14ac:dyDescent="0.25">
      <c r="A230" t="s">
        <v>28</v>
      </c>
      <c r="B230" s="28">
        <v>45750</v>
      </c>
      <c r="C230">
        <v>156459.28</v>
      </c>
      <c r="D230" t="s">
        <v>2</v>
      </c>
      <c r="E230" t="s">
        <v>112</v>
      </c>
    </row>
    <row r="231" spans="1:5" x14ac:dyDescent="0.25">
      <c r="A231" t="s">
        <v>387</v>
      </c>
      <c r="B231" s="28">
        <v>45861</v>
      </c>
      <c r="C231">
        <v>0</v>
      </c>
      <c r="D231" t="s">
        <v>2</v>
      </c>
      <c r="E231" t="s">
        <v>0</v>
      </c>
    </row>
    <row r="232" spans="1:5" x14ac:dyDescent="0.25">
      <c r="A232" t="s">
        <v>97</v>
      </c>
      <c r="B232" s="28">
        <v>45799</v>
      </c>
      <c r="C232">
        <v>-31978.67</v>
      </c>
      <c r="D232" t="s">
        <v>2</v>
      </c>
      <c r="E232" t="s">
        <v>401</v>
      </c>
    </row>
    <row r="233" spans="1:5" x14ac:dyDescent="0.25">
      <c r="A233" t="s">
        <v>28</v>
      </c>
      <c r="B233" s="28">
        <v>45735</v>
      </c>
      <c r="C233">
        <v>31978.67</v>
      </c>
      <c r="D233" t="s">
        <v>2</v>
      </c>
      <c r="E233" t="s">
        <v>403</v>
      </c>
    </row>
    <row r="234" spans="1:5" x14ac:dyDescent="0.25">
      <c r="A234" t="s">
        <v>387</v>
      </c>
      <c r="B234" s="28">
        <v>45861</v>
      </c>
      <c r="C234">
        <v>0</v>
      </c>
      <c r="D234" t="s">
        <v>2</v>
      </c>
      <c r="E234" t="s">
        <v>0</v>
      </c>
    </row>
    <row r="235" spans="1:5" x14ac:dyDescent="0.25">
      <c r="A235" t="s">
        <v>97</v>
      </c>
      <c r="B235" s="28">
        <v>45799</v>
      </c>
      <c r="C235">
        <v>-16550.78</v>
      </c>
      <c r="D235" t="s">
        <v>2</v>
      </c>
      <c r="E235" t="s">
        <v>407</v>
      </c>
    </row>
    <row r="236" spans="1:5" x14ac:dyDescent="0.25">
      <c r="A236" t="s">
        <v>28</v>
      </c>
      <c r="B236" s="28">
        <v>45770</v>
      </c>
      <c r="C236">
        <v>16550.78</v>
      </c>
      <c r="D236" t="s">
        <v>2</v>
      </c>
      <c r="E236" t="s">
        <v>272</v>
      </c>
    </row>
    <row r="237" spans="1:5" x14ac:dyDescent="0.25">
      <c r="A237" t="s">
        <v>387</v>
      </c>
      <c r="B237" s="28">
        <v>45975</v>
      </c>
      <c r="C237">
        <v>0</v>
      </c>
      <c r="D237" t="s">
        <v>2</v>
      </c>
      <c r="E237" t="s">
        <v>0</v>
      </c>
    </row>
    <row r="238" spans="1:5" x14ac:dyDescent="0.25">
      <c r="A238" t="s">
        <v>28</v>
      </c>
      <c r="B238" s="28">
        <v>45935</v>
      </c>
      <c r="C238">
        <v>13764.82</v>
      </c>
      <c r="D238" t="s">
        <v>2</v>
      </c>
      <c r="E238" t="s">
        <v>46</v>
      </c>
    </row>
    <row r="239" spans="1:5" x14ac:dyDescent="0.25">
      <c r="A239" t="s">
        <v>97</v>
      </c>
      <c r="B239" s="28">
        <v>45947</v>
      </c>
      <c r="C239">
        <v>-13764.82</v>
      </c>
      <c r="D239" t="s">
        <v>2</v>
      </c>
      <c r="E239" t="s">
        <v>412</v>
      </c>
    </row>
    <row r="240" spans="1:5" x14ac:dyDescent="0.25">
      <c r="A240" t="s">
        <v>97</v>
      </c>
      <c r="B240" s="28">
        <v>45862</v>
      </c>
      <c r="C240">
        <v>-2515.02</v>
      </c>
      <c r="D240" t="s">
        <v>2</v>
      </c>
      <c r="E240" t="s">
        <v>414</v>
      </c>
    </row>
    <row r="241" spans="1:5" x14ac:dyDescent="0.25">
      <c r="A241" t="s">
        <v>97</v>
      </c>
      <c r="B241" s="28">
        <v>45873</v>
      </c>
      <c r="C241">
        <v>-20570.5</v>
      </c>
      <c r="D241" t="s">
        <v>2</v>
      </c>
      <c r="E241" t="s">
        <v>416</v>
      </c>
    </row>
    <row r="242" spans="1:5" x14ac:dyDescent="0.25">
      <c r="A242" t="s">
        <v>28</v>
      </c>
      <c r="B242" s="28">
        <v>45797</v>
      </c>
      <c r="C242">
        <v>2515.02</v>
      </c>
      <c r="D242" t="s">
        <v>2</v>
      </c>
      <c r="E242" t="s">
        <v>316</v>
      </c>
    </row>
    <row r="243" spans="1:5" x14ac:dyDescent="0.25">
      <c r="A243" t="s">
        <v>28</v>
      </c>
      <c r="B243" s="28">
        <v>45856</v>
      </c>
      <c r="C243">
        <v>20570.5</v>
      </c>
      <c r="D243" t="s">
        <v>2</v>
      </c>
      <c r="E243" t="s">
        <v>308</v>
      </c>
    </row>
    <row r="244" spans="1:5" x14ac:dyDescent="0.25">
      <c r="A244" t="s">
        <v>1</v>
      </c>
      <c r="B244" s="28">
        <v>45959</v>
      </c>
      <c r="C244">
        <v>-1000000</v>
      </c>
      <c r="D244" t="s">
        <v>2</v>
      </c>
      <c r="E244" t="s">
        <v>0</v>
      </c>
    </row>
    <row r="245" spans="1:5" x14ac:dyDescent="0.25">
      <c r="A245" t="s">
        <v>1</v>
      </c>
      <c r="B245" s="28">
        <v>45959</v>
      </c>
      <c r="C245">
        <v>1000000</v>
      </c>
      <c r="D245" t="s">
        <v>2</v>
      </c>
      <c r="E245" t="s">
        <v>0</v>
      </c>
    </row>
    <row r="246" spans="1:5" x14ac:dyDescent="0.25">
      <c r="A246" t="s">
        <v>1</v>
      </c>
      <c r="B246" s="28">
        <v>45992</v>
      </c>
      <c r="C246">
        <v>-100000</v>
      </c>
      <c r="D246" t="s">
        <v>2</v>
      </c>
      <c r="E246" t="s">
        <v>0</v>
      </c>
    </row>
    <row r="247" spans="1:5" x14ac:dyDescent="0.25">
      <c r="A247" t="s">
        <v>1</v>
      </c>
      <c r="B247" s="28">
        <v>45992</v>
      </c>
      <c r="C247">
        <v>100000</v>
      </c>
      <c r="D247" t="s">
        <v>2</v>
      </c>
      <c r="E247" t="s">
        <v>0</v>
      </c>
    </row>
    <row r="248" spans="1:5" x14ac:dyDescent="0.25">
      <c r="A248" t="s">
        <v>424</v>
      </c>
      <c r="B248" s="28">
        <v>45758</v>
      </c>
      <c r="C248">
        <v>1</v>
      </c>
      <c r="D248" t="s">
        <v>2</v>
      </c>
      <c r="E248" t="s">
        <v>425</v>
      </c>
    </row>
    <row r="249" spans="1:5" x14ac:dyDescent="0.25">
      <c r="A249" t="s">
        <v>424</v>
      </c>
      <c r="B249" s="28">
        <v>45758</v>
      </c>
      <c r="C249">
        <v>-1</v>
      </c>
      <c r="D249" t="s">
        <v>2</v>
      </c>
      <c r="E249" t="s">
        <v>425</v>
      </c>
    </row>
    <row r="250" spans="1:5" x14ac:dyDescent="0.25">
      <c r="A250" t="s">
        <v>427</v>
      </c>
      <c r="B250" s="28">
        <v>45701</v>
      </c>
      <c r="C250">
        <v>-1</v>
      </c>
      <c r="D250" t="s">
        <v>2</v>
      </c>
      <c r="E250" t="s">
        <v>425</v>
      </c>
    </row>
    <row r="251" spans="1:5" x14ac:dyDescent="0.25">
      <c r="A251" t="s">
        <v>427</v>
      </c>
      <c r="B251" s="28">
        <v>45701</v>
      </c>
      <c r="C251">
        <v>1</v>
      </c>
      <c r="D251" t="s">
        <v>2</v>
      </c>
      <c r="E251" t="s">
        <v>425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AC010-BC55-45C8-B472-6DD278A89900}">
  <dimension ref="A1:E29"/>
  <sheetViews>
    <sheetView workbookViewId="0">
      <selection activeCell="B1" sqref="B1"/>
    </sheetView>
  </sheetViews>
  <sheetFormatPr defaultRowHeight="12.5" x14ac:dyDescent="0.25"/>
  <cols>
    <col min="1" max="1" width="13.453125" bestFit="1" customWidth="1"/>
    <col min="2" max="2" width="13.453125" customWidth="1"/>
    <col min="3" max="3" width="21.453125" bestFit="1" customWidth="1"/>
    <col min="4" max="4" width="12.90625" bestFit="1" customWidth="1"/>
    <col min="5" max="6" width="10.08984375" bestFit="1" customWidth="1"/>
  </cols>
  <sheetData>
    <row r="1" spans="1:5" x14ac:dyDescent="0.25">
      <c r="A1" s="20" t="s">
        <v>432</v>
      </c>
      <c r="B1" s="20" t="s">
        <v>471</v>
      </c>
      <c r="C1" s="20" t="s">
        <v>436</v>
      </c>
      <c r="D1" s="20" t="s">
        <v>437</v>
      </c>
    </row>
    <row r="2" spans="1:5" x14ac:dyDescent="0.25">
      <c r="A2" s="20" t="s">
        <v>1</v>
      </c>
      <c r="B2" s="43">
        <v>45796</v>
      </c>
      <c r="C2" s="20">
        <v>-283762.44</v>
      </c>
      <c r="D2" s="20" t="s">
        <v>2</v>
      </c>
      <c r="E2" s="28"/>
    </row>
    <row r="3" spans="1:5" x14ac:dyDescent="0.25">
      <c r="A3" s="20" t="s">
        <v>1</v>
      </c>
      <c r="B3" s="43">
        <v>45832</v>
      </c>
      <c r="C3" s="20">
        <v>-324702</v>
      </c>
      <c r="D3" s="20" t="s">
        <v>2</v>
      </c>
      <c r="E3" s="28"/>
    </row>
    <row r="4" spans="1:5" x14ac:dyDescent="0.25">
      <c r="A4" s="20" t="s">
        <v>1</v>
      </c>
      <c r="B4" s="43">
        <v>45832</v>
      </c>
      <c r="C4" s="20">
        <v>-500000</v>
      </c>
      <c r="D4" s="20" t="s">
        <v>2</v>
      </c>
      <c r="E4" s="28"/>
    </row>
    <row r="5" spans="1:5" x14ac:dyDescent="0.25">
      <c r="A5" s="20" t="s">
        <v>1</v>
      </c>
      <c r="B5" s="43">
        <v>45890</v>
      </c>
      <c r="C5" s="20">
        <v>-100000</v>
      </c>
      <c r="D5" s="20" t="s">
        <v>2</v>
      </c>
      <c r="E5" s="28"/>
    </row>
    <row r="6" spans="1:5" x14ac:dyDescent="0.25">
      <c r="A6" s="20" t="s">
        <v>1</v>
      </c>
      <c r="B6" s="43">
        <v>45890</v>
      </c>
      <c r="C6" s="20">
        <v>-700000</v>
      </c>
      <c r="D6" s="20" t="s">
        <v>2</v>
      </c>
      <c r="E6" s="28"/>
    </row>
    <row r="7" spans="1:5" x14ac:dyDescent="0.25">
      <c r="A7" s="20" t="s">
        <v>1</v>
      </c>
      <c r="B7" s="43">
        <v>45890</v>
      </c>
      <c r="C7" s="20">
        <v>-150000</v>
      </c>
      <c r="D7" s="20" t="s">
        <v>2</v>
      </c>
      <c r="E7" s="28"/>
    </row>
    <row r="8" spans="1:5" x14ac:dyDescent="0.25">
      <c r="A8" s="20" t="s">
        <v>1</v>
      </c>
      <c r="B8" s="43">
        <v>45890</v>
      </c>
      <c r="C8" s="20">
        <v>-150000</v>
      </c>
      <c r="D8" s="20" t="s">
        <v>2</v>
      </c>
      <c r="E8" s="28"/>
    </row>
    <row r="9" spans="1:5" x14ac:dyDescent="0.25">
      <c r="A9" s="20" t="s">
        <v>1</v>
      </c>
      <c r="B9" s="43">
        <v>45890</v>
      </c>
      <c r="C9" s="20">
        <v>-150000</v>
      </c>
      <c r="D9" s="20" t="s">
        <v>2</v>
      </c>
      <c r="E9" s="28"/>
    </row>
    <row r="10" spans="1:5" x14ac:dyDescent="0.25">
      <c r="A10" s="20" t="s">
        <v>1</v>
      </c>
      <c r="B10" s="43">
        <v>45890</v>
      </c>
      <c r="C10" s="20">
        <v>-150000</v>
      </c>
      <c r="D10" s="20" t="s">
        <v>2</v>
      </c>
      <c r="E10" s="28"/>
    </row>
    <row r="11" spans="1:5" x14ac:dyDescent="0.25">
      <c r="A11" s="20" t="s">
        <v>1</v>
      </c>
      <c r="B11" s="43">
        <v>45931</v>
      </c>
      <c r="C11" s="20">
        <v>-100000</v>
      </c>
      <c r="D11" s="20" t="s">
        <v>2</v>
      </c>
      <c r="E11" s="28"/>
    </row>
    <row r="12" spans="1:5" x14ac:dyDescent="0.25">
      <c r="A12" s="20" t="s">
        <v>1</v>
      </c>
      <c r="B12" s="43">
        <v>45931</v>
      </c>
      <c r="C12" s="20">
        <v>-100000</v>
      </c>
      <c r="D12" s="20" t="s">
        <v>2</v>
      </c>
      <c r="E12" s="28"/>
    </row>
    <row r="13" spans="1:5" x14ac:dyDescent="0.25">
      <c r="A13" s="20" t="s">
        <v>1</v>
      </c>
      <c r="B13" s="43">
        <v>45931</v>
      </c>
      <c r="C13" s="20">
        <v>-450000</v>
      </c>
      <c r="D13" s="20" t="s">
        <v>2</v>
      </c>
      <c r="E13" s="28"/>
    </row>
    <row r="14" spans="1:5" x14ac:dyDescent="0.25">
      <c r="A14" s="20" t="s">
        <v>1</v>
      </c>
      <c r="B14" s="43">
        <v>45931</v>
      </c>
      <c r="C14" s="20">
        <v>-100000</v>
      </c>
      <c r="D14" s="20" t="s">
        <v>2</v>
      </c>
      <c r="E14" s="28"/>
    </row>
    <row r="15" spans="1:5" x14ac:dyDescent="0.25">
      <c r="A15" s="20" t="s">
        <v>1</v>
      </c>
      <c r="B15" s="43">
        <v>45944</v>
      </c>
      <c r="C15" s="20">
        <v>-100000</v>
      </c>
      <c r="D15" s="20" t="s">
        <v>2</v>
      </c>
      <c r="E15" s="28"/>
    </row>
    <row r="16" spans="1:5" x14ac:dyDescent="0.25">
      <c r="A16" s="20" t="s">
        <v>1</v>
      </c>
      <c r="B16" s="43">
        <v>45959</v>
      </c>
      <c r="C16" s="20">
        <v>-1000000</v>
      </c>
      <c r="D16" s="20" t="s">
        <v>2</v>
      </c>
      <c r="E16" s="28"/>
    </row>
    <row r="17" spans="1:5" x14ac:dyDescent="0.25">
      <c r="A17" s="20" t="s">
        <v>1</v>
      </c>
      <c r="B17" s="43">
        <v>45959</v>
      </c>
      <c r="C17" s="20">
        <v>1000000</v>
      </c>
      <c r="D17" s="20" t="s">
        <v>2</v>
      </c>
      <c r="E17" s="28"/>
    </row>
    <row r="18" spans="1:5" x14ac:dyDescent="0.25">
      <c r="A18" s="20" t="s">
        <v>1</v>
      </c>
      <c r="B18" s="43">
        <v>45972</v>
      </c>
      <c r="C18" s="20">
        <v>-100000</v>
      </c>
      <c r="D18" s="20" t="s">
        <v>2</v>
      </c>
      <c r="E18" s="28"/>
    </row>
    <row r="19" spans="1:5" x14ac:dyDescent="0.25">
      <c r="A19" s="20" t="s">
        <v>1</v>
      </c>
      <c r="B19" s="43">
        <v>45972</v>
      </c>
      <c r="C19" s="20">
        <v>-100000</v>
      </c>
      <c r="D19" s="20" t="s">
        <v>2</v>
      </c>
      <c r="E19" s="28"/>
    </row>
    <row r="20" spans="1:5" x14ac:dyDescent="0.25">
      <c r="A20" s="20" t="s">
        <v>1</v>
      </c>
      <c r="B20" s="43">
        <v>45977</v>
      </c>
      <c r="C20" s="20">
        <v>-100000</v>
      </c>
      <c r="D20" s="20" t="s">
        <v>2</v>
      </c>
      <c r="E20" s="28"/>
    </row>
    <row r="21" spans="1:5" x14ac:dyDescent="0.25">
      <c r="A21" s="20" t="s">
        <v>1</v>
      </c>
      <c r="B21" s="43">
        <v>45986</v>
      </c>
      <c r="C21" s="20">
        <v>-100000</v>
      </c>
      <c r="D21" s="20" t="s">
        <v>2</v>
      </c>
      <c r="E21" s="28"/>
    </row>
    <row r="22" spans="1:5" x14ac:dyDescent="0.25">
      <c r="A22" s="20" t="s">
        <v>1</v>
      </c>
      <c r="B22" s="43">
        <v>45992</v>
      </c>
      <c r="C22" s="20">
        <v>-100000</v>
      </c>
      <c r="D22" s="20" t="s">
        <v>2</v>
      </c>
      <c r="E22" s="28"/>
    </row>
    <row r="23" spans="1:5" x14ac:dyDescent="0.25">
      <c r="A23" s="20" t="s">
        <v>1</v>
      </c>
      <c r="B23" s="43">
        <v>45992</v>
      </c>
      <c r="C23" s="20">
        <v>100000</v>
      </c>
      <c r="D23" s="20" t="s">
        <v>2</v>
      </c>
      <c r="E23" s="28"/>
    </row>
    <row r="24" spans="1:5" x14ac:dyDescent="0.25">
      <c r="A24" s="20" t="s">
        <v>1</v>
      </c>
      <c r="B24" s="43">
        <v>45994</v>
      </c>
      <c r="C24" s="20">
        <v>-100000</v>
      </c>
      <c r="D24" s="20" t="s">
        <v>2</v>
      </c>
      <c r="E24" s="28"/>
    </row>
    <row r="25" spans="1:5" x14ac:dyDescent="0.25">
      <c r="A25" s="20" t="s">
        <v>1</v>
      </c>
      <c r="B25" s="43">
        <v>46009</v>
      </c>
      <c r="C25" s="20">
        <v>-100000</v>
      </c>
      <c r="D25" s="20" t="s">
        <v>2</v>
      </c>
      <c r="E25" s="28"/>
    </row>
    <row r="26" spans="1:5" x14ac:dyDescent="0.25">
      <c r="A26" s="20" t="s">
        <v>1</v>
      </c>
      <c r="B26" s="43">
        <v>46030</v>
      </c>
      <c r="C26" s="20">
        <v>-200000</v>
      </c>
      <c r="D26" s="20" t="s">
        <v>2</v>
      </c>
      <c r="E26" s="28"/>
    </row>
    <row r="27" spans="1:5" x14ac:dyDescent="0.25">
      <c r="A27" s="20" t="s">
        <v>1</v>
      </c>
      <c r="B27" s="43">
        <v>46031</v>
      </c>
      <c r="C27" s="20">
        <v>-100000</v>
      </c>
      <c r="D27" s="20" t="s">
        <v>2</v>
      </c>
      <c r="E27" s="28"/>
    </row>
    <row r="28" spans="1:5" x14ac:dyDescent="0.25">
      <c r="A28" s="20" t="s">
        <v>1</v>
      </c>
      <c r="B28" s="43">
        <v>46041</v>
      </c>
      <c r="C28" s="20">
        <v>-150000</v>
      </c>
      <c r="D28" s="20" t="s">
        <v>2</v>
      </c>
      <c r="E28" s="28"/>
    </row>
    <row r="29" spans="1:5" x14ac:dyDescent="0.25">
      <c r="A29" s="20" t="s">
        <v>1</v>
      </c>
      <c r="B29" s="43">
        <v>46045</v>
      </c>
      <c r="C29" s="20">
        <v>-150000</v>
      </c>
      <c r="D29" s="20" t="s">
        <v>2</v>
      </c>
      <c r="E29" s="28"/>
    </row>
  </sheetData>
  <autoFilter ref="A1:D29" xr:uid="{448AC010-BC55-45C8-B472-6DD278A89900}">
    <sortState xmlns:xlrd2="http://schemas.microsoft.com/office/spreadsheetml/2017/richdata2" ref="A2:D29">
      <sortCondition ref="B1:B29"/>
    </sortState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C6B86-B4C8-4D62-B219-C98A1E53D5EB}">
  <dimension ref="A1:C211"/>
  <sheetViews>
    <sheetView workbookViewId="0">
      <selection activeCell="L7" sqref="J1:N17"/>
    </sheetView>
  </sheetViews>
  <sheetFormatPr defaultRowHeight="12.5" x14ac:dyDescent="0.25"/>
  <cols>
    <col min="1" max="1" width="13.453125" bestFit="1" customWidth="1"/>
    <col min="2" max="2" width="13.1796875" bestFit="1" customWidth="1"/>
    <col min="3" max="3" width="21.453125" bestFit="1" customWidth="1"/>
  </cols>
  <sheetData>
    <row r="1" spans="1:3" x14ac:dyDescent="0.25">
      <c r="A1" t="s">
        <v>432</v>
      </c>
      <c r="B1" s="28" t="s">
        <v>433</v>
      </c>
      <c r="C1" t="s">
        <v>436</v>
      </c>
    </row>
    <row r="2" spans="1:3" x14ac:dyDescent="0.25">
      <c r="A2" t="s">
        <v>28</v>
      </c>
      <c r="B2" s="28">
        <v>45707</v>
      </c>
      <c r="C2" s="37">
        <v>155346.59</v>
      </c>
    </row>
    <row r="3" spans="1:3" x14ac:dyDescent="0.25">
      <c r="A3" t="s">
        <v>28</v>
      </c>
      <c r="B3" s="28">
        <v>45708</v>
      </c>
      <c r="C3" s="37">
        <v>155346.59</v>
      </c>
    </row>
    <row r="4" spans="1:3" x14ac:dyDescent="0.25">
      <c r="A4" t="s">
        <v>28</v>
      </c>
      <c r="B4" s="28">
        <v>45708</v>
      </c>
      <c r="C4" s="37">
        <v>155346.59</v>
      </c>
    </row>
    <row r="5" spans="1:3" x14ac:dyDescent="0.25">
      <c r="A5" t="s">
        <v>28</v>
      </c>
      <c r="B5" s="28">
        <v>45708</v>
      </c>
      <c r="C5" s="37">
        <v>155346.59</v>
      </c>
    </row>
    <row r="6" spans="1:3" x14ac:dyDescent="0.25">
      <c r="A6" t="s">
        <v>28</v>
      </c>
      <c r="B6" s="28">
        <v>45708</v>
      </c>
      <c r="C6" s="37">
        <v>155346.59</v>
      </c>
    </row>
    <row r="7" spans="1:3" x14ac:dyDescent="0.25">
      <c r="A7" t="s">
        <v>28</v>
      </c>
      <c r="B7" s="28">
        <v>45708</v>
      </c>
      <c r="C7" s="37">
        <v>155346.59</v>
      </c>
    </row>
    <row r="8" spans="1:3" x14ac:dyDescent="0.25">
      <c r="A8" t="s">
        <v>28</v>
      </c>
      <c r="B8" s="28">
        <v>45708</v>
      </c>
      <c r="C8" s="37">
        <v>155346.59</v>
      </c>
    </row>
    <row r="9" spans="1:3" x14ac:dyDescent="0.25">
      <c r="A9" t="s">
        <v>28</v>
      </c>
      <c r="B9" s="28">
        <v>45713</v>
      </c>
      <c r="C9" s="37">
        <v>40131.199999999997</v>
      </c>
    </row>
    <row r="10" spans="1:3" x14ac:dyDescent="0.25">
      <c r="A10" t="s">
        <v>28</v>
      </c>
      <c r="B10" s="28">
        <v>45716</v>
      </c>
      <c r="C10" s="37">
        <v>38836.65</v>
      </c>
    </row>
    <row r="11" spans="1:3" x14ac:dyDescent="0.25">
      <c r="A11" t="s">
        <v>28</v>
      </c>
      <c r="B11" s="28">
        <v>45716</v>
      </c>
      <c r="C11" s="37">
        <v>40131.199999999997</v>
      </c>
    </row>
    <row r="12" spans="1:3" x14ac:dyDescent="0.25">
      <c r="A12" t="s">
        <v>28</v>
      </c>
      <c r="B12" s="28">
        <v>45716</v>
      </c>
      <c r="C12" s="37">
        <v>40131.199999999997</v>
      </c>
    </row>
    <row r="13" spans="1:3" x14ac:dyDescent="0.25">
      <c r="A13" t="s">
        <v>28</v>
      </c>
      <c r="B13" s="28">
        <v>45716</v>
      </c>
      <c r="C13" s="37">
        <v>38836.65</v>
      </c>
    </row>
    <row r="14" spans="1:3" x14ac:dyDescent="0.25">
      <c r="A14" t="s">
        <v>28</v>
      </c>
      <c r="B14" s="28">
        <v>45719</v>
      </c>
      <c r="C14" s="37">
        <v>164220.99</v>
      </c>
    </row>
    <row r="15" spans="1:3" x14ac:dyDescent="0.25">
      <c r="A15" t="s">
        <v>28</v>
      </c>
      <c r="B15" s="28">
        <v>45719</v>
      </c>
      <c r="C15" s="37">
        <v>167393.89000000001</v>
      </c>
    </row>
    <row r="16" spans="1:3" x14ac:dyDescent="0.25">
      <c r="A16" t="s">
        <v>28</v>
      </c>
      <c r="B16" s="28">
        <v>45719</v>
      </c>
      <c r="C16" s="37">
        <v>88284.65</v>
      </c>
    </row>
    <row r="17" spans="1:3" x14ac:dyDescent="0.25">
      <c r="A17" t="s">
        <v>28</v>
      </c>
      <c r="B17" s="28">
        <v>45722</v>
      </c>
      <c r="C17" s="37">
        <v>199955.13</v>
      </c>
    </row>
    <row r="18" spans="1:3" x14ac:dyDescent="0.25">
      <c r="A18" t="s">
        <v>28</v>
      </c>
      <c r="B18" s="28">
        <v>45722</v>
      </c>
      <c r="C18" s="37">
        <v>207242.39</v>
      </c>
    </row>
    <row r="19" spans="1:3" x14ac:dyDescent="0.25">
      <c r="A19" t="s">
        <v>28</v>
      </c>
      <c r="B19" s="28">
        <v>45729</v>
      </c>
      <c r="C19" s="37">
        <v>3034.19</v>
      </c>
    </row>
    <row r="20" spans="1:3" x14ac:dyDescent="0.25">
      <c r="A20" t="s">
        <v>28</v>
      </c>
      <c r="B20" s="28">
        <v>45730</v>
      </c>
      <c r="C20" s="37">
        <v>6692.57</v>
      </c>
    </row>
    <row r="21" spans="1:3" x14ac:dyDescent="0.25">
      <c r="A21" t="s">
        <v>28</v>
      </c>
      <c r="B21" s="28">
        <v>45730</v>
      </c>
      <c r="C21" s="37">
        <v>6692.57</v>
      </c>
    </row>
    <row r="22" spans="1:3" x14ac:dyDescent="0.25">
      <c r="A22" t="s">
        <v>28</v>
      </c>
      <c r="B22" s="28">
        <v>45733</v>
      </c>
      <c r="C22" s="37">
        <v>21299.18</v>
      </c>
    </row>
    <row r="23" spans="1:3" x14ac:dyDescent="0.25">
      <c r="A23" t="s">
        <v>28</v>
      </c>
      <c r="B23" s="28">
        <v>45733</v>
      </c>
      <c r="C23" s="37">
        <v>6052.78</v>
      </c>
    </row>
    <row r="24" spans="1:3" x14ac:dyDescent="0.25">
      <c r="A24" t="s">
        <v>28</v>
      </c>
      <c r="B24" s="28">
        <v>45733</v>
      </c>
      <c r="C24" s="37">
        <v>6207.96</v>
      </c>
    </row>
    <row r="25" spans="1:3" x14ac:dyDescent="0.25">
      <c r="A25" t="s">
        <v>28</v>
      </c>
      <c r="B25" s="28">
        <v>45733</v>
      </c>
      <c r="C25" s="37">
        <v>5359.25</v>
      </c>
    </row>
    <row r="26" spans="1:3" x14ac:dyDescent="0.25">
      <c r="A26" t="s">
        <v>28</v>
      </c>
      <c r="B26" s="28">
        <v>45733</v>
      </c>
      <c r="C26" s="37">
        <v>10591.94</v>
      </c>
    </row>
    <row r="27" spans="1:3" x14ac:dyDescent="0.25">
      <c r="A27" t="s">
        <v>28</v>
      </c>
      <c r="B27" s="28">
        <v>45735</v>
      </c>
      <c r="C27" s="37">
        <v>16131.51</v>
      </c>
    </row>
    <row r="28" spans="1:3" x14ac:dyDescent="0.25">
      <c r="A28" t="s">
        <v>28</v>
      </c>
      <c r="B28" s="28">
        <v>45735</v>
      </c>
      <c r="C28" s="37">
        <v>2257.44</v>
      </c>
    </row>
    <row r="29" spans="1:3" x14ac:dyDescent="0.25">
      <c r="A29" t="s">
        <v>28</v>
      </c>
      <c r="B29" s="28">
        <v>45735</v>
      </c>
      <c r="C29" s="37">
        <v>31978.67</v>
      </c>
    </row>
    <row r="30" spans="1:3" x14ac:dyDescent="0.25">
      <c r="A30" t="s">
        <v>28</v>
      </c>
      <c r="B30" s="28">
        <v>45736</v>
      </c>
      <c r="C30" s="37">
        <v>40311.440000000002</v>
      </c>
    </row>
    <row r="31" spans="1:3" x14ac:dyDescent="0.25">
      <c r="A31" t="s">
        <v>28</v>
      </c>
      <c r="B31" s="28">
        <v>45736</v>
      </c>
      <c r="C31" s="37">
        <v>36410.33</v>
      </c>
    </row>
    <row r="32" spans="1:3" x14ac:dyDescent="0.25">
      <c r="A32" t="s">
        <v>28</v>
      </c>
      <c r="B32" s="28">
        <v>45736</v>
      </c>
      <c r="C32" s="37">
        <v>11141.56</v>
      </c>
    </row>
    <row r="33" spans="1:3" x14ac:dyDescent="0.25">
      <c r="A33" t="s">
        <v>28</v>
      </c>
      <c r="B33" s="28">
        <v>45736</v>
      </c>
      <c r="C33" s="37">
        <v>151.71</v>
      </c>
    </row>
    <row r="34" spans="1:3" x14ac:dyDescent="0.25">
      <c r="A34" t="s">
        <v>28</v>
      </c>
      <c r="B34" s="28">
        <v>45736</v>
      </c>
      <c r="C34" s="37">
        <v>173.38</v>
      </c>
    </row>
    <row r="35" spans="1:3" x14ac:dyDescent="0.25">
      <c r="A35" t="s">
        <v>28</v>
      </c>
      <c r="B35" s="28">
        <v>45736</v>
      </c>
      <c r="C35" s="37">
        <v>151.71</v>
      </c>
    </row>
    <row r="36" spans="1:3" x14ac:dyDescent="0.25">
      <c r="A36" t="s">
        <v>28</v>
      </c>
      <c r="B36" s="28">
        <v>45736</v>
      </c>
      <c r="C36" s="37">
        <v>172.52</v>
      </c>
    </row>
    <row r="37" spans="1:3" x14ac:dyDescent="0.25">
      <c r="A37" t="s">
        <v>28</v>
      </c>
      <c r="B37" s="28">
        <v>45736</v>
      </c>
      <c r="C37" s="37">
        <v>1283.03</v>
      </c>
    </row>
    <row r="38" spans="1:3" x14ac:dyDescent="0.25">
      <c r="A38" t="s">
        <v>28</v>
      </c>
      <c r="B38" s="28">
        <v>45736</v>
      </c>
      <c r="C38" s="37">
        <v>23666.71</v>
      </c>
    </row>
    <row r="39" spans="1:3" x14ac:dyDescent="0.25">
      <c r="A39" t="s">
        <v>28</v>
      </c>
      <c r="B39" s="28">
        <v>45736</v>
      </c>
      <c r="C39" s="37">
        <v>24039.49</v>
      </c>
    </row>
    <row r="40" spans="1:3" x14ac:dyDescent="0.25">
      <c r="A40" t="s">
        <v>28</v>
      </c>
      <c r="B40" s="28">
        <v>45736</v>
      </c>
      <c r="C40" s="37">
        <v>21802.85</v>
      </c>
    </row>
    <row r="41" spans="1:3" x14ac:dyDescent="0.25">
      <c r="A41" t="s">
        <v>28</v>
      </c>
      <c r="B41" s="28">
        <v>45736</v>
      </c>
      <c r="C41" s="37">
        <v>48078.97</v>
      </c>
    </row>
    <row r="42" spans="1:3" x14ac:dyDescent="0.25">
      <c r="A42" t="s">
        <v>28</v>
      </c>
      <c r="B42" s="28">
        <v>45736</v>
      </c>
      <c r="C42" s="37">
        <v>30619.35</v>
      </c>
    </row>
    <row r="43" spans="1:3" x14ac:dyDescent="0.25">
      <c r="A43" t="s">
        <v>28</v>
      </c>
      <c r="B43" s="28">
        <v>45736</v>
      </c>
      <c r="C43" s="37">
        <v>24039.49</v>
      </c>
    </row>
    <row r="44" spans="1:3" x14ac:dyDescent="0.25">
      <c r="A44" t="s">
        <v>28</v>
      </c>
      <c r="B44" s="28">
        <v>45736</v>
      </c>
      <c r="C44" s="37">
        <v>1831.79</v>
      </c>
    </row>
    <row r="45" spans="1:3" x14ac:dyDescent="0.25">
      <c r="A45" t="s">
        <v>28</v>
      </c>
      <c r="B45" s="28">
        <v>45736</v>
      </c>
      <c r="C45" s="37">
        <v>1061.97</v>
      </c>
    </row>
    <row r="46" spans="1:3" x14ac:dyDescent="0.25">
      <c r="A46" t="s">
        <v>28</v>
      </c>
      <c r="B46" s="28">
        <v>45736</v>
      </c>
      <c r="C46" s="37">
        <v>1300.3699999999999</v>
      </c>
    </row>
    <row r="47" spans="1:3" x14ac:dyDescent="0.25">
      <c r="A47" t="s">
        <v>28</v>
      </c>
      <c r="B47" s="28">
        <v>45736</v>
      </c>
      <c r="C47" s="37">
        <v>788.89</v>
      </c>
    </row>
    <row r="48" spans="1:3" x14ac:dyDescent="0.25">
      <c r="A48" t="s">
        <v>28</v>
      </c>
      <c r="B48" s="28">
        <v>45736</v>
      </c>
      <c r="C48" s="37">
        <v>86.69</v>
      </c>
    </row>
    <row r="49" spans="1:3" x14ac:dyDescent="0.25">
      <c r="A49" t="s">
        <v>28</v>
      </c>
      <c r="B49" s="28">
        <v>45736</v>
      </c>
      <c r="C49" s="37">
        <v>910.26</v>
      </c>
    </row>
    <row r="50" spans="1:3" x14ac:dyDescent="0.25">
      <c r="A50" t="s">
        <v>28</v>
      </c>
      <c r="B50" s="28">
        <v>45736</v>
      </c>
      <c r="C50" s="37">
        <v>1300.3699999999999</v>
      </c>
    </row>
    <row r="51" spans="1:3" x14ac:dyDescent="0.25">
      <c r="A51" t="s">
        <v>28</v>
      </c>
      <c r="B51" s="28">
        <v>45736</v>
      </c>
      <c r="C51" s="37">
        <v>1575.18</v>
      </c>
    </row>
    <row r="52" spans="1:3" x14ac:dyDescent="0.25">
      <c r="A52" t="s">
        <v>28</v>
      </c>
      <c r="B52" s="28">
        <v>45736</v>
      </c>
      <c r="C52" s="37">
        <v>553.09</v>
      </c>
    </row>
    <row r="53" spans="1:3" x14ac:dyDescent="0.25">
      <c r="A53" t="s">
        <v>28</v>
      </c>
      <c r="B53" s="28">
        <v>45736</v>
      </c>
      <c r="C53" s="37">
        <v>5201.4799999999996</v>
      </c>
    </row>
    <row r="54" spans="1:3" x14ac:dyDescent="0.25">
      <c r="A54" t="s">
        <v>28</v>
      </c>
      <c r="B54" s="28">
        <v>45736</v>
      </c>
      <c r="C54" s="37">
        <v>606.84</v>
      </c>
    </row>
    <row r="55" spans="1:3" x14ac:dyDescent="0.25">
      <c r="A55" t="s">
        <v>28</v>
      </c>
      <c r="B55" s="28">
        <v>45736</v>
      </c>
      <c r="C55" s="37">
        <v>858.24</v>
      </c>
    </row>
    <row r="56" spans="1:3" x14ac:dyDescent="0.25">
      <c r="A56" t="s">
        <v>28</v>
      </c>
      <c r="B56" s="28">
        <v>45736</v>
      </c>
      <c r="C56" s="37">
        <v>4399.58</v>
      </c>
    </row>
    <row r="57" spans="1:3" x14ac:dyDescent="0.25">
      <c r="A57" t="s">
        <v>28</v>
      </c>
      <c r="B57" s="28">
        <v>45736</v>
      </c>
      <c r="C57" s="37">
        <v>5201.4799999999996</v>
      </c>
    </row>
    <row r="58" spans="1:3" x14ac:dyDescent="0.25">
      <c r="A58" t="s">
        <v>28</v>
      </c>
      <c r="B58" s="28">
        <v>45736</v>
      </c>
      <c r="C58" s="37">
        <v>9638.33</v>
      </c>
    </row>
    <row r="59" spans="1:3" x14ac:dyDescent="0.25">
      <c r="A59" t="s">
        <v>28</v>
      </c>
      <c r="B59" s="28">
        <v>45736</v>
      </c>
      <c r="C59" s="37">
        <v>170.78</v>
      </c>
    </row>
    <row r="60" spans="1:3" x14ac:dyDescent="0.25">
      <c r="A60" t="s">
        <v>28</v>
      </c>
      <c r="B60" s="28">
        <v>45736</v>
      </c>
      <c r="C60" s="37">
        <v>5201.4799999999996</v>
      </c>
    </row>
    <row r="61" spans="1:3" x14ac:dyDescent="0.25">
      <c r="A61" t="s">
        <v>28</v>
      </c>
      <c r="B61" s="28">
        <v>45736</v>
      </c>
      <c r="C61" s="37">
        <v>3727.72</v>
      </c>
    </row>
    <row r="62" spans="1:3" x14ac:dyDescent="0.25">
      <c r="A62" t="s">
        <v>28</v>
      </c>
      <c r="B62" s="28">
        <v>45736</v>
      </c>
      <c r="C62" s="37">
        <v>4100.5</v>
      </c>
    </row>
    <row r="63" spans="1:3" x14ac:dyDescent="0.25">
      <c r="A63" t="s">
        <v>28</v>
      </c>
      <c r="B63" s="28">
        <v>45736</v>
      </c>
      <c r="C63" s="37">
        <v>8200.99</v>
      </c>
    </row>
    <row r="64" spans="1:3" x14ac:dyDescent="0.25">
      <c r="A64" t="s">
        <v>28</v>
      </c>
      <c r="B64" s="28">
        <v>45736</v>
      </c>
      <c r="C64" s="37">
        <v>4473.2700000000004</v>
      </c>
    </row>
    <row r="65" spans="1:3" x14ac:dyDescent="0.25">
      <c r="A65" t="s">
        <v>28</v>
      </c>
      <c r="B65" s="28">
        <v>45736</v>
      </c>
      <c r="C65" s="37">
        <v>4473.2700000000004</v>
      </c>
    </row>
    <row r="66" spans="1:3" x14ac:dyDescent="0.25">
      <c r="A66" t="s">
        <v>28</v>
      </c>
      <c r="B66" s="28">
        <v>45736</v>
      </c>
      <c r="C66" s="37">
        <v>531.41999999999996</v>
      </c>
    </row>
    <row r="67" spans="1:3" x14ac:dyDescent="0.25">
      <c r="A67" t="s">
        <v>28</v>
      </c>
      <c r="B67" s="28">
        <v>45736</v>
      </c>
      <c r="C67" s="37">
        <v>305.14999999999998</v>
      </c>
    </row>
    <row r="68" spans="1:3" x14ac:dyDescent="0.25">
      <c r="A68" t="s">
        <v>28</v>
      </c>
      <c r="B68" s="28">
        <v>45737</v>
      </c>
      <c r="C68" s="37">
        <v>1148.6600000000001</v>
      </c>
    </row>
    <row r="69" spans="1:3" x14ac:dyDescent="0.25">
      <c r="A69" t="s">
        <v>28</v>
      </c>
      <c r="B69" s="28">
        <v>45737</v>
      </c>
      <c r="C69" s="37">
        <v>3337.61</v>
      </c>
    </row>
    <row r="70" spans="1:3" x14ac:dyDescent="0.25">
      <c r="A70" t="s">
        <v>28</v>
      </c>
      <c r="B70" s="28">
        <v>45737</v>
      </c>
      <c r="C70" s="37">
        <v>2600.7399999999998</v>
      </c>
    </row>
    <row r="71" spans="1:3" x14ac:dyDescent="0.25">
      <c r="A71" t="s">
        <v>28</v>
      </c>
      <c r="B71" s="28">
        <v>45750</v>
      </c>
      <c r="C71" s="37">
        <v>39114.82</v>
      </c>
    </row>
    <row r="72" spans="1:3" x14ac:dyDescent="0.25">
      <c r="A72" t="s">
        <v>28</v>
      </c>
      <c r="B72" s="28">
        <v>45750</v>
      </c>
      <c r="C72" s="37">
        <v>40418.65</v>
      </c>
    </row>
    <row r="73" spans="1:3" x14ac:dyDescent="0.25">
      <c r="A73" t="s">
        <v>28</v>
      </c>
      <c r="B73" s="28">
        <v>45750</v>
      </c>
      <c r="C73" s="37">
        <v>39114.82</v>
      </c>
    </row>
    <row r="74" spans="1:3" x14ac:dyDescent="0.25">
      <c r="A74" t="s">
        <v>28</v>
      </c>
      <c r="B74" s="28">
        <v>45750</v>
      </c>
      <c r="C74" s="37">
        <v>456.34</v>
      </c>
    </row>
    <row r="75" spans="1:3" x14ac:dyDescent="0.25">
      <c r="A75" t="s">
        <v>28</v>
      </c>
      <c r="B75" s="28">
        <v>45750</v>
      </c>
      <c r="C75" s="37">
        <v>2607.65</v>
      </c>
    </row>
    <row r="76" spans="1:3" x14ac:dyDescent="0.25">
      <c r="A76" t="s">
        <v>28</v>
      </c>
      <c r="B76" s="28">
        <v>45750</v>
      </c>
      <c r="C76" s="37">
        <v>304.23</v>
      </c>
    </row>
    <row r="77" spans="1:3" x14ac:dyDescent="0.25">
      <c r="A77" t="s">
        <v>28</v>
      </c>
      <c r="B77" s="28">
        <v>45750</v>
      </c>
      <c r="C77" s="37">
        <v>86.92</v>
      </c>
    </row>
    <row r="78" spans="1:3" x14ac:dyDescent="0.25">
      <c r="A78" t="s">
        <v>28</v>
      </c>
      <c r="B78" s="28">
        <v>45750</v>
      </c>
      <c r="C78" s="37">
        <v>40418.65</v>
      </c>
    </row>
    <row r="79" spans="1:3" x14ac:dyDescent="0.25">
      <c r="A79" t="s">
        <v>28</v>
      </c>
      <c r="B79" s="28">
        <v>45750</v>
      </c>
      <c r="C79" s="37">
        <v>156459.28</v>
      </c>
    </row>
    <row r="80" spans="1:3" x14ac:dyDescent="0.25">
      <c r="A80" t="s">
        <v>28</v>
      </c>
      <c r="B80" s="28">
        <v>45750</v>
      </c>
      <c r="C80" s="37">
        <v>156459.28</v>
      </c>
    </row>
    <row r="81" spans="1:3" x14ac:dyDescent="0.25">
      <c r="A81" t="s">
        <v>28</v>
      </c>
      <c r="B81" s="28">
        <v>45751</v>
      </c>
      <c r="C81" s="37">
        <v>121224.65</v>
      </c>
    </row>
    <row r="82" spans="1:3" x14ac:dyDescent="0.25">
      <c r="A82" t="s">
        <v>28</v>
      </c>
      <c r="B82" s="28">
        <v>45751</v>
      </c>
      <c r="C82" s="37">
        <v>225366.55</v>
      </c>
    </row>
    <row r="83" spans="1:3" x14ac:dyDescent="0.25">
      <c r="A83" t="s">
        <v>28</v>
      </c>
      <c r="B83" s="28">
        <v>45762</v>
      </c>
      <c r="C83" s="37">
        <v>5981.96</v>
      </c>
    </row>
    <row r="84" spans="1:3" x14ac:dyDescent="0.25">
      <c r="A84" t="s">
        <v>28</v>
      </c>
      <c r="B84" s="28">
        <v>45762</v>
      </c>
      <c r="C84" s="37">
        <v>5259.64</v>
      </c>
    </row>
    <row r="85" spans="1:3" x14ac:dyDescent="0.25">
      <c r="A85" t="s">
        <v>28</v>
      </c>
      <c r="B85" s="28">
        <v>45762</v>
      </c>
      <c r="C85" s="37">
        <v>4346.09</v>
      </c>
    </row>
    <row r="86" spans="1:3" x14ac:dyDescent="0.25">
      <c r="A86" t="s">
        <v>28</v>
      </c>
      <c r="B86" s="28">
        <v>45762</v>
      </c>
      <c r="C86" s="37">
        <v>10430.620000000001</v>
      </c>
    </row>
    <row r="87" spans="1:3" x14ac:dyDescent="0.25">
      <c r="A87" t="s">
        <v>28</v>
      </c>
      <c r="B87" s="28">
        <v>45763</v>
      </c>
      <c r="C87" s="37">
        <v>53891.53</v>
      </c>
    </row>
    <row r="88" spans="1:3" x14ac:dyDescent="0.25">
      <c r="A88" t="s">
        <v>28</v>
      </c>
      <c r="B88" s="28">
        <v>45763</v>
      </c>
      <c r="C88" s="37">
        <v>152.11000000000001</v>
      </c>
    </row>
    <row r="89" spans="1:3" x14ac:dyDescent="0.25">
      <c r="A89" t="s">
        <v>28</v>
      </c>
      <c r="B89" s="28">
        <v>45763</v>
      </c>
      <c r="C89" s="37">
        <v>86.92</v>
      </c>
    </row>
    <row r="90" spans="1:3" x14ac:dyDescent="0.25">
      <c r="A90" t="s">
        <v>28</v>
      </c>
      <c r="B90" s="28">
        <v>45763</v>
      </c>
      <c r="C90" s="37">
        <v>1303.83</v>
      </c>
    </row>
    <row r="91" spans="1:3" x14ac:dyDescent="0.25">
      <c r="A91" t="s">
        <v>28</v>
      </c>
      <c r="B91" s="28">
        <v>45763</v>
      </c>
      <c r="C91" s="37">
        <v>614.54</v>
      </c>
    </row>
    <row r="92" spans="1:3" x14ac:dyDescent="0.25">
      <c r="A92" t="s">
        <v>28</v>
      </c>
      <c r="B92" s="28">
        <v>45763</v>
      </c>
      <c r="C92" s="37">
        <v>86.92</v>
      </c>
    </row>
    <row r="93" spans="1:3" x14ac:dyDescent="0.25">
      <c r="A93" t="s">
        <v>28</v>
      </c>
      <c r="B93" s="28">
        <v>45763</v>
      </c>
      <c r="C93" s="37">
        <v>42552.58</v>
      </c>
    </row>
    <row r="94" spans="1:3" x14ac:dyDescent="0.25">
      <c r="A94" t="s">
        <v>28</v>
      </c>
      <c r="B94" s="28">
        <v>45763</v>
      </c>
      <c r="C94" s="37">
        <v>1116.95</v>
      </c>
    </row>
    <row r="95" spans="1:3" x14ac:dyDescent="0.25">
      <c r="A95" t="s">
        <v>28</v>
      </c>
      <c r="B95" s="28">
        <v>45763</v>
      </c>
      <c r="C95" s="37">
        <v>94105.04</v>
      </c>
    </row>
    <row r="96" spans="1:3" x14ac:dyDescent="0.25">
      <c r="A96" t="s">
        <v>28</v>
      </c>
      <c r="B96" s="28">
        <v>45768</v>
      </c>
      <c r="C96" s="37">
        <v>16200.07</v>
      </c>
    </row>
    <row r="97" spans="1:3" x14ac:dyDescent="0.25">
      <c r="A97" t="s">
        <v>28</v>
      </c>
      <c r="B97" s="28">
        <v>45769</v>
      </c>
      <c r="C97" s="37">
        <v>1542.86</v>
      </c>
    </row>
    <row r="98" spans="1:3" x14ac:dyDescent="0.25">
      <c r="A98" t="s">
        <v>28</v>
      </c>
      <c r="B98" s="28">
        <v>45769</v>
      </c>
      <c r="C98" s="37">
        <v>3739.38</v>
      </c>
    </row>
    <row r="99" spans="1:3" x14ac:dyDescent="0.25">
      <c r="A99" t="s">
        <v>28</v>
      </c>
      <c r="B99" s="28">
        <v>45769</v>
      </c>
      <c r="C99" s="37">
        <v>525.88</v>
      </c>
    </row>
    <row r="100" spans="1:3" x14ac:dyDescent="0.25">
      <c r="A100" t="s">
        <v>28</v>
      </c>
      <c r="B100" s="28">
        <v>45770</v>
      </c>
      <c r="C100" s="37">
        <v>16445.61</v>
      </c>
    </row>
    <row r="101" spans="1:3" x14ac:dyDescent="0.25">
      <c r="A101" t="s">
        <v>28</v>
      </c>
      <c r="B101" s="28">
        <v>45770</v>
      </c>
      <c r="C101" s="37">
        <v>16550.78</v>
      </c>
    </row>
    <row r="102" spans="1:3" x14ac:dyDescent="0.25">
      <c r="A102" t="s">
        <v>28</v>
      </c>
      <c r="B102" s="28">
        <v>45771</v>
      </c>
      <c r="C102" s="37">
        <v>158209.88</v>
      </c>
    </row>
    <row r="103" spans="1:3" x14ac:dyDescent="0.25">
      <c r="A103" t="s">
        <v>28</v>
      </c>
      <c r="B103" s="28">
        <v>45787</v>
      </c>
      <c r="C103" s="37">
        <v>154770.66</v>
      </c>
    </row>
    <row r="104" spans="1:3" x14ac:dyDescent="0.25">
      <c r="A104" t="s">
        <v>28</v>
      </c>
      <c r="B104" s="28">
        <v>45787</v>
      </c>
      <c r="C104" s="37">
        <v>38692.67</v>
      </c>
    </row>
    <row r="105" spans="1:3" x14ac:dyDescent="0.25">
      <c r="A105" t="s">
        <v>28</v>
      </c>
      <c r="B105" s="28">
        <v>45787</v>
      </c>
      <c r="C105" s="37">
        <v>34117.47</v>
      </c>
    </row>
    <row r="106" spans="1:3" x14ac:dyDescent="0.25">
      <c r="A106" t="s">
        <v>97</v>
      </c>
      <c r="B106" s="28">
        <v>45791</v>
      </c>
      <c r="C106" s="37">
        <v>-6692.57</v>
      </c>
    </row>
    <row r="107" spans="1:3" x14ac:dyDescent="0.25">
      <c r="A107" t="s">
        <v>97</v>
      </c>
      <c r="B107" s="28">
        <v>45791</v>
      </c>
      <c r="C107" s="37">
        <v>-156459.28</v>
      </c>
    </row>
    <row r="108" spans="1:3" x14ac:dyDescent="0.25">
      <c r="A108" t="s">
        <v>97</v>
      </c>
      <c r="B108" s="28">
        <v>45791</v>
      </c>
      <c r="C108" s="37">
        <v>-156459.28</v>
      </c>
    </row>
    <row r="109" spans="1:3" x14ac:dyDescent="0.25">
      <c r="A109" t="s">
        <v>28</v>
      </c>
      <c r="B109" s="28">
        <v>45793</v>
      </c>
      <c r="C109" s="37">
        <v>46947.1</v>
      </c>
    </row>
    <row r="110" spans="1:3" x14ac:dyDescent="0.25">
      <c r="A110" t="s">
        <v>28</v>
      </c>
      <c r="B110" s="28">
        <v>45797</v>
      </c>
      <c r="C110" s="37">
        <v>7631.05</v>
      </c>
    </row>
    <row r="111" spans="1:3" x14ac:dyDescent="0.25">
      <c r="A111" t="s">
        <v>28</v>
      </c>
      <c r="B111" s="28">
        <v>45797</v>
      </c>
      <c r="C111" s="37">
        <v>2515.02</v>
      </c>
    </row>
    <row r="112" spans="1:3" x14ac:dyDescent="0.25">
      <c r="A112" t="s">
        <v>97</v>
      </c>
      <c r="B112" s="28">
        <v>45799</v>
      </c>
      <c r="C112" s="37">
        <v>-31978.67</v>
      </c>
    </row>
    <row r="113" spans="1:3" x14ac:dyDescent="0.25">
      <c r="A113" t="s">
        <v>97</v>
      </c>
      <c r="B113" s="28">
        <v>45799</v>
      </c>
      <c r="C113" s="37">
        <v>-16550.78</v>
      </c>
    </row>
    <row r="114" spans="1:3" x14ac:dyDescent="0.25">
      <c r="A114" t="s">
        <v>28</v>
      </c>
      <c r="B114" s="28">
        <v>45805</v>
      </c>
      <c r="C114" s="37">
        <v>129130.32</v>
      </c>
    </row>
    <row r="115" spans="1:3" x14ac:dyDescent="0.25">
      <c r="A115" t="s">
        <v>28</v>
      </c>
      <c r="B115" s="28">
        <v>45810</v>
      </c>
      <c r="C115" s="37">
        <v>31535.84</v>
      </c>
    </row>
    <row r="116" spans="1:3" x14ac:dyDescent="0.25">
      <c r="A116" t="s">
        <v>28</v>
      </c>
      <c r="B116" s="28">
        <v>45810</v>
      </c>
      <c r="C116" s="37">
        <v>16261.2</v>
      </c>
    </row>
    <row r="117" spans="1:3" x14ac:dyDescent="0.25">
      <c r="A117" t="s">
        <v>28</v>
      </c>
      <c r="B117" s="28">
        <v>45812</v>
      </c>
      <c r="C117" s="37">
        <v>11054.81</v>
      </c>
    </row>
    <row r="118" spans="1:3" x14ac:dyDescent="0.25">
      <c r="A118" t="s">
        <v>28</v>
      </c>
      <c r="B118" s="28">
        <v>45812</v>
      </c>
      <c r="C118" s="37">
        <v>3951.38</v>
      </c>
    </row>
    <row r="119" spans="1:3" x14ac:dyDescent="0.25">
      <c r="A119" t="s">
        <v>28</v>
      </c>
      <c r="B119" s="28">
        <v>45812</v>
      </c>
      <c r="C119" s="37">
        <v>600.15</v>
      </c>
    </row>
    <row r="120" spans="1:3" x14ac:dyDescent="0.25">
      <c r="A120" t="s">
        <v>28</v>
      </c>
      <c r="B120" s="28">
        <v>45812</v>
      </c>
      <c r="C120" s="37">
        <v>52265.64</v>
      </c>
    </row>
    <row r="121" spans="1:3" x14ac:dyDescent="0.25">
      <c r="A121" t="s">
        <v>28</v>
      </c>
      <c r="B121" s="28">
        <v>45815</v>
      </c>
      <c r="C121" s="37">
        <v>106042.76</v>
      </c>
    </row>
    <row r="122" spans="1:3" x14ac:dyDescent="0.25">
      <c r="A122" t="s">
        <v>28</v>
      </c>
      <c r="B122" s="28">
        <v>45818</v>
      </c>
      <c r="C122" s="37">
        <v>153883.4</v>
      </c>
    </row>
    <row r="123" spans="1:3" x14ac:dyDescent="0.25">
      <c r="A123" t="s">
        <v>28</v>
      </c>
      <c r="B123" s="28">
        <v>45821</v>
      </c>
      <c r="C123" s="37">
        <v>39753.21</v>
      </c>
    </row>
    <row r="124" spans="1:3" x14ac:dyDescent="0.25">
      <c r="A124" t="s">
        <v>28</v>
      </c>
      <c r="B124" s="28">
        <v>45827</v>
      </c>
      <c r="C124" s="37">
        <v>24605.1</v>
      </c>
    </row>
    <row r="125" spans="1:3" x14ac:dyDescent="0.25">
      <c r="A125" t="s">
        <v>28</v>
      </c>
      <c r="B125" s="28">
        <v>45827</v>
      </c>
      <c r="C125" s="37">
        <v>9403.99</v>
      </c>
    </row>
    <row r="126" spans="1:3" x14ac:dyDescent="0.25">
      <c r="A126" t="s">
        <v>28</v>
      </c>
      <c r="B126" s="28">
        <v>45842</v>
      </c>
      <c r="C126" s="37">
        <v>14166.89</v>
      </c>
    </row>
    <row r="127" spans="1:3" x14ac:dyDescent="0.25">
      <c r="A127" t="s">
        <v>28</v>
      </c>
      <c r="B127" s="28">
        <v>45842</v>
      </c>
      <c r="C127" s="37">
        <v>5743.98</v>
      </c>
    </row>
    <row r="128" spans="1:3" x14ac:dyDescent="0.25">
      <c r="A128" t="s">
        <v>28</v>
      </c>
      <c r="B128" s="28">
        <v>45842</v>
      </c>
      <c r="C128" s="37">
        <v>27402.39</v>
      </c>
    </row>
    <row r="129" spans="1:3" x14ac:dyDescent="0.25">
      <c r="A129" t="s">
        <v>28</v>
      </c>
      <c r="B129" s="28">
        <v>45842</v>
      </c>
      <c r="C129" s="37">
        <v>1314.09</v>
      </c>
    </row>
    <row r="130" spans="1:3" x14ac:dyDescent="0.25">
      <c r="A130" t="s">
        <v>28</v>
      </c>
      <c r="B130" s="28">
        <v>45842</v>
      </c>
      <c r="C130" s="37">
        <v>4490.95</v>
      </c>
    </row>
    <row r="131" spans="1:3" x14ac:dyDescent="0.25">
      <c r="A131" t="s">
        <v>28</v>
      </c>
      <c r="B131" s="28">
        <v>45842</v>
      </c>
      <c r="C131" s="37">
        <v>154801.21</v>
      </c>
    </row>
    <row r="132" spans="1:3" x14ac:dyDescent="0.25">
      <c r="A132" t="s">
        <v>28</v>
      </c>
      <c r="B132" s="28">
        <v>45842</v>
      </c>
      <c r="C132" s="37">
        <v>15083.66</v>
      </c>
    </row>
    <row r="133" spans="1:3" x14ac:dyDescent="0.25">
      <c r="A133" t="s">
        <v>28</v>
      </c>
      <c r="B133" s="28">
        <v>45842</v>
      </c>
      <c r="C133" s="37">
        <v>130822.5</v>
      </c>
    </row>
    <row r="134" spans="1:3" x14ac:dyDescent="0.25">
      <c r="A134" t="s">
        <v>28</v>
      </c>
      <c r="B134" s="28">
        <v>45856</v>
      </c>
      <c r="C134" s="37">
        <v>2243.7600000000002</v>
      </c>
    </row>
    <row r="135" spans="1:3" x14ac:dyDescent="0.25">
      <c r="A135" t="s">
        <v>28</v>
      </c>
      <c r="B135" s="28">
        <v>45856</v>
      </c>
      <c r="C135" s="37">
        <v>6341.69</v>
      </c>
    </row>
    <row r="136" spans="1:3" x14ac:dyDescent="0.25">
      <c r="A136" t="s">
        <v>28</v>
      </c>
      <c r="B136" s="28">
        <v>45856</v>
      </c>
      <c r="C136" s="37">
        <v>20570.5</v>
      </c>
    </row>
    <row r="137" spans="1:3" x14ac:dyDescent="0.25">
      <c r="A137" t="s">
        <v>28</v>
      </c>
      <c r="B137" s="28">
        <v>45856</v>
      </c>
      <c r="C137" s="37">
        <v>236.5</v>
      </c>
    </row>
    <row r="138" spans="1:3" x14ac:dyDescent="0.25">
      <c r="A138" t="s">
        <v>28</v>
      </c>
      <c r="B138" s="28">
        <v>45856</v>
      </c>
      <c r="C138" s="37">
        <v>9541.77</v>
      </c>
    </row>
    <row r="139" spans="1:3" x14ac:dyDescent="0.25">
      <c r="A139" t="s">
        <v>28</v>
      </c>
      <c r="B139" s="28">
        <v>45856</v>
      </c>
      <c r="C139" s="37">
        <v>17200.13</v>
      </c>
    </row>
    <row r="140" spans="1:3" x14ac:dyDescent="0.25">
      <c r="A140" t="s">
        <v>28</v>
      </c>
      <c r="B140" s="28">
        <v>45856</v>
      </c>
      <c r="C140" s="37">
        <v>20570.5</v>
      </c>
    </row>
    <row r="141" spans="1:3" x14ac:dyDescent="0.25">
      <c r="A141" t="s">
        <v>28</v>
      </c>
      <c r="B141" s="28">
        <v>45862</v>
      </c>
      <c r="C141" s="37">
        <v>2515.52</v>
      </c>
    </row>
    <row r="142" spans="1:3" x14ac:dyDescent="0.25">
      <c r="A142" t="s">
        <v>97</v>
      </c>
      <c r="B142" s="28">
        <v>45862</v>
      </c>
      <c r="C142" s="37">
        <v>-2515.02</v>
      </c>
    </row>
    <row r="143" spans="1:3" x14ac:dyDescent="0.25">
      <c r="A143" t="s">
        <v>28</v>
      </c>
      <c r="B143" s="28">
        <v>45863</v>
      </c>
      <c r="C143" s="37">
        <v>13035.98</v>
      </c>
    </row>
    <row r="144" spans="1:3" x14ac:dyDescent="0.25">
      <c r="A144" t="s">
        <v>28</v>
      </c>
      <c r="B144" s="28">
        <v>45863</v>
      </c>
      <c r="C144" s="37">
        <v>39990.31</v>
      </c>
    </row>
    <row r="145" spans="1:3" x14ac:dyDescent="0.25">
      <c r="A145" t="s">
        <v>28</v>
      </c>
      <c r="B145" s="28">
        <v>45870</v>
      </c>
      <c r="C145" s="37">
        <v>154854.22</v>
      </c>
    </row>
    <row r="146" spans="1:3" x14ac:dyDescent="0.25">
      <c r="A146" t="s">
        <v>97</v>
      </c>
      <c r="B146" s="28">
        <v>45873</v>
      </c>
      <c r="C146" s="37">
        <v>-20570.5</v>
      </c>
    </row>
    <row r="147" spans="1:3" x14ac:dyDescent="0.25">
      <c r="A147" t="s">
        <v>28</v>
      </c>
      <c r="B147" s="28">
        <v>45877</v>
      </c>
      <c r="C147" s="37">
        <v>30826.31</v>
      </c>
    </row>
    <row r="148" spans="1:3" x14ac:dyDescent="0.25">
      <c r="A148" t="s">
        <v>28</v>
      </c>
      <c r="B148" s="28">
        <v>45877</v>
      </c>
      <c r="C148" s="37">
        <v>1179.47</v>
      </c>
    </row>
    <row r="149" spans="1:3" x14ac:dyDescent="0.25">
      <c r="A149" t="s">
        <v>28</v>
      </c>
      <c r="B149" s="28">
        <v>45877</v>
      </c>
      <c r="C149" s="37">
        <v>109043.18</v>
      </c>
    </row>
    <row r="150" spans="1:3" x14ac:dyDescent="0.25">
      <c r="A150" t="s">
        <v>28</v>
      </c>
      <c r="B150" s="28">
        <v>45877</v>
      </c>
      <c r="C150" s="37">
        <v>1952.88</v>
      </c>
    </row>
    <row r="151" spans="1:3" x14ac:dyDescent="0.25">
      <c r="A151" t="s">
        <v>28</v>
      </c>
      <c r="B151" s="28">
        <v>45877</v>
      </c>
      <c r="C151" s="37">
        <v>8803.4599999999991</v>
      </c>
    </row>
    <row r="152" spans="1:3" x14ac:dyDescent="0.25">
      <c r="A152" t="s">
        <v>28</v>
      </c>
      <c r="B152" s="28">
        <v>45877</v>
      </c>
      <c r="C152" s="37">
        <v>2260.0100000000002</v>
      </c>
    </row>
    <row r="153" spans="1:3" x14ac:dyDescent="0.25">
      <c r="A153" t="s">
        <v>28</v>
      </c>
      <c r="B153" s="28">
        <v>45877</v>
      </c>
      <c r="C153" s="37">
        <v>4846.08</v>
      </c>
    </row>
    <row r="154" spans="1:3" x14ac:dyDescent="0.25">
      <c r="A154" t="s">
        <v>28</v>
      </c>
      <c r="B154" s="28">
        <v>45889</v>
      </c>
      <c r="C154" s="37">
        <v>4305.8100000000004</v>
      </c>
    </row>
    <row r="155" spans="1:3" x14ac:dyDescent="0.25">
      <c r="A155" t="s">
        <v>28</v>
      </c>
      <c r="B155" s="28">
        <v>45889</v>
      </c>
      <c r="C155" s="37">
        <v>1527.03</v>
      </c>
    </row>
    <row r="156" spans="1:3" x14ac:dyDescent="0.25">
      <c r="A156" t="s">
        <v>28</v>
      </c>
      <c r="B156" s="28">
        <v>45904</v>
      </c>
      <c r="C156" s="37">
        <v>1183.19</v>
      </c>
    </row>
    <row r="157" spans="1:3" x14ac:dyDescent="0.25">
      <c r="A157" t="s">
        <v>28</v>
      </c>
      <c r="B157" s="28">
        <v>45904</v>
      </c>
      <c r="C157" s="37">
        <v>6574.95</v>
      </c>
    </row>
    <row r="158" spans="1:3" x14ac:dyDescent="0.25">
      <c r="A158" t="s">
        <v>28</v>
      </c>
      <c r="B158" s="28">
        <v>45904</v>
      </c>
      <c r="C158" s="37">
        <v>12252.01</v>
      </c>
    </row>
    <row r="159" spans="1:3" x14ac:dyDescent="0.25">
      <c r="A159" t="s">
        <v>28</v>
      </c>
      <c r="B159" s="28">
        <v>45904</v>
      </c>
      <c r="C159" s="37">
        <v>9462.0499999999993</v>
      </c>
    </row>
    <row r="160" spans="1:3" x14ac:dyDescent="0.25">
      <c r="A160" t="s">
        <v>28</v>
      </c>
      <c r="B160" s="28">
        <v>45904</v>
      </c>
      <c r="C160" s="37">
        <v>50618.29</v>
      </c>
    </row>
    <row r="161" spans="1:3" x14ac:dyDescent="0.25">
      <c r="A161" t="s">
        <v>28</v>
      </c>
      <c r="B161" s="28">
        <v>45904</v>
      </c>
      <c r="C161" s="37">
        <v>157525.79</v>
      </c>
    </row>
    <row r="162" spans="1:3" x14ac:dyDescent="0.25">
      <c r="A162" t="s">
        <v>28</v>
      </c>
      <c r="B162" s="28">
        <v>45906</v>
      </c>
      <c r="C162" s="37">
        <v>96180</v>
      </c>
    </row>
    <row r="163" spans="1:3" x14ac:dyDescent="0.25">
      <c r="A163" t="s">
        <v>28</v>
      </c>
      <c r="B163" s="28">
        <v>45917</v>
      </c>
      <c r="C163" s="37">
        <v>116061.5</v>
      </c>
    </row>
    <row r="164" spans="1:3" x14ac:dyDescent="0.25">
      <c r="A164" t="s">
        <v>28</v>
      </c>
      <c r="B164" s="28">
        <v>45918</v>
      </c>
      <c r="C164" s="37">
        <v>13725.75</v>
      </c>
    </row>
    <row r="165" spans="1:3" x14ac:dyDescent="0.25">
      <c r="A165" t="s">
        <v>28</v>
      </c>
      <c r="B165" s="28">
        <v>45918</v>
      </c>
      <c r="C165" s="37">
        <v>3614.34</v>
      </c>
    </row>
    <row r="166" spans="1:3" x14ac:dyDescent="0.25">
      <c r="A166" t="s">
        <v>28</v>
      </c>
      <c r="B166" s="28">
        <v>45935</v>
      </c>
      <c r="C166" s="37">
        <v>2636.9</v>
      </c>
    </row>
    <row r="167" spans="1:3" x14ac:dyDescent="0.25">
      <c r="A167" t="s">
        <v>28</v>
      </c>
      <c r="B167" s="28">
        <v>45935</v>
      </c>
      <c r="C167" s="37">
        <v>13764.82</v>
      </c>
    </row>
    <row r="168" spans="1:3" x14ac:dyDescent="0.25">
      <c r="A168" t="s">
        <v>28</v>
      </c>
      <c r="B168" s="28">
        <v>45935</v>
      </c>
      <c r="C168" s="37">
        <v>158743.39000000001</v>
      </c>
    </row>
    <row r="169" spans="1:3" x14ac:dyDescent="0.25">
      <c r="A169" t="s">
        <v>28</v>
      </c>
      <c r="B169" s="28">
        <v>45935</v>
      </c>
      <c r="C169" s="37">
        <v>4527.71</v>
      </c>
    </row>
    <row r="170" spans="1:3" x14ac:dyDescent="0.25">
      <c r="A170" t="s">
        <v>28</v>
      </c>
      <c r="B170" s="28">
        <v>45935</v>
      </c>
      <c r="C170" s="37">
        <v>23886.47</v>
      </c>
    </row>
    <row r="171" spans="1:3" x14ac:dyDescent="0.25">
      <c r="A171" t="s">
        <v>28</v>
      </c>
      <c r="B171" s="28">
        <v>45935</v>
      </c>
      <c r="C171" s="37">
        <v>13764.82</v>
      </c>
    </row>
    <row r="172" spans="1:3" x14ac:dyDescent="0.25">
      <c r="A172" t="s">
        <v>28</v>
      </c>
      <c r="B172" s="28">
        <v>45936</v>
      </c>
      <c r="C172" s="37">
        <v>117290.2</v>
      </c>
    </row>
    <row r="173" spans="1:3" x14ac:dyDescent="0.25">
      <c r="A173" t="s">
        <v>28</v>
      </c>
      <c r="B173" s="28">
        <v>45937</v>
      </c>
      <c r="C173" s="37">
        <v>49385.95</v>
      </c>
    </row>
    <row r="174" spans="1:3" x14ac:dyDescent="0.25">
      <c r="A174" t="s">
        <v>97</v>
      </c>
      <c r="B174" s="28">
        <v>45947</v>
      </c>
      <c r="C174" s="37">
        <v>-13764.82</v>
      </c>
    </row>
    <row r="175" spans="1:3" x14ac:dyDescent="0.25">
      <c r="A175" t="s">
        <v>28</v>
      </c>
      <c r="B175" s="28">
        <v>45948</v>
      </c>
      <c r="C175" s="37">
        <v>4137.91</v>
      </c>
    </row>
    <row r="176" spans="1:3" x14ac:dyDescent="0.25">
      <c r="A176" t="s">
        <v>28</v>
      </c>
      <c r="B176" s="28">
        <v>45950</v>
      </c>
      <c r="C176" s="37">
        <v>20724.830000000002</v>
      </c>
    </row>
    <row r="177" spans="1:3" x14ac:dyDescent="0.25">
      <c r="A177" t="s">
        <v>28</v>
      </c>
      <c r="B177" s="28">
        <v>45950</v>
      </c>
      <c r="C177" s="37">
        <v>4792.29</v>
      </c>
    </row>
    <row r="178" spans="1:3" x14ac:dyDescent="0.25">
      <c r="A178" t="s">
        <v>28</v>
      </c>
      <c r="B178" s="28">
        <v>45951</v>
      </c>
      <c r="C178" s="37">
        <v>1198.51</v>
      </c>
    </row>
    <row r="179" spans="1:3" x14ac:dyDescent="0.25">
      <c r="A179" t="s">
        <v>28</v>
      </c>
      <c r="B179" s="28">
        <v>45951</v>
      </c>
      <c r="C179" s="37">
        <v>1198.51</v>
      </c>
    </row>
    <row r="180" spans="1:3" x14ac:dyDescent="0.25">
      <c r="A180" t="s">
        <v>28</v>
      </c>
      <c r="B180" s="28">
        <v>45958</v>
      </c>
      <c r="C180" s="37">
        <v>21776.06</v>
      </c>
    </row>
    <row r="181" spans="1:3" x14ac:dyDescent="0.25">
      <c r="A181" t="s">
        <v>28</v>
      </c>
      <c r="B181" s="28">
        <v>45964</v>
      </c>
      <c r="C181" s="37">
        <v>40471</v>
      </c>
    </row>
    <row r="182" spans="1:3" x14ac:dyDescent="0.25">
      <c r="A182" t="s">
        <v>28</v>
      </c>
      <c r="B182" s="28">
        <v>45966</v>
      </c>
      <c r="C182" s="37">
        <v>158406.1</v>
      </c>
    </row>
    <row r="183" spans="1:3" x14ac:dyDescent="0.25">
      <c r="A183" t="s">
        <v>28</v>
      </c>
      <c r="B183" s="28">
        <v>45966</v>
      </c>
      <c r="C183" s="37">
        <v>1190.69</v>
      </c>
    </row>
    <row r="184" spans="1:3" x14ac:dyDescent="0.25">
      <c r="A184" t="s">
        <v>28</v>
      </c>
      <c r="B184" s="28">
        <v>45966</v>
      </c>
      <c r="C184" s="37">
        <v>94035.14</v>
      </c>
    </row>
    <row r="185" spans="1:3" x14ac:dyDescent="0.25">
      <c r="A185" t="s">
        <v>28</v>
      </c>
      <c r="B185" s="28">
        <v>45966</v>
      </c>
      <c r="C185" s="37">
        <v>12320.47</v>
      </c>
    </row>
    <row r="186" spans="1:3" x14ac:dyDescent="0.25">
      <c r="A186" t="s">
        <v>28</v>
      </c>
      <c r="B186" s="28">
        <v>45966</v>
      </c>
      <c r="C186" s="37">
        <v>3080.12</v>
      </c>
    </row>
    <row r="187" spans="1:3" x14ac:dyDescent="0.25">
      <c r="A187" t="s">
        <v>28</v>
      </c>
      <c r="B187" s="28">
        <v>45966</v>
      </c>
      <c r="C187" s="37">
        <v>28393.41</v>
      </c>
    </row>
    <row r="188" spans="1:3" x14ac:dyDescent="0.25">
      <c r="A188" t="s">
        <v>28</v>
      </c>
      <c r="B188" s="28">
        <v>45966</v>
      </c>
      <c r="C188" s="37">
        <v>1170.45</v>
      </c>
    </row>
    <row r="189" spans="1:3" x14ac:dyDescent="0.25">
      <c r="A189" t="s">
        <v>28</v>
      </c>
      <c r="B189" s="28">
        <v>45966</v>
      </c>
      <c r="C189" s="37">
        <v>17356.91</v>
      </c>
    </row>
    <row r="190" spans="1:3" x14ac:dyDescent="0.25">
      <c r="A190" t="s">
        <v>28</v>
      </c>
      <c r="B190" s="28">
        <v>45966</v>
      </c>
      <c r="C190" s="37">
        <v>12865.22</v>
      </c>
    </row>
    <row r="191" spans="1:3" x14ac:dyDescent="0.25">
      <c r="A191" t="s">
        <v>28</v>
      </c>
      <c r="B191" s="28">
        <v>45981</v>
      </c>
      <c r="C191" s="37">
        <v>179547.16</v>
      </c>
    </row>
    <row r="192" spans="1:3" x14ac:dyDescent="0.25">
      <c r="A192" t="s">
        <v>28</v>
      </c>
      <c r="B192" s="28">
        <v>45981</v>
      </c>
      <c r="C192" s="37">
        <v>5724.62</v>
      </c>
    </row>
    <row r="193" spans="1:3" x14ac:dyDescent="0.25">
      <c r="A193" t="s">
        <v>28</v>
      </c>
      <c r="B193" s="28">
        <v>45981</v>
      </c>
      <c r="C193" s="37">
        <v>3714.62</v>
      </c>
    </row>
    <row r="194" spans="1:3" x14ac:dyDescent="0.25">
      <c r="A194" t="s">
        <v>28</v>
      </c>
      <c r="B194" s="28">
        <v>45996</v>
      </c>
      <c r="C194" s="37">
        <v>14317.09</v>
      </c>
    </row>
    <row r="195" spans="1:3" x14ac:dyDescent="0.25">
      <c r="A195" t="s">
        <v>28</v>
      </c>
      <c r="B195" s="28">
        <v>45999</v>
      </c>
      <c r="C195" s="37">
        <v>3790.16</v>
      </c>
    </row>
    <row r="196" spans="1:3" x14ac:dyDescent="0.25">
      <c r="A196" t="s">
        <v>28</v>
      </c>
      <c r="B196" s="28">
        <v>46024</v>
      </c>
      <c r="C196" s="37">
        <v>79044.53</v>
      </c>
    </row>
    <row r="197" spans="1:3" x14ac:dyDescent="0.25">
      <c r="A197" t="s">
        <v>28</v>
      </c>
      <c r="B197" s="28">
        <v>46024</v>
      </c>
      <c r="C197" s="37">
        <v>163337.65</v>
      </c>
    </row>
    <row r="198" spans="1:3" x14ac:dyDescent="0.25">
      <c r="A198" t="s">
        <v>97</v>
      </c>
      <c r="B198" s="28">
        <v>46027</v>
      </c>
      <c r="C198" s="37">
        <v>-1233.2</v>
      </c>
    </row>
    <row r="199" spans="1:3" x14ac:dyDescent="0.25">
      <c r="A199" t="s">
        <v>28</v>
      </c>
      <c r="B199" s="28">
        <v>46027</v>
      </c>
      <c r="C199" s="37">
        <v>2887.45</v>
      </c>
    </row>
    <row r="200" spans="1:3" x14ac:dyDescent="0.25">
      <c r="A200" t="s">
        <v>28</v>
      </c>
      <c r="B200" s="28">
        <v>46027</v>
      </c>
      <c r="C200" s="37">
        <v>31527.8</v>
      </c>
    </row>
    <row r="201" spans="1:3" x14ac:dyDescent="0.25">
      <c r="A201" t="s">
        <v>28</v>
      </c>
      <c r="B201" s="28">
        <v>46027</v>
      </c>
      <c r="C201" s="37">
        <v>32731.96</v>
      </c>
    </row>
    <row r="202" spans="1:3" x14ac:dyDescent="0.25">
      <c r="A202" t="s">
        <v>28</v>
      </c>
      <c r="B202" s="28">
        <v>46028</v>
      </c>
      <c r="C202" s="37">
        <v>163337.65</v>
      </c>
    </row>
    <row r="203" spans="1:3" x14ac:dyDescent="0.25">
      <c r="A203" t="s">
        <v>28</v>
      </c>
      <c r="B203" s="28">
        <v>46028</v>
      </c>
      <c r="C203" s="37">
        <v>4993.59</v>
      </c>
    </row>
    <row r="204" spans="1:3" x14ac:dyDescent="0.25">
      <c r="A204" t="s">
        <v>28</v>
      </c>
      <c r="B204" s="28">
        <v>46028</v>
      </c>
      <c r="C204" s="37">
        <v>66298.75</v>
      </c>
    </row>
    <row r="205" spans="1:3" x14ac:dyDescent="0.25">
      <c r="A205" t="s">
        <v>28</v>
      </c>
      <c r="B205" s="28">
        <v>46028</v>
      </c>
      <c r="C205" s="37">
        <v>1519.95</v>
      </c>
    </row>
    <row r="206" spans="1:3" x14ac:dyDescent="0.25">
      <c r="A206" t="s">
        <v>28</v>
      </c>
      <c r="B206" s="28">
        <v>46034</v>
      </c>
      <c r="C206" s="37">
        <v>4087.07</v>
      </c>
    </row>
    <row r="207" spans="1:3" x14ac:dyDescent="0.25">
      <c r="A207" t="s">
        <v>28</v>
      </c>
      <c r="B207" s="28">
        <v>46034</v>
      </c>
      <c r="C207" s="37">
        <v>11455.41</v>
      </c>
    </row>
    <row r="208" spans="1:3" x14ac:dyDescent="0.25">
      <c r="A208" t="s">
        <v>28</v>
      </c>
      <c r="B208" s="28">
        <v>46035</v>
      </c>
      <c r="C208" s="37">
        <v>63234.36</v>
      </c>
    </row>
    <row r="209" spans="1:3" x14ac:dyDescent="0.25">
      <c r="A209" t="s">
        <v>28</v>
      </c>
      <c r="B209" s="28">
        <v>46045</v>
      </c>
      <c r="C209" s="37">
        <v>1519.95</v>
      </c>
    </row>
    <row r="210" spans="1:3" x14ac:dyDescent="0.25">
      <c r="A210" t="s">
        <v>28</v>
      </c>
      <c r="B210" s="28">
        <v>46045</v>
      </c>
      <c r="C210" s="37">
        <v>317.60000000000002</v>
      </c>
    </row>
    <row r="211" spans="1:3" x14ac:dyDescent="0.25">
      <c r="A211" t="s">
        <v>28</v>
      </c>
      <c r="B211" s="28">
        <v>46049</v>
      </c>
      <c r="C211" s="37">
        <v>16023.42</v>
      </c>
    </row>
  </sheetData>
  <autoFilter ref="A1:C211" xr:uid="{019C6B86-B4C8-4D62-B219-C98A1E53D5EB}">
    <sortState xmlns:xlrd2="http://schemas.microsoft.com/office/spreadsheetml/2017/richdata2" ref="A2:C211">
      <sortCondition ref="B1:B211"/>
    </sortState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8727-C04C-44FE-8F78-82EE7F652C15}">
  <dimension ref="A1:N170"/>
  <sheetViews>
    <sheetView workbookViewId="0">
      <selection activeCell="L7" sqref="J1:N17"/>
    </sheetView>
  </sheetViews>
  <sheetFormatPr defaultRowHeight="12.5" x14ac:dyDescent="0.25"/>
  <cols>
    <col min="1" max="1" width="10.08984375" bestFit="1" customWidth="1"/>
    <col min="2" max="2" width="9.1796875" bestFit="1" customWidth="1"/>
    <col min="3" max="3" width="14.81640625" hidden="1" customWidth="1"/>
    <col min="4" max="4" width="18.90625" bestFit="1" customWidth="1"/>
    <col min="5" max="5" width="9.453125" bestFit="1" customWidth="1"/>
    <col min="6" max="6" width="9" bestFit="1" customWidth="1"/>
    <col min="7" max="7" width="7.453125" bestFit="1" customWidth="1"/>
    <col min="8" max="8" width="9.54296875" bestFit="1" customWidth="1"/>
    <col min="10" max="10" width="13" bestFit="1" customWidth="1"/>
    <col min="11" max="11" width="12.6328125" bestFit="1" customWidth="1"/>
    <col min="12" max="12" width="9.54296875" bestFit="1" customWidth="1"/>
    <col min="13" max="13" width="12.6328125" bestFit="1" customWidth="1"/>
    <col min="14" max="14" width="11.08984375" bestFit="1" customWidth="1"/>
  </cols>
  <sheetData>
    <row r="1" spans="1:14" x14ac:dyDescent="0.25">
      <c r="A1" s="19" t="s">
        <v>471</v>
      </c>
      <c r="B1" s="14" t="s">
        <v>472</v>
      </c>
      <c r="C1" s="13" t="s">
        <v>714</v>
      </c>
      <c r="D1" s="13" t="s">
        <v>475</v>
      </c>
      <c r="E1" s="13" t="s">
        <v>476</v>
      </c>
      <c r="F1" s="13" t="s">
        <v>479</v>
      </c>
      <c r="G1" s="13" t="s">
        <v>699</v>
      </c>
      <c r="H1" s="25" t="s">
        <v>715</v>
      </c>
      <c r="J1" s="9" t="s">
        <v>468</v>
      </c>
      <c r="K1" s="9" t="s">
        <v>469</v>
      </c>
      <c r="L1" s="9" t="s">
        <v>715</v>
      </c>
      <c r="M1" t="s">
        <v>697</v>
      </c>
      <c r="N1" t="s">
        <v>700</v>
      </c>
    </row>
    <row r="2" spans="1:14" x14ac:dyDescent="0.25">
      <c r="A2" s="19">
        <v>45707</v>
      </c>
      <c r="B2" s="14" t="s">
        <v>480</v>
      </c>
      <c r="C2" s="44" t="s">
        <v>482</v>
      </c>
      <c r="D2" s="13">
        <v>1620.01</v>
      </c>
      <c r="E2" s="13" t="s">
        <v>483</v>
      </c>
      <c r="F2" s="13">
        <v>140899</v>
      </c>
      <c r="G2" s="21">
        <v>15655</v>
      </c>
      <c r="H2" s="68">
        <v>45505</v>
      </c>
      <c r="J2" t="s">
        <v>716</v>
      </c>
      <c r="K2" t="s">
        <v>457</v>
      </c>
      <c r="L2" s="70" t="s">
        <v>459</v>
      </c>
      <c r="M2" s="12">
        <v>257352</v>
      </c>
      <c r="N2" s="12">
        <v>28595</v>
      </c>
    </row>
    <row r="3" spans="1:14" x14ac:dyDescent="0.25">
      <c r="A3" s="19">
        <v>45708</v>
      </c>
      <c r="B3" s="14" t="s">
        <v>480</v>
      </c>
      <c r="C3" s="44" t="s">
        <v>490</v>
      </c>
      <c r="D3" s="13">
        <v>1620</v>
      </c>
      <c r="E3" s="13" t="s">
        <v>483</v>
      </c>
      <c r="F3" s="13">
        <v>140453</v>
      </c>
      <c r="G3" s="21">
        <v>15606</v>
      </c>
      <c r="H3" s="68">
        <v>45536</v>
      </c>
      <c r="L3" s="70" t="s">
        <v>460</v>
      </c>
      <c r="M3" s="12">
        <v>324741</v>
      </c>
      <c r="N3" s="12">
        <v>36082</v>
      </c>
    </row>
    <row r="4" spans="1:14" x14ac:dyDescent="0.25">
      <c r="A4" s="19">
        <v>45708</v>
      </c>
      <c r="B4" s="14" t="s">
        <v>480</v>
      </c>
      <c r="C4" s="44" t="s">
        <v>492</v>
      </c>
      <c r="D4" s="13">
        <v>1620</v>
      </c>
      <c r="E4" s="13" t="s">
        <v>483</v>
      </c>
      <c r="F4" s="13">
        <v>140453</v>
      </c>
      <c r="G4" s="21">
        <v>15606</v>
      </c>
      <c r="H4" s="68">
        <v>45566</v>
      </c>
      <c r="K4" t="s">
        <v>461</v>
      </c>
      <c r="L4" s="70" t="s">
        <v>462</v>
      </c>
      <c r="M4" s="12">
        <v>328797</v>
      </c>
      <c r="N4" s="12">
        <v>36533</v>
      </c>
    </row>
    <row r="5" spans="1:14" x14ac:dyDescent="0.25">
      <c r="A5" s="19">
        <v>45708</v>
      </c>
      <c r="B5" s="14" t="s">
        <v>480</v>
      </c>
      <c r="C5" s="44" t="s">
        <v>494</v>
      </c>
      <c r="D5" s="13">
        <v>1620</v>
      </c>
      <c r="E5" s="13" t="s">
        <v>483</v>
      </c>
      <c r="F5" s="13">
        <v>140453</v>
      </c>
      <c r="G5" s="21">
        <v>15606</v>
      </c>
      <c r="H5" s="68">
        <v>45597</v>
      </c>
      <c r="L5" s="70" t="s">
        <v>463</v>
      </c>
      <c r="M5" s="12">
        <v>356628</v>
      </c>
      <c r="N5" s="12">
        <v>39626</v>
      </c>
    </row>
    <row r="6" spans="1:14" x14ac:dyDescent="0.25">
      <c r="A6" s="19">
        <v>45717</v>
      </c>
      <c r="B6" s="14" t="s">
        <v>480</v>
      </c>
      <c r="C6" s="44" t="s">
        <v>496</v>
      </c>
      <c r="D6" s="13">
        <v>1620</v>
      </c>
      <c r="E6" s="13" t="s">
        <v>483</v>
      </c>
      <c r="F6" s="13">
        <v>140453</v>
      </c>
      <c r="G6" s="21">
        <v>15606</v>
      </c>
      <c r="H6" s="68">
        <v>45627</v>
      </c>
      <c r="L6" s="70" t="s">
        <v>464</v>
      </c>
      <c r="M6" s="12">
        <v>364397</v>
      </c>
      <c r="N6" s="12">
        <v>40489</v>
      </c>
    </row>
    <row r="7" spans="1:14" x14ac:dyDescent="0.25">
      <c r="A7" s="19">
        <v>45717</v>
      </c>
      <c r="B7" s="14" t="s">
        <v>480</v>
      </c>
      <c r="C7" s="44" t="s">
        <v>498</v>
      </c>
      <c r="D7" s="13">
        <v>1620</v>
      </c>
      <c r="E7" s="13" t="s">
        <v>483</v>
      </c>
      <c r="F7" s="13">
        <v>140453</v>
      </c>
      <c r="G7" s="21">
        <v>15606</v>
      </c>
      <c r="H7" s="68">
        <v>45658</v>
      </c>
      <c r="J7" t="s">
        <v>449</v>
      </c>
      <c r="K7" t="s">
        <v>450</v>
      </c>
      <c r="L7" s="70" t="s">
        <v>466</v>
      </c>
      <c r="M7" s="12">
        <v>375448</v>
      </c>
      <c r="N7" s="12">
        <v>41717</v>
      </c>
    </row>
    <row r="8" spans="1:14" x14ac:dyDescent="0.25">
      <c r="A8" s="19">
        <v>45717</v>
      </c>
      <c r="B8" s="14" t="s">
        <v>480</v>
      </c>
      <c r="C8" s="44" t="s">
        <v>500</v>
      </c>
      <c r="D8" s="13">
        <v>1620</v>
      </c>
      <c r="E8" s="13" t="s">
        <v>483</v>
      </c>
      <c r="F8" s="13">
        <v>140453</v>
      </c>
      <c r="G8" s="21">
        <v>15606</v>
      </c>
      <c r="H8" s="68">
        <v>45689</v>
      </c>
      <c r="L8" s="70" t="s">
        <v>451</v>
      </c>
      <c r="M8" s="12">
        <v>280053</v>
      </c>
      <c r="N8" s="12">
        <v>31117</v>
      </c>
    </row>
    <row r="9" spans="1:14" x14ac:dyDescent="0.25">
      <c r="A9" s="19">
        <v>45717</v>
      </c>
      <c r="B9" s="14" t="s">
        <v>480</v>
      </c>
      <c r="C9" s="44" t="s">
        <v>482</v>
      </c>
      <c r="D9" s="13">
        <v>418.5</v>
      </c>
      <c r="E9" s="13" t="s">
        <v>483</v>
      </c>
      <c r="F9" s="13">
        <v>36410</v>
      </c>
      <c r="G9" s="21">
        <v>4046</v>
      </c>
      <c r="H9" s="68">
        <v>45505</v>
      </c>
      <c r="L9" s="70" t="s">
        <v>452</v>
      </c>
      <c r="M9" s="12">
        <v>453208</v>
      </c>
      <c r="N9" s="12">
        <v>21370</v>
      </c>
    </row>
    <row r="10" spans="1:14" x14ac:dyDescent="0.25">
      <c r="A10" s="19">
        <v>45717</v>
      </c>
      <c r="B10" s="14" t="s">
        <v>480</v>
      </c>
      <c r="C10" s="44" t="s">
        <v>490</v>
      </c>
      <c r="D10" s="13">
        <v>405</v>
      </c>
      <c r="E10" s="13" t="s">
        <v>483</v>
      </c>
      <c r="F10" s="13">
        <v>35397</v>
      </c>
      <c r="G10" s="21">
        <v>3933</v>
      </c>
      <c r="H10" s="68">
        <v>45536</v>
      </c>
      <c r="K10" t="s">
        <v>453</v>
      </c>
      <c r="L10" s="70" t="s">
        <v>454</v>
      </c>
      <c r="M10" s="12">
        <v>453872</v>
      </c>
      <c r="N10" s="12">
        <v>37017</v>
      </c>
    </row>
    <row r="11" spans="1:14" x14ac:dyDescent="0.25">
      <c r="A11" s="19">
        <v>45717</v>
      </c>
      <c r="B11" s="14" t="s">
        <v>480</v>
      </c>
      <c r="C11" s="44" t="s">
        <v>492</v>
      </c>
      <c r="D11" s="13">
        <v>418.5</v>
      </c>
      <c r="E11" s="13" t="s">
        <v>483</v>
      </c>
      <c r="F11" s="13">
        <v>36577</v>
      </c>
      <c r="G11" s="21">
        <v>4064</v>
      </c>
      <c r="H11" s="68">
        <v>45566</v>
      </c>
      <c r="L11" s="70" t="s">
        <v>455</v>
      </c>
      <c r="M11" s="12">
        <v>277104</v>
      </c>
      <c r="N11" s="12">
        <v>21554</v>
      </c>
    </row>
    <row r="12" spans="1:14" x14ac:dyDescent="0.25">
      <c r="A12" s="19">
        <v>45717</v>
      </c>
      <c r="B12" s="14" t="s">
        <v>480</v>
      </c>
      <c r="C12" s="44" t="s">
        <v>494</v>
      </c>
      <c r="D12" s="13">
        <v>405</v>
      </c>
      <c r="E12" s="13" t="s">
        <v>483</v>
      </c>
      <c r="F12" s="13">
        <v>35397</v>
      </c>
      <c r="G12" s="21">
        <v>3933</v>
      </c>
      <c r="H12" s="68">
        <v>45597</v>
      </c>
      <c r="L12" s="70" t="s">
        <v>456</v>
      </c>
      <c r="M12" s="12">
        <v>574785</v>
      </c>
      <c r="N12" s="12">
        <v>43627</v>
      </c>
    </row>
    <row r="13" spans="1:14" x14ac:dyDescent="0.25">
      <c r="A13" s="19">
        <v>45717</v>
      </c>
      <c r="B13" s="14" t="s">
        <v>480</v>
      </c>
      <c r="C13" s="44" t="s">
        <v>496</v>
      </c>
      <c r="D13" s="13">
        <v>418.5</v>
      </c>
      <c r="E13" s="13" t="s">
        <v>483</v>
      </c>
      <c r="F13" s="13">
        <v>36577</v>
      </c>
      <c r="G13" s="21">
        <v>4064</v>
      </c>
      <c r="H13" s="68">
        <v>45627</v>
      </c>
      <c r="K13" t="s">
        <v>457</v>
      </c>
      <c r="L13" s="70" t="s">
        <v>458</v>
      </c>
      <c r="M13" s="12">
        <v>331990</v>
      </c>
      <c r="N13" s="12">
        <v>28314</v>
      </c>
    </row>
    <row r="14" spans="1:14" x14ac:dyDescent="0.25">
      <c r="A14" s="19">
        <v>45719</v>
      </c>
      <c r="B14" s="14" t="s">
        <v>480</v>
      </c>
      <c r="C14" s="44" t="s">
        <v>482</v>
      </c>
      <c r="D14" s="13">
        <v>916.54</v>
      </c>
      <c r="E14" s="13" t="s">
        <v>483</v>
      </c>
      <c r="F14" s="13">
        <v>80043</v>
      </c>
      <c r="G14" s="21">
        <v>8894</v>
      </c>
      <c r="H14" s="68">
        <v>45505</v>
      </c>
      <c r="L14" s="70" t="s">
        <v>459</v>
      </c>
      <c r="M14" s="12">
        <v>310136</v>
      </c>
      <c r="N14" s="12">
        <v>26821</v>
      </c>
    </row>
    <row r="15" spans="1:14" x14ac:dyDescent="0.25">
      <c r="A15" s="19">
        <v>45719</v>
      </c>
      <c r="B15" s="14" t="s">
        <v>480</v>
      </c>
      <c r="C15" s="44" t="s">
        <v>490</v>
      </c>
      <c r="D15" s="13">
        <v>1704.9</v>
      </c>
      <c r="E15" s="13" t="s">
        <v>483</v>
      </c>
      <c r="F15" s="13">
        <v>148891</v>
      </c>
      <c r="G15" s="21">
        <v>16543</v>
      </c>
      <c r="H15" s="68">
        <v>45536</v>
      </c>
      <c r="L15" s="70" t="s">
        <v>460</v>
      </c>
      <c r="M15" s="12">
        <v>470384</v>
      </c>
      <c r="N15" s="12">
        <v>32035</v>
      </c>
    </row>
    <row r="16" spans="1:14" x14ac:dyDescent="0.25">
      <c r="A16" s="19">
        <v>45719</v>
      </c>
      <c r="B16" s="14" t="s">
        <v>480</v>
      </c>
      <c r="C16" s="44" t="s">
        <v>492</v>
      </c>
      <c r="D16" s="13">
        <v>1737.83</v>
      </c>
      <c r="E16" s="13" t="s">
        <v>483</v>
      </c>
      <c r="F16" s="13">
        <v>151767</v>
      </c>
      <c r="G16" s="21">
        <v>16863</v>
      </c>
      <c r="H16" s="68">
        <v>45566</v>
      </c>
      <c r="K16" t="s">
        <v>461</v>
      </c>
      <c r="L16" s="70" t="s">
        <v>462</v>
      </c>
      <c r="M16" s="12">
        <v>393588</v>
      </c>
      <c r="N16" s="12">
        <v>28667</v>
      </c>
    </row>
    <row r="17" spans="1:14" x14ac:dyDescent="0.25">
      <c r="A17" s="19">
        <v>45722</v>
      </c>
      <c r="B17" s="14" t="s">
        <v>480</v>
      </c>
      <c r="C17" s="44" t="s">
        <v>494</v>
      </c>
      <c r="D17" s="13">
        <v>2075.86</v>
      </c>
      <c r="E17" s="13" t="s">
        <v>483</v>
      </c>
      <c r="F17" s="13">
        <v>180778</v>
      </c>
      <c r="G17" s="21">
        <v>20087</v>
      </c>
      <c r="H17" s="68">
        <v>45597</v>
      </c>
      <c r="L17" s="70" t="s">
        <v>463</v>
      </c>
      <c r="M17" s="12">
        <v>142565</v>
      </c>
      <c r="N17" s="12">
        <v>15841</v>
      </c>
    </row>
    <row r="18" spans="1:14" x14ac:dyDescent="0.25">
      <c r="A18" s="19">
        <v>45722</v>
      </c>
      <c r="B18" s="14" t="s">
        <v>480</v>
      </c>
      <c r="C18" s="44" t="s">
        <v>496</v>
      </c>
      <c r="D18" s="13">
        <v>2151.52</v>
      </c>
      <c r="E18" s="13" t="s">
        <v>483</v>
      </c>
      <c r="F18" s="13">
        <v>187367</v>
      </c>
      <c r="G18" s="21">
        <v>20819</v>
      </c>
      <c r="H18" s="68">
        <v>45627</v>
      </c>
    </row>
    <row r="19" spans="1:14" x14ac:dyDescent="0.25">
      <c r="A19" s="19">
        <v>45735</v>
      </c>
      <c r="B19" s="14" t="s">
        <v>480</v>
      </c>
      <c r="C19" s="44" t="s">
        <v>513</v>
      </c>
      <c r="D19" s="13">
        <v>167.47</v>
      </c>
      <c r="E19" s="13" t="s">
        <v>483</v>
      </c>
      <c r="F19" s="13">
        <v>14486</v>
      </c>
      <c r="G19" s="21">
        <v>1610</v>
      </c>
      <c r="H19" s="68">
        <v>45717</v>
      </c>
    </row>
    <row r="20" spans="1:14" x14ac:dyDescent="0.25">
      <c r="A20" s="19">
        <v>45736</v>
      </c>
      <c r="B20" s="14" t="s">
        <v>480</v>
      </c>
      <c r="C20" s="44" t="s">
        <v>498</v>
      </c>
      <c r="D20" s="13">
        <v>418.5</v>
      </c>
      <c r="E20" s="13" t="s">
        <v>483</v>
      </c>
      <c r="F20" s="13">
        <v>36118</v>
      </c>
      <c r="G20" s="21">
        <v>4013</v>
      </c>
      <c r="H20" s="68">
        <v>45658</v>
      </c>
    </row>
    <row r="21" spans="1:14" x14ac:dyDescent="0.25">
      <c r="A21" s="19">
        <v>45736</v>
      </c>
      <c r="B21" s="14" t="s">
        <v>480</v>
      </c>
      <c r="C21" s="44" t="s">
        <v>500</v>
      </c>
      <c r="D21" s="13">
        <v>378</v>
      </c>
      <c r="E21" s="13" t="s">
        <v>483</v>
      </c>
      <c r="F21" s="13">
        <v>32623</v>
      </c>
      <c r="G21" s="21">
        <v>3625</v>
      </c>
      <c r="H21" s="68">
        <v>45689</v>
      </c>
    </row>
    <row r="22" spans="1:14" x14ac:dyDescent="0.25">
      <c r="A22" s="19">
        <v>45809</v>
      </c>
      <c r="B22" s="14" t="s">
        <v>480</v>
      </c>
      <c r="C22" s="44" t="s">
        <v>513</v>
      </c>
      <c r="D22" s="13">
        <v>75.66</v>
      </c>
      <c r="E22" s="13" t="s">
        <v>483</v>
      </c>
      <c r="F22" s="13">
        <v>6589</v>
      </c>
      <c r="G22" s="21">
        <v>134</v>
      </c>
      <c r="H22" s="68">
        <v>45717</v>
      </c>
    </row>
    <row r="23" spans="1:14" x14ac:dyDescent="0.25">
      <c r="A23" s="19">
        <v>45809</v>
      </c>
      <c r="B23" s="14" t="s">
        <v>480</v>
      </c>
      <c r="C23" s="44" t="s">
        <v>513</v>
      </c>
      <c r="D23" s="13">
        <v>240.78</v>
      </c>
      <c r="E23" s="13" t="s">
        <v>483</v>
      </c>
      <c r="F23" s="13">
        <v>20898</v>
      </c>
      <c r="G23" s="21">
        <v>426</v>
      </c>
      <c r="H23" s="68">
        <v>45717</v>
      </c>
    </row>
    <row r="24" spans="1:14" x14ac:dyDescent="0.25">
      <c r="A24" s="19">
        <v>45809</v>
      </c>
      <c r="B24" s="14" t="s">
        <v>480</v>
      </c>
      <c r="C24" s="44" t="s">
        <v>513</v>
      </c>
      <c r="D24" s="13">
        <v>68.430000000000007</v>
      </c>
      <c r="E24" s="13" t="s">
        <v>483</v>
      </c>
      <c r="F24" s="13">
        <v>5939</v>
      </c>
      <c r="G24" s="21">
        <v>121</v>
      </c>
      <c r="H24" s="68">
        <v>45717</v>
      </c>
    </row>
    <row r="25" spans="1:14" x14ac:dyDescent="0.25">
      <c r="A25" s="19">
        <v>45809</v>
      </c>
      <c r="B25" s="14" t="s">
        <v>480</v>
      </c>
      <c r="C25" s="44" t="s">
        <v>513</v>
      </c>
      <c r="D25" s="13">
        <v>70.180000000000007</v>
      </c>
      <c r="E25" s="13" t="s">
        <v>483</v>
      </c>
      <c r="F25" s="13">
        <v>6091</v>
      </c>
      <c r="G25" s="21">
        <v>124</v>
      </c>
      <c r="H25" s="68">
        <v>45717</v>
      </c>
    </row>
    <row r="26" spans="1:14" x14ac:dyDescent="0.25">
      <c r="A26" s="19">
        <v>45809</v>
      </c>
      <c r="B26" s="14" t="s">
        <v>480</v>
      </c>
      <c r="C26" s="44" t="s">
        <v>513</v>
      </c>
      <c r="D26" s="13">
        <v>60.58</v>
      </c>
      <c r="E26" s="13" t="s">
        <v>483</v>
      </c>
      <c r="F26" s="13">
        <v>5258</v>
      </c>
      <c r="G26" s="21">
        <v>107</v>
      </c>
      <c r="H26" s="68">
        <v>45717</v>
      </c>
    </row>
    <row r="27" spans="1:14" x14ac:dyDescent="0.25">
      <c r="A27" s="19">
        <v>45809</v>
      </c>
      <c r="B27" s="14" t="s">
        <v>480</v>
      </c>
      <c r="C27" s="44" t="s">
        <v>513</v>
      </c>
      <c r="D27" s="13">
        <v>119.73</v>
      </c>
      <c r="E27" s="13" t="s">
        <v>483</v>
      </c>
      <c r="F27" s="13">
        <v>10392</v>
      </c>
      <c r="G27" s="21">
        <v>212</v>
      </c>
      <c r="H27" s="68">
        <v>45717</v>
      </c>
    </row>
    <row r="28" spans="1:14" x14ac:dyDescent="0.25">
      <c r="A28" s="19">
        <v>45809</v>
      </c>
      <c r="B28" s="14" t="s">
        <v>480</v>
      </c>
      <c r="C28" s="44" t="s">
        <v>513</v>
      </c>
      <c r="D28" s="13">
        <v>75.66</v>
      </c>
      <c r="E28" s="13" t="s">
        <v>483</v>
      </c>
      <c r="F28" s="13">
        <v>6589</v>
      </c>
      <c r="G28" s="21">
        <v>134</v>
      </c>
      <c r="H28" s="68">
        <v>45717</v>
      </c>
    </row>
    <row r="29" spans="1:14" x14ac:dyDescent="0.25">
      <c r="A29" s="19">
        <v>45809</v>
      </c>
      <c r="B29" s="14" t="s">
        <v>480</v>
      </c>
      <c r="C29" s="69" t="s">
        <v>513</v>
      </c>
      <c r="D29" s="25">
        <v>267.54000000000002</v>
      </c>
      <c r="E29" s="25" t="s">
        <v>483</v>
      </c>
      <c r="F29" s="25">
        <v>23090</v>
      </c>
      <c r="G29" s="21">
        <v>471</v>
      </c>
      <c r="H29" s="68">
        <v>45717</v>
      </c>
    </row>
    <row r="30" spans="1:14" x14ac:dyDescent="0.25">
      <c r="A30" s="19">
        <v>45809</v>
      </c>
      <c r="B30" s="14" t="s">
        <v>480</v>
      </c>
      <c r="C30" s="69" t="s">
        <v>513</v>
      </c>
      <c r="D30" s="25">
        <v>271.75</v>
      </c>
      <c r="E30" s="25" t="s">
        <v>483</v>
      </c>
      <c r="F30" s="25">
        <v>23453</v>
      </c>
      <c r="G30" s="21">
        <v>479</v>
      </c>
      <c r="H30" s="68">
        <v>45717</v>
      </c>
    </row>
    <row r="31" spans="1:14" x14ac:dyDescent="0.25">
      <c r="A31" s="19">
        <v>45809</v>
      </c>
      <c r="B31" s="14" t="s">
        <v>480</v>
      </c>
      <c r="C31" s="69" t="s">
        <v>513</v>
      </c>
      <c r="D31" s="25">
        <v>246.47</v>
      </c>
      <c r="E31" s="25" t="s">
        <v>483</v>
      </c>
      <c r="F31" s="25">
        <v>21271</v>
      </c>
      <c r="G31" s="21">
        <v>434</v>
      </c>
      <c r="H31" s="68">
        <v>45717</v>
      </c>
    </row>
    <row r="32" spans="1:14" x14ac:dyDescent="0.25">
      <c r="A32" s="19">
        <v>45809</v>
      </c>
      <c r="B32" s="14" t="s">
        <v>480</v>
      </c>
      <c r="C32" s="69" t="s">
        <v>513</v>
      </c>
      <c r="D32" s="25">
        <v>543.51</v>
      </c>
      <c r="E32" s="25" t="s">
        <v>483</v>
      </c>
      <c r="F32" s="25">
        <v>46907</v>
      </c>
      <c r="G32" s="21">
        <v>957</v>
      </c>
      <c r="H32" s="68">
        <v>45717</v>
      </c>
    </row>
    <row r="33" spans="1:8" x14ac:dyDescent="0.25">
      <c r="A33" s="19">
        <v>45809</v>
      </c>
      <c r="B33" s="14" t="s">
        <v>480</v>
      </c>
      <c r="C33" s="69" t="s">
        <v>513</v>
      </c>
      <c r="D33" s="25">
        <v>346.14</v>
      </c>
      <c r="E33" s="25" t="s">
        <v>483</v>
      </c>
      <c r="F33" s="25">
        <v>29873</v>
      </c>
      <c r="G33" s="21">
        <v>610</v>
      </c>
      <c r="H33" s="68">
        <v>45717</v>
      </c>
    </row>
    <row r="34" spans="1:8" x14ac:dyDescent="0.25">
      <c r="A34" s="19">
        <v>45809</v>
      </c>
      <c r="B34" s="14" t="s">
        <v>480</v>
      </c>
      <c r="C34" s="69" t="s">
        <v>513</v>
      </c>
      <c r="D34" s="25">
        <v>271.75</v>
      </c>
      <c r="E34" s="25" t="s">
        <v>483</v>
      </c>
      <c r="F34" s="25">
        <v>23453</v>
      </c>
      <c r="G34" s="21">
        <v>479</v>
      </c>
      <c r="H34" s="68">
        <v>45717</v>
      </c>
    </row>
    <row r="35" spans="1:8" x14ac:dyDescent="0.25">
      <c r="A35" s="19">
        <v>45809</v>
      </c>
      <c r="B35" s="14" t="s">
        <v>480</v>
      </c>
      <c r="C35" s="44" t="s">
        <v>513</v>
      </c>
      <c r="D35" s="13">
        <v>20.72</v>
      </c>
      <c r="E35" s="13" t="s">
        <v>483</v>
      </c>
      <c r="F35" s="13">
        <v>1788</v>
      </c>
      <c r="G35" s="21">
        <v>36</v>
      </c>
      <c r="H35" s="68">
        <v>45717</v>
      </c>
    </row>
    <row r="36" spans="1:8" x14ac:dyDescent="0.25">
      <c r="A36" s="19">
        <v>45809</v>
      </c>
      <c r="B36" s="14" t="s">
        <v>480</v>
      </c>
      <c r="C36" s="44" t="s">
        <v>513</v>
      </c>
      <c r="D36" s="13">
        <v>34.299999999999997</v>
      </c>
      <c r="E36" s="13" t="s">
        <v>483</v>
      </c>
      <c r="F36" s="13">
        <v>2987</v>
      </c>
      <c r="G36" s="21">
        <v>61</v>
      </c>
      <c r="H36" s="68">
        <v>45717</v>
      </c>
    </row>
    <row r="37" spans="1:8" x14ac:dyDescent="0.25">
      <c r="A37" s="19">
        <v>45809</v>
      </c>
      <c r="B37" s="14" t="s">
        <v>480</v>
      </c>
      <c r="C37" s="44" t="s">
        <v>513</v>
      </c>
      <c r="D37" s="13">
        <v>25.51</v>
      </c>
      <c r="E37" s="13" t="s">
        <v>483</v>
      </c>
      <c r="F37" s="13">
        <v>2207</v>
      </c>
      <c r="G37" s="21">
        <v>45</v>
      </c>
      <c r="H37" s="68">
        <v>45717</v>
      </c>
    </row>
    <row r="38" spans="1:8" x14ac:dyDescent="0.25">
      <c r="A38" s="19">
        <v>45809</v>
      </c>
      <c r="B38" s="14" t="s">
        <v>480</v>
      </c>
      <c r="C38" s="44" t="s">
        <v>513</v>
      </c>
      <c r="D38" s="13">
        <v>125.95</v>
      </c>
      <c r="E38" s="13" t="s">
        <v>483</v>
      </c>
      <c r="F38" s="13">
        <v>10870</v>
      </c>
      <c r="G38" s="21">
        <v>222</v>
      </c>
      <c r="H38" s="68">
        <v>45717</v>
      </c>
    </row>
    <row r="39" spans="1:8" x14ac:dyDescent="0.25">
      <c r="A39" s="19">
        <v>45809</v>
      </c>
      <c r="B39" s="14" t="s">
        <v>480</v>
      </c>
      <c r="C39" s="44" t="s">
        <v>513</v>
      </c>
      <c r="D39" s="13">
        <v>1.71</v>
      </c>
      <c r="E39" s="13" t="s">
        <v>483</v>
      </c>
      <c r="F39" s="13">
        <v>148</v>
      </c>
      <c r="G39" s="21">
        <v>3</v>
      </c>
      <c r="H39" s="68">
        <v>45717</v>
      </c>
    </row>
    <row r="40" spans="1:8" x14ac:dyDescent="0.25">
      <c r="A40" s="19">
        <v>45809</v>
      </c>
      <c r="B40" s="14" t="s">
        <v>480</v>
      </c>
      <c r="C40" s="44" t="s">
        <v>513</v>
      </c>
      <c r="D40" s="13">
        <v>1.97</v>
      </c>
      <c r="E40" s="13" t="s">
        <v>483</v>
      </c>
      <c r="F40" s="13">
        <v>170</v>
      </c>
      <c r="G40" s="21">
        <v>3</v>
      </c>
      <c r="H40" s="68">
        <v>45717</v>
      </c>
    </row>
    <row r="41" spans="1:8" x14ac:dyDescent="0.25">
      <c r="A41" s="19">
        <v>45809</v>
      </c>
      <c r="B41" s="14" t="s">
        <v>480</v>
      </c>
      <c r="C41" s="44" t="s">
        <v>513</v>
      </c>
      <c r="D41" s="13">
        <v>1.71</v>
      </c>
      <c r="E41" s="13" t="s">
        <v>483</v>
      </c>
      <c r="F41" s="13">
        <v>148</v>
      </c>
      <c r="G41" s="21">
        <v>3</v>
      </c>
      <c r="H41" s="68">
        <v>45717</v>
      </c>
    </row>
    <row r="42" spans="1:8" x14ac:dyDescent="0.25">
      <c r="A42" s="19">
        <v>45810</v>
      </c>
      <c r="B42" s="14" t="s">
        <v>480</v>
      </c>
      <c r="C42" s="44" t="s">
        <v>548</v>
      </c>
      <c r="D42" s="13">
        <v>405.01</v>
      </c>
      <c r="E42" s="13" t="s">
        <v>483</v>
      </c>
      <c r="F42" s="13">
        <v>34824</v>
      </c>
      <c r="G42" s="21">
        <v>3869</v>
      </c>
      <c r="H42" s="68">
        <v>45748</v>
      </c>
    </row>
    <row r="43" spans="1:8" x14ac:dyDescent="0.25">
      <c r="A43" s="19">
        <v>45821</v>
      </c>
      <c r="B43" s="14" t="s">
        <v>480</v>
      </c>
      <c r="C43" s="44" t="s">
        <v>513</v>
      </c>
      <c r="D43" s="13">
        <v>417.76</v>
      </c>
      <c r="E43" s="13" t="s">
        <v>483</v>
      </c>
      <c r="F43" s="13">
        <v>35715</v>
      </c>
      <c r="G43" s="21">
        <v>3968</v>
      </c>
      <c r="H43" s="68">
        <v>45717</v>
      </c>
    </row>
    <row r="44" spans="1:8" x14ac:dyDescent="0.25">
      <c r="A44" s="19">
        <v>45839</v>
      </c>
      <c r="B44" s="14" t="s">
        <v>480</v>
      </c>
      <c r="C44" s="44" t="s">
        <v>513</v>
      </c>
      <c r="D44" s="13">
        <v>1.96</v>
      </c>
      <c r="E44" s="13" t="s">
        <v>483</v>
      </c>
      <c r="F44" s="13">
        <v>169</v>
      </c>
      <c r="G44" s="21">
        <v>3</v>
      </c>
      <c r="H44" s="68">
        <v>45717</v>
      </c>
    </row>
    <row r="45" spans="1:8" x14ac:dyDescent="0.25">
      <c r="A45" s="19">
        <v>45839</v>
      </c>
      <c r="B45" s="14" t="s">
        <v>480</v>
      </c>
      <c r="C45" s="44" t="s">
        <v>513</v>
      </c>
      <c r="D45" s="13">
        <v>14.5</v>
      </c>
      <c r="E45" s="13" t="s">
        <v>483</v>
      </c>
      <c r="F45" s="13">
        <v>1251</v>
      </c>
      <c r="G45" s="21">
        <v>26</v>
      </c>
      <c r="H45" s="68">
        <v>45717</v>
      </c>
    </row>
    <row r="46" spans="1:8" x14ac:dyDescent="0.25">
      <c r="A46" s="19">
        <v>45839</v>
      </c>
      <c r="B46" s="14" t="s">
        <v>480</v>
      </c>
      <c r="C46" s="44" t="s">
        <v>513</v>
      </c>
      <c r="D46" s="13">
        <v>12</v>
      </c>
      <c r="E46" s="13" t="s">
        <v>483</v>
      </c>
      <c r="F46" s="13">
        <v>1036</v>
      </c>
      <c r="G46" s="21">
        <v>21</v>
      </c>
      <c r="H46" s="68">
        <v>45717</v>
      </c>
    </row>
    <row r="47" spans="1:8" x14ac:dyDescent="0.25">
      <c r="A47" s="19">
        <v>45839</v>
      </c>
      <c r="B47" s="14" t="s">
        <v>480</v>
      </c>
      <c r="C47" s="44" t="s">
        <v>513</v>
      </c>
      <c r="D47" s="13">
        <v>14.7</v>
      </c>
      <c r="E47" s="13" t="s">
        <v>483</v>
      </c>
      <c r="F47" s="13">
        <v>1269</v>
      </c>
      <c r="G47" s="21">
        <v>26</v>
      </c>
      <c r="H47" s="68">
        <v>45717</v>
      </c>
    </row>
    <row r="48" spans="1:8" x14ac:dyDescent="0.25">
      <c r="A48" s="19">
        <v>45839</v>
      </c>
      <c r="B48" s="14" t="s">
        <v>480</v>
      </c>
      <c r="C48" s="44" t="s">
        <v>513</v>
      </c>
      <c r="D48" s="13">
        <v>8.91</v>
      </c>
      <c r="E48" s="13" t="s">
        <v>483</v>
      </c>
      <c r="F48" s="13">
        <v>769</v>
      </c>
      <c r="G48" s="21">
        <v>16</v>
      </c>
      <c r="H48" s="68">
        <v>45717</v>
      </c>
    </row>
    <row r="49" spans="1:8" x14ac:dyDescent="0.25">
      <c r="A49" s="19">
        <v>45839</v>
      </c>
      <c r="B49" s="14" t="s">
        <v>480</v>
      </c>
      <c r="C49" s="44" t="s">
        <v>513</v>
      </c>
      <c r="D49" s="13">
        <v>0.97</v>
      </c>
      <c r="E49" s="13" t="s">
        <v>483</v>
      </c>
      <c r="F49" s="13">
        <v>84</v>
      </c>
      <c r="G49" s="21">
        <v>2</v>
      </c>
      <c r="H49" s="68">
        <v>45717</v>
      </c>
    </row>
    <row r="50" spans="1:8" x14ac:dyDescent="0.25">
      <c r="A50" s="19">
        <v>45839</v>
      </c>
      <c r="B50" s="14" t="s">
        <v>480</v>
      </c>
      <c r="C50" s="44" t="s">
        <v>513</v>
      </c>
      <c r="D50" s="13">
        <v>12.98</v>
      </c>
      <c r="E50" s="13" t="s">
        <v>483</v>
      </c>
      <c r="F50" s="13">
        <v>1119</v>
      </c>
      <c r="G50" s="21">
        <v>23</v>
      </c>
      <c r="H50" s="68">
        <v>45717</v>
      </c>
    </row>
    <row r="51" spans="1:8" x14ac:dyDescent="0.25">
      <c r="A51" s="19">
        <v>45839</v>
      </c>
      <c r="B51" s="14" t="s">
        <v>480</v>
      </c>
      <c r="C51" s="44" t="s">
        <v>513</v>
      </c>
      <c r="D51" s="13">
        <v>37.729999999999997</v>
      </c>
      <c r="E51" s="13" t="s">
        <v>483</v>
      </c>
      <c r="F51" s="13">
        <v>3253</v>
      </c>
      <c r="G51" s="21">
        <v>66</v>
      </c>
      <c r="H51" s="68">
        <v>45717</v>
      </c>
    </row>
    <row r="52" spans="1:8" x14ac:dyDescent="0.25">
      <c r="A52" s="19">
        <v>45839</v>
      </c>
      <c r="B52" s="14" t="s">
        <v>480</v>
      </c>
      <c r="C52" s="44" t="s">
        <v>513</v>
      </c>
      <c r="D52" s="13">
        <v>29.4</v>
      </c>
      <c r="E52" s="13" t="s">
        <v>483</v>
      </c>
      <c r="F52" s="13">
        <v>2535</v>
      </c>
      <c r="G52" s="21">
        <v>52</v>
      </c>
      <c r="H52" s="68">
        <v>45717</v>
      </c>
    </row>
    <row r="53" spans="1:8" x14ac:dyDescent="0.25">
      <c r="A53" s="19">
        <v>45839</v>
      </c>
      <c r="B53" s="14" t="s">
        <v>480</v>
      </c>
      <c r="C53" s="44" t="s">
        <v>513</v>
      </c>
      <c r="D53" s="13">
        <v>10.29</v>
      </c>
      <c r="E53" s="13" t="s">
        <v>483</v>
      </c>
      <c r="F53" s="13">
        <v>888</v>
      </c>
      <c r="G53" s="21">
        <v>18</v>
      </c>
      <c r="H53" s="68">
        <v>45717</v>
      </c>
    </row>
    <row r="54" spans="1:8" x14ac:dyDescent="0.25">
      <c r="A54" s="19">
        <v>45839</v>
      </c>
      <c r="B54" s="14" t="s">
        <v>480</v>
      </c>
      <c r="C54" s="44" t="s">
        <v>513</v>
      </c>
      <c r="D54" s="13">
        <v>14.7</v>
      </c>
      <c r="E54" s="13" t="s">
        <v>483</v>
      </c>
      <c r="F54" s="13">
        <v>1269</v>
      </c>
      <c r="G54" s="21">
        <v>26</v>
      </c>
      <c r="H54" s="68">
        <v>45717</v>
      </c>
    </row>
    <row r="55" spans="1:8" x14ac:dyDescent="0.25">
      <c r="A55" s="19">
        <v>45839</v>
      </c>
      <c r="B55" s="14" t="s">
        <v>480</v>
      </c>
      <c r="C55" s="44" t="s">
        <v>513</v>
      </c>
      <c r="D55" s="13">
        <v>17.809999999999999</v>
      </c>
      <c r="E55" s="13" t="s">
        <v>483</v>
      </c>
      <c r="F55" s="13">
        <v>1537</v>
      </c>
      <c r="G55" s="21">
        <v>31</v>
      </c>
      <c r="H55" s="68">
        <v>45717</v>
      </c>
    </row>
    <row r="56" spans="1:8" x14ac:dyDescent="0.25">
      <c r="A56" s="19">
        <v>45839</v>
      </c>
      <c r="B56" s="14" t="s">
        <v>480</v>
      </c>
      <c r="C56" s="44" t="s">
        <v>513</v>
      </c>
      <c r="D56" s="13">
        <v>6.26</v>
      </c>
      <c r="E56" s="13" t="s">
        <v>483</v>
      </c>
      <c r="F56" s="13">
        <v>540</v>
      </c>
      <c r="G56" s="21">
        <v>11</v>
      </c>
      <c r="H56" s="68">
        <v>45717</v>
      </c>
    </row>
    <row r="57" spans="1:8" x14ac:dyDescent="0.25">
      <c r="A57" s="19">
        <v>45839</v>
      </c>
      <c r="B57" s="14" t="s">
        <v>480</v>
      </c>
      <c r="C57" s="44" t="s">
        <v>513</v>
      </c>
      <c r="D57" s="13">
        <v>58.79</v>
      </c>
      <c r="E57" s="13" t="s">
        <v>483</v>
      </c>
      <c r="F57" s="13">
        <v>5074</v>
      </c>
      <c r="G57" s="21">
        <v>104</v>
      </c>
      <c r="H57" s="68">
        <v>45717</v>
      </c>
    </row>
    <row r="58" spans="1:8" x14ac:dyDescent="0.25">
      <c r="A58" s="19">
        <v>45839</v>
      </c>
      <c r="B58" s="14" t="s">
        <v>480</v>
      </c>
      <c r="C58" s="44" t="s">
        <v>513</v>
      </c>
      <c r="D58" s="13">
        <v>6.86</v>
      </c>
      <c r="E58" s="13" t="s">
        <v>483</v>
      </c>
      <c r="F58" s="13">
        <v>592</v>
      </c>
      <c r="G58" s="21">
        <v>12</v>
      </c>
      <c r="H58" s="68">
        <v>45717</v>
      </c>
    </row>
    <row r="59" spans="1:8" x14ac:dyDescent="0.25">
      <c r="A59" s="19">
        <v>45839</v>
      </c>
      <c r="B59" s="14" t="s">
        <v>480</v>
      </c>
      <c r="C59" s="44" t="s">
        <v>513</v>
      </c>
      <c r="D59" s="13">
        <v>9.6999999999999993</v>
      </c>
      <c r="E59" s="13" t="s">
        <v>483</v>
      </c>
      <c r="F59" s="13">
        <v>837</v>
      </c>
      <c r="G59" s="21">
        <v>17</v>
      </c>
      <c r="H59" s="68">
        <v>45717</v>
      </c>
    </row>
    <row r="60" spans="1:8" x14ac:dyDescent="0.25">
      <c r="A60" s="19">
        <v>45839</v>
      </c>
      <c r="B60" s="14" t="s">
        <v>480</v>
      </c>
      <c r="C60" s="44" t="s">
        <v>513</v>
      </c>
      <c r="D60" s="13">
        <v>49.73</v>
      </c>
      <c r="E60" s="13" t="s">
        <v>483</v>
      </c>
      <c r="F60" s="13">
        <v>4292</v>
      </c>
      <c r="G60" s="21">
        <v>88</v>
      </c>
      <c r="H60" s="68">
        <v>45717</v>
      </c>
    </row>
    <row r="61" spans="1:8" x14ac:dyDescent="0.25">
      <c r="A61" s="19">
        <v>45839</v>
      </c>
      <c r="B61" s="14" t="s">
        <v>480</v>
      </c>
      <c r="C61" s="44" t="s">
        <v>513</v>
      </c>
      <c r="D61" s="13">
        <v>58.79</v>
      </c>
      <c r="E61" s="13" t="s">
        <v>483</v>
      </c>
      <c r="F61" s="13">
        <v>5074</v>
      </c>
      <c r="G61" s="21">
        <v>104</v>
      </c>
      <c r="H61" s="68">
        <v>45717</v>
      </c>
    </row>
    <row r="62" spans="1:8" x14ac:dyDescent="0.25">
      <c r="A62" s="19">
        <v>45839</v>
      </c>
      <c r="B62" s="14" t="s">
        <v>480</v>
      </c>
      <c r="C62" s="44" t="s">
        <v>513</v>
      </c>
      <c r="D62" s="13">
        <v>108.95</v>
      </c>
      <c r="E62" s="13" t="s">
        <v>483</v>
      </c>
      <c r="F62" s="13">
        <v>9403</v>
      </c>
      <c r="G62" s="21">
        <v>192</v>
      </c>
      <c r="H62" s="68">
        <v>45717</v>
      </c>
    </row>
    <row r="63" spans="1:8" x14ac:dyDescent="0.25">
      <c r="A63" s="19">
        <v>45839</v>
      </c>
      <c r="B63" s="14" t="s">
        <v>480</v>
      </c>
      <c r="C63" s="44" t="s">
        <v>513</v>
      </c>
      <c r="D63" s="13">
        <v>1.94</v>
      </c>
      <c r="E63" s="13" t="s">
        <v>483</v>
      </c>
      <c r="F63" s="13">
        <v>167</v>
      </c>
      <c r="G63" s="21">
        <v>3</v>
      </c>
      <c r="H63" s="68">
        <v>45717</v>
      </c>
    </row>
    <row r="64" spans="1:8" x14ac:dyDescent="0.25">
      <c r="A64" s="19">
        <v>45839</v>
      </c>
      <c r="B64" s="14" t="s">
        <v>480</v>
      </c>
      <c r="C64" s="44" t="s">
        <v>513</v>
      </c>
      <c r="D64" s="13">
        <v>58.79</v>
      </c>
      <c r="E64" s="13" t="s">
        <v>483</v>
      </c>
      <c r="F64" s="13">
        <v>5074</v>
      </c>
      <c r="G64" s="21">
        <v>104</v>
      </c>
      <c r="H64" s="68">
        <v>45717</v>
      </c>
    </row>
    <row r="65" spans="1:8" x14ac:dyDescent="0.25">
      <c r="A65" s="19">
        <v>45839</v>
      </c>
      <c r="B65" s="14" t="s">
        <v>480</v>
      </c>
      <c r="C65" s="44" t="s">
        <v>513</v>
      </c>
      <c r="D65" s="13">
        <v>42.14</v>
      </c>
      <c r="E65" s="13" t="s">
        <v>483</v>
      </c>
      <c r="F65" s="13">
        <v>3637</v>
      </c>
      <c r="G65" s="21">
        <v>74</v>
      </c>
      <c r="H65" s="68">
        <v>45717</v>
      </c>
    </row>
    <row r="66" spans="1:8" x14ac:dyDescent="0.25">
      <c r="A66" s="19">
        <v>45839</v>
      </c>
      <c r="B66" s="14" t="s">
        <v>480</v>
      </c>
      <c r="C66" s="44" t="s">
        <v>513</v>
      </c>
      <c r="D66" s="13">
        <v>46.35</v>
      </c>
      <c r="E66" s="13" t="s">
        <v>483</v>
      </c>
      <c r="F66" s="13">
        <v>4000</v>
      </c>
      <c r="G66" s="21">
        <v>82</v>
      </c>
      <c r="H66" s="68">
        <v>45717</v>
      </c>
    </row>
    <row r="67" spans="1:8" x14ac:dyDescent="0.25">
      <c r="A67" s="19">
        <v>45839</v>
      </c>
      <c r="B67" s="14" t="s">
        <v>480</v>
      </c>
      <c r="C67" s="44" t="s">
        <v>513</v>
      </c>
      <c r="D67" s="13">
        <v>92.71</v>
      </c>
      <c r="E67" s="13" t="s">
        <v>483</v>
      </c>
      <c r="F67" s="13">
        <v>8001</v>
      </c>
      <c r="G67" s="21">
        <v>163</v>
      </c>
      <c r="H67" s="68">
        <v>45717</v>
      </c>
    </row>
    <row r="68" spans="1:8" x14ac:dyDescent="0.25">
      <c r="A68" s="19">
        <v>45839</v>
      </c>
      <c r="B68" s="14" t="s">
        <v>480</v>
      </c>
      <c r="C68" s="44" t="s">
        <v>513</v>
      </c>
      <c r="D68" s="13">
        <v>50.57</v>
      </c>
      <c r="E68" s="13" t="s">
        <v>483</v>
      </c>
      <c r="F68" s="13">
        <v>4384</v>
      </c>
      <c r="G68" s="21">
        <v>89</v>
      </c>
      <c r="H68" s="68">
        <v>45717</v>
      </c>
    </row>
    <row r="69" spans="1:8" x14ac:dyDescent="0.25">
      <c r="A69" s="19">
        <v>45839</v>
      </c>
      <c r="B69" s="14" t="s">
        <v>480</v>
      </c>
      <c r="C69" s="44" t="s">
        <v>513</v>
      </c>
      <c r="D69" s="13">
        <v>50.57</v>
      </c>
      <c r="E69" s="13" t="s">
        <v>483</v>
      </c>
      <c r="F69" s="13">
        <v>4364</v>
      </c>
      <c r="G69" s="21">
        <v>89</v>
      </c>
      <c r="H69" s="68">
        <v>45717</v>
      </c>
    </row>
    <row r="70" spans="1:8" x14ac:dyDescent="0.25">
      <c r="A70" s="19">
        <v>45839</v>
      </c>
      <c r="B70" s="14" t="s">
        <v>480</v>
      </c>
      <c r="C70" s="44" t="s">
        <v>513</v>
      </c>
      <c r="D70" s="13">
        <v>6</v>
      </c>
      <c r="E70" s="13" t="s">
        <v>483</v>
      </c>
      <c r="F70" s="13">
        <v>518</v>
      </c>
      <c r="G70" s="21">
        <v>11</v>
      </c>
      <c r="H70" s="68">
        <v>45717</v>
      </c>
    </row>
    <row r="71" spans="1:8" x14ac:dyDescent="0.25">
      <c r="A71" s="19">
        <v>45839</v>
      </c>
      <c r="B71" s="14" t="s">
        <v>480</v>
      </c>
      <c r="C71" s="44" t="s">
        <v>513</v>
      </c>
      <c r="D71" s="13">
        <v>3.45</v>
      </c>
      <c r="E71" s="13" t="s">
        <v>483</v>
      </c>
      <c r="F71" s="13">
        <v>298</v>
      </c>
      <c r="G71" s="21">
        <v>6</v>
      </c>
      <c r="H71" s="68">
        <v>45717</v>
      </c>
    </row>
    <row r="72" spans="1:8" x14ac:dyDescent="0.25">
      <c r="A72" s="19">
        <v>45840</v>
      </c>
      <c r="B72" s="14" t="s">
        <v>480</v>
      </c>
      <c r="C72" s="44" t="s">
        <v>500</v>
      </c>
      <c r="D72" s="13">
        <v>1255.18</v>
      </c>
      <c r="E72" s="13" t="s">
        <v>483</v>
      </c>
      <c r="F72" s="13">
        <v>106977</v>
      </c>
      <c r="G72" s="21">
        <v>11886</v>
      </c>
      <c r="H72" s="68">
        <v>45689</v>
      </c>
    </row>
    <row r="73" spans="1:8" x14ac:dyDescent="0.25">
      <c r="A73" s="19">
        <v>45840</v>
      </c>
      <c r="B73" s="14" t="s">
        <v>480</v>
      </c>
      <c r="C73" s="44" t="s">
        <v>498</v>
      </c>
      <c r="D73" s="13">
        <v>2333.4699999999998</v>
      </c>
      <c r="E73" s="13" t="s">
        <v>483</v>
      </c>
      <c r="F73" s="13">
        <v>198877</v>
      </c>
      <c r="G73" s="21">
        <v>22098</v>
      </c>
      <c r="H73" s="68">
        <v>45658</v>
      </c>
    </row>
    <row r="74" spans="1:8" x14ac:dyDescent="0.25">
      <c r="A74" s="19">
        <v>45840</v>
      </c>
      <c r="B74" s="14" t="s">
        <v>480</v>
      </c>
      <c r="C74" s="44" t="s">
        <v>513</v>
      </c>
      <c r="D74" s="13">
        <v>974.38</v>
      </c>
      <c r="E74" s="13" t="s">
        <v>483</v>
      </c>
      <c r="F74" s="13">
        <v>83452</v>
      </c>
      <c r="G74" s="21">
        <v>9272</v>
      </c>
      <c r="H74" s="68">
        <v>45717</v>
      </c>
    </row>
    <row r="75" spans="1:8" x14ac:dyDescent="0.25">
      <c r="A75" s="19">
        <v>45840</v>
      </c>
      <c r="B75" s="14" t="s">
        <v>480</v>
      </c>
      <c r="C75" s="44" t="s">
        <v>548</v>
      </c>
      <c r="D75" s="13">
        <v>169.91</v>
      </c>
      <c r="E75" s="13" t="s">
        <v>483</v>
      </c>
      <c r="F75" s="13">
        <v>14552</v>
      </c>
      <c r="G75" s="21">
        <v>1617</v>
      </c>
      <c r="H75" s="68">
        <v>45748</v>
      </c>
    </row>
    <row r="76" spans="1:8" x14ac:dyDescent="0.25">
      <c r="A76" s="19">
        <v>45840</v>
      </c>
      <c r="B76" s="14" t="s">
        <v>480</v>
      </c>
      <c r="C76" s="44" t="s">
        <v>548</v>
      </c>
      <c r="D76" s="13">
        <v>1638.13</v>
      </c>
      <c r="E76" s="13" t="s">
        <v>483</v>
      </c>
      <c r="F76" s="13">
        <v>140371</v>
      </c>
      <c r="G76" s="21">
        <v>15597</v>
      </c>
      <c r="H76" s="68">
        <v>45748</v>
      </c>
    </row>
    <row r="77" spans="1:8" x14ac:dyDescent="0.25">
      <c r="A77" s="19">
        <v>45870</v>
      </c>
      <c r="B77" s="14" t="s">
        <v>480</v>
      </c>
      <c r="C77" s="44" t="s">
        <v>548</v>
      </c>
      <c r="D77" s="13">
        <v>5.15</v>
      </c>
      <c r="E77" s="13" t="s">
        <v>483</v>
      </c>
      <c r="F77" s="13">
        <v>441</v>
      </c>
      <c r="G77" s="21">
        <v>9</v>
      </c>
      <c r="H77" s="68">
        <v>45748</v>
      </c>
    </row>
    <row r="78" spans="1:8" x14ac:dyDescent="0.25">
      <c r="A78" s="19">
        <v>45870</v>
      </c>
      <c r="B78" s="14" t="s">
        <v>480</v>
      </c>
      <c r="C78" s="44" t="s">
        <v>548</v>
      </c>
      <c r="D78" s="13">
        <v>29.4</v>
      </c>
      <c r="E78" s="13" t="s">
        <v>483</v>
      </c>
      <c r="F78" s="13">
        <v>2518</v>
      </c>
      <c r="G78" s="21">
        <v>51</v>
      </c>
      <c r="H78" s="68">
        <v>45748</v>
      </c>
    </row>
    <row r="79" spans="1:8" x14ac:dyDescent="0.25">
      <c r="A79" s="19">
        <v>45870</v>
      </c>
      <c r="B79" s="14" t="s">
        <v>480</v>
      </c>
      <c r="C79" s="44" t="s">
        <v>548</v>
      </c>
      <c r="D79" s="13">
        <v>3.43</v>
      </c>
      <c r="E79" s="13" t="s">
        <v>483</v>
      </c>
      <c r="F79" s="13">
        <v>294</v>
      </c>
      <c r="G79" s="21">
        <v>6</v>
      </c>
      <c r="H79" s="68">
        <v>45748</v>
      </c>
    </row>
    <row r="80" spans="1:8" x14ac:dyDescent="0.25">
      <c r="A80" s="19">
        <v>45870</v>
      </c>
      <c r="B80" s="14" t="s">
        <v>480</v>
      </c>
      <c r="C80" s="44" t="s">
        <v>548</v>
      </c>
      <c r="D80" s="13">
        <v>0.98</v>
      </c>
      <c r="E80" s="13" t="s">
        <v>483</v>
      </c>
      <c r="F80" s="13">
        <v>84</v>
      </c>
      <c r="G80" s="21">
        <v>2</v>
      </c>
      <c r="H80" s="68">
        <v>45748</v>
      </c>
    </row>
    <row r="81" spans="1:8" x14ac:dyDescent="0.25">
      <c r="A81" s="19">
        <v>45870</v>
      </c>
      <c r="B81" s="14" t="s">
        <v>480</v>
      </c>
      <c r="C81" s="44" t="s">
        <v>548</v>
      </c>
      <c r="D81" s="13">
        <v>67.44</v>
      </c>
      <c r="E81" s="13" t="s">
        <v>483</v>
      </c>
      <c r="F81" s="13">
        <v>5779</v>
      </c>
      <c r="G81" s="21">
        <v>118</v>
      </c>
      <c r="H81" s="68">
        <v>45748</v>
      </c>
    </row>
    <row r="82" spans="1:8" x14ac:dyDescent="0.25">
      <c r="A82" s="19">
        <v>45870</v>
      </c>
      <c r="B82" s="14" t="s">
        <v>480</v>
      </c>
      <c r="C82" s="44" t="s">
        <v>548</v>
      </c>
      <c r="D82" s="13">
        <v>59.29</v>
      </c>
      <c r="E82" s="13" t="s">
        <v>483</v>
      </c>
      <c r="F82" s="13">
        <v>5081</v>
      </c>
      <c r="G82" s="21">
        <v>104</v>
      </c>
      <c r="H82" s="68">
        <v>45748</v>
      </c>
    </row>
    <row r="83" spans="1:8" x14ac:dyDescent="0.25">
      <c r="A83" s="19">
        <v>45870</v>
      </c>
      <c r="B83" s="14" t="s">
        <v>480</v>
      </c>
      <c r="C83" s="44" t="s">
        <v>548</v>
      </c>
      <c r="D83" s="13">
        <v>49</v>
      </c>
      <c r="E83" s="13" t="s">
        <v>483</v>
      </c>
      <c r="F83" s="13">
        <v>4199</v>
      </c>
      <c r="G83" s="21">
        <v>86</v>
      </c>
      <c r="H83" s="68">
        <v>45748</v>
      </c>
    </row>
    <row r="84" spans="1:8" x14ac:dyDescent="0.25">
      <c r="A84" s="19">
        <v>45870</v>
      </c>
      <c r="B84" s="14" t="s">
        <v>480</v>
      </c>
      <c r="C84" s="44" t="s">
        <v>548</v>
      </c>
      <c r="D84" s="13">
        <v>117.6</v>
      </c>
      <c r="E84" s="13" t="s">
        <v>483</v>
      </c>
      <c r="F84" s="13">
        <v>10077</v>
      </c>
      <c r="G84" s="21">
        <v>206</v>
      </c>
      <c r="H84" s="68">
        <v>45748</v>
      </c>
    </row>
    <row r="85" spans="1:8" x14ac:dyDescent="0.25">
      <c r="A85" s="19">
        <v>45870</v>
      </c>
      <c r="B85" s="14" t="s">
        <v>480</v>
      </c>
      <c r="C85" s="69" t="s">
        <v>548</v>
      </c>
      <c r="D85" s="25">
        <v>607.6</v>
      </c>
      <c r="E85" s="25" t="s">
        <v>483</v>
      </c>
      <c r="F85" s="25">
        <v>52814</v>
      </c>
      <c r="G85" s="21">
        <v>1078</v>
      </c>
      <c r="H85" s="68">
        <v>45748</v>
      </c>
    </row>
    <row r="86" spans="1:8" x14ac:dyDescent="0.25">
      <c r="A86" s="19">
        <v>45870</v>
      </c>
      <c r="B86" s="14" t="s">
        <v>480</v>
      </c>
      <c r="C86" s="44" t="s">
        <v>548</v>
      </c>
      <c r="D86" s="13">
        <v>1.72</v>
      </c>
      <c r="E86" s="13" t="s">
        <v>483</v>
      </c>
      <c r="F86" s="13">
        <v>147</v>
      </c>
      <c r="G86" s="21">
        <v>3</v>
      </c>
      <c r="H86" s="68">
        <v>45748</v>
      </c>
    </row>
    <row r="87" spans="1:8" x14ac:dyDescent="0.25">
      <c r="A87" s="19">
        <v>45870</v>
      </c>
      <c r="B87" s="14" t="s">
        <v>480</v>
      </c>
      <c r="C87" s="44" t="s">
        <v>548</v>
      </c>
      <c r="D87" s="13">
        <v>0.98</v>
      </c>
      <c r="E87" s="13" t="s">
        <v>483</v>
      </c>
      <c r="F87" s="13">
        <v>84</v>
      </c>
      <c r="G87" s="21">
        <v>2</v>
      </c>
      <c r="H87" s="68">
        <v>45748</v>
      </c>
    </row>
    <row r="88" spans="1:8" x14ac:dyDescent="0.25">
      <c r="A88" s="19">
        <v>45870</v>
      </c>
      <c r="B88" s="14" t="s">
        <v>480</v>
      </c>
      <c r="C88" s="44" t="s">
        <v>548</v>
      </c>
      <c r="D88" s="13">
        <v>14.7</v>
      </c>
      <c r="E88" s="13" t="s">
        <v>483</v>
      </c>
      <c r="F88" s="13">
        <v>1259</v>
      </c>
      <c r="G88" s="21">
        <v>26</v>
      </c>
      <c r="H88" s="68">
        <v>45748</v>
      </c>
    </row>
    <row r="89" spans="1:8" x14ac:dyDescent="0.25">
      <c r="A89" s="19">
        <v>45870</v>
      </c>
      <c r="B89" s="14" t="s">
        <v>480</v>
      </c>
      <c r="C89" s="44" t="s">
        <v>548</v>
      </c>
      <c r="D89" s="13">
        <v>6.94</v>
      </c>
      <c r="E89" s="13" t="s">
        <v>483</v>
      </c>
      <c r="F89" s="13">
        <v>594</v>
      </c>
      <c r="G89" s="21">
        <v>12</v>
      </c>
      <c r="H89" s="68">
        <v>45748</v>
      </c>
    </row>
    <row r="90" spans="1:8" x14ac:dyDescent="0.25">
      <c r="A90" s="19">
        <v>45870</v>
      </c>
      <c r="B90" s="14" t="s">
        <v>480</v>
      </c>
      <c r="C90" s="44" t="s">
        <v>548</v>
      </c>
      <c r="D90" s="13">
        <v>0.98</v>
      </c>
      <c r="E90" s="13" t="s">
        <v>483</v>
      </c>
      <c r="F90" s="13">
        <v>84</v>
      </c>
      <c r="G90" s="21">
        <v>2</v>
      </c>
      <c r="H90" s="68">
        <v>45748</v>
      </c>
    </row>
    <row r="91" spans="1:8" x14ac:dyDescent="0.25">
      <c r="A91" s="19">
        <v>45870</v>
      </c>
      <c r="B91" s="14" t="s">
        <v>480</v>
      </c>
      <c r="C91" s="44" t="s">
        <v>548</v>
      </c>
      <c r="D91" s="13">
        <v>479.77</v>
      </c>
      <c r="E91" s="13" t="s">
        <v>483</v>
      </c>
      <c r="F91" s="13">
        <v>41567</v>
      </c>
      <c r="G91" s="21">
        <v>848</v>
      </c>
      <c r="H91" s="68">
        <v>45748</v>
      </c>
    </row>
    <row r="92" spans="1:8" x14ac:dyDescent="0.25">
      <c r="A92" s="19">
        <v>45870</v>
      </c>
      <c r="B92" s="14" t="s">
        <v>480</v>
      </c>
      <c r="C92" s="44" t="s">
        <v>548</v>
      </c>
      <c r="D92" s="13">
        <v>12.6</v>
      </c>
      <c r="E92" s="13" t="s">
        <v>483</v>
      </c>
      <c r="F92" s="13">
        <v>1078</v>
      </c>
      <c r="G92" s="21">
        <v>22</v>
      </c>
      <c r="H92" s="68">
        <v>45748</v>
      </c>
    </row>
    <row r="93" spans="1:8" x14ac:dyDescent="0.25">
      <c r="A93" s="19">
        <v>45870</v>
      </c>
      <c r="B93" s="14" t="s">
        <v>480</v>
      </c>
      <c r="C93" s="44" t="s">
        <v>548</v>
      </c>
      <c r="D93" s="13">
        <v>17.39</v>
      </c>
      <c r="E93" s="13" t="s">
        <v>483</v>
      </c>
      <c r="F93" s="13">
        <v>1512</v>
      </c>
      <c r="G93" s="21">
        <v>31</v>
      </c>
      <c r="H93" s="68">
        <v>45748</v>
      </c>
    </row>
    <row r="94" spans="1:8" x14ac:dyDescent="0.25">
      <c r="A94" s="19">
        <v>45870</v>
      </c>
      <c r="B94" s="14" t="s">
        <v>480</v>
      </c>
      <c r="C94" s="44" t="s">
        <v>548</v>
      </c>
      <c r="D94" s="13">
        <v>42.15</v>
      </c>
      <c r="E94" s="13" t="s">
        <v>483</v>
      </c>
      <c r="F94" s="13">
        <v>3664</v>
      </c>
      <c r="G94" s="21">
        <v>75</v>
      </c>
      <c r="H94" s="68">
        <v>45748</v>
      </c>
    </row>
    <row r="95" spans="1:8" x14ac:dyDescent="0.25">
      <c r="A95" s="19">
        <v>45870</v>
      </c>
      <c r="B95" s="14" t="s">
        <v>480</v>
      </c>
      <c r="C95" s="44" t="s">
        <v>548</v>
      </c>
      <c r="D95" s="13">
        <v>5.92</v>
      </c>
      <c r="E95" s="13" t="s">
        <v>483</v>
      </c>
      <c r="F95" s="13">
        <v>515</v>
      </c>
      <c r="G95" s="21">
        <v>11</v>
      </c>
      <c r="H95" s="68">
        <v>45748</v>
      </c>
    </row>
    <row r="96" spans="1:8" x14ac:dyDescent="0.25">
      <c r="A96" s="19">
        <v>45870</v>
      </c>
      <c r="B96" s="14" t="s">
        <v>480</v>
      </c>
      <c r="C96" s="44" t="s">
        <v>548</v>
      </c>
      <c r="D96" s="13">
        <v>185.42</v>
      </c>
      <c r="E96" s="13" t="s">
        <v>483</v>
      </c>
      <c r="F96" s="13">
        <v>16117</v>
      </c>
      <c r="G96" s="21">
        <v>329</v>
      </c>
      <c r="H96" s="68">
        <v>45748</v>
      </c>
    </row>
    <row r="97" spans="1:8" x14ac:dyDescent="0.25">
      <c r="A97" s="19">
        <v>45870</v>
      </c>
      <c r="B97" s="14" t="s">
        <v>480</v>
      </c>
      <c r="C97" s="44" t="s">
        <v>614</v>
      </c>
      <c r="D97" s="13">
        <v>388.85</v>
      </c>
      <c r="E97" s="13" t="s">
        <v>483</v>
      </c>
      <c r="F97" s="13">
        <v>33169</v>
      </c>
      <c r="G97" s="21">
        <v>677</v>
      </c>
      <c r="H97" s="68">
        <v>45778</v>
      </c>
    </row>
    <row r="98" spans="1:8" x14ac:dyDescent="0.25">
      <c r="A98" s="19">
        <v>45870</v>
      </c>
      <c r="B98" s="14" t="s">
        <v>480</v>
      </c>
      <c r="C98" s="69" t="s">
        <v>614</v>
      </c>
      <c r="D98" s="25">
        <v>535.08000000000004</v>
      </c>
      <c r="E98" s="25" t="s">
        <v>483</v>
      </c>
      <c r="F98" s="25">
        <v>46008</v>
      </c>
      <c r="G98" s="21">
        <v>939</v>
      </c>
      <c r="H98" s="68">
        <v>45778</v>
      </c>
    </row>
    <row r="99" spans="1:8" x14ac:dyDescent="0.25">
      <c r="A99" s="19">
        <v>45870</v>
      </c>
      <c r="B99" s="14" t="s">
        <v>480</v>
      </c>
      <c r="C99" s="44" t="s">
        <v>614</v>
      </c>
      <c r="D99" s="13">
        <v>86.97</v>
      </c>
      <c r="E99" s="13" t="s">
        <v>483</v>
      </c>
      <c r="F99" s="13">
        <v>7478</v>
      </c>
      <c r="G99" s="21">
        <v>153</v>
      </c>
      <c r="H99" s="68">
        <v>45778</v>
      </c>
    </row>
    <row r="100" spans="1:8" x14ac:dyDescent="0.25">
      <c r="A100" s="19">
        <v>45870</v>
      </c>
      <c r="B100" s="14" t="s">
        <v>480</v>
      </c>
      <c r="C100" s="44" t="s">
        <v>618</v>
      </c>
      <c r="D100" s="13">
        <v>361.5</v>
      </c>
      <c r="E100" s="13" t="s">
        <v>483</v>
      </c>
      <c r="F100" s="13">
        <v>30905</v>
      </c>
      <c r="G100" s="21">
        <v>631</v>
      </c>
      <c r="H100" s="68">
        <v>45809</v>
      </c>
    </row>
    <row r="101" spans="1:8" x14ac:dyDescent="0.25">
      <c r="A101" s="19">
        <v>45870</v>
      </c>
      <c r="B101" s="14" t="s">
        <v>480</v>
      </c>
      <c r="C101" s="44" t="s">
        <v>618</v>
      </c>
      <c r="D101" s="13">
        <v>186.41</v>
      </c>
      <c r="E101" s="13" t="s">
        <v>483</v>
      </c>
      <c r="F101" s="13">
        <v>15936</v>
      </c>
      <c r="G101" s="21">
        <v>325</v>
      </c>
      <c r="H101" s="68">
        <v>45809</v>
      </c>
    </row>
    <row r="102" spans="1:8" x14ac:dyDescent="0.25">
      <c r="A102" s="19">
        <v>45870</v>
      </c>
      <c r="B102" s="14" t="s">
        <v>480</v>
      </c>
      <c r="C102" s="44" t="s">
        <v>618</v>
      </c>
      <c r="D102" s="13">
        <v>126.73</v>
      </c>
      <c r="E102" s="13" t="s">
        <v>483</v>
      </c>
      <c r="F102" s="13">
        <v>10834</v>
      </c>
      <c r="G102" s="21">
        <v>221</v>
      </c>
      <c r="H102" s="68">
        <v>45809</v>
      </c>
    </row>
    <row r="103" spans="1:8" x14ac:dyDescent="0.25">
      <c r="A103" s="19">
        <v>45870</v>
      </c>
      <c r="B103" s="14" t="s">
        <v>480</v>
      </c>
      <c r="C103" s="44" t="s">
        <v>618</v>
      </c>
      <c r="D103" s="13">
        <v>45.29</v>
      </c>
      <c r="E103" s="13" t="s">
        <v>483</v>
      </c>
      <c r="F103" s="13">
        <v>3872</v>
      </c>
      <c r="G103" s="21">
        <v>79</v>
      </c>
      <c r="H103" s="68">
        <v>45809</v>
      </c>
    </row>
    <row r="104" spans="1:8" x14ac:dyDescent="0.25">
      <c r="A104" s="19">
        <v>45870</v>
      </c>
      <c r="B104" s="14" t="s">
        <v>480</v>
      </c>
      <c r="C104" s="44" t="s">
        <v>618</v>
      </c>
      <c r="D104" s="13">
        <v>6.88</v>
      </c>
      <c r="E104" s="13" t="s">
        <v>483</v>
      </c>
      <c r="F104" s="13">
        <v>588</v>
      </c>
      <c r="G104" s="21">
        <v>12</v>
      </c>
      <c r="H104" s="68">
        <v>45809</v>
      </c>
    </row>
    <row r="105" spans="1:8" x14ac:dyDescent="0.25">
      <c r="A105" s="19">
        <v>45870</v>
      </c>
      <c r="B105" s="14" t="s">
        <v>480</v>
      </c>
      <c r="C105" s="69" t="s">
        <v>618</v>
      </c>
      <c r="D105" s="25">
        <v>599.14</v>
      </c>
      <c r="E105" s="25" t="s">
        <v>483</v>
      </c>
      <c r="F105" s="25">
        <v>51221</v>
      </c>
      <c r="G105" s="21">
        <v>1045</v>
      </c>
      <c r="H105" s="68">
        <v>45809</v>
      </c>
    </row>
    <row r="106" spans="1:8" x14ac:dyDescent="0.25">
      <c r="A106" s="19">
        <v>45870</v>
      </c>
      <c r="B106" s="14" t="s">
        <v>480</v>
      </c>
      <c r="C106" s="44" t="s">
        <v>618</v>
      </c>
      <c r="D106" s="13">
        <v>107.8</v>
      </c>
      <c r="E106" s="13" t="s">
        <v>483</v>
      </c>
      <c r="F106" s="13">
        <v>9282</v>
      </c>
      <c r="G106" s="21">
        <v>189</v>
      </c>
      <c r="H106" s="68">
        <v>45809</v>
      </c>
    </row>
    <row r="107" spans="1:8" x14ac:dyDescent="0.25">
      <c r="A107" s="19">
        <v>45870</v>
      </c>
      <c r="B107" s="14" t="s">
        <v>480</v>
      </c>
      <c r="C107" s="44" t="s">
        <v>618</v>
      </c>
      <c r="D107" s="13">
        <v>282.04000000000002</v>
      </c>
      <c r="E107" s="13" t="s">
        <v>483</v>
      </c>
      <c r="F107" s="13">
        <v>24284</v>
      </c>
      <c r="G107" s="21">
        <v>496</v>
      </c>
      <c r="H107" s="68">
        <v>45809</v>
      </c>
    </row>
    <row r="108" spans="1:8" x14ac:dyDescent="0.25">
      <c r="A108" s="19">
        <v>45871</v>
      </c>
      <c r="B108" s="14" t="s">
        <v>480</v>
      </c>
      <c r="C108" s="44" t="s">
        <v>614</v>
      </c>
      <c r="D108" s="13">
        <v>1620</v>
      </c>
      <c r="E108" s="13" t="s">
        <v>483</v>
      </c>
      <c r="F108" s="13">
        <v>139294</v>
      </c>
      <c r="G108" s="21">
        <v>15477</v>
      </c>
      <c r="H108" s="68">
        <v>45778</v>
      </c>
    </row>
    <row r="109" spans="1:8" x14ac:dyDescent="0.25">
      <c r="A109" s="19">
        <v>45871</v>
      </c>
      <c r="B109" s="14" t="s">
        <v>480</v>
      </c>
      <c r="C109" s="44" t="s">
        <v>618</v>
      </c>
      <c r="D109" s="13">
        <v>1116.3699999999999</v>
      </c>
      <c r="E109" s="13" t="s">
        <v>483</v>
      </c>
      <c r="F109" s="13">
        <v>95439</v>
      </c>
      <c r="G109" s="21">
        <v>10604</v>
      </c>
      <c r="H109" s="68">
        <v>45809</v>
      </c>
    </row>
    <row r="110" spans="1:8" x14ac:dyDescent="0.25">
      <c r="A110" s="19">
        <v>45871</v>
      </c>
      <c r="B110" s="14" t="s">
        <v>480</v>
      </c>
      <c r="C110" s="44" t="s">
        <v>618</v>
      </c>
      <c r="D110" s="13">
        <v>1620</v>
      </c>
      <c r="E110" s="13" t="s">
        <v>483</v>
      </c>
      <c r="F110" s="13">
        <v>138495</v>
      </c>
      <c r="G110" s="21">
        <v>15388</v>
      </c>
      <c r="H110" s="68">
        <v>45809</v>
      </c>
    </row>
    <row r="111" spans="1:8" x14ac:dyDescent="0.25">
      <c r="A111" s="19">
        <v>45931</v>
      </c>
      <c r="B111" s="14" t="s">
        <v>480</v>
      </c>
      <c r="C111" s="44" t="s">
        <v>548</v>
      </c>
      <c r="D111" s="13">
        <v>1351.62</v>
      </c>
      <c r="E111" s="13" t="s">
        <v>483</v>
      </c>
      <c r="F111" s="13">
        <v>116217</v>
      </c>
      <c r="G111" s="21">
        <v>12913</v>
      </c>
      <c r="H111" s="68">
        <v>45748</v>
      </c>
    </row>
    <row r="112" spans="1:8" x14ac:dyDescent="0.25">
      <c r="A112" s="19">
        <v>45931</v>
      </c>
      <c r="B112" s="14" t="s">
        <v>480</v>
      </c>
      <c r="C112" s="44" t="s">
        <v>618</v>
      </c>
      <c r="D112" s="13">
        <v>1369.06</v>
      </c>
      <c r="E112" s="13" t="s">
        <v>483</v>
      </c>
      <c r="F112" s="13">
        <v>117740</v>
      </c>
      <c r="G112" s="21">
        <v>13082</v>
      </c>
      <c r="H112" s="68">
        <v>45809</v>
      </c>
    </row>
    <row r="113" spans="1:8" x14ac:dyDescent="0.25">
      <c r="A113" s="19">
        <v>45931</v>
      </c>
      <c r="B113" s="14" t="s">
        <v>480</v>
      </c>
      <c r="C113" s="44" t="s">
        <v>624</v>
      </c>
      <c r="D113" s="13">
        <v>1140.75</v>
      </c>
      <c r="E113" s="13" t="s">
        <v>483</v>
      </c>
      <c r="F113" s="13">
        <v>98139</v>
      </c>
      <c r="G113" s="21">
        <v>10904</v>
      </c>
      <c r="H113" s="68">
        <v>45839</v>
      </c>
    </row>
    <row r="114" spans="1:8" x14ac:dyDescent="0.25">
      <c r="A114" s="19">
        <v>45931</v>
      </c>
      <c r="B114" s="14" t="s">
        <v>480</v>
      </c>
      <c r="C114" s="44" t="s">
        <v>624</v>
      </c>
      <c r="D114" s="13">
        <v>1620</v>
      </c>
      <c r="E114" s="13" t="s">
        <v>483</v>
      </c>
      <c r="F114" s="13">
        <v>139321</v>
      </c>
      <c r="G114" s="21">
        <v>15480</v>
      </c>
      <c r="H114" s="68">
        <v>45839</v>
      </c>
    </row>
    <row r="115" spans="1:8" x14ac:dyDescent="0.25">
      <c r="A115" s="19">
        <v>45931</v>
      </c>
      <c r="B115" s="14" t="s">
        <v>480</v>
      </c>
      <c r="C115" s="44" t="s">
        <v>627</v>
      </c>
      <c r="D115" s="13">
        <v>1620</v>
      </c>
      <c r="E115" s="13" t="s">
        <v>483</v>
      </c>
      <c r="F115" s="13">
        <v>139369</v>
      </c>
      <c r="G115" s="21">
        <v>15485</v>
      </c>
      <c r="H115" s="68">
        <v>45870</v>
      </c>
    </row>
    <row r="116" spans="1:8" x14ac:dyDescent="0.25">
      <c r="A116" s="19">
        <v>45931</v>
      </c>
      <c r="B116" s="14" t="s">
        <v>480</v>
      </c>
      <c r="C116" s="44" t="s">
        <v>614</v>
      </c>
      <c r="D116" s="13">
        <v>418.5</v>
      </c>
      <c r="E116" s="13" t="s">
        <v>483</v>
      </c>
      <c r="F116" s="13">
        <v>35991</v>
      </c>
      <c r="G116" s="21">
        <v>3999</v>
      </c>
      <c r="H116" s="68">
        <v>45778</v>
      </c>
    </row>
    <row r="117" spans="1:8" x14ac:dyDescent="0.25">
      <c r="A117" s="19">
        <v>45932</v>
      </c>
      <c r="B117" s="14" t="s">
        <v>480</v>
      </c>
      <c r="C117" s="44" t="s">
        <v>618</v>
      </c>
      <c r="D117" s="13">
        <v>14.98</v>
      </c>
      <c r="E117" s="13" t="s">
        <v>483</v>
      </c>
      <c r="F117" s="13">
        <v>1288</v>
      </c>
      <c r="G117" s="21">
        <v>26</v>
      </c>
      <c r="H117" s="68">
        <v>45809</v>
      </c>
    </row>
    <row r="118" spans="1:8" x14ac:dyDescent="0.25">
      <c r="A118" s="19">
        <v>45932</v>
      </c>
      <c r="B118" s="14" t="s">
        <v>480</v>
      </c>
      <c r="C118" s="44" t="s">
        <v>618</v>
      </c>
      <c r="D118" s="13">
        <v>65.45</v>
      </c>
      <c r="E118" s="13" t="s">
        <v>483</v>
      </c>
      <c r="F118" s="13">
        <v>5629</v>
      </c>
      <c r="G118" s="21">
        <v>115</v>
      </c>
      <c r="H118" s="68">
        <v>45809</v>
      </c>
    </row>
    <row r="119" spans="1:8" x14ac:dyDescent="0.25">
      <c r="A119" s="19">
        <v>45932</v>
      </c>
      <c r="B119" s="14" t="s">
        <v>480</v>
      </c>
      <c r="C119" s="69" t="s">
        <v>618</v>
      </c>
      <c r="D119" s="25">
        <v>312.25</v>
      </c>
      <c r="E119" s="25" t="s">
        <v>483</v>
      </c>
      <c r="F119" s="25">
        <v>26854</v>
      </c>
      <c r="G119" s="21">
        <v>548</v>
      </c>
      <c r="H119" s="68">
        <v>45809</v>
      </c>
    </row>
    <row r="120" spans="1:8" x14ac:dyDescent="0.25">
      <c r="A120" s="19">
        <v>45932</v>
      </c>
      <c r="B120" s="14" t="s">
        <v>480</v>
      </c>
      <c r="C120" s="44" t="s">
        <v>618</v>
      </c>
      <c r="D120" s="13">
        <v>51.17</v>
      </c>
      <c r="E120" s="13" t="s">
        <v>483</v>
      </c>
      <c r="F120" s="13">
        <v>4401</v>
      </c>
      <c r="G120" s="21">
        <v>90</v>
      </c>
      <c r="H120" s="68">
        <v>45809</v>
      </c>
    </row>
    <row r="121" spans="1:8" x14ac:dyDescent="0.25">
      <c r="A121" s="19">
        <v>45932</v>
      </c>
      <c r="B121" s="14" t="s">
        <v>480</v>
      </c>
      <c r="C121" s="44" t="s">
        <v>618</v>
      </c>
      <c r="D121" s="13">
        <v>161.44</v>
      </c>
      <c r="E121" s="13" t="s">
        <v>483</v>
      </c>
      <c r="F121" s="13">
        <v>13884</v>
      </c>
      <c r="G121" s="21">
        <v>283</v>
      </c>
      <c r="H121" s="68">
        <v>45809</v>
      </c>
    </row>
    <row r="122" spans="1:8" x14ac:dyDescent="0.25">
      <c r="A122" s="19">
        <v>45932</v>
      </c>
      <c r="B122" s="14" t="s">
        <v>480</v>
      </c>
      <c r="C122" s="44" t="s">
        <v>618</v>
      </c>
      <c r="D122" s="13">
        <v>171.88</v>
      </c>
      <c r="E122" s="13" t="s">
        <v>483</v>
      </c>
      <c r="F122" s="13">
        <v>14782</v>
      </c>
      <c r="G122" s="21">
        <v>302</v>
      </c>
      <c r="H122" s="68">
        <v>45809</v>
      </c>
    </row>
    <row r="123" spans="1:8" x14ac:dyDescent="0.25">
      <c r="A123" s="19">
        <v>45932</v>
      </c>
      <c r="B123" s="14" t="s">
        <v>480</v>
      </c>
      <c r="C123" s="44" t="s">
        <v>618</v>
      </c>
      <c r="D123" s="13">
        <v>108.73</v>
      </c>
      <c r="E123" s="13" t="s">
        <v>483</v>
      </c>
      <c r="F123" s="13">
        <v>9351</v>
      </c>
      <c r="G123" s="21">
        <v>191</v>
      </c>
      <c r="H123" s="68">
        <v>45809</v>
      </c>
    </row>
    <row r="124" spans="1:8" x14ac:dyDescent="0.25">
      <c r="A124" s="19">
        <v>45932</v>
      </c>
      <c r="B124" s="14" t="s">
        <v>480</v>
      </c>
      <c r="C124" s="69" t="s">
        <v>624</v>
      </c>
      <c r="D124" s="25">
        <v>196</v>
      </c>
      <c r="E124" s="25" t="s">
        <v>483</v>
      </c>
      <c r="F124" s="25">
        <v>16856</v>
      </c>
      <c r="G124" s="21">
        <v>344</v>
      </c>
      <c r="H124" s="68">
        <v>45839</v>
      </c>
    </row>
    <row r="125" spans="1:8" x14ac:dyDescent="0.25">
      <c r="A125" s="19">
        <v>45932</v>
      </c>
      <c r="B125" s="14" t="s">
        <v>480</v>
      </c>
      <c r="C125" s="44" t="s">
        <v>624</v>
      </c>
      <c r="D125" s="13">
        <v>25.57</v>
      </c>
      <c r="E125" s="13" t="s">
        <v>483</v>
      </c>
      <c r="F125" s="13">
        <v>2199</v>
      </c>
      <c r="G125" s="21">
        <v>45</v>
      </c>
      <c r="H125" s="68">
        <v>45839</v>
      </c>
    </row>
    <row r="126" spans="1:8" x14ac:dyDescent="0.25">
      <c r="A126" s="19">
        <v>45932</v>
      </c>
      <c r="B126" s="14" t="s">
        <v>480</v>
      </c>
      <c r="C126" s="44" t="s">
        <v>624</v>
      </c>
      <c r="D126" s="13">
        <v>72.27</v>
      </c>
      <c r="E126" s="13" t="s">
        <v>483</v>
      </c>
      <c r="F126" s="13">
        <v>6215</v>
      </c>
      <c r="G126" s="21">
        <v>127</v>
      </c>
      <c r="H126" s="68">
        <v>45839</v>
      </c>
    </row>
    <row r="127" spans="1:8" x14ac:dyDescent="0.25">
      <c r="A127" s="19">
        <v>45932</v>
      </c>
      <c r="B127" s="14" t="s">
        <v>480</v>
      </c>
      <c r="C127" s="69" t="s">
        <v>624</v>
      </c>
      <c r="D127" s="25">
        <v>234.41</v>
      </c>
      <c r="E127" s="25" t="s">
        <v>483</v>
      </c>
      <c r="F127" s="25">
        <v>20159</v>
      </c>
      <c r="G127" s="21">
        <v>411</v>
      </c>
      <c r="H127" s="68">
        <v>45839</v>
      </c>
    </row>
    <row r="128" spans="1:8" x14ac:dyDescent="0.25">
      <c r="A128" s="19">
        <v>45932</v>
      </c>
      <c r="B128" s="14" t="s">
        <v>480</v>
      </c>
      <c r="C128" s="44" t="s">
        <v>624</v>
      </c>
      <c r="D128" s="13">
        <v>2.7</v>
      </c>
      <c r="E128" s="13" t="s">
        <v>483</v>
      </c>
      <c r="F128" s="13">
        <v>232</v>
      </c>
      <c r="G128" s="21">
        <v>5</v>
      </c>
      <c r="H128" s="68">
        <v>45839</v>
      </c>
    </row>
    <row r="129" spans="1:8" x14ac:dyDescent="0.25">
      <c r="A129" s="19">
        <v>45932</v>
      </c>
      <c r="B129" s="14" t="s">
        <v>480</v>
      </c>
      <c r="C129" s="44" t="s">
        <v>614</v>
      </c>
      <c r="D129" s="13">
        <v>28.67</v>
      </c>
      <c r="E129" s="13" t="s">
        <v>483</v>
      </c>
      <c r="F129" s="13">
        <v>2466</v>
      </c>
      <c r="G129" s="21">
        <v>50</v>
      </c>
      <c r="H129" s="68">
        <v>45778</v>
      </c>
    </row>
    <row r="130" spans="1:8" x14ac:dyDescent="0.25">
      <c r="A130" s="19">
        <v>45932</v>
      </c>
      <c r="B130" s="14" t="s">
        <v>480</v>
      </c>
      <c r="C130" s="44" t="s">
        <v>614</v>
      </c>
      <c r="D130" s="13">
        <v>148.55000000000001</v>
      </c>
      <c r="E130" s="13" t="s">
        <v>483</v>
      </c>
      <c r="F130" s="13">
        <v>12698</v>
      </c>
      <c r="G130" s="21">
        <v>259</v>
      </c>
      <c r="H130" s="68">
        <v>45778</v>
      </c>
    </row>
    <row r="131" spans="1:8" x14ac:dyDescent="0.25">
      <c r="A131" s="19">
        <v>45932</v>
      </c>
      <c r="B131" s="14" t="s">
        <v>480</v>
      </c>
      <c r="C131" s="44" t="s">
        <v>624</v>
      </c>
      <c r="D131" s="13">
        <v>25.75</v>
      </c>
      <c r="E131" s="13" t="s">
        <v>483</v>
      </c>
      <c r="F131" s="13">
        <v>2215</v>
      </c>
      <c r="G131" s="21">
        <v>45</v>
      </c>
      <c r="H131" s="68">
        <v>45839</v>
      </c>
    </row>
    <row r="132" spans="1:8" x14ac:dyDescent="0.25">
      <c r="A132" s="19">
        <v>45932</v>
      </c>
      <c r="B132" s="14" t="s">
        <v>480</v>
      </c>
      <c r="C132" s="44" t="s">
        <v>624</v>
      </c>
      <c r="D132" s="13">
        <v>100.28</v>
      </c>
      <c r="E132" s="13" t="s">
        <v>483</v>
      </c>
      <c r="F132" s="13">
        <v>8627</v>
      </c>
      <c r="G132" s="21">
        <v>176</v>
      </c>
      <c r="H132" s="68">
        <v>45839</v>
      </c>
    </row>
    <row r="133" spans="1:8" x14ac:dyDescent="0.25">
      <c r="A133" s="19">
        <v>45932</v>
      </c>
      <c r="B133" s="14" t="s">
        <v>480</v>
      </c>
      <c r="C133" s="44" t="s">
        <v>624</v>
      </c>
      <c r="D133" s="13">
        <v>22.25</v>
      </c>
      <c r="E133" s="13" t="s">
        <v>483</v>
      </c>
      <c r="F133" s="13">
        <v>1914</v>
      </c>
      <c r="G133" s="21">
        <v>39</v>
      </c>
      <c r="H133" s="68">
        <v>45839</v>
      </c>
    </row>
    <row r="134" spans="1:8" x14ac:dyDescent="0.25">
      <c r="A134" s="19">
        <v>45932</v>
      </c>
      <c r="B134" s="14" t="s">
        <v>480</v>
      </c>
      <c r="C134" s="44" t="s">
        <v>624</v>
      </c>
      <c r="D134" s="13">
        <v>351.14</v>
      </c>
      <c r="E134" s="13" t="s">
        <v>483</v>
      </c>
      <c r="F134" s="13">
        <v>30209</v>
      </c>
      <c r="G134" s="21">
        <v>617</v>
      </c>
      <c r="H134" s="68">
        <v>45839</v>
      </c>
    </row>
    <row r="135" spans="1:8" x14ac:dyDescent="0.25">
      <c r="A135" s="19">
        <v>45932</v>
      </c>
      <c r="B135" s="14" t="s">
        <v>480</v>
      </c>
      <c r="C135" s="44" t="s">
        <v>624</v>
      </c>
      <c r="D135" s="13">
        <v>13.43</v>
      </c>
      <c r="E135" s="13" t="s">
        <v>483</v>
      </c>
      <c r="F135" s="13">
        <v>1155</v>
      </c>
      <c r="G135" s="21">
        <v>24</v>
      </c>
      <c r="H135" s="68">
        <v>45839</v>
      </c>
    </row>
    <row r="136" spans="1:8" x14ac:dyDescent="0.25">
      <c r="A136" s="19">
        <v>45932</v>
      </c>
      <c r="B136" s="14" t="s">
        <v>480</v>
      </c>
      <c r="C136" s="44" t="s">
        <v>624</v>
      </c>
      <c r="D136" s="13">
        <v>55.2</v>
      </c>
      <c r="E136" s="13" t="s">
        <v>483</v>
      </c>
      <c r="F136" s="13">
        <v>4749</v>
      </c>
      <c r="G136" s="21">
        <v>97</v>
      </c>
      <c r="H136" s="68">
        <v>45839</v>
      </c>
    </row>
    <row r="137" spans="1:8" x14ac:dyDescent="0.25">
      <c r="A137" s="19">
        <v>45932</v>
      </c>
      <c r="B137" s="14" t="s">
        <v>480</v>
      </c>
      <c r="C137" s="44" t="s">
        <v>627</v>
      </c>
      <c r="D137" s="13">
        <v>17.39</v>
      </c>
      <c r="E137" s="13" t="s">
        <v>483</v>
      </c>
      <c r="F137" s="13">
        <v>1496</v>
      </c>
      <c r="G137" s="21">
        <v>31</v>
      </c>
      <c r="H137" s="68">
        <v>45870</v>
      </c>
    </row>
    <row r="138" spans="1:8" x14ac:dyDescent="0.25">
      <c r="A138" s="19">
        <v>45932</v>
      </c>
      <c r="B138" s="14" t="s">
        <v>480</v>
      </c>
      <c r="C138" s="44" t="s">
        <v>627</v>
      </c>
      <c r="D138" s="13">
        <v>49.05</v>
      </c>
      <c r="E138" s="13" t="s">
        <v>483</v>
      </c>
      <c r="F138" s="13">
        <v>4220</v>
      </c>
      <c r="G138" s="21">
        <v>86</v>
      </c>
      <c r="H138" s="68">
        <v>45870</v>
      </c>
    </row>
    <row r="139" spans="1:8" x14ac:dyDescent="0.25">
      <c r="A139" s="19">
        <v>45962</v>
      </c>
      <c r="B139" s="14" t="s">
        <v>480</v>
      </c>
      <c r="C139" s="44" t="s">
        <v>627</v>
      </c>
      <c r="D139" s="13">
        <v>73.63</v>
      </c>
      <c r="E139" s="13" t="s">
        <v>483</v>
      </c>
      <c r="F139" s="13">
        <v>6444</v>
      </c>
      <c r="G139" s="21">
        <v>131</v>
      </c>
      <c r="H139" s="68">
        <v>45870</v>
      </c>
    </row>
    <row r="140" spans="1:8" x14ac:dyDescent="0.25">
      <c r="A140" s="19">
        <v>45962</v>
      </c>
      <c r="B140" s="14" t="s">
        <v>480</v>
      </c>
      <c r="C140" s="69" t="s">
        <v>627</v>
      </c>
      <c r="D140" s="25">
        <v>137.19999999999999</v>
      </c>
      <c r="E140" s="25" t="s">
        <v>483</v>
      </c>
      <c r="F140" s="25">
        <v>12007</v>
      </c>
      <c r="G140" s="21">
        <v>245</v>
      </c>
      <c r="H140" s="68">
        <v>45870</v>
      </c>
    </row>
    <row r="141" spans="1:8" x14ac:dyDescent="0.25">
      <c r="A141" s="19">
        <v>45962</v>
      </c>
      <c r="B141" s="14" t="s">
        <v>480</v>
      </c>
      <c r="C141" s="44" t="s">
        <v>627</v>
      </c>
      <c r="D141" s="13">
        <v>105.96</v>
      </c>
      <c r="E141" s="13" t="s">
        <v>483</v>
      </c>
      <c r="F141" s="13">
        <v>9273</v>
      </c>
      <c r="G141" s="21">
        <v>189</v>
      </c>
      <c r="H141" s="68">
        <v>45870</v>
      </c>
    </row>
    <row r="142" spans="1:8" x14ac:dyDescent="0.25">
      <c r="A142" s="19">
        <v>45962</v>
      </c>
      <c r="B142" s="14" t="s">
        <v>480</v>
      </c>
      <c r="C142" s="69" t="s">
        <v>627</v>
      </c>
      <c r="D142" s="25">
        <v>566.83000000000004</v>
      </c>
      <c r="E142" s="25" t="s">
        <v>483</v>
      </c>
      <c r="F142" s="25">
        <v>49606</v>
      </c>
      <c r="G142" s="21">
        <v>1012</v>
      </c>
      <c r="H142" s="68">
        <v>45870</v>
      </c>
    </row>
    <row r="143" spans="1:8" x14ac:dyDescent="0.25">
      <c r="A143" s="19">
        <v>45962</v>
      </c>
      <c r="B143" s="14" t="s">
        <v>480</v>
      </c>
      <c r="C143" s="44" t="s">
        <v>627</v>
      </c>
      <c r="D143" s="13">
        <v>13.24</v>
      </c>
      <c r="E143" s="13" t="s">
        <v>483</v>
      </c>
      <c r="F143" s="13">
        <v>1159</v>
      </c>
      <c r="G143" s="21">
        <v>24</v>
      </c>
      <c r="H143" s="68">
        <v>45870</v>
      </c>
    </row>
    <row r="144" spans="1:8" x14ac:dyDescent="0.25">
      <c r="A144" s="19">
        <v>45962</v>
      </c>
      <c r="B144" s="14" t="s">
        <v>480</v>
      </c>
      <c r="C144" s="44" t="s">
        <v>656</v>
      </c>
      <c r="D144" s="13">
        <v>1299.67</v>
      </c>
      <c r="E144" s="13" t="s">
        <v>483</v>
      </c>
      <c r="F144" s="13">
        <v>113740</v>
      </c>
      <c r="G144" s="21">
        <v>2321</v>
      </c>
      <c r="H144" s="68">
        <v>45901</v>
      </c>
    </row>
    <row r="145" spans="1:8" x14ac:dyDescent="0.25">
      <c r="A145" s="19">
        <v>45962</v>
      </c>
      <c r="B145" s="14" t="s">
        <v>480</v>
      </c>
      <c r="C145" s="44" t="s">
        <v>656</v>
      </c>
      <c r="D145" s="13">
        <v>40.47</v>
      </c>
      <c r="E145" s="13" t="s">
        <v>483</v>
      </c>
      <c r="F145" s="13">
        <v>3542</v>
      </c>
      <c r="G145" s="21">
        <v>72</v>
      </c>
      <c r="H145" s="68">
        <v>45901</v>
      </c>
    </row>
    <row r="146" spans="1:8" x14ac:dyDescent="0.25">
      <c r="A146" s="19">
        <v>45962</v>
      </c>
      <c r="B146" s="14" t="s">
        <v>480</v>
      </c>
      <c r="C146" s="44" t="s">
        <v>656</v>
      </c>
      <c r="D146" s="13">
        <v>153.69999999999999</v>
      </c>
      <c r="E146" s="13" t="s">
        <v>483</v>
      </c>
      <c r="F146" s="13">
        <v>13451</v>
      </c>
      <c r="G146" s="21">
        <v>275</v>
      </c>
      <c r="H146" s="68">
        <v>45901</v>
      </c>
    </row>
    <row r="147" spans="1:8" x14ac:dyDescent="0.25">
      <c r="A147" s="19">
        <v>45962</v>
      </c>
      <c r="B147" s="14" t="s">
        <v>480</v>
      </c>
      <c r="C147" s="44" t="s">
        <v>656</v>
      </c>
      <c r="D147" s="13">
        <v>29.3</v>
      </c>
      <c r="E147" s="13" t="s">
        <v>483</v>
      </c>
      <c r="F147" s="13">
        <v>2584</v>
      </c>
      <c r="G147" s="21">
        <v>53</v>
      </c>
      <c r="H147" s="68">
        <v>45901</v>
      </c>
    </row>
    <row r="148" spans="1:8" x14ac:dyDescent="0.25">
      <c r="A148" s="19">
        <v>45962</v>
      </c>
      <c r="B148" s="14" t="s">
        <v>480</v>
      </c>
      <c r="C148" s="44" t="s">
        <v>656</v>
      </c>
      <c r="D148" s="13">
        <v>152.96</v>
      </c>
      <c r="E148" s="13" t="s">
        <v>483</v>
      </c>
      <c r="F148" s="13">
        <v>13490</v>
      </c>
      <c r="G148" s="21">
        <v>275</v>
      </c>
      <c r="H148" s="68">
        <v>45901</v>
      </c>
    </row>
    <row r="149" spans="1:8" x14ac:dyDescent="0.25">
      <c r="A149" s="19">
        <v>45962</v>
      </c>
      <c r="B149" s="14" t="s">
        <v>480</v>
      </c>
      <c r="C149" s="44" t="s">
        <v>656</v>
      </c>
      <c r="D149" s="13">
        <v>548.79</v>
      </c>
      <c r="E149" s="13" t="s">
        <v>483</v>
      </c>
      <c r="F149" s="13">
        <v>48398</v>
      </c>
      <c r="G149" s="21">
        <v>988</v>
      </c>
      <c r="H149" s="68">
        <v>45901</v>
      </c>
    </row>
    <row r="150" spans="1:8" x14ac:dyDescent="0.25">
      <c r="A150" s="19">
        <v>45962</v>
      </c>
      <c r="B150" s="14" t="s">
        <v>480</v>
      </c>
      <c r="C150" s="44" t="s">
        <v>656</v>
      </c>
      <c r="D150" s="13">
        <v>50.31</v>
      </c>
      <c r="E150" s="13" t="s">
        <v>483</v>
      </c>
      <c r="F150" s="13">
        <v>4437</v>
      </c>
      <c r="G150" s="21">
        <v>91</v>
      </c>
      <c r="H150" s="68">
        <v>45901</v>
      </c>
    </row>
    <row r="151" spans="1:8" x14ac:dyDescent="0.25">
      <c r="A151" s="19">
        <v>45962</v>
      </c>
      <c r="B151" s="14" t="s">
        <v>480</v>
      </c>
      <c r="C151" s="44" t="s">
        <v>664</v>
      </c>
      <c r="D151" s="13">
        <v>45.98</v>
      </c>
      <c r="E151" s="13" t="s">
        <v>483</v>
      </c>
      <c r="F151" s="13">
        <v>4055</v>
      </c>
      <c r="G151" s="21">
        <v>83</v>
      </c>
      <c r="H151" s="68">
        <v>45931</v>
      </c>
    </row>
    <row r="152" spans="1:8" x14ac:dyDescent="0.25">
      <c r="A152" s="19">
        <v>45962</v>
      </c>
      <c r="B152" s="14" t="s">
        <v>480</v>
      </c>
      <c r="C152" s="44" t="s">
        <v>664</v>
      </c>
      <c r="D152" s="13">
        <v>13.32</v>
      </c>
      <c r="E152" s="13" t="s">
        <v>483</v>
      </c>
      <c r="F152" s="13">
        <v>1175</v>
      </c>
      <c r="G152" s="21">
        <v>24</v>
      </c>
      <c r="H152" s="68">
        <v>45931</v>
      </c>
    </row>
    <row r="153" spans="1:8" x14ac:dyDescent="0.25">
      <c r="A153" s="19">
        <v>45962</v>
      </c>
      <c r="B153" s="14" t="s">
        <v>480</v>
      </c>
      <c r="C153" s="69" t="s">
        <v>664</v>
      </c>
      <c r="D153" s="25">
        <v>230.31</v>
      </c>
      <c r="E153" s="25" t="s">
        <v>483</v>
      </c>
      <c r="F153" s="25">
        <v>20311</v>
      </c>
      <c r="G153" s="21">
        <v>414</v>
      </c>
      <c r="H153" s="68">
        <v>45931</v>
      </c>
    </row>
    <row r="154" spans="1:8" x14ac:dyDescent="0.25">
      <c r="A154" s="19">
        <v>45962</v>
      </c>
      <c r="B154" s="14" t="s">
        <v>480</v>
      </c>
      <c r="C154" s="44" t="s">
        <v>664</v>
      </c>
      <c r="D154" s="13">
        <v>53.25</v>
      </c>
      <c r="E154" s="13" t="s">
        <v>483</v>
      </c>
      <c r="F154" s="13">
        <v>4696</v>
      </c>
      <c r="G154" s="21">
        <v>96</v>
      </c>
      <c r="H154" s="68">
        <v>45931</v>
      </c>
    </row>
    <row r="155" spans="1:8" x14ac:dyDescent="0.25">
      <c r="A155" s="19">
        <v>45962</v>
      </c>
      <c r="B155" s="14" t="s">
        <v>480</v>
      </c>
      <c r="C155" s="69" t="s">
        <v>656</v>
      </c>
      <c r="D155" s="25">
        <v>265.42</v>
      </c>
      <c r="E155" s="25" t="s">
        <v>483</v>
      </c>
      <c r="F155" s="25">
        <v>23408</v>
      </c>
      <c r="G155" s="21">
        <v>478</v>
      </c>
      <c r="H155" s="68">
        <v>45901</v>
      </c>
    </row>
    <row r="156" spans="1:8" x14ac:dyDescent="0.25">
      <c r="A156" s="19">
        <v>45962</v>
      </c>
      <c r="B156" s="14" t="s">
        <v>480</v>
      </c>
      <c r="C156" s="69" t="s">
        <v>664</v>
      </c>
      <c r="D156" s="25">
        <v>241.98</v>
      </c>
      <c r="E156" s="25" t="s">
        <v>483</v>
      </c>
      <c r="F156" s="25">
        <v>21340</v>
      </c>
      <c r="G156" s="21">
        <v>436</v>
      </c>
      <c r="H156" s="68">
        <v>45931</v>
      </c>
    </row>
    <row r="157" spans="1:8" x14ac:dyDescent="0.25">
      <c r="A157" s="19">
        <v>45964</v>
      </c>
      <c r="B157" s="14" t="s">
        <v>480</v>
      </c>
      <c r="C157" s="69" t="s">
        <v>664</v>
      </c>
      <c r="D157" s="25">
        <v>450.69</v>
      </c>
      <c r="E157" s="25" t="s">
        <v>483</v>
      </c>
      <c r="F157" s="25">
        <v>39662</v>
      </c>
      <c r="G157" s="21">
        <v>809</v>
      </c>
      <c r="H157" s="68">
        <v>45931</v>
      </c>
    </row>
    <row r="158" spans="1:8" x14ac:dyDescent="0.25">
      <c r="A158" s="19">
        <v>45966</v>
      </c>
      <c r="B158" s="14" t="s">
        <v>480</v>
      </c>
      <c r="C158" s="44" t="s">
        <v>664</v>
      </c>
      <c r="D158" s="13">
        <v>13.26</v>
      </c>
      <c r="E158" s="13" t="s">
        <v>483</v>
      </c>
      <c r="F158" s="13">
        <v>1167</v>
      </c>
      <c r="G158" s="21">
        <v>24</v>
      </c>
      <c r="H158" s="68">
        <v>45931</v>
      </c>
    </row>
    <row r="159" spans="1:8" x14ac:dyDescent="0.25">
      <c r="A159" s="19">
        <v>45966</v>
      </c>
      <c r="B159" s="14" t="s">
        <v>480</v>
      </c>
      <c r="C159" s="69" t="s">
        <v>664</v>
      </c>
      <c r="D159" s="25">
        <v>137.19999999999999</v>
      </c>
      <c r="E159" s="25" t="s">
        <v>483</v>
      </c>
      <c r="F159" s="25">
        <v>12074</v>
      </c>
      <c r="G159" s="21">
        <v>246</v>
      </c>
      <c r="H159" s="68">
        <v>45931</v>
      </c>
    </row>
    <row r="160" spans="1:8" x14ac:dyDescent="0.25">
      <c r="A160" s="19">
        <v>45966</v>
      </c>
      <c r="B160" s="14" t="s">
        <v>480</v>
      </c>
      <c r="C160" s="44" t="s">
        <v>664</v>
      </c>
      <c r="D160" s="13">
        <v>34.29</v>
      </c>
      <c r="E160" s="13" t="s">
        <v>483</v>
      </c>
      <c r="F160" s="13">
        <v>3018</v>
      </c>
      <c r="G160" s="21">
        <v>62</v>
      </c>
      <c r="H160" s="68">
        <v>45931</v>
      </c>
    </row>
    <row r="161" spans="1:8" x14ac:dyDescent="0.25">
      <c r="A161" s="19">
        <v>45966</v>
      </c>
      <c r="B161" s="14" t="s">
        <v>480</v>
      </c>
      <c r="C161" s="69" t="s">
        <v>664</v>
      </c>
      <c r="D161" s="25">
        <v>316.18</v>
      </c>
      <c r="E161" s="25" t="s">
        <v>483</v>
      </c>
      <c r="F161" s="25">
        <v>27825</v>
      </c>
      <c r="G161" s="21">
        <v>568</v>
      </c>
      <c r="H161" s="68">
        <v>45931</v>
      </c>
    </row>
    <row r="162" spans="1:8" x14ac:dyDescent="0.25">
      <c r="A162" s="19">
        <v>45966</v>
      </c>
      <c r="B162" s="14" t="s">
        <v>480</v>
      </c>
      <c r="C162" s="44" t="s">
        <v>664</v>
      </c>
      <c r="D162" s="13">
        <v>13.03</v>
      </c>
      <c r="E162" s="13" t="s">
        <v>483</v>
      </c>
      <c r="F162" s="13">
        <v>1147</v>
      </c>
      <c r="G162" s="21">
        <v>23</v>
      </c>
      <c r="H162" s="68">
        <v>45931</v>
      </c>
    </row>
    <row r="163" spans="1:8" x14ac:dyDescent="0.25">
      <c r="A163" s="19">
        <v>45966</v>
      </c>
      <c r="B163" s="14" t="s">
        <v>480</v>
      </c>
      <c r="C163" s="44" t="s">
        <v>664</v>
      </c>
      <c r="D163" s="13">
        <v>193.29</v>
      </c>
      <c r="E163" s="13" t="s">
        <v>483</v>
      </c>
      <c r="F163" s="13">
        <v>17010</v>
      </c>
      <c r="G163" s="21">
        <v>347</v>
      </c>
      <c r="H163" s="68">
        <v>45931</v>
      </c>
    </row>
    <row r="164" spans="1:8" x14ac:dyDescent="0.25">
      <c r="A164" s="19">
        <v>45966</v>
      </c>
      <c r="B164" s="14" t="s">
        <v>480</v>
      </c>
      <c r="C164" s="44" t="s">
        <v>664</v>
      </c>
      <c r="D164" s="13">
        <v>143.27000000000001</v>
      </c>
      <c r="E164" s="13" t="s">
        <v>483</v>
      </c>
      <c r="F164" s="13">
        <v>12608</v>
      </c>
      <c r="G164" s="21">
        <v>257</v>
      </c>
      <c r="H164" s="68">
        <v>45931</v>
      </c>
    </row>
    <row r="165" spans="1:8" x14ac:dyDescent="0.25">
      <c r="A165" s="19">
        <v>45967</v>
      </c>
      <c r="B165" s="14" t="s">
        <v>480</v>
      </c>
      <c r="C165" s="44" t="s">
        <v>656</v>
      </c>
      <c r="D165" s="13">
        <v>1620</v>
      </c>
      <c r="E165" s="13" t="s">
        <v>483</v>
      </c>
      <c r="F165" s="13">
        <v>141773</v>
      </c>
      <c r="G165" s="21">
        <v>15753</v>
      </c>
      <c r="H165" s="68">
        <v>45901</v>
      </c>
    </row>
    <row r="166" spans="1:8" x14ac:dyDescent="0.25">
      <c r="A166" s="19">
        <v>45967</v>
      </c>
      <c r="B166" s="14" t="s">
        <v>480</v>
      </c>
      <c r="C166" s="44" t="s">
        <v>627</v>
      </c>
      <c r="D166" s="13">
        <v>989.12</v>
      </c>
      <c r="E166" s="13" t="s">
        <v>483</v>
      </c>
      <c r="F166" s="13">
        <v>86562</v>
      </c>
      <c r="G166" s="21">
        <v>9618</v>
      </c>
      <c r="H166" s="68">
        <v>45870</v>
      </c>
    </row>
    <row r="167" spans="1:8" x14ac:dyDescent="0.25">
      <c r="A167" s="19">
        <v>45967</v>
      </c>
      <c r="B167" s="14" t="s">
        <v>480</v>
      </c>
      <c r="C167" s="44" t="s">
        <v>656</v>
      </c>
      <c r="D167" s="13">
        <v>1196.96</v>
      </c>
      <c r="E167" s="13" t="s">
        <v>483</v>
      </c>
      <c r="F167" s="13">
        <v>105561</v>
      </c>
      <c r="G167" s="21">
        <v>11729</v>
      </c>
      <c r="H167" s="68">
        <v>45901</v>
      </c>
    </row>
    <row r="168" spans="1:8" x14ac:dyDescent="0.25">
      <c r="A168" s="19">
        <v>45992</v>
      </c>
      <c r="B168" s="14" t="s">
        <v>480</v>
      </c>
      <c r="C168" s="44" t="s">
        <v>664</v>
      </c>
      <c r="D168" s="13">
        <v>1620</v>
      </c>
      <c r="E168" s="13" t="s">
        <v>483</v>
      </c>
      <c r="F168" s="13">
        <v>142869</v>
      </c>
      <c r="G168" s="21">
        <v>15874</v>
      </c>
      <c r="H168" s="68">
        <v>45931</v>
      </c>
    </row>
    <row r="169" spans="1:8" x14ac:dyDescent="0.25">
      <c r="A169" s="19">
        <v>45992</v>
      </c>
      <c r="B169" s="14" t="s">
        <v>480</v>
      </c>
      <c r="C169" s="44" t="s">
        <v>687</v>
      </c>
      <c r="D169" s="13">
        <v>1619.99</v>
      </c>
      <c r="E169" s="13" t="s">
        <v>483</v>
      </c>
      <c r="F169" s="13">
        <v>142565</v>
      </c>
      <c r="G169" s="21">
        <v>15841</v>
      </c>
      <c r="H169" s="68">
        <v>45962</v>
      </c>
    </row>
    <row r="170" spans="1:8" x14ac:dyDescent="0.25">
      <c r="A170" s="19">
        <v>45992</v>
      </c>
      <c r="B170" s="14" t="s">
        <v>480</v>
      </c>
      <c r="C170" s="44" t="s">
        <v>664</v>
      </c>
      <c r="D170" s="13">
        <v>961.68</v>
      </c>
      <c r="E170" s="13" t="s">
        <v>483</v>
      </c>
      <c r="F170" s="13">
        <v>84631</v>
      </c>
      <c r="G170" s="21">
        <v>9404</v>
      </c>
      <c r="H170" s="68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Pivot-Srikaram</vt:lpstr>
      <vt:lpstr>Summary</vt:lpstr>
      <vt:lpstr>Pending Invoices Booked</vt:lpstr>
      <vt:lpstr>Updated CustomerLedger</vt:lpstr>
      <vt:lpstr>New CN Issued By CL Team </vt:lpstr>
      <vt:lpstr>Biling Reco</vt:lpstr>
      <vt:lpstr>26AS Reco</vt:lpstr>
      <vt:lpstr>Payment Reco</vt:lpstr>
      <vt:lpstr>TDS not in our Books</vt:lpstr>
      <vt:lpstr>CN not in customer books</vt:lpstr>
      <vt:lpstr>Invoices not in customer books</vt:lpstr>
      <vt:lpstr>SRIKARAM BOOKS</vt:lpstr>
      <vt:lpstr>Ascendus Sales Ledger</vt:lpstr>
      <vt:lpstr>Srikaram summary</vt:lpstr>
      <vt:lpstr>Pivot Ascendus</vt:lpstr>
      <vt:lpstr>Sheet15</vt:lpstr>
      <vt:lpstr>ASCENDUS WORKING</vt:lpstr>
      <vt:lpstr>Customer 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Neuroy Gonsalves</cp:lastModifiedBy>
  <cp:revision>1</cp:revision>
  <dcterms:modified xsi:type="dcterms:W3CDTF">2026-03-27T10:12:57Z</dcterms:modified>
  <cp:category/>
</cp:coreProperties>
</file>