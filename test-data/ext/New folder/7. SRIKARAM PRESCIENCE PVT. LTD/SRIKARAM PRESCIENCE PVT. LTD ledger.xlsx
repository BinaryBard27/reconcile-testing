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7. SRIKARAM PRESCIENCE PVT. LTD\"/>
    </mc:Choice>
  </mc:AlternateContent>
  <xr:revisionPtr revIDLastSave="0" documentId="13_ncr:1_{FCF9E5FE-4D17-4386-A7D8-29E61B99DE9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2" sheetId="2" r:id="rId1"/>
    <sheet name="Invoices and CN not rec" sheetId="3" r:id="rId2"/>
    <sheet name="Sheet1" sheetId="1" r:id="rId3"/>
    <sheet name="DZ" sheetId="4" r:id="rId4"/>
  </sheets>
  <externalReferences>
    <externalReference r:id="rId5"/>
    <externalReference r:id="rId6"/>
  </externalReferences>
  <definedNames>
    <definedName name="_xlnm._FilterDatabase" localSheetId="1" hidden="1">'Invoices and CN not rec'!$A$2:$L$2</definedName>
    <definedName name="_xlnm._FilterDatabase" localSheetId="2" hidden="1">Sheet1!$A$1:$X$253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82" i="1" l="1"/>
  <c r="T181" i="1"/>
  <c r="T180" i="1"/>
  <c r="T179" i="1"/>
  <c r="T178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3" i="1"/>
  <c r="T62" i="1"/>
  <c r="T61" i="1"/>
  <c r="T60" i="1"/>
  <c r="T59" i="1"/>
  <c r="T58" i="1"/>
  <c r="T57" i="1"/>
  <c r="T56" i="1"/>
  <c r="T55" i="1"/>
  <c r="T54" i="1"/>
  <c r="T53" i="1"/>
  <c r="T52" i="1"/>
  <c r="T49" i="1"/>
  <c r="T48" i="1"/>
  <c r="T47" i="1"/>
  <c r="T44" i="1"/>
  <c r="T43" i="1"/>
  <c r="T42" i="1"/>
  <c r="T41" i="1"/>
  <c r="T40" i="1"/>
  <c r="S182" i="1"/>
  <c r="S181" i="1"/>
  <c r="S180" i="1"/>
  <c r="S179" i="1"/>
  <c r="S178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49" i="1"/>
  <c r="S48" i="1"/>
  <c r="S47" i="1"/>
  <c r="S44" i="1"/>
  <c r="S43" i="1"/>
  <c r="S42" i="1"/>
  <c r="S41" i="1"/>
  <c r="S40" i="1"/>
  <c r="S253" i="1"/>
  <c r="S252" i="1"/>
  <c r="S248" i="1"/>
  <c r="S247" i="1"/>
  <c r="S239" i="1"/>
  <c r="S238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Q251" i="1" l="1"/>
  <c r="Q250" i="1"/>
  <c r="Q249" i="1"/>
  <c r="Q246" i="1"/>
  <c r="Q245" i="1"/>
  <c r="Q244" i="1"/>
  <c r="Q243" i="1"/>
  <c r="Q242" i="1"/>
  <c r="Q241" i="1"/>
  <c r="Q240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112" i="1"/>
  <c r="R112" i="1" s="1"/>
  <c r="Q54" i="1"/>
  <c r="R54" i="1" s="1"/>
  <c r="Q53" i="1"/>
  <c r="R53" i="1" s="1"/>
  <c r="Q134" i="1"/>
  <c r="R134" i="1" s="1"/>
  <c r="Q210" i="1"/>
  <c r="Q209" i="1"/>
  <c r="Q195" i="1"/>
  <c r="R195" i="1" s="1"/>
  <c r="Q214" i="1"/>
  <c r="R214" i="1" s="1"/>
  <c r="Q185" i="1"/>
  <c r="R185" i="1" s="1"/>
  <c r="Q52" i="1"/>
  <c r="R52" i="1" s="1"/>
  <c r="Q169" i="1"/>
  <c r="R169" i="1" s="1"/>
  <c r="Q159" i="1"/>
  <c r="R159" i="1" s="1"/>
  <c r="Q137" i="1"/>
  <c r="R137" i="1" s="1"/>
  <c r="Q148" i="1"/>
  <c r="R148" i="1" s="1"/>
  <c r="Q51" i="1"/>
  <c r="R51" i="1" s="1"/>
  <c r="Q44" i="1"/>
  <c r="R44" i="1" s="1"/>
  <c r="Q43" i="1"/>
  <c r="R43" i="1" s="1"/>
  <c r="Q42" i="1"/>
  <c r="R42" i="1" s="1"/>
  <c r="Q41" i="1"/>
  <c r="R41" i="1" s="1"/>
  <c r="Q40" i="1"/>
  <c r="R40" i="1" s="1"/>
  <c r="Q39" i="1"/>
  <c r="R39" i="1" s="1"/>
  <c r="Q34" i="1"/>
  <c r="R34" i="1" s="1"/>
  <c r="Q192" i="1"/>
  <c r="Q111" i="1"/>
  <c r="R111" i="1" s="1"/>
  <c r="Q158" i="1"/>
  <c r="R158" i="1" s="1"/>
  <c r="Q140" i="1"/>
  <c r="R140" i="1" s="1"/>
  <c r="Q196" i="1"/>
  <c r="R196" i="1" s="1"/>
  <c r="Q176" i="1"/>
  <c r="R176" i="1" s="1"/>
  <c r="Q128" i="1"/>
  <c r="R128" i="1" s="1"/>
  <c r="Q147" i="1"/>
  <c r="R147" i="1" s="1"/>
  <c r="Q186" i="1"/>
  <c r="R186" i="1" s="1"/>
  <c r="Q213" i="1"/>
  <c r="R213" i="1" s="1"/>
  <c r="Q50" i="1"/>
  <c r="R50" i="1" s="1"/>
  <c r="Q103" i="1"/>
  <c r="R103" i="1" s="1"/>
  <c r="Q149" i="1"/>
  <c r="R149" i="1" s="1"/>
  <c r="Q168" i="1"/>
  <c r="R168" i="1" s="1"/>
  <c r="Q136" i="1"/>
  <c r="R136" i="1" s="1"/>
  <c r="Q177" i="1"/>
  <c r="Q102" i="1"/>
  <c r="R102" i="1" s="1"/>
  <c r="Q45" i="1"/>
  <c r="R45" i="1" s="1"/>
  <c r="Q49" i="1"/>
  <c r="R49" i="1" s="1"/>
  <c r="Q48" i="1"/>
  <c r="R48" i="1" s="1"/>
  <c r="Q47" i="1"/>
  <c r="R47" i="1" s="1"/>
  <c r="Q46" i="1"/>
  <c r="R46" i="1" s="1"/>
  <c r="Q187" i="1"/>
  <c r="R187" i="1" s="1"/>
  <c r="Q129" i="1"/>
  <c r="R129" i="1" s="1"/>
  <c r="Q65" i="1"/>
  <c r="R65" i="1" s="1"/>
  <c r="Q101" i="1"/>
  <c r="R101" i="1" s="1"/>
  <c r="Q127" i="1"/>
  <c r="R127" i="1" s="1"/>
  <c r="Q146" i="1"/>
  <c r="R146" i="1" s="1"/>
  <c r="Q184" i="1"/>
  <c r="R184" i="1" s="1"/>
  <c r="Q197" i="1"/>
  <c r="R197" i="1" s="1"/>
  <c r="Q126" i="1"/>
  <c r="R126" i="1" s="1"/>
  <c r="Q135" i="1"/>
  <c r="R135" i="1" s="1"/>
  <c r="Q138" i="1"/>
  <c r="R138" i="1" s="1"/>
  <c r="Q203" i="1"/>
  <c r="R203" i="1" s="1"/>
  <c r="Q100" i="1"/>
  <c r="R100" i="1" s="1"/>
  <c r="Q142" i="1"/>
  <c r="R142" i="1" s="1"/>
  <c r="Q175" i="1"/>
  <c r="R175" i="1" s="1"/>
  <c r="Q99" i="1"/>
  <c r="R99" i="1" s="1"/>
  <c r="Q98" i="1"/>
  <c r="R98" i="1" s="1"/>
  <c r="Q97" i="1"/>
  <c r="R97" i="1" s="1"/>
  <c r="Q212" i="1"/>
  <c r="R212" i="1" s="1"/>
  <c r="Q157" i="1"/>
  <c r="R157" i="1" s="1"/>
  <c r="Q96" i="1"/>
  <c r="R96" i="1" s="1"/>
  <c r="Q194" i="1"/>
  <c r="R194" i="1" s="1"/>
  <c r="Q202" i="1"/>
  <c r="R202" i="1" s="1"/>
  <c r="Q200" i="1"/>
  <c r="R200" i="1" s="1"/>
  <c r="Q165" i="1"/>
  <c r="R165" i="1" s="1"/>
  <c r="Q62" i="1"/>
  <c r="R62" i="1" s="1"/>
  <c r="Q119" i="1"/>
  <c r="R119" i="1" s="1"/>
  <c r="Q211" i="1"/>
  <c r="R211" i="1" s="1"/>
  <c r="Q164" i="1"/>
  <c r="R164" i="1" s="1"/>
  <c r="Q167" i="1"/>
  <c r="R167" i="1" s="1"/>
  <c r="Q133" i="1"/>
  <c r="R133" i="1" s="1"/>
  <c r="Q141" i="1"/>
  <c r="R141" i="1" s="1"/>
  <c r="Q151" i="1"/>
  <c r="R151" i="1" s="1"/>
  <c r="Q156" i="1"/>
  <c r="R156" i="1" s="1"/>
  <c r="Q155" i="1"/>
  <c r="R155" i="1" s="1"/>
  <c r="Q193" i="1"/>
  <c r="R193" i="1" s="1"/>
  <c r="Q189" i="1"/>
  <c r="R189" i="1" s="1"/>
  <c r="Q95" i="1"/>
  <c r="R95" i="1" s="1"/>
  <c r="Q208" i="1"/>
  <c r="R208" i="1" s="1"/>
  <c r="Q207" i="1"/>
  <c r="R207" i="1" s="1"/>
  <c r="Q183" i="1"/>
  <c r="R183" i="1" s="1"/>
  <c r="Q94" i="1"/>
  <c r="R94" i="1" s="1"/>
  <c r="Q145" i="1"/>
  <c r="R145" i="1" s="1"/>
  <c r="Q118" i="1"/>
  <c r="R118" i="1" s="1"/>
  <c r="Q93" i="1"/>
  <c r="R93" i="1" s="1"/>
  <c r="Q61" i="1"/>
  <c r="R61" i="1" s="1"/>
  <c r="Q163" i="1"/>
  <c r="R163" i="1" s="1"/>
  <c r="Q182" i="1"/>
  <c r="R182" i="1" s="1"/>
  <c r="Q117" i="1"/>
  <c r="R117" i="1" s="1"/>
  <c r="Q174" i="1"/>
  <c r="R174" i="1" s="1"/>
  <c r="Q139" i="1"/>
  <c r="R139" i="1" s="1"/>
  <c r="Q116" i="1"/>
  <c r="R116" i="1" s="1"/>
  <c r="Q181" i="1"/>
  <c r="R181" i="1" s="1"/>
  <c r="Q92" i="1"/>
  <c r="R92" i="1" s="1"/>
  <c r="Q91" i="1"/>
  <c r="R91" i="1" s="1"/>
  <c r="Q115" i="1"/>
  <c r="Q114" i="1"/>
  <c r="Q113" i="1"/>
  <c r="Q90" i="1"/>
  <c r="R90" i="1" s="1"/>
  <c r="Q162" i="1"/>
  <c r="R162" i="1" s="1"/>
  <c r="Q150" i="1"/>
  <c r="R150" i="1" s="1"/>
  <c r="Q60" i="1"/>
  <c r="R60" i="1" s="1"/>
  <c r="Q154" i="1"/>
  <c r="R154" i="1" s="1"/>
  <c r="Q59" i="1"/>
  <c r="R59" i="1" s="1"/>
  <c r="Q89" i="1"/>
  <c r="R89" i="1" s="1"/>
  <c r="Q88" i="1"/>
  <c r="R88" i="1" s="1"/>
  <c r="Q57" i="1"/>
  <c r="R57" i="1" s="1"/>
  <c r="Q56" i="1"/>
  <c r="R56" i="1" s="1"/>
  <c r="Q58" i="1"/>
  <c r="R58" i="1" s="1"/>
  <c r="Q87" i="1"/>
  <c r="R87" i="1" s="1"/>
  <c r="Q173" i="1"/>
  <c r="R173" i="1" s="1"/>
  <c r="Q199" i="1"/>
  <c r="R199" i="1" s="1"/>
  <c r="Q86" i="1"/>
  <c r="R86" i="1" s="1"/>
  <c r="Q191" i="1"/>
  <c r="R191" i="1" s="1"/>
  <c r="Q153" i="1"/>
  <c r="R153" i="1" s="1"/>
  <c r="Q110" i="1"/>
  <c r="R110" i="1" s="1"/>
  <c r="Q85" i="1"/>
  <c r="R85" i="1" s="1"/>
  <c r="Q179" i="1"/>
  <c r="R179" i="1" s="1"/>
  <c r="Q106" i="1"/>
  <c r="R106" i="1" s="1"/>
  <c r="Q198" i="1"/>
  <c r="R198" i="1" s="1"/>
  <c r="Q144" i="1"/>
  <c r="R144" i="1" s="1"/>
  <c r="Q132" i="1"/>
  <c r="R132" i="1" s="1"/>
  <c r="Q188" i="1"/>
  <c r="R188" i="1" s="1"/>
  <c r="Q105" i="1"/>
  <c r="R105" i="1" s="1"/>
  <c r="Q206" i="1"/>
  <c r="R206" i="1" s="1"/>
  <c r="Q190" i="1"/>
  <c r="R190" i="1" s="1"/>
  <c r="Q63" i="1"/>
  <c r="R63" i="1" s="1"/>
  <c r="Q166" i="1"/>
  <c r="R166" i="1" s="1"/>
  <c r="Q55" i="1"/>
  <c r="R55" i="1" s="1"/>
  <c r="Q172" i="1"/>
  <c r="R172" i="1" s="1"/>
  <c r="Q125" i="1"/>
  <c r="R125" i="1" s="1"/>
  <c r="Q161" i="1"/>
  <c r="R161" i="1" s="1"/>
  <c r="Q84" i="1"/>
  <c r="R84" i="1" s="1"/>
  <c r="Q124" i="1"/>
  <c r="R124" i="1" s="1"/>
  <c r="Q171" i="1"/>
  <c r="R171" i="1" s="1"/>
  <c r="Q83" i="1"/>
  <c r="R83" i="1" s="1"/>
  <c r="Q82" i="1"/>
  <c r="R82" i="1" s="1"/>
  <c r="Q81" i="1"/>
  <c r="R81" i="1" s="1"/>
  <c r="Q80" i="1"/>
  <c r="R80" i="1" s="1"/>
  <c r="Q178" i="1"/>
  <c r="R178" i="1" s="1"/>
  <c r="Q131" i="1"/>
  <c r="R131" i="1" s="1"/>
  <c r="Q104" i="1"/>
  <c r="R104" i="1" s="1"/>
  <c r="Q152" i="1"/>
  <c r="R152" i="1" s="1"/>
  <c r="Q79" i="1"/>
  <c r="R79" i="1" s="1"/>
  <c r="Q170" i="1"/>
  <c r="R170" i="1" s="1"/>
  <c r="Q180" i="1"/>
  <c r="R180" i="1" s="1"/>
  <c r="Q64" i="1"/>
  <c r="Q205" i="1"/>
  <c r="R205" i="1" s="1"/>
  <c r="Q201" i="1"/>
  <c r="R201" i="1" s="1"/>
  <c r="Q204" i="1"/>
  <c r="R204" i="1" s="1"/>
  <c r="Q78" i="1"/>
  <c r="R78" i="1" s="1"/>
  <c r="Q77" i="1"/>
  <c r="R77" i="1" s="1"/>
  <c r="Q123" i="1"/>
  <c r="R123" i="1" s="1"/>
  <c r="Q76" i="1"/>
  <c r="R76" i="1" s="1"/>
  <c r="Q109" i="1"/>
  <c r="R109" i="1" s="1"/>
  <c r="Q75" i="1"/>
  <c r="R75" i="1" s="1"/>
  <c r="Q74" i="1"/>
  <c r="R74" i="1" s="1"/>
  <c r="Q73" i="1"/>
  <c r="R73" i="1" s="1"/>
  <c r="Q143" i="1"/>
  <c r="R143" i="1" s="1"/>
  <c r="Q130" i="1"/>
  <c r="R130" i="1" s="1"/>
  <c r="Q108" i="1"/>
  <c r="R108" i="1" s="1"/>
  <c r="Q72" i="1"/>
  <c r="R72" i="1" s="1"/>
  <c r="Q122" i="1"/>
  <c r="R122" i="1" s="1"/>
  <c r="Q160" i="1"/>
  <c r="R160" i="1" s="1"/>
  <c r="Q71" i="1"/>
  <c r="R71" i="1" s="1"/>
  <c r="Q70" i="1"/>
  <c r="R70" i="1" s="1"/>
  <c r="Q69" i="1"/>
  <c r="R69" i="1" s="1"/>
  <c r="Q68" i="1"/>
  <c r="R68" i="1" s="1"/>
  <c r="Q67" i="1"/>
  <c r="R67" i="1" s="1"/>
  <c r="Q107" i="1"/>
  <c r="R107" i="1" s="1"/>
  <c r="Q121" i="1"/>
  <c r="R121" i="1" s="1"/>
  <c r="Q120" i="1"/>
  <c r="R120" i="1" s="1"/>
  <c r="Q66" i="1"/>
  <c r="R66" i="1" s="1"/>
  <c r="K1" i="3"/>
  <c r="O251" i="1"/>
  <c r="O250" i="1"/>
  <c r="O249" i="1"/>
  <c r="O246" i="1"/>
  <c r="O245" i="1"/>
  <c r="O244" i="1"/>
  <c r="O243" i="1"/>
  <c r="O242" i="1"/>
  <c r="O241" i="1"/>
  <c r="O240" i="1"/>
  <c r="O237" i="1"/>
  <c r="O236" i="1"/>
  <c r="O235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M135" i="1"/>
  <c r="N135" i="1" s="1"/>
  <c r="O135" i="1" s="1"/>
  <c r="M136" i="1"/>
  <c r="N136" i="1" s="1"/>
  <c r="O136" i="1" s="1"/>
  <c r="M137" i="1"/>
  <c r="N137" i="1" s="1"/>
  <c r="O137" i="1" s="1"/>
  <c r="M197" i="1"/>
  <c r="N197" i="1" s="1"/>
  <c r="O197" i="1" s="1"/>
  <c r="M141" i="1"/>
  <c r="N141" i="1" s="1"/>
  <c r="O141" i="1" s="1"/>
  <c r="M142" i="1"/>
  <c r="N142" i="1" s="1"/>
  <c r="O142" i="1" s="1"/>
  <c r="M105" i="1"/>
  <c r="N105" i="1" s="1"/>
  <c r="O105" i="1" s="1"/>
  <c r="M106" i="1"/>
  <c r="N106" i="1" s="1"/>
  <c r="O106" i="1" s="1"/>
  <c r="M104" i="1"/>
  <c r="N104" i="1" s="1"/>
  <c r="O104" i="1" s="1"/>
  <c r="M230" i="1"/>
  <c r="M133" i="1"/>
  <c r="N133" i="1" s="1"/>
  <c r="O133" i="1" s="1"/>
  <c r="M210" i="1"/>
  <c r="M209" i="1"/>
  <c r="M229" i="1"/>
  <c r="M189" i="1"/>
  <c r="N189" i="1" s="1"/>
  <c r="O189" i="1" s="1"/>
  <c r="M188" i="1"/>
  <c r="N188" i="1" s="1"/>
  <c r="O188" i="1" s="1"/>
  <c r="M130" i="1"/>
  <c r="N130" i="1" s="1"/>
  <c r="O130" i="1" s="1"/>
  <c r="M132" i="1"/>
  <c r="N132" i="1" s="1"/>
  <c r="O132" i="1" s="1"/>
  <c r="M131" i="1"/>
  <c r="N131" i="1" s="1"/>
  <c r="O131" i="1" s="1"/>
  <c r="M228" i="1"/>
  <c r="M227" i="1"/>
  <c r="M226" i="1"/>
  <c r="M151" i="1"/>
  <c r="N151" i="1" s="1"/>
  <c r="O151" i="1" s="1"/>
  <c r="M150" i="1"/>
  <c r="N150" i="1" s="1"/>
  <c r="O150" i="1" s="1"/>
  <c r="M63" i="1"/>
  <c r="N63" i="1" s="1"/>
  <c r="O63" i="1" s="1"/>
  <c r="M65" i="1"/>
  <c r="N65" i="1" s="1"/>
  <c r="O65" i="1" s="1"/>
  <c r="M225" i="1"/>
  <c r="M201" i="1"/>
  <c r="N201" i="1" s="1"/>
  <c r="O201" i="1" s="1"/>
  <c r="M134" i="1"/>
  <c r="N134" i="1" s="1"/>
  <c r="O134" i="1" s="1"/>
  <c r="M192" i="1"/>
  <c r="M166" i="1"/>
  <c r="N166" i="1" s="1"/>
  <c r="O166" i="1" s="1"/>
  <c r="M129" i="1"/>
  <c r="N129" i="1" s="1"/>
  <c r="O129" i="1" s="1"/>
  <c r="M199" i="1"/>
  <c r="N199" i="1" s="1"/>
  <c r="O199" i="1" s="1"/>
  <c r="M200" i="1"/>
  <c r="N200" i="1" s="1"/>
  <c r="O200" i="1" s="1"/>
  <c r="M224" i="1"/>
  <c r="M223" i="1"/>
  <c r="M222" i="1"/>
  <c r="M107" i="1"/>
  <c r="N107" i="1" s="1"/>
  <c r="O107" i="1" s="1"/>
  <c r="M108" i="1"/>
  <c r="N108" i="1" s="1"/>
  <c r="O108" i="1" s="1"/>
  <c r="M110" i="1"/>
  <c r="N110" i="1" s="1"/>
  <c r="O110" i="1" s="1"/>
  <c r="M109" i="1"/>
  <c r="N109" i="1" s="1"/>
  <c r="O109" i="1" s="1"/>
  <c r="M221" i="1"/>
  <c r="M220" i="1"/>
  <c r="M219" i="1"/>
  <c r="M177" i="1"/>
  <c r="M218" i="1"/>
  <c r="M139" i="1"/>
  <c r="N139" i="1" s="1"/>
  <c r="O139" i="1" s="1"/>
  <c r="M149" i="1"/>
  <c r="N149" i="1" s="1"/>
  <c r="O149" i="1" s="1"/>
  <c r="M34" i="1"/>
  <c r="N34" i="1" s="1"/>
  <c r="O34" i="1" s="1"/>
  <c r="M202" i="1"/>
  <c r="N202" i="1" s="1"/>
  <c r="O202" i="1" s="1"/>
  <c r="M217" i="1"/>
  <c r="M179" i="1"/>
  <c r="N179" i="1" s="1"/>
  <c r="O179" i="1" s="1"/>
  <c r="M178" i="1"/>
  <c r="N178" i="1" s="1"/>
  <c r="O178" i="1" s="1"/>
  <c r="M44" i="1"/>
  <c r="N44" i="1" s="1"/>
  <c r="O44" i="1" s="1"/>
  <c r="M43" i="1"/>
  <c r="N43" i="1" s="1"/>
  <c r="O43" i="1" s="1"/>
  <c r="M42" i="1"/>
  <c r="N42" i="1" s="1"/>
  <c r="O42" i="1" s="1"/>
  <c r="M41" i="1"/>
  <c r="N41" i="1" s="1"/>
  <c r="O41" i="1" s="1"/>
  <c r="M40" i="1"/>
  <c r="N40" i="1" s="1"/>
  <c r="O40" i="1" s="1"/>
  <c r="M39" i="1"/>
  <c r="N39" i="1" s="1"/>
  <c r="O39" i="1" s="1"/>
  <c r="M92" i="1"/>
  <c r="N92" i="1" s="1"/>
  <c r="O92" i="1" s="1"/>
  <c r="M88" i="1"/>
  <c r="N88" i="1" s="1"/>
  <c r="O88" i="1" s="1"/>
  <c r="M77" i="1"/>
  <c r="N77" i="1" s="1"/>
  <c r="O77" i="1" s="1"/>
  <c r="M75" i="1"/>
  <c r="N75" i="1" s="1"/>
  <c r="O75" i="1" s="1"/>
  <c r="M70" i="1"/>
  <c r="N70" i="1" s="1"/>
  <c r="O70" i="1" s="1"/>
  <c r="M72" i="1"/>
  <c r="N72" i="1" s="1"/>
  <c r="O72" i="1" s="1"/>
  <c r="M74" i="1"/>
  <c r="N74" i="1" s="1"/>
  <c r="O74" i="1" s="1"/>
  <c r="M89" i="1"/>
  <c r="N89" i="1" s="1"/>
  <c r="O89" i="1" s="1"/>
  <c r="M85" i="1"/>
  <c r="N85" i="1" s="1"/>
  <c r="O85" i="1" s="1"/>
  <c r="M93" i="1"/>
  <c r="N93" i="1" s="1"/>
  <c r="O93" i="1" s="1"/>
  <c r="M87" i="1"/>
  <c r="N87" i="1" s="1"/>
  <c r="O87" i="1" s="1"/>
  <c r="M86" i="1"/>
  <c r="N86" i="1" s="1"/>
  <c r="O86" i="1" s="1"/>
  <c r="M91" i="1"/>
  <c r="N91" i="1" s="1"/>
  <c r="O91" i="1" s="1"/>
  <c r="M71" i="1"/>
  <c r="N71" i="1" s="1"/>
  <c r="O71" i="1" s="1"/>
  <c r="M94" i="1"/>
  <c r="N94" i="1" s="1"/>
  <c r="O94" i="1" s="1"/>
  <c r="M90" i="1"/>
  <c r="N90" i="1" s="1"/>
  <c r="O90" i="1" s="1"/>
  <c r="M73" i="1"/>
  <c r="N73" i="1" s="1"/>
  <c r="O73" i="1" s="1"/>
  <c r="M83" i="1"/>
  <c r="N83" i="1" s="1"/>
  <c r="O83" i="1" s="1"/>
  <c r="M81" i="1"/>
  <c r="N81" i="1" s="1"/>
  <c r="O81" i="1" s="1"/>
  <c r="M78" i="1"/>
  <c r="N78" i="1" s="1"/>
  <c r="O78" i="1" s="1"/>
  <c r="M66" i="1"/>
  <c r="N66" i="1" s="1"/>
  <c r="O66" i="1" s="1"/>
  <c r="M76" i="1"/>
  <c r="N76" i="1" s="1"/>
  <c r="O76" i="1" s="1"/>
  <c r="M80" i="1"/>
  <c r="N80" i="1" s="1"/>
  <c r="O80" i="1" s="1"/>
  <c r="M84" i="1"/>
  <c r="N84" i="1" s="1"/>
  <c r="O84" i="1" s="1"/>
  <c r="M99" i="1"/>
  <c r="N99" i="1" s="1"/>
  <c r="O99" i="1" s="1"/>
  <c r="M100" i="1"/>
  <c r="N100" i="1" s="1"/>
  <c r="O100" i="1" s="1"/>
  <c r="M101" i="1"/>
  <c r="N101" i="1" s="1"/>
  <c r="O101" i="1" s="1"/>
  <c r="M96" i="1"/>
  <c r="N96" i="1" s="1"/>
  <c r="O96" i="1" s="1"/>
  <c r="M98" i="1"/>
  <c r="N98" i="1" s="1"/>
  <c r="O98" i="1" s="1"/>
  <c r="M97" i="1"/>
  <c r="N97" i="1" s="1"/>
  <c r="O97" i="1" s="1"/>
  <c r="M82" i="1"/>
  <c r="N82" i="1" s="1"/>
  <c r="O82" i="1" s="1"/>
  <c r="M68" i="1"/>
  <c r="N68" i="1" s="1"/>
  <c r="O68" i="1" s="1"/>
  <c r="M69" i="1"/>
  <c r="N69" i="1" s="1"/>
  <c r="O69" i="1" s="1"/>
  <c r="M67" i="1"/>
  <c r="N67" i="1" s="1"/>
  <c r="O67" i="1" s="1"/>
  <c r="M95" i="1"/>
  <c r="N95" i="1" s="1"/>
  <c r="O95" i="1" s="1"/>
  <c r="M102" i="1"/>
  <c r="N102" i="1" s="1"/>
  <c r="O102" i="1" s="1"/>
  <c r="M103" i="1"/>
  <c r="N103" i="1" s="1"/>
  <c r="O103" i="1" s="1"/>
  <c r="M55" i="1"/>
  <c r="N55" i="1" s="1"/>
  <c r="O55" i="1" s="1"/>
  <c r="M216" i="1"/>
  <c r="M164" i="1"/>
  <c r="N164" i="1" s="1"/>
  <c r="O164" i="1" s="1"/>
  <c r="M160" i="1"/>
  <c r="N160" i="1" s="1"/>
  <c r="O160" i="1" s="1"/>
  <c r="M165" i="1"/>
  <c r="N165" i="1" s="1"/>
  <c r="O165" i="1" s="1"/>
  <c r="M162" i="1"/>
  <c r="N162" i="1" s="1"/>
  <c r="O162" i="1" s="1"/>
  <c r="M161" i="1"/>
  <c r="N161" i="1" s="1"/>
  <c r="O161" i="1" s="1"/>
  <c r="M163" i="1"/>
  <c r="N163" i="1" s="1"/>
  <c r="O163" i="1" s="1"/>
  <c r="M140" i="1"/>
  <c r="N140" i="1" s="1"/>
  <c r="O140" i="1" s="1"/>
  <c r="M138" i="1"/>
  <c r="N138" i="1" s="1"/>
  <c r="O138" i="1" s="1"/>
  <c r="M115" i="1"/>
  <c r="M114" i="1"/>
  <c r="M113" i="1"/>
  <c r="M146" i="1"/>
  <c r="N146" i="1" s="1"/>
  <c r="O146" i="1" s="1"/>
  <c r="M143" i="1"/>
  <c r="N143" i="1" s="1"/>
  <c r="O143" i="1" s="1"/>
  <c r="M144" i="1"/>
  <c r="N144" i="1" s="1"/>
  <c r="O144" i="1" s="1"/>
  <c r="M145" i="1"/>
  <c r="N145" i="1" s="1"/>
  <c r="O145" i="1" s="1"/>
  <c r="M173" i="1"/>
  <c r="N173" i="1" s="1"/>
  <c r="O173" i="1" s="1"/>
  <c r="M170" i="1"/>
  <c r="N170" i="1" s="1"/>
  <c r="O170" i="1" s="1"/>
  <c r="M175" i="1"/>
  <c r="N175" i="1" s="1"/>
  <c r="O175" i="1" s="1"/>
  <c r="M171" i="1"/>
  <c r="N171" i="1" s="1"/>
  <c r="O171" i="1" s="1"/>
  <c r="M174" i="1"/>
  <c r="N174" i="1" s="1"/>
  <c r="O174" i="1" s="1"/>
  <c r="M172" i="1"/>
  <c r="N172" i="1" s="1"/>
  <c r="O172" i="1" s="1"/>
  <c r="M176" i="1"/>
  <c r="N176" i="1" s="1"/>
  <c r="O176" i="1" s="1"/>
  <c r="M203" i="1"/>
  <c r="N203" i="1" s="1"/>
  <c r="O203" i="1" s="1"/>
  <c r="M45" i="1"/>
  <c r="N45" i="1" s="1"/>
  <c r="O45" i="1" s="1"/>
  <c r="M211" i="1"/>
  <c r="N211" i="1" s="1"/>
  <c r="O211" i="1" s="1"/>
  <c r="M208" i="1"/>
  <c r="N208" i="1" s="1"/>
  <c r="O208" i="1" s="1"/>
  <c r="M204" i="1"/>
  <c r="N204" i="1" s="1"/>
  <c r="O204" i="1" s="1"/>
  <c r="M212" i="1"/>
  <c r="N212" i="1" s="1"/>
  <c r="O212" i="1" s="1"/>
  <c r="M206" i="1"/>
  <c r="N206" i="1" s="1"/>
  <c r="O206" i="1" s="1"/>
  <c r="M207" i="1"/>
  <c r="N207" i="1" s="1"/>
  <c r="O207" i="1" s="1"/>
  <c r="M213" i="1"/>
  <c r="N213" i="1" s="1"/>
  <c r="O213" i="1" s="1"/>
  <c r="M205" i="1"/>
  <c r="N205" i="1" s="1"/>
  <c r="O205" i="1" s="1"/>
  <c r="M214" i="1"/>
  <c r="N214" i="1" s="1"/>
  <c r="O214" i="1" s="1"/>
  <c r="M155" i="1"/>
  <c r="N155" i="1" s="1"/>
  <c r="O155" i="1" s="1"/>
  <c r="M158" i="1"/>
  <c r="N158" i="1" s="1"/>
  <c r="O158" i="1" s="1"/>
  <c r="M156" i="1"/>
  <c r="N156" i="1" s="1"/>
  <c r="O156" i="1" s="1"/>
  <c r="M159" i="1"/>
  <c r="N159" i="1" s="1"/>
  <c r="O159" i="1" s="1"/>
  <c r="M153" i="1"/>
  <c r="N153" i="1" s="1"/>
  <c r="O153" i="1" s="1"/>
  <c r="M152" i="1"/>
  <c r="N152" i="1" s="1"/>
  <c r="O152" i="1" s="1"/>
  <c r="M157" i="1"/>
  <c r="N157" i="1" s="1"/>
  <c r="O157" i="1" s="1"/>
  <c r="M154" i="1"/>
  <c r="N154" i="1" s="1"/>
  <c r="O154" i="1" s="1"/>
  <c r="M185" i="1"/>
  <c r="N185" i="1" s="1"/>
  <c r="O185" i="1" s="1"/>
  <c r="M180" i="1"/>
  <c r="N180" i="1" s="1"/>
  <c r="O180" i="1" s="1"/>
  <c r="M184" i="1"/>
  <c r="N184" i="1" s="1"/>
  <c r="O184" i="1" s="1"/>
  <c r="M182" i="1"/>
  <c r="N182" i="1" s="1"/>
  <c r="O182" i="1" s="1"/>
  <c r="M183" i="1"/>
  <c r="N183" i="1" s="1"/>
  <c r="O183" i="1" s="1"/>
  <c r="M181" i="1"/>
  <c r="N181" i="1" s="1"/>
  <c r="O181" i="1" s="1"/>
  <c r="M57" i="1"/>
  <c r="N57" i="1" s="1"/>
  <c r="O57" i="1" s="1"/>
  <c r="M56" i="1"/>
  <c r="N56" i="1" s="1"/>
  <c r="O56" i="1" s="1"/>
  <c r="M167" i="1"/>
  <c r="N167" i="1" s="1"/>
  <c r="O167" i="1" s="1"/>
  <c r="M168" i="1"/>
  <c r="N168" i="1" s="1"/>
  <c r="O168" i="1" s="1"/>
  <c r="M128" i="1"/>
  <c r="N128" i="1" s="1"/>
  <c r="O128" i="1" s="1"/>
  <c r="M124" i="1"/>
  <c r="N124" i="1" s="1"/>
  <c r="O124" i="1" s="1"/>
  <c r="M126" i="1"/>
  <c r="N126" i="1" s="1"/>
  <c r="O126" i="1" s="1"/>
  <c r="M121" i="1"/>
  <c r="N121" i="1" s="1"/>
  <c r="O121" i="1" s="1"/>
  <c r="M125" i="1"/>
  <c r="N125" i="1" s="1"/>
  <c r="O125" i="1" s="1"/>
  <c r="M120" i="1"/>
  <c r="N120" i="1" s="1"/>
  <c r="O120" i="1" s="1"/>
  <c r="M122" i="1"/>
  <c r="N122" i="1" s="1"/>
  <c r="O122" i="1" s="1"/>
  <c r="M127" i="1"/>
  <c r="N127" i="1" s="1"/>
  <c r="O127" i="1" s="1"/>
  <c r="M64" i="1"/>
  <c r="M119" i="1"/>
  <c r="N119" i="1" s="1"/>
  <c r="O119" i="1" s="1"/>
  <c r="M116" i="1"/>
  <c r="N116" i="1" s="1"/>
  <c r="O116" i="1" s="1"/>
  <c r="M117" i="1"/>
  <c r="N117" i="1" s="1"/>
  <c r="O117" i="1" s="1"/>
  <c r="M118" i="1"/>
  <c r="N118" i="1" s="1"/>
  <c r="O118" i="1" s="1"/>
  <c r="M187" i="1"/>
  <c r="N187" i="1" s="1"/>
  <c r="O187" i="1" s="1"/>
  <c r="M148" i="1"/>
  <c r="N148" i="1" s="1"/>
  <c r="O148" i="1" s="1"/>
  <c r="M61" i="1"/>
  <c r="N61" i="1" s="1"/>
  <c r="O61" i="1" s="1"/>
  <c r="M58" i="1"/>
  <c r="N58" i="1" s="1"/>
  <c r="O58" i="1" s="1"/>
  <c r="M60" i="1"/>
  <c r="N60" i="1" s="1"/>
  <c r="O60" i="1" s="1"/>
  <c r="M59" i="1"/>
  <c r="N59" i="1" s="1"/>
  <c r="O59" i="1" s="1"/>
  <c r="M62" i="1"/>
  <c r="N62" i="1" s="1"/>
  <c r="O62" i="1" s="1"/>
  <c r="M169" i="1"/>
  <c r="N169" i="1" s="1"/>
  <c r="O169" i="1" s="1"/>
  <c r="M50" i="1"/>
  <c r="N50" i="1" s="1"/>
  <c r="O50" i="1" s="1"/>
  <c r="M52" i="1"/>
  <c r="N52" i="1" s="1"/>
  <c r="O52" i="1" s="1"/>
  <c r="M51" i="1"/>
  <c r="N51" i="1" s="1"/>
  <c r="O51" i="1" s="1"/>
  <c r="M54" i="1"/>
  <c r="N54" i="1" s="1"/>
  <c r="O54" i="1" s="1"/>
  <c r="M53" i="1"/>
  <c r="N53" i="1" s="1"/>
  <c r="O53" i="1" s="1"/>
  <c r="M47" i="1"/>
  <c r="N47" i="1" s="1"/>
  <c r="O47" i="1" s="1"/>
  <c r="M49" i="1"/>
  <c r="N49" i="1" s="1"/>
  <c r="O49" i="1" s="1"/>
  <c r="M48" i="1"/>
  <c r="N48" i="1" s="1"/>
  <c r="O48" i="1" s="1"/>
  <c r="M46" i="1"/>
  <c r="N46" i="1" s="1"/>
  <c r="O46" i="1" s="1"/>
  <c r="M112" i="1"/>
  <c r="N112" i="1" s="1"/>
  <c r="O112" i="1" s="1"/>
  <c r="M111" i="1"/>
  <c r="N111" i="1" s="1"/>
  <c r="O111" i="1" s="1"/>
  <c r="M123" i="1"/>
  <c r="N123" i="1" s="1"/>
  <c r="O123" i="1" s="1"/>
  <c r="M79" i="1"/>
  <c r="N79" i="1" s="1"/>
  <c r="O79" i="1" s="1"/>
  <c r="M38" i="1"/>
  <c r="M37" i="1"/>
  <c r="M36" i="1"/>
  <c r="M35" i="1"/>
  <c r="M215" i="1"/>
  <c r="M33" i="1"/>
  <c r="M32" i="1"/>
  <c r="M31" i="1"/>
  <c r="M30" i="1"/>
  <c r="M29" i="1"/>
  <c r="M26" i="1"/>
  <c r="M25" i="1"/>
  <c r="M23" i="1"/>
  <c r="M22" i="1"/>
  <c r="M21" i="1"/>
  <c r="M18" i="1"/>
  <c r="M5" i="1"/>
  <c r="M27" i="1"/>
  <c r="M7" i="1"/>
  <c r="M13" i="1"/>
  <c r="M12" i="1"/>
  <c r="M11" i="1"/>
  <c r="M10" i="1"/>
  <c r="M9" i="1"/>
  <c r="M8" i="1"/>
  <c r="M24" i="1"/>
  <c r="M28" i="1"/>
  <c r="M17" i="1"/>
  <c r="M16" i="1"/>
  <c r="M15" i="1"/>
  <c r="M14" i="1"/>
  <c r="M20" i="1"/>
  <c r="M19" i="1"/>
  <c r="M6" i="1"/>
  <c r="M4" i="1"/>
  <c r="M3" i="1"/>
  <c r="M2" i="1"/>
  <c r="M261" i="1"/>
  <c r="M260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186" i="1"/>
  <c r="N186" i="1" s="1"/>
  <c r="O186" i="1" s="1"/>
  <c r="M231" i="1"/>
  <c r="M191" i="1"/>
  <c r="N191" i="1" s="1"/>
  <c r="O191" i="1" s="1"/>
  <c r="M195" i="1"/>
  <c r="N195" i="1" s="1"/>
  <c r="O195" i="1" s="1"/>
  <c r="M193" i="1"/>
  <c r="N193" i="1" s="1"/>
  <c r="O193" i="1" s="1"/>
  <c r="M194" i="1"/>
  <c r="N194" i="1" s="1"/>
  <c r="O194" i="1" s="1"/>
  <c r="M190" i="1"/>
  <c r="N190" i="1" s="1"/>
  <c r="O190" i="1" s="1"/>
  <c r="M196" i="1"/>
  <c r="N196" i="1" s="1"/>
  <c r="O196" i="1" s="1"/>
  <c r="M147" i="1"/>
  <c r="N147" i="1" s="1"/>
  <c r="O147" i="1" s="1"/>
  <c r="M198" i="1"/>
  <c r="N198" i="1" s="1"/>
  <c r="O198" i="1" s="1"/>
</calcChain>
</file>

<file path=xl/sharedStrings.xml><?xml version="1.0" encoding="utf-8"?>
<sst xmlns="http://schemas.openxmlformats.org/spreadsheetml/2006/main" count="2576" uniqueCount="220">
  <si>
    <t>SRIKARAM PRESCIENCE PVT. LTD.</t>
  </si>
  <si>
    <t>2025</t>
  </si>
  <si>
    <t>DY</t>
  </si>
  <si>
    <t/>
  </si>
  <si>
    <t>INR</t>
  </si>
  <si>
    <t>DA</t>
  </si>
  <si>
    <t>Overpayment</t>
  </si>
  <si>
    <t>DZ</t>
  </si>
  <si>
    <t>ICICN22025042926352474</t>
  </si>
  <si>
    <t>XC</t>
  </si>
  <si>
    <t>6779ZP25000105</t>
  </si>
  <si>
    <t>6779ZR25000004</t>
  </si>
  <si>
    <t>KNOCK OFF ENTRY</t>
  </si>
  <si>
    <t>USD</t>
  </si>
  <si>
    <t>DR</t>
  </si>
  <si>
    <t>Port SSR Charges - Shifting for Aug to Dec,24.</t>
  </si>
  <si>
    <t>Inbound Handling charges for  Sep 2024</t>
  </si>
  <si>
    <t>Outbound Handling charges for Dec 2024</t>
  </si>
  <si>
    <t>Storage Charges Feb, 25</t>
  </si>
  <si>
    <t>Storage Charges Jan, 25</t>
  </si>
  <si>
    <t>CY Longstanding container Ground Rent charges for</t>
  </si>
  <si>
    <t>Storage for the month of Nov 2024</t>
  </si>
  <si>
    <t>Storage for the month of Dec 2024</t>
  </si>
  <si>
    <t>Storage  for the month of Sept  2024</t>
  </si>
  <si>
    <t>Storage for the month of Oct 2024</t>
  </si>
  <si>
    <t>Storage Charges for the month of August, 2024</t>
  </si>
  <si>
    <t>Fixed Storage Charges for August 2025</t>
  </si>
  <si>
    <t>VAS Activity Charges for the month of September, 2</t>
  </si>
  <si>
    <t>VAS Activity Charges for the month of December, 24</t>
  </si>
  <si>
    <t>Fixed Storage Charges fo JUNE 2025</t>
  </si>
  <si>
    <t>VAS -1-15 Sept-25</t>
  </si>
  <si>
    <t>LCL Charges August 2024</t>
  </si>
  <si>
    <t>Inbound Handling for August 24</t>
  </si>
  <si>
    <t>DG</t>
  </si>
  <si>
    <t>Credit note raised against 256779418079</t>
  </si>
  <si>
    <t>CY Longstanding Transportation chgs for 31 MAR 202</t>
  </si>
  <si>
    <t>Inbound Handling charges for Dec 2024</t>
  </si>
  <si>
    <t>Loose Unloading charges for Dec 2024</t>
  </si>
  <si>
    <t>LCL charges for Dec 2024</t>
  </si>
  <si>
    <t>Loose loading Handling charges for Dec 2024</t>
  </si>
  <si>
    <t>VAS Activity - Jan 25, Ex Rate. 86.64</t>
  </si>
  <si>
    <t>VAS Activity - Mar 25, 16-31, Ex Rate. 85.58</t>
  </si>
  <si>
    <t>Storage Charges Mar, 25</t>
  </si>
  <si>
    <t>CY Ground rent Chgs - 01 - 31 May 25</t>
  </si>
  <si>
    <t>VAS 16-31 May 25 Ex.85.48</t>
  </si>
  <si>
    <t>VAS Activity Charges for the month of August, 24</t>
  </si>
  <si>
    <t>VAS -16-31 Aug 25</t>
  </si>
  <si>
    <t>Transportation In Chgs - 16 - 31 Aug 25</t>
  </si>
  <si>
    <t>PORT SSR Chgs Aug 25</t>
  </si>
  <si>
    <t>LCL chgs - 16 - 31 AUG 25</t>
  </si>
  <si>
    <t>Outbound chgs - 16 - 31 Aug 25</t>
  </si>
  <si>
    <t>Fixed Storage Charges for September 2025</t>
  </si>
  <si>
    <t>CODC Inbound chgs - 01 - 15 Jun 25</t>
  </si>
  <si>
    <t>LCL Chgs - 01 - 15 JUN 25</t>
  </si>
  <si>
    <t>Outbound chgs - 01 - 15 Jun 25</t>
  </si>
  <si>
    <t>LCL chgs - 16 - 30 JUN 25</t>
  </si>
  <si>
    <t>Fixed Storage Charges fo JULY 2025</t>
  </si>
  <si>
    <t>Outbound chgs - 16 - 30 Jun 25</t>
  </si>
  <si>
    <t>Unit Storage - 1-30 June 25</t>
  </si>
  <si>
    <t>VAS - 16-30 June 25</t>
  </si>
  <si>
    <t>Fixed Storage Charges for November 2025</t>
  </si>
  <si>
    <t>WEIGHTMENT-16 -31 Oct 25</t>
  </si>
  <si>
    <t>Unit Storage - 1-31 Oct 2025</t>
  </si>
  <si>
    <t>Transportation In Chgs - 16 - 31 Oct 25</t>
  </si>
  <si>
    <t>Scanning  Chgs - 16 - 31 Oct 25</t>
  </si>
  <si>
    <t>Outbound chgs - 16 - 31 Oct 25</t>
  </si>
  <si>
    <t>Empty Lolo Chgs - 01 - 31 OCT 25</t>
  </si>
  <si>
    <t>PORT SSR Chgs Oct 25</t>
  </si>
  <si>
    <t>Detention Chgs - OCT 25</t>
  </si>
  <si>
    <t>Transportation In Chgs - 16 - 31 OCT 25</t>
  </si>
  <si>
    <t>Unit Storage - 1-31 July 25</t>
  </si>
  <si>
    <t>Empty Lolo Chgs - 01 - 31 JUL 25</t>
  </si>
  <si>
    <t>LCL chgs - 16 - 31 JUL 25</t>
  </si>
  <si>
    <t>Outbound chgs - 16 - 31 Jul 25</t>
  </si>
  <si>
    <t>VAS 16-31 July 25</t>
  </si>
  <si>
    <t>Weighment - 16-31 July 25</t>
  </si>
  <si>
    <t>PORT SSR Chgs July 25</t>
  </si>
  <si>
    <t>PORT SSR Chgs - 16 - 31 May 25</t>
  </si>
  <si>
    <t>Outbound chgs - 16 - 31 MAY 25</t>
  </si>
  <si>
    <t>Detention Chgs - 16 - 31 MAY 25</t>
  </si>
  <si>
    <t>LCL Chgs - 16-31 MAY 25</t>
  </si>
  <si>
    <t>Credit note against 246779412247</t>
  </si>
  <si>
    <t>Credit note against 256779410280</t>
  </si>
  <si>
    <t>Credit note against 256779410239</t>
  </si>
  <si>
    <t>Transportation In Chgs - 16 - 30 Apr 25</t>
  </si>
  <si>
    <t>Storage Chgs - 01 - 31 Apr 25</t>
  </si>
  <si>
    <t>PORT SSR Chgs May &amp; June 25</t>
  </si>
  <si>
    <t>CODC Inbound chgs - 01 - 15 July 25</t>
  </si>
  <si>
    <t>CODC Out chgs - 01 - 15 July 25</t>
  </si>
  <si>
    <t>LCL chgs - 01 - 15 JUL 25</t>
  </si>
  <si>
    <t>Outbound chgs - 01 - 15 Jul 25</t>
  </si>
  <si>
    <t>Transportation In Chgs - 01 - 15 Jul 25</t>
  </si>
  <si>
    <t>Scanning Charges for the month of September, 2024</t>
  </si>
  <si>
    <t>Ground Rent Jan 25</t>
  </si>
  <si>
    <t>Ground Rent Feb 25</t>
  </si>
  <si>
    <t>Outbound Handling charges for Feb 2025</t>
  </si>
  <si>
    <t>Inbound Handling charges for Jan 2025</t>
  </si>
  <si>
    <t>LCL charges for Sep 2024</t>
  </si>
  <si>
    <t>Outbound Handling charges for Sep 2024</t>
  </si>
  <si>
    <t>Loose loading Handling charges for Sep 2024</t>
  </si>
  <si>
    <t>Inbound Handling charges for Nov 2024</t>
  </si>
  <si>
    <t>LCL Movement Charges for Nov 2024</t>
  </si>
  <si>
    <t>Loose Unloading charges for Jan 2025</t>
  </si>
  <si>
    <t>LCL charges for Jan 2025</t>
  </si>
  <si>
    <t>Outbound Handling charges for Jan 2025</t>
  </si>
  <si>
    <t>Loose Loading Handling charges for Jan 2025</t>
  </si>
  <si>
    <t>Outbound Handling charges for Oct 2024</t>
  </si>
  <si>
    <t>Loose handling Charges for Nov 2024</t>
  </si>
  <si>
    <t>Outbound Handling charges for Nov 2024</t>
  </si>
  <si>
    <t>CY-MOVEMENT CHARGES for Nov 2024</t>
  </si>
  <si>
    <t>Fixed Rental charges for Sept 2024</t>
  </si>
  <si>
    <t>Fixed Rental charges for Nov 2024</t>
  </si>
  <si>
    <t>Fixed Rental charges for Dec 2024</t>
  </si>
  <si>
    <t>Fixed Rental charges for Jan 2025</t>
  </si>
  <si>
    <t>Fixed Rental charges for Feb 2025</t>
  </si>
  <si>
    <t>Fixed Rental charges for Oct 2024</t>
  </si>
  <si>
    <t>LCL chgs - 01 - 15 AUG 25</t>
  </si>
  <si>
    <t>Outbound chgs - 01 - 15 Aug 25</t>
  </si>
  <si>
    <t>LCL Chgs - 16 - 30 NOV 25</t>
  </si>
  <si>
    <t>CODC Out chgs -1-15 Oct 25</t>
  </si>
  <si>
    <t>Fixed Rental charges for Aug 2024</t>
  </si>
  <si>
    <t>CY Longstanding - March 25,16-31</t>
  </si>
  <si>
    <t>Outbound chgs - 01 - 15 MAY 25</t>
  </si>
  <si>
    <t>LCL Chgs - 01-15 MAY 25</t>
  </si>
  <si>
    <t>Credit note raised against 256779415806</t>
  </si>
  <si>
    <t>Inbound Handling charges for Mar 2025</t>
  </si>
  <si>
    <t>LCL charges for Mar 2025</t>
  </si>
  <si>
    <t>Outbound Handling charges for Mar 25</t>
  </si>
  <si>
    <t>Loose loading Handling charges for Mar 25</t>
  </si>
  <si>
    <t>Transportation In Chgs - 01 - 15 Oct 25</t>
  </si>
  <si>
    <t>Outbound chgs - 01 - 15 Oct 25</t>
  </si>
  <si>
    <t>Fixed Storage Charges for April 2025</t>
  </si>
  <si>
    <t>Credit Note raised against 256779413888</t>
  </si>
  <si>
    <t>VAS 1-15 April-25,Ex.Rate-85.69</t>
  </si>
  <si>
    <t>Weighment  -1-15 Oct 2025</t>
  </si>
  <si>
    <t>Fixed Storage Charges for Mar 2025</t>
  </si>
  <si>
    <t>HLBU3011446-Port SSR Shifting Jan 2025. Exch rate</t>
  </si>
  <si>
    <t>Unit to Unit 1-15 June 25</t>
  </si>
  <si>
    <t>VAS 1-15 June 25, Exch 86.10</t>
  </si>
  <si>
    <t>VAS-Nov 1-15, 2025</t>
  </si>
  <si>
    <t>LCL Chgs - 01 - 15 NOV 25</t>
  </si>
  <si>
    <t>Outbound chgs - 01 - 15 Nov 25</t>
  </si>
  <si>
    <t>Inbound Handling charges for Feb 2025</t>
  </si>
  <si>
    <t>Inbound Handling charges for 31 Mar 2025</t>
  </si>
  <si>
    <t>Outbound Handling charges for 31 Mar 25</t>
  </si>
  <si>
    <t>Outbound chgs - 01 - 15 Sep 25</t>
  </si>
  <si>
    <t>LCL chgs - 01 - 15 SEP 25</t>
  </si>
  <si>
    <t>Outbound chgs - 16 - 30 Nov 25</t>
  </si>
  <si>
    <t>Credit Note against 246779413091</t>
  </si>
  <si>
    <t>Credit Note against 256779412933</t>
  </si>
  <si>
    <t>Inbound chgs - 01 - 15 Apr 25</t>
  </si>
  <si>
    <t>Outbound chgs - 01 - 15 Apr 25</t>
  </si>
  <si>
    <t>Loose handling Charges for Oct 2024</t>
  </si>
  <si>
    <t>Inbound Handling charges for Oct 2024</t>
  </si>
  <si>
    <t>LCL Movement Charges for Oct 2024</t>
  </si>
  <si>
    <t>Port SSR Charges - Shifting for Aug to D</t>
  </si>
  <si>
    <t>VAS-16-30 Sept 25</t>
  </si>
  <si>
    <t>Fixed Storage Charges fo MAY 2025</t>
  </si>
  <si>
    <t>CY Ground rent Chgs - 01 - 30 Apr 25</t>
  </si>
  <si>
    <t>VAS - 16-30 April 25, Ex.Rate-85.05</t>
  </si>
  <si>
    <t>CODC Inbound chgs - 1-15 Oct 25</t>
  </si>
  <si>
    <t>Unit storage -1-31 May 25</t>
  </si>
  <si>
    <t>Unit Storage - 1-30 Sept 2025</t>
  </si>
  <si>
    <t>Empty Lolo Chgs - 01 - 30 SEP 25</t>
  </si>
  <si>
    <t>Inbound chgs - 16 - 30 SEP 25</t>
  </si>
  <si>
    <t>Outbound chgs - 16 - 30 Sep 25</t>
  </si>
  <si>
    <t>Fixed Storage Charges for October 2025</t>
  </si>
  <si>
    <t>PORT SSR Chgs Sep 25</t>
  </si>
  <si>
    <t>Unit-Storage-1-31 Aug 25</t>
  </si>
  <si>
    <t>2026</t>
  </si>
  <si>
    <t>Unit Storage - 1-30 Nov 2025</t>
  </si>
  <si>
    <t>Fixed Storage Charges for December 2025</t>
  </si>
  <si>
    <t>Credit note for Duplicate invoice -256779418497</t>
  </si>
  <si>
    <t>Outbound chgs - 01 - 15 Dec 25</t>
  </si>
  <si>
    <t>VAS DEC 25 -1-15</t>
  </si>
  <si>
    <t>LCL Chgs - 01 - 15 DEC 25</t>
  </si>
  <si>
    <t>PORT SSR Chgs Dec 25</t>
  </si>
  <si>
    <t>LCL Chgs - 16 - 31 DEC 25</t>
  </si>
  <si>
    <t>Outbound chgs - 16 - 31 Dec 25</t>
  </si>
  <si>
    <t>Unit Storage - 1-31 DEC 2025</t>
  </si>
  <si>
    <t>VAS-Dec 25 - 16-31</t>
  </si>
  <si>
    <t>Fixed Storage Charges for January 2026</t>
  </si>
  <si>
    <t>VAS - NOV 25,16-30</t>
  </si>
  <si>
    <t>LCL Chgs - 01 - 15 JAN 26</t>
  </si>
  <si>
    <t>Outbound chgs - 01 - 15 JAN 26</t>
  </si>
  <si>
    <t>VAS-1-15 Jan 2026</t>
  </si>
  <si>
    <t>2168964</t>
  </si>
  <si>
    <t>2168967</t>
  </si>
  <si>
    <t>Customer Account: Name 1</t>
  </si>
  <si>
    <t>Fiscal Year</t>
  </si>
  <si>
    <t>Posting Date</t>
  </si>
  <si>
    <t>Document Number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</si>
  <si>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</si>
  <si>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</si>
  <si>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</si>
  <si>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</si>
  <si>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</si>
  <si>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</si>
  <si>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</si>
  <si>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</si>
  <si>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INOVICE TAGGING</t>
  </si>
  <si>
    <t>Date</t>
  </si>
  <si>
    <t>Particulars</t>
  </si>
  <si>
    <t>Ledger</t>
  </si>
  <si>
    <t>Invoice</t>
  </si>
  <si>
    <t>TDS Tagging</t>
  </si>
  <si>
    <t>Month</t>
  </si>
  <si>
    <t>Debit Amount (USD)</t>
  </si>
  <si>
    <t>Credit Amount (USD)</t>
  </si>
  <si>
    <t>Vch Type</t>
  </si>
  <si>
    <t>Vch No.</t>
  </si>
  <si>
    <t>Debit</t>
  </si>
  <si>
    <t>Credit</t>
  </si>
  <si>
    <t>TDS</t>
  </si>
  <si>
    <t>New Ref</t>
  </si>
  <si>
    <t>Cr</t>
  </si>
  <si>
    <t>Agst Ref</t>
  </si>
  <si>
    <t>DZ Tagging</t>
  </si>
  <si>
    <t>Net amount</t>
  </si>
  <si>
    <t>DZ Tagged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</si>
</sst>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0"/>
      <name val="Arial"/>
    </font>
    <font>
      <sz val="10"/>
      <name val="Arial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165" fontId="0" fillId="0" borderId="0" xfId="1" applyNumberFormat="1" applyFont="1" applyAlignment="1">
      <alignment vertical="top"/>
    </xf>
    <xf numFmtId="14" fontId="0" fillId="0" borderId="1" xfId="0" applyNumberFormat="1" applyBorder="1"/>
    <xf numFmtId="0" fontId="0" fillId="0" borderId="1" xfId="0" applyBorder="1"/>
    <xf numFmtId="165" fontId="0" fillId="0" borderId="1" xfId="1" applyNumberFormat="1" applyFont="1" applyBorder="1"/>
    <xf numFmtId="165" fontId="0" fillId="0" borderId="1" xfId="0" applyNumberFormat="1" applyBorder="1" applyAlignment="1">
      <alignment vertical="top"/>
    </xf>
    <xf numFmtId="165" fontId="0" fillId="0" borderId="1" xfId="1" applyNumberFormat="1" applyFont="1" applyFill="1" applyBorder="1"/>
    <xf numFmtId="9" fontId="0" fillId="0" borderId="0" xfId="2" applyFont="1" applyAlignment="1">
      <alignment vertical="top"/>
    </xf>
    <xf numFmtId="4" fontId="0" fillId="0" borderId="0" xfId="0" applyNumberFormat="1" applyAlignment="1">
      <alignment vertical="top"/>
    </xf>
    <xf numFmtId="1" fontId="0" fillId="2" borderId="1" xfId="0" applyNumberFormat="1" applyFill="1" applyBorder="1" applyAlignment="1">
      <alignment vertical="top"/>
    </xf>
    <xf numFmtId="1" fontId="0" fillId="0" borderId="0" xfId="0" applyNumberFormat="1" applyAlignment="1">
      <alignment vertical="top"/>
    </xf>
    <xf numFmtId="1" fontId="0" fillId="4" borderId="1" xfId="0" applyNumberFormat="1" applyFill="1" applyBorder="1" applyAlignment="1">
      <alignment vertical="top"/>
    </xf>
    <xf numFmtId="1" fontId="0" fillId="3" borderId="1" xfId="0" applyNumberFormat="1" applyFill="1" applyBorder="1" applyAlignment="1">
      <alignment vertical="top"/>
    </xf>
    <xf numFmtId="164" fontId="0" fillId="0" borderId="0" xfId="1" applyFont="1" applyAlignment="1">
      <alignment vertical="top"/>
    </xf>
    <xf numFmtId="0" fontId="0" fillId="5" borderId="0" xfId="0" applyFill="1" applyAlignment="1">
      <alignment vertical="top"/>
    </xf>
    <xf numFmtId="14" fontId="0" fillId="5" borderId="0" xfId="0" applyNumberFormat="1" applyFill="1" applyAlignment="1">
      <alignment horizontal="right" vertical="top"/>
    </xf>
    <xf numFmtId="0" fontId="0" fillId="5" borderId="0" xfId="0" applyNumberFormat="1" applyFill="1" applyAlignment="1">
      <alignment vertical="top"/>
    </xf>
    <xf numFmtId="1" fontId="0" fillId="5" borderId="0" xfId="0" applyNumberFormat="1" applyFill="1" applyAlignment="1">
      <alignment vertical="top"/>
    </xf>
    <xf numFmtId="4" fontId="0" fillId="5" borderId="0" xfId="0" applyNumberFormat="1" applyFill="1" applyAlignment="1">
      <alignment horizontal="right" vertical="top"/>
    </xf>
    <xf numFmtId="165" fontId="0" fillId="5" borderId="0" xfId="1" applyNumberFormat="1" applyFont="1" applyFill="1" applyAlignment="1">
      <alignment vertical="top"/>
    </xf>
    <xf numFmtId="9" fontId="0" fillId="5" borderId="0" xfId="2" applyFont="1" applyFill="1" applyAlignment="1">
      <alignment vertical="top"/>
    </xf>
    <xf numFmtId="164" fontId="0" fillId="5" borderId="0" xfId="1" applyFont="1" applyFill="1" applyAlignment="1">
      <alignment vertical="top"/>
    </xf>
    <xf numFmtId="43" fontId="0" fillId="0" borderId="0" xfId="0" applyNumberFormat="1" applyFill="1" applyAlignment="1">
      <alignment vertical="top"/>
    </xf>
    <xf numFmtId="4" fontId="0" fillId="0" borderId="0" xfId="0" applyNumberFormat="1" applyFill="1" applyAlignment="1">
      <alignment horizontal="right" vertical="top"/>
    </xf>
    <xf numFmtId="0" fontId="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mmary%20Working%20-%20Srikaram%20Prescience%20Pvt%20Lt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Z_tagging_resul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Srikaram"/>
      <sheetName val="Summary"/>
      <sheetName val="Biling Reco"/>
      <sheetName val="26AS Reco"/>
      <sheetName val="Payment Reco"/>
      <sheetName val="TDS not in our Books"/>
      <sheetName val="CN not in customer books"/>
      <sheetName val="Invoices not in customer books"/>
      <sheetName val="SRIKARAM BOOKS"/>
      <sheetName val="Ascendus Sales Ledger"/>
      <sheetName val="Srikaram summary"/>
      <sheetName val="Pivot Ascendus"/>
      <sheetName val="Sheet15"/>
      <sheetName val="ASCENDUS WORKING"/>
      <sheetName val="Customer Bil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F2">
            <v>5695051</v>
          </cell>
          <cell r="G2">
            <v>4</v>
          </cell>
          <cell r="H2">
            <v>509405</v>
          </cell>
        </row>
        <row r="3">
          <cell r="D3" t="str">
            <v>Invoice</v>
          </cell>
          <cell r="E3">
            <v>2</v>
          </cell>
          <cell r="F3">
            <v>3</v>
          </cell>
          <cell r="G3">
            <v>4</v>
          </cell>
          <cell r="H3" t="str">
            <v>TDS Tagging</v>
          </cell>
        </row>
        <row r="4">
          <cell r="D4">
            <v>246779410018</v>
          </cell>
          <cell r="E4" t="str">
            <v/>
          </cell>
          <cell r="F4">
            <v>140899</v>
          </cell>
          <cell r="G4" t="str">
            <v>Cr</v>
          </cell>
          <cell r="H4">
            <v>15655</v>
          </cell>
        </row>
        <row r="5">
          <cell r="D5">
            <v>246779410038</v>
          </cell>
          <cell r="E5" t="str">
            <v/>
          </cell>
          <cell r="F5">
            <v>140453</v>
          </cell>
          <cell r="G5" t="str">
            <v>Cr</v>
          </cell>
          <cell r="H5">
            <v>15606</v>
          </cell>
        </row>
        <row r="6">
          <cell r="D6">
            <v>246779410292</v>
          </cell>
          <cell r="E6" t="str">
            <v/>
          </cell>
          <cell r="F6">
            <v>140453</v>
          </cell>
          <cell r="G6" t="str">
            <v>Cr</v>
          </cell>
          <cell r="H6">
            <v>15606</v>
          </cell>
        </row>
        <row r="7">
          <cell r="D7">
            <v>246779410106</v>
          </cell>
          <cell r="E7" t="str">
            <v/>
          </cell>
          <cell r="F7">
            <v>140453</v>
          </cell>
          <cell r="G7" t="str">
            <v>Cr</v>
          </cell>
          <cell r="H7">
            <v>15606</v>
          </cell>
        </row>
        <row r="8">
          <cell r="D8">
            <v>246779410149</v>
          </cell>
          <cell r="E8" t="str">
            <v/>
          </cell>
          <cell r="F8">
            <v>140453</v>
          </cell>
          <cell r="G8" t="str">
            <v>Cr</v>
          </cell>
          <cell r="H8">
            <v>15606</v>
          </cell>
        </row>
        <row r="9">
          <cell r="D9">
            <v>246779410192</v>
          </cell>
          <cell r="E9" t="str">
            <v/>
          </cell>
          <cell r="F9">
            <v>140453</v>
          </cell>
          <cell r="G9" t="str">
            <v>Cr</v>
          </cell>
          <cell r="H9">
            <v>15606</v>
          </cell>
        </row>
        <row r="10">
          <cell r="D10">
            <v>246779410235</v>
          </cell>
          <cell r="E10" t="str">
            <v/>
          </cell>
          <cell r="F10">
            <v>140453</v>
          </cell>
          <cell r="G10" t="str">
            <v>Cr</v>
          </cell>
          <cell r="H10">
            <v>15606</v>
          </cell>
        </row>
        <row r="11">
          <cell r="D11">
            <v>246779410321</v>
          </cell>
          <cell r="E11" t="str">
            <v/>
          </cell>
          <cell r="F11">
            <v>36410</v>
          </cell>
          <cell r="G11" t="str">
            <v>Cr</v>
          </cell>
          <cell r="H11">
            <v>4046</v>
          </cell>
        </row>
        <row r="12">
          <cell r="D12">
            <v>246779410341</v>
          </cell>
          <cell r="E12" t="str">
            <v/>
          </cell>
          <cell r="F12">
            <v>35397</v>
          </cell>
          <cell r="G12" t="str">
            <v>Cr</v>
          </cell>
          <cell r="H12">
            <v>3933</v>
          </cell>
        </row>
        <row r="13">
          <cell r="D13">
            <v>246779410345</v>
          </cell>
          <cell r="E13" t="str">
            <v/>
          </cell>
          <cell r="F13">
            <v>36577</v>
          </cell>
          <cell r="G13" t="str">
            <v>Cr</v>
          </cell>
          <cell r="H13">
            <v>4064</v>
          </cell>
        </row>
        <row r="14">
          <cell r="D14">
            <v>246779410357</v>
          </cell>
          <cell r="E14" t="str">
            <v/>
          </cell>
          <cell r="F14">
            <v>35397</v>
          </cell>
          <cell r="G14" t="str">
            <v>Cr</v>
          </cell>
          <cell r="H14">
            <v>3933</v>
          </cell>
        </row>
        <row r="15">
          <cell r="D15">
            <v>246779410351</v>
          </cell>
          <cell r="E15" t="str">
            <v/>
          </cell>
          <cell r="F15">
            <v>36577</v>
          </cell>
          <cell r="G15" t="str">
            <v>Cr</v>
          </cell>
          <cell r="H15">
            <v>4064</v>
          </cell>
        </row>
        <row r="16">
          <cell r="D16">
            <v>246779410365</v>
          </cell>
          <cell r="E16" t="str">
            <v/>
          </cell>
          <cell r="F16">
            <v>80043</v>
          </cell>
          <cell r="G16" t="str">
            <v>Cr</v>
          </cell>
          <cell r="H16">
            <v>8894</v>
          </cell>
        </row>
        <row r="17">
          <cell r="D17">
            <v>246779410391</v>
          </cell>
          <cell r="E17" t="str">
            <v/>
          </cell>
          <cell r="F17">
            <v>148891</v>
          </cell>
          <cell r="G17" t="str">
            <v>Cr</v>
          </cell>
          <cell r="H17">
            <v>16543</v>
          </cell>
        </row>
        <row r="18">
          <cell r="D18">
            <v>246779410415</v>
          </cell>
          <cell r="E18" t="str">
            <v/>
          </cell>
          <cell r="F18">
            <v>151767</v>
          </cell>
          <cell r="G18" t="str">
            <v>Cr</v>
          </cell>
          <cell r="H18">
            <v>16863</v>
          </cell>
        </row>
        <row r="19">
          <cell r="D19">
            <v>246779410862</v>
          </cell>
          <cell r="E19" t="str">
            <v/>
          </cell>
          <cell r="F19">
            <v>180778</v>
          </cell>
          <cell r="G19" t="str">
            <v>Cr</v>
          </cell>
          <cell r="H19">
            <v>20087</v>
          </cell>
        </row>
        <row r="20">
          <cell r="D20">
            <v>246779410885</v>
          </cell>
          <cell r="E20" t="str">
            <v/>
          </cell>
          <cell r="F20">
            <v>187367</v>
          </cell>
          <cell r="G20" t="str">
            <v>Cr</v>
          </cell>
          <cell r="H20">
            <v>20819</v>
          </cell>
        </row>
        <row r="21">
          <cell r="D21">
            <v>246779412999</v>
          </cell>
          <cell r="E21" t="str">
            <v/>
          </cell>
          <cell r="F21">
            <v>14486</v>
          </cell>
          <cell r="G21" t="str">
            <v>Cr</v>
          </cell>
          <cell r="H21">
            <v>1610</v>
          </cell>
        </row>
        <row r="22">
          <cell r="D22">
            <v>246779413798</v>
          </cell>
          <cell r="E22" t="str">
            <v/>
          </cell>
          <cell r="F22">
            <v>36118</v>
          </cell>
          <cell r="G22" t="str">
            <v>Cr</v>
          </cell>
          <cell r="H22">
            <v>4013</v>
          </cell>
        </row>
        <row r="23">
          <cell r="D23">
            <v>246779413809</v>
          </cell>
          <cell r="E23" t="str">
            <v/>
          </cell>
          <cell r="F23">
            <v>32623</v>
          </cell>
          <cell r="G23" t="str">
            <v>Cr</v>
          </cell>
          <cell r="H23">
            <v>3625</v>
          </cell>
        </row>
        <row r="24">
          <cell r="D24">
            <v>246779411458</v>
          </cell>
          <cell r="E24" t="str">
            <v/>
          </cell>
          <cell r="F24">
            <v>6589</v>
          </cell>
          <cell r="G24" t="str">
            <v>Cr</v>
          </cell>
          <cell r="H24">
            <v>134</v>
          </cell>
        </row>
        <row r="25">
          <cell r="D25">
            <v>246779411624</v>
          </cell>
          <cell r="E25" t="str">
            <v/>
          </cell>
          <cell r="F25">
            <v>20898</v>
          </cell>
          <cell r="G25" t="str">
            <v>Cr</v>
          </cell>
          <cell r="H25">
            <v>426</v>
          </cell>
        </row>
        <row r="26">
          <cell r="D26">
            <v>246779411625</v>
          </cell>
          <cell r="E26" t="str">
            <v/>
          </cell>
          <cell r="F26">
            <v>5939</v>
          </cell>
          <cell r="G26" t="str">
            <v>Cr</v>
          </cell>
          <cell r="H26">
            <v>121</v>
          </cell>
        </row>
        <row r="27">
          <cell r="D27">
            <v>246779411626</v>
          </cell>
          <cell r="E27" t="str">
            <v/>
          </cell>
          <cell r="F27">
            <v>6091</v>
          </cell>
          <cell r="G27" t="str">
            <v>Cr</v>
          </cell>
          <cell r="H27">
            <v>124</v>
          </cell>
        </row>
        <row r="28">
          <cell r="D28">
            <v>246779411627</v>
          </cell>
          <cell r="E28" t="str">
            <v/>
          </cell>
          <cell r="F28">
            <v>5258</v>
          </cell>
          <cell r="G28" t="str">
            <v>Cr</v>
          </cell>
          <cell r="H28">
            <v>107</v>
          </cell>
        </row>
        <row r="29">
          <cell r="D29">
            <v>246779412068</v>
          </cell>
          <cell r="E29" t="str">
            <v/>
          </cell>
          <cell r="F29">
            <v>10392</v>
          </cell>
          <cell r="G29" t="str">
            <v>Cr</v>
          </cell>
          <cell r="H29">
            <v>212</v>
          </cell>
        </row>
        <row r="30">
          <cell r="D30">
            <v>246779412247</v>
          </cell>
          <cell r="E30" t="str">
            <v/>
          </cell>
          <cell r="F30">
            <v>6589</v>
          </cell>
          <cell r="G30" t="str">
            <v>Cr</v>
          </cell>
          <cell r="H30">
            <v>134</v>
          </cell>
        </row>
        <row r="31">
          <cell r="D31">
            <v>246779414060</v>
          </cell>
          <cell r="E31" t="str">
            <v/>
          </cell>
          <cell r="F31">
            <v>23090</v>
          </cell>
          <cell r="G31" t="str">
            <v>Cr</v>
          </cell>
          <cell r="H31">
            <v>471</v>
          </cell>
        </row>
        <row r="32">
          <cell r="D32">
            <v>246779414061</v>
          </cell>
          <cell r="E32" t="str">
            <v/>
          </cell>
          <cell r="F32">
            <v>23453</v>
          </cell>
          <cell r="G32" t="str">
            <v>Cr</v>
          </cell>
          <cell r="H32">
            <v>479</v>
          </cell>
        </row>
        <row r="33">
          <cell r="D33">
            <v>246779414062</v>
          </cell>
          <cell r="E33" t="str">
            <v/>
          </cell>
          <cell r="F33">
            <v>21271</v>
          </cell>
          <cell r="G33" t="str">
            <v>Cr</v>
          </cell>
          <cell r="H33">
            <v>434</v>
          </cell>
        </row>
        <row r="34">
          <cell r="D34">
            <v>246779414063</v>
          </cell>
          <cell r="E34" t="str">
            <v/>
          </cell>
          <cell r="F34">
            <v>46907</v>
          </cell>
          <cell r="G34" t="str">
            <v>Cr</v>
          </cell>
          <cell r="H34">
            <v>957</v>
          </cell>
        </row>
        <row r="35">
          <cell r="D35">
            <v>246779414064</v>
          </cell>
          <cell r="E35" t="str">
            <v/>
          </cell>
          <cell r="F35">
            <v>29873</v>
          </cell>
          <cell r="G35" t="str">
            <v>Cr</v>
          </cell>
          <cell r="H35">
            <v>610</v>
          </cell>
        </row>
        <row r="36">
          <cell r="D36">
            <v>246779414065</v>
          </cell>
          <cell r="E36" t="str">
            <v/>
          </cell>
          <cell r="F36">
            <v>23453</v>
          </cell>
          <cell r="G36" t="str">
            <v>Cr</v>
          </cell>
          <cell r="H36">
            <v>479</v>
          </cell>
        </row>
        <row r="37">
          <cell r="D37">
            <v>246779414066</v>
          </cell>
          <cell r="E37" t="str">
            <v/>
          </cell>
          <cell r="F37">
            <v>1788</v>
          </cell>
          <cell r="G37" t="str">
            <v>Cr</v>
          </cell>
          <cell r="H37">
            <v>36</v>
          </cell>
        </row>
        <row r="38">
          <cell r="D38">
            <v>246779411302</v>
          </cell>
          <cell r="E38" t="str">
            <v/>
          </cell>
          <cell r="F38">
            <v>2987</v>
          </cell>
          <cell r="G38" t="str">
            <v>Cr</v>
          </cell>
          <cell r="H38">
            <v>61</v>
          </cell>
        </row>
        <row r="39">
          <cell r="D39">
            <v>246779413220</v>
          </cell>
          <cell r="E39" t="str">
            <v/>
          </cell>
          <cell r="F39">
            <v>2207</v>
          </cell>
          <cell r="G39" t="str">
            <v>Cr</v>
          </cell>
          <cell r="H39">
            <v>45</v>
          </cell>
        </row>
        <row r="40">
          <cell r="D40">
            <v>246779413884</v>
          </cell>
          <cell r="E40" t="str">
            <v/>
          </cell>
          <cell r="F40">
            <v>10870</v>
          </cell>
          <cell r="G40" t="str">
            <v>Cr</v>
          </cell>
          <cell r="H40">
            <v>222</v>
          </cell>
        </row>
        <row r="41">
          <cell r="D41">
            <v>246779413893</v>
          </cell>
          <cell r="E41" t="str">
            <v/>
          </cell>
          <cell r="F41">
            <v>148</v>
          </cell>
          <cell r="G41" t="str">
            <v>Cr</v>
          </cell>
          <cell r="H41">
            <v>3</v>
          </cell>
        </row>
        <row r="42">
          <cell r="D42">
            <v>246779413894</v>
          </cell>
          <cell r="E42" t="str">
            <v/>
          </cell>
          <cell r="F42">
            <v>170</v>
          </cell>
          <cell r="G42" t="str">
            <v>Cr</v>
          </cell>
          <cell r="H42">
            <v>3</v>
          </cell>
        </row>
        <row r="43">
          <cell r="D43">
            <v>246779413901</v>
          </cell>
          <cell r="E43" t="str">
            <v/>
          </cell>
          <cell r="F43">
            <v>148</v>
          </cell>
          <cell r="G43" t="str">
            <v>Cr</v>
          </cell>
          <cell r="H43">
            <v>3</v>
          </cell>
        </row>
        <row r="44">
          <cell r="D44">
            <v>256779413186</v>
          </cell>
          <cell r="E44" t="str">
            <v/>
          </cell>
          <cell r="F44">
            <v>34824</v>
          </cell>
          <cell r="G44" t="str">
            <v>Cr</v>
          </cell>
          <cell r="H44">
            <v>3869</v>
          </cell>
        </row>
        <row r="45">
          <cell r="D45">
            <v>256779414342</v>
          </cell>
          <cell r="E45" t="str">
            <v/>
          </cell>
          <cell r="F45">
            <v>35715</v>
          </cell>
          <cell r="G45" t="str">
            <v>Cr</v>
          </cell>
          <cell r="H45">
            <v>3968</v>
          </cell>
        </row>
        <row r="46">
          <cell r="D46">
            <v>246779413911</v>
          </cell>
          <cell r="E46" t="str">
            <v/>
          </cell>
          <cell r="F46">
            <v>169</v>
          </cell>
          <cell r="G46" t="str">
            <v>Cr</v>
          </cell>
          <cell r="H46">
            <v>3</v>
          </cell>
        </row>
        <row r="47">
          <cell r="D47">
            <v>246779413913</v>
          </cell>
          <cell r="E47" t="str">
            <v/>
          </cell>
          <cell r="F47">
            <v>1251</v>
          </cell>
          <cell r="G47" t="str">
            <v>Cr</v>
          </cell>
          <cell r="H47">
            <v>26</v>
          </cell>
        </row>
        <row r="48">
          <cell r="D48">
            <v>246779414150</v>
          </cell>
          <cell r="E48" t="str">
            <v/>
          </cell>
          <cell r="F48">
            <v>1036</v>
          </cell>
          <cell r="G48" t="str">
            <v>Cr</v>
          </cell>
          <cell r="H48">
            <v>21</v>
          </cell>
        </row>
        <row r="49">
          <cell r="D49">
            <v>246779414151</v>
          </cell>
          <cell r="E49" t="str">
            <v/>
          </cell>
          <cell r="F49">
            <v>1269</v>
          </cell>
          <cell r="G49" t="str">
            <v>Cr</v>
          </cell>
          <cell r="H49">
            <v>26</v>
          </cell>
        </row>
        <row r="50">
          <cell r="D50">
            <v>246779414229</v>
          </cell>
          <cell r="E50" t="str">
            <v/>
          </cell>
          <cell r="F50">
            <v>769</v>
          </cell>
          <cell r="G50" t="str">
            <v>Cr</v>
          </cell>
          <cell r="H50">
            <v>16</v>
          </cell>
        </row>
        <row r="51">
          <cell r="D51">
            <v>246779414230</v>
          </cell>
          <cell r="E51" t="str">
            <v/>
          </cell>
          <cell r="F51">
            <v>84</v>
          </cell>
          <cell r="G51" t="str">
            <v>Cr</v>
          </cell>
          <cell r="H51">
            <v>2</v>
          </cell>
        </row>
        <row r="52">
          <cell r="D52">
            <v>246779414319</v>
          </cell>
          <cell r="E52" t="str">
            <v/>
          </cell>
          <cell r="F52">
            <v>1119</v>
          </cell>
          <cell r="G52" t="str">
            <v>Cr</v>
          </cell>
          <cell r="H52">
            <v>23</v>
          </cell>
        </row>
        <row r="53">
          <cell r="D53">
            <v>246779414320</v>
          </cell>
          <cell r="E53" t="str">
            <v/>
          </cell>
          <cell r="F53">
            <v>3253</v>
          </cell>
          <cell r="G53" t="str">
            <v>Cr</v>
          </cell>
          <cell r="H53">
            <v>66</v>
          </cell>
        </row>
        <row r="54">
          <cell r="D54">
            <v>246779414321</v>
          </cell>
          <cell r="E54" t="str">
            <v/>
          </cell>
          <cell r="F54">
            <v>2535</v>
          </cell>
          <cell r="G54" t="str">
            <v>Cr</v>
          </cell>
          <cell r="H54">
            <v>52</v>
          </cell>
        </row>
        <row r="55">
          <cell r="D55">
            <v>246779414402</v>
          </cell>
          <cell r="E55" t="str">
            <v/>
          </cell>
          <cell r="F55">
            <v>888</v>
          </cell>
          <cell r="G55" t="str">
            <v>Cr</v>
          </cell>
          <cell r="H55">
            <v>18</v>
          </cell>
        </row>
        <row r="56">
          <cell r="D56">
            <v>246779414403</v>
          </cell>
          <cell r="E56" t="str">
            <v/>
          </cell>
          <cell r="F56">
            <v>1269</v>
          </cell>
          <cell r="G56" t="str">
            <v>Cr</v>
          </cell>
          <cell r="H56">
            <v>26</v>
          </cell>
        </row>
        <row r="57">
          <cell r="D57">
            <v>246779414472</v>
          </cell>
          <cell r="E57" t="str">
            <v/>
          </cell>
          <cell r="F57">
            <v>1537</v>
          </cell>
          <cell r="G57" t="str">
            <v>Cr</v>
          </cell>
          <cell r="H57">
            <v>31</v>
          </cell>
        </row>
        <row r="58">
          <cell r="D58">
            <v>246779414473</v>
          </cell>
          <cell r="E58" t="str">
            <v/>
          </cell>
          <cell r="F58">
            <v>540</v>
          </cell>
          <cell r="G58" t="str">
            <v>Cr</v>
          </cell>
          <cell r="H58">
            <v>11</v>
          </cell>
        </row>
        <row r="59">
          <cell r="D59">
            <v>246779414474</v>
          </cell>
          <cell r="E59" t="str">
            <v/>
          </cell>
          <cell r="F59">
            <v>5074</v>
          </cell>
          <cell r="G59" t="str">
            <v>Cr</v>
          </cell>
          <cell r="H59">
            <v>104</v>
          </cell>
        </row>
        <row r="60">
          <cell r="D60">
            <v>246779414610</v>
          </cell>
          <cell r="E60" t="str">
            <v/>
          </cell>
          <cell r="F60">
            <v>592</v>
          </cell>
          <cell r="G60" t="str">
            <v>Cr</v>
          </cell>
          <cell r="H60">
            <v>12</v>
          </cell>
        </row>
        <row r="61">
          <cell r="D61">
            <v>246779414688</v>
          </cell>
          <cell r="E61" t="str">
            <v/>
          </cell>
          <cell r="F61">
            <v>837</v>
          </cell>
          <cell r="G61" t="str">
            <v>Cr</v>
          </cell>
          <cell r="H61">
            <v>17</v>
          </cell>
        </row>
        <row r="62">
          <cell r="D62">
            <v>246779414689</v>
          </cell>
          <cell r="E62" t="str">
            <v/>
          </cell>
          <cell r="F62">
            <v>4292</v>
          </cell>
          <cell r="G62" t="str">
            <v>Cr</v>
          </cell>
          <cell r="H62">
            <v>88</v>
          </cell>
        </row>
        <row r="63">
          <cell r="D63">
            <v>246779414690</v>
          </cell>
          <cell r="E63" t="str">
            <v/>
          </cell>
          <cell r="F63">
            <v>5074</v>
          </cell>
          <cell r="G63" t="str">
            <v>Cr</v>
          </cell>
          <cell r="H63">
            <v>104</v>
          </cell>
        </row>
        <row r="64">
          <cell r="D64">
            <v>246779414740</v>
          </cell>
          <cell r="E64" t="str">
            <v/>
          </cell>
          <cell r="F64">
            <v>9403</v>
          </cell>
          <cell r="G64" t="str">
            <v>Cr</v>
          </cell>
          <cell r="H64">
            <v>192</v>
          </cell>
        </row>
        <row r="65">
          <cell r="D65">
            <v>246779414741</v>
          </cell>
          <cell r="E65" t="str">
            <v/>
          </cell>
          <cell r="F65">
            <v>167</v>
          </cell>
          <cell r="G65" t="str">
            <v>Cr</v>
          </cell>
          <cell r="H65">
            <v>3</v>
          </cell>
        </row>
        <row r="66">
          <cell r="D66">
            <v>246779414895</v>
          </cell>
          <cell r="E66" t="str">
            <v/>
          </cell>
          <cell r="F66">
            <v>5074</v>
          </cell>
          <cell r="G66" t="str">
            <v>Cr</v>
          </cell>
          <cell r="H66">
            <v>104</v>
          </cell>
        </row>
        <row r="67">
          <cell r="D67">
            <v>246779414896</v>
          </cell>
          <cell r="E67" t="str">
            <v/>
          </cell>
          <cell r="F67">
            <v>3637</v>
          </cell>
          <cell r="G67" t="str">
            <v>Cr</v>
          </cell>
          <cell r="H67">
            <v>74</v>
          </cell>
        </row>
        <row r="68">
          <cell r="D68">
            <v>246779414897</v>
          </cell>
          <cell r="E68" t="str">
            <v/>
          </cell>
          <cell r="F68">
            <v>4000</v>
          </cell>
          <cell r="G68" t="str">
            <v>Cr</v>
          </cell>
          <cell r="H68">
            <v>82</v>
          </cell>
        </row>
        <row r="69">
          <cell r="D69">
            <v>246779414898</v>
          </cell>
          <cell r="E69" t="str">
            <v/>
          </cell>
          <cell r="F69">
            <v>8001</v>
          </cell>
          <cell r="G69" t="str">
            <v>Cr</v>
          </cell>
          <cell r="H69">
            <v>163</v>
          </cell>
        </row>
        <row r="70">
          <cell r="D70">
            <v>246779414899</v>
          </cell>
          <cell r="E70" t="str">
            <v/>
          </cell>
          <cell r="F70">
            <v>4384</v>
          </cell>
          <cell r="G70" t="str">
            <v>Cr</v>
          </cell>
          <cell r="H70">
            <v>89</v>
          </cell>
        </row>
        <row r="71">
          <cell r="D71">
            <v>246779414900</v>
          </cell>
          <cell r="E71" t="str">
            <v/>
          </cell>
          <cell r="F71">
            <v>4364</v>
          </cell>
          <cell r="G71" t="str">
            <v>Cr</v>
          </cell>
          <cell r="H71">
            <v>89</v>
          </cell>
        </row>
        <row r="72">
          <cell r="D72">
            <v>246779414901</v>
          </cell>
          <cell r="E72" t="str">
            <v/>
          </cell>
          <cell r="F72">
            <v>518</v>
          </cell>
          <cell r="G72" t="str">
            <v>Cr</v>
          </cell>
          <cell r="H72">
            <v>11</v>
          </cell>
        </row>
        <row r="73">
          <cell r="D73">
            <v>246779414902</v>
          </cell>
          <cell r="E73" t="str">
            <v/>
          </cell>
          <cell r="F73">
            <v>298</v>
          </cell>
          <cell r="G73" t="str">
            <v>Cr</v>
          </cell>
          <cell r="H73">
            <v>6</v>
          </cell>
        </row>
        <row r="74">
          <cell r="D74">
            <v>256779410788</v>
          </cell>
          <cell r="E74" t="str">
            <v/>
          </cell>
          <cell r="F74">
            <v>106977</v>
          </cell>
          <cell r="G74" t="str">
            <v>Cr</v>
          </cell>
          <cell r="H74">
            <v>11886</v>
          </cell>
        </row>
        <row r="75">
          <cell r="D75">
            <v>256779410804</v>
          </cell>
          <cell r="E75" t="str">
            <v/>
          </cell>
          <cell r="F75">
            <v>198877</v>
          </cell>
          <cell r="G75" t="str">
            <v>Cr</v>
          </cell>
          <cell r="H75">
            <v>22098</v>
          </cell>
        </row>
        <row r="76">
          <cell r="D76">
            <v>256779412111</v>
          </cell>
          <cell r="E76" t="str">
            <v/>
          </cell>
          <cell r="F76">
            <v>83452</v>
          </cell>
          <cell r="G76" t="str">
            <v>Cr</v>
          </cell>
          <cell r="H76">
            <v>9272</v>
          </cell>
        </row>
        <row r="77">
          <cell r="D77">
            <v>256779412160</v>
          </cell>
          <cell r="E77" t="str">
            <v/>
          </cell>
          <cell r="F77">
            <v>14552</v>
          </cell>
          <cell r="G77" t="str">
            <v>Cr</v>
          </cell>
          <cell r="H77">
            <v>1617</v>
          </cell>
        </row>
        <row r="78">
          <cell r="D78">
            <v>256779412779</v>
          </cell>
          <cell r="E78" t="str">
            <v/>
          </cell>
          <cell r="F78">
            <v>140371</v>
          </cell>
          <cell r="G78" t="str">
            <v>Cr</v>
          </cell>
          <cell r="H78">
            <v>15597</v>
          </cell>
        </row>
        <row r="79">
          <cell r="D79">
            <v>256779410088</v>
          </cell>
          <cell r="E79" t="str">
            <v/>
          </cell>
          <cell r="F79">
            <v>441</v>
          </cell>
          <cell r="G79" t="str">
            <v>Cr</v>
          </cell>
          <cell r="H79">
            <v>9</v>
          </cell>
        </row>
        <row r="80">
          <cell r="D80">
            <v>256779410089</v>
          </cell>
          <cell r="E80" t="str">
            <v/>
          </cell>
          <cell r="F80">
            <v>2518</v>
          </cell>
          <cell r="G80" t="str">
            <v>Cr</v>
          </cell>
          <cell r="H80">
            <v>51</v>
          </cell>
        </row>
        <row r="81">
          <cell r="D81">
            <v>256779410139</v>
          </cell>
          <cell r="E81" t="str">
            <v/>
          </cell>
          <cell r="F81">
            <v>294</v>
          </cell>
          <cell r="G81" t="str">
            <v>Cr</v>
          </cell>
          <cell r="H81">
            <v>6</v>
          </cell>
        </row>
        <row r="82">
          <cell r="D82">
            <v>256779410140</v>
          </cell>
          <cell r="E82" t="str">
            <v/>
          </cell>
          <cell r="F82">
            <v>84</v>
          </cell>
          <cell r="G82" t="str">
            <v>Cr</v>
          </cell>
          <cell r="H82">
            <v>2</v>
          </cell>
        </row>
        <row r="83">
          <cell r="D83">
            <v>256779411167</v>
          </cell>
          <cell r="E83" t="str">
            <v/>
          </cell>
          <cell r="F83">
            <v>5779</v>
          </cell>
          <cell r="G83" t="str">
            <v>Cr</v>
          </cell>
          <cell r="H83">
            <v>118</v>
          </cell>
        </row>
        <row r="84">
          <cell r="D84">
            <v>256779411168</v>
          </cell>
          <cell r="E84" t="str">
            <v/>
          </cell>
          <cell r="F84">
            <v>5081</v>
          </cell>
          <cell r="G84" t="str">
            <v>Cr</v>
          </cell>
          <cell r="H84">
            <v>104</v>
          </cell>
        </row>
        <row r="85">
          <cell r="D85">
            <v>256779411169</v>
          </cell>
          <cell r="E85" t="str">
            <v/>
          </cell>
          <cell r="F85">
            <v>4199</v>
          </cell>
          <cell r="G85" t="str">
            <v>Cr</v>
          </cell>
          <cell r="H85">
            <v>86</v>
          </cell>
        </row>
        <row r="86">
          <cell r="D86">
            <v>256779411170</v>
          </cell>
          <cell r="E86" t="str">
            <v/>
          </cell>
          <cell r="F86">
            <v>10077</v>
          </cell>
          <cell r="G86" t="str">
            <v>Cr</v>
          </cell>
          <cell r="H86">
            <v>206</v>
          </cell>
        </row>
        <row r="87">
          <cell r="D87">
            <v>256779411724</v>
          </cell>
          <cell r="E87" t="str">
            <v/>
          </cell>
          <cell r="F87">
            <v>52814</v>
          </cell>
          <cell r="G87" t="str">
            <v>Cr</v>
          </cell>
          <cell r="H87">
            <v>1078</v>
          </cell>
        </row>
        <row r="88">
          <cell r="D88">
            <v>256779411813</v>
          </cell>
          <cell r="E88" t="str">
            <v/>
          </cell>
          <cell r="F88">
            <v>147</v>
          </cell>
          <cell r="G88" t="str">
            <v>Cr</v>
          </cell>
          <cell r="H88">
            <v>3</v>
          </cell>
        </row>
        <row r="89">
          <cell r="D89">
            <v>256779411814</v>
          </cell>
          <cell r="E89" t="str">
            <v/>
          </cell>
          <cell r="F89">
            <v>84</v>
          </cell>
          <cell r="G89" t="str">
            <v>Cr</v>
          </cell>
          <cell r="H89">
            <v>2</v>
          </cell>
        </row>
        <row r="90">
          <cell r="D90">
            <v>256779411815</v>
          </cell>
          <cell r="E90" t="str">
            <v/>
          </cell>
          <cell r="F90">
            <v>1259</v>
          </cell>
          <cell r="G90" t="str">
            <v>Cr</v>
          </cell>
          <cell r="H90">
            <v>26</v>
          </cell>
        </row>
        <row r="91">
          <cell r="D91">
            <v>256779411894</v>
          </cell>
          <cell r="E91" t="str">
            <v/>
          </cell>
          <cell r="F91">
            <v>594</v>
          </cell>
          <cell r="G91" t="str">
            <v>Cr</v>
          </cell>
          <cell r="H91">
            <v>12</v>
          </cell>
        </row>
        <row r="92">
          <cell r="D92">
            <v>256779411895</v>
          </cell>
          <cell r="E92" t="str">
            <v/>
          </cell>
          <cell r="F92">
            <v>84</v>
          </cell>
          <cell r="G92" t="str">
            <v>Cr</v>
          </cell>
          <cell r="H92">
            <v>2</v>
          </cell>
        </row>
        <row r="93">
          <cell r="D93">
            <v>256779412024</v>
          </cell>
          <cell r="E93" t="str">
            <v/>
          </cell>
          <cell r="F93">
            <v>41567</v>
          </cell>
          <cell r="G93" t="str">
            <v>Cr</v>
          </cell>
          <cell r="H93">
            <v>848</v>
          </cell>
        </row>
        <row r="94">
          <cell r="D94">
            <v>256779412105</v>
          </cell>
          <cell r="E94" t="str">
            <v/>
          </cell>
          <cell r="F94">
            <v>1078</v>
          </cell>
          <cell r="G94" t="str">
            <v>Cr</v>
          </cell>
          <cell r="H94">
            <v>22</v>
          </cell>
        </row>
        <row r="95">
          <cell r="D95">
            <v>256779412567</v>
          </cell>
          <cell r="E95" t="str">
            <v/>
          </cell>
          <cell r="F95">
            <v>1512</v>
          </cell>
          <cell r="G95" t="str">
            <v>Cr</v>
          </cell>
          <cell r="H95">
            <v>31</v>
          </cell>
        </row>
        <row r="96">
          <cell r="D96">
            <v>256779412618</v>
          </cell>
          <cell r="E96" t="str">
            <v/>
          </cell>
          <cell r="F96">
            <v>3664</v>
          </cell>
          <cell r="G96" t="str">
            <v>Cr</v>
          </cell>
          <cell r="H96">
            <v>75</v>
          </cell>
        </row>
        <row r="97">
          <cell r="D97">
            <v>256779412661</v>
          </cell>
          <cell r="E97" t="str">
            <v/>
          </cell>
          <cell r="F97">
            <v>515</v>
          </cell>
          <cell r="G97" t="str">
            <v>Cr</v>
          </cell>
          <cell r="H97">
            <v>11</v>
          </cell>
        </row>
        <row r="98">
          <cell r="D98">
            <v>256779412892</v>
          </cell>
          <cell r="E98" t="str">
            <v/>
          </cell>
          <cell r="F98">
            <v>16117</v>
          </cell>
          <cell r="G98" t="str">
            <v>Cr</v>
          </cell>
          <cell r="H98">
            <v>329</v>
          </cell>
        </row>
        <row r="99">
          <cell r="D99">
            <v>256779413245</v>
          </cell>
          <cell r="E99" t="str">
            <v/>
          </cell>
          <cell r="F99">
            <v>33169</v>
          </cell>
          <cell r="G99" t="str">
            <v>Cr</v>
          </cell>
          <cell r="H99">
            <v>677</v>
          </cell>
        </row>
        <row r="100">
          <cell r="D100">
            <v>256779413316</v>
          </cell>
          <cell r="E100" t="str">
            <v/>
          </cell>
          <cell r="F100">
            <v>46008</v>
          </cell>
          <cell r="G100" t="str">
            <v>Cr</v>
          </cell>
          <cell r="H100">
            <v>939</v>
          </cell>
        </row>
        <row r="101">
          <cell r="D101">
            <v>256779413491</v>
          </cell>
          <cell r="E101" t="str">
            <v/>
          </cell>
          <cell r="F101">
            <v>7478</v>
          </cell>
          <cell r="G101" t="str">
            <v>Cr</v>
          </cell>
          <cell r="H101">
            <v>153</v>
          </cell>
        </row>
        <row r="102">
          <cell r="D102">
            <v>256779413922</v>
          </cell>
          <cell r="E102" t="str">
            <v/>
          </cell>
          <cell r="F102">
            <v>30905</v>
          </cell>
          <cell r="G102" t="str">
            <v>Cr</v>
          </cell>
          <cell r="H102">
            <v>631</v>
          </cell>
        </row>
        <row r="103">
          <cell r="D103">
            <v>256779413998</v>
          </cell>
          <cell r="E103" t="str">
            <v/>
          </cell>
          <cell r="F103">
            <v>15936</v>
          </cell>
          <cell r="G103" t="str">
            <v>Cr</v>
          </cell>
          <cell r="H103">
            <v>325</v>
          </cell>
        </row>
        <row r="104">
          <cell r="D104">
            <v>256779414176</v>
          </cell>
          <cell r="E104" t="str">
            <v/>
          </cell>
          <cell r="F104">
            <v>10834</v>
          </cell>
          <cell r="G104" t="str">
            <v>Cr</v>
          </cell>
          <cell r="H104">
            <v>221</v>
          </cell>
        </row>
        <row r="105">
          <cell r="D105">
            <v>256779414221</v>
          </cell>
          <cell r="E105" t="str">
            <v/>
          </cell>
          <cell r="F105">
            <v>3872</v>
          </cell>
          <cell r="G105" t="str">
            <v>Cr</v>
          </cell>
          <cell r="H105">
            <v>79</v>
          </cell>
        </row>
        <row r="106">
          <cell r="D106">
            <v>256779414264</v>
          </cell>
          <cell r="E106" t="str">
            <v/>
          </cell>
          <cell r="F106">
            <v>588</v>
          </cell>
          <cell r="G106" t="str">
            <v>Cr</v>
          </cell>
          <cell r="H106">
            <v>12</v>
          </cell>
        </row>
        <row r="107">
          <cell r="D107">
            <v>256779414320</v>
          </cell>
          <cell r="E107" t="str">
            <v/>
          </cell>
          <cell r="F107">
            <v>51221</v>
          </cell>
          <cell r="G107" t="str">
            <v>Cr</v>
          </cell>
          <cell r="H107">
            <v>1045</v>
          </cell>
        </row>
        <row r="108">
          <cell r="D108">
            <v>256779414736</v>
          </cell>
          <cell r="E108" t="str">
            <v/>
          </cell>
          <cell r="F108">
            <v>9282</v>
          </cell>
          <cell r="G108" t="str">
            <v>Cr</v>
          </cell>
          <cell r="H108">
            <v>189</v>
          </cell>
        </row>
        <row r="109">
          <cell r="D109">
            <v>256779414744</v>
          </cell>
          <cell r="E109" t="str">
            <v/>
          </cell>
          <cell r="F109">
            <v>24284</v>
          </cell>
          <cell r="G109" t="str">
            <v>Cr</v>
          </cell>
          <cell r="H109">
            <v>496</v>
          </cell>
        </row>
        <row r="110">
          <cell r="D110">
            <v>256779413115</v>
          </cell>
          <cell r="E110" t="str">
            <v/>
          </cell>
          <cell r="F110">
            <v>139294</v>
          </cell>
          <cell r="G110" t="str">
            <v>Cr</v>
          </cell>
          <cell r="H110">
            <v>15477</v>
          </cell>
        </row>
        <row r="111">
          <cell r="D111">
            <v>256779414232</v>
          </cell>
          <cell r="E111" t="str">
            <v/>
          </cell>
          <cell r="F111">
            <v>95439</v>
          </cell>
          <cell r="G111" t="str">
            <v>Cr</v>
          </cell>
          <cell r="H111">
            <v>10604</v>
          </cell>
        </row>
        <row r="112">
          <cell r="D112">
            <v>256779414374</v>
          </cell>
          <cell r="E112" t="str">
            <v/>
          </cell>
          <cell r="F112">
            <v>138495</v>
          </cell>
          <cell r="G112" t="str">
            <v>Cr</v>
          </cell>
          <cell r="H112">
            <v>15388</v>
          </cell>
        </row>
        <row r="113">
          <cell r="D113">
            <v>256779413891</v>
          </cell>
          <cell r="E113" t="str">
            <v/>
          </cell>
          <cell r="F113">
            <v>116217</v>
          </cell>
          <cell r="G113" t="str">
            <v>Cr</v>
          </cell>
          <cell r="H113">
            <v>12913</v>
          </cell>
        </row>
        <row r="114">
          <cell r="D114">
            <v>256779415188</v>
          </cell>
          <cell r="E114" t="str">
            <v/>
          </cell>
          <cell r="F114">
            <v>117740</v>
          </cell>
          <cell r="G114" t="str">
            <v>Cr</v>
          </cell>
          <cell r="H114">
            <v>13082</v>
          </cell>
        </row>
        <row r="115">
          <cell r="D115">
            <v>256779416081</v>
          </cell>
          <cell r="E115" t="str">
            <v/>
          </cell>
          <cell r="F115">
            <v>98139</v>
          </cell>
          <cell r="G115" t="str">
            <v>Cr</v>
          </cell>
          <cell r="H115">
            <v>10904</v>
          </cell>
        </row>
        <row r="116">
          <cell r="D116">
            <v>256779414932</v>
          </cell>
          <cell r="E116" t="str">
            <v/>
          </cell>
          <cell r="F116">
            <v>139321</v>
          </cell>
          <cell r="G116" t="str">
            <v>Cr</v>
          </cell>
          <cell r="H116">
            <v>15480</v>
          </cell>
        </row>
        <row r="117">
          <cell r="D117">
            <v>256779416043</v>
          </cell>
          <cell r="E117" t="str">
            <v/>
          </cell>
          <cell r="F117">
            <v>139369</v>
          </cell>
          <cell r="G117" t="str">
            <v>Cr</v>
          </cell>
          <cell r="H117">
            <v>15485</v>
          </cell>
        </row>
        <row r="118">
          <cell r="D118">
            <v>256779415968</v>
          </cell>
          <cell r="E118" t="str">
            <v/>
          </cell>
          <cell r="F118">
            <v>35991</v>
          </cell>
          <cell r="G118" t="str">
            <v>Cr</v>
          </cell>
          <cell r="H118">
            <v>3999</v>
          </cell>
        </row>
        <row r="119">
          <cell r="D119">
            <v>256779414834</v>
          </cell>
          <cell r="E119" t="str">
            <v/>
          </cell>
          <cell r="F119">
            <v>1288</v>
          </cell>
          <cell r="G119" t="str">
            <v>Cr</v>
          </cell>
          <cell r="H119">
            <v>26</v>
          </cell>
        </row>
        <row r="120">
          <cell r="D120">
            <v>256779414769</v>
          </cell>
          <cell r="E120" t="str">
            <v/>
          </cell>
          <cell r="F120">
            <v>5629</v>
          </cell>
          <cell r="G120" t="str">
            <v>Cr</v>
          </cell>
          <cell r="H120">
            <v>115</v>
          </cell>
        </row>
        <row r="121">
          <cell r="D121">
            <v>256779414803</v>
          </cell>
          <cell r="E121" t="str">
            <v/>
          </cell>
          <cell r="F121">
            <v>26854</v>
          </cell>
          <cell r="G121" t="str">
            <v>Cr</v>
          </cell>
          <cell r="H121">
            <v>548</v>
          </cell>
        </row>
        <row r="122">
          <cell r="D122">
            <v>256779414881</v>
          </cell>
          <cell r="E122" t="str">
            <v/>
          </cell>
          <cell r="F122">
            <v>4401</v>
          </cell>
          <cell r="G122" t="str">
            <v>Cr</v>
          </cell>
          <cell r="H122">
            <v>90</v>
          </cell>
        </row>
        <row r="123">
          <cell r="D123">
            <v>256779415265</v>
          </cell>
          <cell r="E123" t="str">
            <v/>
          </cell>
          <cell r="F123">
            <v>13884</v>
          </cell>
          <cell r="G123" t="str">
            <v>Cr</v>
          </cell>
          <cell r="H123">
            <v>283</v>
          </cell>
        </row>
        <row r="124">
          <cell r="D124">
            <v>256779415020</v>
          </cell>
          <cell r="E124" t="str">
            <v/>
          </cell>
          <cell r="F124">
            <v>14782</v>
          </cell>
          <cell r="G124" t="str">
            <v>Cr</v>
          </cell>
          <cell r="H124">
            <v>302</v>
          </cell>
        </row>
        <row r="125">
          <cell r="D125">
            <v>256779415434</v>
          </cell>
          <cell r="E125" t="str">
            <v/>
          </cell>
          <cell r="F125">
            <v>9351</v>
          </cell>
          <cell r="G125" t="str">
            <v>Cr</v>
          </cell>
          <cell r="H125">
            <v>191</v>
          </cell>
        </row>
        <row r="126">
          <cell r="D126">
            <v>256779415702</v>
          </cell>
          <cell r="E126" t="str">
            <v/>
          </cell>
          <cell r="F126">
            <v>16856</v>
          </cell>
          <cell r="G126" t="str">
            <v>Cr</v>
          </cell>
          <cell r="H126">
            <v>344</v>
          </cell>
        </row>
        <row r="127">
          <cell r="D127">
            <v>256779415445</v>
          </cell>
          <cell r="E127" t="str">
            <v/>
          </cell>
          <cell r="F127">
            <v>2199</v>
          </cell>
          <cell r="G127" t="str">
            <v>Cr</v>
          </cell>
          <cell r="H127">
            <v>45</v>
          </cell>
        </row>
        <row r="128">
          <cell r="D128">
            <v>256779415458</v>
          </cell>
          <cell r="E128" t="str">
            <v/>
          </cell>
          <cell r="F128">
            <v>6215</v>
          </cell>
          <cell r="G128" t="str">
            <v>Cr</v>
          </cell>
          <cell r="H128">
            <v>127</v>
          </cell>
        </row>
        <row r="129">
          <cell r="D129">
            <v>256779415486</v>
          </cell>
          <cell r="E129" t="str">
            <v/>
          </cell>
          <cell r="F129">
            <v>20159</v>
          </cell>
          <cell r="G129" t="str">
            <v>Cr</v>
          </cell>
          <cell r="H129">
            <v>411</v>
          </cell>
        </row>
        <row r="130">
          <cell r="D130">
            <v>256779415526</v>
          </cell>
          <cell r="E130" t="str">
            <v/>
          </cell>
          <cell r="F130">
            <v>232</v>
          </cell>
          <cell r="G130" t="str">
            <v>Cr</v>
          </cell>
          <cell r="H130">
            <v>5</v>
          </cell>
        </row>
        <row r="131">
          <cell r="D131">
            <v>256779415946</v>
          </cell>
          <cell r="E131" t="str">
            <v/>
          </cell>
          <cell r="F131">
            <v>2466</v>
          </cell>
          <cell r="G131" t="str">
            <v>Cr</v>
          </cell>
          <cell r="H131">
            <v>50</v>
          </cell>
        </row>
        <row r="132">
          <cell r="D132">
            <v>256779416000</v>
          </cell>
          <cell r="E132" t="str">
            <v/>
          </cell>
          <cell r="F132">
            <v>12698</v>
          </cell>
          <cell r="G132" t="str">
            <v>Cr</v>
          </cell>
          <cell r="H132">
            <v>259</v>
          </cell>
        </row>
        <row r="133">
          <cell r="D133">
            <v>256779416143</v>
          </cell>
          <cell r="E133" t="str">
            <v/>
          </cell>
          <cell r="F133">
            <v>2215</v>
          </cell>
          <cell r="G133" t="str">
            <v>Cr</v>
          </cell>
          <cell r="H133">
            <v>45</v>
          </cell>
        </row>
        <row r="134">
          <cell r="D134">
            <v>256779416183</v>
          </cell>
          <cell r="E134" t="str">
            <v/>
          </cell>
          <cell r="F134">
            <v>8627</v>
          </cell>
          <cell r="G134" t="str">
            <v>Cr</v>
          </cell>
          <cell r="H134">
            <v>176</v>
          </cell>
        </row>
        <row r="135">
          <cell r="D135">
            <v>256779416229</v>
          </cell>
          <cell r="E135" t="str">
            <v/>
          </cell>
          <cell r="F135">
            <v>1914</v>
          </cell>
          <cell r="G135" t="str">
            <v>Cr</v>
          </cell>
          <cell r="H135">
            <v>39</v>
          </cell>
        </row>
        <row r="136">
          <cell r="D136">
            <v>256779416447</v>
          </cell>
          <cell r="E136" t="str">
            <v/>
          </cell>
          <cell r="F136">
            <v>30209</v>
          </cell>
          <cell r="G136" t="str">
            <v>Cr</v>
          </cell>
          <cell r="H136">
            <v>617</v>
          </cell>
        </row>
        <row r="137">
          <cell r="D137">
            <v>256779416455</v>
          </cell>
          <cell r="E137" t="str">
            <v/>
          </cell>
          <cell r="F137">
            <v>1155</v>
          </cell>
          <cell r="G137" t="str">
            <v>Cr</v>
          </cell>
          <cell r="H137">
            <v>24</v>
          </cell>
        </row>
        <row r="138">
          <cell r="D138">
            <v>256779416517</v>
          </cell>
          <cell r="E138" t="str">
            <v/>
          </cell>
          <cell r="F138">
            <v>4749</v>
          </cell>
          <cell r="G138" t="str">
            <v>Cr</v>
          </cell>
          <cell r="H138">
            <v>97</v>
          </cell>
        </row>
        <row r="139">
          <cell r="D139">
            <v>256779416848</v>
          </cell>
          <cell r="E139" t="str">
            <v/>
          </cell>
          <cell r="F139">
            <v>1496</v>
          </cell>
          <cell r="G139" t="str">
            <v>Cr</v>
          </cell>
          <cell r="H139">
            <v>31</v>
          </cell>
        </row>
        <row r="140">
          <cell r="D140">
            <v>256779416883</v>
          </cell>
          <cell r="E140" t="str">
            <v/>
          </cell>
          <cell r="F140">
            <v>4220</v>
          </cell>
          <cell r="G140" t="str">
            <v>Cr</v>
          </cell>
          <cell r="H140">
            <v>86</v>
          </cell>
        </row>
        <row r="141">
          <cell r="D141">
            <v>256779417163</v>
          </cell>
          <cell r="E141" t="str">
            <v/>
          </cell>
          <cell r="F141">
            <v>6444</v>
          </cell>
          <cell r="G141" t="str">
            <v>Cr</v>
          </cell>
          <cell r="H141">
            <v>131</v>
          </cell>
        </row>
        <row r="142">
          <cell r="D142">
            <v>256779417188</v>
          </cell>
          <cell r="E142" t="str">
            <v/>
          </cell>
          <cell r="F142">
            <v>12007</v>
          </cell>
          <cell r="G142" t="str">
            <v>Cr</v>
          </cell>
          <cell r="H142">
            <v>245</v>
          </cell>
        </row>
        <row r="143">
          <cell r="D143">
            <v>256779417247</v>
          </cell>
          <cell r="E143" t="str">
            <v/>
          </cell>
          <cell r="F143">
            <v>9273</v>
          </cell>
          <cell r="G143" t="str">
            <v>Cr</v>
          </cell>
          <cell r="H143">
            <v>189</v>
          </cell>
        </row>
        <row r="144">
          <cell r="D144">
            <v>256779417290</v>
          </cell>
          <cell r="E144" t="str">
            <v/>
          </cell>
          <cell r="F144">
            <v>49606</v>
          </cell>
          <cell r="G144" t="str">
            <v>Cr</v>
          </cell>
          <cell r="H144">
            <v>1012</v>
          </cell>
        </row>
        <row r="145">
          <cell r="D145">
            <v>256779417330</v>
          </cell>
          <cell r="E145" t="str">
            <v/>
          </cell>
          <cell r="F145">
            <v>1159</v>
          </cell>
          <cell r="G145" t="str">
            <v>Cr</v>
          </cell>
          <cell r="H145">
            <v>24</v>
          </cell>
        </row>
        <row r="146">
          <cell r="D146">
            <v>256779417444</v>
          </cell>
          <cell r="E146" t="str">
            <v/>
          </cell>
          <cell r="F146">
            <v>113740</v>
          </cell>
          <cell r="G146" t="str">
            <v>Cr</v>
          </cell>
          <cell r="H146">
            <v>2321</v>
          </cell>
        </row>
        <row r="147">
          <cell r="D147">
            <v>256779417530</v>
          </cell>
          <cell r="E147" t="str">
            <v/>
          </cell>
          <cell r="F147">
            <v>3542</v>
          </cell>
          <cell r="G147" t="str">
            <v>Cr</v>
          </cell>
          <cell r="H147">
            <v>72</v>
          </cell>
        </row>
        <row r="148">
          <cell r="D148">
            <v>256779417571</v>
          </cell>
          <cell r="E148" t="str">
            <v/>
          </cell>
          <cell r="F148">
            <v>13451</v>
          </cell>
          <cell r="G148" t="str">
            <v>Cr</v>
          </cell>
          <cell r="H148">
            <v>275</v>
          </cell>
        </row>
        <row r="149">
          <cell r="D149">
            <v>256779417904</v>
          </cell>
          <cell r="E149" t="str">
            <v/>
          </cell>
          <cell r="F149">
            <v>2584</v>
          </cell>
          <cell r="G149" t="str">
            <v>Cr</v>
          </cell>
          <cell r="H149">
            <v>53</v>
          </cell>
        </row>
        <row r="150">
          <cell r="D150">
            <v>256779417982</v>
          </cell>
          <cell r="E150" t="str">
            <v/>
          </cell>
          <cell r="F150">
            <v>13490</v>
          </cell>
          <cell r="G150" t="str">
            <v>Cr</v>
          </cell>
          <cell r="H150">
            <v>275</v>
          </cell>
        </row>
        <row r="151">
          <cell r="D151">
            <v>256779418182</v>
          </cell>
          <cell r="E151" t="str">
            <v/>
          </cell>
          <cell r="F151">
            <v>48398</v>
          </cell>
          <cell r="G151" t="str">
            <v>Cr</v>
          </cell>
          <cell r="H151">
            <v>988</v>
          </cell>
        </row>
        <row r="152">
          <cell r="D152">
            <v>256779418403</v>
          </cell>
          <cell r="E152" t="str">
            <v/>
          </cell>
          <cell r="F152">
            <v>4437</v>
          </cell>
          <cell r="G152" t="str">
            <v>Cr</v>
          </cell>
          <cell r="H152">
            <v>91</v>
          </cell>
        </row>
        <row r="153">
          <cell r="D153">
            <v>256779418430</v>
          </cell>
          <cell r="E153" t="str">
            <v/>
          </cell>
          <cell r="F153">
            <v>4055</v>
          </cell>
          <cell r="G153" t="str">
            <v>Cr</v>
          </cell>
          <cell r="H153">
            <v>83</v>
          </cell>
        </row>
        <row r="154">
          <cell r="D154">
            <v>256779418482</v>
          </cell>
          <cell r="E154" t="str">
            <v/>
          </cell>
          <cell r="F154">
            <v>1175</v>
          </cell>
          <cell r="G154" t="str">
            <v>Cr</v>
          </cell>
          <cell r="H154">
            <v>24</v>
          </cell>
        </row>
        <row r="155">
          <cell r="D155">
            <v>256779418628</v>
          </cell>
          <cell r="E155" t="str">
            <v/>
          </cell>
          <cell r="F155">
            <v>20311</v>
          </cell>
          <cell r="G155" t="str">
            <v>Cr</v>
          </cell>
          <cell r="H155">
            <v>414</v>
          </cell>
        </row>
        <row r="156">
          <cell r="D156">
            <v>256779418706</v>
          </cell>
          <cell r="E156" t="str">
            <v/>
          </cell>
          <cell r="F156">
            <v>4696</v>
          </cell>
          <cell r="G156" t="str">
            <v>Cr</v>
          </cell>
          <cell r="H156">
            <v>96</v>
          </cell>
        </row>
        <row r="157">
          <cell r="D157">
            <v>256779417943</v>
          </cell>
          <cell r="E157" t="str">
            <v/>
          </cell>
          <cell r="F157">
            <v>23408</v>
          </cell>
          <cell r="G157" t="str">
            <v>Cr</v>
          </cell>
          <cell r="H157">
            <v>478</v>
          </cell>
        </row>
        <row r="158">
          <cell r="D158">
            <v>256779418736</v>
          </cell>
          <cell r="E158" t="str">
            <v/>
          </cell>
          <cell r="F158">
            <v>21340</v>
          </cell>
          <cell r="G158" t="str">
            <v>Cr</v>
          </cell>
          <cell r="H158">
            <v>436</v>
          </cell>
        </row>
        <row r="159">
          <cell r="D159">
            <v>256779419136</v>
          </cell>
          <cell r="E159" t="str">
            <v/>
          </cell>
          <cell r="F159">
            <v>39662</v>
          </cell>
          <cell r="G159" t="str">
            <v>Cr</v>
          </cell>
          <cell r="H159">
            <v>809</v>
          </cell>
        </row>
        <row r="160">
          <cell r="D160">
            <v>256779418828</v>
          </cell>
          <cell r="E160" t="str">
            <v/>
          </cell>
          <cell r="F160">
            <v>1167</v>
          </cell>
          <cell r="G160" t="str">
            <v>Cr</v>
          </cell>
          <cell r="H160">
            <v>24</v>
          </cell>
        </row>
        <row r="161">
          <cell r="D161">
            <v>256779419087</v>
          </cell>
          <cell r="E161" t="str">
            <v/>
          </cell>
          <cell r="F161">
            <v>12074</v>
          </cell>
          <cell r="G161" t="str">
            <v>Cr</v>
          </cell>
          <cell r="H161">
            <v>246</v>
          </cell>
        </row>
        <row r="162">
          <cell r="D162">
            <v>256779419098</v>
          </cell>
          <cell r="E162" t="str">
            <v/>
          </cell>
          <cell r="F162">
            <v>3018</v>
          </cell>
          <cell r="G162" t="str">
            <v>Cr</v>
          </cell>
          <cell r="H162">
            <v>62</v>
          </cell>
        </row>
        <row r="163">
          <cell r="D163">
            <v>256779419179</v>
          </cell>
          <cell r="E163" t="str">
            <v/>
          </cell>
          <cell r="F163">
            <v>27825</v>
          </cell>
          <cell r="G163" t="str">
            <v>Cr</v>
          </cell>
          <cell r="H163">
            <v>568</v>
          </cell>
        </row>
        <row r="164">
          <cell r="D164">
            <v>256779419204</v>
          </cell>
          <cell r="E164" t="str">
            <v/>
          </cell>
          <cell r="F164">
            <v>1147</v>
          </cell>
          <cell r="G164" t="str">
            <v>Cr</v>
          </cell>
          <cell r="H164">
            <v>23</v>
          </cell>
        </row>
        <row r="165">
          <cell r="D165">
            <v>256779419267</v>
          </cell>
          <cell r="E165" t="str">
            <v/>
          </cell>
          <cell r="F165">
            <v>17010</v>
          </cell>
          <cell r="G165" t="str">
            <v>Cr</v>
          </cell>
          <cell r="H165">
            <v>347</v>
          </cell>
        </row>
        <row r="166">
          <cell r="D166">
            <v>256779419235</v>
          </cell>
          <cell r="E166" t="str">
            <v/>
          </cell>
          <cell r="F166">
            <v>12608</v>
          </cell>
          <cell r="G166" t="str">
            <v>Cr</v>
          </cell>
          <cell r="H166">
            <v>257</v>
          </cell>
        </row>
        <row r="167">
          <cell r="D167">
            <v>256779417362</v>
          </cell>
          <cell r="E167" t="str">
            <v/>
          </cell>
          <cell r="F167">
            <v>141773</v>
          </cell>
          <cell r="G167" t="str">
            <v>Cr</v>
          </cell>
          <cell r="H167">
            <v>15753</v>
          </cell>
        </row>
        <row r="168">
          <cell r="D168">
            <v>256779417075</v>
          </cell>
          <cell r="E168" t="str">
            <v/>
          </cell>
          <cell r="F168">
            <v>86562</v>
          </cell>
          <cell r="G168" t="str">
            <v>Cr</v>
          </cell>
          <cell r="H168">
            <v>9618</v>
          </cell>
        </row>
        <row r="169">
          <cell r="D169">
            <v>256779418014</v>
          </cell>
          <cell r="E169" t="str">
            <v/>
          </cell>
          <cell r="F169">
            <v>105561</v>
          </cell>
          <cell r="G169" t="str">
            <v>Cr</v>
          </cell>
          <cell r="H169">
            <v>11729</v>
          </cell>
        </row>
        <row r="170">
          <cell r="D170">
            <v>256779418025</v>
          </cell>
          <cell r="E170" t="str">
            <v/>
          </cell>
          <cell r="F170">
            <v>142869</v>
          </cell>
          <cell r="G170" t="str">
            <v>Cr</v>
          </cell>
          <cell r="H170">
            <v>15874</v>
          </cell>
        </row>
        <row r="171">
          <cell r="D171">
            <v>256779418791</v>
          </cell>
          <cell r="E171" t="str">
            <v/>
          </cell>
          <cell r="F171">
            <v>142565</v>
          </cell>
          <cell r="G171" t="str">
            <v>Cr</v>
          </cell>
          <cell r="H171">
            <v>15841</v>
          </cell>
        </row>
        <row r="172">
          <cell r="D172">
            <v>256779418871</v>
          </cell>
          <cell r="E172" t="str">
            <v/>
          </cell>
          <cell r="F172">
            <v>84631</v>
          </cell>
          <cell r="G172" t="str">
            <v>Cr</v>
          </cell>
          <cell r="H172">
            <v>9404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Z"/>
    </sheetNames>
    <sheetDataSet>
      <sheetData sheetId="0"/>
      <sheetData sheetId="1">
        <row r="1">
          <cell r="D1" t="str">
            <v>Document Number</v>
          </cell>
          <cell r="E1" t="str">
            <v>Document Type</v>
          </cell>
          <cell r="F1" t="str">
            <v>Document Date</v>
          </cell>
          <cell r="G1" t="str">
            <v>Reference</v>
          </cell>
          <cell r="H1" t="str">
            <v>Document Currency Key</v>
          </cell>
          <cell r="I1" t="str">
            <v>Document Currency Value</v>
          </cell>
          <cell r="J1" t="str">
            <v>Company Code Currency Key</v>
          </cell>
          <cell r="K1" t="str">
            <v>Company Code Currency Value</v>
          </cell>
          <cell r="L1" t="str">
            <v>Text</v>
          </cell>
          <cell r="M1" t="str">
            <v>INOVICE TAGGING</v>
          </cell>
          <cell r="N1">
            <v>1</v>
          </cell>
          <cell r="O1">
            <v>2</v>
          </cell>
          <cell r="Q1" t="str">
            <v>TDS</v>
          </cell>
          <cell r="R1" t="str">
            <v>Net amount</v>
          </cell>
          <cell r="S1" t="str">
            <v>DZ Tagging</v>
          </cell>
          <cell r="T1" t="str">
            <v>DZ Tagged Amount</v>
          </cell>
        </row>
        <row r="2">
          <cell r="D2">
            <v>1800000110</v>
          </cell>
          <cell r="E2" t="str">
            <v>DR</v>
          </cell>
          <cell r="F2">
            <v>45708</v>
          </cell>
          <cell r="G2">
            <v>246779410038</v>
          </cell>
          <cell r="H2" t="str">
            <v>USD</v>
          </cell>
          <cell r="I2">
            <v>1800</v>
          </cell>
          <cell r="J2" t="str">
            <v>INR</v>
          </cell>
          <cell r="K2">
            <v>155346.59</v>
          </cell>
          <cell r="L2" t="str">
            <v>Fixed Rental charges for Sept 2024</v>
          </cell>
          <cell r="M2">
            <v>140453</v>
          </cell>
          <cell r="N2">
            <v>14893.59</v>
          </cell>
          <cell r="O2">
            <v>9.5873298538448753E-2</v>
          </cell>
          <cell r="Q2">
            <v>15606</v>
          </cell>
          <cell r="R2">
            <v>139740.59</v>
          </cell>
          <cell r="S2">
            <v>1400000077</v>
          </cell>
        </row>
        <row r="3">
          <cell r="D3">
            <v>1800000179</v>
          </cell>
          <cell r="E3" t="str">
            <v>DR</v>
          </cell>
          <cell r="F3">
            <v>45708</v>
          </cell>
          <cell r="G3">
            <v>246779410106</v>
          </cell>
          <cell r="H3" t="str">
            <v>USD</v>
          </cell>
          <cell r="I3">
            <v>1800</v>
          </cell>
          <cell r="J3" t="str">
            <v>INR</v>
          </cell>
          <cell r="K3">
            <v>155346.59</v>
          </cell>
          <cell r="L3" t="str">
            <v>Fixed Rental charges for Nov 2024</v>
          </cell>
          <cell r="M3">
            <v>140453</v>
          </cell>
          <cell r="N3">
            <v>14893.59</v>
          </cell>
          <cell r="O3">
            <v>9.5873298538448753E-2</v>
          </cell>
          <cell r="Q3">
            <v>15606</v>
          </cell>
          <cell r="R3">
            <v>139740.59</v>
          </cell>
          <cell r="S3">
            <v>1400000116</v>
          </cell>
          <cell r="T3">
            <v>140453</v>
          </cell>
        </row>
        <row r="4">
          <cell r="D4">
            <v>1800000222</v>
          </cell>
          <cell r="E4" t="str">
            <v>DR</v>
          </cell>
          <cell r="F4">
            <v>45708</v>
          </cell>
          <cell r="G4">
            <v>246779410149</v>
          </cell>
          <cell r="H4" t="str">
            <v>USD</v>
          </cell>
          <cell r="I4">
            <v>1800</v>
          </cell>
          <cell r="J4" t="str">
            <v>INR</v>
          </cell>
          <cell r="K4">
            <v>155346.59</v>
          </cell>
          <cell r="L4" t="str">
            <v>Fixed Rental charges for Dec 2024</v>
          </cell>
          <cell r="M4">
            <v>140453</v>
          </cell>
          <cell r="N4">
            <v>14893.59</v>
          </cell>
          <cell r="O4">
            <v>9.5873298538448753E-2</v>
          </cell>
          <cell r="Q4">
            <v>15606</v>
          </cell>
          <cell r="R4">
            <v>139740.59</v>
          </cell>
          <cell r="S4">
            <v>1400000116</v>
          </cell>
          <cell r="T4">
            <v>140453</v>
          </cell>
        </row>
        <row r="5">
          <cell r="D5">
            <v>1800000265</v>
          </cell>
          <cell r="E5" t="str">
            <v>DR</v>
          </cell>
          <cell r="F5">
            <v>45708</v>
          </cell>
          <cell r="G5">
            <v>246779410192</v>
          </cell>
          <cell r="H5" t="str">
            <v>USD</v>
          </cell>
          <cell r="I5">
            <v>1800</v>
          </cell>
          <cell r="J5" t="str">
            <v>INR</v>
          </cell>
          <cell r="K5">
            <v>155346.59</v>
          </cell>
          <cell r="L5" t="str">
            <v>Fixed Rental charges for Jan 2025</v>
          </cell>
          <cell r="M5">
            <v>140453</v>
          </cell>
          <cell r="N5">
            <v>14893.59</v>
          </cell>
          <cell r="O5">
            <v>9.5873298538448753E-2</v>
          </cell>
          <cell r="Q5">
            <v>15606</v>
          </cell>
          <cell r="R5">
            <v>139740.59</v>
          </cell>
          <cell r="S5">
            <v>1400000116</v>
          </cell>
          <cell r="T5">
            <v>140453</v>
          </cell>
        </row>
        <row r="6">
          <cell r="D6">
            <v>1800000308</v>
          </cell>
          <cell r="E6" t="str">
            <v>DR</v>
          </cell>
          <cell r="F6">
            <v>45708</v>
          </cell>
          <cell r="G6">
            <v>246779410235</v>
          </cell>
          <cell r="H6" t="str">
            <v>USD</v>
          </cell>
          <cell r="I6">
            <v>1800</v>
          </cell>
          <cell r="J6" t="str">
            <v>INR</v>
          </cell>
          <cell r="K6">
            <v>155346.59</v>
          </cell>
          <cell r="L6" t="str">
            <v>Fixed Rental charges for Feb 2025</v>
          </cell>
          <cell r="M6">
            <v>140453</v>
          </cell>
          <cell r="N6">
            <v>14893.59</v>
          </cell>
          <cell r="O6">
            <v>9.5873298538448753E-2</v>
          </cell>
          <cell r="Q6">
            <v>15606</v>
          </cell>
          <cell r="R6">
            <v>139740.59</v>
          </cell>
          <cell r="S6">
            <v>1400000116</v>
          </cell>
          <cell r="T6">
            <v>78641</v>
          </cell>
        </row>
        <row r="7">
          <cell r="D7">
            <v>1800000308</v>
          </cell>
          <cell r="E7" t="str">
            <v>DR</v>
          </cell>
          <cell r="F7">
            <v>45708</v>
          </cell>
          <cell r="G7">
            <v>246779410235</v>
          </cell>
          <cell r="H7" t="str">
            <v>USD</v>
          </cell>
          <cell r="I7">
            <v>1800</v>
          </cell>
          <cell r="J7" t="str">
            <v>INR</v>
          </cell>
          <cell r="K7">
            <v>155346.59</v>
          </cell>
          <cell r="L7" t="str">
            <v>Fixed Rental charges for Feb 2025</v>
          </cell>
          <cell r="M7">
            <v>140453</v>
          </cell>
          <cell r="N7">
            <v>14893.59</v>
          </cell>
          <cell r="O7">
            <v>9.5873298538448753E-2</v>
          </cell>
          <cell r="Q7">
            <v>15606</v>
          </cell>
          <cell r="R7">
            <v>139740.59</v>
          </cell>
          <cell r="S7">
            <v>1400000887</v>
          </cell>
          <cell r="T7">
            <v>61812</v>
          </cell>
        </row>
        <row r="8">
          <cell r="D8">
            <v>1800000080</v>
          </cell>
          <cell r="E8" t="str">
            <v>DR</v>
          </cell>
          <cell r="F8">
            <v>45708</v>
          </cell>
          <cell r="G8">
            <v>246779410292</v>
          </cell>
          <cell r="H8" t="str">
            <v>USD</v>
          </cell>
          <cell r="I8">
            <v>1800</v>
          </cell>
          <cell r="J8" t="str">
            <v>INR</v>
          </cell>
          <cell r="K8">
            <v>155346.59</v>
          </cell>
          <cell r="L8" t="str">
            <v>Fixed Rental charges for Oct 2024</v>
          </cell>
          <cell r="M8">
            <v>140453</v>
          </cell>
          <cell r="N8">
            <v>14893.59</v>
          </cell>
          <cell r="O8">
            <v>9.5873298538448753E-2</v>
          </cell>
          <cell r="Q8">
            <v>15606</v>
          </cell>
          <cell r="R8">
            <v>139740.59</v>
          </cell>
          <cell r="S8">
            <v>1400000887</v>
          </cell>
          <cell r="T8">
            <v>38188</v>
          </cell>
        </row>
        <row r="9">
          <cell r="D9">
            <v>1800000080</v>
          </cell>
          <cell r="E9" t="str">
            <v>DR</v>
          </cell>
          <cell r="F9">
            <v>45708</v>
          </cell>
          <cell r="G9">
            <v>246779410292</v>
          </cell>
          <cell r="H9" t="str">
            <v>USD</v>
          </cell>
          <cell r="I9">
            <v>1800</v>
          </cell>
          <cell r="J9" t="str">
            <v>INR</v>
          </cell>
          <cell r="K9">
            <v>155346.59</v>
          </cell>
          <cell r="L9" t="str">
            <v>Fixed Rental charges for Oct 2024</v>
          </cell>
          <cell r="M9">
            <v>140453</v>
          </cell>
          <cell r="N9">
            <v>14893.59</v>
          </cell>
          <cell r="O9">
            <v>9.5873298538448753E-2</v>
          </cell>
          <cell r="Q9">
            <v>15606</v>
          </cell>
          <cell r="R9">
            <v>139740.59</v>
          </cell>
          <cell r="S9">
            <v>1400000904</v>
          </cell>
          <cell r="T9">
            <v>102265</v>
          </cell>
        </row>
        <row r="10">
          <cell r="D10">
            <v>1800000372</v>
          </cell>
          <cell r="E10" t="str">
            <v>DR</v>
          </cell>
          <cell r="F10">
            <v>45716</v>
          </cell>
          <cell r="G10">
            <v>246779410341</v>
          </cell>
          <cell r="H10" t="str">
            <v>USD</v>
          </cell>
          <cell r="I10">
            <v>450</v>
          </cell>
          <cell r="J10" t="str">
            <v>INR</v>
          </cell>
          <cell r="K10">
            <v>38836.65</v>
          </cell>
          <cell r="L10" t="str">
            <v>CY Longstanding container Ground Rent charges for</v>
          </cell>
          <cell r="M10">
            <v>35397</v>
          </cell>
          <cell r="N10">
            <v>3439.650000000001</v>
          </cell>
          <cell r="O10">
            <v>8.8567113795860394E-2</v>
          </cell>
          <cell r="Q10">
            <v>3933</v>
          </cell>
          <cell r="R10">
            <v>34903.65</v>
          </cell>
          <cell r="S10">
            <v>1400000077</v>
          </cell>
        </row>
        <row r="11">
          <cell r="D11">
            <v>1800000388</v>
          </cell>
          <cell r="E11" t="str">
            <v>DR</v>
          </cell>
          <cell r="F11">
            <v>45716</v>
          </cell>
          <cell r="G11">
            <v>246779410357</v>
          </cell>
          <cell r="H11" t="str">
            <v>USD</v>
          </cell>
          <cell r="I11">
            <v>450</v>
          </cell>
          <cell r="J11" t="str">
            <v>INR</v>
          </cell>
          <cell r="K11">
            <v>38836.65</v>
          </cell>
          <cell r="L11" t="str">
            <v>CY Longstanding container Ground Rent charges for</v>
          </cell>
          <cell r="M11">
            <v>35397</v>
          </cell>
          <cell r="N11">
            <v>3439.650000000001</v>
          </cell>
          <cell r="O11">
            <v>8.8567113795860394E-2</v>
          </cell>
          <cell r="Q11">
            <v>3933</v>
          </cell>
          <cell r="R11">
            <v>34903.65</v>
          </cell>
          <cell r="S11">
            <v>1400000904</v>
          </cell>
          <cell r="T11">
            <v>35397</v>
          </cell>
        </row>
        <row r="12">
          <cell r="D12">
            <v>1800000376</v>
          </cell>
          <cell r="E12" t="str">
            <v>DR</v>
          </cell>
          <cell r="F12">
            <v>45716</v>
          </cell>
          <cell r="G12">
            <v>246779410345</v>
          </cell>
          <cell r="H12" t="str">
            <v>USD</v>
          </cell>
          <cell r="I12">
            <v>465</v>
          </cell>
          <cell r="J12" t="str">
            <v>INR</v>
          </cell>
          <cell r="K12">
            <v>40131.199999999997</v>
          </cell>
          <cell r="L12" t="str">
            <v>CY Longstanding container Ground Rent charges for</v>
          </cell>
          <cell r="M12">
            <v>36577</v>
          </cell>
          <cell r="N12">
            <v>3554.1999999999971</v>
          </cell>
          <cell r="O12">
            <v>8.8564508412407233E-2</v>
          </cell>
          <cell r="Q12">
            <v>4064</v>
          </cell>
          <cell r="R12">
            <v>36067.199999999997</v>
          </cell>
          <cell r="S12">
            <v>1400000904</v>
          </cell>
          <cell r="T12">
            <v>36577</v>
          </cell>
        </row>
        <row r="13">
          <cell r="D13">
            <v>1800000382</v>
          </cell>
          <cell r="E13" t="str">
            <v>DR</v>
          </cell>
          <cell r="F13">
            <v>45716</v>
          </cell>
          <cell r="G13">
            <v>246779410351</v>
          </cell>
          <cell r="H13" t="str">
            <v>USD</v>
          </cell>
          <cell r="I13">
            <v>465</v>
          </cell>
          <cell r="J13" t="str">
            <v>INR</v>
          </cell>
          <cell r="K13">
            <v>40131.199999999997</v>
          </cell>
          <cell r="L13" t="str">
            <v>CY Longstanding container Ground Rent charges for</v>
          </cell>
          <cell r="M13">
            <v>36577</v>
          </cell>
          <cell r="N13">
            <v>3554.1999999999971</v>
          </cell>
          <cell r="O13">
            <v>8.8564508412407233E-2</v>
          </cell>
          <cell r="Q13">
            <v>4064</v>
          </cell>
          <cell r="R13">
            <v>36067.199999999997</v>
          </cell>
          <cell r="S13">
            <v>1400000904</v>
          </cell>
          <cell r="T13">
            <v>36577</v>
          </cell>
        </row>
        <row r="14">
          <cell r="D14">
            <v>1800000429</v>
          </cell>
          <cell r="E14" t="str">
            <v>DR</v>
          </cell>
          <cell r="F14">
            <v>45719</v>
          </cell>
          <cell r="G14">
            <v>246779410391</v>
          </cell>
          <cell r="H14" t="str">
            <v>USD</v>
          </cell>
          <cell r="I14">
            <v>1894.32</v>
          </cell>
          <cell r="J14" t="str">
            <v>INR</v>
          </cell>
          <cell r="K14">
            <v>164220.99</v>
          </cell>
          <cell r="L14" t="str">
            <v>Storage  for the month of Sept  2024</v>
          </cell>
          <cell r="M14">
            <v>148891</v>
          </cell>
          <cell r="N14">
            <v>15329.989999999991</v>
          </cell>
          <cell r="O14">
            <v>9.3349759978916161E-2</v>
          </cell>
          <cell r="Q14">
            <v>16543</v>
          </cell>
          <cell r="R14">
            <v>147677.99</v>
          </cell>
          <cell r="S14">
            <v>1400000077</v>
          </cell>
        </row>
        <row r="15">
          <cell r="D15">
            <v>1800000453</v>
          </cell>
          <cell r="E15" t="str">
            <v>DR</v>
          </cell>
          <cell r="F15">
            <v>45719</v>
          </cell>
          <cell r="G15">
            <v>246779410415</v>
          </cell>
          <cell r="H15" t="str">
            <v>USD</v>
          </cell>
          <cell r="I15">
            <v>1930.92</v>
          </cell>
          <cell r="J15" t="str">
            <v>INR</v>
          </cell>
          <cell r="K15">
            <v>167393.89000000001</v>
          </cell>
          <cell r="L15" t="str">
            <v>Storage for the month of Oct 2024</v>
          </cell>
          <cell r="M15">
            <v>151767</v>
          </cell>
          <cell r="N15">
            <v>15626.89000000001</v>
          </cell>
          <cell r="O15">
            <v>9.3354004736971058E-2</v>
          </cell>
          <cell r="Q15">
            <v>16863</v>
          </cell>
          <cell r="R15">
            <v>150530.89000000001</v>
          </cell>
          <cell r="S15">
            <v>1400000904</v>
          </cell>
          <cell r="T15">
            <v>151767</v>
          </cell>
        </row>
        <row r="16">
          <cell r="D16">
            <v>1800000922</v>
          </cell>
          <cell r="E16" t="str">
            <v>DR</v>
          </cell>
          <cell r="F16">
            <v>45722</v>
          </cell>
          <cell r="G16">
            <v>246779410862</v>
          </cell>
          <cell r="H16" t="str">
            <v>USD</v>
          </cell>
          <cell r="I16">
            <v>2306.52</v>
          </cell>
          <cell r="J16" t="str">
            <v>INR</v>
          </cell>
          <cell r="K16">
            <v>199955.13</v>
          </cell>
          <cell r="L16" t="str">
            <v>Storage for the month of Nov 2024</v>
          </cell>
          <cell r="M16">
            <v>180778</v>
          </cell>
          <cell r="N16">
            <v>19177.13</v>
          </cell>
          <cell r="O16">
            <v>9.590716677286551E-2</v>
          </cell>
          <cell r="Q16">
            <v>20087</v>
          </cell>
          <cell r="R16">
            <v>179868.13</v>
          </cell>
          <cell r="S16">
            <v>1400000904</v>
          </cell>
          <cell r="T16">
            <v>180778</v>
          </cell>
        </row>
        <row r="17">
          <cell r="D17">
            <v>1800000945</v>
          </cell>
          <cell r="E17" t="str">
            <v>DR</v>
          </cell>
          <cell r="F17">
            <v>45722</v>
          </cell>
          <cell r="G17">
            <v>246779410885</v>
          </cell>
          <cell r="H17" t="str">
            <v>USD</v>
          </cell>
          <cell r="I17">
            <v>2390.58</v>
          </cell>
          <cell r="J17" t="str">
            <v>INR</v>
          </cell>
          <cell r="K17">
            <v>207242.39</v>
          </cell>
          <cell r="L17" t="str">
            <v>Storage for the month of Dec 2024</v>
          </cell>
          <cell r="M17">
            <v>187367</v>
          </cell>
          <cell r="N17">
            <v>19875.39000000001</v>
          </cell>
          <cell r="O17">
            <v>9.59040763812848E-2</v>
          </cell>
          <cell r="Q17">
            <v>20819</v>
          </cell>
          <cell r="R17">
            <v>186423.39</v>
          </cell>
          <cell r="S17">
            <v>1400000904</v>
          </cell>
          <cell r="T17">
            <v>156639</v>
          </cell>
        </row>
        <row r="18">
          <cell r="D18">
            <v>1800000945</v>
          </cell>
          <cell r="E18" t="str">
            <v>DR</v>
          </cell>
          <cell r="F18">
            <v>45722</v>
          </cell>
          <cell r="G18">
            <v>246779410885</v>
          </cell>
          <cell r="H18" t="str">
            <v>USD</v>
          </cell>
          <cell r="I18">
            <v>2390.58</v>
          </cell>
          <cell r="J18" t="str">
            <v>INR</v>
          </cell>
          <cell r="K18">
            <v>207242.39</v>
          </cell>
          <cell r="L18" t="str">
            <v>Storage for the month of Dec 2024</v>
          </cell>
          <cell r="M18">
            <v>187367</v>
          </cell>
          <cell r="N18">
            <v>19875.39000000001</v>
          </cell>
          <cell r="O18">
            <v>9.59040763812848E-2</v>
          </cell>
          <cell r="Q18">
            <v>20819</v>
          </cell>
          <cell r="R18">
            <v>186423.39</v>
          </cell>
          <cell r="S18">
            <v>1400000922</v>
          </cell>
          <cell r="T18">
            <v>30728</v>
          </cell>
        </row>
        <row r="19">
          <cell r="D19">
            <v>1800001470</v>
          </cell>
          <cell r="E19" t="str">
            <v>DR</v>
          </cell>
          <cell r="F19">
            <v>45729</v>
          </cell>
          <cell r="G19">
            <v>246779411302</v>
          </cell>
          <cell r="H19" t="str">
            <v>USD</v>
          </cell>
          <cell r="I19">
            <v>35</v>
          </cell>
          <cell r="J19" t="str">
            <v>INR</v>
          </cell>
          <cell r="K19">
            <v>3034.19</v>
          </cell>
          <cell r="L19" t="str">
            <v>Scanning Charges for the month of September, 2024</v>
          </cell>
          <cell r="M19">
            <v>2987</v>
          </cell>
          <cell r="N19">
            <v>47.190000000000047</v>
          </cell>
          <cell r="O19">
            <v>1.5552750486950409E-2</v>
          </cell>
          <cell r="Q19">
            <v>61</v>
          </cell>
          <cell r="R19">
            <v>2973.19</v>
          </cell>
          <cell r="S19">
            <v>1400000922</v>
          </cell>
          <cell r="T19">
            <v>2987</v>
          </cell>
        </row>
        <row r="20">
          <cell r="D20">
            <v>1800001793</v>
          </cell>
          <cell r="E20" t="str">
            <v>DR</v>
          </cell>
          <cell r="F20">
            <v>45730</v>
          </cell>
          <cell r="G20">
            <v>246779411458</v>
          </cell>
          <cell r="H20" t="str">
            <v>USD</v>
          </cell>
          <cell r="I20">
            <v>77.2</v>
          </cell>
          <cell r="J20" t="str">
            <v>INR</v>
          </cell>
          <cell r="K20">
            <v>6692.57</v>
          </cell>
          <cell r="L20" t="str">
            <v>VAS Activity Charges for the month of August, 24</v>
          </cell>
          <cell r="M20">
            <v>6589</v>
          </cell>
          <cell r="N20">
            <v>103.56999999999969</v>
          </cell>
          <cell r="O20">
            <v>1.5475370448123769E-2</v>
          </cell>
          <cell r="Q20">
            <v>134</v>
          </cell>
          <cell r="R20">
            <v>6558.57</v>
          </cell>
          <cell r="S20">
            <v>1400000922</v>
          </cell>
          <cell r="T20">
            <v>6589</v>
          </cell>
        </row>
        <row r="21">
          <cell r="D21">
            <v>1800001590</v>
          </cell>
          <cell r="E21" t="str">
            <v>DR</v>
          </cell>
          <cell r="F21">
            <v>45730</v>
          </cell>
          <cell r="G21">
            <v>246779412247</v>
          </cell>
          <cell r="H21" t="str">
            <v>USD</v>
          </cell>
          <cell r="I21">
            <v>77.2</v>
          </cell>
          <cell r="J21" t="str">
            <v>INR</v>
          </cell>
          <cell r="K21">
            <v>6692.57</v>
          </cell>
          <cell r="L21" t="str">
            <v>VAS Activity Charges for the month of August, 24</v>
          </cell>
          <cell r="M21">
            <v>6589</v>
          </cell>
          <cell r="N21">
            <v>103.56999999999969</v>
          </cell>
          <cell r="O21">
            <v>1.5475370448123769E-2</v>
          </cell>
          <cell r="Q21">
            <v>134</v>
          </cell>
          <cell r="R21">
            <v>6558.57</v>
          </cell>
          <cell r="S21">
            <v>1400000922</v>
          </cell>
          <cell r="T21">
            <v>6589</v>
          </cell>
        </row>
        <row r="22">
          <cell r="D22">
            <v>1800001962</v>
          </cell>
          <cell r="E22" t="str">
            <v>DR</v>
          </cell>
          <cell r="F22">
            <v>45733</v>
          </cell>
          <cell r="G22">
            <v>246779411627</v>
          </cell>
          <cell r="H22" t="str">
            <v>USD</v>
          </cell>
          <cell r="I22">
            <v>61.82</v>
          </cell>
          <cell r="J22" t="str">
            <v>INR</v>
          </cell>
          <cell r="K22">
            <v>5359.25</v>
          </cell>
          <cell r="L22" t="str">
            <v>VAS Activity Charges for the month of September, 2</v>
          </cell>
          <cell r="M22">
            <v>5258</v>
          </cell>
          <cell r="N22">
            <v>101.25</v>
          </cell>
          <cell r="O22">
            <v>1.8892568922890329E-2</v>
          </cell>
          <cell r="Q22">
            <v>107</v>
          </cell>
          <cell r="R22">
            <v>5252.25</v>
          </cell>
          <cell r="S22">
            <v>1400000922</v>
          </cell>
          <cell r="T22">
            <v>5258</v>
          </cell>
        </row>
        <row r="23">
          <cell r="D23">
            <v>1800001960</v>
          </cell>
          <cell r="E23" t="str">
            <v>DR</v>
          </cell>
          <cell r="F23">
            <v>45733</v>
          </cell>
          <cell r="G23">
            <v>246779411625</v>
          </cell>
          <cell r="H23" t="str">
            <v>USD</v>
          </cell>
          <cell r="I23">
            <v>69.819999999999993</v>
          </cell>
          <cell r="J23" t="str">
            <v>INR</v>
          </cell>
          <cell r="K23">
            <v>6052.78</v>
          </cell>
          <cell r="L23" t="str">
            <v>VAS Activity Charges for the month of September, 2</v>
          </cell>
          <cell r="M23">
            <v>5939</v>
          </cell>
          <cell r="N23">
            <v>113.7799999999997</v>
          </cell>
          <cell r="O23">
            <v>1.8797973823598369E-2</v>
          </cell>
          <cell r="Q23">
            <v>121</v>
          </cell>
          <cell r="R23">
            <v>5931.78</v>
          </cell>
          <cell r="S23">
            <v>1400000922</v>
          </cell>
          <cell r="T23">
            <v>5939</v>
          </cell>
        </row>
        <row r="24">
          <cell r="D24">
            <v>1800001961</v>
          </cell>
          <cell r="E24" t="str">
            <v>DR</v>
          </cell>
          <cell r="F24">
            <v>45733</v>
          </cell>
          <cell r="G24">
            <v>246779411626</v>
          </cell>
          <cell r="H24" t="str">
            <v>USD</v>
          </cell>
          <cell r="I24">
            <v>71.61</v>
          </cell>
          <cell r="J24" t="str">
            <v>INR</v>
          </cell>
          <cell r="K24">
            <v>6207.96</v>
          </cell>
          <cell r="L24" t="str">
            <v>VAS Activity Charges for the month of September, 2</v>
          </cell>
          <cell r="M24">
            <v>6091</v>
          </cell>
          <cell r="N24">
            <v>116.96</v>
          </cell>
          <cell r="O24">
            <v>1.8840327579430289E-2</v>
          </cell>
          <cell r="Q24">
            <v>124</v>
          </cell>
          <cell r="R24">
            <v>6083.96</v>
          </cell>
          <cell r="S24">
            <v>1400000922</v>
          </cell>
          <cell r="T24">
            <v>6091</v>
          </cell>
        </row>
        <row r="25">
          <cell r="D25">
            <v>1800002403</v>
          </cell>
          <cell r="E25" t="str">
            <v>DR</v>
          </cell>
          <cell r="F25">
            <v>45733</v>
          </cell>
          <cell r="G25">
            <v>246779412068</v>
          </cell>
          <cell r="H25" t="str">
            <v>USD</v>
          </cell>
          <cell r="I25">
            <v>122.18</v>
          </cell>
          <cell r="J25" t="str">
            <v>INR</v>
          </cell>
          <cell r="K25">
            <v>10591.94</v>
          </cell>
          <cell r="L25" t="str">
            <v>VAS Activity Charges for the month of December, 24</v>
          </cell>
          <cell r="M25">
            <v>10392</v>
          </cell>
          <cell r="N25">
            <v>199.94000000000051</v>
          </cell>
          <cell r="O25">
            <v>1.8876617503497992E-2</v>
          </cell>
          <cell r="Q25">
            <v>212</v>
          </cell>
          <cell r="R25">
            <v>10379.94</v>
          </cell>
          <cell r="S25">
            <v>1400000922</v>
          </cell>
          <cell r="T25">
            <v>10392</v>
          </cell>
        </row>
        <row r="26">
          <cell r="D26">
            <v>1800001959</v>
          </cell>
          <cell r="E26" t="str">
            <v>DR</v>
          </cell>
          <cell r="F26">
            <v>45733</v>
          </cell>
          <cell r="G26">
            <v>246779411624</v>
          </cell>
          <cell r="H26" t="str">
            <v>USD</v>
          </cell>
          <cell r="I26">
            <v>245.69</v>
          </cell>
          <cell r="J26" t="str">
            <v>INR</v>
          </cell>
          <cell r="K26">
            <v>21299.18</v>
          </cell>
          <cell r="L26" t="str">
            <v>VAS Activity Charges for the month of September, 2</v>
          </cell>
          <cell r="M26">
            <v>20898</v>
          </cell>
          <cell r="N26">
            <v>401.18000000000029</v>
          </cell>
          <cell r="O26">
            <v>1.883546690529872E-2</v>
          </cell>
          <cell r="Q26">
            <v>426</v>
          </cell>
          <cell r="R26">
            <v>20873.18</v>
          </cell>
          <cell r="S26">
            <v>1400000922</v>
          </cell>
          <cell r="T26">
            <v>20898</v>
          </cell>
        </row>
        <row r="27">
          <cell r="D27">
            <v>1800003353</v>
          </cell>
          <cell r="E27" t="str">
            <v>DR</v>
          </cell>
          <cell r="F27">
            <v>45735</v>
          </cell>
          <cell r="G27">
            <v>246779413220</v>
          </cell>
          <cell r="H27" t="str">
            <v>USD</v>
          </cell>
          <cell r="I27">
            <v>26.04</v>
          </cell>
          <cell r="J27" t="str">
            <v>INR</v>
          </cell>
          <cell r="K27">
            <v>2257.44</v>
          </cell>
          <cell r="L27" t="str">
            <v>HLBU3011446-Port SSR Shifting Jan 2025. Exch rate</v>
          </cell>
          <cell r="M27">
            <v>2207</v>
          </cell>
          <cell r="N27">
            <v>50.440000000000047</v>
          </cell>
          <cell r="O27">
            <v>2.2343893968388991E-2</v>
          </cell>
          <cell r="Q27">
            <v>45</v>
          </cell>
          <cell r="R27">
            <v>2212.44</v>
          </cell>
          <cell r="S27">
            <v>1400000922</v>
          </cell>
          <cell r="T27">
            <v>2207</v>
          </cell>
        </row>
        <row r="28">
          <cell r="D28">
            <v>1800003132</v>
          </cell>
          <cell r="E28" t="str">
            <v>DR</v>
          </cell>
          <cell r="F28">
            <v>45735</v>
          </cell>
          <cell r="G28">
            <v>246779412999</v>
          </cell>
          <cell r="H28" t="str">
            <v>USD</v>
          </cell>
          <cell r="I28">
            <v>186.08</v>
          </cell>
          <cell r="J28" t="str">
            <v>INR</v>
          </cell>
          <cell r="K28">
            <v>16131.51</v>
          </cell>
          <cell r="L28" t="str">
            <v>Fixed Storage Charges for Mar 2025</v>
          </cell>
          <cell r="M28">
            <v>14486</v>
          </cell>
          <cell r="N28">
            <v>1645.51</v>
          </cell>
          <cell r="O28">
            <v>0.1020059498459847</v>
          </cell>
          <cell r="Q28">
            <v>1610</v>
          </cell>
          <cell r="R28">
            <v>14521.51</v>
          </cell>
          <cell r="S28">
            <v>1400000922</v>
          </cell>
          <cell r="T28">
            <v>14486</v>
          </cell>
        </row>
        <row r="29">
          <cell r="D29">
            <v>1800004362</v>
          </cell>
          <cell r="E29" t="str">
            <v>DR</v>
          </cell>
          <cell r="F29">
            <v>45736</v>
          </cell>
          <cell r="G29">
            <v>246779414230</v>
          </cell>
          <cell r="H29" t="str">
            <v>USD</v>
          </cell>
          <cell r="I29">
            <v>1</v>
          </cell>
          <cell r="J29" t="str">
            <v>INR</v>
          </cell>
          <cell r="K29">
            <v>86.69</v>
          </cell>
          <cell r="L29" t="str">
            <v>Loose loading Handling charges for Sep 2024</v>
          </cell>
          <cell r="M29">
            <v>84</v>
          </cell>
          <cell r="N29">
            <v>2.6899999999999982</v>
          </cell>
          <cell r="O29">
            <v>3.1030107278809529E-2</v>
          </cell>
          <cell r="Q29">
            <v>2</v>
          </cell>
          <cell r="R29">
            <v>84.69</v>
          </cell>
          <cell r="S29">
            <v>1400000922</v>
          </cell>
          <cell r="T29">
            <v>84</v>
          </cell>
        </row>
        <row r="30">
          <cell r="D30">
            <v>1800004038</v>
          </cell>
          <cell r="E30" t="str">
            <v>DR</v>
          </cell>
          <cell r="F30">
            <v>45736</v>
          </cell>
          <cell r="G30">
            <v>246779413894</v>
          </cell>
          <cell r="H30" t="str">
            <v>USD</v>
          </cell>
          <cell r="I30">
            <v>2</v>
          </cell>
          <cell r="J30" t="str">
            <v>INR</v>
          </cell>
          <cell r="K30">
            <v>173.38</v>
          </cell>
          <cell r="L30" t="str">
            <v>Outbound Handling charges for Feb 2025</v>
          </cell>
          <cell r="M30">
            <v>170</v>
          </cell>
          <cell r="N30">
            <v>3.379999999999995</v>
          </cell>
          <cell r="O30">
            <v>1.949475141308107E-2</v>
          </cell>
          <cell r="Q30">
            <v>3</v>
          </cell>
          <cell r="R30">
            <v>170.38</v>
          </cell>
          <cell r="S30">
            <v>1400000922</v>
          </cell>
          <cell r="T30">
            <v>170</v>
          </cell>
        </row>
        <row r="31">
          <cell r="D31">
            <v>1800004055</v>
          </cell>
          <cell r="E31" t="str">
            <v>DR</v>
          </cell>
          <cell r="F31">
            <v>45736</v>
          </cell>
          <cell r="G31">
            <v>246779413911</v>
          </cell>
          <cell r="H31" t="str">
            <v>USD</v>
          </cell>
          <cell r="I31">
            <v>1.99</v>
          </cell>
          <cell r="J31" t="str">
            <v>INR</v>
          </cell>
          <cell r="K31">
            <v>172.52</v>
          </cell>
          <cell r="L31" t="str">
            <v>Outbound Handling charges for Feb 2025</v>
          </cell>
          <cell r="M31">
            <v>169</v>
          </cell>
          <cell r="N31">
            <v>3.5200000000000098</v>
          </cell>
          <cell r="O31">
            <v>2.0403431486204559E-2</v>
          </cell>
          <cell r="Q31">
            <v>3</v>
          </cell>
          <cell r="R31">
            <v>169.52</v>
          </cell>
          <cell r="S31">
            <v>1400000922</v>
          </cell>
          <cell r="T31">
            <v>169</v>
          </cell>
        </row>
        <row r="32">
          <cell r="D32">
            <v>1800004045</v>
          </cell>
          <cell r="E32" t="str">
            <v>DR</v>
          </cell>
          <cell r="F32">
            <v>45736</v>
          </cell>
          <cell r="G32">
            <v>246779413901</v>
          </cell>
          <cell r="H32" t="str">
            <v>USD</v>
          </cell>
          <cell r="I32">
            <v>1.75</v>
          </cell>
          <cell r="J32" t="str">
            <v>INR</v>
          </cell>
          <cell r="K32">
            <v>151.71</v>
          </cell>
          <cell r="L32" t="str">
            <v>Outbound Handling charges for Feb 2025</v>
          </cell>
          <cell r="M32">
            <v>148</v>
          </cell>
          <cell r="N32">
            <v>3.710000000000008</v>
          </cell>
          <cell r="O32">
            <v>2.4454551446839411E-2</v>
          </cell>
          <cell r="Q32">
            <v>3</v>
          </cell>
          <cell r="R32">
            <v>148.71</v>
          </cell>
          <cell r="S32">
            <v>1400000922</v>
          </cell>
          <cell r="T32">
            <v>148</v>
          </cell>
        </row>
        <row r="33">
          <cell r="D33">
            <v>1800004037</v>
          </cell>
          <cell r="E33" t="str">
            <v>DR</v>
          </cell>
          <cell r="F33">
            <v>45736</v>
          </cell>
          <cell r="G33">
            <v>246779413893</v>
          </cell>
          <cell r="H33" t="str">
            <v>USD</v>
          </cell>
          <cell r="I33">
            <v>1.75</v>
          </cell>
          <cell r="J33" t="str">
            <v>INR</v>
          </cell>
          <cell r="K33">
            <v>151.71</v>
          </cell>
          <cell r="L33" t="str">
            <v>Outbound Handling charges for Feb 2025</v>
          </cell>
          <cell r="M33">
            <v>148</v>
          </cell>
          <cell r="N33">
            <v>3.710000000000008</v>
          </cell>
          <cell r="O33">
            <v>2.4454551446839411E-2</v>
          </cell>
          <cell r="Q33">
            <v>3</v>
          </cell>
          <cell r="R33">
            <v>148.71</v>
          </cell>
          <cell r="S33">
            <v>1400000922</v>
          </cell>
          <cell r="T33">
            <v>148</v>
          </cell>
        </row>
        <row r="34">
          <cell r="D34">
            <v>1800004873</v>
          </cell>
          <cell r="E34" t="str">
            <v>DR</v>
          </cell>
          <cell r="F34">
            <v>45736</v>
          </cell>
          <cell r="G34">
            <v>246779414741</v>
          </cell>
          <cell r="H34" t="str">
            <v>USD</v>
          </cell>
          <cell r="I34">
            <v>1.97</v>
          </cell>
          <cell r="J34" t="str">
            <v>INR</v>
          </cell>
          <cell r="K34">
            <v>170.78</v>
          </cell>
          <cell r="L34" t="str">
            <v>Loose Loading Handling charges for Jan 2025</v>
          </cell>
          <cell r="M34">
            <v>167</v>
          </cell>
          <cell r="N34">
            <v>3.7800000000000011</v>
          </cell>
          <cell r="O34">
            <v>2.213373931373698E-2</v>
          </cell>
          <cell r="Q34">
            <v>3</v>
          </cell>
          <cell r="R34">
            <v>167.78</v>
          </cell>
          <cell r="S34">
            <v>1400000922</v>
          </cell>
          <cell r="T34">
            <v>167</v>
          </cell>
        </row>
        <row r="35">
          <cell r="D35">
            <v>1800005034</v>
          </cell>
          <cell r="E35" t="str">
            <v>DR</v>
          </cell>
          <cell r="F35">
            <v>45736</v>
          </cell>
          <cell r="G35">
            <v>246779414902</v>
          </cell>
          <cell r="H35" t="str">
            <v>USD</v>
          </cell>
          <cell r="I35">
            <v>3.52</v>
          </cell>
          <cell r="J35" t="str">
            <v>INR</v>
          </cell>
          <cell r="K35">
            <v>305.14999999999998</v>
          </cell>
          <cell r="L35" t="str">
            <v>Outbound Handling charges for Jan 2025</v>
          </cell>
          <cell r="M35">
            <v>298</v>
          </cell>
          <cell r="N35">
            <v>7.1499999999999773</v>
          </cell>
          <cell r="O35">
            <v>2.3431099459282251E-2</v>
          </cell>
          <cell r="Q35">
            <v>6</v>
          </cell>
          <cell r="R35">
            <v>299.14999999999998</v>
          </cell>
          <cell r="S35">
            <v>1400000922</v>
          </cell>
          <cell r="T35">
            <v>298</v>
          </cell>
        </row>
        <row r="36">
          <cell r="D36">
            <v>1800004605</v>
          </cell>
          <cell r="E36" t="str">
            <v>DR</v>
          </cell>
          <cell r="F36">
            <v>45736</v>
          </cell>
          <cell r="G36">
            <v>246779414473</v>
          </cell>
          <cell r="H36" t="str">
            <v>USD</v>
          </cell>
          <cell r="I36">
            <v>6.38</v>
          </cell>
          <cell r="J36" t="str">
            <v>INR</v>
          </cell>
          <cell r="K36">
            <v>553.09</v>
          </cell>
          <cell r="L36" t="str">
            <v>Loose Unloading charges for Jan 2025</v>
          </cell>
          <cell r="M36">
            <v>540</v>
          </cell>
          <cell r="N36">
            <v>13.09000000000003</v>
          </cell>
          <cell r="O36">
            <v>2.3667034298215539E-2</v>
          </cell>
          <cell r="Q36">
            <v>11</v>
          </cell>
          <cell r="R36">
            <v>542.09</v>
          </cell>
          <cell r="S36">
            <v>1400000922</v>
          </cell>
          <cell r="T36">
            <v>540</v>
          </cell>
        </row>
        <row r="37">
          <cell r="D37">
            <v>1800005033</v>
          </cell>
          <cell r="E37" t="str">
            <v>DR</v>
          </cell>
          <cell r="F37">
            <v>45736</v>
          </cell>
          <cell r="G37">
            <v>246779414901</v>
          </cell>
          <cell r="H37" t="str">
            <v>USD</v>
          </cell>
          <cell r="I37">
            <v>6.13</v>
          </cell>
          <cell r="J37" t="str">
            <v>INR</v>
          </cell>
          <cell r="K37">
            <v>531.41999999999996</v>
          </cell>
          <cell r="L37" t="str">
            <v>Outbound Handling charges for Jan 2025</v>
          </cell>
          <cell r="M37">
            <v>518</v>
          </cell>
          <cell r="N37">
            <v>13.419999999999961</v>
          </cell>
          <cell r="O37">
            <v>2.525309548003455E-2</v>
          </cell>
          <cell r="Q37">
            <v>11</v>
          </cell>
          <cell r="R37">
            <v>520.41999999999996</v>
          </cell>
          <cell r="S37">
            <v>1400000922</v>
          </cell>
          <cell r="T37">
            <v>518</v>
          </cell>
        </row>
        <row r="38">
          <cell r="D38">
            <v>1800004742</v>
          </cell>
          <cell r="E38" t="str">
            <v>DR</v>
          </cell>
          <cell r="F38">
            <v>45736</v>
          </cell>
          <cell r="G38">
            <v>246779414610</v>
          </cell>
          <cell r="H38" t="str">
            <v>USD</v>
          </cell>
          <cell r="I38">
            <v>7</v>
          </cell>
          <cell r="J38" t="str">
            <v>INR</v>
          </cell>
          <cell r="K38">
            <v>606.84</v>
          </cell>
          <cell r="L38" t="str">
            <v>Outbound Handling charges for Oct 2024</v>
          </cell>
          <cell r="M38">
            <v>592</v>
          </cell>
          <cell r="N38">
            <v>14.84000000000003</v>
          </cell>
          <cell r="O38">
            <v>2.4454551446839411E-2</v>
          </cell>
          <cell r="Q38">
            <v>12</v>
          </cell>
          <cell r="R38">
            <v>594.84</v>
          </cell>
          <cell r="S38">
            <v>1400000922</v>
          </cell>
          <cell r="T38">
            <v>592</v>
          </cell>
        </row>
        <row r="39">
          <cell r="D39">
            <v>1800004361</v>
          </cell>
          <cell r="E39" t="str">
            <v>DR</v>
          </cell>
          <cell r="F39">
            <v>45736</v>
          </cell>
          <cell r="G39">
            <v>246779414229</v>
          </cell>
          <cell r="H39" t="str">
            <v>USD</v>
          </cell>
          <cell r="I39">
            <v>9.1</v>
          </cell>
          <cell r="J39" t="str">
            <v>INR</v>
          </cell>
          <cell r="K39">
            <v>788.89</v>
          </cell>
          <cell r="L39" t="str">
            <v>Outbound Handling charges for Sep 2024</v>
          </cell>
          <cell r="M39">
            <v>769</v>
          </cell>
          <cell r="N39">
            <v>19.88999999999999</v>
          </cell>
          <cell r="O39">
            <v>2.5212640545576679E-2</v>
          </cell>
          <cell r="Q39">
            <v>16</v>
          </cell>
          <cell r="R39">
            <v>772.89</v>
          </cell>
          <cell r="S39">
            <v>1400000922</v>
          </cell>
          <cell r="T39">
            <v>769</v>
          </cell>
        </row>
        <row r="40">
          <cell r="D40">
            <v>1800004820</v>
          </cell>
          <cell r="E40" t="str">
            <v>DR</v>
          </cell>
          <cell r="F40">
            <v>45736</v>
          </cell>
          <cell r="G40">
            <v>246779414688</v>
          </cell>
          <cell r="H40" t="str">
            <v>USD</v>
          </cell>
          <cell r="I40">
            <v>9.9</v>
          </cell>
          <cell r="J40" t="str">
            <v>INR</v>
          </cell>
          <cell r="K40">
            <v>858.24</v>
          </cell>
          <cell r="L40" t="str">
            <v>Loose handling Charges for Nov 2024</v>
          </cell>
          <cell r="M40">
            <v>837</v>
          </cell>
          <cell r="N40">
            <v>21.240000000000009</v>
          </cell>
          <cell r="O40">
            <v>2.474832214765102E-2</v>
          </cell>
          <cell r="Q40">
            <v>17</v>
          </cell>
          <cell r="R40">
            <v>841.24</v>
          </cell>
          <cell r="S40">
            <v>1400000922</v>
          </cell>
          <cell r="T40">
            <v>837</v>
          </cell>
        </row>
        <row r="41">
          <cell r="D41">
            <v>1800004534</v>
          </cell>
          <cell r="E41" t="str">
            <v>DR</v>
          </cell>
          <cell r="F41">
            <v>45736</v>
          </cell>
          <cell r="G41">
            <v>246779414402</v>
          </cell>
          <cell r="H41" t="str">
            <v>USD</v>
          </cell>
          <cell r="I41">
            <v>10.5</v>
          </cell>
          <cell r="J41" t="str">
            <v>INR</v>
          </cell>
          <cell r="K41">
            <v>910.26</v>
          </cell>
          <cell r="L41" t="str">
            <v>Inbound Handling charges for Nov 2024</v>
          </cell>
          <cell r="M41">
            <v>888</v>
          </cell>
          <cell r="N41">
            <v>22.259999999999991</v>
          </cell>
          <cell r="O41">
            <v>2.4454551446839359E-2</v>
          </cell>
          <cell r="Q41">
            <v>18</v>
          </cell>
          <cell r="R41">
            <v>892.26</v>
          </cell>
          <cell r="S41">
            <v>1400000922</v>
          </cell>
          <cell r="T41">
            <v>888</v>
          </cell>
        </row>
        <row r="42">
          <cell r="D42">
            <v>1800004282</v>
          </cell>
          <cell r="E42" t="str">
            <v>DR</v>
          </cell>
          <cell r="F42">
            <v>45736</v>
          </cell>
          <cell r="G42">
            <v>246779414150</v>
          </cell>
          <cell r="H42" t="str">
            <v>USD</v>
          </cell>
          <cell r="I42">
            <v>12.25</v>
          </cell>
          <cell r="J42" t="str">
            <v>INR</v>
          </cell>
          <cell r="K42">
            <v>1061.97</v>
          </cell>
          <cell r="L42" t="str">
            <v>Inbound Handling charges for  Sep 2024</v>
          </cell>
          <cell r="M42">
            <v>1036</v>
          </cell>
          <cell r="N42">
            <v>25.970000000000031</v>
          </cell>
          <cell r="O42">
            <v>2.445455144683939E-2</v>
          </cell>
          <cell r="Q42">
            <v>21</v>
          </cell>
          <cell r="R42">
            <v>1040.97</v>
          </cell>
          <cell r="S42">
            <v>1400000922</v>
          </cell>
          <cell r="T42">
            <v>1036</v>
          </cell>
        </row>
        <row r="43">
          <cell r="D43">
            <v>1800004283</v>
          </cell>
          <cell r="E43" t="str">
            <v>DR</v>
          </cell>
          <cell r="F43">
            <v>45736</v>
          </cell>
          <cell r="G43">
            <v>246779414151</v>
          </cell>
          <cell r="H43" t="str">
            <v>USD</v>
          </cell>
          <cell r="I43">
            <v>15</v>
          </cell>
          <cell r="J43" t="str">
            <v>INR</v>
          </cell>
          <cell r="K43">
            <v>1300.3699999999999</v>
          </cell>
          <cell r="L43" t="str">
            <v>LCL charges for Sep 2024</v>
          </cell>
          <cell r="M43">
            <v>1269</v>
          </cell>
          <cell r="N43">
            <v>31.369999999999891</v>
          </cell>
          <cell r="O43">
            <v>2.412390319678237E-2</v>
          </cell>
          <cell r="Q43">
            <v>26</v>
          </cell>
          <cell r="R43">
            <v>1274.3699999999999</v>
          </cell>
          <cell r="S43">
            <v>1400000922</v>
          </cell>
          <cell r="T43">
            <v>1269</v>
          </cell>
        </row>
        <row r="44">
          <cell r="D44">
            <v>1800004535</v>
          </cell>
          <cell r="E44" t="str">
            <v>DR</v>
          </cell>
          <cell r="F44">
            <v>45736</v>
          </cell>
          <cell r="G44">
            <v>246779414403</v>
          </cell>
          <cell r="H44" t="str">
            <v>USD</v>
          </cell>
          <cell r="I44">
            <v>15</v>
          </cell>
          <cell r="J44" t="str">
            <v>INR</v>
          </cell>
          <cell r="K44">
            <v>1300.3699999999999</v>
          </cell>
          <cell r="L44" t="str">
            <v>LCL Movement Charges for Nov 2024</v>
          </cell>
          <cell r="M44">
            <v>1269</v>
          </cell>
          <cell r="N44">
            <v>31.369999999999891</v>
          </cell>
          <cell r="O44">
            <v>2.412390319678237E-2</v>
          </cell>
          <cell r="Q44">
            <v>26</v>
          </cell>
          <cell r="R44">
            <v>1274.3699999999999</v>
          </cell>
          <cell r="S44">
            <v>1400000922</v>
          </cell>
          <cell r="T44">
            <v>1269</v>
          </cell>
        </row>
        <row r="45">
          <cell r="D45">
            <v>1800004057</v>
          </cell>
          <cell r="E45" t="str">
            <v>DR</v>
          </cell>
          <cell r="F45">
            <v>45736</v>
          </cell>
          <cell r="G45">
            <v>246779413913</v>
          </cell>
          <cell r="H45" t="str">
            <v>USD</v>
          </cell>
          <cell r="I45">
            <v>14.8</v>
          </cell>
          <cell r="J45" t="str">
            <v>INR</v>
          </cell>
          <cell r="K45">
            <v>1283.03</v>
          </cell>
          <cell r="L45" t="str">
            <v>Outbound Handling charges for Feb 2025</v>
          </cell>
          <cell r="M45">
            <v>1251</v>
          </cell>
          <cell r="N45">
            <v>32.029999999999973</v>
          </cell>
          <cell r="O45">
            <v>2.496434222114835E-2</v>
          </cell>
          <cell r="Q45">
            <v>26</v>
          </cell>
          <cell r="R45">
            <v>1257.03</v>
          </cell>
          <cell r="S45">
            <v>1400000922</v>
          </cell>
          <cell r="T45">
            <v>1251</v>
          </cell>
        </row>
        <row r="46">
          <cell r="D46">
            <v>1800004604</v>
          </cell>
          <cell r="E46" t="str">
            <v>DR</v>
          </cell>
          <cell r="F46">
            <v>45736</v>
          </cell>
          <cell r="G46">
            <v>246779414472</v>
          </cell>
          <cell r="H46" t="str">
            <v>USD</v>
          </cell>
          <cell r="I46">
            <v>18.170000000000002</v>
          </cell>
          <cell r="J46" t="str">
            <v>INR</v>
          </cell>
          <cell r="K46">
            <v>1575.18</v>
          </cell>
          <cell r="L46" t="str">
            <v>Inbound Handling charges for Jan 2025</v>
          </cell>
          <cell r="M46">
            <v>1537</v>
          </cell>
          <cell r="N46">
            <v>38.180000000000057</v>
          </cell>
          <cell r="O46">
            <v>2.4238499727015361E-2</v>
          </cell>
          <cell r="Q46">
            <v>31</v>
          </cell>
          <cell r="R46">
            <v>1544.18</v>
          </cell>
          <cell r="S46">
            <v>1400000922</v>
          </cell>
          <cell r="T46">
            <v>1537</v>
          </cell>
        </row>
        <row r="47">
          <cell r="D47">
            <v>1800004198</v>
          </cell>
          <cell r="E47" t="str">
            <v>DR</v>
          </cell>
          <cell r="F47">
            <v>45736</v>
          </cell>
          <cell r="G47">
            <v>246779414066</v>
          </cell>
          <cell r="H47" t="str">
            <v>USD</v>
          </cell>
          <cell r="I47">
            <v>21.13</v>
          </cell>
          <cell r="J47" t="str">
            <v>INR</v>
          </cell>
          <cell r="K47">
            <v>1831.79</v>
          </cell>
          <cell r="L47" t="str">
            <v>Inbound Handling charges for Jan 2025</v>
          </cell>
          <cell r="M47">
            <v>1788</v>
          </cell>
          <cell r="N47">
            <v>43.789999999999957</v>
          </cell>
          <cell r="O47">
            <v>2.390557869624791E-2</v>
          </cell>
          <cell r="Q47">
            <v>36</v>
          </cell>
          <cell r="R47">
            <v>1795.79</v>
          </cell>
          <cell r="S47">
            <v>1400000922</v>
          </cell>
          <cell r="T47">
            <v>1788</v>
          </cell>
        </row>
        <row r="48">
          <cell r="D48">
            <v>1800005031</v>
          </cell>
          <cell r="E48" t="str">
            <v>DR</v>
          </cell>
          <cell r="F48">
            <v>45736</v>
          </cell>
          <cell r="G48">
            <v>246779414899</v>
          </cell>
          <cell r="H48" t="str">
            <v>USD</v>
          </cell>
          <cell r="I48">
            <v>51.6</v>
          </cell>
          <cell r="J48" t="str">
            <v>INR</v>
          </cell>
          <cell r="K48">
            <v>4473.2700000000004</v>
          </cell>
          <cell r="L48" t="str">
            <v>Outbound Handling charges for Jan 2025</v>
          </cell>
          <cell r="M48">
            <v>4384</v>
          </cell>
          <cell r="N48">
            <v>89.270000000000437</v>
          </cell>
          <cell r="O48">
            <v>1.9956318308530549E-2</v>
          </cell>
          <cell r="Q48">
            <v>89</v>
          </cell>
          <cell r="R48">
            <v>4384.2700000000004</v>
          </cell>
          <cell r="S48">
            <v>1400000922</v>
          </cell>
          <cell r="T48">
            <v>4384</v>
          </cell>
        </row>
        <row r="49">
          <cell r="D49">
            <v>1800005028</v>
          </cell>
          <cell r="E49" t="str">
            <v>DR</v>
          </cell>
          <cell r="F49">
            <v>45736</v>
          </cell>
          <cell r="G49">
            <v>246779414896</v>
          </cell>
          <cell r="H49" t="str">
            <v>USD</v>
          </cell>
          <cell r="I49">
            <v>43</v>
          </cell>
          <cell r="J49" t="str">
            <v>INR</v>
          </cell>
          <cell r="K49">
            <v>3727.72</v>
          </cell>
          <cell r="L49" t="str">
            <v>Outbound Handling charges for Jan 2025</v>
          </cell>
          <cell r="M49">
            <v>3637</v>
          </cell>
          <cell r="N49">
            <v>90.7199999999998</v>
          </cell>
          <cell r="O49">
            <v>2.4336591804105401E-2</v>
          </cell>
          <cell r="Q49">
            <v>74</v>
          </cell>
          <cell r="R49">
            <v>3653.72</v>
          </cell>
          <cell r="S49">
            <v>1400000922</v>
          </cell>
          <cell r="T49">
            <v>3637</v>
          </cell>
        </row>
        <row r="50">
          <cell r="D50">
            <v>1800005029</v>
          </cell>
          <cell r="E50" t="str">
            <v>DR</v>
          </cell>
          <cell r="F50">
            <v>45736</v>
          </cell>
          <cell r="G50">
            <v>246779414897</v>
          </cell>
          <cell r="H50" t="str">
            <v>USD</v>
          </cell>
          <cell r="I50">
            <v>47.3</v>
          </cell>
          <cell r="J50" t="str">
            <v>INR</v>
          </cell>
          <cell r="K50">
            <v>4100.5</v>
          </cell>
          <cell r="L50" t="str">
            <v>Outbound Handling charges for Jan 2025</v>
          </cell>
          <cell r="M50">
            <v>4000</v>
          </cell>
          <cell r="N50">
            <v>100.5</v>
          </cell>
          <cell r="O50">
            <v>2.4509206194366539E-2</v>
          </cell>
          <cell r="Q50">
            <v>82</v>
          </cell>
          <cell r="R50">
            <v>4018.5</v>
          </cell>
          <cell r="S50">
            <v>1400000922</v>
          </cell>
          <cell r="T50">
            <v>4000</v>
          </cell>
        </row>
        <row r="51">
          <cell r="D51">
            <v>1800004821</v>
          </cell>
          <cell r="E51" t="str">
            <v>DR</v>
          </cell>
          <cell r="F51">
            <v>45736</v>
          </cell>
          <cell r="G51">
            <v>246779414689</v>
          </cell>
          <cell r="H51" t="str">
            <v>USD</v>
          </cell>
          <cell r="I51">
            <v>50.75</v>
          </cell>
          <cell r="J51" t="str">
            <v>INR</v>
          </cell>
          <cell r="K51">
            <v>4399.58</v>
          </cell>
          <cell r="L51" t="str">
            <v>Outbound Handling charges for Nov 2024</v>
          </cell>
          <cell r="M51">
            <v>4292</v>
          </cell>
          <cell r="N51">
            <v>107.5799999999999</v>
          </cell>
          <cell r="O51">
            <v>2.4452334086435511E-2</v>
          </cell>
          <cell r="Q51">
            <v>88</v>
          </cell>
          <cell r="R51">
            <v>4311.58</v>
          </cell>
          <cell r="S51">
            <v>1400000922</v>
          </cell>
          <cell r="T51">
            <v>4292</v>
          </cell>
        </row>
        <row r="52">
          <cell r="D52">
            <v>1800005032</v>
          </cell>
          <cell r="E52" t="str">
            <v>DR</v>
          </cell>
          <cell r="F52">
            <v>45736</v>
          </cell>
          <cell r="G52">
            <v>246779414900</v>
          </cell>
          <cell r="H52" t="str">
            <v>USD</v>
          </cell>
          <cell r="I52">
            <v>51.6</v>
          </cell>
          <cell r="J52" t="str">
            <v>INR</v>
          </cell>
          <cell r="K52">
            <v>4473.2700000000004</v>
          </cell>
          <cell r="L52" t="str">
            <v>Outbound Handling charges for Jan 2025</v>
          </cell>
          <cell r="M52">
            <v>4364</v>
          </cell>
          <cell r="N52">
            <v>109.27000000000039</v>
          </cell>
          <cell r="O52">
            <v>2.4427320506028121E-2</v>
          </cell>
          <cell r="Q52">
            <v>89</v>
          </cell>
          <cell r="R52">
            <v>4384.2700000000004</v>
          </cell>
          <cell r="S52">
            <v>1400000922</v>
          </cell>
          <cell r="T52">
            <v>4364</v>
          </cell>
        </row>
        <row r="53">
          <cell r="D53">
            <v>1800004606</v>
          </cell>
          <cell r="E53" t="str">
            <v>DR</v>
          </cell>
          <cell r="F53">
            <v>45736</v>
          </cell>
          <cell r="G53">
            <v>246779414474</v>
          </cell>
          <cell r="H53" t="str">
            <v>USD</v>
          </cell>
          <cell r="I53">
            <v>60</v>
          </cell>
          <cell r="J53" t="str">
            <v>INR</v>
          </cell>
          <cell r="K53">
            <v>5201.4799999999996</v>
          </cell>
          <cell r="L53" t="str">
            <v>LCL charges for Jan 2025</v>
          </cell>
          <cell r="M53">
            <v>5074</v>
          </cell>
          <cell r="N53">
            <v>127.47999999999961</v>
          </cell>
          <cell r="O53">
            <v>2.450840914508939E-2</v>
          </cell>
          <cell r="Q53">
            <v>104</v>
          </cell>
          <cell r="R53">
            <v>5097.4799999999996</v>
          </cell>
          <cell r="S53">
            <v>1400000922</v>
          </cell>
          <cell r="T53">
            <v>3681</v>
          </cell>
        </row>
        <row r="54">
          <cell r="D54">
            <v>1800004606</v>
          </cell>
          <cell r="E54" t="str">
            <v>DR</v>
          </cell>
          <cell r="F54">
            <v>45736</v>
          </cell>
          <cell r="G54">
            <v>246779414474</v>
          </cell>
          <cell r="H54" t="str">
            <v>USD</v>
          </cell>
          <cell r="I54">
            <v>60</v>
          </cell>
          <cell r="J54" t="str">
            <v>INR</v>
          </cell>
          <cell r="K54">
            <v>5201.4799999999996</v>
          </cell>
          <cell r="L54" t="str">
            <v>LCL charges for Jan 2025</v>
          </cell>
          <cell r="M54">
            <v>5074</v>
          </cell>
          <cell r="N54">
            <v>127.47999999999961</v>
          </cell>
          <cell r="O54">
            <v>2.450840914508939E-2</v>
          </cell>
          <cell r="Q54">
            <v>104</v>
          </cell>
          <cell r="R54">
            <v>5097.4799999999996</v>
          </cell>
          <cell r="S54">
            <v>1400000941</v>
          </cell>
          <cell r="T54">
            <v>1393</v>
          </cell>
        </row>
        <row r="55">
          <cell r="D55">
            <v>1800005027</v>
          </cell>
          <cell r="E55" t="str">
            <v>DR</v>
          </cell>
          <cell r="F55">
            <v>45736</v>
          </cell>
          <cell r="G55">
            <v>246779414895</v>
          </cell>
          <cell r="H55" t="str">
            <v>USD</v>
          </cell>
          <cell r="I55">
            <v>60</v>
          </cell>
          <cell r="J55" t="str">
            <v>INR</v>
          </cell>
          <cell r="K55">
            <v>5201.4799999999996</v>
          </cell>
          <cell r="L55" t="str">
            <v>Outbound Handling charges for Jan 2025</v>
          </cell>
          <cell r="M55">
            <v>5074</v>
          </cell>
          <cell r="N55">
            <v>127.47999999999961</v>
          </cell>
          <cell r="O55">
            <v>2.450840914508939E-2</v>
          </cell>
          <cell r="Q55">
            <v>104</v>
          </cell>
          <cell r="R55">
            <v>5097.4799999999996</v>
          </cell>
          <cell r="S55">
            <v>1400000941</v>
          </cell>
          <cell r="T55">
            <v>5074</v>
          </cell>
        </row>
        <row r="56">
          <cell r="D56">
            <v>1800004822</v>
          </cell>
          <cell r="E56" t="str">
            <v>DR</v>
          </cell>
          <cell r="F56">
            <v>45736</v>
          </cell>
          <cell r="G56">
            <v>246779414690</v>
          </cell>
          <cell r="H56" t="str">
            <v>USD</v>
          </cell>
          <cell r="I56">
            <v>60</v>
          </cell>
          <cell r="J56" t="str">
            <v>INR</v>
          </cell>
          <cell r="K56">
            <v>5201.4799999999996</v>
          </cell>
          <cell r="L56" t="str">
            <v>CY-MOVEMENT CHARGES for Nov 2024</v>
          </cell>
          <cell r="M56">
            <v>5074</v>
          </cell>
          <cell r="N56">
            <v>127.47999999999961</v>
          </cell>
          <cell r="O56">
            <v>2.450840914508939E-2</v>
          </cell>
          <cell r="Q56">
            <v>104</v>
          </cell>
          <cell r="R56">
            <v>5097.4799999999996</v>
          </cell>
          <cell r="S56">
            <v>1400000941</v>
          </cell>
          <cell r="T56">
            <v>5074</v>
          </cell>
        </row>
        <row r="57">
          <cell r="D57">
            <v>1800005030</v>
          </cell>
          <cell r="E57" t="str">
            <v>DR</v>
          </cell>
          <cell r="F57">
            <v>45736</v>
          </cell>
          <cell r="G57">
            <v>246779414898</v>
          </cell>
          <cell r="H57" t="str">
            <v>USD</v>
          </cell>
          <cell r="I57">
            <v>94.6</v>
          </cell>
          <cell r="J57" t="str">
            <v>INR</v>
          </cell>
          <cell r="K57">
            <v>8200.99</v>
          </cell>
          <cell r="L57" t="str">
            <v>Outbound Handling charges for Jan 2025</v>
          </cell>
          <cell r="M57">
            <v>8001</v>
          </cell>
          <cell r="N57">
            <v>199.98999999999981</v>
          </cell>
          <cell r="O57">
            <v>2.4386080217144491E-2</v>
          </cell>
          <cell r="Q57">
            <v>163</v>
          </cell>
          <cell r="R57">
            <v>8037.99</v>
          </cell>
          <cell r="S57">
            <v>1400000941</v>
          </cell>
          <cell r="T57">
            <v>8001</v>
          </cell>
        </row>
        <row r="58">
          <cell r="D58">
            <v>1800004872</v>
          </cell>
          <cell r="E58" t="str">
            <v>DR</v>
          </cell>
          <cell r="F58">
            <v>45736</v>
          </cell>
          <cell r="G58">
            <v>246779414740</v>
          </cell>
          <cell r="H58" t="str">
            <v>USD</v>
          </cell>
          <cell r="I58">
            <v>111.18</v>
          </cell>
          <cell r="J58" t="str">
            <v>INR</v>
          </cell>
          <cell r="K58">
            <v>9638.33</v>
          </cell>
          <cell r="L58" t="str">
            <v>Outbound Handling charges for Jan 2025</v>
          </cell>
          <cell r="M58">
            <v>9403</v>
          </cell>
          <cell r="N58">
            <v>235.3299999999999</v>
          </cell>
          <cell r="O58">
            <v>2.4416055478490559E-2</v>
          </cell>
          <cell r="Q58">
            <v>192</v>
          </cell>
          <cell r="R58">
            <v>9446.33</v>
          </cell>
          <cell r="S58">
            <v>1400000941</v>
          </cell>
          <cell r="T58">
            <v>9403</v>
          </cell>
        </row>
        <row r="59">
          <cell r="D59">
            <v>1800004028</v>
          </cell>
          <cell r="E59" t="str">
            <v>DR</v>
          </cell>
          <cell r="F59">
            <v>45736</v>
          </cell>
          <cell r="G59">
            <v>246779413884</v>
          </cell>
          <cell r="H59" t="str">
            <v>USD</v>
          </cell>
          <cell r="I59">
            <v>128.52000000000001</v>
          </cell>
          <cell r="J59" t="str">
            <v>INR</v>
          </cell>
          <cell r="K59">
            <v>11141.56</v>
          </cell>
          <cell r="L59" t="str">
            <v>Outbound Handling charges for Feb 2025</v>
          </cell>
          <cell r="M59">
            <v>10870</v>
          </cell>
          <cell r="N59">
            <v>271.55999999999949</v>
          </cell>
          <cell r="O59">
            <v>2.437360656855948E-2</v>
          </cell>
          <cell r="Q59">
            <v>222</v>
          </cell>
          <cell r="R59">
            <v>10919.56</v>
          </cell>
          <cell r="S59">
            <v>1400000941</v>
          </cell>
          <cell r="T59">
            <v>10870</v>
          </cell>
        </row>
        <row r="60">
          <cell r="D60">
            <v>1800004194</v>
          </cell>
          <cell r="E60" t="str">
            <v>DR</v>
          </cell>
          <cell r="F60">
            <v>45736</v>
          </cell>
          <cell r="G60">
            <v>246779414062</v>
          </cell>
          <cell r="H60" t="str">
            <v>USD</v>
          </cell>
          <cell r="I60">
            <v>251.5</v>
          </cell>
          <cell r="J60" t="str">
            <v>INR</v>
          </cell>
          <cell r="K60">
            <v>21802.85</v>
          </cell>
          <cell r="L60" t="str">
            <v>Inbound Handling charges for Jan 2025</v>
          </cell>
          <cell r="M60">
            <v>21271</v>
          </cell>
          <cell r="N60">
            <v>531.84999999999854</v>
          </cell>
          <cell r="O60">
            <v>2.4393599919276539E-2</v>
          </cell>
          <cell r="Q60">
            <v>434</v>
          </cell>
          <cell r="R60">
            <v>21368.85</v>
          </cell>
          <cell r="S60">
            <v>1400000941</v>
          </cell>
          <cell r="T60">
            <v>21271</v>
          </cell>
        </row>
        <row r="61">
          <cell r="D61">
            <v>1800004192</v>
          </cell>
          <cell r="E61" t="str">
            <v>DR</v>
          </cell>
          <cell r="F61">
            <v>45736</v>
          </cell>
          <cell r="G61">
            <v>246779414060</v>
          </cell>
          <cell r="H61" t="str">
            <v>USD</v>
          </cell>
          <cell r="I61">
            <v>273</v>
          </cell>
          <cell r="J61" t="str">
            <v>INR</v>
          </cell>
          <cell r="K61">
            <v>23666.71</v>
          </cell>
          <cell r="L61" t="str">
            <v>Inbound Handling charges for Jan 2025</v>
          </cell>
          <cell r="M61">
            <v>23090</v>
          </cell>
          <cell r="N61">
            <v>576.70999999999913</v>
          </cell>
          <cell r="O61">
            <v>2.4367983551579379E-2</v>
          </cell>
          <cell r="Q61">
            <v>471</v>
          </cell>
          <cell r="R61">
            <v>23195.71</v>
          </cell>
          <cell r="S61">
            <v>1400000941</v>
          </cell>
          <cell r="T61">
            <v>23090</v>
          </cell>
        </row>
        <row r="62">
          <cell r="D62">
            <v>1800004193</v>
          </cell>
          <cell r="E62" t="str">
            <v>DR</v>
          </cell>
          <cell r="F62">
            <v>45736</v>
          </cell>
          <cell r="G62">
            <v>246779414061</v>
          </cell>
          <cell r="H62" t="str">
            <v>USD</v>
          </cell>
          <cell r="I62">
            <v>277.3</v>
          </cell>
          <cell r="J62" t="str">
            <v>INR</v>
          </cell>
          <cell r="K62">
            <v>24039.49</v>
          </cell>
          <cell r="L62" t="str">
            <v>Inbound Handling charges for Jan 2025</v>
          </cell>
          <cell r="M62">
            <v>23453</v>
          </cell>
          <cell r="N62">
            <v>586.4900000000016</v>
          </cell>
          <cell r="O62">
            <v>2.4396940201310491E-2</v>
          </cell>
          <cell r="Q62">
            <v>479</v>
          </cell>
          <cell r="R62">
            <v>23560.49</v>
          </cell>
          <cell r="S62">
            <v>1400000941</v>
          </cell>
          <cell r="T62">
            <v>23453</v>
          </cell>
        </row>
        <row r="63">
          <cell r="D63">
            <v>1800004197</v>
          </cell>
          <cell r="E63" t="str">
            <v>DR</v>
          </cell>
          <cell r="F63">
            <v>45736</v>
          </cell>
          <cell r="G63">
            <v>246779414065</v>
          </cell>
          <cell r="H63" t="str">
            <v>USD</v>
          </cell>
          <cell r="I63">
            <v>277.3</v>
          </cell>
          <cell r="J63" t="str">
            <v>INR</v>
          </cell>
          <cell r="K63">
            <v>24039.49</v>
          </cell>
          <cell r="L63" t="str">
            <v>Inbound Handling charges for Jan 2025</v>
          </cell>
          <cell r="M63">
            <v>23453</v>
          </cell>
          <cell r="N63">
            <v>586.4900000000016</v>
          </cell>
          <cell r="O63">
            <v>2.4396940201310491E-2</v>
          </cell>
          <cell r="Q63">
            <v>479</v>
          </cell>
          <cell r="R63">
            <v>23560.49</v>
          </cell>
          <cell r="S63">
            <v>1400000941</v>
          </cell>
          <cell r="T63">
            <v>23453</v>
          </cell>
        </row>
        <row r="64">
          <cell r="D64">
            <v>1800004196</v>
          </cell>
          <cell r="E64" t="str">
            <v>DR</v>
          </cell>
          <cell r="F64">
            <v>45736</v>
          </cell>
          <cell r="G64">
            <v>246779414064</v>
          </cell>
          <cell r="H64" t="str">
            <v>USD</v>
          </cell>
          <cell r="I64">
            <v>353.2</v>
          </cell>
          <cell r="J64" t="str">
            <v>INR</v>
          </cell>
          <cell r="K64">
            <v>30619.35</v>
          </cell>
          <cell r="L64" t="str">
            <v>Inbound Handling charges for Jan 2025</v>
          </cell>
          <cell r="M64">
            <v>29873</v>
          </cell>
          <cell r="N64">
            <v>746.34999999999854</v>
          </cell>
          <cell r="O64">
            <v>2.4375109203820411E-2</v>
          </cell>
          <cell r="Q64">
            <v>610</v>
          </cell>
          <cell r="R64">
            <v>30009.35</v>
          </cell>
          <cell r="S64">
            <v>1400000941</v>
          </cell>
          <cell r="T64">
            <v>18918</v>
          </cell>
        </row>
        <row r="65">
          <cell r="D65">
            <v>1800004196</v>
          </cell>
          <cell r="E65" t="str">
            <v>DR</v>
          </cell>
          <cell r="F65">
            <v>45736</v>
          </cell>
          <cell r="G65">
            <v>246779414064</v>
          </cell>
          <cell r="H65" t="str">
            <v>USD</v>
          </cell>
          <cell r="I65">
            <v>353.2</v>
          </cell>
          <cell r="J65" t="str">
            <v>INR</v>
          </cell>
          <cell r="K65">
            <v>30619.35</v>
          </cell>
          <cell r="L65" t="str">
            <v>Inbound Handling charges for Jan 2025</v>
          </cell>
          <cell r="M65">
            <v>29873</v>
          </cell>
          <cell r="N65">
            <v>746.34999999999854</v>
          </cell>
          <cell r="O65">
            <v>2.4375109203820411E-2</v>
          </cell>
          <cell r="Q65">
            <v>610</v>
          </cell>
          <cell r="R65">
            <v>30009.35</v>
          </cell>
          <cell r="S65">
            <v>1400000955</v>
          </cell>
          <cell r="T65">
            <v>10955</v>
          </cell>
        </row>
        <row r="66">
          <cell r="D66">
            <v>1800004195</v>
          </cell>
          <cell r="E66" t="str">
            <v>DR</v>
          </cell>
          <cell r="F66">
            <v>45736</v>
          </cell>
          <cell r="G66">
            <v>246779414063</v>
          </cell>
          <cell r="H66" t="str">
            <v>USD</v>
          </cell>
          <cell r="I66">
            <v>554.6</v>
          </cell>
          <cell r="J66" t="str">
            <v>INR</v>
          </cell>
          <cell r="K66">
            <v>48078.97</v>
          </cell>
          <cell r="L66" t="str">
            <v>Inbound Handling charges for Jan 2025</v>
          </cell>
          <cell r="M66">
            <v>46907</v>
          </cell>
          <cell r="N66">
            <v>1171.9700000000009</v>
          </cell>
          <cell r="O66">
            <v>2.43759381700565E-2</v>
          </cell>
          <cell r="Q66">
            <v>957</v>
          </cell>
          <cell r="R66">
            <v>47121.97</v>
          </cell>
          <cell r="S66">
            <v>1400000955</v>
          </cell>
          <cell r="T66">
            <v>46907</v>
          </cell>
        </row>
        <row r="67">
          <cell r="D67">
            <v>1800003941</v>
          </cell>
          <cell r="E67" t="str">
            <v>DR</v>
          </cell>
          <cell r="F67">
            <v>45736</v>
          </cell>
          <cell r="G67">
            <v>246779413809</v>
          </cell>
          <cell r="H67" t="str">
            <v>USD</v>
          </cell>
          <cell r="I67">
            <v>420</v>
          </cell>
          <cell r="J67" t="str">
            <v>INR</v>
          </cell>
          <cell r="K67">
            <v>36410.33</v>
          </cell>
          <cell r="L67" t="str">
            <v>Ground Rent Feb 25</v>
          </cell>
          <cell r="M67">
            <v>32623</v>
          </cell>
          <cell r="N67">
            <v>3787.3300000000022</v>
          </cell>
          <cell r="O67">
            <v>0.10401800807627951</v>
          </cell>
          <cell r="Q67">
            <v>3625</v>
          </cell>
          <cell r="R67">
            <v>32785.33</v>
          </cell>
          <cell r="S67">
            <v>1400000955</v>
          </cell>
          <cell r="T67">
            <v>32623</v>
          </cell>
        </row>
        <row r="68">
          <cell r="D68">
            <v>1800003930</v>
          </cell>
          <cell r="E68" t="str">
            <v>DR</v>
          </cell>
          <cell r="F68">
            <v>45736</v>
          </cell>
          <cell r="G68">
            <v>246779413798</v>
          </cell>
          <cell r="H68" t="str">
            <v>USD</v>
          </cell>
          <cell r="I68">
            <v>465</v>
          </cell>
          <cell r="J68" t="str">
            <v>INR</v>
          </cell>
          <cell r="K68">
            <v>40311.440000000002</v>
          </cell>
          <cell r="L68" t="str">
            <v>Ground Rent Jan 25</v>
          </cell>
          <cell r="M68">
            <v>36118</v>
          </cell>
          <cell r="N68">
            <v>4193.4400000000023</v>
          </cell>
          <cell r="O68">
            <v>0.1040260531501728</v>
          </cell>
          <cell r="Q68">
            <v>4013</v>
          </cell>
          <cell r="R68">
            <v>36298.44</v>
          </cell>
          <cell r="S68">
            <v>1400000955</v>
          </cell>
          <cell r="T68">
            <v>36118</v>
          </cell>
        </row>
        <row r="69">
          <cell r="D69">
            <v>1800004451</v>
          </cell>
          <cell r="E69" t="str">
            <v>DR</v>
          </cell>
          <cell r="F69">
            <v>45737</v>
          </cell>
          <cell r="G69">
            <v>246779414319</v>
          </cell>
          <cell r="H69" t="str">
            <v>USD</v>
          </cell>
          <cell r="I69">
            <v>13.25</v>
          </cell>
          <cell r="J69" t="str">
            <v>INR</v>
          </cell>
          <cell r="K69">
            <v>1148.6600000000001</v>
          </cell>
          <cell r="L69" t="str">
            <v>Loose handling Charges for Oct 2024</v>
          </cell>
          <cell r="M69">
            <v>1119</v>
          </cell>
          <cell r="N69">
            <v>29.660000000000078</v>
          </cell>
          <cell r="O69">
            <v>2.582139188271558E-2</v>
          </cell>
          <cell r="Q69">
            <v>23</v>
          </cell>
          <cell r="R69">
            <v>1125.6600000000001</v>
          </cell>
          <cell r="S69">
            <v>1400000955</v>
          </cell>
          <cell r="T69">
            <v>1119</v>
          </cell>
        </row>
        <row r="70">
          <cell r="D70">
            <v>1800004453</v>
          </cell>
          <cell r="E70" t="str">
            <v>DR</v>
          </cell>
          <cell r="F70">
            <v>45737</v>
          </cell>
          <cell r="G70">
            <v>246779414321</v>
          </cell>
          <cell r="H70" t="str">
            <v>USD</v>
          </cell>
          <cell r="I70">
            <v>30</v>
          </cell>
          <cell r="J70" t="str">
            <v>INR</v>
          </cell>
          <cell r="K70">
            <v>2600.7399999999998</v>
          </cell>
          <cell r="L70" t="str">
            <v>LCL Movement Charges for Oct 2024</v>
          </cell>
          <cell r="M70">
            <v>2535</v>
          </cell>
          <cell r="N70">
            <v>65.739999999999782</v>
          </cell>
          <cell r="O70">
            <v>2.527742104170343E-2</v>
          </cell>
          <cell r="Q70">
            <v>52</v>
          </cell>
          <cell r="R70">
            <v>2548.7399999999998</v>
          </cell>
          <cell r="S70">
            <v>1400000955</v>
          </cell>
          <cell r="T70">
            <v>2535</v>
          </cell>
        </row>
        <row r="71">
          <cell r="D71">
            <v>1800004452</v>
          </cell>
          <cell r="E71" t="str">
            <v>DR</v>
          </cell>
          <cell r="F71">
            <v>45737</v>
          </cell>
          <cell r="G71">
            <v>246779414320</v>
          </cell>
          <cell r="H71" t="str">
            <v>USD</v>
          </cell>
          <cell r="I71">
            <v>38.5</v>
          </cell>
          <cell r="J71" t="str">
            <v>INR</v>
          </cell>
          <cell r="K71">
            <v>3337.61</v>
          </cell>
          <cell r="L71" t="str">
            <v>Inbound Handling charges for Oct 2024</v>
          </cell>
          <cell r="M71">
            <v>3253</v>
          </cell>
          <cell r="N71">
            <v>84.610000000000127</v>
          </cell>
          <cell r="O71">
            <v>2.535047534013864E-2</v>
          </cell>
          <cell r="Q71">
            <v>66</v>
          </cell>
          <cell r="R71">
            <v>3271.61</v>
          </cell>
          <cell r="S71">
            <v>1400000955</v>
          </cell>
          <cell r="T71">
            <v>3253</v>
          </cell>
        </row>
        <row r="72">
          <cell r="D72">
            <v>1800005194</v>
          </cell>
          <cell r="E72" t="str">
            <v>DR</v>
          </cell>
          <cell r="F72">
            <v>45750</v>
          </cell>
          <cell r="G72">
            <v>256779410140</v>
          </cell>
          <cell r="H72" t="str">
            <v>USD</v>
          </cell>
          <cell r="I72">
            <v>1</v>
          </cell>
          <cell r="J72" t="str">
            <v>INR</v>
          </cell>
          <cell r="K72">
            <v>86.92</v>
          </cell>
          <cell r="L72" t="str">
            <v>Loose loading Handling charges for Mar 25</v>
          </cell>
          <cell r="M72">
            <v>84</v>
          </cell>
          <cell r="N72">
            <v>2.9200000000000021</v>
          </cell>
          <cell r="O72">
            <v>3.3594109526000941E-2</v>
          </cell>
          <cell r="Q72">
            <v>2</v>
          </cell>
          <cell r="R72">
            <v>84.92</v>
          </cell>
          <cell r="S72">
            <v>1400000955</v>
          </cell>
          <cell r="T72">
            <v>84</v>
          </cell>
        </row>
        <row r="73">
          <cell r="D73">
            <v>1800005193</v>
          </cell>
          <cell r="E73" t="str">
            <v>DR</v>
          </cell>
          <cell r="F73">
            <v>45750</v>
          </cell>
          <cell r="G73">
            <v>256779410139</v>
          </cell>
          <cell r="H73" t="str">
            <v>USD</v>
          </cell>
          <cell r="I73">
            <v>3.5</v>
          </cell>
          <cell r="J73" t="str">
            <v>INR</v>
          </cell>
          <cell r="K73">
            <v>304.23</v>
          </cell>
          <cell r="L73" t="str">
            <v>Outbound Handling charges for Mar 25</v>
          </cell>
          <cell r="M73">
            <v>294</v>
          </cell>
          <cell r="N73">
            <v>10.23000000000002</v>
          </cell>
          <cell r="O73">
            <v>3.3625875160240667E-2</v>
          </cell>
          <cell r="Q73">
            <v>6</v>
          </cell>
          <cell r="R73">
            <v>298.23</v>
          </cell>
          <cell r="S73">
            <v>1400000955</v>
          </cell>
          <cell r="T73">
            <v>294</v>
          </cell>
        </row>
        <row r="74">
          <cell r="D74">
            <v>1800005142</v>
          </cell>
          <cell r="E74" t="str">
            <v>DR</v>
          </cell>
          <cell r="F74">
            <v>45750</v>
          </cell>
          <cell r="G74">
            <v>256779410088</v>
          </cell>
          <cell r="H74" t="str">
            <v>USD</v>
          </cell>
          <cell r="I74">
            <v>5.25</v>
          </cell>
          <cell r="J74" t="str">
            <v>INR</v>
          </cell>
          <cell r="K74">
            <v>456.34</v>
          </cell>
          <cell r="L74" t="str">
            <v>Inbound Handling charges for Mar 2025</v>
          </cell>
          <cell r="M74">
            <v>441</v>
          </cell>
          <cell r="N74">
            <v>15.33999999999997</v>
          </cell>
          <cell r="O74">
            <v>3.3615286847525912E-2</v>
          </cell>
          <cell r="Q74">
            <v>9</v>
          </cell>
          <cell r="R74">
            <v>447.34</v>
          </cell>
          <cell r="S74">
            <v>1400000955</v>
          </cell>
          <cell r="T74">
            <v>441</v>
          </cell>
        </row>
        <row r="75">
          <cell r="D75">
            <v>1800005143</v>
          </cell>
          <cell r="E75" t="str">
            <v>DR</v>
          </cell>
          <cell r="F75">
            <v>45750</v>
          </cell>
          <cell r="G75">
            <v>256779410089</v>
          </cell>
          <cell r="H75" t="str">
            <v>USD</v>
          </cell>
          <cell r="I75">
            <v>30</v>
          </cell>
          <cell r="J75" t="str">
            <v>INR</v>
          </cell>
          <cell r="K75">
            <v>2607.65</v>
          </cell>
          <cell r="L75" t="str">
            <v>LCL charges for Mar 2025</v>
          </cell>
          <cell r="M75">
            <v>2518</v>
          </cell>
          <cell r="N75">
            <v>89.650000000000091</v>
          </cell>
          <cell r="O75">
            <v>3.4379613828542967E-2</v>
          </cell>
          <cell r="Q75">
            <v>51</v>
          </cell>
          <cell r="R75">
            <v>2556.65</v>
          </cell>
          <cell r="S75">
            <v>1400000955</v>
          </cell>
          <cell r="T75">
            <v>2518</v>
          </cell>
        </row>
        <row r="76">
          <cell r="D76">
            <v>1800005896</v>
          </cell>
          <cell r="E76" t="str">
            <v>DR</v>
          </cell>
          <cell r="F76">
            <v>45751</v>
          </cell>
          <cell r="G76">
            <v>256779410788</v>
          </cell>
          <cell r="H76" t="str">
            <v>USD</v>
          </cell>
          <cell r="I76">
            <v>1394.64</v>
          </cell>
          <cell r="J76" t="str">
            <v>INR</v>
          </cell>
          <cell r="K76">
            <v>121224.65</v>
          </cell>
          <cell r="L76" t="str">
            <v>Storage Charges Feb, 25</v>
          </cell>
          <cell r="M76">
            <v>106977</v>
          </cell>
          <cell r="N76">
            <v>14247.649999999991</v>
          </cell>
          <cell r="O76">
            <v>0.1175309642057122</v>
          </cell>
          <cell r="Q76">
            <v>11886</v>
          </cell>
          <cell r="R76">
            <v>109338.65</v>
          </cell>
          <cell r="S76">
            <v>1400000955</v>
          </cell>
          <cell r="T76">
            <v>13153</v>
          </cell>
        </row>
        <row r="77">
          <cell r="D77">
            <v>1800005896</v>
          </cell>
          <cell r="E77" t="str">
            <v>DR</v>
          </cell>
          <cell r="F77">
            <v>45751</v>
          </cell>
          <cell r="G77">
            <v>256779410788</v>
          </cell>
          <cell r="H77" t="str">
            <v>USD</v>
          </cell>
          <cell r="I77">
            <v>1394.64</v>
          </cell>
          <cell r="J77" t="str">
            <v>INR</v>
          </cell>
          <cell r="K77">
            <v>121224.65</v>
          </cell>
          <cell r="L77" t="str">
            <v>Storage Charges Feb, 25</v>
          </cell>
          <cell r="M77">
            <v>106977</v>
          </cell>
          <cell r="N77">
            <v>14247.649999999991</v>
          </cell>
          <cell r="O77">
            <v>0.1175309642057122</v>
          </cell>
          <cell r="Q77">
            <v>11886</v>
          </cell>
          <cell r="R77">
            <v>109338.65</v>
          </cell>
          <cell r="S77">
            <v>1400000966</v>
          </cell>
          <cell r="T77">
            <v>93824</v>
          </cell>
        </row>
        <row r="78">
          <cell r="D78">
            <v>1800005913</v>
          </cell>
          <cell r="E78" t="str">
            <v>DR</v>
          </cell>
          <cell r="F78">
            <v>45751</v>
          </cell>
          <cell r="G78">
            <v>256779410804</v>
          </cell>
          <cell r="H78" t="str">
            <v>USD</v>
          </cell>
          <cell r="I78">
            <v>2592.75</v>
          </cell>
          <cell r="J78" t="str">
            <v>INR</v>
          </cell>
          <cell r="K78">
            <v>225366.55</v>
          </cell>
          <cell r="L78" t="str">
            <v>Storage Charges Jan, 25</v>
          </cell>
          <cell r="M78">
            <v>198877</v>
          </cell>
          <cell r="N78">
            <v>26489.549999999988</v>
          </cell>
          <cell r="O78">
            <v>0.11753984786118429</v>
          </cell>
          <cell r="Q78">
            <v>22098</v>
          </cell>
          <cell r="R78">
            <v>203268.55</v>
          </cell>
          <cell r="S78">
            <v>1400000966</v>
          </cell>
          <cell r="T78">
            <v>56176</v>
          </cell>
        </row>
        <row r="79">
          <cell r="D79">
            <v>1800005913</v>
          </cell>
          <cell r="E79" t="str">
            <v>DR</v>
          </cell>
          <cell r="F79">
            <v>45751</v>
          </cell>
          <cell r="G79">
            <v>256779410804</v>
          </cell>
          <cell r="H79" t="str">
            <v>USD</v>
          </cell>
          <cell r="I79">
            <v>2592.75</v>
          </cell>
          <cell r="J79" t="str">
            <v>INR</v>
          </cell>
          <cell r="K79">
            <v>225366.55</v>
          </cell>
          <cell r="L79" t="str">
            <v>Storage Charges Jan, 25</v>
          </cell>
          <cell r="M79">
            <v>198877</v>
          </cell>
          <cell r="N79">
            <v>26489.549999999988</v>
          </cell>
          <cell r="O79">
            <v>0.11753984786118429</v>
          </cell>
          <cell r="Q79">
            <v>22098</v>
          </cell>
          <cell r="R79">
            <v>203268.55</v>
          </cell>
          <cell r="S79">
            <v>1400001257</v>
          </cell>
          <cell r="T79">
            <v>100000</v>
          </cell>
        </row>
        <row r="80">
          <cell r="D80">
            <v>1800005913</v>
          </cell>
          <cell r="E80" t="str">
            <v>DR</v>
          </cell>
          <cell r="F80">
            <v>45751</v>
          </cell>
          <cell r="G80">
            <v>256779410804</v>
          </cell>
          <cell r="H80" t="str">
            <v>USD</v>
          </cell>
          <cell r="I80">
            <v>2592.75</v>
          </cell>
          <cell r="J80" t="str">
            <v>INR</v>
          </cell>
          <cell r="K80">
            <v>225366.55</v>
          </cell>
          <cell r="L80" t="str">
            <v>Storage Charges Jan, 25</v>
          </cell>
          <cell r="M80">
            <v>198877</v>
          </cell>
          <cell r="N80">
            <v>26489.549999999988</v>
          </cell>
          <cell r="O80">
            <v>0.11753984786118429</v>
          </cell>
          <cell r="Q80">
            <v>22098</v>
          </cell>
          <cell r="R80">
            <v>203268.55</v>
          </cell>
          <cell r="S80">
            <v>1400001259</v>
          </cell>
          <cell r="T80">
            <v>42701</v>
          </cell>
        </row>
        <row r="81">
          <cell r="D81">
            <v>1800006278</v>
          </cell>
          <cell r="E81" t="str">
            <v>DR</v>
          </cell>
          <cell r="F81">
            <v>45762</v>
          </cell>
          <cell r="G81">
            <v>256779411169</v>
          </cell>
          <cell r="H81" t="str">
            <v>USD</v>
          </cell>
          <cell r="I81">
            <v>50</v>
          </cell>
          <cell r="J81" t="str">
            <v>INR</v>
          </cell>
          <cell r="K81">
            <v>4346.09</v>
          </cell>
          <cell r="L81" t="str">
            <v>LCL Charges August 2024</v>
          </cell>
          <cell r="M81">
            <v>4199</v>
          </cell>
          <cell r="N81">
            <v>147.09000000000009</v>
          </cell>
          <cell r="O81">
            <v>3.3844213994648098E-2</v>
          </cell>
          <cell r="Q81">
            <v>86</v>
          </cell>
          <cell r="R81">
            <v>4260.09</v>
          </cell>
          <cell r="S81">
            <v>1400001259</v>
          </cell>
          <cell r="T81">
            <v>4199</v>
          </cell>
        </row>
        <row r="82">
          <cell r="D82">
            <v>1800006277</v>
          </cell>
          <cell r="E82" t="str">
            <v>DR</v>
          </cell>
          <cell r="F82">
            <v>45762</v>
          </cell>
          <cell r="G82">
            <v>256779411168</v>
          </cell>
          <cell r="H82" t="str">
            <v>USD</v>
          </cell>
          <cell r="I82">
            <v>60.51</v>
          </cell>
          <cell r="J82" t="str">
            <v>INR</v>
          </cell>
          <cell r="K82">
            <v>5259.64</v>
          </cell>
          <cell r="L82" t="str">
            <v>LCL Charges August 2024</v>
          </cell>
          <cell r="M82">
            <v>5081</v>
          </cell>
          <cell r="N82">
            <v>178.6400000000003</v>
          </cell>
          <cell r="O82">
            <v>3.3964301739282603E-2</v>
          </cell>
          <cell r="Q82">
            <v>104</v>
          </cell>
          <cell r="R82">
            <v>5155.6400000000003</v>
          </cell>
          <cell r="S82">
            <v>1400001259</v>
          </cell>
          <cell r="T82">
            <v>5081</v>
          </cell>
        </row>
        <row r="83">
          <cell r="D83">
            <v>1800006276</v>
          </cell>
          <cell r="E83" t="str">
            <v>DR</v>
          </cell>
          <cell r="F83">
            <v>45762</v>
          </cell>
          <cell r="G83">
            <v>256779411167</v>
          </cell>
          <cell r="H83" t="str">
            <v>USD</v>
          </cell>
          <cell r="I83">
            <v>68.819999999999993</v>
          </cell>
          <cell r="J83" t="str">
            <v>INR</v>
          </cell>
          <cell r="K83">
            <v>5981.96</v>
          </cell>
          <cell r="L83" t="str">
            <v>LCL Charges August 2024</v>
          </cell>
          <cell r="M83">
            <v>5779</v>
          </cell>
          <cell r="N83">
            <v>202.96</v>
          </cell>
          <cell r="O83">
            <v>3.392867889454293E-2</v>
          </cell>
          <cell r="Q83">
            <v>118</v>
          </cell>
          <cell r="R83">
            <v>5863.96</v>
          </cell>
          <cell r="S83">
            <v>1400001259</v>
          </cell>
          <cell r="T83">
            <v>5779</v>
          </cell>
        </row>
        <row r="84">
          <cell r="D84">
            <v>1800006279</v>
          </cell>
          <cell r="E84" t="str">
            <v>DR</v>
          </cell>
          <cell r="F84">
            <v>45762</v>
          </cell>
          <cell r="G84">
            <v>256779411170</v>
          </cell>
          <cell r="H84" t="str">
            <v>USD</v>
          </cell>
          <cell r="I84">
            <v>120</v>
          </cell>
          <cell r="J84" t="str">
            <v>INR</v>
          </cell>
          <cell r="K84">
            <v>10430.620000000001</v>
          </cell>
          <cell r="L84" t="str">
            <v>Inbound Handling for August 24</v>
          </cell>
          <cell r="M84">
            <v>10077</v>
          </cell>
          <cell r="N84">
            <v>353.6200000000008</v>
          </cell>
          <cell r="O84">
            <v>3.3902107449029953E-2</v>
          </cell>
          <cell r="Q84">
            <v>206</v>
          </cell>
          <cell r="R84">
            <v>10224.620000000001</v>
          </cell>
          <cell r="S84">
            <v>1400001259</v>
          </cell>
          <cell r="T84">
            <v>10077</v>
          </cell>
        </row>
        <row r="85">
          <cell r="D85">
            <v>1800006923</v>
          </cell>
          <cell r="E85" t="str">
            <v>DR</v>
          </cell>
          <cell r="F85">
            <v>45763</v>
          </cell>
          <cell r="G85">
            <v>256779411814</v>
          </cell>
          <cell r="H85" t="str">
            <v>USD</v>
          </cell>
          <cell r="I85">
            <v>1</v>
          </cell>
          <cell r="J85" t="str">
            <v>INR</v>
          </cell>
          <cell r="K85">
            <v>86.92</v>
          </cell>
          <cell r="L85" t="str">
            <v>Loose Unloading charges for Dec 2024</v>
          </cell>
          <cell r="M85">
            <v>84</v>
          </cell>
          <cell r="N85">
            <v>2.9200000000000021</v>
          </cell>
          <cell r="O85">
            <v>3.3594109526000941E-2</v>
          </cell>
          <cell r="Q85">
            <v>2</v>
          </cell>
          <cell r="R85">
            <v>84.92</v>
          </cell>
          <cell r="S85">
            <v>1400001259</v>
          </cell>
          <cell r="T85">
            <v>84</v>
          </cell>
        </row>
        <row r="86">
          <cell r="D86">
            <v>1800007004</v>
          </cell>
          <cell r="E86" t="str">
            <v>DR</v>
          </cell>
          <cell r="F86">
            <v>45763</v>
          </cell>
          <cell r="G86">
            <v>256779411895</v>
          </cell>
          <cell r="H86" t="str">
            <v>USD</v>
          </cell>
          <cell r="I86">
            <v>1</v>
          </cell>
          <cell r="J86" t="str">
            <v>INR</v>
          </cell>
          <cell r="K86">
            <v>86.92</v>
          </cell>
          <cell r="L86" t="str">
            <v>Loose loading Handling charges for Dec 2024</v>
          </cell>
          <cell r="M86">
            <v>84</v>
          </cell>
          <cell r="N86">
            <v>2.9200000000000021</v>
          </cell>
          <cell r="O86">
            <v>3.3594109526000941E-2</v>
          </cell>
          <cell r="Q86">
            <v>2</v>
          </cell>
          <cell r="R86">
            <v>84.92</v>
          </cell>
          <cell r="S86">
            <v>1400001259</v>
          </cell>
          <cell r="T86">
            <v>84</v>
          </cell>
        </row>
        <row r="87">
          <cell r="D87">
            <v>1800006922</v>
          </cell>
          <cell r="E87" t="str">
            <v>DR</v>
          </cell>
          <cell r="F87">
            <v>45763</v>
          </cell>
          <cell r="G87">
            <v>256779411813</v>
          </cell>
          <cell r="H87" t="str">
            <v>USD</v>
          </cell>
          <cell r="I87">
            <v>1.75</v>
          </cell>
          <cell r="J87" t="str">
            <v>INR</v>
          </cell>
          <cell r="K87">
            <v>152.11000000000001</v>
          </cell>
          <cell r="L87" t="str">
            <v>Inbound Handling charges for Dec 2024</v>
          </cell>
          <cell r="M87">
            <v>147</v>
          </cell>
          <cell r="N87">
            <v>5.1100000000000136</v>
          </cell>
          <cell r="O87">
            <v>3.3594109526000997E-2</v>
          </cell>
          <cell r="Q87">
            <v>3</v>
          </cell>
          <cell r="R87">
            <v>149.11000000000001</v>
          </cell>
          <cell r="S87">
            <v>1400001259</v>
          </cell>
          <cell r="T87">
            <v>147</v>
          </cell>
        </row>
        <row r="88">
          <cell r="D88">
            <v>1800007003</v>
          </cell>
          <cell r="E88" t="str">
            <v>DR</v>
          </cell>
          <cell r="F88">
            <v>45763</v>
          </cell>
          <cell r="G88">
            <v>256779411894</v>
          </cell>
          <cell r="H88" t="str">
            <v>USD</v>
          </cell>
          <cell r="I88">
            <v>7.07</v>
          </cell>
          <cell r="J88" t="str">
            <v>INR</v>
          </cell>
          <cell r="K88">
            <v>614.54</v>
          </cell>
          <cell r="L88" t="str">
            <v>Outbound Handling charges for Dec 2024</v>
          </cell>
          <cell r="M88">
            <v>594</v>
          </cell>
          <cell r="N88">
            <v>20.53999999999996</v>
          </cell>
          <cell r="O88">
            <v>3.3423373580238822E-2</v>
          </cell>
          <cell r="Q88">
            <v>12</v>
          </cell>
          <cell r="R88">
            <v>602.54</v>
          </cell>
          <cell r="S88">
            <v>1400001259</v>
          </cell>
          <cell r="T88">
            <v>594</v>
          </cell>
        </row>
        <row r="89">
          <cell r="D89">
            <v>1800007214</v>
          </cell>
          <cell r="E89" t="str">
            <v>DR</v>
          </cell>
          <cell r="F89">
            <v>45763</v>
          </cell>
          <cell r="G89">
            <v>256779412105</v>
          </cell>
          <cell r="H89" t="str">
            <v>USD</v>
          </cell>
          <cell r="I89">
            <v>12.85</v>
          </cell>
          <cell r="J89" t="str">
            <v>INR</v>
          </cell>
          <cell r="K89">
            <v>1116.95</v>
          </cell>
          <cell r="L89" t="str">
            <v>VAS Activity - Mar 25, 16-31, Ex Rate. 85.58</v>
          </cell>
          <cell r="M89">
            <v>1078</v>
          </cell>
          <cell r="N89">
            <v>38.950000000000053</v>
          </cell>
          <cell r="O89">
            <v>3.4871748959219337E-2</v>
          </cell>
          <cell r="Q89">
            <v>22</v>
          </cell>
          <cell r="R89">
            <v>1094.95</v>
          </cell>
          <cell r="S89">
            <v>1400001259</v>
          </cell>
          <cell r="T89">
            <v>1078</v>
          </cell>
        </row>
        <row r="90">
          <cell r="D90">
            <v>1800006924</v>
          </cell>
          <cell r="E90" t="str">
            <v>DR</v>
          </cell>
          <cell r="F90">
            <v>45763</v>
          </cell>
          <cell r="G90">
            <v>256779411815</v>
          </cell>
          <cell r="H90" t="str">
            <v>USD</v>
          </cell>
          <cell r="I90">
            <v>15</v>
          </cell>
          <cell r="J90" t="str">
            <v>INR</v>
          </cell>
          <cell r="K90">
            <v>1303.83</v>
          </cell>
          <cell r="L90" t="str">
            <v>LCL charges for Dec 2024</v>
          </cell>
          <cell r="M90">
            <v>1259</v>
          </cell>
          <cell r="N90">
            <v>44.829999999999927</v>
          </cell>
          <cell r="O90">
            <v>3.4383316843453457E-2</v>
          </cell>
          <cell r="Q90">
            <v>26</v>
          </cell>
          <cell r="R90">
            <v>1277.83</v>
          </cell>
          <cell r="S90">
            <v>1400001259</v>
          </cell>
          <cell r="T90">
            <v>1259</v>
          </cell>
        </row>
        <row r="91">
          <cell r="D91">
            <v>1800007133</v>
          </cell>
          <cell r="E91" t="str">
            <v>DR</v>
          </cell>
          <cell r="F91">
            <v>45763</v>
          </cell>
          <cell r="G91">
            <v>256779412024</v>
          </cell>
          <cell r="H91" t="str">
            <v>USD</v>
          </cell>
          <cell r="I91">
            <v>489.55</v>
          </cell>
          <cell r="J91" t="str">
            <v>INR</v>
          </cell>
          <cell r="K91">
            <v>42552.58</v>
          </cell>
          <cell r="L91" t="str">
            <v>VAS Activity - Jan 25, Ex Rate. 86.64</v>
          </cell>
          <cell r="M91">
            <v>41567</v>
          </cell>
          <cell r="N91">
            <v>985.58000000000175</v>
          </cell>
          <cell r="O91">
            <v>2.316146283022091E-2</v>
          </cell>
          <cell r="Q91">
            <v>848</v>
          </cell>
          <cell r="R91">
            <v>41704.58</v>
          </cell>
          <cell r="S91">
            <v>1400001259</v>
          </cell>
          <cell r="T91">
            <v>28917</v>
          </cell>
        </row>
        <row r="92">
          <cell r="D92">
            <v>1800007133</v>
          </cell>
          <cell r="E92" t="str">
            <v>DR</v>
          </cell>
          <cell r="F92">
            <v>45763</v>
          </cell>
          <cell r="G92">
            <v>256779412024</v>
          </cell>
          <cell r="H92" t="str">
            <v>USD</v>
          </cell>
          <cell r="I92">
            <v>489.55</v>
          </cell>
          <cell r="J92" t="str">
            <v>INR</v>
          </cell>
          <cell r="K92">
            <v>42552.58</v>
          </cell>
          <cell r="L92" t="str">
            <v>VAS Activity - Jan 25, Ex Rate. 86.64</v>
          </cell>
          <cell r="M92">
            <v>41567</v>
          </cell>
          <cell r="N92">
            <v>985.58000000000175</v>
          </cell>
          <cell r="O92">
            <v>2.316146283022091E-2</v>
          </cell>
          <cell r="Q92">
            <v>848</v>
          </cell>
          <cell r="R92">
            <v>41704.58</v>
          </cell>
          <cell r="S92">
            <v>1400001341</v>
          </cell>
          <cell r="T92">
            <v>12650</v>
          </cell>
        </row>
        <row r="93">
          <cell r="D93">
            <v>1800006833</v>
          </cell>
          <cell r="E93" t="str">
            <v>DR</v>
          </cell>
          <cell r="F93">
            <v>45763</v>
          </cell>
          <cell r="G93">
            <v>256779411724</v>
          </cell>
          <cell r="H93" t="str">
            <v>USD</v>
          </cell>
          <cell r="I93">
            <v>620</v>
          </cell>
          <cell r="J93" t="str">
            <v>INR</v>
          </cell>
          <cell r="K93">
            <v>53891.53</v>
          </cell>
          <cell r="L93" t="str">
            <v>CY Longstanding Transportation chgs for 31 MAR 202</v>
          </cell>
          <cell r="M93">
            <v>52814</v>
          </cell>
          <cell r="N93">
            <v>1077.5299999999991</v>
          </cell>
          <cell r="O93">
            <v>1.999442212904326E-2</v>
          </cell>
          <cell r="Q93">
            <v>1078</v>
          </cell>
          <cell r="R93">
            <v>52813.53</v>
          </cell>
          <cell r="S93">
            <v>1400001341</v>
          </cell>
          <cell r="T93">
            <v>52814</v>
          </cell>
        </row>
        <row r="94">
          <cell r="D94">
            <v>1800007220</v>
          </cell>
          <cell r="E94" t="str">
            <v>DR</v>
          </cell>
          <cell r="F94">
            <v>45763</v>
          </cell>
          <cell r="G94">
            <v>256779412111</v>
          </cell>
          <cell r="H94" t="str">
            <v>USD</v>
          </cell>
          <cell r="I94">
            <v>1082.6400000000001</v>
          </cell>
          <cell r="J94" t="str">
            <v>INR</v>
          </cell>
          <cell r="K94">
            <v>94105.04</v>
          </cell>
          <cell r="L94" t="str">
            <v>Storage Charges Mar, 25</v>
          </cell>
          <cell r="M94">
            <v>83452</v>
          </cell>
          <cell r="N94">
            <v>10653.03999999999</v>
          </cell>
          <cell r="O94">
            <v>0.11320371363744169</v>
          </cell>
          <cell r="Q94">
            <v>9272</v>
          </cell>
          <cell r="R94">
            <v>84833.04</v>
          </cell>
          <cell r="S94">
            <v>1400001341</v>
          </cell>
          <cell r="T94">
            <v>83452</v>
          </cell>
        </row>
        <row r="95">
          <cell r="D95">
            <v>1800007269</v>
          </cell>
          <cell r="E95" t="str">
            <v>DR</v>
          </cell>
          <cell r="F95">
            <v>45768</v>
          </cell>
          <cell r="G95">
            <v>256779412160</v>
          </cell>
          <cell r="H95" t="str">
            <v>USD</v>
          </cell>
          <cell r="I95">
            <v>188.79</v>
          </cell>
          <cell r="J95" t="str">
            <v>INR</v>
          </cell>
          <cell r="K95">
            <v>16200.07</v>
          </cell>
          <cell r="L95" t="str">
            <v>Fixed Storage Charges for April 2025</v>
          </cell>
          <cell r="M95">
            <v>14552</v>
          </cell>
          <cell r="N95">
            <v>1648.07</v>
          </cell>
          <cell r="O95">
            <v>0.101732276465472</v>
          </cell>
          <cell r="Q95">
            <v>1617</v>
          </cell>
          <cell r="R95">
            <v>14583.07</v>
          </cell>
          <cell r="S95">
            <v>1400001341</v>
          </cell>
          <cell r="T95">
            <v>14552</v>
          </cell>
        </row>
        <row r="96">
          <cell r="D96">
            <v>1800007770</v>
          </cell>
          <cell r="E96" t="str">
            <v>DR</v>
          </cell>
          <cell r="F96">
            <v>45769</v>
          </cell>
          <cell r="G96">
            <v>256779412661</v>
          </cell>
          <cell r="H96" t="str">
            <v>USD</v>
          </cell>
          <cell r="I96">
            <v>6.05</v>
          </cell>
          <cell r="J96" t="str">
            <v>INR</v>
          </cell>
          <cell r="K96">
            <v>525.88</v>
          </cell>
          <cell r="L96" t="str">
            <v>Outbound Handling charges for 31 Mar 25</v>
          </cell>
          <cell r="M96">
            <v>515</v>
          </cell>
          <cell r="N96">
            <v>10.88</v>
          </cell>
          <cell r="O96">
            <v>2.0689130600136909E-2</v>
          </cell>
          <cell r="Q96">
            <v>11</v>
          </cell>
          <cell r="R96">
            <v>514.88</v>
          </cell>
          <cell r="S96">
            <v>1400001341</v>
          </cell>
          <cell r="T96">
            <v>515</v>
          </cell>
        </row>
        <row r="97">
          <cell r="D97">
            <v>1800007676</v>
          </cell>
          <cell r="E97" t="str">
            <v>DR</v>
          </cell>
          <cell r="F97">
            <v>45769</v>
          </cell>
          <cell r="G97">
            <v>256779412567</v>
          </cell>
          <cell r="H97" t="str">
            <v>USD</v>
          </cell>
          <cell r="I97">
            <v>17.75</v>
          </cell>
          <cell r="J97" t="str">
            <v>INR</v>
          </cell>
          <cell r="K97">
            <v>1542.86</v>
          </cell>
          <cell r="L97" t="str">
            <v>Inbound Handling charges for Feb 2025</v>
          </cell>
          <cell r="M97">
            <v>1512</v>
          </cell>
          <cell r="N97">
            <v>30.8599999999999</v>
          </cell>
          <cell r="O97">
            <v>2.0001814811453991E-2</v>
          </cell>
          <cell r="Q97">
            <v>31</v>
          </cell>
          <cell r="R97">
            <v>1511.86</v>
          </cell>
          <cell r="S97">
            <v>1400001341</v>
          </cell>
          <cell r="T97">
            <v>1512</v>
          </cell>
        </row>
        <row r="98">
          <cell r="D98">
            <v>1800007727</v>
          </cell>
          <cell r="E98" t="str">
            <v>DR</v>
          </cell>
          <cell r="F98">
            <v>45769</v>
          </cell>
          <cell r="G98">
            <v>256779412618</v>
          </cell>
          <cell r="H98" t="str">
            <v>USD</v>
          </cell>
          <cell r="I98">
            <v>43.02</v>
          </cell>
          <cell r="J98" t="str">
            <v>INR</v>
          </cell>
          <cell r="K98">
            <v>3739.38</v>
          </cell>
          <cell r="L98" t="str">
            <v>Inbound Handling charges for 31 Mar 2025</v>
          </cell>
          <cell r="M98">
            <v>3664</v>
          </cell>
          <cell r="N98">
            <v>75.380000000000109</v>
          </cell>
          <cell r="O98">
            <v>2.015842198439316E-2</v>
          </cell>
          <cell r="Q98">
            <v>75</v>
          </cell>
          <cell r="R98">
            <v>3664.38</v>
          </cell>
          <cell r="S98">
            <v>1400001341</v>
          </cell>
          <cell r="T98">
            <v>3664</v>
          </cell>
        </row>
        <row r="99">
          <cell r="D99">
            <v>1800008001</v>
          </cell>
          <cell r="E99" t="str">
            <v>DR</v>
          </cell>
          <cell r="F99">
            <v>45770</v>
          </cell>
          <cell r="G99">
            <v>256779412892</v>
          </cell>
          <cell r="H99" t="str">
            <v>USD</v>
          </cell>
          <cell r="I99">
            <v>189.2</v>
          </cell>
          <cell r="J99" t="str">
            <v>INR</v>
          </cell>
          <cell r="K99">
            <v>16445.61</v>
          </cell>
          <cell r="L99" t="str">
            <v>Inbound chgs - 01 - 15 Apr 25</v>
          </cell>
          <cell r="M99">
            <v>16117</v>
          </cell>
          <cell r="N99">
            <v>328.61000000000058</v>
          </cell>
          <cell r="O99">
            <v>1.998162427541457E-2</v>
          </cell>
          <cell r="Q99">
            <v>329</v>
          </cell>
          <cell r="R99">
            <v>16116.61</v>
          </cell>
          <cell r="S99">
            <v>1400001341</v>
          </cell>
          <cell r="T99">
            <v>16117</v>
          </cell>
        </row>
        <row r="100">
          <cell r="D100">
            <v>1800007888</v>
          </cell>
          <cell r="E100" t="str">
            <v>DR</v>
          </cell>
          <cell r="F100">
            <v>45771</v>
          </cell>
          <cell r="G100">
            <v>256779412779</v>
          </cell>
          <cell r="H100" t="str">
            <v>USD</v>
          </cell>
          <cell r="I100">
            <v>1820.14</v>
          </cell>
          <cell r="J100" t="str">
            <v>INR</v>
          </cell>
          <cell r="K100">
            <v>158209.88</v>
          </cell>
          <cell r="L100" t="str">
            <v>VAS 1-15 April-25,Ex.Rate-85.69</v>
          </cell>
          <cell r="M100">
            <v>140371</v>
          </cell>
          <cell r="N100">
            <v>17838.88</v>
          </cell>
          <cell r="O100">
            <v>0.1127545258235453</v>
          </cell>
          <cell r="Q100">
            <v>15597</v>
          </cell>
          <cell r="R100">
            <v>142612.88</v>
          </cell>
          <cell r="S100">
            <v>1400001341</v>
          </cell>
          <cell r="T100">
            <v>140371</v>
          </cell>
        </row>
        <row r="101">
          <cell r="D101">
            <v>1800008362</v>
          </cell>
          <cell r="E101" t="str">
            <v>DR</v>
          </cell>
          <cell r="F101">
            <v>45787</v>
          </cell>
          <cell r="G101">
            <v>256779413245</v>
          </cell>
          <cell r="H101" t="str">
            <v>USD</v>
          </cell>
          <cell r="I101">
            <v>396.79</v>
          </cell>
          <cell r="J101" t="str">
            <v>INR</v>
          </cell>
          <cell r="K101">
            <v>34117.47</v>
          </cell>
          <cell r="L101" t="str">
            <v>VAS - 16-30 April 25, Ex.Rate-85.05</v>
          </cell>
          <cell r="M101">
            <v>33169</v>
          </cell>
          <cell r="N101">
            <v>948.47000000000116</v>
          </cell>
          <cell r="O101">
            <v>2.780012703169377E-2</v>
          </cell>
          <cell r="Q101">
            <v>677</v>
          </cell>
          <cell r="R101">
            <v>33440.47</v>
          </cell>
          <cell r="S101">
            <v>1400001341</v>
          </cell>
          <cell r="T101">
            <v>33169</v>
          </cell>
        </row>
        <row r="102">
          <cell r="D102">
            <v>1800008303</v>
          </cell>
          <cell r="E102" t="str">
            <v>DR</v>
          </cell>
          <cell r="F102">
            <v>45787</v>
          </cell>
          <cell r="G102">
            <v>256779413186</v>
          </cell>
          <cell r="H102" t="str">
            <v>USD</v>
          </cell>
          <cell r="I102">
            <v>450</v>
          </cell>
          <cell r="J102" t="str">
            <v>INR</v>
          </cell>
          <cell r="K102">
            <v>38692.67</v>
          </cell>
          <cell r="L102" t="str">
            <v>CY Ground rent Chgs - 01 - 30 Apr 25</v>
          </cell>
          <cell r="M102">
            <v>34824</v>
          </cell>
          <cell r="N102">
            <v>3868.6699999999978</v>
          </cell>
          <cell r="O102">
            <v>9.9984570721017657E-2</v>
          </cell>
          <cell r="Q102">
            <v>3869</v>
          </cell>
          <cell r="R102">
            <v>34823.67</v>
          </cell>
          <cell r="S102">
            <v>1400001341</v>
          </cell>
          <cell r="T102">
            <v>34824</v>
          </cell>
        </row>
        <row r="103">
          <cell r="D103">
            <v>1800008231</v>
          </cell>
          <cell r="E103" t="str">
            <v>DR</v>
          </cell>
          <cell r="F103">
            <v>45787</v>
          </cell>
          <cell r="G103">
            <v>256779413115</v>
          </cell>
          <cell r="H103" t="str">
            <v>USD</v>
          </cell>
          <cell r="I103">
            <v>1800</v>
          </cell>
          <cell r="J103" t="str">
            <v>INR</v>
          </cell>
          <cell r="K103">
            <v>154770.66</v>
          </cell>
          <cell r="L103" t="str">
            <v>Fixed Storage Charges fo MAY 2025</v>
          </cell>
          <cell r="M103">
            <v>139294</v>
          </cell>
          <cell r="N103">
            <v>15476.66</v>
          </cell>
          <cell r="O103">
            <v>9.9997376763787157E-2</v>
          </cell>
          <cell r="Q103">
            <v>15477</v>
          </cell>
          <cell r="R103">
            <v>139293.66</v>
          </cell>
          <cell r="S103">
            <v>1400001341</v>
          </cell>
          <cell r="T103">
            <v>56360</v>
          </cell>
        </row>
        <row r="104">
          <cell r="D104">
            <v>1800008231</v>
          </cell>
          <cell r="E104" t="str">
            <v>DR</v>
          </cell>
          <cell r="F104">
            <v>45787</v>
          </cell>
          <cell r="G104">
            <v>256779413115</v>
          </cell>
          <cell r="H104" t="str">
            <v>USD</v>
          </cell>
          <cell r="I104">
            <v>1800</v>
          </cell>
          <cell r="J104" t="str">
            <v>INR</v>
          </cell>
          <cell r="K104">
            <v>154770.66</v>
          </cell>
          <cell r="L104" t="str">
            <v>Fixed Storage Charges fo MAY 2025</v>
          </cell>
          <cell r="M104">
            <v>139294</v>
          </cell>
          <cell r="N104">
            <v>15476.66</v>
          </cell>
          <cell r="O104">
            <v>9.9997376763787157E-2</v>
          </cell>
          <cell r="Q104">
            <v>15477</v>
          </cell>
          <cell r="R104">
            <v>139293.66</v>
          </cell>
          <cell r="S104">
            <v>1400001345</v>
          </cell>
          <cell r="T104">
            <v>82934</v>
          </cell>
        </row>
        <row r="105">
          <cell r="D105">
            <v>1800008552</v>
          </cell>
          <cell r="E105" t="str">
            <v>DR</v>
          </cell>
          <cell r="F105">
            <v>45793</v>
          </cell>
          <cell r="G105">
            <v>256779413316</v>
          </cell>
          <cell r="H105" t="str">
            <v>USD</v>
          </cell>
          <cell r="I105">
            <v>546</v>
          </cell>
          <cell r="J105" t="str">
            <v>INR</v>
          </cell>
          <cell r="K105">
            <v>46947.1</v>
          </cell>
          <cell r="L105" t="str">
            <v>Transportation In Chgs - 16 - 30 Apr 25</v>
          </cell>
          <cell r="M105">
            <v>46008</v>
          </cell>
          <cell r="N105">
            <v>939.09999999999854</v>
          </cell>
          <cell r="O105">
            <v>2.0003365490094141E-2</v>
          </cell>
          <cell r="Q105">
            <v>939</v>
          </cell>
          <cell r="R105">
            <v>46008.1</v>
          </cell>
          <cell r="S105">
            <v>1400001345</v>
          </cell>
          <cell r="T105">
            <v>17066</v>
          </cell>
        </row>
        <row r="106">
          <cell r="D106">
            <v>1800008552</v>
          </cell>
          <cell r="E106" t="str">
            <v>DR</v>
          </cell>
          <cell r="F106">
            <v>45793</v>
          </cell>
          <cell r="G106">
            <v>256779413316</v>
          </cell>
          <cell r="H106" t="str">
            <v>USD</v>
          </cell>
          <cell r="I106">
            <v>546</v>
          </cell>
          <cell r="J106" t="str">
            <v>INR</v>
          </cell>
          <cell r="K106">
            <v>46947.1</v>
          </cell>
          <cell r="L106" t="str">
            <v>Transportation In Chgs - 16 - 30 Apr 25</v>
          </cell>
          <cell r="M106">
            <v>46008</v>
          </cell>
          <cell r="N106">
            <v>939.09999999999854</v>
          </cell>
          <cell r="O106">
            <v>2.0003365490094141E-2</v>
          </cell>
          <cell r="Q106">
            <v>939</v>
          </cell>
          <cell r="R106">
            <v>46008.1</v>
          </cell>
          <cell r="S106">
            <v>1400001406</v>
          </cell>
          <cell r="T106">
            <v>28942</v>
          </cell>
        </row>
        <row r="107">
          <cell r="D107">
            <v>1800008727</v>
          </cell>
          <cell r="E107" t="str">
            <v>DR</v>
          </cell>
          <cell r="F107">
            <v>45797</v>
          </cell>
          <cell r="G107">
            <v>256779413491</v>
          </cell>
          <cell r="H107" t="str">
            <v>USD</v>
          </cell>
          <cell r="I107">
            <v>88.75</v>
          </cell>
          <cell r="J107" t="str">
            <v>INR</v>
          </cell>
          <cell r="K107">
            <v>7631.05</v>
          </cell>
          <cell r="L107" t="str">
            <v>Outbound chgs - 01 - 15 MAY 25</v>
          </cell>
          <cell r="M107">
            <v>7478</v>
          </cell>
          <cell r="N107">
            <v>153.05000000000021</v>
          </cell>
          <cell r="O107">
            <v>2.0056217689570919E-2</v>
          </cell>
          <cell r="Q107">
            <v>153</v>
          </cell>
          <cell r="R107">
            <v>7478.05</v>
          </cell>
          <cell r="S107">
            <v>1400001406</v>
          </cell>
          <cell r="T107">
            <v>7478</v>
          </cell>
        </row>
        <row r="108">
          <cell r="D108">
            <v>1800009127</v>
          </cell>
          <cell r="E108" t="str">
            <v>DR</v>
          </cell>
          <cell r="F108">
            <v>45805</v>
          </cell>
          <cell r="G108">
            <v>256779413891</v>
          </cell>
          <cell r="H108" t="str">
            <v>USD</v>
          </cell>
          <cell r="I108">
            <v>1501.8</v>
          </cell>
          <cell r="J108" t="str">
            <v>INR</v>
          </cell>
          <cell r="K108">
            <v>129130.32</v>
          </cell>
          <cell r="L108" t="str">
            <v>Storage Chgs - 01 - 31 Apr 25</v>
          </cell>
          <cell r="M108">
            <v>116217</v>
          </cell>
          <cell r="N108">
            <v>12913.320000000011</v>
          </cell>
          <cell r="O108">
            <v>0.1000022303050128</v>
          </cell>
          <cell r="Q108">
            <v>12913</v>
          </cell>
          <cell r="R108">
            <v>116217.32</v>
          </cell>
          <cell r="S108">
            <v>1400001406</v>
          </cell>
          <cell r="T108">
            <v>63580</v>
          </cell>
        </row>
        <row r="109">
          <cell r="D109">
            <v>1800009127</v>
          </cell>
          <cell r="E109" t="str">
            <v>DR</v>
          </cell>
          <cell r="F109">
            <v>45805</v>
          </cell>
          <cell r="G109">
            <v>256779413891</v>
          </cell>
          <cell r="H109" t="str">
            <v>USD</v>
          </cell>
          <cell r="I109">
            <v>1501.8</v>
          </cell>
          <cell r="J109" t="str">
            <v>INR</v>
          </cell>
          <cell r="K109">
            <v>129130.32</v>
          </cell>
          <cell r="L109" t="str">
            <v>Storage Chgs - 01 - 31 Apr 25</v>
          </cell>
          <cell r="M109">
            <v>116217</v>
          </cell>
          <cell r="N109">
            <v>12913.320000000011</v>
          </cell>
          <cell r="O109">
            <v>0.1000022303050128</v>
          </cell>
          <cell r="Q109">
            <v>12913</v>
          </cell>
          <cell r="R109">
            <v>116217.32</v>
          </cell>
          <cell r="S109">
            <v>1400001615</v>
          </cell>
          <cell r="T109">
            <v>52637</v>
          </cell>
        </row>
        <row r="110">
          <cell r="D110">
            <v>1800009234</v>
          </cell>
          <cell r="E110" t="str">
            <v>DR</v>
          </cell>
          <cell r="F110">
            <v>45810</v>
          </cell>
          <cell r="G110">
            <v>256779413998</v>
          </cell>
          <cell r="H110" t="str">
            <v>USD</v>
          </cell>
          <cell r="I110">
            <v>190.21</v>
          </cell>
          <cell r="J110" t="str">
            <v>INR</v>
          </cell>
          <cell r="K110">
            <v>16261.2</v>
          </cell>
          <cell r="L110" t="str">
            <v>Outbound chgs - 01 - 15 Apr 25</v>
          </cell>
          <cell r="M110">
            <v>15936</v>
          </cell>
          <cell r="N110">
            <v>325.20000000000073</v>
          </cell>
          <cell r="O110">
            <v>1.9998524094162841E-2</v>
          </cell>
          <cell r="Q110">
            <v>325</v>
          </cell>
          <cell r="R110">
            <v>15936.2</v>
          </cell>
          <cell r="S110">
            <v>1400001615</v>
          </cell>
          <cell r="T110">
            <v>15936</v>
          </cell>
        </row>
        <row r="111">
          <cell r="D111">
            <v>1800009158</v>
          </cell>
          <cell r="E111" t="str">
            <v>DR</v>
          </cell>
          <cell r="F111">
            <v>45810</v>
          </cell>
          <cell r="G111">
            <v>256779413922</v>
          </cell>
          <cell r="H111" t="str">
            <v>USD</v>
          </cell>
          <cell r="I111">
            <v>368.88</v>
          </cell>
          <cell r="J111" t="str">
            <v>INR</v>
          </cell>
          <cell r="K111">
            <v>31535.84</v>
          </cell>
          <cell r="L111" t="str">
            <v>Port SSR Charges - Shifting for Aug to D</v>
          </cell>
          <cell r="M111">
            <v>30905</v>
          </cell>
          <cell r="N111">
            <v>630.84000000000015</v>
          </cell>
          <cell r="O111">
            <v>2.0003906666193141E-2</v>
          </cell>
          <cell r="Q111">
            <v>631</v>
          </cell>
          <cell r="R111">
            <v>30904.84</v>
          </cell>
          <cell r="S111">
            <v>1400001615</v>
          </cell>
          <cell r="T111">
            <v>30905</v>
          </cell>
        </row>
        <row r="112">
          <cell r="D112">
            <v>1800009500</v>
          </cell>
          <cell r="E112" t="str">
            <v>DR</v>
          </cell>
          <cell r="F112">
            <v>45812</v>
          </cell>
          <cell r="G112">
            <v>256779414264</v>
          </cell>
          <cell r="H112" t="str">
            <v>USD</v>
          </cell>
          <cell r="I112">
            <v>7.02</v>
          </cell>
          <cell r="J112" t="str">
            <v>INR</v>
          </cell>
          <cell r="K112">
            <v>600.15</v>
          </cell>
          <cell r="L112" t="str">
            <v>Detention Chgs - 16 - 31 MAY 25</v>
          </cell>
          <cell r="M112">
            <v>588</v>
          </cell>
          <cell r="N112">
            <v>12.149999999999981</v>
          </cell>
          <cell r="O112">
            <v>2.024493876530864E-2</v>
          </cell>
          <cell r="Q112">
            <v>12</v>
          </cell>
          <cell r="R112">
            <v>588.15</v>
          </cell>
          <cell r="S112">
            <v>1400001615</v>
          </cell>
          <cell r="T112">
            <v>522</v>
          </cell>
        </row>
        <row r="113">
          <cell r="D113">
            <v>1800009500</v>
          </cell>
          <cell r="E113" t="str">
            <v>DR</v>
          </cell>
          <cell r="F113">
            <v>45812</v>
          </cell>
          <cell r="G113">
            <v>256779414264</v>
          </cell>
          <cell r="H113" t="str">
            <v>USD</v>
          </cell>
          <cell r="I113">
            <v>7.02</v>
          </cell>
          <cell r="J113" t="str">
            <v>INR</v>
          </cell>
          <cell r="K113">
            <v>600.15</v>
          </cell>
          <cell r="L113" t="str">
            <v>Detention Chgs - 16 - 31 MAY 25</v>
          </cell>
          <cell r="M113">
            <v>588</v>
          </cell>
          <cell r="N113">
            <v>12.149999999999981</v>
          </cell>
          <cell r="O113">
            <v>2.024493876530864E-2</v>
          </cell>
          <cell r="Q113">
            <v>12</v>
          </cell>
          <cell r="R113">
            <v>588.15</v>
          </cell>
          <cell r="S113">
            <v>1400001658</v>
          </cell>
          <cell r="T113">
            <v>66</v>
          </cell>
        </row>
        <row r="114">
          <cell r="D114">
            <v>1800009457</v>
          </cell>
          <cell r="E114" t="str">
            <v>DR</v>
          </cell>
          <cell r="F114">
            <v>45812</v>
          </cell>
          <cell r="G114">
            <v>256779414221</v>
          </cell>
          <cell r="H114" t="str">
            <v>USD</v>
          </cell>
          <cell r="I114">
            <v>46.22</v>
          </cell>
          <cell r="J114" t="str">
            <v>INR</v>
          </cell>
          <cell r="K114">
            <v>3951.38</v>
          </cell>
          <cell r="L114" t="str">
            <v>Outbound chgs - 16 - 31 MAY 25</v>
          </cell>
          <cell r="M114">
            <v>3872</v>
          </cell>
          <cell r="N114">
            <v>79.380000000000109</v>
          </cell>
          <cell r="O114">
            <v>2.0089184031907872E-2</v>
          </cell>
          <cell r="Q114">
            <v>79</v>
          </cell>
          <cell r="R114">
            <v>3872.38</v>
          </cell>
          <cell r="S114">
            <v>1400001658</v>
          </cell>
          <cell r="T114">
            <v>3872</v>
          </cell>
        </row>
        <row r="115">
          <cell r="D115">
            <v>1800009412</v>
          </cell>
          <cell r="E115" t="str">
            <v>DR</v>
          </cell>
          <cell r="F115">
            <v>45812</v>
          </cell>
          <cell r="G115">
            <v>256779414176</v>
          </cell>
          <cell r="H115" t="str">
            <v>USD</v>
          </cell>
          <cell r="I115">
            <v>129.31</v>
          </cell>
          <cell r="J115" t="str">
            <v>INR</v>
          </cell>
          <cell r="K115">
            <v>11054.81</v>
          </cell>
          <cell r="L115" t="str">
            <v>PORT SSR Chgs - 16 - 31 May 25</v>
          </cell>
          <cell r="M115">
            <v>10834</v>
          </cell>
          <cell r="N115">
            <v>220.80999999999949</v>
          </cell>
          <cell r="O115">
            <v>1.9974110816920371E-2</v>
          </cell>
          <cell r="Q115">
            <v>221</v>
          </cell>
          <cell r="R115">
            <v>10833.81</v>
          </cell>
          <cell r="S115">
            <v>1400001658</v>
          </cell>
          <cell r="T115">
            <v>10834</v>
          </cell>
        </row>
        <row r="116">
          <cell r="D116">
            <v>1800009556</v>
          </cell>
          <cell r="E116" t="str">
            <v>DR</v>
          </cell>
          <cell r="F116">
            <v>45812</v>
          </cell>
          <cell r="G116">
            <v>256779414320</v>
          </cell>
          <cell r="H116" t="str">
            <v>USD</v>
          </cell>
          <cell r="I116">
            <v>611.36</v>
          </cell>
          <cell r="J116" t="str">
            <v>INR</v>
          </cell>
          <cell r="K116">
            <v>52265.64</v>
          </cell>
          <cell r="L116" t="str">
            <v>LCL Chgs - 16-31 MAY 25</v>
          </cell>
          <cell r="M116">
            <v>51221</v>
          </cell>
          <cell r="N116">
            <v>1044.639999999999</v>
          </cell>
          <cell r="O116">
            <v>1.9987127298163751E-2</v>
          </cell>
          <cell r="Q116">
            <v>1045</v>
          </cell>
          <cell r="R116">
            <v>51220.639999999999</v>
          </cell>
          <cell r="S116">
            <v>1400001658</v>
          </cell>
          <cell r="T116">
            <v>51221</v>
          </cell>
        </row>
        <row r="117">
          <cell r="D117">
            <v>1800009468</v>
          </cell>
          <cell r="E117" t="str">
            <v>DR</v>
          </cell>
          <cell r="F117">
            <v>45815</v>
          </cell>
          <cell r="G117">
            <v>256779414232</v>
          </cell>
          <cell r="H117" t="str">
            <v>USD</v>
          </cell>
          <cell r="I117">
            <v>1240.4000000000001</v>
          </cell>
          <cell r="J117" t="str">
            <v>INR</v>
          </cell>
          <cell r="K117">
            <v>106042.76</v>
          </cell>
          <cell r="L117" t="str">
            <v>Unit storage -1-31 May 25</v>
          </cell>
          <cell r="M117">
            <v>95439</v>
          </cell>
          <cell r="N117">
            <v>10603.759999999989</v>
          </cell>
          <cell r="O117">
            <v>9.9995134038382213E-2</v>
          </cell>
          <cell r="Q117">
            <v>10604</v>
          </cell>
          <cell r="R117">
            <v>95438.76</v>
          </cell>
          <cell r="S117">
            <v>1400001658</v>
          </cell>
          <cell r="T117">
            <v>34007</v>
          </cell>
        </row>
        <row r="118">
          <cell r="D118">
            <v>1800009468</v>
          </cell>
          <cell r="E118" t="str">
            <v>DR</v>
          </cell>
          <cell r="F118">
            <v>45815</v>
          </cell>
          <cell r="G118">
            <v>256779414232</v>
          </cell>
          <cell r="H118" t="str">
            <v>USD</v>
          </cell>
          <cell r="I118">
            <v>1240.4000000000001</v>
          </cell>
          <cell r="J118" t="str">
            <v>INR</v>
          </cell>
          <cell r="K118">
            <v>106042.76</v>
          </cell>
          <cell r="L118" t="str">
            <v>Unit storage -1-31 May 25</v>
          </cell>
          <cell r="M118">
            <v>95439</v>
          </cell>
          <cell r="N118">
            <v>10603.759999999989</v>
          </cell>
          <cell r="O118">
            <v>9.9995134038382213E-2</v>
          </cell>
          <cell r="Q118">
            <v>10604</v>
          </cell>
          <cell r="R118">
            <v>95438.76</v>
          </cell>
          <cell r="S118">
            <v>1400001934</v>
          </cell>
          <cell r="T118">
            <v>61432</v>
          </cell>
        </row>
        <row r="119">
          <cell r="D119">
            <v>1800009610</v>
          </cell>
          <cell r="E119" t="str">
            <v>DR</v>
          </cell>
          <cell r="F119">
            <v>45818</v>
          </cell>
          <cell r="G119">
            <v>256779414374</v>
          </cell>
          <cell r="H119" t="str">
            <v>USD</v>
          </cell>
          <cell r="I119">
            <v>1800</v>
          </cell>
          <cell r="J119" t="str">
            <v>INR</v>
          </cell>
          <cell r="K119">
            <v>153883.4</v>
          </cell>
          <cell r="L119" t="str">
            <v>Fixed Storage Charges fo JUNE 2025</v>
          </cell>
          <cell r="M119">
            <v>138495</v>
          </cell>
          <cell r="N119">
            <v>15388.399999999991</v>
          </cell>
          <cell r="O119">
            <v>0.1000003899056038</v>
          </cell>
          <cell r="Q119">
            <v>15388</v>
          </cell>
          <cell r="R119">
            <v>138495.4</v>
          </cell>
          <cell r="S119">
            <v>1400001934</v>
          </cell>
          <cell r="T119">
            <v>38568</v>
          </cell>
        </row>
        <row r="120">
          <cell r="D120">
            <v>1800009610</v>
          </cell>
          <cell r="E120" t="str">
            <v>DR</v>
          </cell>
          <cell r="F120">
            <v>45818</v>
          </cell>
          <cell r="G120">
            <v>256779414374</v>
          </cell>
          <cell r="H120" t="str">
            <v>USD</v>
          </cell>
          <cell r="I120">
            <v>1800</v>
          </cell>
          <cell r="J120" t="str">
            <v>INR</v>
          </cell>
          <cell r="K120">
            <v>153883.4</v>
          </cell>
          <cell r="L120" t="str">
            <v>Fixed Storage Charges fo JUNE 2025</v>
          </cell>
          <cell r="M120">
            <v>138495</v>
          </cell>
          <cell r="N120">
            <v>15388.399999999991</v>
          </cell>
          <cell r="O120">
            <v>0.1000003899056038</v>
          </cell>
          <cell r="Q120">
            <v>15388</v>
          </cell>
          <cell r="R120">
            <v>138495.4</v>
          </cell>
          <cell r="S120">
            <v>1400002027</v>
          </cell>
          <cell r="T120">
            <v>99927</v>
          </cell>
        </row>
        <row r="121">
          <cell r="D121">
            <v>1800009578</v>
          </cell>
          <cell r="E121" t="str">
            <v>DR</v>
          </cell>
          <cell r="F121">
            <v>45821</v>
          </cell>
          <cell r="G121">
            <v>256779414342</v>
          </cell>
          <cell r="H121" t="str">
            <v>USD</v>
          </cell>
          <cell r="I121">
            <v>465</v>
          </cell>
          <cell r="J121" t="str">
            <v>INR</v>
          </cell>
          <cell r="K121">
            <v>39753.21</v>
          </cell>
          <cell r="L121" t="str">
            <v>CY Longstanding - March 25,16-31</v>
          </cell>
          <cell r="M121">
            <v>35715</v>
          </cell>
          <cell r="N121">
            <v>4038.2099999999991</v>
          </cell>
          <cell r="O121">
            <v>0.10158198545475949</v>
          </cell>
          <cell r="Q121">
            <v>3968</v>
          </cell>
          <cell r="R121">
            <v>35785.21</v>
          </cell>
          <cell r="S121">
            <v>1400002027</v>
          </cell>
          <cell r="T121">
            <v>73</v>
          </cell>
        </row>
        <row r="122">
          <cell r="D122">
            <v>1800009578</v>
          </cell>
          <cell r="E122" t="str">
            <v>DR</v>
          </cell>
          <cell r="F122">
            <v>45821</v>
          </cell>
          <cell r="G122">
            <v>256779414342</v>
          </cell>
          <cell r="H122" t="str">
            <v>USD</v>
          </cell>
          <cell r="I122">
            <v>465</v>
          </cell>
          <cell r="J122" t="str">
            <v>INR</v>
          </cell>
          <cell r="K122">
            <v>39753.21</v>
          </cell>
          <cell r="L122" t="str">
            <v>CY Longstanding - March 25,16-31</v>
          </cell>
          <cell r="M122">
            <v>35715</v>
          </cell>
          <cell r="N122">
            <v>4038.2099999999991</v>
          </cell>
          <cell r="O122">
            <v>0.10158198545475949</v>
          </cell>
          <cell r="Q122">
            <v>3968</v>
          </cell>
          <cell r="R122">
            <v>35785.21</v>
          </cell>
          <cell r="S122">
            <v>1400002099</v>
          </cell>
          <cell r="T122">
            <v>35642</v>
          </cell>
        </row>
        <row r="123">
          <cell r="D123">
            <v>1800009972</v>
          </cell>
          <cell r="E123" t="str">
            <v>DR</v>
          </cell>
          <cell r="F123">
            <v>45827</v>
          </cell>
          <cell r="G123">
            <v>256779414736</v>
          </cell>
          <cell r="H123" t="str">
            <v>USD</v>
          </cell>
          <cell r="I123">
            <v>110</v>
          </cell>
          <cell r="J123" t="str">
            <v>INR</v>
          </cell>
          <cell r="K123">
            <v>9403.99</v>
          </cell>
          <cell r="L123" t="str">
            <v>Unit to Unit 1-15 June 25</v>
          </cell>
          <cell r="M123">
            <v>9282</v>
          </cell>
          <cell r="N123">
            <v>121.9899999999998</v>
          </cell>
          <cell r="O123">
            <v>1.2972153309393121E-2</v>
          </cell>
          <cell r="Q123">
            <v>189</v>
          </cell>
          <cell r="R123">
            <v>9214.99</v>
          </cell>
          <cell r="S123">
            <v>1400002099</v>
          </cell>
          <cell r="T123">
            <v>9282</v>
          </cell>
        </row>
        <row r="124">
          <cell r="D124">
            <v>1800009980</v>
          </cell>
          <cell r="E124" t="str">
            <v>DR</v>
          </cell>
          <cell r="F124">
            <v>45827</v>
          </cell>
          <cell r="G124">
            <v>256779414744</v>
          </cell>
          <cell r="H124" t="str">
            <v>USD</v>
          </cell>
          <cell r="I124">
            <v>287.81</v>
          </cell>
          <cell r="J124" t="str">
            <v>INR</v>
          </cell>
          <cell r="K124">
            <v>24605.1</v>
          </cell>
          <cell r="L124" t="str">
            <v>VAS 1-15 June 25, Exch 86.10</v>
          </cell>
          <cell r="M124">
            <v>24284</v>
          </cell>
          <cell r="N124">
            <v>321.09999999999849</v>
          </cell>
          <cell r="O124">
            <v>1.3050140011623549E-2</v>
          </cell>
          <cell r="Q124">
            <v>496</v>
          </cell>
          <cell r="R124">
            <v>24109.1</v>
          </cell>
          <cell r="S124">
            <v>1400002099</v>
          </cell>
          <cell r="T124">
            <v>24284</v>
          </cell>
        </row>
        <row r="125">
          <cell r="D125">
            <v>1800010070</v>
          </cell>
          <cell r="E125" t="str">
            <v>DR</v>
          </cell>
          <cell r="F125">
            <v>45842</v>
          </cell>
          <cell r="G125">
            <v>256779414834</v>
          </cell>
          <cell r="H125" t="str">
            <v>USD</v>
          </cell>
          <cell r="I125">
            <v>15.28</v>
          </cell>
          <cell r="J125" t="str">
            <v>INR</v>
          </cell>
          <cell r="K125">
            <v>1314.09</v>
          </cell>
          <cell r="L125" t="str">
            <v>Outbound chgs - 01 - 15 Jun 25</v>
          </cell>
          <cell r="M125">
            <v>1288</v>
          </cell>
          <cell r="N125">
            <v>26.089999999999922</v>
          </cell>
          <cell r="O125">
            <v>1.985404348256202E-2</v>
          </cell>
          <cell r="Q125">
            <v>26</v>
          </cell>
          <cell r="R125">
            <v>1288.0899999999999</v>
          </cell>
          <cell r="S125">
            <v>1400002099</v>
          </cell>
          <cell r="T125">
            <v>1288</v>
          </cell>
        </row>
        <row r="126">
          <cell r="D126">
            <v>1800010121</v>
          </cell>
          <cell r="E126" t="str">
            <v>DR</v>
          </cell>
          <cell r="F126">
            <v>45842</v>
          </cell>
          <cell r="G126">
            <v>256779414881</v>
          </cell>
          <cell r="H126" t="str">
            <v>USD</v>
          </cell>
          <cell r="I126">
            <v>52.22</v>
          </cell>
          <cell r="J126" t="str">
            <v>INR</v>
          </cell>
          <cell r="K126">
            <v>4490.95</v>
          </cell>
          <cell r="L126" t="str">
            <v>LCL chgs - 16 - 30 JUN 25</v>
          </cell>
          <cell r="M126">
            <v>4401</v>
          </cell>
          <cell r="N126">
            <v>89.949999999999818</v>
          </cell>
          <cell r="O126">
            <v>2.002916977476922E-2</v>
          </cell>
          <cell r="Q126">
            <v>90</v>
          </cell>
          <cell r="R126">
            <v>4400.95</v>
          </cell>
          <cell r="S126">
            <v>1400002099</v>
          </cell>
          <cell r="T126">
            <v>4401</v>
          </cell>
        </row>
        <row r="127">
          <cell r="D127">
            <v>1800010005</v>
          </cell>
          <cell r="E127" t="str">
            <v>DR</v>
          </cell>
          <cell r="F127">
            <v>45842</v>
          </cell>
          <cell r="G127">
            <v>256779414769</v>
          </cell>
          <cell r="H127" t="str">
            <v>USD</v>
          </cell>
          <cell r="I127">
            <v>66.790000000000006</v>
          </cell>
          <cell r="J127" t="str">
            <v>INR</v>
          </cell>
          <cell r="K127">
            <v>5743.98</v>
          </cell>
          <cell r="L127" t="str">
            <v>CODC Inbound chgs - 01 - 15 Jun 25</v>
          </cell>
          <cell r="M127">
            <v>5629</v>
          </cell>
          <cell r="N127">
            <v>114.97999999999961</v>
          </cell>
          <cell r="O127">
            <v>2.0017479169495641E-2</v>
          </cell>
          <cell r="Q127">
            <v>115</v>
          </cell>
          <cell r="R127">
            <v>5628.98</v>
          </cell>
          <cell r="S127">
            <v>1400002099</v>
          </cell>
          <cell r="T127">
            <v>5629</v>
          </cell>
        </row>
        <row r="128">
          <cell r="D128">
            <v>1800010505</v>
          </cell>
          <cell r="E128" t="str">
            <v>DR</v>
          </cell>
          <cell r="F128">
            <v>45842</v>
          </cell>
          <cell r="G128">
            <v>256779415265</v>
          </cell>
          <cell r="H128" t="str">
            <v>USD</v>
          </cell>
          <cell r="I128">
            <v>164.73</v>
          </cell>
          <cell r="J128" t="str">
            <v>INR</v>
          </cell>
          <cell r="K128">
            <v>14166.89</v>
          </cell>
          <cell r="L128" t="str">
            <v>VAS - 16-30 June 25</v>
          </cell>
          <cell r="M128">
            <v>13884</v>
          </cell>
          <cell r="N128">
            <v>282.88999999999942</v>
          </cell>
          <cell r="O128">
            <v>1.9968391086540482E-2</v>
          </cell>
          <cell r="Q128">
            <v>283</v>
          </cell>
          <cell r="R128">
            <v>13883.89</v>
          </cell>
          <cell r="S128">
            <v>1400002099</v>
          </cell>
          <cell r="T128">
            <v>13884</v>
          </cell>
        </row>
        <row r="129">
          <cell r="D129">
            <v>1800010260</v>
          </cell>
          <cell r="E129" t="str">
            <v>DR</v>
          </cell>
          <cell r="F129">
            <v>45842</v>
          </cell>
          <cell r="G129">
            <v>256779415020</v>
          </cell>
          <cell r="H129" t="str">
            <v>USD</v>
          </cell>
          <cell r="I129">
            <v>175.39</v>
          </cell>
          <cell r="J129" t="str">
            <v>INR</v>
          </cell>
          <cell r="K129">
            <v>15083.66</v>
          </cell>
          <cell r="L129" t="str">
            <v>Outbound chgs - 16 - 30 Jun 25</v>
          </cell>
          <cell r="M129">
            <v>14782</v>
          </cell>
          <cell r="N129">
            <v>301.65999999999991</v>
          </cell>
          <cell r="O129">
            <v>1.99991248808313E-2</v>
          </cell>
          <cell r="Q129">
            <v>302</v>
          </cell>
          <cell r="R129">
            <v>14781.66</v>
          </cell>
          <cell r="S129">
            <v>1400002099</v>
          </cell>
          <cell r="T129">
            <v>5590</v>
          </cell>
        </row>
        <row r="130">
          <cell r="D130">
            <v>1800010260</v>
          </cell>
          <cell r="E130" t="str">
            <v>DR</v>
          </cell>
          <cell r="F130">
            <v>45842</v>
          </cell>
          <cell r="G130">
            <v>256779415020</v>
          </cell>
          <cell r="H130" t="str">
            <v>USD</v>
          </cell>
          <cell r="I130">
            <v>175.39</v>
          </cell>
          <cell r="J130" t="str">
            <v>INR</v>
          </cell>
          <cell r="K130">
            <v>15083.66</v>
          </cell>
          <cell r="L130" t="str">
            <v>Outbound chgs - 16 - 30 Jun 25</v>
          </cell>
          <cell r="M130">
            <v>14782</v>
          </cell>
          <cell r="N130">
            <v>301.65999999999991</v>
          </cell>
          <cell r="O130">
            <v>1.99991248808313E-2</v>
          </cell>
          <cell r="Q130">
            <v>302</v>
          </cell>
          <cell r="R130">
            <v>14781.66</v>
          </cell>
          <cell r="S130">
            <v>1400002218</v>
          </cell>
          <cell r="T130">
            <v>9192</v>
          </cell>
        </row>
        <row r="131">
          <cell r="D131">
            <v>1800010039</v>
          </cell>
          <cell r="E131" t="str">
            <v>DR</v>
          </cell>
          <cell r="F131">
            <v>45842</v>
          </cell>
          <cell r="G131">
            <v>256779414803</v>
          </cell>
          <cell r="H131" t="str">
            <v>USD</v>
          </cell>
          <cell r="I131">
            <v>318.63</v>
          </cell>
          <cell r="J131" t="str">
            <v>INR</v>
          </cell>
          <cell r="K131">
            <v>27402.39</v>
          </cell>
          <cell r="L131" t="str">
            <v>LCL Chgs - 01 - 15 JUN 25</v>
          </cell>
          <cell r="M131">
            <v>26854</v>
          </cell>
          <cell r="N131">
            <v>548.38999999999942</v>
          </cell>
          <cell r="O131">
            <v>2.0012487961816448E-2</v>
          </cell>
          <cell r="Q131">
            <v>548</v>
          </cell>
          <cell r="R131">
            <v>26854.39</v>
          </cell>
          <cell r="S131">
            <v>1400002218</v>
          </cell>
          <cell r="T131">
            <v>26854</v>
          </cell>
        </row>
        <row r="132">
          <cell r="D132">
            <v>1800010428</v>
          </cell>
          <cell r="E132" t="str">
            <v>DR</v>
          </cell>
          <cell r="F132">
            <v>45842</v>
          </cell>
          <cell r="G132">
            <v>256779415188</v>
          </cell>
          <cell r="H132" t="str">
            <v>USD</v>
          </cell>
          <cell r="I132">
            <v>1521.18</v>
          </cell>
          <cell r="J132" t="str">
            <v>INR</v>
          </cell>
          <cell r="K132">
            <v>130822.5</v>
          </cell>
          <cell r="L132" t="str">
            <v>Unit Storage - 1-30 June 25</v>
          </cell>
          <cell r="M132">
            <v>117740</v>
          </cell>
          <cell r="N132">
            <v>13082.5</v>
          </cell>
          <cell r="O132">
            <v>0.10000191098626</v>
          </cell>
          <cell r="Q132">
            <v>13082</v>
          </cell>
          <cell r="R132">
            <v>117740.5</v>
          </cell>
          <cell r="S132">
            <v>1400002218</v>
          </cell>
          <cell r="T132">
            <v>63954</v>
          </cell>
        </row>
        <row r="133">
          <cell r="D133">
            <v>1800010428</v>
          </cell>
          <cell r="E133" t="str">
            <v>DR</v>
          </cell>
          <cell r="F133">
            <v>45842</v>
          </cell>
          <cell r="G133">
            <v>256779415188</v>
          </cell>
          <cell r="H133" t="str">
            <v>USD</v>
          </cell>
          <cell r="I133">
            <v>1521.18</v>
          </cell>
          <cell r="J133" t="str">
            <v>INR</v>
          </cell>
          <cell r="K133">
            <v>130822.5</v>
          </cell>
          <cell r="L133" t="str">
            <v>Unit Storage - 1-30 June 25</v>
          </cell>
          <cell r="M133">
            <v>117740</v>
          </cell>
          <cell r="N133">
            <v>13082.5</v>
          </cell>
          <cell r="O133">
            <v>0.10000191098626</v>
          </cell>
          <cell r="Q133">
            <v>13082</v>
          </cell>
          <cell r="R133">
            <v>117740.5</v>
          </cell>
          <cell r="S133">
            <v>1400002412</v>
          </cell>
          <cell r="T133">
            <v>53786</v>
          </cell>
        </row>
        <row r="134">
          <cell r="D134">
            <v>1800010172</v>
          </cell>
          <cell r="E134" t="str">
            <v>DR</v>
          </cell>
          <cell r="F134">
            <v>45842</v>
          </cell>
          <cell r="G134">
            <v>256779414932</v>
          </cell>
          <cell r="H134" t="str">
            <v>USD</v>
          </cell>
          <cell r="I134">
            <v>1800</v>
          </cell>
          <cell r="J134" t="str">
            <v>INR</v>
          </cell>
          <cell r="K134">
            <v>154801.21</v>
          </cell>
          <cell r="L134" t="str">
            <v>Fixed Storage Charges fo JULY 2025</v>
          </cell>
          <cell r="M134">
            <v>139321</v>
          </cell>
          <cell r="N134">
            <v>15480.20999999999</v>
          </cell>
          <cell r="O134">
            <v>0.1000005749309065</v>
          </cell>
          <cell r="Q134">
            <v>15480</v>
          </cell>
          <cell r="R134">
            <v>139321.21</v>
          </cell>
          <cell r="S134">
            <v>1400002412</v>
          </cell>
          <cell r="T134">
            <v>139321</v>
          </cell>
        </row>
        <row r="135">
          <cell r="D135">
            <v>1800010742</v>
          </cell>
          <cell r="E135" t="str">
            <v>DR</v>
          </cell>
          <cell r="F135">
            <v>45856</v>
          </cell>
          <cell r="G135">
            <v>256779415526</v>
          </cell>
          <cell r="H135" t="str">
            <v>USD</v>
          </cell>
          <cell r="I135">
            <v>2.75</v>
          </cell>
          <cell r="J135" t="str">
            <v>INR</v>
          </cell>
          <cell r="K135">
            <v>236.5</v>
          </cell>
          <cell r="L135" t="str">
            <v>Outbound chgs - 01 - 15 Jul 25</v>
          </cell>
          <cell r="M135">
            <v>232</v>
          </cell>
          <cell r="N135">
            <v>4.5</v>
          </cell>
          <cell r="O135">
            <v>1.902748414376321E-2</v>
          </cell>
          <cell r="Q135">
            <v>5</v>
          </cell>
          <cell r="R135">
            <v>231.5</v>
          </cell>
          <cell r="S135">
            <v>1400002412</v>
          </cell>
          <cell r="T135">
            <v>232</v>
          </cell>
        </row>
        <row r="136">
          <cell r="D136">
            <v>1800010661</v>
          </cell>
          <cell r="E136" t="str">
            <v>DR</v>
          </cell>
          <cell r="F136">
            <v>45856</v>
          </cell>
          <cell r="G136">
            <v>256779415445</v>
          </cell>
          <cell r="H136" t="str">
            <v>USD</v>
          </cell>
          <cell r="I136">
            <v>26.09</v>
          </cell>
          <cell r="J136" t="str">
            <v>INR</v>
          </cell>
          <cell r="K136">
            <v>2243.7600000000002</v>
          </cell>
          <cell r="L136" t="str">
            <v>CODC Inbound chgs - 01 - 15 July 25</v>
          </cell>
          <cell r="M136">
            <v>2199</v>
          </cell>
          <cell r="N136">
            <v>44.760000000000218</v>
          </cell>
          <cell r="O136">
            <v>1.9948657610439711E-2</v>
          </cell>
          <cell r="Q136">
            <v>45</v>
          </cell>
          <cell r="R136">
            <v>2198.7600000000002</v>
          </cell>
          <cell r="S136">
            <v>1400002412</v>
          </cell>
          <cell r="T136">
            <v>2199</v>
          </cell>
        </row>
        <row r="137">
          <cell r="D137">
            <v>1800010674</v>
          </cell>
          <cell r="E137" t="str">
            <v>DR</v>
          </cell>
          <cell r="F137">
            <v>45856</v>
          </cell>
          <cell r="G137">
            <v>256779415458</v>
          </cell>
          <cell r="H137" t="str">
            <v>USD</v>
          </cell>
          <cell r="I137">
            <v>73.739999999999995</v>
          </cell>
          <cell r="J137" t="str">
            <v>INR</v>
          </cell>
          <cell r="K137">
            <v>6341.69</v>
          </cell>
          <cell r="L137" t="str">
            <v>CODC Out chgs - 01 - 15 July 25</v>
          </cell>
          <cell r="M137">
            <v>6215</v>
          </cell>
          <cell r="N137">
            <v>126.6899999999996</v>
          </cell>
          <cell r="O137">
            <v>1.9977324656361251E-2</v>
          </cell>
          <cell r="Q137">
            <v>127</v>
          </cell>
          <cell r="R137">
            <v>6214.69</v>
          </cell>
          <cell r="S137">
            <v>1400002412</v>
          </cell>
          <cell r="T137">
            <v>4462</v>
          </cell>
        </row>
        <row r="138">
          <cell r="D138">
            <v>1800010674</v>
          </cell>
          <cell r="E138" t="str">
            <v>DR</v>
          </cell>
          <cell r="F138">
            <v>45856</v>
          </cell>
          <cell r="G138">
            <v>256779415458</v>
          </cell>
          <cell r="H138" t="str">
            <v>USD</v>
          </cell>
          <cell r="I138">
            <v>73.739999999999995</v>
          </cell>
          <cell r="J138" t="str">
            <v>INR</v>
          </cell>
          <cell r="K138">
            <v>6341.69</v>
          </cell>
          <cell r="L138" t="str">
            <v>CODC Out chgs - 01 - 15 July 25</v>
          </cell>
          <cell r="M138">
            <v>6215</v>
          </cell>
          <cell r="N138">
            <v>126.6899999999996</v>
          </cell>
          <cell r="O138">
            <v>1.9977324656361251E-2</v>
          </cell>
          <cell r="Q138">
            <v>127</v>
          </cell>
          <cell r="R138">
            <v>6214.69</v>
          </cell>
          <cell r="S138">
            <v>1400002418</v>
          </cell>
          <cell r="T138">
            <v>1753</v>
          </cell>
        </row>
        <row r="139">
          <cell r="D139">
            <v>1800010772</v>
          </cell>
          <cell r="E139" t="str">
            <v>DR</v>
          </cell>
          <cell r="F139">
            <v>45856</v>
          </cell>
          <cell r="G139">
            <v>256779415434</v>
          </cell>
          <cell r="H139" t="str">
            <v>USD</v>
          </cell>
          <cell r="I139">
            <v>110.95</v>
          </cell>
          <cell r="J139" t="str">
            <v>INR</v>
          </cell>
          <cell r="K139">
            <v>9541.77</v>
          </cell>
          <cell r="L139" t="str">
            <v>PORT SSR Chgs May &amp; June 25</v>
          </cell>
          <cell r="M139">
            <v>9351</v>
          </cell>
          <cell r="N139">
            <v>190.77000000000041</v>
          </cell>
          <cell r="O139">
            <v>1.9993145925755958E-2</v>
          </cell>
          <cell r="Q139">
            <v>191</v>
          </cell>
          <cell r="R139">
            <v>9350.77</v>
          </cell>
          <cell r="S139">
            <v>1400002418</v>
          </cell>
          <cell r="T139">
            <v>9351</v>
          </cell>
        </row>
        <row r="140">
          <cell r="D140">
            <v>1800010942</v>
          </cell>
          <cell r="E140" t="str">
            <v>DR</v>
          </cell>
          <cell r="F140">
            <v>45856</v>
          </cell>
          <cell r="G140">
            <v>256779415702</v>
          </cell>
          <cell r="H140" t="str">
            <v>USD</v>
          </cell>
          <cell r="I140">
            <v>200</v>
          </cell>
          <cell r="J140" t="str">
            <v>INR</v>
          </cell>
          <cell r="K140">
            <v>17200.13</v>
          </cell>
          <cell r="L140" t="str">
            <v>Transportation In Chgs - 01 - 15 Jul 25</v>
          </cell>
          <cell r="M140">
            <v>16856</v>
          </cell>
          <cell r="N140">
            <v>344.13000000000102</v>
          </cell>
          <cell r="O140">
            <v>2.0007406920761701E-2</v>
          </cell>
          <cell r="Q140">
            <v>344</v>
          </cell>
          <cell r="R140">
            <v>16856.13</v>
          </cell>
          <cell r="S140">
            <v>1400002418</v>
          </cell>
          <cell r="T140">
            <v>16856</v>
          </cell>
        </row>
        <row r="141">
          <cell r="D141">
            <v>1800010702</v>
          </cell>
          <cell r="E141" t="str">
            <v>DR</v>
          </cell>
          <cell r="F141">
            <v>45856</v>
          </cell>
          <cell r="G141">
            <v>256779415486</v>
          </cell>
          <cell r="H141" t="str">
            <v>USD</v>
          </cell>
          <cell r="I141">
            <v>239.19</v>
          </cell>
          <cell r="J141" t="str">
            <v>INR</v>
          </cell>
          <cell r="K141">
            <v>20570.5</v>
          </cell>
          <cell r="L141" t="str">
            <v>LCL chgs - 01 - 15 JUL 25</v>
          </cell>
          <cell r="M141">
            <v>20159</v>
          </cell>
          <cell r="N141">
            <v>411.5</v>
          </cell>
          <cell r="O141">
            <v>2.0004375197491549E-2</v>
          </cell>
          <cell r="Q141">
            <v>411</v>
          </cell>
          <cell r="R141">
            <v>20159.5</v>
          </cell>
          <cell r="S141">
            <v>1400002418</v>
          </cell>
          <cell r="T141">
            <v>20159</v>
          </cell>
        </row>
        <row r="142">
          <cell r="D142">
            <v>1800011194</v>
          </cell>
          <cell r="E142" t="str">
            <v>DR</v>
          </cell>
          <cell r="F142">
            <v>45862</v>
          </cell>
          <cell r="G142">
            <v>256779415946</v>
          </cell>
          <cell r="H142" t="str">
            <v>USD</v>
          </cell>
          <cell r="I142">
            <v>29.25</v>
          </cell>
          <cell r="J142" t="str">
            <v>INR</v>
          </cell>
          <cell r="K142">
            <v>2515.52</v>
          </cell>
          <cell r="L142" t="str">
            <v>LCL Chgs - 01-15 MAY 25</v>
          </cell>
          <cell r="M142">
            <v>2466</v>
          </cell>
          <cell r="N142">
            <v>49.519999999999982</v>
          </cell>
          <cell r="O142">
            <v>1.9685790611881429E-2</v>
          </cell>
          <cell r="Q142">
            <v>50</v>
          </cell>
          <cell r="R142">
            <v>2465.52</v>
          </cell>
          <cell r="S142">
            <v>1400002418</v>
          </cell>
          <cell r="T142">
            <v>2466</v>
          </cell>
        </row>
        <row r="143">
          <cell r="D143">
            <v>1800011268</v>
          </cell>
          <cell r="E143" t="str">
            <v>DR</v>
          </cell>
          <cell r="F143">
            <v>45863</v>
          </cell>
          <cell r="G143">
            <v>256779416000</v>
          </cell>
          <cell r="H143" t="str">
            <v>USD</v>
          </cell>
          <cell r="I143">
            <v>151.58000000000001</v>
          </cell>
          <cell r="J143" t="str">
            <v>INR</v>
          </cell>
          <cell r="K143">
            <v>13035.98</v>
          </cell>
          <cell r="L143" t="str">
            <v>VAS 16-31 May 25 Ex.85.48</v>
          </cell>
          <cell r="M143">
            <v>12698</v>
          </cell>
          <cell r="N143">
            <v>337.97999999999962</v>
          </cell>
          <cell r="O143">
            <v>2.5926704398134971E-2</v>
          </cell>
          <cell r="Q143">
            <v>259</v>
          </cell>
          <cell r="R143">
            <v>12776.98</v>
          </cell>
          <cell r="S143">
            <v>1400002418</v>
          </cell>
          <cell r="T143">
            <v>12698</v>
          </cell>
        </row>
        <row r="144">
          <cell r="D144">
            <v>1800011236</v>
          </cell>
          <cell r="E144" t="str">
            <v>DR</v>
          </cell>
          <cell r="F144">
            <v>45863</v>
          </cell>
          <cell r="G144">
            <v>256779415968</v>
          </cell>
          <cell r="H144" t="str">
            <v>USD</v>
          </cell>
          <cell r="I144">
            <v>465</v>
          </cell>
          <cell r="J144" t="str">
            <v>INR</v>
          </cell>
          <cell r="K144">
            <v>39990.31</v>
          </cell>
          <cell r="L144" t="str">
            <v>CY Ground rent Chgs - 01 - 31 May 25</v>
          </cell>
          <cell r="M144">
            <v>35991</v>
          </cell>
          <cell r="N144">
            <v>3999.3099999999981</v>
          </cell>
          <cell r="O144">
            <v>0.1000069766901031</v>
          </cell>
          <cell r="Q144">
            <v>3999</v>
          </cell>
          <cell r="R144">
            <v>35991.31</v>
          </cell>
          <cell r="S144">
            <v>1400002418</v>
          </cell>
          <cell r="T144">
            <v>35991</v>
          </cell>
        </row>
        <row r="145">
          <cell r="D145">
            <v>1800011334</v>
          </cell>
          <cell r="E145" t="str">
            <v>DR</v>
          </cell>
          <cell r="F145">
            <v>45870</v>
          </cell>
          <cell r="G145">
            <v>256779416043</v>
          </cell>
          <cell r="H145" t="str">
            <v>USD</v>
          </cell>
          <cell r="I145">
            <v>1800</v>
          </cell>
          <cell r="J145" t="str">
            <v>INR</v>
          </cell>
          <cell r="K145">
            <v>154854.22</v>
          </cell>
          <cell r="L145" t="str">
            <v>Fixed Storage Charges for August 2025</v>
          </cell>
          <cell r="M145">
            <v>139369</v>
          </cell>
          <cell r="N145">
            <v>15485.22</v>
          </cell>
          <cell r="O145">
            <v>9.9998695547334787E-2</v>
          </cell>
          <cell r="Q145">
            <v>15485</v>
          </cell>
          <cell r="R145">
            <v>139369.22</v>
          </cell>
          <cell r="S145">
            <v>1400002418</v>
          </cell>
          <cell r="T145">
            <v>726</v>
          </cell>
        </row>
        <row r="146">
          <cell r="D146">
            <v>1800011334</v>
          </cell>
          <cell r="E146" t="str">
            <v>DR</v>
          </cell>
          <cell r="F146">
            <v>45870</v>
          </cell>
          <cell r="G146">
            <v>256779416043</v>
          </cell>
          <cell r="H146" t="str">
            <v>USD</v>
          </cell>
          <cell r="I146">
            <v>1800</v>
          </cell>
          <cell r="J146" t="str">
            <v>INR</v>
          </cell>
          <cell r="K146">
            <v>154854.22</v>
          </cell>
          <cell r="L146" t="str">
            <v>Fixed Storage Charges for August 2025</v>
          </cell>
          <cell r="M146">
            <v>139369</v>
          </cell>
          <cell r="N146">
            <v>15485.22</v>
          </cell>
          <cell r="O146">
            <v>9.9998695547334787E-2</v>
          </cell>
          <cell r="Q146">
            <v>15485</v>
          </cell>
          <cell r="R146">
            <v>139369.22</v>
          </cell>
          <cell r="S146">
            <v>1400002489</v>
          </cell>
          <cell r="T146">
            <v>138643</v>
          </cell>
        </row>
        <row r="147">
          <cell r="D147">
            <v>1800011605</v>
          </cell>
          <cell r="E147" t="str">
            <v>DR</v>
          </cell>
          <cell r="F147">
            <v>45877</v>
          </cell>
          <cell r="G147">
            <v>256779416455</v>
          </cell>
          <cell r="H147" t="str">
            <v>USD</v>
          </cell>
          <cell r="I147">
            <v>13.71</v>
          </cell>
          <cell r="J147" t="str">
            <v>INR</v>
          </cell>
          <cell r="K147">
            <v>1179.47</v>
          </cell>
          <cell r="L147" t="str">
            <v>Weighment - 16-31 July 25</v>
          </cell>
          <cell r="M147">
            <v>1155</v>
          </cell>
          <cell r="N147">
            <v>24.470000000000031</v>
          </cell>
          <cell r="O147">
            <v>2.0746606526660299E-2</v>
          </cell>
          <cell r="Q147">
            <v>24</v>
          </cell>
          <cell r="R147">
            <v>1155.47</v>
          </cell>
          <cell r="S147">
            <v>1400002489</v>
          </cell>
          <cell r="T147">
            <v>1155</v>
          </cell>
        </row>
        <row r="148">
          <cell r="D148">
            <v>1800011711</v>
          </cell>
          <cell r="E148" t="str">
            <v>DR</v>
          </cell>
          <cell r="F148">
            <v>45877</v>
          </cell>
          <cell r="G148">
            <v>256779416229</v>
          </cell>
          <cell r="H148" t="str">
            <v>USD</v>
          </cell>
          <cell r="I148">
            <v>22.7</v>
          </cell>
          <cell r="J148" t="str">
            <v>INR</v>
          </cell>
          <cell r="K148">
            <v>1952.88</v>
          </cell>
          <cell r="L148" t="str">
            <v>Outbound chgs - 16 - 31 Jul 25</v>
          </cell>
          <cell r="M148">
            <v>1914</v>
          </cell>
          <cell r="N148">
            <v>38.880000000000109</v>
          </cell>
          <cell r="O148">
            <v>1.990905739215933E-2</v>
          </cell>
          <cell r="Q148">
            <v>39</v>
          </cell>
          <cell r="R148">
            <v>1913.88</v>
          </cell>
          <cell r="S148">
            <v>1400002489</v>
          </cell>
          <cell r="T148">
            <v>1914</v>
          </cell>
        </row>
        <row r="149">
          <cell r="D149">
            <v>1800011834</v>
          </cell>
          <cell r="E149" t="str">
            <v>DR</v>
          </cell>
          <cell r="F149">
            <v>45877</v>
          </cell>
          <cell r="G149">
            <v>256779416143</v>
          </cell>
          <cell r="H149" t="str">
            <v>USD</v>
          </cell>
          <cell r="I149">
            <v>26.27</v>
          </cell>
          <cell r="J149" t="str">
            <v>INR</v>
          </cell>
          <cell r="K149">
            <v>2260.0100000000002</v>
          </cell>
          <cell r="L149" t="str">
            <v>Empty Lolo Chgs - 01 - 31 JUL 25</v>
          </cell>
          <cell r="M149">
            <v>2215</v>
          </cell>
          <cell r="N149">
            <v>45.010000000000218</v>
          </cell>
          <cell r="O149">
            <v>1.99158410803493E-2</v>
          </cell>
          <cell r="Q149">
            <v>45</v>
          </cell>
          <cell r="R149">
            <v>2215.0100000000002</v>
          </cell>
          <cell r="S149">
            <v>1400002489</v>
          </cell>
          <cell r="T149">
            <v>2215</v>
          </cell>
        </row>
        <row r="150">
          <cell r="D150">
            <v>1800011866</v>
          </cell>
          <cell r="E150" t="str">
            <v>DR</v>
          </cell>
          <cell r="F150">
            <v>45877</v>
          </cell>
          <cell r="G150">
            <v>256779416517</v>
          </cell>
          <cell r="H150" t="str">
            <v>USD</v>
          </cell>
          <cell r="I150">
            <v>56.33</v>
          </cell>
          <cell r="J150" t="str">
            <v>INR</v>
          </cell>
          <cell r="K150">
            <v>4846.08</v>
          </cell>
          <cell r="L150" t="str">
            <v>PORT SSR Chgs July 25</v>
          </cell>
          <cell r="M150">
            <v>4749</v>
          </cell>
          <cell r="N150">
            <v>97.079999999999927</v>
          </cell>
          <cell r="O150">
            <v>2.003268621236132E-2</v>
          </cell>
          <cell r="Q150">
            <v>97</v>
          </cell>
          <cell r="R150">
            <v>4749.08</v>
          </cell>
          <cell r="S150">
            <v>1400002489</v>
          </cell>
          <cell r="T150">
            <v>4749</v>
          </cell>
        </row>
        <row r="151">
          <cell r="D151">
            <v>1800011792</v>
          </cell>
          <cell r="E151" t="str">
            <v>DR</v>
          </cell>
          <cell r="F151">
            <v>45877</v>
          </cell>
          <cell r="G151">
            <v>256779416183</v>
          </cell>
          <cell r="H151" t="str">
            <v>USD</v>
          </cell>
          <cell r="I151">
            <v>102.33</v>
          </cell>
          <cell r="J151" t="str">
            <v>INR</v>
          </cell>
          <cell r="K151">
            <v>8803.4599999999991</v>
          </cell>
          <cell r="L151" t="str">
            <v>LCL chgs - 16 - 31 JUL 25</v>
          </cell>
          <cell r="M151">
            <v>8627</v>
          </cell>
          <cell r="N151">
            <v>176.4599999999991</v>
          </cell>
          <cell r="O151">
            <v>2.004439163692448E-2</v>
          </cell>
          <cell r="Q151">
            <v>176</v>
          </cell>
          <cell r="R151">
            <v>8627.4599999999991</v>
          </cell>
          <cell r="S151">
            <v>1400002489</v>
          </cell>
          <cell r="T151">
            <v>1324</v>
          </cell>
        </row>
        <row r="152">
          <cell r="D152">
            <v>1800011792</v>
          </cell>
          <cell r="E152" t="str">
            <v>DR</v>
          </cell>
          <cell r="F152">
            <v>45877</v>
          </cell>
          <cell r="G152">
            <v>256779416183</v>
          </cell>
          <cell r="H152" t="str">
            <v>USD</v>
          </cell>
          <cell r="I152">
            <v>102.33</v>
          </cell>
          <cell r="J152" t="str">
            <v>INR</v>
          </cell>
          <cell r="K152">
            <v>8803.4599999999991</v>
          </cell>
          <cell r="L152" t="str">
            <v>LCL chgs - 16 - 31 JUL 25</v>
          </cell>
          <cell r="M152">
            <v>8627</v>
          </cell>
          <cell r="N152">
            <v>176.4599999999991</v>
          </cell>
          <cell r="O152">
            <v>2.004439163692448E-2</v>
          </cell>
          <cell r="Q152">
            <v>176</v>
          </cell>
          <cell r="R152">
            <v>8627.4599999999991</v>
          </cell>
          <cell r="S152">
            <v>1400002521</v>
          </cell>
          <cell r="T152">
            <v>7303</v>
          </cell>
        </row>
        <row r="153">
          <cell r="D153">
            <v>1800011597</v>
          </cell>
          <cell r="E153" t="str">
            <v>DR</v>
          </cell>
          <cell r="F153">
            <v>45877</v>
          </cell>
          <cell r="G153">
            <v>256779416447</v>
          </cell>
          <cell r="H153" t="str">
            <v>USD</v>
          </cell>
          <cell r="I153">
            <v>358.32</v>
          </cell>
          <cell r="J153" t="str">
            <v>INR</v>
          </cell>
          <cell r="K153">
            <v>30826.31</v>
          </cell>
          <cell r="L153" t="str">
            <v>VAS 16-31 July 25</v>
          </cell>
          <cell r="M153">
            <v>30209</v>
          </cell>
          <cell r="N153">
            <v>617.31000000000131</v>
          </cell>
          <cell r="O153">
            <v>2.002542633224675E-2</v>
          </cell>
          <cell r="Q153">
            <v>617</v>
          </cell>
          <cell r="R153">
            <v>30209.31</v>
          </cell>
          <cell r="S153">
            <v>1400002521</v>
          </cell>
          <cell r="T153">
            <v>30209</v>
          </cell>
        </row>
        <row r="154">
          <cell r="D154">
            <v>1800011650</v>
          </cell>
          <cell r="E154" t="str">
            <v>DR</v>
          </cell>
          <cell r="F154">
            <v>45877</v>
          </cell>
          <cell r="G154">
            <v>256779416081</v>
          </cell>
          <cell r="H154" t="str">
            <v>USD</v>
          </cell>
          <cell r="I154">
            <v>1267.5</v>
          </cell>
          <cell r="J154" t="str">
            <v>INR</v>
          </cell>
          <cell r="K154">
            <v>109043.18</v>
          </cell>
          <cell r="L154" t="str">
            <v>Unit Storage - 1-31 July 25</v>
          </cell>
          <cell r="M154">
            <v>98139</v>
          </cell>
          <cell r="N154">
            <v>10904.179999999989</v>
          </cell>
          <cell r="O154">
            <v>9.9998734446299101E-2</v>
          </cell>
          <cell r="Q154">
            <v>10904</v>
          </cell>
          <cell r="R154">
            <v>98139.18</v>
          </cell>
          <cell r="S154">
            <v>1400002521</v>
          </cell>
          <cell r="T154">
            <v>98139</v>
          </cell>
        </row>
        <row r="155">
          <cell r="D155">
            <v>1800012252</v>
          </cell>
          <cell r="E155" t="str">
            <v>DR</v>
          </cell>
          <cell r="F155">
            <v>45889</v>
          </cell>
          <cell r="G155">
            <v>256779416848</v>
          </cell>
          <cell r="H155" t="str">
            <v>USD</v>
          </cell>
          <cell r="I155">
            <v>17.75</v>
          </cell>
          <cell r="J155" t="str">
            <v>INR</v>
          </cell>
          <cell r="K155">
            <v>1527.03</v>
          </cell>
          <cell r="L155" t="str">
            <v>LCL chgs - 01 - 15 AUG 25</v>
          </cell>
          <cell r="M155">
            <v>1496</v>
          </cell>
          <cell r="N155">
            <v>31.029999999999969</v>
          </cell>
          <cell r="O155">
            <v>2.0320491411432631E-2</v>
          </cell>
          <cell r="Q155">
            <v>31</v>
          </cell>
          <cell r="R155">
            <v>1496.03</v>
          </cell>
          <cell r="S155">
            <v>1400002521</v>
          </cell>
          <cell r="T155">
            <v>1496</v>
          </cell>
        </row>
        <row r="156">
          <cell r="D156">
            <v>1800012221</v>
          </cell>
          <cell r="E156" t="str">
            <v>DR</v>
          </cell>
          <cell r="F156">
            <v>45889</v>
          </cell>
          <cell r="G156">
            <v>256779416883</v>
          </cell>
          <cell r="H156" t="str">
            <v>USD</v>
          </cell>
          <cell r="I156">
            <v>50.05</v>
          </cell>
          <cell r="J156" t="str">
            <v>INR</v>
          </cell>
          <cell r="K156">
            <v>4305.8100000000004</v>
          </cell>
          <cell r="L156" t="str">
            <v>Outbound chgs - 01 - 15 Aug 25</v>
          </cell>
          <cell r="M156">
            <v>4220</v>
          </cell>
          <cell r="N156">
            <v>85.8100000000004</v>
          </cell>
          <cell r="O156">
            <v>1.9928886783206971E-2</v>
          </cell>
          <cell r="Q156">
            <v>86</v>
          </cell>
          <cell r="R156">
            <v>4219.8100000000004</v>
          </cell>
          <cell r="S156">
            <v>1400002521</v>
          </cell>
          <cell r="T156">
            <v>4220</v>
          </cell>
        </row>
        <row r="157">
          <cell r="D157">
            <v>1800012690</v>
          </cell>
          <cell r="E157" t="str">
            <v>DR</v>
          </cell>
          <cell r="F157">
            <v>45904</v>
          </cell>
          <cell r="G157">
            <v>256779417330</v>
          </cell>
          <cell r="H157" t="str">
            <v>USD</v>
          </cell>
          <cell r="I157">
            <v>13.52</v>
          </cell>
          <cell r="J157" t="str">
            <v>INR</v>
          </cell>
          <cell r="K157">
            <v>1183.19</v>
          </cell>
          <cell r="L157" t="str">
            <v>Outbound chgs - 16 - 31 Aug 25</v>
          </cell>
          <cell r="M157">
            <v>1159</v>
          </cell>
          <cell r="N157">
            <v>24.190000000000051</v>
          </cell>
          <cell r="O157">
            <v>2.0444729925033218E-2</v>
          </cell>
          <cell r="Q157">
            <v>24</v>
          </cell>
          <cell r="R157">
            <v>1159.19</v>
          </cell>
          <cell r="S157">
            <v>1400002521</v>
          </cell>
          <cell r="T157">
            <v>1159</v>
          </cell>
        </row>
        <row r="158">
          <cell r="D158">
            <v>1800012463</v>
          </cell>
          <cell r="E158" t="str">
            <v>DR</v>
          </cell>
          <cell r="F158">
            <v>45904</v>
          </cell>
          <cell r="G158">
            <v>256779417163</v>
          </cell>
          <cell r="H158" t="str">
            <v>USD</v>
          </cell>
          <cell r="I158">
            <v>75.13</v>
          </cell>
          <cell r="J158" t="str">
            <v>INR</v>
          </cell>
          <cell r="K158">
            <v>6574.95</v>
          </cell>
          <cell r="L158" t="str">
            <v>VAS -16-31 Aug 25</v>
          </cell>
          <cell r="M158">
            <v>6444</v>
          </cell>
          <cell r="N158">
            <v>130.94999999999979</v>
          </cell>
          <cell r="O158">
            <v>1.9916501266169302E-2</v>
          </cell>
          <cell r="Q158">
            <v>131</v>
          </cell>
          <cell r="R158">
            <v>6443.95</v>
          </cell>
          <cell r="S158">
            <v>1400002521</v>
          </cell>
          <cell r="T158">
            <v>6444</v>
          </cell>
        </row>
        <row r="159">
          <cell r="D159">
            <v>1800012589</v>
          </cell>
          <cell r="E159" t="str">
            <v>DR</v>
          </cell>
          <cell r="F159">
            <v>45904</v>
          </cell>
          <cell r="G159">
            <v>256779417247</v>
          </cell>
          <cell r="H159" t="str">
            <v>USD</v>
          </cell>
          <cell r="I159">
            <v>108.12</v>
          </cell>
          <cell r="J159" t="str">
            <v>INR</v>
          </cell>
          <cell r="K159">
            <v>9462.0499999999993</v>
          </cell>
          <cell r="L159" t="str">
            <v>PORT SSR Chgs Aug 25</v>
          </cell>
          <cell r="M159">
            <v>9273</v>
          </cell>
          <cell r="N159">
            <v>189.0499999999993</v>
          </cell>
          <cell r="O159">
            <v>1.997981409948154E-2</v>
          </cell>
          <cell r="Q159">
            <v>189</v>
          </cell>
          <cell r="R159">
            <v>9273.0499999999993</v>
          </cell>
          <cell r="S159">
            <v>1400002521</v>
          </cell>
          <cell r="T159">
            <v>1030</v>
          </cell>
        </row>
        <row r="160">
          <cell r="D160">
            <v>1800012589</v>
          </cell>
          <cell r="E160" t="str">
            <v>DR</v>
          </cell>
          <cell r="F160">
            <v>45904</v>
          </cell>
          <cell r="G160">
            <v>256779417247</v>
          </cell>
          <cell r="H160" t="str">
            <v>USD</v>
          </cell>
          <cell r="I160">
            <v>108.12</v>
          </cell>
          <cell r="J160" t="str">
            <v>INR</v>
          </cell>
          <cell r="K160">
            <v>9462.0499999999993</v>
          </cell>
          <cell r="L160" t="str">
            <v>PORT SSR Chgs Aug 25</v>
          </cell>
          <cell r="M160">
            <v>9273</v>
          </cell>
          <cell r="N160">
            <v>189.0499999999993</v>
          </cell>
          <cell r="O160">
            <v>1.997981409948154E-2</v>
          </cell>
          <cell r="Q160">
            <v>189</v>
          </cell>
          <cell r="R160">
            <v>9273.0499999999993</v>
          </cell>
          <cell r="S160">
            <v>1400002594</v>
          </cell>
          <cell r="T160">
            <v>8243</v>
          </cell>
        </row>
        <row r="161">
          <cell r="D161">
            <v>1800012569</v>
          </cell>
          <cell r="E161" t="str">
            <v>DR</v>
          </cell>
          <cell r="F161">
            <v>45904</v>
          </cell>
          <cell r="G161">
            <v>256779417188</v>
          </cell>
          <cell r="H161" t="str">
            <v>USD</v>
          </cell>
          <cell r="I161">
            <v>140</v>
          </cell>
          <cell r="J161" t="str">
            <v>INR</v>
          </cell>
          <cell r="K161">
            <v>12252.01</v>
          </cell>
          <cell r="L161" t="str">
            <v>Transportation In Chgs - 16 - 31 Aug 25</v>
          </cell>
          <cell r="M161">
            <v>12007</v>
          </cell>
          <cell r="N161">
            <v>245.01000000000019</v>
          </cell>
          <cell r="O161">
            <v>1.9997535098322659E-2</v>
          </cell>
          <cell r="Q161">
            <v>245</v>
          </cell>
          <cell r="R161">
            <v>12007.01</v>
          </cell>
          <cell r="S161">
            <v>1400002594</v>
          </cell>
          <cell r="T161">
            <v>12007</v>
          </cell>
        </row>
        <row r="162">
          <cell r="D162">
            <v>1800012650</v>
          </cell>
          <cell r="E162" t="str">
            <v>DR</v>
          </cell>
          <cell r="F162">
            <v>45904</v>
          </cell>
          <cell r="G162">
            <v>256779417290</v>
          </cell>
          <cell r="H162" t="str">
            <v>USD</v>
          </cell>
          <cell r="I162">
            <v>578.4</v>
          </cell>
          <cell r="J162" t="str">
            <v>INR</v>
          </cell>
          <cell r="K162">
            <v>50618.29</v>
          </cell>
          <cell r="L162" t="str">
            <v>LCL chgs - 16 - 31 AUG 25</v>
          </cell>
          <cell r="M162">
            <v>49606</v>
          </cell>
          <cell r="N162">
            <v>1012.290000000001</v>
          </cell>
          <cell r="O162">
            <v>1.9998502517568271E-2</v>
          </cell>
          <cell r="Q162">
            <v>1012</v>
          </cell>
          <cell r="R162">
            <v>49606.29</v>
          </cell>
          <cell r="S162">
            <v>1400002594</v>
          </cell>
          <cell r="T162">
            <v>49606</v>
          </cell>
        </row>
        <row r="163">
          <cell r="D163">
            <v>1800012728</v>
          </cell>
          <cell r="E163" t="str">
            <v>DR</v>
          </cell>
          <cell r="F163">
            <v>45904</v>
          </cell>
          <cell r="G163">
            <v>256779417362</v>
          </cell>
          <cell r="H163" t="str">
            <v>USD</v>
          </cell>
          <cell r="I163">
            <v>1800</v>
          </cell>
          <cell r="J163" t="str">
            <v>INR</v>
          </cell>
          <cell r="K163">
            <v>157525.79</v>
          </cell>
          <cell r="L163" t="str">
            <v>Fixed Storage Charges for September 2025</v>
          </cell>
          <cell r="M163">
            <v>141773</v>
          </cell>
          <cell r="N163">
            <v>15752.79000000001</v>
          </cell>
          <cell r="O163">
            <v>0.1000013394632079</v>
          </cell>
          <cell r="Q163">
            <v>15753</v>
          </cell>
          <cell r="R163">
            <v>141772.79</v>
          </cell>
          <cell r="S163">
            <v>1400002594</v>
          </cell>
          <cell r="T163">
            <v>130144</v>
          </cell>
        </row>
        <row r="164">
          <cell r="D164">
            <v>1800012728</v>
          </cell>
          <cell r="E164" t="str">
            <v>DR</v>
          </cell>
          <cell r="F164">
            <v>45904</v>
          </cell>
          <cell r="G164">
            <v>256779417362</v>
          </cell>
          <cell r="H164" t="str">
            <v>USD</v>
          </cell>
          <cell r="I164">
            <v>1800</v>
          </cell>
          <cell r="J164" t="str">
            <v>INR</v>
          </cell>
          <cell r="K164">
            <v>157525.79</v>
          </cell>
          <cell r="L164" t="str">
            <v>Fixed Storage Charges for September 2025</v>
          </cell>
          <cell r="M164">
            <v>141773</v>
          </cell>
          <cell r="N164">
            <v>15752.79000000001</v>
          </cell>
          <cell r="O164">
            <v>0.1000013394632079</v>
          </cell>
          <cell r="Q164">
            <v>15753</v>
          </cell>
          <cell r="R164">
            <v>141772.79</v>
          </cell>
          <cell r="S164">
            <v>1400002602</v>
          </cell>
          <cell r="T164">
            <v>11629</v>
          </cell>
        </row>
        <row r="165">
          <cell r="D165">
            <v>1800012467</v>
          </cell>
          <cell r="E165" t="str">
            <v>DR</v>
          </cell>
          <cell r="F165">
            <v>45906</v>
          </cell>
          <cell r="G165">
            <v>256779417075</v>
          </cell>
          <cell r="H165" t="str">
            <v>USD</v>
          </cell>
          <cell r="I165">
            <v>1099.02</v>
          </cell>
          <cell r="J165" t="str">
            <v>INR</v>
          </cell>
          <cell r="K165">
            <v>96180</v>
          </cell>
          <cell r="L165" t="str">
            <v>Unit-Storage-1-31 Aug 25</v>
          </cell>
          <cell r="M165">
            <v>86562</v>
          </cell>
          <cell r="N165">
            <v>9618</v>
          </cell>
          <cell r="O165">
            <v>0.1</v>
          </cell>
          <cell r="Q165">
            <v>9618</v>
          </cell>
          <cell r="R165">
            <v>86562</v>
          </cell>
          <cell r="S165">
            <v>1400002602</v>
          </cell>
          <cell r="T165">
            <v>86562</v>
          </cell>
        </row>
        <row r="166">
          <cell r="D166">
            <v>1800012790</v>
          </cell>
          <cell r="E166" t="str">
            <v>DR</v>
          </cell>
          <cell r="F166">
            <v>45917</v>
          </cell>
          <cell r="G166">
            <v>256779417444</v>
          </cell>
          <cell r="H166" t="str">
            <v>USD</v>
          </cell>
          <cell r="I166">
            <v>1326.2</v>
          </cell>
          <cell r="J166" t="str">
            <v>INR</v>
          </cell>
          <cell r="K166">
            <v>116061.5</v>
          </cell>
          <cell r="L166" t="str">
            <v>VAS -1-15 Sept-25</v>
          </cell>
          <cell r="M166">
            <v>113740</v>
          </cell>
          <cell r="N166">
            <v>2321.5</v>
          </cell>
          <cell r="O166">
            <v>2.0002326352838801E-2</v>
          </cell>
          <cell r="Q166">
            <v>2321</v>
          </cell>
          <cell r="R166">
            <v>113740.5</v>
          </cell>
          <cell r="S166">
            <v>1400002602</v>
          </cell>
          <cell r="T166">
            <v>101809</v>
          </cell>
        </row>
        <row r="167">
          <cell r="D167">
            <v>1800012995</v>
          </cell>
          <cell r="E167" t="str">
            <v>DR</v>
          </cell>
          <cell r="F167">
            <v>45918</v>
          </cell>
          <cell r="G167">
            <v>256779417530</v>
          </cell>
          <cell r="H167" t="str">
            <v>USD</v>
          </cell>
          <cell r="I167">
            <v>41.3</v>
          </cell>
          <cell r="J167" t="str">
            <v>INR</v>
          </cell>
          <cell r="K167">
            <v>3614.34</v>
          </cell>
          <cell r="L167" t="str">
            <v>Outbound chgs - 01 - 15 Sep 25</v>
          </cell>
          <cell r="M167">
            <v>3542</v>
          </cell>
          <cell r="N167">
            <v>72.340000000000146</v>
          </cell>
          <cell r="O167">
            <v>2.001471914651088E-2</v>
          </cell>
          <cell r="Q167">
            <v>72</v>
          </cell>
          <cell r="R167">
            <v>3542.34</v>
          </cell>
        </row>
        <row r="168">
          <cell r="D168">
            <v>1800012932</v>
          </cell>
          <cell r="E168" t="str">
            <v>DR</v>
          </cell>
          <cell r="F168">
            <v>45918</v>
          </cell>
          <cell r="G168">
            <v>256779417571</v>
          </cell>
          <cell r="H168" t="str">
            <v>USD</v>
          </cell>
          <cell r="I168">
            <v>156.84</v>
          </cell>
          <cell r="J168" t="str">
            <v>INR</v>
          </cell>
          <cell r="K168">
            <v>13725.75</v>
          </cell>
          <cell r="L168" t="str">
            <v>LCL chgs - 01 - 15 SEP 25</v>
          </cell>
          <cell r="M168">
            <v>13451</v>
          </cell>
          <cell r="N168">
            <v>274.75</v>
          </cell>
          <cell r="O168">
            <v>2.0017121104493382E-2</v>
          </cell>
          <cell r="Q168">
            <v>275</v>
          </cell>
          <cell r="R168">
            <v>13450.75</v>
          </cell>
        </row>
        <row r="169">
          <cell r="D169">
            <v>1800013308</v>
          </cell>
          <cell r="E169" t="str">
            <v>DR</v>
          </cell>
          <cell r="F169">
            <v>45935</v>
          </cell>
          <cell r="G169">
            <v>256779417904</v>
          </cell>
          <cell r="H169" t="str">
            <v>USD</v>
          </cell>
          <cell r="I169">
            <v>29.9</v>
          </cell>
          <cell r="J169" t="str">
            <v>INR</v>
          </cell>
          <cell r="K169">
            <v>2636.9</v>
          </cell>
          <cell r="L169" t="str">
            <v>Empty Lolo Chgs - 01 - 30 SEP 25</v>
          </cell>
          <cell r="M169">
            <v>2584</v>
          </cell>
          <cell r="N169">
            <v>52.900000000000091</v>
          </cell>
          <cell r="O169">
            <v>2.0061435776859229E-2</v>
          </cell>
          <cell r="Q169">
            <v>53</v>
          </cell>
          <cell r="R169">
            <v>2583.9</v>
          </cell>
        </row>
        <row r="170">
          <cell r="D170">
            <v>1800013513</v>
          </cell>
          <cell r="E170" t="str">
            <v>DR</v>
          </cell>
          <cell r="F170">
            <v>45935</v>
          </cell>
          <cell r="G170">
            <v>256779418403</v>
          </cell>
          <cell r="H170" t="str">
            <v>USD</v>
          </cell>
          <cell r="I170">
            <v>51.34</v>
          </cell>
          <cell r="J170" t="str">
            <v>INR</v>
          </cell>
          <cell r="K170">
            <v>4527.71</v>
          </cell>
          <cell r="L170" t="str">
            <v>PORT SSR Chgs Sep 25</v>
          </cell>
          <cell r="M170">
            <v>4437</v>
          </cell>
          <cell r="N170">
            <v>90.710000000000036</v>
          </cell>
          <cell r="O170">
            <v>2.003441033105036E-2</v>
          </cell>
          <cell r="Q170">
            <v>91</v>
          </cell>
          <cell r="R170">
            <v>4436.71</v>
          </cell>
        </row>
        <row r="171">
          <cell r="D171">
            <v>1800013386</v>
          </cell>
          <cell r="E171" t="str">
            <v>DR</v>
          </cell>
          <cell r="F171">
            <v>45935</v>
          </cell>
          <cell r="G171">
            <v>256779417982</v>
          </cell>
          <cell r="H171" t="str">
            <v>USD</v>
          </cell>
          <cell r="I171">
            <v>156.08000000000001</v>
          </cell>
          <cell r="J171" t="str">
            <v>INR</v>
          </cell>
          <cell r="K171">
            <v>13764.82</v>
          </cell>
          <cell r="L171" t="str">
            <v>Outbound chgs - 16 - 30 Sep 25</v>
          </cell>
          <cell r="M171">
            <v>13490</v>
          </cell>
          <cell r="N171">
            <v>274.81999999999971</v>
          </cell>
          <cell r="O171">
            <v>1.996539003052708E-2</v>
          </cell>
          <cell r="Q171">
            <v>275</v>
          </cell>
          <cell r="R171">
            <v>13489.82</v>
          </cell>
        </row>
        <row r="172">
          <cell r="D172">
            <v>1800013347</v>
          </cell>
          <cell r="E172" t="str">
            <v>DR</v>
          </cell>
          <cell r="F172">
            <v>45935</v>
          </cell>
          <cell r="G172">
            <v>256779417943</v>
          </cell>
          <cell r="H172" t="str">
            <v>USD</v>
          </cell>
          <cell r="I172">
            <v>270.85000000000002</v>
          </cell>
          <cell r="J172" t="str">
            <v>INR</v>
          </cell>
          <cell r="K172">
            <v>23886.47</v>
          </cell>
          <cell r="L172" t="str">
            <v>Inbound chgs - 16 - 30 SEP 25</v>
          </cell>
          <cell r="M172">
            <v>23408</v>
          </cell>
          <cell r="N172">
            <v>478.47000000000122</v>
          </cell>
          <cell r="O172">
            <v>2.003100499990167E-2</v>
          </cell>
          <cell r="Q172">
            <v>478</v>
          </cell>
          <cell r="R172">
            <v>23408.47</v>
          </cell>
        </row>
        <row r="173">
          <cell r="D173">
            <v>1800013449</v>
          </cell>
          <cell r="E173" t="str">
            <v>DR</v>
          </cell>
          <cell r="F173">
            <v>45935</v>
          </cell>
          <cell r="G173">
            <v>256779418025</v>
          </cell>
          <cell r="H173" t="str">
            <v>USD</v>
          </cell>
          <cell r="I173">
            <v>1800</v>
          </cell>
          <cell r="J173" t="str">
            <v>INR</v>
          </cell>
          <cell r="K173">
            <v>158743.39000000001</v>
          </cell>
          <cell r="L173" t="str">
            <v>Fixed Storage Charges for October 2025</v>
          </cell>
          <cell r="M173">
            <v>142869</v>
          </cell>
          <cell r="N173">
            <v>15874.39000000001</v>
          </cell>
          <cell r="O173">
            <v>0.1000003212732197</v>
          </cell>
          <cell r="Q173">
            <v>15874</v>
          </cell>
          <cell r="R173">
            <v>142869.39000000001</v>
          </cell>
        </row>
        <row r="174">
          <cell r="D174">
            <v>1800013278</v>
          </cell>
          <cell r="E174" t="str">
            <v>DR</v>
          </cell>
          <cell r="F174">
            <v>45936</v>
          </cell>
          <cell r="G174">
            <v>256779418014</v>
          </cell>
          <cell r="H174" t="str">
            <v>USD</v>
          </cell>
          <cell r="I174">
            <v>1329.96</v>
          </cell>
          <cell r="J174" t="str">
            <v>INR</v>
          </cell>
          <cell r="K174">
            <v>117290.2</v>
          </cell>
          <cell r="L174" t="str">
            <v>Unit Storage - 1-30 Sept 2025</v>
          </cell>
          <cell r="M174">
            <v>105561</v>
          </cell>
          <cell r="N174">
            <v>11729.2</v>
          </cell>
          <cell r="O174">
            <v>0.1000015346550692</v>
          </cell>
          <cell r="Q174">
            <v>11729</v>
          </cell>
          <cell r="R174">
            <v>105561.2</v>
          </cell>
        </row>
        <row r="175">
          <cell r="D175">
            <v>1800013761</v>
          </cell>
          <cell r="E175" t="str">
            <v>DR</v>
          </cell>
          <cell r="F175">
            <v>45937</v>
          </cell>
          <cell r="G175">
            <v>256779418182</v>
          </cell>
          <cell r="H175" t="str">
            <v>USD</v>
          </cell>
          <cell r="I175">
            <v>559.99</v>
          </cell>
          <cell r="J175" t="str">
            <v>INR</v>
          </cell>
          <cell r="K175">
            <v>49385.95</v>
          </cell>
          <cell r="L175" t="str">
            <v>VAS-16-30 Sept 25</v>
          </cell>
          <cell r="M175">
            <v>48398</v>
          </cell>
          <cell r="N175">
            <v>987.94999999999709</v>
          </cell>
          <cell r="O175">
            <v>2.000467744368585E-2</v>
          </cell>
          <cell r="Q175">
            <v>988</v>
          </cell>
          <cell r="R175">
            <v>48397.95</v>
          </cell>
        </row>
        <row r="176">
          <cell r="D176">
            <v>1800014006</v>
          </cell>
          <cell r="E176" t="str">
            <v>DR</v>
          </cell>
          <cell r="F176">
            <v>45948</v>
          </cell>
          <cell r="G176">
            <v>256779418430</v>
          </cell>
          <cell r="H176" t="str">
            <v>USD</v>
          </cell>
          <cell r="I176">
            <v>46.92</v>
          </cell>
          <cell r="J176" t="str">
            <v>INR</v>
          </cell>
          <cell r="K176">
            <v>4137.91</v>
          </cell>
          <cell r="L176" t="str">
            <v>CODC Inbound chgs - 1-15 Oct 25</v>
          </cell>
          <cell r="M176">
            <v>4055</v>
          </cell>
          <cell r="N176">
            <v>82.909999999999854</v>
          </cell>
          <cell r="O176">
            <v>2.0036685186483001E-2</v>
          </cell>
          <cell r="Q176">
            <v>83</v>
          </cell>
          <cell r="R176">
            <v>4054.91</v>
          </cell>
        </row>
        <row r="177">
          <cell r="D177">
            <v>1800013929</v>
          </cell>
          <cell r="E177" t="str">
            <v>DR</v>
          </cell>
          <cell r="F177">
            <v>45950</v>
          </cell>
          <cell r="G177">
            <v>256779418706</v>
          </cell>
          <cell r="H177" t="str">
            <v>USD</v>
          </cell>
          <cell r="I177">
            <v>54.34</v>
          </cell>
          <cell r="J177" t="str">
            <v>INR</v>
          </cell>
          <cell r="K177">
            <v>4792.29</v>
          </cell>
          <cell r="L177" t="str">
            <v>Outbound chgs - 01 - 15 Oct 25</v>
          </cell>
          <cell r="M177">
            <v>4696</v>
          </cell>
          <cell r="N177">
            <v>96.289999999999964</v>
          </cell>
          <cell r="O177">
            <v>2.009269055086399E-2</v>
          </cell>
          <cell r="Q177">
            <v>96</v>
          </cell>
          <cell r="R177">
            <v>4696.29</v>
          </cell>
        </row>
        <row r="178">
          <cell r="D178">
            <v>1800013810</v>
          </cell>
          <cell r="E178" t="str">
            <v>DR</v>
          </cell>
          <cell r="F178">
            <v>45950</v>
          </cell>
          <cell r="G178">
            <v>256779418628</v>
          </cell>
          <cell r="H178" t="str">
            <v>USD</v>
          </cell>
          <cell r="I178">
            <v>235</v>
          </cell>
          <cell r="J178" t="str">
            <v>INR</v>
          </cell>
          <cell r="K178">
            <v>20724.830000000002</v>
          </cell>
          <cell r="L178" t="str">
            <v>Transportation In Chgs - 01 - 15 Oct 25</v>
          </cell>
          <cell r="M178">
            <v>20311</v>
          </cell>
          <cell r="N178">
            <v>413.83000000000169</v>
          </cell>
          <cell r="O178">
            <v>1.996783568309133E-2</v>
          </cell>
          <cell r="Q178">
            <v>414</v>
          </cell>
          <cell r="R178">
            <v>20310.830000000002</v>
          </cell>
        </row>
        <row r="179">
          <cell r="D179">
            <v>1800013950</v>
          </cell>
          <cell r="E179" t="str">
            <v>DR</v>
          </cell>
          <cell r="F179">
            <v>45951</v>
          </cell>
          <cell r="G179">
            <v>256779418482</v>
          </cell>
          <cell r="H179" t="str">
            <v>USD</v>
          </cell>
          <cell r="I179">
            <v>13.59</v>
          </cell>
          <cell r="J179" t="str">
            <v>INR</v>
          </cell>
          <cell r="K179">
            <v>1198.51</v>
          </cell>
          <cell r="L179" t="str">
            <v>Weighment  -1-15 Oct 2025</v>
          </cell>
          <cell r="M179">
            <v>1175</v>
          </cell>
          <cell r="N179">
            <v>23.509999999999991</v>
          </cell>
          <cell r="O179">
            <v>1.9616023228842469E-2</v>
          </cell>
          <cell r="Q179">
            <v>24</v>
          </cell>
          <cell r="R179">
            <v>1174.51</v>
          </cell>
        </row>
        <row r="180">
          <cell r="D180">
            <v>1800014196</v>
          </cell>
          <cell r="E180" t="str">
            <v>DR</v>
          </cell>
          <cell r="F180">
            <v>45958</v>
          </cell>
          <cell r="G180">
            <v>256779418736</v>
          </cell>
          <cell r="H180" t="str">
            <v>USD</v>
          </cell>
          <cell r="I180">
            <v>246.92</v>
          </cell>
          <cell r="J180" t="str">
            <v>INR</v>
          </cell>
          <cell r="K180">
            <v>21776.06</v>
          </cell>
          <cell r="L180" t="str">
            <v>CODC Out chgs -1-15 Oct 25</v>
          </cell>
          <cell r="M180">
            <v>21340</v>
          </cell>
          <cell r="N180">
            <v>436.06000000000131</v>
          </cell>
          <cell r="O180">
            <v>2.0024742767975529E-2</v>
          </cell>
          <cell r="Q180">
            <v>436</v>
          </cell>
          <cell r="R180">
            <v>21340.06</v>
          </cell>
        </row>
        <row r="181">
          <cell r="D181">
            <v>1800014414</v>
          </cell>
          <cell r="E181" t="str">
            <v>DR</v>
          </cell>
          <cell r="F181">
            <v>45964</v>
          </cell>
          <cell r="G181">
            <v>256779419136</v>
          </cell>
          <cell r="H181" t="str">
            <v>USD</v>
          </cell>
          <cell r="I181">
            <v>459.88</v>
          </cell>
          <cell r="J181" t="str">
            <v>INR</v>
          </cell>
          <cell r="K181">
            <v>40471</v>
          </cell>
          <cell r="L181" t="str">
            <v>Transportation In Chgs - 16 - 31 OCT 25</v>
          </cell>
          <cell r="M181">
            <v>39662</v>
          </cell>
          <cell r="N181">
            <v>809</v>
          </cell>
          <cell r="O181">
            <v>1.9989622198611352E-2</v>
          </cell>
          <cell r="Q181">
            <v>809</v>
          </cell>
          <cell r="R181">
            <v>39662</v>
          </cell>
        </row>
        <row r="182">
          <cell r="D182">
            <v>1800014622</v>
          </cell>
          <cell r="E182" t="str">
            <v>DR</v>
          </cell>
          <cell r="F182">
            <v>45966</v>
          </cell>
          <cell r="G182">
            <v>256779419204</v>
          </cell>
          <cell r="H182" t="str">
            <v>USD</v>
          </cell>
          <cell r="I182">
            <v>13.3</v>
          </cell>
          <cell r="J182" t="str">
            <v>INR</v>
          </cell>
          <cell r="K182">
            <v>1170.45</v>
          </cell>
          <cell r="L182" t="str">
            <v>Empty Lolo Chgs - 01 - 31 OCT 25</v>
          </cell>
          <cell r="M182">
            <v>1147</v>
          </cell>
          <cell r="N182">
            <v>23.450000000000049</v>
          </cell>
          <cell r="O182">
            <v>2.00350292622496E-2</v>
          </cell>
          <cell r="Q182">
            <v>23</v>
          </cell>
          <cell r="R182">
            <v>1147.45</v>
          </cell>
        </row>
        <row r="183">
          <cell r="D183">
            <v>1800014291</v>
          </cell>
          <cell r="E183" t="str">
            <v>DR</v>
          </cell>
          <cell r="F183">
            <v>45966</v>
          </cell>
          <cell r="G183">
            <v>256779418828</v>
          </cell>
          <cell r="H183" t="str">
            <v>USD</v>
          </cell>
          <cell r="I183">
            <v>13.53</v>
          </cell>
          <cell r="J183" t="str">
            <v>INR</v>
          </cell>
          <cell r="K183">
            <v>1190.69</v>
          </cell>
          <cell r="L183" t="str">
            <v>WEIGHTMENT-16 -31 Oct 25</v>
          </cell>
          <cell r="M183">
            <v>1167</v>
          </cell>
          <cell r="N183">
            <v>23.690000000000051</v>
          </cell>
          <cell r="O183">
            <v>1.9896026673609461E-2</v>
          </cell>
          <cell r="Q183">
            <v>24</v>
          </cell>
          <cell r="R183">
            <v>1166.69</v>
          </cell>
        </row>
        <row r="184">
          <cell r="D184">
            <v>1800014599</v>
          </cell>
          <cell r="E184" t="str">
            <v>DR</v>
          </cell>
          <cell r="F184">
            <v>45966</v>
          </cell>
          <cell r="G184">
            <v>256779419098</v>
          </cell>
          <cell r="H184" t="str">
            <v>USD</v>
          </cell>
          <cell r="I184">
            <v>35</v>
          </cell>
          <cell r="J184" t="str">
            <v>INR</v>
          </cell>
          <cell r="K184">
            <v>3080.12</v>
          </cell>
          <cell r="L184" t="str">
            <v>Scanning  Chgs - 16 - 31 Oct 25</v>
          </cell>
          <cell r="M184">
            <v>3018</v>
          </cell>
          <cell r="N184">
            <v>62.119999999999891</v>
          </cell>
          <cell r="O184">
            <v>2.0168045400828501E-2</v>
          </cell>
          <cell r="Q184">
            <v>62</v>
          </cell>
          <cell r="R184">
            <v>3018.12</v>
          </cell>
        </row>
        <row r="185">
          <cell r="D185">
            <v>1800014705</v>
          </cell>
          <cell r="E185" t="str">
            <v>DR</v>
          </cell>
          <cell r="F185">
            <v>45966</v>
          </cell>
          <cell r="G185">
            <v>256779419087</v>
          </cell>
          <cell r="H185" t="str">
            <v>USD</v>
          </cell>
          <cell r="I185">
            <v>140</v>
          </cell>
          <cell r="J185" t="str">
            <v>INR</v>
          </cell>
          <cell r="K185">
            <v>12320.47</v>
          </cell>
          <cell r="L185" t="str">
            <v>Transportation In Chgs - 16 - 31 Oct 25</v>
          </cell>
          <cell r="M185">
            <v>12074</v>
          </cell>
          <cell r="N185">
            <v>246.46999999999929</v>
          </cell>
          <cell r="O185">
            <v>2.0004918643525719E-2</v>
          </cell>
          <cell r="Q185">
            <v>246</v>
          </cell>
          <cell r="R185">
            <v>12074.47</v>
          </cell>
        </row>
        <row r="186">
          <cell r="D186">
            <v>1800014734</v>
          </cell>
          <cell r="E186" t="str">
            <v>DR</v>
          </cell>
          <cell r="F186">
            <v>45966</v>
          </cell>
          <cell r="G186">
            <v>256779419235</v>
          </cell>
          <cell r="H186" t="str">
            <v>USD</v>
          </cell>
          <cell r="I186">
            <v>146.19</v>
          </cell>
          <cell r="J186" t="str">
            <v>INR</v>
          </cell>
          <cell r="K186">
            <v>12865.22</v>
          </cell>
          <cell r="L186" t="str">
            <v>PORT SSR Chgs Oct 25</v>
          </cell>
          <cell r="M186">
            <v>12608</v>
          </cell>
          <cell r="N186">
            <v>257.21999999999929</v>
          </cell>
          <cell r="O186">
            <v>1.999343967689626E-2</v>
          </cell>
          <cell r="Q186">
            <v>257</v>
          </cell>
          <cell r="R186">
            <v>12608.22</v>
          </cell>
        </row>
        <row r="187">
          <cell r="D187">
            <v>1800014766</v>
          </cell>
          <cell r="E187" t="str">
            <v>DR</v>
          </cell>
          <cell r="F187">
            <v>45966</v>
          </cell>
          <cell r="G187">
            <v>256779419267</v>
          </cell>
          <cell r="H187" t="str">
            <v>USD</v>
          </cell>
          <cell r="I187">
            <v>197.23</v>
          </cell>
          <cell r="J187" t="str">
            <v>INR</v>
          </cell>
          <cell r="K187">
            <v>17356.91</v>
          </cell>
          <cell r="L187" t="str">
            <v>Detention Chgs - OCT 25</v>
          </cell>
          <cell r="M187">
            <v>17010</v>
          </cell>
          <cell r="N187">
            <v>346.90999999999991</v>
          </cell>
          <cell r="O187">
            <v>1.9986852498514989E-2</v>
          </cell>
          <cell r="Q187">
            <v>347</v>
          </cell>
          <cell r="R187">
            <v>17009.91</v>
          </cell>
        </row>
        <row r="188">
          <cell r="D188">
            <v>1800014530</v>
          </cell>
          <cell r="E188" t="str">
            <v>DR</v>
          </cell>
          <cell r="F188">
            <v>45966</v>
          </cell>
          <cell r="G188">
            <v>256779419179</v>
          </cell>
          <cell r="H188" t="str">
            <v>USD</v>
          </cell>
          <cell r="I188">
            <v>322.64</v>
          </cell>
          <cell r="J188" t="str">
            <v>INR</v>
          </cell>
          <cell r="K188">
            <v>28393.41</v>
          </cell>
          <cell r="L188" t="str">
            <v>Outbound chgs - 16 - 31 Oct 25</v>
          </cell>
          <cell r="M188">
            <v>27825</v>
          </cell>
          <cell r="N188">
            <v>568.40999999999985</v>
          </cell>
          <cell r="O188">
            <v>2.001908189259409E-2</v>
          </cell>
          <cell r="Q188">
            <v>568</v>
          </cell>
          <cell r="R188">
            <v>27825.41</v>
          </cell>
        </row>
        <row r="189">
          <cell r="D189">
            <v>1800014539</v>
          </cell>
          <cell r="E189" t="str">
            <v>DR</v>
          </cell>
          <cell r="F189">
            <v>45966</v>
          </cell>
          <cell r="G189">
            <v>256779418871</v>
          </cell>
          <cell r="H189" t="str">
            <v>USD</v>
          </cell>
          <cell r="I189">
            <v>1068.54</v>
          </cell>
          <cell r="J189" t="str">
            <v>INR</v>
          </cell>
          <cell r="K189">
            <v>94035.14</v>
          </cell>
          <cell r="L189" t="str">
            <v>Unit Storage - 1-31 Oct 2025</v>
          </cell>
          <cell r="M189">
            <v>84631</v>
          </cell>
          <cell r="N189">
            <v>9404.14</v>
          </cell>
          <cell r="O189">
            <v>0.1000066570858511</v>
          </cell>
          <cell r="Q189">
            <v>9404</v>
          </cell>
          <cell r="R189">
            <v>84631.14</v>
          </cell>
        </row>
        <row r="190">
          <cell r="D190">
            <v>1800014252</v>
          </cell>
          <cell r="E190" t="str">
            <v>DR</v>
          </cell>
          <cell r="F190">
            <v>45966</v>
          </cell>
          <cell r="G190">
            <v>256779418791</v>
          </cell>
          <cell r="H190" t="str">
            <v>USD</v>
          </cell>
          <cell r="I190">
            <v>1800</v>
          </cell>
          <cell r="J190" t="str">
            <v>INR</v>
          </cell>
          <cell r="K190">
            <v>158406.1</v>
          </cell>
          <cell r="L190" t="str">
            <v>Fixed Storage Charges for November 2025</v>
          </cell>
          <cell r="M190">
            <v>142565</v>
          </cell>
          <cell r="N190">
            <v>15841.100000000009</v>
          </cell>
          <cell r="O190">
            <v>0.1000030933152196</v>
          </cell>
          <cell r="Q190">
            <v>15841</v>
          </cell>
          <cell r="R190">
            <v>142565.1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61EC-22CB-416C-9088-B9459C86A717}">
  <dimension ref="A1:P1084"/>
  <sheetViews>
    <sheetView workbookViewId="0"/>
  </sheetViews>
  <sheetFormatPr defaultRowHeight="13.2" x14ac:dyDescent="0.25"/>
  <cols>
    <col min="1" max="1" width="4.6640625" bestFit="1" customWidth="1"/>
    <col min="2" max="2" width="9.21875" bestFit="1" customWidth="1"/>
    <col min="3" max="3" width="7.77734375" bestFit="1" customWidth="1"/>
    <col min="4" max="4" width="12.109375" bestFit="1" customWidth="1"/>
    <col min="5" max="5" width="2.88671875" bestFit="1" customWidth="1"/>
    <col min="6" max="6" width="10" bestFit="1" customWidth="1"/>
    <col min="7" max="7" width="3.77734375" bestFit="1" customWidth="1"/>
    <col min="8" max="8" width="12.33203125" bestFit="1" customWidth="1"/>
    <col min="9" max="9" width="6.77734375" bestFit="1" customWidth="1"/>
    <col min="10" max="10" width="18.21875" bestFit="1" customWidth="1"/>
    <col min="11" max="11" width="18.88671875" bestFit="1" customWidth="1"/>
    <col min="12" max="12" width="9.44140625" bestFit="1" customWidth="1"/>
    <col min="13" max="13" width="8.21875" bestFit="1" customWidth="1"/>
    <col min="14" max="14" width="6.109375" bestFit="1" customWidth="1"/>
    <col min="15" max="15" width="6.77734375" bestFit="1" customWidth="1"/>
    <col min="16" max="16" width="5.44140625" bestFit="1" customWidth="1"/>
  </cols>
  <sheetData>
    <row r="1" spans="1:16" x14ac:dyDescent="0.25">
      <c r="F1" s="14">
        <v>5695051</v>
      </c>
      <c r="G1" s="14">
        <v>4</v>
      </c>
      <c r="H1" s="14">
        <v>509405</v>
      </c>
      <c r="I1" s="14"/>
      <c r="J1" s="14"/>
      <c r="K1" s="14"/>
      <c r="L1" s="14"/>
      <c r="M1" s="14"/>
      <c r="N1" s="14">
        <v>0</v>
      </c>
      <c r="O1" s="14">
        <v>0</v>
      </c>
      <c r="P1" s="14">
        <v>0</v>
      </c>
    </row>
    <row r="2" spans="1:16" x14ac:dyDescent="0.25">
      <c r="A2" s="15" t="s">
        <v>201</v>
      </c>
      <c r="B2" s="16" t="s">
        <v>202</v>
      </c>
      <c r="C2" s="16" t="s">
        <v>203</v>
      </c>
      <c r="D2" s="16" t="s">
        <v>204</v>
      </c>
      <c r="E2" s="17">
        <v>2</v>
      </c>
      <c r="F2" s="17">
        <v>3</v>
      </c>
      <c r="G2" s="17">
        <v>4</v>
      </c>
      <c r="H2" s="17" t="s">
        <v>205</v>
      </c>
      <c r="I2" s="17" t="s">
        <v>206</v>
      </c>
      <c r="J2" s="17" t="s">
        <v>207</v>
      </c>
      <c r="K2" s="17" t="s">
        <v>208</v>
      </c>
      <c r="L2" s="17" t="s">
        <v>209</v>
      </c>
      <c r="M2" s="17" t="s">
        <v>210</v>
      </c>
      <c r="N2" s="17" t="s">
        <v>211</v>
      </c>
      <c r="O2" s="17" t="s">
        <v>212</v>
      </c>
      <c r="P2" s="17" t="s">
        <v>213</v>
      </c>
    </row>
    <row r="3" spans="1:16" x14ac:dyDescent="0.25">
      <c r="A3" s="15"/>
      <c r="B3" s="16"/>
      <c r="C3" s="16" t="s">
        <v>214</v>
      </c>
      <c r="D3" s="16">
        <v>246779410018</v>
      </c>
      <c r="E3" s="17" t="s">
        <v>3</v>
      </c>
      <c r="F3" s="17">
        <v>140899</v>
      </c>
      <c r="G3" s="17" t="s">
        <v>215</v>
      </c>
      <c r="H3" s="17">
        <v>15655</v>
      </c>
      <c r="I3" s="17"/>
      <c r="J3" s="17"/>
      <c r="K3" s="17"/>
      <c r="L3" s="17"/>
      <c r="M3" s="17"/>
      <c r="N3" s="17"/>
      <c r="O3" s="17"/>
      <c r="P3" s="18">
        <v>0</v>
      </c>
    </row>
    <row r="4" spans="1:16" x14ac:dyDescent="0.25">
      <c r="A4" s="15"/>
      <c r="B4" s="16"/>
      <c r="C4" s="16" t="s">
        <v>214</v>
      </c>
      <c r="D4" s="16">
        <v>246779410038</v>
      </c>
      <c r="E4" s="17" t="s">
        <v>3</v>
      </c>
      <c r="F4" s="17">
        <v>140453</v>
      </c>
      <c r="G4" s="17" t="s">
        <v>215</v>
      </c>
      <c r="H4" s="17">
        <v>15606</v>
      </c>
      <c r="I4" s="17"/>
      <c r="J4" s="17"/>
      <c r="K4" s="17"/>
      <c r="L4" s="17"/>
      <c r="M4" s="17"/>
      <c r="N4" s="17"/>
      <c r="O4" s="17"/>
      <c r="P4" s="18">
        <v>0</v>
      </c>
    </row>
    <row r="5" spans="1:16" x14ac:dyDescent="0.25">
      <c r="A5" s="15"/>
      <c r="B5" s="16"/>
      <c r="C5" s="16" t="s">
        <v>214</v>
      </c>
      <c r="D5" s="16">
        <v>246779410292</v>
      </c>
      <c r="E5" s="17" t="s">
        <v>3</v>
      </c>
      <c r="F5" s="17">
        <v>140453</v>
      </c>
      <c r="G5" s="17" t="s">
        <v>215</v>
      </c>
      <c r="H5" s="17">
        <v>15606</v>
      </c>
      <c r="I5" s="17"/>
      <c r="J5" s="17"/>
      <c r="K5" s="17"/>
      <c r="L5" s="17"/>
      <c r="M5" s="17"/>
      <c r="N5" s="17"/>
      <c r="O5" s="17"/>
      <c r="P5" s="18">
        <v>0</v>
      </c>
    </row>
    <row r="6" spans="1:16" x14ac:dyDescent="0.25">
      <c r="A6" s="15"/>
      <c r="B6" s="16"/>
      <c r="C6" s="16" t="s">
        <v>214</v>
      </c>
      <c r="D6" s="16">
        <v>246779410106</v>
      </c>
      <c r="E6" s="17" t="s">
        <v>3</v>
      </c>
      <c r="F6" s="17">
        <v>140453</v>
      </c>
      <c r="G6" s="17" t="s">
        <v>215</v>
      </c>
      <c r="H6" s="17">
        <v>15606</v>
      </c>
      <c r="I6" s="17"/>
      <c r="J6" s="17"/>
      <c r="K6" s="17"/>
      <c r="L6" s="17"/>
      <c r="M6" s="17"/>
      <c r="N6" s="17"/>
      <c r="O6" s="17"/>
      <c r="P6" s="18">
        <v>0</v>
      </c>
    </row>
    <row r="7" spans="1:16" x14ac:dyDescent="0.25">
      <c r="A7" s="15"/>
      <c r="B7" s="16"/>
      <c r="C7" s="16" t="s">
        <v>214</v>
      </c>
      <c r="D7" s="16">
        <v>246779410149</v>
      </c>
      <c r="E7" s="17" t="s">
        <v>3</v>
      </c>
      <c r="F7" s="17">
        <v>140453</v>
      </c>
      <c r="G7" s="17" t="s">
        <v>215</v>
      </c>
      <c r="H7" s="17">
        <v>15606</v>
      </c>
      <c r="I7" s="17"/>
      <c r="J7" s="17"/>
      <c r="K7" s="17"/>
      <c r="L7" s="17"/>
      <c r="M7" s="17"/>
      <c r="N7" s="17"/>
      <c r="O7" s="17"/>
      <c r="P7" s="18">
        <v>0</v>
      </c>
    </row>
    <row r="8" spans="1:16" x14ac:dyDescent="0.25">
      <c r="A8" s="15"/>
      <c r="B8" s="16"/>
      <c r="C8" s="16" t="s">
        <v>214</v>
      </c>
      <c r="D8" s="16">
        <v>246779410192</v>
      </c>
      <c r="E8" s="17" t="s">
        <v>3</v>
      </c>
      <c r="F8" s="17">
        <v>140453</v>
      </c>
      <c r="G8" s="17" t="s">
        <v>215</v>
      </c>
      <c r="H8" s="17">
        <v>15606</v>
      </c>
      <c r="I8" s="17"/>
      <c r="J8" s="17"/>
      <c r="K8" s="17"/>
      <c r="L8" s="17"/>
      <c r="M8" s="17"/>
      <c r="N8" s="17"/>
      <c r="O8" s="17"/>
      <c r="P8" s="18">
        <v>0</v>
      </c>
    </row>
    <row r="9" spans="1:16" x14ac:dyDescent="0.25">
      <c r="A9" s="15"/>
      <c r="B9" s="16"/>
      <c r="C9" s="16" t="s">
        <v>214</v>
      </c>
      <c r="D9" s="16">
        <v>246779410235</v>
      </c>
      <c r="E9" s="17" t="s">
        <v>3</v>
      </c>
      <c r="F9" s="17">
        <v>140453</v>
      </c>
      <c r="G9" s="17" t="s">
        <v>215</v>
      </c>
      <c r="H9" s="17">
        <v>15606</v>
      </c>
      <c r="I9" s="17"/>
      <c r="J9" s="17"/>
      <c r="K9" s="17"/>
      <c r="L9" s="17"/>
      <c r="M9" s="17"/>
      <c r="N9" s="17"/>
      <c r="O9" s="17"/>
      <c r="P9" s="18">
        <v>0</v>
      </c>
    </row>
    <row r="10" spans="1:16" x14ac:dyDescent="0.25">
      <c r="A10" s="15"/>
      <c r="B10" s="16"/>
      <c r="C10" s="16" t="s">
        <v>214</v>
      </c>
      <c r="D10" s="16">
        <v>246779410321</v>
      </c>
      <c r="E10" s="17" t="s">
        <v>3</v>
      </c>
      <c r="F10" s="17">
        <v>36410</v>
      </c>
      <c r="G10" s="17" t="s">
        <v>215</v>
      </c>
      <c r="H10" s="17">
        <v>4046</v>
      </c>
      <c r="I10" s="17"/>
      <c r="J10" s="17"/>
      <c r="K10" s="17"/>
      <c r="L10" s="17"/>
      <c r="M10" s="17"/>
      <c r="N10" s="17"/>
      <c r="O10" s="17"/>
      <c r="P10" s="18">
        <v>0</v>
      </c>
    </row>
    <row r="11" spans="1:16" x14ac:dyDescent="0.25">
      <c r="A11" s="15"/>
      <c r="B11" s="16"/>
      <c r="C11" s="16" t="s">
        <v>214</v>
      </c>
      <c r="D11" s="16">
        <v>246779410341</v>
      </c>
      <c r="E11" s="17" t="s">
        <v>3</v>
      </c>
      <c r="F11" s="17">
        <v>35397</v>
      </c>
      <c r="G11" s="17" t="s">
        <v>215</v>
      </c>
      <c r="H11" s="17">
        <v>3933</v>
      </c>
      <c r="I11" s="17"/>
      <c r="J11" s="17"/>
      <c r="K11" s="17"/>
      <c r="L11" s="17"/>
      <c r="M11" s="17"/>
      <c r="N11" s="17"/>
      <c r="O11" s="17"/>
      <c r="P11" s="18">
        <v>0</v>
      </c>
    </row>
    <row r="12" spans="1:16" x14ac:dyDescent="0.25">
      <c r="A12" s="15"/>
      <c r="B12" s="16"/>
      <c r="C12" s="16" t="s">
        <v>214</v>
      </c>
      <c r="D12" s="16">
        <v>246779410345</v>
      </c>
      <c r="E12" s="17" t="s">
        <v>3</v>
      </c>
      <c r="F12" s="17">
        <v>36577</v>
      </c>
      <c r="G12" s="17" t="s">
        <v>215</v>
      </c>
      <c r="H12" s="17">
        <v>4064</v>
      </c>
      <c r="I12" s="17"/>
      <c r="J12" s="17"/>
      <c r="K12" s="17"/>
      <c r="L12" s="17"/>
      <c r="M12" s="17"/>
      <c r="N12" s="17"/>
      <c r="O12" s="17"/>
      <c r="P12" s="18">
        <v>0</v>
      </c>
    </row>
    <row r="13" spans="1:16" x14ac:dyDescent="0.25">
      <c r="A13" s="15"/>
      <c r="B13" s="16"/>
      <c r="C13" s="16" t="s">
        <v>214</v>
      </c>
      <c r="D13" s="16">
        <v>246779410357</v>
      </c>
      <c r="E13" s="17" t="s">
        <v>3</v>
      </c>
      <c r="F13" s="17">
        <v>35397</v>
      </c>
      <c r="G13" s="17" t="s">
        <v>215</v>
      </c>
      <c r="H13" s="17">
        <v>3933</v>
      </c>
      <c r="I13" s="17"/>
      <c r="J13" s="17"/>
      <c r="K13" s="17"/>
      <c r="L13" s="17"/>
      <c r="M13" s="17"/>
      <c r="N13" s="17"/>
      <c r="O13" s="17"/>
      <c r="P13" s="18">
        <v>0</v>
      </c>
    </row>
    <row r="14" spans="1:16" x14ac:dyDescent="0.25">
      <c r="A14" s="15"/>
      <c r="B14" s="16"/>
      <c r="C14" s="16" t="s">
        <v>214</v>
      </c>
      <c r="D14" s="16">
        <v>246779410351</v>
      </c>
      <c r="E14" s="17" t="s">
        <v>3</v>
      </c>
      <c r="F14" s="17">
        <v>36577</v>
      </c>
      <c r="G14" s="17" t="s">
        <v>215</v>
      </c>
      <c r="H14" s="17">
        <v>4064</v>
      </c>
      <c r="I14" s="17"/>
      <c r="J14" s="17"/>
      <c r="K14" s="17"/>
      <c r="L14" s="17"/>
      <c r="M14" s="17"/>
      <c r="N14" s="17"/>
      <c r="O14" s="17"/>
      <c r="P14" s="18">
        <v>0</v>
      </c>
    </row>
    <row r="15" spans="1:16" x14ac:dyDescent="0.25">
      <c r="A15" s="15"/>
      <c r="B15" s="16"/>
      <c r="C15" s="16" t="s">
        <v>214</v>
      </c>
      <c r="D15" s="16">
        <v>246779410365</v>
      </c>
      <c r="E15" s="17" t="s">
        <v>3</v>
      </c>
      <c r="F15" s="17">
        <v>80043</v>
      </c>
      <c r="G15" s="17" t="s">
        <v>215</v>
      </c>
      <c r="H15" s="17">
        <v>8894</v>
      </c>
      <c r="I15" s="17"/>
      <c r="J15" s="17"/>
      <c r="K15" s="17"/>
      <c r="L15" s="17"/>
      <c r="M15" s="17"/>
      <c r="N15" s="17"/>
      <c r="O15" s="17"/>
      <c r="P15" s="18">
        <v>0</v>
      </c>
    </row>
    <row r="16" spans="1:16" x14ac:dyDescent="0.25">
      <c r="A16" s="15"/>
      <c r="B16" s="16"/>
      <c r="C16" s="16" t="s">
        <v>214</v>
      </c>
      <c r="D16" s="16">
        <v>246779410391</v>
      </c>
      <c r="E16" s="17" t="s">
        <v>3</v>
      </c>
      <c r="F16" s="17">
        <v>148891</v>
      </c>
      <c r="G16" s="17" t="s">
        <v>215</v>
      </c>
      <c r="H16" s="17">
        <v>16543</v>
      </c>
      <c r="I16" s="17"/>
      <c r="J16" s="17"/>
      <c r="K16" s="17"/>
      <c r="L16" s="17"/>
      <c r="M16" s="17"/>
      <c r="N16" s="17"/>
      <c r="O16" s="17"/>
      <c r="P16" s="18">
        <v>0</v>
      </c>
    </row>
    <row r="17" spans="1:16" x14ac:dyDescent="0.25">
      <c r="A17" s="15"/>
      <c r="B17" s="16"/>
      <c r="C17" s="16" t="s">
        <v>214</v>
      </c>
      <c r="D17" s="16">
        <v>246779410415</v>
      </c>
      <c r="E17" s="17" t="s">
        <v>3</v>
      </c>
      <c r="F17" s="17">
        <v>151767</v>
      </c>
      <c r="G17" s="17" t="s">
        <v>215</v>
      </c>
      <c r="H17" s="17">
        <v>16863</v>
      </c>
      <c r="I17" s="17"/>
      <c r="J17" s="17"/>
      <c r="K17" s="17"/>
      <c r="L17" s="17"/>
      <c r="M17" s="17"/>
      <c r="N17" s="17"/>
      <c r="O17" s="17"/>
      <c r="P17" s="18">
        <v>0</v>
      </c>
    </row>
    <row r="18" spans="1:16" x14ac:dyDescent="0.25">
      <c r="A18" s="15"/>
      <c r="B18" s="16"/>
      <c r="C18" s="16" t="s">
        <v>214</v>
      </c>
      <c r="D18" s="16">
        <v>246779410862</v>
      </c>
      <c r="E18" s="17" t="s">
        <v>3</v>
      </c>
      <c r="F18" s="17">
        <v>180778</v>
      </c>
      <c r="G18" s="17" t="s">
        <v>215</v>
      </c>
      <c r="H18" s="17">
        <v>20087</v>
      </c>
      <c r="I18" s="17"/>
      <c r="J18" s="17"/>
      <c r="K18" s="17"/>
      <c r="L18" s="17"/>
      <c r="M18" s="17"/>
      <c r="N18" s="17"/>
      <c r="O18" s="17"/>
      <c r="P18" s="18">
        <v>0</v>
      </c>
    </row>
    <row r="19" spans="1:16" x14ac:dyDescent="0.25">
      <c r="A19" s="15"/>
      <c r="B19" s="16"/>
      <c r="C19" s="16" t="s">
        <v>214</v>
      </c>
      <c r="D19" s="16">
        <v>246779410885</v>
      </c>
      <c r="E19" s="17" t="s">
        <v>3</v>
      </c>
      <c r="F19" s="17">
        <v>187367</v>
      </c>
      <c r="G19" s="17" t="s">
        <v>215</v>
      </c>
      <c r="H19" s="17">
        <v>20819</v>
      </c>
      <c r="I19" s="17"/>
      <c r="J19" s="17"/>
      <c r="K19" s="17"/>
      <c r="L19" s="17"/>
      <c r="M19" s="17"/>
      <c r="N19" s="17"/>
      <c r="O19" s="17"/>
      <c r="P19" s="18">
        <v>0</v>
      </c>
    </row>
    <row r="20" spans="1:16" x14ac:dyDescent="0.25">
      <c r="A20" s="15"/>
      <c r="B20" s="16"/>
      <c r="C20" s="16" t="s">
        <v>214</v>
      </c>
      <c r="D20" s="16">
        <v>246779412999</v>
      </c>
      <c r="E20" s="17" t="s">
        <v>3</v>
      </c>
      <c r="F20" s="17">
        <v>14486</v>
      </c>
      <c r="G20" s="17" t="s">
        <v>215</v>
      </c>
      <c r="H20" s="17">
        <v>1610</v>
      </c>
      <c r="I20" s="17"/>
      <c r="J20" s="17"/>
      <c r="K20" s="17"/>
      <c r="L20" s="17"/>
      <c r="M20" s="17"/>
      <c r="N20" s="17"/>
      <c r="O20" s="17"/>
      <c r="P20" s="18">
        <v>0</v>
      </c>
    </row>
    <row r="21" spans="1:16" x14ac:dyDescent="0.25">
      <c r="A21" s="15"/>
      <c r="B21" s="16"/>
      <c r="C21" s="16" t="s">
        <v>214</v>
      </c>
      <c r="D21" s="16">
        <v>246779413798</v>
      </c>
      <c r="E21" s="17" t="s">
        <v>3</v>
      </c>
      <c r="F21" s="17">
        <v>36118</v>
      </c>
      <c r="G21" s="17" t="s">
        <v>215</v>
      </c>
      <c r="H21" s="17">
        <v>4013</v>
      </c>
      <c r="I21" s="17"/>
      <c r="J21" s="17"/>
      <c r="K21" s="17"/>
      <c r="L21" s="17"/>
      <c r="M21" s="17"/>
      <c r="N21" s="17"/>
      <c r="O21" s="17"/>
      <c r="P21" s="18">
        <v>0</v>
      </c>
    </row>
    <row r="22" spans="1:16" x14ac:dyDescent="0.25">
      <c r="A22" s="15"/>
      <c r="B22" s="16"/>
      <c r="C22" s="16" t="s">
        <v>214</v>
      </c>
      <c r="D22" s="16">
        <v>246779413809</v>
      </c>
      <c r="E22" s="17" t="s">
        <v>3</v>
      </c>
      <c r="F22" s="17">
        <v>32623</v>
      </c>
      <c r="G22" s="17" t="s">
        <v>215</v>
      </c>
      <c r="H22" s="17">
        <v>3625</v>
      </c>
      <c r="I22" s="17"/>
      <c r="J22" s="17"/>
      <c r="K22" s="17"/>
      <c r="L22" s="17"/>
      <c r="M22" s="17"/>
      <c r="N22" s="17"/>
      <c r="O22" s="17"/>
      <c r="P22" s="18">
        <v>0</v>
      </c>
    </row>
    <row r="23" spans="1:16" x14ac:dyDescent="0.25">
      <c r="A23" s="15"/>
      <c r="B23" s="16"/>
      <c r="C23" s="16" t="s">
        <v>214</v>
      </c>
      <c r="D23" s="16">
        <v>246779411458</v>
      </c>
      <c r="E23" s="17" t="s">
        <v>3</v>
      </c>
      <c r="F23" s="17">
        <v>6589</v>
      </c>
      <c r="G23" s="17" t="s">
        <v>215</v>
      </c>
      <c r="H23" s="17">
        <v>134</v>
      </c>
      <c r="I23" s="17"/>
      <c r="J23" s="17"/>
      <c r="K23" s="17"/>
      <c r="L23" s="17"/>
      <c r="M23" s="17"/>
      <c r="N23" s="17"/>
      <c r="O23" s="17"/>
      <c r="P23" s="18">
        <v>0</v>
      </c>
    </row>
    <row r="24" spans="1:16" x14ac:dyDescent="0.25">
      <c r="A24" s="15"/>
      <c r="B24" s="16"/>
      <c r="C24" s="16" t="s">
        <v>214</v>
      </c>
      <c r="D24" s="16">
        <v>246779411624</v>
      </c>
      <c r="E24" s="17" t="s">
        <v>3</v>
      </c>
      <c r="F24" s="17">
        <v>20898</v>
      </c>
      <c r="G24" s="17" t="s">
        <v>215</v>
      </c>
      <c r="H24" s="17">
        <v>426</v>
      </c>
      <c r="I24" s="17"/>
      <c r="J24" s="17"/>
      <c r="K24" s="17"/>
      <c r="L24" s="17"/>
      <c r="M24" s="17"/>
      <c r="N24" s="17"/>
      <c r="O24" s="17"/>
      <c r="P24" s="18">
        <v>0</v>
      </c>
    </row>
    <row r="25" spans="1:16" x14ac:dyDescent="0.25">
      <c r="A25" s="15"/>
      <c r="B25" s="16"/>
      <c r="C25" s="16" t="s">
        <v>214</v>
      </c>
      <c r="D25" s="16">
        <v>246779411625</v>
      </c>
      <c r="E25" s="17" t="s">
        <v>3</v>
      </c>
      <c r="F25" s="17">
        <v>5939</v>
      </c>
      <c r="G25" s="17" t="s">
        <v>215</v>
      </c>
      <c r="H25" s="17">
        <v>121</v>
      </c>
      <c r="I25" s="17"/>
      <c r="J25" s="17"/>
      <c r="K25" s="17"/>
      <c r="L25" s="17"/>
      <c r="M25" s="17"/>
      <c r="N25" s="17"/>
      <c r="O25" s="17"/>
      <c r="P25" s="18">
        <v>0</v>
      </c>
    </row>
    <row r="26" spans="1:16" x14ac:dyDescent="0.25">
      <c r="A26" s="15"/>
      <c r="B26" s="16"/>
      <c r="C26" s="16" t="s">
        <v>214</v>
      </c>
      <c r="D26" s="16">
        <v>246779411626</v>
      </c>
      <c r="E26" s="17" t="s">
        <v>3</v>
      </c>
      <c r="F26" s="17">
        <v>6091</v>
      </c>
      <c r="G26" s="17" t="s">
        <v>215</v>
      </c>
      <c r="H26" s="17">
        <v>124</v>
      </c>
      <c r="I26" s="17"/>
      <c r="J26" s="17"/>
      <c r="K26" s="17"/>
      <c r="L26" s="17"/>
      <c r="M26" s="17"/>
      <c r="N26" s="17"/>
      <c r="O26" s="17"/>
      <c r="P26" s="18">
        <v>0</v>
      </c>
    </row>
    <row r="27" spans="1:16" x14ac:dyDescent="0.25">
      <c r="A27" s="15"/>
      <c r="B27" s="16"/>
      <c r="C27" s="16" t="s">
        <v>214</v>
      </c>
      <c r="D27" s="16">
        <v>246779411627</v>
      </c>
      <c r="E27" s="17" t="s">
        <v>3</v>
      </c>
      <c r="F27" s="17">
        <v>5258</v>
      </c>
      <c r="G27" s="17" t="s">
        <v>215</v>
      </c>
      <c r="H27" s="17">
        <v>107</v>
      </c>
      <c r="I27" s="17"/>
      <c r="J27" s="17"/>
      <c r="K27" s="17"/>
      <c r="L27" s="17"/>
      <c r="M27" s="17"/>
      <c r="N27" s="17"/>
      <c r="O27" s="17"/>
      <c r="P27" s="18">
        <v>0</v>
      </c>
    </row>
    <row r="28" spans="1:16" x14ac:dyDescent="0.25">
      <c r="A28" s="15"/>
      <c r="B28" s="16"/>
      <c r="C28" s="16" t="s">
        <v>214</v>
      </c>
      <c r="D28" s="16">
        <v>246779412068</v>
      </c>
      <c r="E28" s="17" t="s">
        <v>3</v>
      </c>
      <c r="F28" s="17">
        <v>10392</v>
      </c>
      <c r="G28" s="17" t="s">
        <v>215</v>
      </c>
      <c r="H28" s="17">
        <v>212</v>
      </c>
      <c r="I28" s="17"/>
      <c r="J28" s="17"/>
      <c r="K28" s="17"/>
      <c r="L28" s="17"/>
      <c r="M28" s="17"/>
      <c r="N28" s="17"/>
      <c r="O28" s="17"/>
      <c r="P28" s="18">
        <v>0</v>
      </c>
    </row>
    <row r="29" spans="1:16" x14ac:dyDescent="0.25">
      <c r="A29" s="15"/>
      <c r="B29" s="16"/>
      <c r="C29" s="16" t="s">
        <v>214</v>
      </c>
      <c r="D29" s="16">
        <v>246779412247</v>
      </c>
      <c r="E29" s="17" t="s">
        <v>3</v>
      </c>
      <c r="F29" s="17">
        <v>6589</v>
      </c>
      <c r="G29" s="17" t="s">
        <v>215</v>
      </c>
      <c r="H29" s="17">
        <v>134</v>
      </c>
      <c r="I29" s="17"/>
      <c r="J29" s="17"/>
      <c r="K29" s="17"/>
      <c r="L29" s="17"/>
      <c r="M29" s="17"/>
      <c r="N29" s="17"/>
      <c r="O29" s="17"/>
      <c r="P29" s="18">
        <v>0</v>
      </c>
    </row>
    <row r="30" spans="1:16" x14ac:dyDescent="0.25">
      <c r="A30" s="15"/>
      <c r="B30" s="16"/>
      <c r="C30" s="16" t="s">
        <v>214</v>
      </c>
      <c r="D30" s="16">
        <v>246779414060</v>
      </c>
      <c r="E30" s="19" t="s">
        <v>3</v>
      </c>
      <c r="F30" s="19">
        <v>23090</v>
      </c>
      <c r="G30" s="19" t="s">
        <v>215</v>
      </c>
      <c r="H30" s="19">
        <v>471</v>
      </c>
      <c r="I30" s="19"/>
      <c r="J30" s="19"/>
      <c r="K30" s="19"/>
      <c r="L30" s="19"/>
      <c r="M30" s="19"/>
      <c r="N30" s="19"/>
      <c r="O30" s="19"/>
      <c r="P30" s="18">
        <v>0</v>
      </c>
    </row>
    <row r="31" spans="1:16" x14ac:dyDescent="0.25">
      <c r="A31" s="15"/>
      <c r="B31" s="16"/>
      <c r="C31" s="16" t="s">
        <v>214</v>
      </c>
      <c r="D31" s="16">
        <v>246779414061</v>
      </c>
      <c r="E31" s="19" t="s">
        <v>3</v>
      </c>
      <c r="F31" s="19">
        <v>23453</v>
      </c>
      <c r="G31" s="19" t="s">
        <v>215</v>
      </c>
      <c r="H31" s="19">
        <v>479</v>
      </c>
      <c r="I31" s="19"/>
      <c r="J31" s="19"/>
      <c r="K31" s="19"/>
      <c r="L31" s="19"/>
      <c r="M31" s="19"/>
      <c r="N31" s="19"/>
      <c r="O31" s="19"/>
      <c r="P31" s="18">
        <v>0</v>
      </c>
    </row>
    <row r="32" spans="1:16" x14ac:dyDescent="0.25">
      <c r="A32" s="15"/>
      <c r="B32" s="16"/>
      <c r="C32" s="16" t="s">
        <v>214</v>
      </c>
      <c r="D32" s="16">
        <v>246779414062</v>
      </c>
      <c r="E32" s="19" t="s">
        <v>3</v>
      </c>
      <c r="F32" s="19">
        <v>21271</v>
      </c>
      <c r="G32" s="19" t="s">
        <v>215</v>
      </c>
      <c r="H32" s="19">
        <v>434</v>
      </c>
      <c r="I32" s="19"/>
      <c r="J32" s="19"/>
      <c r="K32" s="19"/>
      <c r="L32" s="19"/>
      <c r="M32" s="19"/>
      <c r="N32" s="19"/>
      <c r="O32" s="19"/>
      <c r="P32" s="18">
        <v>0</v>
      </c>
    </row>
    <row r="33" spans="1:16" x14ac:dyDescent="0.25">
      <c r="A33" s="15"/>
      <c r="B33" s="16"/>
      <c r="C33" s="16" t="s">
        <v>214</v>
      </c>
      <c r="D33" s="16">
        <v>246779414063</v>
      </c>
      <c r="E33" s="19" t="s">
        <v>3</v>
      </c>
      <c r="F33" s="19">
        <v>46907</v>
      </c>
      <c r="G33" s="19" t="s">
        <v>215</v>
      </c>
      <c r="H33" s="19">
        <v>957</v>
      </c>
      <c r="I33" s="19"/>
      <c r="J33" s="19"/>
      <c r="K33" s="19"/>
      <c r="L33" s="19"/>
      <c r="M33" s="19"/>
      <c r="N33" s="19"/>
      <c r="O33" s="19"/>
      <c r="P33" s="18">
        <v>0</v>
      </c>
    </row>
    <row r="34" spans="1:16" x14ac:dyDescent="0.25">
      <c r="A34" s="15"/>
      <c r="B34" s="16"/>
      <c r="C34" s="16" t="s">
        <v>214</v>
      </c>
      <c r="D34" s="16">
        <v>246779414064</v>
      </c>
      <c r="E34" s="19" t="s">
        <v>3</v>
      </c>
      <c r="F34" s="19">
        <v>29873</v>
      </c>
      <c r="G34" s="19" t="s">
        <v>215</v>
      </c>
      <c r="H34" s="19">
        <v>610</v>
      </c>
      <c r="I34" s="19"/>
      <c r="J34" s="19"/>
      <c r="K34" s="19"/>
      <c r="L34" s="19"/>
      <c r="M34" s="19"/>
      <c r="N34" s="19"/>
      <c r="O34" s="19"/>
      <c r="P34" s="18">
        <v>0</v>
      </c>
    </row>
    <row r="35" spans="1:16" x14ac:dyDescent="0.25">
      <c r="A35" s="15"/>
      <c r="B35" s="16"/>
      <c r="C35" s="16" t="s">
        <v>214</v>
      </c>
      <c r="D35" s="16">
        <v>246779414065</v>
      </c>
      <c r="E35" s="19" t="s">
        <v>3</v>
      </c>
      <c r="F35" s="19">
        <v>23453</v>
      </c>
      <c r="G35" s="19" t="s">
        <v>215</v>
      </c>
      <c r="H35" s="19">
        <v>479</v>
      </c>
      <c r="I35" s="19"/>
      <c r="J35" s="19"/>
      <c r="K35" s="19"/>
      <c r="L35" s="19"/>
      <c r="M35" s="19"/>
      <c r="N35" s="19"/>
      <c r="O35" s="19"/>
      <c r="P35" s="18">
        <v>0</v>
      </c>
    </row>
    <row r="36" spans="1:16" x14ac:dyDescent="0.25">
      <c r="A36" s="15"/>
      <c r="B36" s="16"/>
      <c r="C36" s="16" t="s">
        <v>214</v>
      </c>
      <c r="D36" s="16">
        <v>246779414066</v>
      </c>
      <c r="E36" s="17" t="s">
        <v>3</v>
      </c>
      <c r="F36" s="17">
        <v>1788</v>
      </c>
      <c r="G36" s="17" t="s">
        <v>215</v>
      </c>
      <c r="H36" s="17">
        <v>36</v>
      </c>
      <c r="I36" s="17"/>
      <c r="J36" s="17"/>
      <c r="K36" s="17"/>
      <c r="L36" s="17"/>
      <c r="M36" s="17"/>
      <c r="N36" s="17"/>
      <c r="O36" s="17"/>
      <c r="P36" s="18">
        <v>0</v>
      </c>
    </row>
    <row r="37" spans="1:16" x14ac:dyDescent="0.25">
      <c r="A37" s="15"/>
      <c r="B37" s="16"/>
      <c r="C37" s="16" t="s">
        <v>214</v>
      </c>
      <c r="D37" s="16">
        <v>246779411302</v>
      </c>
      <c r="E37" s="17" t="s">
        <v>3</v>
      </c>
      <c r="F37" s="17">
        <v>2987</v>
      </c>
      <c r="G37" s="17" t="s">
        <v>215</v>
      </c>
      <c r="H37" s="17">
        <v>61</v>
      </c>
      <c r="I37" s="17"/>
      <c r="J37" s="17"/>
      <c r="K37" s="17"/>
      <c r="L37" s="17"/>
      <c r="M37" s="17"/>
      <c r="N37" s="17"/>
      <c r="O37" s="17"/>
      <c r="P37" s="18">
        <v>0</v>
      </c>
    </row>
    <row r="38" spans="1:16" x14ac:dyDescent="0.25">
      <c r="A38" s="15"/>
      <c r="B38" s="16"/>
      <c r="C38" s="16" t="s">
        <v>214</v>
      </c>
      <c r="D38" s="16">
        <v>246779413220</v>
      </c>
      <c r="E38" s="17" t="s">
        <v>3</v>
      </c>
      <c r="F38" s="17">
        <v>2207</v>
      </c>
      <c r="G38" s="17" t="s">
        <v>215</v>
      </c>
      <c r="H38" s="17">
        <v>45</v>
      </c>
      <c r="I38" s="17"/>
      <c r="J38" s="17"/>
      <c r="K38" s="17"/>
      <c r="L38" s="17"/>
      <c r="M38" s="17"/>
      <c r="N38" s="17"/>
      <c r="O38" s="17"/>
      <c r="P38" s="18">
        <v>0</v>
      </c>
    </row>
    <row r="39" spans="1:16" x14ac:dyDescent="0.25">
      <c r="A39" s="15"/>
      <c r="B39" s="16"/>
      <c r="C39" s="16" t="s">
        <v>214</v>
      </c>
      <c r="D39" s="16">
        <v>246779413884</v>
      </c>
      <c r="E39" s="17" t="s">
        <v>3</v>
      </c>
      <c r="F39" s="17">
        <v>10870</v>
      </c>
      <c r="G39" s="17" t="s">
        <v>215</v>
      </c>
      <c r="H39" s="17">
        <v>222</v>
      </c>
      <c r="I39" s="17"/>
      <c r="J39" s="17"/>
      <c r="K39" s="17"/>
      <c r="L39" s="17"/>
      <c r="M39" s="17"/>
      <c r="N39" s="17"/>
      <c r="O39" s="17"/>
      <c r="P39" s="18">
        <v>0</v>
      </c>
    </row>
    <row r="40" spans="1:16" x14ac:dyDescent="0.25">
      <c r="A40" s="15"/>
      <c r="B40" s="16"/>
      <c r="C40" s="16" t="s">
        <v>214</v>
      </c>
      <c r="D40" s="16">
        <v>246779413893</v>
      </c>
      <c r="E40" s="17" t="s">
        <v>3</v>
      </c>
      <c r="F40" s="17">
        <v>148</v>
      </c>
      <c r="G40" s="17" t="s">
        <v>215</v>
      </c>
      <c r="H40" s="17">
        <v>3</v>
      </c>
      <c r="I40" s="17"/>
      <c r="J40" s="17"/>
      <c r="K40" s="17"/>
      <c r="L40" s="17"/>
      <c r="M40" s="17"/>
      <c r="N40" s="17"/>
      <c r="O40" s="17"/>
      <c r="P40" s="18">
        <v>0</v>
      </c>
    </row>
    <row r="41" spans="1:16" x14ac:dyDescent="0.25">
      <c r="A41" s="15"/>
      <c r="B41" s="16"/>
      <c r="C41" s="16" t="s">
        <v>214</v>
      </c>
      <c r="D41" s="16">
        <v>246779413894</v>
      </c>
      <c r="E41" s="17" t="s">
        <v>3</v>
      </c>
      <c r="F41" s="17">
        <v>170</v>
      </c>
      <c r="G41" s="17" t="s">
        <v>215</v>
      </c>
      <c r="H41" s="17">
        <v>3</v>
      </c>
      <c r="I41" s="17"/>
      <c r="J41" s="17"/>
      <c r="K41" s="17"/>
      <c r="L41" s="17"/>
      <c r="M41" s="17"/>
      <c r="N41" s="17"/>
      <c r="O41" s="17"/>
      <c r="P41" s="18">
        <v>0</v>
      </c>
    </row>
    <row r="42" spans="1:16" x14ac:dyDescent="0.25">
      <c r="A42" s="15"/>
      <c r="B42" s="16"/>
      <c r="C42" s="16" t="s">
        <v>214</v>
      </c>
      <c r="D42" s="16">
        <v>246779413901</v>
      </c>
      <c r="E42" s="17" t="s">
        <v>3</v>
      </c>
      <c r="F42" s="17">
        <v>148</v>
      </c>
      <c r="G42" s="17" t="s">
        <v>215</v>
      </c>
      <c r="H42" s="17">
        <v>3</v>
      </c>
      <c r="I42" s="17"/>
      <c r="J42" s="17"/>
      <c r="K42" s="17"/>
      <c r="L42" s="17"/>
      <c r="M42" s="17"/>
      <c r="N42" s="17"/>
      <c r="O42" s="17"/>
      <c r="P42" s="18">
        <v>0</v>
      </c>
    </row>
    <row r="43" spans="1:16" x14ac:dyDescent="0.25">
      <c r="A43" s="15"/>
      <c r="B43" s="16"/>
      <c r="C43" s="16" t="s">
        <v>214</v>
      </c>
      <c r="D43" s="16">
        <v>256779413186</v>
      </c>
      <c r="E43" s="17" t="s">
        <v>3</v>
      </c>
      <c r="F43" s="17">
        <v>34824</v>
      </c>
      <c r="G43" s="17" t="s">
        <v>215</v>
      </c>
      <c r="H43" s="17">
        <v>3869</v>
      </c>
      <c r="I43" s="17"/>
      <c r="J43" s="17"/>
      <c r="K43" s="17"/>
      <c r="L43" s="17"/>
      <c r="M43" s="17"/>
      <c r="N43" s="17"/>
      <c r="O43" s="17"/>
      <c r="P43" s="18">
        <v>0</v>
      </c>
    </row>
    <row r="44" spans="1:16" x14ac:dyDescent="0.25">
      <c r="A44" s="15"/>
      <c r="B44" s="16"/>
      <c r="C44" s="16" t="s">
        <v>214</v>
      </c>
      <c r="D44" s="16">
        <v>256779414342</v>
      </c>
      <c r="E44" s="17" t="s">
        <v>3</v>
      </c>
      <c r="F44" s="17">
        <v>35715</v>
      </c>
      <c r="G44" s="17" t="s">
        <v>215</v>
      </c>
      <c r="H44" s="17">
        <v>3968</v>
      </c>
      <c r="I44" s="17"/>
      <c r="J44" s="17"/>
      <c r="K44" s="17"/>
      <c r="L44" s="17"/>
      <c r="M44" s="17"/>
      <c r="N44" s="17"/>
      <c r="O44" s="17"/>
      <c r="P44" s="18">
        <v>0</v>
      </c>
    </row>
    <row r="45" spans="1:16" x14ac:dyDescent="0.25">
      <c r="A45" s="15"/>
      <c r="B45" s="16"/>
      <c r="C45" s="16" t="s">
        <v>214</v>
      </c>
      <c r="D45" s="16">
        <v>246779413911</v>
      </c>
      <c r="E45" s="17" t="s">
        <v>3</v>
      </c>
      <c r="F45" s="17">
        <v>169</v>
      </c>
      <c r="G45" s="17" t="s">
        <v>215</v>
      </c>
      <c r="H45" s="17">
        <v>3</v>
      </c>
      <c r="I45" s="17"/>
      <c r="J45" s="17"/>
      <c r="K45" s="17"/>
      <c r="L45" s="17"/>
      <c r="M45" s="17"/>
      <c r="N45" s="17"/>
      <c r="O45" s="17"/>
      <c r="P45" s="18">
        <v>0</v>
      </c>
    </row>
    <row r="46" spans="1:16" x14ac:dyDescent="0.25">
      <c r="A46" s="15"/>
      <c r="B46" s="16"/>
      <c r="C46" s="16" t="s">
        <v>214</v>
      </c>
      <c r="D46" s="16">
        <v>246779413913</v>
      </c>
      <c r="E46" s="17" t="s">
        <v>3</v>
      </c>
      <c r="F46" s="17">
        <v>1251</v>
      </c>
      <c r="G46" s="17" t="s">
        <v>215</v>
      </c>
      <c r="H46" s="17">
        <v>26</v>
      </c>
      <c r="I46" s="17"/>
      <c r="J46" s="17"/>
      <c r="K46" s="17"/>
      <c r="L46" s="17"/>
      <c r="M46" s="17"/>
      <c r="N46" s="17"/>
      <c r="O46" s="17"/>
      <c r="P46" s="18">
        <v>0</v>
      </c>
    </row>
    <row r="47" spans="1:16" x14ac:dyDescent="0.25">
      <c r="A47" s="15"/>
      <c r="B47" s="16"/>
      <c r="C47" s="16" t="s">
        <v>214</v>
      </c>
      <c r="D47" s="16">
        <v>246779414150</v>
      </c>
      <c r="E47" s="17" t="s">
        <v>3</v>
      </c>
      <c r="F47" s="17">
        <v>1036</v>
      </c>
      <c r="G47" s="17" t="s">
        <v>215</v>
      </c>
      <c r="H47" s="17">
        <v>21</v>
      </c>
      <c r="I47" s="17"/>
      <c r="J47" s="17"/>
      <c r="K47" s="17"/>
      <c r="L47" s="17"/>
      <c r="M47" s="17"/>
      <c r="N47" s="17"/>
      <c r="O47" s="17"/>
      <c r="P47" s="18">
        <v>0</v>
      </c>
    </row>
    <row r="48" spans="1:16" x14ac:dyDescent="0.25">
      <c r="A48" s="15"/>
      <c r="B48" s="16"/>
      <c r="C48" s="16" t="s">
        <v>214</v>
      </c>
      <c r="D48" s="16">
        <v>246779414151</v>
      </c>
      <c r="E48" s="17" t="s">
        <v>3</v>
      </c>
      <c r="F48" s="17">
        <v>1269</v>
      </c>
      <c r="G48" s="17" t="s">
        <v>215</v>
      </c>
      <c r="H48" s="17">
        <v>26</v>
      </c>
      <c r="I48" s="17"/>
      <c r="J48" s="17"/>
      <c r="K48" s="17"/>
      <c r="L48" s="17"/>
      <c r="M48" s="17"/>
      <c r="N48" s="17"/>
      <c r="O48" s="17"/>
      <c r="P48" s="18">
        <v>0</v>
      </c>
    </row>
    <row r="49" spans="1:16" x14ac:dyDescent="0.25">
      <c r="A49" s="15"/>
      <c r="B49" s="16"/>
      <c r="C49" s="16" t="s">
        <v>214</v>
      </c>
      <c r="D49" s="16">
        <v>246779414229</v>
      </c>
      <c r="E49" s="17" t="s">
        <v>3</v>
      </c>
      <c r="F49" s="17">
        <v>769</v>
      </c>
      <c r="G49" s="17" t="s">
        <v>215</v>
      </c>
      <c r="H49" s="17">
        <v>16</v>
      </c>
      <c r="I49" s="17"/>
      <c r="J49" s="17"/>
      <c r="K49" s="17"/>
      <c r="L49" s="17"/>
      <c r="M49" s="17"/>
      <c r="N49" s="17"/>
      <c r="O49" s="17"/>
      <c r="P49" s="18">
        <v>0</v>
      </c>
    </row>
    <row r="50" spans="1:16" x14ac:dyDescent="0.25">
      <c r="A50" s="15"/>
      <c r="B50" s="16"/>
      <c r="C50" s="16" t="s">
        <v>214</v>
      </c>
      <c r="D50" s="16">
        <v>246779414230</v>
      </c>
      <c r="E50" s="17" t="s">
        <v>3</v>
      </c>
      <c r="F50" s="17">
        <v>84</v>
      </c>
      <c r="G50" s="17" t="s">
        <v>215</v>
      </c>
      <c r="H50" s="17">
        <v>2</v>
      </c>
      <c r="I50" s="17"/>
      <c r="J50" s="17"/>
      <c r="K50" s="17"/>
      <c r="L50" s="17"/>
      <c r="M50" s="17"/>
      <c r="N50" s="17"/>
      <c r="O50" s="17"/>
      <c r="P50" s="18">
        <v>0</v>
      </c>
    </row>
    <row r="51" spans="1:16" x14ac:dyDescent="0.25">
      <c r="A51" s="15"/>
      <c r="B51" s="16"/>
      <c r="C51" s="16" t="s">
        <v>214</v>
      </c>
      <c r="D51" s="16">
        <v>246779414319</v>
      </c>
      <c r="E51" s="17" t="s">
        <v>3</v>
      </c>
      <c r="F51" s="17">
        <v>1119</v>
      </c>
      <c r="G51" s="17" t="s">
        <v>215</v>
      </c>
      <c r="H51" s="17">
        <v>23</v>
      </c>
      <c r="I51" s="17"/>
      <c r="J51" s="17"/>
      <c r="K51" s="17"/>
      <c r="L51" s="17"/>
      <c r="M51" s="17"/>
      <c r="N51" s="17"/>
      <c r="O51" s="17"/>
      <c r="P51" s="18">
        <v>0</v>
      </c>
    </row>
    <row r="52" spans="1:16" x14ac:dyDescent="0.25">
      <c r="A52" s="15"/>
      <c r="B52" s="16"/>
      <c r="C52" s="16" t="s">
        <v>214</v>
      </c>
      <c r="D52" s="16">
        <v>246779414320</v>
      </c>
      <c r="E52" s="17" t="s">
        <v>3</v>
      </c>
      <c r="F52" s="17">
        <v>3253</v>
      </c>
      <c r="G52" s="17" t="s">
        <v>215</v>
      </c>
      <c r="H52" s="17">
        <v>66</v>
      </c>
      <c r="I52" s="17"/>
      <c r="J52" s="17"/>
      <c r="K52" s="17"/>
      <c r="L52" s="17"/>
      <c r="M52" s="17"/>
      <c r="N52" s="17"/>
      <c r="O52" s="17"/>
      <c r="P52" s="18">
        <v>0</v>
      </c>
    </row>
    <row r="53" spans="1:16" x14ac:dyDescent="0.25">
      <c r="A53" s="15"/>
      <c r="B53" s="16"/>
      <c r="C53" s="16" t="s">
        <v>214</v>
      </c>
      <c r="D53" s="16">
        <v>246779414321</v>
      </c>
      <c r="E53" s="17" t="s">
        <v>3</v>
      </c>
      <c r="F53" s="17">
        <v>2535</v>
      </c>
      <c r="G53" s="17" t="s">
        <v>215</v>
      </c>
      <c r="H53" s="17">
        <v>52</v>
      </c>
      <c r="I53" s="17"/>
      <c r="J53" s="17"/>
      <c r="K53" s="17"/>
      <c r="L53" s="17"/>
      <c r="M53" s="17"/>
      <c r="N53" s="17"/>
      <c r="O53" s="17"/>
      <c r="P53" s="18">
        <v>0</v>
      </c>
    </row>
    <row r="54" spans="1:16" x14ac:dyDescent="0.25">
      <c r="A54" s="15"/>
      <c r="B54" s="16"/>
      <c r="C54" s="16" t="s">
        <v>214</v>
      </c>
      <c r="D54" s="16">
        <v>246779414402</v>
      </c>
      <c r="E54" s="17" t="s">
        <v>3</v>
      </c>
      <c r="F54" s="17">
        <v>888</v>
      </c>
      <c r="G54" s="17" t="s">
        <v>215</v>
      </c>
      <c r="H54" s="17">
        <v>18</v>
      </c>
      <c r="I54" s="17"/>
      <c r="J54" s="17"/>
      <c r="K54" s="17"/>
      <c r="L54" s="17"/>
      <c r="M54" s="17"/>
      <c r="N54" s="17"/>
      <c r="O54" s="17"/>
      <c r="P54" s="18">
        <v>0</v>
      </c>
    </row>
    <row r="55" spans="1:16" x14ac:dyDescent="0.25">
      <c r="A55" s="15"/>
      <c r="B55" s="16"/>
      <c r="C55" s="16" t="s">
        <v>214</v>
      </c>
      <c r="D55" s="16">
        <v>246779414403</v>
      </c>
      <c r="E55" s="17" t="s">
        <v>3</v>
      </c>
      <c r="F55" s="17">
        <v>1269</v>
      </c>
      <c r="G55" s="17" t="s">
        <v>215</v>
      </c>
      <c r="H55" s="17">
        <v>26</v>
      </c>
      <c r="I55" s="17"/>
      <c r="J55" s="17"/>
      <c r="K55" s="17"/>
      <c r="L55" s="17"/>
      <c r="M55" s="17"/>
      <c r="N55" s="17"/>
      <c r="O55" s="17"/>
      <c r="P55" s="18">
        <v>0</v>
      </c>
    </row>
    <row r="56" spans="1:16" x14ac:dyDescent="0.25">
      <c r="A56" s="15"/>
      <c r="B56" s="16"/>
      <c r="C56" s="16" t="s">
        <v>214</v>
      </c>
      <c r="D56" s="16">
        <v>246779414472</v>
      </c>
      <c r="E56" s="17" t="s">
        <v>3</v>
      </c>
      <c r="F56" s="17">
        <v>1537</v>
      </c>
      <c r="G56" s="17" t="s">
        <v>215</v>
      </c>
      <c r="H56" s="17">
        <v>31</v>
      </c>
      <c r="I56" s="17"/>
      <c r="J56" s="17"/>
      <c r="K56" s="17"/>
      <c r="L56" s="17"/>
      <c r="M56" s="17"/>
      <c r="N56" s="17"/>
      <c r="O56" s="17"/>
      <c r="P56" s="18">
        <v>0</v>
      </c>
    </row>
    <row r="57" spans="1:16" x14ac:dyDescent="0.25">
      <c r="A57" s="15"/>
      <c r="B57" s="16"/>
      <c r="C57" s="16" t="s">
        <v>214</v>
      </c>
      <c r="D57" s="16">
        <v>246779414473</v>
      </c>
      <c r="E57" s="17" t="s">
        <v>3</v>
      </c>
      <c r="F57" s="17">
        <v>540</v>
      </c>
      <c r="G57" s="17" t="s">
        <v>215</v>
      </c>
      <c r="H57" s="17">
        <v>11</v>
      </c>
      <c r="I57" s="17"/>
      <c r="J57" s="17"/>
      <c r="K57" s="17"/>
      <c r="L57" s="17"/>
      <c r="M57" s="17"/>
      <c r="N57" s="17"/>
      <c r="O57" s="17"/>
      <c r="P57" s="18">
        <v>0</v>
      </c>
    </row>
    <row r="58" spans="1:16" x14ac:dyDescent="0.25">
      <c r="A58" s="15"/>
      <c r="B58" s="16"/>
      <c r="C58" s="16" t="s">
        <v>214</v>
      </c>
      <c r="D58" s="16">
        <v>246779414474</v>
      </c>
      <c r="E58" s="17" t="s">
        <v>3</v>
      </c>
      <c r="F58" s="17">
        <v>5074</v>
      </c>
      <c r="G58" s="17" t="s">
        <v>215</v>
      </c>
      <c r="H58" s="17">
        <v>104</v>
      </c>
      <c r="I58" s="17"/>
      <c r="J58" s="17"/>
      <c r="K58" s="17"/>
      <c r="L58" s="17"/>
      <c r="M58" s="17"/>
      <c r="N58" s="17"/>
      <c r="O58" s="17"/>
      <c r="P58" s="18">
        <v>0</v>
      </c>
    </row>
    <row r="59" spans="1:16" x14ac:dyDescent="0.25">
      <c r="A59" s="15"/>
      <c r="B59" s="16"/>
      <c r="C59" s="16" t="s">
        <v>214</v>
      </c>
      <c r="D59" s="16">
        <v>246779414610</v>
      </c>
      <c r="E59" s="17" t="s">
        <v>3</v>
      </c>
      <c r="F59" s="17">
        <v>592</v>
      </c>
      <c r="G59" s="17" t="s">
        <v>215</v>
      </c>
      <c r="H59" s="17">
        <v>12</v>
      </c>
      <c r="I59" s="17"/>
      <c r="J59" s="17"/>
      <c r="K59" s="17"/>
      <c r="L59" s="17"/>
      <c r="M59" s="17"/>
      <c r="N59" s="17"/>
      <c r="O59" s="17"/>
      <c r="P59" s="18">
        <v>0</v>
      </c>
    </row>
    <row r="60" spans="1:16" x14ac:dyDescent="0.25">
      <c r="A60" s="15"/>
      <c r="B60" s="16"/>
      <c r="C60" s="16" t="s">
        <v>214</v>
      </c>
      <c r="D60" s="16">
        <v>246779414688</v>
      </c>
      <c r="E60" s="17" t="s">
        <v>3</v>
      </c>
      <c r="F60" s="17">
        <v>837</v>
      </c>
      <c r="G60" s="17" t="s">
        <v>215</v>
      </c>
      <c r="H60" s="17">
        <v>17</v>
      </c>
      <c r="I60" s="17"/>
      <c r="J60" s="17"/>
      <c r="K60" s="17"/>
      <c r="L60" s="17"/>
      <c r="M60" s="17"/>
      <c r="N60" s="17"/>
      <c r="O60" s="17"/>
      <c r="P60" s="18">
        <v>0</v>
      </c>
    </row>
    <row r="61" spans="1:16" x14ac:dyDescent="0.25">
      <c r="A61" s="15"/>
      <c r="B61" s="16"/>
      <c r="C61" s="16" t="s">
        <v>214</v>
      </c>
      <c r="D61" s="16">
        <v>246779414689</v>
      </c>
      <c r="E61" s="17" t="s">
        <v>3</v>
      </c>
      <c r="F61" s="17">
        <v>4292</v>
      </c>
      <c r="G61" s="17" t="s">
        <v>215</v>
      </c>
      <c r="H61" s="17">
        <v>88</v>
      </c>
      <c r="I61" s="17"/>
      <c r="J61" s="17"/>
      <c r="K61" s="17"/>
      <c r="L61" s="17"/>
      <c r="M61" s="17"/>
      <c r="N61" s="17"/>
      <c r="O61" s="17"/>
      <c r="P61" s="18">
        <v>0</v>
      </c>
    </row>
    <row r="62" spans="1:16" x14ac:dyDescent="0.25">
      <c r="A62" s="15"/>
      <c r="B62" s="16"/>
      <c r="C62" s="16" t="s">
        <v>214</v>
      </c>
      <c r="D62" s="16">
        <v>246779414690</v>
      </c>
      <c r="E62" s="17" t="s">
        <v>3</v>
      </c>
      <c r="F62" s="17">
        <v>5074</v>
      </c>
      <c r="G62" s="17" t="s">
        <v>215</v>
      </c>
      <c r="H62" s="17">
        <v>104</v>
      </c>
      <c r="I62" s="17"/>
      <c r="J62" s="17"/>
      <c r="K62" s="17"/>
      <c r="L62" s="17"/>
      <c r="M62" s="17"/>
      <c r="N62" s="17"/>
      <c r="O62" s="17"/>
      <c r="P62" s="18">
        <v>0</v>
      </c>
    </row>
    <row r="63" spans="1:16" x14ac:dyDescent="0.25">
      <c r="A63" s="15"/>
      <c r="B63" s="16"/>
      <c r="C63" s="16" t="s">
        <v>214</v>
      </c>
      <c r="D63" s="16">
        <v>246779414740</v>
      </c>
      <c r="E63" s="17" t="s">
        <v>3</v>
      </c>
      <c r="F63" s="17">
        <v>9403</v>
      </c>
      <c r="G63" s="17" t="s">
        <v>215</v>
      </c>
      <c r="H63" s="17">
        <v>192</v>
      </c>
      <c r="I63" s="17"/>
      <c r="J63" s="17"/>
      <c r="K63" s="17"/>
      <c r="L63" s="17"/>
      <c r="M63" s="17"/>
      <c r="N63" s="17"/>
      <c r="O63" s="17"/>
      <c r="P63" s="18">
        <v>0</v>
      </c>
    </row>
    <row r="64" spans="1:16" x14ac:dyDescent="0.25">
      <c r="A64" s="15"/>
      <c r="B64" s="16"/>
      <c r="C64" s="16" t="s">
        <v>214</v>
      </c>
      <c r="D64" s="16">
        <v>246779414741</v>
      </c>
      <c r="E64" s="17" t="s">
        <v>3</v>
      </c>
      <c r="F64" s="17">
        <v>167</v>
      </c>
      <c r="G64" s="17" t="s">
        <v>215</v>
      </c>
      <c r="H64" s="17">
        <v>3</v>
      </c>
      <c r="I64" s="17"/>
      <c r="J64" s="17"/>
      <c r="K64" s="17"/>
      <c r="L64" s="17"/>
      <c r="M64" s="17"/>
      <c r="N64" s="17"/>
      <c r="O64" s="17"/>
      <c r="P64" s="18">
        <v>0</v>
      </c>
    </row>
    <row r="65" spans="1:16" x14ac:dyDescent="0.25">
      <c r="A65" s="15"/>
      <c r="B65" s="16"/>
      <c r="C65" s="16" t="s">
        <v>214</v>
      </c>
      <c r="D65" s="16">
        <v>246779414895</v>
      </c>
      <c r="E65" s="17" t="s">
        <v>3</v>
      </c>
      <c r="F65" s="17">
        <v>5074</v>
      </c>
      <c r="G65" s="17" t="s">
        <v>215</v>
      </c>
      <c r="H65" s="17">
        <v>104</v>
      </c>
      <c r="I65" s="17"/>
      <c r="J65" s="17"/>
      <c r="K65" s="17"/>
      <c r="L65" s="17"/>
      <c r="M65" s="17"/>
      <c r="N65" s="17"/>
      <c r="O65" s="17"/>
      <c r="P65" s="18">
        <v>0</v>
      </c>
    </row>
    <row r="66" spans="1:16" x14ac:dyDescent="0.25">
      <c r="A66" s="15"/>
      <c r="B66" s="16"/>
      <c r="C66" s="16" t="s">
        <v>214</v>
      </c>
      <c r="D66" s="16">
        <v>246779414896</v>
      </c>
      <c r="E66" s="17" t="s">
        <v>3</v>
      </c>
      <c r="F66" s="17">
        <v>3637</v>
      </c>
      <c r="G66" s="17" t="s">
        <v>215</v>
      </c>
      <c r="H66" s="17">
        <v>74</v>
      </c>
      <c r="I66" s="17"/>
      <c r="J66" s="17"/>
      <c r="K66" s="17"/>
      <c r="L66" s="17"/>
      <c r="M66" s="17"/>
      <c r="N66" s="17"/>
      <c r="O66" s="17"/>
      <c r="P66" s="18">
        <v>0</v>
      </c>
    </row>
    <row r="67" spans="1:16" x14ac:dyDescent="0.25">
      <c r="A67" s="15"/>
      <c r="B67" s="16"/>
      <c r="C67" s="16" t="s">
        <v>214</v>
      </c>
      <c r="D67" s="16">
        <v>246779414897</v>
      </c>
      <c r="E67" s="17" t="s">
        <v>3</v>
      </c>
      <c r="F67" s="17">
        <v>4000</v>
      </c>
      <c r="G67" s="17" t="s">
        <v>215</v>
      </c>
      <c r="H67" s="17">
        <v>82</v>
      </c>
      <c r="I67" s="17"/>
      <c r="J67" s="17"/>
      <c r="K67" s="17"/>
      <c r="L67" s="17"/>
      <c r="M67" s="17"/>
      <c r="N67" s="17"/>
      <c r="O67" s="17"/>
      <c r="P67" s="18">
        <v>0</v>
      </c>
    </row>
    <row r="68" spans="1:16" x14ac:dyDescent="0.25">
      <c r="A68" s="15"/>
      <c r="B68" s="16"/>
      <c r="C68" s="16" t="s">
        <v>214</v>
      </c>
      <c r="D68" s="16">
        <v>246779414898</v>
      </c>
      <c r="E68" s="17" t="s">
        <v>3</v>
      </c>
      <c r="F68" s="17">
        <v>8001</v>
      </c>
      <c r="G68" s="17" t="s">
        <v>215</v>
      </c>
      <c r="H68" s="17">
        <v>163</v>
      </c>
      <c r="I68" s="17"/>
      <c r="J68" s="17"/>
      <c r="K68" s="17"/>
      <c r="L68" s="17"/>
      <c r="M68" s="17"/>
      <c r="N68" s="17"/>
      <c r="O68" s="17"/>
      <c r="P68" s="18">
        <v>0</v>
      </c>
    </row>
    <row r="69" spans="1:16" x14ac:dyDescent="0.25">
      <c r="A69" s="15"/>
      <c r="B69" s="16"/>
      <c r="C69" s="16" t="s">
        <v>214</v>
      </c>
      <c r="D69" s="16">
        <v>246779414899</v>
      </c>
      <c r="E69" s="17" t="s">
        <v>3</v>
      </c>
      <c r="F69" s="17">
        <v>4384</v>
      </c>
      <c r="G69" s="17" t="s">
        <v>215</v>
      </c>
      <c r="H69" s="17">
        <v>89</v>
      </c>
      <c r="I69" s="17"/>
      <c r="J69" s="17"/>
      <c r="K69" s="17"/>
      <c r="L69" s="17"/>
      <c r="M69" s="17"/>
      <c r="N69" s="17"/>
      <c r="O69" s="17"/>
      <c r="P69" s="18">
        <v>0</v>
      </c>
    </row>
    <row r="70" spans="1:16" x14ac:dyDescent="0.25">
      <c r="A70" s="15"/>
      <c r="B70" s="16"/>
      <c r="C70" s="16" t="s">
        <v>214</v>
      </c>
      <c r="D70" s="16">
        <v>246779414900</v>
      </c>
      <c r="E70" s="17" t="s">
        <v>3</v>
      </c>
      <c r="F70" s="17">
        <v>4364</v>
      </c>
      <c r="G70" s="17" t="s">
        <v>215</v>
      </c>
      <c r="H70" s="17">
        <v>89</v>
      </c>
      <c r="I70" s="17"/>
      <c r="J70" s="17"/>
      <c r="K70" s="17"/>
      <c r="L70" s="17"/>
      <c r="M70" s="17"/>
      <c r="N70" s="17"/>
      <c r="O70" s="17"/>
      <c r="P70" s="18">
        <v>0</v>
      </c>
    </row>
    <row r="71" spans="1:16" x14ac:dyDescent="0.25">
      <c r="A71" s="15"/>
      <c r="B71" s="16"/>
      <c r="C71" s="16" t="s">
        <v>214</v>
      </c>
      <c r="D71" s="16">
        <v>246779414901</v>
      </c>
      <c r="E71" s="17" t="s">
        <v>3</v>
      </c>
      <c r="F71" s="17">
        <v>518</v>
      </c>
      <c r="G71" s="17" t="s">
        <v>215</v>
      </c>
      <c r="H71" s="17">
        <v>11</v>
      </c>
      <c r="I71" s="17"/>
      <c r="J71" s="17"/>
      <c r="K71" s="17"/>
      <c r="L71" s="17"/>
      <c r="M71" s="17"/>
      <c r="N71" s="17"/>
      <c r="O71" s="17"/>
      <c r="P71" s="18">
        <v>0</v>
      </c>
    </row>
    <row r="72" spans="1:16" x14ac:dyDescent="0.25">
      <c r="A72" s="15"/>
      <c r="B72" s="16"/>
      <c r="C72" s="16" t="s">
        <v>214</v>
      </c>
      <c r="D72" s="16">
        <v>246779414902</v>
      </c>
      <c r="E72" s="17" t="s">
        <v>3</v>
      </c>
      <c r="F72" s="17">
        <v>298</v>
      </c>
      <c r="G72" s="17" t="s">
        <v>215</v>
      </c>
      <c r="H72" s="17">
        <v>6</v>
      </c>
      <c r="I72" s="17"/>
      <c r="J72" s="17"/>
      <c r="K72" s="17"/>
      <c r="L72" s="17"/>
      <c r="M72" s="17"/>
      <c r="N72" s="17"/>
      <c r="O72" s="17"/>
      <c r="P72" s="18">
        <v>0</v>
      </c>
    </row>
    <row r="73" spans="1:16" x14ac:dyDescent="0.25">
      <c r="A73" s="15"/>
      <c r="B73" s="16"/>
      <c r="C73" s="16" t="s">
        <v>214</v>
      </c>
      <c r="D73" s="16">
        <v>256779410788</v>
      </c>
      <c r="E73" s="17" t="s">
        <v>3</v>
      </c>
      <c r="F73" s="17">
        <v>106977</v>
      </c>
      <c r="G73" s="17" t="s">
        <v>215</v>
      </c>
      <c r="H73" s="17">
        <v>11886</v>
      </c>
      <c r="I73" s="17"/>
      <c r="J73" s="17"/>
      <c r="K73" s="17"/>
      <c r="L73" s="17"/>
      <c r="M73" s="17"/>
      <c r="N73" s="17"/>
      <c r="O73" s="17"/>
      <c r="P73" s="18">
        <v>0</v>
      </c>
    </row>
    <row r="74" spans="1:16" x14ac:dyDescent="0.25">
      <c r="A74" s="15"/>
      <c r="B74" s="16"/>
      <c r="C74" s="16" t="s">
        <v>214</v>
      </c>
      <c r="D74" s="16">
        <v>256779410804</v>
      </c>
      <c r="E74" s="17" t="s">
        <v>3</v>
      </c>
      <c r="F74" s="17">
        <v>198877</v>
      </c>
      <c r="G74" s="17" t="s">
        <v>215</v>
      </c>
      <c r="H74" s="17">
        <v>22098</v>
      </c>
      <c r="I74" s="17"/>
      <c r="J74" s="17"/>
      <c r="K74" s="17"/>
      <c r="L74" s="17"/>
      <c r="M74" s="17"/>
      <c r="N74" s="17"/>
      <c r="O74" s="17"/>
      <c r="P74" s="18">
        <v>0</v>
      </c>
    </row>
    <row r="75" spans="1:16" x14ac:dyDescent="0.25">
      <c r="A75" s="15"/>
      <c r="B75" s="16"/>
      <c r="C75" s="16" t="s">
        <v>214</v>
      </c>
      <c r="D75" s="16">
        <v>256779412111</v>
      </c>
      <c r="E75" s="17" t="s">
        <v>3</v>
      </c>
      <c r="F75" s="17">
        <v>83452</v>
      </c>
      <c r="G75" s="17" t="s">
        <v>215</v>
      </c>
      <c r="H75" s="17">
        <v>9272</v>
      </c>
      <c r="I75" s="17"/>
      <c r="J75" s="17"/>
      <c r="K75" s="17"/>
      <c r="L75" s="17"/>
      <c r="M75" s="17"/>
      <c r="N75" s="17"/>
      <c r="O75" s="17"/>
      <c r="P75" s="18">
        <v>0</v>
      </c>
    </row>
    <row r="76" spans="1:16" x14ac:dyDescent="0.25">
      <c r="A76" s="15"/>
      <c r="B76" s="16"/>
      <c r="C76" s="16" t="s">
        <v>214</v>
      </c>
      <c r="D76" s="16">
        <v>256779412160</v>
      </c>
      <c r="E76" s="17" t="s">
        <v>3</v>
      </c>
      <c r="F76" s="17">
        <v>14552</v>
      </c>
      <c r="G76" s="17" t="s">
        <v>215</v>
      </c>
      <c r="H76" s="17">
        <v>1617</v>
      </c>
      <c r="I76" s="17"/>
      <c r="J76" s="17"/>
      <c r="K76" s="17"/>
      <c r="L76" s="17"/>
      <c r="M76" s="17"/>
      <c r="N76" s="17"/>
      <c r="O76" s="17"/>
      <c r="P76" s="18">
        <v>0</v>
      </c>
    </row>
    <row r="77" spans="1:16" x14ac:dyDescent="0.25">
      <c r="A77" s="15"/>
      <c r="B77" s="16"/>
      <c r="C77" s="16" t="s">
        <v>214</v>
      </c>
      <c r="D77" s="16">
        <v>256779412779</v>
      </c>
      <c r="E77" s="17" t="s">
        <v>3</v>
      </c>
      <c r="F77" s="17">
        <v>140371</v>
      </c>
      <c r="G77" s="17" t="s">
        <v>215</v>
      </c>
      <c r="H77" s="17">
        <v>15597</v>
      </c>
      <c r="I77" s="17"/>
      <c r="J77" s="17"/>
      <c r="K77" s="17"/>
      <c r="L77" s="17"/>
      <c r="M77" s="17"/>
      <c r="N77" s="17"/>
      <c r="O77" s="17"/>
      <c r="P77" s="18">
        <v>0</v>
      </c>
    </row>
    <row r="78" spans="1:16" x14ac:dyDescent="0.25">
      <c r="A78" s="15"/>
      <c r="B78" s="16"/>
      <c r="C78" s="16" t="s">
        <v>214</v>
      </c>
      <c r="D78" s="16">
        <v>256779410088</v>
      </c>
      <c r="E78" s="17" t="s">
        <v>3</v>
      </c>
      <c r="F78" s="17">
        <v>441</v>
      </c>
      <c r="G78" s="17" t="s">
        <v>215</v>
      </c>
      <c r="H78" s="17">
        <v>9</v>
      </c>
      <c r="I78" s="17"/>
      <c r="J78" s="17"/>
      <c r="K78" s="17"/>
      <c r="L78" s="17"/>
      <c r="M78" s="17"/>
      <c r="N78" s="17"/>
      <c r="O78" s="17"/>
      <c r="P78" s="18">
        <v>0</v>
      </c>
    </row>
    <row r="79" spans="1:16" x14ac:dyDescent="0.25">
      <c r="A79" s="15"/>
      <c r="B79" s="16"/>
      <c r="C79" s="16" t="s">
        <v>214</v>
      </c>
      <c r="D79" s="16">
        <v>256779410089</v>
      </c>
      <c r="E79" s="17" t="s">
        <v>3</v>
      </c>
      <c r="F79" s="17">
        <v>2518</v>
      </c>
      <c r="G79" s="17" t="s">
        <v>215</v>
      </c>
      <c r="H79" s="17">
        <v>51</v>
      </c>
      <c r="I79" s="17"/>
      <c r="J79" s="17"/>
      <c r="K79" s="17"/>
      <c r="L79" s="17"/>
      <c r="M79" s="17"/>
      <c r="N79" s="17"/>
      <c r="O79" s="17"/>
      <c r="P79" s="18">
        <v>0</v>
      </c>
    </row>
    <row r="80" spans="1:16" x14ac:dyDescent="0.25">
      <c r="A80" s="15"/>
      <c r="B80" s="16"/>
      <c r="C80" s="16" t="s">
        <v>214</v>
      </c>
      <c r="D80" s="16">
        <v>256779410139</v>
      </c>
      <c r="E80" s="17" t="s">
        <v>3</v>
      </c>
      <c r="F80" s="17">
        <v>294</v>
      </c>
      <c r="G80" s="17" t="s">
        <v>215</v>
      </c>
      <c r="H80" s="17">
        <v>6</v>
      </c>
      <c r="I80" s="17"/>
      <c r="J80" s="17"/>
      <c r="K80" s="17"/>
      <c r="L80" s="17"/>
      <c r="M80" s="17"/>
      <c r="N80" s="17"/>
      <c r="O80" s="17"/>
      <c r="P80" s="18">
        <v>0</v>
      </c>
    </row>
    <row r="81" spans="1:16" x14ac:dyDescent="0.25">
      <c r="A81" s="15"/>
      <c r="B81" s="16"/>
      <c r="C81" s="16" t="s">
        <v>214</v>
      </c>
      <c r="D81" s="16">
        <v>256779410140</v>
      </c>
      <c r="E81" s="17" t="s">
        <v>3</v>
      </c>
      <c r="F81" s="17">
        <v>84</v>
      </c>
      <c r="G81" s="17" t="s">
        <v>215</v>
      </c>
      <c r="H81" s="17">
        <v>2</v>
      </c>
      <c r="I81" s="17"/>
      <c r="J81" s="17"/>
      <c r="K81" s="17"/>
      <c r="L81" s="17"/>
      <c r="M81" s="17"/>
      <c r="N81" s="17"/>
      <c r="O81" s="17"/>
      <c r="P81" s="18">
        <v>0</v>
      </c>
    </row>
    <row r="82" spans="1:16" x14ac:dyDescent="0.25">
      <c r="A82" s="15"/>
      <c r="B82" s="16"/>
      <c r="C82" s="16" t="s">
        <v>214</v>
      </c>
      <c r="D82" s="16">
        <v>256779411167</v>
      </c>
      <c r="E82" s="17" t="s">
        <v>3</v>
      </c>
      <c r="F82" s="17">
        <v>5779</v>
      </c>
      <c r="G82" s="17" t="s">
        <v>215</v>
      </c>
      <c r="H82" s="17">
        <v>118</v>
      </c>
      <c r="I82" s="17"/>
      <c r="J82" s="17"/>
      <c r="K82" s="17"/>
      <c r="L82" s="17"/>
      <c r="M82" s="17"/>
      <c r="N82" s="17"/>
      <c r="O82" s="17"/>
      <c r="P82" s="18">
        <v>0</v>
      </c>
    </row>
    <row r="83" spans="1:16" x14ac:dyDescent="0.25">
      <c r="A83" s="15"/>
      <c r="B83" s="16"/>
      <c r="C83" s="16" t="s">
        <v>214</v>
      </c>
      <c r="D83" s="16">
        <v>256779411168</v>
      </c>
      <c r="E83" s="17" t="s">
        <v>3</v>
      </c>
      <c r="F83" s="17">
        <v>5081</v>
      </c>
      <c r="G83" s="17" t="s">
        <v>215</v>
      </c>
      <c r="H83" s="17">
        <v>104</v>
      </c>
      <c r="I83" s="17"/>
      <c r="J83" s="17"/>
      <c r="K83" s="17"/>
      <c r="L83" s="17"/>
      <c r="M83" s="17"/>
      <c r="N83" s="17"/>
      <c r="O83" s="17"/>
      <c r="P83" s="18">
        <v>0</v>
      </c>
    </row>
    <row r="84" spans="1:16" x14ac:dyDescent="0.25">
      <c r="A84" s="15"/>
      <c r="B84" s="16"/>
      <c r="C84" s="16" t="s">
        <v>214</v>
      </c>
      <c r="D84" s="16">
        <v>256779411169</v>
      </c>
      <c r="E84" s="17" t="s">
        <v>3</v>
      </c>
      <c r="F84" s="17">
        <v>4199</v>
      </c>
      <c r="G84" s="17" t="s">
        <v>215</v>
      </c>
      <c r="H84" s="17">
        <v>86</v>
      </c>
      <c r="I84" s="17"/>
      <c r="J84" s="17"/>
      <c r="K84" s="17"/>
      <c r="L84" s="17"/>
      <c r="M84" s="17"/>
      <c r="N84" s="17"/>
      <c r="O84" s="17"/>
      <c r="P84" s="18">
        <v>0</v>
      </c>
    </row>
    <row r="85" spans="1:16" x14ac:dyDescent="0.25">
      <c r="A85" s="15"/>
      <c r="B85" s="16"/>
      <c r="C85" s="16" t="s">
        <v>214</v>
      </c>
      <c r="D85" s="16">
        <v>256779411170</v>
      </c>
      <c r="E85" s="17" t="s">
        <v>3</v>
      </c>
      <c r="F85" s="17">
        <v>10077</v>
      </c>
      <c r="G85" s="17" t="s">
        <v>215</v>
      </c>
      <c r="H85" s="17">
        <v>206</v>
      </c>
      <c r="I85" s="17"/>
      <c r="J85" s="17"/>
      <c r="K85" s="17"/>
      <c r="L85" s="17"/>
      <c r="M85" s="17"/>
      <c r="N85" s="17"/>
      <c r="O85" s="17"/>
      <c r="P85" s="18">
        <v>0</v>
      </c>
    </row>
    <row r="86" spans="1:16" x14ac:dyDescent="0.25">
      <c r="A86" s="15"/>
      <c r="B86" s="16"/>
      <c r="C86" s="16" t="s">
        <v>214</v>
      </c>
      <c r="D86" s="16">
        <v>256779411724</v>
      </c>
      <c r="E86" s="19" t="s">
        <v>3</v>
      </c>
      <c r="F86" s="19">
        <v>52814</v>
      </c>
      <c r="G86" s="19" t="s">
        <v>215</v>
      </c>
      <c r="H86" s="19">
        <v>1078</v>
      </c>
      <c r="I86" s="19"/>
      <c r="J86" s="19"/>
      <c r="K86" s="19"/>
      <c r="L86" s="19"/>
      <c r="M86" s="19"/>
      <c r="N86" s="19"/>
      <c r="O86" s="19"/>
      <c r="P86" s="18">
        <v>0</v>
      </c>
    </row>
    <row r="87" spans="1:16" x14ac:dyDescent="0.25">
      <c r="A87" s="15"/>
      <c r="B87" s="16"/>
      <c r="C87" s="16" t="s">
        <v>214</v>
      </c>
      <c r="D87" s="16">
        <v>256779411813</v>
      </c>
      <c r="E87" s="17" t="s">
        <v>3</v>
      </c>
      <c r="F87" s="17">
        <v>147</v>
      </c>
      <c r="G87" s="17" t="s">
        <v>215</v>
      </c>
      <c r="H87" s="17">
        <v>3</v>
      </c>
      <c r="I87" s="17"/>
      <c r="J87" s="17"/>
      <c r="K87" s="17"/>
      <c r="L87" s="17"/>
      <c r="M87" s="17"/>
      <c r="N87" s="17"/>
      <c r="O87" s="17"/>
      <c r="P87" s="18">
        <v>0</v>
      </c>
    </row>
    <row r="88" spans="1:16" x14ac:dyDescent="0.25">
      <c r="A88" s="15"/>
      <c r="B88" s="16"/>
      <c r="C88" s="16" t="s">
        <v>214</v>
      </c>
      <c r="D88" s="16">
        <v>256779411814</v>
      </c>
      <c r="E88" s="17" t="s">
        <v>3</v>
      </c>
      <c r="F88" s="17">
        <v>84</v>
      </c>
      <c r="G88" s="17" t="s">
        <v>215</v>
      </c>
      <c r="H88" s="17">
        <v>2</v>
      </c>
      <c r="I88" s="17"/>
      <c r="J88" s="17"/>
      <c r="K88" s="17"/>
      <c r="L88" s="17"/>
      <c r="M88" s="17"/>
      <c r="N88" s="17"/>
      <c r="O88" s="17"/>
      <c r="P88" s="18">
        <v>0</v>
      </c>
    </row>
    <row r="89" spans="1:16" x14ac:dyDescent="0.25">
      <c r="A89" s="15"/>
      <c r="B89" s="16"/>
      <c r="C89" s="16" t="s">
        <v>214</v>
      </c>
      <c r="D89" s="16">
        <v>256779411815</v>
      </c>
      <c r="E89" s="17" t="s">
        <v>3</v>
      </c>
      <c r="F89" s="17">
        <v>1259</v>
      </c>
      <c r="G89" s="17" t="s">
        <v>215</v>
      </c>
      <c r="H89" s="17">
        <v>26</v>
      </c>
      <c r="I89" s="17"/>
      <c r="J89" s="17"/>
      <c r="K89" s="17"/>
      <c r="L89" s="17"/>
      <c r="M89" s="17"/>
      <c r="N89" s="17"/>
      <c r="O89" s="17"/>
      <c r="P89" s="18">
        <v>0</v>
      </c>
    </row>
    <row r="90" spans="1:16" x14ac:dyDescent="0.25">
      <c r="A90" s="15"/>
      <c r="B90" s="16"/>
      <c r="C90" s="16" t="s">
        <v>214</v>
      </c>
      <c r="D90" s="16">
        <v>256779411894</v>
      </c>
      <c r="E90" s="17" t="s">
        <v>3</v>
      </c>
      <c r="F90" s="17">
        <v>594</v>
      </c>
      <c r="G90" s="17" t="s">
        <v>215</v>
      </c>
      <c r="H90" s="17">
        <v>12</v>
      </c>
      <c r="I90" s="17"/>
      <c r="J90" s="17"/>
      <c r="K90" s="17"/>
      <c r="L90" s="17"/>
      <c r="M90" s="17"/>
      <c r="N90" s="17"/>
      <c r="O90" s="17"/>
      <c r="P90" s="18">
        <v>0</v>
      </c>
    </row>
    <row r="91" spans="1:16" x14ac:dyDescent="0.25">
      <c r="A91" s="15"/>
      <c r="B91" s="16"/>
      <c r="C91" s="16" t="s">
        <v>214</v>
      </c>
      <c r="D91" s="16">
        <v>256779411895</v>
      </c>
      <c r="E91" s="17" t="s">
        <v>3</v>
      </c>
      <c r="F91" s="17">
        <v>84</v>
      </c>
      <c r="G91" s="17" t="s">
        <v>215</v>
      </c>
      <c r="H91" s="17">
        <v>2</v>
      </c>
      <c r="I91" s="17"/>
      <c r="J91" s="17"/>
      <c r="K91" s="17"/>
      <c r="L91" s="17"/>
      <c r="M91" s="17"/>
      <c r="N91" s="17"/>
      <c r="O91" s="17"/>
      <c r="P91" s="18">
        <v>0</v>
      </c>
    </row>
    <row r="92" spans="1:16" x14ac:dyDescent="0.25">
      <c r="A92" s="15"/>
      <c r="B92" s="16"/>
      <c r="C92" s="16" t="s">
        <v>214</v>
      </c>
      <c r="D92" s="16">
        <v>256779412024</v>
      </c>
      <c r="E92" s="17" t="s">
        <v>3</v>
      </c>
      <c r="F92" s="17">
        <v>41567</v>
      </c>
      <c r="G92" s="17" t="s">
        <v>215</v>
      </c>
      <c r="H92" s="17">
        <v>848</v>
      </c>
      <c r="I92" s="17"/>
      <c r="J92" s="17"/>
      <c r="K92" s="17"/>
      <c r="L92" s="17"/>
      <c r="M92" s="17"/>
      <c r="N92" s="17"/>
      <c r="O92" s="17"/>
      <c r="P92" s="18">
        <v>0</v>
      </c>
    </row>
    <row r="93" spans="1:16" x14ac:dyDescent="0.25">
      <c r="A93" s="15"/>
      <c r="B93" s="16"/>
      <c r="C93" s="16" t="s">
        <v>214</v>
      </c>
      <c r="D93" s="16">
        <v>256779412105</v>
      </c>
      <c r="E93" s="17" t="s">
        <v>3</v>
      </c>
      <c r="F93" s="17">
        <v>1078</v>
      </c>
      <c r="G93" s="17" t="s">
        <v>215</v>
      </c>
      <c r="H93" s="17">
        <v>22</v>
      </c>
      <c r="I93" s="17"/>
      <c r="J93" s="17"/>
      <c r="K93" s="17"/>
      <c r="L93" s="17"/>
      <c r="M93" s="17"/>
      <c r="N93" s="17"/>
      <c r="O93" s="17"/>
      <c r="P93" s="18">
        <v>0</v>
      </c>
    </row>
    <row r="94" spans="1:16" x14ac:dyDescent="0.25">
      <c r="A94" s="15"/>
      <c r="B94" s="16"/>
      <c r="C94" s="16" t="s">
        <v>214</v>
      </c>
      <c r="D94" s="16">
        <v>256779412567</v>
      </c>
      <c r="E94" s="17" t="s">
        <v>3</v>
      </c>
      <c r="F94" s="17">
        <v>1512</v>
      </c>
      <c r="G94" s="17" t="s">
        <v>215</v>
      </c>
      <c r="H94" s="17">
        <v>31</v>
      </c>
      <c r="I94" s="17"/>
      <c r="J94" s="17"/>
      <c r="K94" s="17"/>
      <c r="L94" s="17"/>
      <c r="M94" s="17"/>
      <c r="N94" s="17"/>
      <c r="O94" s="17"/>
      <c r="P94" s="18">
        <v>0</v>
      </c>
    </row>
    <row r="95" spans="1:16" x14ac:dyDescent="0.25">
      <c r="A95" s="15"/>
      <c r="B95" s="16"/>
      <c r="C95" s="16" t="s">
        <v>214</v>
      </c>
      <c r="D95" s="16">
        <v>256779412618</v>
      </c>
      <c r="E95" s="17" t="s">
        <v>3</v>
      </c>
      <c r="F95" s="17">
        <v>3664</v>
      </c>
      <c r="G95" s="17" t="s">
        <v>215</v>
      </c>
      <c r="H95" s="17">
        <v>75</v>
      </c>
      <c r="I95" s="17"/>
      <c r="J95" s="17"/>
      <c r="K95" s="17"/>
      <c r="L95" s="17"/>
      <c r="M95" s="17"/>
      <c r="N95" s="17"/>
      <c r="O95" s="17"/>
      <c r="P95" s="18">
        <v>0</v>
      </c>
    </row>
    <row r="96" spans="1:16" x14ac:dyDescent="0.25">
      <c r="A96" s="15"/>
      <c r="B96" s="16"/>
      <c r="C96" s="16" t="s">
        <v>216</v>
      </c>
      <c r="D96" s="16">
        <v>256779412661</v>
      </c>
      <c r="E96" s="17" t="s">
        <v>3</v>
      </c>
      <c r="F96" s="17">
        <v>515</v>
      </c>
      <c r="G96" s="17" t="s">
        <v>215</v>
      </c>
      <c r="H96" s="17">
        <v>11</v>
      </c>
      <c r="I96" s="17"/>
      <c r="J96" s="17"/>
      <c r="K96" s="17"/>
      <c r="L96" s="17"/>
      <c r="M96" s="17"/>
      <c r="N96" s="17"/>
      <c r="O96" s="17"/>
      <c r="P96" s="18">
        <v>0</v>
      </c>
    </row>
    <row r="97" spans="1:16" x14ac:dyDescent="0.25">
      <c r="A97" s="15"/>
      <c r="B97" s="16"/>
      <c r="C97" s="16" t="s">
        <v>214</v>
      </c>
      <c r="D97" s="16">
        <v>256779412892</v>
      </c>
      <c r="E97" s="17" t="s">
        <v>3</v>
      </c>
      <c r="F97" s="17">
        <v>16117</v>
      </c>
      <c r="G97" s="17" t="s">
        <v>215</v>
      </c>
      <c r="H97" s="17">
        <v>329</v>
      </c>
      <c r="I97" s="17"/>
      <c r="J97" s="17"/>
      <c r="K97" s="17"/>
      <c r="L97" s="17"/>
      <c r="M97" s="17"/>
      <c r="N97" s="17"/>
      <c r="O97" s="17"/>
      <c r="P97" s="18">
        <v>0</v>
      </c>
    </row>
    <row r="98" spans="1:16" x14ac:dyDescent="0.25">
      <c r="A98" s="15"/>
      <c r="B98" s="16"/>
      <c r="C98" s="16" t="s">
        <v>214</v>
      </c>
      <c r="D98" s="16">
        <v>256779413245</v>
      </c>
      <c r="E98" s="17" t="s">
        <v>3</v>
      </c>
      <c r="F98" s="17">
        <v>33169</v>
      </c>
      <c r="G98" s="17" t="s">
        <v>215</v>
      </c>
      <c r="H98" s="17">
        <v>677</v>
      </c>
      <c r="I98" s="17"/>
      <c r="J98" s="17"/>
      <c r="K98" s="17"/>
      <c r="L98" s="17"/>
      <c r="M98" s="17"/>
      <c r="N98" s="17"/>
      <c r="O98" s="17"/>
      <c r="P98" s="18">
        <v>0</v>
      </c>
    </row>
    <row r="99" spans="1:16" x14ac:dyDescent="0.25">
      <c r="A99" s="15"/>
      <c r="B99" s="16"/>
      <c r="C99" s="16" t="s">
        <v>214</v>
      </c>
      <c r="D99" s="16">
        <v>256779413316</v>
      </c>
      <c r="E99" s="19" t="s">
        <v>3</v>
      </c>
      <c r="F99" s="19">
        <v>46008</v>
      </c>
      <c r="G99" s="19" t="s">
        <v>215</v>
      </c>
      <c r="H99" s="19">
        <v>939</v>
      </c>
      <c r="I99" s="19"/>
      <c r="J99" s="19"/>
      <c r="K99" s="19"/>
      <c r="L99" s="19"/>
      <c r="M99" s="19"/>
      <c r="N99" s="19"/>
      <c r="O99" s="19"/>
      <c r="P99" s="18">
        <v>0</v>
      </c>
    </row>
    <row r="100" spans="1:16" x14ac:dyDescent="0.25">
      <c r="A100" s="15"/>
      <c r="B100" s="16"/>
      <c r="C100" s="16" t="s">
        <v>214</v>
      </c>
      <c r="D100" s="16">
        <v>256779413491</v>
      </c>
      <c r="E100" s="17" t="s">
        <v>3</v>
      </c>
      <c r="F100" s="17">
        <v>7478</v>
      </c>
      <c r="G100" s="17" t="s">
        <v>215</v>
      </c>
      <c r="H100" s="17">
        <v>153</v>
      </c>
      <c r="I100" s="17"/>
      <c r="J100" s="17"/>
      <c r="K100" s="17"/>
      <c r="L100" s="17"/>
      <c r="M100" s="17"/>
      <c r="N100" s="17"/>
      <c r="O100" s="17"/>
      <c r="P100" s="18">
        <v>0</v>
      </c>
    </row>
    <row r="101" spans="1:16" x14ac:dyDescent="0.25">
      <c r="A101" s="15"/>
      <c r="B101" s="16"/>
      <c r="C101" s="16" t="s">
        <v>214</v>
      </c>
      <c r="D101" s="16">
        <v>256779413922</v>
      </c>
      <c r="E101" s="17" t="s">
        <v>3</v>
      </c>
      <c r="F101" s="17">
        <v>30905</v>
      </c>
      <c r="G101" s="17" t="s">
        <v>215</v>
      </c>
      <c r="H101" s="17">
        <v>631</v>
      </c>
      <c r="I101" s="17"/>
      <c r="J101" s="17"/>
      <c r="K101" s="17"/>
      <c r="L101" s="17"/>
      <c r="M101" s="17"/>
      <c r="N101" s="17"/>
      <c r="O101" s="17"/>
      <c r="P101" s="18">
        <v>0</v>
      </c>
    </row>
    <row r="102" spans="1:16" x14ac:dyDescent="0.25">
      <c r="A102" s="15"/>
      <c r="B102" s="16"/>
      <c r="C102" s="16" t="s">
        <v>214</v>
      </c>
      <c r="D102" s="16">
        <v>256779413998</v>
      </c>
      <c r="E102" s="17" t="s">
        <v>3</v>
      </c>
      <c r="F102" s="17">
        <v>15936</v>
      </c>
      <c r="G102" s="17" t="s">
        <v>215</v>
      </c>
      <c r="H102" s="17">
        <v>325</v>
      </c>
      <c r="I102" s="17"/>
      <c r="J102" s="17"/>
      <c r="K102" s="17"/>
      <c r="L102" s="17"/>
      <c r="M102" s="17"/>
      <c r="N102" s="17"/>
      <c r="O102" s="17"/>
      <c r="P102" s="18">
        <v>0</v>
      </c>
    </row>
    <row r="103" spans="1:16" x14ac:dyDescent="0.25">
      <c r="A103" s="15"/>
      <c r="B103" s="16"/>
      <c r="C103" s="16" t="s">
        <v>214</v>
      </c>
      <c r="D103" s="16">
        <v>256779414176</v>
      </c>
      <c r="E103" s="17" t="s">
        <v>3</v>
      </c>
      <c r="F103" s="17">
        <v>10834</v>
      </c>
      <c r="G103" s="17" t="s">
        <v>215</v>
      </c>
      <c r="H103" s="17">
        <v>221</v>
      </c>
      <c r="I103" s="17"/>
      <c r="J103" s="17"/>
      <c r="K103" s="17"/>
      <c r="L103" s="17"/>
      <c r="M103" s="17"/>
      <c r="N103" s="17"/>
      <c r="O103" s="17"/>
      <c r="P103" s="18">
        <v>0</v>
      </c>
    </row>
    <row r="104" spans="1:16" x14ac:dyDescent="0.25">
      <c r="A104" s="15"/>
      <c r="B104" s="16"/>
      <c r="C104" s="16" t="s">
        <v>214</v>
      </c>
      <c r="D104" s="16">
        <v>256779414221</v>
      </c>
      <c r="E104" s="17" t="s">
        <v>3</v>
      </c>
      <c r="F104" s="17">
        <v>3872</v>
      </c>
      <c r="G104" s="17" t="s">
        <v>215</v>
      </c>
      <c r="H104" s="17">
        <v>79</v>
      </c>
      <c r="I104" s="17"/>
      <c r="J104" s="17"/>
      <c r="K104" s="17"/>
      <c r="L104" s="17"/>
      <c r="M104" s="17"/>
      <c r="N104" s="17"/>
      <c r="O104" s="17"/>
      <c r="P104" s="18">
        <v>0</v>
      </c>
    </row>
    <row r="105" spans="1:16" x14ac:dyDescent="0.25">
      <c r="A105" s="15"/>
      <c r="B105" s="16"/>
      <c r="C105" s="16" t="s">
        <v>214</v>
      </c>
      <c r="D105" s="16">
        <v>256779414264</v>
      </c>
      <c r="E105" s="17" t="s">
        <v>3</v>
      </c>
      <c r="F105" s="17">
        <v>588</v>
      </c>
      <c r="G105" s="17" t="s">
        <v>215</v>
      </c>
      <c r="H105" s="17">
        <v>12</v>
      </c>
      <c r="I105" s="17"/>
      <c r="J105" s="17"/>
      <c r="K105" s="17"/>
      <c r="L105" s="17"/>
      <c r="M105" s="17"/>
      <c r="N105" s="17"/>
      <c r="O105" s="17"/>
      <c r="P105" s="18">
        <v>0</v>
      </c>
    </row>
    <row r="106" spans="1:16" x14ac:dyDescent="0.25">
      <c r="A106" s="15"/>
      <c r="B106" s="16"/>
      <c r="C106" s="16" t="s">
        <v>214</v>
      </c>
      <c r="D106" s="16">
        <v>256779414320</v>
      </c>
      <c r="E106" s="19" t="s">
        <v>3</v>
      </c>
      <c r="F106" s="19">
        <v>51221</v>
      </c>
      <c r="G106" s="19" t="s">
        <v>215</v>
      </c>
      <c r="H106" s="19">
        <v>1045</v>
      </c>
      <c r="I106" s="19"/>
      <c r="J106" s="19"/>
      <c r="K106" s="19"/>
      <c r="L106" s="19"/>
      <c r="M106" s="19"/>
      <c r="N106" s="19"/>
      <c r="O106" s="19"/>
      <c r="P106" s="18">
        <v>0</v>
      </c>
    </row>
    <row r="107" spans="1:16" x14ac:dyDescent="0.25">
      <c r="A107" s="15"/>
      <c r="B107" s="16"/>
      <c r="C107" s="16" t="s">
        <v>214</v>
      </c>
      <c r="D107" s="16">
        <v>256779414736</v>
      </c>
      <c r="E107" s="19" t="s">
        <v>3</v>
      </c>
      <c r="F107" s="19">
        <v>9282</v>
      </c>
      <c r="G107" s="19" t="s">
        <v>215</v>
      </c>
      <c r="H107" s="19">
        <v>189</v>
      </c>
      <c r="I107" s="19"/>
      <c r="J107" s="19"/>
      <c r="K107" s="19"/>
      <c r="L107" s="19"/>
      <c r="M107" s="19"/>
      <c r="N107" s="19"/>
      <c r="O107" s="19"/>
      <c r="P107" s="18">
        <v>0</v>
      </c>
    </row>
    <row r="108" spans="1:16" x14ac:dyDescent="0.25">
      <c r="A108" s="15"/>
      <c r="B108" s="16"/>
      <c r="C108" s="16" t="s">
        <v>214</v>
      </c>
      <c r="D108" s="16">
        <v>256779414744</v>
      </c>
      <c r="E108" s="17" t="s">
        <v>3</v>
      </c>
      <c r="F108" s="17">
        <v>24284</v>
      </c>
      <c r="G108" s="17" t="s">
        <v>215</v>
      </c>
      <c r="H108" s="17">
        <v>496</v>
      </c>
      <c r="I108" s="17"/>
      <c r="J108" s="17"/>
      <c r="K108" s="17"/>
      <c r="L108" s="17"/>
      <c r="M108" s="17"/>
      <c r="N108" s="17"/>
      <c r="O108" s="17"/>
      <c r="P108" s="18">
        <v>0</v>
      </c>
    </row>
    <row r="109" spans="1:16" x14ac:dyDescent="0.25">
      <c r="A109" s="15"/>
      <c r="B109" s="16"/>
      <c r="C109" s="16" t="s">
        <v>214</v>
      </c>
      <c r="D109" s="16">
        <v>256779413115</v>
      </c>
      <c r="E109" s="17" t="s">
        <v>3</v>
      </c>
      <c r="F109" s="17">
        <v>139294</v>
      </c>
      <c r="G109" s="17" t="s">
        <v>215</v>
      </c>
      <c r="H109" s="17">
        <v>15477</v>
      </c>
      <c r="I109" s="17"/>
      <c r="J109" s="17"/>
      <c r="K109" s="17"/>
      <c r="L109" s="17"/>
      <c r="M109" s="17"/>
      <c r="N109" s="17"/>
      <c r="O109" s="17"/>
      <c r="P109" s="18">
        <v>0</v>
      </c>
    </row>
    <row r="110" spans="1:16" x14ac:dyDescent="0.25">
      <c r="A110" s="15"/>
      <c r="B110" s="16"/>
      <c r="C110" s="16" t="s">
        <v>214</v>
      </c>
      <c r="D110" s="16">
        <v>256779414232</v>
      </c>
      <c r="E110" s="17" t="s">
        <v>3</v>
      </c>
      <c r="F110" s="17">
        <v>95439</v>
      </c>
      <c r="G110" s="17" t="s">
        <v>215</v>
      </c>
      <c r="H110" s="17">
        <v>10604</v>
      </c>
      <c r="I110" s="17"/>
      <c r="J110" s="17"/>
      <c r="K110" s="17"/>
      <c r="L110" s="17"/>
      <c r="M110" s="17"/>
      <c r="N110" s="17"/>
      <c r="O110" s="17"/>
      <c r="P110" s="18">
        <v>0</v>
      </c>
    </row>
    <row r="111" spans="1:16" x14ac:dyDescent="0.25">
      <c r="A111" s="15"/>
      <c r="B111" s="16"/>
      <c r="C111" s="16" t="s">
        <v>214</v>
      </c>
      <c r="D111" s="16">
        <v>256779414374</v>
      </c>
      <c r="E111" s="17" t="s">
        <v>3</v>
      </c>
      <c r="F111" s="17">
        <v>138495</v>
      </c>
      <c r="G111" s="17" t="s">
        <v>215</v>
      </c>
      <c r="H111" s="17">
        <v>15388</v>
      </c>
      <c r="I111" s="17"/>
      <c r="J111" s="17"/>
      <c r="K111" s="17"/>
      <c r="L111" s="17"/>
      <c r="M111" s="17"/>
      <c r="N111" s="17"/>
      <c r="O111" s="17"/>
      <c r="P111" s="18">
        <v>0</v>
      </c>
    </row>
    <row r="112" spans="1:16" x14ac:dyDescent="0.25">
      <c r="A112" s="15"/>
      <c r="B112" s="16"/>
      <c r="C112" s="16" t="s">
        <v>214</v>
      </c>
      <c r="D112" s="16">
        <v>256779413891</v>
      </c>
      <c r="E112" s="17" t="s">
        <v>3</v>
      </c>
      <c r="F112" s="17">
        <v>116217</v>
      </c>
      <c r="G112" s="17" t="s">
        <v>215</v>
      </c>
      <c r="H112" s="17">
        <v>12913</v>
      </c>
      <c r="I112" s="17"/>
      <c r="J112" s="17"/>
      <c r="K112" s="17"/>
      <c r="L112" s="17"/>
      <c r="M112" s="17"/>
      <c r="N112" s="17"/>
      <c r="O112" s="17"/>
      <c r="P112" s="18">
        <v>0</v>
      </c>
    </row>
    <row r="113" spans="1:16" x14ac:dyDescent="0.25">
      <c r="A113" s="15"/>
      <c r="B113" s="16"/>
      <c r="C113" s="16" t="s">
        <v>214</v>
      </c>
      <c r="D113" s="16">
        <v>256779415188</v>
      </c>
      <c r="E113" s="17" t="s">
        <v>3</v>
      </c>
      <c r="F113" s="17">
        <v>117740</v>
      </c>
      <c r="G113" s="17" t="s">
        <v>215</v>
      </c>
      <c r="H113" s="17">
        <v>13082</v>
      </c>
      <c r="I113" s="17"/>
      <c r="J113" s="17"/>
      <c r="K113" s="17"/>
      <c r="L113" s="17"/>
      <c r="M113" s="17"/>
      <c r="N113" s="17"/>
      <c r="O113" s="17"/>
      <c r="P113" s="18">
        <v>0</v>
      </c>
    </row>
    <row r="114" spans="1:16" x14ac:dyDescent="0.25">
      <c r="A114" s="15"/>
      <c r="B114" s="16"/>
      <c r="C114" s="16" t="s">
        <v>214</v>
      </c>
      <c r="D114" s="16">
        <v>256779416081</v>
      </c>
      <c r="E114" s="17" t="s">
        <v>3</v>
      </c>
      <c r="F114" s="17">
        <v>98139</v>
      </c>
      <c r="G114" s="17" t="s">
        <v>215</v>
      </c>
      <c r="H114" s="17">
        <v>10904</v>
      </c>
      <c r="I114" s="17"/>
      <c r="J114" s="17"/>
      <c r="K114" s="17"/>
      <c r="L114" s="17"/>
      <c r="M114" s="17"/>
      <c r="N114" s="17"/>
      <c r="O114" s="17"/>
      <c r="P114" s="18">
        <v>0</v>
      </c>
    </row>
    <row r="115" spans="1:16" x14ac:dyDescent="0.25">
      <c r="A115" s="15"/>
      <c r="B115" s="16"/>
      <c r="C115" s="16" t="s">
        <v>214</v>
      </c>
      <c r="D115" s="16">
        <v>256779414932</v>
      </c>
      <c r="E115" s="17" t="s">
        <v>3</v>
      </c>
      <c r="F115" s="17">
        <v>139321</v>
      </c>
      <c r="G115" s="17" t="s">
        <v>215</v>
      </c>
      <c r="H115" s="17">
        <v>15480</v>
      </c>
      <c r="I115" s="17"/>
      <c r="J115" s="17"/>
      <c r="K115" s="17"/>
      <c r="L115" s="17"/>
      <c r="M115" s="17"/>
      <c r="N115" s="17"/>
      <c r="O115" s="17"/>
      <c r="P115" s="18">
        <v>0</v>
      </c>
    </row>
    <row r="116" spans="1:16" x14ac:dyDescent="0.25">
      <c r="A116" s="15"/>
      <c r="B116" s="16"/>
      <c r="C116" s="16" t="s">
        <v>214</v>
      </c>
      <c r="D116" s="16">
        <v>256779416043</v>
      </c>
      <c r="E116" s="17" t="s">
        <v>3</v>
      </c>
      <c r="F116" s="17">
        <v>139369</v>
      </c>
      <c r="G116" s="17" t="s">
        <v>215</v>
      </c>
      <c r="H116" s="17">
        <v>15485</v>
      </c>
      <c r="I116" s="17"/>
      <c r="J116" s="17"/>
      <c r="K116" s="17"/>
      <c r="L116" s="17"/>
      <c r="M116" s="17"/>
      <c r="N116" s="17"/>
      <c r="O116" s="17"/>
      <c r="P116" s="18">
        <v>0</v>
      </c>
    </row>
    <row r="117" spans="1:16" x14ac:dyDescent="0.25">
      <c r="A117" s="15"/>
      <c r="B117" s="16"/>
      <c r="C117" s="16" t="s">
        <v>214</v>
      </c>
      <c r="D117" s="16">
        <v>256779415968</v>
      </c>
      <c r="E117" s="17" t="s">
        <v>3</v>
      </c>
      <c r="F117" s="17">
        <v>35991</v>
      </c>
      <c r="G117" s="17" t="s">
        <v>215</v>
      </c>
      <c r="H117" s="17">
        <v>3999</v>
      </c>
      <c r="I117" s="17"/>
      <c r="J117" s="17"/>
      <c r="K117" s="17"/>
      <c r="L117" s="17"/>
      <c r="M117" s="17"/>
      <c r="N117" s="17"/>
      <c r="O117" s="17"/>
      <c r="P117" s="18">
        <v>0</v>
      </c>
    </row>
    <row r="118" spans="1:16" x14ac:dyDescent="0.25">
      <c r="A118" s="15"/>
      <c r="B118" s="16"/>
      <c r="C118" s="16" t="s">
        <v>214</v>
      </c>
      <c r="D118" s="16">
        <v>256779414834</v>
      </c>
      <c r="E118" s="17" t="s">
        <v>3</v>
      </c>
      <c r="F118" s="17">
        <v>1288</v>
      </c>
      <c r="G118" s="17" t="s">
        <v>215</v>
      </c>
      <c r="H118" s="17">
        <v>26</v>
      </c>
      <c r="I118" s="17"/>
      <c r="J118" s="17"/>
      <c r="K118" s="17"/>
      <c r="L118" s="17"/>
      <c r="M118" s="17"/>
      <c r="N118" s="17"/>
      <c r="O118" s="17"/>
      <c r="P118" s="18">
        <v>0</v>
      </c>
    </row>
    <row r="119" spans="1:16" x14ac:dyDescent="0.25">
      <c r="A119" s="15"/>
      <c r="B119" s="16"/>
      <c r="C119" s="16" t="s">
        <v>214</v>
      </c>
      <c r="D119" s="16">
        <v>256779414769</v>
      </c>
      <c r="E119" s="17" t="s">
        <v>3</v>
      </c>
      <c r="F119" s="17">
        <v>5629</v>
      </c>
      <c r="G119" s="17" t="s">
        <v>215</v>
      </c>
      <c r="H119" s="17">
        <v>115</v>
      </c>
      <c r="I119" s="17"/>
      <c r="J119" s="17"/>
      <c r="K119" s="17"/>
      <c r="L119" s="17"/>
      <c r="M119" s="17"/>
      <c r="N119" s="17"/>
      <c r="O119" s="17"/>
      <c r="P119" s="18">
        <v>0</v>
      </c>
    </row>
    <row r="120" spans="1:16" x14ac:dyDescent="0.25">
      <c r="A120" s="15"/>
      <c r="B120" s="16"/>
      <c r="C120" s="16" t="s">
        <v>214</v>
      </c>
      <c r="D120" s="16">
        <v>256779414803</v>
      </c>
      <c r="E120" s="19" t="s">
        <v>3</v>
      </c>
      <c r="F120" s="19">
        <v>26854</v>
      </c>
      <c r="G120" s="19" t="s">
        <v>215</v>
      </c>
      <c r="H120" s="19">
        <v>548</v>
      </c>
      <c r="I120" s="19"/>
      <c r="J120" s="19"/>
      <c r="K120" s="19"/>
      <c r="L120" s="19"/>
      <c r="M120" s="19"/>
      <c r="N120" s="19"/>
      <c r="O120" s="19"/>
      <c r="P120" s="18">
        <v>0</v>
      </c>
    </row>
    <row r="121" spans="1:16" x14ac:dyDescent="0.25">
      <c r="A121" s="15"/>
      <c r="B121" s="16"/>
      <c r="C121" s="16" t="s">
        <v>214</v>
      </c>
      <c r="D121" s="16">
        <v>256779414881</v>
      </c>
      <c r="E121" s="17" t="s">
        <v>3</v>
      </c>
      <c r="F121" s="17">
        <v>4401</v>
      </c>
      <c r="G121" s="17" t="s">
        <v>215</v>
      </c>
      <c r="H121" s="17">
        <v>90</v>
      </c>
      <c r="I121" s="17"/>
      <c r="J121" s="17"/>
      <c r="K121" s="17"/>
      <c r="L121" s="17"/>
      <c r="M121" s="17"/>
      <c r="N121" s="17"/>
      <c r="O121" s="17"/>
      <c r="P121" s="18">
        <v>0</v>
      </c>
    </row>
    <row r="122" spans="1:16" x14ac:dyDescent="0.25">
      <c r="A122" s="15"/>
      <c r="B122" s="16"/>
      <c r="C122" s="16" t="s">
        <v>214</v>
      </c>
      <c r="D122" s="16">
        <v>256779415265</v>
      </c>
      <c r="E122" s="17" t="s">
        <v>3</v>
      </c>
      <c r="F122" s="17">
        <v>13884</v>
      </c>
      <c r="G122" s="17" t="s">
        <v>215</v>
      </c>
      <c r="H122" s="17">
        <v>283</v>
      </c>
      <c r="I122" s="17"/>
      <c r="J122" s="17"/>
      <c r="K122" s="17"/>
      <c r="L122" s="17"/>
      <c r="M122" s="17"/>
      <c r="N122" s="17"/>
      <c r="O122" s="17"/>
      <c r="P122" s="18">
        <v>0</v>
      </c>
    </row>
    <row r="123" spans="1:16" x14ac:dyDescent="0.25">
      <c r="A123" s="15"/>
      <c r="B123" s="16"/>
      <c r="C123" s="16" t="s">
        <v>214</v>
      </c>
      <c r="D123" s="16">
        <v>256779415020</v>
      </c>
      <c r="E123" s="17" t="s">
        <v>3</v>
      </c>
      <c r="F123" s="17">
        <v>14782</v>
      </c>
      <c r="G123" s="17" t="s">
        <v>215</v>
      </c>
      <c r="H123" s="17">
        <v>302</v>
      </c>
      <c r="I123" s="17"/>
      <c r="J123" s="17"/>
      <c r="K123" s="17"/>
      <c r="L123" s="17"/>
      <c r="M123" s="17"/>
      <c r="N123" s="17"/>
      <c r="O123" s="17"/>
      <c r="P123" s="18">
        <v>0</v>
      </c>
    </row>
    <row r="124" spans="1:16" x14ac:dyDescent="0.25">
      <c r="A124" s="15"/>
      <c r="B124" s="16"/>
      <c r="C124" s="16" t="s">
        <v>214</v>
      </c>
      <c r="D124" s="16">
        <v>256779415434</v>
      </c>
      <c r="E124" s="17" t="s">
        <v>3</v>
      </c>
      <c r="F124" s="17">
        <v>9351</v>
      </c>
      <c r="G124" s="17" t="s">
        <v>215</v>
      </c>
      <c r="H124" s="17">
        <v>191</v>
      </c>
      <c r="I124" s="17"/>
      <c r="J124" s="17"/>
      <c r="K124" s="17"/>
      <c r="L124" s="17"/>
      <c r="M124" s="17"/>
      <c r="N124" s="17"/>
      <c r="O124" s="17"/>
      <c r="P124" s="18">
        <v>0</v>
      </c>
    </row>
    <row r="125" spans="1:16" x14ac:dyDescent="0.25">
      <c r="A125" s="15"/>
      <c r="B125" s="16"/>
      <c r="C125" s="16" t="s">
        <v>214</v>
      </c>
      <c r="D125" s="16">
        <v>256779415702</v>
      </c>
      <c r="E125" s="19" t="s">
        <v>3</v>
      </c>
      <c r="F125" s="19">
        <v>16856</v>
      </c>
      <c r="G125" s="19" t="s">
        <v>215</v>
      </c>
      <c r="H125" s="19">
        <v>344</v>
      </c>
      <c r="I125" s="19"/>
      <c r="J125" s="19"/>
      <c r="K125" s="19"/>
      <c r="L125" s="19"/>
      <c r="M125" s="19"/>
      <c r="N125" s="19"/>
      <c r="O125" s="19"/>
      <c r="P125" s="18">
        <v>0</v>
      </c>
    </row>
    <row r="126" spans="1:16" x14ac:dyDescent="0.25">
      <c r="A126" s="15"/>
      <c r="B126" s="16"/>
      <c r="C126" s="16" t="s">
        <v>214</v>
      </c>
      <c r="D126" s="16">
        <v>256779415445</v>
      </c>
      <c r="E126" s="17" t="s">
        <v>3</v>
      </c>
      <c r="F126" s="17">
        <v>2199</v>
      </c>
      <c r="G126" s="17" t="s">
        <v>215</v>
      </c>
      <c r="H126" s="17">
        <v>45</v>
      </c>
      <c r="I126" s="17"/>
      <c r="J126" s="17"/>
      <c r="K126" s="17"/>
      <c r="L126" s="17"/>
      <c r="M126" s="17"/>
      <c r="N126" s="17"/>
      <c r="O126" s="17"/>
      <c r="P126" s="18">
        <v>0</v>
      </c>
    </row>
    <row r="127" spans="1:16" x14ac:dyDescent="0.25">
      <c r="A127" s="15"/>
      <c r="B127" s="16"/>
      <c r="C127" s="16" t="s">
        <v>214</v>
      </c>
      <c r="D127" s="16">
        <v>256779415458</v>
      </c>
      <c r="E127" s="17" t="s">
        <v>3</v>
      </c>
      <c r="F127" s="17">
        <v>6215</v>
      </c>
      <c r="G127" s="17" t="s">
        <v>215</v>
      </c>
      <c r="H127" s="17">
        <v>127</v>
      </c>
      <c r="I127" s="17"/>
      <c r="J127" s="17"/>
      <c r="K127" s="17"/>
      <c r="L127" s="17"/>
      <c r="M127" s="17"/>
      <c r="N127" s="17"/>
      <c r="O127" s="17"/>
      <c r="P127" s="18">
        <v>0</v>
      </c>
    </row>
    <row r="128" spans="1:16" x14ac:dyDescent="0.25">
      <c r="A128" s="15"/>
      <c r="B128" s="16"/>
      <c r="C128" s="16" t="s">
        <v>214</v>
      </c>
      <c r="D128" s="16">
        <v>256779415486</v>
      </c>
      <c r="E128" s="19" t="s">
        <v>3</v>
      </c>
      <c r="F128" s="19">
        <v>20159</v>
      </c>
      <c r="G128" s="19" t="s">
        <v>215</v>
      </c>
      <c r="H128" s="19">
        <v>411</v>
      </c>
      <c r="I128" s="19"/>
      <c r="J128" s="19"/>
      <c r="K128" s="19"/>
      <c r="L128" s="19"/>
      <c r="M128" s="19"/>
      <c r="N128" s="19"/>
      <c r="O128" s="19"/>
      <c r="P128" s="18">
        <v>0</v>
      </c>
    </row>
    <row r="129" spans="1:16" x14ac:dyDescent="0.25">
      <c r="A129" s="15"/>
      <c r="B129" s="16"/>
      <c r="C129" s="16" t="s">
        <v>214</v>
      </c>
      <c r="D129" s="16">
        <v>256779415526</v>
      </c>
      <c r="E129" s="17" t="s">
        <v>3</v>
      </c>
      <c r="F129" s="17">
        <v>232</v>
      </c>
      <c r="G129" s="17" t="s">
        <v>215</v>
      </c>
      <c r="H129" s="17">
        <v>5</v>
      </c>
      <c r="I129" s="17"/>
      <c r="J129" s="17"/>
      <c r="K129" s="17"/>
      <c r="L129" s="17"/>
      <c r="M129" s="17"/>
      <c r="N129" s="17"/>
      <c r="O129" s="17"/>
      <c r="P129" s="18">
        <v>0</v>
      </c>
    </row>
    <row r="130" spans="1:16" x14ac:dyDescent="0.25">
      <c r="A130" s="15"/>
      <c r="B130" s="16"/>
      <c r="C130" s="16" t="s">
        <v>214</v>
      </c>
      <c r="D130" s="16">
        <v>256779415946</v>
      </c>
      <c r="E130" s="17" t="s">
        <v>3</v>
      </c>
      <c r="F130" s="17">
        <v>2466</v>
      </c>
      <c r="G130" s="17" t="s">
        <v>215</v>
      </c>
      <c r="H130" s="17">
        <v>50</v>
      </c>
      <c r="I130" s="17"/>
      <c r="J130" s="17"/>
      <c r="K130" s="17"/>
      <c r="L130" s="17"/>
      <c r="M130" s="17"/>
      <c r="N130" s="17"/>
      <c r="O130" s="17"/>
      <c r="P130" s="18">
        <v>0</v>
      </c>
    </row>
    <row r="131" spans="1:16" x14ac:dyDescent="0.25">
      <c r="A131" s="15"/>
      <c r="B131" s="16"/>
      <c r="C131" s="16" t="s">
        <v>214</v>
      </c>
      <c r="D131" s="16">
        <v>256779416000</v>
      </c>
      <c r="E131" s="17" t="s">
        <v>3</v>
      </c>
      <c r="F131" s="17">
        <v>12698</v>
      </c>
      <c r="G131" s="17" t="s">
        <v>215</v>
      </c>
      <c r="H131" s="17">
        <v>259</v>
      </c>
      <c r="I131" s="17"/>
      <c r="J131" s="17"/>
      <c r="K131" s="17"/>
      <c r="L131" s="17"/>
      <c r="M131" s="17"/>
      <c r="N131" s="17"/>
      <c r="O131" s="17"/>
      <c r="P131" s="18">
        <v>0</v>
      </c>
    </row>
    <row r="132" spans="1:16" x14ac:dyDescent="0.25">
      <c r="A132" s="15"/>
      <c r="B132" s="16"/>
      <c r="C132" s="16" t="s">
        <v>214</v>
      </c>
      <c r="D132" s="16">
        <v>256779416143</v>
      </c>
      <c r="E132" s="17" t="s">
        <v>3</v>
      </c>
      <c r="F132" s="17">
        <v>2215</v>
      </c>
      <c r="G132" s="17" t="s">
        <v>215</v>
      </c>
      <c r="H132" s="17">
        <v>45</v>
      </c>
      <c r="I132" s="17"/>
      <c r="J132" s="17"/>
      <c r="K132" s="17"/>
      <c r="L132" s="17"/>
      <c r="M132" s="17"/>
      <c r="N132" s="17"/>
      <c r="O132" s="17"/>
      <c r="P132" s="18">
        <v>0</v>
      </c>
    </row>
    <row r="133" spans="1:16" x14ac:dyDescent="0.25">
      <c r="A133" s="15"/>
      <c r="B133" s="16"/>
      <c r="C133" s="16" t="s">
        <v>214</v>
      </c>
      <c r="D133" s="16">
        <v>256779416183</v>
      </c>
      <c r="E133" s="17" t="s">
        <v>3</v>
      </c>
      <c r="F133" s="17">
        <v>8627</v>
      </c>
      <c r="G133" s="17" t="s">
        <v>215</v>
      </c>
      <c r="H133" s="17">
        <v>176</v>
      </c>
      <c r="I133" s="17"/>
      <c r="J133" s="17"/>
      <c r="K133" s="17"/>
      <c r="L133" s="17"/>
      <c r="M133" s="17"/>
      <c r="N133" s="17"/>
      <c r="O133" s="17"/>
      <c r="P133" s="18">
        <v>0</v>
      </c>
    </row>
    <row r="134" spans="1:16" x14ac:dyDescent="0.25">
      <c r="A134" s="15"/>
      <c r="B134" s="16"/>
      <c r="C134" s="16" t="s">
        <v>214</v>
      </c>
      <c r="D134" s="16">
        <v>256779416229</v>
      </c>
      <c r="E134" s="17" t="s">
        <v>3</v>
      </c>
      <c r="F134" s="17">
        <v>1914</v>
      </c>
      <c r="G134" s="17" t="s">
        <v>215</v>
      </c>
      <c r="H134" s="17">
        <v>39</v>
      </c>
      <c r="I134" s="17"/>
      <c r="J134" s="17"/>
      <c r="K134" s="17"/>
      <c r="L134" s="17"/>
      <c r="M134" s="17"/>
      <c r="N134" s="17"/>
      <c r="O134" s="17"/>
      <c r="P134" s="18">
        <v>0</v>
      </c>
    </row>
    <row r="135" spans="1:16" x14ac:dyDescent="0.25">
      <c r="A135" s="15"/>
      <c r="B135" s="16"/>
      <c r="C135" s="16" t="s">
        <v>214</v>
      </c>
      <c r="D135" s="16">
        <v>256779416447</v>
      </c>
      <c r="E135" s="17" t="s">
        <v>3</v>
      </c>
      <c r="F135" s="17">
        <v>30209</v>
      </c>
      <c r="G135" s="17" t="s">
        <v>215</v>
      </c>
      <c r="H135" s="17">
        <v>617</v>
      </c>
      <c r="I135" s="17"/>
      <c r="J135" s="17"/>
      <c r="K135" s="17"/>
      <c r="L135" s="17"/>
      <c r="M135" s="17"/>
      <c r="N135" s="17"/>
      <c r="O135" s="17"/>
      <c r="P135" s="18">
        <v>0</v>
      </c>
    </row>
    <row r="136" spans="1:16" x14ac:dyDescent="0.25">
      <c r="A136" s="15"/>
      <c r="B136" s="16"/>
      <c r="C136" s="16" t="s">
        <v>214</v>
      </c>
      <c r="D136" s="16">
        <v>256779416455</v>
      </c>
      <c r="E136" s="17" t="s">
        <v>3</v>
      </c>
      <c r="F136" s="17">
        <v>1155</v>
      </c>
      <c r="G136" s="17" t="s">
        <v>215</v>
      </c>
      <c r="H136" s="17">
        <v>24</v>
      </c>
      <c r="I136" s="17"/>
      <c r="J136" s="17"/>
      <c r="K136" s="17"/>
      <c r="L136" s="17"/>
      <c r="M136" s="17"/>
      <c r="N136" s="17"/>
      <c r="O136" s="17"/>
      <c r="P136" s="18">
        <v>0</v>
      </c>
    </row>
    <row r="137" spans="1:16" x14ac:dyDescent="0.25">
      <c r="A137" s="15"/>
      <c r="B137" s="16"/>
      <c r="C137" s="16" t="s">
        <v>214</v>
      </c>
      <c r="D137" s="16">
        <v>256779416517</v>
      </c>
      <c r="E137" s="17" t="s">
        <v>3</v>
      </c>
      <c r="F137" s="17">
        <v>4749</v>
      </c>
      <c r="G137" s="17" t="s">
        <v>215</v>
      </c>
      <c r="H137" s="17">
        <v>97</v>
      </c>
      <c r="I137" s="17"/>
      <c r="J137" s="17"/>
      <c r="K137" s="17"/>
      <c r="L137" s="17"/>
      <c r="M137" s="17"/>
      <c r="N137" s="17"/>
      <c r="O137" s="17"/>
      <c r="P137" s="18">
        <v>0</v>
      </c>
    </row>
    <row r="138" spans="1:16" x14ac:dyDescent="0.25">
      <c r="A138" s="15"/>
      <c r="B138" s="16"/>
      <c r="C138" s="16" t="s">
        <v>214</v>
      </c>
      <c r="D138" s="16">
        <v>256779416848</v>
      </c>
      <c r="E138" s="17" t="s">
        <v>3</v>
      </c>
      <c r="F138" s="17">
        <v>1496</v>
      </c>
      <c r="G138" s="17" t="s">
        <v>215</v>
      </c>
      <c r="H138" s="17">
        <v>31</v>
      </c>
      <c r="I138" s="17"/>
      <c r="J138" s="17"/>
      <c r="K138" s="17"/>
      <c r="L138" s="17"/>
      <c r="M138" s="17"/>
      <c r="N138" s="17"/>
      <c r="O138" s="17"/>
      <c r="P138" s="18">
        <v>0</v>
      </c>
    </row>
    <row r="139" spans="1:16" x14ac:dyDescent="0.25">
      <c r="A139" s="15"/>
      <c r="B139" s="16"/>
      <c r="C139" s="16" t="s">
        <v>214</v>
      </c>
      <c r="D139" s="16">
        <v>256779416883</v>
      </c>
      <c r="E139" s="17" t="s">
        <v>3</v>
      </c>
      <c r="F139" s="17">
        <v>4220</v>
      </c>
      <c r="G139" s="17" t="s">
        <v>215</v>
      </c>
      <c r="H139" s="17">
        <v>86</v>
      </c>
      <c r="I139" s="17"/>
      <c r="J139" s="17"/>
      <c r="K139" s="17"/>
      <c r="L139" s="17"/>
      <c r="M139" s="17"/>
      <c r="N139" s="17"/>
      <c r="O139" s="17"/>
      <c r="P139" s="18">
        <v>0</v>
      </c>
    </row>
    <row r="140" spans="1:16" x14ac:dyDescent="0.25">
      <c r="A140" s="15"/>
      <c r="B140" s="16"/>
      <c r="C140" s="16" t="s">
        <v>214</v>
      </c>
      <c r="D140" s="16">
        <v>256779417163</v>
      </c>
      <c r="E140" s="17" t="s">
        <v>3</v>
      </c>
      <c r="F140" s="17">
        <v>6444</v>
      </c>
      <c r="G140" s="17" t="s">
        <v>215</v>
      </c>
      <c r="H140" s="17">
        <v>131</v>
      </c>
      <c r="I140" s="17"/>
      <c r="J140" s="17"/>
      <c r="K140" s="17"/>
      <c r="L140" s="17"/>
      <c r="M140" s="17"/>
      <c r="N140" s="17"/>
      <c r="O140" s="17"/>
      <c r="P140" s="18">
        <v>0</v>
      </c>
    </row>
    <row r="141" spans="1:16" x14ac:dyDescent="0.25">
      <c r="A141" s="15"/>
      <c r="B141" s="16"/>
      <c r="C141" s="16" t="s">
        <v>214</v>
      </c>
      <c r="D141" s="16">
        <v>256779417188</v>
      </c>
      <c r="E141" s="19" t="s">
        <v>3</v>
      </c>
      <c r="F141" s="19">
        <v>12007</v>
      </c>
      <c r="G141" s="19" t="s">
        <v>215</v>
      </c>
      <c r="H141" s="19">
        <v>245</v>
      </c>
      <c r="I141" s="19"/>
      <c r="J141" s="19"/>
      <c r="K141" s="19"/>
      <c r="L141" s="19"/>
      <c r="M141" s="19"/>
      <c r="N141" s="19"/>
      <c r="O141" s="19"/>
      <c r="P141" s="18">
        <v>0</v>
      </c>
    </row>
    <row r="142" spans="1:16" x14ac:dyDescent="0.25">
      <c r="A142" s="15"/>
      <c r="B142" s="16"/>
      <c r="C142" s="16" t="s">
        <v>214</v>
      </c>
      <c r="D142" s="16">
        <v>256779417247</v>
      </c>
      <c r="E142" s="17" t="s">
        <v>3</v>
      </c>
      <c r="F142" s="17">
        <v>9273</v>
      </c>
      <c r="G142" s="17" t="s">
        <v>215</v>
      </c>
      <c r="H142" s="17">
        <v>189</v>
      </c>
      <c r="I142" s="17"/>
      <c r="J142" s="17"/>
      <c r="K142" s="17"/>
      <c r="L142" s="17"/>
      <c r="M142" s="17"/>
      <c r="N142" s="17"/>
      <c r="O142" s="17"/>
      <c r="P142" s="18">
        <v>0</v>
      </c>
    </row>
    <row r="143" spans="1:16" x14ac:dyDescent="0.25">
      <c r="A143" s="15"/>
      <c r="B143" s="16"/>
      <c r="C143" s="16" t="s">
        <v>214</v>
      </c>
      <c r="D143" s="16">
        <v>256779417290</v>
      </c>
      <c r="E143" s="19" t="s">
        <v>3</v>
      </c>
      <c r="F143" s="19">
        <v>49606</v>
      </c>
      <c r="G143" s="19" t="s">
        <v>215</v>
      </c>
      <c r="H143" s="19">
        <v>1012</v>
      </c>
      <c r="I143" s="19"/>
      <c r="J143" s="19"/>
      <c r="K143" s="19"/>
      <c r="L143" s="19"/>
      <c r="M143" s="19"/>
      <c r="N143" s="19"/>
      <c r="O143" s="19"/>
      <c r="P143" s="18">
        <v>0</v>
      </c>
    </row>
    <row r="144" spans="1:16" x14ac:dyDescent="0.25">
      <c r="A144" s="15"/>
      <c r="B144" s="16"/>
      <c r="C144" s="16" t="s">
        <v>214</v>
      </c>
      <c r="D144" s="16">
        <v>256779417330</v>
      </c>
      <c r="E144" s="17" t="s">
        <v>3</v>
      </c>
      <c r="F144" s="17">
        <v>1159</v>
      </c>
      <c r="G144" s="17" t="s">
        <v>215</v>
      </c>
      <c r="H144" s="17">
        <v>24</v>
      </c>
      <c r="I144" s="17"/>
      <c r="J144" s="17"/>
      <c r="K144" s="17"/>
      <c r="L144" s="17"/>
      <c r="M144" s="17"/>
      <c r="N144" s="17"/>
      <c r="O144" s="17"/>
      <c r="P144" s="18">
        <v>0</v>
      </c>
    </row>
    <row r="145" spans="1:16" x14ac:dyDescent="0.25">
      <c r="A145" s="15"/>
      <c r="B145" s="16"/>
      <c r="C145" s="16" t="s">
        <v>214</v>
      </c>
      <c r="D145" s="16">
        <v>256779417444</v>
      </c>
      <c r="E145" s="17" t="s">
        <v>3</v>
      </c>
      <c r="F145" s="17">
        <v>113740</v>
      </c>
      <c r="G145" s="17" t="s">
        <v>215</v>
      </c>
      <c r="H145" s="17">
        <v>2321</v>
      </c>
      <c r="I145" s="17"/>
      <c r="J145" s="17"/>
      <c r="K145" s="17"/>
      <c r="L145" s="17"/>
      <c r="M145" s="17"/>
      <c r="N145" s="17"/>
      <c r="O145" s="17"/>
      <c r="P145" s="18">
        <v>0</v>
      </c>
    </row>
    <row r="146" spans="1:16" x14ac:dyDescent="0.25">
      <c r="A146" s="15"/>
      <c r="B146" s="16"/>
      <c r="C146" s="16" t="s">
        <v>214</v>
      </c>
      <c r="D146" s="16">
        <v>256779417530</v>
      </c>
      <c r="E146" s="17" t="s">
        <v>3</v>
      </c>
      <c r="F146" s="17">
        <v>3542</v>
      </c>
      <c r="G146" s="17" t="s">
        <v>215</v>
      </c>
      <c r="H146" s="17">
        <v>72</v>
      </c>
      <c r="I146" s="17"/>
      <c r="J146" s="17"/>
      <c r="K146" s="17"/>
      <c r="L146" s="17"/>
      <c r="M146" s="17"/>
      <c r="N146" s="17"/>
      <c r="O146" s="17"/>
      <c r="P146" s="18">
        <v>0</v>
      </c>
    </row>
    <row r="147" spans="1:16" x14ac:dyDescent="0.25">
      <c r="A147" s="15"/>
      <c r="B147" s="16"/>
      <c r="C147" s="16" t="s">
        <v>214</v>
      </c>
      <c r="D147" s="16">
        <v>256779417571</v>
      </c>
      <c r="E147" s="17" t="s">
        <v>3</v>
      </c>
      <c r="F147" s="17">
        <v>13451</v>
      </c>
      <c r="G147" s="17" t="s">
        <v>215</v>
      </c>
      <c r="H147" s="17">
        <v>275</v>
      </c>
      <c r="I147" s="17"/>
      <c r="J147" s="17"/>
      <c r="K147" s="17"/>
      <c r="L147" s="17"/>
      <c r="M147" s="17"/>
      <c r="N147" s="17"/>
      <c r="O147" s="17"/>
      <c r="P147" s="18">
        <v>0</v>
      </c>
    </row>
    <row r="148" spans="1:16" x14ac:dyDescent="0.25">
      <c r="A148" s="15"/>
      <c r="B148" s="16"/>
      <c r="C148" s="16" t="s">
        <v>214</v>
      </c>
      <c r="D148" s="16">
        <v>256779417904</v>
      </c>
      <c r="E148" s="17" t="s">
        <v>3</v>
      </c>
      <c r="F148" s="17">
        <v>2584</v>
      </c>
      <c r="G148" s="17" t="s">
        <v>215</v>
      </c>
      <c r="H148" s="17">
        <v>53</v>
      </c>
      <c r="I148" s="17"/>
      <c r="J148" s="17"/>
      <c r="K148" s="17"/>
      <c r="L148" s="17"/>
      <c r="M148" s="17"/>
      <c r="N148" s="17"/>
      <c r="O148" s="17"/>
      <c r="P148" s="18">
        <v>0</v>
      </c>
    </row>
    <row r="149" spans="1:16" x14ac:dyDescent="0.25">
      <c r="A149" s="15"/>
      <c r="B149" s="16"/>
      <c r="C149" s="16" t="s">
        <v>214</v>
      </c>
      <c r="D149" s="16">
        <v>256779417982</v>
      </c>
      <c r="E149" s="17" t="s">
        <v>3</v>
      </c>
      <c r="F149" s="17">
        <v>13490</v>
      </c>
      <c r="G149" s="17" t="s">
        <v>215</v>
      </c>
      <c r="H149" s="17">
        <v>275</v>
      </c>
      <c r="I149" s="17"/>
      <c r="J149" s="17"/>
      <c r="K149" s="17"/>
      <c r="L149" s="17"/>
      <c r="M149" s="17"/>
      <c r="N149" s="17"/>
      <c r="O149" s="17"/>
      <c r="P149" s="18">
        <v>0</v>
      </c>
    </row>
    <row r="150" spans="1:16" x14ac:dyDescent="0.25">
      <c r="A150" s="15"/>
      <c r="B150" s="16"/>
      <c r="C150" s="16" t="s">
        <v>214</v>
      </c>
      <c r="D150" s="16">
        <v>256779418182</v>
      </c>
      <c r="E150" s="17" t="s">
        <v>3</v>
      </c>
      <c r="F150" s="17">
        <v>48398</v>
      </c>
      <c r="G150" s="17" t="s">
        <v>215</v>
      </c>
      <c r="H150" s="17">
        <v>988</v>
      </c>
      <c r="I150" s="17"/>
      <c r="J150" s="17"/>
      <c r="K150" s="17"/>
      <c r="L150" s="17"/>
      <c r="M150" s="17"/>
      <c r="N150" s="17"/>
      <c r="O150" s="17"/>
      <c r="P150" s="18">
        <v>0</v>
      </c>
    </row>
    <row r="151" spans="1:16" x14ac:dyDescent="0.25">
      <c r="A151" s="15"/>
      <c r="B151" s="16"/>
      <c r="C151" s="16" t="s">
        <v>214</v>
      </c>
      <c r="D151" s="16">
        <v>256779418403</v>
      </c>
      <c r="E151" s="17" t="s">
        <v>3</v>
      </c>
      <c r="F151" s="17">
        <v>4437</v>
      </c>
      <c r="G151" s="17" t="s">
        <v>215</v>
      </c>
      <c r="H151" s="17">
        <v>91</v>
      </c>
      <c r="I151" s="17"/>
      <c r="J151" s="17"/>
      <c r="K151" s="17"/>
      <c r="L151" s="17"/>
      <c r="M151" s="17"/>
      <c r="N151" s="17"/>
      <c r="O151" s="17"/>
      <c r="P151" s="18">
        <v>0</v>
      </c>
    </row>
    <row r="152" spans="1:16" x14ac:dyDescent="0.25">
      <c r="A152" s="15"/>
      <c r="B152" s="16"/>
      <c r="C152" s="16" t="s">
        <v>214</v>
      </c>
      <c r="D152" s="16">
        <v>256779418430</v>
      </c>
      <c r="E152" s="17" t="s">
        <v>3</v>
      </c>
      <c r="F152" s="17">
        <v>4055</v>
      </c>
      <c r="G152" s="17" t="s">
        <v>215</v>
      </c>
      <c r="H152" s="17">
        <v>83</v>
      </c>
      <c r="I152" s="17"/>
      <c r="J152" s="17"/>
      <c r="K152" s="17"/>
      <c r="L152" s="17"/>
      <c r="M152" s="17"/>
      <c r="N152" s="17"/>
      <c r="O152" s="17"/>
      <c r="P152" s="18">
        <v>0</v>
      </c>
    </row>
    <row r="153" spans="1:16" x14ac:dyDescent="0.25">
      <c r="A153" s="15"/>
      <c r="B153" s="16"/>
      <c r="C153" s="16" t="s">
        <v>214</v>
      </c>
      <c r="D153" s="16">
        <v>256779418482</v>
      </c>
      <c r="E153" s="17" t="s">
        <v>3</v>
      </c>
      <c r="F153" s="17">
        <v>1175</v>
      </c>
      <c r="G153" s="17" t="s">
        <v>215</v>
      </c>
      <c r="H153" s="17">
        <v>24</v>
      </c>
      <c r="I153" s="17"/>
      <c r="J153" s="17"/>
      <c r="K153" s="17"/>
      <c r="L153" s="17"/>
      <c r="M153" s="17"/>
      <c r="N153" s="17"/>
      <c r="O153" s="17"/>
      <c r="P153" s="18">
        <v>0</v>
      </c>
    </row>
    <row r="154" spans="1:16" x14ac:dyDescent="0.25">
      <c r="A154" s="15"/>
      <c r="B154" s="16"/>
      <c r="C154" s="16" t="s">
        <v>214</v>
      </c>
      <c r="D154" s="16">
        <v>256779418628</v>
      </c>
      <c r="E154" s="19" t="s">
        <v>3</v>
      </c>
      <c r="F154" s="19">
        <v>20311</v>
      </c>
      <c r="G154" s="19" t="s">
        <v>215</v>
      </c>
      <c r="H154" s="19">
        <v>414</v>
      </c>
      <c r="I154" s="19"/>
      <c r="J154" s="19"/>
      <c r="K154" s="19"/>
      <c r="L154" s="19"/>
      <c r="M154" s="19"/>
      <c r="N154" s="19"/>
      <c r="O154" s="19"/>
      <c r="P154" s="18">
        <v>0</v>
      </c>
    </row>
    <row r="155" spans="1:16" x14ac:dyDescent="0.25">
      <c r="A155" s="15"/>
      <c r="B155" s="16"/>
      <c r="C155" s="16" t="s">
        <v>214</v>
      </c>
      <c r="D155" s="16">
        <v>256779418706</v>
      </c>
      <c r="E155" s="17" t="s">
        <v>3</v>
      </c>
      <c r="F155" s="17">
        <v>4696</v>
      </c>
      <c r="G155" s="17" t="s">
        <v>215</v>
      </c>
      <c r="H155" s="17">
        <v>96</v>
      </c>
      <c r="I155" s="17"/>
      <c r="J155" s="17"/>
      <c r="K155" s="17"/>
      <c r="L155" s="17"/>
      <c r="M155" s="17"/>
      <c r="N155" s="17"/>
      <c r="O155" s="17"/>
      <c r="P155" s="18">
        <v>0</v>
      </c>
    </row>
    <row r="156" spans="1:16" x14ac:dyDescent="0.25">
      <c r="A156" s="15"/>
      <c r="B156" s="16"/>
      <c r="C156" s="16" t="s">
        <v>214</v>
      </c>
      <c r="D156" s="16">
        <v>256779417943</v>
      </c>
      <c r="E156" s="19" t="s">
        <v>3</v>
      </c>
      <c r="F156" s="19">
        <v>23408</v>
      </c>
      <c r="G156" s="19" t="s">
        <v>215</v>
      </c>
      <c r="H156" s="19">
        <v>478</v>
      </c>
      <c r="I156" s="19"/>
      <c r="J156" s="19"/>
      <c r="K156" s="19"/>
      <c r="L156" s="19"/>
      <c r="M156" s="19"/>
      <c r="N156" s="19"/>
      <c r="O156" s="19"/>
      <c r="P156" s="18">
        <v>0</v>
      </c>
    </row>
    <row r="157" spans="1:16" x14ac:dyDescent="0.25">
      <c r="A157" s="15"/>
      <c r="B157" s="16"/>
      <c r="C157" s="16" t="s">
        <v>214</v>
      </c>
      <c r="D157" s="16">
        <v>256779418736</v>
      </c>
      <c r="E157" s="19" t="s">
        <v>3</v>
      </c>
      <c r="F157" s="19">
        <v>21340</v>
      </c>
      <c r="G157" s="19" t="s">
        <v>215</v>
      </c>
      <c r="H157" s="19">
        <v>436</v>
      </c>
      <c r="I157" s="19"/>
      <c r="J157" s="19"/>
      <c r="K157" s="19"/>
      <c r="L157" s="19"/>
      <c r="M157" s="19"/>
      <c r="N157" s="19"/>
      <c r="O157" s="19"/>
      <c r="P157" s="18">
        <v>0</v>
      </c>
    </row>
    <row r="158" spans="1:16" x14ac:dyDescent="0.25">
      <c r="A158" s="15"/>
      <c r="B158" s="16"/>
      <c r="C158" s="16" t="s">
        <v>214</v>
      </c>
      <c r="D158" s="16">
        <v>256779419136</v>
      </c>
      <c r="E158" s="19" t="s">
        <v>3</v>
      </c>
      <c r="F158" s="19">
        <v>39662</v>
      </c>
      <c r="G158" s="19" t="s">
        <v>215</v>
      </c>
      <c r="H158" s="19">
        <v>809</v>
      </c>
      <c r="I158" s="19"/>
      <c r="J158" s="19"/>
      <c r="K158" s="19"/>
      <c r="L158" s="19"/>
      <c r="M158" s="19"/>
      <c r="N158" s="19"/>
      <c r="O158" s="19"/>
      <c r="P158" s="18">
        <v>0</v>
      </c>
    </row>
    <row r="159" spans="1:16" x14ac:dyDescent="0.25">
      <c r="A159" s="15"/>
      <c r="B159" s="16"/>
      <c r="C159" s="16" t="s">
        <v>214</v>
      </c>
      <c r="D159" s="16">
        <v>256779418828</v>
      </c>
      <c r="E159" s="17" t="s">
        <v>3</v>
      </c>
      <c r="F159" s="17">
        <v>1167</v>
      </c>
      <c r="G159" s="17" t="s">
        <v>215</v>
      </c>
      <c r="H159" s="17">
        <v>24</v>
      </c>
      <c r="I159" s="17"/>
      <c r="J159" s="17"/>
      <c r="K159" s="17"/>
      <c r="L159" s="17"/>
      <c r="M159" s="17"/>
      <c r="N159" s="17"/>
      <c r="O159" s="17"/>
      <c r="P159" s="18">
        <v>0</v>
      </c>
    </row>
    <row r="160" spans="1:16" x14ac:dyDescent="0.25">
      <c r="A160" s="15"/>
      <c r="B160" s="16"/>
      <c r="C160" s="16" t="s">
        <v>214</v>
      </c>
      <c r="D160" s="16">
        <v>256779419087</v>
      </c>
      <c r="E160" s="19" t="s">
        <v>3</v>
      </c>
      <c r="F160" s="19">
        <v>12074</v>
      </c>
      <c r="G160" s="19" t="s">
        <v>215</v>
      </c>
      <c r="H160" s="19">
        <v>246</v>
      </c>
      <c r="I160" s="19"/>
      <c r="J160" s="19"/>
      <c r="K160" s="19"/>
      <c r="L160" s="19"/>
      <c r="M160" s="19"/>
      <c r="N160" s="19"/>
      <c r="O160" s="19"/>
      <c r="P160" s="18">
        <v>0</v>
      </c>
    </row>
    <row r="161" spans="1:16" x14ac:dyDescent="0.25">
      <c r="A161" s="15"/>
      <c r="B161" s="16"/>
      <c r="C161" s="16" t="s">
        <v>214</v>
      </c>
      <c r="D161" s="16">
        <v>256779419098</v>
      </c>
      <c r="E161" s="17" t="s">
        <v>3</v>
      </c>
      <c r="F161" s="17">
        <v>3018</v>
      </c>
      <c r="G161" s="17" t="s">
        <v>215</v>
      </c>
      <c r="H161" s="17">
        <v>62</v>
      </c>
      <c r="I161" s="17"/>
      <c r="J161" s="17"/>
      <c r="K161" s="17"/>
      <c r="L161" s="17"/>
      <c r="M161" s="17"/>
      <c r="N161" s="17"/>
      <c r="O161" s="17"/>
      <c r="P161" s="18">
        <v>0</v>
      </c>
    </row>
    <row r="162" spans="1:16" x14ac:dyDescent="0.25">
      <c r="A162" s="15"/>
      <c r="B162" s="16"/>
      <c r="C162" s="16" t="s">
        <v>214</v>
      </c>
      <c r="D162" s="16">
        <v>256779419179</v>
      </c>
      <c r="E162" s="19" t="s">
        <v>3</v>
      </c>
      <c r="F162" s="19">
        <v>27825</v>
      </c>
      <c r="G162" s="19" t="s">
        <v>215</v>
      </c>
      <c r="H162" s="19">
        <v>568</v>
      </c>
      <c r="I162" s="19"/>
      <c r="J162" s="19"/>
      <c r="K162" s="19"/>
      <c r="L162" s="19"/>
      <c r="M162" s="19"/>
      <c r="N162" s="19"/>
      <c r="O162" s="19"/>
      <c r="P162" s="18">
        <v>0</v>
      </c>
    </row>
    <row r="163" spans="1:16" x14ac:dyDescent="0.25">
      <c r="A163" s="15"/>
      <c r="B163" s="16"/>
      <c r="C163" s="16" t="s">
        <v>214</v>
      </c>
      <c r="D163" s="16">
        <v>256779419204</v>
      </c>
      <c r="E163" s="17" t="s">
        <v>3</v>
      </c>
      <c r="F163" s="17">
        <v>1147</v>
      </c>
      <c r="G163" s="17" t="s">
        <v>215</v>
      </c>
      <c r="H163" s="17">
        <v>23</v>
      </c>
      <c r="I163" s="17"/>
      <c r="J163" s="17"/>
      <c r="K163" s="17"/>
      <c r="L163" s="17"/>
      <c r="M163" s="17"/>
      <c r="N163" s="17"/>
      <c r="O163" s="17"/>
      <c r="P163" s="18">
        <v>0</v>
      </c>
    </row>
    <row r="164" spans="1:16" x14ac:dyDescent="0.25">
      <c r="A164" s="15"/>
      <c r="B164" s="16"/>
      <c r="C164" s="16" t="s">
        <v>214</v>
      </c>
      <c r="D164" s="16">
        <v>256779419267</v>
      </c>
      <c r="E164" s="17" t="s">
        <v>3</v>
      </c>
      <c r="F164" s="17">
        <v>17010</v>
      </c>
      <c r="G164" s="17" t="s">
        <v>215</v>
      </c>
      <c r="H164" s="17">
        <v>347</v>
      </c>
      <c r="I164" s="17"/>
      <c r="J164" s="17"/>
      <c r="K164" s="17"/>
      <c r="L164" s="17"/>
      <c r="M164" s="17"/>
      <c r="N164" s="17"/>
      <c r="O164" s="17"/>
      <c r="P164" s="18">
        <v>0</v>
      </c>
    </row>
    <row r="165" spans="1:16" x14ac:dyDescent="0.25">
      <c r="A165" s="15"/>
      <c r="B165" s="16"/>
      <c r="C165" s="16" t="s">
        <v>214</v>
      </c>
      <c r="D165" s="16">
        <v>256779419235</v>
      </c>
      <c r="E165" s="17" t="s">
        <v>3</v>
      </c>
      <c r="F165" s="17">
        <v>12608</v>
      </c>
      <c r="G165" s="17" t="s">
        <v>215</v>
      </c>
      <c r="H165" s="17">
        <v>257</v>
      </c>
      <c r="I165" s="17"/>
      <c r="J165" s="17"/>
      <c r="K165" s="17"/>
      <c r="L165" s="17"/>
      <c r="M165" s="17"/>
      <c r="N165" s="17"/>
      <c r="O165" s="17"/>
      <c r="P165" s="18">
        <v>0</v>
      </c>
    </row>
    <row r="166" spans="1:16" x14ac:dyDescent="0.25">
      <c r="A166" s="15"/>
      <c r="B166" s="16"/>
      <c r="C166" s="16" t="s">
        <v>214</v>
      </c>
      <c r="D166" s="16">
        <v>256779417362</v>
      </c>
      <c r="E166" s="17" t="s">
        <v>3</v>
      </c>
      <c r="F166" s="17">
        <v>141773</v>
      </c>
      <c r="G166" s="17" t="s">
        <v>215</v>
      </c>
      <c r="H166" s="17">
        <v>15753</v>
      </c>
      <c r="I166" s="17"/>
      <c r="J166" s="17"/>
      <c r="K166" s="17"/>
      <c r="L166" s="17"/>
      <c r="M166" s="17"/>
      <c r="N166" s="17"/>
      <c r="O166" s="17"/>
      <c r="P166" s="18">
        <v>0</v>
      </c>
    </row>
    <row r="167" spans="1:16" x14ac:dyDescent="0.25">
      <c r="A167" s="15"/>
      <c r="B167" s="16"/>
      <c r="C167" s="16" t="s">
        <v>214</v>
      </c>
      <c r="D167" s="16">
        <v>256779417075</v>
      </c>
      <c r="E167" s="19" t="s">
        <v>3</v>
      </c>
      <c r="F167" s="19">
        <v>86562</v>
      </c>
      <c r="G167" s="19" t="s">
        <v>215</v>
      </c>
      <c r="H167" s="19">
        <v>9618</v>
      </c>
      <c r="I167" s="19"/>
      <c r="J167" s="19"/>
      <c r="K167" s="19"/>
      <c r="L167" s="19"/>
      <c r="M167" s="19"/>
      <c r="N167" s="19"/>
      <c r="O167" s="19"/>
      <c r="P167" s="18">
        <v>0</v>
      </c>
    </row>
    <row r="168" spans="1:16" x14ac:dyDescent="0.25">
      <c r="A168" s="15"/>
      <c r="B168" s="16"/>
      <c r="C168" s="16" t="s">
        <v>214</v>
      </c>
      <c r="D168" s="16">
        <v>256779418014</v>
      </c>
      <c r="E168" s="17" t="s">
        <v>3</v>
      </c>
      <c r="F168" s="17">
        <v>105561</v>
      </c>
      <c r="G168" s="17" t="s">
        <v>215</v>
      </c>
      <c r="H168" s="17">
        <v>11729</v>
      </c>
      <c r="I168" s="17"/>
      <c r="J168" s="17"/>
      <c r="K168" s="17"/>
      <c r="L168" s="17"/>
      <c r="M168" s="17"/>
      <c r="N168" s="17"/>
      <c r="O168" s="17"/>
      <c r="P168" s="18">
        <v>0</v>
      </c>
    </row>
    <row r="169" spans="1:16" x14ac:dyDescent="0.25">
      <c r="A169" s="15"/>
      <c r="B169" s="16"/>
      <c r="C169" s="16" t="s">
        <v>214</v>
      </c>
      <c r="D169" s="16">
        <v>256779418025</v>
      </c>
      <c r="E169" s="17" t="s">
        <v>3</v>
      </c>
      <c r="F169" s="17">
        <v>142869</v>
      </c>
      <c r="G169" s="17" t="s">
        <v>215</v>
      </c>
      <c r="H169" s="17">
        <v>15874</v>
      </c>
      <c r="I169" s="17"/>
      <c r="J169" s="17"/>
      <c r="K169" s="17"/>
      <c r="L169" s="17"/>
      <c r="M169" s="17"/>
      <c r="N169" s="17"/>
      <c r="O169" s="17"/>
      <c r="P169" s="18">
        <v>0</v>
      </c>
    </row>
    <row r="170" spans="1:16" x14ac:dyDescent="0.25">
      <c r="A170" s="15"/>
      <c r="B170" s="16"/>
      <c r="C170" s="16" t="s">
        <v>214</v>
      </c>
      <c r="D170" s="16">
        <v>256779418791</v>
      </c>
      <c r="E170" s="17" t="s">
        <v>3</v>
      </c>
      <c r="F170" s="17">
        <v>142565</v>
      </c>
      <c r="G170" s="17" t="s">
        <v>215</v>
      </c>
      <c r="H170" s="17">
        <v>15841</v>
      </c>
      <c r="I170" s="17"/>
      <c r="J170" s="17"/>
      <c r="K170" s="17"/>
      <c r="L170" s="17"/>
      <c r="M170" s="17"/>
      <c r="N170" s="17"/>
      <c r="O170" s="17"/>
      <c r="P170" s="18">
        <v>0</v>
      </c>
    </row>
    <row r="171" spans="1:16" x14ac:dyDescent="0.25">
      <c r="A171" s="15"/>
      <c r="B171" s="16"/>
      <c r="C171" s="16" t="s">
        <v>214</v>
      </c>
      <c r="D171" s="16">
        <v>256779418871</v>
      </c>
      <c r="E171" s="17" t="s">
        <v>3</v>
      </c>
      <c r="F171" s="17">
        <v>84631</v>
      </c>
      <c r="G171" s="17" t="s">
        <v>215</v>
      </c>
      <c r="H171" s="17">
        <v>9404</v>
      </c>
      <c r="I171" s="17"/>
      <c r="J171" s="17"/>
      <c r="K171" s="17"/>
      <c r="L171" s="17"/>
      <c r="M171" s="17"/>
      <c r="N171" s="17"/>
      <c r="O171" s="17"/>
      <c r="P171" s="18">
        <v>0</v>
      </c>
    </row>
    <row r="172" spans="1:16" x14ac:dyDescent="0.25">
      <c r="A172" s="15"/>
      <c r="B172" s="16"/>
      <c r="C172" s="16"/>
      <c r="D172" s="16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8"/>
    </row>
    <row r="173" spans="1:16" x14ac:dyDescent="0.25">
      <c r="A173" s="15"/>
      <c r="B173" s="16"/>
      <c r="C173" s="16"/>
      <c r="D173" s="16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8"/>
    </row>
    <row r="174" spans="1:16" x14ac:dyDescent="0.25">
      <c r="A174" s="15"/>
      <c r="B174" s="16"/>
      <c r="C174" s="16"/>
      <c r="D174" s="16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8"/>
    </row>
    <row r="175" spans="1:16" x14ac:dyDescent="0.25">
      <c r="A175" s="15"/>
      <c r="B175" s="16"/>
      <c r="C175" s="16"/>
      <c r="D175" s="16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8"/>
    </row>
    <row r="176" spans="1:16" x14ac:dyDescent="0.25">
      <c r="A176" s="15"/>
      <c r="B176" s="16"/>
      <c r="C176" s="16"/>
      <c r="D176" s="16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8"/>
    </row>
    <row r="177" spans="1:16" x14ac:dyDescent="0.25">
      <c r="A177" s="15"/>
      <c r="B177" s="16"/>
      <c r="C177" s="16"/>
      <c r="D177" s="16"/>
      <c r="E177" s="19"/>
      <c r="F177" s="19"/>
      <c r="G177" s="19"/>
      <c r="H177" s="17"/>
      <c r="I177" s="19"/>
      <c r="J177" s="19"/>
      <c r="K177" s="19"/>
      <c r="L177" s="19"/>
      <c r="M177" s="19"/>
      <c r="N177" s="19"/>
      <c r="O177" s="19"/>
      <c r="P177" s="18"/>
    </row>
    <row r="178" spans="1:16" x14ac:dyDescent="0.25">
      <c r="A178" s="15"/>
      <c r="B178" s="16"/>
      <c r="C178" s="16"/>
      <c r="D178" s="16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8"/>
    </row>
    <row r="179" spans="1:16" x14ac:dyDescent="0.25">
      <c r="A179" s="15"/>
      <c r="B179" s="16"/>
      <c r="C179" s="16"/>
      <c r="D179" s="16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8"/>
    </row>
    <row r="180" spans="1:16" x14ac:dyDescent="0.25">
      <c r="A180" s="15"/>
      <c r="B180" s="16"/>
      <c r="C180" s="16"/>
      <c r="D180" s="16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8"/>
    </row>
    <row r="181" spans="1:16" x14ac:dyDescent="0.25">
      <c r="A181" s="15"/>
      <c r="B181" s="16"/>
      <c r="C181" s="16"/>
      <c r="D181" s="16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8"/>
    </row>
    <row r="182" spans="1:16" x14ac:dyDescent="0.25">
      <c r="A182" s="15"/>
      <c r="B182" s="16"/>
      <c r="C182" s="16"/>
      <c r="D182" s="16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8"/>
    </row>
    <row r="183" spans="1:16" x14ac:dyDescent="0.25">
      <c r="A183" s="15"/>
      <c r="B183" s="16"/>
      <c r="C183" s="16"/>
      <c r="D183" s="16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8"/>
    </row>
    <row r="184" spans="1:16" x14ac:dyDescent="0.25">
      <c r="A184" s="15"/>
      <c r="B184" s="16"/>
      <c r="C184" s="16"/>
      <c r="D184" s="16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8"/>
    </row>
    <row r="185" spans="1:16" x14ac:dyDescent="0.25">
      <c r="A185" s="15"/>
      <c r="B185" s="16"/>
      <c r="C185" s="16"/>
      <c r="D185" s="16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8"/>
    </row>
    <row r="186" spans="1:16" x14ac:dyDescent="0.25">
      <c r="A186" s="15"/>
      <c r="B186" s="16"/>
      <c r="C186" s="16"/>
      <c r="D186" s="16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8"/>
    </row>
    <row r="187" spans="1:16" x14ac:dyDescent="0.25">
      <c r="A187" s="15"/>
      <c r="B187" s="16"/>
      <c r="C187" s="16"/>
      <c r="D187" s="16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8"/>
    </row>
    <row r="188" spans="1:16" x14ac:dyDescent="0.25">
      <c r="A188" s="15"/>
      <c r="B188" s="16"/>
      <c r="C188" s="16"/>
      <c r="D188" s="16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8"/>
    </row>
    <row r="189" spans="1:16" x14ac:dyDescent="0.25">
      <c r="A189" s="15"/>
      <c r="B189" s="16"/>
      <c r="C189" s="16"/>
      <c r="D189" s="16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8"/>
    </row>
    <row r="190" spans="1:16" x14ac:dyDescent="0.25">
      <c r="A190" s="15"/>
      <c r="B190" s="16"/>
      <c r="C190" s="16"/>
      <c r="D190" s="16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8"/>
    </row>
    <row r="191" spans="1:16" x14ac:dyDescent="0.25">
      <c r="A191" s="15"/>
      <c r="B191" s="16"/>
      <c r="C191" s="16"/>
      <c r="D191" s="16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8"/>
    </row>
    <row r="192" spans="1:16" x14ac:dyDescent="0.25">
      <c r="A192" s="15"/>
      <c r="B192" s="16"/>
      <c r="C192" s="16"/>
      <c r="D192" s="16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8"/>
    </row>
    <row r="193" spans="1:16" x14ac:dyDescent="0.25">
      <c r="A193" s="15"/>
      <c r="B193" s="16"/>
      <c r="C193" s="16"/>
      <c r="D193" s="16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8"/>
    </row>
    <row r="194" spans="1:16" x14ac:dyDescent="0.25">
      <c r="A194" s="15"/>
      <c r="B194" s="16"/>
      <c r="C194" s="16"/>
      <c r="D194" s="16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8"/>
    </row>
    <row r="195" spans="1:16" x14ac:dyDescent="0.25">
      <c r="A195" s="15"/>
      <c r="B195" s="16"/>
      <c r="C195" s="16"/>
      <c r="D195" s="16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8"/>
    </row>
    <row r="196" spans="1:16" x14ac:dyDescent="0.25">
      <c r="A196" s="15"/>
      <c r="B196" s="16"/>
      <c r="C196" s="16"/>
      <c r="D196" s="16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8"/>
    </row>
    <row r="197" spans="1:16" x14ac:dyDescent="0.25">
      <c r="A197" s="15"/>
      <c r="B197" s="16"/>
      <c r="C197" s="16"/>
      <c r="D197" s="16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8"/>
    </row>
    <row r="198" spans="1:16" x14ac:dyDescent="0.25">
      <c r="A198" s="15"/>
      <c r="B198" s="16"/>
      <c r="C198" s="16"/>
      <c r="D198" s="16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8"/>
    </row>
    <row r="199" spans="1:16" x14ac:dyDescent="0.25">
      <c r="A199" s="15"/>
      <c r="B199" s="16"/>
      <c r="C199" s="16"/>
      <c r="D199" s="16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8"/>
    </row>
    <row r="200" spans="1:16" x14ac:dyDescent="0.25">
      <c r="A200" s="15"/>
      <c r="B200" s="16"/>
      <c r="C200" s="16"/>
      <c r="D200" s="16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8"/>
    </row>
    <row r="201" spans="1:16" x14ac:dyDescent="0.25">
      <c r="A201" s="15"/>
      <c r="B201" s="16"/>
      <c r="C201" s="16"/>
      <c r="D201" s="16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8"/>
    </row>
    <row r="202" spans="1:16" x14ac:dyDescent="0.25">
      <c r="A202" s="15"/>
      <c r="B202" s="16"/>
      <c r="C202" s="16"/>
      <c r="D202" s="16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8"/>
    </row>
    <row r="203" spans="1:16" x14ac:dyDescent="0.25">
      <c r="A203" s="15"/>
      <c r="B203" s="16"/>
      <c r="C203" s="16"/>
      <c r="D203" s="16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8"/>
    </row>
    <row r="204" spans="1:16" x14ac:dyDescent="0.25">
      <c r="A204" s="15"/>
      <c r="B204" s="16"/>
      <c r="C204" s="16"/>
      <c r="D204" s="16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8"/>
    </row>
    <row r="205" spans="1:16" x14ac:dyDescent="0.25">
      <c r="A205" s="15"/>
      <c r="B205" s="16"/>
      <c r="C205" s="16"/>
      <c r="D205" s="16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8"/>
    </row>
    <row r="206" spans="1:16" x14ac:dyDescent="0.25">
      <c r="A206" s="15"/>
      <c r="B206" s="16"/>
      <c r="C206" s="16"/>
      <c r="D206" s="16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8"/>
    </row>
    <row r="207" spans="1:16" x14ac:dyDescent="0.25">
      <c r="A207" s="15"/>
      <c r="B207" s="16"/>
      <c r="C207" s="16"/>
      <c r="D207" s="16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8"/>
    </row>
    <row r="208" spans="1:16" x14ac:dyDescent="0.25">
      <c r="A208" s="15"/>
      <c r="B208" s="16"/>
      <c r="C208" s="16"/>
      <c r="D208" s="16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8"/>
    </row>
    <row r="209" spans="1:16" x14ac:dyDescent="0.25">
      <c r="A209" s="15"/>
      <c r="B209" s="16"/>
      <c r="C209" s="16"/>
      <c r="D209" s="16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8"/>
    </row>
    <row r="210" spans="1:16" x14ac:dyDescent="0.25">
      <c r="A210" s="15"/>
      <c r="B210" s="16"/>
      <c r="C210" s="16"/>
      <c r="D210" s="16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8"/>
    </row>
    <row r="211" spans="1:16" x14ac:dyDescent="0.25">
      <c r="A211" s="15"/>
      <c r="B211" s="16"/>
      <c r="C211" s="16"/>
      <c r="D211" s="16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8"/>
    </row>
    <row r="212" spans="1:16" x14ac:dyDescent="0.25">
      <c r="A212" s="15"/>
      <c r="B212" s="16"/>
      <c r="C212" s="16"/>
      <c r="D212" s="16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8"/>
    </row>
    <row r="213" spans="1:16" x14ac:dyDescent="0.25">
      <c r="A213" s="15"/>
      <c r="B213" s="16"/>
      <c r="C213" s="16"/>
      <c r="D213" s="16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8"/>
    </row>
    <row r="214" spans="1:16" x14ac:dyDescent="0.25">
      <c r="A214" s="15"/>
      <c r="B214" s="16"/>
      <c r="C214" s="16"/>
      <c r="D214" s="16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8"/>
    </row>
    <row r="215" spans="1:16" x14ac:dyDescent="0.25">
      <c r="A215" s="15"/>
      <c r="B215" s="16"/>
      <c r="C215" s="16"/>
      <c r="D215" s="16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8"/>
    </row>
    <row r="216" spans="1:16" x14ac:dyDescent="0.25">
      <c r="A216" s="15"/>
      <c r="B216" s="16"/>
      <c r="C216" s="16"/>
      <c r="D216" s="1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8"/>
    </row>
    <row r="217" spans="1:16" x14ac:dyDescent="0.25">
      <c r="A217" s="15"/>
      <c r="B217" s="16"/>
      <c r="C217" s="16"/>
      <c r="D217" s="16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8"/>
    </row>
    <row r="218" spans="1:16" x14ac:dyDescent="0.25">
      <c r="A218" s="15"/>
      <c r="B218" s="16"/>
      <c r="C218" s="16"/>
      <c r="D218" s="16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8"/>
    </row>
    <row r="219" spans="1:16" x14ac:dyDescent="0.25">
      <c r="A219" s="15"/>
      <c r="B219" s="16"/>
      <c r="C219" s="16"/>
      <c r="D219" s="16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8"/>
    </row>
    <row r="220" spans="1:16" x14ac:dyDescent="0.25">
      <c r="A220" s="15"/>
      <c r="B220" s="16"/>
      <c r="C220" s="16"/>
      <c r="D220" s="16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8"/>
    </row>
    <row r="221" spans="1:16" x14ac:dyDescent="0.25">
      <c r="A221" s="15"/>
      <c r="B221" s="16"/>
      <c r="C221" s="16"/>
      <c r="D221" s="16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8"/>
    </row>
    <row r="222" spans="1:16" x14ac:dyDescent="0.25">
      <c r="A222" s="15"/>
      <c r="B222" s="16"/>
      <c r="C222" s="16"/>
      <c r="D222" s="16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8"/>
    </row>
    <row r="223" spans="1:16" x14ac:dyDescent="0.25">
      <c r="A223" s="15"/>
      <c r="B223" s="16"/>
      <c r="C223" s="16"/>
      <c r="D223" s="16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8"/>
    </row>
    <row r="224" spans="1:16" x14ac:dyDescent="0.25">
      <c r="A224" s="15"/>
      <c r="B224" s="16"/>
      <c r="C224" s="16"/>
      <c r="D224" s="16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8"/>
    </row>
    <row r="225" spans="1:16" x14ac:dyDescent="0.25">
      <c r="A225" s="15"/>
      <c r="B225" s="16"/>
      <c r="C225" s="16"/>
      <c r="D225" s="16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8"/>
    </row>
    <row r="226" spans="1:16" x14ac:dyDescent="0.25">
      <c r="A226" s="15"/>
      <c r="B226" s="16"/>
      <c r="C226" s="16"/>
      <c r="D226" s="16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8"/>
    </row>
    <row r="227" spans="1:16" x14ac:dyDescent="0.25">
      <c r="A227" s="15"/>
      <c r="B227" s="16"/>
      <c r="C227" s="16"/>
      <c r="D227" s="16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8"/>
    </row>
    <row r="228" spans="1:16" x14ac:dyDescent="0.25">
      <c r="A228" s="15"/>
      <c r="B228" s="16"/>
      <c r="C228" s="16"/>
      <c r="D228" s="16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8"/>
    </row>
    <row r="229" spans="1:16" x14ac:dyDescent="0.25">
      <c r="A229" s="15"/>
      <c r="B229" s="16"/>
      <c r="C229" s="16"/>
      <c r="D229" s="16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8"/>
    </row>
    <row r="230" spans="1:16" x14ac:dyDescent="0.25">
      <c r="A230" s="15"/>
      <c r="B230" s="16"/>
      <c r="C230" s="16"/>
      <c r="D230" s="16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8"/>
    </row>
    <row r="231" spans="1:16" x14ac:dyDescent="0.25">
      <c r="A231" s="15"/>
      <c r="B231" s="16"/>
      <c r="C231" s="16"/>
      <c r="D231" s="16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8"/>
    </row>
    <row r="232" spans="1:16" x14ac:dyDescent="0.25">
      <c r="A232" s="15"/>
      <c r="B232" s="16"/>
      <c r="C232" s="16"/>
      <c r="D232" s="16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8"/>
    </row>
    <row r="233" spans="1:16" x14ac:dyDescent="0.25">
      <c r="A233" s="15"/>
      <c r="B233" s="16"/>
      <c r="C233" s="16"/>
      <c r="D233" s="16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8"/>
    </row>
    <row r="234" spans="1:16" x14ac:dyDescent="0.25">
      <c r="A234" s="15"/>
      <c r="B234" s="16"/>
      <c r="C234" s="16"/>
      <c r="D234" s="16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8"/>
    </row>
    <row r="235" spans="1:16" x14ac:dyDescent="0.25">
      <c r="A235" s="15"/>
      <c r="B235" s="16"/>
      <c r="C235" s="16"/>
      <c r="D235" s="16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8"/>
    </row>
    <row r="236" spans="1:16" x14ac:dyDescent="0.25">
      <c r="A236" s="15"/>
      <c r="B236" s="16"/>
      <c r="C236" s="16"/>
      <c r="D236" s="16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8"/>
    </row>
    <row r="237" spans="1:16" x14ac:dyDescent="0.25">
      <c r="A237" s="15"/>
      <c r="B237" s="16"/>
      <c r="C237" s="16"/>
      <c r="D237" s="16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8"/>
    </row>
    <row r="238" spans="1:16" x14ac:dyDescent="0.25">
      <c r="A238" s="15"/>
      <c r="B238" s="16"/>
      <c r="C238" s="16"/>
      <c r="D238" s="16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8"/>
    </row>
    <row r="239" spans="1:16" x14ac:dyDescent="0.25">
      <c r="A239" s="15"/>
      <c r="B239" s="16"/>
      <c r="C239" s="16"/>
      <c r="D239" s="16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8"/>
    </row>
    <row r="240" spans="1:16" x14ac:dyDescent="0.25">
      <c r="A240" s="15"/>
      <c r="B240" s="16"/>
      <c r="C240" s="16"/>
      <c r="D240" s="16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8"/>
    </row>
    <row r="241" spans="1:16" x14ac:dyDescent="0.25">
      <c r="A241" s="15"/>
      <c r="B241" s="16"/>
      <c r="C241" s="16"/>
      <c r="D241" s="16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8"/>
    </row>
    <row r="242" spans="1:16" x14ac:dyDescent="0.25">
      <c r="A242" s="15"/>
      <c r="B242" s="16"/>
      <c r="C242" s="16"/>
      <c r="D242" s="16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8"/>
    </row>
    <row r="243" spans="1:16" x14ac:dyDescent="0.25">
      <c r="A243" s="15"/>
      <c r="B243" s="16"/>
      <c r="C243" s="16"/>
      <c r="D243" s="16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8"/>
    </row>
    <row r="244" spans="1:16" x14ac:dyDescent="0.25">
      <c r="A244" s="15"/>
      <c r="B244" s="16"/>
      <c r="C244" s="16"/>
      <c r="D244" s="16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8"/>
    </row>
    <row r="245" spans="1:16" x14ac:dyDescent="0.25">
      <c r="A245" s="15"/>
      <c r="B245" s="16"/>
      <c r="C245" s="16"/>
      <c r="D245" s="16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8"/>
    </row>
    <row r="246" spans="1:16" x14ac:dyDescent="0.25">
      <c r="A246" s="15"/>
      <c r="B246" s="16"/>
      <c r="C246" s="16"/>
      <c r="D246" s="16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8"/>
    </row>
    <row r="247" spans="1:16" x14ac:dyDescent="0.25">
      <c r="A247" s="15"/>
      <c r="B247" s="16"/>
      <c r="C247" s="16"/>
      <c r="D247" s="16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8"/>
    </row>
    <row r="248" spans="1:16" x14ac:dyDescent="0.25">
      <c r="A248" s="15"/>
      <c r="B248" s="16"/>
      <c r="C248" s="16"/>
      <c r="D248" s="16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8"/>
    </row>
    <row r="249" spans="1:16" x14ac:dyDescent="0.25">
      <c r="A249" s="15"/>
      <c r="B249" s="16"/>
      <c r="C249" s="16"/>
      <c r="D249" s="16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8"/>
    </row>
    <row r="250" spans="1:16" x14ac:dyDescent="0.25">
      <c r="A250" s="15"/>
      <c r="B250" s="16"/>
      <c r="C250" s="16"/>
      <c r="D250" s="16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8"/>
    </row>
    <row r="251" spans="1:16" x14ac:dyDescent="0.25">
      <c r="A251" s="15"/>
      <c r="B251" s="16"/>
      <c r="C251" s="16"/>
      <c r="D251" s="16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8"/>
    </row>
    <row r="252" spans="1:16" x14ac:dyDescent="0.25">
      <c r="A252" s="15"/>
      <c r="B252" s="16"/>
      <c r="C252" s="16"/>
      <c r="D252" s="16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8"/>
    </row>
    <row r="253" spans="1:16" x14ac:dyDescent="0.25">
      <c r="A253" s="15"/>
      <c r="B253" s="16"/>
      <c r="C253" s="16"/>
      <c r="D253" s="16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8"/>
    </row>
    <row r="254" spans="1:16" x14ac:dyDescent="0.25">
      <c r="A254" s="15"/>
      <c r="B254" s="16"/>
      <c r="C254" s="16"/>
      <c r="D254" s="16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8"/>
    </row>
    <row r="255" spans="1:16" x14ac:dyDescent="0.25">
      <c r="A255" s="15"/>
      <c r="B255" s="16"/>
      <c r="C255" s="16"/>
      <c r="D255" s="16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8"/>
    </row>
    <row r="256" spans="1:16" x14ac:dyDescent="0.25">
      <c r="A256" s="15"/>
      <c r="B256" s="16"/>
      <c r="C256" s="16"/>
      <c r="D256" s="16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8"/>
    </row>
    <row r="257" spans="1:16" x14ac:dyDescent="0.25">
      <c r="A257" s="15"/>
      <c r="B257" s="16"/>
      <c r="C257" s="16"/>
      <c r="D257" s="16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8"/>
    </row>
    <row r="258" spans="1:16" x14ac:dyDescent="0.25">
      <c r="A258" s="15"/>
      <c r="B258" s="16"/>
      <c r="C258" s="16"/>
      <c r="D258" s="16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8"/>
    </row>
    <row r="259" spans="1:16" x14ac:dyDescent="0.25">
      <c r="A259" s="15"/>
      <c r="B259" s="16"/>
      <c r="C259" s="16"/>
      <c r="D259" s="16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8"/>
    </row>
    <row r="260" spans="1:16" x14ac:dyDescent="0.25">
      <c r="A260" s="15"/>
      <c r="B260" s="16"/>
      <c r="C260" s="16"/>
      <c r="D260" s="16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8"/>
    </row>
    <row r="261" spans="1:16" x14ac:dyDescent="0.25">
      <c r="A261" s="15"/>
      <c r="B261" s="16"/>
      <c r="C261" s="16"/>
      <c r="D261" s="16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8"/>
    </row>
    <row r="262" spans="1:16" x14ac:dyDescent="0.25">
      <c r="A262" s="15"/>
      <c r="B262" s="16"/>
      <c r="C262" s="16"/>
      <c r="D262" s="16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8"/>
    </row>
    <row r="263" spans="1:16" x14ac:dyDescent="0.25">
      <c r="A263" s="15"/>
      <c r="B263" s="16"/>
      <c r="C263" s="16"/>
      <c r="D263" s="16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8"/>
    </row>
    <row r="264" spans="1:16" x14ac:dyDescent="0.25">
      <c r="A264" s="15"/>
      <c r="B264" s="16"/>
      <c r="C264" s="16"/>
      <c r="D264" s="16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8"/>
    </row>
    <row r="265" spans="1:16" x14ac:dyDescent="0.25">
      <c r="A265" s="15"/>
      <c r="B265" s="16"/>
      <c r="C265" s="16"/>
      <c r="D265" s="16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8"/>
    </row>
    <row r="266" spans="1:16" x14ac:dyDescent="0.25">
      <c r="A266" s="15"/>
      <c r="B266" s="16"/>
      <c r="C266" s="16"/>
      <c r="D266" s="16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8"/>
    </row>
    <row r="267" spans="1:16" x14ac:dyDescent="0.25">
      <c r="A267" s="15"/>
      <c r="B267" s="16"/>
      <c r="C267" s="16"/>
      <c r="D267" s="16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8"/>
    </row>
    <row r="268" spans="1:16" x14ac:dyDescent="0.25">
      <c r="A268" s="15"/>
      <c r="B268" s="16"/>
      <c r="C268" s="16"/>
      <c r="D268" s="16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8"/>
    </row>
    <row r="269" spans="1:16" x14ac:dyDescent="0.25">
      <c r="A269" s="15"/>
      <c r="B269" s="16"/>
      <c r="C269" s="16"/>
      <c r="D269" s="16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8"/>
    </row>
    <row r="270" spans="1:16" x14ac:dyDescent="0.25">
      <c r="A270" s="15"/>
      <c r="B270" s="16"/>
      <c r="C270" s="16"/>
      <c r="D270" s="16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8"/>
    </row>
    <row r="271" spans="1:16" x14ac:dyDescent="0.25">
      <c r="A271" s="15"/>
      <c r="B271" s="16"/>
      <c r="C271" s="16"/>
      <c r="D271" s="16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8"/>
    </row>
    <row r="272" spans="1:16" x14ac:dyDescent="0.25">
      <c r="A272" s="15"/>
      <c r="B272" s="16"/>
      <c r="C272" s="16"/>
      <c r="D272" s="16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8"/>
    </row>
    <row r="273" spans="1:16" x14ac:dyDescent="0.25">
      <c r="A273" s="15"/>
      <c r="B273" s="16"/>
      <c r="C273" s="16"/>
      <c r="D273" s="16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8"/>
    </row>
    <row r="274" spans="1:16" x14ac:dyDescent="0.25">
      <c r="A274" s="15"/>
      <c r="B274" s="16"/>
      <c r="C274" s="16"/>
      <c r="D274" s="16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8"/>
    </row>
    <row r="275" spans="1:16" x14ac:dyDescent="0.25">
      <c r="A275" s="15"/>
      <c r="B275" s="16"/>
      <c r="C275" s="16"/>
      <c r="D275" s="16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8"/>
    </row>
    <row r="276" spans="1:16" x14ac:dyDescent="0.25">
      <c r="A276" s="15"/>
      <c r="B276" s="16"/>
      <c r="C276" s="16"/>
      <c r="D276" s="16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8"/>
    </row>
    <row r="277" spans="1:16" x14ac:dyDescent="0.25">
      <c r="A277" s="15"/>
      <c r="B277" s="16"/>
      <c r="C277" s="16"/>
      <c r="D277" s="16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8"/>
    </row>
    <row r="278" spans="1:16" x14ac:dyDescent="0.25">
      <c r="A278" s="15"/>
      <c r="B278" s="16"/>
      <c r="C278" s="16"/>
      <c r="D278" s="16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8"/>
    </row>
    <row r="279" spans="1:16" x14ac:dyDescent="0.25">
      <c r="A279" s="15"/>
      <c r="B279" s="16"/>
      <c r="C279" s="16"/>
      <c r="D279" s="16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8"/>
    </row>
    <row r="280" spans="1:16" x14ac:dyDescent="0.25">
      <c r="A280" s="15"/>
      <c r="B280" s="16"/>
      <c r="C280" s="16"/>
      <c r="D280" s="16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8"/>
    </row>
    <row r="281" spans="1:16" x14ac:dyDescent="0.25">
      <c r="A281" s="15"/>
      <c r="B281" s="16"/>
      <c r="C281" s="16"/>
      <c r="D281" s="16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8"/>
    </row>
    <row r="282" spans="1:16" x14ac:dyDescent="0.25">
      <c r="A282" s="15"/>
      <c r="B282" s="16"/>
      <c r="C282" s="16"/>
      <c r="D282" s="16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8"/>
    </row>
    <row r="283" spans="1:16" x14ac:dyDescent="0.25">
      <c r="A283" s="15"/>
      <c r="B283" s="16"/>
      <c r="C283" s="16"/>
      <c r="D283" s="16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8"/>
    </row>
    <row r="284" spans="1:16" x14ac:dyDescent="0.25">
      <c r="A284" s="15"/>
      <c r="B284" s="16"/>
      <c r="C284" s="16"/>
      <c r="D284" s="16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8"/>
    </row>
    <row r="285" spans="1:16" x14ac:dyDescent="0.25">
      <c r="A285" s="15"/>
      <c r="B285" s="16"/>
      <c r="C285" s="16"/>
      <c r="D285" s="16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8"/>
    </row>
    <row r="286" spans="1:16" x14ac:dyDescent="0.25">
      <c r="A286" s="15"/>
      <c r="B286" s="16"/>
      <c r="C286" s="16"/>
      <c r="D286" s="16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8"/>
    </row>
    <row r="287" spans="1:16" x14ac:dyDescent="0.25">
      <c r="A287" s="15"/>
      <c r="B287" s="16"/>
      <c r="C287" s="16"/>
      <c r="D287" s="16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8"/>
    </row>
    <row r="288" spans="1:16" x14ac:dyDescent="0.25">
      <c r="A288" s="15"/>
      <c r="B288" s="16"/>
      <c r="C288" s="16"/>
      <c r="D288" s="16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8"/>
    </row>
    <row r="289" spans="1:16" x14ac:dyDescent="0.25">
      <c r="A289" s="15"/>
      <c r="B289" s="16"/>
      <c r="C289" s="16"/>
      <c r="D289" s="16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8"/>
    </row>
    <row r="290" spans="1:16" x14ac:dyDescent="0.25">
      <c r="A290" s="15"/>
      <c r="B290" s="16"/>
      <c r="C290" s="16"/>
      <c r="D290" s="16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8"/>
    </row>
    <row r="291" spans="1:16" x14ac:dyDescent="0.25">
      <c r="A291" s="15"/>
      <c r="B291" s="16"/>
      <c r="C291" s="16"/>
      <c r="D291" s="16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8"/>
    </row>
    <row r="292" spans="1:16" x14ac:dyDescent="0.25">
      <c r="A292" s="15"/>
      <c r="B292" s="16"/>
      <c r="C292" s="16"/>
      <c r="D292" s="16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8"/>
    </row>
    <row r="293" spans="1:16" x14ac:dyDescent="0.25">
      <c r="A293" s="15"/>
      <c r="B293" s="16"/>
      <c r="C293" s="16"/>
      <c r="D293" s="16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8"/>
    </row>
    <row r="294" spans="1:16" x14ac:dyDescent="0.25">
      <c r="A294" s="15"/>
      <c r="B294" s="16"/>
      <c r="C294" s="16"/>
      <c r="D294" s="16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8"/>
    </row>
    <row r="295" spans="1:16" x14ac:dyDescent="0.25">
      <c r="A295" s="15"/>
      <c r="B295" s="16"/>
      <c r="C295" s="16"/>
      <c r="D295" s="16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8"/>
    </row>
    <row r="296" spans="1:16" x14ac:dyDescent="0.25">
      <c r="A296" s="15"/>
      <c r="B296" s="16"/>
      <c r="C296" s="16"/>
      <c r="D296" s="16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8"/>
    </row>
    <row r="297" spans="1:16" x14ac:dyDescent="0.25">
      <c r="A297" s="15"/>
      <c r="B297" s="16"/>
      <c r="C297" s="16"/>
      <c r="D297" s="16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8"/>
    </row>
    <row r="298" spans="1:16" x14ac:dyDescent="0.25">
      <c r="A298" s="15"/>
      <c r="B298" s="16"/>
      <c r="C298" s="16"/>
      <c r="D298" s="16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8"/>
    </row>
    <row r="299" spans="1:16" x14ac:dyDescent="0.25">
      <c r="A299" s="15"/>
      <c r="B299" s="16"/>
      <c r="C299" s="16"/>
      <c r="D299" s="16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8"/>
    </row>
    <row r="300" spans="1:16" x14ac:dyDescent="0.25">
      <c r="A300" s="15"/>
      <c r="B300" s="16"/>
      <c r="C300" s="16"/>
      <c r="D300" s="16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8"/>
    </row>
    <row r="301" spans="1:16" x14ac:dyDescent="0.25">
      <c r="A301" s="15"/>
      <c r="B301" s="16"/>
      <c r="C301" s="16"/>
      <c r="D301" s="16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8"/>
    </row>
    <row r="302" spans="1:16" x14ac:dyDescent="0.25">
      <c r="A302" s="15"/>
      <c r="B302" s="16"/>
      <c r="C302" s="16"/>
      <c r="D302" s="16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8"/>
    </row>
    <row r="303" spans="1:16" x14ac:dyDescent="0.25">
      <c r="A303" s="15"/>
      <c r="B303" s="16"/>
      <c r="C303" s="16"/>
      <c r="D303" s="16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8"/>
    </row>
    <row r="304" spans="1:16" x14ac:dyDescent="0.25">
      <c r="A304" s="15"/>
      <c r="B304" s="16"/>
      <c r="C304" s="16"/>
      <c r="D304" s="16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8"/>
    </row>
    <row r="305" spans="1:16" x14ac:dyDescent="0.25">
      <c r="A305" s="15"/>
      <c r="B305" s="16"/>
      <c r="C305" s="16"/>
      <c r="D305" s="16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8"/>
    </row>
    <row r="306" spans="1:16" x14ac:dyDescent="0.25">
      <c r="A306" s="15"/>
      <c r="B306" s="16"/>
      <c r="C306" s="16"/>
      <c r="D306" s="16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8"/>
    </row>
    <row r="307" spans="1:16" x14ac:dyDescent="0.25">
      <c r="A307" s="15"/>
      <c r="B307" s="16"/>
      <c r="C307" s="16"/>
      <c r="D307" s="16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8"/>
    </row>
    <row r="308" spans="1:16" x14ac:dyDescent="0.25">
      <c r="A308" s="15"/>
      <c r="B308" s="16"/>
      <c r="C308" s="16"/>
      <c r="D308" s="16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8"/>
    </row>
    <row r="309" spans="1:16" x14ac:dyDescent="0.25">
      <c r="A309" s="15"/>
      <c r="B309" s="16"/>
      <c r="C309" s="16"/>
      <c r="D309" s="16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8"/>
    </row>
    <row r="310" spans="1:16" x14ac:dyDescent="0.25">
      <c r="A310" s="15"/>
      <c r="B310" s="16"/>
      <c r="C310" s="16"/>
      <c r="D310" s="16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8"/>
    </row>
    <row r="311" spans="1:16" x14ac:dyDescent="0.25">
      <c r="A311" s="15"/>
      <c r="B311" s="16"/>
      <c r="C311" s="16"/>
      <c r="D311" s="16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8"/>
    </row>
    <row r="312" spans="1:16" x14ac:dyDescent="0.25">
      <c r="A312" s="15"/>
      <c r="B312" s="16"/>
      <c r="C312" s="16"/>
      <c r="D312" s="16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8"/>
    </row>
    <row r="313" spans="1:16" x14ac:dyDescent="0.25">
      <c r="A313" s="15"/>
      <c r="B313" s="16"/>
      <c r="C313" s="16"/>
      <c r="D313" s="16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8"/>
    </row>
    <row r="314" spans="1:16" x14ac:dyDescent="0.25">
      <c r="A314" s="15"/>
      <c r="B314" s="16"/>
      <c r="C314" s="16"/>
      <c r="D314" s="16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8"/>
    </row>
    <row r="315" spans="1:16" x14ac:dyDescent="0.25">
      <c r="A315" s="15"/>
      <c r="B315" s="16"/>
      <c r="C315" s="16"/>
      <c r="D315" s="16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8"/>
    </row>
    <row r="316" spans="1:16" x14ac:dyDescent="0.25">
      <c r="A316" s="15"/>
      <c r="B316" s="16"/>
      <c r="C316" s="16"/>
      <c r="D316" s="16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8"/>
    </row>
    <row r="317" spans="1:16" x14ac:dyDescent="0.25">
      <c r="A317" s="15"/>
      <c r="B317" s="16"/>
      <c r="C317" s="16"/>
      <c r="D317" s="16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8"/>
    </row>
    <row r="318" spans="1:16" x14ac:dyDescent="0.25">
      <c r="A318" s="15"/>
      <c r="B318" s="16"/>
      <c r="C318" s="16"/>
      <c r="D318" s="16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8"/>
    </row>
    <row r="319" spans="1:16" x14ac:dyDescent="0.25">
      <c r="A319" s="15"/>
      <c r="B319" s="16"/>
      <c r="C319" s="16"/>
      <c r="D319" s="16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8"/>
    </row>
    <row r="320" spans="1:16" x14ac:dyDescent="0.25">
      <c r="A320" s="15"/>
      <c r="B320" s="16"/>
      <c r="C320" s="16"/>
      <c r="D320" s="16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8"/>
    </row>
    <row r="321" spans="1:16" x14ac:dyDescent="0.25">
      <c r="A321" s="15"/>
      <c r="B321" s="16"/>
      <c r="C321" s="16"/>
      <c r="D321" s="16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8"/>
    </row>
    <row r="322" spans="1:16" x14ac:dyDescent="0.25">
      <c r="A322" s="15"/>
      <c r="B322" s="16"/>
      <c r="C322" s="16"/>
      <c r="D322" s="16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8"/>
    </row>
    <row r="323" spans="1:16" x14ac:dyDescent="0.25">
      <c r="A323" s="15"/>
      <c r="B323" s="16"/>
      <c r="C323" s="16"/>
      <c r="D323" s="16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8"/>
    </row>
    <row r="324" spans="1:16" x14ac:dyDescent="0.25">
      <c r="A324" s="15"/>
      <c r="B324" s="16"/>
      <c r="C324" s="16"/>
      <c r="D324" s="16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8"/>
    </row>
    <row r="325" spans="1:16" x14ac:dyDescent="0.25">
      <c r="A325" s="15"/>
      <c r="B325" s="16"/>
      <c r="C325" s="16"/>
      <c r="D325" s="16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8"/>
    </row>
    <row r="326" spans="1:16" x14ac:dyDescent="0.25">
      <c r="A326" s="15"/>
      <c r="B326" s="16"/>
      <c r="C326" s="16"/>
      <c r="D326" s="16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8"/>
    </row>
    <row r="327" spans="1:16" x14ac:dyDescent="0.25">
      <c r="A327" s="15"/>
      <c r="B327" s="16"/>
      <c r="C327" s="16"/>
      <c r="D327" s="16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8"/>
    </row>
    <row r="328" spans="1:16" x14ac:dyDescent="0.25">
      <c r="A328" s="15"/>
      <c r="B328" s="16"/>
      <c r="C328" s="16"/>
      <c r="D328" s="16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8"/>
    </row>
    <row r="329" spans="1:16" x14ac:dyDescent="0.25">
      <c r="A329" s="15"/>
      <c r="B329" s="16"/>
      <c r="C329" s="16"/>
      <c r="D329" s="16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8"/>
    </row>
    <row r="330" spans="1:16" x14ac:dyDescent="0.25">
      <c r="A330" s="15"/>
      <c r="B330" s="16"/>
      <c r="C330" s="16"/>
      <c r="D330" s="16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8"/>
    </row>
    <row r="331" spans="1:16" x14ac:dyDescent="0.25">
      <c r="A331" s="15"/>
      <c r="B331" s="16"/>
      <c r="C331" s="16"/>
      <c r="D331" s="16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8"/>
    </row>
    <row r="332" spans="1:16" x14ac:dyDescent="0.25">
      <c r="A332" s="15"/>
      <c r="B332" s="16"/>
      <c r="C332" s="16"/>
      <c r="D332" s="16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8"/>
    </row>
    <row r="333" spans="1:16" x14ac:dyDescent="0.25">
      <c r="A333" s="15"/>
      <c r="B333" s="16"/>
      <c r="C333" s="16"/>
      <c r="D333" s="16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8"/>
    </row>
    <row r="334" spans="1:16" x14ac:dyDescent="0.25">
      <c r="A334" s="15"/>
      <c r="B334" s="16"/>
      <c r="C334" s="16"/>
      <c r="D334" s="16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8"/>
    </row>
    <row r="335" spans="1:16" x14ac:dyDescent="0.25">
      <c r="A335" s="15"/>
      <c r="B335" s="16"/>
      <c r="C335" s="16"/>
      <c r="D335" s="16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8"/>
    </row>
    <row r="336" spans="1:16" x14ac:dyDescent="0.25">
      <c r="A336" s="15"/>
      <c r="B336" s="16"/>
      <c r="C336" s="16"/>
      <c r="D336" s="16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8"/>
    </row>
    <row r="337" spans="1:16" x14ac:dyDescent="0.25">
      <c r="A337" s="15"/>
      <c r="B337" s="16"/>
      <c r="C337" s="16"/>
      <c r="D337" s="16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8"/>
    </row>
    <row r="338" spans="1:16" x14ac:dyDescent="0.25">
      <c r="A338" s="15"/>
      <c r="B338" s="16"/>
      <c r="C338" s="16"/>
      <c r="D338" s="16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8"/>
    </row>
    <row r="339" spans="1:16" x14ac:dyDescent="0.25">
      <c r="A339" s="15"/>
      <c r="B339" s="16"/>
      <c r="C339" s="16"/>
      <c r="D339" s="16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8"/>
    </row>
    <row r="340" spans="1:16" x14ac:dyDescent="0.25">
      <c r="A340" s="15"/>
      <c r="B340" s="16"/>
      <c r="C340" s="16"/>
      <c r="D340" s="16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8"/>
    </row>
    <row r="341" spans="1:16" x14ac:dyDescent="0.25">
      <c r="A341" s="15"/>
      <c r="B341" s="16"/>
      <c r="C341" s="16"/>
      <c r="D341" s="16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8"/>
    </row>
    <row r="342" spans="1:16" x14ac:dyDescent="0.25">
      <c r="A342" s="15"/>
      <c r="B342" s="16"/>
      <c r="C342" s="16"/>
      <c r="D342" s="16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8"/>
    </row>
    <row r="343" spans="1:16" x14ac:dyDescent="0.25">
      <c r="A343" s="15"/>
      <c r="B343" s="16"/>
      <c r="C343" s="16"/>
      <c r="D343" s="16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8"/>
    </row>
    <row r="344" spans="1:16" x14ac:dyDescent="0.25">
      <c r="A344" s="15"/>
      <c r="B344" s="16"/>
      <c r="C344" s="16"/>
      <c r="D344" s="16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8"/>
    </row>
    <row r="345" spans="1:16" x14ac:dyDescent="0.25">
      <c r="A345" s="15"/>
      <c r="B345" s="16"/>
      <c r="C345" s="16"/>
      <c r="D345" s="16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8"/>
    </row>
    <row r="346" spans="1:16" x14ac:dyDescent="0.25">
      <c r="A346" s="15"/>
      <c r="B346" s="16"/>
      <c r="C346" s="16"/>
      <c r="D346" s="16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8"/>
    </row>
    <row r="347" spans="1:16" x14ac:dyDescent="0.25">
      <c r="A347" s="15"/>
      <c r="B347" s="16"/>
      <c r="C347" s="16"/>
      <c r="D347" s="16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8"/>
    </row>
    <row r="348" spans="1:16" x14ac:dyDescent="0.25">
      <c r="A348" s="15"/>
      <c r="B348" s="16"/>
      <c r="C348" s="16"/>
      <c r="D348" s="16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8"/>
    </row>
    <row r="349" spans="1:16" x14ac:dyDescent="0.25">
      <c r="A349" s="15"/>
      <c r="B349" s="16"/>
      <c r="C349" s="16"/>
      <c r="D349" s="16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8"/>
    </row>
    <row r="350" spans="1:16" x14ac:dyDescent="0.25">
      <c r="A350" s="15"/>
      <c r="B350" s="16"/>
      <c r="C350" s="16"/>
      <c r="D350" s="16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8"/>
    </row>
    <row r="351" spans="1:16" x14ac:dyDescent="0.25">
      <c r="A351" s="15"/>
      <c r="B351" s="16"/>
      <c r="C351" s="16"/>
      <c r="D351" s="16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8"/>
    </row>
    <row r="352" spans="1:16" x14ac:dyDescent="0.25">
      <c r="A352" s="15"/>
      <c r="B352" s="16"/>
      <c r="C352" s="16"/>
      <c r="D352" s="16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8"/>
    </row>
    <row r="353" spans="1:16" x14ac:dyDescent="0.25">
      <c r="A353" s="15"/>
      <c r="B353" s="16"/>
      <c r="C353" s="16"/>
      <c r="D353" s="16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8"/>
    </row>
    <row r="354" spans="1:16" x14ac:dyDescent="0.25">
      <c r="A354" s="15"/>
      <c r="B354" s="16"/>
      <c r="C354" s="16"/>
      <c r="D354" s="16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8"/>
    </row>
    <row r="355" spans="1:16" x14ac:dyDescent="0.25">
      <c r="A355" s="15"/>
      <c r="B355" s="16"/>
      <c r="C355" s="16"/>
      <c r="D355" s="16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8"/>
    </row>
    <row r="356" spans="1:16" x14ac:dyDescent="0.25">
      <c r="A356" s="15"/>
      <c r="B356" s="16"/>
      <c r="C356" s="16"/>
      <c r="D356" s="16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8"/>
    </row>
    <row r="357" spans="1:16" x14ac:dyDescent="0.25">
      <c r="A357" s="15"/>
      <c r="B357" s="16"/>
      <c r="C357" s="16"/>
      <c r="D357" s="16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8"/>
    </row>
    <row r="358" spans="1:16" x14ac:dyDescent="0.25">
      <c r="A358" s="15"/>
      <c r="B358" s="16"/>
      <c r="C358" s="16"/>
      <c r="D358" s="16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8"/>
    </row>
    <row r="359" spans="1:16" x14ac:dyDescent="0.25">
      <c r="A359" s="15"/>
      <c r="B359" s="16"/>
      <c r="C359" s="16"/>
      <c r="D359" s="16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8"/>
    </row>
    <row r="360" spans="1:16" x14ac:dyDescent="0.25">
      <c r="A360" s="15"/>
      <c r="B360" s="16"/>
      <c r="C360" s="16"/>
      <c r="D360" s="16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8"/>
    </row>
    <row r="361" spans="1:16" x14ac:dyDescent="0.25">
      <c r="A361" s="15"/>
      <c r="B361" s="16"/>
      <c r="C361" s="16"/>
      <c r="D361" s="16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8"/>
    </row>
    <row r="362" spans="1:16" x14ac:dyDescent="0.25">
      <c r="A362" s="15"/>
      <c r="B362" s="16"/>
      <c r="C362" s="16"/>
      <c r="D362" s="16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8"/>
    </row>
    <row r="363" spans="1:16" x14ac:dyDescent="0.25">
      <c r="A363" s="15"/>
      <c r="B363" s="16"/>
      <c r="C363" s="16"/>
      <c r="D363" s="16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8"/>
    </row>
    <row r="364" spans="1:16" x14ac:dyDescent="0.25">
      <c r="A364" s="15"/>
      <c r="B364" s="16"/>
      <c r="C364" s="16"/>
      <c r="D364" s="16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8"/>
    </row>
    <row r="365" spans="1:16" x14ac:dyDescent="0.25">
      <c r="A365" s="15"/>
      <c r="B365" s="16"/>
      <c r="C365" s="16"/>
      <c r="D365" s="16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8"/>
    </row>
    <row r="366" spans="1:16" x14ac:dyDescent="0.25">
      <c r="A366" s="15"/>
      <c r="B366" s="16"/>
      <c r="C366" s="16"/>
      <c r="D366" s="16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8"/>
    </row>
    <row r="367" spans="1:16" x14ac:dyDescent="0.25">
      <c r="A367" s="15"/>
      <c r="B367" s="16"/>
      <c r="C367" s="16"/>
      <c r="D367" s="16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8"/>
    </row>
    <row r="368" spans="1:16" x14ac:dyDescent="0.25">
      <c r="A368" s="15"/>
      <c r="B368" s="16"/>
      <c r="C368" s="16"/>
      <c r="D368" s="16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8"/>
    </row>
    <row r="369" spans="1:16" x14ac:dyDescent="0.25">
      <c r="A369" s="15"/>
      <c r="B369" s="16"/>
      <c r="C369" s="16"/>
      <c r="D369" s="16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8"/>
    </row>
    <row r="370" spans="1:16" x14ac:dyDescent="0.25">
      <c r="A370" s="15"/>
      <c r="B370" s="16"/>
      <c r="C370" s="16"/>
      <c r="D370" s="16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8"/>
    </row>
    <row r="371" spans="1:16" x14ac:dyDescent="0.25">
      <c r="A371" s="15"/>
      <c r="B371" s="16"/>
      <c r="C371" s="16"/>
      <c r="D371" s="16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8"/>
    </row>
    <row r="372" spans="1:16" x14ac:dyDescent="0.25">
      <c r="A372" s="15"/>
      <c r="B372" s="16"/>
      <c r="C372" s="16"/>
      <c r="D372" s="16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8"/>
    </row>
    <row r="373" spans="1:16" x14ac:dyDescent="0.25">
      <c r="A373" s="15"/>
      <c r="B373" s="16"/>
      <c r="C373" s="16"/>
      <c r="D373" s="16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8"/>
    </row>
    <row r="374" spans="1:16" x14ac:dyDescent="0.25">
      <c r="A374" s="15"/>
      <c r="B374" s="16"/>
      <c r="C374" s="16"/>
      <c r="D374" s="16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8"/>
    </row>
    <row r="375" spans="1:16" x14ac:dyDescent="0.25">
      <c r="A375" s="15"/>
      <c r="B375" s="16"/>
      <c r="C375" s="16"/>
      <c r="D375" s="16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8"/>
    </row>
    <row r="376" spans="1:16" x14ac:dyDescent="0.25">
      <c r="A376" s="15"/>
      <c r="B376" s="16"/>
      <c r="C376" s="16"/>
      <c r="D376" s="16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8"/>
    </row>
    <row r="377" spans="1:16" x14ac:dyDescent="0.25">
      <c r="A377" s="15"/>
      <c r="B377" s="16"/>
      <c r="C377" s="16"/>
      <c r="D377" s="16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8"/>
    </row>
    <row r="378" spans="1:16" x14ac:dyDescent="0.25">
      <c r="A378" s="15"/>
      <c r="B378" s="16"/>
      <c r="C378" s="16"/>
      <c r="D378" s="16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8"/>
    </row>
    <row r="379" spans="1:16" x14ac:dyDescent="0.25">
      <c r="A379" s="15"/>
      <c r="B379" s="16"/>
      <c r="C379" s="16"/>
      <c r="D379" s="16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8"/>
    </row>
    <row r="380" spans="1:16" x14ac:dyDescent="0.25">
      <c r="A380" s="15"/>
      <c r="B380" s="16"/>
      <c r="C380" s="16"/>
      <c r="D380" s="16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8"/>
    </row>
    <row r="381" spans="1:16" x14ac:dyDescent="0.25">
      <c r="A381" s="15"/>
      <c r="B381" s="16"/>
      <c r="C381" s="16"/>
      <c r="D381" s="16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8"/>
    </row>
    <row r="382" spans="1:16" x14ac:dyDescent="0.25">
      <c r="A382" s="15"/>
      <c r="B382" s="16"/>
      <c r="C382" s="16"/>
      <c r="D382" s="16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8"/>
    </row>
    <row r="383" spans="1:16" x14ac:dyDescent="0.25">
      <c r="A383" s="15"/>
      <c r="B383" s="16"/>
      <c r="C383" s="16"/>
      <c r="D383" s="16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8"/>
    </row>
    <row r="384" spans="1:16" x14ac:dyDescent="0.25">
      <c r="A384" s="15"/>
      <c r="B384" s="16"/>
      <c r="C384" s="16"/>
      <c r="D384" s="16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8"/>
    </row>
    <row r="385" spans="1:16" x14ac:dyDescent="0.25">
      <c r="A385" s="15"/>
      <c r="B385" s="16"/>
      <c r="C385" s="16"/>
      <c r="D385" s="16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8"/>
    </row>
    <row r="386" spans="1:16" x14ac:dyDescent="0.25">
      <c r="A386" s="15"/>
      <c r="B386" s="16"/>
      <c r="C386" s="16"/>
      <c r="D386" s="16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8"/>
    </row>
    <row r="387" spans="1:16" x14ac:dyDescent="0.25">
      <c r="A387" s="15"/>
      <c r="B387" s="16"/>
      <c r="C387" s="16"/>
      <c r="D387" s="16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8"/>
    </row>
    <row r="388" spans="1:16" x14ac:dyDescent="0.25">
      <c r="A388" s="15"/>
      <c r="B388" s="16"/>
      <c r="C388" s="16"/>
      <c r="D388" s="16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8"/>
    </row>
    <row r="389" spans="1:16" x14ac:dyDescent="0.25">
      <c r="A389" s="15"/>
      <c r="B389" s="16"/>
      <c r="C389" s="16"/>
      <c r="D389" s="16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8"/>
    </row>
    <row r="390" spans="1:16" x14ac:dyDescent="0.25">
      <c r="A390" s="15"/>
      <c r="B390" s="16"/>
      <c r="C390" s="16"/>
      <c r="D390" s="16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8"/>
    </row>
    <row r="391" spans="1:16" x14ac:dyDescent="0.25">
      <c r="A391" s="15"/>
      <c r="B391" s="16"/>
      <c r="C391" s="16"/>
      <c r="D391" s="16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8"/>
    </row>
    <row r="392" spans="1:16" x14ac:dyDescent="0.25">
      <c r="A392" s="15"/>
      <c r="B392" s="16"/>
      <c r="C392" s="16"/>
      <c r="D392" s="16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8"/>
    </row>
    <row r="393" spans="1:16" x14ac:dyDescent="0.25">
      <c r="A393" s="15"/>
      <c r="B393" s="16"/>
      <c r="C393" s="16"/>
      <c r="D393" s="16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8"/>
    </row>
    <row r="394" spans="1:16" x14ac:dyDescent="0.25">
      <c r="A394" s="15"/>
      <c r="B394" s="16"/>
      <c r="C394" s="16"/>
      <c r="D394" s="16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8"/>
    </row>
    <row r="395" spans="1:16" x14ac:dyDescent="0.25">
      <c r="A395" s="15"/>
      <c r="B395" s="16"/>
      <c r="C395" s="16"/>
      <c r="D395" s="16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8"/>
    </row>
    <row r="396" spans="1:16" x14ac:dyDescent="0.25">
      <c r="A396" s="15"/>
      <c r="B396" s="16"/>
      <c r="C396" s="16"/>
      <c r="D396" s="16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8"/>
    </row>
    <row r="397" spans="1:16" x14ac:dyDescent="0.25">
      <c r="A397" s="15"/>
      <c r="B397" s="16"/>
      <c r="C397" s="16"/>
      <c r="D397" s="16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8"/>
    </row>
    <row r="398" spans="1:16" x14ac:dyDescent="0.25">
      <c r="A398" s="15"/>
      <c r="B398" s="16"/>
      <c r="C398" s="16"/>
      <c r="D398" s="16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8"/>
    </row>
    <row r="399" spans="1:16" x14ac:dyDescent="0.25">
      <c r="A399" s="15"/>
      <c r="B399" s="16"/>
      <c r="C399" s="16"/>
      <c r="D399" s="16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8"/>
    </row>
    <row r="400" spans="1:16" x14ac:dyDescent="0.25">
      <c r="A400" s="15"/>
      <c r="B400" s="16"/>
      <c r="C400" s="16"/>
      <c r="D400" s="16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8"/>
    </row>
    <row r="401" spans="1:16" x14ac:dyDescent="0.25">
      <c r="A401" s="15"/>
      <c r="B401" s="16"/>
      <c r="C401" s="16"/>
      <c r="D401" s="16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8"/>
    </row>
    <row r="402" spans="1:16" x14ac:dyDescent="0.25">
      <c r="A402" s="15"/>
      <c r="B402" s="16"/>
      <c r="C402" s="16"/>
      <c r="D402" s="16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8"/>
    </row>
    <row r="403" spans="1:16" x14ac:dyDescent="0.25">
      <c r="A403" s="15"/>
      <c r="B403" s="16"/>
      <c r="C403" s="16"/>
      <c r="D403" s="16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8"/>
    </row>
    <row r="404" spans="1:16" x14ac:dyDescent="0.25">
      <c r="A404" s="15"/>
      <c r="B404" s="16"/>
      <c r="C404" s="16"/>
      <c r="D404" s="16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8"/>
    </row>
    <row r="405" spans="1:16" x14ac:dyDescent="0.25">
      <c r="A405" s="15"/>
      <c r="B405" s="16"/>
      <c r="C405" s="16"/>
      <c r="D405" s="16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8"/>
    </row>
    <row r="406" spans="1:16" x14ac:dyDescent="0.25">
      <c r="A406" s="15"/>
      <c r="B406" s="16"/>
      <c r="C406" s="16"/>
      <c r="D406" s="16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8"/>
    </row>
    <row r="407" spans="1:16" x14ac:dyDescent="0.25">
      <c r="A407" s="15"/>
      <c r="B407" s="16"/>
      <c r="C407" s="16"/>
      <c r="D407" s="16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8"/>
    </row>
    <row r="408" spans="1:16" x14ac:dyDescent="0.25">
      <c r="A408" s="15"/>
      <c r="B408" s="16"/>
      <c r="C408" s="16"/>
      <c r="D408" s="16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8"/>
    </row>
    <row r="409" spans="1:16" x14ac:dyDescent="0.25">
      <c r="A409" s="15"/>
      <c r="B409" s="16"/>
      <c r="C409" s="16"/>
      <c r="D409" s="16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8"/>
    </row>
    <row r="410" spans="1:16" x14ac:dyDescent="0.25">
      <c r="A410" s="15"/>
      <c r="B410" s="16"/>
      <c r="C410" s="16"/>
      <c r="D410" s="16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8"/>
    </row>
    <row r="411" spans="1:16" x14ac:dyDescent="0.25">
      <c r="A411" s="15"/>
      <c r="B411" s="16"/>
      <c r="C411" s="16"/>
      <c r="D411" s="16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8"/>
    </row>
    <row r="412" spans="1:16" x14ac:dyDescent="0.25">
      <c r="A412" s="15"/>
      <c r="B412" s="16"/>
      <c r="C412" s="16"/>
      <c r="D412" s="16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8"/>
    </row>
    <row r="413" spans="1:16" x14ac:dyDescent="0.25">
      <c r="A413" s="15"/>
      <c r="B413" s="16"/>
      <c r="C413" s="16"/>
      <c r="D413" s="16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8"/>
    </row>
    <row r="414" spans="1:16" x14ac:dyDescent="0.25">
      <c r="A414" s="15"/>
      <c r="B414" s="16"/>
      <c r="C414" s="16"/>
      <c r="D414" s="16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8"/>
    </row>
    <row r="415" spans="1:16" x14ac:dyDescent="0.25">
      <c r="A415" s="15"/>
      <c r="B415" s="16"/>
      <c r="C415" s="16"/>
      <c r="D415" s="16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8"/>
    </row>
    <row r="416" spans="1:16" x14ac:dyDescent="0.25">
      <c r="A416" s="15"/>
      <c r="B416" s="16"/>
      <c r="C416" s="16"/>
      <c r="D416" s="16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8"/>
    </row>
    <row r="417" spans="1:16" x14ac:dyDescent="0.25">
      <c r="A417" s="15"/>
      <c r="B417" s="16"/>
      <c r="C417" s="16"/>
      <c r="D417" s="16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8"/>
    </row>
    <row r="418" spans="1:16" x14ac:dyDescent="0.25">
      <c r="A418" s="15"/>
      <c r="B418" s="16"/>
      <c r="C418" s="16"/>
      <c r="D418" s="16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8"/>
    </row>
    <row r="419" spans="1:16" x14ac:dyDescent="0.25">
      <c r="A419" s="15"/>
      <c r="B419" s="16"/>
      <c r="C419" s="16"/>
      <c r="D419" s="16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8"/>
    </row>
    <row r="420" spans="1:16" x14ac:dyDescent="0.25">
      <c r="A420" s="15"/>
      <c r="B420" s="16"/>
      <c r="C420" s="16"/>
      <c r="D420" s="16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8"/>
    </row>
    <row r="421" spans="1:16" x14ac:dyDescent="0.25">
      <c r="A421" s="15"/>
      <c r="B421" s="16"/>
      <c r="C421" s="16"/>
      <c r="D421" s="16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8"/>
    </row>
    <row r="422" spans="1:16" x14ac:dyDescent="0.25">
      <c r="A422" s="15"/>
      <c r="B422" s="16"/>
      <c r="C422" s="16"/>
      <c r="D422" s="16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8"/>
    </row>
    <row r="423" spans="1:16" x14ac:dyDescent="0.25">
      <c r="A423" s="15"/>
      <c r="B423" s="16"/>
      <c r="C423" s="16"/>
      <c r="D423" s="16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8"/>
    </row>
    <row r="424" spans="1:16" x14ac:dyDescent="0.25">
      <c r="A424" s="15"/>
      <c r="B424" s="16"/>
      <c r="C424" s="16"/>
      <c r="D424" s="16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8"/>
    </row>
    <row r="425" spans="1:16" x14ac:dyDescent="0.25">
      <c r="A425" s="15"/>
      <c r="B425" s="16"/>
      <c r="C425" s="16"/>
      <c r="D425" s="16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8"/>
    </row>
    <row r="426" spans="1:16" x14ac:dyDescent="0.25">
      <c r="A426" s="15"/>
      <c r="B426" s="16"/>
      <c r="C426" s="16"/>
      <c r="D426" s="16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8"/>
    </row>
    <row r="427" spans="1:16" x14ac:dyDescent="0.25">
      <c r="A427" s="15"/>
      <c r="B427" s="16"/>
      <c r="C427" s="16"/>
      <c r="D427" s="16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8"/>
    </row>
    <row r="428" spans="1:16" x14ac:dyDescent="0.25">
      <c r="A428" s="15"/>
      <c r="B428" s="16"/>
      <c r="C428" s="16"/>
      <c r="D428" s="16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8"/>
    </row>
    <row r="429" spans="1:16" x14ac:dyDescent="0.25">
      <c r="A429" s="15"/>
      <c r="B429" s="16"/>
      <c r="C429" s="16"/>
      <c r="D429" s="16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8"/>
    </row>
    <row r="430" spans="1:16" x14ac:dyDescent="0.25">
      <c r="A430" s="15"/>
      <c r="B430" s="16"/>
      <c r="C430" s="16"/>
      <c r="D430" s="16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8"/>
    </row>
    <row r="431" spans="1:16" x14ac:dyDescent="0.25">
      <c r="A431" s="15"/>
      <c r="B431" s="16"/>
      <c r="C431" s="16"/>
      <c r="D431" s="16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8"/>
    </row>
    <row r="432" spans="1:16" x14ac:dyDescent="0.25">
      <c r="A432" s="15"/>
      <c r="B432" s="16"/>
      <c r="C432" s="16"/>
      <c r="D432" s="16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8"/>
    </row>
    <row r="433" spans="1:16" x14ac:dyDescent="0.25">
      <c r="A433" s="15"/>
      <c r="B433" s="16"/>
      <c r="C433" s="16"/>
      <c r="D433" s="16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8"/>
    </row>
    <row r="434" spans="1:16" x14ac:dyDescent="0.25">
      <c r="A434" s="15"/>
      <c r="B434" s="16"/>
      <c r="C434" s="16"/>
      <c r="D434" s="16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8"/>
    </row>
    <row r="435" spans="1:16" x14ac:dyDescent="0.25">
      <c r="A435" s="15"/>
      <c r="B435" s="16"/>
      <c r="C435" s="16"/>
      <c r="D435" s="16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8"/>
    </row>
    <row r="436" spans="1:16" x14ac:dyDescent="0.25">
      <c r="A436" s="15"/>
      <c r="B436" s="16"/>
      <c r="C436" s="16"/>
      <c r="D436" s="16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8"/>
    </row>
    <row r="437" spans="1:16" x14ac:dyDescent="0.25">
      <c r="A437" s="15"/>
      <c r="B437" s="16"/>
      <c r="C437" s="16"/>
      <c r="D437" s="16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8"/>
    </row>
    <row r="438" spans="1:16" x14ac:dyDescent="0.25">
      <c r="A438" s="15"/>
      <c r="B438" s="16"/>
      <c r="C438" s="16"/>
      <c r="D438" s="16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8"/>
    </row>
    <row r="439" spans="1:16" x14ac:dyDescent="0.25">
      <c r="A439" s="15"/>
      <c r="B439" s="16"/>
      <c r="C439" s="16"/>
      <c r="D439" s="16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8"/>
    </row>
    <row r="440" spans="1:16" x14ac:dyDescent="0.25">
      <c r="A440" s="15"/>
      <c r="B440" s="16"/>
      <c r="C440" s="16"/>
      <c r="D440" s="16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8"/>
    </row>
    <row r="441" spans="1:16" x14ac:dyDescent="0.25">
      <c r="A441" s="15"/>
      <c r="B441" s="16"/>
      <c r="C441" s="16"/>
      <c r="D441" s="16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8"/>
    </row>
    <row r="442" spans="1:16" x14ac:dyDescent="0.25">
      <c r="A442" s="15"/>
      <c r="B442" s="16"/>
      <c r="C442" s="16"/>
      <c r="D442" s="16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8"/>
    </row>
    <row r="443" spans="1:16" x14ac:dyDescent="0.25">
      <c r="A443" s="15"/>
      <c r="B443" s="16"/>
      <c r="C443" s="16"/>
      <c r="D443" s="16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8"/>
    </row>
    <row r="444" spans="1:16" x14ac:dyDescent="0.25">
      <c r="A444" s="15"/>
      <c r="B444" s="16"/>
      <c r="C444" s="16"/>
      <c r="D444" s="16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8"/>
    </row>
    <row r="445" spans="1:16" x14ac:dyDescent="0.25">
      <c r="A445" s="15"/>
      <c r="B445" s="16"/>
      <c r="C445" s="16"/>
      <c r="D445" s="16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8"/>
    </row>
    <row r="446" spans="1:16" x14ac:dyDescent="0.25">
      <c r="A446" s="15"/>
      <c r="B446" s="16"/>
      <c r="C446" s="16"/>
      <c r="D446" s="16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8"/>
    </row>
    <row r="447" spans="1:16" x14ac:dyDescent="0.25">
      <c r="A447" s="15"/>
      <c r="B447" s="16"/>
      <c r="C447" s="16"/>
      <c r="D447" s="16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8"/>
    </row>
    <row r="448" spans="1:16" x14ac:dyDescent="0.25">
      <c r="A448" s="15"/>
      <c r="B448" s="16"/>
      <c r="C448" s="16"/>
      <c r="D448" s="16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8"/>
    </row>
    <row r="449" spans="1:16" x14ac:dyDescent="0.25">
      <c r="A449" s="15"/>
      <c r="B449" s="16"/>
      <c r="C449" s="16"/>
      <c r="D449" s="16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8"/>
    </row>
    <row r="450" spans="1:16" x14ac:dyDescent="0.25">
      <c r="A450" s="15"/>
      <c r="B450" s="16"/>
      <c r="C450" s="16"/>
      <c r="D450" s="16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8"/>
    </row>
    <row r="451" spans="1:16" x14ac:dyDescent="0.25">
      <c r="A451" s="15"/>
      <c r="B451" s="16"/>
      <c r="C451" s="16"/>
      <c r="D451" s="16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8"/>
    </row>
    <row r="452" spans="1:16" x14ac:dyDescent="0.25">
      <c r="A452" s="15"/>
      <c r="B452" s="16"/>
      <c r="C452" s="16"/>
      <c r="D452" s="16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8"/>
    </row>
    <row r="453" spans="1:16" x14ac:dyDescent="0.25">
      <c r="A453" s="15"/>
      <c r="B453" s="16"/>
      <c r="C453" s="16"/>
      <c r="D453" s="16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8"/>
    </row>
    <row r="454" spans="1:16" x14ac:dyDescent="0.25">
      <c r="A454" s="15"/>
      <c r="B454" s="16"/>
      <c r="C454" s="16"/>
      <c r="D454" s="16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8"/>
    </row>
    <row r="455" spans="1:16" x14ac:dyDescent="0.25">
      <c r="A455" s="15"/>
      <c r="B455" s="16"/>
      <c r="C455" s="16"/>
      <c r="D455" s="16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8"/>
    </row>
    <row r="456" spans="1:16" x14ac:dyDescent="0.25">
      <c r="A456" s="15"/>
      <c r="B456" s="16"/>
      <c r="C456" s="16"/>
      <c r="D456" s="16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8"/>
    </row>
    <row r="457" spans="1:16" x14ac:dyDescent="0.25">
      <c r="A457" s="15"/>
      <c r="B457" s="16"/>
      <c r="C457" s="16"/>
      <c r="D457" s="16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8"/>
    </row>
    <row r="458" spans="1:16" x14ac:dyDescent="0.25">
      <c r="A458" s="15"/>
      <c r="B458" s="16"/>
      <c r="C458" s="16"/>
      <c r="D458" s="16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8"/>
    </row>
    <row r="459" spans="1:16" x14ac:dyDescent="0.25">
      <c r="A459" s="15"/>
      <c r="B459" s="16"/>
      <c r="C459" s="16"/>
      <c r="D459" s="16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8"/>
    </row>
    <row r="460" spans="1:16" x14ac:dyDescent="0.25">
      <c r="A460" s="15"/>
      <c r="B460" s="16"/>
      <c r="C460" s="16"/>
      <c r="D460" s="16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8"/>
    </row>
    <row r="461" spans="1:16" x14ac:dyDescent="0.25">
      <c r="A461" s="15"/>
      <c r="B461" s="16"/>
      <c r="C461" s="16"/>
      <c r="D461" s="16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8"/>
    </row>
    <row r="462" spans="1:16" x14ac:dyDescent="0.25">
      <c r="A462" s="15"/>
      <c r="B462" s="16"/>
      <c r="C462" s="16"/>
      <c r="D462" s="16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8"/>
    </row>
    <row r="463" spans="1:16" x14ac:dyDescent="0.25">
      <c r="A463" s="15"/>
      <c r="B463" s="16"/>
      <c r="C463" s="16"/>
      <c r="D463" s="16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8"/>
    </row>
    <row r="464" spans="1:16" x14ac:dyDescent="0.25">
      <c r="A464" s="15"/>
      <c r="B464" s="16"/>
      <c r="C464" s="16"/>
      <c r="D464" s="16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8"/>
    </row>
    <row r="465" spans="1:16" x14ac:dyDescent="0.25">
      <c r="A465" s="15"/>
      <c r="B465" s="16"/>
      <c r="C465" s="16"/>
      <c r="D465" s="16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8"/>
    </row>
    <row r="466" spans="1:16" x14ac:dyDescent="0.25">
      <c r="A466" s="15"/>
      <c r="B466" s="16"/>
      <c r="C466" s="16"/>
      <c r="D466" s="16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8"/>
    </row>
    <row r="467" spans="1:16" x14ac:dyDescent="0.25">
      <c r="A467" s="15"/>
      <c r="B467" s="16"/>
      <c r="C467" s="16"/>
      <c r="D467" s="16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8"/>
    </row>
    <row r="468" spans="1:16" x14ac:dyDescent="0.25">
      <c r="A468" s="15"/>
      <c r="B468" s="16"/>
      <c r="C468" s="16"/>
      <c r="D468" s="16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8"/>
    </row>
    <row r="469" spans="1:16" x14ac:dyDescent="0.25">
      <c r="A469" s="15"/>
      <c r="B469" s="16"/>
      <c r="C469" s="16"/>
      <c r="D469" s="16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8"/>
    </row>
    <row r="470" spans="1:16" x14ac:dyDescent="0.25">
      <c r="A470" s="15"/>
      <c r="B470" s="16"/>
      <c r="C470" s="16"/>
      <c r="D470" s="16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8"/>
    </row>
    <row r="471" spans="1:16" x14ac:dyDescent="0.25">
      <c r="A471" s="15"/>
      <c r="B471" s="16"/>
      <c r="C471" s="16"/>
      <c r="D471" s="16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8"/>
    </row>
    <row r="472" spans="1:16" x14ac:dyDescent="0.25">
      <c r="A472" s="15"/>
      <c r="B472" s="16"/>
      <c r="C472" s="16"/>
      <c r="D472" s="16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8"/>
    </row>
    <row r="473" spans="1:16" x14ac:dyDescent="0.25">
      <c r="A473" s="15"/>
      <c r="B473" s="16"/>
      <c r="C473" s="16"/>
      <c r="D473" s="16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8"/>
    </row>
    <row r="474" spans="1:16" x14ac:dyDescent="0.25">
      <c r="A474" s="15"/>
      <c r="B474" s="16"/>
      <c r="C474" s="16"/>
      <c r="D474" s="16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8"/>
    </row>
    <row r="475" spans="1:16" x14ac:dyDescent="0.25">
      <c r="A475" s="15"/>
      <c r="B475" s="16"/>
      <c r="C475" s="16"/>
      <c r="D475" s="16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8"/>
    </row>
    <row r="476" spans="1:16" x14ac:dyDescent="0.25">
      <c r="A476" s="15"/>
      <c r="B476" s="16"/>
      <c r="C476" s="16"/>
      <c r="D476" s="16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8"/>
    </row>
    <row r="477" spans="1:16" x14ac:dyDescent="0.25">
      <c r="A477" s="15"/>
      <c r="B477" s="16"/>
      <c r="C477" s="16"/>
      <c r="D477" s="16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8"/>
    </row>
    <row r="478" spans="1:16" x14ac:dyDescent="0.25">
      <c r="A478" s="15"/>
      <c r="B478" s="16"/>
      <c r="C478" s="16"/>
      <c r="D478" s="16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8"/>
    </row>
    <row r="479" spans="1:16" x14ac:dyDescent="0.25">
      <c r="A479" s="15"/>
      <c r="B479" s="16"/>
      <c r="C479" s="16"/>
      <c r="D479" s="16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8"/>
    </row>
    <row r="480" spans="1:16" x14ac:dyDescent="0.25">
      <c r="A480" s="15"/>
      <c r="B480" s="16"/>
      <c r="C480" s="16"/>
      <c r="D480" s="16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8"/>
    </row>
    <row r="481" spans="1:16" x14ac:dyDescent="0.25">
      <c r="A481" s="15"/>
      <c r="B481" s="16"/>
      <c r="C481" s="16"/>
      <c r="D481" s="16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8"/>
    </row>
    <row r="482" spans="1:16" x14ac:dyDescent="0.25">
      <c r="A482" s="15"/>
      <c r="B482" s="16"/>
      <c r="C482" s="16"/>
      <c r="D482" s="16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8"/>
    </row>
    <row r="483" spans="1:16" x14ac:dyDescent="0.25">
      <c r="A483" s="15"/>
      <c r="B483" s="16"/>
      <c r="C483" s="16"/>
      <c r="D483" s="16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8"/>
    </row>
    <row r="484" spans="1:16" x14ac:dyDescent="0.25">
      <c r="A484" s="15"/>
      <c r="B484" s="16"/>
      <c r="C484" s="16"/>
      <c r="D484" s="16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8"/>
    </row>
    <row r="485" spans="1:16" x14ac:dyDescent="0.25">
      <c r="A485" s="15"/>
      <c r="B485" s="16"/>
      <c r="C485" s="16"/>
      <c r="D485" s="16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8"/>
    </row>
    <row r="486" spans="1:16" x14ac:dyDescent="0.25">
      <c r="A486" s="15"/>
      <c r="B486" s="16"/>
      <c r="C486" s="16"/>
      <c r="D486" s="16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8"/>
    </row>
    <row r="487" spans="1:16" x14ac:dyDescent="0.25">
      <c r="A487" s="15"/>
      <c r="B487" s="16"/>
      <c r="C487" s="16"/>
      <c r="D487" s="16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8"/>
    </row>
    <row r="488" spans="1:16" x14ac:dyDescent="0.25">
      <c r="A488" s="15"/>
      <c r="B488" s="16"/>
      <c r="C488" s="16"/>
      <c r="D488" s="16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8"/>
    </row>
    <row r="489" spans="1:16" x14ac:dyDescent="0.25">
      <c r="A489" s="15"/>
      <c r="B489" s="16"/>
      <c r="C489" s="16"/>
      <c r="D489" s="16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8"/>
    </row>
    <row r="490" spans="1:16" x14ac:dyDescent="0.25">
      <c r="A490" s="15"/>
      <c r="B490" s="16"/>
      <c r="C490" s="16"/>
      <c r="D490" s="16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8"/>
    </row>
    <row r="491" spans="1:16" x14ac:dyDescent="0.25">
      <c r="A491" s="15"/>
      <c r="B491" s="16"/>
      <c r="C491" s="16"/>
      <c r="D491" s="16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8"/>
    </row>
    <row r="492" spans="1:16" x14ac:dyDescent="0.25">
      <c r="A492" s="15"/>
      <c r="B492" s="16"/>
      <c r="C492" s="16"/>
      <c r="D492" s="16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8"/>
    </row>
    <row r="493" spans="1:16" x14ac:dyDescent="0.25">
      <c r="A493" s="15"/>
      <c r="B493" s="16"/>
      <c r="C493" s="16"/>
      <c r="D493" s="16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8"/>
    </row>
    <row r="494" spans="1:16" x14ac:dyDescent="0.25">
      <c r="A494" s="15"/>
      <c r="B494" s="16"/>
      <c r="C494" s="16"/>
      <c r="D494" s="16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8"/>
    </row>
    <row r="495" spans="1:16" x14ac:dyDescent="0.25">
      <c r="A495" s="15"/>
      <c r="B495" s="16"/>
      <c r="C495" s="16"/>
      <c r="D495" s="16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8"/>
    </row>
    <row r="496" spans="1:16" x14ac:dyDescent="0.25">
      <c r="A496" s="15"/>
      <c r="B496" s="16"/>
      <c r="C496" s="16"/>
      <c r="D496" s="16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8"/>
    </row>
    <row r="497" spans="1:16" x14ac:dyDescent="0.25">
      <c r="A497" s="15"/>
      <c r="B497" s="16"/>
      <c r="C497" s="16"/>
      <c r="D497" s="16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8"/>
    </row>
    <row r="498" spans="1:16" x14ac:dyDescent="0.25">
      <c r="A498" s="15"/>
      <c r="B498" s="16"/>
      <c r="C498" s="16"/>
      <c r="D498" s="16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8"/>
    </row>
    <row r="499" spans="1:16" x14ac:dyDescent="0.25">
      <c r="A499" s="15"/>
      <c r="B499" s="16"/>
      <c r="C499" s="16"/>
      <c r="D499" s="16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8"/>
    </row>
    <row r="500" spans="1:16" x14ac:dyDescent="0.25">
      <c r="A500" s="15"/>
      <c r="B500" s="16"/>
      <c r="C500" s="16"/>
      <c r="D500" s="16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8"/>
    </row>
    <row r="501" spans="1:16" x14ac:dyDescent="0.25">
      <c r="A501" s="15"/>
      <c r="B501" s="16"/>
      <c r="C501" s="16"/>
      <c r="D501" s="16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8"/>
    </row>
    <row r="502" spans="1:16" x14ac:dyDescent="0.25">
      <c r="A502" s="15"/>
      <c r="B502" s="16"/>
      <c r="C502" s="16"/>
      <c r="D502" s="16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8"/>
    </row>
    <row r="503" spans="1:16" x14ac:dyDescent="0.25">
      <c r="A503" s="15"/>
      <c r="B503" s="16"/>
      <c r="C503" s="16"/>
      <c r="D503" s="16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8"/>
    </row>
    <row r="504" spans="1:16" x14ac:dyDescent="0.25">
      <c r="A504" s="15"/>
      <c r="B504" s="16"/>
      <c r="C504" s="16"/>
      <c r="D504" s="16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8"/>
    </row>
    <row r="505" spans="1:16" x14ac:dyDescent="0.25">
      <c r="A505" s="15"/>
      <c r="B505" s="16"/>
      <c r="C505" s="16"/>
      <c r="D505" s="16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8"/>
    </row>
    <row r="506" spans="1:16" x14ac:dyDescent="0.25">
      <c r="A506" s="15"/>
      <c r="B506" s="16"/>
      <c r="C506" s="16"/>
      <c r="D506" s="16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8"/>
    </row>
    <row r="507" spans="1:16" x14ac:dyDescent="0.25">
      <c r="A507" s="15"/>
      <c r="B507" s="16"/>
      <c r="C507" s="16"/>
      <c r="D507" s="16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8"/>
    </row>
    <row r="508" spans="1:16" x14ac:dyDescent="0.25">
      <c r="A508" s="15"/>
      <c r="B508" s="16"/>
      <c r="C508" s="16"/>
      <c r="D508" s="16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8"/>
    </row>
    <row r="509" spans="1:16" x14ac:dyDescent="0.25">
      <c r="A509" s="15"/>
      <c r="B509" s="16"/>
      <c r="C509" s="16"/>
      <c r="D509" s="16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8"/>
    </row>
    <row r="510" spans="1:16" x14ac:dyDescent="0.25">
      <c r="A510" s="15"/>
      <c r="B510" s="16"/>
      <c r="C510" s="16"/>
      <c r="D510" s="16"/>
      <c r="E510" s="19"/>
      <c r="F510" s="19"/>
      <c r="G510" s="19"/>
      <c r="H510" s="17"/>
      <c r="I510" s="19"/>
      <c r="J510" s="19"/>
      <c r="K510" s="19"/>
      <c r="L510" s="19"/>
      <c r="M510" s="19"/>
      <c r="N510" s="19"/>
      <c r="O510" s="19"/>
      <c r="P510" s="18"/>
    </row>
    <row r="511" spans="1:16" x14ac:dyDescent="0.25">
      <c r="A511" s="15"/>
      <c r="B511" s="16"/>
      <c r="C511" s="16"/>
      <c r="D511" s="16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8"/>
    </row>
    <row r="512" spans="1:16" x14ac:dyDescent="0.25">
      <c r="A512" s="15"/>
      <c r="B512" s="16"/>
      <c r="C512" s="16"/>
      <c r="D512" s="16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8"/>
    </row>
    <row r="513" spans="1:16" x14ac:dyDescent="0.25">
      <c r="A513" s="15"/>
      <c r="B513" s="16"/>
      <c r="C513" s="16"/>
      <c r="D513" s="16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8"/>
    </row>
    <row r="514" spans="1:16" x14ac:dyDescent="0.25">
      <c r="A514" s="15"/>
      <c r="B514" s="16"/>
      <c r="C514" s="16"/>
      <c r="D514" s="16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8"/>
    </row>
    <row r="515" spans="1:16" x14ac:dyDescent="0.25">
      <c r="A515" s="15"/>
      <c r="B515" s="16"/>
      <c r="C515" s="16"/>
      <c r="D515" s="16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8"/>
    </row>
    <row r="516" spans="1:16" x14ac:dyDescent="0.25">
      <c r="A516" s="15"/>
      <c r="B516" s="16"/>
      <c r="C516" s="16"/>
      <c r="D516" s="16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8"/>
    </row>
    <row r="517" spans="1:16" x14ac:dyDescent="0.25">
      <c r="A517" s="15"/>
      <c r="B517" s="16"/>
      <c r="C517" s="16"/>
      <c r="D517" s="16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8"/>
    </row>
    <row r="518" spans="1:16" x14ac:dyDescent="0.25">
      <c r="A518" s="15"/>
      <c r="B518" s="16"/>
      <c r="C518" s="16"/>
      <c r="D518" s="16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8"/>
    </row>
    <row r="519" spans="1:16" x14ac:dyDescent="0.25">
      <c r="A519" s="15"/>
      <c r="B519" s="16"/>
      <c r="C519" s="16"/>
      <c r="D519" s="16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8"/>
    </row>
    <row r="520" spans="1:16" x14ac:dyDescent="0.25">
      <c r="A520" s="15"/>
      <c r="B520" s="16"/>
      <c r="C520" s="16"/>
      <c r="D520" s="16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8"/>
    </row>
    <row r="521" spans="1:16" x14ac:dyDescent="0.25">
      <c r="A521" s="15"/>
      <c r="B521" s="16"/>
      <c r="C521" s="16"/>
      <c r="D521" s="16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8"/>
    </row>
    <row r="522" spans="1:16" x14ac:dyDescent="0.25">
      <c r="A522" s="15"/>
      <c r="B522" s="16"/>
      <c r="C522" s="16"/>
      <c r="D522" s="16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8"/>
    </row>
    <row r="523" spans="1:16" x14ac:dyDescent="0.25">
      <c r="A523" s="15"/>
      <c r="B523" s="16"/>
      <c r="C523" s="16"/>
      <c r="D523" s="16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8"/>
    </row>
    <row r="524" spans="1:16" x14ac:dyDescent="0.25">
      <c r="A524" s="15"/>
      <c r="B524" s="16"/>
      <c r="C524" s="16"/>
      <c r="D524" s="16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8"/>
    </row>
    <row r="525" spans="1:16" x14ac:dyDescent="0.25">
      <c r="A525" s="15"/>
      <c r="B525" s="16"/>
      <c r="C525" s="16"/>
      <c r="D525" s="16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8"/>
    </row>
    <row r="526" spans="1:16" x14ac:dyDescent="0.25">
      <c r="A526" s="15"/>
      <c r="B526" s="16"/>
      <c r="C526" s="16"/>
      <c r="D526" s="16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8"/>
    </row>
    <row r="527" spans="1:16" x14ac:dyDescent="0.25">
      <c r="A527" s="15"/>
      <c r="B527" s="16"/>
      <c r="C527" s="16"/>
      <c r="D527" s="16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8"/>
    </row>
    <row r="528" spans="1:16" x14ac:dyDescent="0.25">
      <c r="A528" s="15"/>
      <c r="B528" s="16"/>
      <c r="C528" s="16"/>
      <c r="D528" s="16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8"/>
    </row>
    <row r="529" spans="1:16" x14ac:dyDescent="0.25">
      <c r="A529" s="15"/>
      <c r="B529" s="16"/>
      <c r="C529" s="16"/>
      <c r="D529" s="16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8"/>
    </row>
    <row r="530" spans="1:16" x14ac:dyDescent="0.25">
      <c r="A530" s="15"/>
      <c r="B530" s="16"/>
      <c r="C530" s="16"/>
      <c r="D530" s="16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8"/>
    </row>
    <row r="531" spans="1:16" x14ac:dyDescent="0.25">
      <c r="A531" s="15"/>
      <c r="B531" s="16"/>
      <c r="C531" s="16"/>
      <c r="D531" s="16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8"/>
    </row>
    <row r="532" spans="1:16" x14ac:dyDescent="0.25">
      <c r="A532" s="15"/>
      <c r="B532" s="16"/>
      <c r="C532" s="16"/>
      <c r="D532" s="16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8"/>
    </row>
    <row r="533" spans="1:16" x14ac:dyDescent="0.25">
      <c r="A533" s="15"/>
      <c r="B533" s="16"/>
      <c r="C533" s="16"/>
      <c r="D533" s="16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8"/>
    </row>
    <row r="534" spans="1:16" x14ac:dyDescent="0.25">
      <c r="A534" s="15"/>
      <c r="B534" s="16"/>
      <c r="C534" s="16"/>
      <c r="D534" s="16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8"/>
    </row>
    <row r="535" spans="1:16" x14ac:dyDescent="0.25">
      <c r="A535" s="15"/>
      <c r="B535" s="16"/>
      <c r="C535" s="16"/>
      <c r="D535" s="16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8"/>
    </row>
    <row r="536" spans="1:16" x14ac:dyDescent="0.25">
      <c r="A536" s="15"/>
      <c r="B536" s="16"/>
      <c r="C536" s="16"/>
      <c r="D536" s="16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8"/>
    </row>
    <row r="537" spans="1:16" x14ac:dyDescent="0.25">
      <c r="A537" s="15"/>
      <c r="B537" s="16"/>
      <c r="C537" s="16"/>
      <c r="D537" s="16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8"/>
    </row>
    <row r="538" spans="1:16" x14ac:dyDescent="0.25">
      <c r="A538" s="15"/>
      <c r="B538" s="16"/>
      <c r="C538" s="16"/>
      <c r="D538" s="16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8"/>
    </row>
    <row r="539" spans="1:16" x14ac:dyDescent="0.25">
      <c r="A539" s="15"/>
      <c r="B539" s="16"/>
      <c r="C539" s="16"/>
      <c r="D539" s="16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8"/>
    </row>
    <row r="540" spans="1:16" x14ac:dyDescent="0.25">
      <c r="A540" s="15"/>
      <c r="B540" s="16"/>
      <c r="C540" s="16"/>
      <c r="D540" s="16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8"/>
    </row>
    <row r="541" spans="1:16" x14ac:dyDescent="0.25">
      <c r="A541" s="15"/>
      <c r="B541" s="16"/>
      <c r="C541" s="16"/>
      <c r="D541" s="16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8"/>
    </row>
    <row r="542" spans="1:16" x14ac:dyDescent="0.25">
      <c r="A542" s="15"/>
      <c r="B542" s="16"/>
      <c r="C542" s="16"/>
      <c r="D542" s="16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8"/>
    </row>
    <row r="543" spans="1:16" x14ac:dyDescent="0.25">
      <c r="A543" s="15"/>
      <c r="B543" s="16"/>
      <c r="C543" s="16"/>
      <c r="D543" s="16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8"/>
    </row>
    <row r="544" spans="1:16" x14ac:dyDescent="0.25">
      <c r="A544" s="15"/>
      <c r="B544" s="16"/>
      <c r="C544" s="16"/>
      <c r="D544" s="16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8"/>
    </row>
    <row r="545" spans="1:16" x14ac:dyDescent="0.25">
      <c r="A545" s="15"/>
      <c r="B545" s="16"/>
      <c r="C545" s="16"/>
      <c r="D545" s="16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8"/>
    </row>
    <row r="546" spans="1:16" x14ac:dyDescent="0.25">
      <c r="A546" s="15"/>
      <c r="B546" s="16"/>
      <c r="C546" s="16"/>
      <c r="D546" s="16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8"/>
    </row>
    <row r="547" spans="1:16" x14ac:dyDescent="0.25">
      <c r="A547" s="15"/>
      <c r="B547" s="16"/>
      <c r="C547" s="16"/>
      <c r="D547" s="16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8"/>
    </row>
    <row r="548" spans="1:16" x14ac:dyDescent="0.25">
      <c r="A548" s="15"/>
      <c r="B548" s="16"/>
      <c r="C548" s="16"/>
      <c r="D548" s="16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8"/>
    </row>
    <row r="549" spans="1:16" x14ac:dyDescent="0.25">
      <c r="A549" s="15"/>
      <c r="B549" s="16"/>
      <c r="C549" s="16"/>
      <c r="D549" s="16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8"/>
    </row>
    <row r="550" spans="1:16" x14ac:dyDescent="0.25">
      <c r="A550" s="15"/>
      <c r="B550" s="16"/>
      <c r="C550" s="16"/>
      <c r="D550" s="16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8"/>
    </row>
    <row r="551" spans="1:16" x14ac:dyDescent="0.25">
      <c r="A551" s="15"/>
      <c r="B551" s="16"/>
      <c r="C551" s="16"/>
      <c r="D551" s="16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8"/>
    </row>
    <row r="552" spans="1:16" x14ac:dyDescent="0.25">
      <c r="A552" s="15"/>
      <c r="B552" s="16"/>
      <c r="C552" s="16"/>
      <c r="D552" s="16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8"/>
    </row>
    <row r="553" spans="1:16" x14ac:dyDescent="0.25">
      <c r="A553" s="15"/>
      <c r="B553" s="16"/>
      <c r="C553" s="16"/>
      <c r="D553" s="16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8"/>
    </row>
    <row r="554" spans="1:16" x14ac:dyDescent="0.25">
      <c r="A554" s="15"/>
      <c r="B554" s="16"/>
      <c r="C554" s="16"/>
      <c r="D554" s="16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8"/>
    </row>
    <row r="555" spans="1:16" x14ac:dyDescent="0.25">
      <c r="A555" s="15"/>
      <c r="B555" s="16"/>
      <c r="C555" s="16"/>
      <c r="D555" s="16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8"/>
    </row>
    <row r="556" spans="1:16" x14ac:dyDescent="0.25">
      <c r="A556" s="15"/>
      <c r="B556" s="16"/>
      <c r="C556" s="16"/>
      <c r="D556" s="16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8"/>
    </row>
    <row r="557" spans="1:16" x14ac:dyDescent="0.25">
      <c r="A557" s="15"/>
      <c r="B557" s="16"/>
      <c r="C557" s="16"/>
      <c r="D557" s="16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8"/>
    </row>
    <row r="558" spans="1:16" x14ac:dyDescent="0.25">
      <c r="A558" s="15"/>
      <c r="B558" s="16"/>
      <c r="C558" s="16"/>
      <c r="D558" s="16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8"/>
    </row>
    <row r="559" spans="1:16" x14ac:dyDescent="0.25">
      <c r="A559" s="15"/>
      <c r="B559" s="16"/>
      <c r="C559" s="16"/>
      <c r="D559" s="16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8"/>
    </row>
    <row r="560" spans="1:16" x14ac:dyDescent="0.25">
      <c r="A560" s="15"/>
      <c r="B560" s="16"/>
      <c r="C560" s="16"/>
      <c r="D560" s="16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8"/>
    </row>
    <row r="561" spans="1:16" x14ac:dyDescent="0.25">
      <c r="A561" s="15"/>
      <c r="B561" s="16"/>
      <c r="C561" s="16"/>
      <c r="D561" s="16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8"/>
    </row>
    <row r="562" spans="1:16" x14ac:dyDescent="0.25">
      <c r="A562" s="15"/>
      <c r="B562" s="16"/>
      <c r="C562" s="16"/>
      <c r="D562" s="16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8"/>
    </row>
    <row r="563" spans="1:16" x14ac:dyDescent="0.25">
      <c r="A563" s="15"/>
      <c r="B563" s="16"/>
      <c r="C563" s="16"/>
      <c r="D563" s="16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8"/>
    </row>
    <row r="564" spans="1:16" x14ac:dyDescent="0.25">
      <c r="A564" s="15"/>
      <c r="B564" s="16"/>
      <c r="C564" s="16"/>
      <c r="D564" s="16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8"/>
    </row>
    <row r="565" spans="1:16" x14ac:dyDescent="0.25">
      <c r="A565" s="15"/>
      <c r="B565" s="16"/>
      <c r="C565" s="16"/>
      <c r="D565" s="16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8"/>
    </row>
    <row r="566" spans="1:16" x14ac:dyDescent="0.25">
      <c r="A566" s="15"/>
      <c r="B566" s="16"/>
      <c r="C566" s="16"/>
      <c r="D566" s="16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8"/>
    </row>
    <row r="567" spans="1:16" x14ac:dyDescent="0.25">
      <c r="A567" s="15"/>
      <c r="B567" s="16"/>
      <c r="C567" s="16"/>
      <c r="D567" s="16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8"/>
    </row>
    <row r="568" spans="1:16" x14ac:dyDescent="0.25">
      <c r="A568" s="15"/>
      <c r="B568" s="16"/>
      <c r="C568" s="16"/>
      <c r="D568" s="16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8"/>
    </row>
    <row r="569" spans="1:16" x14ac:dyDescent="0.25">
      <c r="A569" s="15"/>
      <c r="B569" s="16"/>
      <c r="C569" s="16"/>
      <c r="D569" s="16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8"/>
    </row>
    <row r="570" spans="1:16" x14ac:dyDescent="0.25">
      <c r="A570" s="15"/>
      <c r="B570" s="16"/>
      <c r="C570" s="16"/>
      <c r="D570" s="16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8"/>
    </row>
    <row r="571" spans="1:16" x14ac:dyDescent="0.25">
      <c r="A571" s="15"/>
      <c r="B571" s="16"/>
      <c r="C571" s="16"/>
      <c r="D571" s="16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8"/>
    </row>
    <row r="572" spans="1:16" x14ac:dyDescent="0.25">
      <c r="A572" s="15"/>
      <c r="B572" s="16"/>
      <c r="C572" s="16"/>
      <c r="D572" s="16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8"/>
    </row>
    <row r="573" spans="1:16" x14ac:dyDescent="0.25">
      <c r="A573" s="15"/>
      <c r="B573" s="16"/>
      <c r="C573" s="16"/>
      <c r="D573" s="16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8"/>
    </row>
    <row r="574" spans="1:16" x14ac:dyDescent="0.25">
      <c r="A574" s="15"/>
      <c r="B574" s="16"/>
      <c r="C574" s="16"/>
      <c r="D574" s="16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8"/>
    </row>
    <row r="575" spans="1:16" x14ac:dyDescent="0.25">
      <c r="A575" s="15"/>
      <c r="B575" s="16"/>
      <c r="C575" s="16"/>
      <c r="D575" s="16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8"/>
    </row>
    <row r="576" spans="1:16" x14ac:dyDescent="0.25">
      <c r="A576" s="15"/>
      <c r="B576" s="16"/>
      <c r="C576" s="16"/>
      <c r="D576" s="16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8"/>
    </row>
    <row r="577" spans="1:16" x14ac:dyDescent="0.25">
      <c r="A577" s="15"/>
      <c r="B577" s="16"/>
      <c r="C577" s="16"/>
      <c r="D577" s="16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8"/>
    </row>
    <row r="578" spans="1:16" x14ac:dyDescent="0.25">
      <c r="A578" s="15"/>
      <c r="B578" s="16"/>
      <c r="C578" s="16"/>
      <c r="D578" s="16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8"/>
    </row>
    <row r="579" spans="1:16" x14ac:dyDescent="0.25">
      <c r="A579" s="15"/>
      <c r="B579" s="16"/>
      <c r="C579" s="16"/>
      <c r="D579" s="16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8"/>
    </row>
    <row r="580" spans="1:16" x14ac:dyDescent="0.25">
      <c r="A580" s="15"/>
      <c r="B580" s="16"/>
      <c r="C580" s="16"/>
      <c r="D580" s="16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8"/>
    </row>
    <row r="581" spans="1:16" x14ac:dyDescent="0.25">
      <c r="A581" s="15"/>
      <c r="B581" s="16"/>
      <c r="C581" s="16"/>
      <c r="D581" s="16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8"/>
    </row>
    <row r="582" spans="1:16" x14ac:dyDescent="0.25">
      <c r="A582" s="15"/>
      <c r="B582" s="16"/>
      <c r="C582" s="16"/>
      <c r="D582" s="16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8"/>
    </row>
    <row r="583" spans="1:16" x14ac:dyDescent="0.25">
      <c r="A583" s="15"/>
      <c r="B583" s="16"/>
      <c r="C583" s="16"/>
      <c r="D583" s="16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8"/>
    </row>
    <row r="584" spans="1:16" x14ac:dyDescent="0.25">
      <c r="A584" s="15"/>
      <c r="B584" s="16"/>
      <c r="C584" s="16"/>
      <c r="D584" s="16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8"/>
    </row>
    <row r="585" spans="1:16" x14ac:dyDescent="0.25">
      <c r="A585" s="15"/>
      <c r="B585" s="16"/>
      <c r="C585" s="16"/>
      <c r="D585" s="16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8"/>
    </row>
    <row r="586" spans="1:16" x14ac:dyDescent="0.25">
      <c r="A586" s="15"/>
      <c r="B586" s="16"/>
      <c r="C586" s="16"/>
      <c r="D586" s="16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8"/>
    </row>
    <row r="587" spans="1:16" x14ac:dyDescent="0.25">
      <c r="A587" s="15"/>
      <c r="B587" s="16"/>
      <c r="C587" s="16"/>
      <c r="D587" s="16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8"/>
    </row>
    <row r="588" spans="1:16" x14ac:dyDescent="0.25">
      <c r="A588" s="15"/>
      <c r="B588" s="16"/>
      <c r="C588" s="16"/>
      <c r="D588" s="16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8"/>
    </row>
    <row r="589" spans="1:16" x14ac:dyDescent="0.25">
      <c r="A589" s="15"/>
      <c r="B589" s="16"/>
      <c r="C589" s="16"/>
      <c r="D589" s="16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8"/>
    </row>
    <row r="590" spans="1:16" x14ac:dyDescent="0.25">
      <c r="A590" s="15"/>
      <c r="B590" s="16"/>
      <c r="C590" s="16"/>
      <c r="D590" s="16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8"/>
    </row>
    <row r="591" spans="1:16" x14ac:dyDescent="0.25">
      <c r="A591" s="15"/>
      <c r="B591" s="16"/>
      <c r="C591" s="16"/>
      <c r="D591" s="16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8"/>
    </row>
    <row r="592" spans="1:16" x14ac:dyDescent="0.25">
      <c r="A592" s="15"/>
      <c r="B592" s="16"/>
      <c r="C592" s="16"/>
      <c r="D592" s="16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8"/>
    </row>
    <row r="593" spans="1:16" x14ac:dyDescent="0.25">
      <c r="A593" s="15"/>
      <c r="B593" s="16"/>
      <c r="C593" s="16"/>
      <c r="D593" s="16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8"/>
    </row>
    <row r="594" spans="1:16" x14ac:dyDescent="0.25">
      <c r="A594" s="15"/>
      <c r="B594" s="16"/>
      <c r="C594" s="16"/>
      <c r="D594" s="16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8"/>
    </row>
    <row r="595" spans="1:16" x14ac:dyDescent="0.25">
      <c r="A595" s="15"/>
      <c r="B595" s="16"/>
      <c r="C595" s="16"/>
      <c r="D595" s="16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8"/>
    </row>
    <row r="596" spans="1:16" x14ac:dyDescent="0.25">
      <c r="A596" s="15"/>
      <c r="B596" s="16"/>
      <c r="C596" s="16"/>
      <c r="D596" s="16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8"/>
    </row>
    <row r="597" spans="1:16" x14ac:dyDescent="0.25">
      <c r="A597" s="15"/>
      <c r="B597" s="16"/>
      <c r="C597" s="16"/>
      <c r="D597" s="16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8"/>
    </row>
    <row r="598" spans="1:16" x14ac:dyDescent="0.25">
      <c r="A598" s="15"/>
      <c r="B598" s="16"/>
      <c r="C598" s="16"/>
      <c r="D598" s="16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8"/>
    </row>
    <row r="599" spans="1:16" x14ac:dyDescent="0.25">
      <c r="A599" s="15"/>
      <c r="B599" s="16"/>
      <c r="C599" s="16"/>
      <c r="D599" s="16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8"/>
    </row>
    <row r="600" spans="1:16" x14ac:dyDescent="0.25">
      <c r="A600" s="15"/>
      <c r="B600" s="16"/>
      <c r="C600" s="16"/>
      <c r="D600" s="16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8"/>
    </row>
    <row r="601" spans="1:16" x14ac:dyDescent="0.25">
      <c r="A601" s="15"/>
      <c r="B601" s="16"/>
      <c r="C601" s="16"/>
      <c r="D601" s="16"/>
      <c r="E601" s="19"/>
      <c r="F601" s="19"/>
      <c r="G601" s="19"/>
      <c r="H601" s="17"/>
      <c r="I601" s="19"/>
      <c r="J601" s="19"/>
      <c r="K601" s="19"/>
      <c r="L601" s="19"/>
      <c r="M601" s="19"/>
      <c r="N601" s="19"/>
      <c r="O601" s="19"/>
      <c r="P601" s="18"/>
    </row>
    <row r="602" spans="1:16" x14ac:dyDescent="0.25">
      <c r="A602" s="15"/>
      <c r="B602" s="16"/>
      <c r="C602" s="16"/>
      <c r="D602" s="16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8"/>
    </row>
    <row r="603" spans="1:16" x14ac:dyDescent="0.25">
      <c r="A603" s="15"/>
      <c r="B603" s="16"/>
      <c r="C603" s="16"/>
      <c r="D603" s="16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8"/>
    </row>
    <row r="604" spans="1:16" x14ac:dyDescent="0.25">
      <c r="A604" s="15"/>
      <c r="B604" s="16"/>
      <c r="C604" s="16"/>
      <c r="D604" s="16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8"/>
    </row>
    <row r="605" spans="1:16" x14ac:dyDescent="0.25">
      <c r="A605" s="15"/>
      <c r="B605" s="16"/>
      <c r="C605" s="16"/>
      <c r="D605" s="16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8"/>
    </row>
    <row r="606" spans="1:16" x14ac:dyDescent="0.25">
      <c r="A606" s="15"/>
      <c r="B606" s="16"/>
      <c r="C606" s="16"/>
      <c r="D606" s="16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8"/>
    </row>
    <row r="607" spans="1:16" x14ac:dyDescent="0.25">
      <c r="A607" s="15"/>
      <c r="B607" s="16"/>
      <c r="C607" s="16"/>
      <c r="D607" s="16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8"/>
    </row>
    <row r="608" spans="1:16" x14ac:dyDescent="0.25">
      <c r="A608" s="15"/>
      <c r="B608" s="16"/>
      <c r="C608" s="16"/>
      <c r="D608" s="16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8"/>
    </row>
    <row r="609" spans="1:16" x14ac:dyDescent="0.25">
      <c r="A609" s="15"/>
      <c r="B609" s="16"/>
      <c r="C609" s="16"/>
      <c r="D609" s="16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8"/>
    </row>
    <row r="610" spans="1:16" x14ac:dyDescent="0.25">
      <c r="A610" s="15"/>
      <c r="B610" s="16"/>
      <c r="C610" s="16"/>
      <c r="D610" s="16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8"/>
    </row>
    <row r="611" spans="1:16" x14ac:dyDescent="0.25">
      <c r="A611" s="15"/>
      <c r="B611" s="16"/>
      <c r="C611" s="16"/>
      <c r="D611" s="16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8"/>
    </row>
    <row r="612" spans="1:16" x14ac:dyDescent="0.25">
      <c r="A612" s="15"/>
      <c r="B612" s="16"/>
      <c r="C612" s="16"/>
      <c r="D612" s="16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8"/>
    </row>
    <row r="613" spans="1:16" x14ac:dyDescent="0.25">
      <c r="A613" s="15"/>
      <c r="B613" s="16"/>
      <c r="C613" s="16"/>
      <c r="D613" s="16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8"/>
    </row>
    <row r="614" spans="1:16" x14ac:dyDescent="0.25">
      <c r="A614" s="15"/>
      <c r="B614" s="16"/>
      <c r="C614" s="16"/>
      <c r="D614" s="16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8"/>
    </row>
    <row r="615" spans="1:16" x14ac:dyDescent="0.25">
      <c r="A615" s="15"/>
      <c r="B615" s="16"/>
      <c r="C615" s="16"/>
      <c r="D615" s="16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8"/>
    </row>
    <row r="616" spans="1:16" x14ac:dyDescent="0.25">
      <c r="A616" s="15"/>
      <c r="B616" s="16"/>
      <c r="C616" s="16"/>
      <c r="D616" s="16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8"/>
    </row>
    <row r="617" spans="1:16" x14ac:dyDescent="0.25">
      <c r="A617" s="15"/>
      <c r="B617" s="16"/>
      <c r="C617" s="16"/>
      <c r="D617" s="16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8"/>
    </row>
    <row r="618" spans="1:16" x14ac:dyDescent="0.25">
      <c r="A618" s="15"/>
      <c r="B618" s="16"/>
      <c r="C618" s="16"/>
      <c r="D618" s="16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8"/>
    </row>
    <row r="619" spans="1:16" x14ac:dyDescent="0.25">
      <c r="A619" s="15"/>
      <c r="B619" s="16"/>
      <c r="C619" s="16"/>
      <c r="D619" s="16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8"/>
    </row>
    <row r="620" spans="1:16" x14ac:dyDescent="0.25">
      <c r="A620" s="15"/>
      <c r="B620" s="16"/>
      <c r="C620" s="16"/>
      <c r="D620" s="16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8"/>
    </row>
    <row r="621" spans="1:16" x14ac:dyDescent="0.25">
      <c r="A621" s="15"/>
      <c r="B621" s="16"/>
      <c r="C621" s="16"/>
      <c r="D621" s="16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8"/>
    </row>
    <row r="622" spans="1:16" x14ac:dyDescent="0.25">
      <c r="A622" s="15"/>
      <c r="B622" s="16"/>
      <c r="C622" s="16"/>
      <c r="D622" s="16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8"/>
    </row>
    <row r="623" spans="1:16" x14ac:dyDescent="0.25">
      <c r="A623" s="15"/>
      <c r="B623" s="16"/>
      <c r="C623" s="16"/>
      <c r="D623" s="16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8"/>
    </row>
    <row r="624" spans="1:16" x14ac:dyDescent="0.25">
      <c r="A624" s="15"/>
      <c r="B624" s="16"/>
      <c r="C624" s="16"/>
      <c r="D624" s="16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8"/>
    </row>
    <row r="625" spans="1:16" x14ac:dyDescent="0.25">
      <c r="A625" s="15"/>
      <c r="B625" s="16"/>
      <c r="C625" s="16"/>
      <c r="D625" s="16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8"/>
    </row>
    <row r="626" spans="1:16" x14ac:dyDescent="0.25">
      <c r="A626" s="15"/>
      <c r="B626" s="16"/>
      <c r="C626" s="16"/>
      <c r="D626" s="16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8"/>
    </row>
    <row r="627" spans="1:16" x14ac:dyDescent="0.25">
      <c r="A627" s="15"/>
      <c r="B627" s="16"/>
      <c r="C627" s="16"/>
      <c r="D627" s="16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8"/>
    </row>
    <row r="628" spans="1:16" x14ac:dyDescent="0.25">
      <c r="A628" s="15"/>
      <c r="B628" s="16"/>
      <c r="C628" s="16"/>
      <c r="D628" s="16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8"/>
    </row>
    <row r="629" spans="1:16" x14ac:dyDescent="0.25">
      <c r="A629" s="15"/>
      <c r="B629" s="16"/>
      <c r="C629" s="16"/>
      <c r="D629" s="16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8"/>
    </row>
    <row r="630" spans="1:16" x14ac:dyDescent="0.25">
      <c r="A630" s="15"/>
      <c r="B630" s="16"/>
      <c r="C630" s="16"/>
      <c r="D630" s="16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8"/>
    </row>
    <row r="631" spans="1:16" x14ac:dyDescent="0.25">
      <c r="A631" s="15"/>
      <c r="B631" s="16"/>
      <c r="C631" s="16"/>
      <c r="D631" s="16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8"/>
    </row>
    <row r="632" spans="1:16" x14ac:dyDescent="0.25">
      <c r="A632" s="15"/>
      <c r="B632" s="16"/>
      <c r="C632" s="16"/>
      <c r="D632" s="16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8"/>
    </row>
    <row r="633" spans="1:16" x14ac:dyDescent="0.25">
      <c r="A633" s="15"/>
      <c r="B633" s="16"/>
      <c r="C633" s="16"/>
      <c r="D633" s="16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8"/>
    </row>
    <row r="634" spans="1:16" x14ac:dyDescent="0.25">
      <c r="A634" s="15"/>
      <c r="B634" s="16"/>
      <c r="C634" s="16"/>
      <c r="D634" s="16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8"/>
    </row>
    <row r="635" spans="1:16" x14ac:dyDescent="0.25">
      <c r="A635" s="15"/>
      <c r="B635" s="16"/>
      <c r="C635" s="16"/>
      <c r="D635" s="16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8"/>
    </row>
    <row r="636" spans="1:16" x14ac:dyDescent="0.25">
      <c r="A636" s="15"/>
      <c r="B636" s="16"/>
      <c r="C636" s="16"/>
      <c r="D636" s="16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8"/>
    </row>
    <row r="637" spans="1:16" x14ac:dyDescent="0.25">
      <c r="A637" s="15"/>
      <c r="B637" s="16"/>
      <c r="C637" s="16"/>
      <c r="D637" s="16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8"/>
    </row>
    <row r="638" spans="1:16" x14ac:dyDescent="0.25">
      <c r="A638" s="15"/>
      <c r="B638" s="16"/>
      <c r="C638" s="16"/>
      <c r="D638" s="16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8"/>
    </row>
    <row r="639" spans="1:16" x14ac:dyDescent="0.25">
      <c r="A639" s="15"/>
      <c r="B639" s="16"/>
      <c r="C639" s="16"/>
      <c r="D639" s="16"/>
      <c r="E639" s="19"/>
      <c r="F639" s="19"/>
      <c r="G639" s="19"/>
      <c r="H639" s="17"/>
      <c r="I639" s="19"/>
      <c r="J639" s="19"/>
      <c r="K639" s="19"/>
      <c r="L639" s="19"/>
      <c r="M639" s="19"/>
      <c r="N639" s="19"/>
      <c r="O639" s="19"/>
      <c r="P639" s="18"/>
    </row>
    <row r="640" spans="1:16" x14ac:dyDescent="0.25">
      <c r="A640" s="15"/>
      <c r="B640" s="16"/>
      <c r="C640" s="16"/>
      <c r="D640" s="16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8"/>
    </row>
    <row r="641" spans="1:16" x14ac:dyDescent="0.25">
      <c r="A641" s="15"/>
      <c r="B641" s="16"/>
      <c r="C641" s="16"/>
      <c r="D641" s="16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8"/>
    </row>
    <row r="642" spans="1:16" x14ac:dyDescent="0.25">
      <c r="A642" s="15"/>
      <c r="B642" s="16"/>
      <c r="C642" s="16"/>
      <c r="D642" s="16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8"/>
    </row>
    <row r="643" spans="1:16" x14ac:dyDescent="0.25">
      <c r="A643" s="15"/>
      <c r="B643" s="16"/>
      <c r="C643" s="16"/>
      <c r="D643" s="16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8"/>
    </row>
    <row r="644" spans="1:16" x14ac:dyDescent="0.25">
      <c r="A644" s="15"/>
      <c r="B644" s="16"/>
      <c r="C644" s="16"/>
      <c r="D644" s="16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8"/>
    </row>
    <row r="645" spans="1:16" x14ac:dyDescent="0.25">
      <c r="A645" s="15"/>
      <c r="B645" s="16"/>
      <c r="C645" s="16"/>
      <c r="D645" s="16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8"/>
    </row>
    <row r="646" spans="1:16" x14ac:dyDescent="0.25">
      <c r="A646" s="15"/>
      <c r="B646" s="16"/>
      <c r="C646" s="16"/>
      <c r="D646" s="16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8"/>
    </row>
    <row r="647" spans="1:16" x14ac:dyDescent="0.25">
      <c r="A647" s="15"/>
      <c r="B647" s="16"/>
      <c r="C647" s="16"/>
      <c r="D647" s="16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8"/>
    </row>
    <row r="648" spans="1:16" x14ac:dyDescent="0.25">
      <c r="A648" s="15"/>
      <c r="B648" s="16"/>
      <c r="C648" s="16"/>
      <c r="D648" s="16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8"/>
    </row>
    <row r="649" spans="1:16" x14ac:dyDescent="0.25">
      <c r="A649" s="15"/>
      <c r="B649" s="16"/>
      <c r="C649" s="16"/>
      <c r="D649" s="16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8"/>
    </row>
    <row r="650" spans="1:16" x14ac:dyDescent="0.25">
      <c r="A650" s="15"/>
      <c r="B650" s="16"/>
      <c r="C650" s="16"/>
      <c r="D650" s="16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8"/>
    </row>
    <row r="651" spans="1:16" x14ac:dyDescent="0.25">
      <c r="A651" s="15"/>
      <c r="B651" s="16"/>
      <c r="C651" s="16"/>
      <c r="D651" s="16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8"/>
    </row>
    <row r="652" spans="1:16" x14ac:dyDescent="0.25">
      <c r="A652" s="15"/>
      <c r="B652" s="16"/>
      <c r="C652" s="16"/>
      <c r="D652" s="16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8"/>
    </row>
    <row r="653" spans="1:16" x14ac:dyDescent="0.25">
      <c r="A653" s="15"/>
      <c r="B653" s="16"/>
      <c r="C653" s="16"/>
      <c r="D653" s="16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8"/>
    </row>
    <row r="654" spans="1:16" x14ac:dyDescent="0.25">
      <c r="A654" s="15"/>
      <c r="B654" s="16"/>
      <c r="C654" s="16"/>
      <c r="D654" s="16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8"/>
    </row>
    <row r="655" spans="1:16" x14ac:dyDescent="0.25">
      <c r="A655" s="15"/>
      <c r="B655" s="16"/>
      <c r="C655" s="16"/>
      <c r="D655" s="16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8"/>
    </row>
    <row r="656" spans="1:16" x14ac:dyDescent="0.25">
      <c r="A656" s="15"/>
      <c r="B656" s="16"/>
      <c r="C656" s="16"/>
      <c r="D656" s="16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8"/>
    </row>
    <row r="657" spans="1:16" x14ac:dyDescent="0.25">
      <c r="A657" s="15"/>
      <c r="B657" s="16"/>
      <c r="C657" s="16"/>
      <c r="D657" s="16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8"/>
    </row>
    <row r="658" spans="1:16" x14ac:dyDescent="0.25">
      <c r="A658" s="15"/>
      <c r="B658" s="16"/>
      <c r="C658" s="16"/>
      <c r="D658" s="16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8"/>
    </row>
    <row r="659" spans="1:16" x14ac:dyDescent="0.25">
      <c r="A659" s="15"/>
      <c r="B659" s="16"/>
      <c r="C659" s="16"/>
      <c r="D659" s="16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8"/>
    </row>
    <row r="660" spans="1:16" x14ac:dyDescent="0.25">
      <c r="A660" s="15"/>
      <c r="B660" s="16"/>
      <c r="C660" s="16"/>
      <c r="D660" s="16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8"/>
    </row>
    <row r="661" spans="1:16" x14ac:dyDescent="0.25">
      <c r="A661" s="15"/>
      <c r="B661" s="16"/>
      <c r="C661" s="16"/>
      <c r="D661" s="16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8"/>
    </row>
    <row r="662" spans="1:16" x14ac:dyDescent="0.25">
      <c r="A662" s="15"/>
      <c r="B662" s="16"/>
      <c r="C662" s="16"/>
      <c r="D662" s="16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8"/>
    </row>
    <row r="663" spans="1:16" x14ac:dyDescent="0.25">
      <c r="A663" s="15"/>
      <c r="B663" s="16"/>
      <c r="C663" s="16"/>
      <c r="D663" s="16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8"/>
    </row>
    <row r="664" spans="1:16" x14ac:dyDescent="0.25">
      <c r="A664" s="15"/>
      <c r="B664" s="16"/>
      <c r="C664" s="16"/>
      <c r="D664" s="16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8"/>
    </row>
    <row r="665" spans="1:16" x14ac:dyDescent="0.25">
      <c r="A665" s="15"/>
      <c r="B665" s="16"/>
      <c r="C665" s="16"/>
      <c r="D665" s="16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8"/>
    </row>
    <row r="666" spans="1:16" x14ac:dyDescent="0.25">
      <c r="A666" s="15"/>
      <c r="B666" s="16"/>
      <c r="C666" s="16"/>
      <c r="D666" s="16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8"/>
    </row>
    <row r="667" spans="1:16" x14ac:dyDescent="0.25">
      <c r="A667" s="15"/>
      <c r="B667" s="16"/>
      <c r="C667" s="16"/>
      <c r="D667" s="16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8"/>
    </row>
    <row r="668" spans="1:16" x14ac:dyDescent="0.25">
      <c r="A668" s="15"/>
      <c r="B668" s="16"/>
      <c r="C668" s="16"/>
      <c r="D668" s="16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8"/>
    </row>
    <row r="669" spans="1:16" x14ac:dyDescent="0.25">
      <c r="A669" s="15"/>
      <c r="B669" s="16"/>
      <c r="C669" s="16"/>
      <c r="D669" s="16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8"/>
    </row>
    <row r="670" spans="1:16" x14ac:dyDescent="0.25">
      <c r="A670" s="15"/>
      <c r="B670" s="16"/>
      <c r="C670" s="16"/>
      <c r="D670" s="16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8"/>
    </row>
    <row r="671" spans="1:16" x14ac:dyDescent="0.25">
      <c r="A671" s="15"/>
      <c r="B671" s="16"/>
      <c r="C671" s="16"/>
      <c r="D671" s="16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8"/>
    </row>
    <row r="672" spans="1:16" x14ac:dyDescent="0.25">
      <c r="A672" s="15"/>
      <c r="B672" s="16"/>
      <c r="C672" s="16"/>
      <c r="D672" s="16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8"/>
    </row>
    <row r="673" spans="1:16" x14ac:dyDescent="0.25">
      <c r="A673" s="15"/>
      <c r="B673" s="16"/>
      <c r="C673" s="16"/>
      <c r="D673" s="16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8"/>
    </row>
    <row r="674" spans="1:16" x14ac:dyDescent="0.25">
      <c r="A674" s="15"/>
      <c r="B674" s="16"/>
      <c r="C674" s="16"/>
      <c r="D674" s="16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8"/>
    </row>
    <row r="675" spans="1:16" x14ac:dyDescent="0.25">
      <c r="A675" s="15"/>
      <c r="B675" s="16"/>
      <c r="C675" s="16"/>
      <c r="D675" s="16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8"/>
    </row>
    <row r="676" spans="1:16" x14ac:dyDescent="0.25">
      <c r="A676" s="15"/>
      <c r="B676" s="16"/>
      <c r="C676" s="16"/>
      <c r="D676" s="16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8"/>
    </row>
    <row r="677" spans="1:16" x14ac:dyDescent="0.25">
      <c r="A677" s="15"/>
      <c r="B677" s="16"/>
      <c r="C677" s="16"/>
      <c r="D677" s="16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8"/>
    </row>
    <row r="678" spans="1:16" x14ac:dyDescent="0.25">
      <c r="A678" s="15"/>
      <c r="B678" s="16"/>
      <c r="C678" s="16"/>
      <c r="D678" s="16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8"/>
    </row>
    <row r="679" spans="1:16" x14ac:dyDescent="0.25">
      <c r="A679" s="15"/>
      <c r="B679" s="16"/>
      <c r="C679" s="16"/>
      <c r="D679" s="16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8"/>
    </row>
    <row r="680" spans="1:16" x14ac:dyDescent="0.25">
      <c r="A680" s="15"/>
      <c r="B680" s="16"/>
      <c r="C680" s="16"/>
      <c r="D680" s="16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8"/>
    </row>
    <row r="681" spans="1:16" x14ac:dyDescent="0.25">
      <c r="A681" s="15"/>
      <c r="B681" s="16"/>
      <c r="C681" s="16"/>
      <c r="D681" s="16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8"/>
    </row>
    <row r="682" spans="1:16" x14ac:dyDescent="0.25">
      <c r="A682" s="15"/>
      <c r="B682" s="16"/>
      <c r="C682" s="16"/>
      <c r="D682" s="16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8"/>
    </row>
    <row r="683" spans="1:16" x14ac:dyDescent="0.25">
      <c r="A683" s="15"/>
      <c r="B683" s="16"/>
      <c r="C683" s="16"/>
      <c r="D683" s="16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8"/>
    </row>
    <row r="684" spans="1:16" x14ac:dyDescent="0.25">
      <c r="A684" s="15"/>
      <c r="B684" s="16"/>
      <c r="C684" s="16"/>
      <c r="D684" s="16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8"/>
    </row>
    <row r="685" spans="1:16" x14ac:dyDescent="0.25">
      <c r="A685" s="15"/>
      <c r="B685" s="16"/>
      <c r="C685" s="16"/>
      <c r="D685" s="16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8"/>
    </row>
    <row r="686" spans="1:16" x14ac:dyDescent="0.25">
      <c r="A686" s="15"/>
      <c r="B686" s="16"/>
      <c r="C686" s="16"/>
      <c r="D686" s="16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8"/>
    </row>
    <row r="687" spans="1:16" x14ac:dyDescent="0.25">
      <c r="A687" s="15"/>
      <c r="B687" s="16"/>
      <c r="C687" s="16"/>
      <c r="D687" s="16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8"/>
    </row>
    <row r="688" spans="1:16" x14ac:dyDescent="0.25">
      <c r="A688" s="15"/>
      <c r="B688" s="16"/>
      <c r="C688" s="16"/>
      <c r="D688" s="16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8"/>
    </row>
    <row r="689" spans="1:16" x14ac:dyDescent="0.25">
      <c r="A689" s="15"/>
      <c r="B689" s="16"/>
      <c r="C689" s="16"/>
      <c r="D689" s="16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8"/>
    </row>
    <row r="690" spans="1:16" x14ac:dyDescent="0.25">
      <c r="A690" s="15"/>
      <c r="B690" s="16"/>
      <c r="C690" s="16"/>
      <c r="D690" s="16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8"/>
    </row>
    <row r="691" spans="1:16" x14ac:dyDescent="0.25">
      <c r="A691" s="15"/>
      <c r="B691" s="16"/>
      <c r="C691" s="16"/>
      <c r="D691" s="16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8"/>
    </row>
    <row r="692" spans="1:16" x14ac:dyDescent="0.25">
      <c r="A692" s="15"/>
      <c r="B692" s="16"/>
      <c r="C692" s="16"/>
      <c r="D692" s="16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8"/>
    </row>
    <row r="693" spans="1:16" x14ac:dyDescent="0.25">
      <c r="A693" s="15"/>
      <c r="B693" s="16"/>
      <c r="C693" s="16"/>
      <c r="D693" s="16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8"/>
    </row>
    <row r="694" spans="1:16" x14ac:dyDescent="0.25">
      <c r="A694" s="15"/>
      <c r="B694" s="16"/>
      <c r="C694" s="16"/>
      <c r="D694" s="16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8"/>
    </row>
    <row r="695" spans="1:16" x14ac:dyDescent="0.25">
      <c r="A695" s="15"/>
      <c r="B695" s="16"/>
      <c r="C695" s="16"/>
      <c r="D695" s="16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8"/>
    </row>
    <row r="696" spans="1:16" x14ac:dyDescent="0.25">
      <c r="A696" s="15"/>
      <c r="B696" s="16"/>
      <c r="C696" s="16"/>
      <c r="D696" s="16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8"/>
    </row>
    <row r="697" spans="1:16" x14ac:dyDescent="0.25">
      <c r="A697" s="15"/>
      <c r="B697" s="16"/>
      <c r="C697" s="16"/>
      <c r="D697" s="16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8"/>
    </row>
    <row r="698" spans="1:16" x14ac:dyDescent="0.25">
      <c r="A698" s="15"/>
      <c r="B698" s="16"/>
      <c r="C698" s="16"/>
      <c r="D698" s="16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8"/>
    </row>
    <row r="699" spans="1:16" x14ac:dyDescent="0.25">
      <c r="A699" s="15"/>
      <c r="B699" s="16"/>
      <c r="C699" s="16"/>
      <c r="D699" s="16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8"/>
    </row>
    <row r="700" spans="1:16" x14ac:dyDescent="0.25">
      <c r="A700" s="15"/>
      <c r="B700" s="16"/>
      <c r="C700" s="16"/>
      <c r="D700" s="16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8"/>
    </row>
    <row r="701" spans="1:16" x14ac:dyDescent="0.25">
      <c r="A701" s="15"/>
      <c r="B701" s="16"/>
      <c r="C701" s="16"/>
      <c r="D701" s="16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8"/>
    </row>
    <row r="702" spans="1:16" x14ac:dyDescent="0.25">
      <c r="A702" s="15"/>
      <c r="B702" s="16"/>
      <c r="C702" s="16"/>
      <c r="D702" s="16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8"/>
    </row>
    <row r="703" spans="1:16" x14ac:dyDescent="0.25">
      <c r="A703" s="15"/>
      <c r="B703" s="16"/>
      <c r="C703" s="16"/>
      <c r="D703" s="16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8"/>
    </row>
    <row r="704" spans="1:16" x14ac:dyDescent="0.25">
      <c r="A704" s="15"/>
      <c r="B704" s="16"/>
      <c r="C704" s="16"/>
      <c r="D704" s="16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8"/>
    </row>
    <row r="705" spans="1:16" x14ac:dyDescent="0.25">
      <c r="A705" s="15"/>
      <c r="B705" s="16"/>
      <c r="C705" s="16"/>
      <c r="D705" s="16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8"/>
    </row>
    <row r="706" spans="1:16" x14ac:dyDescent="0.25">
      <c r="A706" s="15"/>
      <c r="B706" s="16"/>
      <c r="C706" s="16"/>
      <c r="D706" s="16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8"/>
    </row>
    <row r="707" spans="1:16" x14ac:dyDescent="0.25">
      <c r="A707" s="15"/>
      <c r="B707" s="16"/>
      <c r="C707" s="16"/>
      <c r="D707" s="16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8"/>
    </row>
    <row r="708" spans="1:16" x14ac:dyDescent="0.25">
      <c r="A708" s="15"/>
      <c r="B708" s="16"/>
      <c r="C708" s="16"/>
      <c r="D708" s="16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8"/>
    </row>
    <row r="709" spans="1:16" x14ac:dyDescent="0.25">
      <c r="A709" s="15"/>
      <c r="B709" s="16"/>
      <c r="C709" s="16"/>
      <c r="D709" s="16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8"/>
    </row>
    <row r="710" spans="1:16" x14ac:dyDescent="0.25">
      <c r="A710" s="15"/>
      <c r="B710" s="16"/>
      <c r="C710" s="16"/>
      <c r="D710" s="16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8"/>
    </row>
    <row r="711" spans="1:16" x14ac:dyDescent="0.25">
      <c r="A711" s="15"/>
      <c r="B711" s="16"/>
      <c r="C711" s="16"/>
      <c r="D711" s="16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8"/>
    </row>
    <row r="712" spans="1:16" x14ac:dyDescent="0.25">
      <c r="A712" s="15"/>
      <c r="B712" s="16"/>
      <c r="C712" s="16"/>
      <c r="D712" s="16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8"/>
    </row>
    <row r="713" spans="1:16" x14ac:dyDescent="0.25">
      <c r="A713" s="15"/>
      <c r="B713" s="16"/>
      <c r="C713" s="16"/>
      <c r="D713" s="16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8"/>
    </row>
    <row r="714" spans="1:16" x14ac:dyDescent="0.25">
      <c r="A714" s="15"/>
      <c r="B714" s="16"/>
      <c r="C714" s="16"/>
      <c r="D714" s="16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8"/>
    </row>
    <row r="715" spans="1:16" x14ac:dyDescent="0.25">
      <c r="A715" s="15"/>
      <c r="B715" s="16"/>
      <c r="C715" s="16"/>
      <c r="D715" s="16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8"/>
    </row>
    <row r="716" spans="1:16" x14ac:dyDescent="0.25">
      <c r="A716" s="15"/>
      <c r="B716" s="16"/>
      <c r="C716" s="16"/>
      <c r="D716" s="16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8"/>
    </row>
    <row r="717" spans="1:16" x14ac:dyDescent="0.25">
      <c r="A717" s="15"/>
      <c r="B717" s="16"/>
      <c r="C717" s="16"/>
      <c r="D717" s="16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8"/>
    </row>
    <row r="718" spans="1:16" x14ac:dyDescent="0.25">
      <c r="A718" s="15"/>
      <c r="B718" s="16"/>
      <c r="C718" s="16"/>
      <c r="D718" s="16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8"/>
    </row>
    <row r="719" spans="1:16" x14ac:dyDescent="0.25">
      <c r="A719" s="15"/>
      <c r="B719" s="16"/>
      <c r="C719" s="16"/>
      <c r="D719" s="16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8"/>
    </row>
    <row r="720" spans="1:16" x14ac:dyDescent="0.25">
      <c r="A720" s="15"/>
      <c r="B720" s="16"/>
      <c r="C720" s="16"/>
      <c r="D720" s="16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8"/>
    </row>
    <row r="721" spans="1:16" x14ac:dyDescent="0.25">
      <c r="A721" s="15"/>
      <c r="B721" s="16"/>
      <c r="C721" s="16"/>
      <c r="D721" s="16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8"/>
    </row>
    <row r="722" spans="1:16" x14ac:dyDescent="0.25">
      <c r="A722" s="15"/>
      <c r="B722" s="16"/>
      <c r="C722" s="16"/>
      <c r="D722" s="16"/>
      <c r="E722" s="19"/>
      <c r="F722" s="19"/>
      <c r="G722" s="19"/>
      <c r="H722" s="17"/>
      <c r="I722" s="19"/>
      <c r="J722" s="19"/>
      <c r="K722" s="19"/>
      <c r="L722" s="19"/>
      <c r="M722" s="19"/>
      <c r="N722" s="19"/>
      <c r="O722" s="19"/>
      <c r="P722" s="18"/>
    </row>
    <row r="723" spans="1:16" x14ac:dyDescent="0.25">
      <c r="A723" s="15"/>
      <c r="B723" s="16"/>
      <c r="C723" s="16"/>
      <c r="D723" s="16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8"/>
    </row>
    <row r="724" spans="1:16" x14ac:dyDescent="0.25">
      <c r="A724" s="15"/>
      <c r="B724" s="16"/>
      <c r="C724" s="16"/>
      <c r="D724" s="16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8"/>
    </row>
    <row r="725" spans="1:16" x14ac:dyDescent="0.25">
      <c r="A725" s="15"/>
      <c r="B725" s="16"/>
      <c r="C725" s="16"/>
      <c r="D725" s="16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8"/>
    </row>
    <row r="726" spans="1:16" x14ac:dyDescent="0.25">
      <c r="A726" s="15"/>
      <c r="B726" s="16"/>
      <c r="C726" s="16"/>
      <c r="D726" s="16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8"/>
    </row>
    <row r="727" spans="1:16" x14ac:dyDescent="0.25">
      <c r="A727" s="15"/>
      <c r="B727" s="16"/>
      <c r="C727" s="16"/>
      <c r="D727" s="16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8"/>
    </row>
    <row r="728" spans="1:16" x14ac:dyDescent="0.25">
      <c r="A728" s="15"/>
      <c r="B728" s="16"/>
      <c r="C728" s="16"/>
      <c r="D728" s="16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8"/>
    </row>
    <row r="729" spans="1:16" x14ac:dyDescent="0.25">
      <c r="A729" s="15"/>
      <c r="B729" s="16"/>
      <c r="C729" s="16"/>
      <c r="D729" s="16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8"/>
    </row>
    <row r="730" spans="1:16" x14ac:dyDescent="0.25">
      <c r="A730" s="15"/>
      <c r="B730" s="16"/>
      <c r="C730" s="16"/>
      <c r="D730" s="16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8"/>
    </row>
    <row r="731" spans="1:16" x14ac:dyDescent="0.25">
      <c r="A731" s="15"/>
      <c r="B731" s="16"/>
      <c r="C731" s="16"/>
      <c r="D731" s="16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8"/>
    </row>
    <row r="732" spans="1:16" x14ac:dyDescent="0.25">
      <c r="A732" s="15"/>
      <c r="B732" s="16"/>
      <c r="C732" s="16"/>
      <c r="D732" s="16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8"/>
    </row>
    <row r="733" spans="1:16" x14ac:dyDescent="0.25">
      <c r="A733" s="15"/>
      <c r="B733" s="16"/>
      <c r="C733" s="16"/>
      <c r="D733" s="16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8"/>
    </row>
    <row r="734" spans="1:16" x14ac:dyDescent="0.25">
      <c r="A734" s="15"/>
      <c r="B734" s="16"/>
      <c r="C734" s="16"/>
      <c r="D734" s="16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8"/>
    </row>
    <row r="735" spans="1:16" x14ac:dyDescent="0.25">
      <c r="A735" s="15"/>
      <c r="B735" s="16"/>
      <c r="C735" s="16"/>
      <c r="D735" s="16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8"/>
    </row>
    <row r="736" spans="1:16" x14ac:dyDescent="0.25">
      <c r="A736" s="15"/>
      <c r="B736" s="16"/>
      <c r="C736" s="16"/>
      <c r="D736" s="16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8"/>
    </row>
    <row r="737" spans="1:16" x14ac:dyDescent="0.25">
      <c r="A737" s="15"/>
      <c r="B737" s="16"/>
      <c r="C737" s="16"/>
      <c r="D737" s="16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8"/>
    </row>
    <row r="738" spans="1:16" x14ac:dyDescent="0.25">
      <c r="A738" s="15"/>
      <c r="B738" s="16"/>
      <c r="C738" s="16"/>
      <c r="D738" s="16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8"/>
    </row>
    <row r="739" spans="1:16" x14ac:dyDescent="0.25">
      <c r="A739" s="15"/>
      <c r="B739" s="16"/>
      <c r="C739" s="16"/>
      <c r="D739" s="16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8"/>
    </row>
    <row r="740" spans="1:16" x14ac:dyDescent="0.25">
      <c r="A740" s="15"/>
      <c r="B740" s="16"/>
      <c r="C740" s="16"/>
      <c r="D740" s="16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8"/>
    </row>
    <row r="741" spans="1:16" x14ac:dyDescent="0.25">
      <c r="A741" s="15"/>
      <c r="B741" s="16"/>
      <c r="C741" s="16"/>
      <c r="D741" s="16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8"/>
    </row>
    <row r="742" spans="1:16" x14ac:dyDescent="0.25">
      <c r="A742" s="15"/>
      <c r="B742" s="16"/>
      <c r="C742" s="16"/>
      <c r="D742" s="16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8"/>
    </row>
    <row r="743" spans="1:16" x14ac:dyDescent="0.25">
      <c r="A743" s="15"/>
      <c r="B743" s="16"/>
      <c r="C743" s="16"/>
      <c r="D743" s="16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8"/>
    </row>
    <row r="744" spans="1:16" x14ac:dyDescent="0.25">
      <c r="A744" s="15"/>
      <c r="B744" s="16"/>
      <c r="C744" s="16"/>
      <c r="D744" s="16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8"/>
    </row>
    <row r="745" spans="1:16" x14ac:dyDescent="0.25">
      <c r="A745" s="15"/>
      <c r="B745" s="16"/>
      <c r="C745" s="16"/>
      <c r="D745" s="16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8"/>
    </row>
    <row r="746" spans="1:16" x14ac:dyDescent="0.25">
      <c r="A746" s="15"/>
      <c r="B746" s="16"/>
      <c r="C746" s="16"/>
      <c r="D746" s="16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8"/>
    </row>
    <row r="747" spans="1:16" x14ac:dyDescent="0.25">
      <c r="A747" s="15"/>
      <c r="B747" s="16"/>
      <c r="C747" s="16"/>
      <c r="D747" s="16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8"/>
    </row>
    <row r="748" spans="1:16" x14ac:dyDescent="0.25">
      <c r="A748" s="15"/>
      <c r="B748" s="16"/>
      <c r="C748" s="16"/>
      <c r="D748" s="16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8"/>
    </row>
    <row r="749" spans="1:16" x14ac:dyDescent="0.25">
      <c r="A749" s="15"/>
      <c r="B749" s="16"/>
      <c r="C749" s="16"/>
      <c r="D749" s="16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8"/>
    </row>
    <row r="750" spans="1:16" x14ac:dyDescent="0.25">
      <c r="A750" s="15"/>
      <c r="B750" s="16"/>
      <c r="C750" s="16"/>
      <c r="D750" s="16"/>
      <c r="E750" s="19"/>
      <c r="F750" s="19"/>
      <c r="G750" s="19"/>
      <c r="H750" s="17"/>
      <c r="I750" s="19"/>
      <c r="J750" s="19"/>
      <c r="K750" s="19"/>
      <c r="L750" s="19"/>
      <c r="M750" s="19"/>
      <c r="N750" s="19"/>
      <c r="O750" s="19"/>
      <c r="P750" s="18"/>
    </row>
    <row r="751" spans="1:16" x14ac:dyDescent="0.25">
      <c r="A751" s="15"/>
      <c r="B751" s="16"/>
      <c r="C751" s="16"/>
      <c r="D751" s="16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8"/>
    </row>
    <row r="752" spans="1:16" x14ac:dyDescent="0.25">
      <c r="A752" s="15"/>
      <c r="B752" s="16"/>
      <c r="C752" s="16"/>
      <c r="D752" s="16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8"/>
    </row>
    <row r="753" spans="1:16" x14ac:dyDescent="0.25">
      <c r="A753" s="15"/>
      <c r="B753" s="16"/>
      <c r="C753" s="16"/>
      <c r="D753" s="16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8"/>
    </row>
    <row r="754" spans="1:16" x14ac:dyDescent="0.25">
      <c r="A754" s="15"/>
      <c r="B754" s="16"/>
      <c r="C754" s="16"/>
      <c r="D754" s="16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8"/>
    </row>
    <row r="755" spans="1:16" x14ac:dyDescent="0.25">
      <c r="A755" s="15"/>
      <c r="B755" s="16"/>
      <c r="C755" s="16"/>
      <c r="D755" s="16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8"/>
    </row>
    <row r="756" spans="1:16" x14ac:dyDescent="0.25">
      <c r="A756" s="15"/>
      <c r="B756" s="16"/>
      <c r="C756" s="16"/>
      <c r="D756" s="16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8"/>
    </row>
    <row r="757" spans="1:16" x14ac:dyDescent="0.25">
      <c r="A757" s="15"/>
      <c r="B757" s="16"/>
      <c r="C757" s="16"/>
      <c r="D757" s="16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8"/>
    </row>
    <row r="758" spans="1:16" x14ac:dyDescent="0.25">
      <c r="A758" s="15"/>
      <c r="B758" s="16"/>
      <c r="C758" s="16"/>
      <c r="D758" s="16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8"/>
    </row>
    <row r="759" spans="1:16" x14ac:dyDescent="0.25">
      <c r="A759" s="15"/>
      <c r="B759" s="16"/>
      <c r="C759" s="16"/>
      <c r="D759" s="16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8"/>
    </row>
    <row r="760" spans="1:16" x14ac:dyDescent="0.25">
      <c r="A760" s="15"/>
      <c r="B760" s="16"/>
      <c r="C760" s="16"/>
      <c r="D760" s="16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8"/>
    </row>
    <row r="761" spans="1:16" x14ac:dyDescent="0.25">
      <c r="A761" s="15"/>
      <c r="B761" s="16"/>
      <c r="C761" s="16"/>
      <c r="D761" s="16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8"/>
    </row>
    <row r="762" spans="1:16" x14ac:dyDescent="0.25">
      <c r="A762" s="15"/>
      <c r="B762" s="16"/>
      <c r="C762" s="16"/>
      <c r="D762" s="16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8"/>
    </row>
    <row r="763" spans="1:16" x14ac:dyDescent="0.25">
      <c r="A763" s="15"/>
      <c r="B763" s="16"/>
      <c r="C763" s="16"/>
      <c r="D763" s="16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8"/>
    </row>
    <row r="764" spans="1:16" x14ac:dyDescent="0.25">
      <c r="A764" s="15"/>
      <c r="B764" s="16"/>
      <c r="C764" s="16"/>
      <c r="D764" s="16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8"/>
    </row>
    <row r="765" spans="1:16" x14ac:dyDescent="0.25">
      <c r="A765" s="15"/>
      <c r="B765" s="16"/>
      <c r="C765" s="16"/>
      <c r="D765" s="16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8"/>
    </row>
    <row r="766" spans="1:16" x14ac:dyDescent="0.25">
      <c r="A766" s="15"/>
      <c r="B766" s="16"/>
      <c r="C766" s="16"/>
      <c r="D766" s="16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8"/>
    </row>
    <row r="767" spans="1:16" x14ac:dyDescent="0.25">
      <c r="A767" s="15"/>
      <c r="B767" s="16"/>
      <c r="C767" s="16"/>
      <c r="D767" s="16"/>
      <c r="E767" s="19"/>
      <c r="F767" s="19"/>
      <c r="G767" s="19"/>
      <c r="H767" s="17"/>
      <c r="I767" s="19"/>
      <c r="J767" s="19"/>
      <c r="K767" s="19"/>
      <c r="L767" s="19"/>
      <c r="M767" s="19"/>
      <c r="N767" s="19"/>
      <c r="O767" s="19"/>
      <c r="P767" s="18"/>
    </row>
    <row r="768" spans="1:16" x14ac:dyDescent="0.25">
      <c r="A768" s="15"/>
      <c r="B768" s="16"/>
      <c r="C768" s="16"/>
      <c r="D768" s="16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8"/>
    </row>
    <row r="769" spans="1:16" x14ac:dyDescent="0.25">
      <c r="A769" s="15"/>
      <c r="B769" s="16"/>
      <c r="C769" s="16"/>
      <c r="D769" s="16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8"/>
    </row>
    <row r="770" spans="1:16" x14ac:dyDescent="0.25">
      <c r="A770" s="15"/>
      <c r="B770" s="16"/>
      <c r="C770" s="16"/>
      <c r="D770" s="16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8"/>
    </row>
    <row r="771" spans="1:16" x14ac:dyDescent="0.25">
      <c r="A771" s="15"/>
      <c r="B771" s="16"/>
      <c r="C771" s="16"/>
      <c r="D771" s="16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8"/>
    </row>
    <row r="772" spans="1:16" x14ac:dyDescent="0.25">
      <c r="A772" s="15"/>
      <c r="B772" s="16"/>
      <c r="C772" s="16"/>
      <c r="D772" s="16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8"/>
    </row>
    <row r="773" spans="1:16" x14ac:dyDescent="0.25">
      <c r="A773" s="15"/>
      <c r="B773" s="16"/>
      <c r="C773" s="16"/>
      <c r="D773" s="16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8"/>
    </row>
    <row r="774" spans="1:16" x14ac:dyDescent="0.25">
      <c r="A774" s="15"/>
      <c r="B774" s="16"/>
      <c r="C774" s="16"/>
      <c r="D774" s="16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8"/>
    </row>
    <row r="775" spans="1:16" x14ac:dyDescent="0.25">
      <c r="A775" s="15"/>
      <c r="B775" s="16"/>
      <c r="C775" s="16"/>
      <c r="D775" s="16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8"/>
    </row>
    <row r="776" spans="1:16" x14ac:dyDescent="0.25">
      <c r="A776" s="15"/>
      <c r="B776" s="16"/>
      <c r="C776" s="16"/>
      <c r="D776" s="16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8"/>
    </row>
    <row r="777" spans="1:16" x14ac:dyDescent="0.25">
      <c r="A777" s="15"/>
      <c r="B777" s="16"/>
      <c r="C777" s="16"/>
      <c r="D777" s="16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8"/>
    </row>
    <row r="778" spans="1:16" x14ac:dyDescent="0.25">
      <c r="A778" s="15"/>
      <c r="B778" s="16"/>
      <c r="C778" s="16"/>
      <c r="D778" s="16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8"/>
    </row>
    <row r="779" spans="1:16" x14ac:dyDescent="0.25">
      <c r="A779" s="15"/>
      <c r="B779" s="16"/>
      <c r="C779" s="16"/>
      <c r="D779" s="16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8"/>
    </row>
    <row r="780" spans="1:16" x14ac:dyDescent="0.25">
      <c r="A780" s="15"/>
      <c r="B780" s="16"/>
      <c r="C780" s="16"/>
      <c r="D780" s="16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8"/>
    </row>
    <row r="781" spans="1:16" x14ac:dyDescent="0.25">
      <c r="A781" s="15"/>
      <c r="B781" s="16"/>
      <c r="C781" s="16"/>
      <c r="D781" s="16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8"/>
    </row>
    <row r="782" spans="1:16" x14ac:dyDescent="0.25">
      <c r="A782" s="15"/>
      <c r="B782" s="16"/>
      <c r="C782" s="16"/>
      <c r="D782" s="16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8"/>
    </row>
    <row r="783" spans="1:16" x14ac:dyDescent="0.25">
      <c r="A783" s="15"/>
      <c r="B783" s="16"/>
      <c r="C783" s="16"/>
      <c r="D783" s="16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8"/>
    </row>
    <row r="784" spans="1:16" x14ac:dyDescent="0.25">
      <c r="A784" s="15"/>
      <c r="B784" s="16"/>
      <c r="C784" s="16"/>
      <c r="D784" s="16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8"/>
    </row>
    <row r="785" spans="1:16" x14ac:dyDescent="0.25">
      <c r="A785" s="15"/>
      <c r="B785" s="16"/>
      <c r="C785" s="16"/>
      <c r="D785" s="16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8"/>
    </row>
    <row r="786" spans="1:16" x14ac:dyDescent="0.25">
      <c r="A786" s="15"/>
      <c r="B786" s="16"/>
      <c r="C786" s="16"/>
      <c r="D786" s="16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8"/>
    </row>
    <row r="787" spans="1:16" x14ac:dyDescent="0.25">
      <c r="A787" s="15"/>
      <c r="B787" s="16"/>
      <c r="C787" s="16"/>
      <c r="D787" s="16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8"/>
    </row>
    <row r="788" spans="1:16" x14ac:dyDescent="0.25">
      <c r="A788" s="15"/>
      <c r="B788" s="16"/>
      <c r="C788" s="16"/>
      <c r="D788" s="16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8"/>
    </row>
    <row r="789" spans="1:16" x14ac:dyDescent="0.25">
      <c r="A789" s="15"/>
      <c r="B789" s="16"/>
      <c r="C789" s="16"/>
      <c r="D789" s="16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8"/>
    </row>
    <row r="790" spans="1:16" x14ac:dyDescent="0.25">
      <c r="A790" s="15"/>
      <c r="B790" s="16"/>
      <c r="C790" s="16"/>
      <c r="D790" s="16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8"/>
    </row>
    <row r="791" spans="1:16" x14ac:dyDescent="0.25">
      <c r="A791" s="15"/>
      <c r="B791" s="16"/>
      <c r="C791" s="16"/>
      <c r="D791" s="16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8"/>
    </row>
    <row r="792" spans="1:16" x14ac:dyDescent="0.25">
      <c r="A792" s="15"/>
      <c r="B792" s="16"/>
      <c r="C792" s="16"/>
      <c r="D792" s="16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8"/>
    </row>
    <row r="793" spans="1:16" x14ac:dyDescent="0.25">
      <c r="A793" s="15"/>
      <c r="B793" s="16"/>
      <c r="C793" s="16"/>
      <c r="D793" s="16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8"/>
    </row>
    <row r="794" spans="1:16" x14ac:dyDescent="0.25">
      <c r="A794" s="15"/>
      <c r="B794" s="16"/>
      <c r="C794" s="16"/>
      <c r="D794" s="16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8"/>
    </row>
    <row r="795" spans="1:16" x14ac:dyDescent="0.25">
      <c r="A795" s="15"/>
      <c r="B795" s="16"/>
      <c r="C795" s="16"/>
      <c r="D795" s="16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8"/>
    </row>
    <row r="796" spans="1:16" x14ac:dyDescent="0.25">
      <c r="A796" s="15"/>
      <c r="B796" s="16"/>
      <c r="C796" s="16"/>
      <c r="D796" s="16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8"/>
    </row>
    <row r="797" spans="1:16" x14ac:dyDescent="0.25">
      <c r="A797" s="15"/>
      <c r="B797" s="16"/>
      <c r="C797" s="16"/>
      <c r="D797" s="16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8"/>
    </row>
    <row r="798" spans="1:16" x14ac:dyDescent="0.25">
      <c r="A798" s="15"/>
      <c r="B798" s="16"/>
      <c r="C798" s="16"/>
      <c r="D798" s="16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8"/>
    </row>
    <row r="799" spans="1:16" x14ac:dyDescent="0.25">
      <c r="A799" s="15"/>
      <c r="B799" s="16"/>
      <c r="C799" s="16"/>
      <c r="D799" s="16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8"/>
    </row>
    <row r="800" spans="1:16" x14ac:dyDescent="0.25">
      <c r="A800" s="15"/>
      <c r="B800" s="16"/>
      <c r="C800" s="16"/>
      <c r="D800" s="16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8"/>
    </row>
    <row r="801" spans="1:16" x14ac:dyDescent="0.25">
      <c r="A801" s="15"/>
      <c r="B801" s="16"/>
      <c r="C801" s="16"/>
      <c r="D801" s="16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8"/>
    </row>
    <row r="802" spans="1:16" x14ac:dyDescent="0.25">
      <c r="A802" s="15"/>
      <c r="B802" s="16"/>
      <c r="C802" s="16"/>
      <c r="D802" s="16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8"/>
    </row>
    <row r="803" spans="1:16" x14ac:dyDescent="0.25">
      <c r="A803" s="15"/>
      <c r="B803" s="16"/>
      <c r="C803" s="16"/>
      <c r="D803" s="16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8"/>
    </row>
    <row r="804" spans="1:16" x14ac:dyDescent="0.25">
      <c r="A804" s="15"/>
      <c r="B804" s="16"/>
      <c r="C804" s="16"/>
      <c r="D804" s="16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8"/>
    </row>
    <row r="805" spans="1:16" x14ac:dyDescent="0.25">
      <c r="A805" s="15"/>
      <c r="B805" s="16"/>
      <c r="C805" s="16"/>
      <c r="D805" s="16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8"/>
    </row>
    <row r="806" spans="1:16" x14ac:dyDescent="0.25">
      <c r="A806" s="15"/>
      <c r="B806" s="16"/>
      <c r="C806" s="16"/>
      <c r="D806" s="16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8"/>
    </row>
    <row r="807" spans="1:16" x14ac:dyDescent="0.25">
      <c r="A807" s="15"/>
      <c r="B807" s="16"/>
      <c r="C807" s="16"/>
      <c r="D807" s="16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8"/>
    </row>
    <row r="808" spans="1:16" x14ac:dyDescent="0.25">
      <c r="A808" s="15"/>
      <c r="B808" s="16"/>
      <c r="C808" s="16"/>
      <c r="D808" s="16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8"/>
    </row>
    <row r="809" spans="1:16" x14ac:dyDescent="0.25">
      <c r="A809" s="15"/>
      <c r="B809" s="16"/>
      <c r="C809" s="16"/>
      <c r="D809" s="16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8"/>
    </row>
    <row r="810" spans="1:16" x14ac:dyDescent="0.25">
      <c r="A810" s="15"/>
      <c r="B810" s="16"/>
      <c r="C810" s="16"/>
      <c r="D810" s="16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8"/>
    </row>
    <row r="811" spans="1:16" x14ac:dyDescent="0.25">
      <c r="A811" s="15"/>
      <c r="B811" s="16"/>
      <c r="C811" s="16"/>
      <c r="D811" s="16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8"/>
    </row>
    <row r="812" spans="1:16" x14ac:dyDescent="0.25">
      <c r="A812" s="15"/>
      <c r="B812" s="16"/>
      <c r="C812" s="16"/>
      <c r="D812" s="16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8"/>
    </row>
    <row r="813" spans="1:16" x14ac:dyDescent="0.25">
      <c r="A813" s="15"/>
      <c r="B813" s="16"/>
      <c r="C813" s="16"/>
      <c r="D813" s="16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8"/>
    </row>
    <row r="814" spans="1:16" x14ac:dyDescent="0.25">
      <c r="A814" s="15"/>
      <c r="B814" s="16"/>
      <c r="C814" s="16"/>
      <c r="D814" s="16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8"/>
    </row>
    <row r="815" spans="1:16" x14ac:dyDescent="0.25">
      <c r="A815" s="15"/>
      <c r="B815" s="16"/>
      <c r="C815" s="16"/>
      <c r="D815" s="16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8"/>
    </row>
    <row r="816" spans="1:16" x14ac:dyDescent="0.25">
      <c r="A816" s="15"/>
      <c r="B816" s="16"/>
      <c r="C816" s="16"/>
      <c r="D816" s="16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8"/>
    </row>
    <row r="817" spans="1:16" x14ac:dyDescent="0.25">
      <c r="A817" s="15"/>
      <c r="B817" s="16"/>
      <c r="C817" s="16"/>
      <c r="D817" s="16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8"/>
    </row>
    <row r="818" spans="1:16" x14ac:dyDescent="0.25">
      <c r="A818" s="15"/>
      <c r="B818" s="16"/>
      <c r="C818" s="16"/>
      <c r="D818" s="16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8"/>
    </row>
    <row r="819" spans="1:16" x14ac:dyDescent="0.25">
      <c r="A819" s="15"/>
      <c r="B819" s="16"/>
      <c r="C819" s="16"/>
      <c r="D819" s="16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8"/>
    </row>
    <row r="820" spans="1:16" x14ac:dyDescent="0.25">
      <c r="A820" s="15"/>
      <c r="B820" s="16"/>
      <c r="C820" s="16"/>
      <c r="D820" s="16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8"/>
    </row>
    <row r="821" spans="1:16" x14ac:dyDescent="0.25">
      <c r="A821" s="15"/>
      <c r="B821" s="16"/>
      <c r="C821" s="16"/>
      <c r="D821" s="16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8"/>
    </row>
    <row r="822" spans="1:16" x14ac:dyDescent="0.25">
      <c r="A822" s="15"/>
      <c r="B822" s="16"/>
      <c r="C822" s="16"/>
      <c r="D822" s="16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8"/>
    </row>
    <row r="823" spans="1:16" x14ac:dyDescent="0.25">
      <c r="A823" s="15"/>
      <c r="B823" s="16"/>
      <c r="C823" s="16"/>
      <c r="D823" s="16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8"/>
    </row>
    <row r="824" spans="1:16" x14ac:dyDescent="0.25">
      <c r="A824" s="15"/>
      <c r="B824" s="16"/>
      <c r="C824" s="16"/>
      <c r="D824" s="16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8"/>
    </row>
    <row r="825" spans="1:16" x14ac:dyDescent="0.25">
      <c r="A825" s="15"/>
      <c r="B825" s="16"/>
      <c r="C825" s="16"/>
      <c r="D825" s="16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8"/>
    </row>
    <row r="826" spans="1:16" x14ac:dyDescent="0.25">
      <c r="A826" s="15"/>
      <c r="B826" s="16"/>
      <c r="C826" s="16"/>
      <c r="D826" s="16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8"/>
    </row>
    <row r="827" spans="1:16" x14ac:dyDescent="0.25">
      <c r="A827" s="15"/>
      <c r="B827" s="16"/>
      <c r="C827" s="16"/>
      <c r="D827" s="16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8"/>
    </row>
    <row r="828" spans="1:16" x14ac:dyDescent="0.25">
      <c r="A828" s="15"/>
      <c r="B828" s="16"/>
      <c r="C828" s="16"/>
      <c r="D828" s="16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8"/>
    </row>
    <row r="829" spans="1:16" x14ac:dyDescent="0.25">
      <c r="A829" s="15"/>
      <c r="B829" s="16"/>
      <c r="C829" s="16"/>
      <c r="D829" s="16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8"/>
    </row>
    <row r="830" spans="1:16" x14ac:dyDescent="0.25">
      <c r="A830" s="15"/>
      <c r="B830" s="16"/>
      <c r="C830" s="16"/>
      <c r="D830" s="16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8"/>
    </row>
    <row r="831" spans="1:16" x14ac:dyDescent="0.25">
      <c r="A831" s="15"/>
      <c r="B831" s="16"/>
      <c r="C831" s="16"/>
      <c r="D831" s="16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8"/>
    </row>
    <row r="832" spans="1:16" x14ac:dyDescent="0.25">
      <c r="A832" s="15"/>
      <c r="B832" s="16"/>
      <c r="C832" s="16"/>
      <c r="D832" s="16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8"/>
    </row>
    <row r="833" spans="1:16" x14ac:dyDescent="0.25">
      <c r="A833" s="15"/>
      <c r="B833" s="16"/>
      <c r="C833" s="16"/>
      <c r="D833" s="16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8"/>
    </row>
    <row r="834" spans="1:16" x14ac:dyDescent="0.25">
      <c r="A834" s="15"/>
      <c r="B834" s="16"/>
      <c r="C834" s="16"/>
      <c r="D834" s="16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8"/>
    </row>
    <row r="835" spans="1:16" x14ac:dyDescent="0.25">
      <c r="A835" s="15"/>
      <c r="B835" s="16"/>
      <c r="C835" s="16"/>
      <c r="D835" s="16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8"/>
    </row>
    <row r="836" spans="1:16" x14ac:dyDescent="0.25">
      <c r="A836" s="15"/>
      <c r="B836" s="16"/>
      <c r="C836" s="16"/>
      <c r="D836" s="16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8"/>
    </row>
    <row r="837" spans="1:16" x14ac:dyDescent="0.25">
      <c r="A837" s="15"/>
      <c r="B837" s="16"/>
      <c r="C837" s="16"/>
      <c r="D837" s="16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8"/>
    </row>
    <row r="838" spans="1:16" x14ac:dyDescent="0.25">
      <c r="A838" s="15"/>
      <c r="B838" s="16"/>
      <c r="C838" s="16"/>
      <c r="D838" s="16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8"/>
    </row>
    <row r="839" spans="1:16" x14ac:dyDescent="0.25">
      <c r="A839" s="15"/>
      <c r="B839" s="16"/>
      <c r="C839" s="16"/>
      <c r="D839" s="16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8"/>
    </row>
    <row r="840" spans="1:16" x14ac:dyDescent="0.25">
      <c r="A840" s="15"/>
      <c r="B840" s="16"/>
      <c r="C840" s="16"/>
      <c r="D840" s="16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8"/>
    </row>
    <row r="841" spans="1:16" x14ac:dyDescent="0.25">
      <c r="A841" s="15"/>
      <c r="B841" s="16"/>
      <c r="C841" s="16"/>
      <c r="D841" s="16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8"/>
    </row>
    <row r="842" spans="1:16" x14ac:dyDescent="0.25">
      <c r="A842" s="15"/>
      <c r="B842" s="16"/>
      <c r="C842" s="16"/>
      <c r="D842" s="16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8"/>
    </row>
    <row r="843" spans="1:16" x14ac:dyDescent="0.25">
      <c r="A843" s="15"/>
      <c r="B843" s="16"/>
      <c r="C843" s="16"/>
      <c r="D843" s="16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8"/>
    </row>
    <row r="844" spans="1:16" x14ac:dyDescent="0.25">
      <c r="A844" s="15"/>
      <c r="B844" s="16"/>
      <c r="C844" s="16"/>
      <c r="D844" s="16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8"/>
    </row>
    <row r="845" spans="1:16" x14ac:dyDescent="0.25">
      <c r="A845" s="15"/>
      <c r="B845" s="16"/>
      <c r="C845" s="16"/>
      <c r="D845" s="16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8"/>
    </row>
    <row r="846" spans="1:16" x14ac:dyDescent="0.25">
      <c r="A846" s="15"/>
      <c r="B846" s="16"/>
      <c r="C846" s="16"/>
      <c r="D846" s="16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8"/>
    </row>
    <row r="847" spans="1:16" x14ac:dyDescent="0.25">
      <c r="A847" s="15"/>
      <c r="B847" s="16"/>
      <c r="C847" s="16"/>
      <c r="D847" s="16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8"/>
    </row>
    <row r="848" spans="1:16" x14ac:dyDescent="0.25">
      <c r="A848" s="15"/>
      <c r="B848" s="16"/>
      <c r="C848" s="16"/>
      <c r="D848" s="16"/>
      <c r="E848" s="19"/>
      <c r="F848" s="19"/>
      <c r="G848" s="19"/>
      <c r="H848" s="17"/>
      <c r="I848" s="19"/>
      <c r="J848" s="19"/>
      <c r="K848" s="19"/>
      <c r="L848" s="19"/>
      <c r="M848" s="19"/>
      <c r="N848" s="19"/>
      <c r="O848" s="19"/>
      <c r="P848" s="18"/>
    </row>
    <row r="849" spans="1:16" x14ac:dyDescent="0.25">
      <c r="A849" s="15"/>
      <c r="B849" s="16"/>
      <c r="C849" s="16"/>
      <c r="D849" s="16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8"/>
    </row>
    <row r="850" spans="1:16" x14ac:dyDescent="0.25">
      <c r="A850" s="15"/>
      <c r="B850" s="16"/>
      <c r="C850" s="16"/>
      <c r="D850" s="16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8"/>
    </row>
    <row r="851" spans="1:16" x14ac:dyDescent="0.25">
      <c r="A851" s="15"/>
      <c r="B851" s="16"/>
      <c r="C851" s="16"/>
      <c r="D851" s="16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8"/>
    </row>
    <row r="852" spans="1:16" x14ac:dyDescent="0.25">
      <c r="A852" s="15"/>
      <c r="B852" s="16"/>
      <c r="C852" s="16"/>
      <c r="D852" s="16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8"/>
    </row>
    <row r="853" spans="1:16" x14ac:dyDescent="0.25">
      <c r="A853" s="15"/>
      <c r="B853" s="16"/>
      <c r="C853" s="16"/>
      <c r="D853" s="16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8"/>
    </row>
    <row r="854" spans="1:16" x14ac:dyDescent="0.25">
      <c r="A854" s="15"/>
      <c r="B854" s="16"/>
      <c r="C854" s="16"/>
      <c r="D854" s="16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8"/>
    </row>
    <row r="855" spans="1:16" x14ac:dyDescent="0.25">
      <c r="A855" s="15"/>
      <c r="B855" s="16"/>
      <c r="C855" s="16"/>
      <c r="D855" s="16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8"/>
    </row>
    <row r="856" spans="1:16" x14ac:dyDescent="0.25">
      <c r="A856" s="15"/>
      <c r="B856" s="16"/>
      <c r="C856" s="16"/>
      <c r="D856" s="16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8"/>
    </row>
    <row r="857" spans="1:16" x14ac:dyDescent="0.25">
      <c r="A857" s="15"/>
      <c r="B857" s="16"/>
      <c r="C857" s="16"/>
      <c r="D857" s="16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8"/>
    </row>
    <row r="858" spans="1:16" x14ac:dyDescent="0.25">
      <c r="A858" s="15"/>
      <c r="B858" s="16"/>
      <c r="C858" s="16"/>
      <c r="D858" s="16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8"/>
    </row>
    <row r="859" spans="1:16" x14ac:dyDescent="0.25">
      <c r="A859" s="15"/>
      <c r="B859" s="16"/>
      <c r="C859" s="16"/>
      <c r="D859" s="16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8"/>
    </row>
    <row r="860" spans="1:16" x14ac:dyDescent="0.25">
      <c r="A860" s="15"/>
      <c r="B860" s="16"/>
      <c r="C860" s="16"/>
      <c r="D860" s="16"/>
      <c r="E860" s="19"/>
      <c r="F860" s="19"/>
      <c r="G860" s="19"/>
      <c r="H860" s="17"/>
      <c r="I860" s="19"/>
      <c r="J860" s="19"/>
      <c r="K860" s="19"/>
      <c r="L860" s="19"/>
      <c r="M860" s="19"/>
      <c r="N860" s="19"/>
      <c r="O860" s="19"/>
      <c r="P860" s="18"/>
    </row>
    <row r="861" spans="1:16" x14ac:dyDescent="0.25">
      <c r="A861" s="15"/>
      <c r="B861" s="16"/>
      <c r="C861" s="16"/>
      <c r="D861" s="16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8"/>
    </row>
    <row r="862" spans="1:16" x14ac:dyDescent="0.25">
      <c r="A862" s="15"/>
      <c r="B862" s="16"/>
      <c r="C862" s="16"/>
      <c r="D862" s="16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8"/>
    </row>
    <row r="863" spans="1:16" x14ac:dyDescent="0.25">
      <c r="A863" s="15"/>
      <c r="B863" s="16"/>
      <c r="C863" s="16"/>
      <c r="D863" s="16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8"/>
    </row>
    <row r="864" spans="1:16" x14ac:dyDescent="0.25">
      <c r="A864" s="15"/>
      <c r="B864" s="16"/>
      <c r="C864" s="16"/>
      <c r="D864" s="16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8"/>
    </row>
    <row r="865" spans="1:16" x14ac:dyDescent="0.25">
      <c r="A865" s="15"/>
      <c r="B865" s="16"/>
      <c r="C865" s="16"/>
      <c r="D865" s="16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8"/>
    </row>
    <row r="866" spans="1:16" x14ac:dyDescent="0.25">
      <c r="A866" s="15"/>
      <c r="B866" s="16"/>
      <c r="C866" s="16"/>
      <c r="D866" s="16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8"/>
    </row>
    <row r="867" spans="1:16" x14ac:dyDescent="0.25">
      <c r="A867" s="15"/>
      <c r="B867" s="16"/>
      <c r="C867" s="16"/>
      <c r="D867" s="16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8"/>
    </row>
    <row r="868" spans="1:16" x14ac:dyDescent="0.25">
      <c r="A868" s="15"/>
      <c r="B868" s="16"/>
      <c r="C868" s="16"/>
      <c r="D868" s="16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8"/>
    </row>
    <row r="869" spans="1:16" x14ac:dyDescent="0.25">
      <c r="A869" s="15"/>
      <c r="B869" s="16"/>
      <c r="C869" s="16"/>
      <c r="D869" s="16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8"/>
    </row>
    <row r="870" spans="1:16" x14ac:dyDescent="0.25">
      <c r="A870" s="15"/>
      <c r="B870" s="16"/>
      <c r="C870" s="16"/>
      <c r="D870" s="16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8"/>
    </row>
    <row r="871" spans="1:16" x14ac:dyDescent="0.25">
      <c r="A871" s="15"/>
      <c r="B871" s="16"/>
      <c r="C871" s="16"/>
      <c r="D871" s="16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8"/>
    </row>
    <row r="872" spans="1:16" x14ac:dyDescent="0.25">
      <c r="A872" s="15"/>
      <c r="B872" s="16"/>
      <c r="C872" s="16"/>
      <c r="D872" s="16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8"/>
    </row>
    <row r="873" spans="1:16" x14ac:dyDescent="0.25">
      <c r="A873" s="15"/>
      <c r="B873" s="16"/>
      <c r="C873" s="16"/>
      <c r="D873" s="16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8"/>
    </row>
    <row r="874" spans="1:16" x14ac:dyDescent="0.25">
      <c r="A874" s="15"/>
      <c r="B874" s="16"/>
      <c r="C874" s="16"/>
      <c r="D874" s="16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8"/>
    </row>
    <row r="875" spans="1:16" x14ac:dyDescent="0.25">
      <c r="A875" s="15"/>
      <c r="B875" s="16"/>
      <c r="C875" s="16"/>
      <c r="D875" s="16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8"/>
    </row>
    <row r="876" spans="1:16" x14ac:dyDescent="0.25">
      <c r="A876" s="15"/>
      <c r="B876" s="16"/>
      <c r="C876" s="16"/>
      <c r="D876" s="16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8"/>
    </row>
    <row r="877" spans="1:16" x14ac:dyDescent="0.25">
      <c r="A877" s="15"/>
      <c r="B877" s="16"/>
      <c r="C877" s="16"/>
      <c r="D877" s="16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8"/>
    </row>
    <row r="878" spans="1:16" x14ac:dyDescent="0.25">
      <c r="A878" s="15"/>
      <c r="B878" s="16"/>
      <c r="C878" s="16"/>
      <c r="D878" s="16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8"/>
    </row>
    <row r="879" spans="1:16" x14ac:dyDescent="0.25">
      <c r="A879" s="15"/>
      <c r="B879" s="16"/>
      <c r="C879" s="16"/>
      <c r="D879" s="16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8"/>
    </row>
    <row r="880" spans="1:16" x14ac:dyDescent="0.25">
      <c r="A880" s="15"/>
      <c r="B880" s="16"/>
      <c r="C880" s="16"/>
      <c r="D880" s="16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8"/>
    </row>
    <row r="881" spans="1:16" x14ac:dyDescent="0.25">
      <c r="A881" s="15"/>
      <c r="B881" s="16"/>
      <c r="C881" s="16"/>
      <c r="D881" s="16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8"/>
    </row>
    <row r="882" spans="1:16" x14ac:dyDescent="0.25">
      <c r="A882" s="15"/>
      <c r="B882" s="16"/>
      <c r="C882" s="16"/>
      <c r="D882" s="16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8"/>
    </row>
    <row r="883" spans="1:16" x14ac:dyDescent="0.25">
      <c r="A883" s="15"/>
      <c r="B883" s="16"/>
      <c r="C883" s="16"/>
      <c r="D883" s="16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8"/>
    </row>
    <row r="884" spans="1:16" x14ac:dyDescent="0.25">
      <c r="A884" s="15"/>
      <c r="B884" s="16"/>
      <c r="C884" s="16"/>
      <c r="D884" s="16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8"/>
    </row>
    <row r="885" spans="1:16" x14ac:dyDescent="0.25">
      <c r="A885" s="15"/>
      <c r="B885" s="16"/>
      <c r="C885" s="16"/>
      <c r="D885" s="16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8"/>
    </row>
    <row r="886" spans="1:16" x14ac:dyDescent="0.25">
      <c r="A886" s="15"/>
      <c r="B886" s="16"/>
      <c r="C886" s="16"/>
      <c r="D886" s="16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8"/>
    </row>
    <row r="887" spans="1:16" x14ac:dyDescent="0.25">
      <c r="A887" s="15"/>
      <c r="B887" s="16"/>
      <c r="C887" s="16"/>
      <c r="D887" s="16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8"/>
    </row>
    <row r="888" spans="1:16" x14ac:dyDescent="0.25">
      <c r="A888" s="15"/>
      <c r="B888" s="16"/>
      <c r="C888" s="16"/>
      <c r="D888" s="16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8"/>
    </row>
    <row r="889" spans="1:16" x14ac:dyDescent="0.25">
      <c r="A889" s="15"/>
      <c r="B889" s="16"/>
      <c r="C889" s="16"/>
      <c r="D889" s="16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8"/>
    </row>
    <row r="890" spans="1:16" x14ac:dyDescent="0.25">
      <c r="A890" s="15"/>
      <c r="B890" s="16"/>
      <c r="C890" s="16"/>
      <c r="D890" s="16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8"/>
    </row>
    <row r="891" spans="1:16" x14ac:dyDescent="0.25">
      <c r="A891" s="15"/>
      <c r="B891" s="16"/>
      <c r="C891" s="16"/>
      <c r="D891" s="16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8"/>
    </row>
    <row r="892" spans="1:16" x14ac:dyDescent="0.25">
      <c r="A892" s="15"/>
      <c r="B892" s="16"/>
      <c r="C892" s="16"/>
      <c r="D892" s="16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8"/>
    </row>
    <row r="893" spans="1:16" x14ac:dyDescent="0.25">
      <c r="A893" s="15"/>
      <c r="B893" s="16"/>
      <c r="C893" s="16"/>
      <c r="D893" s="16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8"/>
    </row>
    <row r="894" spans="1:16" x14ac:dyDescent="0.25">
      <c r="A894" s="15"/>
      <c r="B894" s="16"/>
      <c r="C894" s="16"/>
      <c r="D894" s="16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8"/>
    </row>
    <row r="895" spans="1:16" x14ac:dyDescent="0.25">
      <c r="A895" s="15"/>
      <c r="B895" s="16"/>
      <c r="C895" s="16"/>
      <c r="D895" s="16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8"/>
    </row>
    <row r="896" spans="1:16" x14ac:dyDescent="0.25">
      <c r="A896" s="15"/>
      <c r="B896" s="16"/>
      <c r="C896" s="16"/>
      <c r="D896" s="16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8"/>
    </row>
    <row r="897" spans="1:16" x14ac:dyDescent="0.25">
      <c r="A897" s="15"/>
      <c r="B897" s="16"/>
      <c r="C897" s="16"/>
      <c r="D897" s="16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8"/>
    </row>
    <row r="898" spans="1:16" x14ac:dyDescent="0.25">
      <c r="A898" s="15"/>
      <c r="B898" s="16"/>
      <c r="C898" s="16"/>
      <c r="D898" s="16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8"/>
    </row>
    <row r="899" spans="1:16" x14ac:dyDescent="0.25">
      <c r="A899" s="15"/>
      <c r="B899" s="16"/>
      <c r="C899" s="16"/>
      <c r="D899" s="16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8"/>
    </row>
    <row r="900" spans="1:16" x14ac:dyDescent="0.25">
      <c r="A900" s="15"/>
      <c r="B900" s="16"/>
      <c r="C900" s="16"/>
      <c r="D900" s="16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8"/>
    </row>
    <row r="901" spans="1:16" x14ac:dyDescent="0.25">
      <c r="A901" s="15"/>
      <c r="B901" s="16"/>
      <c r="C901" s="16"/>
      <c r="D901" s="16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8"/>
    </row>
    <row r="902" spans="1:16" x14ac:dyDescent="0.25">
      <c r="A902" s="15"/>
      <c r="B902" s="16"/>
      <c r="C902" s="16"/>
      <c r="D902" s="16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8"/>
    </row>
    <row r="903" spans="1:16" x14ac:dyDescent="0.25">
      <c r="A903" s="15"/>
      <c r="B903" s="16"/>
      <c r="C903" s="16"/>
      <c r="D903" s="16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8"/>
    </row>
    <row r="904" spans="1:16" x14ac:dyDescent="0.25">
      <c r="A904" s="15"/>
      <c r="B904" s="16"/>
      <c r="C904" s="16"/>
      <c r="D904" s="16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8"/>
    </row>
    <row r="905" spans="1:16" x14ac:dyDescent="0.25">
      <c r="A905" s="15"/>
      <c r="B905" s="16"/>
      <c r="C905" s="16"/>
      <c r="D905" s="16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8"/>
    </row>
    <row r="906" spans="1:16" x14ac:dyDescent="0.25">
      <c r="A906" s="15"/>
      <c r="B906" s="16"/>
      <c r="C906" s="16"/>
      <c r="D906" s="16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8"/>
    </row>
    <row r="907" spans="1:16" x14ac:dyDescent="0.25">
      <c r="A907" s="15"/>
      <c r="B907" s="16"/>
      <c r="C907" s="16"/>
      <c r="D907" s="16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8"/>
    </row>
    <row r="908" spans="1:16" x14ac:dyDescent="0.25">
      <c r="A908" s="15"/>
      <c r="B908" s="16"/>
      <c r="C908" s="16"/>
      <c r="D908" s="16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8"/>
    </row>
    <row r="909" spans="1:16" x14ac:dyDescent="0.25">
      <c r="A909" s="15"/>
      <c r="B909" s="16"/>
      <c r="C909" s="16"/>
      <c r="D909" s="16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8"/>
    </row>
    <row r="910" spans="1:16" x14ac:dyDescent="0.25">
      <c r="A910" s="15"/>
      <c r="B910" s="16"/>
      <c r="C910" s="16"/>
      <c r="D910" s="16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8"/>
    </row>
    <row r="911" spans="1:16" x14ac:dyDescent="0.25">
      <c r="A911" s="15"/>
      <c r="B911" s="16"/>
      <c r="C911" s="16"/>
      <c r="D911" s="16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8"/>
    </row>
    <row r="912" spans="1:16" x14ac:dyDescent="0.25">
      <c r="A912" s="15"/>
      <c r="B912" s="16"/>
      <c r="C912" s="16"/>
      <c r="D912" s="16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8"/>
    </row>
    <row r="913" spans="1:16" x14ac:dyDescent="0.25">
      <c r="A913" s="15"/>
      <c r="B913" s="16"/>
      <c r="C913" s="16"/>
      <c r="D913" s="16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8"/>
    </row>
    <row r="914" spans="1:16" x14ac:dyDescent="0.25">
      <c r="A914" s="15"/>
      <c r="B914" s="16"/>
      <c r="C914" s="16"/>
      <c r="D914" s="16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8"/>
    </row>
    <row r="915" spans="1:16" x14ac:dyDescent="0.25">
      <c r="A915" s="15"/>
      <c r="B915" s="16"/>
      <c r="C915" s="16"/>
      <c r="D915" s="16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8"/>
    </row>
    <row r="916" spans="1:16" x14ac:dyDescent="0.25">
      <c r="A916" s="15"/>
      <c r="B916" s="16"/>
      <c r="C916" s="16"/>
      <c r="D916" s="16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8"/>
    </row>
    <row r="917" spans="1:16" x14ac:dyDescent="0.25">
      <c r="A917" s="15"/>
      <c r="B917" s="16"/>
      <c r="C917" s="16"/>
      <c r="D917" s="16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8"/>
    </row>
    <row r="918" spans="1:16" x14ac:dyDescent="0.25">
      <c r="A918" s="15"/>
      <c r="B918" s="16"/>
      <c r="C918" s="16"/>
      <c r="D918" s="16"/>
      <c r="E918" s="19"/>
      <c r="F918" s="19"/>
      <c r="G918" s="19"/>
      <c r="H918" s="17"/>
      <c r="I918" s="19"/>
      <c r="J918" s="19"/>
      <c r="K918" s="19"/>
      <c r="L918" s="19"/>
      <c r="M918" s="19"/>
      <c r="N918" s="19"/>
      <c r="O918" s="19"/>
      <c r="P918" s="18"/>
    </row>
    <row r="919" spans="1:16" x14ac:dyDescent="0.25">
      <c r="A919" s="15"/>
      <c r="B919" s="16"/>
      <c r="C919" s="16"/>
      <c r="D919" s="16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8"/>
    </row>
    <row r="920" spans="1:16" x14ac:dyDescent="0.25">
      <c r="A920" s="15"/>
      <c r="B920" s="16"/>
      <c r="C920" s="16"/>
      <c r="D920" s="16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8"/>
    </row>
    <row r="921" spans="1:16" x14ac:dyDescent="0.25">
      <c r="A921" s="15"/>
      <c r="B921" s="16"/>
      <c r="C921" s="16"/>
      <c r="D921" s="16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8"/>
    </row>
    <row r="922" spans="1:16" x14ac:dyDescent="0.25">
      <c r="A922" s="15"/>
      <c r="B922" s="16"/>
      <c r="C922" s="16"/>
      <c r="D922" s="16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8"/>
    </row>
    <row r="923" spans="1:16" x14ac:dyDescent="0.25">
      <c r="A923" s="15"/>
      <c r="B923" s="16"/>
      <c r="C923" s="16"/>
      <c r="D923" s="16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8"/>
    </row>
    <row r="924" spans="1:16" x14ac:dyDescent="0.25">
      <c r="A924" s="15"/>
      <c r="B924" s="16"/>
      <c r="C924" s="16"/>
      <c r="D924" s="16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8"/>
    </row>
    <row r="925" spans="1:16" x14ac:dyDescent="0.25">
      <c r="A925" s="15"/>
      <c r="B925" s="16"/>
      <c r="C925" s="16"/>
      <c r="D925" s="16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8"/>
    </row>
    <row r="926" spans="1:16" x14ac:dyDescent="0.25">
      <c r="A926" s="15"/>
      <c r="B926" s="16"/>
      <c r="C926" s="16"/>
      <c r="D926" s="16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8"/>
    </row>
    <row r="927" spans="1:16" x14ac:dyDescent="0.25">
      <c r="A927" s="15"/>
      <c r="B927" s="16"/>
      <c r="C927" s="16"/>
      <c r="D927" s="16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8"/>
    </row>
    <row r="928" spans="1:16" x14ac:dyDescent="0.25">
      <c r="A928" s="15"/>
      <c r="B928" s="16"/>
      <c r="C928" s="16"/>
      <c r="D928" s="16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8"/>
    </row>
    <row r="929" spans="1:16" x14ac:dyDescent="0.25">
      <c r="A929" s="15"/>
      <c r="B929" s="16"/>
      <c r="C929" s="16"/>
      <c r="D929" s="16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8"/>
    </row>
    <row r="930" spans="1:16" x14ac:dyDescent="0.25">
      <c r="A930" s="15"/>
      <c r="B930" s="16"/>
      <c r="C930" s="16"/>
      <c r="D930" s="16"/>
      <c r="E930" s="19"/>
      <c r="F930" s="19"/>
      <c r="G930" s="19"/>
      <c r="H930" s="17"/>
      <c r="I930" s="19"/>
      <c r="J930" s="19"/>
      <c r="K930" s="19"/>
      <c r="L930" s="19"/>
      <c r="M930" s="19"/>
      <c r="N930" s="19"/>
      <c r="O930" s="19"/>
      <c r="P930" s="18"/>
    </row>
    <row r="931" spans="1:16" x14ac:dyDescent="0.25">
      <c r="A931" s="15"/>
      <c r="B931" s="16"/>
      <c r="C931" s="16"/>
      <c r="D931" s="16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8"/>
    </row>
    <row r="932" spans="1:16" x14ac:dyDescent="0.25">
      <c r="A932" s="15"/>
      <c r="B932" s="16"/>
      <c r="C932" s="16"/>
      <c r="D932" s="16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8"/>
    </row>
    <row r="933" spans="1:16" x14ac:dyDescent="0.25">
      <c r="A933" s="15"/>
      <c r="B933" s="16"/>
      <c r="C933" s="16"/>
      <c r="D933" s="16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8"/>
    </row>
    <row r="934" spans="1:16" x14ac:dyDescent="0.25">
      <c r="A934" s="15"/>
      <c r="B934" s="16"/>
      <c r="C934" s="16"/>
      <c r="D934" s="16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8"/>
    </row>
    <row r="935" spans="1:16" x14ac:dyDescent="0.25">
      <c r="A935" s="15"/>
      <c r="B935" s="16"/>
      <c r="C935" s="16"/>
      <c r="D935" s="16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8"/>
    </row>
    <row r="936" spans="1:16" x14ac:dyDescent="0.25">
      <c r="A936" s="15"/>
      <c r="B936" s="16"/>
      <c r="C936" s="16"/>
      <c r="D936" s="16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8"/>
    </row>
    <row r="937" spans="1:16" x14ac:dyDescent="0.25">
      <c r="A937" s="15"/>
      <c r="B937" s="16"/>
      <c r="C937" s="16"/>
      <c r="D937" s="16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8"/>
    </row>
    <row r="938" spans="1:16" x14ac:dyDescent="0.25">
      <c r="A938" s="15"/>
      <c r="B938" s="16"/>
      <c r="C938" s="16"/>
      <c r="D938" s="16"/>
      <c r="E938" s="19"/>
      <c r="F938" s="19"/>
      <c r="G938" s="19"/>
      <c r="H938" s="17"/>
      <c r="I938" s="19"/>
      <c r="J938" s="19"/>
      <c r="K938" s="19"/>
      <c r="L938" s="19"/>
      <c r="M938" s="19"/>
      <c r="N938" s="19"/>
      <c r="O938" s="19"/>
      <c r="P938" s="18"/>
    </row>
    <row r="939" spans="1:16" x14ac:dyDescent="0.25">
      <c r="A939" s="15"/>
      <c r="B939" s="16"/>
      <c r="C939" s="16"/>
      <c r="D939" s="16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8"/>
    </row>
    <row r="940" spans="1:16" x14ac:dyDescent="0.25">
      <c r="A940" s="15"/>
      <c r="B940" s="16"/>
      <c r="C940" s="16"/>
      <c r="D940" s="16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8"/>
    </row>
    <row r="941" spans="1:16" x14ac:dyDescent="0.25">
      <c r="A941" s="15"/>
      <c r="B941" s="16"/>
      <c r="C941" s="16"/>
      <c r="D941" s="16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8"/>
    </row>
    <row r="942" spans="1:16" x14ac:dyDescent="0.25">
      <c r="A942" s="15"/>
      <c r="B942" s="16"/>
      <c r="C942" s="16"/>
      <c r="D942" s="16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8"/>
    </row>
    <row r="943" spans="1:16" x14ac:dyDescent="0.25">
      <c r="A943" s="15"/>
      <c r="B943" s="16"/>
      <c r="C943" s="16"/>
      <c r="D943" s="16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8"/>
    </row>
    <row r="944" spans="1:16" x14ac:dyDescent="0.25">
      <c r="A944" s="15"/>
      <c r="B944" s="16"/>
      <c r="C944" s="16"/>
      <c r="D944" s="16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8"/>
    </row>
    <row r="945" spans="1:16" x14ac:dyDescent="0.25">
      <c r="A945" s="15"/>
      <c r="B945" s="16"/>
      <c r="C945" s="16"/>
      <c r="D945" s="16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8"/>
    </row>
    <row r="946" spans="1:16" x14ac:dyDescent="0.25">
      <c r="A946" s="15"/>
      <c r="B946" s="16"/>
      <c r="C946" s="16"/>
      <c r="D946" s="16"/>
      <c r="E946" s="19"/>
      <c r="F946" s="19"/>
      <c r="G946" s="19"/>
      <c r="H946" s="17"/>
      <c r="I946" s="19"/>
      <c r="J946" s="19"/>
      <c r="K946" s="19"/>
      <c r="L946" s="19"/>
      <c r="M946" s="19"/>
      <c r="N946" s="19"/>
      <c r="O946" s="19"/>
      <c r="P946" s="18"/>
    </row>
    <row r="947" spans="1:16" x14ac:dyDescent="0.25">
      <c r="A947" s="15"/>
      <c r="B947" s="16"/>
      <c r="C947" s="16"/>
      <c r="D947" s="16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8"/>
    </row>
    <row r="948" spans="1:16" x14ac:dyDescent="0.25">
      <c r="A948" s="15"/>
      <c r="B948" s="16"/>
      <c r="C948" s="16"/>
      <c r="D948" s="16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8"/>
    </row>
    <row r="949" spans="1:16" x14ac:dyDescent="0.25">
      <c r="A949" s="15"/>
      <c r="B949" s="16"/>
      <c r="C949" s="16"/>
      <c r="D949" s="16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8"/>
    </row>
    <row r="950" spans="1:16" x14ac:dyDescent="0.25">
      <c r="A950" s="15"/>
      <c r="B950" s="16"/>
      <c r="C950" s="16"/>
      <c r="D950" s="16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8"/>
    </row>
    <row r="951" spans="1:16" x14ac:dyDescent="0.25">
      <c r="A951" s="15"/>
      <c r="B951" s="16"/>
      <c r="C951" s="16"/>
      <c r="D951" s="16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8"/>
    </row>
    <row r="952" spans="1:16" x14ac:dyDescent="0.25">
      <c r="A952" s="15"/>
      <c r="B952" s="16"/>
      <c r="C952" s="16"/>
      <c r="D952" s="16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8"/>
    </row>
    <row r="953" spans="1:16" x14ac:dyDescent="0.25">
      <c r="A953" s="15"/>
      <c r="B953" s="16"/>
      <c r="C953" s="16"/>
      <c r="D953" s="16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8"/>
    </row>
    <row r="954" spans="1:16" x14ac:dyDescent="0.25">
      <c r="A954" s="15"/>
      <c r="B954" s="16"/>
      <c r="C954" s="16"/>
      <c r="D954" s="16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8"/>
    </row>
    <row r="955" spans="1:16" x14ac:dyDescent="0.25">
      <c r="A955" s="15"/>
      <c r="B955" s="16"/>
      <c r="C955" s="16"/>
      <c r="D955" s="16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8"/>
    </row>
    <row r="956" spans="1:16" x14ac:dyDescent="0.25">
      <c r="A956" s="15"/>
      <c r="B956" s="16"/>
      <c r="C956" s="16"/>
      <c r="D956" s="16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8"/>
    </row>
    <row r="957" spans="1:16" x14ac:dyDescent="0.25">
      <c r="A957" s="15"/>
      <c r="B957" s="16"/>
      <c r="C957" s="16"/>
      <c r="D957" s="16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8"/>
    </row>
    <row r="958" spans="1:16" x14ac:dyDescent="0.25">
      <c r="A958" s="15"/>
      <c r="B958" s="16"/>
      <c r="C958" s="16"/>
      <c r="D958" s="16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8"/>
    </row>
    <row r="959" spans="1:16" x14ac:dyDescent="0.25">
      <c r="A959" s="15"/>
      <c r="B959" s="16"/>
      <c r="C959" s="16"/>
      <c r="D959" s="16"/>
      <c r="E959" s="19"/>
      <c r="F959" s="19"/>
      <c r="G959" s="19"/>
      <c r="H959" s="17"/>
      <c r="I959" s="19"/>
      <c r="J959" s="19"/>
      <c r="K959" s="19"/>
      <c r="L959" s="19"/>
      <c r="M959" s="19"/>
      <c r="N959" s="19"/>
      <c r="O959" s="19"/>
      <c r="P959" s="18"/>
    </row>
    <row r="960" spans="1:16" x14ac:dyDescent="0.25">
      <c r="A960" s="15"/>
      <c r="B960" s="16"/>
      <c r="C960" s="16"/>
      <c r="D960" s="16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8"/>
    </row>
    <row r="961" spans="1:16" x14ac:dyDescent="0.25">
      <c r="A961" s="15"/>
      <c r="B961" s="16"/>
      <c r="C961" s="16"/>
      <c r="D961" s="16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8"/>
    </row>
    <row r="962" spans="1:16" x14ac:dyDescent="0.25">
      <c r="A962" s="15"/>
      <c r="B962" s="16"/>
      <c r="C962" s="16"/>
      <c r="D962" s="16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8"/>
    </row>
    <row r="963" spans="1:16" x14ac:dyDescent="0.25">
      <c r="A963" s="15"/>
      <c r="B963" s="16"/>
      <c r="C963" s="16"/>
      <c r="D963" s="16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8"/>
    </row>
    <row r="964" spans="1:16" x14ac:dyDescent="0.25">
      <c r="A964" s="15"/>
      <c r="B964" s="16"/>
      <c r="C964" s="16"/>
      <c r="D964" s="16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8"/>
    </row>
    <row r="965" spans="1:16" x14ac:dyDescent="0.25">
      <c r="A965" s="15"/>
      <c r="B965" s="16"/>
      <c r="C965" s="16"/>
      <c r="D965" s="16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8"/>
    </row>
    <row r="966" spans="1:16" x14ac:dyDescent="0.25">
      <c r="A966" s="15"/>
      <c r="B966" s="16"/>
      <c r="C966" s="16"/>
      <c r="D966" s="16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8"/>
    </row>
    <row r="967" spans="1:16" x14ac:dyDescent="0.25">
      <c r="A967" s="15"/>
      <c r="B967" s="16"/>
      <c r="C967" s="16"/>
      <c r="D967" s="16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8"/>
    </row>
    <row r="968" spans="1:16" x14ac:dyDescent="0.25">
      <c r="A968" s="15"/>
      <c r="B968" s="16"/>
      <c r="C968" s="16"/>
      <c r="D968" s="16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8"/>
    </row>
    <row r="969" spans="1:16" x14ac:dyDescent="0.25">
      <c r="A969" s="15"/>
      <c r="B969" s="16"/>
      <c r="C969" s="16"/>
      <c r="D969" s="16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8"/>
    </row>
    <row r="970" spans="1:16" x14ac:dyDescent="0.25">
      <c r="A970" s="15"/>
      <c r="B970" s="16"/>
      <c r="C970" s="16"/>
      <c r="D970" s="16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8"/>
    </row>
    <row r="971" spans="1:16" x14ac:dyDescent="0.25">
      <c r="A971" s="15"/>
      <c r="B971" s="16"/>
      <c r="C971" s="16"/>
      <c r="D971" s="16"/>
      <c r="E971" s="19"/>
      <c r="F971" s="19"/>
      <c r="G971" s="19"/>
      <c r="H971" s="17"/>
      <c r="I971" s="19"/>
      <c r="J971" s="19"/>
      <c r="K971" s="19"/>
      <c r="L971" s="19"/>
      <c r="M971" s="19"/>
      <c r="N971" s="19"/>
      <c r="O971" s="19"/>
      <c r="P971" s="18"/>
    </row>
    <row r="972" spans="1:16" x14ac:dyDescent="0.25">
      <c r="A972" s="15"/>
      <c r="B972" s="16"/>
      <c r="C972" s="16"/>
      <c r="D972" s="16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8"/>
    </row>
    <row r="973" spans="1:16" x14ac:dyDescent="0.25">
      <c r="A973" s="15"/>
      <c r="B973" s="16"/>
      <c r="C973" s="16"/>
      <c r="D973" s="16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8"/>
    </row>
    <row r="974" spans="1:16" x14ac:dyDescent="0.25">
      <c r="A974" s="15"/>
      <c r="B974" s="16"/>
      <c r="C974" s="16"/>
      <c r="D974" s="16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8"/>
    </row>
    <row r="975" spans="1:16" x14ac:dyDescent="0.25">
      <c r="A975" s="15"/>
      <c r="B975" s="16"/>
      <c r="C975" s="16"/>
      <c r="D975" s="16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8"/>
    </row>
    <row r="976" spans="1:16" x14ac:dyDescent="0.25">
      <c r="A976" s="15"/>
      <c r="B976" s="16"/>
      <c r="C976" s="16"/>
      <c r="D976" s="16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8"/>
    </row>
    <row r="977" spans="1:16" x14ac:dyDescent="0.25">
      <c r="A977" s="15"/>
      <c r="B977" s="16"/>
      <c r="C977" s="16"/>
      <c r="D977" s="16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8"/>
    </row>
    <row r="978" spans="1:16" x14ac:dyDescent="0.25">
      <c r="A978" s="15"/>
      <c r="B978" s="16"/>
      <c r="C978" s="16"/>
      <c r="D978" s="16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8"/>
    </row>
    <row r="979" spans="1:16" x14ac:dyDescent="0.25">
      <c r="A979" s="15"/>
      <c r="B979" s="16"/>
      <c r="C979" s="16"/>
      <c r="D979" s="16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8"/>
    </row>
    <row r="980" spans="1:16" x14ac:dyDescent="0.25">
      <c r="A980" s="15"/>
      <c r="B980" s="16"/>
      <c r="C980" s="16"/>
      <c r="D980" s="16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8"/>
    </row>
    <row r="981" spans="1:16" x14ac:dyDescent="0.25">
      <c r="A981" s="15"/>
      <c r="B981" s="16"/>
      <c r="C981" s="16"/>
      <c r="D981" s="16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8"/>
    </row>
    <row r="982" spans="1:16" x14ac:dyDescent="0.25">
      <c r="A982" s="15"/>
      <c r="B982" s="16"/>
      <c r="C982" s="16"/>
      <c r="D982" s="16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8"/>
    </row>
    <row r="983" spans="1:16" x14ac:dyDescent="0.25">
      <c r="A983" s="15"/>
      <c r="B983" s="16"/>
      <c r="C983" s="16"/>
      <c r="D983" s="16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8"/>
    </row>
    <row r="984" spans="1:16" x14ac:dyDescent="0.25">
      <c r="A984" s="15"/>
      <c r="B984" s="16"/>
      <c r="C984" s="16"/>
      <c r="D984" s="16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8"/>
    </row>
    <row r="985" spans="1:16" x14ac:dyDescent="0.25">
      <c r="A985" s="15"/>
      <c r="B985" s="16"/>
      <c r="C985" s="16"/>
      <c r="D985" s="16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8"/>
    </row>
    <row r="986" spans="1:16" x14ac:dyDescent="0.25">
      <c r="A986" s="15"/>
      <c r="B986" s="16"/>
      <c r="C986" s="16"/>
      <c r="D986" s="16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8"/>
    </row>
    <row r="987" spans="1:16" x14ac:dyDescent="0.25">
      <c r="A987" s="15"/>
      <c r="B987" s="16"/>
      <c r="C987" s="16"/>
      <c r="D987" s="16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8"/>
    </row>
    <row r="988" spans="1:16" x14ac:dyDescent="0.25">
      <c r="A988" s="15"/>
      <c r="B988" s="16"/>
      <c r="C988" s="16"/>
      <c r="D988" s="16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8"/>
    </row>
    <row r="989" spans="1:16" x14ac:dyDescent="0.25">
      <c r="A989" s="15"/>
      <c r="B989" s="16"/>
      <c r="C989" s="16"/>
      <c r="D989" s="16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8"/>
    </row>
    <row r="990" spans="1:16" x14ac:dyDescent="0.25">
      <c r="A990" s="15"/>
      <c r="B990" s="16"/>
      <c r="C990" s="16"/>
      <c r="D990" s="16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8"/>
    </row>
    <row r="991" spans="1:16" x14ac:dyDescent="0.25">
      <c r="A991" s="15"/>
      <c r="B991" s="16"/>
      <c r="C991" s="16"/>
      <c r="D991" s="16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8"/>
    </row>
    <row r="992" spans="1:16" x14ac:dyDescent="0.25">
      <c r="A992" s="15"/>
      <c r="B992" s="16"/>
      <c r="C992" s="16"/>
      <c r="D992" s="16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8"/>
    </row>
    <row r="993" spans="1:16" x14ac:dyDescent="0.25">
      <c r="A993" s="15"/>
      <c r="B993" s="16"/>
      <c r="C993" s="16"/>
      <c r="D993" s="16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8"/>
    </row>
    <row r="994" spans="1:16" x14ac:dyDescent="0.25">
      <c r="A994" s="15"/>
      <c r="B994" s="16"/>
      <c r="C994" s="16"/>
      <c r="D994" s="16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8"/>
    </row>
    <row r="995" spans="1:16" x14ac:dyDescent="0.25">
      <c r="A995" s="15"/>
      <c r="B995" s="16"/>
      <c r="C995" s="16"/>
      <c r="D995" s="16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8"/>
    </row>
    <row r="996" spans="1:16" x14ac:dyDescent="0.25">
      <c r="A996" s="15"/>
      <c r="B996" s="16"/>
      <c r="C996" s="16"/>
      <c r="D996" s="16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8"/>
    </row>
    <row r="997" spans="1:16" x14ac:dyDescent="0.25">
      <c r="A997" s="15"/>
      <c r="B997" s="16"/>
      <c r="C997" s="16"/>
      <c r="D997" s="16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8"/>
    </row>
    <row r="998" spans="1:16" x14ac:dyDescent="0.25">
      <c r="A998" s="15"/>
      <c r="B998" s="16"/>
      <c r="C998" s="16"/>
      <c r="D998" s="16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8"/>
    </row>
    <row r="999" spans="1:16" x14ac:dyDescent="0.25">
      <c r="A999" s="15"/>
      <c r="B999" s="16"/>
      <c r="C999" s="16"/>
      <c r="D999" s="16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8"/>
    </row>
    <row r="1000" spans="1:16" x14ac:dyDescent="0.25">
      <c r="A1000" s="15"/>
      <c r="B1000" s="16"/>
      <c r="C1000" s="16"/>
      <c r="D1000" s="16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8"/>
    </row>
    <row r="1001" spans="1:16" x14ac:dyDescent="0.25">
      <c r="A1001" s="15"/>
      <c r="B1001" s="16"/>
      <c r="C1001" s="16"/>
      <c r="D1001" s="16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8"/>
    </row>
    <row r="1002" spans="1:16" x14ac:dyDescent="0.25">
      <c r="A1002" s="15"/>
      <c r="B1002" s="16"/>
      <c r="C1002" s="16"/>
      <c r="D1002" s="16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8"/>
    </row>
    <row r="1003" spans="1:16" x14ac:dyDescent="0.25">
      <c r="A1003" s="15"/>
      <c r="B1003" s="16"/>
      <c r="C1003" s="16"/>
      <c r="D1003" s="16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8"/>
    </row>
    <row r="1004" spans="1:16" x14ac:dyDescent="0.25">
      <c r="A1004" s="15"/>
      <c r="B1004" s="16"/>
      <c r="C1004" s="16"/>
      <c r="D1004" s="16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8"/>
    </row>
    <row r="1005" spans="1:16" x14ac:dyDescent="0.25">
      <c r="A1005" s="15"/>
      <c r="B1005" s="16"/>
      <c r="C1005" s="16"/>
      <c r="D1005" s="16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8"/>
    </row>
    <row r="1006" spans="1:16" x14ac:dyDescent="0.25">
      <c r="A1006" s="15"/>
      <c r="B1006" s="16"/>
      <c r="C1006" s="16"/>
      <c r="D1006" s="16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8"/>
    </row>
    <row r="1007" spans="1:16" x14ac:dyDescent="0.25">
      <c r="A1007" s="15"/>
      <c r="B1007" s="16"/>
      <c r="C1007" s="16"/>
      <c r="D1007" s="16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8"/>
    </row>
    <row r="1008" spans="1:16" x14ac:dyDescent="0.25">
      <c r="A1008" s="15"/>
      <c r="B1008" s="16"/>
      <c r="C1008" s="16"/>
      <c r="D1008" s="16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8"/>
    </row>
    <row r="1009" spans="1:16" x14ac:dyDescent="0.25">
      <c r="A1009" s="15"/>
      <c r="B1009" s="16"/>
      <c r="C1009" s="16"/>
      <c r="D1009" s="16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8"/>
    </row>
    <row r="1010" spans="1:16" x14ac:dyDescent="0.25">
      <c r="A1010" s="15"/>
      <c r="B1010" s="16"/>
      <c r="C1010" s="16"/>
      <c r="D1010" s="16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8"/>
    </row>
    <row r="1011" spans="1:16" x14ac:dyDescent="0.25">
      <c r="A1011" s="15"/>
      <c r="B1011" s="16"/>
      <c r="C1011" s="16"/>
      <c r="D1011" s="16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8"/>
    </row>
    <row r="1012" spans="1:16" x14ac:dyDescent="0.25">
      <c r="A1012" s="15"/>
      <c r="B1012" s="16"/>
      <c r="C1012" s="16"/>
      <c r="D1012" s="16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8"/>
    </row>
    <row r="1013" spans="1:16" x14ac:dyDescent="0.25">
      <c r="A1013" s="15"/>
      <c r="B1013" s="16"/>
      <c r="C1013" s="16"/>
      <c r="D1013" s="16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8"/>
    </row>
    <row r="1014" spans="1:16" x14ac:dyDescent="0.25">
      <c r="A1014" s="15"/>
      <c r="B1014" s="16"/>
      <c r="C1014" s="16"/>
      <c r="D1014" s="16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8"/>
    </row>
    <row r="1015" spans="1:16" x14ac:dyDescent="0.25">
      <c r="A1015" s="15"/>
      <c r="B1015" s="16"/>
      <c r="C1015" s="16"/>
      <c r="D1015" s="16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8"/>
    </row>
    <row r="1016" spans="1:16" x14ac:dyDescent="0.25">
      <c r="A1016" s="15"/>
      <c r="B1016" s="16"/>
      <c r="C1016" s="16"/>
      <c r="D1016" s="16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8"/>
    </row>
    <row r="1017" spans="1:16" x14ac:dyDescent="0.25">
      <c r="A1017" s="15"/>
      <c r="B1017" s="16"/>
      <c r="C1017" s="16"/>
      <c r="D1017" s="16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8"/>
    </row>
    <row r="1018" spans="1:16" x14ac:dyDescent="0.25">
      <c r="A1018" s="15"/>
      <c r="B1018" s="16"/>
      <c r="C1018" s="16"/>
      <c r="D1018" s="16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8"/>
    </row>
    <row r="1019" spans="1:16" x14ac:dyDescent="0.25">
      <c r="A1019" s="15"/>
      <c r="B1019" s="16"/>
      <c r="C1019" s="16"/>
      <c r="D1019" s="16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8"/>
    </row>
    <row r="1020" spans="1:16" x14ac:dyDescent="0.25">
      <c r="A1020" s="15"/>
      <c r="B1020" s="16"/>
      <c r="C1020" s="16"/>
      <c r="D1020" s="16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8"/>
    </row>
    <row r="1021" spans="1:16" x14ac:dyDescent="0.25">
      <c r="A1021" s="15"/>
      <c r="B1021" s="16"/>
      <c r="C1021" s="16"/>
      <c r="D1021" s="16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8"/>
    </row>
    <row r="1022" spans="1:16" x14ac:dyDescent="0.25">
      <c r="A1022" s="15"/>
      <c r="B1022" s="16"/>
      <c r="C1022" s="16"/>
      <c r="D1022" s="16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8"/>
    </row>
    <row r="1023" spans="1:16" x14ac:dyDescent="0.25">
      <c r="A1023" s="15"/>
      <c r="B1023" s="16"/>
      <c r="C1023" s="16"/>
      <c r="D1023" s="16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8"/>
    </row>
    <row r="1024" spans="1:16" x14ac:dyDescent="0.25">
      <c r="A1024" s="15"/>
      <c r="B1024" s="16"/>
      <c r="C1024" s="16"/>
      <c r="D1024" s="16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8"/>
    </row>
    <row r="1025" spans="1:16" x14ac:dyDescent="0.25">
      <c r="A1025" s="15"/>
      <c r="B1025" s="16"/>
      <c r="C1025" s="16"/>
      <c r="D1025" s="16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8"/>
    </row>
    <row r="1026" spans="1:16" x14ac:dyDescent="0.25">
      <c r="A1026" s="15"/>
      <c r="B1026" s="16"/>
      <c r="C1026" s="16"/>
      <c r="D1026" s="16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8"/>
    </row>
    <row r="1027" spans="1:16" x14ac:dyDescent="0.25">
      <c r="A1027" s="15"/>
      <c r="B1027" s="16"/>
      <c r="C1027" s="16"/>
      <c r="D1027" s="16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8"/>
    </row>
    <row r="1028" spans="1:16" x14ac:dyDescent="0.25">
      <c r="A1028" s="15"/>
      <c r="B1028" s="16"/>
      <c r="C1028" s="16"/>
      <c r="D1028" s="16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8"/>
    </row>
    <row r="1029" spans="1:16" x14ac:dyDescent="0.25">
      <c r="A1029" s="15"/>
      <c r="B1029" s="16"/>
      <c r="C1029" s="16"/>
      <c r="D1029" s="16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8"/>
    </row>
    <row r="1030" spans="1:16" x14ac:dyDescent="0.25">
      <c r="A1030" s="15"/>
      <c r="B1030" s="16"/>
      <c r="C1030" s="16"/>
      <c r="D1030" s="16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8"/>
    </row>
    <row r="1031" spans="1:16" x14ac:dyDescent="0.25">
      <c r="A1031" s="15"/>
      <c r="B1031" s="16"/>
      <c r="C1031" s="16"/>
      <c r="D1031" s="16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8"/>
    </row>
    <row r="1032" spans="1:16" x14ac:dyDescent="0.25">
      <c r="A1032" s="15"/>
      <c r="B1032" s="16"/>
      <c r="C1032" s="16"/>
      <c r="D1032" s="16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8"/>
    </row>
    <row r="1033" spans="1:16" x14ac:dyDescent="0.25">
      <c r="A1033" s="15"/>
      <c r="B1033" s="16"/>
      <c r="C1033" s="16"/>
      <c r="D1033" s="16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8"/>
    </row>
    <row r="1034" spans="1:16" x14ac:dyDescent="0.25">
      <c r="A1034" s="15"/>
      <c r="B1034" s="16"/>
      <c r="C1034" s="16"/>
      <c r="D1034" s="16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8"/>
    </row>
    <row r="1035" spans="1:16" x14ac:dyDescent="0.25">
      <c r="A1035" s="15"/>
      <c r="B1035" s="16"/>
      <c r="C1035" s="16"/>
      <c r="D1035" s="16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8"/>
    </row>
    <row r="1036" spans="1:16" x14ac:dyDescent="0.25">
      <c r="A1036" s="15"/>
      <c r="B1036" s="16"/>
      <c r="C1036" s="16"/>
      <c r="D1036" s="16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8"/>
    </row>
    <row r="1037" spans="1:16" x14ac:dyDescent="0.25">
      <c r="A1037" s="15"/>
      <c r="B1037" s="16"/>
      <c r="C1037" s="16"/>
      <c r="D1037" s="16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8"/>
    </row>
    <row r="1038" spans="1:16" x14ac:dyDescent="0.25">
      <c r="A1038" s="15"/>
      <c r="B1038" s="16"/>
      <c r="C1038" s="16"/>
      <c r="D1038" s="16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8"/>
    </row>
    <row r="1039" spans="1:16" x14ac:dyDescent="0.25">
      <c r="A1039" s="15"/>
      <c r="B1039" s="16"/>
      <c r="C1039" s="16"/>
      <c r="D1039" s="16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8"/>
    </row>
    <row r="1040" spans="1:16" x14ac:dyDescent="0.25">
      <c r="A1040" s="15"/>
      <c r="B1040" s="16"/>
      <c r="C1040" s="16"/>
      <c r="D1040" s="16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8"/>
    </row>
    <row r="1041" spans="1:16" x14ac:dyDescent="0.25">
      <c r="A1041" s="15"/>
      <c r="B1041" s="16"/>
      <c r="C1041" s="16"/>
      <c r="D1041" s="16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8"/>
    </row>
    <row r="1042" spans="1:16" x14ac:dyDescent="0.25">
      <c r="A1042" s="15"/>
      <c r="B1042" s="16"/>
      <c r="C1042" s="16"/>
      <c r="D1042" s="16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8"/>
    </row>
    <row r="1043" spans="1:16" x14ac:dyDescent="0.25">
      <c r="A1043" s="15"/>
      <c r="B1043" s="16"/>
      <c r="C1043" s="16"/>
      <c r="D1043" s="16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8"/>
    </row>
    <row r="1044" spans="1:16" x14ac:dyDescent="0.25">
      <c r="A1044" s="15"/>
      <c r="B1044" s="16"/>
      <c r="C1044" s="16"/>
      <c r="D1044" s="16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8"/>
    </row>
    <row r="1045" spans="1:16" x14ac:dyDescent="0.25">
      <c r="A1045" s="15"/>
      <c r="B1045" s="16"/>
      <c r="C1045" s="16"/>
      <c r="D1045" s="16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8"/>
    </row>
    <row r="1046" spans="1:16" x14ac:dyDescent="0.25">
      <c r="A1046" s="15"/>
      <c r="B1046" s="16"/>
      <c r="C1046" s="16"/>
      <c r="D1046" s="16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8"/>
    </row>
    <row r="1047" spans="1:16" x14ac:dyDescent="0.25">
      <c r="A1047" s="15"/>
      <c r="B1047" s="16"/>
      <c r="C1047" s="16"/>
      <c r="D1047" s="16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8"/>
    </row>
    <row r="1048" spans="1:16" x14ac:dyDescent="0.25">
      <c r="A1048" s="15"/>
      <c r="B1048" s="16"/>
      <c r="C1048" s="16"/>
      <c r="D1048" s="16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8"/>
    </row>
    <row r="1049" spans="1:16" x14ac:dyDescent="0.25">
      <c r="A1049" s="15"/>
      <c r="B1049" s="16"/>
      <c r="C1049" s="16"/>
      <c r="D1049" s="16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8"/>
    </row>
    <row r="1050" spans="1:16" x14ac:dyDescent="0.25">
      <c r="A1050" s="15"/>
      <c r="B1050" s="16"/>
      <c r="C1050" s="16"/>
      <c r="D1050" s="16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8"/>
    </row>
    <row r="1051" spans="1:16" x14ac:dyDescent="0.25">
      <c r="A1051" s="15"/>
      <c r="B1051" s="16"/>
      <c r="C1051" s="16"/>
      <c r="D1051" s="16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8"/>
    </row>
    <row r="1052" spans="1:16" x14ac:dyDescent="0.25">
      <c r="A1052" s="15"/>
      <c r="B1052" s="16"/>
      <c r="C1052" s="16"/>
      <c r="D1052" s="16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8"/>
    </row>
    <row r="1053" spans="1:16" x14ac:dyDescent="0.25">
      <c r="A1053" s="15"/>
      <c r="B1053" s="16"/>
      <c r="C1053" s="16"/>
      <c r="D1053" s="16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8"/>
    </row>
    <row r="1054" spans="1:16" x14ac:dyDescent="0.25">
      <c r="A1054" s="15"/>
      <c r="B1054" s="16"/>
      <c r="C1054" s="16"/>
      <c r="D1054" s="16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8"/>
    </row>
    <row r="1055" spans="1:16" x14ac:dyDescent="0.25">
      <c r="A1055" s="15"/>
      <c r="B1055" s="16"/>
      <c r="C1055" s="16"/>
      <c r="D1055" s="16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8"/>
    </row>
    <row r="1056" spans="1:16" x14ac:dyDescent="0.25">
      <c r="A1056" s="15"/>
      <c r="B1056" s="16"/>
      <c r="C1056" s="16"/>
      <c r="D1056" s="16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8"/>
    </row>
    <row r="1057" spans="1:16" x14ac:dyDescent="0.25">
      <c r="A1057" s="15"/>
      <c r="B1057" s="16"/>
      <c r="C1057" s="16"/>
      <c r="D1057" s="16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8"/>
    </row>
    <row r="1058" spans="1:16" x14ac:dyDescent="0.25">
      <c r="A1058" s="15"/>
      <c r="B1058" s="16"/>
      <c r="C1058" s="16"/>
      <c r="D1058" s="16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8"/>
    </row>
    <row r="1059" spans="1:16" x14ac:dyDescent="0.25">
      <c r="A1059" s="15"/>
      <c r="B1059" s="16"/>
      <c r="C1059" s="16"/>
      <c r="D1059" s="16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8"/>
    </row>
    <row r="1060" spans="1:16" x14ac:dyDescent="0.25">
      <c r="A1060" s="15"/>
      <c r="B1060" s="16"/>
      <c r="C1060" s="16"/>
      <c r="D1060" s="16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8"/>
    </row>
    <row r="1061" spans="1:16" x14ac:dyDescent="0.25">
      <c r="A1061" s="15"/>
      <c r="B1061" s="16"/>
      <c r="C1061" s="16"/>
      <c r="D1061" s="16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8"/>
    </row>
    <row r="1062" spans="1:16" x14ac:dyDescent="0.25">
      <c r="A1062" s="15"/>
      <c r="B1062" s="16"/>
      <c r="C1062" s="16"/>
      <c r="D1062" s="16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8"/>
    </row>
    <row r="1063" spans="1:16" x14ac:dyDescent="0.25">
      <c r="A1063" s="15"/>
      <c r="B1063" s="16"/>
      <c r="C1063" s="16"/>
      <c r="D1063" s="16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8"/>
    </row>
    <row r="1064" spans="1:16" x14ac:dyDescent="0.25">
      <c r="A1064" s="15"/>
      <c r="B1064" s="16"/>
      <c r="C1064" s="16"/>
      <c r="D1064" s="16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8"/>
    </row>
    <row r="1065" spans="1:16" x14ac:dyDescent="0.25">
      <c r="A1065" s="15"/>
      <c r="B1065" s="16"/>
      <c r="C1065" s="16"/>
      <c r="D1065" s="16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8"/>
    </row>
    <row r="1066" spans="1:16" x14ac:dyDescent="0.25">
      <c r="A1066" s="15"/>
      <c r="B1066" s="16"/>
      <c r="C1066" s="16"/>
      <c r="D1066" s="16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8"/>
    </row>
    <row r="1067" spans="1:16" x14ac:dyDescent="0.25">
      <c r="A1067" s="15"/>
      <c r="B1067" s="16"/>
      <c r="C1067" s="16"/>
      <c r="D1067" s="16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8"/>
    </row>
    <row r="1068" spans="1:16" x14ac:dyDescent="0.25">
      <c r="A1068" s="15"/>
      <c r="B1068" s="16"/>
      <c r="C1068" s="16"/>
      <c r="D1068" s="16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8"/>
    </row>
    <row r="1069" spans="1:16" x14ac:dyDescent="0.25">
      <c r="A1069" s="15"/>
      <c r="B1069" s="16"/>
      <c r="C1069" s="16"/>
      <c r="D1069" s="16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8"/>
    </row>
    <row r="1070" spans="1:16" x14ac:dyDescent="0.25">
      <c r="A1070" s="15"/>
      <c r="B1070" s="16"/>
      <c r="C1070" s="16"/>
      <c r="D1070" s="16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8"/>
    </row>
    <row r="1071" spans="1:16" x14ac:dyDescent="0.25">
      <c r="A1071" s="15"/>
      <c r="B1071" s="16"/>
      <c r="C1071" s="16"/>
      <c r="D1071" s="16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8"/>
    </row>
    <row r="1072" spans="1:16" x14ac:dyDescent="0.25">
      <c r="A1072" s="15"/>
      <c r="B1072" s="16"/>
      <c r="C1072" s="16"/>
      <c r="D1072" s="16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8"/>
    </row>
    <row r="1073" spans="1:16" x14ac:dyDescent="0.25">
      <c r="A1073" s="15"/>
      <c r="B1073" s="16"/>
      <c r="C1073" s="16"/>
      <c r="D1073" s="16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8"/>
    </row>
    <row r="1074" spans="1:16" x14ac:dyDescent="0.25">
      <c r="A1074" s="15"/>
      <c r="B1074" s="16"/>
      <c r="C1074" s="16"/>
      <c r="D1074" s="16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8"/>
    </row>
    <row r="1075" spans="1:16" x14ac:dyDescent="0.25">
      <c r="A1075" s="15"/>
      <c r="B1075" s="16"/>
      <c r="C1075" s="16"/>
      <c r="D1075" s="16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8"/>
    </row>
    <row r="1076" spans="1:16" x14ac:dyDescent="0.25">
      <c r="A1076" s="15"/>
      <c r="B1076" s="16"/>
      <c r="C1076" s="16"/>
      <c r="D1076" s="16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8"/>
    </row>
    <row r="1077" spans="1:16" x14ac:dyDescent="0.25">
      <c r="A1077" s="15"/>
      <c r="B1077" s="16"/>
      <c r="C1077" s="16"/>
      <c r="D1077" s="16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8"/>
    </row>
    <row r="1078" spans="1:16" x14ac:dyDescent="0.25">
      <c r="A1078" s="15"/>
      <c r="B1078" s="16"/>
      <c r="C1078" s="16"/>
      <c r="D1078" s="16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8"/>
    </row>
    <row r="1079" spans="1:16" x14ac:dyDescent="0.25">
      <c r="A1079" s="15"/>
      <c r="B1079" s="16"/>
      <c r="C1079" s="16"/>
      <c r="D1079" s="16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8"/>
    </row>
    <row r="1080" spans="1:16" x14ac:dyDescent="0.25">
      <c r="A1080" s="15"/>
      <c r="B1080" s="16"/>
      <c r="C1080" s="16"/>
      <c r="D1080" s="16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8"/>
    </row>
    <row r="1081" spans="1:16" x14ac:dyDescent="0.25">
      <c r="A1081" s="15"/>
      <c r="B1081" s="16"/>
      <c r="C1081" s="16"/>
      <c r="D1081" s="16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8"/>
    </row>
    <row r="1082" spans="1:16" x14ac:dyDescent="0.25">
      <c r="A1082" s="15"/>
      <c r="B1082" s="16"/>
      <c r="C1082" s="16"/>
      <c r="D1082" s="16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8"/>
    </row>
    <row r="1083" spans="1:16" x14ac:dyDescent="0.25">
      <c r="A1083" s="15"/>
      <c r="B1083" s="16"/>
      <c r="C1083" s="16"/>
      <c r="D1083" s="16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8"/>
    </row>
    <row r="1084" spans="1:16" x14ac:dyDescent="0.25">
      <c r="A1084" s="15"/>
      <c r="B1084" s="16"/>
      <c r="C1084" s="16"/>
      <c r="D1084" s="16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A9A8-572B-4BB4-9C3C-9B57BB2F39B0}">
  <dimension ref="A1:L43"/>
  <sheetViews>
    <sheetView workbookViewId="0">
      <selection activeCell="J3" sqref="J3"/>
    </sheetView>
  </sheetViews>
  <sheetFormatPr defaultRowHeight="13.2" x14ac:dyDescent="0.25"/>
  <cols>
    <col min="1" max="1" width="31.6640625" bestFit="1" customWidth="1"/>
    <col min="2" max="2" width="9.88671875" bestFit="1" customWidth="1"/>
    <col min="3" max="3" width="11.109375" bestFit="1" customWidth="1"/>
    <col min="4" max="4" width="15.6640625" bestFit="1" customWidth="1"/>
    <col min="5" max="5" width="8.21875" bestFit="1" customWidth="1"/>
    <col min="6" max="6" width="13.21875" bestFit="1" customWidth="1"/>
    <col min="7" max="7" width="15.44140625" style="23" bestFit="1" customWidth="1"/>
    <col min="8" max="8" width="8.21875" bestFit="1" customWidth="1"/>
    <col min="9" max="9" width="8.5546875" bestFit="1" customWidth="1"/>
    <col min="10" max="10" width="8.33203125" bestFit="1" customWidth="1"/>
    <col min="11" max="11" width="11.44140625" bestFit="1" customWidth="1"/>
    <col min="12" max="12" width="43.33203125" bestFit="1" customWidth="1"/>
  </cols>
  <sheetData>
    <row r="1" spans="1:12" x14ac:dyDescent="0.25">
      <c r="K1" s="21">
        <f>SUM(K3:K43)</f>
        <v>1001750.47</v>
      </c>
    </row>
    <row r="2" spans="1:12" ht="52.8" x14ac:dyDescent="0.25">
      <c r="A2" s="1" t="s">
        <v>188</v>
      </c>
      <c r="B2" s="1" t="s">
        <v>189</v>
      </c>
      <c r="C2" s="1" t="s">
        <v>190</v>
      </c>
      <c r="D2" s="1" t="s">
        <v>191</v>
      </c>
      <c r="E2" s="12" t="s">
        <v>192</v>
      </c>
      <c r="F2" s="1" t="s">
        <v>193</v>
      </c>
      <c r="G2" s="22" t="s">
        <v>194</v>
      </c>
      <c r="H2" s="12" t="s">
        <v>195</v>
      </c>
      <c r="I2" s="12" t="s">
        <v>196</v>
      </c>
      <c r="J2" s="12" t="s">
        <v>197</v>
      </c>
      <c r="K2" s="12" t="s">
        <v>198</v>
      </c>
      <c r="L2" s="1" t="s">
        <v>199</v>
      </c>
    </row>
    <row r="3" spans="1:12" x14ac:dyDescent="0.25">
      <c r="A3" t="s">
        <v>0</v>
      </c>
      <c r="B3" t="s">
        <v>1</v>
      </c>
      <c r="C3" s="2">
        <v>45947</v>
      </c>
      <c r="D3" s="13">
        <v>1600002475</v>
      </c>
      <c r="E3" t="s">
        <v>33</v>
      </c>
      <c r="F3" s="2">
        <v>45947</v>
      </c>
      <c r="G3" s="23">
        <v>256779422017</v>
      </c>
      <c r="H3" t="s">
        <v>13</v>
      </c>
      <c r="I3" s="3">
        <v>-156.08000000000001</v>
      </c>
      <c r="J3" t="s">
        <v>4</v>
      </c>
      <c r="K3" s="3">
        <v>-13764.82</v>
      </c>
      <c r="L3" t="s">
        <v>34</v>
      </c>
    </row>
    <row r="4" spans="1:12" x14ac:dyDescent="0.25">
      <c r="A4" t="s">
        <v>0</v>
      </c>
      <c r="B4" t="s">
        <v>1</v>
      </c>
      <c r="C4" s="2">
        <v>45791</v>
      </c>
      <c r="D4" s="13">
        <v>1600000605</v>
      </c>
      <c r="E4" t="s">
        <v>33</v>
      </c>
      <c r="F4" s="2">
        <v>45791</v>
      </c>
      <c r="G4" s="23">
        <v>256779420314</v>
      </c>
      <c r="H4" t="s">
        <v>13</v>
      </c>
      <c r="I4" s="3">
        <v>-77.2</v>
      </c>
      <c r="J4" t="s">
        <v>4</v>
      </c>
      <c r="K4" s="3">
        <v>-6692.57</v>
      </c>
      <c r="L4" t="s">
        <v>81</v>
      </c>
    </row>
    <row r="5" spans="1:12" x14ac:dyDescent="0.25">
      <c r="A5" t="s">
        <v>0</v>
      </c>
      <c r="B5" t="s">
        <v>1</v>
      </c>
      <c r="C5" s="2">
        <v>45791</v>
      </c>
      <c r="D5" s="13">
        <v>1600000704</v>
      </c>
      <c r="E5" t="s">
        <v>33</v>
      </c>
      <c r="F5" s="2">
        <v>45791</v>
      </c>
      <c r="G5" s="23">
        <v>256779420413</v>
      </c>
      <c r="H5" t="s">
        <v>13</v>
      </c>
      <c r="I5" s="3">
        <v>-1800</v>
      </c>
      <c r="J5" t="s">
        <v>4</v>
      </c>
      <c r="K5" s="3">
        <v>-156459.28</v>
      </c>
      <c r="L5" t="s">
        <v>82</v>
      </c>
    </row>
    <row r="6" spans="1:12" x14ac:dyDescent="0.25">
      <c r="A6" t="s">
        <v>0</v>
      </c>
      <c r="B6" t="s">
        <v>1</v>
      </c>
      <c r="C6" s="2">
        <v>45791</v>
      </c>
      <c r="D6" s="13">
        <v>1600000791</v>
      </c>
      <c r="E6" t="s">
        <v>33</v>
      </c>
      <c r="F6" s="2">
        <v>45791</v>
      </c>
      <c r="G6" s="23">
        <v>256779420500</v>
      </c>
      <c r="H6" t="s">
        <v>13</v>
      </c>
      <c r="I6" s="3">
        <v>-1800</v>
      </c>
      <c r="J6" t="s">
        <v>4</v>
      </c>
      <c r="K6" s="3">
        <v>-156459.28</v>
      </c>
      <c r="L6" t="s">
        <v>83</v>
      </c>
    </row>
    <row r="7" spans="1:12" x14ac:dyDescent="0.25">
      <c r="A7" t="s">
        <v>0</v>
      </c>
      <c r="B7" t="s">
        <v>1</v>
      </c>
      <c r="C7" s="2">
        <v>45873</v>
      </c>
      <c r="D7" s="13">
        <v>1600002058</v>
      </c>
      <c r="E7" t="s">
        <v>33</v>
      </c>
      <c r="F7" s="2">
        <v>45873</v>
      </c>
      <c r="G7" s="23">
        <v>256779421634</v>
      </c>
      <c r="H7" t="s">
        <v>13</v>
      </c>
      <c r="I7" s="3">
        <v>-239.19</v>
      </c>
      <c r="J7" t="s">
        <v>4</v>
      </c>
      <c r="K7" s="3">
        <v>-20570.5</v>
      </c>
      <c r="L7" t="s">
        <v>124</v>
      </c>
    </row>
    <row r="8" spans="1:12" x14ac:dyDescent="0.25">
      <c r="A8" t="s">
        <v>0</v>
      </c>
      <c r="B8" t="s">
        <v>1</v>
      </c>
      <c r="C8" s="2">
        <v>45862</v>
      </c>
      <c r="D8" s="13">
        <v>1600001823</v>
      </c>
      <c r="E8" t="s">
        <v>33</v>
      </c>
      <c r="F8" s="2">
        <v>45862</v>
      </c>
      <c r="G8" s="23">
        <v>256779421443</v>
      </c>
      <c r="H8" t="s">
        <v>13</v>
      </c>
      <c r="I8" s="3">
        <v>-29.25</v>
      </c>
      <c r="J8" t="s">
        <v>4</v>
      </c>
      <c r="K8" s="3">
        <v>-2515.02</v>
      </c>
      <c r="L8" t="s">
        <v>132</v>
      </c>
    </row>
    <row r="9" spans="1:12" x14ac:dyDescent="0.25">
      <c r="A9" t="s">
        <v>0</v>
      </c>
      <c r="B9" t="s">
        <v>1</v>
      </c>
      <c r="C9" s="2">
        <v>45799</v>
      </c>
      <c r="D9" s="13">
        <v>1600001001</v>
      </c>
      <c r="E9" t="s">
        <v>33</v>
      </c>
      <c r="F9" s="2">
        <v>45799</v>
      </c>
      <c r="G9" s="23">
        <v>256779420689</v>
      </c>
      <c r="H9" t="s">
        <v>13</v>
      </c>
      <c r="I9" s="3">
        <v>-368.88</v>
      </c>
      <c r="J9" t="s">
        <v>4</v>
      </c>
      <c r="K9" s="3">
        <v>-31978.67</v>
      </c>
      <c r="L9" t="s">
        <v>148</v>
      </c>
    </row>
    <row r="10" spans="1:12" x14ac:dyDescent="0.25">
      <c r="A10" t="s">
        <v>0</v>
      </c>
      <c r="B10" t="s">
        <v>1</v>
      </c>
      <c r="C10" s="2">
        <v>45799</v>
      </c>
      <c r="D10" s="13">
        <v>1600001002</v>
      </c>
      <c r="E10" t="s">
        <v>33</v>
      </c>
      <c r="F10" s="2">
        <v>45799</v>
      </c>
      <c r="G10" s="23">
        <v>256779420690</v>
      </c>
      <c r="H10" t="s">
        <v>13</v>
      </c>
      <c r="I10" s="3">
        <v>-190.41</v>
      </c>
      <c r="J10" t="s">
        <v>4</v>
      </c>
      <c r="K10" s="3">
        <v>-16550.78</v>
      </c>
      <c r="L10" t="s">
        <v>149</v>
      </c>
    </row>
    <row r="11" spans="1:12" x14ac:dyDescent="0.25">
      <c r="A11" t="s">
        <v>0</v>
      </c>
      <c r="B11" t="s">
        <v>1</v>
      </c>
      <c r="C11" s="2">
        <v>45735</v>
      </c>
      <c r="D11" s="13">
        <v>1800003224</v>
      </c>
      <c r="E11" t="s">
        <v>14</v>
      </c>
      <c r="F11" s="2">
        <v>45735</v>
      </c>
      <c r="G11" s="23">
        <v>246779413091</v>
      </c>
      <c r="H11" t="s">
        <v>13</v>
      </c>
      <c r="I11" s="3">
        <v>368.88</v>
      </c>
      <c r="J11" t="s">
        <v>4</v>
      </c>
      <c r="K11" s="3">
        <v>31978.67</v>
      </c>
      <c r="L11" t="s">
        <v>15</v>
      </c>
    </row>
    <row r="12" spans="1:12" x14ac:dyDescent="0.25">
      <c r="A12" t="s">
        <v>0</v>
      </c>
      <c r="B12" t="s">
        <v>1</v>
      </c>
      <c r="C12" s="2">
        <v>45856</v>
      </c>
      <c r="D12" s="13">
        <v>1800011046</v>
      </c>
      <c r="E12" t="s">
        <v>14</v>
      </c>
      <c r="F12" s="2">
        <v>45856</v>
      </c>
      <c r="G12" s="23">
        <v>256779415806</v>
      </c>
      <c r="H12" t="s">
        <v>13</v>
      </c>
      <c r="I12" s="3">
        <v>239.19</v>
      </c>
      <c r="J12" t="s">
        <v>4</v>
      </c>
      <c r="K12" s="3">
        <v>20570.5</v>
      </c>
      <c r="L12" t="s">
        <v>89</v>
      </c>
    </row>
    <row r="13" spans="1:12" x14ac:dyDescent="0.25">
      <c r="A13" t="s">
        <v>0</v>
      </c>
      <c r="B13" t="s">
        <v>1</v>
      </c>
      <c r="C13" s="2">
        <v>45999</v>
      </c>
      <c r="D13" s="13">
        <v>1800015423</v>
      </c>
      <c r="E13" t="s">
        <v>14</v>
      </c>
      <c r="F13" s="2">
        <v>45999</v>
      </c>
      <c r="G13" s="23">
        <v>256779419872</v>
      </c>
      <c r="H13" t="s">
        <v>13</v>
      </c>
      <c r="I13" s="3">
        <v>42.73</v>
      </c>
      <c r="J13" t="s">
        <v>4</v>
      </c>
      <c r="K13" s="3">
        <v>3790.16</v>
      </c>
      <c r="L13" t="s">
        <v>118</v>
      </c>
    </row>
    <row r="14" spans="1:12" x14ac:dyDescent="0.25">
      <c r="A14" t="s">
        <v>0</v>
      </c>
      <c r="B14" t="s">
        <v>1</v>
      </c>
      <c r="C14" s="2">
        <v>45797</v>
      </c>
      <c r="D14" s="13">
        <v>1800009124</v>
      </c>
      <c r="E14" t="s">
        <v>14</v>
      </c>
      <c r="F14" s="2">
        <v>45797</v>
      </c>
      <c r="G14" s="23">
        <v>256779413888</v>
      </c>
      <c r="H14" t="s">
        <v>13</v>
      </c>
      <c r="I14" s="3">
        <v>29.25</v>
      </c>
      <c r="J14" t="s">
        <v>4</v>
      </c>
      <c r="K14" s="3">
        <v>2515.02</v>
      </c>
      <c r="L14" t="s">
        <v>123</v>
      </c>
    </row>
    <row r="15" spans="1:12" x14ac:dyDescent="0.25">
      <c r="A15" t="s">
        <v>0</v>
      </c>
      <c r="B15" t="s">
        <v>1</v>
      </c>
      <c r="C15" s="2">
        <v>45750</v>
      </c>
      <c r="D15" s="13">
        <v>1800005055</v>
      </c>
      <c r="E15" t="s">
        <v>14</v>
      </c>
      <c r="F15" s="2">
        <v>45750</v>
      </c>
      <c r="G15" s="23">
        <v>256779410001</v>
      </c>
      <c r="H15" t="s">
        <v>13</v>
      </c>
      <c r="I15" s="3">
        <v>450</v>
      </c>
      <c r="J15" t="s">
        <v>4</v>
      </c>
      <c r="K15" s="3">
        <v>39114.82</v>
      </c>
      <c r="L15" t="s">
        <v>20</v>
      </c>
    </row>
    <row r="16" spans="1:12" x14ac:dyDescent="0.25">
      <c r="A16" t="s">
        <v>0</v>
      </c>
      <c r="B16" t="s">
        <v>1</v>
      </c>
      <c r="C16" s="2">
        <v>45750</v>
      </c>
      <c r="D16" s="13">
        <v>1800005061</v>
      </c>
      <c r="E16" t="s">
        <v>14</v>
      </c>
      <c r="F16" s="2">
        <v>45750</v>
      </c>
      <c r="G16" s="23">
        <v>256779410007</v>
      </c>
      <c r="H16" t="s">
        <v>13</v>
      </c>
      <c r="I16" s="3">
        <v>465</v>
      </c>
      <c r="J16" t="s">
        <v>4</v>
      </c>
      <c r="K16" s="3">
        <v>40418.65</v>
      </c>
      <c r="L16" t="s">
        <v>20</v>
      </c>
    </row>
    <row r="17" spans="1:12" x14ac:dyDescent="0.25">
      <c r="A17" t="s">
        <v>0</v>
      </c>
      <c r="B17" t="s">
        <v>1</v>
      </c>
      <c r="C17" s="2">
        <v>45750</v>
      </c>
      <c r="D17" s="13">
        <v>1800005067</v>
      </c>
      <c r="E17" t="s">
        <v>14</v>
      </c>
      <c r="F17" s="2">
        <v>45750</v>
      </c>
      <c r="G17" s="23">
        <v>256779410013</v>
      </c>
      <c r="H17" t="s">
        <v>13</v>
      </c>
      <c r="I17" s="3">
        <v>450</v>
      </c>
      <c r="J17" t="s">
        <v>4</v>
      </c>
      <c r="K17" s="3">
        <v>39114.82</v>
      </c>
      <c r="L17" t="s">
        <v>20</v>
      </c>
    </row>
    <row r="18" spans="1:12" x14ac:dyDescent="0.25">
      <c r="A18" t="s">
        <v>0</v>
      </c>
      <c r="B18" t="s">
        <v>1</v>
      </c>
      <c r="C18" s="2">
        <v>45750</v>
      </c>
      <c r="D18" s="13">
        <v>1800005327</v>
      </c>
      <c r="E18" t="s">
        <v>14</v>
      </c>
      <c r="F18" s="2">
        <v>45750</v>
      </c>
      <c r="G18" s="23">
        <v>256779410219</v>
      </c>
      <c r="H18" t="s">
        <v>13</v>
      </c>
      <c r="I18" s="3">
        <v>465</v>
      </c>
      <c r="J18" t="s">
        <v>4</v>
      </c>
      <c r="K18" s="3">
        <v>40418.65</v>
      </c>
      <c r="L18" t="s">
        <v>20</v>
      </c>
    </row>
    <row r="19" spans="1:12" x14ac:dyDescent="0.25">
      <c r="A19" t="s">
        <v>0</v>
      </c>
      <c r="B19" t="s">
        <v>1</v>
      </c>
      <c r="C19" s="2">
        <v>45750</v>
      </c>
      <c r="D19" s="13">
        <v>1800005388</v>
      </c>
      <c r="E19" t="s">
        <v>14</v>
      </c>
      <c r="F19" s="2">
        <v>45750</v>
      </c>
      <c r="G19" s="23">
        <v>256779410280</v>
      </c>
      <c r="H19" t="s">
        <v>13</v>
      </c>
      <c r="I19" s="3">
        <v>1800</v>
      </c>
      <c r="J19" t="s">
        <v>4</v>
      </c>
      <c r="K19" s="3">
        <v>156459.28</v>
      </c>
      <c r="L19" t="s">
        <v>114</v>
      </c>
    </row>
    <row r="20" spans="1:12" x14ac:dyDescent="0.25">
      <c r="A20" t="s">
        <v>0</v>
      </c>
      <c r="B20" t="s">
        <v>1</v>
      </c>
      <c r="C20" s="2">
        <v>45750</v>
      </c>
      <c r="D20" s="13">
        <v>1800005347</v>
      </c>
      <c r="E20" t="s">
        <v>14</v>
      </c>
      <c r="F20" s="2">
        <v>45750</v>
      </c>
      <c r="G20" s="23">
        <v>256779410239</v>
      </c>
      <c r="H20" t="s">
        <v>13</v>
      </c>
      <c r="I20" s="3">
        <v>1800</v>
      </c>
      <c r="J20" t="s">
        <v>4</v>
      </c>
      <c r="K20" s="3">
        <v>156459.28</v>
      </c>
      <c r="L20" t="s">
        <v>113</v>
      </c>
    </row>
    <row r="21" spans="1:12" x14ac:dyDescent="0.25">
      <c r="A21" t="s">
        <v>0</v>
      </c>
      <c r="B21" t="s">
        <v>1</v>
      </c>
      <c r="C21" s="2">
        <v>45951</v>
      </c>
      <c r="D21" s="13">
        <v>1800013967</v>
      </c>
      <c r="E21" t="s">
        <v>14</v>
      </c>
      <c r="F21" s="2">
        <v>45951</v>
      </c>
      <c r="G21" s="23">
        <v>256779418497</v>
      </c>
      <c r="H21" t="s">
        <v>13</v>
      </c>
      <c r="I21" s="3">
        <v>13.59</v>
      </c>
      <c r="J21" t="s">
        <v>4</v>
      </c>
      <c r="K21" s="3">
        <v>1198.51</v>
      </c>
      <c r="L21" t="s">
        <v>134</v>
      </c>
    </row>
    <row r="22" spans="1:12" x14ac:dyDescent="0.25">
      <c r="A22" t="s">
        <v>0</v>
      </c>
      <c r="B22" t="s">
        <v>1</v>
      </c>
      <c r="C22" s="2">
        <v>45981</v>
      </c>
      <c r="D22" s="13">
        <v>1800014968</v>
      </c>
      <c r="E22" t="s">
        <v>14</v>
      </c>
      <c r="F22" s="2">
        <v>45981</v>
      </c>
      <c r="G22" s="23">
        <v>256779419469</v>
      </c>
      <c r="H22" t="s">
        <v>13</v>
      </c>
      <c r="I22" s="3">
        <v>2040.23</v>
      </c>
      <c r="J22" t="s">
        <v>4</v>
      </c>
      <c r="K22" s="3">
        <v>179547.16</v>
      </c>
      <c r="L22" t="s">
        <v>139</v>
      </c>
    </row>
    <row r="23" spans="1:12" x14ac:dyDescent="0.25">
      <c r="A23" t="s">
        <v>0</v>
      </c>
      <c r="B23" t="s">
        <v>1</v>
      </c>
      <c r="C23" s="2">
        <v>45981</v>
      </c>
      <c r="D23" s="13">
        <v>1800015080</v>
      </c>
      <c r="E23" t="s">
        <v>14</v>
      </c>
      <c r="F23" s="2">
        <v>45981</v>
      </c>
      <c r="G23" s="23">
        <v>256779419593</v>
      </c>
      <c r="H23" t="s">
        <v>13</v>
      </c>
      <c r="I23" s="3">
        <v>65.05</v>
      </c>
      <c r="J23" t="s">
        <v>4</v>
      </c>
      <c r="K23" s="3">
        <v>5724.62</v>
      </c>
      <c r="L23" t="s">
        <v>140</v>
      </c>
    </row>
    <row r="24" spans="1:12" x14ac:dyDescent="0.25">
      <c r="A24" t="s">
        <v>0</v>
      </c>
      <c r="B24" t="s">
        <v>1</v>
      </c>
      <c r="C24" s="2">
        <v>45981</v>
      </c>
      <c r="D24" s="13">
        <v>1800015135</v>
      </c>
      <c r="E24" t="s">
        <v>14</v>
      </c>
      <c r="F24" s="2">
        <v>45981</v>
      </c>
      <c r="G24" s="23">
        <v>256779419634</v>
      </c>
      <c r="H24" t="s">
        <v>13</v>
      </c>
      <c r="I24" s="3">
        <v>42.21</v>
      </c>
      <c r="J24" t="s">
        <v>4</v>
      </c>
      <c r="K24" s="3">
        <v>3714.62</v>
      </c>
      <c r="L24" t="s">
        <v>141</v>
      </c>
    </row>
    <row r="25" spans="1:12" x14ac:dyDescent="0.25">
      <c r="A25" t="s">
        <v>0</v>
      </c>
      <c r="B25" t="s">
        <v>1</v>
      </c>
      <c r="C25" s="2">
        <v>45996</v>
      </c>
      <c r="D25" s="13">
        <v>1800015293</v>
      </c>
      <c r="E25" t="s">
        <v>14</v>
      </c>
      <c r="F25" s="2">
        <v>45996</v>
      </c>
      <c r="G25" s="23">
        <v>256779419922</v>
      </c>
      <c r="H25" t="s">
        <v>13</v>
      </c>
      <c r="I25" s="3">
        <v>161.41</v>
      </c>
      <c r="J25" t="s">
        <v>4</v>
      </c>
      <c r="K25" s="3">
        <v>14317.09</v>
      </c>
      <c r="L25" t="s">
        <v>147</v>
      </c>
    </row>
    <row r="26" spans="1:12" x14ac:dyDescent="0.25">
      <c r="A26" t="s">
        <v>0</v>
      </c>
      <c r="B26" t="s">
        <v>1</v>
      </c>
      <c r="C26" s="2">
        <v>45770</v>
      </c>
      <c r="D26" s="13">
        <v>1800008042</v>
      </c>
      <c r="E26" t="s">
        <v>14</v>
      </c>
      <c r="F26" s="2">
        <v>45770</v>
      </c>
      <c r="G26" s="23">
        <v>256779412933</v>
      </c>
      <c r="H26" t="s">
        <v>13</v>
      </c>
      <c r="I26" s="3">
        <v>190.41</v>
      </c>
      <c r="J26" t="s">
        <v>4</v>
      </c>
      <c r="K26" s="3">
        <v>16550.78</v>
      </c>
      <c r="L26" t="s">
        <v>151</v>
      </c>
    </row>
    <row r="27" spans="1:12" x14ac:dyDescent="0.25">
      <c r="A27" t="s">
        <v>0</v>
      </c>
      <c r="B27" t="s">
        <v>1</v>
      </c>
      <c r="C27" s="2">
        <v>45935</v>
      </c>
      <c r="D27" s="13">
        <v>1800013432</v>
      </c>
      <c r="E27" t="s">
        <v>14</v>
      </c>
      <c r="F27" s="2">
        <v>45935</v>
      </c>
      <c r="G27" s="23">
        <v>256779418079</v>
      </c>
      <c r="H27" t="s">
        <v>13</v>
      </c>
      <c r="I27" s="3">
        <v>156.08000000000001</v>
      </c>
      <c r="J27" t="s">
        <v>4</v>
      </c>
      <c r="K27" s="3">
        <v>13764.82</v>
      </c>
      <c r="L27" t="s">
        <v>165</v>
      </c>
    </row>
    <row r="28" spans="1:12" x14ac:dyDescent="0.25">
      <c r="A28" t="s">
        <v>0</v>
      </c>
      <c r="B28" t="s">
        <v>169</v>
      </c>
      <c r="C28" s="2">
        <v>46024</v>
      </c>
      <c r="D28" s="13">
        <v>1800015673</v>
      </c>
      <c r="E28" t="s">
        <v>14</v>
      </c>
      <c r="F28" s="2">
        <v>46024</v>
      </c>
      <c r="G28" s="23">
        <v>256779440006</v>
      </c>
      <c r="H28" t="s">
        <v>13</v>
      </c>
      <c r="I28" s="3">
        <v>871.08</v>
      </c>
      <c r="J28" t="s">
        <v>4</v>
      </c>
      <c r="K28" s="3">
        <v>79044.53</v>
      </c>
      <c r="L28" t="s">
        <v>170</v>
      </c>
    </row>
    <row r="29" spans="1:12" x14ac:dyDescent="0.25">
      <c r="A29" t="s">
        <v>0</v>
      </c>
      <c r="B29" t="s">
        <v>169</v>
      </c>
      <c r="C29" s="2">
        <v>46024</v>
      </c>
      <c r="D29" s="13">
        <v>1800015698</v>
      </c>
      <c r="E29" t="s">
        <v>14</v>
      </c>
      <c r="F29" s="2">
        <v>46024</v>
      </c>
      <c r="G29" s="23">
        <v>256779440031</v>
      </c>
      <c r="H29" t="s">
        <v>13</v>
      </c>
      <c r="I29" s="3">
        <v>1800</v>
      </c>
      <c r="J29" t="s">
        <v>4</v>
      </c>
      <c r="K29" s="3">
        <v>163337.65</v>
      </c>
      <c r="L29" t="s">
        <v>171</v>
      </c>
    </row>
    <row r="30" spans="1:12" x14ac:dyDescent="0.25">
      <c r="A30" t="s">
        <v>0</v>
      </c>
      <c r="B30" t="s">
        <v>169</v>
      </c>
      <c r="C30" s="2">
        <v>46027</v>
      </c>
      <c r="D30" s="13">
        <v>1600002702</v>
      </c>
      <c r="E30" t="s">
        <v>33</v>
      </c>
      <c r="F30" s="2">
        <v>46027</v>
      </c>
      <c r="G30" s="23">
        <v>256779422172</v>
      </c>
      <c r="H30" t="s">
        <v>13</v>
      </c>
      <c r="I30" s="3">
        <v>-13.59</v>
      </c>
      <c r="J30" t="s">
        <v>4</v>
      </c>
      <c r="K30" s="3">
        <v>-1233.2</v>
      </c>
      <c r="L30" t="s">
        <v>172</v>
      </c>
    </row>
    <row r="31" spans="1:12" x14ac:dyDescent="0.25">
      <c r="A31" t="s">
        <v>0</v>
      </c>
      <c r="B31" t="s">
        <v>169</v>
      </c>
      <c r="C31" s="2">
        <v>46027</v>
      </c>
      <c r="D31" s="13">
        <v>1800015969</v>
      </c>
      <c r="E31" t="s">
        <v>14</v>
      </c>
      <c r="F31" s="2">
        <v>46027</v>
      </c>
      <c r="G31" s="23">
        <v>256779440083</v>
      </c>
      <c r="H31" t="s">
        <v>13</v>
      </c>
      <c r="I31" s="3">
        <v>31.82</v>
      </c>
      <c r="J31" t="s">
        <v>4</v>
      </c>
      <c r="K31" s="3">
        <v>2887.45</v>
      </c>
      <c r="L31" t="s">
        <v>173</v>
      </c>
    </row>
    <row r="32" spans="1:12" x14ac:dyDescent="0.25">
      <c r="A32" t="s">
        <v>0</v>
      </c>
      <c r="B32" t="s">
        <v>169</v>
      </c>
      <c r="C32" s="2">
        <v>46027</v>
      </c>
      <c r="D32" s="13">
        <v>1800016056</v>
      </c>
      <c r="E32" t="s">
        <v>14</v>
      </c>
      <c r="F32" s="2">
        <v>46027</v>
      </c>
      <c r="G32" s="23">
        <v>256779440103</v>
      </c>
      <c r="H32" t="s">
        <v>13</v>
      </c>
      <c r="I32" s="3">
        <v>347.44</v>
      </c>
      <c r="J32" t="s">
        <v>4</v>
      </c>
      <c r="K32" s="3">
        <v>31527.8</v>
      </c>
      <c r="L32" t="s">
        <v>174</v>
      </c>
    </row>
    <row r="33" spans="1:12" x14ac:dyDescent="0.25">
      <c r="A33" t="s">
        <v>0</v>
      </c>
      <c r="B33" t="s">
        <v>169</v>
      </c>
      <c r="C33" s="2">
        <v>46027</v>
      </c>
      <c r="D33" s="13">
        <v>1800016092</v>
      </c>
      <c r="E33" t="s">
        <v>14</v>
      </c>
      <c r="F33" s="2">
        <v>46027</v>
      </c>
      <c r="G33" s="23">
        <v>256779440120</v>
      </c>
      <c r="H33" t="s">
        <v>13</v>
      </c>
      <c r="I33" s="3">
        <v>360.71</v>
      </c>
      <c r="J33" t="s">
        <v>4</v>
      </c>
      <c r="K33" s="3">
        <v>32731.96</v>
      </c>
      <c r="L33" t="s">
        <v>175</v>
      </c>
    </row>
    <row r="34" spans="1:12" x14ac:dyDescent="0.25">
      <c r="A34" t="s">
        <v>0</v>
      </c>
      <c r="B34" t="s">
        <v>169</v>
      </c>
      <c r="C34" s="2">
        <v>46028</v>
      </c>
      <c r="D34" s="13">
        <v>1800016286</v>
      </c>
      <c r="E34" t="s">
        <v>14</v>
      </c>
      <c r="F34" s="2">
        <v>46028</v>
      </c>
      <c r="G34" s="23">
        <v>256779440163</v>
      </c>
      <c r="H34" t="s">
        <v>13</v>
      </c>
      <c r="I34" s="3">
        <v>55.03</v>
      </c>
      <c r="J34" t="s">
        <v>4</v>
      </c>
      <c r="K34" s="3">
        <v>4993.59</v>
      </c>
      <c r="L34" t="s">
        <v>176</v>
      </c>
    </row>
    <row r="35" spans="1:12" x14ac:dyDescent="0.25">
      <c r="A35" t="s">
        <v>0</v>
      </c>
      <c r="B35" t="s">
        <v>169</v>
      </c>
      <c r="C35" s="2">
        <v>46028</v>
      </c>
      <c r="D35" s="13">
        <v>1800016506</v>
      </c>
      <c r="E35" t="s">
        <v>14</v>
      </c>
      <c r="F35" s="2">
        <v>46028</v>
      </c>
      <c r="G35" s="23">
        <v>256779440212</v>
      </c>
      <c r="H35" t="s">
        <v>13</v>
      </c>
      <c r="I35" s="3">
        <v>16.75</v>
      </c>
      <c r="J35" t="s">
        <v>4</v>
      </c>
      <c r="K35" s="3">
        <v>1519.95</v>
      </c>
      <c r="L35" t="s">
        <v>177</v>
      </c>
    </row>
    <row r="36" spans="1:12" x14ac:dyDescent="0.25">
      <c r="A36" t="s">
        <v>0</v>
      </c>
      <c r="B36" t="s">
        <v>169</v>
      </c>
      <c r="C36" s="2">
        <v>46034</v>
      </c>
      <c r="D36" s="13">
        <v>1800016424</v>
      </c>
      <c r="E36" t="s">
        <v>14</v>
      </c>
      <c r="F36" s="2">
        <v>46034</v>
      </c>
      <c r="G36" s="23">
        <v>256779440231</v>
      </c>
      <c r="H36" t="s">
        <v>13</v>
      </c>
      <c r="I36" s="3">
        <v>45.04</v>
      </c>
      <c r="J36" t="s">
        <v>4</v>
      </c>
      <c r="K36" s="3">
        <v>4087.07</v>
      </c>
      <c r="L36" t="s">
        <v>178</v>
      </c>
    </row>
    <row r="37" spans="1:12" x14ac:dyDescent="0.25">
      <c r="A37" t="s">
        <v>0</v>
      </c>
      <c r="B37" t="s">
        <v>169</v>
      </c>
      <c r="C37" s="2">
        <v>46028</v>
      </c>
      <c r="D37" s="13">
        <v>1800016347</v>
      </c>
      <c r="E37" t="s">
        <v>14</v>
      </c>
      <c r="F37" s="2">
        <v>46028</v>
      </c>
      <c r="G37" s="23">
        <v>256779440237</v>
      </c>
      <c r="H37" t="s">
        <v>13</v>
      </c>
      <c r="I37" s="3">
        <v>730.62</v>
      </c>
      <c r="J37" t="s">
        <v>4</v>
      </c>
      <c r="K37" s="3">
        <v>66298.75</v>
      </c>
      <c r="L37" t="s">
        <v>179</v>
      </c>
    </row>
    <row r="38" spans="1:12" x14ac:dyDescent="0.25">
      <c r="A38" t="s">
        <v>0</v>
      </c>
      <c r="B38" t="s">
        <v>169</v>
      </c>
      <c r="C38" s="2">
        <v>46034</v>
      </c>
      <c r="D38" s="13">
        <v>1800016700</v>
      </c>
      <c r="E38" t="s">
        <v>14</v>
      </c>
      <c r="F38" s="2">
        <v>46034</v>
      </c>
      <c r="G38" s="23">
        <v>256779440289</v>
      </c>
      <c r="H38" t="s">
        <v>13</v>
      </c>
      <c r="I38" s="3">
        <v>126.24</v>
      </c>
      <c r="J38" t="s">
        <v>4</v>
      </c>
      <c r="K38" s="3">
        <v>11455.41</v>
      </c>
      <c r="L38" t="s">
        <v>180</v>
      </c>
    </row>
    <row r="39" spans="1:12" x14ac:dyDescent="0.25">
      <c r="A39" t="s">
        <v>0</v>
      </c>
      <c r="B39" t="s">
        <v>169</v>
      </c>
      <c r="C39" s="2">
        <v>46028</v>
      </c>
      <c r="D39" s="13">
        <v>1800016613</v>
      </c>
      <c r="E39" t="s">
        <v>14</v>
      </c>
      <c r="F39" s="2">
        <v>46028</v>
      </c>
      <c r="G39" s="23">
        <v>256779440322</v>
      </c>
      <c r="H39" t="s">
        <v>13</v>
      </c>
      <c r="I39" s="3">
        <v>1800</v>
      </c>
      <c r="J39" t="s">
        <v>4</v>
      </c>
      <c r="K39" s="3">
        <v>163337.65</v>
      </c>
      <c r="L39" t="s">
        <v>181</v>
      </c>
    </row>
    <row r="40" spans="1:12" x14ac:dyDescent="0.25">
      <c r="A40" t="s">
        <v>0</v>
      </c>
      <c r="B40" t="s">
        <v>169</v>
      </c>
      <c r="C40" s="2">
        <v>46035</v>
      </c>
      <c r="D40" s="13">
        <v>1800016780</v>
      </c>
      <c r="E40" t="s">
        <v>14</v>
      </c>
      <c r="F40" s="2">
        <v>46035</v>
      </c>
      <c r="G40" s="23">
        <v>256779440367</v>
      </c>
      <c r="H40" t="s">
        <v>13</v>
      </c>
      <c r="I40" s="3">
        <v>696.85</v>
      </c>
      <c r="J40" t="s">
        <v>4</v>
      </c>
      <c r="K40" s="3">
        <v>63234.36</v>
      </c>
      <c r="L40" t="s">
        <v>182</v>
      </c>
    </row>
    <row r="41" spans="1:12" x14ac:dyDescent="0.25">
      <c r="A41" t="s">
        <v>0</v>
      </c>
      <c r="B41" t="s">
        <v>169</v>
      </c>
      <c r="C41" s="2">
        <v>46045</v>
      </c>
      <c r="D41" s="13">
        <v>1800017067</v>
      </c>
      <c r="E41" t="s">
        <v>14</v>
      </c>
      <c r="F41" s="2">
        <v>46045</v>
      </c>
      <c r="G41" s="23">
        <v>256779440415</v>
      </c>
      <c r="H41" t="s">
        <v>13</v>
      </c>
      <c r="I41" s="3">
        <v>16.75</v>
      </c>
      <c r="J41" t="s">
        <v>4</v>
      </c>
      <c r="K41" s="3">
        <v>1519.95</v>
      </c>
      <c r="L41" t="s">
        <v>183</v>
      </c>
    </row>
    <row r="42" spans="1:12" x14ac:dyDescent="0.25">
      <c r="A42" t="s">
        <v>0</v>
      </c>
      <c r="B42" t="s">
        <v>169</v>
      </c>
      <c r="C42" s="2">
        <v>46045</v>
      </c>
      <c r="D42" s="13">
        <v>1800017113</v>
      </c>
      <c r="E42" t="s">
        <v>14</v>
      </c>
      <c r="F42" s="2">
        <v>46045</v>
      </c>
      <c r="G42" s="23">
        <v>256779440432</v>
      </c>
      <c r="H42" t="s">
        <v>13</v>
      </c>
      <c r="I42" s="3">
        <v>3.5</v>
      </c>
      <c r="J42" t="s">
        <v>4</v>
      </c>
      <c r="K42" s="3">
        <v>317.60000000000002</v>
      </c>
      <c r="L42" t="s">
        <v>184</v>
      </c>
    </row>
    <row r="43" spans="1:12" x14ac:dyDescent="0.25">
      <c r="A43" t="s">
        <v>0</v>
      </c>
      <c r="B43" t="s">
        <v>169</v>
      </c>
      <c r="C43" s="2">
        <v>46049</v>
      </c>
      <c r="D43" s="13">
        <v>1800017154</v>
      </c>
      <c r="E43" t="s">
        <v>14</v>
      </c>
      <c r="F43" s="2">
        <v>46049</v>
      </c>
      <c r="G43" s="23">
        <v>256779440447</v>
      </c>
      <c r="H43" t="s">
        <v>13</v>
      </c>
      <c r="I43" s="3">
        <v>176.58</v>
      </c>
      <c r="J43" t="s">
        <v>4</v>
      </c>
      <c r="K43" s="3">
        <v>16023.42</v>
      </c>
      <c r="L43" t="s">
        <v>185</v>
      </c>
    </row>
  </sheetData>
  <autoFilter ref="A2:L2" xr:uid="{4A60A9A8-572B-4BB4-9C3C-9B57BB2F39B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261"/>
  <sheetViews>
    <sheetView tabSelected="1" topLeftCell="H1" workbookViewId="0">
      <selection activeCell="S1" sqref="S1"/>
    </sheetView>
  </sheetViews>
  <sheetFormatPr defaultRowHeight="13.2" outlineLevelRow="2" x14ac:dyDescent="0.25"/>
  <cols>
    <col min="1" max="1" width="31" bestFit="1" customWidth="1"/>
    <col min="2" max="2" width="13" bestFit="1" customWidth="1"/>
    <col min="3" max="3" width="14" bestFit="1" customWidth="1"/>
    <col min="4" max="4" width="17" bestFit="1" customWidth="1"/>
    <col min="5" max="5" width="10" bestFit="1" customWidth="1"/>
    <col min="6" max="6" width="15" bestFit="1" customWidth="1"/>
    <col min="7" max="7" width="17" style="23" bestFit="1" customWidth="1"/>
    <col min="8" max="8" width="14" bestFit="1" customWidth="1"/>
    <col min="9" max="9" width="13" bestFit="1" customWidth="1"/>
    <col min="10" max="10" width="16" bestFit="1" customWidth="1"/>
    <col min="11" max="11" width="13" bestFit="1" customWidth="1"/>
    <col min="12" max="12" width="52" bestFit="1" customWidth="1"/>
    <col min="13" max="13" width="10.44140625" bestFit="1" customWidth="1"/>
    <col min="14" max="14" width="10" bestFit="1" customWidth="1"/>
    <col min="17" max="17" width="12.88671875" customWidth="1"/>
    <col min="18" max="18" width="12" bestFit="1" customWidth="1"/>
    <col min="19" max="19" width="13.77734375" customWidth="1"/>
  </cols>
  <sheetData>
    <row r="1" spans="1:20" ht="52.8" x14ac:dyDescent="0.3">
      <c r="A1" s="1" t="s">
        <v>188</v>
      </c>
      <c r="B1" s="1" t="s">
        <v>189</v>
      </c>
      <c r="C1" s="1" t="s">
        <v>190</v>
      </c>
      <c r="D1" s="1" t="s">
        <v>191</v>
      </c>
      <c r="E1" s="12" t="s">
        <v>192</v>
      </c>
      <c r="F1" s="1" t="s">
        <v>193</v>
      </c>
      <c r="G1" s="22" t="s">
        <v>194</v>
      </c>
      <c r="H1" s="12" t="s">
        <v>195</v>
      </c>
      <c r="I1" s="12" t="s">
        <v>196</v>
      </c>
      <c r="J1" s="12" t="s">
        <v>197</v>
      </c>
      <c r="K1" s="12" t="s">
        <v>198</v>
      </c>
      <c r="L1" s="1" t="s">
        <v>199</v>
      </c>
      <c r="M1" s="12" t="s">
        <v>200</v>
      </c>
      <c r="Q1" t="s">
        <v>213</v>
      </c>
      <c r="R1" t="s">
        <v>218</v>
      </c>
      <c r="S1" t="s">
        <v>217</v>
      </c>
      <c r="T1" s="37" t="s">
        <v>219</v>
      </c>
    </row>
    <row r="2" spans="1:20" hidden="1" outlineLevel="2" x14ac:dyDescent="0.25">
      <c r="A2" t="s">
        <v>0</v>
      </c>
      <c r="B2" t="s">
        <v>1</v>
      </c>
      <c r="C2" s="2">
        <v>45975</v>
      </c>
      <c r="D2" s="13">
        <v>1400001853</v>
      </c>
      <c r="E2" t="s">
        <v>2</v>
      </c>
      <c r="F2" s="2">
        <v>45975</v>
      </c>
      <c r="G2" s="23" t="s">
        <v>3</v>
      </c>
      <c r="H2" t="s">
        <v>4</v>
      </c>
      <c r="I2" s="3">
        <v>0</v>
      </c>
      <c r="J2" t="s">
        <v>4</v>
      </c>
      <c r="K2" s="3">
        <v>0</v>
      </c>
      <c r="L2" t="s">
        <v>3</v>
      </c>
      <c r="M2" t="e">
        <f>VLOOKUP(G2,Sheet2!$D$3:$H$171,3,)</f>
        <v>#N/A</v>
      </c>
    </row>
    <row r="3" spans="1:20" hidden="1" outlineLevel="2" x14ac:dyDescent="0.25">
      <c r="A3" t="s">
        <v>0</v>
      </c>
      <c r="B3" t="s">
        <v>1</v>
      </c>
      <c r="C3" s="2">
        <v>45758</v>
      </c>
      <c r="D3" s="13">
        <v>1600000046</v>
      </c>
      <c r="E3" t="s">
        <v>5</v>
      </c>
      <c r="F3" s="2">
        <v>45758</v>
      </c>
      <c r="G3" s="23" t="s">
        <v>3</v>
      </c>
      <c r="H3" t="s">
        <v>4</v>
      </c>
      <c r="I3" s="3">
        <v>1</v>
      </c>
      <c r="J3" t="s">
        <v>4</v>
      </c>
      <c r="K3" s="3">
        <v>1</v>
      </c>
      <c r="L3" t="s">
        <v>6</v>
      </c>
      <c r="M3" t="e">
        <f>VLOOKUP(G3,Sheet2!$D$3:$H$171,3,)</f>
        <v>#N/A</v>
      </c>
    </row>
    <row r="4" spans="1:20" hidden="1" outlineLevel="2" x14ac:dyDescent="0.25">
      <c r="A4" t="s">
        <v>0</v>
      </c>
      <c r="B4" t="s">
        <v>1</v>
      </c>
      <c r="C4" s="2">
        <v>45758</v>
      </c>
      <c r="D4" s="13">
        <v>1600000046</v>
      </c>
      <c r="E4" t="s">
        <v>5</v>
      </c>
      <c r="F4" s="2">
        <v>45758</v>
      </c>
      <c r="G4" s="23" t="s">
        <v>3</v>
      </c>
      <c r="H4" t="s">
        <v>4</v>
      </c>
      <c r="I4" s="3">
        <v>-1</v>
      </c>
      <c r="J4" t="s">
        <v>4</v>
      </c>
      <c r="K4" s="3">
        <v>-1</v>
      </c>
      <c r="L4" t="s">
        <v>6</v>
      </c>
      <c r="M4" t="e">
        <f>VLOOKUP(G4,Sheet2!$D$3:$H$171,3,)</f>
        <v>#N/A</v>
      </c>
    </row>
    <row r="5" spans="1:20" hidden="1" outlineLevel="2" x14ac:dyDescent="0.25">
      <c r="A5" t="s">
        <v>0</v>
      </c>
      <c r="B5" t="s">
        <v>1</v>
      </c>
      <c r="C5" s="2">
        <v>45796</v>
      </c>
      <c r="D5" s="13">
        <v>1400000021</v>
      </c>
      <c r="E5" t="s">
        <v>7</v>
      </c>
      <c r="F5" s="2">
        <v>45796</v>
      </c>
      <c r="G5" s="23" t="s">
        <v>3</v>
      </c>
      <c r="H5" t="s">
        <v>4</v>
      </c>
      <c r="I5" s="3">
        <v>-285397.37</v>
      </c>
      <c r="J5" t="s">
        <v>4</v>
      </c>
      <c r="K5" s="3">
        <v>-283762.44</v>
      </c>
      <c r="L5" t="s">
        <v>8</v>
      </c>
      <c r="M5" t="e">
        <f>VLOOKUP(G5,Sheet2!$D$3:$H$171,3,)</f>
        <v>#N/A</v>
      </c>
      <c r="S5">
        <f>D5</f>
        <v>1400000021</v>
      </c>
    </row>
    <row r="6" spans="1:20" hidden="1" outlineLevel="2" x14ac:dyDescent="0.25">
      <c r="A6" t="s">
        <v>0</v>
      </c>
      <c r="B6" t="s">
        <v>1</v>
      </c>
      <c r="C6" s="2">
        <v>45839</v>
      </c>
      <c r="D6" s="13">
        <v>1400000116</v>
      </c>
      <c r="E6" t="s">
        <v>7</v>
      </c>
      <c r="F6" s="2">
        <v>45832</v>
      </c>
      <c r="G6" s="23" t="s">
        <v>3</v>
      </c>
      <c r="H6" t="s">
        <v>4</v>
      </c>
      <c r="I6" s="3">
        <v>-500000</v>
      </c>
      <c r="J6" t="s">
        <v>4</v>
      </c>
      <c r="K6" s="3">
        <v>-500000</v>
      </c>
      <c r="L6" t="s">
        <v>3</v>
      </c>
      <c r="M6" t="e">
        <f>VLOOKUP(G6,Sheet2!$D$3:$H$171,3,)</f>
        <v>#N/A</v>
      </c>
      <c r="S6">
        <f t="shared" ref="S6:S28" si="0">D6</f>
        <v>1400000116</v>
      </c>
    </row>
    <row r="7" spans="1:20" hidden="1" outlineLevel="2" x14ac:dyDescent="0.25">
      <c r="A7" t="s">
        <v>0</v>
      </c>
      <c r="B7" t="s">
        <v>1</v>
      </c>
      <c r="C7" s="2">
        <v>45839</v>
      </c>
      <c r="D7" s="13">
        <v>1400000077</v>
      </c>
      <c r="E7" t="s">
        <v>7</v>
      </c>
      <c r="F7" s="2">
        <v>45832</v>
      </c>
      <c r="G7" s="23" t="s">
        <v>3</v>
      </c>
      <c r="H7" t="s">
        <v>4</v>
      </c>
      <c r="I7" s="3">
        <v>-324702</v>
      </c>
      <c r="J7" t="s">
        <v>4</v>
      </c>
      <c r="K7" s="3">
        <v>-324702</v>
      </c>
      <c r="L7" t="s">
        <v>3</v>
      </c>
      <c r="M7" t="e">
        <f>VLOOKUP(G7,Sheet2!$D$3:$H$171,3,)</f>
        <v>#N/A</v>
      </c>
      <c r="S7">
        <f t="shared" si="0"/>
        <v>1400000077</v>
      </c>
    </row>
    <row r="8" spans="1:20" hidden="1" outlineLevel="2" x14ac:dyDescent="0.25">
      <c r="A8" t="s">
        <v>0</v>
      </c>
      <c r="B8" t="s">
        <v>1</v>
      </c>
      <c r="C8" s="2">
        <v>45890</v>
      </c>
      <c r="D8" s="13">
        <v>1400000887</v>
      </c>
      <c r="E8" t="s">
        <v>7</v>
      </c>
      <c r="F8" s="2">
        <v>45890</v>
      </c>
      <c r="G8" s="23" t="s">
        <v>3</v>
      </c>
      <c r="H8" t="s">
        <v>4</v>
      </c>
      <c r="I8" s="3">
        <v>-100000</v>
      </c>
      <c r="J8" t="s">
        <v>4</v>
      </c>
      <c r="K8" s="3">
        <v>-100000</v>
      </c>
      <c r="L8" t="s">
        <v>3</v>
      </c>
      <c r="M8" t="e">
        <f>VLOOKUP(G8,Sheet2!$D$3:$H$171,3,)</f>
        <v>#N/A</v>
      </c>
      <c r="S8">
        <f t="shared" si="0"/>
        <v>1400000887</v>
      </c>
    </row>
    <row r="9" spans="1:20" hidden="1" outlineLevel="2" x14ac:dyDescent="0.25">
      <c r="A9" t="s">
        <v>0</v>
      </c>
      <c r="B9" t="s">
        <v>1</v>
      </c>
      <c r="C9" s="2">
        <v>45890</v>
      </c>
      <c r="D9" s="13">
        <v>1400000904</v>
      </c>
      <c r="E9" t="s">
        <v>7</v>
      </c>
      <c r="F9" s="2">
        <v>45890</v>
      </c>
      <c r="G9" s="23" t="s">
        <v>3</v>
      </c>
      <c r="H9" t="s">
        <v>4</v>
      </c>
      <c r="I9" s="3">
        <v>-700000</v>
      </c>
      <c r="J9" t="s">
        <v>4</v>
      </c>
      <c r="K9" s="3">
        <v>-700000</v>
      </c>
      <c r="L9" t="s">
        <v>3</v>
      </c>
      <c r="M9" t="e">
        <f>VLOOKUP(G9,Sheet2!$D$3:$H$171,3,)</f>
        <v>#N/A</v>
      </c>
      <c r="S9">
        <f t="shared" si="0"/>
        <v>1400000904</v>
      </c>
    </row>
    <row r="10" spans="1:20" hidden="1" outlineLevel="2" x14ac:dyDescent="0.25">
      <c r="A10" t="s">
        <v>0</v>
      </c>
      <c r="B10" t="s">
        <v>1</v>
      </c>
      <c r="C10" s="2">
        <v>45890</v>
      </c>
      <c r="D10" s="13">
        <v>1400000922</v>
      </c>
      <c r="E10" t="s">
        <v>7</v>
      </c>
      <c r="F10" s="2">
        <v>45890</v>
      </c>
      <c r="G10" s="23" t="s">
        <v>3</v>
      </c>
      <c r="H10" t="s">
        <v>4</v>
      </c>
      <c r="I10" s="3">
        <v>-150000</v>
      </c>
      <c r="J10" t="s">
        <v>4</v>
      </c>
      <c r="K10" s="3">
        <v>-150000</v>
      </c>
      <c r="L10" t="s">
        <v>3</v>
      </c>
      <c r="M10" t="e">
        <f>VLOOKUP(G10,Sheet2!$D$3:$H$171,3,)</f>
        <v>#N/A</v>
      </c>
      <c r="S10">
        <f t="shared" si="0"/>
        <v>1400000922</v>
      </c>
    </row>
    <row r="11" spans="1:20" hidden="1" outlineLevel="2" x14ac:dyDescent="0.25">
      <c r="A11" t="s">
        <v>0</v>
      </c>
      <c r="B11" t="s">
        <v>1</v>
      </c>
      <c r="C11" s="2">
        <v>45890</v>
      </c>
      <c r="D11" s="13">
        <v>1400000941</v>
      </c>
      <c r="E11" t="s">
        <v>7</v>
      </c>
      <c r="F11" s="2">
        <v>45890</v>
      </c>
      <c r="G11" s="23" t="s">
        <v>3</v>
      </c>
      <c r="H11" t="s">
        <v>4</v>
      </c>
      <c r="I11" s="3">
        <v>-150000</v>
      </c>
      <c r="J11" t="s">
        <v>4</v>
      </c>
      <c r="K11" s="3">
        <v>-150000</v>
      </c>
      <c r="L11" t="s">
        <v>3</v>
      </c>
      <c r="M11" t="e">
        <f>VLOOKUP(G11,Sheet2!$D$3:$H$171,3,)</f>
        <v>#N/A</v>
      </c>
      <c r="S11">
        <f t="shared" si="0"/>
        <v>1400000941</v>
      </c>
    </row>
    <row r="12" spans="1:20" hidden="1" outlineLevel="2" x14ac:dyDescent="0.25">
      <c r="A12" t="s">
        <v>0</v>
      </c>
      <c r="B12" t="s">
        <v>1</v>
      </c>
      <c r="C12" s="2">
        <v>45890</v>
      </c>
      <c r="D12" s="13">
        <v>1400000955</v>
      </c>
      <c r="E12" t="s">
        <v>7</v>
      </c>
      <c r="F12" s="2">
        <v>45890</v>
      </c>
      <c r="G12" s="23" t="s">
        <v>3</v>
      </c>
      <c r="H12" t="s">
        <v>4</v>
      </c>
      <c r="I12" s="3">
        <v>-150000</v>
      </c>
      <c r="J12" t="s">
        <v>4</v>
      </c>
      <c r="K12" s="3">
        <v>-150000</v>
      </c>
      <c r="L12" t="s">
        <v>3</v>
      </c>
      <c r="M12" t="e">
        <f>VLOOKUP(G12,Sheet2!$D$3:$H$171,3,)</f>
        <v>#N/A</v>
      </c>
      <c r="S12">
        <f t="shared" si="0"/>
        <v>1400000955</v>
      </c>
    </row>
    <row r="13" spans="1:20" hidden="1" outlineLevel="2" x14ac:dyDescent="0.25">
      <c r="A13" t="s">
        <v>0</v>
      </c>
      <c r="B13" t="s">
        <v>1</v>
      </c>
      <c r="C13" s="2">
        <v>45890</v>
      </c>
      <c r="D13" s="13">
        <v>1400000966</v>
      </c>
      <c r="E13" t="s">
        <v>7</v>
      </c>
      <c r="F13" s="2">
        <v>45890</v>
      </c>
      <c r="G13" s="23" t="s">
        <v>3</v>
      </c>
      <c r="H13" t="s">
        <v>4</v>
      </c>
      <c r="I13" s="3">
        <v>-150000</v>
      </c>
      <c r="J13" t="s">
        <v>4</v>
      </c>
      <c r="K13" s="3">
        <v>-150000</v>
      </c>
      <c r="L13" t="s">
        <v>3</v>
      </c>
      <c r="M13" t="e">
        <f>VLOOKUP(G13,Sheet2!$D$3:$H$171,3,)</f>
        <v>#N/A</v>
      </c>
      <c r="S13">
        <f t="shared" si="0"/>
        <v>1400000966</v>
      </c>
    </row>
    <row r="14" spans="1:20" hidden="1" outlineLevel="2" x14ac:dyDescent="0.25">
      <c r="A14" t="s">
        <v>0</v>
      </c>
      <c r="B14" t="s">
        <v>1</v>
      </c>
      <c r="C14" s="2">
        <v>45931</v>
      </c>
      <c r="D14" s="13">
        <v>1400001257</v>
      </c>
      <c r="E14" t="s">
        <v>7</v>
      </c>
      <c r="F14" s="2">
        <v>45931</v>
      </c>
      <c r="G14" s="23" t="s">
        <v>3</v>
      </c>
      <c r="H14" t="s">
        <v>4</v>
      </c>
      <c r="I14" s="3">
        <v>-100000</v>
      </c>
      <c r="J14" t="s">
        <v>4</v>
      </c>
      <c r="K14" s="3">
        <v>-100000</v>
      </c>
      <c r="L14" t="s">
        <v>3</v>
      </c>
      <c r="M14" t="e">
        <f>VLOOKUP(G14,Sheet2!$D$3:$H$171,3,)</f>
        <v>#N/A</v>
      </c>
      <c r="S14">
        <f t="shared" si="0"/>
        <v>1400001257</v>
      </c>
    </row>
    <row r="15" spans="1:20" hidden="1" outlineLevel="2" x14ac:dyDescent="0.25">
      <c r="A15" t="s">
        <v>0</v>
      </c>
      <c r="B15" t="s">
        <v>1</v>
      </c>
      <c r="C15" s="2">
        <v>45931</v>
      </c>
      <c r="D15" s="13">
        <v>1400001259</v>
      </c>
      <c r="E15" t="s">
        <v>7</v>
      </c>
      <c r="F15" s="2">
        <v>45931</v>
      </c>
      <c r="G15" s="23" t="s">
        <v>3</v>
      </c>
      <c r="H15" t="s">
        <v>4</v>
      </c>
      <c r="I15" s="3">
        <v>-100000</v>
      </c>
      <c r="J15" t="s">
        <v>4</v>
      </c>
      <c r="K15" s="3">
        <v>-100000</v>
      </c>
      <c r="L15" t="s">
        <v>3</v>
      </c>
      <c r="M15" t="e">
        <f>VLOOKUP(G15,Sheet2!$D$3:$H$171,3,)</f>
        <v>#N/A</v>
      </c>
      <c r="S15">
        <f t="shared" si="0"/>
        <v>1400001259</v>
      </c>
    </row>
    <row r="16" spans="1:20" hidden="1" outlineLevel="2" x14ac:dyDescent="0.25">
      <c r="A16" t="s">
        <v>0</v>
      </c>
      <c r="B16" t="s">
        <v>1</v>
      </c>
      <c r="C16" s="2">
        <v>45931</v>
      </c>
      <c r="D16" s="13">
        <v>1400001341</v>
      </c>
      <c r="E16" t="s">
        <v>7</v>
      </c>
      <c r="F16" s="2">
        <v>45931</v>
      </c>
      <c r="G16" s="23" t="s">
        <v>3</v>
      </c>
      <c r="H16" t="s">
        <v>4</v>
      </c>
      <c r="I16" s="3">
        <v>-450000</v>
      </c>
      <c r="J16" t="s">
        <v>4</v>
      </c>
      <c r="K16" s="3">
        <v>-450000</v>
      </c>
      <c r="L16" t="s">
        <v>3</v>
      </c>
      <c r="M16" t="e">
        <f>VLOOKUP(G16,Sheet2!$D$3:$H$171,3,)</f>
        <v>#N/A</v>
      </c>
      <c r="S16">
        <f t="shared" si="0"/>
        <v>1400001341</v>
      </c>
    </row>
    <row r="17" spans="1:19" hidden="1" outlineLevel="2" x14ac:dyDescent="0.25">
      <c r="A17" t="s">
        <v>0</v>
      </c>
      <c r="B17" t="s">
        <v>1</v>
      </c>
      <c r="C17" s="2">
        <v>45931</v>
      </c>
      <c r="D17" s="13">
        <v>1400001345</v>
      </c>
      <c r="E17" t="s">
        <v>7</v>
      </c>
      <c r="F17" s="2">
        <v>45931</v>
      </c>
      <c r="G17" s="23" t="s">
        <v>3</v>
      </c>
      <c r="H17" t="s">
        <v>4</v>
      </c>
      <c r="I17" s="3">
        <v>-100000</v>
      </c>
      <c r="J17" t="s">
        <v>4</v>
      </c>
      <c r="K17" s="3">
        <v>-100000</v>
      </c>
      <c r="L17" t="s">
        <v>3</v>
      </c>
      <c r="M17" t="e">
        <f>VLOOKUP(G17,Sheet2!$D$3:$H$171,3,)</f>
        <v>#N/A</v>
      </c>
      <c r="S17">
        <f t="shared" si="0"/>
        <v>1400001345</v>
      </c>
    </row>
    <row r="18" spans="1:19" hidden="1" outlineLevel="2" x14ac:dyDescent="0.25">
      <c r="A18" t="s">
        <v>0</v>
      </c>
      <c r="B18" t="s">
        <v>1</v>
      </c>
      <c r="C18" s="2">
        <v>45944</v>
      </c>
      <c r="D18" s="13">
        <v>1400001406</v>
      </c>
      <c r="E18" t="s">
        <v>7</v>
      </c>
      <c r="F18" s="2">
        <v>45944</v>
      </c>
      <c r="G18" s="23" t="s">
        <v>3</v>
      </c>
      <c r="H18" t="s">
        <v>4</v>
      </c>
      <c r="I18" s="3">
        <v>-100000</v>
      </c>
      <c r="J18" t="s">
        <v>4</v>
      </c>
      <c r="K18" s="3">
        <v>-100000</v>
      </c>
      <c r="L18" t="s">
        <v>3</v>
      </c>
      <c r="M18" t="e">
        <f>VLOOKUP(G18,Sheet2!$D$3:$H$171,3,)</f>
        <v>#N/A</v>
      </c>
      <c r="S18">
        <f t="shared" si="0"/>
        <v>1400001406</v>
      </c>
    </row>
    <row r="19" spans="1:19" hidden="1" outlineLevel="2" x14ac:dyDescent="0.25">
      <c r="A19" t="s">
        <v>0</v>
      </c>
      <c r="B19" t="s">
        <v>1</v>
      </c>
      <c r="C19" s="2">
        <v>45986</v>
      </c>
      <c r="D19" s="13">
        <v>1400002004</v>
      </c>
      <c r="E19" t="s">
        <v>7</v>
      </c>
      <c r="F19" s="2">
        <v>45959</v>
      </c>
      <c r="G19" s="23" t="s">
        <v>3</v>
      </c>
      <c r="H19" t="s">
        <v>4</v>
      </c>
      <c r="I19" s="3">
        <v>1000000</v>
      </c>
      <c r="J19" t="s">
        <v>4</v>
      </c>
      <c r="K19" s="3">
        <v>1000000</v>
      </c>
      <c r="L19" t="s">
        <v>3</v>
      </c>
      <c r="M19" t="e">
        <f>VLOOKUP(G19,Sheet2!$D$3:$H$171,3,)</f>
        <v>#N/A</v>
      </c>
      <c r="S19">
        <f t="shared" si="0"/>
        <v>1400002004</v>
      </c>
    </row>
    <row r="20" spans="1:19" hidden="1" outlineLevel="2" x14ac:dyDescent="0.25">
      <c r="A20" t="s">
        <v>0</v>
      </c>
      <c r="B20" t="s">
        <v>1</v>
      </c>
      <c r="C20" s="2">
        <v>45959</v>
      </c>
      <c r="D20" s="13">
        <v>1400001557</v>
      </c>
      <c r="E20" t="s">
        <v>7</v>
      </c>
      <c r="F20" s="2">
        <v>45959</v>
      </c>
      <c r="G20" s="23" t="s">
        <v>3</v>
      </c>
      <c r="H20" t="s">
        <v>4</v>
      </c>
      <c r="I20" s="3">
        <v>-1000000</v>
      </c>
      <c r="J20" t="s">
        <v>4</v>
      </c>
      <c r="K20" s="3">
        <v>-1000000</v>
      </c>
      <c r="L20" t="s">
        <v>3</v>
      </c>
      <c r="M20" t="e">
        <f>VLOOKUP(G20,Sheet2!$D$3:$H$171,3,)</f>
        <v>#N/A</v>
      </c>
      <c r="S20">
        <f t="shared" si="0"/>
        <v>1400001557</v>
      </c>
    </row>
    <row r="21" spans="1:19" hidden="1" outlineLevel="2" x14ac:dyDescent="0.25">
      <c r="A21" t="s">
        <v>0</v>
      </c>
      <c r="B21" t="s">
        <v>1</v>
      </c>
      <c r="C21" s="2">
        <v>45972</v>
      </c>
      <c r="D21" s="13">
        <v>1400001615</v>
      </c>
      <c r="E21" t="s">
        <v>7</v>
      </c>
      <c r="F21" s="2">
        <v>45972</v>
      </c>
      <c r="G21" s="23" t="s">
        <v>3</v>
      </c>
      <c r="H21" t="s">
        <v>4</v>
      </c>
      <c r="I21" s="3">
        <v>-100000</v>
      </c>
      <c r="J21" t="s">
        <v>4</v>
      </c>
      <c r="K21" s="3">
        <v>-100000</v>
      </c>
      <c r="L21" t="s">
        <v>3</v>
      </c>
      <c r="M21" t="e">
        <f>VLOOKUP(G21,Sheet2!$D$3:$H$171,3,)</f>
        <v>#N/A</v>
      </c>
      <c r="S21">
        <f t="shared" si="0"/>
        <v>1400001615</v>
      </c>
    </row>
    <row r="22" spans="1:19" hidden="1" outlineLevel="2" x14ac:dyDescent="0.25">
      <c r="A22" t="s">
        <v>0</v>
      </c>
      <c r="B22" t="s">
        <v>1</v>
      </c>
      <c r="C22" s="2">
        <v>45972</v>
      </c>
      <c r="D22" s="13">
        <v>1400001658</v>
      </c>
      <c r="E22" t="s">
        <v>7</v>
      </c>
      <c r="F22" s="2">
        <v>45972</v>
      </c>
      <c r="G22" s="23" t="s">
        <v>3</v>
      </c>
      <c r="H22" t="s">
        <v>4</v>
      </c>
      <c r="I22" s="3">
        <v>-100000</v>
      </c>
      <c r="J22" t="s">
        <v>4</v>
      </c>
      <c r="K22" s="3">
        <v>-100000</v>
      </c>
      <c r="L22" t="s">
        <v>3</v>
      </c>
      <c r="M22" t="e">
        <f>VLOOKUP(G22,Sheet2!$D$3:$H$171,3,)</f>
        <v>#N/A</v>
      </c>
      <c r="S22">
        <f t="shared" si="0"/>
        <v>1400001658</v>
      </c>
    </row>
    <row r="23" spans="1:19" hidden="1" outlineLevel="2" x14ac:dyDescent="0.25">
      <c r="A23" t="s">
        <v>0</v>
      </c>
      <c r="B23" t="s">
        <v>1</v>
      </c>
      <c r="C23" s="2">
        <v>45977</v>
      </c>
      <c r="D23" s="13">
        <v>1400001934</v>
      </c>
      <c r="E23" t="s">
        <v>7</v>
      </c>
      <c r="F23" s="2">
        <v>45977</v>
      </c>
      <c r="G23" s="23" t="s">
        <v>3</v>
      </c>
      <c r="H23" t="s">
        <v>4</v>
      </c>
      <c r="I23" s="3">
        <v>-100000</v>
      </c>
      <c r="J23" t="s">
        <v>4</v>
      </c>
      <c r="K23" s="3">
        <v>-100000</v>
      </c>
      <c r="L23" t="s">
        <v>3</v>
      </c>
      <c r="M23" t="e">
        <f>VLOOKUP(G23,Sheet2!$D$3:$H$171,3,)</f>
        <v>#N/A</v>
      </c>
      <c r="S23">
        <f t="shared" si="0"/>
        <v>1400001934</v>
      </c>
    </row>
    <row r="24" spans="1:19" hidden="1" outlineLevel="2" x14ac:dyDescent="0.25">
      <c r="A24" t="s">
        <v>0</v>
      </c>
      <c r="B24" t="s">
        <v>1</v>
      </c>
      <c r="C24" s="2">
        <v>45986</v>
      </c>
      <c r="D24" s="13">
        <v>1400002027</v>
      </c>
      <c r="E24" t="s">
        <v>7</v>
      </c>
      <c r="F24" s="2">
        <v>45986</v>
      </c>
      <c r="G24" s="23" t="s">
        <v>3</v>
      </c>
      <c r="H24" t="s">
        <v>4</v>
      </c>
      <c r="I24" s="3">
        <v>-100000</v>
      </c>
      <c r="J24" t="s">
        <v>4</v>
      </c>
      <c r="K24" s="3">
        <v>-100000</v>
      </c>
      <c r="L24" t="s">
        <v>3</v>
      </c>
      <c r="M24" t="e">
        <f>VLOOKUP(G24,Sheet2!$D$3:$H$171,3,)</f>
        <v>#N/A</v>
      </c>
      <c r="S24">
        <f t="shared" si="0"/>
        <v>1400002027</v>
      </c>
    </row>
    <row r="25" spans="1:19" hidden="1" outlineLevel="2" x14ac:dyDescent="0.25">
      <c r="A25" t="s">
        <v>0</v>
      </c>
      <c r="B25" t="s">
        <v>1</v>
      </c>
      <c r="C25" s="2">
        <v>45992</v>
      </c>
      <c r="D25" s="13">
        <v>1400002228</v>
      </c>
      <c r="E25" t="s">
        <v>7</v>
      </c>
      <c r="F25" s="2">
        <v>45992</v>
      </c>
      <c r="G25" s="23" t="s">
        <v>3</v>
      </c>
      <c r="H25" t="s">
        <v>4</v>
      </c>
      <c r="I25" s="3">
        <v>100000</v>
      </c>
      <c r="J25" t="s">
        <v>4</v>
      </c>
      <c r="K25" s="3">
        <v>100000</v>
      </c>
      <c r="L25" t="s">
        <v>3</v>
      </c>
      <c r="M25" t="e">
        <f>VLOOKUP(G25,Sheet2!$D$3:$H$171,3,)</f>
        <v>#N/A</v>
      </c>
      <c r="S25">
        <f t="shared" si="0"/>
        <v>1400002228</v>
      </c>
    </row>
    <row r="26" spans="1:19" hidden="1" outlineLevel="2" x14ac:dyDescent="0.25">
      <c r="A26" t="s">
        <v>0</v>
      </c>
      <c r="B26" t="s">
        <v>1</v>
      </c>
      <c r="C26" s="2">
        <v>45992</v>
      </c>
      <c r="D26" s="13">
        <v>1400002071</v>
      </c>
      <c r="E26" t="s">
        <v>7</v>
      </c>
      <c r="F26" s="2">
        <v>45992</v>
      </c>
      <c r="G26" s="23" t="s">
        <v>3</v>
      </c>
      <c r="H26" t="s">
        <v>4</v>
      </c>
      <c r="I26" s="3">
        <v>-100000</v>
      </c>
      <c r="J26" t="s">
        <v>4</v>
      </c>
      <c r="K26" s="3">
        <v>-100000</v>
      </c>
      <c r="L26" t="s">
        <v>3</v>
      </c>
      <c r="M26" t="e">
        <f>VLOOKUP(G26,Sheet2!$D$3:$H$171,3,)</f>
        <v>#N/A</v>
      </c>
      <c r="S26">
        <f t="shared" si="0"/>
        <v>1400002071</v>
      </c>
    </row>
    <row r="27" spans="1:19" hidden="1" outlineLevel="2" x14ac:dyDescent="0.25">
      <c r="A27" t="s">
        <v>0</v>
      </c>
      <c r="B27" t="s">
        <v>1</v>
      </c>
      <c r="C27" s="2">
        <v>45994</v>
      </c>
      <c r="D27" s="13">
        <v>1400002099</v>
      </c>
      <c r="E27" t="s">
        <v>7</v>
      </c>
      <c r="F27" s="2">
        <v>45994</v>
      </c>
      <c r="G27" s="23" t="s">
        <v>3</v>
      </c>
      <c r="H27" t="s">
        <v>4</v>
      </c>
      <c r="I27" s="3">
        <v>-100000</v>
      </c>
      <c r="J27" t="s">
        <v>4</v>
      </c>
      <c r="K27" s="3">
        <v>-100000</v>
      </c>
      <c r="L27" t="s">
        <v>3</v>
      </c>
      <c r="M27" t="e">
        <f>VLOOKUP(G27,Sheet2!$D$3:$H$171,3,)</f>
        <v>#N/A</v>
      </c>
      <c r="S27">
        <f t="shared" si="0"/>
        <v>1400002099</v>
      </c>
    </row>
    <row r="28" spans="1:19" hidden="1" outlineLevel="2" x14ac:dyDescent="0.25">
      <c r="A28" t="s">
        <v>0</v>
      </c>
      <c r="B28" t="s">
        <v>1</v>
      </c>
      <c r="C28" s="2">
        <v>46009</v>
      </c>
      <c r="D28" s="13">
        <v>1400002218</v>
      </c>
      <c r="E28" t="s">
        <v>7</v>
      </c>
      <c r="F28" s="2">
        <v>46009</v>
      </c>
      <c r="G28" s="23" t="s">
        <v>3</v>
      </c>
      <c r="H28" t="s">
        <v>4</v>
      </c>
      <c r="I28" s="3">
        <v>-100000</v>
      </c>
      <c r="J28" t="s">
        <v>4</v>
      </c>
      <c r="K28" s="3">
        <v>-100000</v>
      </c>
      <c r="L28" t="s">
        <v>3</v>
      </c>
      <c r="M28" t="e">
        <f>VLOOKUP(G28,Sheet2!$D$3:$H$171,3,)</f>
        <v>#N/A</v>
      </c>
      <c r="S28">
        <f t="shared" si="0"/>
        <v>1400002218</v>
      </c>
    </row>
    <row r="29" spans="1:19" hidden="1" outlineLevel="2" x14ac:dyDescent="0.25">
      <c r="A29" t="s">
        <v>0</v>
      </c>
      <c r="B29" t="s">
        <v>1</v>
      </c>
      <c r="C29" s="2">
        <v>45701</v>
      </c>
      <c r="D29" s="13">
        <v>7000000069</v>
      </c>
      <c r="E29" t="s">
        <v>9</v>
      </c>
      <c r="F29" s="2">
        <v>45701</v>
      </c>
      <c r="G29" s="23" t="s">
        <v>10</v>
      </c>
      <c r="H29" t="s">
        <v>4</v>
      </c>
      <c r="I29" s="3">
        <v>-1</v>
      </c>
      <c r="J29" t="s">
        <v>4</v>
      </c>
      <c r="K29" s="3">
        <v>-1</v>
      </c>
      <c r="L29" t="s">
        <v>6</v>
      </c>
      <c r="M29" t="e">
        <f>VLOOKUP(G29,Sheet2!$D$3:$H$171,3,)</f>
        <v>#N/A</v>
      </c>
    </row>
    <row r="30" spans="1:19" hidden="1" outlineLevel="2" x14ac:dyDescent="0.25">
      <c r="A30" t="s">
        <v>0</v>
      </c>
      <c r="B30" t="s">
        <v>1</v>
      </c>
      <c r="C30" s="2">
        <v>45744</v>
      </c>
      <c r="D30" s="13">
        <v>7000000196</v>
      </c>
      <c r="E30" t="s">
        <v>9</v>
      </c>
      <c r="F30" s="2">
        <v>45701</v>
      </c>
      <c r="G30" s="23" t="s">
        <v>11</v>
      </c>
      <c r="H30" t="s">
        <v>4</v>
      </c>
      <c r="I30" s="3">
        <v>1</v>
      </c>
      <c r="J30" t="s">
        <v>4</v>
      </c>
      <c r="K30" s="3">
        <v>1</v>
      </c>
      <c r="L30" t="s">
        <v>6</v>
      </c>
      <c r="M30" t="e">
        <f>VLOOKUP(G30,Sheet2!$D$3:$H$171,3,)</f>
        <v>#N/A</v>
      </c>
    </row>
    <row r="31" spans="1:19" hidden="1" outlineLevel="2" x14ac:dyDescent="0.25">
      <c r="A31" t="s">
        <v>0</v>
      </c>
      <c r="B31" t="s">
        <v>1</v>
      </c>
      <c r="C31" s="2">
        <v>45861</v>
      </c>
      <c r="D31" s="13">
        <v>1400000612</v>
      </c>
      <c r="E31" t="s">
        <v>2</v>
      </c>
      <c r="F31" s="2">
        <v>45861</v>
      </c>
      <c r="G31" s="23" t="s">
        <v>12</v>
      </c>
      <c r="H31" t="s">
        <v>13</v>
      </c>
      <c r="I31" s="3">
        <v>0</v>
      </c>
      <c r="J31" t="s">
        <v>4</v>
      </c>
      <c r="K31" s="3">
        <v>0</v>
      </c>
      <c r="L31" t="s">
        <v>3</v>
      </c>
      <c r="M31" t="e">
        <f>VLOOKUP(G31,Sheet2!$D$3:$H$171,3,)</f>
        <v>#N/A</v>
      </c>
    </row>
    <row r="32" spans="1:19" hidden="1" outlineLevel="2" x14ac:dyDescent="0.25">
      <c r="A32" t="s">
        <v>0</v>
      </c>
      <c r="B32" t="s">
        <v>1</v>
      </c>
      <c r="C32" s="2">
        <v>45861</v>
      </c>
      <c r="D32" s="13">
        <v>1400000619</v>
      </c>
      <c r="E32" t="s">
        <v>2</v>
      </c>
      <c r="F32" s="2">
        <v>45861</v>
      </c>
      <c r="G32" s="23" t="s">
        <v>12</v>
      </c>
      <c r="H32" t="s">
        <v>13</v>
      </c>
      <c r="I32" s="3">
        <v>0</v>
      </c>
      <c r="J32" t="s">
        <v>4</v>
      </c>
      <c r="K32" s="3">
        <v>0</v>
      </c>
      <c r="L32" t="s">
        <v>3</v>
      </c>
      <c r="M32" t="e">
        <f>VLOOKUP(G32,Sheet2!$D$3:$H$171,3,)</f>
        <v>#N/A</v>
      </c>
    </row>
    <row r="33" spans="1:20" hidden="1" outlineLevel="2" x14ac:dyDescent="0.25">
      <c r="A33" t="s">
        <v>0</v>
      </c>
      <c r="B33" t="s">
        <v>1</v>
      </c>
      <c r="C33" s="2">
        <v>45861</v>
      </c>
      <c r="D33" s="13">
        <v>1400000621</v>
      </c>
      <c r="E33" t="s">
        <v>2</v>
      </c>
      <c r="F33" s="2">
        <v>45861</v>
      </c>
      <c r="G33" s="23" t="s">
        <v>12</v>
      </c>
      <c r="H33" t="s">
        <v>13</v>
      </c>
      <c r="I33" s="3">
        <v>0</v>
      </c>
      <c r="J33" t="s">
        <v>4</v>
      </c>
      <c r="K33" s="3">
        <v>0</v>
      </c>
      <c r="L33" t="s">
        <v>3</v>
      </c>
      <c r="M33" t="e">
        <f>VLOOKUP(G33,Sheet2!$D$3:$H$171,3,)</f>
        <v>#N/A</v>
      </c>
    </row>
    <row r="34" spans="1:20" hidden="1" outlineLevel="2" x14ac:dyDescent="0.25">
      <c r="A34" s="27" t="s">
        <v>0</v>
      </c>
      <c r="B34" s="27" t="s">
        <v>1</v>
      </c>
      <c r="C34" s="28">
        <v>45707</v>
      </c>
      <c r="D34" s="29">
        <v>1800000022</v>
      </c>
      <c r="E34" s="27" t="s">
        <v>14</v>
      </c>
      <c r="F34" s="28">
        <v>45707</v>
      </c>
      <c r="G34" s="30">
        <v>246779410018</v>
      </c>
      <c r="H34" s="27" t="s">
        <v>13</v>
      </c>
      <c r="I34" s="31">
        <v>1800</v>
      </c>
      <c r="J34" s="27" t="s">
        <v>4</v>
      </c>
      <c r="K34" s="31">
        <v>155346.59</v>
      </c>
      <c r="L34" s="27" t="s">
        <v>120</v>
      </c>
      <c r="M34" s="27">
        <f>VLOOKUP(G34,Sheet2!$D$3:$H$171,3,)</f>
        <v>140899</v>
      </c>
      <c r="N34" s="32">
        <f>K34-M34</f>
        <v>14447.589999999997</v>
      </c>
      <c r="O34" s="33">
        <f>N34/K34</f>
        <v>9.3002298923973784E-2</v>
      </c>
      <c r="P34" s="27"/>
      <c r="Q34" s="34">
        <f>VLOOKUP(G34,'[1]TDS not in our Books'!$D:$H,5,0)</f>
        <v>15655</v>
      </c>
      <c r="R34" s="35">
        <f>K34-Q34</f>
        <v>139691.59</v>
      </c>
      <c r="S34" s="27"/>
      <c r="T34" s="27"/>
    </row>
    <row r="35" spans="1:20" hidden="1" outlineLevel="2" x14ac:dyDescent="0.25">
      <c r="A35" t="s">
        <v>0</v>
      </c>
      <c r="B35" t="s">
        <v>1</v>
      </c>
      <c r="C35" s="2">
        <v>45861</v>
      </c>
      <c r="D35" s="13">
        <v>1400000615</v>
      </c>
      <c r="E35" t="s">
        <v>2</v>
      </c>
      <c r="F35" s="2">
        <v>45861</v>
      </c>
      <c r="G35" s="23" t="s">
        <v>12</v>
      </c>
      <c r="H35" t="s">
        <v>13</v>
      </c>
      <c r="I35" s="3">
        <v>1800</v>
      </c>
      <c r="J35" t="s">
        <v>4</v>
      </c>
      <c r="K35" s="3">
        <v>156459.28</v>
      </c>
      <c r="L35" t="s">
        <v>3</v>
      </c>
      <c r="M35" t="e">
        <f>VLOOKUP(G35,Sheet2!$D$3:$H$171,3,)</f>
        <v>#N/A</v>
      </c>
    </row>
    <row r="36" spans="1:20" hidden="1" outlineLevel="2" x14ac:dyDescent="0.25">
      <c r="A36" t="s">
        <v>0</v>
      </c>
      <c r="B36" t="s">
        <v>1</v>
      </c>
      <c r="C36" s="2">
        <v>45861</v>
      </c>
      <c r="D36" s="13">
        <v>1400000615</v>
      </c>
      <c r="E36" t="s">
        <v>2</v>
      </c>
      <c r="F36" s="2">
        <v>45861</v>
      </c>
      <c r="G36" s="23" t="s">
        <v>12</v>
      </c>
      <c r="H36" t="s">
        <v>13</v>
      </c>
      <c r="I36" s="3">
        <v>-1800</v>
      </c>
      <c r="J36" t="s">
        <v>4</v>
      </c>
      <c r="K36" s="3">
        <v>-156459.28</v>
      </c>
      <c r="L36" t="s">
        <v>3</v>
      </c>
      <c r="M36" t="e">
        <f>VLOOKUP(G36,Sheet2!$D$3:$H$171,3,)</f>
        <v>#N/A</v>
      </c>
    </row>
    <row r="37" spans="1:20" hidden="1" outlineLevel="2" x14ac:dyDescent="0.25">
      <c r="A37" t="s">
        <v>0</v>
      </c>
      <c r="B37" t="s">
        <v>1</v>
      </c>
      <c r="C37" s="2">
        <v>45861</v>
      </c>
      <c r="D37" s="13">
        <v>1400000617</v>
      </c>
      <c r="E37" t="s">
        <v>2</v>
      </c>
      <c r="F37" s="2">
        <v>45861</v>
      </c>
      <c r="G37" s="23" t="s">
        <v>12</v>
      </c>
      <c r="H37" t="s">
        <v>13</v>
      </c>
      <c r="I37" s="3">
        <v>1800</v>
      </c>
      <c r="J37" t="s">
        <v>4</v>
      </c>
      <c r="K37" s="3">
        <v>156459.28</v>
      </c>
      <c r="L37" t="s">
        <v>3</v>
      </c>
      <c r="M37" t="e">
        <f>VLOOKUP(G37,Sheet2!$D$3:$H$171,3,)</f>
        <v>#N/A</v>
      </c>
    </row>
    <row r="38" spans="1:20" hidden="1" outlineLevel="2" x14ac:dyDescent="0.25">
      <c r="A38" t="s">
        <v>0</v>
      </c>
      <c r="B38" t="s">
        <v>1</v>
      </c>
      <c r="C38" s="2">
        <v>45861</v>
      </c>
      <c r="D38" s="13">
        <v>1400000617</v>
      </c>
      <c r="E38" t="s">
        <v>2</v>
      </c>
      <c r="F38" s="2">
        <v>45861</v>
      </c>
      <c r="G38" s="23" t="s">
        <v>12</v>
      </c>
      <c r="H38" t="s">
        <v>13</v>
      </c>
      <c r="I38" s="3">
        <v>-1800</v>
      </c>
      <c r="J38" t="s">
        <v>4</v>
      </c>
      <c r="K38" s="3">
        <v>-156459.28</v>
      </c>
      <c r="L38" t="s">
        <v>3</v>
      </c>
      <c r="M38" t="e">
        <f>VLOOKUP(G38,Sheet2!$D$3:$H$171,3,)</f>
        <v>#N/A</v>
      </c>
    </row>
    <row r="39" spans="1:20" outlineLevel="2" x14ac:dyDescent="0.25">
      <c r="A39" t="s">
        <v>0</v>
      </c>
      <c r="B39" t="s">
        <v>1</v>
      </c>
      <c r="C39" s="2">
        <v>45708</v>
      </c>
      <c r="D39" s="13">
        <v>1800000110</v>
      </c>
      <c r="E39" t="s">
        <v>14</v>
      </c>
      <c r="F39" s="2">
        <v>45708</v>
      </c>
      <c r="G39" s="23">
        <v>246779410038</v>
      </c>
      <c r="H39" t="s">
        <v>13</v>
      </c>
      <c r="I39" s="3">
        <v>1800</v>
      </c>
      <c r="J39" t="s">
        <v>4</v>
      </c>
      <c r="K39" s="3">
        <v>155346.59</v>
      </c>
      <c r="L39" t="s">
        <v>110</v>
      </c>
      <c r="M39">
        <f>VLOOKUP(G39,Sheet2!$D$3:$H$171,3,)</f>
        <v>140453</v>
      </c>
      <c r="N39" s="14">
        <f t="shared" ref="N39:N63" si="1">K39-M39</f>
        <v>14893.589999999997</v>
      </c>
      <c r="O39" s="20">
        <f t="shared" ref="O39:O63" si="2">N39/K39</f>
        <v>9.5873298538448753E-2</v>
      </c>
      <c r="Q39" s="26">
        <f>VLOOKUP(G39,'[1]TDS not in our Books'!$D:$H,5,0)</f>
        <v>15606</v>
      </c>
      <c r="R39" s="35">
        <f t="shared" ref="R39:R63" si="3">K39-Q39</f>
        <v>139740.59</v>
      </c>
      <c r="S39">
        <v>1400000077</v>
      </c>
    </row>
    <row r="40" spans="1:20" outlineLevel="2" x14ac:dyDescent="0.25">
      <c r="A40" t="s">
        <v>0</v>
      </c>
      <c r="B40" t="s">
        <v>1</v>
      </c>
      <c r="C40" s="2">
        <v>45708</v>
      </c>
      <c r="D40" s="13">
        <v>1800000179</v>
      </c>
      <c r="E40" t="s">
        <v>14</v>
      </c>
      <c r="F40" s="2">
        <v>45708</v>
      </c>
      <c r="G40" s="23">
        <v>246779410106</v>
      </c>
      <c r="H40" t="s">
        <v>13</v>
      </c>
      <c r="I40" s="3">
        <v>1800</v>
      </c>
      <c r="J40" t="s">
        <v>4</v>
      </c>
      <c r="K40" s="3">
        <v>155346.59</v>
      </c>
      <c r="L40" t="s">
        <v>111</v>
      </c>
      <c r="M40">
        <f>VLOOKUP(G40,Sheet2!$D$3:$H$171,3,)</f>
        <v>140453</v>
      </c>
      <c r="N40" s="14">
        <f t="shared" si="1"/>
        <v>14893.589999999997</v>
      </c>
      <c r="O40" s="20">
        <f t="shared" si="2"/>
        <v>9.5873298538448753E-2</v>
      </c>
      <c r="Q40" s="26">
        <f>VLOOKUP(G40,'[1]TDS not in our Books'!$D:$H,5,0)</f>
        <v>15606</v>
      </c>
      <c r="R40" s="35">
        <f t="shared" si="3"/>
        <v>139740.59</v>
      </c>
      <c r="S40">
        <f>VLOOKUP(D40,[2]Sheet1!$D:$S,16,0)</f>
        <v>1400000116</v>
      </c>
      <c r="T40">
        <f>VLOOKUP(D40,[2]Sheet1!$D:$T,17,0)</f>
        <v>140453</v>
      </c>
    </row>
    <row r="41" spans="1:20" outlineLevel="2" x14ac:dyDescent="0.25">
      <c r="A41" t="s">
        <v>0</v>
      </c>
      <c r="B41" t="s">
        <v>1</v>
      </c>
      <c r="C41" s="2">
        <v>45708</v>
      </c>
      <c r="D41" s="13">
        <v>1800000222</v>
      </c>
      <c r="E41" t="s">
        <v>14</v>
      </c>
      <c r="F41" s="2">
        <v>45708</v>
      </c>
      <c r="G41" s="23">
        <v>246779410149</v>
      </c>
      <c r="H41" t="s">
        <v>13</v>
      </c>
      <c r="I41" s="3">
        <v>1800</v>
      </c>
      <c r="J41" t="s">
        <v>4</v>
      </c>
      <c r="K41" s="3">
        <v>155346.59</v>
      </c>
      <c r="L41" t="s">
        <v>112</v>
      </c>
      <c r="M41">
        <f>VLOOKUP(G41,Sheet2!$D$3:$H$171,3,)</f>
        <v>140453</v>
      </c>
      <c r="N41" s="14">
        <f t="shared" si="1"/>
        <v>14893.589999999997</v>
      </c>
      <c r="O41" s="20">
        <f t="shared" si="2"/>
        <v>9.5873298538448753E-2</v>
      </c>
      <c r="Q41" s="26">
        <f>VLOOKUP(G41,'[1]TDS not in our Books'!$D:$H,5,0)</f>
        <v>15606</v>
      </c>
      <c r="R41" s="35">
        <f t="shared" si="3"/>
        <v>139740.59</v>
      </c>
      <c r="S41">
        <f>VLOOKUP(D41,[2]Sheet1!$D:$S,16,0)</f>
        <v>1400000116</v>
      </c>
      <c r="T41">
        <f>VLOOKUP(D41,[2]Sheet1!$D:$T,17,0)</f>
        <v>140453</v>
      </c>
    </row>
    <row r="42" spans="1:20" outlineLevel="2" x14ac:dyDescent="0.25">
      <c r="A42" t="s">
        <v>0</v>
      </c>
      <c r="B42" t="s">
        <v>1</v>
      </c>
      <c r="C42" s="2">
        <v>45708</v>
      </c>
      <c r="D42" s="13">
        <v>1800000265</v>
      </c>
      <c r="E42" t="s">
        <v>14</v>
      </c>
      <c r="F42" s="2">
        <v>45708</v>
      </c>
      <c r="G42" s="23">
        <v>246779410192</v>
      </c>
      <c r="H42" t="s">
        <v>13</v>
      </c>
      <c r="I42" s="3">
        <v>1800</v>
      </c>
      <c r="J42" t="s">
        <v>4</v>
      </c>
      <c r="K42" s="3">
        <v>155346.59</v>
      </c>
      <c r="L42" t="s">
        <v>113</v>
      </c>
      <c r="M42">
        <f>VLOOKUP(G42,Sheet2!$D$3:$H$171,3,)</f>
        <v>140453</v>
      </c>
      <c r="N42" s="14">
        <f t="shared" si="1"/>
        <v>14893.589999999997</v>
      </c>
      <c r="O42" s="20">
        <f t="shared" si="2"/>
        <v>9.5873298538448753E-2</v>
      </c>
      <c r="Q42" s="26">
        <f>VLOOKUP(G42,'[1]TDS not in our Books'!$D:$H,5,0)</f>
        <v>15606</v>
      </c>
      <c r="R42" s="35">
        <f t="shared" si="3"/>
        <v>139740.59</v>
      </c>
      <c r="S42">
        <f>VLOOKUP(D42,[2]Sheet1!$D:$S,16,0)</f>
        <v>1400000116</v>
      </c>
      <c r="T42">
        <f>VLOOKUP(D42,[2]Sheet1!$D:$T,17,0)</f>
        <v>140453</v>
      </c>
    </row>
    <row r="43" spans="1:20" outlineLevel="2" x14ac:dyDescent="0.25">
      <c r="A43" t="s">
        <v>0</v>
      </c>
      <c r="B43" t="s">
        <v>1</v>
      </c>
      <c r="C43" s="2">
        <v>45708</v>
      </c>
      <c r="D43" s="13">
        <v>1800000308</v>
      </c>
      <c r="E43" t="s">
        <v>14</v>
      </c>
      <c r="F43" s="2">
        <v>45708</v>
      </c>
      <c r="G43" s="23">
        <v>246779410235</v>
      </c>
      <c r="H43" t="s">
        <v>13</v>
      </c>
      <c r="I43" s="3">
        <v>1800</v>
      </c>
      <c r="J43" t="s">
        <v>4</v>
      </c>
      <c r="K43" s="3">
        <v>155346.59</v>
      </c>
      <c r="L43" t="s">
        <v>114</v>
      </c>
      <c r="M43">
        <f>VLOOKUP(G43,Sheet2!$D$3:$H$171,3,)</f>
        <v>140453</v>
      </c>
      <c r="N43" s="14">
        <f t="shared" si="1"/>
        <v>14893.589999999997</v>
      </c>
      <c r="O43" s="20">
        <f t="shared" si="2"/>
        <v>9.5873298538448753E-2</v>
      </c>
      <c r="Q43" s="26">
        <f>VLOOKUP(G43,'[1]TDS not in our Books'!$D:$H,5,0)</f>
        <v>15606</v>
      </c>
      <c r="R43" s="35">
        <f t="shared" si="3"/>
        <v>139740.59</v>
      </c>
      <c r="S43">
        <f>VLOOKUP(D43,[2]Sheet1!$D:$S,16,0)</f>
        <v>1400000116</v>
      </c>
      <c r="T43">
        <f>VLOOKUP(D43,[2]Sheet1!$D:$T,17,0)</f>
        <v>78641</v>
      </c>
    </row>
    <row r="44" spans="1:20" outlineLevel="2" x14ac:dyDescent="0.25">
      <c r="A44" t="s">
        <v>0</v>
      </c>
      <c r="B44" t="s">
        <v>1</v>
      </c>
      <c r="C44" s="2">
        <v>45708</v>
      </c>
      <c r="D44" s="13">
        <v>1800000080</v>
      </c>
      <c r="E44" t="s">
        <v>14</v>
      </c>
      <c r="F44" s="2">
        <v>45708</v>
      </c>
      <c r="G44" s="23">
        <v>246779410292</v>
      </c>
      <c r="H44" t="s">
        <v>13</v>
      </c>
      <c r="I44" s="3">
        <v>1800</v>
      </c>
      <c r="J44" t="s">
        <v>4</v>
      </c>
      <c r="K44" s="3">
        <v>155346.59</v>
      </c>
      <c r="L44" t="s">
        <v>115</v>
      </c>
      <c r="M44">
        <f>VLOOKUP(G44,Sheet2!$D$3:$H$171,3,)</f>
        <v>140453</v>
      </c>
      <c r="N44" s="14">
        <f t="shared" si="1"/>
        <v>14893.589999999997</v>
      </c>
      <c r="O44" s="20">
        <f t="shared" si="2"/>
        <v>9.5873298538448753E-2</v>
      </c>
      <c r="Q44" s="26">
        <f>VLOOKUP(G44,'[1]TDS not in our Books'!$D:$H,5,0)</f>
        <v>15606</v>
      </c>
      <c r="R44" s="35">
        <f t="shared" si="3"/>
        <v>139740.59</v>
      </c>
      <c r="S44">
        <f>VLOOKUP(D44,[2]Sheet1!$D:$S,16,0)</f>
        <v>1400000887</v>
      </c>
      <c r="T44">
        <f>VLOOKUP(D44,[2]Sheet1!$D:$T,17,0)</f>
        <v>38188</v>
      </c>
    </row>
    <row r="45" spans="1:20" hidden="1" outlineLevel="2" x14ac:dyDescent="0.25">
      <c r="A45" s="27" t="s">
        <v>0</v>
      </c>
      <c r="B45" s="27" t="s">
        <v>1</v>
      </c>
      <c r="C45" s="28">
        <v>45713</v>
      </c>
      <c r="D45" s="29">
        <v>1800000347</v>
      </c>
      <c r="E45" s="27" t="s">
        <v>14</v>
      </c>
      <c r="F45" s="28">
        <v>45713</v>
      </c>
      <c r="G45" s="30">
        <v>246779410321</v>
      </c>
      <c r="H45" s="27" t="s">
        <v>13</v>
      </c>
      <c r="I45" s="31">
        <v>465</v>
      </c>
      <c r="J45" s="27" t="s">
        <v>4</v>
      </c>
      <c r="K45" s="31">
        <v>40131.199999999997</v>
      </c>
      <c r="L45" s="27" t="s">
        <v>20</v>
      </c>
      <c r="M45" s="27">
        <f>VLOOKUP(G45,Sheet2!$D$3:$H$171,3,)</f>
        <v>36410</v>
      </c>
      <c r="N45" s="32">
        <f t="shared" si="1"/>
        <v>3721.1999999999971</v>
      </c>
      <c r="O45" s="33">
        <f t="shared" si="2"/>
        <v>9.2725859181883363E-2</v>
      </c>
      <c r="P45" s="27"/>
      <c r="Q45" s="34">
        <f>VLOOKUP(G45,'[1]TDS not in our Books'!$D:$H,5,0)</f>
        <v>4046</v>
      </c>
      <c r="R45" s="35">
        <f t="shared" si="3"/>
        <v>36085.199999999997</v>
      </c>
      <c r="S45" s="27"/>
      <c r="T45" s="27"/>
    </row>
    <row r="46" spans="1:20" outlineLevel="2" x14ac:dyDescent="0.25">
      <c r="A46" t="s">
        <v>0</v>
      </c>
      <c r="B46" t="s">
        <v>1</v>
      </c>
      <c r="C46" s="2">
        <v>45716</v>
      </c>
      <c r="D46" s="13">
        <v>1800000372</v>
      </c>
      <c r="E46" t="s">
        <v>14</v>
      </c>
      <c r="F46" s="2">
        <v>45716</v>
      </c>
      <c r="G46" s="23">
        <v>246779410341</v>
      </c>
      <c r="H46" t="s">
        <v>13</v>
      </c>
      <c r="I46" s="3">
        <v>450</v>
      </c>
      <c r="J46" t="s">
        <v>4</v>
      </c>
      <c r="K46" s="3">
        <v>38836.65</v>
      </c>
      <c r="L46" t="s">
        <v>20</v>
      </c>
      <c r="M46">
        <f>VLOOKUP(G46,Sheet2!$D$3:$H$171,3,)</f>
        <v>35397</v>
      </c>
      <c r="N46" s="14">
        <f t="shared" si="1"/>
        <v>3439.6500000000015</v>
      </c>
      <c r="O46" s="20">
        <f t="shared" si="2"/>
        <v>8.8567113795860394E-2</v>
      </c>
      <c r="Q46" s="26">
        <f>VLOOKUP(G46,'[1]TDS not in our Books'!$D:$H,5,0)</f>
        <v>3933</v>
      </c>
      <c r="R46" s="35">
        <f t="shared" si="3"/>
        <v>34903.65</v>
      </c>
      <c r="S46">
        <v>1400000077</v>
      </c>
    </row>
    <row r="47" spans="1:20" outlineLevel="2" x14ac:dyDescent="0.25">
      <c r="A47" t="s">
        <v>0</v>
      </c>
      <c r="B47" t="s">
        <v>1</v>
      </c>
      <c r="C47" s="2">
        <v>45716</v>
      </c>
      <c r="D47" s="13">
        <v>1800000388</v>
      </c>
      <c r="E47" t="s">
        <v>14</v>
      </c>
      <c r="F47" s="2">
        <v>45716</v>
      </c>
      <c r="G47" s="23">
        <v>246779410357</v>
      </c>
      <c r="H47" t="s">
        <v>13</v>
      </c>
      <c r="I47" s="3">
        <v>450</v>
      </c>
      <c r="J47" t="s">
        <v>4</v>
      </c>
      <c r="K47" s="3">
        <v>38836.65</v>
      </c>
      <c r="L47" t="s">
        <v>20</v>
      </c>
      <c r="M47">
        <f>VLOOKUP(G47,Sheet2!$D$3:$H$171,3,)</f>
        <v>35397</v>
      </c>
      <c r="N47" s="14">
        <f t="shared" si="1"/>
        <v>3439.6500000000015</v>
      </c>
      <c r="O47" s="20">
        <f t="shared" si="2"/>
        <v>8.8567113795860394E-2</v>
      </c>
      <c r="Q47" s="26">
        <f>VLOOKUP(G47,'[1]TDS not in our Books'!$D:$H,5,0)</f>
        <v>3933</v>
      </c>
      <c r="R47" s="35">
        <f t="shared" si="3"/>
        <v>34903.65</v>
      </c>
      <c r="S47">
        <f>VLOOKUP(D47,[2]Sheet1!$D:$S,16,0)</f>
        <v>1400000904</v>
      </c>
      <c r="T47">
        <f>VLOOKUP(D47,[2]Sheet1!$D:$T,17,0)</f>
        <v>35397</v>
      </c>
    </row>
    <row r="48" spans="1:20" outlineLevel="2" x14ac:dyDescent="0.25">
      <c r="A48" t="s">
        <v>0</v>
      </c>
      <c r="B48" t="s">
        <v>1</v>
      </c>
      <c r="C48" s="2">
        <v>45716</v>
      </c>
      <c r="D48" s="13">
        <v>1800000376</v>
      </c>
      <c r="E48" t="s">
        <v>14</v>
      </c>
      <c r="F48" s="2">
        <v>45716</v>
      </c>
      <c r="G48" s="23">
        <v>246779410345</v>
      </c>
      <c r="H48" t="s">
        <v>13</v>
      </c>
      <c r="I48" s="3">
        <v>465</v>
      </c>
      <c r="J48" t="s">
        <v>4</v>
      </c>
      <c r="K48" s="3">
        <v>40131.199999999997</v>
      </c>
      <c r="L48" t="s">
        <v>20</v>
      </c>
      <c r="M48">
        <f>VLOOKUP(G48,Sheet2!$D$3:$H$171,3,)</f>
        <v>36577</v>
      </c>
      <c r="N48" s="14">
        <f t="shared" si="1"/>
        <v>3554.1999999999971</v>
      </c>
      <c r="O48" s="20">
        <f t="shared" si="2"/>
        <v>8.8564508412407233E-2</v>
      </c>
      <c r="Q48" s="26">
        <f>VLOOKUP(G48,'[1]TDS not in our Books'!$D:$H,5,0)</f>
        <v>4064</v>
      </c>
      <c r="R48" s="35">
        <f t="shared" si="3"/>
        <v>36067.199999999997</v>
      </c>
      <c r="S48">
        <f>VLOOKUP(D48,[2]Sheet1!$D:$S,16,0)</f>
        <v>1400000904</v>
      </c>
      <c r="T48">
        <f>VLOOKUP(D48,[2]Sheet1!$D:$T,17,0)</f>
        <v>36577</v>
      </c>
    </row>
    <row r="49" spans="1:20" outlineLevel="2" x14ac:dyDescent="0.25">
      <c r="A49" t="s">
        <v>0</v>
      </c>
      <c r="B49" t="s">
        <v>1</v>
      </c>
      <c r="C49" s="2">
        <v>45716</v>
      </c>
      <c r="D49" s="13">
        <v>1800000382</v>
      </c>
      <c r="E49" t="s">
        <v>14</v>
      </c>
      <c r="F49" s="2">
        <v>45716</v>
      </c>
      <c r="G49" s="23">
        <v>246779410351</v>
      </c>
      <c r="H49" t="s">
        <v>13</v>
      </c>
      <c r="I49" s="3">
        <v>465</v>
      </c>
      <c r="J49" t="s">
        <v>4</v>
      </c>
      <c r="K49" s="3">
        <v>40131.199999999997</v>
      </c>
      <c r="L49" t="s">
        <v>20</v>
      </c>
      <c r="M49">
        <f>VLOOKUP(G49,Sheet2!$D$3:$H$171,3,)</f>
        <v>36577</v>
      </c>
      <c r="N49" s="14">
        <f t="shared" si="1"/>
        <v>3554.1999999999971</v>
      </c>
      <c r="O49" s="20">
        <f t="shared" si="2"/>
        <v>8.8564508412407233E-2</v>
      </c>
      <c r="Q49" s="26">
        <f>VLOOKUP(G49,'[1]TDS not in our Books'!$D:$H,5,0)</f>
        <v>4064</v>
      </c>
      <c r="R49" s="35">
        <f t="shared" si="3"/>
        <v>36067.199999999997</v>
      </c>
      <c r="S49">
        <f>VLOOKUP(D49,[2]Sheet1!$D:$S,16,0)</f>
        <v>1400000904</v>
      </c>
      <c r="T49">
        <f>VLOOKUP(D49,[2]Sheet1!$D:$T,17,0)</f>
        <v>36577</v>
      </c>
    </row>
    <row r="50" spans="1:20" hidden="1" outlineLevel="2" x14ac:dyDescent="0.25">
      <c r="A50" s="27" t="s">
        <v>0</v>
      </c>
      <c r="B50" s="27" t="s">
        <v>1</v>
      </c>
      <c r="C50" s="28">
        <v>45719</v>
      </c>
      <c r="D50" s="29">
        <v>1800000403</v>
      </c>
      <c r="E50" s="27" t="s">
        <v>14</v>
      </c>
      <c r="F50" s="28">
        <v>45719</v>
      </c>
      <c r="G50" s="30">
        <v>246779410365</v>
      </c>
      <c r="H50" s="27" t="s">
        <v>13</v>
      </c>
      <c r="I50" s="31">
        <v>1018.38</v>
      </c>
      <c r="J50" s="27" t="s">
        <v>4</v>
      </c>
      <c r="K50" s="31">
        <v>88284.65</v>
      </c>
      <c r="L50" s="27" t="s">
        <v>25</v>
      </c>
      <c r="M50" s="27">
        <f>VLOOKUP(G50,Sheet2!$D$3:$H$171,3,)</f>
        <v>80043</v>
      </c>
      <c r="N50" s="32">
        <f t="shared" si="1"/>
        <v>8241.6499999999942</v>
      </c>
      <c r="O50" s="33">
        <f t="shared" si="2"/>
        <v>9.3353148027431665E-2</v>
      </c>
      <c r="P50" s="27"/>
      <c r="Q50" s="34">
        <f>VLOOKUP(G50,'[1]TDS not in our Books'!$D:$H,5,0)</f>
        <v>8894</v>
      </c>
      <c r="R50" s="35">
        <f t="shared" si="3"/>
        <v>79390.649999999994</v>
      </c>
      <c r="S50" s="27"/>
      <c r="T50" s="27"/>
    </row>
    <row r="51" spans="1:20" outlineLevel="2" x14ac:dyDescent="0.25">
      <c r="A51" t="s">
        <v>0</v>
      </c>
      <c r="B51" t="s">
        <v>1</v>
      </c>
      <c r="C51" s="2">
        <v>45719</v>
      </c>
      <c r="D51" s="13">
        <v>1800000429</v>
      </c>
      <c r="E51" t="s">
        <v>14</v>
      </c>
      <c r="F51" s="2">
        <v>45719</v>
      </c>
      <c r="G51" s="23">
        <v>246779410391</v>
      </c>
      <c r="H51" t="s">
        <v>13</v>
      </c>
      <c r="I51" s="3">
        <v>1894.32</v>
      </c>
      <c r="J51" t="s">
        <v>4</v>
      </c>
      <c r="K51" s="3">
        <v>164220.99</v>
      </c>
      <c r="L51" t="s">
        <v>23</v>
      </c>
      <c r="M51">
        <f>VLOOKUP(G51,Sheet2!$D$3:$H$171,3,)</f>
        <v>148891</v>
      </c>
      <c r="N51" s="14">
        <f t="shared" si="1"/>
        <v>15329.989999999991</v>
      </c>
      <c r="O51" s="20">
        <f t="shared" si="2"/>
        <v>9.3349759978916161E-2</v>
      </c>
      <c r="Q51" s="26">
        <f>VLOOKUP(G51,'[1]TDS not in our Books'!$D:$H,5,0)</f>
        <v>16543</v>
      </c>
      <c r="R51" s="35">
        <f t="shared" si="3"/>
        <v>147677.99</v>
      </c>
      <c r="S51">
        <f>VLOOKUP(D51,[2]Sheet1!$D:$S,16,0)</f>
        <v>1400000077</v>
      </c>
    </row>
    <row r="52" spans="1:20" outlineLevel="2" x14ac:dyDescent="0.25">
      <c r="A52" t="s">
        <v>0</v>
      </c>
      <c r="B52" t="s">
        <v>1</v>
      </c>
      <c r="C52" s="2">
        <v>45719</v>
      </c>
      <c r="D52" s="13">
        <v>1800000453</v>
      </c>
      <c r="E52" t="s">
        <v>14</v>
      </c>
      <c r="F52" s="2">
        <v>45719</v>
      </c>
      <c r="G52" s="23">
        <v>246779410415</v>
      </c>
      <c r="H52" t="s">
        <v>13</v>
      </c>
      <c r="I52" s="3">
        <v>1930.92</v>
      </c>
      <c r="J52" t="s">
        <v>4</v>
      </c>
      <c r="K52" s="3">
        <v>167393.89000000001</v>
      </c>
      <c r="L52" t="s">
        <v>24</v>
      </c>
      <c r="M52">
        <f>VLOOKUP(G52,Sheet2!$D$3:$H$171,3,)</f>
        <v>151767</v>
      </c>
      <c r="N52" s="14">
        <f t="shared" si="1"/>
        <v>15626.890000000014</v>
      </c>
      <c r="O52" s="20">
        <f t="shared" si="2"/>
        <v>9.3354004736971058E-2</v>
      </c>
      <c r="Q52" s="26">
        <f>VLOOKUP(G52,'[1]TDS not in our Books'!$D:$H,5,0)</f>
        <v>16863</v>
      </c>
      <c r="R52" s="35">
        <f t="shared" si="3"/>
        <v>150530.89000000001</v>
      </c>
      <c r="S52">
        <f>VLOOKUP(D52,[2]Sheet1!$D:$S,16,0)</f>
        <v>1400000904</v>
      </c>
      <c r="T52">
        <f>VLOOKUP(D52,[2]Sheet1!$D:$T,17,0)</f>
        <v>151767</v>
      </c>
    </row>
    <row r="53" spans="1:20" outlineLevel="2" x14ac:dyDescent="0.25">
      <c r="A53" t="s">
        <v>0</v>
      </c>
      <c r="B53" t="s">
        <v>1</v>
      </c>
      <c r="C53" s="2">
        <v>45722</v>
      </c>
      <c r="D53" s="13">
        <v>1800000922</v>
      </c>
      <c r="E53" t="s">
        <v>14</v>
      </c>
      <c r="F53" s="2">
        <v>45722</v>
      </c>
      <c r="G53" s="23">
        <v>246779410862</v>
      </c>
      <c r="H53" t="s">
        <v>13</v>
      </c>
      <c r="I53" s="3">
        <v>2306.52</v>
      </c>
      <c r="J53" t="s">
        <v>4</v>
      </c>
      <c r="K53" s="3">
        <v>199955.13</v>
      </c>
      <c r="L53" t="s">
        <v>21</v>
      </c>
      <c r="M53">
        <f>VLOOKUP(G53,Sheet2!$D$3:$H$171,3,)</f>
        <v>180778</v>
      </c>
      <c r="N53" s="14">
        <f t="shared" si="1"/>
        <v>19177.130000000005</v>
      </c>
      <c r="O53" s="20">
        <f t="shared" si="2"/>
        <v>9.590716677286551E-2</v>
      </c>
      <c r="Q53" s="26">
        <f>VLOOKUP(G53,'[1]TDS not in our Books'!$D:$H,5,0)</f>
        <v>20087</v>
      </c>
      <c r="R53" s="35">
        <f t="shared" si="3"/>
        <v>179868.13</v>
      </c>
      <c r="S53">
        <f>VLOOKUP(D53,[2]Sheet1!$D:$S,16,0)</f>
        <v>1400000904</v>
      </c>
      <c r="T53">
        <f>VLOOKUP(D53,[2]Sheet1!$D:$T,17,0)</f>
        <v>180778</v>
      </c>
    </row>
    <row r="54" spans="1:20" outlineLevel="2" x14ac:dyDescent="0.25">
      <c r="A54" t="s">
        <v>0</v>
      </c>
      <c r="B54" t="s">
        <v>1</v>
      </c>
      <c r="C54" s="2">
        <v>45722</v>
      </c>
      <c r="D54" s="13">
        <v>1800000945</v>
      </c>
      <c r="E54" t="s">
        <v>14</v>
      </c>
      <c r="F54" s="2">
        <v>45722</v>
      </c>
      <c r="G54" s="23">
        <v>246779410885</v>
      </c>
      <c r="H54" t="s">
        <v>13</v>
      </c>
      <c r="I54" s="3">
        <v>2390.58</v>
      </c>
      <c r="J54" t="s">
        <v>4</v>
      </c>
      <c r="K54" s="3">
        <v>207242.39</v>
      </c>
      <c r="L54" t="s">
        <v>22</v>
      </c>
      <c r="M54">
        <f>VLOOKUP(G54,Sheet2!$D$3:$H$171,3,)</f>
        <v>187367</v>
      </c>
      <c r="N54" s="14">
        <f t="shared" si="1"/>
        <v>19875.390000000014</v>
      </c>
      <c r="O54" s="20">
        <f t="shared" si="2"/>
        <v>9.59040763812848E-2</v>
      </c>
      <c r="Q54" s="26">
        <f>VLOOKUP(G54,'[1]TDS not in our Books'!$D:$H,5,0)</f>
        <v>20819</v>
      </c>
      <c r="R54" s="35">
        <f t="shared" si="3"/>
        <v>186423.39</v>
      </c>
      <c r="S54">
        <f>VLOOKUP(D54,[2]Sheet1!$D:$S,16,0)</f>
        <v>1400000904</v>
      </c>
      <c r="T54">
        <f>VLOOKUP(D54,[2]Sheet1!$D:$T,17,0)</f>
        <v>156639</v>
      </c>
    </row>
    <row r="55" spans="1:20" outlineLevel="2" x14ac:dyDescent="0.25">
      <c r="A55" t="s">
        <v>0</v>
      </c>
      <c r="B55" t="s">
        <v>1</v>
      </c>
      <c r="C55" s="2">
        <v>45729</v>
      </c>
      <c r="D55" s="13">
        <v>1800001470</v>
      </c>
      <c r="E55" t="s">
        <v>14</v>
      </c>
      <c r="F55" s="2">
        <v>45729</v>
      </c>
      <c r="G55" s="23">
        <v>246779411302</v>
      </c>
      <c r="H55" t="s">
        <v>13</v>
      </c>
      <c r="I55" s="3">
        <v>35</v>
      </c>
      <c r="J55" t="s">
        <v>4</v>
      </c>
      <c r="K55" s="3">
        <v>3034.19</v>
      </c>
      <c r="L55" t="s">
        <v>92</v>
      </c>
      <c r="M55">
        <f>VLOOKUP(G55,Sheet2!$D$3:$H$171,3,)</f>
        <v>2987</v>
      </c>
      <c r="N55" s="14">
        <f t="shared" si="1"/>
        <v>47.190000000000055</v>
      </c>
      <c r="O55" s="20">
        <f t="shared" si="2"/>
        <v>1.5552750486950406E-2</v>
      </c>
      <c r="Q55" s="26">
        <f>VLOOKUP(G55,'[1]TDS not in our Books'!$D:$H,5,0)</f>
        <v>61</v>
      </c>
      <c r="R55" s="35">
        <f t="shared" si="3"/>
        <v>2973.19</v>
      </c>
      <c r="S55">
        <f>VLOOKUP(D55,[2]Sheet1!$D:$S,16,0)</f>
        <v>1400000922</v>
      </c>
      <c r="T55">
        <f>VLOOKUP(D55,[2]Sheet1!$D:$T,17,0)</f>
        <v>2987</v>
      </c>
    </row>
    <row r="56" spans="1:20" outlineLevel="2" x14ac:dyDescent="0.25">
      <c r="A56" t="s">
        <v>0</v>
      </c>
      <c r="B56" t="s">
        <v>1</v>
      </c>
      <c r="C56" s="2">
        <v>45730</v>
      </c>
      <c r="D56" s="13">
        <v>1800001793</v>
      </c>
      <c r="E56" t="s">
        <v>14</v>
      </c>
      <c r="F56" s="2">
        <v>45730</v>
      </c>
      <c r="G56" s="23">
        <v>246779411458</v>
      </c>
      <c r="H56" t="s">
        <v>13</v>
      </c>
      <c r="I56" s="3">
        <v>77.2</v>
      </c>
      <c r="J56" t="s">
        <v>4</v>
      </c>
      <c r="K56" s="3">
        <v>6692.57</v>
      </c>
      <c r="L56" t="s">
        <v>45</v>
      </c>
      <c r="M56">
        <f>VLOOKUP(G56,Sheet2!$D$3:$H$171,3,)</f>
        <v>6589</v>
      </c>
      <c r="N56" s="14">
        <f t="shared" si="1"/>
        <v>103.56999999999971</v>
      </c>
      <c r="O56" s="20">
        <f t="shared" si="2"/>
        <v>1.5475370448123773E-2</v>
      </c>
      <c r="Q56" s="26">
        <f>VLOOKUP(G56,'[1]TDS not in our Books'!$D:$H,5,0)</f>
        <v>134</v>
      </c>
      <c r="R56" s="35">
        <f t="shared" si="3"/>
        <v>6558.57</v>
      </c>
      <c r="S56">
        <f>VLOOKUP(D56,[2]Sheet1!$D:$S,16,0)</f>
        <v>1400000922</v>
      </c>
      <c r="T56">
        <f>VLOOKUP(D56,[2]Sheet1!$D:$T,17,0)</f>
        <v>6589</v>
      </c>
    </row>
    <row r="57" spans="1:20" outlineLevel="2" x14ac:dyDescent="0.25">
      <c r="A57" t="s">
        <v>0</v>
      </c>
      <c r="B57" t="s">
        <v>1</v>
      </c>
      <c r="C57" s="2">
        <v>45730</v>
      </c>
      <c r="D57" s="13">
        <v>1800001590</v>
      </c>
      <c r="E57" t="s">
        <v>14</v>
      </c>
      <c r="F57" s="2">
        <v>45730</v>
      </c>
      <c r="G57" s="23">
        <v>246779412247</v>
      </c>
      <c r="H57" t="s">
        <v>13</v>
      </c>
      <c r="I57" s="3">
        <v>77.2</v>
      </c>
      <c r="J57" t="s">
        <v>4</v>
      </c>
      <c r="K57" s="3">
        <v>6692.57</v>
      </c>
      <c r="L57" t="s">
        <v>45</v>
      </c>
      <c r="M57">
        <f>VLOOKUP(G57,Sheet2!$D$3:$H$171,3,)</f>
        <v>6589</v>
      </c>
      <c r="N57" s="14">
        <f t="shared" si="1"/>
        <v>103.56999999999971</v>
      </c>
      <c r="O57" s="20">
        <f t="shared" si="2"/>
        <v>1.5475370448123773E-2</v>
      </c>
      <c r="Q57" s="26">
        <f>VLOOKUP(G57,'[1]TDS not in our Books'!$D:$H,5,0)</f>
        <v>134</v>
      </c>
      <c r="R57" s="35">
        <f t="shared" si="3"/>
        <v>6558.57</v>
      </c>
      <c r="S57">
        <f>VLOOKUP(D57,[2]Sheet1!$D:$S,16,0)</f>
        <v>1400000922</v>
      </c>
      <c r="T57">
        <f>VLOOKUP(D57,[2]Sheet1!$D:$T,17,0)</f>
        <v>6589</v>
      </c>
    </row>
    <row r="58" spans="1:20" outlineLevel="2" x14ac:dyDescent="0.25">
      <c r="A58" t="s">
        <v>0</v>
      </c>
      <c r="B58" t="s">
        <v>1</v>
      </c>
      <c r="C58" s="2">
        <v>45733</v>
      </c>
      <c r="D58" s="13">
        <v>1800001962</v>
      </c>
      <c r="E58" t="s">
        <v>14</v>
      </c>
      <c r="F58" s="2">
        <v>45733</v>
      </c>
      <c r="G58" s="23">
        <v>246779411627</v>
      </c>
      <c r="H58" t="s">
        <v>13</v>
      </c>
      <c r="I58" s="3">
        <v>61.82</v>
      </c>
      <c r="J58" t="s">
        <v>4</v>
      </c>
      <c r="K58" s="3">
        <v>5359.25</v>
      </c>
      <c r="L58" t="s">
        <v>27</v>
      </c>
      <c r="M58">
        <f>VLOOKUP(G58,Sheet2!$D$3:$H$171,3,)</f>
        <v>5258</v>
      </c>
      <c r="N58" s="14">
        <f t="shared" si="1"/>
        <v>101.25</v>
      </c>
      <c r="O58" s="20">
        <f t="shared" si="2"/>
        <v>1.8892568922890329E-2</v>
      </c>
      <c r="Q58" s="26">
        <f>VLOOKUP(G58,'[1]TDS not in our Books'!$D:$H,5,0)</f>
        <v>107</v>
      </c>
      <c r="R58" s="35">
        <f t="shared" si="3"/>
        <v>5252.25</v>
      </c>
      <c r="S58">
        <f>VLOOKUP(D58,[2]Sheet1!$D:$S,16,0)</f>
        <v>1400000922</v>
      </c>
      <c r="T58">
        <f>VLOOKUP(D58,[2]Sheet1!$D:$T,17,0)</f>
        <v>5258</v>
      </c>
    </row>
    <row r="59" spans="1:20" outlineLevel="2" x14ac:dyDescent="0.25">
      <c r="A59" t="s">
        <v>0</v>
      </c>
      <c r="B59" t="s">
        <v>1</v>
      </c>
      <c r="C59" s="2">
        <v>45733</v>
      </c>
      <c r="D59" s="13">
        <v>1800001960</v>
      </c>
      <c r="E59" t="s">
        <v>14</v>
      </c>
      <c r="F59" s="2">
        <v>45733</v>
      </c>
      <c r="G59" s="23">
        <v>246779411625</v>
      </c>
      <c r="H59" t="s">
        <v>13</v>
      </c>
      <c r="I59" s="3">
        <v>69.819999999999993</v>
      </c>
      <c r="J59" t="s">
        <v>4</v>
      </c>
      <c r="K59" s="3">
        <v>6052.78</v>
      </c>
      <c r="L59" t="s">
        <v>27</v>
      </c>
      <c r="M59">
        <f>VLOOKUP(G59,Sheet2!$D$3:$H$171,3,)</f>
        <v>5939</v>
      </c>
      <c r="N59" s="14">
        <f t="shared" si="1"/>
        <v>113.77999999999975</v>
      </c>
      <c r="O59" s="20">
        <f t="shared" si="2"/>
        <v>1.8797973823598373E-2</v>
      </c>
      <c r="Q59" s="26">
        <f>VLOOKUP(G59,'[1]TDS not in our Books'!$D:$H,5,0)</f>
        <v>121</v>
      </c>
      <c r="R59" s="35">
        <f t="shared" si="3"/>
        <v>5931.78</v>
      </c>
      <c r="S59">
        <f>VLOOKUP(D59,[2]Sheet1!$D:$S,16,0)</f>
        <v>1400000922</v>
      </c>
      <c r="T59">
        <f>VLOOKUP(D59,[2]Sheet1!$D:$T,17,0)</f>
        <v>5939</v>
      </c>
    </row>
    <row r="60" spans="1:20" outlineLevel="2" x14ac:dyDescent="0.25">
      <c r="A60" t="s">
        <v>0</v>
      </c>
      <c r="B60" t="s">
        <v>1</v>
      </c>
      <c r="C60" s="2">
        <v>45733</v>
      </c>
      <c r="D60" s="13">
        <v>1800001961</v>
      </c>
      <c r="E60" t="s">
        <v>14</v>
      </c>
      <c r="F60" s="2">
        <v>45733</v>
      </c>
      <c r="G60" s="23">
        <v>246779411626</v>
      </c>
      <c r="H60" t="s">
        <v>13</v>
      </c>
      <c r="I60" s="3">
        <v>71.61</v>
      </c>
      <c r="J60" t="s">
        <v>4</v>
      </c>
      <c r="K60" s="3">
        <v>6207.96</v>
      </c>
      <c r="L60" t="s">
        <v>27</v>
      </c>
      <c r="M60">
        <f>VLOOKUP(G60,Sheet2!$D$3:$H$171,3,)</f>
        <v>6091</v>
      </c>
      <c r="N60" s="14">
        <f t="shared" si="1"/>
        <v>116.96000000000004</v>
      </c>
      <c r="O60" s="20">
        <f t="shared" si="2"/>
        <v>1.8840327579430285E-2</v>
      </c>
      <c r="Q60" s="26">
        <f>VLOOKUP(G60,'[1]TDS not in our Books'!$D:$H,5,0)</f>
        <v>124</v>
      </c>
      <c r="R60" s="35">
        <f t="shared" si="3"/>
        <v>6083.96</v>
      </c>
      <c r="S60">
        <f>VLOOKUP(D60,[2]Sheet1!$D:$S,16,0)</f>
        <v>1400000922</v>
      </c>
      <c r="T60">
        <f>VLOOKUP(D60,[2]Sheet1!$D:$T,17,0)</f>
        <v>6091</v>
      </c>
    </row>
    <row r="61" spans="1:20" outlineLevel="2" x14ac:dyDescent="0.25">
      <c r="A61" t="s">
        <v>0</v>
      </c>
      <c r="B61" t="s">
        <v>1</v>
      </c>
      <c r="C61" s="2">
        <v>45733</v>
      </c>
      <c r="D61" s="13">
        <v>1800002403</v>
      </c>
      <c r="E61" t="s">
        <v>14</v>
      </c>
      <c r="F61" s="2">
        <v>45733</v>
      </c>
      <c r="G61" s="23">
        <v>246779412068</v>
      </c>
      <c r="H61" t="s">
        <v>13</v>
      </c>
      <c r="I61" s="3">
        <v>122.18</v>
      </c>
      <c r="J61" t="s">
        <v>4</v>
      </c>
      <c r="K61" s="3">
        <v>10591.94</v>
      </c>
      <c r="L61" t="s">
        <v>28</v>
      </c>
      <c r="M61">
        <f>VLOOKUP(G61,Sheet2!$D$3:$H$171,3,)</f>
        <v>10392</v>
      </c>
      <c r="N61" s="14">
        <f t="shared" si="1"/>
        <v>199.94000000000051</v>
      </c>
      <c r="O61" s="20">
        <f t="shared" si="2"/>
        <v>1.8876617503497992E-2</v>
      </c>
      <c r="Q61" s="26">
        <f>VLOOKUP(G61,'[1]TDS not in our Books'!$D:$H,5,0)</f>
        <v>212</v>
      </c>
      <c r="R61" s="35">
        <f t="shared" si="3"/>
        <v>10379.94</v>
      </c>
      <c r="S61">
        <f>VLOOKUP(D61,[2]Sheet1!$D:$S,16,0)</f>
        <v>1400000922</v>
      </c>
      <c r="T61">
        <f>VLOOKUP(D61,[2]Sheet1!$D:$T,17,0)</f>
        <v>10392</v>
      </c>
    </row>
    <row r="62" spans="1:20" outlineLevel="2" x14ac:dyDescent="0.25">
      <c r="A62" t="s">
        <v>0</v>
      </c>
      <c r="B62" t="s">
        <v>1</v>
      </c>
      <c r="C62" s="2">
        <v>45733</v>
      </c>
      <c r="D62" s="13">
        <v>1800001959</v>
      </c>
      <c r="E62" t="s">
        <v>14</v>
      </c>
      <c r="F62" s="2">
        <v>45733</v>
      </c>
      <c r="G62" s="23">
        <v>246779411624</v>
      </c>
      <c r="H62" t="s">
        <v>13</v>
      </c>
      <c r="I62" s="3">
        <v>245.69</v>
      </c>
      <c r="J62" t="s">
        <v>4</v>
      </c>
      <c r="K62" s="3">
        <v>21299.18</v>
      </c>
      <c r="L62" t="s">
        <v>27</v>
      </c>
      <c r="M62">
        <f>VLOOKUP(G62,Sheet2!$D$3:$H$171,3,)</f>
        <v>20898</v>
      </c>
      <c r="N62" s="14">
        <f t="shared" si="1"/>
        <v>401.18000000000029</v>
      </c>
      <c r="O62" s="20">
        <f t="shared" si="2"/>
        <v>1.8835466905298717E-2</v>
      </c>
      <c r="Q62" s="26">
        <f>VLOOKUP(G62,'[1]TDS not in our Books'!$D:$H,5,0)</f>
        <v>426</v>
      </c>
      <c r="R62" s="35">
        <f t="shared" si="3"/>
        <v>20873.18</v>
      </c>
      <c r="S62">
        <f>VLOOKUP(D62,[2]Sheet1!$D:$S,16,0)</f>
        <v>1400000922</v>
      </c>
      <c r="T62">
        <f>VLOOKUP(D62,[2]Sheet1!$D:$T,17,0)</f>
        <v>20898</v>
      </c>
    </row>
    <row r="63" spans="1:20" outlineLevel="2" x14ac:dyDescent="0.25">
      <c r="A63" t="s">
        <v>0</v>
      </c>
      <c r="B63" t="s">
        <v>1</v>
      </c>
      <c r="C63" s="2">
        <v>45735</v>
      </c>
      <c r="D63" s="13">
        <v>1800003353</v>
      </c>
      <c r="E63" t="s">
        <v>14</v>
      </c>
      <c r="F63" s="2">
        <v>45735</v>
      </c>
      <c r="G63" s="23">
        <v>246779413220</v>
      </c>
      <c r="H63" t="s">
        <v>13</v>
      </c>
      <c r="I63" s="3">
        <v>26.04</v>
      </c>
      <c r="J63" t="s">
        <v>4</v>
      </c>
      <c r="K63" s="3">
        <v>2257.44</v>
      </c>
      <c r="L63" t="s">
        <v>136</v>
      </c>
      <c r="M63">
        <f>VLOOKUP(G63,Sheet2!$D$3:$H$171,3,)</f>
        <v>2207</v>
      </c>
      <c r="N63" s="14">
        <f t="shared" si="1"/>
        <v>50.440000000000055</v>
      </c>
      <c r="O63" s="20">
        <f t="shared" si="2"/>
        <v>2.2343893968388994E-2</v>
      </c>
      <c r="Q63" s="26">
        <f>VLOOKUP(G63,'[1]TDS not in our Books'!$D:$H,5,0)</f>
        <v>45</v>
      </c>
      <c r="R63" s="35">
        <f t="shared" si="3"/>
        <v>2212.44</v>
      </c>
      <c r="S63">
        <f>VLOOKUP(D63,[2]Sheet1!$D:$S,16,0)</f>
        <v>1400000922</v>
      </c>
      <c r="T63">
        <f>VLOOKUP(D63,[2]Sheet1!$D:$T,17,0)</f>
        <v>2207</v>
      </c>
    </row>
    <row r="64" spans="1:20" hidden="1" outlineLevel="2" x14ac:dyDescent="0.25">
      <c r="A64" t="s">
        <v>0</v>
      </c>
      <c r="B64" t="s">
        <v>1</v>
      </c>
      <c r="C64" s="2">
        <v>45947</v>
      </c>
      <c r="D64" s="13">
        <v>1600002475</v>
      </c>
      <c r="E64" t="s">
        <v>33</v>
      </c>
      <c r="F64" s="2">
        <v>45947</v>
      </c>
      <c r="G64" s="23">
        <v>256779422017</v>
      </c>
      <c r="H64" t="s">
        <v>13</v>
      </c>
      <c r="I64" s="3">
        <v>-156.08000000000001</v>
      </c>
      <c r="J64" t="s">
        <v>4</v>
      </c>
      <c r="K64" s="3">
        <v>-13764.82</v>
      </c>
      <c r="L64" t="s">
        <v>34</v>
      </c>
      <c r="M64" t="e">
        <f>VLOOKUP(G64,Sheet2!$D$3:$H$171,3,)</f>
        <v>#N/A</v>
      </c>
      <c r="Q64" s="26" t="e">
        <f>VLOOKUP(G64,'[1]TDS not in our Books'!$D:$H,5,0)</f>
        <v>#N/A</v>
      </c>
    </row>
    <row r="65" spans="1:20" outlineLevel="2" x14ac:dyDescent="0.25">
      <c r="A65" t="s">
        <v>0</v>
      </c>
      <c r="B65" t="s">
        <v>1</v>
      </c>
      <c r="C65" s="2">
        <v>45735</v>
      </c>
      <c r="D65" s="13">
        <v>1800003132</v>
      </c>
      <c r="E65" t="s">
        <v>14</v>
      </c>
      <c r="F65" s="2">
        <v>45735</v>
      </c>
      <c r="G65" s="23">
        <v>246779412999</v>
      </c>
      <c r="H65" t="s">
        <v>13</v>
      </c>
      <c r="I65" s="3">
        <v>186.08</v>
      </c>
      <c r="J65" t="s">
        <v>4</v>
      </c>
      <c r="K65" s="3">
        <v>16131.51</v>
      </c>
      <c r="L65" t="s">
        <v>135</v>
      </c>
      <c r="M65">
        <f>VLOOKUP(G65,Sheet2!$D$3:$H$171,3,)</f>
        <v>14486</v>
      </c>
      <c r="N65" s="14">
        <f t="shared" ref="N65:N112" si="4">K65-M65</f>
        <v>1645.5100000000002</v>
      </c>
      <c r="O65" s="20">
        <f t="shared" ref="O65:O112" si="5">N65/K65</f>
        <v>0.10200594984598467</v>
      </c>
      <c r="Q65" s="26">
        <f>VLOOKUP(G65,'[1]TDS not in our Books'!$D:$H,5,0)</f>
        <v>1610</v>
      </c>
      <c r="R65" s="35">
        <f t="shared" ref="R65:R112" si="6">K65-Q65</f>
        <v>14521.51</v>
      </c>
      <c r="S65">
        <f>VLOOKUP(D65,[2]Sheet1!$D:$S,16,0)</f>
        <v>1400000922</v>
      </c>
      <c r="T65">
        <f>VLOOKUP(D65,[2]Sheet1!$D:$T,17,0)</f>
        <v>14486</v>
      </c>
    </row>
    <row r="66" spans="1:20" outlineLevel="2" x14ac:dyDescent="0.25">
      <c r="A66" t="s">
        <v>0</v>
      </c>
      <c r="B66" t="s">
        <v>1</v>
      </c>
      <c r="C66" s="2">
        <v>45736</v>
      </c>
      <c r="D66" s="13">
        <v>1800004362</v>
      </c>
      <c r="E66" t="s">
        <v>14</v>
      </c>
      <c r="F66" s="2">
        <v>45736</v>
      </c>
      <c r="G66" s="23">
        <v>246779414230</v>
      </c>
      <c r="H66" t="s">
        <v>13</v>
      </c>
      <c r="I66" s="3">
        <v>1</v>
      </c>
      <c r="J66" t="s">
        <v>4</v>
      </c>
      <c r="K66" s="3">
        <v>86.69</v>
      </c>
      <c r="L66" t="s">
        <v>99</v>
      </c>
      <c r="M66">
        <f>VLOOKUP(G66,Sheet2!$D$3:$H$171,3,)</f>
        <v>84</v>
      </c>
      <c r="N66" s="14">
        <f t="shared" si="4"/>
        <v>2.6899999999999977</v>
      </c>
      <c r="O66" s="20">
        <f t="shared" si="5"/>
        <v>3.1030107278809525E-2</v>
      </c>
      <c r="Q66" s="26">
        <f>VLOOKUP(G66,'[1]TDS not in our Books'!$D:$H,5,0)</f>
        <v>2</v>
      </c>
      <c r="R66" s="35">
        <f t="shared" si="6"/>
        <v>84.69</v>
      </c>
      <c r="S66">
        <f>VLOOKUP(D66,[2]Sheet1!$D:$S,16,0)</f>
        <v>1400000922</v>
      </c>
      <c r="T66">
        <f>VLOOKUP(D66,[2]Sheet1!$D:$T,17,0)</f>
        <v>84</v>
      </c>
    </row>
    <row r="67" spans="1:20" outlineLevel="2" x14ac:dyDescent="0.25">
      <c r="A67" t="s">
        <v>0</v>
      </c>
      <c r="B67" t="s">
        <v>1</v>
      </c>
      <c r="C67" s="2">
        <v>45736</v>
      </c>
      <c r="D67" s="13">
        <v>1800004038</v>
      </c>
      <c r="E67" t="s">
        <v>14</v>
      </c>
      <c r="F67" s="2">
        <v>45736</v>
      </c>
      <c r="G67" s="23">
        <v>246779413894</v>
      </c>
      <c r="H67" t="s">
        <v>13</v>
      </c>
      <c r="I67" s="3">
        <v>2</v>
      </c>
      <c r="J67" t="s">
        <v>4</v>
      </c>
      <c r="K67" s="3">
        <v>173.38</v>
      </c>
      <c r="L67" t="s">
        <v>95</v>
      </c>
      <c r="M67">
        <f>VLOOKUP(G67,Sheet2!$D$3:$H$171,3,)</f>
        <v>170</v>
      </c>
      <c r="N67" s="14">
        <f t="shared" si="4"/>
        <v>3.3799999999999955</v>
      </c>
      <c r="O67" s="20">
        <f t="shared" si="5"/>
        <v>1.9494751413081067E-2</v>
      </c>
      <c r="Q67" s="26">
        <f>VLOOKUP(G67,'[1]TDS not in our Books'!$D:$H,5,0)</f>
        <v>3</v>
      </c>
      <c r="R67" s="35">
        <f t="shared" si="6"/>
        <v>170.38</v>
      </c>
      <c r="S67">
        <f>VLOOKUP(D67,[2]Sheet1!$D:$S,16,0)</f>
        <v>1400000922</v>
      </c>
      <c r="T67">
        <f>VLOOKUP(D67,[2]Sheet1!$D:$T,17,0)</f>
        <v>170</v>
      </c>
    </row>
    <row r="68" spans="1:20" outlineLevel="2" x14ac:dyDescent="0.25">
      <c r="A68" t="s">
        <v>0</v>
      </c>
      <c r="B68" t="s">
        <v>1</v>
      </c>
      <c r="C68" s="2">
        <v>45736</v>
      </c>
      <c r="D68" s="13">
        <v>1800004055</v>
      </c>
      <c r="E68" t="s">
        <v>14</v>
      </c>
      <c r="F68" s="2">
        <v>45736</v>
      </c>
      <c r="G68" s="23">
        <v>246779413911</v>
      </c>
      <c r="H68" t="s">
        <v>13</v>
      </c>
      <c r="I68" s="3">
        <v>1.99</v>
      </c>
      <c r="J68" t="s">
        <v>4</v>
      </c>
      <c r="K68" s="3">
        <v>172.52</v>
      </c>
      <c r="L68" t="s">
        <v>95</v>
      </c>
      <c r="M68">
        <f>VLOOKUP(G68,Sheet2!$D$3:$H$171,3,)</f>
        <v>169</v>
      </c>
      <c r="N68" s="14">
        <f t="shared" si="4"/>
        <v>3.5200000000000102</v>
      </c>
      <c r="O68" s="20">
        <f t="shared" si="5"/>
        <v>2.0403431486204555E-2</v>
      </c>
      <c r="Q68" s="26">
        <f>VLOOKUP(G68,'[1]TDS not in our Books'!$D:$H,5,0)</f>
        <v>3</v>
      </c>
      <c r="R68" s="35">
        <f t="shared" si="6"/>
        <v>169.52</v>
      </c>
      <c r="S68">
        <f>VLOOKUP(D68,[2]Sheet1!$D:$S,16,0)</f>
        <v>1400000922</v>
      </c>
      <c r="T68">
        <f>VLOOKUP(D68,[2]Sheet1!$D:$T,17,0)</f>
        <v>169</v>
      </c>
    </row>
    <row r="69" spans="1:20" outlineLevel="2" x14ac:dyDescent="0.25">
      <c r="A69" t="s">
        <v>0</v>
      </c>
      <c r="B69" t="s">
        <v>1</v>
      </c>
      <c r="C69" s="2">
        <v>45736</v>
      </c>
      <c r="D69" s="13">
        <v>1800004045</v>
      </c>
      <c r="E69" t="s">
        <v>14</v>
      </c>
      <c r="F69" s="2">
        <v>45736</v>
      </c>
      <c r="G69" s="23">
        <v>246779413901</v>
      </c>
      <c r="H69" t="s">
        <v>13</v>
      </c>
      <c r="I69" s="3">
        <v>1.75</v>
      </c>
      <c r="J69" t="s">
        <v>4</v>
      </c>
      <c r="K69" s="3">
        <v>151.71</v>
      </c>
      <c r="L69" t="s">
        <v>95</v>
      </c>
      <c r="M69">
        <f>VLOOKUP(G69,Sheet2!$D$3:$H$171,3,)</f>
        <v>148</v>
      </c>
      <c r="N69" s="14">
        <f t="shared" si="4"/>
        <v>3.710000000000008</v>
      </c>
      <c r="O69" s="20">
        <f t="shared" si="5"/>
        <v>2.4454551446839414E-2</v>
      </c>
      <c r="Q69" s="26">
        <f>VLOOKUP(G69,'[1]TDS not in our Books'!$D:$H,5,0)</f>
        <v>3</v>
      </c>
      <c r="R69" s="35">
        <f t="shared" si="6"/>
        <v>148.71</v>
      </c>
      <c r="S69">
        <f>VLOOKUP(D69,[2]Sheet1!$D:$S,16,0)</f>
        <v>1400000922</v>
      </c>
      <c r="T69">
        <f>VLOOKUP(D69,[2]Sheet1!$D:$T,17,0)</f>
        <v>148</v>
      </c>
    </row>
    <row r="70" spans="1:20" outlineLevel="2" x14ac:dyDescent="0.25">
      <c r="A70" t="s">
        <v>0</v>
      </c>
      <c r="B70" t="s">
        <v>1</v>
      </c>
      <c r="C70" s="2">
        <v>45736</v>
      </c>
      <c r="D70" s="13">
        <v>1800004037</v>
      </c>
      <c r="E70" t="s">
        <v>14</v>
      </c>
      <c r="F70" s="2">
        <v>45736</v>
      </c>
      <c r="G70" s="23">
        <v>246779413893</v>
      </c>
      <c r="H70" t="s">
        <v>13</v>
      </c>
      <c r="I70" s="3">
        <v>1.75</v>
      </c>
      <c r="J70" t="s">
        <v>4</v>
      </c>
      <c r="K70" s="3">
        <v>151.71</v>
      </c>
      <c r="L70" t="s">
        <v>95</v>
      </c>
      <c r="M70">
        <f>VLOOKUP(G70,Sheet2!$D$3:$H$171,3,)</f>
        <v>148</v>
      </c>
      <c r="N70" s="14">
        <f t="shared" si="4"/>
        <v>3.710000000000008</v>
      </c>
      <c r="O70" s="20">
        <f t="shared" si="5"/>
        <v>2.4454551446839414E-2</v>
      </c>
      <c r="Q70" s="26">
        <f>VLOOKUP(G70,'[1]TDS not in our Books'!$D:$H,5,0)</f>
        <v>3</v>
      </c>
      <c r="R70" s="35">
        <f t="shared" si="6"/>
        <v>148.71</v>
      </c>
      <c r="S70">
        <f>VLOOKUP(D70,[2]Sheet1!$D:$S,16,0)</f>
        <v>1400000922</v>
      </c>
      <c r="T70">
        <f>VLOOKUP(D70,[2]Sheet1!$D:$T,17,0)</f>
        <v>148</v>
      </c>
    </row>
    <row r="71" spans="1:20" outlineLevel="2" x14ac:dyDescent="0.25">
      <c r="A71" t="s">
        <v>0</v>
      </c>
      <c r="B71" t="s">
        <v>1</v>
      </c>
      <c r="C71" s="2">
        <v>45736</v>
      </c>
      <c r="D71" s="13">
        <v>1800004873</v>
      </c>
      <c r="E71" t="s">
        <v>14</v>
      </c>
      <c r="F71" s="2">
        <v>45736</v>
      </c>
      <c r="G71" s="23">
        <v>246779414741</v>
      </c>
      <c r="H71" t="s">
        <v>13</v>
      </c>
      <c r="I71" s="3">
        <v>1.97</v>
      </c>
      <c r="J71" t="s">
        <v>4</v>
      </c>
      <c r="K71" s="3">
        <v>170.78</v>
      </c>
      <c r="L71" t="s">
        <v>105</v>
      </c>
      <c r="M71">
        <f>VLOOKUP(G71,Sheet2!$D$3:$H$171,3,)</f>
        <v>167</v>
      </c>
      <c r="N71" s="14">
        <f t="shared" si="4"/>
        <v>3.7800000000000011</v>
      </c>
      <c r="O71" s="20">
        <f t="shared" si="5"/>
        <v>2.2133739313736977E-2</v>
      </c>
      <c r="Q71" s="26">
        <f>VLOOKUP(G71,'[1]TDS not in our Books'!$D:$H,5,0)</f>
        <v>3</v>
      </c>
      <c r="R71" s="35">
        <f t="shared" si="6"/>
        <v>167.78</v>
      </c>
      <c r="S71">
        <f>VLOOKUP(D71,[2]Sheet1!$D:$S,16,0)</f>
        <v>1400000922</v>
      </c>
      <c r="T71">
        <f>VLOOKUP(D71,[2]Sheet1!$D:$T,17,0)</f>
        <v>167</v>
      </c>
    </row>
    <row r="72" spans="1:20" outlineLevel="2" x14ac:dyDescent="0.25">
      <c r="A72" t="s">
        <v>0</v>
      </c>
      <c r="B72" t="s">
        <v>1</v>
      </c>
      <c r="C72" s="2">
        <v>45736</v>
      </c>
      <c r="D72" s="13">
        <v>1800005034</v>
      </c>
      <c r="E72" t="s">
        <v>14</v>
      </c>
      <c r="F72" s="2">
        <v>45736</v>
      </c>
      <c r="G72" s="23">
        <v>246779414902</v>
      </c>
      <c r="H72" t="s">
        <v>13</v>
      </c>
      <c r="I72" s="3">
        <v>3.52</v>
      </c>
      <c r="J72" t="s">
        <v>4</v>
      </c>
      <c r="K72" s="3">
        <v>305.14999999999998</v>
      </c>
      <c r="L72" t="s">
        <v>104</v>
      </c>
      <c r="M72">
        <f>VLOOKUP(G72,Sheet2!$D$3:$H$171,3,)</f>
        <v>298</v>
      </c>
      <c r="N72" s="14">
        <f t="shared" si="4"/>
        <v>7.1499999999999773</v>
      </c>
      <c r="O72" s="20">
        <f t="shared" si="5"/>
        <v>2.3431099459282248E-2</v>
      </c>
      <c r="Q72" s="26">
        <f>VLOOKUP(G72,'[1]TDS not in our Books'!$D:$H,5,0)</f>
        <v>6</v>
      </c>
      <c r="R72" s="35">
        <f t="shared" si="6"/>
        <v>299.14999999999998</v>
      </c>
      <c r="S72">
        <f>VLOOKUP(D72,[2]Sheet1!$D:$S,16,0)</f>
        <v>1400000922</v>
      </c>
      <c r="T72">
        <f>VLOOKUP(D72,[2]Sheet1!$D:$T,17,0)</f>
        <v>298</v>
      </c>
    </row>
    <row r="73" spans="1:20" outlineLevel="2" x14ac:dyDescent="0.25">
      <c r="A73" t="s">
        <v>0</v>
      </c>
      <c r="B73" t="s">
        <v>1</v>
      </c>
      <c r="C73" s="2">
        <v>45736</v>
      </c>
      <c r="D73" s="13">
        <v>1800004605</v>
      </c>
      <c r="E73" t="s">
        <v>14</v>
      </c>
      <c r="F73" s="2">
        <v>45736</v>
      </c>
      <c r="G73" s="23">
        <v>246779414473</v>
      </c>
      <c r="H73" t="s">
        <v>13</v>
      </c>
      <c r="I73" s="3">
        <v>6.38</v>
      </c>
      <c r="J73" t="s">
        <v>4</v>
      </c>
      <c r="K73" s="3">
        <v>553.09</v>
      </c>
      <c r="L73" t="s">
        <v>102</v>
      </c>
      <c r="M73">
        <f>VLOOKUP(G73,Sheet2!$D$3:$H$171,3,)</f>
        <v>540</v>
      </c>
      <c r="N73" s="14">
        <f t="shared" si="4"/>
        <v>13.090000000000032</v>
      </c>
      <c r="O73" s="20">
        <f t="shared" si="5"/>
        <v>2.3667034298215536E-2</v>
      </c>
      <c r="Q73" s="26">
        <f>VLOOKUP(G73,'[1]TDS not in our Books'!$D:$H,5,0)</f>
        <v>11</v>
      </c>
      <c r="R73" s="35">
        <f t="shared" si="6"/>
        <v>542.09</v>
      </c>
      <c r="S73">
        <f>VLOOKUP(D73,[2]Sheet1!$D:$S,16,0)</f>
        <v>1400000922</v>
      </c>
      <c r="T73">
        <f>VLOOKUP(D73,[2]Sheet1!$D:$T,17,0)</f>
        <v>540</v>
      </c>
    </row>
    <row r="74" spans="1:20" outlineLevel="2" x14ac:dyDescent="0.25">
      <c r="A74" t="s">
        <v>0</v>
      </c>
      <c r="B74" t="s">
        <v>1</v>
      </c>
      <c r="C74" s="2">
        <v>45736</v>
      </c>
      <c r="D74" s="13">
        <v>1800005033</v>
      </c>
      <c r="E74" t="s">
        <v>14</v>
      </c>
      <c r="F74" s="2">
        <v>45736</v>
      </c>
      <c r="G74" s="23">
        <v>246779414901</v>
      </c>
      <c r="H74" t="s">
        <v>13</v>
      </c>
      <c r="I74" s="3">
        <v>6.13</v>
      </c>
      <c r="J74" t="s">
        <v>4</v>
      </c>
      <c r="K74" s="3">
        <v>531.41999999999996</v>
      </c>
      <c r="L74" t="s">
        <v>104</v>
      </c>
      <c r="M74">
        <f>VLOOKUP(G74,Sheet2!$D$3:$H$171,3,)</f>
        <v>518</v>
      </c>
      <c r="N74" s="14">
        <f t="shared" si="4"/>
        <v>13.419999999999959</v>
      </c>
      <c r="O74" s="20">
        <f t="shared" si="5"/>
        <v>2.525309548003455E-2</v>
      </c>
      <c r="Q74" s="26">
        <f>VLOOKUP(G74,'[1]TDS not in our Books'!$D:$H,5,0)</f>
        <v>11</v>
      </c>
      <c r="R74" s="35">
        <f t="shared" si="6"/>
        <v>520.41999999999996</v>
      </c>
      <c r="S74">
        <f>VLOOKUP(D74,[2]Sheet1!$D:$S,16,0)</f>
        <v>1400000922</v>
      </c>
      <c r="T74">
        <f>VLOOKUP(D74,[2]Sheet1!$D:$T,17,0)</f>
        <v>518</v>
      </c>
    </row>
    <row r="75" spans="1:20" outlineLevel="2" x14ac:dyDescent="0.25">
      <c r="A75" t="s">
        <v>0</v>
      </c>
      <c r="B75" t="s">
        <v>1</v>
      </c>
      <c r="C75" s="2">
        <v>45736</v>
      </c>
      <c r="D75" s="13">
        <v>1800004742</v>
      </c>
      <c r="E75" t="s">
        <v>14</v>
      </c>
      <c r="F75" s="2">
        <v>45736</v>
      </c>
      <c r="G75" s="23">
        <v>246779414610</v>
      </c>
      <c r="H75" t="s">
        <v>13</v>
      </c>
      <c r="I75" s="3">
        <v>7</v>
      </c>
      <c r="J75" t="s">
        <v>4</v>
      </c>
      <c r="K75" s="3">
        <v>606.84</v>
      </c>
      <c r="L75" t="s">
        <v>106</v>
      </c>
      <c r="M75">
        <f>VLOOKUP(G75,Sheet2!$D$3:$H$171,3,)</f>
        <v>592</v>
      </c>
      <c r="N75" s="14">
        <f t="shared" si="4"/>
        <v>14.840000000000032</v>
      </c>
      <c r="O75" s="20">
        <f t="shared" si="5"/>
        <v>2.4454551446839414E-2</v>
      </c>
      <c r="Q75" s="26">
        <f>VLOOKUP(G75,'[1]TDS not in our Books'!$D:$H,5,0)</f>
        <v>12</v>
      </c>
      <c r="R75" s="35">
        <f t="shared" si="6"/>
        <v>594.84</v>
      </c>
      <c r="S75">
        <f>VLOOKUP(D75,[2]Sheet1!$D:$S,16,0)</f>
        <v>1400000922</v>
      </c>
      <c r="T75">
        <f>VLOOKUP(D75,[2]Sheet1!$D:$T,17,0)</f>
        <v>592</v>
      </c>
    </row>
    <row r="76" spans="1:20" outlineLevel="2" x14ac:dyDescent="0.25">
      <c r="A76" t="s">
        <v>0</v>
      </c>
      <c r="B76" t="s">
        <v>1</v>
      </c>
      <c r="C76" s="2">
        <v>45736</v>
      </c>
      <c r="D76" s="13">
        <v>1800004361</v>
      </c>
      <c r="E76" t="s">
        <v>14</v>
      </c>
      <c r="F76" s="2">
        <v>45736</v>
      </c>
      <c r="G76" s="23">
        <v>246779414229</v>
      </c>
      <c r="H76" t="s">
        <v>13</v>
      </c>
      <c r="I76" s="3">
        <v>9.1</v>
      </c>
      <c r="J76" t="s">
        <v>4</v>
      </c>
      <c r="K76" s="3">
        <v>788.89</v>
      </c>
      <c r="L76" t="s">
        <v>98</v>
      </c>
      <c r="M76">
        <f>VLOOKUP(G76,Sheet2!$D$3:$H$171,3,)</f>
        <v>769</v>
      </c>
      <c r="N76" s="14">
        <f t="shared" si="4"/>
        <v>19.889999999999986</v>
      </c>
      <c r="O76" s="20">
        <f t="shared" si="5"/>
        <v>2.5212640545576679E-2</v>
      </c>
      <c r="Q76" s="26">
        <f>VLOOKUP(G76,'[1]TDS not in our Books'!$D:$H,5,0)</f>
        <v>16</v>
      </c>
      <c r="R76" s="35">
        <f t="shared" si="6"/>
        <v>772.89</v>
      </c>
      <c r="S76">
        <f>VLOOKUP(D76,[2]Sheet1!$D:$S,16,0)</f>
        <v>1400000922</v>
      </c>
      <c r="T76">
        <f>VLOOKUP(D76,[2]Sheet1!$D:$T,17,0)</f>
        <v>769</v>
      </c>
    </row>
    <row r="77" spans="1:20" outlineLevel="2" x14ac:dyDescent="0.25">
      <c r="A77" t="s">
        <v>0</v>
      </c>
      <c r="B77" t="s">
        <v>1</v>
      </c>
      <c r="C77" s="2">
        <v>45736</v>
      </c>
      <c r="D77" s="13">
        <v>1800004820</v>
      </c>
      <c r="E77" t="s">
        <v>14</v>
      </c>
      <c r="F77" s="2">
        <v>45736</v>
      </c>
      <c r="G77" s="23">
        <v>246779414688</v>
      </c>
      <c r="H77" t="s">
        <v>13</v>
      </c>
      <c r="I77" s="3">
        <v>9.9</v>
      </c>
      <c r="J77" t="s">
        <v>4</v>
      </c>
      <c r="K77" s="3">
        <v>858.24</v>
      </c>
      <c r="L77" t="s">
        <v>107</v>
      </c>
      <c r="M77">
        <f>VLOOKUP(G77,Sheet2!$D$3:$H$171,3,)</f>
        <v>837</v>
      </c>
      <c r="N77" s="14">
        <f t="shared" si="4"/>
        <v>21.240000000000009</v>
      </c>
      <c r="O77" s="20">
        <f t="shared" si="5"/>
        <v>2.4748322147651016E-2</v>
      </c>
      <c r="Q77" s="26">
        <f>VLOOKUP(G77,'[1]TDS not in our Books'!$D:$H,5,0)</f>
        <v>17</v>
      </c>
      <c r="R77" s="35">
        <f t="shared" si="6"/>
        <v>841.24</v>
      </c>
      <c r="S77">
        <f>VLOOKUP(D77,[2]Sheet1!$D:$S,16,0)</f>
        <v>1400000922</v>
      </c>
      <c r="T77">
        <f>VLOOKUP(D77,[2]Sheet1!$D:$T,17,0)</f>
        <v>837</v>
      </c>
    </row>
    <row r="78" spans="1:20" outlineLevel="2" x14ac:dyDescent="0.25">
      <c r="A78" t="s">
        <v>0</v>
      </c>
      <c r="B78" t="s">
        <v>1</v>
      </c>
      <c r="C78" s="2">
        <v>45736</v>
      </c>
      <c r="D78" s="13">
        <v>1800004534</v>
      </c>
      <c r="E78" t="s">
        <v>14</v>
      </c>
      <c r="F78" s="2">
        <v>45736</v>
      </c>
      <c r="G78" s="23">
        <v>246779414402</v>
      </c>
      <c r="H78" t="s">
        <v>13</v>
      </c>
      <c r="I78" s="3">
        <v>10.5</v>
      </c>
      <c r="J78" t="s">
        <v>4</v>
      </c>
      <c r="K78" s="3">
        <v>910.26</v>
      </c>
      <c r="L78" t="s">
        <v>100</v>
      </c>
      <c r="M78">
        <f>VLOOKUP(G78,Sheet2!$D$3:$H$171,3,)</f>
        <v>888</v>
      </c>
      <c r="N78" s="14">
        <f t="shared" si="4"/>
        <v>22.259999999999991</v>
      </c>
      <c r="O78" s="20">
        <f t="shared" si="5"/>
        <v>2.4454551446839355E-2</v>
      </c>
      <c r="Q78" s="26">
        <f>VLOOKUP(G78,'[1]TDS not in our Books'!$D:$H,5,0)</f>
        <v>18</v>
      </c>
      <c r="R78" s="35">
        <f t="shared" si="6"/>
        <v>892.26</v>
      </c>
      <c r="S78">
        <f>VLOOKUP(D78,[2]Sheet1!$D:$S,16,0)</f>
        <v>1400000922</v>
      </c>
      <c r="T78">
        <f>VLOOKUP(D78,[2]Sheet1!$D:$T,17,0)</f>
        <v>888</v>
      </c>
    </row>
    <row r="79" spans="1:20" outlineLevel="2" x14ac:dyDescent="0.25">
      <c r="A79" t="s">
        <v>0</v>
      </c>
      <c r="B79" t="s">
        <v>1</v>
      </c>
      <c r="C79" s="2">
        <v>45736</v>
      </c>
      <c r="D79" s="13">
        <v>1800004282</v>
      </c>
      <c r="E79" t="s">
        <v>14</v>
      </c>
      <c r="F79" s="2">
        <v>45736</v>
      </c>
      <c r="G79" s="23">
        <v>246779414150</v>
      </c>
      <c r="H79" t="s">
        <v>13</v>
      </c>
      <c r="I79" s="3">
        <v>12.25</v>
      </c>
      <c r="J79" t="s">
        <v>4</v>
      </c>
      <c r="K79" s="3">
        <v>1061.97</v>
      </c>
      <c r="L79" t="s">
        <v>16</v>
      </c>
      <c r="M79">
        <f>VLOOKUP(G79,Sheet2!$D$3:$H$171,3,)</f>
        <v>1036</v>
      </c>
      <c r="N79" s="14">
        <f t="shared" si="4"/>
        <v>25.970000000000027</v>
      </c>
      <c r="O79" s="20">
        <f t="shared" si="5"/>
        <v>2.445455144683939E-2</v>
      </c>
      <c r="Q79" s="26">
        <f>VLOOKUP(G79,'[1]TDS not in our Books'!$D:$H,5,0)</f>
        <v>21</v>
      </c>
      <c r="R79" s="35">
        <f t="shared" si="6"/>
        <v>1040.97</v>
      </c>
      <c r="S79">
        <f>VLOOKUP(D79,[2]Sheet1!$D:$S,16,0)</f>
        <v>1400000922</v>
      </c>
      <c r="T79">
        <f>VLOOKUP(D79,[2]Sheet1!$D:$T,17,0)</f>
        <v>1036</v>
      </c>
    </row>
    <row r="80" spans="1:20" outlineLevel="2" x14ac:dyDescent="0.25">
      <c r="A80" t="s">
        <v>0</v>
      </c>
      <c r="B80" t="s">
        <v>1</v>
      </c>
      <c r="C80" s="2">
        <v>45736</v>
      </c>
      <c r="D80" s="13">
        <v>1800004283</v>
      </c>
      <c r="E80" t="s">
        <v>14</v>
      </c>
      <c r="F80" s="2">
        <v>45736</v>
      </c>
      <c r="G80" s="23">
        <v>246779414151</v>
      </c>
      <c r="H80" t="s">
        <v>13</v>
      </c>
      <c r="I80" s="3">
        <v>15</v>
      </c>
      <c r="J80" t="s">
        <v>4</v>
      </c>
      <c r="K80" s="3">
        <v>1300.3699999999999</v>
      </c>
      <c r="L80" t="s">
        <v>97</v>
      </c>
      <c r="M80">
        <f>VLOOKUP(G80,Sheet2!$D$3:$H$171,3,)</f>
        <v>1269</v>
      </c>
      <c r="N80" s="14">
        <f t="shared" si="4"/>
        <v>31.369999999999891</v>
      </c>
      <c r="O80" s="20">
        <f t="shared" si="5"/>
        <v>2.4123903196782374E-2</v>
      </c>
      <c r="Q80" s="26">
        <f>VLOOKUP(G80,'[1]TDS not in our Books'!$D:$H,5,0)</f>
        <v>26</v>
      </c>
      <c r="R80" s="35">
        <f t="shared" si="6"/>
        <v>1274.3699999999999</v>
      </c>
      <c r="S80">
        <f>VLOOKUP(D80,[2]Sheet1!$D:$S,16,0)</f>
        <v>1400000922</v>
      </c>
      <c r="T80">
        <f>VLOOKUP(D80,[2]Sheet1!$D:$T,17,0)</f>
        <v>1269</v>
      </c>
    </row>
    <row r="81" spans="1:20" outlineLevel="2" x14ac:dyDescent="0.25">
      <c r="A81" t="s">
        <v>0</v>
      </c>
      <c r="B81" t="s">
        <v>1</v>
      </c>
      <c r="C81" s="2">
        <v>45736</v>
      </c>
      <c r="D81" s="13">
        <v>1800004535</v>
      </c>
      <c r="E81" t="s">
        <v>14</v>
      </c>
      <c r="F81" s="2">
        <v>45736</v>
      </c>
      <c r="G81" s="23">
        <v>246779414403</v>
      </c>
      <c r="H81" t="s">
        <v>13</v>
      </c>
      <c r="I81" s="3">
        <v>15</v>
      </c>
      <c r="J81" t="s">
        <v>4</v>
      </c>
      <c r="K81" s="3">
        <v>1300.3699999999999</v>
      </c>
      <c r="L81" t="s">
        <v>101</v>
      </c>
      <c r="M81">
        <f>VLOOKUP(G81,Sheet2!$D$3:$H$171,3,)</f>
        <v>1269</v>
      </c>
      <c r="N81" s="14">
        <f t="shared" si="4"/>
        <v>31.369999999999891</v>
      </c>
      <c r="O81" s="20">
        <f t="shared" si="5"/>
        <v>2.4123903196782374E-2</v>
      </c>
      <c r="Q81" s="26">
        <f>VLOOKUP(G81,'[1]TDS not in our Books'!$D:$H,5,0)</f>
        <v>26</v>
      </c>
      <c r="R81" s="35">
        <f t="shared" si="6"/>
        <v>1274.3699999999999</v>
      </c>
      <c r="S81">
        <f>VLOOKUP(D81,[2]Sheet1!$D:$S,16,0)</f>
        <v>1400000922</v>
      </c>
      <c r="T81">
        <f>VLOOKUP(D81,[2]Sheet1!$D:$T,17,0)</f>
        <v>1269</v>
      </c>
    </row>
    <row r="82" spans="1:20" outlineLevel="2" x14ac:dyDescent="0.25">
      <c r="A82" t="s">
        <v>0</v>
      </c>
      <c r="B82" t="s">
        <v>1</v>
      </c>
      <c r="C82" s="2">
        <v>45736</v>
      </c>
      <c r="D82" s="13">
        <v>1800004057</v>
      </c>
      <c r="E82" t="s">
        <v>14</v>
      </c>
      <c r="F82" s="2">
        <v>45736</v>
      </c>
      <c r="G82" s="23">
        <v>246779413913</v>
      </c>
      <c r="H82" t="s">
        <v>13</v>
      </c>
      <c r="I82" s="3">
        <v>14.8</v>
      </c>
      <c r="J82" t="s">
        <v>4</v>
      </c>
      <c r="K82" s="3">
        <v>1283.03</v>
      </c>
      <c r="L82" t="s">
        <v>95</v>
      </c>
      <c r="M82">
        <f>VLOOKUP(G82,Sheet2!$D$3:$H$171,3,)</f>
        <v>1251</v>
      </c>
      <c r="N82" s="14">
        <f t="shared" si="4"/>
        <v>32.029999999999973</v>
      </c>
      <c r="O82" s="20">
        <f t="shared" si="5"/>
        <v>2.4964342221148354E-2</v>
      </c>
      <c r="Q82" s="26">
        <f>VLOOKUP(G82,'[1]TDS not in our Books'!$D:$H,5,0)</f>
        <v>26</v>
      </c>
      <c r="R82" s="35">
        <f t="shared" si="6"/>
        <v>1257.03</v>
      </c>
      <c r="S82">
        <f>VLOOKUP(D82,[2]Sheet1!$D:$S,16,0)</f>
        <v>1400000922</v>
      </c>
      <c r="T82">
        <f>VLOOKUP(D82,[2]Sheet1!$D:$T,17,0)</f>
        <v>1251</v>
      </c>
    </row>
    <row r="83" spans="1:20" outlineLevel="2" x14ac:dyDescent="0.25">
      <c r="A83" t="s">
        <v>0</v>
      </c>
      <c r="B83" t="s">
        <v>1</v>
      </c>
      <c r="C83" s="2">
        <v>45736</v>
      </c>
      <c r="D83" s="13">
        <v>1800004604</v>
      </c>
      <c r="E83" t="s">
        <v>14</v>
      </c>
      <c r="F83" s="2">
        <v>45736</v>
      </c>
      <c r="G83" s="23">
        <v>246779414472</v>
      </c>
      <c r="H83" t="s">
        <v>13</v>
      </c>
      <c r="I83" s="3">
        <v>18.170000000000002</v>
      </c>
      <c r="J83" t="s">
        <v>4</v>
      </c>
      <c r="K83" s="3">
        <v>1575.18</v>
      </c>
      <c r="L83" t="s">
        <v>96</v>
      </c>
      <c r="M83">
        <f>VLOOKUP(G83,Sheet2!$D$3:$H$171,3,)</f>
        <v>1537</v>
      </c>
      <c r="N83" s="14">
        <f t="shared" si="4"/>
        <v>38.180000000000064</v>
      </c>
      <c r="O83" s="20">
        <f t="shared" si="5"/>
        <v>2.4238499727015365E-2</v>
      </c>
      <c r="Q83" s="26">
        <f>VLOOKUP(G83,'[1]TDS not in our Books'!$D:$H,5,0)</f>
        <v>31</v>
      </c>
      <c r="R83" s="35">
        <f t="shared" si="6"/>
        <v>1544.18</v>
      </c>
      <c r="S83">
        <f>VLOOKUP(D83,[2]Sheet1!$D:$S,16,0)</f>
        <v>1400000922</v>
      </c>
      <c r="T83">
        <f>VLOOKUP(D83,[2]Sheet1!$D:$T,17,0)</f>
        <v>1537</v>
      </c>
    </row>
    <row r="84" spans="1:20" outlineLevel="2" x14ac:dyDescent="0.25">
      <c r="A84" t="s">
        <v>0</v>
      </c>
      <c r="B84" t="s">
        <v>1</v>
      </c>
      <c r="C84" s="2">
        <v>45736</v>
      </c>
      <c r="D84" s="13">
        <v>1800004198</v>
      </c>
      <c r="E84" t="s">
        <v>14</v>
      </c>
      <c r="F84" s="2">
        <v>45736</v>
      </c>
      <c r="G84" s="23">
        <v>246779414066</v>
      </c>
      <c r="H84" t="s">
        <v>13</v>
      </c>
      <c r="I84" s="3">
        <v>21.13</v>
      </c>
      <c r="J84" t="s">
        <v>4</v>
      </c>
      <c r="K84" s="3">
        <v>1831.79</v>
      </c>
      <c r="L84" t="s">
        <v>96</v>
      </c>
      <c r="M84">
        <f>VLOOKUP(G84,Sheet2!$D$3:$H$171,3,)</f>
        <v>1788</v>
      </c>
      <c r="N84" s="14">
        <f t="shared" si="4"/>
        <v>43.789999999999964</v>
      </c>
      <c r="O84" s="20">
        <f t="shared" si="5"/>
        <v>2.3905578696247914E-2</v>
      </c>
      <c r="Q84" s="26">
        <f>VLOOKUP(G84,'[1]TDS not in our Books'!$D:$H,5,0)</f>
        <v>36</v>
      </c>
      <c r="R84" s="35">
        <f t="shared" si="6"/>
        <v>1795.79</v>
      </c>
      <c r="S84">
        <f>VLOOKUP(D84,[2]Sheet1!$D:$S,16,0)</f>
        <v>1400000922</v>
      </c>
      <c r="T84">
        <f>VLOOKUP(D84,[2]Sheet1!$D:$T,17,0)</f>
        <v>1788</v>
      </c>
    </row>
    <row r="85" spans="1:20" outlineLevel="2" x14ac:dyDescent="0.25">
      <c r="A85" t="s">
        <v>0</v>
      </c>
      <c r="B85" t="s">
        <v>1</v>
      </c>
      <c r="C85" s="2">
        <v>45736</v>
      </c>
      <c r="D85" s="13">
        <v>1800005031</v>
      </c>
      <c r="E85" t="s">
        <v>14</v>
      </c>
      <c r="F85" s="2">
        <v>45736</v>
      </c>
      <c r="G85" s="23">
        <v>246779414899</v>
      </c>
      <c r="H85" t="s">
        <v>13</v>
      </c>
      <c r="I85" s="3">
        <v>51.6</v>
      </c>
      <c r="J85" t="s">
        <v>4</v>
      </c>
      <c r="K85" s="3">
        <v>4473.2700000000004</v>
      </c>
      <c r="L85" t="s">
        <v>104</v>
      </c>
      <c r="M85">
        <f>VLOOKUP(G85,Sheet2!$D$3:$H$171,3,)</f>
        <v>4384</v>
      </c>
      <c r="N85" s="14">
        <f t="shared" si="4"/>
        <v>89.270000000000437</v>
      </c>
      <c r="O85" s="20">
        <f t="shared" si="5"/>
        <v>1.9956318308530546E-2</v>
      </c>
      <c r="Q85" s="26">
        <f>VLOOKUP(G85,'[1]TDS not in our Books'!$D:$H,5,0)</f>
        <v>89</v>
      </c>
      <c r="R85" s="35">
        <f t="shared" si="6"/>
        <v>4384.2700000000004</v>
      </c>
      <c r="S85">
        <f>VLOOKUP(D85,[2]Sheet1!$D:$S,16,0)</f>
        <v>1400000922</v>
      </c>
      <c r="T85">
        <f>VLOOKUP(D85,[2]Sheet1!$D:$T,17,0)</f>
        <v>4384</v>
      </c>
    </row>
    <row r="86" spans="1:20" outlineLevel="2" x14ac:dyDescent="0.25">
      <c r="A86" t="s">
        <v>0</v>
      </c>
      <c r="B86" t="s">
        <v>1</v>
      </c>
      <c r="C86" s="2">
        <v>45736</v>
      </c>
      <c r="D86" s="13">
        <v>1800005028</v>
      </c>
      <c r="E86" t="s">
        <v>14</v>
      </c>
      <c r="F86" s="2">
        <v>45736</v>
      </c>
      <c r="G86" s="23">
        <v>246779414896</v>
      </c>
      <c r="H86" t="s">
        <v>13</v>
      </c>
      <c r="I86" s="3">
        <v>43</v>
      </c>
      <c r="J86" t="s">
        <v>4</v>
      </c>
      <c r="K86" s="3">
        <v>3727.72</v>
      </c>
      <c r="L86" t="s">
        <v>104</v>
      </c>
      <c r="M86">
        <f>VLOOKUP(G86,Sheet2!$D$3:$H$171,3,)</f>
        <v>3637</v>
      </c>
      <c r="N86" s="14">
        <f t="shared" si="4"/>
        <v>90.7199999999998</v>
      </c>
      <c r="O86" s="20">
        <f t="shared" si="5"/>
        <v>2.4336591804105405E-2</v>
      </c>
      <c r="Q86" s="26">
        <f>VLOOKUP(G86,'[1]TDS not in our Books'!$D:$H,5,0)</f>
        <v>74</v>
      </c>
      <c r="R86" s="35">
        <f t="shared" si="6"/>
        <v>3653.72</v>
      </c>
      <c r="S86">
        <f>VLOOKUP(D86,[2]Sheet1!$D:$S,16,0)</f>
        <v>1400000922</v>
      </c>
      <c r="T86">
        <f>VLOOKUP(D86,[2]Sheet1!$D:$T,17,0)</f>
        <v>3637</v>
      </c>
    </row>
    <row r="87" spans="1:20" outlineLevel="2" x14ac:dyDescent="0.25">
      <c r="A87" t="s">
        <v>0</v>
      </c>
      <c r="B87" t="s">
        <v>1</v>
      </c>
      <c r="C87" s="2">
        <v>45736</v>
      </c>
      <c r="D87" s="13">
        <v>1800005029</v>
      </c>
      <c r="E87" t="s">
        <v>14</v>
      </c>
      <c r="F87" s="2">
        <v>45736</v>
      </c>
      <c r="G87" s="23">
        <v>246779414897</v>
      </c>
      <c r="H87" t="s">
        <v>13</v>
      </c>
      <c r="I87" s="3">
        <v>47.3</v>
      </c>
      <c r="J87" t="s">
        <v>4</v>
      </c>
      <c r="K87" s="3">
        <v>4100.5</v>
      </c>
      <c r="L87" t="s">
        <v>104</v>
      </c>
      <c r="M87">
        <f>VLOOKUP(G87,Sheet2!$D$3:$H$171,3,)</f>
        <v>4000</v>
      </c>
      <c r="N87" s="14">
        <f t="shared" si="4"/>
        <v>100.5</v>
      </c>
      <c r="O87" s="20">
        <f t="shared" si="5"/>
        <v>2.4509206194366542E-2</v>
      </c>
      <c r="Q87" s="26">
        <f>VLOOKUP(G87,'[1]TDS not in our Books'!$D:$H,5,0)</f>
        <v>82</v>
      </c>
      <c r="R87" s="35">
        <f t="shared" si="6"/>
        <v>4018.5</v>
      </c>
      <c r="S87">
        <f>VLOOKUP(D87,[2]Sheet1!$D:$S,16,0)</f>
        <v>1400000922</v>
      </c>
      <c r="T87">
        <f>VLOOKUP(D87,[2]Sheet1!$D:$T,17,0)</f>
        <v>4000</v>
      </c>
    </row>
    <row r="88" spans="1:20" outlineLevel="2" x14ac:dyDescent="0.25">
      <c r="A88" t="s">
        <v>0</v>
      </c>
      <c r="B88" t="s">
        <v>1</v>
      </c>
      <c r="C88" s="2">
        <v>45736</v>
      </c>
      <c r="D88" s="13">
        <v>1800004821</v>
      </c>
      <c r="E88" t="s">
        <v>14</v>
      </c>
      <c r="F88" s="2">
        <v>45736</v>
      </c>
      <c r="G88" s="23">
        <v>246779414689</v>
      </c>
      <c r="H88" t="s">
        <v>13</v>
      </c>
      <c r="I88" s="3">
        <v>50.75</v>
      </c>
      <c r="J88" t="s">
        <v>4</v>
      </c>
      <c r="K88" s="3">
        <v>4399.58</v>
      </c>
      <c r="L88" t="s">
        <v>108</v>
      </c>
      <c r="M88">
        <f>VLOOKUP(G88,Sheet2!$D$3:$H$171,3,)</f>
        <v>4292</v>
      </c>
      <c r="N88" s="14">
        <f t="shared" si="4"/>
        <v>107.57999999999993</v>
      </c>
      <c r="O88" s="20">
        <f t="shared" si="5"/>
        <v>2.4452334086435507E-2</v>
      </c>
      <c r="Q88" s="26">
        <f>VLOOKUP(G88,'[1]TDS not in our Books'!$D:$H,5,0)</f>
        <v>88</v>
      </c>
      <c r="R88" s="35">
        <f t="shared" si="6"/>
        <v>4311.58</v>
      </c>
      <c r="S88">
        <f>VLOOKUP(D88,[2]Sheet1!$D:$S,16,0)</f>
        <v>1400000922</v>
      </c>
      <c r="T88">
        <f>VLOOKUP(D88,[2]Sheet1!$D:$T,17,0)</f>
        <v>4292</v>
      </c>
    </row>
    <row r="89" spans="1:20" outlineLevel="2" x14ac:dyDescent="0.25">
      <c r="A89" t="s">
        <v>0</v>
      </c>
      <c r="B89" t="s">
        <v>1</v>
      </c>
      <c r="C89" s="2">
        <v>45736</v>
      </c>
      <c r="D89" s="13">
        <v>1800005032</v>
      </c>
      <c r="E89" t="s">
        <v>14</v>
      </c>
      <c r="F89" s="2">
        <v>45736</v>
      </c>
      <c r="G89" s="23">
        <v>246779414900</v>
      </c>
      <c r="H89" t="s">
        <v>13</v>
      </c>
      <c r="I89" s="3">
        <v>51.6</v>
      </c>
      <c r="J89" t="s">
        <v>4</v>
      </c>
      <c r="K89" s="3">
        <v>4473.2700000000004</v>
      </c>
      <c r="L89" t="s">
        <v>104</v>
      </c>
      <c r="M89">
        <f>VLOOKUP(G89,Sheet2!$D$3:$H$171,3,)</f>
        <v>4364</v>
      </c>
      <c r="N89" s="14">
        <f t="shared" si="4"/>
        <v>109.27000000000044</v>
      </c>
      <c r="O89" s="20">
        <f t="shared" si="5"/>
        <v>2.4427320506028125E-2</v>
      </c>
      <c r="Q89" s="26">
        <f>VLOOKUP(G89,'[1]TDS not in our Books'!$D:$H,5,0)</f>
        <v>89</v>
      </c>
      <c r="R89" s="35">
        <f t="shared" si="6"/>
        <v>4384.2700000000004</v>
      </c>
      <c r="S89">
        <f>VLOOKUP(D89,[2]Sheet1!$D:$S,16,0)</f>
        <v>1400000922</v>
      </c>
      <c r="T89">
        <f>VLOOKUP(D89,[2]Sheet1!$D:$T,17,0)</f>
        <v>4364</v>
      </c>
    </row>
    <row r="90" spans="1:20" outlineLevel="2" x14ac:dyDescent="0.25">
      <c r="A90" t="s">
        <v>0</v>
      </c>
      <c r="B90" t="s">
        <v>1</v>
      </c>
      <c r="C90" s="2">
        <v>45736</v>
      </c>
      <c r="D90" s="13">
        <v>1800004606</v>
      </c>
      <c r="E90" t="s">
        <v>14</v>
      </c>
      <c r="F90" s="2">
        <v>45736</v>
      </c>
      <c r="G90" s="23">
        <v>246779414474</v>
      </c>
      <c r="H90" t="s">
        <v>13</v>
      </c>
      <c r="I90" s="3">
        <v>60</v>
      </c>
      <c r="J90" t="s">
        <v>4</v>
      </c>
      <c r="K90" s="3">
        <v>5201.4799999999996</v>
      </c>
      <c r="L90" t="s">
        <v>103</v>
      </c>
      <c r="M90">
        <f>VLOOKUP(G90,Sheet2!$D$3:$H$171,3,)</f>
        <v>5074</v>
      </c>
      <c r="N90" s="14">
        <f t="shared" si="4"/>
        <v>127.47999999999956</v>
      </c>
      <c r="O90" s="20">
        <f t="shared" si="5"/>
        <v>2.4508409145089394E-2</v>
      </c>
      <c r="Q90" s="26">
        <f>VLOOKUP(G90,'[1]TDS not in our Books'!$D:$H,5,0)</f>
        <v>104</v>
      </c>
      <c r="R90" s="35">
        <f t="shared" si="6"/>
        <v>5097.4799999999996</v>
      </c>
      <c r="S90">
        <f>VLOOKUP(D90,[2]Sheet1!$D:$S,16,0)</f>
        <v>1400000922</v>
      </c>
      <c r="T90">
        <f>VLOOKUP(D90,[2]Sheet1!$D:$T,17,0)</f>
        <v>3681</v>
      </c>
    </row>
    <row r="91" spans="1:20" outlineLevel="2" x14ac:dyDescent="0.25">
      <c r="A91" t="s">
        <v>0</v>
      </c>
      <c r="B91" t="s">
        <v>1</v>
      </c>
      <c r="C91" s="2">
        <v>45736</v>
      </c>
      <c r="D91" s="13">
        <v>1800005027</v>
      </c>
      <c r="E91" t="s">
        <v>14</v>
      </c>
      <c r="F91" s="2">
        <v>45736</v>
      </c>
      <c r="G91" s="23">
        <v>246779414895</v>
      </c>
      <c r="H91" t="s">
        <v>13</v>
      </c>
      <c r="I91" s="3">
        <v>60</v>
      </c>
      <c r="J91" t="s">
        <v>4</v>
      </c>
      <c r="K91" s="3">
        <v>5201.4799999999996</v>
      </c>
      <c r="L91" t="s">
        <v>104</v>
      </c>
      <c r="M91">
        <f>VLOOKUP(G91,Sheet2!$D$3:$H$171,3,)</f>
        <v>5074</v>
      </c>
      <c r="N91" s="14">
        <f t="shared" si="4"/>
        <v>127.47999999999956</v>
      </c>
      <c r="O91" s="20">
        <f t="shared" si="5"/>
        <v>2.4508409145089394E-2</v>
      </c>
      <c r="Q91" s="26">
        <f>VLOOKUP(G91,'[1]TDS not in our Books'!$D:$H,5,0)</f>
        <v>104</v>
      </c>
      <c r="R91" s="35">
        <f t="shared" si="6"/>
        <v>5097.4799999999996</v>
      </c>
      <c r="S91">
        <f>VLOOKUP(D91,[2]Sheet1!$D:$S,16,0)</f>
        <v>1400000941</v>
      </c>
      <c r="T91">
        <f>VLOOKUP(D91,[2]Sheet1!$D:$T,17,0)</f>
        <v>5074</v>
      </c>
    </row>
    <row r="92" spans="1:20" outlineLevel="2" x14ac:dyDescent="0.25">
      <c r="A92" t="s">
        <v>0</v>
      </c>
      <c r="B92" t="s">
        <v>1</v>
      </c>
      <c r="C92" s="2">
        <v>45736</v>
      </c>
      <c r="D92" s="13">
        <v>1800004822</v>
      </c>
      <c r="E92" t="s">
        <v>14</v>
      </c>
      <c r="F92" s="2">
        <v>45736</v>
      </c>
      <c r="G92" s="23">
        <v>246779414690</v>
      </c>
      <c r="H92" t="s">
        <v>13</v>
      </c>
      <c r="I92" s="3">
        <v>60</v>
      </c>
      <c r="J92" t="s">
        <v>4</v>
      </c>
      <c r="K92" s="3">
        <v>5201.4799999999996</v>
      </c>
      <c r="L92" t="s">
        <v>109</v>
      </c>
      <c r="M92">
        <f>VLOOKUP(G92,Sheet2!$D$3:$H$171,3,)</f>
        <v>5074</v>
      </c>
      <c r="N92" s="14">
        <f t="shared" si="4"/>
        <v>127.47999999999956</v>
      </c>
      <c r="O92" s="20">
        <f t="shared" si="5"/>
        <v>2.4508409145089394E-2</v>
      </c>
      <c r="Q92" s="26">
        <f>VLOOKUP(G92,'[1]TDS not in our Books'!$D:$H,5,0)</f>
        <v>104</v>
      </c>
      <c r="R92" s="35">
        <f t="shared" si="6"/>
        <v>5097.4799999999996</v>
      </c>
      <c r="S92">
        <f>VLOOKUP(D92,[2]Sheet1!$D:$S,16,0)</f>
        <v>1400000941</v>
      </c>
      <c r="T92">
        <f>VLOOKUP(D92,[2]Sheet1!$D:$T,17,0)</f>
        <v>5074</v>
      </c>
    </row>
    <row r="93" spans="1:20" outlineLevel="2" x14ac:dyDescent="0.25">
      <c r="A93" t="s">
        <v>0</v>
      </c>
      <c r="B93" t="s">
        <v>1</v>
      </c>
      <c r="C93" s="2">
        <v>45736</v>
      </c>
      <c r="D93" s="13">
        <v>1800005030</v>
      </c>
      <c r="E93" t="s">
        <v>14</v>
      </c>
      <c r="F93" s="2">
        <v>45736</v>
      </c>
      <c r="G93" s="23">
        <v>246779414898</v>
      </c>
      <c r="H93" t="s">
        <v>13</v>
      </c>
      <c r="I93" s="3">
        <v>94.6</v>
      </c>
      <c r="J93" t="s">
        <v>4</v>
      </c>
      <c r="K93" s="3">
        <v>8200.99</v>
      </c>
      <c r="L93" t="s">
        <v>104</v>
      </c>
      <c r="M93">
        <f>VLOOKUP(G93,Sheet2!$D$3:$H$171,3,)</f>
        <v>8001</v>
      </c>
      <c r="N93" s="14">
        <f t="shared" si="4"/>
        <v>199.98999999999978</v>
      </c>
      <c r="O93" s="20">
        <f t="shared" si="5"/>
        <v>2.4386080217144491E-2</v>
      </c>
      <c r="Q93" s="26">
        <f>VLOOKUP(G93,'[1]TDS not in our Books'!$D:$H,5,0)</f>
        <v>163</v>
      </c>
      <c r="R93" s="35">
        <f t="shared" si="6"/>
        <v>8037.99</v>
      </c>
      <c r="S93">
        <f>VLOOKUP(D93,[2]Sheet1!$D:$S,16,0)</f>
        <v>1400000941</v>
      </c>
      <c r="T93">
        <f>VLOOKUP(D93,[2]Sheet1!$D:$T,17,0)</f>
        <v>8001</v>
      </c>
    </row>
    <row r="94" spans="1:20" outlineLevel="2" x14ac:dyDescent="0.25">
      <c r="A94" t="s">
        <v>0</v>
      </c>
      <c r="B94" t="s">
        <v>1</v>
      </c>
      <c r="C94" s="2">
        <v>45736</v>
      </c>
      <c r="D94" s="13">
        <v>1800004872</v>
      </c>
      <c r="E94" t="s">
        <v>14</v>
      </c>
      <c r="F94" s="2">
        <v>45736</v>
      </c>
      <c r="G94" s="23">
        <v>246779414740</v>
      </c>
      <c r="H94" t="s">
        <v>13</v>
      </c>
      <c r="I94" s="3">
        <v>111.18</v>
      </c>
      <c r="J94" t="s">
        <v>4</v>
      </c>
      <c r="K94" s="3">
        <v>9638.33</v>
      </c>
      <c r="L94" t="s">
        <v>104</v>
      </c>
      <c r="M94">
        <f>VLOOKUP(G94,Sheet2!$D$3:$H$171,3,)</f>
        <v>9403</v>
      </c>
      <c r="N94" s="14">
        <f t="shared" si="4"/>
        <v>235.32999999999993</v>
      </c>
      <c r="O94" s="20">
        <f t="shared" si="5"/>
        <v>2.4416055478490562E-2</v>
      </c>
      <c r="Q94" s="26">
        <f>VLOOKUP(G94,'[1]TDS not in our Books'!$D:$H,5,0)</f>
        <v>192</v>
      </c>
      <c r="R94" s="35">
        <f t="shared" si="6"/>
        <v>9446.33</v>
      </c>
      <c r="S94">
        <f>VLOOKUP(D94,[2]Sheet1!$D:$S,16,0)</f>
        <v>1400000941</v>
      </c>
      <c r="T94">
        <f>VLOOKUP(D94,[2]Sheet1!$D:$T,17,0)</f>
        <v>9403</v>
      </c>
    </row>
    <row r="95" spans="1:20" outlineLevel="2" x14ac:dyDescent="0.25">
      <c r="A95" t="s">
        <v>0</v>
      </c>
      <c r="B95" t="s">
        <v>1</v>
      </c>
      <c r="C95" s="2">
        <v>45736</v>
      </c>
      <c r="D95" s="13">
        <v>1800004028</v>
      </c>
      <c r="E95" t="s">
        <v>14</v>
      </c>
      <c r="F95" s="2">
        <v>45736</v>
      </c>
      <c r="G95" s="23">
        <v>246779413884</v>
      </c>
      <c r="H95" t="s">
        <v>13</v>
      </c>
      <c r="I95" s="3">
        <v>128.52000000000001</v>
      </c>
      <c r="J95" t="s">
        <v>4</v>
      </c>
      <c r="K95" s="3">
        <v>11141.56</v>
      </c>
      <c r="L95" t="s">
        <v>95</v>
      </c>
      <c r="M95">
        <f>VLOOKUP(G95,Sheet2!$D$3:$H$171,3,)</f>
        <v>10870</v>
      </c>
      <c r="N95" s="14">
        <f t="shared" si="4"/>
        <v>271.55999999999949</v>
      </c>
      <c r="O95" s="20">
        <f t="shared" si="5"/>
        <v>2.4373606568559476E-2</v>
      </c>
      <c r="Q95" s="26">
        <f>VLOOKUP(G95,'[1]TDS not in our Books'!$D:$H,5,0)</f>
        <v>222</v>
      </c>
      <c r="R95" s="35">
        <f t="shared" si="6"/>
        <v>10919.56</v>
      </c>
      <c r="S95">
        <f>VLOOKUP(D95,[2]Sheet1!$D:$S,16,0)</f>
        <v>1400000941</v>
      </c>
      <c r="T95">
        <f>VLOOKUP(D95,[2]Sheet1!$D:$T,17,0)</f>
        <v>10870</v>
      </c>
    </row>
    <row r="96" spans="1:20" outlineLevel="2" x14ac:dyDescent="0.25">
      <c r="A96" t="s">
        <v>0</v>
      </c>
      <c r="B96" t="s">
        <v>1</v>
      </c>
      <c r="C96" s="2">
        <v>45736</v>
      </c>
      <c r="D96" s="13">
        <v>1800004194</v>
      </c>
      <c r="E96" t="s">
        <v>14</v>
      </c>
      <c r="F96" s="2">
        <v>45736</v>
      </c>
      <c r="G96" s="23">
        <v>246779414062</v>
      </c>
      <c r="H96" t="s">
        <v>13</v>
      </c>
      <c r="I96" s="3">
        <v>251.5</v>
      </c>
      <c r="J96" t="s">
        <v>4</v>
      </c>
      <c r="K96" s="3">
        <v>21802.85</v>
      </c>
      <c r="L96" t="s">
        <v>96</v>
      </c>
      <c r="M96">
        <f>VLOOKUP(G96,Sheet2!$D$3:$H$171,3,)</f>
        <v>21271</v>
      </c>
      <c r="N96" s="14">
        <f t="shared" si="4"/>
        <v>531.84999999999854</v>
      </c>
      <c r="O96" s="20">
        <f t="shared" si="5"/>
        <v>2.4393599919276542E-2</v>
      </c>
      <c r="Q96" s="26">
        <f>VLOOKUP(G96,'[1]TDS not in our Books'!$D:$H,5,0)</f>
        <v>434</v>
      </c>
      <c r="R96" s="35">
        <f t="shared" si="6"/>
        <v>21368.85</v>
      </c>
      <c r="S96">
        <f>VLOOKUP(D96,[2]Sheet1!$D:$S,16,0)</f>
        <v>1400000941</v>
      </c>
      <c r="T96">
        <f>VLOOKUP(D96,[2]Sheet1!$D:$T,17,0)</f>
        <v>21271</v>
      </c>
    </row>
    <row r="97" spans="1:20" outlineLevel="2" x14ac:dyDescent="0.25">
      <c r="A97" t="s">
        <v>0</v>
      </c>
      <c r="B97" t="s">
        <v>1</v>
      </c>
      <c r="C97" s="2">
        <v>45736</v>
      </c>
      <c r="D97" s="13">
        <v>1800004192</v>
      </c>
      <c r="E97" t="s">
        <v>14</v>
      </c>
      <c r="F97" s="2">
        <v>45736</v>
      </c>
      <c r="G97" s="23">
        <v>246779414060</v>
      </c>
      <c r="H97" t="s">
        <v>13</v>
      </c>
      <c r="I97" s="3">
        <v>273</v>
      </c>
      <c r="J97" t="s">
        <v>4</v>
      </c>
      <c r="K97" s="3">
        <v>23666.71</v>
      </c>
      <c r="L97" t="s">
        <v>96</v>
      </c>
      <c r="M97">
        <f>VLOOKUP(G97,Sheet2!$D$3:$H$171,3,)</f>
        <v>23090</v>
      </c>
      <c r="N97" s="14">
        <f t="shared" si="4"/>
        <v>576.70999999999913</v>
      </c>
      <c r="O97" s="20">
        <f t="shared" si="5"/>
        <v>2.4367983551579375E-2</v>
      </c>
      <c r="Q97" s="26">
        <f>VLOOKUP(G97,'[1]TDS not in our Books'!$D:$H,5,0)</f>
        <v>471</v>
      </c>
      <c r="R97" s="35">
        <f t="shared" si="6"/>
        <v>23195.71</v>
      </c>
      <c r="S97">
        <f>VLOOKUP(D97,[2]Sheet1!$D:$S,16,0)</f>
        <v>1400000941</v>
      </c>
      <c r="T97">
        <f>VLOOKUP(D97,[2]Sheet1!$D:$T,17,0)</f>
        <v>23090</v>
      </c>
    </row>
    <row r="98" spans="1:20" outlineLevel="2" x14ac:dyDescent="0.25">
      <c r="A98" t="s">
        <v>0</v>
      </c>
      <c r="B98" t="s">
        <v>1</v>
      </c>
      <c r="C98" s="2">
        <v>45736</v>
      </c>
      <c r="D98" s="13">
        <v>1800004193</v>
      </c>
      <c r="E98" t="s">
        <v>14</v>
      </c>
      <c r="F98" s="2">
        <v>45736</v>
      </c>
      <c r="G98" s="23">
        <v>246779414061</v>
      </c>
      <c r="H98" t="s">
        <v>13</v>
      </c>
      <c r="I98" s="3">
        <v>277.3</v>
      </c>
      <c r="J98" t="s">
        <v>4</v>
      </c>
      <c r="K98" s="3">
        <v>24039.49</v>
      </c>
      <c r="L98" t="s">
        <v>96</v>
      </c>
      <c r="M98">
        <f>VLOOKUP(G98,Sheet2!$D$3:$H$171,3,)</f>
        <v>23453</v>
      </c>
      <c r="N98" s="14">
        <f t="shared" si="4"/>
        <v>586.4900000000016</v>
      </c>
      <c r="O98" s="20">
        <f t="shared" si="5"/>
        <v>2.4396940201310491E-2</v>
      </c>
      <c r="Q98" s="26">
        <f>VLOOKUP(G98,'[1]TDS not in our Books'!$D:$H,5,0)</f>
        <v>479</v>
      </c>
      <c r="R98" s="35">
        <f t="shared" si="6"/>
        <v>23560.49</v>
      </c>
      <c r="S98">
        <f>VLOOKUP(D98,[2]Sheet1!$D:$S,16,0)</f>
        <v>1400000941</v>
      </c>
      <c r="T98">
        <f>VLOOKUP(D98,[2]Sheet1!$D:$T,17,0)</f>
        <v>23453</v>
      </c>
    </row>
    <row r="99" spans="1:20" outlineLevel="2" x14ac:dyDescent="0.25">
      <c r="A99" t="s">
        <v>0</v>
      </c>
      <c r="B99" t="s">
        <v>1</v>
      </c>
      <c r="C99" s="2">
        <v>45736</v>
      </c>
      <c r="D99" s="13">
        <v>1800004197</v>
      </c>
      <c r="E99" t="s">
        <v>14</v>
      </c>
      <c r="F99" s="2">
        <v>45736</v>
      </c>
      <c r="G99" s="23">
        <v>246779414065</v>
      </c>
      <c r="H99" t="s">
        <v>13</v>
      </c>
      <c r="I99" s="3">
        <v>277.3</v>
      </c>
      <c r="J99" t="s">
        <v>4</v>
      </c>
      <c r="K99" s="3">
        <v>24039.49</v>
      </c>
      <c r="L99" t="s">
        <v>96</v>
      </c>
      <c r="M99">
        <f>VLOOKUP(G99,Sheet2!$D$3:$H$171,3,)</f>
        <v>23453</v>
      </c>
      <c r="N99" s="14">
        <f t="shared" si="4"/>
        <v>586.4900000000016</v>
      </c>
      <c r="O99" s="20">
        <f t="shared" si="5"/>
        <v>2.4396940201310491E-2</v>
      </c>
      <c r="Q99" s="26">
        <f>VLOOKUP(G99,'[1]TDS not in our Books'!$D:$H,5,0)</f>
        <v>479</v>
      </c>
      <c r="R99" s="35">
        <f t="shared" si="6"/>
        <v>23560.49</v>
      </c>
      <c r="S99">
        <f>VLOOKUP(D99,[2]Sheet1!$D:$S,16,0)</f>
        <v>1400000941</v>
      </c>
      <c r="T99">
        <f>VLOOKUP(D99,[2]Sheet1!$D:$T,17,0)</f>
        <v>23453</v>
      </c>
    </row>
    <row r="100" spans="1:20" outlineLevel="2" x14ac:dyDescent="0.25">
      <c r="A100" t="s">
        <v>0</v>
      </c>
      <c r="B100" t="s">
        <v>1</v>
      </c>
      <c r="C100" s="2">
        <v>45736</v>
      </c>
      <c r="D100" s="13">
        <v>1800004196</v>
      </c>
      <c r="E100" t="s">
        <v>14</v>
      </c>
      <c r="F100" s="2">
        <v>45736</v>
      </c>
      <c r="G100" s="23">
        <v>246779414064</v>
      </c>
      <c r="H100" t="s">
        <v>13</v>
      </c>
      <c r="I100" s="3">
        <v>353.2</v>
      </c>
      <c r="J100" t="s">
        <v>4</v>
      </c>
      <c r="K100" s="3">
        <v>30619.35</v>
      </c>
      <c r="L100" t="s">
        <v>96</v>
      </c>
      <c r="M100">
        <f>VLOOKUP(G100,Sheet2!$D$3:$H$171,3,)</f>
        <v>29873</v>
      </c>
      <c r="N100" s="14">
        <f t="shared" si="4"/>
        <v>746.34999999999854</v>
      </c>
      <c r="O100" s="20">
        <f t="shared" si="5"/>
        <v>2.4375109203820414E-2</v>
      </c>
      <c r="Q100" s="26">
        <f>VLOOKUP(G100,'[1]TDS not in our Books'!$D:$H,5,0)</f>
        <v>610</v>
      </c>
      <c r="R100" s="35">
        <f t="shared" si="6"/>
        <v>30009.35</v>
      </c>
      <c r="S100">
        <f>VLOOKUP(D100,[2]Sheet1!$D:$S,16,0)</f>
        <v>1400000941</v>
      </c>
      <c r="T100">
        <f>VLOOKUP(D100,[2]Sheet1!$D:$T,17,0)</f>
        <v>18918</v>
      </c>
    </row>
    <row r="101" spans="1:20" outlineLevel="2" x14ac:dyDescent="0.25">
      <c r="A101" t="s">
        <v>0</v>
      </c>
      <c r="B101" t="s">
        <v>1</v>
      </c>
      <c r="C101" s="2">
        <v>45736</v>
      </c>
      <c r="D101" s="13">
        <v>1800004195</v>
      </c>
      <c r="E101" t="s">
        <v>14</v>
      </c>
      <c r="F101" s="2">
        <v>45736</v>
      </c>
      <c r="G101" s="23">
        <v>246779414063</v>
      </c>
      <c r="H101" t="s">
        <v>13</v>
      </c>
      <c r="I101" s="3">
        <v>554.6</v>
      </c>
      <c r="J101" t="s">
        <v>4</v>
      </c>
      <c r="K101" s="3">
        <v>48078.97</v>
      </c>
      <c r="L101" t="s">
        <v>96</v>
      </c>
      <c r="M101">
        <f>VLOOKUP(G101,Sheet2!$D$3:$H$171,3,)</f>
        <v>46907</v>
      </c>
      <c r="N101" s="14">
        <f t="shared" si="4"/>
        <v>1171.9700000000012</v>
      </c>
      <c r="O101" s="20">
        <f t="shared" si="5"/>
        <v>2.4375938170056496E-2</v>
      </c>
      <c r="Q101" s="26">
        <f>VLOOKUP(G101,'[1]TDS not in our Books'!$D:$H,5,0)</f>
        <v>957</v>
      </c>
      <c r="R101" s="35">
        <f t="shared" si="6"/>
        <v>47121.97</v>
      </c>
      <c r="S101">
        <f>VLOOKUP(D101,[2]Sheet1!$D:$S,16,0)</f>
        <v>1400000955</v>
      </c>
      <c r="T101">
        <f>VLOOKUP(D101,[2]Sheet1!$D:$T,17,0)</f>
        <v>46907</v>
      </c>
    </row>
    <row r="102" spans="1:20" outlineLevel="2" x14ac:dyDescent="0.25">
      <c r="A102" t="s">
        <v>0</v>
      </c>
      <c r="B102" t="s">
        <v>1</v>
      </c>
      <c r="C102" s="2">
        <v>45736</v>
      </c>
      <c r="D102" s="13">
        <v>1800003941</v>
      </c>
      <c r="E102" t="s">
        <v>14</v>
      </c>
      <c r="F102" s="2">
        <v>45736</v>
      </c>
      <c r="G102" s="23">
        <v>246779413809</v>
      </c>
      <c r="H102" t="s">
        <v>13</v>
      </c>
      <c r="I102" s="3">
        <v>420</v>
      </c>
      <c r="J102" t="s">
        <v>4</v>
      </c>
      <c r="K102" s="3">
        <v>36410.33</v>
      </c>
      <c r="L102" t="s">
        <v>94</v>
      </c>
      <c r="M102">
        <f>VLOOKUP(G102,Sheet2!$D$3:$H$171,3,)</f>
        <v>32623</v>
      </c>
      <c r="N102" s="14">
        <f t="shared" si="4"/>
        <v>3787.3300000000017</v>
      </c>
      <c r="O102" s="20">
        <f t="shared" si="5"/>
        <v>0.10401800807627949</v>
      </c>
      <c r="Q102" s="26">
        <f>VLOOKUP(G102,'[1]TDS not in our Books'!$D:$H,5,0)</f>
        <v>3625</v>
      </c>
      <c r="R102" s="35">
        <f t="shared" si="6"/>
        <v>32785.33</v>
      </c>
      <c r="S102">
        <f>VLOOKUP(D102,[2]Sheet1!$D:$S,16,0)</f>
        <v>1400000955</v>
      </c>
      <c r="T102">
        <f>VLOOKUP(D102,[2]Sheet1!$D:$T,17,0)</f>
        <v>32623</v>
      </c>
    </row>
    <row r="103" spans="1:20" outlineLevel="2" x14ac:dyDescent="0.25">
      <c r="A103" t="s">
        <v>0</v>
      </c>
      <c r="B103" t="s">
        <v>1</v>
      </c>
      <c r="C103" s="2">
        <v>45736</v>
      </c>
      <c r="D103" s="13">
        <v>1800003930</v>
      </c>
      <c r="E103" t="s">
        <v>14</v>
      </c>
      <c r="F103" s="2">
        <v>45736</v>
      </c>
      <c r="G103" s="23">
        <v>246779413798</v>
      </c>
      <c r="H103" t="s">
        <v>13</v>
      </c>
      <c r="I103" s="3">
        <v>465</v>
      </c>
      <c r="J103" t="s">
        <v>4</v>
      </c>
      <c r="K103" s="3">
        <v>40311.440000000002</v>
      </c>
      <c r="L103" t="s">
        <v>93</v>
      </c>
      <c r="M103">
        <f>VLOOKUP(G103,Sheet2!$D$3:$H$171,3,)</f>
        <v>36118</v>
      </c>
      <c r="N103" s="14">
        <f t="shared" si="4"/>
        <v>4193.4400000000023</v>
      </c>
      <c r="O103" s="20">
        <f t="shared" si="5"/>
        <v>0.10402605315017281</v>
      </c>
      <c r="Q103" s="26">
        <f>VLOOKUP(G103,'[1]TDS not in our Books'!$D:$H,5,0)</f>
        <v>4013</v>
      </c>
      <c r="R103" s="35">
        <f t="shared" si="6"/>
        <v>36298.44</v>
      </c>
      <c r="S103">
        <f>VLOOKUP(D103,[2]Sheet1!$D:$S,16,0)</f>
        <v>1400000955</v>
      </c>
      <c r="T103">
        <f>VLOOKUP(D103,[2]Sheet1!$D:$T,17,0)</f>
        <v>36118</v>
      </c>
    </row>
    <row r="104" spans="1:20" outlineLevel="2" x14ac:dyDescent="0.25">
      <c r="A104" t="s">
        <v>0</v>
      </c>
      <c r="B104" t="s">
        <v>1</v>
      </c>
      <c r="C104" s="2">
        <v>45737</v>
      </c>
      <c r="D104" s="13">
        <v>1800004451</v>
      </c>
      <c r="E104" t="s">
        <v>14</v>
      </c>
      <c r="F104" s="2">
        <v>45737</v>
      </c>
      <c r="G104" s="23">
        <v>246779414319</v>
      </c>
      <c r="H104" t="s">
        <v>13</v>
      </c>
      <c r="I104" s="3">
        <v>13.25</v>
      </c>
      <c r="J104" t="s">
        <v>4</v>
      </c>
      <c r="K104" s="3">
        <v>1148.6600000000001</v>
      </c>
      <c r="L104" t="s">
        <v>152</v>
      </c>
      <c r="M104">
        <f>VLOOKUP(G104,Sheet2!$D$3:$H$171,3,)</f>
        <v>1119</v>
      </c>
      <c r="N104" s="14">
        <f t="shared" si="4"/>
        <v>29.660000000000082</v>
      </c>
      <c r="O104" s="20">
        <f t="shared" si="5"/>
        <v>2.582139188271558E-2</v>
      </c>
      <c r="Q104" s="26">
        <f>VLOOKUP(G104,'[1]TDS not in our Books'!$D:$H,5,0)</f>
        <v>23</v>
      </c>
      <c r="R104" s="35">
        <f t="shared" si="6"/>
        <v>1125.6600000000001</v>
      </c>
      <c r="S104">
        <f>VLOOKUP(D104,[2]Sheet1!$D:$S,16,0)</f>
        <v>1400000955</v>
      </c>
      <c r="T104">
        <f>VLOOKUP(D104,[2]Sheet1!$D:$T,17,0)</f>
        <v>1119</v>
      </c>
    </row>
    <row r="105" spans="1:20" outlineLevel="2" x14ac:dyDescent="0.25">
      <c r="A105" t="s">
        <v>0</v>
      </c>
      <c r="B105" t="s">
        <v>1</v>
      </c>
      <c r="C105" s="2">
        <v>45737</v>
      </c>
      <c r="D105" s="13">
        <v>1800004453</v>
      </c>
      <c r="E105" t="s">
        <v>14</v>
      </c>
      <c r="F105" s="2">
        <v>45737</v>
      </c>
      <c r="G105" s="23">
        <v>246779414321</v>
      </c>
      <c r="H105" t="s">
        <v>13</v>
      </c>
      <c r="I105" s="3">
        <v>30</v>
      </c>
      <c r="J105" t="s">
        <v>4</v>
      </c>
      <c r="K105" s="3">
        <v>2600.7399999999998</v>
      </c>
      <c r="L105" t="s">
        <v>154</v>
      </c>
      <c r="M105">
        <f>VLOOKUP(G105,Sheet2!$D$3:$H$171,3,)</f>
        <v>2535</v>
      </c>
      <c r="N105" s="14">
        <f t="shared" si="4"/>
        <v>65.739999999999782</v>
      </c>
      <c r="O105" s="20">
        <f t="shared" si="5"/>
        <v>2.5277421041703434E-2</v>
      </c>
      <c r="Q105" s="26">
        <f>VLOOKUP(G105,'[1]TDS not in our Books'!$D:$H,5,0)</f>
        <v>52</v>
      </c>
      <c r="R105" s="35">
        <f t="shared" si="6"/>
        <v>2548.7399999999998</v>
      </c>
      <c r="S105">
        <f>VLOOKUP(D105,[2]Sheet1!$D:$S,16,0)</f>
        <v>1400000955</v>
      </c>
      <c r="T105">
        <f>VLOOKUP(D105,[2]Sheet1!$D:$T,17,0)</f>
        <v>2535</v>
      </c>
    </row>
    <row r="106" spans="1:20" outlineLevel="2" x14ac:dyDescent="0.25">
      <c r="A106" t="s">
        <v>0</v>
      </c>
      <c r="B106" t="s">
        <v>1</v>
      </c>
      <c r="C106" s="2">
        <v>45737</v>
      </c>
      <c r="D106" s="13">
        <v>1800004452</v>
      </c>
      <c r="E106" t="s">
        <v>14</v>
      </c>
      <c r="F106" s="2">
        <v>45737</v>
      </c>
      <c r="G106" s="23">
        <v>246779414320</v>
      </c>
      <c r="H106" t="s">
        <v>13</v>
      </c>
      <c r="I106" s="3">
        <v>38.5</v>
      </c>
      <c r="J106" t="s">
        <v>4</v>
      </c>
      <c r="K106" s="3">
        <v>3337.61</v>
      </c>
      <c r="L106" t="s">
        <v>153</v>
      </c>
      <c r="M106">
        <f>VLOOKUP(G106,Sheet2!$D$3:$H$171,3,)</f>
        <v>3253</v>
      </c>
      <c r="N106" s="14">
        <f t="shared" si="4"/>
        <v>84.610000000000127</v>
      </c>
      <c r="O106" s="20">
        <f t="shared" si="5"/>
        <v>2.535047534013864E-2</v>
      </c>
      <c r="Q106" s="26">
        <f>VLOOKUP(G106,'[1]TDS not in our Books'!$D:$H,5,0)</f>
        <v>66</v>
      </c>
      <c r="R106" s="35">
        <f t="shared" si="6"/>
        <v>3271.61</v>
      </c>
      <c r="S106">
        <f>VLOOKUP(D106,[2]Sheet1!$D:$S,16,0)</f>
        <v>1400000955</v>
      </c>
      <c r="T106">
        <f>VLOOKUP(D106,[2]Sheet1!$D:$T,17,0)</f>
        <v>3253</v>
      </c>
    </row>
    <row r="107" spans="1:20" outlineLevel="2" x14ac:dyDescent="0.25">
      <c r="A107" t="s">
        <v>0</v>
      </c>
      <c r="B107" t="s">
        <v>1</v>
      </c>
      <c r="C107" s="2">
        <v>45750</v>
      </c>
      <c r="D107" s="13">
        <v>1800005194</v>
      </c>
      <c r="E107" t="s">
        <v>14</v>
      </c>
      <c r="F107" s="2">
        <v>45750</v>
      </c>
      <c r="G107" s="23">
        <v>256779410140</v>
      </c>
      <c r="H107" t="s">
        <v>13</v>
      </c>
      <c r="I107" s="3">
        <v>1</v>
      </c>
      <c r="J107" t="s">
        <v>4</v>
      </c>
      <c r="K107" s="3">
        <v>86.92</v>
      </c>
      <c r="L107" t="s">
        <v>128</v>
      </c>
      <c r="M107">
        <f>VLOOKUP(G107,Sheet2!$D$3:$H$171,3,)</f>
        <v>84</v>
      </c>
      <c r="N107" s="14">
        <f t="shared" si="4"/>
        <v>2.9200000000000017</v>
      </c>
      <c r="O107" s="20">
        <f t="shared" si="5"/>
        <v>3.3594109526000941E-2</v>
      </c>
      <c r="Q107" s="26">
        <f>VLOOKUP(G107,'[1]TDS not in our Books'!$D:$H,5,0)</f>
        <v>2</v>
      </c>
      <c r="R107" s="35">
        <f t="shared" si="6"/>
        <v>84.92</v>
      </c>
      <c r="S107">
        <f>VLOOKUP(D107,[2]Sheet1!$D:$S,16,0)</f>
        <v>1400000955</v>
      </c>
      <c r="T107">
        <f>VLOOKUP(D107,[2]Sheet1!$D:$T,17,0)</f>
        <v>84</v>
      </c>
    </row>
    <row r="108" spans="1:20" outlineLevel="2" x14ac:dyDescent="0.25">
      <c r="A108" t="s">
        <v>0</v>
      </c>
      <c r="B108" t="s">
        <v>1</v>
      </c>
      <c r="C108" s="2">
        <v>45750</v>
      </c>
      <c r="D108" s="13">
        <v>1800005193</v>
      </c>
      <c r="E108" t="s">
        <v>14</v>
      </c>
      <c r="F108" s="2">
        <v>45750</v>
      </c>
      <c r="G108" s="23">
        <v>256779410139</v>
      </c>
      <c r="H108" t="s">
        <v>13</v>
      </c>
      <c r="I108" s="3">
        <v>3.5</v>
      </c>
      <c r="J108" t="s">
        <v>4</v>
      </c>
      <c r="K108" s="3">
        <v>304.23</v>
      </c>
      <c r="L108" t="s">
        <v>127</v>
      </c>
      <c r="M108">
        <f>VLOOKUP(G108,Sheet2!$D$3:$H$171,3,)</f>
        <v>294</v>
      </c>
      <c r="N108" s="14">
        <f t="shared" si="4"/>
        <v>10.230000000000018</v>
      </c>
      <c r="O108" s="20">
        <f t="shared" si="5"/>
        <v>3.3625875160240667E-2</v>
      </c>
      <c r="Q108" s="26">
        <f>VLOOKUP(G108,'[1]TDS not in our Books'!$D:$H,5,0)</f>
        <v>6</v>
      </c>
      <c r="R108" s="35">
        <f t="shared" si="6"/>
        <v>298.23</v>
      </c>
      <c r="S108">
        <f>VLOOKUP(D108,[2]Sheet1!$D:$S,16,0)</f>
        <v>1400000955</v>
      </c>
      <c r="T108">
        <f>VLOOKUP(D108,[2]Sheet1!$D:$T,17,0)</f>
        <v>294</v>
      </c>
    </row>
    <row r="109" spans="1:20" outlineLevel="2" x14ac:dyDescent="0.25">
      <c r="A109" t="s">
        <v>0</v>
      </c>
      <c r="B109" t="s">
        <v>1</v>
      </c>
      <c r="C109" s="2">
        <v>45750</v>
      </c>
      <c r="D109" s="13">
        <v>1800005142</v>
      </c>
      <c r="E109" t="s">
        <v>14</v>
      </c>
      <c r="F109" s="2">
        <v>45750</v>
      </c>
      <c r="G109" s="23">
        <v>256779410088</v>
      </c>
      <c r="H109" t="s">
        <v>13</v>
      </c>
      <c r="I109" s="3">
        <v>5.25</v>
      </c>
      <c r="J109" t="s">
        <v>4</v>
      </c>
      <c r="K109" s="3">
        <v>456.34</v>
      </c>
      <c r="L109" t="s">
        <v>125</v>
      </c>
      <c r="M109">
        <f>VLOOKUP(G109,Sheet2!$D$3:$H$171,3,)</f>
        <v>441</v>
      </c>
      <c r="N109" s="14">
        <f t="shared" si="4"/>
        <v>15.339999999999975</v>
      </c>
      <c r="O109" s="20">
        <f t="shared" si="5"/>
        <v>3.3615286847525912E-2</v>
      </c>
      <c r="Q109" s="26">
        <f>VLOOKUP(G109,'[1]TDS not in our Books'!$D:$H,5,0)</f>
        <v>9</v>
      </c>
      <c r="R109" s="35">
        <f t="shared" si="6"/>
        <v>447.34</v>
      </c>
      <c r="S109">
        <f>VLOOKUP(D109,[2]Sheet1!$D:$S,16,0)</f>
        <v>1400000955</v>
      </c>
      <c r="T109">
        <f>VLOOKUP(D109,[2]Sheet1!$D:$T,17,0)</f>
        <v>441</v>
      </c>
    </row>
    <row r="110" spans="1:20" outlineLevel="2" x14ac:dyDescent="0.25">
      <c r="A110" t="s">
        <v>0</v>
      </c>
      <c r="B110" t="s">
        <v>1</v>
      </c>
      <c r="C110" s="2">
        <v>45750</v>
      </c>
      <c r="D110" s="13">
        <v>1800005143</v>
      </c>
      <c r="E110" t="s">
        <v>14</v>
      </c>
      <c r="F110" s="2">
        <v>45750</v>
      </c>
      <c r="G110" s="23">
        <v>256779410089</v>
      </c>
      <c r="H110" t="s">
        <v>13</v>
      </c>
      <c r="I110" s="3">
        <v>30</v>
      </c>
      <c r="J110" t="s">
        <v>4</v>
      </c>
      <c r="K110" s="3">
        <v>2607.65</v>
      </c>
      <c r="L110" t="s">
        <v>126</v>
      </c>
      <c r="M110">
        <f>VLOOKUP(G110,Sheet2!$D$3:$H$171,3,)</f>
        <v>2518</v>
      </c>
      <c r="N110" s="14">
        <f t="shared" si="4"/>
        <v>89.650000000000091</v>
      </c>
      <c r="O110" s="20">
        <f t="shared" si="5"/>
        <v>3.4379613828542974E-2</v>
      </c>
      <c r="Q110" s="26">
        <f>VLOOKUP(G110,'[1]TDS not in our Books'!$D:$H,5,0)</f>
        <v>51</v>
      </c>
      <c r="R110" s="35">
        <f t="shared" si="6"/>
        <v>2556.65</v>
      </c>
      <c r="S110">
        <f>VLOOKUP(D110,[2]Sheet1!$D:$S,16,0)</f>
        <v>1400000955</v>
      </c>
      <c r="T110">
        <f>VLOOKUP(D110,[2]Sheet1!$D:$T,17,0)</f>
        <v>2518</v>
      </c>
    </row>
    <row r="111" spans="1:20" outlineLevel="2" x14ac:dyDescent="0.25">
      <c r="A111" t="s">
        <v>0</v>
      </c>
      <c r="B111" t="s">
        <v>1</v>
      </c>
      <c r="C111" s="2">
        <v>45751</v>
      </c>
      <c r="D111" s="13">
        <v>1800005896</v>
      </c>
      <c r="E111" t="s">
        <v>14</v>
      </c>
      <c r="F111" s="2">
        <v>45751</v>
      </c>
      <c r="G111" s="23">
        <v>256779410788</v>
      </c>
      <c r="H111" t="s">
        <v>13</v>
      </c>
      <c r="I111" s="3">
        <v>1394.64</v>
      </c>
      <c r="J111" t="s">
        <v>4</v>
      </c>
      <c r="K111" s="3">
        <v>121224.65</v>
      </c>
      <c r="L111" t="s">
        <v>18</v>
      </c>
      <c r="M111">
        <f>VLOOKUP(G111,Sheet2!$D$3:$H$171,3,)</f>
        <v>106977</v>
      </c>
      <c r="N111" s="14">
        <f t="shared" si="4"/>
        <v>14247.649999999994</v>
      </c>
      <c r="O111" s="20">
        <f t="shared" si="5"/>
        <v>0.11753096420571224</v>
      </c>
      <c r="Q111" s="26">
        <f>VLOOKUP(G111,'[1]TDS not in our Books'!$D:$H,5,0)</f>
        <v>11886</v>
      </c>
      <c r="R111" s="35">
        <f t="shared" si="6"/>
        <v>109338.65</v>
      </c>
      <c r="S111">
        <f>VLOOKUP(D111,[2]Sheet1!$D:$S,16,0)</f>
        <v>1400000955</v>
      </c>
      <c r="T111">
        <f>VLOOKUP(D111,[2]Sheet1!$D:$T,17,0)</f>
        <v>13153</v>
      </c>
    </row>
    <row r="112" spans="1:20" outlineLevel="2" x14ac:dyDescent="0.25">
      <c r="A112" t="s">
        <v>0</v>
      </c>
      <c r="B112" t="s">
        <v>1</v>
      </c>
      <c r="C112" s="2">
        <v>45751</v>
      </c>
      <c r="D112" s="13">
        <v>1800005913</v>
      </c>
      <c r="E112" t="s">
        <v>14</v>
      </c>
      <c r="F112" s="2">
        <v>45751</v>
      </c>
      <c r="G112" s="23">
        <v>256779410804</v>
      </c>
      <c r="H112" t="s">
        <v>13</v>
      </c>
      <c r="I112" s="3">
        <v>2592.75</v>
      </c>
      <c r="J112" t="s">
        <v>4</v>
      </c>
      <c r="K112" s="3">
        <v>225366.55</v>
      </c>
      <c r="L112" t="s">
        <v>19</v>
      </c>
      <c r="M112">
        <f>VLOOKUP(G112,Sheet2!$D$3:$H$171,3,)</f>
        <v>198877</v>
      </c>
      <c r="N112" s="14">
        <f t="shared" si="4"/>
        <v>26489.549999999988</v>
      </c>
      <c r="O112" s="20">
        <f t="shared" si="5"/>
        <v>0.11753984786118432</v>
      </c>
      <c r="Q112" s="26">
        <f>VLOOKUP(G112,'[1]TDS not in our Books'!$D:$H,5,0)</f>
        <v>22098</v>
      </c>
      <c r="R112" s="35">
        <f t="shared" si="6"/>
        <v>203268.55</v>
      </c>
      <c r="S112">
        <f>VLOOKUP(D112,[2]Sheet1!$D:$S,16,0)</f>
        <v>1400000966</v>
      </c>
      <c r="T112">
        <f>VLOOKUP(D112,[2]Sheet1!$D:$T,17,0)</f>
        <v>56176</v>
      </c>
    </row>
    <row r="113" spans="1:20" hidden="1" outlineLevel="2" x14ac:dyDescent="0.25">
      <c r="A113" t="s">
        <v>0</v>
      </c>
      <c r="B113" t="s">
        <v>1</v>
      </c>
      <c r="C113" s="2">
        <v>45791</v>
      </c>
      <c r="D113" s="13">
        <v>1600000605</v>
      </c>
      <c r="E113" t="s">
        <v>33</v>
      </c>
      <c r="F113" s="2">
        <v>45791</v>
      </c>
      <c r="G113" s="23">
        <v>256779420314</v>
      </c>
      <c r="H113" t="s">
        <v>13</v>
      </c>
      <c r="I113" s="3">
        <v>-77.2</v>
      </c>
      <c r="J113" t="s">
        <v>4</v>
      </c>
      <c r="K113" s="3">
        <v>-6692.57</v>
      </c>
      <c r="L113" t="s">
        <v>81</v>
      </c>
      <c r="M113" t="e">
        <f>VLOOKUP(G113,Sheet2!$D$3:$H$171,3,)</f>
        <v>#N/A</v>
      </c>
      <c r="Q113" s="26" t="e">
        <f>VLOOKUP(G113,'[1]TDS not in our Books'!$D:$H,5,0)</f>
        <v>#N/A</v>
      </c>
    </row>
    <row r="114" spans="1:20" hidden="1" outlineLevel="2" x14ac:dyDescent="0.25">
      <c r="A114" t="s">
        <v>0</v>
      </c>
      <c r="B114" t="s">
        <v>1</v>
      </c>
      <c r="C114" s="2">
        <v>45791</v>
      </c>
      <c r="D114" s="13">
        <v>1600000704</v>
      </c>
      <c r="E114" t="s">
        <v>33</v>
      </c>
      <c r="F114" s="2">
        <v>45791</v>
      </c>
      <c r="G114" s="23">
        <v>256779420413</v>
      </c>
      <c r="H114" t="s">
        <v>13</v>
      </c>
      <c r="I114" s="3">
        <v>-1800</v>
      </c>
      <c r="J114" t="s">
        <v>4</v>
      </c>
      <c r="K114" s="3">
        <v>-156459.28</v>
      </c>
      <c r="L114" t="s">
        <v>82</v>
      </c>
      <c r="M114" t="e">
        <f>VLOOKUP(G114,Sheet2!$D$3:$H$171,3,)</f>
        <v>#N/A</v>
      </c>
      <c r="Q114" s="26" t="e">
        <f>VLOOKUP(G114,'[1]TDS not in our Books'!$D:$H,5,0)</f>
        <v>#N/A</v>
      </c>
    </row>
    <row r="115" spans="1:20" hidden="1" outlineLevel="2" x14ac:dyDescent="0.25">
      <c r="A115" t="s">
        <v>0</v>
      </c>
      <c r="B115" t="s">
        <v>1</v>
      </c>
      <c r="C115" s="2">
        <v>45791</v>
      </c>
      <c r="D115" s="13">
        <v>1600000791</v>
      </c>
      <c r="E115" t="s">
        <v>33</v>
      </c>
      <c r="F115" s="2">
        <v>45791</v>
      </c>
      <c r="G115" s="23">
        <v>256779420500</v>
      </c>
      <c r="H115" t="s">
        <v>13</v>
      </c>
      <c r="I115" s="3">
        <v>-1800</v>
      </c>
      <c r="J115" t="s">
        <v>4</v>
      </c>
      <c r="K115" s="3">
        <v>-156459.28</v>
      </c>
      <c r="L115" t="s">
        <v>83</v>
      </c>
      <c r="M115" t="e">
        <f>VLOOKUP(G115,Sheet2!$D$3:$H$171,3,)</f>
        <v>#N/A</v>
      </c>
      <c r="Q115" s="26" t="e">
        <f>VLOOKUP(G115,'[1]TDS not in our Books'!$D:$H,5,0)</f>
        <v>#N/A</v>
      </c>
    </row>
    <row r="116" spans="1:20" outlineLevel="2" x14ac:dyDescent="0.25">
      <c r="A116" t="s">
        <v>0</v>
      </c>
      <c r="B116" t="s">
        <v>1</v>
      </c>
      <c r="C116" s="2">
        <v>45762</v>
      </c>
      <c r="D116" s="13">
        <v>1800006278</v>
      </c>
      <c r="E116" t="s">
        <v>14</v>
      </c>
      <c r="F116" s="2">
        <v>45762</v>
      </c>
      <c r="G116" s="23">
        <v>256779411169</v>
      </c>
      <c r="H116" t="s">
        <v>13</v>
      </c>
      <c r="I116" s="3">
        <v>50</v>
      </c>
      <c r="J116" t="s">
        <v>4</v>
      </c>
      <c r="K116" s="3">
        <v>4346.09</v>
      </c>
      <c r="L116" t="s">
        <v>31</v>
      </c>
      <c r="M116">
        <f>VLOOKUP(G116,Sheet2!$D$3:$H$171,3,)</f>
        <v>4199</v>
      </c>
      <c r="N116" s="14">
        <f t="shared" ref="N116:N147" si="7">K116-M116</f>
        <v>147.09000000000015</v>
      </c>
      <c r="O116" s="20">
        <f t="shared" ref="O116:O147" si="8">N116/K116</f>
        <v>3.3844213994648098E-2</v>
      </c>
      <c r="Q116" s="26">
        <f>VLOOKUP(G116,'[1]TDS not in our Books'!$D:$H,5,0)</f>
        <v>86</v>
      </c>
      <c r="R116" s="35">
        <f t="shared" ref="R116:R147" si="9">K116-Q116</f>
        <v>4260.09</v>
      </c>
      <c r="S116">
        <f>VLOOKUP(D116,[2]Sheet1!$D:$S,16,0)</f>
        <v>1400001259</v>
      </c>
      <c r="T116">
        <f>VLOOKUP(D116,[2]Sheet1!$D:$T,17,0)</f>
        <v>4199</v>
      </c>
    </row>
    <row r="117" spans="1:20" outlineLevel="2" x14ac:dyDescent="0.25">
      <c r="A117" t="s">
        <v>0</v>
      </c>
      <c r="B117" t="s">
        <v>1</v>
      </c>
      <c r="C117" s="2">
        <v>45762</v>
      </c>
      <c r="D117" s="13">
        <v>1800006277</v>
      </c>
      <c r="E117" t="s">
        <v>14</v>
      </c>
      <c r="F117" s="2">
        <v>45762</v>
      </c>
      <c r="G117" s="23">
        <v>256779411168</v>
      </c>
      <c r="H117" t="s">
        <v>13</v>
      </c>
      <c r="I117" s="3">
        <v>60.51</v>
      </c>
      <c r="J117" t="s">
        <v>4</v>
      </c>
      <c r="K117" s="3">
        <v>5259.64</v>
      </c>
      <c r="L117" t="s">
        <v>31</v>
      </c>
      <c r="M117">
        <f>VLOOKUP(G117,Sheet2!$D$3:$H$171,3,)</f>
        <v>5081</v>
      </c>
      <c r="N117" s="14">
        <f t="shared" si="7"/>
        <v>178.64000000000033</v>
      </c>
      <c r="O117" s="20">
        <f t="shared" si="8"/>
        <v>3.3964301739282596E-2</v>
      </c>
      <c r="Q117" s="26">
        <f>VLOOKUP(G117,'[1]TDS not in our Books'!$D:$H,5,0)</f>
        <v>104</v>
      </c>
      <c r="R117" s="35">
        <f t="shared" si="9"/>
        <v>5155.6400000000003</v>
      </c>
      <c r="S117">
        <f>VLOOKUP(D117,[2]Sheet1!$D:$S,16,0)</f>
        <v>1400001259</v>
      </c>
      <c r="T117">
        <f>VLOOKUP(D117,[2]Sheet1!$D:$T,17,0)</f>
        <v>5081</v>
      </c>
    </row>
    <row r="118" spans="1:20" outlineLevel="2" x14ac:dyDescent="0.25">
      <c r="A118" t="s">
        <v>0</v>
      </c>
      <c r="B118" t="s">
        <v>1</v>
      </c>
      <c r="C118" s="2">
        <v>45762</v>
      </c>
      <c r="D118" s="13">
        <v>1800006276</v>
      </c>
      <c r="E118" t="s">
        <v>14</v>
      </c>
      <c r="F118" s="2">
        <v>45762</v>
      </c>
      <c r="G118" s="23">
        <v>256779411167</v>
      </c>
      <c r="H118" t="s">
        <v>13</v>
      </c>
      <c r="I118" s="3">
        <v>68.819999999999993</v>
      </c>
      <c r="J118" t="s">
        <v>4</v>
      </c>
      <c r="K118" s="3">
        <v>5981.96</v>
      </c>
      <c r="L118" t="s">
        <v>31</v>
      </c>
      <c r="M118">
        <f>VLOOKUP(G118,Sheet2!$D$3:$H$171,3,)</f>
        <v>5779</v>
      </c>
      <c r="N118" s="14">
        <f t="shared" si="7"/>
        <v>202.96000000000004</v>
      </c>
      <c r="O118" s="20">
        <f t="shared" si="8"/>
        <v>3.392867889454293E-2</v>
      </c>
      <c r="Q118" s="26">
        <f>VLOOKUP(G118,'[1]TDS not in our Books'!$D:$H,5,0)</f>
        <v>118</v>
      </c>
      <c r="R118" s="35">
        <f t="shared" si="9"/>
        <v>5863.96</v>
      </c>
      <c r="S118">
        <f>VLOOKUP(D118,[2]Sheet1!$D:$S,16,0)</f>
        <v>1400001259</v>
      </c>
      <c r="T118">
        <f>VLOOKUP(D118,[2]Sheet1!$D:$T,17,0)</f>
        <v>5779</v>
      </c>
    </row>
    <row r="119" spans="1:20" outlineLevel="2" x14ac:dyDescent="0.25">
      <c r="A119" t="s">
        <v>0</v>
      </c>
      <c r="B119" t="s">
        <v>1</v>
      </c>
      <c r="C119" s="2">
        <v>45762</v>
      </c>
      <c r="D119" s="13">
        <v>1800006279</v>
      </c>
      <c r="E119" t="s">
        <v>14</v>
      </c>
      <c r="F119" s="2">
        <v>45762</v>
      </c>
      <c r="G119" s="23">
        <v>256779411170</v>
      </c>
      <c r="H119" t="s">
        <v>13</v>
      </c>
      <c r="I119" s="3">
        <v>120</v>
      </c>
      <c r="J119" t="s">
        <v>4</v>
      </c>
      <c r="K119" s="3">
        <v>10430.620000000001</v>
      </c>
      <c r="L119" t="s">
        <v>32</v>
      </c>
      <c r="M119">
        <f>VLOOKUP(G119,Sheet2!$D$3:$H$171,3,)</f>
        <v>10077</v>
      </c>
      <c r="N119" s="14">
        <f t="shared" si="7"/>
        <v>353.6200000000008</v>
      </c>
      <c r="O119" s="20">
        <f t="shared" si="8"/>
        <v>3.3902107449029953E-2</v>
      </c>
      <c r="Q119" s="26">
        <f>VLOOKUP(G119,'[1]TDS not in our Books'!$D:$H,5,0)</f>
        <v>206</v>
      </c>
      <c r="R119" s="35">
        <f t="shared" si="9"/>
        <v>10224.620000000001</v>
      </c>
      <c r="S119">
        <f>VLOOKUP(D119,[2]Sheet1!$D:$S,16,0)</f>
        <v>1400001259</v>
      </c>
      <c r="T119">
        <f>VLOOKUP(D119,[2]Sheet1!$D:$T,17,0)</f>
        <v>10077</v>
      </c>
    </row>
    <row r="120" spans="1:20" outlineLevel="2" x14ac:dyDescent="0.25">
      <c r="A120" t="s">
        <v>0</v>
      </c>
      <c r="B120" t="s">
        <v>1</v>
      </c>
      <c r="C120" s="2">
        <v>45763</v>
      </c>
      <c r="D120" s="13">
        <v>1800006923</v>
      </c>
      <c r="E120" t="s">
        <v>14</v>
      </c>
      <c r="F120" s="2">
        <v>45763</v>
      </c>
      <c r="G120" s="23">
        <v>256779411814</v>
      </c>
      <c r="H120" t="s">
        <v>13</v>
      </c>
      <c r="I120" s="3">
        <v>1</v>
      </c>
      <c r="J120" t="s">
        <v>4</v>
      </c>
      <c r="K120" s="3">
        <v>86.92</v>
      </c>
      <c r="L120" t="s">
        <v>37</v>
      </c>
      <c r="M120">
        <f>VLOOKUP(G120,Sheet2!$D$3:$H$171,3,)</f>
        <v>84</v>
      </c>
      <c r="N120" s="14">
        <f t="shared" si="7"/>
        <v>2.9200000000000017</v>
      </c>
      <c r="O120" s="20">
        <f t="shared" si="8"/>
        <v>3.3594109526000941E-2</v>
      </c>
      <c r="Q120" s="26">
        <f>VLOOKUP(G120,'[1]TDS not in our Books'!$D:$H,5,0)</f>
        <v>2</v>
      </c>
      <c r="R120" s="35">
        <f t="shared" si="9"/>
        <v>84.92</v>
      </c>
      <c r="S120">
        <f>VLOOKUP(D120,[2]Sheet1!$D:$S,16,0)</f>
        <v>1400001259</v>
      </c>
      <c r="T120">
        <f>VLOOKUP(D120,[2]Sheet1!$D:$T,17,0)</f>
        <v>84</v>
      </c>
    </row>
    <row r="121" spans="1:20" outlineLevel="2" x14ac:dyDescent="0.25">
      <c r="A121" t="s">
        <v>0</v>
      </c>
      <c r="B121" t="s">
        <v>1</v>
      </c>
      <c r="C121" s="2">
        <v>45763</v>
      </c>
      <c r="D121" s="13">
        <v>1800007004</v>
      </c>
      <c r="E121" t="s">
        <v>14</v>
      </c>
      <c r="F121" s="2">
        <v>45763</v>
      </c>
      <c r="G121" s="23">
        <v>256779411895</v>
      </c>
      <c r="H121" t="s">
        <v>13</v>
      </c>
      <c r="I121" s="3">
        <v>1</v>
      </c>
      <c r="J121" t="s">
        <v>4</v>
      </c>
      <c r="K121" s="3">
        <v>86.92</v>
      </c>
      <c r="L121" t="s">
        <v>39</v>
      </c>
      <c r="M121">
        <f>VLOOKUP(G121,Sheet2!$D$3:$H$171,3,)</f>
        <v>84</v>
      </c>
      <c r="N121" s="14">
        <f t="shared" si="7"/>
        <v>2.9200000000000017</v>
      </c>
      <c r="O121" s="20">
        <f t="shared" si="8"/>
        <v>3.3594109526000941E-2</v>
      </c>
      <c r="Q121" s="26">
        <f>VLOOKUP(G121,'[1]TDS not in our Books'!$D:$H,5,0)</f>
        <v>2</v>
      </c>
      <c r="R121" s="35">
        <f t="shared" si="9"/>
        <v>84.92</v>
      </c>
      <c r="S121">
        <f>VLOOKUP(D121,[2]Sheet1!$D:$S,16,0)</f>
        <v>1400001259</v>
      </c>
      <c r="T121">
        <f>VLOOKUP(D121,[2]Sheet1!$D:$T,17,0)</f>
        <v>84</v>
      </c>
    </row>
    <row r="122" spans="1:20" outlineLevel="2" x14ac:dyDescent="0.25">
      <c r="A122" t="s">
        <v>0</v>
      </c>
      <c r="B122" t="s">
        <v>1</v>
      </c>
      <c r="C122" s="2">
        <v>45763</v>
      </c>
      <c r="D122" s="13">
        <v>1800006922</v>
      </c>
      <c r="E122" t="s">
        <v>14</v>
      </c>
      <c r="F122" s="2">
        <v>45763</v>
      </c>
      <c r="G122" s="23">
        <v>256779411813</v>
      </c>
      <c r="H122" t="s">
        <v>13</v>
      </c>
      <c r="I122" s="3">
        <v>1.75</v>
      </c>
      <c r="J122" t="s">
        <v>4</v>
      </c>
      <c r="K122" s="3">
        <v>152.11000000000001</v>
      </c>
      <c r="L122" t="s">
        <v>36</v>
      </c>
      <c r="M122">
        <f>VLOOKUP(G122,Sheet2!$D$3:$H$171,3,)</f>
        <v>147</v>
      </c>
      <c r="N122" s="14">
        <f t="shared" si="7"/>
        <v>5.1100000000000136</v>
      </c>
      <c r="O122" s="20">
        <f t="shared" si="8"/>
        <v>3.3594109526001004E-2</v>
      </c>
      <c r="Q122" s="26">
        <f>VLOOKUP(G122,'[1]TDS not in our Books'!$D:$H,5,0)</f>
        <v>3</v>
      </c>
      <c r="R122" s="35">
        <f t="shared" si="9"/>
        <v>149.11000000000001</v>
      </c>
      <c r="S122">
        <f>VLOOKUP(D122,[2]Sheet1!$D:$S,16,0)</f>
        <v>1400001259</v>
      </c>
      <c r="T122">
        <f>VLOOKUP(D122,[2]Sheet1!$D:$T,17,0)</f>
        <v>147</v>
      </c>
    </row>
    <row r="123" spans="1:20" outlineLevel="2" x14ac:dyDescent="0.25">
      <c r="A123" t="s">
        <v>0</v>
      </c>
      <c r="B123" t="s">
        <v>1</v>
      </c>
      <c r="C123" s="2">
        <v>45763</v>
      </c>
      <c r="D123" s="13">
        <v>1800007003</v>
      </c>
      <c r="E123" t="s">
        <v>14</v>
      </c>
      <c r="F123" s="2">
        <v>45763</v>
      </c>
      <c r="G123" s="23">
        <v>256779411894</v>
      </c>
      <c r="H123" t="s">
        <v>13</v>
      </c>
      <c r="I123" s="3">
        <v>7.07</v>
      </c>
      <c r="J123" t="s">
        <v>4</v>
      </c>
      <c r="K123" s="3">
        <v>614.54</v>
      </c>
      <c r="L123" t="s">
        <v>17</v>
      </c>
      <c r="M123">
        <f>VLOOKUP(G123,Sheet2!$D$3:$H$171,3,)</f>
        <v>594</v>
      </c>
      <c r="N123" s="14">
        <f t="shared" si="7"/>
        <v>20.539999999999964</v>
      </c>
      <c r="O123" s="20">
        <f t="shared" si="8"/>
        <v>3.3423373580238822E-2</v>
      </c>
      <c r="Q123" s="26">
        <f>VLOOKUP(G123,'[1]TDS not in our Books'!$D:$H,5,0)</f>
        <v>12</v>
      </c>
      <c r="R123" s="35">
        <f t="shared" si="9"/>
        <v>602.54</v>
      </c>
      <c r="S123">
        <f>VLOOKUP(D123,[2]Sheet1!$D:$S,16,0)</f>
        <v>1400001259</v>
      </c>
      <c r="T123">
        <f>VLOOKUP(D123,[2]Sheet1!$D:$T,17,0)</f>
        <v>594</v>
      </c>
    </row>
    <row r="124" spans="1:20" outlineLevel="2" x14ac:dyDescent="0.25">
      <c r="A124" t="s">
        <v>0</v>
      </c>
      <c r="B124" t="s">
        <v>1</v>
      </c>
      <c r="C124" s="2">
        <v>45763</v>
      </c>
      <c r="D124" s="13">
        <v>1800007214</v>
      </c>
      <c r="E124" t="s">
        <v>14</v>
      </c>
      <c r="F124" s="2">
        <v>45763</v>
      </c>
      <c r="G124" s="23">
        <v>256779412105</v>
      </c>
      <c r="H124" t="s">
        <v>13</v>
      </c>
      <c r="I124" s="3">
        <v>12.85</v>
      </c>
      <c r="J124" t="s">
        <v>4</v>
      </c>
      <c r="K124" s="3">
        <v>1116.95</v>
      </c>
      <c r="L124" t="s">
        <v>41</v>
      </c>
      <c r="M124">
        <f>VLOOKUP(G124,Sheet2!$D$3:$H$171,3,)</f>
        <v>1078</v>
      </c>
      <c r="N124" s="14">
        <f t="shared" si="7"/>
        <v>38.950000000000045</v>
      </c>
      <c r="O124" s="20">
        <f t="shared" si="8"/>
        <v>3.4871748959219344E-2</v>
      </c>
      <c r="Q124" s="26">
        <f>VLOOKUP(G124,'[1]TDS not in our Books'!$D:$H,5,0)</f>
        <v>22</v>
      </c>
      <c r="R124" s="35">
        <f t="shared" si="9"/>
        <v>1094.95</v>
      </c>
      <c r="S124">
        <f>VLOOKUP(D124,[2]Sheet1!$D:$S,16,0)</f>
        <v>1400001259</v>
      </c>
      <c r="T124">
        <f>VLOOKUP(D124,[2]Sheet1!$D:$T,17,0)</f>
        <v>1078</v>
      </c>
    </row>
    <row r="125" spans="1:20" outlineLevel="2" x14ac:dyDescent="0.25">
      <c r="A125" t="s">
        <v>0</v>
      </c>
      <c r="B125" t="s">
        <v>1</v>
      </c>
      <c r="C125" s="2">
        <v>45763</v>
      </c>
      <c r="D125" s="13">
        <v>1800006924</v>
      </c>
      <c r="E125" t="s">
        <v>14</v>
      </c>
      <c r="F125" s="2">
        <v>45763</v>
      </c>
      <c r="G125" s="23">
        <v>256779411815</v>
      </c>
      <c r="H125" t="s">
        <v>13</v>
      </c>
      <c r="I125" s="3">
        <v>15</v>
      </c>
      <c r="J125" t="s">
        <v>4</v>
      </c>
      <c r="K125" s="3">
        <v>1303.83</v>
      </c>
      <c r="L125" t="s">
        <v>38</v>
      </c>
      <c r="M125">
        <f>VLOOKUP(G125,Sheet2!$D$3:$H$171,3,)</f>
        <v>1259</v>
      </c>
      <c r="N125" s="14">
        <f t="shared" si="7"/>
        <v>44.829999999999927</v>
      </c>
      <c r="O125" s="20">
        <f t="shared" si="8"/>
        <v>3.4383316843453464E-2</v>
      </c>
      <c r="Q125" s="26">
        <f>VLOOKUP(G125,'[1]TDS not in our Books'!$D:$H,5,0)</f>
        <v>26</v>
      </c>
      <c r="R125" s="35">
        <f t="shared" si="9"/>
        <v>1277.83</v>
      </c>
      <c r="S125">
        <f>VLOOKUP(D125,[2]Sheet1!$D:$S,16,0)</f>
        <v>1400001259</v>
      </c>
      <c r="T125">
        <f>VLOOKUP(D125,[2]Sheet1!$D:$T,17,0)</f>
        <v>1259</v>
      </c>
    </row>
    <row r="126" spans="1:20" outlineLevel="2" x14ac:dyDescent="0.25">
      <c r="A126" t="s">
        <v>0</v>
      </c>
      <c r="B126" t="s">
        <v>1</v>
      </c>
      <c r="C126" s="2">
        <v>45763</v>
      </c>
      <c r="D126" s="13">
        <v>1800007133</v>
      </c>
      <c r="E126" t="s">
        <v>14</v>
      </c>
      <c r="F126" s="2">
        <v>45763</v>
      </c>
      <c r="G126" s="23">
        <v>256779412024</v>
      </c>
      <c r="H126" t="s">
        <v>13</v>
      </c>
      <c r="I126" s="3">
        <v>489.55</v>
      </c>
      <c r="J126" t="s">
        <v>4</v>
      </c>
      <c r="K126" s="3">
        <v>42552.58</v>
      </c>
      <c r="L126" t="s">
        <v>40</v>
      </c>
      <c r="M126">
        <f>VLOOKUP(G126,Sheet2!$D$3:$H$171,3,)</f>
        <v>41567</v>
      </c>
      <c r="N126" s="14">
        <f t="shared" si="7"/>
        <v>985.58000000000175</v>
      </c>
      <c r="O126" s="20">
        <f t="shared" si="8"/>
        <v>2.316146283022091E-2</v>
      </c>
      <c r="Q126" s="26">
        <f>VLOOKUP(G126,'[1]TDS not in our Books'!$D:$H,5,0)</f>
        <v>848</v>
      </c>
      <c r="R126" s="35">
        <f t="shared" si="9"/>
        <v>41704.58</v>
      </c>
      <c r="S126">
        <f>VLOOKUP(D126,[2]Sheet1!$D:$S,16,0)</f>
        <v>1400001259</v>
      </c>
      <c r="T126">
        <f>VLOOKUP(D126,[2]Sheet1!$D:$T,17,0)</f>
        <v>28917</v>
      </c>
    </row>
    <row r="127" spans="1:20" outlineLevel="2" x14ac:dyDescent="0.25">
      <c r="A127" t="s">
        <v>0</v>
      </c>
      <c r="B127" t="s">
        <v>1</v>
      </c>
      <c r="C127" s="2">
        <v>45763</v>
      </c>
      <c r="D127" s="13">
        <v>1800006833</v>
      </c>
      <c r="E127" t="s">
        <v>14</v>
      </c>
      <c r="F127" s="2">
        <v>45763</v>
      </c>
      <c r="G127" s="23">
        <v>256779411724</v>
      </c>
      <c r="H127" t="s">
        <v>13</v>
      </c>
      <c r="I127" s="3">
        <v>620</v>
      </c>
      <c r="J127" t="s">
        <v>4</v>
      </c>
      <c r="K127" s="3">
        <v>53891.53</v>
      </c>
      <c r="L127" t="s">
        <v>35</v>
      </c>
      <c r="M127">
        <f>VLOOKUP(G127,Sheet2!$D$3:$H$171,3,)</f>
        <v>52814</v>
      </c>
      <c r="N127" s="14">
        <f t="shared" si="7"/>
        <v>1077.5299999999988</v>
      </c>
      <c r="O127" s="20">
        <f t="shared" si="8"/>
        <v>1.9994422129043263E-2</v>
      </c>
      <c r="Q127" s="26">
        <f>VLOOKUP(G127,'[1]TDS not in our Books'!$D:$H,5,0)</f>
        <v>1078</v>
      </c>
      <c r="R127" s="35">
        <f t="shared" si="9"/>
        <v>52813.53</v>
      </c>
      <c r="S127">
        <f>VLOOKUP(D127,[2]Sheet1!$D:$S,16,0)</f>
        <v>1400001341</v>
      </c>
      <c r="T127">
        <f>VLOOKUP(D127,[2]Sheet1!$D:$T,17,0)</f>
        <v>52814</v>
      </c>
    </row>
    <row r="128" spans="1:20" outlineLevel="2" x14ac:dyDescent="0.25">
      <c r="A128" t="s">
        <v>0</v>
      </c>
      <c r="B128" t="s">
        <v>1</v>
      </c>
      <c r="C128" s="2">
        <v>45763</v>
      </c>
      <c r="D128" s="13">
        <v>1800007220</v>
      </c>
      <c r="E128" t="s">
        <v>14</v>
      </c>
      <c r="F128" s="2">
        <v>45763</v>
      </c>
      <c r="G128" s="23">
        <v>256779412111</v>
      </c>
      <c r="H128" t="s">
        <v>13</v>
      </c>
      <c r="I128" s="3">
        <v>1082.6400000000001</v>
      </c>
      <c r="J128" t="s">
        <v>4</v>
      </c>
      <c r="K128" s="3">
        <v>94105.04</v>
      </c>
      <c r="L128" t="s">
        <v>42</v>
      </c>
      <c r="M128">
        <f>VLOOKUP(G128,Sheet2!$D$3:$H$171,3,)</f>
        <v>83452</v>
      </c>
      <c r="N128" s="14">
        <f t="shared" si="7"/>
        <v>10653.039999999994</v>
      </c>
      <c r="O128" s="20">
        <f t="shared" si="8"/>
        <v>0.11320371363744168</v>
      </c>
      <c r="Q128" s="26">
        <f>VLOOKUP(G128,'[1]TDS not in our Books'!$D:$H,5,0)</f>
        <v>9272</v>
      </c>
      <c r="R128" s="35">
        <f t="shared" si="9"/>
        <v>84833.04</v>
      </c>
      <c r="S128">
        <f>VLOOKUP(D128,[2]Sheet1!$D:$S,16,0)</f>
        <v>1400001341</v>
      </c>
      <c r="T128">
        <f>VLOOKUP(D128,[2]Sheet1!$D:$T,17,0)</f>
        <v>83452</v>
      </c>
    </row>
    <row r="129" spans="1:20" outlineLevel="2" x14ac:dyDescent="0.25">
      <c r="A129" t="s">
        <v>0</v>
      </c>
      <c r="B129" t="s">
        <v>1</v>
      </c>
      <c r="C129" s="2">
        <v>45768</v>
      </c>
      <c r="D129" s="13">
        <v>1800007269</v>
      </c>
      <c r="E129" t="s">
        <v>14</v>
      </c>
      <c r="F129" s="2">
        <v>45768</v>
      </c>
      <c r="G129" s="23">
        <v>256779412160</v>
      </c>
      <c r="H129" t="s">
        <v>13</v>
      </c>
      <c r="I129" s="3">
        <v>188.79</v>
      </c>
      <c r="J129" t="s">
        <v>4</v>
      </c>
      <c r="K129" s="3">
        <v>16200.07</v>
      </c>
      <c r="L129" t="s">
        <v>131</v>
      </c>
      <c r="M129">
        <f>VLOOKUP(G129,Sheet2!$D$3:$H$171,3,)</f>
        <v>14552</v>
      </c>
      <c r="N129" s="14">
        <f t="shared" si="7"/>
        <v>1648.0699999999997</v>
      </c>
      <c r="O129" s="20">
        <f t="shared" si="8"/>
        <v>0.10173227646547205</v>
      </c>
      <c r="Q129" s="26">
        <f>VLOOKUP(G129,'[1]TDS not in our Books'!$D:$H,5,0)</f>
        <v>1617</v>
      </c>
      <c r="R129" s="35">
        <f t="shared" si="9"/>
        <v>14583.07</v>
      </c>
      <c r="S129">
        <f>VLOOKUP(D129,[2]Sheet1!$D:$S,16,0)</f>
        <v>1400001341</v>
      </c>
      <c r="T129">
        <f>VLOOKUP(D129,[2]Sheet1!$D:$T,17,0)</f>
        <v>14552</v>
      </c>
    </row>
    <row r="130" spans="1:20" outlineLevel="2" x14ac:dyDescent="0.25">
      <c r="A130" t="s">
        <v>0</v>
      </c>
      <c r="B130" t="s">
        <v>1</v>
      </c>
      <c r="C130" s="2">
        <v>45769</v>
      </c>
      <c r="D130" s="13">
        <v>1800007770</v>
      </c>
      <c r="E130" t="s">
        <v>14</v>
      </c>
      <c r="F130" s="2">
        <v>45769</v>
      </c>
      <c r="G130" s="23">
        <v>256779412661</v>
      </c>
      <c r="H130" t="s">
        <v>13</v>
      </c>
      <c r="I130" s="3">
        <v>6.05</v>
      </c>
      <c r="J130" t="s">
        <v>4</v>
      </c>
      <c r="K130" s="3">
        <v>525.88</v>
      </c>
      <c r="L130" t="s">
        <v>144</v>
      </c>
      <c r="M130">
        <f>VLOOKUP(G130,Sheet2!$D$3:$H$171,3,)</f>
        <v>515</v>
      </c>
      <c r="N130" s="14">
        <f t="shared" si="7"/>
        <v>10.879999999999995</v>
      </c>
      <c r="O130" s="20">
        <f t="shared" si="8"/>
        <v>2.0689130600136905E-2</v>
      </c>
      <c r="Q130" s="26">
        <f>VLOOKUP(G130,'[1]TDS not in our Books'!$D:$H,5,0)</f>
        <v>11</v>
      </c>
      <c r="R130" s="35">
        <f t="shared" si="9"/>
        <v>514.88</v>
      </c>
      <c r="S130">
        <f>VLOOKUP(D130,[2]Sheet1!$D:$S,16,0)</f>
        <v>1400001341</v>
      </c>
      <c r="T130">
        <f>VLOOKUP(D130,[2]Sheet1!$D:$T,17,0)</f>
        <v>515</v>
      </c>
    </row>
    <row r="131" spans="1:20" outlineLevel="2" x14ac:dyDescent="0.25">
      <c r="A131" t="s">
        <v>0</v>
      </c>
      <c r="B131" t="s">
        <v>1</v>
      </c>
      <c r="C131" s="2">
        <v>45769</v>
      </c>
      <c r="D131" s="13">
        <v>1800007676</v>
      </c>
      <c r="E131" t="s">
        <v>14</v>
      </c>
      <c r="F131" s="2">
        <v>45769</v>
      </c>
      <c r="G131" s="23">
        <v>256779412567</v>
      </c>
      <c r="H131" t="s">
        <v>13</v>
      </c>
      <c r="I131" s="3">
        <v>17.75</v>
      </c>
      <c r="J131" t="s">
        <v>4</v>
      </c>
      <c r="K131" s="3">
        <v>1542.86</v>
      </c>
      <c r="L131" t="s">
        <v>142</v>
      </c>
      <c r="M131">
        <f>VLOOKUP(G131,Sheet2!$D$3:$H$171,3,)</f>
        <v>1512</v>
      </c>
      <c r="N131" s="14">
        <f t="shared" si="7"/>
        <v>30.8599999999999</v>
      </c>
      <c r="O131" s="20">
        <f t="shared" si="8"/>
        <v>2.0001814811453991E-2</v>
      </c>
      <c r="Q131" s="26">
        <f>VLOOKUP(G131,'[1]TDS not in our Books'!$D:$H,5,0)</f>
        <v>31</v>
      </c>
      <c r="R131" s="35">
        <f t="shared" si="9"/>
        <v>1511.86</v>
      </c>
      <c r="S131">
        <f>VLOOKUP(D131,[2]Sheet1!$D:$S,16,0)</f>
        <v>1400001341</v>
      </c>
      <c r="T131">
        <f>VLOOKUP(D131,[2]Sheet1!$D:$T,17,0)</f>
        <v>1512</v>
      </c>
    </row>
    <row r="132" spans="1:20" outlineLevel="2" x14ac:dyDescent="0.25">
      <c r="A132" t="s">
        <v>0</v>
      </c>
      <c r="B132" t="s">
        <v>1</v>
      </c>
      <c r="C132" s="2">
        <v>45769</v>
      </c>
      <c r="D132" s="13">
        <v>1800007727</v>
      </c>
      <c r="E132" t="s">
        <v>14</v>
      </c>
      <c r="F132" s="2">
        <v>45769</v>
      </c>
      <c r="G132" s="23">
        <v>256779412618</v>
      </c>
      <c r="H132" t="s">
        <v>13</v>
      </c>
      <c r="I132" s="3">
        <v>43.02</v>
      </c>
      <c r="J132" t="s">
        <v>4</v>
      </c>
      <c r="K132" s="3">
        <v>3739.38</v>
      </c>
      <c r="L132" t="s">
        <v>143</v>
      </c>
      <c r="M132">
        <f>VLOOKUP(G132,Sheet2!$D$3:$H$171,3,)</f>
        <v>3664</v>
      </c>
      <c r="N132" s="14">
        <f t="shared" si="7"/>
        <v>75.380000000000109</v>
      </c>
      <c r="O132" s="20">
        <f t="shared" si="8"/>
        <v>2.0158421984393163E-2</v>
      </c>
      <c r="Q132" s="26">
        <f>VLOOKUP(G132,'[1]TDS not in our Books'!$D:$H,5,0)</f>
        <v>75</v>
      </c>
      <c r="R132" s="35">
        <f t="shared" si="9"/>
        <v>3664.38</v>
      </c>
      <c r="S132">
        <f>VLOOKUP(D132,[2]Sheet1!$D:$S,16,0)</f>
        <v>1400001341</v>
      </c>
      <c r="T132">
        <f>VLOOKUP(D132,[2]Sheet1!$D:$T,17,0)</f>
        <v>3664</v>
      </c>
    </row>
    <row r="133" spans="1:20" outlineLevel="2" x14ac:dyDescent="0.25">
      <c r="A133" t="s">
        <v>0</v>
      </c>
      <c r="B133" t="s">
        <v>1</v>
      </c>
      <c r="C133" s="2">
        <v>45770</v>
      </c>
      <c r="D133" s="13">
        <v>1800008001</v>
      </c>
      <c r="E133" t="s">
        <v>14</v>
      </c>
      <c r="F133" s="2">
        <v>45770</v>
      </c>
      <c r="G133" s="23">
        <v>256779412892</v>
      </c>
      <c r="H133" t="s">
        <v>13</v>
      </c>
      <c r="I133" s="3">
        <v>189.2</v>
      </c>
      <c r="J133" t="s">
        <v>4</v>
      </c>
      <c r="K133" s="3">
        <v>16445.61</v>
      </c>
      <c r="L133" t="s">
        <v>150</v>
      </c>
      <c r="M133">
        <f>VLOOKUP(G133,Sheet2!$D$3:$H$171,3,)</f>
        <v>16117</v>
      </c>
      <c r="N133" s="14">
        <f t="shared" si="7"/>
        <v>328.61000000000058</v>
      </c>
      <c r="O133" s="20">
        <f t="shared" si="8"/>
        <v>1.998162427541457E-2</v>
      </c>
      <c r="Q133" s="26">
        <f>VLOOKUP(G133,'[1]TDS not in our Books'!$D:$H,5,0)</f>
        <v>329</v>
      </c>
      <c r="R133" s="35">
        <f t="shared" si="9"/>
        <v>16116.61</v>
      </c>
      <c r="S133">
        <f>VLOOKUP(D133,[2]Sheet1!$D:$S,16,0)</f>
        <v>1400001341</v>
      </c>
      <c r="T133">
        <f>VLOOKUP(D133,[2]Sheet1!$D:$T,17,0)</f>
        <v>16117</v>
      </c>
    </row>
    <row r="134" spans="1:20" outlineLevel="2" x14ac:dyDescent="0.25">
      <c r="A134" t="s">
        <v>0</v>
      </c>
      <c r="B134" t="s">
        <v>1</v>
      </c>
      <c r="C134" s="2">
        <v>45771</v>
      </c>
      <c r="D134" s="13">
        <v>1800007888</v>
      </c>
      <c r="E134" t="s">
        <v>14</v>
      </c>
      <c r="F134" s="2">
        <v>45771</v>
      </c>
      <c r="G134" s="23">
        <v>256779412779</v>
      </c>
      <c r="H134" t="s">
        <v>13</v>
      </c>
      <c r="I134" s="3">
        <v>1820.14</v>
      </c>
      <c r="J134" t="s">
        <v>4</v>
      </c>
      <c r="K134" s="3">
        <v>158209.88</v>
      </c>
      <c r="L134" t="s">
        <v>133</v>
      </c>
      <c r="M134">
        <f>VLOOKUP(G134,Sheet2!$D$3:$H$171,3,)</f>
        <v>140371</v>
      </c>
      <c r="N134" s="14">
        <f t="shared" si="7"/>
        <v>17838.880000000005</v>
      </c>
      <c r="O134" s="20">
        <f t="shared" si="8"/>
        <v>0.11275452582354531</v>
      </c>
      <c r="Q134" s="26">
        <f>VLOOKUP(G134,'[1]TDS not in our Books'!$D:$H,5,0)</f>
        <v>15597</v>
      </c>
      <c r="R134" s="35">
        <f t="shared" si="9"/>
        <v>142612.88</v>
      </c>
      <c r="S134">
        <f>VLOOKUP(D134,[2]Sheet1!$D:$S,16,0)</f>
        <v>1400001341</v>
      </c>
      <c r="T134">
        <f>VLOOKUP(D134,[2]Sheet1!$D:$T,17,0)</f>
        <v>140371</v>
      </c>
    </row>
    <row r="135" spans="1:20" outlineLevel="2" x14ac:dyDescent="0.25">
      <c r="A135" t="s">
        <v>0</v>
      </c>
      <c r="B135" t="s">
        <v>1</v>
      </c>
      <c r="C135" s="2">
        <v>45787</v>
      </c>
      <c r="D135" s="13">
        <v>1800008362</v>
      </c>
      <c r="E135" t="s">
        <v>14</v>
      </c>
      <c r="F135" s="2">
        <v>45787</v>
      </c>
      <c r="G135" s="23">
        <v>256779413245</v>
      </c>
      <c r="H135" t="s">
        <v>13</v>
      </c>
      <c r="I135" s="3">
        <v>396.79</v>
      </c>
      <c r="J135" t="s">
        <v>4</v>
      </c>
      <c r="K135" s="3">
        <v>34117.47</v>
      </c>
      <c r="L135" t="s">
        <v>159</v>
      </c>
      <c r="M135">
        <f>VLOOKUP(G135,Sheet2!$D$3:$H$171,3,)</f>
        <v>33169</v>
      </c>
      <c r="N135" s="14">
        <f t="shared" si="7"/>
        <v>948.47000000000116</v>
      </c>
      <c r="O135" s="20">
        <f t="shared" si="8"/>
        <v>2.7800127031693767E-2</v>
      </c>
      <c r="Q135" s="26">
        <f>VLOOKUP(G135,'[1]TDS not in our Books'!$D:$H,5,0)</f>
        <v>677</v>
      </c>
      <c r="R135" s="35">
        <f t="shared" si="9"/>
        <v>33440.47</v>
      </c>
      <c r="S135">
        <f>VLOOKUP(D135,[2]Sheet1!$D:$S,16,0)</f>
        <v>1400001341</v>
      </c>
      <c r="T135">
        <f>VLOOKUP(D135,[2]Sheet1!$D:$T,17,0)</f>
        <v>33169</v>
      </c>
    </row>
    <row r="136" spans="1:20" outlineLevel="2" x14ac:dyDescent="0.25">
      <c r="A136" t="s">
        <v>0</v>
      </c>
      <c r="B136" t="s">
        <v>1</v>
      </c>
      <c r="C136" s="2">
        <v>45787</v>
      </c>
      <c r="D136" s="13">
        <v>1800008303</v>
      </c>
      <c r="E136" t="s">
        <v>14</v>
      </c>
      <c r="F136" s="2">
        <v>45787</v>
      </c>
      <c r="G136" s="23">
        <v>256779413186</v>
      </c>
      <c r="H136" t="s">
        <v>13</v>
      </c>
      <c r="I136" s="3">
        <v>450</v>
      </c>
      <c r="J136" t="s">
        <v>4</v>
      </c>
      <c r="K136" s="3">
        <v>38692.67</v>
      </c>
      <c r="L136" t="s">
        <v>158</v>
      </c>
      <c r="M136">
        <f>VLOOKUP(G136,Sheet2!$D$3:$H$171,3,)</f>
        <v>34824</v>
      </c>
      <c r="N136" s="14">
        <f t="shared" si="7"/>
        <v>3868.6699999999983</v>
      </c>
      <c r="O136" s="20">
        <f t="shared" si="8"/>
        <v>9.9984570721017657E-2</v>
      </c>
      <c r="Q136" s="26">
        <f>VLOOKUP(G136,'[1]TDS not in our Books'!$D:$H,5,0)</f>
        <v>3869</v>
      </c>
      <c r="R136" s="35">
        <f t="shared" si="9"/>
        <v>34823.67</v>
      </c>
      <c r="S136">
        <f>VLOOKUP(D136,[2]Sheet1!$D:$S,16,0)</f>
        <v>1400001341</v>
      </c>
      <c r="T136">
        <f>VLOOKUP(D136,[2]Sheet1!$D:$T,17,0)</f>
        <v>34824</v>
      </c>
    </row>
    <row r="137" spans="1:20" outlineLevel="2" x14ac:dyDescent="0.25">
      <c r="A137" t="s">
        <v>0</v>
      </c>
      <c r="B137" t="s">
        <v>1</v>
      </c>
      <c r="C137" s="2">
        <v>45787</v>
      </c>
      <c r="D137" s="13">
        <v>1800008231</v>
      </c>
      <c r="E137" t="s">
        <v>14</v>
      </c>
      <c r="F137" s="2">
        <v>45787</v>
      </c>
      <c r="G137" s="23">
        <v>256779413115</v>
      </c>
      <c r="H137" t="s">
        <v>13</v>
      </c>
      <c r="I137" s="3">
        <v>1800</v>
      </c>
      <c r="J137" t="s">
        <v>4</v>
      </c>
      <c r="K137" s="3">
        <v>154770.66</v>
      </c>
      <c r="L137" t="s">
        <v>157</v>
      </c>
      <c r="M137">
        <f>VLOOKUP(G137,Sheet2!$D$3:$H$171,3,)</f>
        <v>139294</v>
      </c>
      <c r="N137" s="14">
        <f t="shared" si="7"/>
        <v>15476.660000000003</v>
      </c>
      <c r="O137" s="20">
        <f t="shared" si="8"/>
        <v>9.9997376763787157E-2</v>
      </c>
      <c r="Q137" s="26">
        <f>VLOOKUP(G137,'[1]TDS not in our Books'!$D:$H,5,0)</f>
        <v>15477</v>
      </c>
      <c r="R137" s="35">
        <f t="shared" si="9"/>
        <v>139293.66</v>
      </c>
      <c r="S137">
        <f>VLOOKUP(D137,[2]Sheet1!$D:$S,16,0)</f>
        <v>1400001341</v>
      </c>
      <c r="T137">
        <f>VLOOKUP(D137,[2]Sheet1!$D:$T,17,0)</f>
        <v>56360</v>
      </c>
    </row>
    <row r="138" spans="1:20" outlineLevel="2" x14ac:dyDescent="0.25">
      <c r="A138" t="s">
        <v>0</v>
      </c>
      <c r="B138" t="s">
        <v>1</v>
      </c>
      <c r="C138" s="2">
        <v>45793</v>
      </c>
      <c r="D138" s="13">
        <v>1800008552</v>
      </c>
      <c r="E138" t="s">
        <v>14</v>
      </c>
      <c r="F138" s="2">
        <v>45793</v>
      </c>
      <c r="G138" s="23">
        <v>256779413316</v>
      </c>
      <c r="H138" t="s">
        <v>13</v>
      </c>
      <c r="I138" s="3">
        <v>546</v>
      </c>
      <c r="J138" t="s">
        <v>4</v>
      </c>
      <c r="K138" s="3">
        <v>46947.1</v>
      </c>
      <c r="L138" t="s">
        <v>84</v>
      </c>
      <c r="M138">
        <f>VLOOKUP(G138,Sheet2!$D$3:$H$171,3,)</f>
        <v>46008</v>
      </c>
      <c r="N138" s="14">
        <f t="shared" si="7"/>
        <v>939.09999999999854</v>
      </c>
      <c r="O138" s="20">
        <f t="shared" si="8"/>
        <v>2.0003365490094141E-2</v>
      </c>
      <c r="Q138" s="26">
        <f>VLOOKUP(G138,'[1]TDS not in our Books'!$D:$H,5,0)</f>
        <v>939</v>
      </c>
      <c r="R138" s="35">
        <f t="shared" si="9"/>
        <v>46008.1</v>
      </c>
      <c r="S138">
        <f>VLOOKUP(D138,[2]Sheet1!$D:$S,16,0)</f>
        <v>1400001345</v>
      </c>
      <c r="T138">
        <f>VLOOKUP(D138,[2]Sheet1!$D:$T,17,0)</f>
        <v>17066</v>
      </c>
    </row>
    <row r="139" spans="1:20" outlineLevel="2" x14ac:dyDescent="0.25">
      <c r="A139" t="s">
        <v>0</v>
      </c>
      <c r="B139" t="s">
        <v>1</v>
      </c>
      <c r="C139" s="2">
        <v>45797</v>
      </c>
      <c r="D139" s="13">
        <v>1800008727</v>
      </c>
      <c r="E139" t="s">
        <v>14</v>
      </c>
      <c r="F139" s="2">
        <v>45797</v>
      </c>
      <c r="G139" s="23">
        <v>256779413491</v>
      </c>
      <c r="H139" t="s">
        <v>13</v>
      </c>
      <c r="I139" s="3">
        <v>88.75</v>
      </c>
      <c r="J139" t="s">
        <v>4</v>
      </c>
      <c r="K139" s="3">
        <v>7631.05</v>
      </c>
      <c r="L139" t="s">
        <v>122</v>
      </c>
      <c r="M139">
        <f>VLOOKUP(G139,Sheet2!$D$3:$H$171,3,)</f>
        <v>7478</v>
      </c>
      <c r="N139" s="14">
        <f t="shared" si="7"/>
        <v>153.05000000000018</v>
      </c>
      <c r="O139" s="20">
        <f t="shared" si="8"/>
        <v>2.0056217689570922E-2</v>
      </c>
      <c r="Q139" s="26">
        <f>VLOOKUP(G139,'[1]TDS not in our Books'!$D:$H,5,0)</f>
        <v>153</v>
      </c>
      <c r="R139" s="35">
        <f t="shared" si="9"/>
        <v>7478.05</v>
      </c>
      <c r="S139">
        <f>VLOOKUP(D139,[2]Sheet1!$D:$S,16,0)</f>
        <v>1400001406</v>
      </c>
      <c r="T139">
        <f>VLOOKUP(D139,[2]Sheet1!$D:$T,17,0)</f>
        <v>7478</v>
      </c>
    </row>
    <row r="140" spans="1:20" outlineLevel="2" x14ac:dyDescent="0.25">
      <c r="A140" t="s">
        <v>0</v>
      </c>
      <c r="B140" t="s">
        <v>1</v>
      </c>
      <c r="C140" s="2">
        <v>45805</v>
      </c>
      <c r="D140" s="13">
        <v>1800009127</v>
      </c>
      <c r="E140" t="s">
        <v>14</v>
      </c>
      <c r="F140" s="2">
        <v>45805</v>
      </c>
      <c r="G140" s="23">
        <v>256779413891</v>
      </c>
      <c r="H140" t="s">
        <v>13</v>
      </c>
      <c r="I140" s="3">
        <v>1501.8</v>
      </c>
      <c r="J140" t="s">
        <v>4</v>
      </c>
      <c r="K140" s="3">
        <v>129130.32</v>
      </c>
      <c r="L140" t="s">
        <v>85</v>
      </c>
      <c r="M140">
        <f>VLOOKUP(G140,Sheet2!$D$3:$H$171,3,)</f>
        <v>116217</v>
      </c>
      <c r="N140" s="14">
        <f t="shared" si="7"/>
        <v>12913.320000000007</v>
      </c>
      <c r="O140" s="20">
        <f t="shared" si="8"/>
        <v>0.10000223030501285</v>
      </c>
      <c r="Q140" s="26">
        <f>VLOOKUP(G140,'[1]TDS not in our Books'!$D:$H,5,0)</f>
        <v>12913</v>
      </c>
      <c r="R140" s="35">
        <f t="shared" si="9"/>
        <v>116217.32</v>
      </c>
      <c r="S140">
        <f>VLOOKUP(D140,[2]Sheet1!$D:$S,16,0)</f>
        <v>1400001406</v>
      </c>
      <c r="T140">
        <f>VLOOKUP(D140,[2]Sheet1!$D:$T,17,0)</f>
        <v>63580</v>
      </c>
    </row>
    <row r="141" spans="1:20" outlineLevel="2" x14ac:dyDescent="0.25">
      <c r="A141" t="s">
        <v>0</v>
      </c>
      <c r="B141" t="s">
        <v>1</v>
      </c>
      <c r="C141" s="2">
        <v>45810</v>
      </c>
      <c r="D141" s="13">
        <v>1800009234</v>
      </c>
      <c r="E141" t="s">
        <v>14</v>
      </c>
      <c r="F141" s="2">
        <v>45810</v>
      </c>
      <c r="G141" s="23">
        <v>256779413998</v>
      </c>
      <c r="H141" t="s">
        <v>13</v>
      </c>
      <c r="I141" s="3">
        <v>190.21</v>
      </c>
      <c r="J141" t="s">
        <v>4</v>
      </c>
      <c r="K141" s="3">
        <v>16261.2</v>
      </c>
      <c r="L141" t="s">
        <v>151</v>
      </c>
      <c r="M141">
        <f>VLOOKUP(G141,Sheet2!$D$3:$H$171,3,)</f>
        <v>15936</v>
      </c>
      <c r="N141" s="14">
        <f t="shared" si="7"/>
        <v>325.20000000000073</v>
      </c>
      <c r="O141" s="20">
        <f t="shared" si="8"/>
        <v>1.9998524094162837E-2</v>
      </c>
      <c r="Q141" s="26">
        <f>VLOOKUP(G141,'[1]TDS not in our Books'!$D:$H,5,0)</f>
        <v>325</v>
      </c>
      <c r="R141" s="35">
        <f t="shared" si="9"/>
        <v>15936.2</v>
      </c>
      <c r="S141">
        <f>VLOOKUP(D141,[2]Sheet1!$D:$S,16,0)</f>
        <v>1400001615</v>
      </c>
      <c r="T141">
        <f>VLOOKUP(D141,[2]Sheet1!$D:$T,17,0)</f>
        <v>15936</v>
      </c>
    </row>
    <row r="142" spans="1:20" outlineLevel="2" x14ac:dyDescent="0.25">
      <c r="A142" t="s">
        <v>0</v>
      </c>
      <c r="B142" t="s">
        <v>1</v>
      </c>
      <c r="C142" s="2">
        <v>45810</v>
      </c>
      <c r="D142" s="13">
        <v>1800009158</v>
      </c>
      <c r="E142" t="s">
        <v>14</v>
      </c>
      <c r="F142" s="2">
        <v>45810</v>
      </c>
      <c r="G142" s="23">
        <v>256779413922</v>
      </c>
      <c r="H142" t="s">
        <v>13</v>
      </c>
      <c r="I142" s="3">
        <v>368.88</v>
      </c>
      <c r="J142" t="s">
        <v>4</v>
      </c>
      <c r="K142" s="3">
        <v>31535.84</v>
      </c>
      <c r="L142" t="s">
        <v>155</v>
      </c>
      <c r="M142">
        <f>VLOOKUP(G142,Sheet2!$D$3:$H$171,3,)</f>
        <v>30905</v>
      </c>
      <c r="N142" s="14">
        <f t="shared" si="7"/>
        <v>630.84000000000015</v>
      </c>
      <c r="O142" s="20">
        <f t="shared" si="8"/>
        <v>2.0003906666193137E-2</v>
      </c>
      <c r="Q142" s="26">
        <f>VLOOKUP(G142,'[1]TDS not in our Books'!$D:$H,5,0)</f>
        <v>631</v>
      </c>
      <c r="R142" s="35">
        <f t="shared" si="9"/>
        <v>30904.84</v>
      </c>
      <c r="S142">
        <f>VLOOKUP(D142,[2]Sheet1!$D:$S,16,0)</f>
        <v>1400001615</v>
      </c>
      <c r="T142">
        <f>VLOOKUP(D142,[2]Sheet1!$D:$T,17,0)</f>
        <v>30905</v>
      </c>
    </row>
    <row r="143" spans="1:20" outlineLevel="2" x14ac:dyDescent="0.25">
      <c r="A143" t="s">
        <v>0</v>
      </c>
      <c r="B143" t="s">
        <v>1</v>
      </c>
      <c r="C143" s="2">
        <v>45812</v>
      </c>
      <c r="D143" s="13">
        <v>1800009500</v>
      </c>
      <c r="E143" t="s">
        <v>14</v>
      </c>
      <c r="F143" s="2">
        <v>45812</v>
      </c>
      <c r="G143" s="23">
        <v>256779414264</v>
      </c>
      <c r="H143" t="s">
        <v>13</v>
      </c>
      <c r="I143" s="3">
        <v>7.02</v>
      </c>
      <c r="J143" t="s">
        <v>4</v>
      </c>
      <c r="K143" s="3">
        <v>600.15</v>
      </c>
      <c r="L143" t="s">
        <v>79</v>
      </c>
      <c r="M143">
        <f>VLOOKUP(G143,Sheet2!$D$3:$H$171,3,)</f>
        <v>588</v>
      </c>
      <c r="N143" s="14">
        <f t="shared" si="7"/>
        <v>12.149999999999977</v>
      </c>
      <c r="O143" s="20">
        <f t="shared" si="8"/>
        <v>2.0244938765308636E-2</v>
      </c>
      <c r="Q143" s="26">
        <f>VLOOKUP(G143,'[1]TDS not in our Books'!$D:$H,5,0)</f>
        <v>12</v>
      </c>
      <c r="R143" s="35">
        <f t="shared" si="9"/>
        <v>588.15</v>
      </c>
      <c r="S143">
        <f>VLOOKUP(D143,[2]Sheet1!$D:$S,16,0)</f>
        <v>1400001615</v>
      </c>
      <c r="T143">
        <f>VLOOKUP(D143,[2]Sheet1!$D:$T,17,0)</f>
        <v>522</v>
      </c>
    </row>
    <row r="144" spans="1:20" outlineLevel="2" x14ac:dyDescent="0.25">
      <c r="A144" t="s">
        <v>0</v>
      </c>
      <c r="B144" t="s">
        <v>1</v>
      </c>
      <c r="C144" s="2">
        <v>45812</v>
      </c>
      <c r="D144" s="13">
        <v>1800009457</v>
      </c>
      <c r="E144" t="s">
        <v>14</v>
      </c>
      <c r="F144" s="2">
        <v>45812</v>
      </c>
      <c r="G144" s="23">
        <v>256779414221</v>
      </c>
      <c r="H144" t="s">
        <v>13</v>
      </c>
      <c r="I144" s="3">
        <v>46.22</v>
      </c>
      <c r="J144" t="s">
        <v>4</v>
      </c>
      <c r="K144" s="3">
        <v>3951.38</v>
      </c>
      <c r="L144" t="s">
        <v>78</v>
      </c>
      <c r="M144">
        <f>VLOOKUP(G144,Sheet2!$D$3:$H$171,3,)</f>
        <v>3872</v>
      </c>
      <c r="N144" s="14">
        <f t="shared" si="7"/>
        <v>79.380000000000109</v>
      </c>
      <c r="O144" s="20">
        <f t="shared" si="8"/>
        <v>2.0089184031907868E-2</v>
      </c>
      <c r="Q144" s="26">
        <f>VLOOKUP(G144,'[1]TDS not in our Books'!$D:$H,5,0)</f>
        <v>79</v>
      </c>
      <c r="R144" s="35">
        <f t="shared" si="9"/>
        <v>3872.38</v>
      </c>
      <c r="S144">
        <f>VLOOKUP(D144,[2]Sheet1!$D:$S,16,0)</f>
        <v>1400001658</v>
      </c>
      <c r="T144">
        <f>VLOOKUP(D144,[2]Sheet1!$D:$T,17,0)</f>
        <v>3872</v>
      </c>
    </row>
    <row r="145" spans="1:20" outlineLevel="2" x14ac:dyDescent="0.25">
      <c r="A145" t="s">
        <v>0</v>
      </c>
      <c r="B145" t="s">
        <v>1</v>
      </c>
      <c r="C145" s="2">
        <v>45812</v>
      </c>
      <c r="D145" s="13">
        <v>1800009412</v>
      </c>
      <c r="E145" t="s">
        <v>14</v>
      </c>
      <c r="F145" s="2">
        <v>45812</v>
      </c>
      <c r="G145" s="23">
        <v>256779414176</v>
      </c>
      <c r="H145" t="s">
        <v>13</v>
      </c>
      <c r="I145" s="3">
        <v>129.31</v>
      </c>
      <c r="J145" t="s">
        <v>4</v>
      </c>
      <c r="K145" s="3">
        <v>11054.81</v>
      </c>
      <c r="L145" t="s">
        <v>77</v>
      </c>
      <c r="M145">
        <f>VLOOKUP(G145,Sheet2!$D$3:$H$171,3,)</f>
        <v>10834</v>
      </c>
      <c r="N145" s="14">
        <f t="shared" si="7"/>
        <v>220.80999999999949</v>
      </c>
      <c r="O145" s="20">
        <f t="shared" si="8"/>
        <v>1.9974110816920371E-2</v>
      </c>
      <c r="Q145" s="26">
        <f>VLOOKUP(G145,'[1]TDS not in our Books'!$D:$H,5,0)</f>
        <v>221</v>
      </c>
      <c r="R145" s="35">
        <f t="shared" si="9"/>
        <v>10833.81</v>
      </c>
      <c r="S145">
        <f>VLOOKUP(D145,[2]Sheet1!$D:$S,16,0)</f>
        <v>1400001658</v>
      </c>
      <c r="T145">
        <f>VLOOKUP(D145,[2]Sheet1!$D:$T,17,0)</f>
        <v>10834</v>
      </c>
    </row>
    <row r="146" spans="1:20" outlineLevel="2" x14ac:dyDescent="0.25">
      <c r="A146" t="s">
        <v>0</v>
      </c>
      <c r="B146" t="s">
        <v>1</v>
      </c>
      <c r="C146" s="2">
        <v>45812</v>
      </c>
      <c r="D146" s="13">
        <v>1800009556</v>
      </c>
      <c r="E146" t="s">
        <v>14</v>
      </c>
      <c r="F146" s="2">
        <v>45812</v>
      </c>
      <c r="G146" s="23">
        <v>256779414320</v>
      </c>
      <c r="H146" t="s">
        <v>13</v>
      </c>
      <c r="I146" s="3">
        <v>611.36</v>
      </c>
      <c r="J146" t="s">
        <v>4</v>
      </c>
      <c r="K146" s="3">
        <v>52265.64</v>
      </c>
      <c r="L146" t="s">
        <v>80</v>
      </c>
      <c r="M146">
        <f>VLOOKUP(G146,Sheet2!$D$3:$H$171,3,)</f>
        <v>51221</v>
      </c>
      <c r="N146" s="14">
        <f t="shared" si="7"/>
        <v>1044.6399999999994</v>
      </c>
      <c r="O146" s="20">
        <f t="shared" si="8"/>
        <v>1.9987127298163754E-2</v>
      </c>
      <c r="Q146" s="26">
        <f>VLOOKUP(G146,'[1]TDS not in our Books'!$D:$H,5,0)</f>
        <v>1045</v>
      </c>
      <c r="R146" s="35">
        <f t="shared" si="9"/>
        <v>51220.639999999999</v>
      </c>
      <c r="S146">
        <f>VLOOKUP(D146,[2]Sheet1!$D:$S,16,0)</f>
        <v>1400001658</v>
      </c>
      <c r="T146">
        <f>VLOOKUP(D146,[2]Sheet1!$D:$T,17,0)</f>
        <v>51221</v>
      </c>
    </row>
    <row r="147" spans="1:20" outlineLevel="2" x14ac:dyDescent="0.25">
      <c r="A147" t="s">
        <v>0</v>
      </c>
      <c r="B147" t="s">
        <v>1</v>
      </c>
      <c r="C147" s="2">
        <v>45815</v>
      </c>
      <c r="D147" s="13">
        <v>1800009468</v>
      </c>
      <c r="E147" t="s">
        <v>14</v>
      </c>
      <c r="F147" s="2">
        <v>45815</v>
      </c>
      <c r="G147" s="23">
        <v>256779414232</v>
      </c>
      <c r="H147" t="s">
        <v>13</v>
      </c>
      <c r="I147" s="3">
        <v>1240.4000000000001</v>
      </c>
      <c r="J147" t="s">
        <v>4</v>
      </c>
      <c r="K147" s="3">
        <v>106042.76</v>
      </c>
      <c r="L147" t="s">
        <v>161</v>
      </c>
      <c r="M147">
        <f>VLOOKUP(G147,Sheet2!$D$3:$H$171,3,)</f>
        <v>95439</v>
      </c>
      <c r="N147" s="14">
        <f t="shared" si="7"/>
        <v>10603.759999999995</v>
      </c>
      <c r="O147" s="20">
        <f t="shared" si="8"/>
        <v>9.9995134038382213E-2</v>
      </c>
      <c r="Q147" s="26">
        <f>VLOOKUP(G147,'[1]TDS not in our Books'!$D:$H,5,0)</f>
        <v>10604</v>
      </c>
      <c r="R147" s="35">
        <f t="shared" si="9"/>
        <v>95438.76</v>
      </c>
      <c r="S147">
        <f>VLOOKUP(D147,[2]Sheet1!$D:$S,16,0)</f>
        <v>1400001658</v>
      </c>
      <c r="T147">
        <f>VLOOKUP(D147,[2]Sheet1!$D:$T,17,0)</f>
        <v>34007</v>
      </c>
    </row>
    <row r="148" spans="1:20" outlineLevel="2" x14ac:dyDescent="0.25">
      <c r="A148" t="s">
        <v>0</v>
      </c>
      <c r="B148" t="s">
        <v>1</v>
      </c>
      <c r="C148" s="2">
        <v>45818</v>
      </c>
      <c r="D148" s="13">
        <v>1800009610</v>
      </c>
      <c r="E148" t="s">
        <v>14</v>
      </c>
      <c r="F148" s="2">
        <v>45818</v>
      </c>
      <c r="G148" s="23">
        <v>256779414374</v>
      </c>
      <c r="H148" t="s">
        <v>13</v>
      </c>
      <c r="I148" s="3">
        <v>1800</v>
      </c>
      <c r="J148" t="s">
        <v>4</v>
      </c>
      <c r="K148" s="3">
        <v>153883.4</v>
      </c>
      <c r="L148" t="s">
        <v>29</v>
      </c>
      <c r="M148">
        <f>VLOOKUP(G148,Sheet2!$D$3:$H$171,3,)</f>
        <v>138495</v>
      </c>
      <c r="N148" s="14">
        <f t="shared" ref="N148:N179" si="10">K148-M148</f>
        <v>15388.399999999994</v>
      </c>
      <c r="O148" s="20">
        <f t="shared" ref="O148:O179" si="11">N148/K148</f>
        <v>0.10000038990560382</v>
      </c>
      <c r="Q148" s="26">
        <f>VLOOKUP(G148,'[1]TDS not in our Books'!$D:$H,5,0)</f>
        <v>15388</v>
      </c>
      <c r="R148" s="35">
        <f t="shared" ref="R148:R179" si="12">K148-Q148</f>
        <v>138495.4</v>
      </c>
      <c r="S148">
        <f>VLOOKUP(D148,[2]Sheet1!$D:$S,16,0)</f>
        <v>1400001934</v>
      </c>
      <c r="T148">
        <f>VLOOKUP(D148,[2]Sheet1!$D:$T,17,0)</f>
        <v>38568</v>
      </c>
    </row>
    <row r="149" spans="1:20" outlineLevel="2" x14ac:dyDescent="0.25">
      <c r="A149" t="s">
        <v>0</v>
      </c>
      <c r="B149" t="s">
        <v>1</v>
      </c>
      <c r="C149" s="2">
        <v>45821</v>
      </c>
      <c r="D149" s="13">
        <v>1800009578</v>
      </c>
      <c r="E149" t="s">
        <v>14</v>
      </c>
      <c r="F149" s="2">
        <v>45821</v>
      </c>
      <c r="G149" s="23">
        <v>256779414342</v>
      </c>
      <c r="H149" t="s">
        <v>13</v>
      </c>
      <c r="I149" s="3">
        <v>465</v>
      </c>
      <c r="J149" t="s">
        <v>4</v>
      </c>
      <c r="K149" s="3">
        <v>39753.21</v>
      </c>
      <c r="L149" t="s">
        <v>121</v>
      </c>
      <c r="M149">
        <f>VLOOKUP(G149,Sheet2!$D$3:$H$171,3,)</f>
        <v>35715</v>
      </c>
      <c r="N149" s="14">
        <f t="shared" si="10"/>
        <v>4038.2099999999991</v>
      </c>
      <c r="O149" s="20">
        <f t="shared" si="11"/>
        <v>0.10158198545475948</v>
      </c>
      <c r="Q149" s="26">
        <f>VLOOKUP(G149,'[1]TDS not in our Books'!$D:$H,5,0)</f>
        <v>3968</v>
      </c>
      <c r="R149" s="35">
        <f t="shared" si="12"/>
        <v>35785.21</v>
      </c>
      <c r="S149">
        <f>VLOOKUP(D149,[2]Sheet1!$D:$S,16,0)</f>
        <v>1400002027</v>
      </c>
      <c r="T149">
        <f>VLOOKUP(D149,[2]Sheet1!$D:$T,17,0)</f>
        <v>73</v>
      </c>
    </row>
    <row r="150" spans="1:20" outlineLevel="2" x14ac:dyDescent="0.25">
      <c r="A150" t="s">
        <v>0</v>
      </c>
      <c r="B150" t="s">
        <v>1</v>
      </c>
      <c r="C150" s="2">
        <v>45827</v>
      </c>
      <c r="D150" s="13">
        <v>1800009972</v>
      </c>
      <c r="E150" t="s">
        <v>14</v>
      </c>
      <c r="F150" s="2">
        <v>45827</v>
      </c>
      <c r="G150" s="23">
        <v>256779414736</v>
      </c>
      <c r="H150" t="s">
        <v>13</v>
      </c>
      <c r="I150" s="3">
        <v>110</v>
      </c>
      <c r="J150" t="s">
        <v>4</v>
      </c>
      <c r="K150" s="3">
        <v>9403.99</v>
      </c>
      <c r="L150" t="s">
        <v>137</v>
      </c>
      <c r="M150">
        <f>VLOOKUP(G150,Sheet2!$D$3:$H$171,3,)</f>
        <v>9282</v>
      </c>
      <c r="N150" s="14">
        <f t="shared" si="10"/>
        <v>121.98999999999978</v>
      </c>
      <c r="O150" s="20">
        <f t="shared" si="11"/>
        <v>1.2972153309393117E-2</v>
      </c>
      <c r="Q150" s="26">
        <f>VLOOKUP(G150,'[1]TDS not in our Books'!$D:$H,5,0)</f>
        <v>189</v>
      </c>
      <c r="R150" s="35">
        <f t="shared" si="12"/>
        <v>9214.99</v>
      </c>
      <c r="S150">
        <f>VLOOKUP(D150,[2]Sheet1!$D:$S,16,0)</f>
        <v>1400002099</v>
      </c>
      <c r="T150">
        <f>VLOOKUP(D150,[2]Sheet1!$D:$T,17,0)</f>
        <v>9282</v>
      </c>
    </row>
    <row r="151" spans="1:20" outlineLevel="2" x14ac:dyDescent="0.25">
      <c r="A151" t="s">
        <v>0</v>
      </c>
      <c r="B151" t="s">
        <v>1</v>
      </c>
      <c r="C151" s="2">
        <v>45827</v>
      </c>
      <c r="D151" s="13">
        <v>1800009980</v>
      </c>
      <c r="E151" t="s">
        <v>14</v>
      </c>
      <c r="F151" s="2">
        <v>45827</v>
      </c>
      <c r="G151" s="23">
        <v>256779414744</v>
      </c>
      <c r="H151" t="s">
        <v>13</v>
      </c>
      <c r="I151" s="3">
        <v>287.81</v>
      </c>
      <c r="J151" t="s">
        <v>4</v>
      </c>
      <c r="K151" s="3">
        <v>24605.1</v>
      </c>
      <c r="L151" t="s">
        <v>138</v>
      </c>
      <c r="M151">
        <f>VLOOKUP(G151,Sheet2!$D$3:$H$171,3,)</f>
        <v>24284</v>
      </c>
      <c r="N151" s="14">
        <f t="shared" si="10"/>
        <v>321.09999999999854</v>
      </c>
      <c r="O151" s="20">
        <f t="shared" si="11"/>
        <v>1.3050140011623548E-2</v>
      </c>
      <c r="Q151" s="26">
        <f>VLOOKUP(G151,'[1]TDS not in our Books'!$D:$H,5,0)</f>
        <v>496</v>
      </c>
      <c r="R151" s="35">
        <f t="shared" si="12"/>
        <v>24109.1</v>
      </c>
      <c r="S151">
        <f>VLOOKUP(D151,[2]Sheet1!$D:$S,16,0)</f>
        <v>1400002099</v>
      </c>
      <c r="T151">
        <f>VLOOKUP(D151,[2]Sheet1!$D:$T,17,0)</f>
        <v>24284</v>
      </c>
    </row>
    <row r="152" spans="1:20" outlineLevel="2" x14ac:dyDescent="0.25">
      <c r="A152" t="s">
        <v>0</v>
      </c>
      <c r="B152" t="s">
        <v>1</v>
      </c>
      <c r="C152" s="2">
        <v>45842</v>
      </c>
      <c r="D152" s="13">
        <v>1800010070</v>
      </c>
      <c r="E152" t="s">
        <v>14</v>
      </c>
      <c r="F152" s="2">
        <v>45842</v>
      </c>
      <c r="G152" s="23">
        <v>256779414834</v>
      </c>
      <c r="H152" t="s">
        <v>13</v>
      </c>
      <c r="I152" s="3">
        <v>15.28</v>
      </c>
      <c r="J152" t="s">
        <v>4</v>
      </c>
      <c r="K152" s="3">
        <v>1314.09</v>
      </c>
      <c r="L152" t="s">
        <v>54</v>
      </c>
      <c r="M152">
        <f>VLOOKUP(G152,Sheet2!$D$3:$H$171,3,)</f>
        <v>1288</v>
      </c>
      <c r="N152" s="14">
        <f t="shared" si="10"/>
        <v>26.089999999999918</v>
      </c>
      <c r="O152" s="20">
        <f t="shared" si="11"/>
        <v>1.9854043482562016E-2</v>
      </c>
      <c r="Q152" s="26">
        <f>VLOOKUP(G152,'[1]TDS not in our Books'!$D:$H,5,0)</f>
        <v>26</v>
      </c>
      <c r="R152" s="35">
        <f t="shared" si="12"/>
        <v>1288.0899999999999</v>
      </c>
      <c r="S152">
        <f>VLOOKUP(D152,[2]Sheet1!$D:$S,16,0)</f>
        <v>1400002099</v>
      </c>
      <c r="T152">
        <f>VLOOKUP(D152,[2]Sheet1!$D:$T,17,0)</f>
        <v>1288</v>
      </c>
    </row>
    <row r="153" spans="1:20" outlineLevel="2" x14ac:dyDescent="0.25">
      <c r="A153" t="s">
        <v>0</v>
      </c>
      <c r="B153" t="s">
        <v>1</v>
      </c>
      <c r="C153" s="2">
        <v>45842</v>
      </c>
      <c r="D153" s="13">
        <v>1800010121</v>
      </c>
      <c r="E153" t="s">
        <v>14</v>
      </c>
      <c r="F153" s="2">
        <v>45842</v>
      </c>
      <c r="G153" s="23">
        <v>256779414881</v>
      </c>
      <c r="H153" t="s">
        <v>13</v>
      </c>
      <c r="I153" s="3">
        <v>52.22</v>
      </c>
      <c r="J153" t="s">
        <v>4</v>
      </c>
      <c r="K153" s="3">
        <v>4490.95</v>
      </c>
      <c r="L153" t="s">
        <v>55</v>
      </c>
      <c r="M153">
        <f>VLOOKUP(G153,Sheet2!$D$3:$H$171,3,)</f>
        <v>4401</v>
      </c>
      <c r="N153" s="14">
        <f t="shared" si="10"/>
        <v>89.949999999999818</v>
      </c>
      <c r="O153" s="20">
        <f t="shared" si="11"/>
        <v>2.0029169774769217E-2</v>
      </c>
      <c r="Q153" s="26">
        <f>VLOOKUP(G153,'[1]TDS not in our Books'!$D:$H,5,0)</f>
        <v>90</v>
      </c>
      <c r="R153" s="35">
        <f t="shared" si="12"/>
        <v>4400.95</v>
      </c>
      <c r="S153">
        <f>VLOOKUP(D153,[2]Sheet1!$D:$S,16,0)</f>
        <v>1400002099</v>
      </c>
      <c r="T153">
        <f>VLOOKUP(D153,[2]Sheet1!$D:$T,17,0)</f>
        <v>4401</v>
      </c>
    </row>
    <row r="154" spans="1:20" outlineLevel="2" x14ac:dyDescent="0.25">
      <c r="A154" t="s">
        <v>0</v>
      </c>
      <c r="B154" t="s">
        <v>1</v>
      </c>
      <c r="C154" s="2">
        <v>45842</v>
      </c>
      <c r="D154" s="13">
        <v>1800010005</v>
      </c>
      <c r="E154" t="s">
        <v>14</v>
      </c>
      <c r="F154" s="2">
        <v>45842</v>
      </c>
      <c r="G154" s="23">
        <v>256779414769</v>
      </c>
      <c r="H154" t="s">
        <v>13</v>
      </c>
      <c r="I154" s="3">
        <v>66.790000000000006</v>
      </c>
      <c r="J154" t="s">
        <v>4</v>
      </c>
      <c r="K154" s="3">
        <v>5743.98</v>
      </c>
      <c r="L154" t="s">
        <v>52</v>
      </c>
      <c r="M154">
        <f>VLOOKUP(G154,Sheet2!$D$3:$H$171,3,)</f>
        <v>5629</v>
      </c>
      <c r="N154" s="14">
        <f t="shared" si="10"/>
        <v>114.97999999999956</v>
      </c>
      <c r="O154" s="20">
        <f t="shared" si="11"/>
        <v>2.0017479169495641E-2</v>
      </c>
      <c r="Q154" s="26">
        <f>VLOOKUP(G154,'[1]TDS not in our Books'!$D:$H,5,0)</f>
        <v>115</v>
      </c>
      <c r="R154" s="35">
        <f t="shared" si="12"/>
        <v>5628.98</v>
      </c>
      <c r="S154">
        <f>VLOOKUP(D154,[2]Sheet1!$D:$S,16,0)</f>
        <v>1400002099</v>
      </c>
      <c r="T154">
        <f>VLOOKUP(D154,[2]Sheet1!$D:$T,17,0)</f>
        <v>5629</v>
      </c>
    </row>
    <row r="155" spans="1:20" outlineLevel="2" x14ac:dyDescent="0.25">
      <c r="A155" t="s">
        <v>0</v>
      </c>
      <c r="B155" t="s">
        <v>1</v>
      </c>
      <c r="C155" s="2">
        <v>45842</v>
      </c>
      <c r="D155" s="13">
        <v>1800010505</v>
      </c>
      <c r="E155" t="s">
        <v>14</v>
      </c>
      <c r="F155" s="2">
        <v>45842</v>
      </c>
      <c r="G155" s="23">
        <v>256779415265</v>
      </c>
      <c r="H155" t="s">
        <v>13</v>
      </c>
      <c r="I155" s="3">
        <v>164.73</v>
      </c>
      <c r="J155" t="s">
        <v>4</v>
      </c>
      <c r="K155" s="3">
        <v>14166.89</v>
      </c>
      <c r="L155" t="s">
        <v>59</v>
      </c>
      <c r="M155">
        <f>VLOOKUP(G155,Sheet2!$D$3:$H$171,3,)</f>
        <v>13884</v>
      </c>
      <c r="N155" s="14">
        <f t="shared" si="10"/>
        <v>282.88999999999942</v>
      </c>
      <c r="O155" s="20">
        <f t="shared" si="11"/>
        <v>1.9968391086540478E-2</v>
      </c>
      <c r="Q155" s="26">
        <f>VLOOKUP(G155,'[1]TDS not in our Books'!$D:$H,5,0)</f>
        <v>283</v>
      </c>
      <c r="R155" s="35">
        <f t="shared" si="12"/>
        <v>13883.89</v>
      </c>
      <c r="S155">
        <f>VLOOKUP(D155,[2]Sheet1!$D:$S,16,0)</f>
        <v>1400002099</v>
      </c>
      <c r="T155">
        <f>VLOOKUP(D155,[2]Sheet1!$D:$T,17,0)</f>
        <v>13884</v>
      </c>
    </row>
    <row r="156" spans="1:20" outlineLevel="2" x14ac:dyDescent="0.25">
      <c r="A156" t="s">
        <v>0</v>
      </c>
      <c r="B156" t="s">
        <v>1</v>
      </c>
      <c r="C156" s="2">
        <v>45842</v>
      </c>
      <c r="D156" s="13">
        <v>1800010260</v>
      </c>
      <c r="E156" t="s">
        <v>14</v>
      </c>
      <c r="F156" s="2">
        <v>45842</v>
      </c>
      <c r="G156" s="23">
        <v>256779415020</v>
      </c>
      <c r="H156" t="s">
        <v>13</v>
      </c>
      <c r="I156" s="3">
        <v>175.39</v>
      </c>
      <c r="J156" t="s">
        <v>4</v>
      </c>
      <c r="K156" s="3">
        <v>15083.66</v>
      </c>
      <c r="L156" t="s">
        <v>57</v>
      </c>
      <c r="M156">
        <f>VLOOKUP(G156,Sheet2!$D$3:$H$171,3,)</f>
        <v>14782</v>
      </c>
      <c r="N156" s="14">
        <f t="shared" si="10"/>
        <v>301.65999999999985</v>
      </c>
      <c r="O156" s="20">
        <f t="shared" si="11"/>
        <v>1.99991248808313E-2</v>
      </c>
      <c r="Q156" s="26">
        <f>VLOOKUP(G156,'[1]TDS not in our Books'!$D:$H,5,0)</f>
        <v>302</v>
      </c>
      <c r="R156" s="35">
        <f t="shared" si="12"/>
        <v>14781.66</v>
      </c>
      <c r="S156">
        <f>VLOOKUP(D156,[2]Sheet1!$D:$S,16,0)</f>
        <v>1400002099</v>
      </c>
      <c r="T156">
        <f>VLOOKUP(D156,[2]Sheet1!$D:$T,17,0)</f>
        <v>5590</v>
      </c>
    </row>
    <row r="157" spans="1:20" outlineLevel="2" x14ac:dyDescent="0.25">
      <c r="A157" t="s">
        <v>0</v>
      </c>
      <c r="B157" t="s">
        <v>1</v>
      </c>
      <c r="C157" s="2">
        <v>45842</v>
      </c>
      <c r="D157" s="13">
        <v>1800010039</v>
      </c>
      <c r="E157" t="s">
        <v>14</v>
      </c>
      <c r="F157" s="2">
        <v>45842</v>
      </c>
      <c r="G157" s="23">
        <v>256779414803</v>
      </c>
      <c r="H157" t="s">
        <v>13</v>
      </c>
      <c r="I157" s="3">
        <v>318.63</v>
      </c>
      <c r="J157" t="s">
        <v>4</v>
      </c>
      <c r="K157" s="3">
        <v>27402.39</v>
      </c>
      <c r="L157" t="s">
        <v>53</v>
      </c>
      <c r="M157">
        <f>VLOOKUP(G157,Sheet2!$D$3:$H$171,3,)</f>
        <v>26854</v>
      </c>
      <c r="N157" s="14">
        <f t="shared" si="10"/>
        <v>548.38999999999942</v>
      </c>
      <c r="O157" s="20">
        <f t="shared" si="11"/>
        <v>2.0012487961816448E-2</v>
      </c>
      <c r="Q157" s="26">
        <f>VLOOKUP(G157,'[1]TDS not in our Books'!$D:$H,5,0)</f>
        <v>548</v>
      </c>
      <c r="R157" s="35">
        <f t="shared" si="12"/>
        <v>26854.39</v>
      </c>
      <c r="S157">
        <f>VLOOKUP(D157,[2]Sheet1!$D:$S,16,0)</f>
        <v>1400002218</v>
      </c>
      <c r="T157">
        <f>VLOOKUP(D157,[2]Sheet1!$D:$T,17,0)</f>
        <v>26854</v>
      </c>
    </row>
    <row r="158" spans="1:20" outlineLevel="2" x14ac:dyDescent="0.25">
      <c r="A158" t="s">
        <v>0</v>
      </c>
      <c r="B158" t="s">
        <v>1</v>
      </c>
      <c r="C158" s="2">
        <v>45842</v>
      </c>
      <c r="D158" s="13">
        <v>1800010428</v>
      </c>
      <c r="E158" t="s">
        <v>14</v>
      </c>
      <c r="F158" s="2">
        <v>45842</v>
      </c>
      <c r="G158" s="23">
        <v>256779415188</v>
      </c>
      <c r="H158" t="s">
        <v>13</v>
      </c>
      <c r="I158" s="3">
        <v>1521.18</v>
      </c>
      <c r="J158" t="s">
        <v>4</v>
      </c>
      <c r="K158" s="3">
        <v>130822.5</v>
      </c>
      <c r="L158" t="s">
        <v>58</v>
      </c>
      <c r="M158">
        <f>VLOOKUP(G158,Sheet2!$D$3:$H$171,3,)</f>
        <v>117740</v>
      </c>
      <c r="N158" s="14">
        <f t="shared" si="10"/>
        <v>13082.5</v>
      </c>
      <c r="O158" s="20">
        <f t="shared" si="11"/>
        <v>0.10000191098626</v>
      </c>
      <c r="Q158" s="26">
        <f>VLOOKUP(G158,'[1]TDS not in our Books'!$D:$H,5,0)</f>
        <v>13082</v>
      </c>
      <c r="R158" s="35">
        <f t="shared" si="12"/>
        <v>117740.5</v>
      </c>
      <c r="S158">
        <f>VLOOKUP(D158,[2]Sheet1!$D:$S,16,0)</f>
        <v>1400002218</v>
      </c>
      <c r="T158">
        <f>VLOOKUP(D158,[2]Sheet1!$D:$T,17,0)</f>
        <v>63954</v>
      </c>
    </row>
    <row r="159" spans="1:20" outlineLevel="2" x14ac:dyDescent="0.25">
      <c r="A159" t="s">
        <v>0</v>
      </c>
      <c r="B159" t="s">
        <v>1</v>
      </c>
      <c r="C159" s="2">
        <v>45842</v>
      </c>
      <c r="D159" s="13">
        <v>1800010172</v>
      </c>
      <c r="E159" t="s">
        <v>14</v>
      </c>
      <c r="F159" s="2">
        <v>45842</v>
      </c>
      <c r="G159" s="23">
        <v>256779414932</v>
      </c>
      <c r="H159" t="s">
        <v>13</v>
      </c>
      <c r="I159" s="3">
        <v>1800</v>
      </c>
      <c r="J159" t="s">
        <v>4</v>
      </c>
      <c r="K159" s="3">
        <v>154801.21</v>
      </c>
      <c r="L159" t="s">
        <v>56</v>
      </c>
      <c r="M159">
        <f>VLOOKUP(G159,Sheet2!$D$3:$H$171,3,)</f>
        <v>139321</v>
      </c>
      <c r="N159" s="14">
        <f t="shared" si="10"/>
        <v>15480.209999999992</v>
      </c>
      <c r="O159" s="20">
        <f t="shared" si="11"/>
        <v>0.1000005749309065</v>
      </c>
      <c r="Q159" s="26">
        <f>VLOOKUP(G159,'[1]TDS not in our Books'!$D:$H,5,0)</f>
        <v>15480</v>
      </c>
      <c r="R159" s="35">
        <f t="shared" si="12"/>
        <v>139321.21</v>
      </c>
      <c r="S159">
        <f>VLOOKUP(D159,[2]Sheet1!$D:$S,16,0)</f>
        <v>1400002412</v>
      </c>
      <c r="T159">
        <f>VLOOKUP(D159,[2]Sheet1!$D:$T,17,0)</f>
        <v>139321</v>
      </c>
    </row>
    <row r="160" spans="1:20" outlineLevel="2" x14ac:dyDescent="0.25">
      <c r="A160" t="s">
        <v>0</v>
      </c>
      <c r="B160" t="s">
        <v>1</v>
      </c>
      <c r="C160" s="2">
        <v>45856</v>
      </c>
      <c r="D160" s="13">
        <v>1800010742</v>
      </c>
      <c r="E160" t="s">
        <v>14</v>
      </c>
      <c r="F160" s="2">
        <v>45856</v>
      </c>
      <c r="G160" s="23">
        <v>256779415526</v>
      </c>
      <c r="H160" t="s">
        <v>13</v>
      </c>
      <c r="I160" s="3">
        <v>2.75</v>
      </c>
      <c r="J160" t="s">
        <v>4</v>
      </c>
      <c r="K160" s="3">
        <v>236.5</v>
      </c>
      <c r="L160" t="s">
        <v>90</v>
      </c>
      <c r="M160">
        <f>VLOOKUP(G160,Sheet2!$D$3:$H$171,3,)</f>
        <v>232</v>
      </c>
      <c r="N160" s="14">
        <f t="shared" si="10"/>
        <v>4.5</v>
      </c>
      <c r="O160" s="20">
        <f t="shared" si="11"/>
        <v>1.9027484143763214E-2</v>
      </c>
      <c r="Q160" s="26">
        <f>VLOOKUP(G160,'[1]TDS not in our Books'!$D:$H,5,0)</f>
        <v>5</v>
      </c>
      <c r="R160" s="35">
        <f t="shared" si="12"/>
        <v>231.5</v>
      </c>
      <c r="S160">
        <f>VLOOKUP(D160,[2]Sheet1!$D:$S,16,0)</f>
        <v>1400002412</v>
      </c>
      <c r="T160">
        <f>VLOOKUP(D160,[2]Sheet1!$D:$T,17,0)</f>
        <v>232</v>
      </c>
    </row>
    <row r="161" spans="1:20" outlineLevel="2" x14ac:dyDescent="0.25">
      <c r="A161" t="s">
        <v>0</v>
      </c>
      <c r="B161" t="s">
        <v>1</v>
      </c>
      <c r="C161" s="2">
        <v>45856</v>
      </c>
      <c r="D161" s="13">
        <v>1800010661</v>
      </c>
      <c r="E161" t="s">
        <v>14</v>
      </c>
      <c r="F161" s="2">
        <v>45856</v>
      </c>
      <c r="G161" s="23">
        <v>256779415445</v>
      </c>
      <c r="H161" t="s">
        <v>13</v>
      </c>
      <c r="I161" s="3">
        <v>26.09</v>
      </c>
      <c r="J161" t="s">
        <v>4</v>
      </c>
      <c r="K161" s="3">
        <v>2243.7600000000002</v>
      </c>
      <c r="L161" t="s">
        <v>87</v>
      </c>
      <c r="M161">
        <f>VLOOKUP(G161,Sheet2!$D$3:$H$171,3,)</f>
        <v>2199</v>
      </c>
      <c r="N161" s="14">
        <f t="shared" si="10"/>
        <v>44.760000000000218</v>
      </c>
      <c r="O161" s="20">
        <f t="shared" si="11"/>
        <v>1.9948657610439714E-2</v>
      </c>
      <c r="Q161" s="26">
        <f>VLOOKUP(G161,'[1]TDS not in our Books'!$D:$H,5,0)</f>
        <v>45</v>
      </c>
      <c r="R161" s="35">
        <f t="shared" si="12"/>
        <v>2198.7600000000002</v>
      </c>
      <c r="S161">
        <f>VLOOKUP(D161,[2]Sheet1!$D:$S,16,0)</f>
        <v>1400002412</v>
      </c>
      <c r="T161">
        <f>VLOOKUP(D161,[2]Sheet1!$D:$T,17,0)</f>
        <v>2199</v>
      </c>
    </row>
    <row r="162" spans="1:20" outlineLevel="2" x14ac:dyDescent="0.25">
      <c r="A162" t="s">
        <v>0</v>
      </c>
      <c r="B162" t="s">
        <v>1</v>
      </c>
      <c r="C162" s="2">
        <v>45856</v>
      </c>
      <c r="D162" s="13">
        <v>1800010674</v>
      </c>
      <c r="E162" t="s">
        <v>14</v>
      </c>
      <c r="F162" s="2">
        <v>45856</v>
      </c>
      <c r="G162" s="23">
        <v>256779415458</v>
      </c>
      <c r="H162" t="s">
        <v>13</v>
      </c>
      <c r="I162" s="3">
        <v>73.739999999999995</v>
      </c>
      <c r="J162" t="s">
        <v>4</v>
      </c>
      <c r="K162" s="3">
        <v>6341.69</v>
      </c>
      <c r="L162" t="s">
        <v>88</v>
      </c>
      <c r="M162">
        <f>VLOOKUP(G162,Sheet2!$D$3:$H$171,3,)</f>
        <v>6215</v>
      </c>
      <c r="N162" s="14">
        <f t="shared" si="10"/>
        <v>126.6899999999996</v>
      </c>
      <c r="O162" s="20">
        <f t="shared" si="11"/>
        <v>1.9977324656361255E-2</v>
      </c>
      <c r="Q162" s="26">
        <f>VLOOKUP(G162,'[1]TDS not in our Books'!$D:$H,5,0)</f>
        <v>127</v>
      </c>
      <c r="R162" s="35">
        <f t="shared" si="12"/>
        <v>6214.69</v>
      </c>
      <c r="S162">
        <f>VLOOKUP(D162,[2]Sheet1!$D:$S,16,0)</f>
        <v>1400002412</v>
      </c>
      <c r="T162">
        <f>VLOOKUP(D162,[2]Sheet1!$D:$T,17,0)</f>
        <v>4462</v>
      </c>
    </row>
    <row r="163" spans="1:20" outlineLevel="2" x14ac:dyDescent="0.25">
      <c r="A163" t="s">
        <v>0</v>
      </c>
      <c r="B163" t="s">
        <v>1</v>
      </c>
      <c r="C163" s="2">
        <v>45856</v>
      </c>
      <c r="D163" s="13">
        <v>1800010772</v>
      </c>
      <c r="E163" t="s">
        <v>14</v>
      </c>
      <c r="F163" s="2">
        <v>45856</v>
      </c>
      <c r="G163" s="23">
        <v>256779415434</v>
      </c>
      <c r="H163" t="s">
        <v>13</v>
      </c>
      <c r="I163" s="3">
        <v>110.95</v>
      </c>
      <c r="J163" t="s">
        <v>4</v>
      </c>
      <c r="K163" s="3">
        <v>9541.77</v>
      </c>
      <c r="L163" t="s">
        <v>86</v>
      </c>
      <c r="M163">
        <f>VLOOKUP(G163,Sheet2!$D$3:$H$171,3,)</f>
        <v>9351</v>
      </c>
      <c r="N163" s="14">
        <f t="shared" si="10"/>
        <v>190.77000000000044</v>
      </c>
      <c r="O163" s="20">
        <f t="shared" si="11"/>
        <v>1.9993145925755958E-2</v>
      </c>
      <c r="Q163" s="26">
        <f>VLOOKUP(G163,'[1]TDS not in our Books'!$D:$H,5,0)</f>
        <v>191</v>
      </c>
      <c r="R163" s="35">
        <f t="shared" si="12"/>
        <v>9350.77</v>
      </c>
      <c r="S163">
        <f>VLOOKUP(D163,[2]Sheet1!$D:$S,16,0)</f>
        <v>1400002418</v>
      </c>
      <c r="T163">
        <f>VLOOKUP(D163,[2]Sheet1!$D:$T,17,0)</f>
        <v>9351</v>
      </c>
    </row>
    <row r="164" spans="1:20" outlineLevel="2" x14ac:dyDescent="0.25">
      <c r="A164" t="s">
        <v>0</v>
      </c>
      <c r="B164" t="s">
        <v>1</v>
      </c>
      <c r="C164" s="2">
        <v>45856</v>
      </c>
      <c r="D164" s="13">
        <v>1800010942</v>
      </c>
      <c r="E164" t="s">
        <v>14</v>
      </c>
      <c r="F164" s="2">
        <v>45856</v>
      </c>
      <c r="G164" s="23">
        <v>256779415702</v>
      </c>
      <c r="H164" t="s">
        <v>13</v>
      </c>
      <c r="I164" s="3">
        <v>200</v>
      </c>
      <c r="J164" t="s">
        <v>4</v>
      </c>
      <c r="K164" s="3">
        <v>17200.13</v>
      </c>
      <c r="L164" t="s">
        <v>91</v>
      </c>
      <c r="M164">
        <f>VLOOKUP(G164,Sheet2!$D$3:$H$171,3,)</f>
        <v>16856</v>
      </c>
      <c r="N164" s="14">
        <f t="shared" si="10"/>
        <v>344.13000000000102</v>
      </c>
      <c r="O164" s="20">
        <f t="shared" si="11"/>
        <v>2.0007406920761705E-2</v>
      </c>
      <c r="Q164" s="26">
        <f>VLOOKUP(G164,'[1]TDS not in our Books'!$D:$H,5,0)</f>
        <v>344</v>
      </c>
      <c r="R164" s="35">
        <f t="shared" si="12"/>
        <v>16856.13</v>
      </c>
      <c r="S164">
        <f>VLOOKUP(D164,[2]Sheet1!$D:$S,16,0)</f>
        <v>1400002418</v>
      </c>
      <c r="T164">
        <f>VLOOKUP(D164,[2]Sheet1!$D:$T,17,0)</f>
        <v>16856</v>
      </c>
    </row>
    <row r="165" spans="1:20" outlineLevel="2" x14ac:dyDescent="0.25">
      <c r="A165" t="s">
        <v>0</v>
      </c>
      <c r="B165" t="s">
        <v>1</v>
      </c>
      <c r="C165" s="2">
        <v>45856</v>
      </c>
      <c r="D165" s="13">
        <v>1800010702</v>
      </c>
      <c r="E165" t="s">
        <v>14</v>
      </c>
      <c r="F165" s="2">
        <v>45856</v>
      </c>
      <c r="G165" s="23">
        <v>256779415486</v>
      </c>
      <c r="H165" t="s">
        <v>13</v>
      </c>
      <c r="I165" s="3">
        <v>239.19</v>
      </c>
      <c r="J165" t="s">
        <v>4</v>
      </c>
      <c r="K165" s="3">
        <v>20570.5</v>
      </c>
      <c r="L165" t="s">
        <v>89</v>
      </c>
      <c r="M165">
        <f>VLOOKUP(G165,Sheet2!$D$3:$H$171,3,)</f>
        <v>20159</v>
      </c>
      <c r="N165" s="14">
        <f t="shared" si="10"/>
        <v>411.5</v>
      </c>
      <c r="O165" s="20">
        <f t="shared" si="11"/>
        <v>2.0004375197491552E-2</v>
      </c>
      <c r="Q165" s="26">
        <f>VLOOKUP(G165,'[1]TDS not in our Books'!$D:$H,5,0)</f>
        <v>411</v>
      </c>
      <c r="R165" s="35">
        <f t="shared" si="12"/>
        <v>20159.5</v>
      </c>
      <c r="S165">
        <f>VLOOKUP(D165,[2]Sheet1!$D:$S,16,0)</f>
        <v>1400002418</v>
      </c>
      <c r="T165">
        <f>VLOOKUP(D165,[2]Sheet1!$D:$T,17,0)</f>
        <v>20159</v>
      </c>
    </row>
    <row r="166" spans="1:20" outlineLevel="2" x14ac:dyDescent="0.25">
      <c r="A166" t="s">
        <v>0</v>
      </c>
      <c r="B166" t="s">
        <v>1</v>
      </c>
      <c r="C166" s="2">
        <v>45862</v>
      </c>
      <c r="D166" s="13">
        <v>1800011194</v>
      </c>
      <c r="E166" t="s">
        <v>14</v>
      </c>
      <c r="F166" s="2">
        <v>45862</v>
      </c>
      <c r="G166" s="23">
        <v>256779415946</v>
      </c>
      <c r="H166" t="s">
        <v>13</v>
      </c>
      <c r="I166" s="3">
        <v>29.25</v>
      </c>
      <c r="J166" t="s">
        <v>4</v>
      </c>
      <c r="K166" s="3">
        <v>2515.52</v>
      </c>
      <c r="L166" t="s">
        <v>123</v>
      </c>
      <c r="M166">
        <f>VLOOKUP(G166,Sheet2!$D$3:$H$171,3,)</f>
        <v>2466</v>
      </c>
      <c r="N166" s="14">
        <f t="shared" si="10"/>
        <v>49.519999999999982</v>
      </c>
      <c r="O166" s="20">
        <f t="shared" si="11"/>
        <v>1.9685790611881433E-2</v>
      </c>
      <c r="Q166" s="26">
        <f>VLOOKUP(G166,'[1]TDS not in our Books'!$D:$H,5,0)</f>
        <v>50</v>
      </c>
      <c r="R166" s="35">
        <f t="shared" si="12"/>
        <v>2465.52</v>
      </c>
      <c r="S166">
        <f>VLOOKUP(D166,[2]Sheet1!$D:$S,16,0)</f>
        <v>1400002418</v>
      </c>
      <c r="T166">
        <f>VLOOKUP(D166,[2]Sheet1!$D:$T,17,0)</f>
        <v>2466</v>
      </c>
    </row>
    <row r="167" spans="1:20" outlineLevel="2" x14ac:dyDescent="0.25">
      <c r="A167" t="s">
        <v>0</v>
      </c>
      <c r="B167" t="s">
        <v>1</v>
      </c>
      <c r="C167" s="2">
        <v>45863</v>
      </c>
      <c r="D167" s="13">
        <v>1800011268</v>
      </c>
      <c r="E167" t="s">
        <v>14</v>
      </c>
      <c r="F167" s="2">
        <v>45863</v>
      </c>
      <c r="G167" s="23">
        <v>256779416000</v>
      </c>
      <c r="H167" t="s">
        <v>13</v>
      </c>
      <c r="I167" s="3">
        <v>151.58000000000001</v>
      </c>
      <c r="J167" t="s">
        <v>4</v>
      </c>
      <c r="K167" s="3">
        <v>13035.98</v>
      </c>
      <c r="L167" t="s">
        <v>44</v>
      </c>
      <c r="M167">
        <f>VLOOKUP(G167,Sheet2!$D$3:$H$171,3,)</f>
        <v>12698</v>
      </c>
      <c r="N167" s="14">
        <f t="shared" si="10"/>
        <v>337.97999999999956</v>
      </c>
      <c r="O167" s="20">
        <f t="shared" si="11"/>
        <v>2.5926704398134975E-2</v>
      </c>
      <c r="Q167" s="26">
        <f>VLOOKUP(G167,'[1]TDS not in our Books'!$D:$H,5,0)</f>
        <v>259</v>
      </c>
      <c r="R167" s="35">
        <f t="shared" si="12"/>
        <v>12776.98</v>
      </c>
      <c r="S167">
        <f>VLOOKUP(D167,[2]Sheet1!$D:$S,16,0)</f>
        <v>1400002418</v>
      </c>
      <c r="T167">
        <f>VLOOKUP(D167,[2]Sheet1!$D:$T,17,0)</f>
        <v>12698</v>
      </c>
    </row>
    <row r="168" spans="1:20" outlineLevel="2" x14ac:dyDescent="0.25">
      <c r="A168" t="s">
        <v>0</v>
      </c>
      <c r="B168" t="s">
        <v>1</v>
      </c>
      <c r="C168" s="2">
        <v>45863</v>
      </c>
      <c r="D168" s="13">
        <v>1800011236</v>
      </c>
      <c r="E168" t="s">
        <v>14</v>
      </c>
      <c r="F168" s="2">
        <v>45863</v>
      </c>
      <c r="G168" s="23">
        <v>256779415968</v>
      </c>
      <c r="H168" t="s">
        <v>13</v>
      </c>
      <c r="I168" s="3">
        <v>465</v>
      </c>
      <c r="J168" t="s">
        <v>4</v>
      </c>
      <c r="K168" s="3">
        <v>39990.31</v>
      </c>
      <c r="L168" t="s">
        <v>43</v>
      </c>
      <c r="M168">
        <f>VLOOKUP(G168,Sheet2!$D$3:$H$171,3,)</f>
        <v>35991</v>
      </c>
      <c r="N168" s="14">
        <f t="shared" si="10"/>
        <v>3999.3099999999977</v>
      </c>
      <c r="O168" s="20">
        <f t="shared" si="11"/>
        <v>0.10000697669010312</v>
      </c>
      <c r="Q168" s="26">
        <f>VLOOKUP(G168,'[1]TDS not in our Books'!$D:$H,5,0)</f>
        <v>3999</v>
      </c>
      <c r="R168" s="35">
        <f t="shared" si="12"/>
        <v>35991.31</v>
      </c>
      <c r="S168">
        <f>VLOOKUP(D168,[2]Sheet1!$D:$S,16,0)</f>
        <v>1400002418</v>
      </c>
      <c r="T168">
        <f>VLOOKUP(D168,[2]Sheet1!$D:$T,17,0)</f>
        <v>35991</v>
      </c>
    </row>
    <row r="169" spans="1:20" outlineLevel="2" x14ac:dyDescent="0.25">
      <c r="A169" t="s">
        <v>0</v>
      </c>
      <c r="B169" t="s">
        <v>1</v>
      </c>
      <c r="C169" s="2">
        <v>45870</v>
      </c>
      <c r="D169" s="13">
        <v>1800011334</v>
      </c>
      <c r="E169" t="s">
        <v>14</v>
      </c>
      <c r="F169" s="2">
        <v>45870</v>
      </c>
      <c r="G169" s="23">
        <v>256779416043</v>
      </c>
      <c r="H169" t="s">
        <v>13</v>
      </c>
      <c r="I169" s="3">
        <v>1800</v>
      </c>
      <c r="J169" t="s">
        <v>4</v>
      </c>
      <c r="K169" s="3">
        <v>154854.22</v>
      </c>
      <c r="L169" t="s">
        <v>26</v>
      </c>
      <c r="M169">
        <f>VLOOKUP(G169,Sheet2!$D$3:$H$171,3,)</f>
        <v>139369</v>
      </c>
      <c r="N169" s="14">
        <f t="shared" si="10"/>
        <v>15485.220000000001</v>
      </c>
      <c r="O169" s="20">
        <f t="shared" si="11"/>
        <v>9.9998695547334787E-2</v>
      </c>
      <c r="Q169" s="26">
        <f>VLOOKUP(G169,'[1]TDS not in our Books'!$D:$H,5,0)</f>
        <v>15485</v>
      </c>
      <c r="R169" s="35">
        <f t="shared" si="12"/>
        <v>139369.22</v>
      </c>
      <c r="S169">
        <f>VLOOKUP(D169,[2]Sheet1!$D:$S,16,0)</f>
        <v>1400002418</v>
      </c>
      <c r="T169">
        <f>VLOOKUP(D169,[2]Sheet1!$D:$T,17,0)</f>
        <v>726</v>
      </c>
    </row>
    <row r="170" spans="1:20" outlineLevel="2" x14ac:dyDescent="0.25">
      <c r="A170" t="s">
        <v>0</v>
      </c>
      <c r="B170" t="s">
        <v>1</v>
      </c>
      <c r="C170" s="2">
        <v>45877</v>
      </c>
      <c r="D170" s="13">
        <v>1800011605</v>
      </c>
      <c r="E170" t="s">
        <v>14</v>
      </c>
      <c r="F170" s="2">
        <v>45877</v>
      </c>
      <c r="G170" s="23">
        <v>256779416455</v>
      </c>
      <c r="H170" t="s">
        <v>13</v>
      </c>
      <c r="I170" s="3">
        <v>13.71</v>
      </c>
      <c r="J170" t="s">
        <v>4</v>
      </c>
      <c r="K170" s="3">
        <v>1179.47</v>
      </c>
      <c r="L170" t="s">
        <v>75</v>
      </c>
      <c r="M170">
        <f>VLOOKUP(G170,Sheet2!$D$3:$H$171,3,)</f>
        <v>1155</v>
      </c>
      <c r="N170" s="14">
        <f t="shared" si="10"/>
        <v>24.470000000000027</v>
      </c>
      <c r="O170" s="20">
        <f t="shared" si="11"/>
        <v>2.0746606526660303E-2</v>
      </c>
      <c r="Q170" s="26">
        <f>VLOOKUP(G170,'[1]TDS not in our Books'!$D:$H,5,0)</f>
        <v>24</v>
      </c>
      <c r="R170" s="35">
        <f t="shared" si="12"/>
        <v>1155.47</v>
      </c>
      <c r="S170">
        <f>VLOOKUP(D170,[2]Sheet1!$D:$S,16,0)</f>
        <v>1400002489</v>
      </c>
      <c r="T170">
        <f>VLOOKUP(D170,[2]Sheet1!$D:$T,17,0)</f>
        <v>1155</v>
      </c>
    </row>
    <row r="171" spans="1:20" outlineLevel="2" x14ac:dyDescent="0.25">
      <c r="A171" t="s">
        <v>0</v>
      </c>
      <c r="B171" t="s">
        <v>1</v>
      </c>
      <c r="C171" s="2">
        <v>45877</v>
      </c>
      <c r="D171" s="13">
        <v>1800011711</v>
      </c>
      <c r="E171" t="s">
        <v>14</v>
      </c>
      <c r="F171" s="2">
        <v>45877</v>
      </c>
      <c r="G171" s="23">
        <v>256779416229</v>
      </c>
      <c r="H171" t="s">
        <v>13</v>
      </c>
      <c r="I171" s="3">
        <v>22.7</v>
      </c>
      <c r="J171" t="s">
        <v>4</v>
      </c>
      <c r="K171" s="3">
        <v>1952.88</v>
      </c>
      <c r="L171" t="s">
        <v>73</v>
      </c>
      <c r="M171">
        <f>VLOOKUP(G171,Sheet2!$D$3:$H$171,3,)</f>
        <v>1914</v>
      </c>
      <c r="N171" s="14">
        <f t="shared" si="10"/>
        <v>38.880000000000109</v>
      </c>
      <c r="O171" s="20">
        <f t="shared" si="11"/>
        <v>1.9909057392159327E-2</v>
      </c>
      <c r="Q171" s="26">
        <f>VLOOKUP(G171,'[1]TDS not in our Books'!$D:$H,5,0)</f>
        <v>39</v>
      </c>
      <c r="R171" s="35">
        <f t="shared" si="12"/>
        <v>1913.88</v>
      </c>
      <c r="S171">
        <f>VLOOKUP(D171,[2]Sheet1!$D:$S,16,0)</f>
        <v>1400002489</v>
      </c>
      <c r="T171">
        <f>VLOOKUP(D171,[2]Sheet1!$D:$T,17,0)</f>
        <v>1914</v>
      </c>
    </row>
    <row r="172" spans="1:20" outlineLevel="2" x14ac:dyDescent="0.25">
      <c r="A172" t="s">
        <v>0</v>
      </c>
      <c r="B172" t="s">
        <v>1</v>
      </c>
      <c r="C172" s="2">
        <v>45877</v>
      </c>
      <c r="D172" s="13">
        <v>1800011834</v>
      </c>
      <c r="E172" t="s">
        <v>14</v>
      </c>
      <c r="F172" s="2">
        <v>45877</v>
      </c>
      <c r="G172" s="23">
        <v>256779416143</v>
      </c>
      <c r="H172" t="s">
        <v>13</v>
      </c>
      <c r="I172" s="3">
        <v>26.27</v>
      </c>
      <c r="J172" t="s">
        <v>4</v>
      </c>
      <c r="K172" s="3">
        <v>2260.0100000000002</v>
      </c>
      <c r="L172" t="s">
        <v>71</v>
      </c>
      <c r="M172">
        <f>VLOOKUP(G172,Sheet2!$D$3:$H$171,3,)</f>
        <v>2215</v>
      </c>
      <c r="N172" s="14">
        <f t="shared" si="10"/>
        <v>45.010000000000218</v>
      </c>
      <c r="O172" s="20">
        <f t="shared" si="11"/>
        <v>1.9915841080349297E-2</v>
      </c>
      <c r="Q172" s="26">
        <f>VLOOKUP(G172,'[1]TDS not in our Books'!$D:$H,5,0)</f>
        <v>45</v>
      </c>
      <c r="R172" s="35">
        <f t="shared" si="12"/>
        <v>2215.0100000000002</v>
      </c>
      <c r="S172">
        <f>VLOOKUP(D172,[2]Sheet1!$D:$S,16,0)</f>
        <v>1400002489</v>
      </c>
      <c r="T172">
        <f>VLOOKUP(D172,[2]Sheet1!$D:$T,17,0)</f>
        <v>2215</v>
      </c>
    </row>
    <row r="173" spans="1:20" outlineLevel="2" x14ac:dyDescent="0.25">
      <c r="A173" t="s">
        <v>0</v>
      </c>
      <c r="B173" t="s">
        <v>1</v>
      </c>
      <c r="C173" s="2">
        <v>45877</v>
      </c>
      <c r="D173" s="13">
        <v>1800011866</v>
      </c>
      <c r="E173" t="s">
        <v>14</v>
      </c>
      <c r="F173" s="2">
        <v>45877</v>
      </c>
      <c r="G173" s="23">
        <v>256779416517</v>
      </c>
      <c r="H173" t="s">
        <v>13</v>
      </c>
      <c r="I173" s="3">
        <v>56.33</v>
      </c>
      <c r="J173" t="s">
        <v>4</v>
      </c>
      <c r="K173" s="3">
        <v>4846.08</v>
      </c>
      <c r="L173" t="s">
        <v>76</v>
      </c>
      <c r="M173">
        <f>VLOOKUP(G173,Sheet2!$D$3:$H$171,3,)</f>
        <v>4749</v>
      </c>
      <c r="N173" s="14">
        <f t="shared" si="10"/>
        <v>97.079999999999927</v>
      </c>
      <c r="O173" s="20">
        <f t="shared" si="11"/>
        <v>2.0032686212361317E-2</v>
      </c>
      <c r="Q173" s="26">
        <f>VLOOKUP(G173,'[1]TDS not in our Books'!$D:$H,5,0)</f>
        <v>97</v>
      </c>
      <c r="R173" s="35">
        <f t="shared" si="12"/>
        <v>4749.08</v>
      </c>
      <c r="S173">
        <f>VLOOKUP(D173,[2]Sheet1!$D:$S,16,0)</f>
        <v>1400002489</v>
      </c>
      <c r="T173">
        <f>VLOOKUP(D173,[2]Sheet1!$D:$T,17,0)</f>
        <v>4749</v>
      </c>
    </row>
    <row r="174" spans="1:20" outlineLevel="2" x14ac:dyDescent="0.25">
      <c r="A174" t="s">
        <v>0</v>
      </c>
      <c r="B174" t="s">
        <v>1</v>
      </c>
      <c r="C174" s="2">
        <v>45877</v>
      </c>
      <c r="D174" s="13">
        <v>1800011792</v>
      </c>
      <c r="E174" t="s">
        <v>14</v>
      </c>
      <c r="F174" s="2">
        <v>45877</v>
      </c>
      <c r="G174" s="23">
        <v>256779416183</v>
      </c>
      <c r="H174" t="s">
        <v>13</v>
      </c>
      <c r="I174" s="3">
        <v>102.33</v>
      </c>
      <c r="J174" t="s">
        <v>4</v>
      </c>
      <c r="K174" s="3">
        <v>8803.4599999999991</v>
      </c>
      <c r="L174" t="s">
        <v>72</v>
      </c>
      <c r="M174">
        <f>VLOOKUP(G174,Sheet2!$D$3:$H$171,3,)</f>
        <v>8627</v>
      </c>
      <c r="N174" s="14">
        <f t="shared" si="10"/>
        <v>176.45999999999913</v>
      </c>
      <c r="O174" s="20">
        <f t="shared" si="11"/>
        <v>2.0044391636924477E-2</v>
      </c>
      <c r="Q174" s="26">
        <f>VLOOKUP(G174,'[1]TDS not in our Books'!$D:$H,5,0)</f>
        <v>176</v>
      </c>
      <c r="R174" s="35">
        <f t="shared" si="12"/>
        <v>8627.4599999999991</v>
      </c>
      <c r="S174">
        <f>VLOOKUP(D174,[2]Sheet1!$D:$S,16,0)</f>
        <v>1400002489</v>
      </c>
      <c r="T174">
        <f>VLOOKUP(D174,[2]Sheet1!$D:$T,17,0)</f>
        <v>1324</v>
      </c>
    </row>
    <row r="175" spans="1:20" s="27" customFormat="1" outlineLevel="2" x14ac:dyDescent="0.25">
      <c r="A175" t="s">
        <v>0</v>
      </c>
      <c r="B175" t="s">
        <v>1</v>
      </c>
      <c r="C175" s="2">
        <v>45877</v>
      </c>
      <c r="D175" s="13">
        <v>1800011597</v>
      </c>
      <c r="E175" t="s">
        <v>14</v>
      </c>
      <c r="F175" s="2">
        <v>45877</v>
      </c>
      <c r="G175" s="23">
        <v>256779416447</v>
      </c>
      <c r="H175" t="s">
        <v>13</v>
      </c>
      <c r="I175" s="3">
        <v>358.32</v>
      </c>
      <c r="J175" t="s">
        <v>4</v>
      </c>
      <c r="K175" s="3">
        <v>30826.31</v>
      </c>
      <c r="L175" t="s">
        <v>74</v>
      </c>
      <c r="M175">
        <f>VLOOKUP(G175,Sheet2!$D$3:$H$171,3,)</f>
        <v>30209</v>
      </c>
      <c r="N175" s="14">
        <f t="shared" si="10"/>
        <v>617.31000000000131</v>
      </c>
      <c r="O175" s="20">
        <f t="shared" si="11"/>
        <v>2.002542633224675E-2</v>
      </c>
      <c r="P175"/>
      <c r="Q175" s="26">
        <f>VLOOKUP(G175,'[1]TDS not in our Books'!$D:$H,5,0)</f>
        <v>617</v>
      </c>
      <c r="R175" s="35">
        <f t="shared" si="12"/>
        <v>30209.31</v>
      </c>
      <c r="S175">
        <f>VLOOKUP(D175,[2]Sheet1!$D:$S,16,0)</f>
        <v>1400002521</v>
      </c>
      <c r="T175">
        <f>VLOOKUP(D175,[2]Sheet1!$D:$T,17,0)</f>
        <v>30209</v>
      </c>
    </row>
    <row r="176" spans="1:20" outlineLevel="2" x14ac:dyDescent="0.25">
      <c r="A176" t="s">
        <v>0</v>
      </c>
      <c r="B176" t="s">
        <v>1</v>
      </c>
      <c r="C176" s="2">
        <v>45877</v>
      </c>
      <c r="D176" s="13">
        <v>1800011650</v>
      </c>
      <c r="E176" t="s">
        <v>14</v>
      </c>
      <c r="F176" s="2">
        <v>45877</v>
      </c>
      <c r="G176" s="23">
        <v>256779416081</v>
      </c>
      <c r="H176" t="s">
        <v>13</v>
      </c>
      <c r="I176" s="3">
        <v>1267.5</v>
      </c>
      <c r="J176" t="s">
        <v>4</v>
      </c>
      <c r="K176" s="3">
        <v>109043.18</v>
      </c>
      <c r="L176" t="s">
        <v>70</v>
      </c>
      <c r="M176">
        <f>VLOOKUP(G176,Sheet2!$D$3:$H$171,3,)</f>
        <v>98139</v>
      </c>
      <c r="N176" s="14">
        <f t="shared" si="10"/>
        <v>10904.179999999993</v>
      </c>
      <c r="O176" s="20">
        <f t="shared" si="11"/>
        <v>9.9998734446299101E-2</v>
      </c>
      <c r="Q176" s="26">
        <f>VLOOKUP(G176,'[1]TDS not in our Books'!$D:$H,5,0)</f>
        <v>10904</v>
      </c>
      <c r="R176" s="35">
        <f t="shared" si="12"/>
        <v>98139.18</v>
      </c>
      <c r="S176">
        <f>VLOOKUP(D176,[2]Sheet1!$D:$S,16,0)</f>
        <v>1400002521</v>
      </c>
      <c r="T176">
        <f>VLOOKUP(D176,[2]Sheet1!$D:$T,17,0)</f>
        <v>98139</v>
      </c>
    </row>
    <row r="177" spans="1:20" hidden="1" outlineLevel="2" x14ac:dyDescent="0.25">
      <c r="A177" t="s">
        <v>0</v>
      </c>
      <c r="B177" t="s">
        <v>1</v>
      </c>
      <c r="C177" s="2">
        <v>45873</v>
      </c>
      <c r="D177" s="13">
        <v>1600002058</v>
      </c>
      <c r="E177" t="s">
        <v>33</v>
      </c>
      <c r="F177" s="2">
        <v>45873</v>
      </c>
      <c r="G177" s="23">
        <v>256779421634</v>
      </c>
      <c r="H177" t="s">
        <v>13</v>
      </c>
      <c r="I177" s="3">
        <v>-239.19</v>
      </c>
      <c r="J177" t="s">
        <v>4</v>
      </c>
      <c r="K177" s="3">
        <v>-20570.5</v>
      </c>
      <c r="L177" t="s">
        <v>124</v>
      </c>
      <c r="M177" t="e">
        <f>VLOOKUP(G177,Sheet2!$D$3:$H$171,3,)</f>
        <v>#N/A</v>
      </c>
      <c r="Q177" s="26" t="e">
        <f>VLOOKUP(G177,'[1]TDS not in our Books'!$D:$H,5,0)</f>
        <v>#N/A</v>
      </c>
    </row>
    <row r="178" spans="1:20" outlineLevel="2" x14ac:dyDescent="0.25">
      <c r="A178" t="s">
        <v>0</v>
      </c>
      <c r="B178" t="s">
        <v>1</v>
      </c>
      <c r="C178" s="2">
        <v>45889</v>
      </c>
      <c r="D178" s="13">
        <v>1800012252</v>
      </c>
      <c r="E178" t="s">
        <v>14</v>
      </c>
      <c r="F178" s="2">
        <v>45889</v>
      </c>
      <c r="G178" s="23">
        <v>256779416848</v>
      </c>
      <c r="H178" t="s">
        <v>13</v>
      </c>
      <c r="I178" s="3">
        <v>17.75</v>
      </c>
      <c r="J178" t="s">
        <v>4</v>
      </c>
      <c r="K178" s="3">
        <v>1527.03</v>
      </c>
      <c r="L178" t="s">
        <v>116</v>
      </c>
      <c r="M178">
        <f>VLOOKUP(G178,Sheet2!$D$3:$H$171,3,)</f>
        <v>1496</v>
      </c>
      <c r="N178" s="14">
        <f t="shared" ref="N178:N191" si="13">K178-M178</f>
        <v>31.029999999999973</v>
      </c>
      <c r="O178" s="20">
        <f t="shared" ref="O178:O191" si="14">N178/K178</f>
        <v>2.0320491411432634E-2</v>
      </c>
      <c r="Q178" s="26">
        <f>VLOOKUP(G178,'[1]TDS not in our Books'!$D:$H,5,0)</f>
        <v>31</v>
      </c>
      <c r="R178" s="35">
        <f t="shared" ref="R178:R191" si="15">K178-Q178</f>
        <v>1496.03</v>
      </c>
      <c r="S178">
        <f>VLOOKUP(D178,[2]Sheet1!$D:$S,16,0)</f>
        <v>1400002521</v>
      </c>
      <c r="T178">
        <f>VLOOKUP(D178,[2]Sheet1!$D:$T,17,0)</f>
        <v>1496</v>
      </c>
    </row>
    <row r="179" spans="1:20" outlineLevel="2" x14ac:dyDescent="0.25">
      <c r="A179" t="s">
        <v>0</v>
      </c>
      <c r="B179" t="s">
        <v>1</v>
      </c>
      <c r="C179" s="2">
        <v>45889</v>
      </c>
      <c r="D179" s="13">
        <v>1800012221</v>
      </c>
      <c r="E179" t="s">
        <v>14</v>
      </c>
      <c r="F179" s="2">
        <v>45889</v>
      </c>
      <c r="G179" s="23">
        <v>256779416883</v>
      </c>
      <c r="H179" t="s">
        <v>13</v>
      </c>
      <c r="I179" s="3">
        <v>50.05</v>
      </c>
      <c r="J179" t="s">
        <v>4</v>
      </c>
      <c r="K179" s="3">
        <v>4305.8100000000004</v>
      </c>
      <c r="L179" t="s">
        <v>117</v>
      </c>
      <c r="M179">
        <f>VLOOKUP(G179,Sheet2!$D$3:$H$171,3,)</f>
        <v>4220</v>
      </c>
      <c r="N179" s="14">
        <f t="shared" si="13"/>
        <v>85.8100000000004</v>
      </c>
      <c r="O179" s="20">
        <f t="shared" si="14"/>
        <v>1.9928886783206968E-2</v>
      </c>
      <c r="Q179" s="26">
        <f>VLOOKUP(G179,'[1]TDS not in our Books'!$D:$H,5,0)</f>
        <v>86</v>
      </c>
      <c r="R179" s="35">
        <f t="shared" si="15"/>
        <v>4219.8100000000004</v>
      </c>
      <c r="S179">
        <f>VLOOKUP(D179,[2]Sheet1!$D:$S,16,0)</f>
        <v>1400002521</v>
      </c>
      <c r="T179">
        <f>VLOOKUP(D179,[2]Sheet1!$D:$T,17,0)</f>
        <v>4220</v>
      </c>
    </row>
    <row r="180" spans="1:20" outlineLevel="2" x14ac:dyDescent="0.25">
      <c r="A180" t="s">
        <v>0</v>
      </c>
      <c r="B180" t="s">
        <v>1</v>
      </c>
      <c r="C180" s="2">
        <v>45904</v>
      </c>
      <c r="D180" s="13">
        <v>1800012690</v>
      </c>
      <c r="E180" t="s">
        <v>14</v>
      </c>
      <c r="F180" s="2">
        <v>45904</v>
      </c>
      <c r="G180" s="23">
        <v>256779417330</v>
      </c>
      <c r="H180" t="s">
        <v>13</v>
      </c>
      <c r="I180" s="3">
        <v>13.52</v>
      </c>
      <c r="J180" t="s">
        <v>4</v>
      </c>
      <c r="K180" s="3">
        <v>1183.19</v>
      </c>
      <c r="L180" t="s">
        <v>50</v>
      </c>
      <c r="M180">
        <f>VLOOKUP(G180,Sheet2!$D$3:$H$171,3,)</f>
        <v>1159</v>
      </c>
      <c r="N180" s="14">
        <f t="shared" si="13"/>
        <v>24.190000000000055</v>
      </c>
      <c r="O180" s="20">
        <f t="shared" si="14"/>
        <v>2.0444729925033218E-2</v>
      </c>
      <c r="Q180" s="26">
        <f>VLOOKUP(G180,'[1]TDS not in our Books'!$D:$H,5,0)</f>
        <v>24</v>
      </c>
      <c r="R180" s="35">
        <f t="shared" si="15"/>
        <v>1159.19</v>
      </c>
      <c r="S180">
        <f>VLOOKUP(D180,[2]Sheet1!$D:$S,16,0)</f>
        <v>1400002521</v>
      </c>
      <c r="T180">
        <f>VLOOKUP(D180,[2]Sheet1!$D:$T,17,0)</f>
        <v>1159</v>
      </c>
    </row>
    <row r="181" spans="1:20" outlineLevel="2" x14ac:dyDescent="0.25">
      <c r="A181" t="s">
        <v>0</v>
      </c>
      <c r="B181" t="s">
        <v>1</v>
      </c>
      <c r="C181" s="2">
        <v>45904</v>
      </c>
      <c r="D181" s="13">
        <v>1800012463</v>
      </c>
      <c r="E181" t="s">
        <v>14</v>
      </c>
      <c r="F181" s="2">
        <v>45904</v>
      </c>
      <c r="G181" s="23">
        <v>256779417163</v>
      </c>
      <c r="H181" t="s">
        <v>13</v>
      </c>
      <c r="I181" s="3">
        <v>75.13</v>
      </c>
      <c r="J181" t="s">
        <v>4</v>
      </c>
      <c r="K181" s="3">
        <v>6574.95</v>
      </c>
      <c r="L181" t="s">
        <v>46</v>
      </c>
      <c r="M181">
        <f>VLOOKUP(G181,Sheet2!$D$3:$H$171,3,)</f>
        <v>6444</v>
      </c>
      <c r="N181" s="14">
        <f t="shared" si="13"/>
        <v>130.94999999999982</v>
      </c>
      <c r="O181" s="20">
        <f t="shared" si="14"/>
        <v>1.9916501266169298E-2</v>
      </c>
      <c r="Q181" s="26">
        <f>VLOOKUP(G181,'[1]TDS not in our Books'!$D:$H,5,0)</f>
        <v>131</v>
      </c>
      <c r="R181" s="35">
        <f t="shared" si="15"/>
        <v>6443.95</v>
      </c>
      <c r="S181">
        <f>VLOOKUP(D181,[2]Sheet1!$D:$S,16,0)</f>
        <v>1400002521</v>
      </c>
      <c r="T181">
        <f>VLOOKUP(D181,[2]Sheet1!$D:$T,17,0)</f>
        <v>6444</v>
      </c>
    </row>
    <row r="182" spans="1:20" s="27" customFormat="1" outlineLevel="2" x14ac:dyDescent="0.25">
      <c r="A182" t="s">
        <v>0</v>
      </c>
      <c r="B182" t="s">
        <v>1</v>
      </c>
      <c r="C182" s="2">
        <v>45904</v>
      </c>
      <c r="D182" s="13">
        <v>1800012589</v>
      </c>
      <c r="E182" t="s">
        <v>14</v>
      </c>
      <c r="F182" s="2">
        <v>45904</v>
      </c>
      <c r="G182" s="23">
        <v>256779417247</v>
      </c>
      <c r="H182" t="s">
        <v>13</v>
      </c>
      <c r="I182" s="3">
        <v>108.12</v>
      </c>
      <c r="J182" t="s">
        <v>4</v>
      </c>
      <c r="K182" s="3">
        <v>9462.0499999999993</v>
      </c>
      <c r="L182" t="s">
        <v>48</v>
      </c>
      <c r="M182">
        <f>VLOOKUP(G182,Sheet2!$D$3:$H$171,3,)</f>
        <v>9273</v>
      </c>
      <c r="N182" s="14">
        <f t="shared" si="13"/>
        <v>189.04999999999927</v>
      </c>
      <c r="O182" s="20">
        <f t="shared" si="14"/>
        <v>1.997981409948154E-2</v>
      </c>
      <c r="P182"/>
      <c r="Q182" s="26">
        <f>VLOOKUP(G182,'[1]TDS not in our Books'!$D:$H,5,0)</f>
        <v>189</v>
      </c>
      <c r="R182" s="35">
        <f t="shared" si="15"/>
        <v>9273.0499999999993</v>
      </c>
      <c r="S182">
        <f>VLOOKUP(D182,[2]Sheet1!$D:$S,16,0)</f>
        <v>1400002521</v>
      </c>
      <c r="T182">
        <f>VLOOKUP(D182,[2]Sheet1!$D:$T,17,0)</f>
        <v>1030</v>
      </c>
    </row>
    <row r="183" spans="1:20" hidden="1" outlineLevel="2" x14ac:dyDescent="0.25">
      <c r="A183" t="s">
        <v>0</v>
      </c>
      <c r="B183" t="s">
        <v>1</v>
      </c>
      <c r="C183" s="2">
        <v>45904</v>
      </c>
      <c r="D183" s="13">
        <v>1800012569</v>
      </c>
      <c r="E183" t="s">
        <v>14</v>
      </c>
      <c r="F183" s="2">
        <v>45904</v>
      </c>
      <c r="G183" s="23">
        <v>256779417188</v>
      </c>
      <c r="H183" t="s">
        <v>13</v>
      </c>
      <c r="I183" s="3">
        <v>140</v>
      </c>
      <c r="J183" t="s">
        <v>4</v>
      </c>
      <c r="K183" s="3">
        <v>12252.01</v>
      </c>
      <c r="L183" t="s">
        <v>47</v>
      </c>
      <c r="M183">
        <f>VLOOKUP(G183,Sheet2!$D$3:$H$171,3,)</f>
        <v>12007</v>
      </c>
      <c r="N183" s="14">
        <f t="shared" si="13"/>
        <v>245.01000000000022</v>
      </c>
      <c r="O183" s="20">
        <f t="shared" si="14"/>
        <v>1.9997535098322659E-2</v>
      </c>
      <c r="Q183" s="26">
        <f>VLOOKUP(G183,'[1]TDS not in our Books'!$D:$H,5,0)</f>
        <v>245</v>
      </c>
      <c r="R183" s="35">
        <f t="shared" si="15"/>
        <v>12007.01</v>
      </c>
    </row>
    <row r="184" spans="1:20" hidden="1" outlineLevel="2" x14ac:dyDescent="0.25">
      <c r="A184" t="s">
        <v>0</v>
      </c>
      <c r="B184" t="s">
        <v>1</v>
      </c>
      <c r="C184" s="2">
        <v>45904</v>
      </c>
      <c r="D184" s="13">
        <v>1800012650</v>
      </c>
      <c r="E184" t="s">
        <v>14</v>
      </c>
      <c r="F184" s="2">
        <v>45904</v>
      </c>
      <c r="G184" s="23">
        <v>256779417290</v>
      </c>
      <c r="H184" t="s">
        <v>13</v>
      </c>
      <c r="I184" s="3">
        <v>578.4</v>
      </c>
      <c r="J184" t="s">
        <v>4</v>
      </c>
      <c r="K184" s="3">
        <v>50618.29</v>
      </c>
      <c r="L184" t="s">
        <v>49</v>
      </c>
      <c r="M184">
        <f>VLOOKUP(G184,Sheet2!$D$3:$H$171,3,)</f>
        <v>49606</v>
      </c>
      <c r="N184" s="14">
        <f t="shared" si="13"/>
        <v>1012.2900000000009</v>
      </c>
      <c r="O184" s="20">
        <f t="shared" si="14"/>
        <v>1.9998502517568271E-2</v>
      </c>
      <c r="Q184" s="26">
        <f>VLOOKUP(G184,'[1]TDS not in our Books'!$D:$H,5,0)</f>
        <v>1012</v>
      </c>
      <c r="R184" s="35">
        <f t="shared" si="15"/>
        <v>49606.29</v>
      </c>
    </row>
    <row r="185" spans="1:20" hidden="1" outlineLevel="2" x14ac:dyDescent="0.25">
      <c r="A185" t="s">
        <v>0</v>
      </c>
      <c r="B185" t="s">
        <v>1</v>
      </c>
      <c r="C185" s="2">
        <v>45904</v>
      </c>
      <c r="D185" s="13">
        <v>1800012728</v>
      </c>
      <c r="E185" t="s">
        <v>14</v>
      </c>
      <c r="F185" s="2">
        <v>45904</v>
      </c>
      <c r="G185" s="23">
        <v>256779417362</v>
      </c>
      <c r="H185" t="s">
        <v>13</v>
      </c>
      <c r="I185" s="3">
        <v>1800</v>
      </c>
      <c r="J185" t="s">
        <v>4</v>
      </c>
      <c r="K185" s="3">
        <v>157525.79</v>
      </c>
      <c r="L185" t="s">
        <v>51</v>
      </c>
      <c r="M185">
        <f>VLOOKUP(G185,Sheet2!$D$3:$H$171,3,)</f>
        <v>141773</v>
      </c>
      <c r="N185" s="14">
        <f t="shared" si="13"/>
        <v>15752.790000000008</v>
      </c>
      <c r="O185" s="20">
        <f t="shared" si="14"/>
        <v>0.10000133946320794</v>
      </c>
      <c r="Q185" s="26">
        <f>VLOOKUP(G185,'[1]TDS not in our Books'!$D:$H,5,0)</f>
        <v>15753</v>
      </c>
      <c r="R185" s="35">
        <f t="shared" si="15"/>
        <v>141772.79</v>
      </c>
    </row>
    <row r="186" spans="1:20" hidden="1" outlineLevel="2" x14ac:dyDescent="0.25">
      <c r="A186" t="s">
        <v>0</v>
      </c>
      <c r="B186" t="s">
        <v>1</v>
      </c>
      <c r="C186" s="2">
        <v>45906</v>
      </c>
      <c r="D186" s="13">
        <v>1800012467</v>
      </c>
      <c r="E186" t="s">
        <v>14</v>
      </c>
      <c r="F186" s="2">
        <v>45906</v>
      </c>
      <c r="G186" s="23">
        <v>256779417075</v>
      </c>
      <c r="H186" t="s">
        <v>13</v>
      </c>
      <c r="I186" s="3">
        <v>1099.02</v>
      </c>
      <c r="J186" t="s">
        <v>4</v>
      </c>
      <c r="K186" s="3">
        <v>96180</v>
      </c>
      <c r="L186" t="s">
        <v>168</v>
      </c>
      <c r="M186">
        <f>VLOOKUP(G186,Sheet2!$D$3:$H$171,3,)</f>
        <v>86562</v>
      </c>
      <c r="N186" s="14">
        <f t="shared" si="13"/>
        <v>9618</v>
      </c>
      <c r="O186" s="20">
        <f t="shared" si="14"/>
        <v>0.1</v>
      </c>
      <c r="Q186" s="26">
        <f>VLOOKUP(G186,'[1]TDS not in our Books'!$D:$H,5,0)</f>
        <v>9618</v>
      </c>
      <c r="R186" s="35">
        <f t="shared" si="15"/>
        <v>86562</v>
      </c>
    </row>
    <row r="187" spans="1:20" hidden="1" outlineLevel="2" x14ac:dyDescent="0.25">
      <c r="A187" t="s">
        <v>0</v>
      </c>
      <c r="B187" t="s">
        <v>1</v>
      </c>
      <c r="C187" s="2">
        <v>45917</v>
      </c>
      <c r="D187" s="13">
        <v>1800012790</v>
      </c>
      <c r="E187" t="s">
        <v>14</v>
      </c>
      <c r="F187" s="2">
        <v>45917</v>
      </c>
      <c r="G187" s="23">
        <v>256779417444</v>
      </c>
      <c r="H187" t="s">
        <v>13</v>
      </c>
      <c r="I187" s="3">
        <v>1326.2</v>
      </c>
      <c r="J187" t="s">
        <v>4</v>
      </c>
      <c r="K187" s="3">
        <v>116061.5</v>
      </c>
      <c r="L187" t="s">
        <v>30</v>
      </c>
      <c r="M187">
        <f>VLOOKUP(G187,Sheet2!$D$3:$H$171,3,)</f>
        <v>113740</v>
      </c>
      <c r="N187" s="14">
        <f t="shared" si="13"/>
        <v>2321.5</v>
      </c>
      <c r="O187" s="20">
        <f t="shared" si="14"/>
        <v>2.0002326352838797E-2</v>
      </c>
      <c r="Q187" s="26">
        <f>VLOOKUP(G187,'[1]TDS not in our Books'!$D:$H,5,0)</f>
        <v>2321</v>
      </c>
      <c r="R187" s="35">
        <f t="shared" si="15"/>
        <v>113740.5</v>
      </c>
    </row>
    <row r="188" spans="1:20" hidden="1" outlineLevel="2" x14ac:dyDescent="0.25">
      <c r="A188" t="s">
        <v>0</v>
      </c>
      <c r="B188" t="s">
        <v>1</v>
      </c>
      <c r="C188" s="2">
        <v>45918</v>
      </c>
      <c r="D188" s="13">
        <v>1800012995</v>
      </c>
      <c r="E188" t="s">
        <v>14</v>
      </c>
      <c r="F188" s="2">
        <v>45918</v>
      </c>
      <c r="G188" s="23">
        <v>256779417530</v>
      </c>
      <c r="H188" t="s">
        <v>13</v>
      </c>
      <c r="I188" s="3">
        <v>41.3</v>
      </c>
      <c r="J188" t="s">
        <v>4</v>
      </c>
      <c r="K188" s="3">
        <v>3614.34</v>
      </c>
      <c r="L188" t="s">
        <v>145</v>
      </c>
      <c r="M188">
        <f>VLOOKUP(G188,Sheet2!$D$3:$H$171,3,)</f>
        <v>3542</v>
      </c>
      <c r="N188" s="14">
        <f t="shared" si="13"/>
        <v>72.340000000000146</v>
      </c>
      <c r="O188" s="20">
        <f t="shared" si="14"/>
        <v>2.0014719146510884E-2</v>
      </c>
      <c r="Q188" s="26">
        <f>VLOOKUP(G188,'[1]TDS not in our Books'!$D:$H,5,0)</f>
        <v>72</v>
      </c>
      <c r="R188" s="35">
        <f t="shared" si="15"/>
        <v>3542.34</v>
      </c>
      <c r="T188" s="21"/>
    </row>
    <row r="189" spans="1:20" hidden="1" outlineLevel="2" x14ac:dyDescent="0.25">
      <c r="A189" t="s">
        <v>0</v>
      </c>
      <c r="B189" t="s">
        <v>1</v>
      </c>
      <c r="C189" s="2">
        <v>45918</v>
      </c>
      <c r="D189" s="13">
        <v>1800012932</v>
      </c>
      <c r="E189" t="s">
        <v>14</v>
      </c>
      <c r="F189" s="2">
        <v>45918</v>
      </c>
      <c r="G189" s="23">
        <v>256779417571</v>
      </c>
      <c r="H189" t="s">
        <v>13</v>
      </c>
      <c r="I189" s="3">
        <v>156.84</v>
      </c>
      <c r="J189" t="s">
        <v>4</v>
      </c>
      <c r="K189" s="3">
        <v>13725.75</v>
      </c>
      <c r="L189" t="s">
        <v>146</v>
      </c>
      <c r="M189">
        <f>VLOOKUP(G189,Sheet2!$D$3:$H$171,3,)</f>
        <v>13451</v>
      </c>
      <c r="N189" s="14">
        <f t="shared" si="13"/>
        <v>274.75</v>
      </c>
      <c r="O189" s="20">
        <f t="shared" si="14"/>
        <v>2.0017121104493378E-2</v>
      </c>
      <c r="Q189" s="26">
        <f>VLOOKUP(G189,'[1]TDS not in our Books'!$D:$H,5,0)</f>
        <v>275</v>
      </c>
      <c r="R189" s="35">
        <f t="shared" si="15"/>
        <v>13450.75</v>
      </c>
      <c r="T189" s="21"/>
    </row>
    <row r="190" spans="1:20" hidden="1" outlineLevel="2" x14ac:dyDescent="0.25">
      <c r="A190" t="s">
        <v>0</v>
      </c>
      <c r="B190" t="s">
        <v>1</v>
      </c>
      <c r="C190" s="2">
        <v>45935</v>
      </c>
      <c r="D190" s="13">
        <v>1800013308</v>
      </c>
      <c r="E190" t="s">
        <v>14</v>
      </c>
      <c r="F190" s="2">
        <v>45935</v>
      </c>
      <c r="G190" s="23">
        <v>256779417904</v>
      </c>
      <c r="H190" t="s">
        <v>13</v>
      </c>
      <c r="I190" s="3">
        <v>29.9</v>
      </c>
      <c r="J190" t="s">
        <v>4</v>
      </c>
      <c r="K190" s="3">
        <v>2636.9</v>
      </c>
      <c r="L190" t="s">
        <v>163</v>
      </c>
      <c r="M190">
        <f>VLOOKUP(G190,Sheet2!$D$3:$H$171,3,)</f>
        <v>2584</v>
      </c>
      <c r="N190" s="14">
        <f t="shared" si="13"/>
        <v>52.900000000000091</v>
      </c>
      <c r="O190" s="20">
        <f t="shared" si="14"/>
        <v>2.0061435776859225E-2</v>
      </c>
      <c r="Q190" s="26">
        <f>VLOOKUP(G190,'[1]TDS not in our Books'!$D:$H,5,0)</f>
        <v>53</v>
      </c>
      <c r="R190" s="35">
        <f t="shared" si="15"/>
        <v>2583.9</v>
      </c>
      <c r="T190" s="21"/>
    </row>
    <row r="191" spans="1:20" hidden="1" outlineLevel="2" x14ac:dyDescent="0.25">
      <c r="A191" t="s">
        <v>0</v>
      </c>
      <c r="B191" t="s">
        <v>1</v>
      </c>
      <c r="C191" s="2">
        <v>45935</v>
      </c>
      <c r="D191" s="13">
        <v>1800013513</v>
      </c>
      <c r="E191" t="s">
        <v>14</v>
      </c>
      <c r="F191" s="2">
        <v>45935</v>
      </c>
      <c r="G191" s="23">
        <v>256779418403</v>
      </c>
      <c r="H191" t="s">
        <v>13</v>
      </c>
      <c r="I191" s="3">
        <v>51.34</v>
      </c>
      <c r="J191" t="s">
        <v>4</v>
      </c>
      <c r="K191" s="3">
        <v>4527.71</v>
      </c>
      <c r="L191" t="s">
        <v>167</v>
      </c>
      <c r="M191">
        <f>VLOOKUP(G191,Sheet2!$D$3:$H$171,3,)</f>
        <v>4437</v>
      </c>
      <c r="N191" s="14">
        <f t="shared" si="13"/>
        <v>90.710000000000036</v>
      </c>
      <c r="O191" s="20">
        <f t="shared" si="14"/>
        <v>2.0034410331050363E-2</v>
      </c>
      <c r="Q191" s="26">
        <f>VLOOKUP(G191,'[1]TDS not in our Books'!$D:$H,5,0)</f>
        <v>91</v>
      </c>
      <c r="R191" s="35">
        <f t="shared" si="15"/>
        <v>4436.71</v>
      </c>
      <c r="T191" s="21"/>
    </row>
    <row r="192" spans="1:20" hidden="1" outlineLevel="2" x14ac:dyDescent="0.25">
      <c r="A192" t="s">
        <v>0</v>
      </c>
      <c r="B192" t="s">
        <v>1</v>
      </c>
      <c r="C192" s="2">
        <v>45862</v>
      </c>
      <c r="D192" s="13">
        <v>1600001823</v>
      </c>
      <c r="E192" t="s">
        <v>33</v>
      </c>
      <c r="F192" s="2">
        <v>45862</v>
      </c>
      <c r="G192" s="23">
        <v>256779421443</v>
      </c>
      <c r="H192" t="s">
        <v>13</v>
      </c>
      <c r="I192" s="3">
        <v>-29.25</v>
      </c>
      <c r="J192" t="s">
        <v>4</v>
      </c>
      <c r="K192" s="3">
        <v>-2515.02</v>
      </c>
      <c r="L192" t="s">
        <v>132</v>
      </c>
      <c r="M192" t="e">
        <f>VLOOKUP(G192,Sheet2!$D$3:$H$171,3,)</f>
        <v>#N/A</v>
      </c>
      <c r="Q192" s="26" t="e">
        <f>VLOOKUP(G192,'[1]TDS not in our Books'!$D:$H,5,0)</f>
        <v>#N/A</v>
      </c>
    </row>
    <row r="193" spans="1:20" s="27" customFormat="1" hidden="1" outlineLevel="2" x14ac:dyDescent="0.25">
      <c r="A193" t="s">
        <v>0</v>
      </c>
      <c r="B193" t="s">
        <v>1</v>
      </c>
      <c r="C193" s="2">
        <v>45935</v>
      </c>
      <c r="D193" s="13">
        <v>1800013386</v>
      </c>
      <c r="E193" t="s">
        <v>14</v>
      </c>
      <c r="F193" s="2">
        <v>45935</v>
      </c>
      <c r="G193" s="23">
        <v>256779417982</v>
      </c>
      <c r="H193" t="s">
        <v>13</v>
      </c>
      <c r="I193" s="3">
        <v>156.08000000000001</v>
      </c>
      <c r="J193" t="s">
        <v>4</v>
      </c>
      <c r="K193" s="3">
        <v>13764.82</v>
      </c>
      <c r="L193" t="s">
        <v>165</v>
      </c>
      <c r="M193">
        <f>VLOOKUP(G193,Sheet2!$D$3:$H$171,3,)</f>
        <v>13490</v>
      </c>
      <c r="N193" s="14">
        <f t="shared" ref="N193:N208" si="16">K193-M193</f>
        <v>274.81999999999971</v>
      </c>
      <c r="O193" s="20">
        <f t="shared" ref="O193:O208" si="17">N193/K193</f>
        <v>1.9965390030527077E-2</v>
      </c>
      <c r="P193"/>
      <c r="Q193" s="26">
        <f>VLOOKUP(G193,'[1]TDS not in our Books'!$D:$H,5,0)</f>
        <v>275</v>
      </c>
      <c r="R193" s="35">
        <f t="shared" ref="R193:R208" si="18">K193-Q193</f>
        <v>13489.82</v>
      </c>
      <c r="S193"/>
      <c r="T193" s="21"/>
    </row>
    <row r="194" spans="1:20" hidden="1" outlineLevel="2" x14ac:dyDescent="0.25">
      <c r="A194" t="s">
        <v>0</v>
      </c>
      <c r="B194" t="s">
        <v>1</v>
      </c>
      <c r="C194" s="2">
        <v>45935</v>
      </c>
      <c r="D194" s="13">
        <v>1800013347</v>
      </c>
      <c r="E194" t="s">
        <v>14</v>
      </c>
      <c r="F194" s="2">
        <v>45935</v>
      </c>
      <c r="G194" s="23">
        <v>256779417943</v>
      </c>
      <c r="H194" t="s">
        <v>13</v>
      </c>
      <c r="I194" s="3">
        <v>270.85000000000002</v>
      </c>
      <c r="J194" t="s">
        <v>4</v>
      </c>
      <c r="K194" s="3">
        <v>23886.47</v>
      </c>
      <c r="L194" t="s">
        <v>164</v>
      </c>
      <c r="M194">
        <f>VLOOKUP(G194,Sheet2!$D$3:$H$171,3,)</f>
        <v>23408</v>
      </c>
      <c r="N194" s="14">
        <f t="shared" si="16"/>
        <v>478.47000000000116</v>
      </c>
      <c r="O194" s="20">
        <f t="shared" si="17"/>
        <v>2.0031004999901666E-2</v>
      </c>
      <c r="Q194" s="26">
        <f>VLOOKUP(G194,'[1]TDS not in our Books'!$D:$H,5,0)</f>
        <v>478</v>
      </c>
      <c r="R194" s="35">
        <f t="shared" si="18"/>
        <v>23408.47</v>
      </c>
      <c r="T194" s="21"/>
    </row>
    <row r="195" spans="1:20" hidden="1" outlineLevel="2" x14ac:dyDescent="0.25">
      <c r="A195" t="s">
        <v>0</v>
      </c>
      <c r="B195" t="s">
        <v>1</v>
      </c>
      <c r="C195" s="2">
        <v>45935</v>
      </c>
      <c r="D195" s="13">
        <v>1800013449</v>
      </c>
      <c r="E195" t="s">
        <v>14</v>
      </c>
      <c r="F195" s="2">
        <v>45935</v>
      </c>
      <c r="G195" s="23">
        <v>256779418025</v>
      </c>
      <c r="H195" t="s">
        <v>13</v>
      </c>
      <c r="I195" s="3">
        <v>1800</v>
      </c>
      <c r="J195" t="s">
        <v>4</v>
      </c>
      <c r="K195" s="3">
        <v>158743.39000000001</v>
      </c>
      <c r="L195" t="s">
        <v>166</v>
      </c>
      <c r="M195">
        <f>VLOOKUP(G195,Sheet2!$D$3:$H$171,3,)</f>
        <v>142869</v>
      </c>
      <c r="N195" s="14">
        <f t="shared" si="16"/>
        <v>15874.390000000014</v>
      </c>
      <c r="O195" s="20">
        <f t="shared" si="17"/>
        <v>0.10000032127321971</v>
      </c>
      <c r="Q195" s="26">
        <f>VLOOKUP(G195,'[1]TDS not in our Books'!$D:$H,5,0)</f>
        <v>15874</v>
      </c>
      <c r="R195" s="35">
        <f t="shared" si="18"/>
        <v>142869.39000000001</v>
      </c>
    </row>
    <row r="196" spans="1:20" hidden="1" outlineLevel="2" x14ac:dyDescent="0.25">
      <c r="A196" t="s">
        <v>0</v>
      </c>
      <c r="B196" t="s">
        <v>1</v>
      </c>
      <c r="C196" s="2">
        <v>45936</v>
      </c>
      <c r="D196" s="13">
        <v>1800013278</v>
      </c>
      <c r="E196" t="s">
        <v>14</v>
      </c>
      <c r="F196" s="2">
        <v>45936</v>
      </c>
      <c r="G196" s="23">
        <v>256779418014</v>
      </c>
      <c r="H196" t="s">
        <v>13</v>
      </c>
      <c r="I196" s="3">
        <v>1329.96</v>
      </c>
      <c r="J196" t="s">
        <v>4</v>
      </c>
      <c r="K196" s="3">
        <v>117290.2</v>
      </c>
      <c r="L196" t="s">
        <v>162</v>
      </c>
      <c r="M196">
        <f>VLOOKUP(G196,Sheet2!$D$3:$H$171,3,)</f>
        <v>105561</v>
      </c>
      <c r="N196" s="14">
        <f t="shared" si="16"/>
        <v>11729.199999999997</v>
      </c>
      <c r="O196" s="20">
        <f t="shared" si="17"/>
        <v>0.1000015346550692</v>
      </c>
      <c r="Q196" s="26">
        <f>VLOOKUP(G196,'[1]TDS not in our Books'!$D:$H,5,0)</f>
        <v>11729</v>
      </c>
      <c r="R196" s="35">
        <f t="shared" si="18"/>
        <v>105561.2</v>
      </c>
    </row>
    <row r="197" spans="1:20" hidden="1" outlineLevel="2" x14ac:dyDescent="0.25">
      <c r="A197" t="s">
        <v>0</v>
      </c>
      <c r="B197" t="s">
        <v>1</v>
      </c>
      <c r="C197" s="2">
        <v>45937</v>
      </c>
      <c r="D197" s="13">
        <v>1800013761</v>
      </c>
      <c r="E197" t="s">
        <v>14</v>
      </c>
      <c r="F197" s="2">
        <v>45937</v>
      </c>
      <c r="G197" s="23">
        <v>256779418182</v>
      </c>
      <c r="H197" t="s">
        <v>13</v>
      </c>
      <c r="I197" s="3">
        <v>559.99</v>
      </c>
      <c r="J197" t="s">
        <v>4</v>
      </c>
      <c r="K197" s="3">
        <v>49385.95</v>
      </c>
      <c r="L197" t="s">
        <v>156</v>
      </c>
      <c r="M197">
        <f>VLOOKUP(G197,Sheet2!$D$3:$H$171,3,)</f>
        <v>48398</v>
      </c>
      <c r="N197" s="14">
        <f t="shared" si="16"/>
        <v>987.94999999999709</v>
      </c>
      <c r="O197" s="20">
        <f t="shared" si="17"/>
        <v>2.000467744368585E-2</v>
      </c>
      <c r="Q197" s="26">
        <f>VLOOKUP(G197,'[1]TDS not in our Books'!$D:$H,5,0)</f>
        <v>988</v>
      </c>
      <c r="R197" s="35">
        <f t="shared" si="18"/>
        <v>48397.95</v>
      </c>
      <c r="T197" s="21"/>
    </row>
    <row r="198" spans="1:20" hidden="1" outlineLevel="2" x14ac:dyDescent="0.25">
      <c r="A198" t="s">
        <v>0</v>
      </c>
      <c r="B198" t="s">
        <v>1</v>
      </c>
      <c r="C198" s="2">
        <v>45948</v>
      </c>
      <c r="D198" s="13">
        <v>1800014006</v>
      </c>
      <c r="E198" t="s">
        <v>14</v>
      </c>
      <c r="F198" s="2">
        <v>45948</v>
      </c>
      <c r="G198" s="23">
        <v>256779418430</v>
      </c>
      <c r="H198" t="s">
        <v>13</v>
      </c>
      <c r="I198" s="3">
        <v>46.92</v>
      </c>
      <c r="J198" t="s">
        <v>4</v>
      </c>
      <c r="K198" s="3">
        <v>4137.91</v>
      </c>
      <c r="L198" t="s">
        <v>160</v>
      </c>
      <c r="M198">
        <f>VLOOKUP(G198,Sheet2!$D$3:$H$171,3,)</f>
        <v>4055</v>
      </c>
      <c r="N198" s="14">
        <f t="shared" si="16"/>
        <v>82.909999999999854</v>
      </c>
      <c r="O198" s="20">
        <f t="shared" si="17"/>
        <v>2.0036685186482998E-2</v>
      </c>
      <c r="Q198" s="26">
        <f>VLOOKUP(G198,'[1]TDS not in our Books'!$D:$H,5,0)</f>
        <v>83</v>
      </c>
      <c r="R198" s="35">
        <f t="shared" si="18"/>
        <v>4054.91</v>
      </c>
      <c r="T198" s="21"/>
    </row>
    <row r="199" spans="1:20" hidden="1" outlineLevel="2" x14ac:dyDescent="0.25">
      <c r="A199" t="s">
        <v>0</v>
      </c>
      <c r="B199" t="s">
        <v>1</v>
      </c>
      <c r="C199" s="2">
        <v>45950</v>
      </c>
      <c r="D199" s="13">
        <v>1800013929</v>
      </c>
      <c r="E199" t="s">
        <v>14</v>
      </c>
      <c r="F199" s="2">
        <v>45950</v>
      </c>
      <c r="G199" s="23">
        <v>256779418706</v>
      </c>
      <c r="H199" t="s">
        <v>13</v>
      </c>
      <c r="I199" s="3">
        <v>54.34</v>
      </c>
      <c r="J199" t="s">
        <v>4</v>
      </c>
      <c r="K199" s="3">
        <v>4792.29</v>
      </c>
      <c r="L199" t="s">
        <v>130</v>
      </c>
      <c r="M199">
        <f>VLOOKUP(G199,Sheet2!$D$3:$H$171,3,)</f>
        <v>4696</v>
      </c>
      <c r="N199" s="14">
        <f t="shared" si="16"/>
        <v>96.289999999999964</v>
      </c>
      <c r="O199" s="20">
        <f t="shared" si="17"/>
        <v>2.0092690550863986E-2</v>
      </c>
      <c r="Q199" s="26">
        <f>VLOOKUP(G199,'[1]TDS not in our Books'!$D:$H,5,0)</f>
        <v>96</v>
      </c>
      <c r="R199" s="35">
        <f t="shared" si="18"/>
        <v>4696.29</v>
      </c>
      <c r="T199" s="21"/>
    </row>
    <row r="200" spans="1:20" hidden="1" outlineLevel="2" x14ac:dyDescent="0.25">
      <c r="A200" t="s">
        <v>0</v>
      </c>
      <c r="B200" t="s">
        <v>1</v>
      </c>
      <c r="C200" s="2">
        <v>45950</v>
      </c>
      <c r="D200" s="13">
        <v>1800013810</v>
      </c>
      <c r="E200" t="s">
        <v>14</v>
      </c>
      <c r="F200" s="2">
        <v>45950</v>
      </c>
      <c r="G200" s="23">
        <v>256779418628</v>
      </c>
      <c r="H200" t="s">
        <v>13</v>
      </c>
      <c r="I200" s="3">
        <v>235</v>
      </c>
      <c r="J200" t="s">
        <v>4</v>
      </c>
      <c r="K200" s="3">
        <v>20724.830000000002</v>
      </c>
      <c r="L200" t="s">
        <v>129</v>
      </c>
      <c r="M200">
        <f>VLOOKUP(G200,Sheet2!$D$3:$H$171,3,)</f>
        <v>20311</v>
      </c>
      <c r="N200" s="14">
        <f t="shared" si="16"/>
        <v>413.83000000000175</v>
      </c>
      <c r="O200" s="20">
        <f t="shared" si="17"/>
        <v>1.996783568309133E-2</v>
      </c>
      <c r="Q200" s="26">
        <f>VLOOKUP(G200,'[1]TDS not in our Books'!$D:$H,5,0)</f>
        <v>414</v>
      </c>
      <c r="R200" s="35">
        <f t="shared" si="18"/>
        <v>20310.830000000002</v>
      </c>
      <c r="T200" s="21"/>
    </row>
    <row r="201" spans="1:20" hidden="1" outlineLevel="2" x14ac:dyDescent="0.25">
      <c r="A201" t="s">
        <v>0</v>
      </c>
      <c r="B201" t="s">
        <v>1</v>
      </c>
      <c r="C201" s="2">
        <v>45951</v>
      </c>
      <c r="D201" s="13">
        <v>1800013950</v>
      </c>
      <c r="E201" t="s">
        <v>14</v>
      </c>
      <c r="F201" s="2">
        <v>45951</v>
      </c>
      <c r="G201" s="23">
        <v>256779418482</v>
      </c>
      <c r="H201" t="s">
        <v>13</v>
      </c>
      <c r="I201" s="3">
        <v>13.59</v>
      </c>
      <c r="J201" t="s">
        <v>4</v>
      </c>
      <c r="K201" s="3">
        <v>1198.51</v>
      </c>
      <c r="L201" t="s">
        <v>134</v>
      </c>
      <c r="M201">
        <f>VLOOKUP(G201,Sheet2!$D$3:$H$171,3,)</f>
        <v>1175</v>
      </c>
      <c r="N201" s="14">
        <f t="shared" si="16"/>
        <v>23.509999999999991</v>
      </c>
      <c r="O201" s="20">
        <f t="shared" si="17"/>
        <v>1.9616023228842473E-2</v>
      </c>
      <c r="Q201" s="26">
        <f>VLOOKUP(G201,'[1]TDS not in our Books'!$D:$H,5,0)</f>
        <v>24</v>
      </c>
      <c r="R201" s="35">
        <f t="shared" si="18"/>
        <v>1174.51</v>
      </c>
      <c r="T201" s="21"/>
    </row>
    <row r="202" spans="1:20" hidden="1" outlineLevel="2" x14ac:dyDescent="0.25">
      <c r="A202" t="s">
        <v>0</v>
      </c>
      <c r="B202" t="s">
        <v>1</v>
      </c>
      <c r="C202" s="2">
        <v>45958</v>
      </c>
      <c r="D202" s="13">
        <v>1800014196</v>
      </c>
      <c r="E202" t="s">
        <v>14</v>
      </c>
      <c r="F202" s="2">
        <v>45958</v>
      </c>
      <c r="G202" s="23">
        <v>256779418736</v>
      </c>
      <c r="H202" t="s">
        <v>13</v>
      </c>
      <c r="I202" s="3">
        <v>246.92</v>
      </c>
      <c r="J202" t="s">
        <v>4</v>
      </c>
      <c r="K202" s="3">
        <v>21776.06</v>
      </c>
      <c r="L202" t="s">
        <v>119</v>
      </c>
      <c r="M202">
        <f>VLOOKUP(G202,Sheet2!$D$3:$H$171,3,)</f>
        <v>21340</v>
      </c>
      <c r="N202" s="14">
        <f t="shared" si="16"/>
        <v>436.06000000000131</v>
      </c>
      <c r="O202" s="20">
        <f t="shared" si="17"/>
        <v>2.0024742767975532E-2</v>
      </c>
      <c r="Q202" s="26">
        <f>VLOOKUP(G202,'[1]TDS not in our Books'!$D:$H,5,0)</f>
        <v>436</v>
      </c>
      <c r="R202" s="35">
        <f t="shared" si="18"/>
        <v>21340.06</v>
      </c>
      <c r="T202" s="21"/>
    </row>
    <row r="203" spans="1:20" hidden="1" outlineLevel="2" x14ac:dyDescent="0.25">
      <c r="A203" t="s">
        <v>0</v>
      </c>
      <c r="B203" t="s">
        <v>1</v>
      </c>
      <c r="C203" s="2">
        <v>45964</v>
      </c>
      <c r="D203" s="13">
        <v>1800014414</v>
      </c>
      <c r="E203" t="s">
        <v>14</v>
      </c>
      <c r="F203" s="2">
        <v>45964</v>
      </c>
      <c r="G203" s="23">
        <v>256779419136</v>
      </c>
      <c r="H203" t="s">
        <v>13</v>
      </c>
      <c r="I203" s="3">
        <v>459.88</v>
      </c>
      <c r="J203" t="s">
        <v>4</v>
      </c>
      <c r="K203" s="3">
        <v>40471</v>
      </c>
      <c r="L203" t="s">
        <v>69</v>
      </c>
      <c r="M203">
        <f>VLOOKUP(G203,Sheet2!$D$3:$H$171,3,)</f>
        <v>39662</v>
      </c>
      <c r="N203" s="14">
        <f t="shared" si="16"/>
        <v>809</v>
      </c>
      <c r="O203" s="20">
        <f t="shared" si="17"/>
        <v>1.9989622198611352E-2</v>
      </c>
      <c r="Q203" s="26">
        <f>VLOOKUP(G203,'[1]TDS not in our Books'!$D:$H,5,0)</f>
        <v>809</v>
      </c>
      <c r="R203" s="35">
        <f t="shared" si="18"/>
        <v>39662</v>
      </c>
      <c r="T203" s="21"/>
    </row>
    <row r="204" spans="1:20" hidden="1" outlineLevel="2" x14ac:dyDescent="0.25">
      <c r="A204" t="s">
        <v>0</v>
      </c>
      <c r="B204" t="s">
        <v>1</v>
      </c>
      <c r="C204" s="2">
        <v>45966</v>
      </c>
      <c r="D204" s="13">
        <v>1800014622</v>
      </c>
      <c r="E204" t="s">
        <v>14</v>
      </c>
      <c r="F204" s="2">
        <v>45966</v>
      </c>
      <c r="G204" s="23">
        <v>256779419204</v>
      </c>
      <c r="H204" t="s">
        <v>13</v>
      </c>
      <c r="I204" s="3">
        <v>13.3</v>
      </c>
      <c r="J204" t="s">
        <v>4</v>
      </c>
      <c r="K204" s="3">
        <v>1170.45</v>
      </c>
      <c r="L204" t="s">
        <v>66</v>
      </c>
      <c r="M204">
        <f>VLOOKUP(G204,Sheet2!$D$3:$H$171,3,)</f>
        <v>1147</v>
      </c>
      <c r="N204" s="14">
        <f t="shared" si="16"/>
        <v>23.450000000000045</v>
      </c>
      <c r="O204" s="20">
        <f t="shared" si="17"/>
        <v>2.00350292622496E-2</v>
      </c>
      <c r="Q204" s="26">
        <f>VLOOKUP(G204,'[1]TDS not in our Books'!$D:$H,5,0)</f>
        <v>23</v>
      </c>
      <c r="R204" s="35">
        <f t="shared" si="18"/>
        <v>1147.45</v>
      </c>
      <c r="T204" s="21"/>
    </row>
    <row r="205" spans="1:20" hidden="1" outlineLevel="2" x14ac:dyDescent="0.25">
      <c r="A205" t="s">
        <v>0</v>
      </c>
      <c r="B205" t="s">
        <v>1</v>
      </c>
      <c r="C205" s="2">
        <v>45966</v>
      </c>
      <c r="D205" s="13">
        <v>1800014291</v>
      </c>
      <c r="E205" t="s">
        <v>14</v>
      </c>
      <c r="F205" s="2">
        <v>45966</v>
      </c>
      <c r="G205" s="23">
        <v>256779418828</v>
      </c>
      <c r="H205" t="s">
        <v>13</v>
      </c>
      <c r="I205" s="3">
        <v>13.53</v>
      </c>
      <c r="J205" t="s">
        <v>4</v>
      </c>
      <c r="K205" s="3">
        <v>1190.69</v>
      </c>
      <c r="L205" t="s">
        <v>61</v>
      </c>
      <c r="M205">
        <f>VLOOKUP(G205,Sheet2!$D$3:$H$171,3,)</f>
        <v>1167</v>
      </c>
      <c r="N205" s="14">
        <f t="shared" si="16"/>
        <v>23.690000000000055</v>
      </c>
      <c r="O205" s="20">
        <f t="shared" si="17"/>
        <v>1.9896026673609464E-2</v>
      </c>
      <c r="Q205" s="26">
        <f>VLOOKUP(G205,'[1]TDS not in our Books'!$D:$H,5,0)</f>
        <v>24</v>
      </c>
      <c r="R205" s="35">
        <f t="shared" si="18"/>
        <v>1166.69</v>
      </c>
      <c r="T205" s="21"/>
    </row>
    <row r="206" spans="1:20" hidden="1" outlineLevel="2" x14ac:dyDescent="0.25">
      <c r="A206" t="s">
        <v>0</v>
      </c>
      <c r="B206" t="s">
        <v>1</v>
      </c>
      <c r="C206" s="2">
        <v>45966</v>
      </c>
      <c r="D206" s="13">
        <v>1800014599</v>
      </c>
      <c r="E206" t="s">
        <v>14</v>
      </c>
      <c r="F206" s="2">
        <v>45966</v>
      </c>
      <c r="G206" s="23">
        <v>256779419098</v>
      </c>
      <c r="H206" t="s">
        <v>13</v>
      </c>
      <c r="I206" s="3">
        <v>35</v>
      </c>
      <c r="J206" t="s">
        <v>4</v>
      </c>
      <c r="K206" s="3">
        <v>3080.12</v>
      </c>
      <c r="L206" t="s">
        <v>64</v>
      </c>
      <c r="M206">
        <f>VLOOKUP(G206,Sheet2!$D$3:$H$171,3,)</f>
        <v>3018</v>
      </c>
      <c r="N206" s="14">
        <f t="shared" si="16"/>
        <v>62.119999999999891</v>
      </c>
      <c r="O206" s="20">
        <f t="shared" si="17"/>
        <v>2.0168045400828505E-2</v>
      </c>
      <c r="Q206" s="26">
        <f>VLOOKUP(G206,'[1]TDS not in our Books'!$D:$H,5,0)</f>
        <v>62</v>
      </c>
      <c r="R206" s="35">
        <f t="shared" si="18"/>
        <v>3018.12</v>
      </c>
      <c r="T206" s="21"/>
    </row>
    <row r="207" spans="1:20" hidden="1" outlineLevel="2" x14ac:dyDescent="0.25">
      <c r="A207" t="s">
        <v>0</v>
      </c>
      <c r="B207" t="s">
        <v>1</v>
      </c>
      <c r="C207" s="2">
        <v>45966</v>
      </c>
      <c r="D207" s="13">
        <v>1800014705</v>
      </c>
      <c r="E207" t="s">
        <v>14</v>
      </c>
      <c r="F207" s="2">
        <v>45966</v>
      </c>
      <c r="G207" s="23">
        <v>256779419087</v>
      </c>
      <c r="H207" t="s">
        <v>13</v>
      </c>
      <c r="I207" s="3">
        <v>140</v>
      </c>
      <c r="J207" t="s">
        <v>4</v>
      </c>
      <c r="K207" s="3">
        <v>12320.47</v>
      </c>
      <c r="L207" t="s">
        <v>63</v>
      </c>
      <c r="M207">
        <f>VLOOKUP(G207,Sheet2!$D$3:$H$171,3,)</f>
        <v>12074</v>
      </c>
      <c r="N207" s="14">
        <f t="shared" si="16"/>
        <v>246.46999999999935</v>
      </c>
      <c r="O207" s="20">
        <f t="shared" si="17"/>
        <v>2.0004918643525722E-2</v>
      </c>
      <c r="Q207" s="26">
        <f>VLOOKUP(G207,'[1]TDS not in our Books'!$D:$H,5,0)</f>
        <v>246</v>
      </c>
      <c r="R207" s="35">
        <f t="shared" si="18"/>
        <v>12074.47</v>
      </c>
      <c r="T207" s="21"/>
    </row>
    <row r="208" spans="1:20" hidden="1" outlineLevel="2" x14ac:dyDescent="0.25">
      <c r="A208" t="s">
        <v>0</v>
      </c>
      <c r="B208" t="s">
        <v>1</v>
      </c>
      <c r="C208" s="2">
        <v>45966</v>
      </c>
      <c r="D208" s="13">
        <v>1800014734</v>
      </c>
      <c r="E208" t="s">
        <v>14</v>
      </c>
      <c r="F208" s="2">
        <v>45966</v>
      </c>
      <c r="G208" s="23">
        <v>256779419235</v>
      </c>
      <c r="H208" t="s">
        <v>13</v>
      </c>
      <c r="I208" s="3">
        <v>146.19</v>
      </c>
      <c r="J208" t="s">
        <v>4</v>
      </c>
      <c r="K208" s="3">
        <v>12865.22</v>
      </c>
      <c r="L208" t="s">
        <v>67</v>
      </c>
      <c r="M208">
        <f>VLOOKUP(G208,Sheet2!$D$3:$H$171,3,)</f>
        <v>12608</v>
      </c>
      <c r="N208" s="14">
        <f t="shared" si="16"/>
        <v>257.21999999999935</v>
      </c>
      <c r="O208" s="20">
        <f t="shared" si="17"/>
        <v>1.9993439676896263E-2</v>
      </c>
      <c r="Q208" s="26">
        <f>VLOOKUP(G208,'[1]TDS not in our Books'!$D:$H,5,0)</f>
        <v>257</v>
      </c>
      <c r="R208" s="35">
        <f t="shared" si="18"/>
        <v>12608.22</v>
      </c>
      <c r="T208" s="21"/>
    </row>
    <row r="209" spans="1:20" hidden="1" outlineLevel="2" x14ac:dyDescent="0.25">
      <c r="A209" t="s">
        <v>0</v>
      </c>
      <c r="B209" t="s">
        <v>1</v>
      </c>
      <c r="C209" s="2">
        <v>45799</v>
      </c>
      <c r="D209" s="13">
        <v>1600001001</v>
      </c>
      <c r="E209" t="s">
        <v>33</v>
      </c>
      <c r="F209" s="2">
        <v>45799</v>
      </c>
      <c r="G209" s="23">
        <v>256779420689</v>
      </c>
      <c r="H209" t="s">
        <v>13</v>
      </c>
      <c r="I209" s="3">
        <v>-368.88</v>
      </c>
      <c r="J209" t="s">
        <v>4</v>
      </c>
      <c r="K209" s="3">
        <v>-31978.67</v>
      </c>
      <c r="L209" t="s">
        <v>148</v>
      </c>
      <c r="M209" t="e">
        <f>VLOOKUP(G209,Sheet2!$D$3:$H$171,3,)</f>
        <v>#N/A</v>
      </c>
      <c r="Q209" s="26" t="e">
        <f>VLOOKUP(G209,'[1]TDS not in our Books'!$D:$H,5,0)</f>
        <v>#N/A</v>
      </c>
    </row>
    <row r="210" spans="1:20" hidden="1" outlineLevel="2" x14ac:dyDescent="0.25">
      <c r="A210" t="s">
        <v>0</v>
      </c>
      <c r="B210" t="s">
        <v>1</v>
      </c>
      <c r="C210" s="2">
        <v>45799</v>
      </c>
      <c r="D210" s="13">
        <v>1600001002</v>
      </c>
      <c r="E210" t="s">
        <v>33</v>
      </c>
      <c r="F210" s="2">
        <v>45799</v>
      </c>
      <c r="G210" s="23">
        <v>256779420690</v>
      </c>
      <c r="H210" t="s">
        <v>13</v>
      </c>
      <c r="I210" s="3">
        <v>-190.41</v>
      </c>
      <c r="J210" t="s">
        <v>4</v>
      </c>
      <c r="K210" s="3">
        <v>-16550.78</v>
      </c>
      <c r="L210" t="s">
        <v>149</v>
      </c>
      <c r="M210" t="e">
        <f>VLOOKUP(G210,Sheet2!$D$3:$H$171,3,)</f>
        <v>#N/A</v>
      </c>
      <c r="Q210" s="26" t="e">
        <f>VLOOKUP(G210,'[1]TDS not in our Books'!$D:$H,5,0)</f>
        <v>#N/A</v>
      </c>
    </row>
    <row r="211" spans="1:20" hidden="1" outlineLevel="2" x14ac:dyDescent="0.25">
      <c r="A211" t="s">
        <v>0</v>
      </c>
      <c r="B211" t="s">
        <v>1</v>
      </c>
      <c r="C211" s="2">
        <v>45966</v>
      </c>
      <c r="D211" s="13">
        <v>1800014766</v>
      </c>
      <c r="E211" t="s">
        <v>14</v>
      </c>
      <c r="F211" s="2">
        <v>45966</v>
      </c>
      <c r="G211" s="23">
        <v>256779419267</v>
      </c>
      <c r="H211" t="s">
        <v>13</v>
      </c>
      <c r="I211" s="3">
        <v>197.23</v>
      </c>
      <c r="J211" t="s">
        <v>4</v>
      </c>
      <c r="K211" s="3">
        <v>17356.91</v>
      </c>
      <c r="L211" t="s">
        <v>68</v>
      </c>
      <c r="M211">
        <f>VLOOKUP(G211,Sheet2!$D$3:$H$171,3,)</f>
        <v>17010</v>
      </c>
      <c r="N211" s="14">
        <f>K211-M211</f>
        <v>346.90999999999985</v>
      </c>
      <c r="O211" s="20">
        <f>N211/K211</f>
        <v>1.9986852498514993E-2</v>
      </c>
      <c r="Q211" s="26">
        <f>VLOOKUP(G211,'[1]TDS not in our Books'!$D:$H,5,0)</f>
        <v>347</v>
      </c>
      <c r="R211" s="35">
        <f>K211-Q211</f>
        <v>17009.91</v>
      </c>
      <c r="T211" s="21"/>
    </row>
    <row r="212" spans="1:20" hidden="1" outlineLevel="2" x14ac:dyDescent="0.25">
      <c r="A212" t="s">
        <v>0</v>
      </c>
      <c r="B212" t="s">
        <v>1</v>
      </c>
      <c r="C212" s="2">
        <v>45966</v>
      </c>
      <c r="D212" s="13">
        <v>1800014530</v>
      </c>
      <c r="E212" t="s">
        <v>14</v>
      </c>
      <c r="F212" s="2">
        <v>45966</v>
      </c>
      <c r="G212" s="23">
        <v>256779419179</v>
      </c>
      <c r="H212" t="s">
        <v>13</v>
      </c>
      <c r="I212" s="3">
        <v>322.64</v>
      </c>
      <c r="J212" t="s">
        <v>4</v>
      </c>
      <c r="K212" s="3">
        <v>28393.41</v>
      </c>
      <c r="L212" t="s">
        <v>65</v>
      </c>
      <c r="M212">
        <f>VLOOKUP(G212,Sheet2!$D$3:$H$171,3,)</f>
        <v>27825</v>
      </c>
      <c r="N212" s="14">
        <f>K212-M212</f>
        <v>568.40999999999985</v>
      </c>
      <c r="O212" s="20">
        <f>N212/K212</f>
        <v>2.0019081892594087E-2</v>
      </c>
      <c r="Q212" s="26">
        <f>VLOOKUP(G212,'[1]TDS not in our Books'!$D:$H,5,0)</f>
        <v>568</v>
      </c>
      <c r="R212" s="35">
        <f>K212-Q212</f>
        <v>27825.41</v>
      </c>
      <c r="T212" s="21"/>
    </row>
    <row r="213" spans="1:20" hidden="1" outlineLevel="2" x14ac:dyDescent="0.25">
      <c r="A213" t="s">
        <v>0</v>
      </c>
      <c r="B213" t="s">
        <v>1</v>
      </c>
      <c r="C213" s="2">
        <v>45966</v>
      </c>
      <c r="D213" s="13">
        <v>1800014539</v>
      </c>
      <c r="E213" t="s">
        <v>14</v>
      </c>
      <c r="F213" s="2">
        <v>45966</v>
      </c>
      <c r="G213" s="23">
        <v>256779418871</v>
      </c>
      <c r="H213" t="s">
        <v>13</v>
      </c>
      <c r="I213" s="3">
        <v>1068.54</v>
      </c>
      <c r="J213" t="s">
        <v>4</v>
      </c>
      <c r="K213" s="3">
        <v>94035.14</v>
      </c>
      <c r="L213" t="s">
        <v>62</v>
      </c>
      <c r="M213">
        <f>VLOOKUP(G213,Sheet2!$D$3:$H$171,3,)</f>
        <v>84631</v>
      </c>
      <c r="N213" s="14">
        <f>K213-M213</f>
        <v>9404.14</v>
      </c>
      <c r="O213" s="20">
        <f>N213/K213</f>
        <v>0.10000665708585109</v>
      </c>
      <c r="Q213" s="26">
        <f>VLOOKUP(G213,'[1]TDS not in our Books'!$D:$H,5,0)</f>
        <v>9404</v>
      </c>
      <c r="R213" s="35">
        <f>K213-Q213</f>
        <v>84631.14</v>
      </c>
    </row>
    <row r="214" spans="1:20" hidden="1" outlineLevel="2" x14ac:dyDescent="0.25">
      <c r="A214" t="s">
        <v>0</v>
      </c>
      <c r="B214" t="s">
        <v>1</v>
      </c>
      <c r="C214" s="2">
        <v>45966</v>
      </c>
      <c r="D214" s="13">
        <v>1800014252</v>
      </c>
      <c r="E214" t="s">
        <v>14</v>
      </c>
      <c r="F214" s="2">
        <v>45966</v>
      </c>
      <c r="G214" s="23">
        <v>256779418791</v>
      </c>
      <c r="H214" t="s">
        <v>13</v>
      </c>
      <c r="I214" s="3">
        <v>1800</v>
      </c>
      <c r="J214" t="s">
        <v>4</v>
      </c>
      <c r="K214" s="3">
        <v>158406.1</v>
      </c>
      <c r="L214" t="s">
        <v>60</v>
      </c>
      <c r="M214">
        <f>VLOOKUP(G214,Sheet2!$D$3:$H$171,3,)</f>
        <v>142565</v>
      </c>
      <c r="N214" s="14">
        <f>K214-M214</f>
        <v>15841.100000000006</v>
      </c>
      <c r="O214" s="20">
        <f>N214/K214</f>
        <v>0.10000309331521959</v>
      </c>
      <c r="Q214" s="26">
        <f>VLOOKUP(G214,'[1]TDS not in our Books'!$D:$H,5,0)</f>
        <v>15841</v>
      </c>
      <c r="R214" s="35">
        <f>K214-Q214</f>
        <v>142565.1</v>
      </c>
    </row>
    <row r="215" spans="1:20" hidden="1" outlineLevel="2" x14ac:dyDescent="0.25">
      <c r="A215" t="s">
        <v>0</v>
      </c>
      <c r="B215" t="s">
        <v>1</v>
      </c>
      <c r="C215" s="2">
        <v>45735</v>
      </c>
      <c r="D215" s="13">
        <v>1800003224</v>
      </c>
      <c r="E215" t="s">
        <v>14</v>
      </c>
      <c r="F215" s="2">
        <v>45735</v>
      </c>
      <c r="G215" s="23">
        <v>246779413091</v>
      </c>
      <c r="H215" t="s">
        <v>13</v>
      </c>
      <c r="I215" s="3">
        <v>368.88</v>
      </c>
      <c r="J215" t="s">
        <v>4</v>
      </c>
      <c r="K215" s="3">
        <v>31978.67</v>
      </c>
      <c r="L215" t="s">
        <v>15</v>
      </c>
      <c r="M215" t="e">
        <f>VLOOKUP(G215,Sheet2!$D$3:$H$171,3,)</f>
        <v>#N/A</v>
      </c>
      <c r="Q215" s="26" t="e">
        <f>VLOOKUP(G215,'[1]TDS not in our Books'!$D:$H,5,0)</f>
        <v>#N/A</v>
      </c>
    </row>
    <row r="216" spans="1:20" hidden="1" outlineLevel="2" x14ac:dyDescent="0.25">
      <c r="A216" t="s">
        <v>0</v>
      </c>
      <c r="B216" t="s">
        <v>1</v>
      </c>
      <c r="C216" s="2">
        <v>45856</v>
      </c>
      <c r="D216" s="13">
        <v>1800011046</v>
      </c>
      <c r="E216" t="s">
        <v>14</v>
      </c>
      <c r="F216" s="2">
        <v>45856</v>
      </c>
      <c r="G216" s="23">
        <v>256779415806</v>
      </c>
      <c r="H216" t="s">
        <v>13</v>
      </c>
      <c r="I216" s="3">
        <v>239.19</v>
      </c>
      <c r="J216" t="s">
        <v>4</v>
      </c>
      <c r="K216" s="3">
        <v>20570.5</v>
      </c>
      <c r="L216" t="s">
        <v>89</v>
      </c>
      <c r="M216" t="e">
        <f>VLOOKUP(G216,Sheet2!$D$3:$H$171,3,)</f>
        <v>#N/A</v>
      </c>
      <c r="O216" s="20">
        <f t="shared" ref="O216:O233" si="19">N216/K216</f>
        <v>0</v>
      </c>
      <c r="Q216" s="26" t="e">
        <f>VLOOKUP(G216,'[1]TDS not in our Books'!$D:$H,5,0)</f>
        <v>#N/A</v>
      </c>
    </row>
    <row r="217" spans="1:20" hidden="1" outlineLevel="2" x14ac:dyDescent="0.25">
      <c r="A217" t="s">
        <v>0</v>
      </c>
      <c r="B217" t="s">
        <v>1</v>
      </c>
      <c r="C217" s="2">
        <v>45999</v>
      </c>
      <c r="D217" s="13">
        <v>1800015423</v>
      </c>
      <c r="E217" t="s">
        <v>14</v>
      </c>
      <c r="F217" s="2">
        <v>45999</v>
      </c>
      <c r="G217" s="23">
        <v>256779419872</v>
      </c>
      <c r="H217" t="s">
        <v>13</v>
      </c>
      <c r="I217" s="3">
        <v>42.73</v>
      </c>
      <c r="J217" t="s">
        <v>4</v>
      </c>
      <c r="K217" s="3">
        <v>3790.16</v>
      </c>
      <c r="L217" t="s">
        <v>118</v>
      </c>
      <c r="M217" t="e">
        <f>VLOOKUP(G217,Sheet2!$D$3:$H$171,3,)</f>
        <v>#N/A</v>
      </c>
      <c r="O217" s="20">
        <f t="shared" si="19"/>
        <v>0</v>
      </c>
      <c r="Q217" s="26" t="e">
        <f>VLOOKUP(G217,'[1]TDS not in our Books'!$D:$H,5,0)</f>
        <v>#N/A</v>
      </c>
    </row>
    <row r="218" spans="1:20" hidden="1" outlineLevel="2" x14ac:dyDescent="0.25">
      <c r="A218" t="s">
        <v>0</v>
      </c>
      <c r="B218" t="s">
        <v>1</v>
      </c>
      <c r="C218" s="2">
        <v>45797</v>
      </c>
      <c r="D218" s="13">
        <v>1800009124</v>
      </c>
      <c r="E218" t="s">
        <v>14</v>
      </c>
      <c r="F218" s="2">
        <v>45797</v>
      </c>
      <c r="G218" s="23">
        <v>256779413888</v>
      </c>
      <c r="H218" t="s">
        <v>13</v>
      </c>
      <c r="I218" s="3">
        <v>29.25</v>
      </c>
      <c r="J218" t="s">
        <v>4</v>
      </c>
      <c r="K218" s="3">
        <v>2515.02</v>
      </c>
      <c r="L218" t="s">
        <v>123</v>
      </c>
      <c r="M218" t="e">
        <f>VLOOKUP(G218,Sheet2!$D$3:$H$171,3,)</f>
        <v>#N/A</v>
      </c>
      <c r="O218" s="20">
        <f t="shared" si="19"/>
        <v>0</v>
      </c>
      <c r="Q218" s="26" t="e">
        <f>VLOOKUP(G218,'[1]TDS not in our Books'!$D:$H,5,0)</f>
        <v>#N/A</v>
      </c>
    </row>
    <row r="219" spans="1:20" hidden="1" outlineLevel="2" x14ac:dyDescent="0.25">
      <c r="A219" t="s">
        <v>0</v>
      </c>
      <c r="B219" t="s">
        <v>1</v>
      </c>
      <c r="C219" s="2">
        <v>45750</v>
      </c>
      <c r="D219" s="13">
        <v>1800005055</v>
      </c>
      <c r="E219" t="s">
        <v>14</v>
      </c>
      <c r="F219" s="2">
        <v>45750</v>
      </c>
      <c r="G219" s="23">
        <v>256779410001</v>
      </c>
      <c r="H219" t="s">
        <v>13</v>
      </c>
      <c r="I219" s="3">
        <v>450</v>
      </c>
      <c r="J219" t="s">
        <v>4</v>
      </c>
      <c r="K219" s="3">
        <v>39114.82</v>
      </c>
      <c r="L219" t="s">
        <v>20</v>
      </c>
      <c r="M219" t="e">
        <f>VLOOKUP(G219,Sheet2!$D$3:$H$171,3,)</f>
        <v>#N/A</v>
      </c>
      <c r="O219" s="20">
        <f t="shared" si="19"/>
        <v>0</v>
      </c>
      <c r="Q219" s="26" t="e">
        <f>VLOOKUP(G219,'[1]TDS not in our Books'!$D:$H,5,0)</f>
        <v>#N/A</v>
      </c>
    </row>
    <row r="220" spans="1:20" hidden="1" outlineLevel="2" x14ac:dyDescent="0.25">
      <c r="A220" t="s">
        <v>0</v>
      </c>
      <c r="B220" t="s">
        <v>1</v>
      </c>
      <c r="C220" s="2">
        <v>45750</v>
      </c>
      <c r="D220" s="13">
        <v>1800005061</v>
      </c>
      <c r="E220" t="s">
        <v>14</v>
      </c>
      <c r="F220" s="2">
        <v>45750</v>
      </c>
      <c r="G220" s="23">
        <v>256779410007</v>
      </c>
      <c r="H220" t="s">
        <v>13</v>
      </c>
      <c r="I220" s="3">
        <v>465</v>
      </c>
      <c r="J220" t="s">
        <v>4</v>
      </c>
      <c r="K220" s="3">
        <v>40418.65</v>
      </c>
      <c r="L220" t="s">
        <v>20</v>
      </c>
      <c r="M220" t="e">
        <f>VLOOKUP(G220,Sheet2!$D$3:$H$171,3,)</f>
        <v>#N/A</v>
      </c>
      <c r="O220" s="20">
        <f t="shared" si="19"/>
        <v>0</v>
      </c>
      <c r="Q220" s="26" t="e">
        <f>VLOOKUP(G220,'[1]TDS not in our Books'!$D:$H,5,0)</f>
        <v>#N/A</v>
      </c>
    </row>
    <row r="221" spans="1:20" hidden="1" outlineLevel="2" x14ac:dyDescent="0.25">
      <c r="A221" t="s">
        <v>0</v>
      </c>
      <c r="B221" t="s">
        <v>1</v>
      </c>
      <c r="C221" s="2">
        <v>45750</v>
      </c>
      <c r="D221" s="13">
        <v>1800005067</v>
      </c>
      <c r="E221" t="s">
        <v>14</v>
      </c>
      <c r="F221" s="2">
        <v>45750</v>
      </c>
      <c r="G221" s="23">
        <v>256779410013</v>
      </c>
      <c r="H221" t="s">
        <v>13</v>
      </c>
      <c r="I221" s="3">
        <v>450</v>
      </c>
      <c r="J221" t="s">
        <v>4</v>
      </c>
      <c r="K221" s="3">
        <v>39114.82</v>
      </c>
      <c r="L221" t="s">
        <v>20</v>
      </c>
      <c r="M221" t="e">
        <f>VLOOKUP(G221,Sheet2!$D$3:$H$171,3,)</f>
        <v>#N/A</v>
      </c>
      <c r="O221" s="20">
        <f t="shared" si="19"/>
        <v>0</v>
      </c>
      <c r="Q221" s="26" t="e">
        <f>VLOOKUP(G221,'[1]TDS not in our Books'!$D:$H,5,0)</f>
        <v>#N/A</v>
      </c>
    </row>
    <row r="222" spans="1:20" hidden="1" outlineLevel="2" x14ac:dyDescent="0.25">
      <c r="A222" t="s">
        <v>0</v>
      </c>
      <c r="B222" t="s">
        <v>1</v>
      </c>
      <c r="C222" s="2">
        <v>45750</v>
      </c>
      <c r="D222" s="13">
        <v>1800005327</v>
      </c>
      <c r="E222" t="s">
        <v>14</v>
      </c>
      <c r="F222" s="2">
        <v>45750</v>
      </c>
      <c r="G222" s="23">
        <v>256779410219</v>
      </c>
      <c r="H222" t="s">
        <v>13</v>
      </c>
      <c r="I222" s="3">
        <v>465</v>
      </c>
      <c r="J222" t="s">
        <v>4</v>
      </c>
      <c r="K222" s="3">
        <v>40418.65</v>
      </c>
      <c r="L222" t="s">
        <v>20</v>
      </c>
      <c r="M222" t="e">
        <f>VLOOKUP(G222,Sheet2!$D$3:$H$171,3,)</f>
        <v>#N/A</v>
      </c>
      <c r="O222" s="20">
        <f t="shared" si="19"/>
        <v>0</v>
      </c>
      <c r="Q222" s="26" t="e">
        <f>VLOOKUP(G222,'[1]TDS not in our Books'!$D:$H,5,0)</f>
        <v>#N/A</v>
      </c>
    </row>
    <row r="223" spans="1:20" hidden="1" outlineLevel="2" x14ac:dyDescent="0.25">
      <c r="A223" t="s">
        <v>0</v>
      </c>
      <c r="B223" t="s">
        <v>1</v>
      </c>
      <c r="C223" s="2">
        <v>45750</v>
      </c>
      <c r="D223" s="13">
        <v>1800005388</v>
      </c>
      <c r="E223" t="s">
        <v>14</v>
      </c>
      <c r="F223" s="2">
        <v>45750</v>
      </c>
      <c r="G223" s="23">
        <v>256779410280</v>
      </c>
      <c r="H223" t="s">
        <v>13</v>
      </c>
      <c r="I223" s="3">
        <v>1800</v>
      </c>
      <c r="J223" t="s">
        <v>4</v>
      </c>
      <c r="K223" s="3">
        <v>156459.28</v>
      </c>
      <c r="L223" t="s">
        <v>114</v>
      </c>
      <c r="M223" t="e">
        <f>VLOOKUP(G223,Sheet2!$D$3:$H$171,3,)</f>
        <v>#N/A</v>
      </c>
      <c r="O223" s="20">
        <f t="shared" si="19"/>
        <v>0</v>
      </c>
      <c r="Q223" s="26" t="e">
        <f>VLOOKUP(G223,'[1]TDS not in our Books'!$D:$H,5,0)</f>
        <v>#N/A</v>
      </c>
    </row>
    <row r="224" spans="1:20" hidden="1" outlineLevel="2" x14ac:dyDescent="0.25">
      <c r="A224" t="s">
        <v>0</v>
      </c>
      <c r="B224" t="s">
        <v>1</v>
      </c>
      <c r="C224" s="2">
        <v>45750</v>
      </c>
      <c r="D224" s="13">
        <v>1800005347</v>
      </c>
      <c r="E224" t="s">
        <v>14</v>
      </c>
      <c r="F224" s="2">
        <v>45750</v>
      </c>
      <c r="G224" s="23">
        <v>256779410239</v>
      </c>
      <c r="H224" t="s">
        <v>13</v>
      </c>
      <c r="I224" s="3">
        <v>1800</v>
      </c>
      <c r="J224" t="s">
        <v>4</v>
      </c>
      <c r="K224" s="3">
        <v>156459.28</v>
      </c>
      <c r="L224" t="s">
        <v>113</v>
      </c>
      <c r="M224" t="e">
        <f>VLOOKUP(G224,Sheet2!$D$3:$H$171,3,)</f>
        <v>#N/A</v>
      </c>
      <c r="O224" s="20">
        <f t="shared" si="19"/>
        <v>0</v>
      </c>
      <c r="Q224" s="26" t="e">
        <f>VLOOKUP(G224,'[1]TDS not in our Books'!$D:$H,5,0)</f>
        <v>#N/A</v>
      </c>
    </row>
    <row r="225" spans="1:19" hidden="1" outlineLevel="2" x14ac:dyDescent="0.25">
      <c r="A225" t="s">
        <v>0</v>
      </c>
      <c r="B225" t="s">
        <v>1</v>
      </c>
      <c r="C225" s="2">
        <v>45951</v>
      </c>
      <c r="D225" s="13">
        <v>1800013967</v>
      </c>
      <c r="E225" t="s">
        <v>14</v>
      </c>
      <c r="F225" s="2">
        <v>45951</v>
      </c>
      <c r="G225" s="23">
        <v>256779418497</v>
      </c>
      <c r="H225" t="s">
        <v>13</v>
      </c>
      <c r="I225" s="3">
        <v>13.59</v>
      </c>
      <c r="J225" t="s">
        <v>4</v>
      </c>
      <c r="K225" s="3">
        <v>1198.51</v>
      </c>
      <c r="L225" t="s">
        <v>134</v>
      </c>
      <c r="M225" t="e">
        <f>VLOOKUP(G225,Sheet2!$D$3:$H$171,3,)</f>
        <v>#N/A</v>
      </c>
      <c r="O225" s="20">
        <f t="shared" si="19"/>
        <v>0</v>
      </c>
      <c r="Q225" s="26" t="e">
        <f>VLOOKUP(G225,'[1]TDS not in our Books'!$D:$H,5,0)</f>
        <v>#N/A</v>
      </c>
    </row>
    <row r="226" spans="1:19" hidden="1" outlineLevel="2" x14ac:dyDescent="0.25">
      <c r="A226" t="s">
        <v>0</v>
      </c>
      <c r="B226" t="s">
        <v>1</v>
      </c>
      <c r="C226" s="2">
        <v>45981</v>
      </c>
      <c r="D226" s="13">
        <v>1800014968</v>
      </c>
      <c r="E226" t="s">
        <v>14</v>
      </c>
      <c r="F226" s="2">
        <v>45981</v>
      </c>
      <c r="G226" s="23">
        <v>256779419469</v>
      </c>
      <c r="H226" t="s">
        <v>13</v>
      </c>
      <c r="I226" s="3">
        <v>2040.23</v>
      </c>
      <c r="J226" t="s">
        <v>4</v>
      </c>
      <c r="K226" s="3">
        <v>179547.16</v>
      </c>
      <c r="L226" t="s">
        <v>139</v>
      </c>
      <c r="M226" t="e">
        <f>VLOOKUP(G226,Sheet2!$D$3:$H$171,3,)</f>
        <v>#N/A</v>
      </c>
      <c r="O226" s="20">
        <f t="shared" si="19"/>
        <v>0</v>
      </c>
      <c r="Q226" s="26" t="e">
        <f>VLOOKUP(G226,'[1]TDS not in our Books'!$D:$H,5,0)</f>
        <v>#N/A</v>
      </c>
    </row>
    <row r="227" spans="1:19" hidden="1" outlineLevel="2" x14ac:dyDescent="0.25">
      <c r="A227" t="s">
        <v>0</v>
      </c>
      <c r="B227" t="s">
        <v>1</v>
      </c>
      <c r="C227" s="2">
        <v>45981</v>
      </c>
      <c r="D227" s="13">
        <v>1800015080</v>
      </c>
      <c r="E227" t="s">
        <v>14</v>
      </c>
      <c r="F227" s="2">
        <v>45981</v>
      </c>
      <c r="G227" s="23">
        <v>256779419593</v>
      </c>
      <c r="H227" t="s">
        <v>13</v>
      </c>
      <c r="I227" s="3">
        <v>65.05</v>
      </c>
      <c r="J227" t="s">
        <v>4</v>
      </c>
      <c r="K227" s="3">
        <v>5724.62</v>
      </c>
      <c r="L227" t="s">
        <v>140</v>
      </c>
      <c r="M227" t="e">
        <f>VLOOKUP(G227,Sheet2!$D$3:$H$171,3,)</f>
        <v>#N/A</v>
      </c>
      <c r="O227" s="20">
        <f t="shared" si="19"/>
        <v>0</v>
      </c>
      <c r="Q227" s="26" t="e">
        <f>VLOOKUP(G227,'[1]TDS not in our Books'!$D:$H,5,0)</f>
        <v>#N/A</v>
      </c>
    </row>
    <row r="228" spans="1:19" hidden="1" outlineLevel="2" x14ac:dyDescent="0.25">
      <c r="A228" t="s">
        <v>0</v>
      </c>
      <c r="B228" t="s">
        <v>1</v>
      </c>
      <c r="C228" s="2">
        <v>45981</v>
      </c>
      <c r="D228" s="13">
        <v>1800015135</v>
      </c>
      <c r="E228" t="s">
        <v>14</v>
      </c>
      <c r="F228" s="2">
        <v>45981</v>
      </c>
      <c r="G228" s="23">
        <v>256779419634</v>
      </c>
      <c r="H228" t="s">
        <v>13</v>
      </c>
      <c r="I228" s="3">
        <v>42.21</v>
      </c>
      <c r="J228" t="s">
        <v>4</v>
      </c>
      <c r="K228" s="3">
        <v>3714.62</v>
      </c>
      <c r="L228" t="s">
        <v>141</v>
      </c>
      <c r="M228" t="e">
        <f>VLOOKUP(G228,Sheet2!$D$3:$H$171,3,)</f>
        <v>#N/A</v>
      </c>
      <c r="O228" s="20">
        <f t="shared" si="19"/>
        <v>0</v>
      </c>
      <c r="Q228" s="26" t="e">
        <f>VLOOKUP(G228,'[1]TDS not in our Books'!$D:$H,5,0)</f>
        <v>#N/A</v>
      </c>
    </row>
    <row r="229" spans="1:19" hidden="1" outlineLevel="2" x14ac:dyDescent="0.25">
      <c r="A229" t="s">
        <v>0</v>
      </c>
      <c r="B229" t="s">
        <v>1</v>
      </c>
      <c r="C229" s="2">
        <v>45996</v>
      </c>
      <c r="D229" s="13">
        <v>1800015293</v>
      </c>
      <c r="E229" t="s">
        <v>14</v>
      </c>
      <c r="F229" s="2">
        <v>45996</v>
      </c>
      <c r="G229" s="23">
        <v>256779419922</v>
      </c>
      <c r="H229" t="s">
        <v>13</v>
      </c>
      <c r="I229" s="3">
        <v>161.41</v>
      </c>
      <c r="J229" t="s">
        <v>4</v>
      </c>
      <c r="K229" s="3">
        <v>14317.09</v>
      </c>
      <c r="L229" t="s">
        <v>147</v>
      </c>
      <c r="M229" t="e">
        <f>VLOOKUP(G229,Sheet2!$D$3:$H$171,3,)</f>
        <v>#N/A</v>
      </c>
      <c r="O229" s="20">
        <f t="shared" si="19"/>
        <v>0</v>
      </c>
      <c r="Q229" s="26" t="e">
        <f>VLOOKUP(G229,'[1]TDS not in our Books'!$D:$H,5,0)</f>
        <v>#N/A</v>
      </c>
    </row>
    <row r="230" spans="1:19" hidden="1" outlineLevel="2" x14ac:dyDescent="0.25">
      <c r="A230" t="s">
        <v>0</v>
      </c>
      <c r="B230" t="s">
        <v>1</v>
      </c>
      <c r="C230" s="2">
        <v>45770</v>
      </c>
      <c r="D230" s="13">
        <v>1800008042</v>
      </c>
      <c r="E230" t="s">
        <v>14</v>
      </c>
      <c r="F230" s="2">
        <v>45770</v>
      </c>
      <c r="G230" s="23">
        <v>256779412933</v>
      </c>
      <c r="H230" t="s">
        <v>13</v>
      </c>
      <c r="I230" s="3">
        <v>190.41</v>
      </c>
      <c r="J230" t="s">
        <v>4</v>
      </c>
      <c r="K230" s="3">
        <v>16550.78</v>
      </c>
      <c r="L230" t="s">
        <v>151</v>
      </c>
      <c r="M230" t="e">
        <f>VLOOKUP(G230,Sheet2!$D$3:$H$171,3,)</f>
        <v>#N/A</v>
      </c>
      <c r="O230" s="20">
        <f t="shared" si="19"/>
        <v>0</v>
      </c>
      <c r="Q230" s="26" t="e">
        <f>VLOOKUP(G230,'[1]TDS not in our Books'!$D:$H,5,0)</f>
        <v>#N/A</v>
      </c>
    </row>
    <row r="231" spans="1:19" hidden="1" outlineLevel="2" x14ac:dyDescent="0.25">
      <c r="A231" t="s">
        <v>0</v>
      </c>
      <c r="B231" t="s">
        <v>1</v>
      </c>
      <c r="C231" s="2">
        <v>45935</v>
      </c>
      <c r="D231" s="13">
        <v>1800013432</v>
      </c>
      <c r="E231" t="s">
        <v>14</v>
      </c>
      <c r="F231" s="2">
        <v>45935</v>
      </c>
      <c r="G231" s="23">
        <v>256779418079</v>
      </c>
      <c r="H231" t="s">
        <v>13</v>
      </c>
      <c r="I231" s="3">
        <v>156.08000000000001</v>
      </c>
      <c r="J231" t="s">
        <v>4</v>
      </c>
      <c r="K231" s="3">
        <v>13764.82</v>
      </c>
      <c r="L231" t="s">
        <v>165</v>
      </c>
      <c r="M231" t="e">
        <f>VLOOKUP(G231,Sheet2!$D$3:$H$171,3,)</f>
        <v>#N/A</v>
      </c>
      <c r="O231" s="20">
        <f t="shared" si="19"/>
        <v>0</v>
      </c>
      <c r="Q231" s="26" t="e">
        <f>VLOOKUP(G231,'[1]TDS not in our Books'!$D:$H,5,0)</f>
        <v>#N/A</v>
      </c>
    </row>
    <row r="232" spans="1:19" hidden="1" outlineLevel="2" x14ac:dyDescent="0.25">
      <c r="A232" t="s">
        <v>0</v>
      </c>
      <c r="B232" t="s">
        <v>169</v>
      </c>
      <c r="C232" s="2">
        <v>46024</v>
      </c>
      <c r="D232" s="13">
        <v>1800015673</v>
      </c>
      <c r="E232" t="s">
        <v>14</v>
      </c>
      <c r="F232" s="2">
        <v>46024</v>
      </c>
      <c r="G232" s="23">
        <v>256779440006</v>
      </c>
      <c r="H232" t="s">
        <v>13</v>
      </c>
      <c r="I232" s="3">
        <v>871.08</v>
      </c>
      <c r="J232" t="s">
        <v>4</v>
      </c>
      <c r="K232" s="3">
        <v>79044.53</v>
      </c>
      <c r="L232" t="s">
        <v>170</v>
      </c>
      <c r="M232" t="e">
        <f>VLOOKUP(G232,Sheet2!$D$3:$H$171,3,)</f>
        <v>#N/A</v>
      </c>
      <c r="O232" s="20">
        <f t="shared" si="19"/>
        <v>0</v>
      </c>
      <c r="Q232" s="26" t="e">
        <f>VLOOKUP(G232,'[1]TDS not in our Books'!$D:$H,5,0)</f>
        <v>#N/A</v>
      </c>
    </row>
    <row r="233" spans="1:19" hidden="1" outlineLevel="2" x14ac:dyDescent="0.25">
      <c r="A233" t="s">
        <v>0</v>
      </c>
      <c r="B233" t="s">
        <v>169</v>
      </c>
      <c r="C233" s="2">
        <v>46024</v>
      </c>
      <c r="D233" s="13">
        <v>1800015698</v>
      </c>
      <c r="E233" t="s">
        <v>14</v>
      </c>
      <c r="F233" s="2">
        <v>46024</v>
      </c>
      <c r="G233" s="23">
        <v>256779440031</v>
      </c>
      <c r="H233" t="s">
        <v>13</v>
      </c>
      <c r="I233" s="3">
        <v>1800</v>
      </c>
      <c r="J233" t="s">
        <v>4</v>
      </c>
      <c r="K233" s="3">
        <v>163337.65</v>
      </c>
      <c r="L233" t="s">
        <v>171</v>
      </c>
      <c r="M233" t="e">
        <f>VLOOKUP(G233,Sheet2!$D$3:$H$171,3,)</f>
        <v>#N/A</v>
      </c>
      <c r="O233" s="20">
        <f t="shared" si="19"/>
        <v>0</v>
      </c>
      <c r="Q233" s="26" t="e">
        <f>VLOOKUP(G233,'[1]TDS not in our Books'!$D:$H,5,0)</f>
        <v>#N/A</v>
      </c>
    </row>
    <row r="234" spans="1:19" hidden="1" outlineLevel="2" x14ac:dyDescent="0.25">
      <c r="A234" t="s">
        <v>0</v>
      </c>
      <c r="B234" t="s">
        <v>169</v>
      </c>
      <c r="C234" s="2">
        <v>46027</v>
      </c>
      <c r="D234" s="13">
        <v>1600002702</v>
      </c>
      <c r="E234" t="s">
        <v>33</v>
      </c>
      <c r="F234" s="2">
        <v>46027</v>
      </c>
      <c r="G234" s="23">
        <v>256779422172</v>
      </c>
      <c r="H234" t="s">
        <v>13</v>
      </c>
      <c r="I234" s="3">
        <v>-13.59</v>
      </c>
      <c r="J234" t="s">
        <v>4</v>
      </c>
      <c r="K234" s="3">
        <v>-1233.2</v>
      </c>
      <c r="L234" t="s">
        <v>172</v>
      </c>
      <c r="M234" t="e">
        <f>VLOOKUP(G234,Sheet2!$D$3:$H$171,3,)</f>
        <v>#N/A</v>
      </c>
      <c r="Q234" s="26" t="e">
        <f>VLOOKUP(G234,'[1]TDS not in our Books'!$D:$H,5,0)</f>
        <v>#N/A</v>
      </c>
    </row>
    <row r="235" spans="1:19" hidden="1" outlineLevel="2" x14ac:dyDescent="0.25">
      <c r="A235" t="s">
        <v>0</v>
      </c>
      <c r="B235" t="s">
        <v>169</v>
      </c>
      <c r="C235" s="2">
        <v>46027</v>
      </c>
      <c r="D235" s="13">
        <v>1800015969</v>
      </c>
      <c r="E235" t="s">
        <v>14</v>
      </c>
      <c r="F235" s="2">
        <v>46027</v>
      </c>
      <c r="G235" s="23">
        <v>256779440083</v>
      </c>
      <c r="H235" t="s">
        <v>13</v>
      </c>
      <c r="I235" s="3">
        <v>31.82</v>
      </c>
      <c r="J235" t="s">
        <v>4</v>
      </c>
      <c r="K235" s="3">
        <v>2887.45</v>
      </c>
      <c r="L235" t="s">
        <v>173</v>
      </c>
      <c r="M235" t="e">
        <f>VLOOKUP(G235,Sheet2!$D$3:$H$171,3,)</f>
        <v>#N/A</v>
      </c>
      <c r="O235" s="20">
        <f>N235/K235</f>
        <v>0</v>
      </c>
      <c r="Q235" s="26" t="e">
        <f>VLOOKUP(G235,'[1]TDS not in our Books'!$D:$H,5,0)</f>
        <v>#N/A</v>
      </c>
    </row>
    <row r="236" spans="1:19" hidden="1" outlineLevel="2" x14ac:dyDescent="0.25">
      <c r="A236" t="s">
        <v>0</v>
      </c>
      <c r="B236" t="s">
        <v>169</v>
      </c>
      <c r="C236" s="2">
        <v>46027</v>
      </c>
      <c r="D236" s="13">
        <v>1800016056</v>
      </c>
      <c r="E236" t="s">
        <v>14</v>
      </c>
      <c r="F236" s="2">
        <v>46027</v>
      </c>
      <c r="G236" s="23">
        <v>256779440103</v>
      </c>
      <c r="H236" t="s">
        <v>13</v>
      </c>
      <c r="I236" s="3">
        <v>347.44</v>
      </c>
      <c r="J236" t="s">
        <v>4</v>
      </c>
      <c r="K236" s="3">
        <v>31527.8</v>
      </c>
      <c r="L236" t="s">
        <v>174</v>
      </c>
      <c r="M236" t="e">
        <f>VLOOKUP(G236,Sheet2!$D$3:$H$171,3,)</f>
        <v>#N/A</v>
      </c>
      <c r="O236" s="20">
        <f>N236/K236</f>
        <v>0</v>
      </c>
      <c r="Q236" s="26" t="e">
        <f>VLOOKUP(G236,'[1]TDS not in our Books'!$D:$H,5,0)</f>
        <v>#N/A</v>
      </c>
    </row>
    <row r="237" spans="1:19" hidden="1" outlineLevel="2" x14ac:dyDescent="0.25">
      <c r="A237" t="s">
        <v>0</v>
      </c>
      <c r="B237" t="s">
        <v>169</v>
      </c>
      <c r="C237" s="2">
        <v>46027</v>
      </c>
      <c r="D237" s="13">
        <v>1800016092</v>
      </c>
      <c r="E237" t="s">
        <v>14</v>
      </c>
      <c r="F237" s="2">
        <v>46027</v>
      </c>
      <c r="G237" s="23">
        <v>256779440120</v>
      </c>
      <c r="H237" t="s">
        <v>13</v>
      </c>
      <c r="I237" s="3">
        <v>360.71</v>
      </c>
      <c r="J237" t="s">
        <v>4</v>
      </c>
      <c r="K237" s="3">
        <v>32731.96</v>
      </c>
      <c r="L237" t="s">
        <v>175</v>
      </c>
      <c r="M237" t="e">
        <f>VLOOKUP(G237,Sheet2!$D$3:$H$171,3,)</f>
        <v>#N/A</v>
      </c>
      <c r="O237" s="20">
        <f>N237/K237</f>
        <v>0</v>
      </c>
      <c r="Q237" s="26" t="e">
        <f>VLOOKUP(G237,'[1]TDS not in our Books'!$D:$H,5,0)</f>
        <v>#N/A</v>
      </c>
    </row>
    <row r="238" spans="1:19" hidden="1" outlineLevel="2" x14ac:dyDescent="0.25">
      <c r="A238" t="s">
        <v>0</v>
      </c>
      <c r="B238" t="s">
        <v>169</v>
      </c>
      <c r="C238" s="2">
        <v>46030</v>
      </c>
      <c r="D238" s="13">
        <v>1400002412</v>
      </c>
      <c r="E238" t="s">
        <v>7</v>
      </c>
      <c r="F238" s="2">
        <v>46030</v>
      </c>
      <c r="G238" s="23" t="s">
        <v>3</v>
      </c>
      <c r="H238" t="s">
        <v>4</v>
      </c>
      <c r="I238" s="3">
        <v>-200000</v>
      </c>
      <c r="J238" t="s">
        <v>4</v>
      </c>
      <c r="K238" s="3">
        <v>-200000</v>
      </c>
      <c r="L238" t="s">
        <v>3</v>
      </c>
      <c r="M238" t="e">
        <f>VLOOKUP(G238,Sheet2!$D$3:$H$171,3,)</f>
        <v>#N/A</v>
      </c>
      <c r="S238">
        <f t="shared" ref="S238:S239" si="20">D238</f>
        <v>1400002412</v>
      </c>
    </row>
    <row r="239" spans="1:19" hidden="1" outlineLevel="2" x14ac:dyDescent="0.25">
      <c r="A239" t="s">
        <v>0</v>
      </c>
      <c r="B239" t="s">
        <v>169</v>
      </c>
      <c r="C239" s="2">
        <v>46031</v>
      </c>
      <c r="D239" s="13">
        <v>1400002418</v>
      </c>
      <c r="E239" t="s">
        <v>7</v>
      </c>
      <c r="F239" s="2">
        <v>46031</v>
      </c>
      <c r="G239" s="23" t="s">
        <v>3</v>
      </c>
      <c r="H239" t="s">
        <v>4</v>
      </c>
      <c r="I239" s="3">
        <v>-100000</v>
      </c>
      <c r="J239" t="s">
        <v>4</v>
      </c>
      <c r="K239" s="3">
        <v>-100000</v>
      </c>
      <c r="L239" t="s">
        <v>3</v>
      </c>
      <c r="M239" t="e">
        <f>VLOOKUP(G239,Sheet2!$D$3:$H$171,3,)</f>
        <v>#N/A</v>
      </c>
      <c r="S239">
        <f t="shared" si="20"/>
        <v>1400002418</v>
      </c>
    </row>
    <row r="240" spans="1:19" hidden="1" outlineLevel="2" x14ac:dyDescent="0.25">
      <c r="A240" t="s">
        <v>0</v>
      </c>
      <c r="B240" t="s">
        <v>169</v>
      </c>
      <c r="C240" s="2">
        <v>46028</v>
      </c>
      <c r="D240" s="13">
        <v>1800016286</v>
      </c>
      <c r="E240" t="s">
        <v>14</v>
      </c>
      <c r="F240" s="2">
        <v>46028</v>
      </c>
      <c r="G240" s="23">
        <v>256779440163</v>
      </c>
      <c r="H240" t="s">
        <v>13</v>
      </c>
      <c r="I240" s="3">
        <v>55.03</v>
      </c>
      <c r="J240" t="s">
        <v>4</v>
      </c>
      <c r="K240" s="3">
        <v>4993.59</v>
      </c>
      <c r="L240" t="s">
        <v>176</v>
      </c>
      <c r="M240" t="e">
        <f>VLOOKUP(G240,Sheet2!$D$3:$H$171,3,)</f>
        <v>#N/A</v>
      </c>
      <c r="O240" s="20">
        <f t="shared" ref="O240:O246" si="21">N240/K240</f>
        <v>0</v>
      </c>
      <c r="Q240" s="26" t="e">
        <f>VLOOKUP(G240,'[1]TDS not in our Books'!$D:$H,5,0)</f>
        <v>#N/A</v>
      </c>
    </row>
    <row r="241" spans="1:19" hidden="1" outlineLevel="2" x14ac:dyDescent="0.25">
      <c r="A241" t="s">
        <v>0</v>
      </c>
      <c r="B241" t="s">
        <v>169</v>
      </c>
      <c r="C241" s="2">
        <v>46028</v>
      </c>
      <c r="D241" s="13">
        <v>1800016506</v>
      </c>
      <c r="E241" t="s">
        <v>14</v>
      </c>
      <c r="F241" s="2">
        <v>46028</v>
      </c>
      <c r="G241" s="23">
        <v>256779440212</v>
      </c>
      <c r="H241" t="s">
        <v>13</v>
      </c>
      <c r="I241" s="3">
        <v>16.75</v>
      </c>
      <c r="J241" t="s">
        <v>4</v>
      </c>
      <c r="K241" s="3">
        <v>1519.95</v>
      </c>
      <c r="L241" t="s">
        <v>177</v>
      </c>
      <c r="M241" t="e">
        <f>VLOOKUP(G241,Sheet2!$D$3:$H$171,3,)</f>
        <v>#N/A</v>
      </c>
      <c r="O241" s="20">
        <f t="shared" si="21"/>
        <v>0</v>
      </c>
      <c r="Q241" s="26" t="e">
        <f>VLOOKUP(G241,'[1]TDS not in our Books'!$D:$H,5,0)</f>
        <v>#N/A</v>
      </c>
    </row>
    <row r="242" spans="1:19" hidden="1" outlineLevel="2" x14ac:dyDescent="0.25">
      <c r="A242" t="s">
        <v>0</v>
      </c>
      <c r="B242" t="s">
        <v>169</v>
      </c>
      <c r="C242" s="2">
        <v>46034</v>
      </c>
      <c r="D242" s="13">
        <v>1800016424</v>
      </c>
      <c r="E242" t="s">
        <v>14</v>
      </c>
      <c r="F242" s="2">
        <v>46034</v>
      </c>
      <c r="G242" s="23">
        <v>256779440231</v>
      </c>
      <c r="H242" t="s">
        <v>13</v>
      </c>
      <c r="I242" s="3">
        <v>45.04</v>
      </c>
      <c r="J242" t="s">
        <v>4</v>
      </c>
      <c r="K242" s="3">
        <v>4087.07</v>
      </c>
      <c r="L242" t="s">
        <v>178</v>
      </c>
      <c r="M242" t="e">
        <f>VLOOKUP(G242,Sheet2!$D$3:$H$171,3,)</f>
        <v>#N/A</v>
      </c>
      <c r="O242" s="20">
        <f t="shared" si="21"/>
        <v>0</v>
      </c>
      <c r="Q242" s="26" t="e">
        <f>VLOOKUP(G242,'[1]TDS not in our Books'!$D:$H,5,0)</f>
        <v>#N/A</v>
      </c>
    </row>
    <row r="243" spans="1:19" hidden="1" outlineLevel="2" x14ac:dyDescent="0.25">
      <c r="A243" t="s">
        <v>0</v>
      </c>
      <c r="B243" t="s">
        <v>169</v>
      </c>
      <c r="C243" s="2">
        <v>46028</v>
      </c>
      <c r="D243" s="13">
        <v>1800016347</v>
      </c>
      <c r="E243" t="s">
        <v>14</v>
      </c>
      <c r="F243" s="2">
        <v>46028</v>
      </c>
      <c r="G243" s="23">
        <v>256779440237</v>
      </c>
      <c r="H243" t="s">
        <v>13</v>
      </c>
      <c r="I243" s="3">
        <v>730.62</v>
      </c>
      <c r="J243" t="s">
        <v>4</v>
      </c>
      <c r="K243" s="3">
        <v>66298.75</v>
      </c>
      <c r="L243" t="s">
        <v>179</v>
      </c>
      <c r="M243" t="e">
        <f>VLOOKUP(G243,Sheet2!$D$3:$H$171,3,)</f>
        <v>#N/A</v>
      </c>
      <c r="O243" s="20">
        <f t="shared" si="21"/>
        <v>0</v>
      </c>
      <c r="Q243" s="26" t="e">
        <f>VLOOKUP(G243,'[1]TDS not in our Books'!$D:$H,5,0)</f>
        <v>#N/A</v>
      </c>
    </row>
    <row r="244" spans="1:19" hidden="1" outlineLevel="2" x14ac:dyDescent="0.25">
      <c r="A244" t="s">
        <v>0</v>
      </c>
      <c r="B244" t="s">
        <v>169</v>
      </c>
      <c r="C244" s="2">
        <v>46034</v>
      </c>
      <c r="D244" s="13">
        <v>1800016700</v>
      </c>
      <c r="E244" t="s">
        <v>14</v>
      </c>
      <c r="F244" s="2">
        <v>46034</v>
      </c>
      <c r="G244" s="23">
        <v>256779440289</v>
      </c>
      <c r="H244" t="s">
        <v>13</v>
      </c>
      <c r="I244" s="3">
        <v>126.24</v>
      </c>
      <c r="J244" t="s">
        <v>4</v>
      </c>
      <c r="K244" s="3">
        <v>11455.41</v>
      </c>
      <c r="L244" t="s">
        <v>180</v>
      </c>
      <c r="M244" t="e">
        <f>VLOOKUP(G244,Sheet2!$D$3:$H$171,3,)</f>
        <v>#N/A</v>
      </c>
      <c r="O244" s="20">
        <f t="shared" si="21"/>
        <v>0</v>
      </c>
      <c r="Q244" s="26" t="e">
        <f>VLOOKUP(G244,'[1]TDS not in our Books'!$D:$H,5,0)</f>
        <v>#N/A</v>
      </c>
    </row>
    <row r="245" spans="1:19" hidden="1" outlineLevel="2" x14ac:dyDescent="0.25">
      <c r="A245" t="s">
        <v>0</v>
      </c>
      <c r="B245" t="s">
        <v>169</v>
      </c>
      <c r="C245" s="2">
        <v>46028</v>
      </c>
      <c r="D245" s="13">
        <v>1800016613</v>
      </c>
      <c r="E245" t="s">
        <v>14</v>
      </c>
      <c r="F245" s="2">
        <v>46028</v>
      </c>
      <c r="G245" s="23">
        <v>256779440322</v>
      </c>
      <c r="H245" t="s">
        <v>13</v>
      </c>
      <c r="I245" s="3">
        <v>1800</v>
      </c>
      <c r="J245" t="s">
        <v>4</v>
      </c>
      <c r="K245" s="3">
        <v>163337.65</v>
      </c>
      <c r="L245" t="s">
        <v>181</v>
      </c>
      <c r="M245" t="e">
        <f>VLOOKUP(G245,Sheet2!$D$3:$H$171,3,)</f>
        <v>#N/A</v>
      </c>
      <c r="O245" s="20">
        <f t="shared" si="21"/>
        <v>0</v>
      </c>
      <c r="Q245" s="26" t="e">
        <f>VLOOKUP(G245,'[1]TDS not in our Books'!$D:$H,5,0)</f>
        <v>#N/A</v>
      </c>
    </row>
    <row r="246" spans="1:19" hidden="1" outlineLevel="2" x14ac:dyDescent="0.25">
      <c r="A246" t="s">
        <v>0</v>
      </c>
      <c r="B246" t="s">
        <v>169</v>
      </c>
      <c r="C246" s="2">
        <v>46035</v>
      </c>
      <c r="D246" s="13">
        <v>1800016780</v>
      </c>
      <c r="E246" t="s">
        <v>14</v>
      </c>
      <c r="F246" s="2">
        <v>46035</v>
      </c>
      <c r="G246" s="23">
        <v>256779440367</v>
      </c>
      <c r="H246" t="s">
        <v>13</v>
      </c>
      <c r="I246" s="3">
        <v>696.85</v>
      </c>
      <c r="J246" t="s">
        <v>4</v>
      </c>
      <c r="K246" s="3">
        <v>63234.36</v>
      </c>
      <c r="L246" t="s">
        <v>182</v>
      </c>
      <c r="M246" t="e">
        <f>VLOOKUP(G246,Sheet2!$D$3:$H$171,3,)</f>
        <v>#N/A</v>
      </c>
      <c r="O246" s="20">
        <f t="shared" si="21"/>
        <v>0</v>
      </c>
      <c r="Q246" s="26" t="e">
        <f>VLOOKUP(G246,'[1]TDS not in our Books'!$D:$H,5,0)</f>
        <v>#N/A</v>
      </c>
    </row>
    <row r="247" spans="1:19" hidden="1" outlineLevel="2" x14ac:dyDescent="0.25">
      <c r="A247" t="s">
        <v>0</v>
      </c>
      <c r="B247" t="s">
        <v>169</v>
      </c>
      <c r="C247" s="2">
        <v>46041</v>
      </c>
      <c r="D247" s="13">
        <v>1400002489</v>
      </c>
      <c r="E247" t="s">
        <v>7</v>
      </c>
      <c r="F247" s="2">
        <v>46041</v>
      </c>
      <c r="G247" s="23" t="s">
        <v>3</v>
      </c>
      <c r="H247" t="s">
        <v>4</v>
      </c>
      <c r="I247" s="3">
        <v>-150000</v>
      </c>
      <c r="J247" t="s">
        <v>4</v>
      </c>
      <c r="K247" s="3">
        <v>-150000</v>
      </c>
      <c r="L247" t="s">
        <v>3</v>
      </c>
      <c r="M247" t="e">
        <f>VLOOKUP(G247,Sheet2!$D$3:$H$171,3,)</f>
        <v>#N/A</v>
      </c>
      <c r="S247">
        <f t="shared" ref="S247:S248" si="22">D247</f>
        <v>1400002489</v>
      </c>
    </row>
    <row r="248" spans="1:19" hidden="1" outlineLevel="2" x14ac:dyDescent="0.25">
      <c r="A248" t="s">
        <v>0</v>
      </c>
      <c r="B248" t="s">
        <v>169</v>
      </c>
      <c r="C248" s="2">
        <v>46045</v>
      </c>
      <c r="D248" s="13">
        <v>1400002521</v>
      </c>
      <c r="E248" t="s">
        <v>7</v>
      </c>
      <c r="F248" s="2">
        <v>46045</v>
      </c>
      <c r="G248" s="23" t="s">
        <v>3</v>
      </c>
      <c r="H248" t="s">
        <v>4</v>
      </c>
      <c r="I248" s="3">
        <v>-150000</v>
      </c>
      <c r="J248" t="s">
        <v>4</v>
      </c>
      <c r="K248" s="3">
        <v>-150000</v>
      </c>
      <c r="L248" t="s">
        <v>3</v>
      </c>
      <c r="M248" t="e">
        <f>VLOOKUP(G248,Sheet2!$D$3:$H$171,3,)</f>
        <v>#N/A</v>
      </c>
      <c r="S248">
        <f t="shared" si="22"/>
        <v>1400002521</v>
      </c>
    </row>
    <row r="249" spans="1:19" hidden="1" outlineLevel="2" x14ac:dyDescent="0.25">
      <c r="A249" t="s">
        <v>0</v>
      </c>
      <c r="B249" t="s">
        <v>169</v>
      </c>
      <c r="C249" s="2">
        <v>46045</v>
      </c>
      <c r="D249" s="13">
        <v>1800017067</v>
      </c>
      <c r="E249" t="s">
        <v>14</v>
      </c>
      <c r="F249" s="2">
        <v>46045</v>
      </c>
      <c r="G249" s="23">
        <v>256779440415</v>
      </c>
      <c r="H249" t="s">
        <v>13</v>
      </c>
      <c r="I249" s="3">
        <v>16.75</v>
      </c>
      <c r="J249" t="s">
        <v>4</v>
      </c>
      <c r="K249" s="3">
        <v>1519.95</v>
      </c>
      <c r="L249" t="s">
        <v>183</v>
      </c>
      <c r="M249" t="e">
        <f>VLOOKUP(G249,Sheet2!$D$3:$H$171,3,)</f>
        <v>#N/A</v>
      </c>
      <c r="O249" s="20">
        <f>N249/K249</f>
        <v>0</v>
      </c>
      <c r="Q249" s="26" t="e">
        <f>VLOOKUP(G249,'[1]TDS not in our Books'!$D:$H,5,0)</f>
        <v>#N/A</v>
      </c>
    </row>
    <row r="250" spans="1:19" hidden="1" outlineLevel="2" x14ac:dyDescent="0.25">
      <c r="A250" t="s">
        <v>0</v>
      </c>
      <c r="B250" t="s">
        <v>169</v>
      </c>
      <c r="C250" s="2">
        <v>46045</v>
      </c>
      <c r="D250" s="13">
        <v>1800017113</v>
      </c>
      <c r="E250" t="s">
        <v>14</v>
      </c>
      <c r="F250" s="2">
        <v>46045</v>
      </c>
      <c r="G250" s="23">
        <v>256779440432</v>
      </c>
      <c r="H250" t="s">
        <v>13</v>
      </c>
      <c r="I250" s="3">
        <v>3.5</v>
      </c>
      <c r="J250" t="s">
        <v>4</v>
      </c>
      <c r="K250" s="3">
        <v>317.60000000000002</v>
      </c>
      <c r="L250" t="s">
        <v>184</v>
      </c>
      <c r="M250" t="e">
        <f>VLOOKUP(G250,Sheet2!$D$3:$H$171,3,)</f>
        <v>#N/A</v>
      </c>
      <c r="O250" s="20">
        <f>N250/K250</f>
        <v>0</v>
      </c>
      <c r="Q250" s="26" t="e">
        <f>VLOOKUP(G250,'[1]TDS not in our Books'!$D:$H,5,0)</f>
        <v>#N/A</v>
      </c>
    </row>
    <row r="251" spans="1:19" hidden="1" outlineLevel="2" x14ac:dyDescent="0.25">
      <c r="A251" t="s">
        <v>0</v>
      </c>
      <c r="B251" t="s">
        <v>169</v>
      </c>
      <c r="C251" s="2">
        <v>46049</v>
      </c>
      <c r="D251" s="13">
        <v>1800017154</v>
      </c>
      <c r="E251" t="s">
        <v>14</v>
      </c>
      <c r="F251" s="2">
        <v>46049</v>
      </c>
      <c r="G251" s="23">
        <v>256779440447</v>
      </c>
      <c r="H251" t="s">
        <v>13</v>
      </c>
      <c r="I251" s="3">
        <v>176.58</v>
      </c>
      <c r="J251" t="s">
        <v>4</v>
      </c>
      <c r="K251" s="3">
        <v>16023.42</v>
      </c>
      <c r="L251" t="s">
        <v>185</v>
      </c>
      <c r="M251" t="e">
        <f>VLOOKUP(G251,Sheet2!$D$3:$H$171,3,)</f>
        <v>#N/A</v>
      </c>
      <c r="O251" s="20">
        <f>N251/K251</f>
        <v>0</v>
      </c>
      <c r="Q251" s="26" t="e">
        <f>VLOOKUP(G251,'[1]TDS not in our Books'!$D:$H,5,0)</f>
        <v>#N/A</v>
      </c>
    </row>
    <row r="252" spans="1:19" hidden="1" outlineLevel="2" x14ac:dyDescent="0.25">
      <c r="S252">
        <f>D260</f>
        <v>1400002594</v>
      </c>
    </row>
    <row r="253" spans="1:19" hidden="1" outlineLevel="2" x14ac:dyDescent="0.25">
      <c r="S253">
        <f>D261</f>
        <v>1400002602</v>
      </c>
    </row>
    <row r="254" spans="1:19" outlineLevel="2" x14ac:dyDescent="0.25">
      <c r="C254" s="2"/>
      <c r="F254" s="2"/>
      <c r="I254" s="3"/>
      <c r="K254" s="3"/>
    </row>
    <row r="255" spans="1:19" outlineLevel="1" x14ac:dyDescent="0.25">
      <c r="A255" s="4" t="s">
        <v>3</v>
      </c>
      <c r="B255" s="4" t="s">
        <v>3</v>
      </c>
      <c r="C255" s="5"/>
      <c r="D255" s="4" t="s">
        <v>3</v>
      </c>
      <c r="E255" s="4" t="s">
        <v>3</v>
      </c>
      <c r="F255" s="5"/>
      <c r="G255" s="24" t="s">
        <v>3</v>
      </c>
      <c r="H255" s="4" t="s">
        <v>4</v>
      </c>
      <c r="I255" s="6">
        <v>-4960099.37</v>
      </c>
      <c r="J255" s="4" t="s">
        <v>4</v>
      </c>
      <c r="K255" s="6">
        <v>2247562.39</v>
      </c>
      <c r="L255" s="4" t="s">
        <v>3</v>
      </c>
    </row>
    <row r="256" spans="1:19" outlineLevel="1" x14ac:dyDescent="0.25">
      <c r="A256" s="4" t="s">
        <v>3</v>
      </c>
      <c r="B256" s="4" t="s">
        <v>3</v>
      </c>
      <c r="C256" s="5"/>
      <c r="D256" s="4" t="s">
        <v>3</v>
      </c>
      <c r="E256" s="4" t="s">
        <v>3</v>
      </c>
      <c r="F256" s="5"/>
      <c r="G256" s="24" t="s">
        <v>3</v>
      </c>
      <c r="H256" s="4" t="s">
        <v>13</v>
      </c>
      <c r="I256" s="6">
        <v>82782.03</v>
      </c>
      <c r="J256" s="4" t="s">
        <v>3</v>
      </c>
      <c r="K256" s="7"/>
      <c r="L256" s="4" t="s">
        <v>3</v>
      </c>
    </row>
    <row r="257" spans="1:13" x14ac:dyDescent="0.25">
      <c r="A257" s="8" t="s">
        <v>3</v>
      </c>
      <c r="B257" s="8" t="s">
        <v>3</v>
      </c>
      <c r="C257" s="9"/>
      <c r="D257" s="8" t="s">
        <v>3</v>
      </c>
      <c r="E257" s="8" t="s">
        <v>3</v>
      </c>
      <c r="F257" s="9"/>
      <c r="G257" s="25" t="s">
        <v>3</v>
      </c>
      <c r="H257" s="8" t="s">
        <v>4</v>
      </c>
      <c r="I257" s="10">
        <v>-4960099.37</v>
      </c>
      <c r="J257" s="8" t="s">
        <v>4</v>
      </c>
      <c r="K257" s="10">
        <v>2247562.39</v>
      </c>
      <c r="L257" s="8" t="s">
        <v>3</v>
      </c>
    </row>
    <row r="258" spans="1:13" x14ac:dyDescent="0.25">
      <c r="A258" s="8" t="s">
        <v>3</v>
      </c>
      <c r="B258" s="8" t="s">
        <v>3</v>
      </c>
      <c r="C258" s="9"/>
      <c r="D258" s="8" t="s">
        <v>3</v>
      </c>
      <c r="E258" s="8" t="s">
        <v>3</v>
      </c>
      <c r="F258" s="9"/>
      <c r="G258" s="25" t="s">
        <v>3</v>
      </c>
      <c r="H258" s="8" t="s">
        <v>13</v>
      </c>
      <c r="I258" s="10">
        <v>82782.03</v>
      </c>
      <c r="J258" s="8" t="s">
        <v>3</v>
      </c>
      <c r="K258" s="11"/>
      <c r="L258" s="8" t="s">
        <v>3</v>
      </c>
    </row>
    <row r="260" spans="1:13" x14ac:dyDescent="0.25">
      <c r="A260" t="s">
        <v>0</v>
      </c>
      <c r="B260" t="s">
        <v>169</v>
      </c>
      <c r="C260" s="2">
        <v>46055</v>
      </c>
      <c r="D260" s="13">
        <v>1400002594</v>
      </c>
      <c r="E260" t="s">
        <v>7</v>
      </c>
      <c r="F260" s="2">
        <v>46055</v>
      </c>
      <c r="G260" s="23" t="s">
        <v>186</v>
      </c>
      <c r="H260" t="s">
        <v>4</v>
      </c>
      <c r="I260" s="3">
        <v>-200000</v>
      </c>
      <c r="J260" t="s">
        <v>4</v>
      </c>
      <c r="K260" s="3">
        <v>-200000</v>
      </c>
      <c r="L260" t="s">
        <v>3</v>
      </c>
      <c r="M260" t="e">
        <f>VLOOKUP(G260,Sheet2!$D$3:$H$171,3,)</f>
        <v>#N/A</v>
      </c>
    </row>
    <row r="261" spans="1:13" x14ac:dyDescent="0.25">
      <c r="A261" t="s">
        <v>0</v>
      </c>
      <c r="B261" t="s">
        <v>169</v>
      </c>
      <c r="C261" s="2">
        <v>46055</v>
      </c>
      <c r="D261" s="13">
        <v>1400002602</v>
      </c>
      <c r="E261" t="s">
        <v>7</v>
      </c>
      <c r="F261" s="2">
        <v>46055</v>
      </c>
      <c r="G261" s="23" t="s">
        <v>187</v>
      </c>
      <c r="H261" t="s">
        <v>4</v>
      </c>
      <c r="I261" s="3">
        <v>-200000</v>
      </c>
      <c r="J261" t="s">
        <v>4</v>
      </c>
      <c r="K261" s="3">
        <v>-200000</v>
      </c>
      <c r="L261" t="s">
        <v>3</v>
      </c>
      <c r="M261" t="e">
        <f>VLOOKUP(G261,Sheet2!$D$3:$H$171,3,)</f>
        <v>#N/A</v>
      </c>
    </row>
  </sheetData>
  <autoFilter ref="A1:X253" xr:uid="{00000000-0001-0000-0000-000000000000}">
    <filterColumn colId="4">
      <filters>
        <filter val="DR"/>
      </filters>
    </filterColumn>
    <filterColumn colId="12">
      <colorFilter dxfId="0"/>
    </filterColumn>
    <filterColumn colId="16">
      <filters>
        <filter val="1,012.00"/>
        <filter val="1,045.00"/>
        <filter val="1,078.00"/>
        <filter val="1,610.00"/>
        <filter val="1,617.00"/>
        <filter val="10,604.00"/>
        <filter val="10,904.00"/>
        <filter val="104.00"/>
        <filter val="107.00"/>
        <filter val="11,729.00"/>
        <filter val="11,886.00"/>
        <filter val="11.00"/>
        <filter val="115.00"/>
        <filter val="118.00"/>
        <filter val="12,913.00"/>
        <filter val="12.00"/>
        <filter val="121.00"/>
        <filter val="124.00"/>
        <filter val="127.00"/>
        <filter val="13,082.00"/>
        <filter val="131.00"/>
        <filter val="134.00"/>
        <filter val="15,388.00"/>
        <filter val="15,477.00"/>
        <filter val="15,480.00"/>
        <filter val="15,485.00"/>
        <filter val="15,597.00"/>
        <filter val="15,606.00"/>
        <filter val="15,753.00"/>
        <filter val="15,841.00"/>
        <filter val="15,874.00"/>
        <filter val="153.00"/>
        <filter val="16,543.00"/>
        <filter val="16,863.00"/>
        <filter val="16.00"/>
        <filter val="163.00"/>
        <filter val="17.00"/>
        <filter val="176.00"/>
        <filter val="18.00"/>
        <filter val="189.00"/>
        <filter val="191.00"/>
        <filter val="192.00"/>
        <filter val="2,321.00"/>
        <filter val="2.00"/>
        <filter val="20,087.00"/>
        <filter val="20,819.00"/>
        <filter val="206.00"/>
        <filter val="21.00"/>
        <filter val="212.00"/>
        <filter val="22,098.00"/>
        <filter val="22.00"/>
        <filter val="221.00"/>
        <filter val="222.00"/>
        <filter val="23.00"/>
        <filter val="24.00"/>
        <filter val="245.00"/>
        <filter val="246.00"/>
        <filter val="257.00"/>
        <filter val="259.00"/>
        <filter val="26.00"/>
        <filter val="275.00"/>
        <filter val="283.00"/>
        <filter val="3,625.00"/>
        <filter val="3,869.00"/>
        <filter val="3,933.00"/>
        <filter val="3,968.00"/>
        <filter val="3,999.00"/>
        <filter val="3.00"/>
        <filter val="302.00"/>
        <filter val="31.00"/>
        <filter val="325.00"/>
        <filter val="329.00"/>
        <filter val="344.00"/>
        <filter val="347.00"/>
        <filter val="36.00"/>
        <filter val="39.00"/>
        <filter val="4,013.00"/>
        <filter val="4,064.00"/>
        <filter val="411.00"/>
        <filter val="414.00"/>
        <filter val="426.00"/>
        <filter val="434.00"/>
        <filter val="436.00"/>
        <filter val="45.00"/>
        <filter val="471.00"/>
        <filter val="478.00"/>
        <filter val="479.00"/>
        <filter val="496.00"/>
        <filter val="5.00"/>
        <filter val="50.00"/>
        <filter val="51.00"/>
        <filter val="52.00"/>
        <filter val="53.00"/>
        <filter val="548.00"/>
        <filter val="568.00"/>
        <filter val="6.00"/>
        <filter val="61.00"/>
        <filter val="610.00"/>
        <filter val="617.00"/>
        <filter val="62.00"/>
        <filter val="631.00"/>
        <filter val="66.00"/>
        <filter val="677.00"/>
        <filter val="72.00"/>
        <filter val="74.00"/>
        <filter val="75.00"/>
        <filter val="79.00"/>
        <filter val="809.00"/>
        <filter val="82.00"/>
        <filter val="83.00"/>
        <filter val="848.00"/>
        <filter val="86.00"/>
        <filter val="88.00"/>
        <filter val="89.00"/>
        <filter val="9,272.00"/>
        <filter val="9,404.00"/>
        <filter val="9,618.00"/>
        <filter val="9.00"/>
        <filter val="90.00"/>
        <filter val="91.00"/>
        <filter val="939.00"/>
        <filter val="957.00"/>
        <filter val="96.00"/>
        <filter val="97.00"/>
        <filter val="988.00"/>
      </filters>
    </filterColumn>
    <filterColumn colId="18">
      <customFilters>
        <customFilter operator="notEqual" val=" "/>
      </customFilters>
    </filterColumn>
  </autoFilter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7681-45C0-4B3B-9C93-933647661147}">
  <dimension ref="A1:M27"/>
  <sheetViews>
    <sheetView workbookViewId="0">
      <selection activeCell="D2" sqref="D2"/>
    </sheetView>
  </sheetViews>
  <sheetFormatPr defaultRowHeight="13.2" x14ac:dyDescent="0.25"/>
  <cols>
    <col min="1" max="1" width="32.21875" bestFit="1" customWidth="1"/>
    <col min="2" max="2" width="10.21875" bestFit="1" customWidth="1"/>
    <col min="3" max="3" width="11.33203125" bestFit="1" customWidth="1"/>
    <col min="4" max="4" width="16.21875" bestFit="1" customWidth="1"/>
    <col min="5" max="5" width="8.77734375" bestFit="1" customWidth="1"/>
    <col min="6" max="6" width="13.6640625" bestFit="1" customWidth="1"/>
    <col min="7" max="7" width="9.44140625" bestFit="1" customWidth="1"/>
    <col min="8" max="8" width="8.77734375" bestFit="1" customWidth="1"/>
    <col min="9" max="9" width="12.33203125" bestFit="1" customWidth="1"/>
    <col min="10" max="10" width="8.77734375" bestFit="1" customWidth="1"/>
    <col min="11" max="11" width="12.33203125" bestFit="1" customWidth="1"/>
    <col min="12" max="12" width="23.33203125" bestFit="1" customWidth="1"/>
    <col min="13" max="13" width="8.44140625" bestFit="1" customWidth="1"/>
  </cols>
  <sheetData>
    <row r="1" spans="1:13" ht="52.8" x14ac:dyDescent="0.25">
      <c r="A1" s="1" t="s">
        <v>188</v>
      </c>
      <c r="B1" s="1" t="s">
        <v>189</v>
      </c>
      <c r="C1" s="1" t="s">
        <v>190</v>
      </c>
      <c r="D1" s="1" t="s">
        <v>191</v>
      </c>
      <c r="E1" s="12" t="s">
        <v>192</v>
      </c>
      <c r="F1" s="1" t="s">
        <v>193</v>
      </c>
      <c r="G1" s="22" t="s">
        <v>194</v>
      </c>
      <c r="H1" s="12" t="s">
        <v>195</v>
      </c>
      <c r="I1" s="12" t="s">
        <v>196</v>
      </c>
      <c r="J1" s="12" t="s">
        <v>197</v>
      </c>
      <c r="K1" s="12" t="s">
        <v>198</v>
      </c>
      <c r="L1" s="1" t="s">
        <v>199</v>
      </c>
      <c r="M1" s="12" t="s">
        <v>200</v>
      </c>
    </row>
    <row r="2" spans="1:13" x14ac:dyDescent="0.25">
      <c r="A2" t="s">
        <v>0</v>
      </c>
      <c r="B2" t="s">
        <v>1</v>
      </c>
      <c r="C2" s="2">
        <v>45796</v>
      </c>
      <c r="D2" s="13">
        <v>1400000021</v>
      </c>
      <c r="E2" t="s">
        <v>7</v>
      </c>
      <c r="F2" s="2">
        <v>45796</v>
      </c>
      <c r="G2" s="23" t="s">
        <v>3</v>
      </c>
      <c r="H2" t="s">
        <v>4</v>
      </c>
      <c r="I2" s="3">
        <v>-285397.37</v>
      </c>
      <c r="J2" t="s">
        <v>4</v>
      </c>
      <c r="K2" s="3">
        <v>-283762.44</v>
      </c>
      <c r="L2" t="s">
        <v>8</v>
      </c>
      <c r="M2" t="e">
        <v>#N/A</v>
      </c>
    </row>
    <row r="3" spans="1:13" x14ac:dyDescent="0.25">
      <c r="A3" t="s">
        <v>0</v>
      </c>
      <c r="B3" t="s">
        <v>1</v>
      </c>
      <c r="C3" s="2">
        <v>45839</v>
      </c>
      <c r="D3" s="13">
        <v>1400000116</v>
      </c>
      <c r="E3" t="s">
        <v>7</v>
      </c>
      <c r="F3" s="2">
        <v>45832</v>
      </c>
      <c r="G3" s="23" t="s">
        <v>3</v>
      </c>
      <c r="H3" t="s">
        <v>4</v>
      </c>
      <c r="I3" s="36">
        <v>-500000</v>
      </c>
      <c r="J3" t="s">
        <v>4</v>
      </c>
      <c r="K3" s="3">
        <v>-500000</v>
      </c>
      <c r="L3" t="s">
        <v>3</v>
      </c>
      <c r="M3" t="e">
        <v>#N/A</v>
      </c>
    </row>
    <row r="4" spans="1:13" x14ac:dyDescent="0.25">
      <c r="A4" t="s">
        <v>0</v>
      </c>
      <c r="B4" t="s">
        <v>1</v>
      </c>
      <c r="C4" s="2">
        <v>45839</v>
      </c>
      <c r="D4" s="13">
        <v>1400000077</v>
      </c>
      <c r="E4" t="s">
        <v>7</v>
      </c>
      <c r="F4" s="2">
        <v>45832</v>
      </c>
      <c r="G4" s="23" t="s">
        <v>3</v>
      </c>
      <c r="H4" t="s">
        <v>4</v>
      </c>
      <c r="I4" s="36">
        <v>-324702</v>
      </c>
      <c r="J4" t="s">
        <v>4</v>
      </c>
      <c r="K4" s="3">
        <v>-324702</v>
      </c>
      <c r="L4" t="s">
        <v>3</v>
      </c>
      <c r="M4" t="e">
        <v>#N/A</v>
      </c>
    </row>
    <row r="5" spans="1:13" x14ac:dyDescent="0.25">
      <c r="A5" t="s">
        <v>0</v>
      </c>
      <c r="B5" t="s">
        <v>1</v>
      </c>
      <c r="C5" s="2">
        <v>45890</v>
      </c>
      <c r="D5" s="13">
        <v>1400000887</v>
      </c>
      <c r="E5" t="s">
        <v>7</v>
      </c>
      <c r="F5" s="2">
        <v>45890</v>
      </c>
      <c r="G5" s="23" t="s">
        <v>3</v>
      </c>
      <c r="H5" t="s">
        <v>4</v>
      </c>
      <c r="I5" s="36">
        <v>-100000</v>
      </c>
      <c r="J5" t="s">
        <v>4</v>
      </c>
      <c r="K5" s="3">
        <v>-100000</v>
      </c>
      <c r="L5" t="s">
        <v>3</v>
      </c>
      <c r="M5" t="e">
        <v>#N/A</v>
      </c>
    </row>
    <row r="6" spans="1:13" x14ac:dyDescent="0.25">
      <c r="A6" t="s">
        <v>0</v>
      </c>
      <c r="B6" t="s">
        <v>1</v>
      </c>
      <c r="C6" s="2">
        <v>45890</v>
      </c>
      <c r="D6" s="13">
        <v>1400000904</v>
      </c>
      <c r="E6" t="s">
        <v>7</v>
      </c>
      <c r="F6" s="2">
        <v>45890</v>
      </c>
      <c r="G6" s="23" t="s">
        <v>3</v>
      </c>
      <c r="H6" t="s">
        <v>4</v>
      </c>
      <c r="I6" s="36">
        <v>-700000</v>
      </c>
      <c r="J6" t="s">
        <v>4</v>
      </c>
      <c r="K6" s="3">
        <v>-700000</v>
      </c>
      <c r="L6" t="s">
        <v>3</v>
      </c>
      <c r="M6" t="e">
        <v>#N/A</v>
      </c>
    </row>
    <row r="7" spans="1:13" x14ac:dyDescent="0.25">
      <c r="A7" t="s">
        <v>0</v>
      </c>
      <c r="B7" t="s">
        <v>1</v>
      </c>
      <c r="C7" s="2">
        <v>45890</v>
      </c>
      <c r="D7" s="13">
        <v>1400000922</v>
      </c>
      <c r="E7" t="s">
        <v>7</v>
      </c>
      <c r="F7" s="2">
        <v>45890</v>
      </c>
      <c r="G7" s="23" t="s">
        <v>3</v>
      </c>
      <c r="H7" t="s">
        <v>4</v>
      </c>
      <c r="I7" s="36">
        <v>-150000</v>
      </c>
      <c r="J7" t="s">
        <v>4</v>
      </c>
      <c r="K7" s="3">
        <v>-150000</v>
      </c>
      <c r="L7" t="s">
        <v>3</v>
      </c>
      <c r="M7" t="e">
        <v>#N/A</v>
      </c>
    </row>
    <row r="8" spans="1:13" x14ac:dyDescent="0.25">
      <c r="A8" t="s">
        <v>0</v>
      </c>
      <c r="B8" t="s">
        <v>1</v>
      </c>
      <c r="C8" s="2">
        <v>45890</v>
      </c>
      <c r="D8" s="13">
        <v>1400000941</v>
      </c>
      <c r="E8" t="s">
        <v>7</v>
      </c>
      <c r="F8" s="2">
        <v>45890</v>
      </c>
      <c r="G8" s="23" t="s">
        <v>3</v>
      </c>
      <c r="H8" t="s">
        <v>4</v>
      </c>
      <c r="I8" s="36">
        <v>-150000</v>
      </c>
      <c r="J8" t="s">
        <v>4</v>
      </c>
      <c r="K8" s="3">
        <v>-150000</v>
      </c>
      <c r="L8" t="s">
        <v>3</v>
      </c>
      <c r="M8" t="e">
        <v>#N/A</v>
      </c>
    </row>
    <row r="9" spans="1:13" x14ac:dyDescent="0.25">
      <c r="A9" t="s">
        <v>0</v>
      </c>
      <c r="B9" t="s">
        <v>1</v>
      </c>
      <c r="C9" s="2">
        <v>45890</v>
      </c>
      <c r="D9" s="13">
        <v>1400000955</v>
      </c>
      <c r="E9" t="s">
        <v>7</v>
      </c>
      <c r="F9" s="2">
        <v>45890</v>
      </c>
      <c r="G9" s="23" t="s">
        <v>3</v>
      </c>
      <c r="H9" t="s">
        <v>4</v>
      </c>
      <c r="I9" s="36">
        <v>-150000</v>
      </c>
      <c r="J9" t="s">
        <v>4</v>
      </c>
      <c r="K9" s="3">
        <v>-150000</v>
      </c>
      <c r="L9" t="s">
        <v>3</v>
      </c>
      <c r="M9" t="e">
        <v>#N/A</v>
      </c>
    </row>
    <row r="10" spans="1:13" x14ac:dyDescent="0.25">
      <c r="A10" t="s">
        <v>0</v>
      </c>
      <c r="B10" t="s">
        <v>1</v>
      </c>
      <c r="C10" s="2">
        <v>45890</v>
      </c>
      <c r="D10" s="13">
        <v>1400000966</v>
      </c>
      <c r="E10" t="s">
        <v>7</v>
      </c>
      <c r="F10" s="2">
        <v>45890</v>
      </c>
      <c r="G10" s="23" t="s">
        <v>3</v>
      </c>
      <c r="H10" t="s">
        <v>4</v>
      </c>
      <c r="I10" s="36">
        <v>-150000</v>
      </c>
      <c r="J10" t="s">
        <v>4</v>
      </c>
      <c r="K10" s="3">
        <v>-150000</v>
      </c>
      <c r="L10" t="s">
        <v>3</v>
      </c>
      <c r="M10" t="e">
        <v>#N/A</v>
      </c>
    </row>
    <row r="11" spans="1:13" x14ac:dyDescent="0.25">
      <c r="A11" t="s">
        <v>0</v>
      </c>
      <c r="B11" t="s">
        <v>1</v>
      </c>
      <c r="C11" s="2">
        <v>45931</v>
      </c>
      <c r="D11" s="13">
        <v>1400001257</v>
      </c>
      <c r="E11" t="s">
        <v>7</v>
      </c>
      <c r="F11" s="2">
        <v>45931</v>
      </c>
      <c r="G11" s="23" t="s">
        <v>3</v>
      </c>
      <c r="H11" t="s">
        <v>4</v>
      </c>
      <c r="I11" s="3">
        <v>-100000</v>
      </c>
      <c r="J11" t="s">
        <v>4</v>
      </c>
      <c r="K11" s="3">
        <v>-100000</v>
      </c>
      <c r="L11" t="s">
        <v>3</v>
      </c>
      <c r="M11" t="e">
        <v>#N/A</v>
      </c>
    </row>
    <row r="12" spans="1:13" x14ac:dyDescent="0.25">
      <c r="A12" t="s">
        <v>0</v>
      </c>
      <c r="B12" t="s">
        <v>1</v>
      </c>
      <c r="C12" s="2">
        <v>45931</v>
      </c>
      <c r="D12" s="13">
        <v>1400001259</v>
      </c>
      <c r="E12" t="s">
        <v>7</v>
      </c>
      <c r="F12" s="2">
        <v>45931</v>
      </c>
      <c r="G12" s="23" t="s">
        <v>3</v>
      </c>
      <c r="H12" t="s">
        <v>4</v>
      </c>
      <c r="I12" s="3">
        <v>-100000</v>
      </c>
      <c r="J12" t="s">
        <v>4</v>
      </c>
      <c r="K12" s="3">
        <v>-100000</v>
      </c>
      <c r="L12" t="s">
        <v>3</v>
      </c>
      <c r="M12" t="e">
        <v>#N/A</v>
      </c>
    </row>
    <row r="13" spans="1:13" x14ac:dyDescent="0.25">
      <c r="A13" t="s">
        <v>0</v>
      </c>
      <c r="B13" t="s">
        <v>1</v>
      </c>
      <c r="C13" s="2">
        <v>45931</v>
      </c>
      <c r="D13" s="13">
        <v>1400001341</v>
      </c>
      <c r="E13" t="s">
        <v>7</v>
      </c>
      <c r="F13" s="2">
        <v>45931</v>
      </c>
      <c r="G13" s="23" t="s">
        <v>3</v>
      </c>
      <c r="H13" t="s">
        <v>4</v>
      </c>
      <c r="I13" s="3">
        <v>-450000</v>
      </c>
      <c r="J13" t="s">
        <v>4</v>
      </c>
      <c r="K13" s="3">
        <v>-450000</v>
      </c>
      <c r="L13" t="s">
        <v>3</v>
      </c>
      <c r="M13" t="e">
        <v>#N/A</v>
      </c>
    </row>
    <row r="14" spans="1:13" x14ac:dyDescent="0.25">
      <c r="A14" t="s">
        <v>0</v>
      </c>
      <c r="B14" t="s">
        <v>1</v>
      </c>
      <c r="C14" s="2">
        <v>45931</v>
      </c>
      <c r="D14" s="13">
        <v>1400001345</v>
      </c>
      <c r="E14" t="s">
        <v>7</v>
      </c>
      <c r="F14" s="2">
        <v>45931</v>
      </c>
      <c r="G14" s="23" t="s">
        <v>3</v>
      </c>
      <c r="H14" t="s">
        <v>4</v>
      </c>
      <c r="I14" s="3">
        <v>-100000</v>
      </c>
      <c r="J14" t="s">
        <v>4</v>
      </c>
      <c r="K14" s="3">
        <v>-100000</v>
      </c>
      <c r="L14" t="s">
        <v>3</v>
      </c>
      <c r="M14" t="e">
        <v>#N/A</v>
      </c>
    </row>
    <row r="15" spans="1:13" x14ac:dyDescent="0.25">
      <c r="A15" t="s">
        <v>0</v>
      </c>
      <c r="B15" t="s">
        <v>1</v>
      </c>
      <c r="C15" s="2">
        <v>45944</v>
      </c>
      <c r="D15" s="13">
        <v>1400001406</v>
      </c>
      <c r="E15" t="s">
        <v>7</v>
      </c>
      <c r="F15" s="2">
        <v>45944</v>
      </c>
      <c r="G15" s="23" t="s">
        <v>3</v>
      </c>
      <c r="H15" t="s">
        <v>4</v>
      </c>
      <c r="I15" s="3">
        <v>-100000</v>
      </c>
      <c r="J15" t="s">
        <v>4</v>
      </c>
      <c r="K15" s="3">
        <v>-100000</v>
      </c>
      <c r="L15" t="s">
        <v>3</v>
      </c>
      <c r="M15" t="e">
        <v>#N/A</v>
      </c>
    </row>
    <row r="16" spans="1:13" x14ac:dyDescent="0.25">
      <c r="A16" t="s">
        <v>0</v>
      </c>
      <c r="B16" t="s">
        <v>1</v>
      </c>
      <c r="C16" s="2">
        <v>45972</v>
      </c>
      <c r="D16" s="13">
        <v>1400001615</v>
      </c>
      <c r="E16" t="s">
        <v>7</v>
      </c>
      <c r="F16" s="2">
        <v>45972</v>
      </c>
      <c r="G16" s="23" t="s">
        <v>3</v>
      </c>
      <c r="H16" t="s">
        <v>4</v>
      </c>
      <c r="I16" s="3">
        <v>-100000</v>
      </c>
      <c r="J16" t="s">
        <v>4</v>
      </c>
      <c r="K16" s="3">
        <v>-100000</v>
      </c>
      <c r="L16" t="s">
        <v>3</v>
      </c>
      <c r="M16" t="e">
        <v>#N/A</v>
      </c>
    </row>
    <row r="17" spans="1:13" x14ac:dyDescent="0.25">
      <c r="A17" t="s">
        <v>0</v>
      </c>
      <c r="B17" t="s">
        <v>1</v>
      </c>
      <c r="C17" s="2">
        <v>45972</v>
      </c>
      <c r="D17" s="13">
        <v>1400001658</v>
      </c>
      <c r="E17" t="s">
        <v>7</v>
      </c>
      <c r="F17" s="2">
        <v>45972</v>
      </c>
      <c r="G17" s="23" t="s">
        <v>3</v>
      </c>
      <c r="H17" t="s">
        <v>4</v>
      </c>
      <c r="I17" s="3">
        <v>-100000</v>
      </c>
      <c r="J17" t="s">
        <v>4</v>
      </c>
      <c r="K17" s="3">
        <v>-100000</v>
      </c>
      <c r="L17" t="s">
        <v>3</v>
      </c>
      <c r="M17" t="e">
        <v>#N/A</v>
      </c>
    </row>
    <row r="18" spans="1:13" x14ac:dyDescent="0.25">
      <c r="A18" t="s">
        <v>0</v>
      </c>
      <c r="B18" t="s">
        <v>1</v>
      </c>
      <c r="C18" s="2">
        <v>45977</v>
      </c>
      <c r="D18" s="13">
        <v>1400001934</v>
      </c>
      <c r="E18" t="s">
        <v>7</v>
      </c>
      <c r="F18" s="2">
        <v>45977</v>
      </c>
      <c r="G18" s="23" t="s">
        <v>3</v>
      </c>
      <c r="H18" t="s">
        <v>4</v>
      </c>
      <c r="I18" s="3">
        <v>-100000</v>
      </c>
      <c r="J18" t="s">
        <v>4</v>
      </c>
      <c r="K18" s="3">
        <v>-100000</v>
      </c>
      <c r="L18" t="s">
        <v>3</v>
      </c>
      <c r="M18" t="e">
        <v>#N/A</v>
      </c>
    </row>
    <row r="19" spans="1:13" x14ac:dyDescent="0.25">
      <c r="A19" t="s">
        <v>0</v>
      </c>
      <c r="B19" t="s">
        <v>1</v>
      </c>
      <c r="C19" s="2">
        <v>45986</v>
      </c>
      <c r="D19" s="13">
        <v>1400002027</v>
      </c>
      <c r="E19" t="s">
        <v>7</v>
      </c>
      <c r="F19" s="2">
        <v>45986</v>
      </c>
      <c r="G19" s="23" t="s">
        <v>3</v>
      </c>
      <c r="H19" t="s">
        <v>4</v>
      </c>
      <c r="I19" s="3">
        <v>-100000</v>
      </c>
      <c r="J19" t="s">
        <v>4</v>
      </c>
      <c r="K19" s="3">
        <v>-100000</v>
      </c>
      <c r="L19" t="s">
        <v>3</v>
      </c>
      <c r="M19" t="e">
        <v>#N/A</v>
      </c>
    </row>
    <row r="20" spans="1:13" x14ac:dyDescent="0.25">
      <c r="A20" t="s">
        <v>0</v>
      </c>
      <c r="B20" t="s">
        <v>1</v>
      </c>
      <c r="C20" s="2">
        <v>45994</v>
      </c>
      <c r="D20" s="13">
        <v>1400002099</v>
      </c>
      <c r="E20" t="s">
        <v>7</v>
      </c>
      <c r="F20" s="2">
        <v>45994</v>
      </c>
      <c r="G20" s="23" t="s">
        <v>3</v>
      </c>
      <c r="H20" t="s">
        <v>4</v>
      </c>
      <c r="I20" s="3">
        <v>-100000</v>
      </c>
      <c r="J20" t="s">
        <v>4</v>
      </c>
      <c r="K20" s="3">
        <v>-100000</v>
      </c>
      <c r="L20" t="s">
        <v>3</v>
      </c>
      <c r="M20" t="e">
        <v>#N/A</v>
      </c>
    </row>
    <row r="21" spans="1:13" x14ac:dyDescent="0.25">
      <c r="A21" t="s">
        <v>0</v>
      </c>
      <c r="B21" t="s">
        <v>1</v>
      </c>
      <c r="C21" s="2">
        <v>46009</v>
      </c>
      <c r="D21" s="13">
        <v>1400002218</v>
      </c>
      <c r="E21" t="s">
        <v>7</v>
      </c>
      <c r="F21" s="2">
        <v>46009</v>
      </c>
      <c r="G21" s="23" t="s">
        <v>3</v>
      </c>
      <c r="H21" t="s">
        <v>4</v>
      </c>
      <c r="I21" s="3">
        <v>-100000</v>
      </c>
      <c r="J21" t="s">
        <v>4</v>
      </c>
      <c r="K21" s="3">
        <v>-100000</v>
      </c>
      <c r="L21" t="s">
        <v>3</v>
      </c>
      <c r="M21" t="e">
        <v>#N/A</v>
      </c>
    </row>
    <row r="22" spans="1:13" x14ac:dyDescent="0.25">
      <c r="A22" t="s">
        <v>0</v>
      </c>
      <c r="B22" t="s">
        <v>169</v>
      </c>
      <c r="C22" s="2">
        <v>46030</v>
      </c>
      <c r="D22" s="13">
        <v>1400002412</v>
      </c>
      <c r="E22" t="s">
        <v>7</v>
      </c>
      <c r="F22" s="2">
        <v>46030</v>
      </c>
      <c r="G22" s="23" t="s">
        <v>3</v>
      </c>
      <c r="H22" t="s">
        <v>4</v>
      </c>
      <c r="I22" s="3">
        <v>-200000</v>
      </c>
      <c r="J22" t="s">
        <v>4</v>
      </c>
      <c r="K22" s="3">
        <v>-200000</v>
      </c>
      <c r="L22" t="s">
        <v>3</v>
      </c>
      <c r="M22" t="e">
        <v>#N/A</v>
      </c>
    </row>
    <row r="23" spans="1:13" x14ac:dyDescent="0.25">
      <c r="A23" t="s">
        <v>0</v>
      </c>
      <c r="B23" t="s">
        <v>169</v>
      </c>
      <c r="C23" s="2">
        <v>46031</v>
      </c>
      <c r="D23" s="13">
        <v>1400002418</v>
      </c>
      <c r="E23" t="s">
        <v>7</v>
      </c>
      <c r="F23" s="2">
        <v>46031</v>
      </c>
      <c r="G23" s="23" t="s">
        <v>3</v>
      </c>
      <c r="H23" t="s">
        <v>4</v>
      </c>
      <c r="I23" s="3">
        <v>-100000</v>
      </c>
      <c r="J23" t="s">
        <v>4</v>
      </c>
      <c r="K23" s="3">
        <v>-100000</v>
      </c>
      <c r="L23" t="s">
        <v>3</v>
      </c>
      <c r="M23" t="e">
        <v>#N/A</v>
      </c>
    </row>
    <row r="24" spans="1:13" x14ac:dyDescent="0.25">
      <c r="A24" t="s">
        <v>0</v>
      </c>
      <c r="B24" t="s">
        <v>169</v>
      </c>
      <c r="C24" s="2">
        <v>46041</v>
      </c>
      <c r="D24" s="13">
        <v>1400002489</v>
      </c>
      <c r="E24" t="s">
        <v>7</v>
      </c>
      <c r="F24" s="2">
        <v>46041</v>
      </c>
      <c r="G24" s="23" t="s">
        <v>3</v>
      </c>
      <c r="H24" t="s">
        <v>4</v>
      </c>
      <c r="I24" s="3">
        <v>-150000</v>
      </c>
      <c r="J24" t="s">
        <v>4</v>
      </c>
      <c r="K24" s="3">
        <v>-150000</v>
      </c>
      <c r="L24" t="s">
        <v>3</v>
      </c>
      <c r="M24" t="e">
        <v>#N/A</v>
      </c>
    </row>
    <row r="25" spans="1:13" x14ac:dyDescent="0.25">
      <c r="A25" t="s">
        <v>0</v>
      </c>
      <c r="B25" t="s">
        <v>169</v>
      </c>
      <c r="C25" s="2">
        <v>46045</v>
      </c>
      <c r="D25" s="13">
        <v>1400002521</v>
      </c>
      <c r="E25" t="s">
        <v>7</v>
      </c>
      <c r="F25" s="2">
        <v>46045</v>
      </c>
      <c r="G25" s="23" t="s">
        <v>3</v>
      </c>
      <c r="H25" t="s">
        <v>4</v>
      </c>
      <c r="I25" s="3">
        <v>-150000</v>
      </c>
      <c r="J25" t="s">
        <v>4</v>
      </c>
      <c r="K25" s="3">
        <v>-150000</v>
      </c>
      <c r="L25" t="s">
        <v>3</v>
      </c>
      <c r="M25" t="e">
        <v>#N/A</v>
      </c>
    </row>
    <row r="26" spans="1:13" x14ac:dyDescent="0.25">
      <c r="A26" t="s">
        <v>0</v>
      </c>
      <c r="B26" t="s">
        <v>169</v>
      </c>
      <c r="C26" s="2">
        <v>46055</v>
      </c>
      <c r="D26" s="13">
        <v>1400002594</v>
      </c>
      <c r="E26" t="s">
        <v>7</v>
      </c>
      <c r="F26" s="2">
        <v>46055</v>
      </c>
      <c r="G26" s="23" t="s">
        <v>186</v>
      </c>
      <c r="H26" t="s">
        <v>4</v>
      </c>
      <c r="I26" s="3">
        <v>-200000</v>
      </c>
      <c r="J26" t="s">
        <v>4</v>
      </c>
      <c r="K26" s="3">
        <v>-200000</v>
      </c>
      <c r="L26" t="s">
        <v>3</v>
      </c>
      <c r="M26" t="e">
        <v>#N/A</v>
      </c>
    </row>
    <row r="27" spans="1:13" x14ac:dyDescent="0.25">
      <c r="A27" t="s">
        <v>0</v>
      </c>
      <c r="B27" t="s">
        <v>169</v>
      </c>
      <c r="C27" s="2">
        <v>46055</v>
      </c>
      <c r="D27" s="13">
        <v>1400002602</v>
      </c>
      <c r="E27" t="s">
        <v>7</v>
      </c>
      <c r="F27" s="2">
        <v>46055</v>
      </c>
      <c r="G27" s="23" t="s">
        <v>187</v>
      </c>
      <c r="H27" t="s">
        <v>4</v>
      </c>
      <c r="I27" s="3">
        <v>-200000</v>
      </c>
      <c r="J27" t="s">
        <v>4</v>
      </c>
      <c r="K27" s="3">
        <v>-200000</v>
      </c>
      <c r="L27" t="s">
        <v>3</v>
      </c>
      <c r="M27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Invoices and CN not rec</vt:lpstr>
      <vt:lpstr>Sheet1</vt:lpstr>
      <vt:lpstr>DZ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karan.vakharia</cp:lastModifiedBy>
  <cp:revision>1</cp:revision>
  <dcterms:modified xsi:type="dcterms:W3CDTF">2026-03-24T07:36:21Z</dcterms:modified>
  <cp:category/>
</cp:coreProperties>
</file>