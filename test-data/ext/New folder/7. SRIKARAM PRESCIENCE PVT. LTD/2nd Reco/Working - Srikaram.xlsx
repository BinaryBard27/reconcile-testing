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2nd Reco\"/>
    </mc:Choice>
  </mc:AlternateContent>
  <xr:revisionPtr revIDLastSave="0" documentId="13_ncr:1_{787E1C7C-C79C-41ED-880A-50DBF1D60FA9}" xr6:coauthVersionLast="47" xr6:coauthVersionMax="47" xr10:uidLastSave="{00000000-0000-0000-0000-000000000000}"/>
  <bookViews>
    <workbookView xWindow="-110" yWindow="-110" windowWidth="21820" windowHeight="14020" xr2:uid="{53ADB1DB-9D90-4B0A-8AAD-085DE835AD2B}"/>
  </bookViews>
  <sheets>
    <sheet name="Ascendus Ledger" sheetId="2" r:id="rId1"/>
    <sheet name="Customer Ledger" sheetId="1" r:id="rId2"/>
  </sheets>
  <definedNames>
    <definedName name="_xlnm._FilterDatabase" localSheetId="0" hidden="1">'Ascendus Ledger'!$A$1:$AG$1</definedName>
    <definedName name="_xlnm._FilterDatabase" localSheetId="1" hidden="1">'Customer Ledger'!$A$2:$L$615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" i="1" l="1"/>
  <c r="K1" i="1"/>
  <c r="J1" i="1"/>
</calcChain>
</file>

<file path=xl/sharedStrings.xml><?xml version="1.0" encoding="utf-8"?>
<sst xmlns="http://schemas.openxmlformats.org/spreadsheetml/2006/main" count="9623" uniqueCount="1105">
  <si>
    <t/>
  </si>
  <si>
    <t>Date</t>
  </si>
  <si>
    <t>Particulars</t>
  </si>
  <si>
    <t>Month</t>
  </si>
  <si>
    <t>Debit Amount (USD)</t>
  </si>
  <si>
    <t>Credit Amount (USD)</t>
  </si>
  <si>
    <t>Vch Type</t>
  </si>
  <si>
    <t>Vch No.</t>
  </si>
  <si>
    <t>Debit</t>
  </si>
  <si>
    <t>Credit</t>
  </si>
  <si>
    <t>Dr</t>
  </si>
  <si>
    <t>Space Expense / Storage - E</t>
  </si>
  <si>
    <t>August, 2024</t>
  </si>
  <si>
    <t>Journal 1</t>
  </si>
  <si>
    <t>90</t>
  </si>
  <si>
    <t>New Ref</t>
  </si>
  <si>
    <t>Cr</t>
  </si>
  <si>
    <t>September, 2024</t>
  </si>
  <si>
    <t>92</t>
  </si>
  <si>
    <t>October, 2024</t>
  </si>
  <si>
    <t>93</t>
  </si>
  <si>
    <t>November, 2024</t>
  </si>
  <si>
    <t>94</t>
  </si>
  <si>
    <t>December, 2024</t>
  </si>
  <si>
    <t>96</t>
  </si>
  <si>
    <t>January, 2025</t>
  </si>
  <si>
    <t>97</t>
  </si>
  <si>
    <t>February, 2025</t>
  </si>
  <si>
    <t>98</t>
  </si>
  <si>
    <t>Ground Rent Charges-E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</si>
  <si>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</si>
  <si>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</si>
  <si>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</si>
  <si>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</si>
  <si>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</si>
  <si>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</si>
  <si>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</si>
  <si>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</si>
  <si>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</si>
  <si>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</si>
  <si>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March, 2025</t>
  </si>
  <si>
    <t>112</t>
  </si>
  <si>
    <t>113</t>
  </si>
  <si>
    <t>114</t>
  </si>
  <si>
    <t>Srikaram Prescience Pvt. Ltd- Noida</t>
  </si>
  <si>
    <t>, 0</t>
  </si>
  <si>
    <t>Journal</t>
  </si>
  <si>
    <t>25</t>
  </si>
  <si>
    <t>Agst Ref</t>
  </si>
  <si>
    <t>63</t>
  </si>
  <si>
    <t>VOS Activity - E</t>
  </si>
  <si>
    <t>5</t>
  </si>
  <si>
    <t>6</t>
  </si>
  <si>
    <t>7</t>
  </si>
  <si>
    <t>8</t>
  </si>
  <si>
    <t>9</t>
  </si>
  <si>
    <t>10</t>
  </si>
  <si>
    <t>11</t>
  </si>
  <si>
    <t>Inbound Handling - E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</si>
  <si>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</si>
  <si>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</si>
  <si>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</si>
  <si>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</si>
  <si>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</si>
  <si>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</si>
  <si>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</si>
  <si>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</si>
  <si>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</si>
  <si>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Outbound Handling Charges - E</t>
  </si>
  <si>
    <t>21</t>
  </si>
  <si>
    <t>22</t>
  </si>
  <si>
    <t>23</t>
  </si>
  <si>
    <t>24</t>
  </si>
  <si>
    <t>April, 2025</t>
  </si>
  <si>
    <t>Provision for Expenses</t>
  </si>
  <si>
    <t>27</t>
  </si>
  <si>
    <t>123</t>
  </si>
  <si>
    <t>138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</si>
  <si>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</si>
  <si>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</si>
  <si>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</si>
  <si>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</si>
  <si>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</si>
  <si>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</si>
  <si>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</si>
  <si>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</si>
  <si>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</si>
  <si>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</si>
  <si>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</si>
  <si>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</si>
  <si>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</si>
  <si>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</si>
  <si>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</si>
  <si>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</si>
  <si>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</si>
  <si>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</si>
  <si>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</si>
  <si>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</si>
  <si>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</si>
  <si>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</si>
  <si>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</si>
  <si>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</si>
  <si>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</si>
  <si>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</si>
  <si>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</si>
  <si>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</si>
  <si>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</si>
  <si>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</si>
  <si>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</si>
  <si>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</si>
  <si>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</si>
  <si>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172</t>
  </si>
  <si>
    <t>185</t>
  </si>
  <si>
    <t>194</t>
  </si>
  <si>
    <t>199</t>
  </si>
  <si>
    <t>67</t>
  </si>
  <si>
    <t>68</t>
  </si>
  <si>
    <t>69</t>
  </si>
  <si>
    <t>70</t>
  </si>
  <si>
    <t>71</t>
  </si>
  <si>
    <t>72</t>
  </si>
  <si>
    <t>73</t>
  </si>
  <si>
    <t>74</t>
  </si>
  <si>
    <t>Transportation Charges- IB-E (RCM)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</si>
  <si>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</si>
  <si>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</si>
  <si>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</si>
  <si>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</si>
  <si>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</si>
  <si>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</si>
  <si>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</si>
  <si>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</si>
  <si>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</si>
  <si>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</si>
  <si>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218</t>
  </si>
  <si>
    <t>85</t>
  </si>
  <si>
    <t>86</t>
  </si>
  <si>
    <t>May, 2025</t>
  </si>
  <si>
    <t>87</t>
  </si>
  <si>
    <t>88</t>
  </si>
  <si>
    <t>89</t>
  </si>
  <si>
    <t>June, 2025</t>
  </si>
  <si>
    <t>91</t>
  </si>
  <si>
    <t>95</t>
  </si>
  <si>
    <t>279</t>
  </si>
  <si>
    <t>290</t>
  </si>
  <si>
    <t>304</t>
  </si>
  <si>
    <t>July, 2025</t>
  </si>
  <si>
    <t>110</t>
  </si>
  <si>
    <t>111</t>
  </si>
  <si>
    <t>August, 2025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</si>
  <si>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</si>
  <si>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</si>
  <si>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</si>
  <si>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</si>
  <si>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</si>
  <si>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</si>
  <si>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</si>
  <si>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</si>
  <si>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</si>
  <si>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</si>
  <si>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</si>
  <si>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</si>
  <si>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</si>
  <si>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</si>
  <si>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</si>
  <si>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</si>
  <si>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</si>
  <si>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</si>
  <si>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</si>
  <si>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</si>
  <si>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323</t>
  </si>
  <si>
    <t>338</t>
  </si>
  <si>
    <t>349</t>
  </si>
  <si>
    <t>141</t>
  </si>
  <si>
    <t>142</t>
  </si>
  <si>
    <t>143</t>
  </si>
  <si>
    <t>144</t>
  </si>
  <si>
    <t>145</t>
  </si>
  <si>
    <t>September, 2025</t>
  </si>
  <si>
    <t>146</t>
  </si>
  <si>
    <t>147</t>
  </si>
  <si>
    <t>148</t>
  </si>
  <si>
    <t>149</t>
  </si>
  <si>
    <t>150</t>
  </si>
  <si>
    <t>151</t>
  </si>
  <si>
    <t>152</t>
  </si>
  <si>
    <t>October, 2025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</si>
  <si>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</si>
  <si>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</si>
  <si>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</si>
  <si>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</si>
  <si>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</si>
  <si>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</si>
  <si>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</si>
  <si>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</si>
  <si>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</si>
  <si>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</si>
  <si>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</si>
  <si>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</si>
  <si>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Detention Charges - E</t>
  </si>
  <si>
    <t>165</t>
  </si>
  <si>
    <t>166</t>
  </si>
  <si>
    <t>371</t>
  </si>
  <si>
    <t>167</t>
  </si>
  <si>
    <t>168</t>
  </si>
  <si>
    <t>169</t>
  </si>
  <si>
    <t>376</t>
  </si>
  <si>
    <t>397</t>
  </si>
  <si>
    <t>171</t>
  </si>
  <si>
    <t>November, 2025</t>
  </si>
  <si>
    <t>173</t>
  </si>
  <si>
    <t>430</t>
  </si>
  <si>
    <t>446</t>
  </si>
  <si>
    <t>465</t>
  </si>
  <si>
    <t>475</t>
  </si>
  <si>
    <t>489</t>
  </si>
  <si>
    <t>499</t>
  </si>
  <si>
    <t>December, 2025</t>
  </si>
  <si>
    <t>181</t>
  </si>
  <si>
    <t>January, 2026</t>
  </si>
  <si>
    <t>182</t>
  </si>
  <si>
    <t>183</t>
  </si>
  <si>
    <t>184</t>
  </si>
  <si>
    <t>November, 2026</t>
  </si>
  <si>
    <t>186</t>
  </si>
  <si>
    <t>187</t>
  </si>
  <si>
    <t>188</t>
  </si>
  <si>
    <t>189</t>
  </si>
  <si>
    <t>190</t>
  </si>
  <si>
    <t>December, 2026</t>
  </si>
  <si>
    <t>191</t>
  </si>
  <si>
    <t>192</t>
  </si>
  <si>
    <t>193</t>
  </si>
  <si>
    <t>195</t>
  </si>
  <si>
    <t>196</t>
  </si>
  <si>
    <t>197</t>
  </si>
  <si>
    <t>198</t>
  </si>
  <si>
    <t>200</t>
  </si>
  <si>
    <t>528</t>
  </si>
  <si>
    <t>539</t>
  </si>
  <si>
    <t>552</t>
  </si>
  <si>
    <t>575</t>
  </si>
  <si>
    <t>599</t>
  </si>
  <si>
    <t>On Account</t>
  </si>
  <si>
    <t>Closing Balance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</si>
  <si>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</si>
  <si>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</si>
  <si>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</si>
  <si>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</si>
  <si>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</si>
  <si>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</si>
  <si>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</si>
  <si>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</si>
  <si>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</si>
  <si>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</si>
  <si>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</si>
  <si>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</si>
  <si>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</si>
  <si>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</si>
  <si>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</si>
  <si>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</si>
  <si>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</si>
  <si>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</si>
  <si>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</si>
  <si>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</si>
  <si>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</si>
  <si>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</si>
  <si>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</si>
  <si>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</si>
  <si>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</si>
  <si>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</si>
  <si>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</si>
  <si>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</si>
  <si>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</si>
  <si>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</si>
  <si>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</si>
  <si>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</si>
  <si>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</si>
  <si>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Selected</t>
  </si>
  <si>
    <t>6779</t>
  </si>
  <si>
    <t>100222376</t>
  </si>
  <si>
    <t>SRIKARAM PRESCIENCE PVT. LTD.</t>
  </si>
  <si>
    <t>2025</t>
  </si>
  <si>
    <t>1400001853</t>
  </si>
  <si>
    <t>DY</t>
  </si>
  <si>
    <t>212100</t>
  </si>
  <si>
    <t>Trade Debtors (Ctrl)</t>
  </si>
  <si>
    <t>INR</t>
  </si>
  <si>
    <t>6779224500</t>
  </si>
  <si>
    <t>1</t>
  </si>
  <si>
    <t>4</t>
  </si>
  <si>
    <t>1600000046</t>
  </si>
  <si>
    <t>DA</t>
  </si>
  <si>
    <t>07</t>
  </si>
  <si>
    <t>Overpayment</t>
  </si>
  <si>
    <t>2</t>
  </si>
  <si>
    <t>Not Selected</t>
  </si>
  <si>
    <t>1400000116</t>
  </si>
  <si>
    <t>DZ</t>
  </si>
  <si>
    <t>RBINR52025061068105986</t>
  </si>
  <si>
    <t>6779220000</t>
  </si>
  <si>
    <t>1400002004</t>
  </si>
  <si>
    <t>ICIN229048296773</t>
  </si>
  <si>
    <t>05</t>
  </si>
  <si>
    <t>1400001557</t>
  </si>
  <si>
    <t>1400001257</t>
  </si>
  <si>
    <t>ICICN22025090903741643</t>
  </si>
  <si>
    <t>1400001259</t>
  </si>
  <si>
    <t>ICICN22025091814774311</t>
  </si>
  <si>
    <t>1400001341</t>
  </si>
  <si>
    <t>YESBN12025080105201504</t>
  </si>
  <si>
    <t>1400001345</t>
  </si>
  <si>
    <t>YESBN12025092905554716</t>
  </si>
  <si>
    <t>1400002218</t>
  </si>
  <si>
    <t>G4JBK07YN628</t>
  </si>
  <si>
    <t>1400002027</t>
  </si>
  <si>
    <t>FDX3H9NTVM9H</t>
  </si>
  <si>
    <t>1400000887</t>
  </si>
  <si>
    <t>CLD10G6BW405</t>
  </si>
  <si>
    <t>1400000904</t>
  </si>
  <si>
    <t>CV2PQHKP4LBN</t>
  </si>
  <si>
    <t>1400000922</t>
  </si>
  <si>
    <t>CYFC8QFVQHQH</t>
  </si>
  <si>
    <t>1400000941</t>
  </si>
  <si>
    <t>CYFC8NZ61DVQ</t>
  </si>
  <si>
    <t>1400000955</t>
  </si>
  <si>
    <t>CYFC8MGLSWN8</t>
  </si>
  <si>
    <t>1400000966</t>
  </si>
  <si>
    <t>D7GGX3V5TBKJ</t>
  </si>
  <si>
    <t>1400000077</t>
  </si>
  <si>
    <t>ICICN22025052649449773</t>
  </si>
  <si>
    <t>1400002099</t>
  </si>
  <si>
    <t>FZVCCNNHZTZS</t>
  </si>
  <si>
    <t>1400000021</t>
  </si>
  <si>
    <t>ICICN22025042926352474</t>
  </si>
  <si>
    <t>3</t>
  </si>
  <si>
    <t>1400001406</t>
  </si>
  <si>
    <t>YESBN12025100705697424</t>
  </si>
  <si>
    <t>1400001615</t>
  </si>
  <si>
    <t>ICICN22025110613366361</t>
  </si>
  <si>
    <t>1400001658</t>
  </si>
  <si>
    <t>YESBN12025102904868513</t>
  </si>
  <si>
    <t>1400001934</t>
  </si>
  <si>
    <t>ICICN22025111423124298</t>
  </si>
  <si>
    <t>1400002228</t>
  </si>
  <si>
    <t>1400002071</t>
  </si>
  <si>
    <t>7000000069</t>
  </si>
  <si>
    <t>XC</t>
  </si>
  <si>
    <t>6779ZP25000105</t>
  </si>
  <si>
    <t>7000000196</t>
  </si>
  <si>
    <t>6779ZR25000004</t>
  </si>
  <si>
    <t>01</t>
  </si>
  <si>
    <t>1400000612</t>
  </si>
  <si>
    <t>NA</t>
  </si>
  <si>
    <t>KNOCK OFF ENTRY</t>
  </si>
  <si>
    <t>USD</t>
  </si>
  <si>
    <t>1400000619</t>
  </si>
  <si>
    <t>1400000621</t>
  </si>
  <si>
    <t>1800003224</t>
  </si>
  <si>
    <t>DR</t>
  </si>
  <si>
    <t>246779413091</t>
  </si>
  <si>
    <t>O2</t>
  </si>
  <si>
    <t>Port SSR Charges - Shifting for Aug to Dec,24.</t>
  </si>
  <si>
    <t>1400000615</t>
  </si>
  <si>
    <t>08</t>
  </si>
  <si>
    <t>1400000617</t>
  </si>
  <si>
    <t>1800004282</t>
  </si>
  <si>
    <t>246779414150</t>
  </si>
  <si>
    <t>O0</t>
  </si>
  <si>
    <t>Inbound Handling charges for  Sep 2024</t>
  </si>
  <si>
    <t>1800007003</t>
  </si>
  <si>
    <t>256779411894</t>
  </si>
  <si>
    <t>Outbound Handling charges for Dec 2024</t>
  </si>
  <si>
    <t>1800005896</t>
  </si>
  <si>
    <t>256779410788</t>
  </si>
  <si>
    <t>Storage Charges Feb, 25</t>
  </si>
  <si>
    <t>1800005913</t>
  </si>
  <si>
    <t>256779410804</t>
  </si>
  <si>
    <t>Storage Charges Jan, 25</t>
  </si>
  <si>
    <t>1800000372</t>
  </si>
  <si>
    <t>246779410341</t>
  </si>
  <si>
    <t>CY Longstanding container Ground Rent charges for</t>
  </si>
  <si>
    <t>1800000376</t>
  </si>
  <si>
    <t>246779410345</t>
  </si>
  <si>
    <t>1800000382</t>
  </si>
  <si>
    <t>246779410351</t>
  </si>
  <si>
    <t>1800000388</t>
  </si>
  <si>
    <t>246779410357</t>
  </si>
  <si>
    <t>1800000922</t>
  </si>
  <si>
    <t>246779410862</t>
  </si>
  <si>
    <t>Storage for the month of Nov 2024</t>
  </si>
  <si>
    <t>1800000945</t>
  </si>
  <si>
    <t>246779410885</t>
  </si>
  <si>
    <t>Storage for the month of Dec 2024</t>
  </si>
  <si>
    <t>1800000429</t>
  </si>
  <si>
    <t>246779410391</t>
  </si>
  <si>
    <t>Storage  for the month of Sept  2024</t>
  </si>
  <si>
    <t>1800000453</t>
  </si>
  <si>
    <t>246779410415</t>
  </si>
  <si>
    <t>Storage for the month of Oct 2024</t>
  </si>
  <si>
    <t>1800000403</t>
  </si>
  <si>
    <t>246779410365</t>
  </si>
  <si>
    <t>Storage Charges for the month of August, 2024</t>
  </si>
  <si>
    <t>1800011334</t>
  </si>
  <si>
    <t>256779416043</t>
  </si>
  <si>
    <t>Fixed Storage Charges for August 2025</t>
  </si>
  <si>
    <t>1800001959</t>
  </si>
  <si>
    <t>246779411624</t>
  </si>
  <si>
    <t>VAS Activity Charges for the month of September, 2</t>
  </si>
  <si>
    <t>1800001960</t>
  </si>
  <si>
    <t>246779411625</t>
  </si>
  <si>
    <t>1800001961</t>
  </si>
  <si>
    <t>246779411626</t>
  </si>
  <si>
    <t>1800001962</t>
  </si>
  <si>
    <t>246779411627</t>
  </si>
  <si>
    <t>1800002403</t>
  </si>
  <si>
    <t>246779412068</t>
  </si>
  <si>
    <t>VAS Activity Charges for the month of December, 24</t>
  </si>
  <si>
    <t>1800009610</t>
  </si>
  <si>
    <t>256779414374</t>
  </si>
  <si>
    <t>Fixed Storage Charges fo JUNE 2025</t>
  </si>
  <si>
    <t>1800012790</t>
  </si>
  <si>
    <t>256779417444</t>
  </si>
  <si>
    <t>2102531</t>
  </si>
  <si>
    <t>VAS -1-15 Sept-25</t>
  </si>
  <si>
    <t>1800006276</t>
  </si>
  <si>
    <t>256779411167</t>
  </si>
  <si>
    <t>LCL Charges August 2024</t>
  </si>
  <si>
    <t>1800006277</t>
  </si>
  <si>
    <t>256779411168</t>
  </si>
  <si>
    <t>1800006278</t>
  </si>
  <si>
    <t>256779411169</t>
  </si>
  <si>
    <t>1800006279</t>
  </si>
  <si>
    <t>256779411170</t>
  </si>
  <si>
    <t>Inbound Handling for August 24</t>
  </si>
  <si>
    <t>1600002475</t>
  </si>
  <si>
    <t>DG</t>
  </si>
  <si>
    <t>256779422017</t>
  </si>
  <si>
    <t>2117487</t>
  </si>
  <si>
    <t>Credit note raised against 256779418079</t>
  </si>
  <si>
    <t>1800006833</t>
  </si>
  <si>
    <t>256779411724</t>
  </si>
  <si>
    <t>CY Longstanding Transportation chgs for 31 MAR 202</t>
  </si>
  <si>
    <t>1800006922</t>
  </si>
  <si>
    <t>256779411813</t>
  </si>
  <si>
    <t>Inbound Handling charges for Dec 2024</t>
  </si>
  <si>
    <t>1800006923</t>
  </si>
  <si>
    <t>256779411814</t>
  </si>
  <si>
    <t>Loose Unloading charges for Dec 2024</t>
  </si>
  <si>
    <t>1800006924</t>
  </si>
  <si>
    <t>256779411815</t>
  </si>
  <si>
    <t>LCL charges for Dec 2024</t>
  </si>
  <si>
    <t>1800007004</t>
  </si>
  <si>
    <t>256779411895</t>
  </si>
  <si>
    <t>Loose loading Handling charges for Dec 2024</t>
  </si>
  <si>
    <t>1800007133</t>
  </si>
  <si>
    <t>256779412024</t>
  </si>
  <si>
    <t>VAS Activity - Jan 25, Ex Rate. 86.64</t>
  </si>
  <si>
    <t>1800007214</t>
  </si>
  <si>
    <t>256779412105</t>
  </si>
  <si>
    <t>VAS Activity - Mar 25, 16-31, Ex Rate. 85.58</t>
  </si>
  <si>
    <t>1800007220</t>
  </si>
  <si>
    <t>256779412111</t>
  </si>
  <si>
    <t>Storage Charges Mar, 25</t>
  </si>
  <si>
    <t>1800011236</t>
  </si>
  <si>
    <t>256779415968</t>
  </si>
  <si>
    <t>CY Ground rent Chgs - 01 - 31 May 25</t>
  </si>
  <si>
    <t>1800011268</t>
  </si>
  <si>
    <t>256779416000</t>
  </si>
  <si>
    <t>VAS 16-31 May 25 Ex.85.48</t>
  </si>
  <si>
    <t>1800001793</t>
  </si>
  <si>
    <t>246779411458</t>
  </si>
  <si>
    <t>VAS Activity Charges for the month of August, 24</t>
  </si>
  <si>
    <t>1800001590</t>
  </si>
  <si>
    <t>246779412247</t>
  </si>
  <si>
    <t>1800012463</t>
  </si>
  <si>
    <t>256779417163</t>
  </si>
  <si>
    <t>VAS -16-31 Aug 25</t>
  </si>
  <si>
    <t>1800012569</t>
  </si>
  <si>
    <t>256779417188</t>
  </si>
  <si>
    <t>Transportation In Chgs - 16 - 31 Aug 25</t>
  </si>
  <si>
    <t>1800012589</t>
  </si>
  <si>
    <t>256779417247</t>
  </si>
  <si>
    <t>PORT SSR Chgs Aug 25</t>
  </si>
  <si>
    <t>1800012650</t>
  </si>
  <si>
    <t>256779417290</t>
  </si>
  <si>
    <t>LCL chgs - 16 - 31 AUG 25</t>
  </si>
  <si>
    <t>1800012690</t>
  </si>
  <si>
    <t>256779417330</t>
  </si>
  <si>
    <t>2096996</t>
  </si>
  <si>
    <t>Outbound chgs - 16 - 31 Aug 25</t>
  </si>
  <si>
    <t>1800012728</t>
  </si>
  <si>
    <t>256779417362</t>
  </si>
  <si>
    <t>Fixed Storage Charges for September 2025</t>
  </si>
  <si>
    <t>1800010005</t>
  </si>
  <si>
    <t>256779414769</t>
  </si>
  <si>
    <t>CODC Inbound chgs - 01 - 15 Jun 25</t>
  </si>
  <si>
    <t>1800010039</t>
  </si>
  <si>
    <t>256779414803</t>
  </si>
  <si>
    <t>LCL Chgs - 01 - 15 JUN 25</t>
  </si>
  <si>
    <t>1800010070</t>
  </si>
  <si>
    <t>256779414834</t>
  </si>
  <si>
    <t>Outbound chgs - 01 - 15 Jun 25</t>
  </si>
  <si>
    <t>1800010121</t>
  </si>
  <si>
    <t>256779414881</t>
  </si>
  <si>
    <t>LCL chgs - 16 - 30 JUN 25</t>
  </si>
  <si>
    <t>1800010172</t>
  </si>
  <si>
    <t>256779414932</t>
  </si>
  <si>
    <t>Fixed Storage Charges fo JULY 2025</t>
  </si>
  <si>
    <t>1800010260</t>
  </si>
  <si>
    <t>256779415020</t>
  </si>
  <si>
    <t>Outbound chgs - 16 - 30 Jun 25</t>
  </si>
  <si>
    <t>1800010428</t>
  </si>
  <si>
    <t>256779415188</t>
  </si>
  <si>
    <t>Unit Storage - 1-30 June 25</t>
  </si>
  <si>
    <t>1800010505</t>
  </si>
  <si>
    <t>256779415265</t>
  </si>
  <si>
    <t>VAS - 16-30 June 25</t>
  </si>
  <si>
    <t>1800014252</t>
  </si>
  <si>
    <t>256779418791</t>
  </si>
  <si>
    <t>2123159</t>
  </si>
  <si>
    <t>Fixed Storage Charges for November 2025</t>
  </si>
  <si>
    <t>1800014291</t>
  </si>
  <si>
    <t>256779418828</t>
  </si>
  <si>
    <t>2123387</t>
  </si>
  <si>
    <t>WEIGHTMENT-16 -31 Oct 25</t>
  </si>
  <si>
    <t>1800014539</t>
  </si>
  <si>
    <t>256779418871</t>
  </si>
  <si>
    <t>2123390</t>
  </si>
  <si>
    <t>Unit Storage - 1-31 Oct 2025</t>
  </si>
  <si>
    <t>1800014705</t>
  </si>
  <si>
    <t>256779419087</t>
  </si>
  <si>
    <t>2123406</t>
  </si>
  <si>
    <t>Transportation In Chgs - 16 - 31 Oct 25</t>
  </si>
  <si>
    <t>1800014599</t>
  </si>
  <si>
    <t>256779419098</t>
  </si>
  <si>
    <t>2123408</t>
  </si>
  <si>
    <t>Scanning  Chgs - 16 - 31 Oct 25</t>
  </si>
  <si>
    <t>1800014530</t>
  </si>
  <si>
    <t>256779419179</t>
  </si>
  <si>
    <t>2123410</t>
  </si>
  <si>
    <t>Outbound chgs - 16 - 31 Oct 25</t>
  </si>
  <si>
    <t>1800014622</t>
  </si>
  <si>
    <t>256779419204</t>
  </si>
  <si>
    <t>2123415</t>
  </si>
  <si>
    <t>Empty Lolo Chgs - 01 - 31 OCT 25</t>
  </si>
  <si>
    <t>1800014734</t>
  </si>
  <si>
    <t>2123630</t>
  </si>
  <si>
    <t>256779419235</t>
  </si>
  <si>
    <t>PORT SSR Chgs Oct 25</t>
  </si>
  <si>
    <t>1800014766</t>
  </si>
  <si>
    <t>256779419267</t>
  </si>
  <si>
    <t>2124208</t>
  </si>
  <si>
    <t>Detention Chgs - OCT 25</t>
  </si>
  <si>
    <t>1800000347</t>
  </si>
  <si>
    <t>246779410321</t>
  </si>
  <si>
    <t>1800014414</t>
  </si>
  <si>
    <t>256779419136</t>
  </si>
  <si>
    <t>2123409</t>
  </si>
  <si>
    <t>Transportation In Chgs - 16 - 31 OCT 25</t>
  </si>
  <si>
    <t>1800011650</t>
  </si>
  <si>
    <t>256779416081</t>
  </si>
  <si>
    <t>Unit Storage - 1-31 July 25</t>
  </si>
  <si>
    <t>1800011834</t>
  </si>
  <si>
    <t>256779416143</t>
  </si>
  <si>
    <t>Empty Lolo Chgs - 01 - 31 JUL 25</t>
  </si>
  <si>
    <t>1800011792</t>
  </si>
  <si>
    <t>256779416183</t>
  </si>
  <si>
    <t>LCL chgs - 16 - 31 JUL 25</t>
  </si>
  <si>
    <t>1800011711</t>
  </si>
  <si>
    <t>256779416229</t>
  </si>
  <si>
    <t>Outbound chgs - 16 - 31 Jul 25</t>
  </si>
  <si>
    <t>1800011597</t>
  </si>
  <si>
    <t>256779416447</t>
  </si>
  <si>
    <t>VAS 16-31 July 25</t>
  </si>
  <si>
    <t>1800011605</t>
  </si>
  <si>
    <t>256779416455</t>
  </si>
  <si>
    <t>Weighment - 16-31 July 25</t>
  </si>
  <si>
    <t>1800011866</t>
  </si>
  <si>
    <t>256779416517</t>
  </si>
  <si>
    <t>PORT SSR Chgs July 25</t>
  </si>
  <si>
    <t>1800009412</t>
  </si>
  <si>
    <t>256779414176</t>
  </si>
  <si>
    <t>PORT SSR Chgs - 16 - 31 May 25</t>
  </si>
  <si>
    <t>1800009457</t>
  </si>
  <si>
    <t>256779414221</t>
  </si>
  <si>
    <t>Outbound chgs - 16 - 31 MAY 25</t>
  </si>
  <si>
    <t>1800009500</t>
  </si>
  <si>
    <t>256779414264</t>
  </si>
  <si>
    <t>Detention Chgs - 16 - 31 MAY 25</t>
  </si>
  <si>
    <t>1800009556</t>
  </si>
  <si>
    <t>256779414320</t>
  </si>
  <si>
    <t>LCL Chgs - 16-31 MAY 25</t>
  </si>
  <si>
    <t>1600000605</t>
  </si>
  <si>
    <t>256779420314</t>
  </si>
  <si>
    <t>Credit note against 246779412247</t>
  </si>
  <si>
    <t>1600000704</t>
  </si>
  <si>
    <t>256779420413</t>
  </si>
  <si>
    <t>Credit note against 256779410280</t>
  </si>
  <si>
    <t>1600000791</t>
  </si>
  <si>
    <t>256779420500</t>
  </si>
  <si>
    <t>Credit note against 256779410239</t>
  </si>
  <si>
    <t>1800008552</t>
  </si>
  <si>
    <t>256779413316</t>
  </si>
  <si>
    <t>Transportation In Chgs - 16 - 30 Apr 25</t>
  </si>
  <si>
    <t>1800009127</t>
  </si>
  <si>
    <t>256779413891</t>
  </si>
  <si>
    <t>Storage Chgs - 01 - 31 Apr 25</t>
  </si>
  <si>
    <t>1800010772</t>
  </si>
  <si>
    <t>256779415434</t>
  </si>
  <si>
    <t>PORT SSR Chgs May &amp; June 25</t>
  </si>
  <si>
    <t>1800010661</t>
  </si>
  <si>
    <t>256779415445</t>
  </si>
  <si>
    <t>CODC Inbound chgs - 01 - 15 July 25</t>
  </si>
  <si>
    <t>1800010674</t>
  </si>
  <si>
    <t>256779415458</t>
  </si>
  <si>
    <t>CODC Out chgs - 01 - 15 July 25</t>
  </si>
  <si>
    <t>1800010702</t>
  </si>
  <si>
    <t>256779415486</t>
  </si>
  <si>
    <t>LCL chgs - 01 - 15 JUL 25</t>
  </si>
  <si>
    <t>1800010742</t>
  </si>
  <si>
    <t>256779415526</t>
  </si>
  <si>
    <t>Outbound chgs - 01 - 15 Jul 25</t>
  </si>
  <si>
    <t>1800010942</t>
  </si>
  <si>
    <t>256779415702</t>
  </si>
  <si>
    <t>Transportation In Chgs - 01 - 15 Jul 25</t>
  </si>
  <si>
    <t>1800011046</t>
  </si>
  <si>
    <t>256779415806</t>
  </si>
  <si>
    <t>1800001470</t>
  </si>
  <si>
    <t>246779411302</t>
  </si>
  <si>
    <t>Scanning Charges for the month of September, 2024</t>
  </si>
  <si>
    <t>1800003930</t>
  </si>
  <si>
    <t>246779413798</t>
  </si>
  <si>
    <t>Ground Rent Jan 25</t>
  </si>
  <si>
    <t>1800003941</t>
  </si>
  <si>
    <t>246779413809</t>
  </si>
  <si>
    <t>Ground Rent Feb 25</t>
  </si>
  <si>
    <t>1800004028</t>
  </si>
  <si>
    <t>246779413884</t>
  </si>
  <si>
    <t>Outbound Handling charges for Feb 2025</t>
  </si>
  <si>
    <t>1800004038</t>
  </si>
  <si>
    <t>246779413894</t>
  </si>
  <si>
    <t>1800004045</t>
  </si>
  <si>
    <t>246779413901</t>
  </si>
  <si>
    <t>1800004055</t>
  </si>
  <si>
    <t>246779413911</t>
  </si>
  <si>
    <t>1800004057</t>
  </si>
  <si>
    <t>246779413913</t>
  </si>
  <si>
    <t>1800004192</t>
  </si>
  <si>
    <t>246779414060</t>
  </si>
  <si>
    <t>Inbound Handling charges for Jan 2025</t>
  </si>
  <si>
    <t>1800004193</t>
  </si>
  <si>
    <t>246779414061</t>
  </si>
  <si>
    <t>1800004194</t>
  </si>
  <si>
    <t>246779414062</t>
  </si>
  <si>
    <t>1800004195</t>
  </si>
  <si>
    <t>246779414063</t>
  </si>
  <si>
    <t>1800004196</t>
  </si>
  <si>
    <t>246779414064</t>
  </si>
  <si>
    <t>1800004197</t>
  </si>
  <si>
    <t>246779414065</t>
  </si>
  <si>
    <t>1800004198</t>
  </si>
  <si>
    <t>246779414066</t>
  </si>
  <si>
    <t>1800004283</t>
  </si>
  <si>
    <t>246779414151</t>
  </si>
  <si>
    <t>LCL charges for Sep 2024</t>
  </si>
  <si>
    <t>1800004361</t>
  </si>
  <si>
    <t>246779414229</t>
  </si>
  <si>
    <t>Outbound Handling charges for Sep 2024</t>
  </si>
  <si>
    <t>1800004362</t>
  </si>
  <si>
    <t>246779414230</t>
  </si>
  <si>
    <t>Loose loading Handling charges for Sep 2024</t>
  </si>
  <si>
    <t>1800004534</t>
  </si>
  <si>
    <t>246779414402</t>
  </si>
  <si>
    <t>Inbound Handling charges for Nov 2024</t>
  </si>
  <si>
    <t>1800004535</t>
  </si>
  <si>
    <t>246779414403</t>
  </si>
  <si>
    <t>LCL Movement Charges for Nov 2024</t>
  </si>
  <si>
    <t>1800004604</t>
  </si>
  <si>
    <t>246779414472</t>
  </si>
  <si>
    <t>1800004605</t>
  </si>
  <si>
    <t>246779414473</t>
  </si>
  <si>
    <t>Loose Unloading charges for Jan 2025</t>
  </si>
  <si>
    <t>1800004606</t>
  </si>
  <si>
    <t>246779414474</t>
  </si>
  <si>
    <t>LCL charges for Jan 2025</t>
  </si>
  <si>
    <t>1800004872</t>
  </si>
  <si>
    <t>246779414740</t>
  </si>
  <si>
    <t>Outbound Handling charges for Jan 2025</t>
  </si>
  <si>
    <t>1800004873</t>
  </si>
  <si>
    <t>246779414741</t>
  </si>
  <si>
    <t>Loose Loading Handling charges for Jan 2025</t>
  </si>
  <si>
    <t>1800005027</t>
  </si>
  <si>
    <t>246779414895</t>
  </si>
  <si>
    <t>1800005028</t>
  </si>
  <si>
    <t>246779414896</t>
  </si>
  <si>
    <t>1800005029</t>
  </si>
  <si>
    <t>246779414897</t>
  </si>
  <si>
    <t>1800005030</t>
  </si>
  <si>
    <t>246779414898</t>
  </si>
  <si>
    <t>1800005031</t>
  </si>
  <si>
    <t>246779414899</t>
  </si>
  <si>
    <t>1800005032</t>
  </si>
  <si>
    <t>246779414900</t>
  </si>
  <si>
    <t>1800005033</t>
  </si>
  <si>
    <t>246779414901</t>
  </si>
  <si>
    <t>1800005034</t>
  </si>
  <si>
    <t>246779414902</t>
  </si>
  <si>
    <t>1800004037</t>
  </si>
  <si>
    <t>246779413893</t>
  </si>
  <si>
    <t>1800004742</t>
  </si>
  <si>
    <t>246779414610</t>
  </si>
  <si>
    <t>Outbound Handling charges for Oct 2024</t>
  </si>
  <si>
    <t>1800004820</t>
  </si>
  <si>
    <t>246779414688</t>
  </si>
  <si>
    <t>Loose handling Charges for Nov 2024</t>
  </si>
  <si>
    <t>1800004821</t>
  </si>
  <si>
    <t>246779414689</t>
  </si>
  <si>
    <t>Outbound Handling charges for Nov 2024</t>
  </si>
  <si>
    <t>1800004822</t>
  </si>
  <si>
    <t>246779414690</t>
  </si>
  <si>
    <t>CY-MOVEMENT CHARGES for Nov 2024</t>
  </si>
  <si>
    <t>1800000110</t>
  </si>
  <si>
    <t>246779410038</t>
  </si>
  <si>
    <t>Fixed Rental charges for Sept 2024</t>
  </si>
  <si>
    <t>1800000179</t>
  </si>
  <si>
    <t>246779410106</t>
  </si>
  <si>
    <t>Fixed Rental charges for Nov 2024</t>
  </si>
  <si>
    <t>1800000222</t>
  </si>
  <si>
    <t>246779410149</t>
  </si>
  <si>
    <t>Fixed Rental charges for Dec 2024</t>
  </si>
  <si>
    <t>1800000265</t>
  </si>
  <si>
    <t>246779410192</t>
  </si>
  <si>
    <t>Fixed Rental charges for Jan 2025</t>
  </si>
  <si>
    <t>1800000308</t>
  </si>
  <si>
    <t>246779410235</t>
  </si>
  <si>
    <t>Fixed Rental charges for Feb 2025</t>
  </si>
  <si>
    <t>1800000080</t>
  </si>
  <si>
    <t>246779410292</t>
  </si>
  <si>
    <t>Fixed Rental charges for Oct 2024</t>
  </si>
  <si>
    <t>1800012252</t>
  </si>
  <si>
    <t>256779416848</t>
  </si>
  <si>
    <t>LCL chgs - 01 - 15 AUG 25</t>
  </si>
  <si>
    <t>1800012221</t>
  </si>
  <si>
    <t>256779416883</t>
  </si>
  <si>
    <t>Outbound chgs - 01 - 15 Aug 25</t>
  </si>
  <si>
    <t>1800015423</t>
  </si>
  <si>
    <t>256779419872</t>
  </si>
  <si>
    <t>2140083</t>
  </si>
  <si>
    <t>LCL Chgs - 16 - 30 NOV 25</t>
  </si>
  <si>
    <t>1800014196</t>
  </si>
  <si>
    <t>256779418736</t>
  </si>
  <si>
    <t>CODC Out chgs -1-15 Oct 25</t>
  </si>
  <si>
    <t>1800000022</t>
  </si>
  <si>
    <t>246779410018</t>
  </si>
  <si>
    <t>Fixed Rental charges for Aug 2024</t>
  </si>
  <si>
    <t>1800009578</t>
  </si>
  <si>
    <t>256779414342</t>
  </si>
  <si>
    <t>CY Longstanding - March 25,16-31</t>
  </si>
  <si>
    <t>1800008727</t>
  </si>
  <si>
    <t>256779413491</t>
  </si>
  <si>
    <t>Outbound chgs - 01 - 15 MAY 25</t>
  </si>
  <si>
    <t>1800009124</t>
  </si>
  <si>
    <t>256779413888</t>
  </si>
  <si>
    <t>LCL Chgs - 01-15 MAY 25</t>
  </si>
  <si>
    <t>1600002058</t>
  </si>
  <si>
    <t>256779421634</t>
  </si>
  <si>
    <t>Credit note raised against 256779415806</t>
  </si>
  <si>
    <t>1800005055</t>
  </si>
  <si>
    <t>256779410001</t>
  </si>
  <si>
    <t>1800005061</t>
  </si>
  <si>
    <t>256779410007</t>
  </si>
  <si>
    <t>1800005067</t>
  </si>
  <si>
    <t>256779410013</t>
  </si>
  <si>
    <t>1800005142</t>
  </si>
  <si>
    <t>256779410088</t>
  </si>
  <si>
    <t>Inbound Handling charges for Mar 2025</t>
  </si>
  <si>
    <t>1800005143</t>
  </si>
  <si>
    <t>256779410089</t>
  </si>
  <si>
    <t>LCL charges for Mar 2025</t>
  </si>
  <si>
    <t>1800005193</t>
  </si>
  <si>
    <t>256779410139</t>
  </si>
  <si>
    <t>Outbound Handling charges for Mar 25</t>
  </si>
  <si>
    <t>1800005194</t>
  </si>
  <si>
    <t>256779410140</t>
  </si>
  <si>
    <t>Loose loading Handling charges for Mar 25</t>
  </si>
  <si>
    <t>1800005327</t>
  </si>
  <si>
    <t>256779410219</t>
  </si>
  <si>
    <t>1800005388</t>
  </si>
  <si>
    <t>256779410280</t>
  </si>
  <si>
    <t>1800005347</t>
  </si>
  <si>
    <t>256779410239</t>
  </si>
  <si>
    <t>1800013810</t>
  </si>
  <si>
    <t>256779418628</t>
  </si>
  <si>
    <t>2114878</t>
  </si>
  <si>
    <t>Transportation In Chgs - 01 - 15 Oct 25</t>
  </si>
  <si>
    <t>1800013929</t>
  </si>
  <si>
    <t>256779418706</t>
  </si>
  <si>
    <t>2114883</t>
  </si>
  <si>
    <t>Outbound chgs - 01 - 15 Oct 25</t>
  </si>
  <si>
    <t>1800007269</t>
  </si>
  <si>
    <t>256779412160</t>
  </si>
  <si>
    <t>Fixed Storage Charges for April 2025</t>
  </si>
  <si>
    <t>1800011194</t>
  </si>
  <si>
    <t>256779415946</t>
  </si>
  <si>
    <t>1600001823</t>
  </si>
  <si>
    <t>256779421443</t>
  </si>
  <si>
    <t>Credit Note raised against 256779413888</t>
  </si>
  <si>
    <t>1800007888</t>
  </si>
  <si>
    <t>256779412779</t>
  </si>
  <si>
    <t>VAS 1-15 April-25,Ex.Rate-85.69</t>
  </si>
  <si>
    <t>1800013950</t>
  </si>
  <si>
    <t>256779418482</t>
  </si>
  <si>
    <t>2114868</t>
  </si>
  <si>
    <t>Weighment  -1-15 Oct 2025</t>
  </si>
  <si>
    <t>1800013967</t>
  </si>
  <si>
    <t>256779418497</t>
  </si>
  <si>
    <t>1800003132</t>
  </si>
  <si>
    <t>246779412999</t>
  </si>
  <si>
    <t>Fixed Storage Charges for Mar 2025</t>
  </si>
  <si>
    <t>1800003353</t>
  </si>
  <si>
    <t>246779413220</t>
  </si>
  <si>
    <t>HLBU3011446-Port SSR Shifting Jan 2025. Exch rate</t>
  </si>
  <si>
    <t>1800009972</t>
  </si>
  <si>
    <t>256779414736</t>
  </si>
  <si>
    <t>Unit to Unit 1-15 June 25</t>
  </si>
  <si>
    <t>1800009980</t>
  </si>
  <si>
    <t>256779414744</t>
  </si>
  <si>
    <t>VAS 1-15 June 25, Exch 86.10</t>
  </si>
  <si>
    <t>1800014968</t>
  </si>
  <si>
    <t>256779419469</t>
  </si>
  <si>
    <t>2130555</t>
  </si>
  <si>
    <t>VAS-Nov 1-15, 2025</t>
  </si>
  <si>
    <t>1800015080</t>
  </si>
  <si>
    <t>256779419593</t>
  </si>
  <si>
    <t>2130611</t>
  </si>
  <si>
    <t>LCL Chgs - 01 - 15 NOV 25</t>
  </si>
  <si>
    <t>1800015135</t>
  </si>
  <si>
    <t>256779419634</t>
  </si>
  <si>
    <t>2130612</t>
  </si>
  <si>
    <t>Outbound chgs - 01 - 15 Nov 25</t>
  </si>
  <si>
    <t>1800007676</t>
  </si>
  <si>
    <t>256779412567</t>
  </si>
  <si>
    <t>Inbound Handling charges for Feb 2025</t>
  </si>
  <si>
    <t>1800007727</t>
  </si>
  <si>
    <t>256779412618</t>
  </si>
  <si>
    <t>Inbound Handling charges for 31 Mar 2025</t>
  </si>
  <si>
    <t>1800007770</t>
  </si>
  <si>
    <t>256779412661</t>
  </si>
  <si>
    <t>Outbound Handling charges for 31 Mar 25</t>
  </si>
  <si>
    <t>1800012995</t>
  </si>
  <si>
    <t>256779417530</t>
  </si>
  <si>
    <t>2102483</t>
  </si>
  <si>
    <t>Outbound chgs - 01 - 15 Sep 25</t>
  </si>
  <si>
    <t>1800012932</t>
  </si>
  <si>
    <t>256779417571</t>
  </si>
  <si>
    <t>2102480</t>
  </si>
  <si>
    <t>LCL chgs - 01 - 15 SEP 25</t>
  </si>
  <si>
    <t>1800015293</t>
  </si>
  <si>
    <t>256779419922</t>
  </si>
  <si>
    <t>2140088</t>
  </si>
  <si>
    <t>Outbound chgs - 16 - 30 Nov 25</t>
  </si>
  <si>
    <t>1600001001</t>
  </si>
  <si>
    <t>256779420689</t>
  </si>
  <si>
    <t>Credit Note against 246779413091</t>
  </si>
  <si>
    <t>1600001002</t>
  </si>
  <si>
    <t>256779420690</t>
  </si>
  <si>
    <t>Credit Note against 256779412933</t>
  </si>
  <si>
    <t>1800008001</t>
  </si>
  <si>
    <t>256779412892</t>
  </si>
  <si>
    <t>Inbound chgs - 01 - 15 Apr 25</t>
  </si>
  <si>
    <t>1800008042</t>
  </si>
  <si>
    <t>256779412933</t>
  </si>
  <si>
    <t>Outbound chgs - 01 - 15 Apr 25</t>
  </si>
  <si>
    <t>1800004451</t>
  </si>
  <si>
    <t>246779414319</t>
  </si>
  <si>
    <t>Loose handling Charges for Oct 2024</t>
  </si>
  <si>
    <t>1800004452</t>
  </si>
  <si>
    <t>246779414320</t>
  </si>
  <si>
    <t>Inbound Handling charges for Oct 2024</t>
  </si>
  <si>
    <t>1800004453</t>
  </si>
  <si>
    <t>246779414321</t>
  </si>
  <si>
    <t>LCL Movement Charges for Oct 2024</t>
  </si>
  <si>
    <t>1800009158</t>
  </si>
  <si>
    <t>256779413922</t>
  </si>
  <si>
    <t>Port SSR Charges - Shifting for Aug to D</t>
  </si>
  <si>
    <t>1800009234</t>
  </si>
  <si>
    <t>256779413998</t>
  </si>
  <si>
    <t>1800013761</t>
  </si>
  <si>
    <t>256779418182</t>
  </si>
  <si>
    <t>2110802</t>
  </si>
  <si>
    <t>VAS-16-30 Sept 25</t>
  </si>
  <si>
    <t>1800008231</t>
  </si>
  <si>
    <t>256779413115</t>
  </si>
  <si>
    <t>Fixed Storage Charges fo MAY 2025</t>
  </si>
  <si>
    <t>1800008303</t>
  </si>
  <si>
    <t>256779413186</t>
  </si>
  <si>
    <t>CY Ground rent Chgs - 01 - 30 Apr 25</t>
  </si>
  <si>
    <t>1800008362</t>
  </si>
  <si>
    <t>256779413245</t>
  </si>
  <si>
    <t>VAS - 16-30 April 25, Ex.Rate-85.05</t>
  </si>
  <si>
    <t>1800014006</t>
  </si>
  <si>
    <t>256779418430</t>
  </si>
  <si>
    <t>2114864</t>
  </si>
  <si>
    <t>CODC Inbound chgs - 1-15 Oct 25</t>
  </si>
  <si>
    <t>1800009468</t>
  </si>
  <si>
    <t>256779414232</t>
  </si>
  <si>
    <t>Unit storage -1-31 May 25</t>
  </si>
  <si>
    <t>1800013278</t>
  </si>
  <si>
    <t>256779418014</t>
  </si>
  <si>
    <t>2110511</t>
  </si>
  <si>
    <t>Unit Storage - 1-30 Sept 2025</t>
  </si>
  <si>
    <t>1800013308</t>
  </si>
  <si>
    <t>256779417904</t>
  </si>
  <si>
    <t>2110493</t>
  </si>
  <si>
    <t>Empty Lolo Chgs - 01 - 30 SEP 25</t>
  </si>
  <si>
    <t>1800013347</t>
  </si>
  <si>
    <t>256779417943</t>
  </si>
  <si>
    <t>Inbound chgs - 16 - 30 SEP 25</t>
  </si>
  <si>
    <t>1800013386</t>
  </si>
  <si>
    <t>256779417982</t>
  </si>
  <si>
    <t>2110504</t>
  </si>
  <si>
    <t>Outbound chgs - 16 - 30 Sep 25</t>
  </si>
  <si>
    <t>1800013449</t>
  </si>
  <si>
    <t>256779418025</t>
  </si>
  <si>
    <t>2110508</t>
  </si>
  <si>
    <t>Fixed Storage Charges for October 2025</t>
  </si>
  <si>
    <t>1800013513</t>
  </si>
  <si>
    <t>256779418403</t>
  </si>
  <si>
    <t>2110981</t>
  </si>
  <si>
    <t>PORT SSR Chgs Sep 25</t>
  </si>
  <si>
    <t>1800013432</t>
  </si>
  <si>
    <t>256779418079</t>
  </si>
  <si>
    <t>2110503</t>
  </si>
  <si>
    <t>1800012467</t>
  </si>
  <si>
    <t>256779417075</t>
  </si>
  <si>
    <t>Unit-Storage-1-31 Aug 25</t>
  </si>
  <si>
    <t>2026</t>
  </si>
  <si>
    <t>1800015673</t>
  </si>
  <si>
    <t>256779440006</t>
  </si>
  <si>
    <t>2139799</t>
  </si>
  <si>
    <t>Unit Storage - 1-30 Nov 2025</t>
  </si>
  <si>
    <t>1800015698</t>
  </si>
  <si>
    <t>256779440031</t>
  </si>
  <si>
    <t>2139805</t>
  </si>
  <si>
    <t>Fixed Storage Charges for December 2025</t>
  </si>
  <si>
    <t>1600002702</t>
  </si>
  <si>
    <t>256779422172</t>
  </si>
  <si>
    <t>2141835</t>
  </si>
  <si>
    <t>Credit note for Duplicate invoice -256779418497</t>
  </si>
  <si>
    <t>1800015969</t>
  </si>
  <si>
    <t>2156419</t>
  </si>
  <si>
    <t>256779440083</t>
  </si>
  <si>
    <t>Outbound chgs - 01 - 15 Dec 25</t>
  </si>
  <si>
    <t>1800016056</t>
  </si>
  <si>
    <t>2156402</t>
  </si>
  <si>
    <t>256779440103</t>
  </si>
  <si>
    <t>VAS DEC 25 -1-15</t>
  </si>
  <si>
    <t>1800016092</t>
  </si>
  <si>
    <t>2156406</t>
  </si>
  <si>
    <t>256779440120</t>
  </si>
  <si>
    <t>LCL Chgs - 01 - 15 DEC 25</t>
  </si>
  <si>
    <t>1400002412</t>
  </si>
  <si>
    <t>GHB3CX43WW97</t>
  </si>
  <si>
    <t>1400002418</t>
  </si>
  <si>
    <t>GKMRB74QQXGP</t>
  </si>
  <si>
    <t>1800016286</t>
  </si>
  <si>
    <t>2158342</t>
  </si>
  <si>
    <t>256779440163</t>
  </si>
  <si>
    <t>PORT SSR Chgs Dec 25</t>
  </si>
  <si>
    <t>1800016506</t>
  </si>
  <si>
    <t>2158404</t>
  </si>
  <si>
    <t>256779440212</t>
  </si>
  <si>
    <t>LCL Chgs - 16 - 31 DEC 25</t>
  </si>
  <si>
    <t>1800016424</t>
  </si>
  <si>
    <t>2158406</t>
  </si>
  <si>
    <t>256779440231</t>
  </si>
  <si>
    <t>Outbound chgs - 16 - 31 Dec 25</t>
  </si>
  <si>
    <t>1800016347</t>
  </si>
  <si>
    <t>2158411</t>
  </si>
  <si>
    <t>256779440237</t>
  </si>
  <si>
    <t>Unit Storage - 1-31 DEC 2025</t>
  </si>
  <si>
    <t>1800016700</t>
  </si>
  <si>
    <t>2158638</t>
  </si>
  <si>
    <t>256779440289</t>
  </si>
  <si>
    <t>VAS-Dec 25 - 16-31</t>
  </si>
  <si>
    <t>1800016613</t>
  </si>
  <si>
    <t>256779440322</t>
  </si>
  <si>
    <t>2158673</t>
  </si>
  <si>
    <t>Fixed Storage Charges for January 2026</t>
  </si>
  <si>
    <t>1800016780</t>
  </si>
  <si>
    <t>256779440367</t>
  </si>
  <si>
    <t>2159214</t>
  </si>
  <si>
    <t>VAS - NOV 25,16-30</t>
  </si>
  <si>
    <t>1400002489</t>
  </si>
  <si>
    <t>GQ6T6XJFSX22</t>
  </si>
  <si>
    <t>1400002521</t>
  </si>
  <si>
    <t>GSLWDVJ7BCML</t>
  </si>
  <si>
    <t>1800017067</t>
  </si>
  <si>
    <t>2163146</t>
  </si>
  <si>
    <t>256779440415</t>
  </si>
  <si>
    <t>LCL Chgs - 01 - 15 JAN 26</t>
  </si>
  <si>
    <t>1800017113</t>
  </si>
  <si>
    <t>2163152</t>
  </si>
  <si>
    <t>256779440432</t>
  </si>
  <si>
    <t>Outbound chgs - 01 - 15 JAN 26</t>
  </si>
  <si>
    <t>1800017154</t>
  </si>
  <si>
    <t>2163426</t>
  </si>
  <si>
    <t>256779440447</t>
  </si>
  <si>
    <t>VAS-1-15 Jan 2026</t>
  </si>
  <si>
    <t>1400002594</t>
  </si>
  <si>
    <t>GY125G84WSF1</t>
  </si>
  <si>
    <t>2168964</t>
  </si>
  <si>
    <t>1400002660</t>
  </si>
  <si>
    <t>ICICN22026013144708334</t>
  </si>
  <si>
    <t>2168967</t>
  </si>
  <si>
    <t>1400002602</t>
  </si>
  <si>
    <t>1400002693</t>
  </si>
  <si>
    <t>H3YKG0K1XRMN</t>
  </si>
  <si>
    <t>2172945</t>
  </si>
  <si>
    <t>1800017413</t>
  </si>
  <si>
    <t>2172704</t>
  </si>
  <si>
    <t>256779440470</t>
  </si>
  <si>
    <t>Fixed Storage Charges for February 2026</t>
  </si>
  <si>
    <t>1800017505</t>
  </si>
  <si>
    <t>256779451319</t>
  </si>
  <si>
    <t>6779224501</t>
  </si>
  <si>
    <t>2172711</t>
  </si>
  <si>
    <t>Unit Storage 1-31 Jan 2026</t>
  </si>
  <si>
    <t>1800017637</t>
  </si>
  <si>
    <t>2173096</t>
  </si>
  <si>
    <t>256779451438</t>
  </si>
  <si>
    <t>Outbound chgs - 16 - 31 JAN 26</t>
  </si>
  <si>
    <t>1800017729</t>
  </si>
  <si>
    <t>2173095</t>
  </si>
  <si>
    <t>256779451545</t>
  </si>
  <si>
    <t>LCL Chgs - 16 - 31 JAN 26</t>
  </si>
  <si>
    <t>1400002799</t>
  </si>
  <si>
    <t>H2PMXBG5V2KX</t>
  </si>
  <si>
    <t>2174913</t>
  </si>
  <si>
    <t>1800018060</t>
  </si>
  <si>
    <t>256779451850</t>
  </si>
  <si>
    <t>2175463</t>
  </si>
  <si>
    <t>VAS-1-15 Feb 2026</t>
  </si>
  <si>
    <t>1800018106</t>
  </si>
  <si>
    <t>2175423</t>
  </si>
  <si>
    <t>256779451897</t>
  </si>
  <si>
    <t>LCL Chgs - 01 - 15 FEB 26</t>
  </si>
  <si>
    <t>1800018155</t>
  </si>
  <si>
    <t>2175570</t>
  </si>
  <si>
    <t>256779451946</t>
  </si>
  <si>
    <t>Outbound chgs - 01 - 15 FEB 26</t>
  </si>
  <si>
    <t>1400002842</t>
  </si>
  <si>
    <t>HBDV0DQBV6RL</t>
  </si>
  <si>
    <t>2180837</t>
  </si>
  <si>
    <t>1800018279</t>
  </si>
  <si>
    <t>2184076</t>
  </si>
  <si>
    <t>256779440521</t>
  </si>
  <si>
    <t>Fixed Storage Charges for March 2026</t>
  </si>
  <si>
    <t>1800018328</t>
  </si>
  <si>
    <t>2184226</t>
  </si>
  <si>
    <t>256779452079</t>
  </si>
  <si>
    <t>LCL Chgs - 16 - 28 FEB 26</t>
  </si>
  <si>
    <t>1800018451</t>
  </si>
  <si>
    <t>2184502</t>
  </si>
  <si>
    <t>256779452126</t>
  </si>
  <si>
    <t>Unit Storage 1-28 Feb 2026</t>
  </si>
  <si>
    <t>1800018559</t>
  </si>
  <si>
    <t>2184503</t>
  </si>
  <si>
    <t>256779452178</t>
  </si>
  <si>
    <t>VAS-16-28 Feb 2026</t>
  </si>
  <si>
    <t>1600002927</t>
  </si>
  <si>
    <t>2185944</t>
  </si>
  <si>
    <t>256779422397</t>
  </si>
  <si>
    <t>CN against Duplicate - 256779410001</t>
  </si>
  <si>
    <t>1600002928</t>
  </si>
  <si>
    <t>256779422398</t>
  </si>
  <si>
    <t>CN against Duplicate - 256779410013</t>
  </si>
  <si>
    <t>1600002929</t>
  </si>
  <si>
    <t>256779422399</t>
  </si>
  <si>
    <t>CN against Duplicate - 256779410219</t>
  </si>
  <si>
    <t>1600002930</t>
  </si>
  <si>
    <t>256779422400</t>
  </si>
  <si>
    <t>CN against Duplicate - 256779410007</t>
  </si>
  <si>
    <t>1800018753</t>
  </si>
  <si>
    <t>2185946</t>
  </si>
  <si>
    <t>256779452503</t>
  </si>
  <si>
    <t>Outbound chgs - 16 - 28 FEB 26</t>
  </si>
  <si>
    <t>1400002917</t>
  </si>
  <si>
    <t>HJLP0C329FJJ</t>
  </si>
  <si>
    <t>2186836</t>
  </si>
  <si>
    <t>1800019017</t>
  </si>
  <si>
    <t>2190160</t>
  </si>
  <si>
    <t>256779452762</t>
  </si>
  <si>
    <t>VAS-1-15 March 2026</t>
  </si>
  <si>
    <t>1400002976</t>
  </si>
  <si>
    <t>HP0NTX3X5GHZ</t>
  </si>
  <si>
    <t>2190936</t>
  </si>
  <si>
    <t>1800019073</t>
  </si>
  <si>
    <t>256779452818</t>
  </si>
  <si>
    <t>LCL Chgs - 01 - 15 MAR 26</t>
  </si>
  <si>
    <t>1800019113</t>
  </si>
  <si>
    <t>256779452858</t>
  </si>
  <si>
    <t>Outbound chgs - 01 - 15 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</si>
</sst>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dd\-mmm\-yy"/>
    <numFmt numFmtId="166" formatCode="&quot;&quot;0.00"/>
    <numFmt numFmtId="167" formatCode="&quot;&quot;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vertical="top"/>
    </xf>
    <xf numFmtId="164" fontId="2" fillId="0" borderId="0" xfId="1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164" fontId="3" fillId="0" borderId="2" xfId="1" applyNumberFormat="1" applyFont="1" applyBorder="1" applyAlignment="1">
      <alignment horizontal="right" vertical="top"/>
    </xf>
    <xf numFmtId="164" fontId="4" fillId="0" borderId="2" xfId="1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4" fontId="5" fillId="0" borderId="0" xfId="1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164" fontId="3" fillId="0" borderId="0" xfId="1" applyNumberFormat="1" applyFont="1" applyAlignment="1">
      <alignment horizontal="right" vertical="top"/>
    </xf>
    <xf numFmtId="1" fontId="3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1" applyNumberFormat="1" applyFont="1" applyAlignment="1">
      <alignment horizontal="right" vertical="top"/>
    </xf>
    <xf numFmtId="164" fontId="4" fillId="0" borderId="0" xfId="1" applyNumberFormat="1" applyFont="1" applyAlignment="1">
      <alignment vertical="top"/>
    </xf>
    <xf numFmtId="166" fontId="2" fillId="0" borderId="1" xfId="0" applyNumberFormat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164" fontId="2" fillId="0" borderId="1" xfId="1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7" fontId="5" fillId="0" borderId="0" xfId="0" applyNumberFormat="1" applyFont="1" applyAlignment="1">
      <alignment horizontal="right" vertical="top"/>
    </xf>
    <xf numFmtId="166" fontId="5" fillId="0" borderId="2" xfId="0" applyNumberFormat="1" applyFont="1" applyBorder="1" applyAlignment="1">
      <alignment vertical="top"/>
    </xf>
    <xf numFmtId="164" fontId="5" fillId="0" borderId="2" xfId="1" applyNumberFormat="1" applyFont="1" applyBorder="1" applyAlignment="1">
      <alignment vertical="top"/>
    </xf>
    <xf numFmtId="164" fontId="5" fillId="0" borderId="2" xfId="1" applyNumberFormat="1" applyFont="1" applyBorder="1" applyAlignment="1">
      <alignment horizontal="right" vertical="top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3" xfId="0" applyFill="1" applyBorder="1" applyAlignment="1">
      <alignment vertical="top"/>
    </xf>
    <xf numFmtId="14" fontId="0" fillId="3" borderId="3" xfId="0" applyNumberFormat="1" applyFill="1" applyBorder="1" applyAlignment="1">
      <alignment horizontal="right" vertical="top"/>
    </xf>
    <xf numFmtId="0" fontId="0" fillId="4" borderId="3" xfId="0" applyFill="1" applyBorder="1" applyAlignment="1">
      <alignment vertical="top"/>
    </xf>
    <xf numFmtId="14" fontId="0" fillId="4" borderId="3" xfId="0" applyNumberFormat="1" applyFill="1" applyBorder="1" applyAlignment="1">
      <alignment horizontal="right" vertical="top"/>
    </xf>
    <xf numFmtId="164" fontId="0" fillId="0" borderId="0" xfId="1" applyNumberFormat="1" applyFont="1" applyAlignment="1">
      <alignment horizontal="right" vertical="top"/>
    </xf>
    <xf numFmtId="164" fontId="0" fillId="0" borderId="0" xfId="1" applyNumberFormat="1" applyFont="1" applyAlignment="1">
      <alignment vertical="top"/>
    </xf>
    <xf numFmtId="164" fontId="0" fillId="3" borderId="3" xfId="1" applyNumberFormat="1" applyFont="1" applyFill="1" applyBorder="1" applyAlignment="1">
      <alignment horizontal="right" vertical="top"/>
    </xf>
    <xf numFmtId="164" fontId="0" fillId="3" borderId="3" xfId="1" applyNumberFormat="1" applyFont="1" applyFill="1" applyBorder="1" applyAlignment="1">
      <alignment vertical="top"/>
    </xf>
    <xf numFmtId="164" fontId="0" fillId="4" borderId="3" xfId="1" applyNumberFormat="1" applyFont="1" applyFill="1" applyBorder="1" applyAlignment="1">
      <alignment horizontal="right" vertical="top"/>
    </xf>
    <xf numFmtId="164" fontId="0" fillId="4" borderId="3" xfId="1" applyNumberFormat="1" applyFont="1" applyFill="1" applyBorder="1" applyAlignment="1">
      <alignment vertical="top"/>
    </xf>
    <xf numFmtId="164" fontId="0" fillId="0" borderId="0" xfId="1" applyNumberFormat="1" applyFont="1"/>
    <xf numFmtId="0" fontId="3" fillId="0" borderId="0" xfId="0" applyFont="1" applyAlignment="1">
      <alignment horizontal="right" vertical="top"/>
    </xf>
    <xf numFmtId="164" fontId="2" fillId="0" borderId="0" xfId="1" applyNumberFormat="1" applyFont="1" applyAlignment="1">
      <alignment horizontal="right" vertical="top"/>
    </xf>
    <xf numFmtId="1" fontId="5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A788-8E62-4487-BE8E-B45866867CFB}">
  <dimension ref="A1:AG282"/>
  <sheetViews>
    <sheetView tabSelected="1" topLeftCell="H1" workbookViewId="0">
      <selection activeCell="J1" sqref="J1"/>
    </sheetView>
  </sheetViews>
  <sheetFormatPr defaultRowHeight="14.5" x14ac:dyDescent="0.35"/>
  <cols>
    <col min="1" max="1" width="11.453125" hidden="1" customWidth="1"/>
    <col min="2" max="2" width="13.54296875" hidden="1" customWidth="1"/>
    <col min="3" max="3" width="9.81640625" hidden="1" customWidth="1"/>
    <col min="4" max="4" width="28.54296875" hidden="1" customWidth="1"/>
    <col min="5" max="5" width="9.453125" hidden="1" customWidth="1"/>
    <col min="6" max="6" width="6.81640625" hidden="1" customWidth="1"/>
    <col min="7" max="7" width="11.1796875" hidden="1" customWidth="1"/>
    <col min="8" max="8" width="16.81640625" bestFit="1" customWidth="1"/>
    <col min="9" max="9" width="7.7265625" bestFit="1" customWidth="1"/>
    <col min="10" max="10" width="13.90625" bestFit="1" customWidth="1"/>
    <col min="11" max="11" width="10.08984375" hidden="1" customWidth="1"/>
    <col min="12" max="12" width="23.36328125" hidden="1" customWidth="1"/>
    <col min="13" max="13" width="16.08984375" bestFit="1" customWidth="1"/>
    <col min="14" max="14" width="10.90625" hidden="1" customWidth="1"/>
    <col min="15" max="15" width="20.54296875" hidden="1" customWidth="1"/>
    <col min="16" max="16" width="13.7265625" hidden="1" customWidth="1"/>
    <col min="17" max="17" width="10.1796875" hidden="1" customWidth="1"/>
    <col min="18" max="18" width="8.26953125" bestFit="1" customWidth="1"/>
    <col min="19" max="19" width="12.90625" bestFit="1" customWidth="1"/>
    <col min="21" max="21" width="12.90625" bestFit="1" customWidth="1"/>
    <col min="22" max="22" width="8.453125" hidden="1" customWidth="1"/>
    <col min="23" max="23" width="11.36328125" hidden="1" customWidth="1"/>
    <col min="24" max="24" width="17.26953125" hidden="1" customWidth="1"/>
    <col min="25" max="25" width="14.81640625" hidden="1" customWidth="1"/>
    <col min="26" max="26" width="4.6328125" hidden="1" customWidth="1"/>
    <col min="27" max="27" width="45.36328125" bestFit="1" customWidth="1"/>
    <col min="28" max="30" width="14.08984375" hidden="1" customWidth="1"/>
    <col min="31" max="31" width="19" hidden="1" customWidth="1"/>
    <col min="32" max="32" width="11.90625" hidden="1" customWidth="1"/>
    <col min="33" max="33" width="16.7265625" bestFit="1" customWidth="1"/>
  </cols>
  <sheetData>
    <row r="1" spans="1:33" ht="58" x14ac:dyDescent="0.35">
      <c r="A1" s="28" t="s">
        <v>246</v>
      </c>
      <c r="B1" s="28" t="s">
        <v>247</v>
      </c>
      <c r="C1" s="28" t="s">
        <v>248</v>
      </c>
      <c r="D1" s="28" t="s">
        <v>249</v>
      </c>
      <c r="E1" s="28" t="s">
        <v>250</v>
      </c>
      <c r="F1" s="29" t="s">
        <v>251</v>
      </c>
      <c r="G1" s="28" t="s">
        <v>252</v>
      </c>
      <c r="H1" s="28" t="s">
        <v>253</v>
      </c>
      <c r="I1" s="29" t="s">
        <v>254</v>
      </c>
      <c r="J1" s="28" t="s">
        <v>255</v>
      </c>
      <c r="K1" s="28" t="s">
        <v>256</v>
      </c>
      <c r="L1" s="28" t="s">
        <v>257</v>
      </c>
      <c r="M1" s="28" t="s">
        <v>258</v>
      </c>
      <c r="N1" s="28" t="s">
        <v>259</v>
      </c>
      <c r="O1" s="28" t="s">
        <v>260</v>
      </c>
      <c r="P1" s="28" t="s">
        <v>261</v>
      </c>
      <c r="Q1" s="28" t="s">
        <v>262</v>
      </c>
      <c r="R1" s="29" t="s">
        <v>263</v>
      </c>
      <c r="S1" s="29" t="s">
        <v>264</v>
      </c>
      <c r="T1" s="29" t="s">
        <v>265</v>
      </c>
      <c r="U1" s="29" t="s">
        <v>266</v>
      </c>
      <c r="V1" s="28" t="s">
        <v>267</v>
      </c>
      <c r="W1" s="28" t="s">
        <v>268</v>
      </c>
      <c r="X1" s="28" t="s">
        <v>269</v>
      </c>
      <c r="Y1" s="28" t="s">
        <v>270</v>
      </c>
      <c r="Z1" s="28" t="s">
        <v>271</v>
      </c>
      <c r="AA1" s="28" t="s">
        <v>272</v>
      </c>
      <c r="AB1" s="28" t="s">
        <v>273</v>
      </c>
      <c r="AC1" s="28" t="s">
        <v>274</v>
      </c>
      <c r="AD1" s="28" t="s">
        <v>275</v>
      </c>
      <c r="AE1" s="28" t="s">
        <v>276</v>
      </c>
      <c r="AF1" s="28" t="s">
        <v>277</v>
      </c>
      <c r="AG1" s="28" t="s">
        <v>278</v>
      </c>
    </row>
    <row r="2" spans="1:33" x14ac:dyDescent="0.35">
      <c r="A2" s="30" t="s">
        <v>279</v>
      </c>
      <c r="B2" s="30" t="s">
        <v>280</v>
      </c>
      <c r="C2" s="30" t="s">
        <v>281</v>
      </c>
      <c r="D2" s="30" t="s">
        <v>282</v>
      </c>
      <c r="E2" s="30" t="s">
        <v>283</v>
      </c>
      <c r="F2" s="30" t="s">
        <v>57</v>
      </c>
      <c r="G2" s="31">
        <v>45975</v>
      </c>
      <c r="H2" s="30" t="s">
        <v>284</v>
      </c>
      <c r="I2" s="30" t="s">
        <v>285</v>
      </c>
      <c r="J2" s="31">
        <v>45975</v>
      </c>
      <c r="K2" s="31">
        <v>45975</v>
      </c>
      <c r="L2" s="30" t="s">
        <v>0</v>
      </c>
      <c r="M2" s="30" t="s">
        <v>0</v>
      </c>
      <c r="N2" s="30" t="s">
        <v>286</v>
      </c>
      <c r="O2" s="30" t="s">
        <v>287</v>
      </c>
      <c r="P2" s="30" t="s">
        <v>0</v>
      </c>
      <c r="Q2" s="30" t="s">
        <v>62</v>
      </c>
      <c r="R2" s="30" t="s">
        <v>288</v>
      </c>
      <c r="S2" s="36">
        <v>0</v>
      </c>
      <c r="T2" s="37" t="s">
        <v>288</v>
      </c>
      <c r="U2" s="36">
        <v>0</v>
      </c>
      <c r="V2" s="30" t="s">
        <v>0</v>
      </c>
      <c r="W2" s="30" t="s">
        <v>289</v>
      </c>
      <c r="X2" s="30" t="s">
        <v>0</v>
      </c>
      <c r="Y2" s="30" t="s">
        <v>0</v>
      </c>
      <c r="Z2" s="30" t="s">
        <v>290</v>
      </c>
      <c r="AA2" s="30" t="s">
        <v>0</v>
      </c>
      <c r="AB2" s="30" t="s">
        <v>0</v>
      </c>
      <c r="AC2" s="30" t="s">
        <v>0</v>
      </c>
      <c r="AD2" s="30" t="s">
        <v>0</v>
      </c>
      <c r="AE2" s="31">
        <v>45975</v>
      </c>
      <c r="AF2" s="31">
        <v>45975</v>
      </c>
      <c r="AG2" s="30" t="s">
        <v>284</v>
      </c>
    </row>
    <row r="3" spans="1:33" x14ac:dyDescent="0.35">
      <c r="A3" s="30" t="s">
        <v>279</v>
      </c>
      <c r="B3" s="30" t="s">
        <v>280</v>
      </c>
      <c r="C3" s="30" t="s">
        <v>281</v>
      </c>
      <c r="D3" s="30" t="s">
        <v>282</v>
      </c>
      <c r="E3" s="30" t="s">
        <v>283</v>
      </c>
      <c r="F3" s="30" t="s">
        <v>291</v>
      </c>
      <c r="G3" s="31">
        <v>45758</v>
      </c>
      <c r="H3" s="30" t="s">
        <v>292</v>
      </c>
      <c r="I3" s="30" t="s">
        <v>293</v>
      </c>
      <c r="J3" s="31">
        <v>45758</v>
      </c>
      <c r="K3" s="31">
        <v>45758</v>
      </c>
      <c r="L3" s="30" t="s">
        <v>0</v>
      </c>
      <c r="M3" s="30" t="s">
        <v>0</v>
      </c>
      <c r="N3" s="30" t="s">
        <v>286</v>
      </c>
      <c r="O3" s="30" t="s">
        <v>287</v>
      </c>
      <c r="P3" s="30" t="s">
        <v>0</v>
      </c>
      <c r="Q3" s="30" t="s">
        <v>294</v>
      </c>
      <c r="R3" s="30" t="s">
        <v>288</v>
      </c>
      <c r="S3" s="36">
        <v>1</v>
      </c>
      <c r="T3" s="37" t="s">
        <v>288</v>
      </c>
      <c r="U3" s="36">
        <v>1</v>
      </c>
      <c r="V3" s="30" t="s">
        <v>0</v>
      </c>
      <c r="W3" s="30" t="s">
        <v>289</v>
      </c>
      <c r="X3" s="30" t="s">
        <v>0</v>
      </c>
      <c r="Y3" s="30" t="s">
        <v>0</v>
      </c>
      <c r="Z3" s="30" t="s">
        <v>290</v>
      </c>
      <c r="AA3" s="30" t="s">
        <v>295</v>
      </c>
      <c r="AB3" s="30" t="s">
        <v>0</v>
      </c>
      <c r="AC3" s="30" t="s">
        <v>0</v>
      </c>
      <c r="AD3" s="30" t="s">
        <v>0</v>
      </c>
      <c r="AE3" s="31">
        <v>45758</v>
      </c>
      <c r="AF3" s="31">
        <v>45758</v>
      </c>
      <c r="AG3" s="30" t="s">
        <v>292</v>
      </c>
    </row>
    <row r="4" spans="1:33" x14ac:dyDescent="0.35">
      <c r="A4" s="30" t="s">
        <v>279</v>
      </c>
      <c r="B4" s="30" t="s">
        <v>280</v>
      </c>
      <c r="C4" s="30" t="s">
        <v>281</v>
      </c>
      <c r="D4" s="30" t="s">
        <v>282</v>
      </c>
      <c r="E4" s="30" t="s">
        <v>283</v>
      </c>
      <c r="F4" s="30" t="s">
        <v>291</v>
      </c>
      <c r="G4" s="31">
        <v>45758</v>
      </c>
      <c r="H4" s="30" t="s">
        <v>292</v>
      </c>
      <c r="I4" s="30" t="s">
        <v>293</v>
      </c>
      <c r="J4" s="31">
        <v>45758</v>
      </c>
      <c r="K4" s="31">
        <v>45758</v>
      </c>
      <c r="L4" s="30" t="s">
        <v>0</v>
      </c>
      <c r="M4" s="30" t="s">
        <v>0</v>
      </c>
      <c r="N4" s="30" t="s">
        <v>286</v>
      </c>
      <c r="O4" s="30" t="s">
        <v>287</v>
      </c>
      <c r="P4" s="30" t="s">
        <v>0</v>
      </c>
      <c r="Q4" s="30" t="s">
        <v>64</v>
      </c>
      <c r="R4" s="30" t="s">
        <v>288</v>
      </c>
      <c r="S4" s="36">
        <v>-1</v>
      </c>
      <c r="T4" s="37" t="s">
        <v>288</v>
      </c>
      <c r="U4" s="36">
        <v>-1</v>
      </c>
      <c r="V4" s="30" t="s">
        <v>0</v>
      </c>
      <c r="W4" s="30" t="s">
        <v>289</v>
      </c>
      <c r="X4" s="30" t="s">
        <v>0</v>
      </c>
      <c r="Y4" s="30" t="s">
        <v>0</v>
      </c>
      <c r="Z4" s="30" t="s">
        <v>296</v>
      </c>
      <c r="AA4" s="30" t="s">
        <v>295</v>
      </c>
      <c r="AB4" s="30" t="s">
        <v>0</v>
      </c>
      <c r="AC4" s="30" t="s">
        <v>0</v>
      </c>
      <c r="AD4" s="30" t="s">
        <v>0</v>
      </c>
      <c r="AE4" s="31">
        <v>45758</v>
      </c>
      <c r="AF4" s="31">
        <v>45758</v>
      </c>
      <c r="AG4" s="30" t="s">
        <v>292</v>
      </c>
    </row>
    <row r="5" spans="1:33" x14ac:dyDescent="0.35">
      <c r="A5" s="30" t="s">
        <v>297</v>
      </c>
      <c r="B5" s="30" t="s">
        <v>280</v>
      </c>
      <c r="C5" s="30" t="s">
        <v>281</v>
      </c>
      <c r="D5" s="30" t="s">
        <v>282</v>
      </c>
      <c r="E5" s="30" t="s">
        <v>283</v>
      </c>
      <c r="F5" s="30" t="s">
        <v>53</v>
      </c>
      <c r="G5" s="31">
        <v>45839</v>
      </c>
      <c r="H5" s="30" t="s">
        <v>298</v>
      </c>
      <c r="I5" s="30" t="s">
        <v>299</v>
      </c>
      <c r="J5" s="31">
        <v>45832</v>
      </c>
      <c r="K5" s="31">
        <v>45832</v>
      </c>
      <c r="L5" s="30" t="s">
        <v>300</v>
      </c>
      <c r="M5" s="30" t="s">
        <v>0</v>
      </c>
      <c r="N5" s="30" t="s">
        <v>286</v>
      </c>
      <c r="O5" s="30" t="s">
        <v>287</v>
      </c>
      <c r="P5" s="30" t="s">
        <v>0</v>
      </c>
      <c r="Q5" s="30" t="s">
        <v>62</v>
      </c>
      <c r="R5" s="30" t="s">
        <v>288</v>
      </c>
      <c r="S5" s="36">
        <v>-500000</v>
      </c>
      <c r="T5" s="37" t="s">
        <v>288</v>
      </c>
      <c r="U5" s="36">
        <v>-500000</v>
      </c>
      <c r="V5" s="30" t="s">
        <v>0</v>
      </c>
      <c r="W5" s="30" t="s">
        <v>301</v>
      </c>
      <c r="X5" s="30" t="s">
        <v>0</v>
      </c>
      <c r="Y5" s="30" t="s">
        <v>0</v>
      </c>
      <c r="Z5" s="30" t="s">
        <v>296</v>
      </c>
      <c r="AA5" s="30" t="s">
        <v>0</v>
      </c>
      <c r="AB5" s="30" t="s">
        <v>0</v>
      </c>
      <c r="AC5" s="30" t="s">
        <v>0</v>
      </c>
      <c r="AD5" s="30" t="s">
        <v>0</v>
      </c>
      <c r="AE5" s="31">
        <v>45832</v>
      </c>
      <c r="AF5" s="31"/>
      <c r="AG5" s="30" t="s">
        <v>0</v>
      </c>
    </row>
    <row r="6" spans="1:33" x14ac:dyDescent="0.35">
      <c r="A6" s="30" t="s">
        <v>279</v>
      </c>
      <c r="B6" s="30" t="s">
        <v>280</v>
      </c>
      <c r="C6" s="30" t="s">
        <v>281</v>
      </c>
      <c r="D6" s="30" t="s">
        <v>282</v>
      </c>
      <c r="E6" s="30" t="s">
        <v>283</v>
      </c>
      <c r="F6" s="30" t="s">
        <v>57</v>
      </c>
      <c r="G6" s="31">
        <v>45986</v>
      </c>
      <c r="H6" s="30" t="s">
        <v>302</v>
      </c>
      <c r="I6" s="30" t="s">
        <v>299</v>
      </c>
      <c r="J6" s="31">
        <v>45959</v>
      </c>
      <c r="K6" s="31">
        <v>45986</v>
      </c>
      <c r="L6" s="30" t="s">
        <v>303</v>
      </c>
      <c r="M6" s="30" t="s">
        <v>0</v>
      </c>
      <c r="N6" s="30" t="s">
        <v>286</v>
      </c>
      <c r="O6" s="30" t="s">
        <v>287</v>
      </c>
      <c r="P6" s="30" t="s">
        <v>0</v>
      </c>
      <c r="Q6" s="30" t="s">
        <v>304</v>
      </c>
      <c r="R6" s="30" t="s">
        <v>288</v>
      </c>
      <c r="S6" s="36">
        <v>1000000</v>
      </c>
      <c r="T6" s="37" t="s">
        <v>288</v>
      </c>
      <c r="U6" s="36">
        <v>1000000</v>
      </c>
      <c r="V6" s="30" t="s">
        <v>0</v>
      </c>
      <c r="W6" s="30" t="s">
        <v>301</v>
      </c>
      <c r="X6" s="30" t="s">
        <v>0</v>
      </c>
      <c r="Y6" s="30" t="s">
        <v>0</v>
      </c>
      <c r="Z6" s="30" t="s">
        <v>296</v>
      </c>
      <c r="AA6" s="30" t="s">
        <v>0</v>
      </c>
      <c r="AB6" s="30" t="s">
        <v>0</v>
      </c>
      <c r="AC6" s="30" t="s">
        <v>0</v>
      </c>
      <c r="AD6" s="30" t="s">
        <v>0</v>
      </c>
      <c r="AE6" s="31">
        <v>45959</v>
      </c>
      <c r="AF6" s="31">
        <v>45986</v>
      </c>
      <c r="AG6" s="30" t="s">
        <v>302</v>
      </c>
    </row>
    <row r="7" spans="1:33" x14ac:dyDescent="0.35">
      <c r="A7" s="30" t="s">
        <v>279</v>
      </c>
      <c r="B7" s="30" t="s">
        <v>280</v>
      </c>
      <c r="C7" s="30" t="s">
        <v>281</v>
      </c>
      <c r="D7" s="30" t="s">
        <v>282</v>
      </c>
      <c r="E7" s="30" t="s">
        <v>283</v>
      </c>
      <c r="F7" s="30" t="s">
        <v>56</v>
      </c>
      <c r="G7" s="31">
        <v>45959</v>
      </c>
      <c r="H7" s="30" t="s">
        <v>305</v>
      </c>
      <c r="I7" s="30" t="s">
        <v>299</v>
      </c>
      <c r="J7" s="31">
        <v>45959</v>
      </c>
      <c r="K7" s="31">
        <v>45959</v>
      </c>
      <c r="L7" s="30" t="s">
        <v>303</v>
      </c>
      <c r="M7" s="30" t="s">
        <v>0</v>
      </c>
      <c r="N7" s="30" t="s">
        <v>286</v>
      </c>
      <c r="O7" s="30" t="s">
        <v>287</v>
      </c>
      <c r="P7" s="30" t="s">
        <v>0</v>
      </c>
      <c r="Q7" s="30" t="s">
        <v>62</v>
      </c>
      <c r="R7" s="30" t="s">
        <v>288</v>
      </c>
      <c r="S7" s="36">
        <v>-1000000</v>
      </c>
      <c r="T7" s="37" t="s">
        <v>288</v>
      </c>
      <c r="U7" s="36">
        <v>-1000000</v>
      </c>
      <c r="V7" s="30" t="s">
        <v>0</v>
      </c>
      <c r="W7" s="30" t="s">
        <v>301</v>
      </c>
      <c r="X7" s="30" t="s">
        <v>0</v>
      </c>
      <c r="Y7" s="30" t="s">
        <v>0</v>
      </c>
      <c r="Z7" s="30" t="s">
        <v>296</v>
      </c>
      <c r="AA7" s="30" t="s">
        <v>0</v>
      </c>
      <c r="AB7" s="30" t="s">
        <v>0</v>
      </c>
      <c r="AC7" s="30" t="s">
        <v>0</v>
      </c>
      <c r="AD7" s="30" t="s">
        <v>0</v>
      </c>
      <c r="AE7" s="31">
        <v>45959</v>
      </c>
      <c r="AF7" s="31">
        <v>45986</v>
      </c>
      <c r="AG7" s="30" t="s">
        <v>302</v>
      </c>
    </row>
    <row r="8" spans="1:33" x14ac:dyDescent="0.35">
      <c r="A8" s="30" t="s">
        <v>297</v>
      </c>
      <c r="B8" s="30" t="s">
        <v>280</v>
      </c>
      <c r="C8" s="30" t="s">
        <v>281</v>
      </c>
      <c r="D8" s="30" t="s">
        <v>282</v>
      </c>
      <c r="E8" s="30" t="s">
        <v>283</v>
      </c>
      <c r="F8" s="30" t="s">
        <v>56</v>
      </c>
      <c r="G8" s="31">
        <v>45931</v>
      </c>
      <c r="H8" s="30" t="s">
        <v>306</v>
      </c>
      <c r="I8" s="30" t="s">
        <v>299</v>
      </c>
      <c r="J8" s="31">
        <v>45931</v>
      </c>
      <c r="K8" s="31">
        <v>45925</v>
      </c>
      <c r="L8" s="30" t="s">
        <v>307</v>
      </c>
      <c r="M8" s="30" t="s">
        <v>0</v>
      </c>
      <c r="N8" s="30" t="s">
        <v>286</v>
      </c>
      <c r="O8" s="30" t="s">
        <v>287</v>
      </c>
      <c r="P8" s="30" t="s">
        <v>0</v>
      </c>
      <c r="Q8" s="30" t="s">
        <v>62</v>
      </c>
      <c r="R8" s="30" t="s">
        <v>288</v>
      </c>
      <c r="S8" s="36">
        <v>-100000</v>
      </c>
      <c r="T8" s="37" t="s">
        <v>288</v>
      </c>
      <c r="U8" s="36">
        <v>-100000</v>
      </c>
      <c r="V8" s="30" t="s">
        <v>0</v>
      </c>
      <c r="W8" s="30" t="s">
        <v>301</v>
      </c>
      <c r="X8" s="30" t="s">
        <v>0</v>
      </c>
      <c r="Y8" s="30" t="s">
        <v>0</v>
      </c>
      <c r="Z8" s="30" t="s">
        <v>296</v>
      </c>
      <c r="AA8" s="30" t="s">
        <v>0</v>
      </c>
      <c r="AB8" s="30" t="s">
        <v>0</v>
      </c>
      <c r="AC8" s="30" t="s">
        <v>0</v>
      </c>
      <c r="AD8" s="30" t="s">
        <v>0</v>
      </c>
      <c r="AE8" s="31">
        <v>45931</v>
      </c>
      <c r="AF8" s="31"/>
      <c r="AG8" s="30" t="s">
        <v>0</v>
      </c>
    </row>
    <row r="9" spans="1:33" x14ac:dyDescent="0.35">
      <c r="A9" s="30" t="s">
        <v>297</v>
      </c>
      <c r="B9" s="30" t="s">
        <v>280</v>
      </c>
      <c r="C9" s="30" t="s">
        <v>281</v>
      </c>
      <c r="D9" s="30" t="s">
        <v>282</v>
      </c>
      <c r="E9" s="30" t="s">
        <v>283</v>
      </c>
      <c r="F9" s="30" t="s">
        <v>56</v>
      </c>
      <c r="G9" s="31">
        <v>45931</v>
      </c>
      <c r="H9" s="30" t="s">
        <v>308</v>
      </c>
      <c r="I9" s="30" t="s">
        <v>299</v>
      </c>
      <c r="J9" s="31">
        <v>45931</v>
      </c>
      <c r="K9" s="31">
        <v>45925</v>
      </c>
      <c r="L9" s="30" t="s">
        <v>309</v>
      </c>
      <c r="M9" s="30" t="s">
        <v>0</v>
      </c>
      <c r="N9" s="30" t="s">
        <v>286</v>
      </c>
      <c r="O9" s="30" t="s">
        <v>287</v>
      </c>
      <c r="P9" s="30" t="s">
        <v>0</v>
      </c>
      <c r="Q9" s="30" t="s">
        <v>62</v>
      </c>
      <c r="R9" s="30" t="s">
        <v>288</v>
      </c>
      <c r="S9" s="36">
        <v>-100000</v>
      </c>
      <c r="T9" s="37" t="s">
        <v>288</v>
      </c>
      <c r="U9" s="36">
        <v>-100000</v>
      </c>
      <c r="V9" s="30" t="s">
        <v>0</v>
      </c>
      <c r="W9" s="30" t="s">
        <v>301</v>
      </c>
      <c r="X9" s="30" t="s">
        <v>0</v>
      </c>
      <c r="Y9" s="30" t="s">
        <v>0</v>
      </c>
      <c r="Z9" s="30" t="s">
        <v>296</v>
      </c>
      <c r="AA9" s="30" t="s">
        <v>0</v>
      </c>
      <c r="AB9" s="30" t="s">
        <v>0</v>
      </c>
      <c r="AC9" s="30" t="s">
        <v>0</v>
      </c>
      <c r="AD9" s="30" t="s">
        <v>0</v>
      </c>
      <c r="AE9" s="31">
        <v>45931</v>
      </c>
      <c r="AF9" s="31"/>
      <c r="AG9" s="30" t="s">
        <v>0</v>
      </c>
    </row>
    <row r="10" spans="1:33" x14ac:dyDescent="0.35">
      <c r="A10" s="30" t="s">
        <v>297</v>
      </c>
      <c r="B10" s="30" t="s">
        <v>280</v>
      </c>
      <c r="C10" s="30" t="s">
        <v>281</v>
      </c>
      <c r="D10" s="30" t="s">
        <v>282</v>
      </c>
      <c r="E10" s="30" t="s">
        <v>283</v>
      </c>
      <c r="F10" s="30" t="s">
        <v>56</v>
      </c>
      <c r="G10" s="31">
        <v>45931</v>
      </c>
      <c r="H10" s="30" t="s">
        <v>310</v>
      </c>
      <c r="I10" s="30" t="s">
        <v>299</v>
      </c>
      <c r="J10" s="31">
        <v>45931</v>
      </c>
      <c r="K10" s="31">
        <v>45931</v>
      </c>
      <c r="L10" s="30" t="s">
        <v>311</v>
      </c>
      <c r="M10" s="30" t="s">
        <v>0</v>
      </c>
      <c r="N10" s="30" t="s">
        <v>286</v>
      </c>
      <c r="O10" s="30" t="s">
        <v>287</v>
      </c>
      <c r="P10" s="30" t="s">
        <v>0</v>
      </c>
      <c r="Q10" s="30" t="s">
        <v>62</v>
      </c>
      <c r="R10" s="30" t="s">
        <v>288</v>
      </c>
      <c r="S10" s="36">
        <v>-450000</v>
      </c>
      <c r="T10" s="37" t="s">
        <v>288</v>
      </c>
      <c r="U10" s="36">
        <v>-450000</v>
      </c>
      <c r="V10" s="30" t="s">
        <v>0</v>
      </c>
      <c r="W10" s="30" t="s">
        <v>301</v>
      </c>
      <c r="X10" s="30" t="s">
        <v>0</v>
      </c>
      <c r="Y10" s="30" t="s">
        <v>0</v>
      </c>
      <c r="Z10" s="30" t="s">
        <v>296</v>
      </c>
      <c r="AA10" s="30" t="s">
        <v>0</v>
      </c>
      <c r="AB10" s="30" t="s">
        <v>0</v>
      </c>
      <c r="AC10" s="30" t="s">
        <v>0</v>
      </c>
      <c r="AD10" s="30" t="s">
        <v>0</v>
      </c>
      <c r="AE10" s="31">
        <v>45931</v>
      </c>
      <c r="AF10" s="31"/>
      <c r="AG10" s="30" t="s">
        <v>0</v>
      </c>
    </row>
    <row r="11" spans="1:33" x14ac:dyDescent="0.35">
      <c r="A11" s="30" t="s">
        <v>297</v>
      </c>
      <c r="B11" s="30" t="s">
        <v>280</v>
      </c>
      <c r="C11" s="30" t="s">
        <v>281</v>
      </c>
      <c r="D11" s="30" t="s">
        <v>282</v>
      </c>
      <c r="E11" s="30" t="s">
        <v>283</v>
      </c>
      <c r="F11" s="30" t="s">
        <v>56</v>
      </c>
      <c r="G11" s="31">
        <v>45931</v>
      </c>
      <c r="H11" s="30" t="s">
        <v>312</v>
      </c>
      <c r="I11" s="30" t="s">
        <v>299</v>
      </c>
      <c r="J11" s="31">
        <v>45931</v>
      </c>
      <c r="K11" s="31">
        <v>45931</v>
      </c>
      <c r="L11" s="30" t="s">
        <v>313</v>
      </c>
      <c r="M11" s="30" t="s">
        <v>0</v>
      </c>
      <c r="N11" s="30" t="s">
        <v>286</v>
      </c>
      <c r="O11" s="30" t="s">
        <v>287</v>
      </c>
      <c r="P11" s="30" t="s">
        <v>0</v>
      </c>
      <c r="Q11" s="30" t="s">
        <v>62</v>
      </c>
      <c r="R11" s="30" t="s">
        <v>288</v>
      </c>
      <c r="S11" s="36">
        <v>-100000</v>
      </c>
      <c r="T11" s="37" t="s">
        <v>288</v>
      </c>
      <c r="U11" s="36">
        <v>-100000</v>
      </c>
      <c r="V11" s="30" t="s">
        <v>0</v>
      </c>
      <c r="W11" s="30" t="s">
        <v>301</v>
      </c>
      <c r="X11" s="30" t="s">
        <v>0</v>
      </c>
      <c r="Y11" s="30" t="s">
        <v>0</v>
      </c>
      <c r="Z11" s="30" t="s">
        <v>296</v>
      </c>
      <c r="AA11" s="30" t="s">
        <v>0</v>
      </c>
      <c r="AB11" s="30" t="s">
        <v>0</v>
      </c>
      <c r="AC11" s="30" t="s">
        <v>0</v>
      </c>
      <c r="AD11" s="30" t="s">
        <v>0</v>
      </c>
      <c r="AE11" s="31">
        <v>45931</v>
      </c>
      <c r="AF11" s="31"/>
      <c r="AG11" s="30" t="s">
        <v>0</v>
      </c>
    </row>
    <row r="12" spans="1:33" x14ac:dyDescent="0.35">
      <c r="A12" s="30" t="s">
        <v>297</v>
      </c>
      <c r="B12" s="30" t="s">
        <v>280</v>
      </c>
      <c r="C12" s="30" t="s">
        <v>281</v>
      </c>
      <c r="D12" s="30" t="s">
        <v>282</v>
      </c>
      <c r="E12" s="30" t="s">
        <v>283</v>
      </c>
      <c r="F12" s="30" t="s">
        <v>59</v>
      </c>
      <c r="G12" s="31">
        <v>46009</v>
      </c>
      <c r="H12" s="30" t="s">
        <v>314</v>
      </c>
      <c r="I12" s="30" t="s">
        <v>299</v>
      </c>
      <c r="J12" s="31">
        <v>46009</v>
      </c>
      <c r="K12" s="31">
        <v>46009</v>
      </c>
      <c r="L12" s="30" t="s">
        <v>315</v>
      </c>
      <c r="M12" s="30" t="s">
        <v>0</v>
      </c>
      <c r="N12" s="30" t="s">
        <v>286</v>
      </c>
      <c r="O12" s="30" t="s">
        <v>287</v>
      </c>
      <c r="P12" s="30" t="s">
        <v>0</v>
      </c>
      <c r="Q12" s="30" t="s">
        <v>62</v>
      </c>
      <c r="R12" s="30" t="s">
        <v>288</v>
      </c>
      <c r="S12" s="36">
        <v>-100000</v>
      </c>
      <c r="T12" s="37" t="s">
        <v>288</v>
      </c>
      <c r="U12" s="36">
        <v>-100000</v>
      </c>
      <c r="V12" s="30" t="s">
        <v>0</v>
      </c>
      <c r="W12" s="30" t="s">
        <v>301</v>
      </c>
      <c r="X12" s="30" t="s">
        <v>0</v>
      </c>
      <c r="Y12" s="30" t="s">
        <v>0</v>
      </c>
      <c r="Z12" s="30" t="s">
        <v>296</v>
      </c>
      <c r="AA12" s="30" t="s">
        <v>0</v>
      </c>
      <c r="AB12" s="30" t="s">
        <v>0</v>
      </c>
      <c r="AC12" s="30" t="s">
        <v>0</v>
      </c>
      <c r="AD12" s="30" t="s">
        <v>0</v>
      </c>
      <c r="AE12" s="31">
        <v>46009</v>
      </c>
      <c r="AF12" s="31"/>
      <c r="AG12" s="30" t="s">
        <v>0</v>
      </c>
    </row>
    <row r="13" spans="1:33" x14ac:dyDescent="0.35">
      <c r="A13" s="30" t="s">
        <v>297</v>
      </c>
      <c r="B13" s="30" t="s">
        <v>280</v>
      </c>
      <c r="C13" s="30" t="s">
        <v>281</v>
      </c>
      <c r="D13" s="30" t="s">
        <v>282</v>
      </c>
      <c r="E13" s="30" t="s">
        <v>283</v>
      </c>
      <c r="F13" s="30" t="s">
        <v>57</v>
      </c>
      <c r="G13" s="31">
        <v>45986</v>
      </c>
      <c r="H13" s="30" t="s">
        <v>316</v>
      </c>
      <c r="I13" s="30" t="s">
        <v>299</v>
      </c>
      <c r="J13" s="31">
        <v>45986</v>
      </c>
      <c r="K13" s="31">
        <v>45986</v>
      </c>
      <c r="L13" s="30" t="s">
        <v>317</v>
      </c>
      <c r="M13" s="30" t="s">
        <v>0</v>
      </c>
      <c r="N13" s="30" t="s">
        <v>286</v>
      </c>
      <c r="O13" s="30" t="s">
        <v>287</v>
      </c>
      <c r="P13" s="30" t="s">
        <v>0</v>
      </c>
      <c r="Q13" s="30" t="s">
        <v>62</v>
      </c>
      <c r="R13" s="30" t="s">
        <v>288</v>
      </c>
      <c r="S13" s="36">
        <v>-100000</v>
      </c>
      <c r="T13" s="37" t="s">
        <v>288</v>
      </c>
      <c r="U13" s="36">
        <v>-100000</v>
      </c>
      <c r="V13" s="30" t="s">
        <v>0</v>
      </c>
      <c r="W13" s="30" t="s">
        <v>301</v>
      </c>
      <c r="X13" s="30" t="s">
        <v>0</v>
      </c>
      <c r="Y13" s="30" t="s">
        <v>0</v>
      </c>
      <c r="Z13" s="30" t="s">
        <v>296</v>
      </c>
      <c r="AA13" s="30" t="s">
        <v>0</v>
      </c>
      <c r="AB13" s="30" t="s">
        <v>0</v>
      </c>
      <c r="AC13" s="30" t="s">
        <v>0</v>
      </c>
      <c r="AD13" s="30" t="s">
        <v>0</v>
      </c>
      <c r="AE13" s="31">
        <v>45986</v>
      </c>
      <c r="AF13" s="31"/>
      <c r="AG13" s="30" t="s">
        <v>0</v>
      </c>
    </row>
    <row r="14" spans="1:33" x14ac:dyDescent="0.35">
      <c r="A14" s="30" t="s">
        <v>297</v>
      </c>
      <c r="B14" s="30" t="s">
        <v>280</v>
      </c>
      <c r="C14" s="30" t="s">
        <v>281</v>
      </c>
      <c r="D14" s="30" t="s">
        <v>282</v>
      </c>
      <c r="E14" s="30" t="s">
        <v>283</v>
      </c>
      <c r="F14" s="30" t="s">
        <v>54</v>
      </c>
      <c r="G14" s="31">
        <v>45890</v>
      </c>
      <c r="H14" s="30" t="s">
        <v>318</v>
      </c>
      <c r="I14" s="30" t="s">
        <v>299</v>
      </c>
      <c r="J14" s="31">
        <v>45890</v>
      </c>
      <c r="K14" s="31">
        <v>45890</v>
      </c>
      <c r="L14" s="30" t="s">
        <v>319</v>
      </c>
      <c r="M14" s="30" t="s">
        <v>0</v>
      </c>
      <c r="N14" s="30" t="s">
        <v>286</v>
      </c>
      <c r="O14" s="30" t="s">
        <v>287</v>
      </c>
      <c r="P14" s="30" t="s">
        <v>0</v>
      </c>
      <c r="Q14" s="30" t="s">
        <v>62</v>
      </c>
      <c r="R14" s="30" t="s">
        <v>288</v>
      </c>
      <c r="S14" s="36">
        <v>-100000</v>
      </c>
      <c r="T14" s="37" t="s">
        <v>288</v>
      </c>
      <c r="U14" s="36">
        <v>-100000</v>
      </c>
      <c r="V14" s="30" t="s">
        <v>0</v>
      </c>
      <c r="W14" s="30" t="s">
        <v>301</v>
      </c>
      <c r="X14" s="30" t="s">
        <v>0</v>
      </c>
      <c r="Y14" s="30" t="s">
        <v>0</v>
      </c>
      <c r="Z14" s="30" t="s">
        <v>296</v>
      </c>
      <c r="AA14" s="30" t="s">
        <v>0</v>
      </c>
      <c r="AB14" s="30" t="s">
        <v>0</v>
      </c>
      <c r="AC14" s="30" t="s">
        <v>0</v>
      </c>
      <c r="AD14" s="30" t="s">
        <v>0</v>
      </c>
      <c r="AE14" s="31">
        <v>45890</v>
      </c>
      <c r="AF14" s="31"/>
      <c r="AG14" s="30" t="s">
        <v>0</v>
      </c>
    </row>
    <row r="15" spans="1:33" x14ac:dyDescent="0.35">
      <c r="A15" s="30" t="s">
        <v>297</v>
      </c>
      <c r="B15" s="30" t="s">
        <v>280</v>
      </c>
      <c r="C15" s="30" t="s">
        <v>281</v>
      </c>
      <c r="D15" s="30" t="s">
        <v>282</v>
      </c>
      <c r="E15" s="30" t="s">
        <v>283</v>
      </c>
      <c r="F15" s="30" t="s">
        <v>54</v>
      </c>
      <c r="G15" s="31">
        <v>45890</v>
      </c>
      <c r="H15" s="30" t="s">
        <v>320</v>
      </c>
      <c r="I15" s="30" t="s">
        <v>299</v>
      </c>
      <c r="J15" s="31">
        <v>45890</v>
      </c>
      <c r="K15" s="31">
        <v>45890</v>
      </c>
      <c r="L15" s="30" t="s">
        <v>321</v>
      </c>
      <c r="M15" s="30" t="s">
        <v>0</v>
      </c>
      <c r="N15" s="30" t="s">
        <v>286</v>
      </c>
      <c r="O15" s="30" t="s">
        <v>287</v>
      </c>
      <c r="P15" s="30" t="s">
        <v>0</v>
      </c>
      <c r="Q15" s="30" t="s">
        <v>62</v>
      </c>
      <c r="R15" s="30" t="s">
        <v>288</v>
      </c>
      <c r="S15" s="36">
        <v>-700000</v>
      </c>
      <c r="T15" s="37" t="s">
        <v>288</v>
      </c>
      <c r="U15" s="36">
        <v>-700000</v>
      </c>
      <c r="V15" s="30" t="s">
        <v>0</v>
      </c>
      <c r="W15" s="30" t="s">
        <v>301</v>
      </c>
      <c r="X15" s="30" t="s">
        <v>0</v>
      </c>
      <c r="Y15" s="30" t="s">
        <v>0</v>
      </c>
      <c r="Z15" s="30" t="s">
        <v>296</v>
      </c>
      <c r="AA15" s="30" t="s">
        <v>0</v>
      </c>
      <c r="AB15" s="30" t="s">
        <v>0</v>
      </c>
      <c r="AC15" s="30" t="s">
        <v>0</v>
      </c>
      <c r="AD15" s="30" t="s">
        <v>0</v>
      </c>
      <c r="AE15" s="31">
        <v>45890</v>
      </c>
      <c r="AF15" s="31"/>
      <c r="AG15" s="30" t="s">
        <v>0</v>
      </c>
    </row>
    <row r="16" spans="1:33" x14ac:dyDescent="0.35">
      <c r="A16" s="30" t="s">
        <v>297</v>
      </c>
      <c r="B16" s="30" t="s">
        <v>280</v>
      </c>
      <c r="C16" s="30" t="s">
        <v>281</v>
      </c>
      <c r="D16" s="30" t="s">
        <v>282</v>
      </c>
      <c r="E16" s="30" t="s">
        <v>283</v>
      </c>
      <c r="F16" s="30" t="s">
        <v>54</v>
      </c>
      <c r="G16" s="31">
        <v>45890</v>
      </c>
      <c r="H16" s="30" t="s">
        <v>322</v>
      </c>
      <c r="I16" s="30" t="s">
        <v>299</v>
      </c>
      <c r="J16" s="31">
        <v>45890</v>
      </c>
      <c r="K16" s="31">
        <v>45890</v>
      </c>
      <c r="L16" s="30" t="s">
        <v>323</v>
      </c>
      <c r="M16" s="30" t="s">
        <v>0</v>
      </c>
      <c r="N16" s="30" t="s">
        <v>286</v>
      </c>
      <c r="O16" s="30" t="s">
        <v>287</v>
      </c>
      <c r="P16" s="30" t="s">
        <v>0</v>
      </c>
      <c r="Q16" s="30" t="s">
        <v>62</v>
      </c>
      <c r="R16" s="30" t="s">
        <v>288</v>
      </c>
      <c r="S16" s="36">
        <v>-150000</v>
      </c>
      <c r="T16" s="37" t="s">
        <v>288</v>
      </c>
      <c r="U16" s="36">
        <v>-150000</v>
      </c>
      <c r="V16" s="30" t="s">
        <v>0</v>
      </c>
      <c r="W16" s="30" t="s">
        <v>301</v>
      </c>
      <c r="X16" s="30" t="s">
        <v>0</v>
      </c>
      <c r="Y16" s="30" t="s">
        <v>0</v>
      </c>
      <c r="Z16" s="30" t="s">
        <v>296</v>
      </c>
      <c r="AA16" s="30" t="s">
        <v>0</v>
      </c>
      <c r="AB16" s="30" t="s">
        <v>0</v>
      </c>
      <c r="AC16" s="30" t="s">
        <v>0</v>
      </c>
      <c r="AD16" s="30" t="s">
        <v>0</v>
      </c>
      <c r="AE16" s="31">
        <v>45890</v>
      </c>
      <c r="AF16" s="31"/>
      <c r="AG16" s="30" t="s">
        <v>0</v>
      </c>
    </row>
    <row r="17" spans="1:33" x14ac:dyDescent="0.35">
      <c r="A17" s="30" t="s">
        <v>297</v>
      </c>
      <c r="B17" s="30" t="s">
        <v>280</v>
      </c>
      <c r="C17" s="30" t="s">
        <v>281</v>
      </c>
      <c r="D17" s="30" t="s">
        <v>282</v>
      </c>
      <c r="E17" s="30" t="s">
        <v>283</v>
      </c>
      <c r="F17" s="30" t="s">
        <v>54</v>
      </c>
      <c r="G17" s="31">
        <v>45890</v>
      </c>
      <c r="H17" s="30" t="s">
        <v>324</v>
      </c>
      <c r="I17" s="30" t="s">
        <v>299</v>
      </c>
      <c r="J17" s="31">
        <v>45890</v>
      </c>
      <c r="K17" s="31">
        <v>45890</v>
      </c>
      <c r="L17" s="30" t="s">
        <v>325</v>
      </c>
      <c r="M17" s="30" t="s">
        <v>0</v>
      </c>
      <c r="N17" s="30" t="s">
        <v>286</v>
      </c>
      <c r="O17" s="30" t="s">
        <v>287</v>
      </c>
      <c r="P17" s="30" t="s">
        <v>0</v>
      </c>
      <c r="Q17" s="30" t="s">
        <v>62</v>
      </c>
      <c r="R17" s="30" t="s">
        <v>288</v>
      </c>
      <c r="S17" s="36">
        <v>-150000</v>
      </c>
      <c r="T17" s="37" t="s">
        <v>288</v>
      </c>
      <c r="U17" s="36">
        <v>-150000</v>
      </c>
      <c r="V17" s="30" t="s">
        <v>0</v>
      </c>
      <c r="W17" s="30" t="s">
        <v>301</v>
      </c>
      <c r="X17" s="30" t="s">
        <v>0</v>
      </c>
      <c r="Y17" s="30" t="s">
        <v>0</v>
      </c>
      <c r="Z17" s="30" t="s">
        <v>296</v>
      </c>
      <c r="AA17" s="30" t="s">
        <v>0</v>
      </c>
      <c r="AB17" s="30" t="s">
        <v>0</v>
      </c>
      <c r="AC17" s="30" t="s">
        <v>0</v>
      </c>
      <c r="AD17" s="30" t="s">
        <v>0</v>
      </c>
      <c r="AE17" s="31">
        <v>45890</v>
      </c>
      <c r="AF17" s="31"/>
      <c r="AG17" s="30" t="s">
        <v>0</v>
      </c>
    </row>
    <row r="18" spans="1:33" x14ac:dyDescent="0.35">
      <c r="A18" s="30" t="s">
        <v>297</v>
      </c>
      <c r="B18" s="30" t="s">
        <v>280</v>
      </c>
      <c r="C18" s="30" t="s">
        <v>281</v>
      </c>
      <c r="D18" s="30" t="s">
        <v>282</v>
      </c>
      <c r="E18" s="30" t="s">
        <v>283</v>
      </c>
      <c r="F18" s="30" t="s">
        <v>54</v>
      </c>
      <c r="G18" s="31">
        <v>45890</v>
      </c>
      <c r="H18" s="30" t="s">
        <v>326</v>
      </c>
      <c r="I18" s="30" t="s">
        <v>299</v>
      </c>
      <c r="J18" s="31">
        <v>45890</v>
      </c>
      <c r="K18" s="31">
        <v>45890</v>
      </c>
      <c r="L18" s="30" t="s">
        <v>327</v>
      </c>
      <c r="M18" s="30" t="s">
        <v>0</v>
      </c>
      <c r="N18" s="30" t="s">
        <v>286</v>
      </c>
      <c r="O18" s="30" t="s">
        <v>287</v>
      </c>
      <c r="P18" s="30" t="s">
        <v>0</v>
      </c>
      <c r="Q18" s="30" t="s">
        <v>62</v>
      </c>
      <c r="R18" s="30" t="s">
        <v>288</v>
      </c>
      <c r="S18" s="36">
        <v>-150000</v>
      </c>
      <c r="T18" s="37" t="s">
        <v>288</v>
      </c>
      <c r="U18" s="36">
        <v>-150000</v>
      </c>
      <c r="V18" s="30" t="s">
        <v>0</v>
      </c>
      <c r="W18" s="30" t="s">
        <v>301</v>
      </c>
      <c r="X18" s="30" t="s">
        <v>0</v>
      </c>
      <c r="Y18" s="30" t="s">
        <v>0</v>
      </c>
      <c r="Z18" s="30" t="s">
        <v>296</v>
      </c>
      <c r="AA18" s="30" t="s">
        <v>0</v>
      </c>
      <c r="AB18" s="30" t="s">
        <v>0</v>
      </c>
      <c r="AC18" s="30" t="s">
        <v>0</v>
      </c>
      <c r="AD18" s="30" t="s">
        <v>0</v>
      </c>
      <c r="AE18" s="31">
        <v>45890</v>
      </c>
      <c r="AF18" s="31"/>
      <c r="AG18" s="30" t="s">
        <v>0</v>
      </c>
    </row>
    <row r="19" spans="1:33" x14ac:dyDescent="0.35">
      <c r="A19" s="30" t="s">
        <v>297</v>
      </c>
      <c r="B19" s="30" t="s">
        <v>280</v>
      </c>
      <c r="C19" s="30" t="s">
        <v>281</v>
      </c>
      <c r="D19" s="30" t="s">
        <v>282</v>
      </c>
      <c r="E19" s="30" t="s">
        <v>283</v>
      </c>
      <c r="F19" s="30" t="s">
        <v>54</v>
      </c>
      <c r="G19" s="31">
        <v>45890</v>
      </c>
      <c r="H19" s="30" t="s">
        <v>328</v>
      </c>
      <c r="I19" s="30" t="s">
        <v>299</v>
      </c>
      <c r="J19" s="31">
        <v>45890</v>
      </c>
      <c r="K19" s="31">
        <v>45890</v>
      </c>
      <c r="L19" s="30" t="s">
        <v>329</v>
      </c>
      <c r="M19" s="30" t="s">
        <v>0</v>
      </c>
      <c r="N19" s="30" t="s">
        <v>286</v>
      </c>
      <c r="O19" s="30" t="s">
        <v>287</v>
      </c>
      <c r="P19" s="30" t="s">
        <v>0</v>
      </c>
      <c r="Q19" s="30" t="s">
        <v>62</v>
      </c>
      <c r="R19" s="30" t="s">
        <v>288</v>
      </c>
      <c r="S19" s="36">
        <v>-150000</v>
      </c>
      <c r="T19" s="37" t="s">
        <v>288</v>
      </c>
      <c r="U19" s="36">
        <v>-150000</v>
      </c>
      <c r="V19" s="30" t="s">
        <v>0</v>
      </c>
      <c r="W19" s="30" t="s">
        <v>301</v>
      </c>
      <c r="X19" s="30" t="s">
        <v>0</v>
      </c>
      <c r="Y19" s="30" t="s">
        <v>0</v>
      </c>
      <c r="Z19" s="30" t="s">
        <v>296</v>
      </c>
      <c r="AA19" s="30" t="s">
        <v>0</v>
      </c>
      <c r="AB19" s="30" t="s">
        <v>0</v>
      </c>
      <c r="AC19" s="30" t="s">
        <v>0</v>
      </c>
      <c r="AD19" s="30" t="s">
        <v>0</v>
      </c>
      <c r="AE19" s="31">
        <v>45890</v>
      </c>
      <c r="AF19" s="31"/>
      <c r="AG19" s="30" t="s">
        <v>0</v>
      </c>
    </row>
    <row r="20" spans="1:33" x14ac:dyDescent="0.35">
      <c r="A20" s="30" t="s">
        <v>297</v>
      </c>
      <c r="B20" s="30" t="s">
        <v>280</v>
      </c>
      <c r="C20" s="30" t="s">
        <v>281</v>
      </c>
      <c r="D20" s="30" t="s">
        <v>282</v>
      </c>
      <c r="E20" s="30" t="s">
        <v>283</v>
      </c>
      <c r="F20" s="30" t="s">
        <v>53</v>
      </c>
      <c r="G20" s="31">
        <v>45839</v>
      </c>
      <c r="H20" s="30" t="s">
        <v>330</v>
      </c>
      <c r="I20" s="30" t="s">
        <v>299</v>
      </c>
      <c r="J20" s="31">
        <v>45832</v>
      </c>
      <c r="K20" s="31">
        <v>45832</v>
      </c>
      <c r="L20" s="30" t="s">
        <v>331</v>
      </c>
      <c r="M20" s="30" t="s">
        <v>0</v>
      </c>
      <c r="N20" s="30" t="s">
        <v>286</v>
      </c>
      <c r="O20" s="30" t="s">
        <v>287</v>
      </c>
      <c r="P20" s="30" t="s">
        <v>0</v>
      </c>
      <c r="Q20" s="30" t="s">
        <v>62</v>
      </c>
      <c r="R20" s="30" t="s">
        <v>288</v>
      </c>
      <c r="S20" s="36">
        <v>-324702</v>
      </c>
      <c r="T20" s="37" t="s">
        <v>288</v>
      </c>
      <c r="U20" s="36">
        <v>-324702</v>
      </c>
      <c r="V20" s="30" t="s">
        <v>0</v>
      </c>
      <c r="W20" s="30" t="s">
        <v>301</v>
      </c>
      <c r="X20" s="30" t="s">
        <v>0</v>
      </c>
      <c r="Y20" s="30" t="s">
        <v>0</v>
      </c>
      <c r="Z20" s="30" t="s">
        <v>296</v>
      </c>
      <c r="AA20" s="30" t="s">
        <v>0</v>
      </c>
      <c r="AB20" s="30" t="s">
        <v>0</v>
      </c>
      <c r="AC20" s="30" t="s">
        <v>0</v>
      </c>
      <c r="AD20" s="30" t="s">
        <v>0</v>
      </c>
      <c r="AE20" s="31">
        <v>45832</v>
      </c>
      <c r="AF20" s="31"/>
      <c r="AG20" s="30" t="s">
        <v>0</v>
      </c>
    </row>
    <row r="21" spans="1:33" x14ac:dyDescent="0.35">
      <c r="A21" s="30" t="s">
        <v>297</v>
      </c>
      <c r="B21" s="30" t="s">
        <v>280</v>
      </c>
      <c r="C21" s="30" t="s">
        <v>281</v>
      </c>
      <c r="D21" s="30" t="s">
        <v>282</v>
      </c>
      <c r="E21" s="30" t="s">
        <v>283</v>
      </c>
      <c r="F21" s="30" t="s">
        <v>59</v>
      </c>
      <c r="G21" s="31">
        <v>45994</v>
      </c>
      <c r="H21" s="30" t="s">
        <v>332</v>
      </c>
      <c r="I21" s="30" t="s">
        <v>299</v>
      </c>
      <c r="J21" s="31">
        <v>45994</v>
      </c>
      <c r="K21" s="31">
        <v>45994</v>
      </c>
      <c r="L21" s="30" t="s">
        <v>333</v>
      </c>
      <c r="M21" s="30" t="s">
        <v>0</v>
      </c>
      <c r="N21" s="30" t="s">
        <v>286</v>
      </c>
      <c r="O21" s="30" t="s">
        <v>287</v>
      </c>
      <c r="P21" s="30" t="s">
        <v>0</v>
      </c>
      <c r="Q21" s="30" t="s">
        <v>62</v>
      </c>
      <c r="R21" s="30" t="s">
        <v>288</v>
      </c>
      <c r="S21" s="36">
        <v>-100000</v>
      </c>
      <c r="T21" s="37" t="s">
        <v>288</v>
      </c>
      <c r="U21" s="36">
        <v>-100000</v>
      </c>
      <c r="V21" s="30" t="s">
        <v>0</v>
      </c>
      <c r="W21" s="30" t="s">
        <v>301</v>
      </c>
      <c r="X21" s="30" t="s">
        <v>0</v>
      </c>
      <c r="Y21" s="30" t="s">
        <v>0</v>
      </c>
      <c r="Z21" s="30" t="s">
        <v>296</v>
      </c>
      <c r="AA21" s="30" t="s">
        <v>0</v>
      </c>
      <c r="AB21" s="30" t="s">
        <v>0</v>
      </c>
      <c r="AC21" s="30" t="s">
        <v>0</v>
      </c>
      <c r="AD21" s="30" t="s">
        <v>0</v>
      </c>
      <c r="AE21" s="31">
        <v>45994</v>
      </c>
      <c r="AF21" s="31"/>
      <c r="AG21" s="30" t="s">
        <v>0</v>
      </c>
    </row>
    <row r="22" spans="1:33" x14ac:dyDescent="0.35">
      <c r="A22" s="30" t="s">
        <v>279</v>
      </c>
      <c r="B22" s="30" t="s">
        <v>280</v>
      </c>
      <c r="C22" s="30" t="s">
        <v>281</v>
      </c>
      <c r="D22" s="30" t="s">
        <v>282</v>
      </c>
      <c r="E22" s="30" t="s">
        <v>283</v>
      </c>
      <c r="F22" s="30" t="s">
        <v>51</v>
      </c>
      <c r="G22" s="31">
        <v>45796</v>
      </c>
      <c r="H22" s="30" t="s">
        <v>334</v>
      </c>
      <c r="I22" s="30" t="s">
        <v>299</v>
      </c>
      <c r="J22" s="31">
        <v>45796</v>
      </c>
      <c r="K22" s="31">
        <v>45796</v>
      </c>
      <c r="L22" s="30" t="s">
        <v>335</v>
      </c>
      <c r="M22" s="30" t="s">
        <v>0</v>
      </c>
      <c r="N22" s="30" t="s">
        <v>286</v>
      </c>
      <c r="O22" s="30" t="s">
        <v>287</v>
      </c>
      <c r="P22" s="30" t="s">
        <v>0</v>
      </c>
      <c r="Q22" s="30" t="s">
        <v>62</v>
      </c>
      <c r="R22" s="30" t="s">
        <v>288</v>
      </c>
      <c r="S22" s="36">
        <v>-285397.37</v>
      </c>
      <c r="T22" s="37" t="s">
        <v>288</v>
      </c>
      <c r="U22" s="36">
        <v>-283762.44</v>
      </c>
      <c r="V22" s="30" t="s">
        <v>0</v>
      </c>
      <c r="W22" s="30" t="s">
        <v>289</v>
      </c>
      <c r="X22" s="30" t="s">
        <v>0</v>
      </c>
      <c r="Y22" s="30" t="s">
        <v>0</v>
      </c>
      <c r="Z22" s="30" t="s">
        <v>336</v>
      </c>
      <c r="AA22" s="30" t="s">
        <v>335</v>
      </c>
      <c r="AB22" s="30" t="s">
        <v>0</v>
      </c>
      <c r="AC22" s="30" t="s">
        <v>0</v>
      </c>
      <c r="AD22" s="30" t="s">
        <v>0</v>
      </c>
      <c r="AE22" s="31">
        <v>45796</v>
      </c>
      <c r="AF22" s="31">
        <v>45796</v>
      </c>
      <c r="AG22" s="30" t="s">
        <v>334</v>
      </c>
    </row>
    <row r="23" spans="1:33" x14ac:dyDescent="0.35">
      <c r="A23" s="30" t="s">
        <v>297</v>
      </c>
      <c r="B23" s="30" t="s">
        <v>280</v>
      </c>
      <c r="C23" s="30" t="s">
        <v>281</v>
      </c>
      <c r="D23" s="30" t="s">
        <v>282</v>
      </c>
      <c r="E23" s="30" t="s">
        <v>283</v>
      </c>
      <c r="F23" s="30" t="s">
        <v>56</v>
      </c>
      <c r="G23" s="31">
        <v>45944</v>
      </c>
      <c r="H23" s="30" t="s">
        <v>337</v>
      </c>
      <c r="I23" s="30" t="s">
        <v>299</v>
      </c>
      <c r="J23" s="31">
        <v>45944</v>
      </c>
      <c r="K23" s="31">
        <v>45944</v>
      </c>
      <c r="L23" s="30" t="s">
        <v>338</v>
      </c>
      <c r="M23" s="30" t="s">
        <v>0</v>
      </c>
      <c r="N23" s="30" t="s">
        <v>286</v>
      </c>
      <c r="O23" s="30" t="s">
        <v>287</v>
      </c>
      <c r="P23" s="30" t="s">
        <v>0</v>
      </c>
      <c r="Q23" s="30" t="s">
        <v>62</v>
      </c>
      <c r="R23" s="30" t="s">
        <v>288</v>
      </c>
      <c r="S23" s="36">
        <v>-100000</v>
      </c>
      <c r="T23" s="37" t="s">
        <v>288</v>
      </c>
      <c r="U23" s="36">
        <v>-100000</v>
      </c>
      <c r="V23" s="30" t="s">
        <v>0</v>
      </c>
      <c r="W23" s="30" t="s">
        <v>301</v>
      </c>
      <c r="X23" s="30" t="s">
        <v>0</v>
      </c>
      <c r="Y23" s="30" t="s">
        <v>0</v>
      </c>
      <c r="Z23" s="30" t="s">
        <v>296</v>
      </c>
      <c r="AA23" s="30" t="s">
        <v>0</v>
      </c>
      <c r="AB23" s="30" t="s">
        <v>0</v>
      </c>
      <c r="AC23" s="30" t="s">
        <v>0</v>
      </c>
      <c r="AD23" s="30" t="s">
        <v>0</v>
      </c>
      <c r="AE23" s="31">
        <v>45944</v>
      </c>
      <c r="AF23" s="31"/>
      <c r="AG23" s="30" t="s">
        <v>0</v>
      </c>
    </row>
    <row r="24" spans="1:33" x14ac:dyDescent="0.35">
      <c r="A24" s="30" t="s">
        <v>297</v>
      </c>
      <c r="B24" s="30" t="s">
        <v>280</v>
      </c>
      <c r="C24" s="30" t="s">
        <v>281</v>
      </c>
      <c r="D24" s="30" t="s">
        <v>282</v>
      </c>
      <c r="E24" s="30" t="s">
        <v>283</v>
      </c>
      <c r="F24" s="30" t="s">
        <v>57</v>
      </c>
      <c r="G24" s="31">
        <v>45972</v>
      </c>
      <c r="H24" s="30" t="s">
        <v>339</v>
      </c>
      <c r="I24" s="30" t="s">
        <v>299</v>
      </c>
      <c r="J24" s="31">
        <v>45972</v>
      </c>
      <c r="K24" s="31">
        <v>45972</v>
      </c>
      <c r="L24" s="30" t="s">
        <v>340</v>
      </c>
      <c r="M24" s="30" t="s">
        <v>0</v>
      </c>
      <c r="N24" s="30" t="s">
        <v>286</v>
      </c>
      <c r="O24" s="30" t="s">
        <v>287</v>
      </c>
      <c r="P24" s="30" t="s">
        <v>0</v>
      </c>
      <c r="Q24" s="30" t="s">
        <v>62</v>
      </c>
      <c r="R24" s="30" t="s">
        <v>288</v>
      </c>
      <c r="S24" s="36">
        <v>-100000</v>
      </c>
      <c r="T24" s="37" t="s">
        <v>288</v>
      </c>
      <c r="U24" s="36">
        <v>-100000</v>
      </c>
      <c r="V24" s="30" t="s">
        <v>0</v>
      </c>
      <c r="W24" s="30" t="s">
        <v>301</v>
      </c>
      <c r="X24" s="30" t="s">
        <v>0</v>
      </c>
      <c r="Y24" s="30" t="s">
        <v>0</v>
      </c>
      <c r="Z24" s="30" t="s">
        <v>296</v>
      </c>
      <c r="AA24" s="30" t="s">
        <v>0</v>
      </c>
      <c r="AB24" s="30" t="s">
        <v>0</v>
      </c>
      <c r="AC24" s="30" t="s">
        <v>0</v>
      </c>
      <c r="AD24" s="30" t="s">
        <v>0</v>
      </c>
      <c r="AE24" s="31">
        <v>45972</v>
      </c>
      <c r="AF24" s="31"/>
      <c r="AG24" s="30" t="s">
        <v>0</v>
      </c>
    </row>
    <row r="25" spans="1:33" x14ac:dyDescent="0.35">
      <c r="A25" s="30" t="s">
        <v>297</v>
      </c>
      <c r="B25" s="30" t="s">
        <v>280</v>
      </c>
      <c r="C25" s="30" t="s">
        <v>281</v>
      </c>
      <c r="D25" s="30" t="s">
        <v>282</v>
      </c>
      <c r="E25" s="30" t="s">
        <v>283</v>
      </c>
      <c r="F25" s="30" t="s">
        <v>57</v>
      </c>
      <c r="G25" s="31">
        <v>45972</v>
      </c>
      <c r="H25" s="30" t="s">
        <v>341</v>
      </c>
      <c r="I25" s="30" t="s">
        <v>299</v>
      </c>
      <c r="J25" s="31">
        <v>45972</v>
      </c>
      <c r="K25" s="31">
        <v>45972</v>
      </c>
      <c r="L25" s="30" t="s">
        <v>342</v>
      </c>
      <c r="M25" s="30" t="s">
        <v>0</v>
      </c>
      <c r="N25" s="30" t="s">
        <v>286</v>
      </c>
      <c r="O25" s="30" t="s">
        <v>287</v>
      </c>
      <c r="P25" s="30" t="s">
        <v>0</v>
      </c>
      <c r="Q25" s="30" t="s">
        <v>62</v>
      </c>
      <c r="R25" s="30" t="s">
        <v>288</v>
      </c>
      <c r="S25" s="36">
        <v>-100000</v>
      </c>
      <c r="T25" s="37" t="s">
        <v>288</v>
      </c>
      <c r="U25" s="36">
        <v>-100000</v>
      </c>
      <c r="V25" s="30" t="s">
        <v>0</v>
      </c>
      <c r="W25" s="30" t="s">
        <v>301</v>
      </c>
      <c r="X25" s="30" t="s">
        <v>0</v>
      </c>
      <c r="Y25" s="30" t="s">
        <v>0</v>
      </c>
      <c r="Z25" s="30" t="s">
        <v>296</v>
      </c>
      <c r="AA25" s="30" t="s">
        <v>0</v>
      </c>
      <c r="AB25" s="30" t="s">
        <v>0</v>
      </c>
      <c r="AC25" s="30" t="s">
        <v>0</v>
      </c>
      <c r="AD25" s="30" t="s">
        <v>0</v>
      </c>
      <c r="AE25" s="31">
        <v>45972</v>
      </c>
      <c r="AF25" s="31"/>
      <c r="AG25" s="30" t="s">
        <v>0</v>
      </c>
    </row>
    <row r="26" spans="1:33" x14ac:dyDescent="0.35">
      <c r="A26" s="30" t="s">
        <v>297</v>
      </c>
      <c r="B26" s="30" t="s">
        <v>280</v>
      </c>
      <c r="C26" s="30" t="s">
        <v>281</v>
      </c>
      <c r="D26" s="30" t="s">
        <v>282</v>
      </c>
      <c r="E26" s="30" t="s">
        <v>283</v>
      </c>
      <c r="F26" s="30" t="s">
        <v>57</v>
      </c>
      <c r="G26" s="31">
        <v>45977</v>
      </c>
      <c r="H26" s="30" t="s">
        <v>343</v>
      </c>
      <c r="I26" s="30" t="s">
        <v>299</v>
      </c>
      <c r="J26" s="31">
        <v>45977</v>
      </c>
      <c r="K26" s="31">
        <v>45977</v>
      </c>
      <c r="L26" s="30" t="s">
        <v>344</v>
      </c>
      <c r="M26" s="30" t="s">
        <v>0</v>
      </c>
      <c r="N26" s="30" t="s">
        <v>286</v>
      </c>
      <c r="O26" s="30" t="s">
        <v>287</v>
      </c>
      <c r="P26" s="30" t="s">
        <v>0</v>
      </c>
      <c r="Q26" s="30" t="s">
        <v>62</v>
      </c>
      <c r="R26" s="30" t="s">
        <v>288</v>
      </c>
      <c r="S26" s="36">
        <v>-100000</v>
      </c>
      <c r="T26" s="37" t="s">
        <v>288</v>
      </c>
      <c r="U26" s="36">
        <v>-100000</v>
      </c>
      <c r="V26" s="30" t="s">
        <v>0</v>
      </c>
      <c r="W26" s="30" t="s">
        <v>301</v>
      </c>
      <c r="X26" s="30" t="s">
        <v>0</v>
      </c>
      <c r="Y26" s="30" t="s">
        <v>0</v>
      </c>
      <c r="Z26" s="30" t="s">
        <v>296</v>
      </c>
      <c r="AA26" s="30" t="s">
        <v>0</v>
      </c>
      <c r="AB26" s="30" t="s">
        <v>0</v>
      </c>
      <c r="AC26" s="30" t="s">
        <v>0</v>
      </c>
      <c r="AD26" s="30" t="s">
        <v>0</v>
      </c>
      <c r="AE26" s="31">
        <v>45977</v>
      </c>
      <c r="AF26" s="31"/>
      <c r="AG26" s="30" t="s">
        <v>0</v>
      </c>
    </row>
    <row r="27" spans="1:33" x14ac:dyDescent="0.35">
      <c r="A27" s="30" t="s">
        <v>279</v>
      </c>
      <c r="B27" s="30" t="s">
        <v>280</v>
      </c>
      <c r="C27" s="30" t="s">
        <v>281</v>
      </c>
      <c r="D27" s="30" t="s">
        <v>282</v>
      </c>
      <c r="E27" s="30" t="s">
        <v>283</v>
      </c>
      <c r="F27" s="30" t="s">
        <v>59</v>
      </c>
      <c r="G27" s="31">
        <v>45992</v>
      </c>
      <c r="H27" s="30" t="s">
        <v>345</v>
      </c>
      <c r="I27" s="30" t="s">
        <v>299</v>
      </c>
      <c r="J27" s="31">
        <v>45992</v>
      </c>
      <c r="K27" s="31">
        <v>46011</v>
      </c>
      <c r="L27" s="30" t="s">
        <v>333</v>
      </c>
      <c r="M27" s="30" t="s">
        <v>0</v>
      </c>
      <c r="N27" s="30" t="s">
        <v>286</v>
      </c>
      <c r="O27" s="30" t="s">
        <v>287</v>
      </c>
      <c r="P27" s="30" t="s">
        <v>0</v>
      </c>
      <c r="Q27" s="30" t="s">
        <v>304</v>
      </c>
      <c r="R27" s="30" t="s">
        <v>288</v>
      </c>
      <c r="S27" s="36">
        <v>100000</v>
      </c>
      <c r="T27" s="37" t="s">
        <v>288</v>
      </c>
      <c r="U27" s="36">
        <v>100000</v>
      </c>
      <c r="V27" s="30" t="s">
        <v>0</v>
      </c>
      <c r="W27" s="30" t="s">
        <v>301</v>
      </c>
      <c r="X27" s="30" t="s">
        <v>0</v>
      </c>
      <c r="Y27" s="30" t="s">
        <v>0</v>
      </c>
      <c r="Z27" s="30" t="s">
        <v>296</v>
      </c>
      <c r="AA27" s="30" t="s">
        <v>0</v>
      </c>
      <c r="AB27" s="30" t="s">
        <v>0</v>
      </c>
      <c r="AC27" s="30" t="s">
        <v>0</v>
      </c>
      <c r="AD27" s="30" t="s">
        <v>0</v>
      </c>
      <c r="AE27" s="31">
        <v>45992</v>
      </c>
      <c r="AF27" s="31">
        <v>45992</v>
      </c>
      <c r="AG27" s="30" t="s">
        <v>345</v>
      </c>
    </row>
    <row r="28" spans="1:33" x14ac:dyDescent="0.35">
      <c r="A28" s="30" t="s">
        <v>279</v>
      </c>
      <c r="B28" s="30" t="s">
        <v>280</v>
      </c>
      <c r="C28" s="30" t="s">
        <v>281</v>
      </c>
      <c r="D28" s="30" t="s">
        <v>282</v>
      </c>
      <c r="E28" s="30" t="s">
        <v>283</v>
      </c>
      <c r="F28" s="30" t="s">
        <v>59</v>
      </c>
      <c r="G28" s="31">
        <v>45992</v>
      </c>
      <c r="H28" s="30" t="s">
        <v>346</v>
      </c>
      <c r="I28" s="30" t="s">
        <v>299</v>
      </c>
      <c r="J28" s="31">
        <v>45992</v>
      </c>
      <c r="K28" s="31">
        <v>45992</v>
      </c>
      <c r="L28" s="30" t="s">
        <v>333</v>
      </c>
      <c r="M28" s="30" t="s">
        <v>0</v>
      </c>
      <c r="N28" s="30" t="s">
        <v>286</v>
      </c>
      <c r="O28" s="30" t="s">
        <v>287</v>
      </c>
      <c r="P28" s="30" t="s">
        <v>0</v>
      </c>
      <c r="Q28" s="30" t="s">
        <v>62</v>
      </c>
      <c r="R28" s="30" t="s">
        <v>288</v>
      </c>
      <c r="S28" s="36">
        <v>-100000</v>
      </c>
      <c r="T28" s="37" t="s">
        <v>288</v>
      </c>
      <c r="U28" s="36">
        <v>-100000</v>
      </c>
      <c r="V28" s="30" t="s">
        <v>0</v>
      </c>
      <c r="W28" s="30" t="s">
        <v>301</v>
      </c>
      <c r="X28" s="30" t="s">
        <v>0</v>
      </c>
      <c r="Y28" s="30" t="s">
        <v>0</v>
      </c>
      <c r="Z28" s="30" t="s">
        <v>296</v>
      </c>
      <c r="AA28" s="30" t="s">
        <v>0</v>
      </c>
      <c r="AB28" s="30" t="s">
        <v>0</v>
      </c>
      <c r="AC28" s="30" t="s">
        <v>0</v>
      </c>
      <c r="AD28" s="30" t="s">
        <v>0</v>
      </c>
      <c r="AE28" s="31">
        <v>45992</v>
      </c>
      <c r="AF28" s="31">
        <v>45992</v>
      </c>
      <c r="AG28" s="30" t="s">
        <v>345</v>
      </c>
    </row>
    <row r="29" spans="1:33" x14ac:dyDescent="0.35">
      <c r="A29" s="30" t="s">
        <v>279</v>
      </c>
      <c r="B29" s="30" t="s">
        <v>280</v>
      </c>
      <c r="C29" s="30" t="s">
        <v>281</v>
      </c>
      <c r="D29" s="30" t="s">
        <v>282</v>
      </c>
      <c r="E29" s="30" t="s">
        <v>283</v>
      </c>
      <c r="F29" s="30" t="s">
        <v>296</v>
      </c>
      <c r="G29" s="31">
        <v>45701</v>
      </c>
      <c r="H29" s="30" t="s">
        <v>347</v>
      </c>
      <c r="I29" s="30" t="s">
        <v>348</v>
      </c>
      <c r="J29" s="31">
        <v>45701</v>
      </c>
      <c r="K29" s="31">
        <v>45701</v>
      </c>
      <c r="L29" s="30" t="s">
        <v>349</v>
      </c>
      <c r="M29" s="30" t="s">
        <v>349</v>
      </c>
      <c r="N29" s="30" t="s">
        <v>286</v>
      </c>
      <c r="O29" s="30" t="s">
        <v>287</v>
      </c>
      <c r="P29" s="30" t="s">
        <v>0</v>
      </c>
      <c r="Q29" s="30" t="s">
        <v>57</v>
      </c>
      <c r="R29" s="30" t="s">
        <v>288</v>
      </c>
      <c r="S29" s="36">
        <v>-1</v>
      </c>
      <c r="T29" s="37" t="s">
        <v>288</v>
      </c>
      <c r="U29" s="36">
        <v>-1</v>
      </c>
      <c r="V29" s="30" t="s">
        <v>0</v>
      </c>
      <c r="W29" s="30" t="s">
        <v>289</v>
      </c>
      <c r="X29" s="30" t="s">
        <v>0</v>
      </c>
      <c r="Y29" s="30" t="s">
        <v>349</v>
      </c>
      <c r="Z29" s="30" t="s">
        <v>290</v>
      </c>
      <c r="AA29" s="30" t="s">
        <v>295</v>
      </c>
      <c r="AB29" s="30" t="s">
        <v>281</v>
      </c>
      <c r="AC29" s="30" t="s">
        <v>0</v>
      </c>
      <c r="AD29" s="30" t="s">
        <v>281</v>
      </c>
      <c r="AE29" s="31">
        <v>45701</v>
      </c>
      <c r="AF29" s="31">
        <v>45758</v>
      </c>
      <c r="AG29" s="30" t="s">
        <v>292</v>
      </c>
    </row>
    <row r="30" spans="1:33" x14ac:dyDescent="0.35">
      <c r="A30" s="30" t="s">
        <v>279</v>
      </c>
      <c r="B30" s="30" t="s">
        <v>280</v>
      </c>
      <c r="C30" s="30" t="s">
        <v>281</v>
      </c>
      <c r="D30" s="30" t="s">
        <v>282</v>
      </c>
      <c r="E30" s="30" t="s">
        <v>283</v>
      </c>
      <c r="F30" s="30" t="s">
        <v>336</v>
      </c>
      <c r="G30" s="31">
        <v>45744</v>
      </c>
      <c r="H30" s="30" t="s">
        <v>350</v>
      </c>
      <c r="I30" s="30" t="s">
        <v>348</v>
      </c>
      <c r="J30" s="31">
        <v>45701</v>
      </c>
      <c r="K30" s="31">
        <v>45744</v>
      </c>
      <c r="L30" s="30" t="s">
        <v>351</v>
      </c>
      <c r="M30" s="30" t="s">
        <v>351</v>
      </c>
      <c r="N30" s="30" t="s">
        <v>286</v>
      </c>
      <c r="O30" s="30" t="s">
        <v>287</v>
      </c>
      <c r="P30" s="30" t="s">
        <v>0</v>
      </c>
      <c r="Q30" s="30" t="s">
        <v>352</v>
      </c>
      <c r="R30" s="30" t="s">
        <v>288</v>
      </c>
      <c r="S30" s="36">
        <v>1</v>
      </c>
      <c r="T30" s="37" t="s">
        <v>288</v>
      </c>
      <c r="U30" s="36">
        <v>1</v>
      </c>
      <c r="V30" s="30" t="s">
        <v>0</v>
      </c>
      <c r="W30" s="30" t="s">
        <v>289</v>
      </c>
      <c r="X30" s="30" t="s">
        <v>0</v>
      </c>
      <c r="Y30" s="30" t="s">
        <v>349</v>
      </c>
      <c r="Z30" s="30" t="s">
        <v>170</v>
      </c>
      <c r="AA30" s="30" t="s">
        <v>295</v>
      </c>
      <c r="AB30" s="30" t="s">
        <v>281</v>
      </c>
      <c r="AC30" s="30" t="s">
        <v>0</v>
      </c>
      <c r="AD30" s="30" t="s">
        <v>281</v>
      </c>
      <c r="AE30" s="31">
        <v>45701</v>
      </c>
      <c r="AF30" s="31">
        <v>45758</v>
      </c>
      <c r="AG30" s="30" t="s">
        <v>292</v>
      </c>
    </row>
    <row r="31" spans="1:33" x14ac:dyDescent="0.35">
      <c r="A31" s="30" t="s">
        <v>279</v>
      </c>
      <c r="B31" s="30" t="s">
        <v>280</v>
      </c>
      <c r="C31" s="30" t="s">
        <v>281</v>
      </c>
      <c r="D31" s="30" t="s">
        <v>282</v>
      </c>
      <c r="E31" s="30" t="s">
        <v>283</v>
      </c>
      <c r="F31" s="30" t="s">
        <v>53</v>
      </c>
      <c r="G31" s="31">
        <v>45861</v>
      </c>
      <c r="H31" s="30" t="s">
        <v>353</v>
      </c>
      <c r="I31" s="30" t="s">
        <v>285</v>
      </c>
      <c r="J31" s="31">
        <v>45861</v>
      </c>
      <c r="K31" s="31">
        <v>45861</v>
      </c>
      <c r="L31" s="30" t="s">
        <v>354</v>
      </c>
      <c r="M31" s="30" t="s">
        <v>355</v>
      </c>
      <c r="N31" s="30" t="s">
        <v>286</v>
      </c>
      <c r="O31" s="30" t="s">
        <v>287</v>
      </c>
      <c r="P31" s="30" t="s">
        <v>0</v>
      </c>
      <c r="Q31" s="30" t="s">
        <v>62</v>
      </c>
      <c r="R31" s="30" t="s">
        <v>356</v>
      </c>
      <c r="S31" s="36">
        <v>0</v>
      </c>
      <c r="T31" s="37" t="s">
        <v>288</v>
      </c>
      <c r="U31" s="36">
        <v>0</v>
      </c>
      <c r="V31" s="30" t="s">
        <v>0</v>
      </c>
      <c r="W31" s="30" t="s">
        <v>289</v>
      </c>
      <c r="X31" s="30" t="s">
        <v>0</v>
      </c>
      <c r="Y31" s="30" t="s">
        <v>0</v>
      </c>
      <c r="Z31" s="30" t="s">
        <v>290</v>
      </c>
      <c r="AA31" s="30" t="s">
        <v>0</v>
      </c>
      <c r="AB31" s="30" t="s">
        <v>0</v>
      </c>
      <c r="AC31" s="30" t="s">
        <v>0</v>
      </c>
      <c r="AD31" s="30" t="s">
        <v>0</v>
      </c>
      <c r="AE31" s="31">
        <v>45861</v>
      </c>
      <c r="AF31" s="31">
        <v>45861</v>
      </c>
      <c r="AG31" s="30" t="s">
        <v>353</v>
      </c>
    </row>
    <row r="32" spans="1:33" x14ac:dyDescent="0.35">
      <c r="A32" s="30" t="s">
        <v>279</v>
      </c>
      <c r="B32" s="30" t="s">
        <v>280</v>
      </c>
      <c r="C32" s="30" t="s">
        <v>281</v>
      </c>
      <c r="D32" s="30" t="s">
        <v>282</v>
      </c>
      <c r="E32" s="30" t="s">
        <v>283</v>
      </c>
      <c r="F32" s="30" t="s">
        <v>53</v>
      </c>
      <c r="G32" s="31">
        <v>45861</v>
      </c>
      <c r="H32" s="30" t="s">
        <v>357</v>
      </c>
      <c r="I32" s="30" t="s">
        <v>285</v>
      </c>
      <c r="J32" s="31">
        <v>45861</v>
      </c>
      <c r="K32" s="31">
        <v>45861</v>
      </c>
      <c r="L32" s="30" t="s">
        <v>354</v>
      </c>
      <c r="M32" s="30" t="s">
        <v>355</v>
      </c>
      <c r="N32" s="30" t="s">
        <v>286</v>
      </c>
      <c r="O32" s="30" t="s">
        <v>287</v>
      </c>
      <c r="P32" s="30" t="s">
        <v>0</v>
      </c>
      <c r="Q32" s="30" t="s">
        <v>62</v>
      </c>
      <c r="R32" s="30" t="s">
        <v>356</v>
      </c>
      <c r="S32" s="36">
        <v>0</v>
      </c>
      <c r="T32" s="37" t="s">
        <v>288</v>
      </c>
      <c r="U32" s="36">
        <v>0</v>
      </c>
      <c r="V32" s="30" t="s">
        <v>0</v>
      </c>
      <c r="W32" s="30" t="s">
        <v>289</v>
      </c>
      <c r="X32" s="30" t="s">
        <v>0</v>
      </c>
      <c r="Y32" s="30" t="s">
        <v>0</v>
      </c>
      <c r="Z32" s="30" t="s">
        <v>290</v>
      </c>
      <c r="AA32" s="30" t="s">
        <v>0</v>
      </c>
      <c r="AB32" s="30" t="s">
        <v>0</v>
      </c>
      <c r="AC32" s="30" t="s">
        <v>0</v>
      </c>
      <c r="AD32" s="30" t="s">
        <v>0</v>
      </c>
      <c r="AE32" s="31">
        <v>45861</v>
      </c>
      <c r="AF32" s="31">
        <v>45861</v>
      </c>
      <c r="AG32" s="30" t="s">
        <v>357</v>
      </c>
    </row>
    <row r="33" spans="1:33" x14ac:dyDescent="0.35">
      <c r="A33" s="30" t="s">
        <v>279</v>
      </c>
      <c r="B33" s="30" t="s">
        <v>280</v>
      </c>
      <c r="C33" s="30" t="s">
        <v>281</v>
      </c>
      <c r="D33" s="30" t="s">
        <v>282</v>
      </c>
      <c r="E33" s="30" t="s">
        <v>283</v>
      </c>
      <c r="F33" s="30" t="s">
        <v>53</v>
      </c>
      <c r="G33" s="31">
        <v>45861</v>
      </c>
      <c r="H33" s="30" t="s">
        <v>358</v>
      </c>
      <c r="I33" s="30" t="s">
        <v>285</v>
      </c>
      <c r="J33" s="31">
        <v>45861</v>
      </c>
      <c r="K33" s="31">
        <v>45861</v>
      </c>
      <c r="L33" s="30" t="s">
        <v>354</v>
      </c>
      <c r="M33" s="30" t="s">
        <v>355</v>
      </c>
      <c r="N33" s="30" t="s">
        <v>286</v>
      </c>
      <c r="O33" s="30" t="s">
        <v>287</v>
      </c>
      <c r="P33" s="30" t="s">
        <v>0</v>
      </c>
      <c r="Q33" s="30" t="s">
        <v>62</v>
      </c>
      <c r="R33" s="30" t="s">
        <v>356</v>
      </c>
      <c r="S33" s="36">
        <v>0</v>
      </c>
      <c r="T33" s="37" t="s">
        <v>288</v>
      </c>
      <c r="U33" s="36">
        <v>0</v>
      </c>
      <c r="V33" s="30" t="s">
        <v>0</v>
      </c>
      <c r="W33" s="30" t="s">
        <v>289</v>
      </c>
      <c r="X33" s="30" t="s">
        <v>0</v>
      </c>
      <c r="Y33" s="30" t="s">
        <v>0</v>
      </c>
      <c r="Z33" s="30" t="s">
        <v>290</v>
      </c>
      <c r="AA33" s="30" t="s">
        <v>0</v>
      </c>
      <c r="AB33" s="30" t="s">
        <v>0</v>
      </c>
      <c r="AC33" s="30" t="s">
        <v>0</v>
      </c>
      <c r="AD33" s="30" t="s">
        <v>0</v>
      </c>
      <c r="AE33" s="31">
        <v>45861</v>
      </c>
      <c r="AF33" s="31">
        <v>45861</v>
      </c>
      <c r="AG33" s="30" t="s">
        <v>358</v>
      </c>
    </row>
    <row r="34" spans="1:33" x14ac:dyDescent="0.35">
      <c r="A34" s="30" t="s">
        <v>279</v>
      </c>
      <c r="B34" s="30" t="s">
        <v>280</v>
      </c>
      <c r="C34" s="30" t="s">
        <v>281</v>
      </c>
      <c r="D34" s="30" t="s">
        <v>282</v>
      </c>
      <c r="E34" s="30" t="s">
        <v>283</v>
      </c>
      <c r="F34" s="30" t="s">
        <v>336</v>
      </c>
      <c r="G34" s="31">
        <v>45735</v>
      </c>
      <c r="H34" s="30" t="s">
        <v>359</v>
      </c>
      <c r="I34" s="30" t="s">
        <v>360</v>
      </c>
      <c r="J34" s="31">
        <v>45735</v>
      </c>
      <c r="K34" s="31">
        <v>45736</v>
      </c>
      <c r="L34" s="30" t="s">
        <v>354</v>
      </c>
      <c r="M34" s="30" t="s">
        <v>361</v>
      </c>
      <c r="N34" s="30" t="s">
        <v>286</v>
      </c>
      <c r="O34" s="30" t="s">
        <v>287</v>
      </c>
      <c r="P34" s="30" t="s">
        <v>0</v>
      </c>
      <c r="Q34" s="30" t="s">
        <v>352</v>
      </c>
      <c r="R34" s="30" t="s">
        <v>356</v>
      </c>
      <c r="S34" s="36">
        <v>368.88</v>
      </c>
      <c r="T34" s="37" t="s">
        <v>288</v>
      </c>
      <c r="U34" s="36">
        <v>31978.67</v>
      </c>
      <c r="V34" s="30" t="s">
        <v>362</v>
      </c>
      <c r="W34" s="30" t="s">
        <v>289</v>
      </c>
      <c r="X34" s="30" t="s">
        <v>0</v>
      </c>
      <c r="Y34" s="30" t="s">
        <v>354</v>
      </c>
      <c r="Z34" s="30" t="s">
        <v>290</v>
      </c>
      <c r="AA34" s="30" t="s">
        <v>363</v>
      </c>
      <c r="AB34" s="30" t="s">
        <v>0</v>
      </c>
      <c r="AC34" s="30" t="s">
        <v>0</v>
      </c>
      <c r="AD34" s="30" t="s">
        <v>0</v>
      </c>
      <c r="AE34" s="31">
        <v>45735</v>
      </c>
      <c r="AF34" s="31">
        <v>45861</v>
      </c>
      <c r="AG34" s="30" t="s">
        <v>357</v>
      </c>
    </row>
    <row r="35" spans="1:33" x14ac:dyDescent="0.35">
      <c r="A35" s="30" t="s">
        <v>279</v>
      </c>
      <c r="B35" s="30" t="s">
        <v>280</v>
      </c>
      <c r="C35" s="30" t="s">
        <v>281</v>
      </c>
      <c r="D35" s="30" t="s">
        <v>282</v>
      </c>
      <c r="E35" s="30" t="s">
        <v>283</v>
      </c>
      <c r="F35" s="30" t="s">
        <v>53</v>
      </c>
      <c r="G35" s="31">
        <v>45861</v>
      </c>
      <c r="H35" s="30" t="s">
        <v>364</v>
      </c>
      <c r="I35" s="30" t="s">
        <v>285</v>
      </c>
      <c r="J35" s="31">
        <v>45861</v>
      </c>
      <c r="K35" s="31">
        <v>45861</v>
      </c>
      <c r="L35" s="30" t="s">
        <v>354</v>
      </c>
      <c r="M35" s="30" t="s">
        <v>355</v>
      </c>
      <c r="N35" s="30" t="s">
        <v>286</v>
      </c>
      <c r="O35" s="30" t="s">
        <v>287</v>
      </c>
      <c r="P35" s="30" t="s">
        <v>0</v>
      </c>
      <c r="Q35" s="30" t="s">
        <v>365</v>
      </c>
      <c r="R35" s="30" t="s">
        <v>356</v>
      </c>
      <c r="S35" s="36">
        <v>1800</v>
      </c>
      <c r="T35" s="37" t="s">
        <v>288</v>
      </c>
      <c r="U35" s="36">
        <v>156459.28</v>
      </c>
      <c r="V35" s="30" t="s">
        <v>0</v>
      </c>
      <c r="W35" s="30" t="s">
        <v>289</v>
      </c>
      <c r="X35" s="30" t="s">
        <v>0</v>
      </c>
      <c r="Y35" s="30" t="s">
        <v>0</v>
      </c>
      <c r="Z35" s="30" t="s">
        <v>290</v>
      </c>
      <c r="AA35" s="30" t="s">
        <v>0</v>
      </c>
      <c r="AB35" s="30" t="s">
        <v>0</v>
      </c>
      <c r="AC35" s="30" t="s">
        <v>0</v>
      </c>
      <c r="AD35" s="30" t="s">
        <v>0</v>
      </c>
      <c r="AE35" s="31">
        <v>45861</v>
      </c>
      <c r="AF35" s="31">
        <v>45861</v>
      </c>
      <c r="AG35" s="30" t="s">
        <v>364</v>
      </c>
    </row>
    <row r="36" spans="1:33" x14ac:dyDescent="0.35">
      <c r="A36" s="30" t="s">
        <v>279</v>
      </c>
      <c r="B36" s="30" t="s">
        <v>280</v>
      </c>
      <c r="C36" s="30" t="s">
        <v>281</v>
      </c>
      <c r="D36" s="30" t="s">
        <v>282</v>
      </c>
      <c r="E36" s="30" t="s">
        <v>283</v>
      </c>
      <c r="F36" s="30" t="s">
        <v>53</v>
      </c>
      <c r="G36" s="31">
        <v>45861</v>
      </c>
      <c r="H36" s="30" t="s">
        <v>364</v>
      </c>
      <c r="I36" s="30" t="s">
        <v>285</v>
      </c>
      <c r="J36" s="31">
        <v>45861</v>
      </c>
      <c r="K36" s="31">
        <v>45861</v>
      </c>
      <c r="L36" s="30" t="s">
        <v>354</v>
      </c>
      <c r="M36" s="30" t="s">
        <v>355</v>
      </c>
      <c r="N36" s="30" t="s">
        <v>286</v>
      </c>
      <c r="O36" s="30" t="s">
        <v>287</v>
      </c>
      <c r="P36" s="30" t="s">
        <v>0</v>
      </c>
      <c r="Q36" s="30" t="s">
        <v>62</v>
      </c>
      <c r="R36" s="30" t="s">
        <v>356</v>
      </c>
      <c r="S36" s="36">
        <v>-1800</v>
      </c>
      <c r="T36" s="37" t="s">
        <v>288</v>
      </c>
      <c r="U36" s="36">
        <v>-156459.28</v>
      </c>
      <c r="V36" s="30" t="s">
        <v>0</v>
      </c>
      <c r="W36" s="30" t="s">
        <v>289</v>
      </c>
      <c r="X36" s="30" t="s">
        <v>0</v>
      </c>
      <c r="Y36" s="30" t="s">
        <v>0</v>
      </c>
      <c r="Z36" s="30" t="s">
        <v>296</v>
      </c>
      <c r="AA36" s="30" t="s">
        <v>0</v>
      </c>
      <c r="AB36" s="30" t="s">
        <v>0</v>
      </c>
      <c r="AC36" s="30" t="s">
        <v>0</v>
      </c>
      <c r="AD36" s="30" t="s">
        <v>0</v>
      </c>
      <c r="AE36" s="31">
        <v>45861</v>
      </c>
      <c r="AF36" s="31">
        <v>45861</v>
      </c>
      <c r="AG36" s="30" t="s">
        <v>364</v>
      </c>
    </row>
    <row r="37" spans="1:33" x14ac:dyDescent="0.35">
      <c r="A37" s="30" t="s">
        <v>279</v>
      </c>
      <c r="B37" s="30" t="s">
        <v>280</v>
      </c>
      <c r="C37" s="30" t="s">
        <v>281</v>
      </c>
      <c r="D37" s="30" t="s">
        <v>282</v>
      </c>
      <c r="E37" s="30" t="s">
        <v>283</v>
      </c>
      <c r="F37" s="30" t="s">
        <v>53</v>
      </c>
      <c r="G37" s="31">
        <v>45861</v>
      </c>
      <c r="H37" s="30" t="s">
        <v>366</v>
      </c>
      <c r="I37" s="30" t="s">
        <v>285</v>
      </c>
      <c r="J37" s="31">
        <v>45861</v>
      </c>
      <c r="K37" s="31">
        <v>45861</v>
      </c>
      <c r="L37" s="30" t="s">
        <v>354</v>
      </c>
      <c r="M37" s="30" t="s">
        <v>355</v>
      </c>
      <c r="N37" s="30" t="s">
        <v>286</v>
      </c>
      <c r="O37" s="30" t="s">
        <v>287</v>
      </c>
      <c r="P37" s="30" t="s">
        <v>0</v>
      </c>
      <c r="Q37" s="30" t="s">
        <v>365</v>
      </c>
      <c r="R37" s="30" t="s">
        <v>356</v>
      </c>
      <c r="S37" s="36">
        <v>1800</v>
      </c>
      <c r="T37" s="37" t="s">
        <v>288</v>
      </c>
      <c r="U37" s="36">
        <v>156459.28</v>
      </c>
      <c r="V37" s="30" t="s">
        <v>0</v>
      </c>
      <c r="W37" s="30" t="s">
        <v>289</v>
      </c>
      <c r="X37" s="30" t="s">
        <v>0</v>
      </c>
      <c r="Y37" s="30" t="s">
        <v>0</v>
      </c>
      <c r="Z37" s="30" t="s">
        <v>290</v>
      </c>
      <c r="AA37" s="30" t="s">
        <v>0</v>
      </c>
      <c r="AB37" s="30" t="s">
        <v>0</v>
      </c>
      <c r="AC37" s="30" t="s">
        <v>0</v>
      </c>
      <c r="AD37" s="30" t="s">
        <v>0</v>
      </c>
      <c r="AE37" s="31">
        <v>45861</v>
      </c>
      <c r="AF37" s="31">
        <v>45861</v>
      </c>
      <c r="AG37" s="30" t="s">
        <v>366</v>
      </c>
    </row>
    <row r="38" spans="1:33" x14ac:dyDescent="0.35">
      <c r="A38" s="30" t="s">
        <v>279</v>
      </c>
      <c r="B38" s="30" t="s">
        <v>280</v>
      </c>
      <c r="C38" s="30" t="s">
        <v>281</v>
      </c>
      <c r="D38" s="30" t="s">
        <v>282</v>
      </c>
      <c r="E38" s="30" t="s">
        <v>283</v>
      </c>
      <c r="F38" s="30" t="s">
        <v>53</v>
      </c>
      <c r="G38" s="31">
        <v>45861</v>
      </c>
      <c r="H38" s="30" t="s">
        <v>366</v>
      </c>
      <c r="I38" s="30" t="s">
        <v>285</v>
      </c>
      <c r="J38" s="31">
        <v>45861</v>
      </c>
      <c r="K38" s="31">
        <v>45861</v>
      </c>
      <c r="L38" s="30" t="s">
        <v>354</v>
      </c>
      <c r="M38" s="30" t="s">
        <v>355</v>
      </c>
      <c r="N38" s="30" t="s">
        <v>286</v>
      </c>
      <c r="O38" s="30" t="s">
        <v>287</v>
      </c>
      <c r="P38" s="30" t="s">
        <v>0</v>
      </c>
      <c r="Q38" s="30" t="s">
        <v>62</v>
      </c>
      <c r="R38" s="30" t="s">
        <v>356</v>
      </c>
      <c r="S38" s="36">
        <v>-1800</v>
      </c>
      <c r="T38" s="37" t="s">
        <v>288</v>
      </c>
      <c r="U38" s="36">
        <v>-156459.28</v>
      </c>
      <c r="V38" s="30" t="s">
        <v>0</v>
      </c>
      <c r="W38" s="30" t="s">
        <v>289</v>
      </c>
      <c r="X38" s="30" t="s">
        <v>0</v>
      </c>
      <c r="Y38" s="30" t="s">
        <v>0</v>
      </c>
      <c r="Z38" s="30" t="s">
        <v>296</v>
      </c>
      <c r="AA38" s="30" t="s">
        <v>0</v>
      </c>
      <c r="AB38" s="30" t="s">
        <v>0</v>
      </c>
      <c r="AC38" s="30" t="s">
        <v>0</v>
      </c>
      <c r="AD38" s="30" t="s">
        <v>0</v>
      </c>
      <c r="AE38" s="31">
        <v>45861</v>
      </c>
      <c r="AF38" s="31">
        <v>45861</v>
      </c>
      <c r="AG38" s="30" t="s">
        <v>366</v>
      </c>
    </row>
    <row r="39" spans="1:33" x14ac:dyDescent="0.35">
      <c r="A39" s="30" t="s">
        <v>297</v>
      </c>
      <c r="B39" s="30" t="s">
        <v>280</v>
      </c>
      <c r="C39" s="30" t="s">
        <v>281</v>
      </c>
      <c r="D39" s="30" t="s">
        <v>282</v>
      </c>
      <c r="E39" s="30" t="s">
        <v>283</v>
      </c>
      <c r="F39" s="30" t="s">
        <v>336</v>
      </c>
      <c r="G39" s="31">
        <v>45736</v>
      </c>
      <c r="H39" s="30" t="s">
        <v>367</v>
      </c>
      <c r="I39" s="30" t="s">
        <v>360</v>
      </c>
      <c r="J39" s="31">
        <v>45736</v>
      </c>
      <c r="K39" s="31">
        <v>45737</v>
      </c>
      <c r="L39" s="30" t="s">
        <v>354</v>
      </c>
      <c r="M39" s="30" t="s">
        <v>368</v>
      </c>
      <c r="N39" s="30" t="s">
        <v>286</v>
      </c>
      <c r="O39" s="30" t="s">
        <v>287</v>
      </c>
      <c r="P39" s="30" t="s">
        <v>0</v>
      </c>
      <c r="Q39" s="30" t="s">
        <v>352</v>
      </c>
      <c r="R39" s="30" t="s">
        <v>356</v>
      </c>
      <c r="S39" s="36">
        <v>12.25</v>
      </c>
      <c r="T39" s="37" t="s">
        <v>288</v>
      </c>
      <c r="U39" s="36">
        <v>1061.97</v>
      </c>
      <c r="V39" s="30" t="s">
        <v>369</v>
      </c>
      <c r="W39" s="30" t="s">
        <v>289</v>
      </c>
      <c r="X39" s="30" t="s">
        <v>0</v>
      </c>
      <c r="Y39" s="30" t="s">
        <v>354</v>
      </c>
      <c r="Z39" s="30" t="s">
        <v>290</v>
      </c>
      <c r="AA39" s="30" t="s">
        <v>370</v>
      </c>
      <c r="AB39" s="30" t="s">
        <v>0</v>
      </c>
      <c r="AC39" s="30" t="s">
        <v>0</v>
      </c>
      <c r="AD39" s="30" t="s">
        <v>0</v>
      </c>
      <c r="AE39" s="31">
        <v>45736</v>
      </c>
      <c r="AF39" s="31"/>
      <c r="AG39" s="30" t="s">
        <v>0</v>
      </c>
    </row>
    <row r="40" spans="1:33" x14ac:dyDescent="0.35">
      <c r="A40" s="30" t="s">
        <v>297</v>
      </c>
      <c r="B40" s="30" t="s">
        <v>280</v>
      </c>
      <c r="C40" s="30" t="s">
        <v>281</v>
      </c>
      <c r="D40" s="30" t="s">
        <v>282</v>
      </c>
      <c r="E40" s="30" t="s">
        <v>283</v>
      </c>
      <c r="F40" s="30" t="s">
        <v>291</v>
      </c>
      <c r="G40" s="31">
        <v>45763</v>
      </c>
      <c r="H40" s="30" t="s">
        <v>371</v>
      </c>
      <c r="I40" s="30" t="s">
        <v>360</v>
      </c>
      <c r="J40" s="31">
        <v>45763</v>
      </c>
      <c r="K40" s="31">
        <v>45764</v>
      </c>
      <c r="L40" s="30" t="s">
        <v>354</v>
      </c>
      <c r="M40" s="30" t="s">
        <v>372</v>
      </c>
      <c r="N40" s="30" t="s">
        <v>286</v>
      </c>
      <c r="O40" s="30" t="s">
        <v>287</v>
      </c>
      <c r="P40" s="30" t="s">
        <v>0</v>
      </c>
      <c r="Q40" s="30" t="s">
        <v>352</v>
      </c>
      <c r="R40" s="30" t="s">
        <v>356</v>
      </c>
      <c r="S40" s="36">
        <v>7.07</v>
      </c>
      <c r="T40" s="37" t="s">
        <v>288</v>
      </c>
      <c r="U40" s="36">
        <v>614.54</v>
      </c>
      <c r="V40" s="30" t="s">
        <v>369</v>
      </c>
      <c r="W40" s="30" t="s">
        <v>289</v>
      </c>
      <c r="X40" s="30" t="s">
        <v>0</v>
      </c>
      <c r="Y40" s="30" t="s">
        <v>354</v>
      </c>
      <c r="Z40" s="30" t="s">
        <v>290</v>
      </c>
      <c r="AA40" s="30" t="s">
        <v>373</v>
      </c>
      <c r="AB40" s="30" t="s">
        <v>0</v>
      </c>
      <c r="AC40" s="30" t="s">
        <v>0</v>
      </c>
      <c r="AD40" s="30" t="s">
        <v>0</v>
      </c>
      <c r="AE40" s="31">
        <v>45763</v>
      </c>
      <c r="AF40" s="31"/>
      <c r="AG40" s="30" t="s">
        <v>0</v>
      </c>
    </row>
    <row r="41" spans="1:33" x14ac:dyDescent="0.35">
      <c r="A41" s="30" t="s">
        <v>297</v>
      </c>
      <c r="B41" s="30" t="s">
        <v>280</v>
      </c>
      <c r="C41" s="30" t="s">
        <v>281</v>
      </c>
      <c r="D41" s="30" t="s">
        <v>282</v>
      </c>
      <c r="E41" s="30" t="s">
        <v>283</v>
      </c>
      <c r="F41" s="30" t="s">
        <v>291</v>
      </c>
      <c r="G41" s="31">
        <v>45751</v>
      </c>
      <c r="H41" s="30" t="s">
        <v>374</v>
      </c>
      <c r="I41" s="30" t="s">
        <v>360</v>
      </c>
      <c r="J41" s="31">
        <v>45751</v>
      </c>
      <c r="K41" s="31">
        <v>45752</v>
      </c>
      <c r="L41" s="30" t="s">
        <v>354</v>
      </c>
      <c r="M41" s="30" t="s">
        <v>375</v>
      </c>
      <c r="N41" s="30" t="s">
        <v>286</v>
      </c>
      <c r="O41" s="30" t="s">
        <v>287</v>
      </c>
      <c r="P41" s="30" t="s">
        <v>0</v>
      </c>
      <c r="Q41" s="30" t="s">
        <v>352</v>
      </c>
      <c r="R41" s="30" t="s">
        <v>356</v>
      </c>
      <c r="S41" s="36">
        <v>1394.64</v>
      </c>
      <c r="T41" s="37" t="s">
        <v>288</v>
      </c>
      <c r="U41" s="36">
        <v>121224.65</v>
      </c>
      <c r="V41" s="30" t="s">
        <v>369</v>
      </c>
      <c r="W41" s="30" t="s">
        <v>0</v>
      </c>
      <c r="X41" s="30" t="s">
        <v>0</v>
      </c>
      <c r="Y41" s="30" t="s">
        <v>354</v>
      </c>
      <c r="Z41" s="30" t="s">
        <v>290</v>
      </c>
      <c r="AA41" s="30" t="s">
        <v>376</v>
      </c>
      <c r="AB41" s="30" t="s">
        <v>0</v>
      </c>
      <c r="AC41" s="30" t="s">
        <v>0</v>
      </c>
      <c r="AD41" s="30" t="s">
        <v>0</v>
      </c>
      <c r="AE41" s="31">
        <v>45751</v>
      </c>
      <c r="AF41" s="31"/>
      <c r="AG41" s="30" t="s">
        <v>0</v>
      </c>
    </row>
    <row r="42" spans="1:33" x14ac:dyDescent="0.35">
      <c r="A42" s="30" t="s">
        <v>297</v>
      </c>
      <c r="B42" s="30" t="s">
        <v>280</v>
      </c>
      <c r="C42" s="30" t="s">
        <v>281</v>
      </c>
      <c r="D42" s="30" t="s">
        <v>282</v>
      </c>
      <c r="E42" s="30" t="s">
        <v>283</v>
      </c>
      <c r="F42" s="30" t="s">
        <v>291</v>
      </c>
      <c r="G42" s="31">
        <v>45751</v>
      </c>
      <c r="H42" s="30" t="s">
        <v>377</v>
      </c>
      <c r="I42" s="30" t="s">
        <v>360</v>
      </c>
      <c r="J42" s="31">
        <v>45751</v>
      </c>
      <c r="K42" s="31">
        <v>45752</v>
      </c>
      <c r="L42" s="30" t="s">
        <v>354</v>
      </c>
      <c r="M42" s="30" t="s">
        <v>378</v>
      </c>
      <c r="N42" s="30" t="s">
        <v>286</v>
      </c>
      <c r="O42" s="30" t="s">
        <v>287</v>
      </c>
      <c r="P42" s="30" t="s">
        <v>0</v>
      </c>
      <c r="Q42" s="30" t="s">
        <v>352</v>
      </c>
      <c r="R42" s="30" t="s">
        <v>356</v>
      </c>
      <c r="S42" s="36">
        <v>2592.75</v>
      </c>
      <c r="T42" s="37" t="s">
        <v>288</v>
      </c>
      <c r="U42" s="36">
        <v>225366.55</v>
      </c>
      <c r="V42" s="30" t="s">
        <v>369</v>
      </c>
      <c r="W42" s="30" t="s">
        <v>0</v>
      </c>
      <c r="X42" s="30" t="s">
        <v>0</v>
      </c>
      <c r="Y42" s="30" t="s">
        <v>354</v>
      </c>
      <c r="Z42" s="30" t="s">
        <v>290</v>
      </c>
      <c r="AA42" s="30" t="s">
        <v>379</v>
      </c>
      <c r="AB42" s="30" t="s">
        <v>0</v>
      </c>
      <c r="AC42" s="30" t="s">
        <v>0</v>
      </c>
      <c r="AD42" s="30" t="s">
        <v>0</v>
      </c>
      <c r="AE42" s="31">
        <v>45751</v>
      </c>
      <c r="AF42" s="31"/>
      <c r="AG42" s="30" t="s">
        <v>0</v>
      </c>
    </row>
    <row r="43" spans="1:33" x14ac:dyDescent="0.35">
      <c r="A43" s="30" t="s">
        <v>297</v>
      </c>
      <c r="B43" s="30" t="s">
        <v>280</v>
      </c>
      <c r="C43" s="30" t="s">
        <v>281</v>
      </c>
      <c r="D43" s="30" t="s">
        <v>282</v>
      </c>
      <c r="E43" s="30" t="s">
        <v>283</v>
      </c>
      <c r="F43" s="30" t="s">
        <v>296</v>
      </c>
      <c r="G43" s="31">
        <v>45716</v>
      </c>
      <c r="H43" s="30" t="s">
        <v>380</v>
      </c>
      <c r="I43" s="30" t="s">
        <v>360</v>
      </c>
      <c r="J43" s="31">
        <v>45716</v>
      </c>
      <c r="K43" s="31">
        <v>45716</v>
      </c>
      <c r="L43" s="30" t="s">
        <v>354</v>
      </c>
      <c r="M43" s="30" t="s">
        <v>381</v>
      </c>
      <c r="N43" s="30" t="s">
        <v>286</v>
      </c>
      <c r="O43" s="30" t="s">
        <v>287</v>
      </c>
      <c r="P43" s="30" t="s">
        <v>0</v>
      </c>
      <c r="Q43" s="30" t="s">
        <v>352</v>
      </c>
      <c r="R43" s="30" t="s">
        <v>356</v>
      </c>
      <c r="S43" s="36">
        <v>450</v>
      </c>
      <c r="T43" s="37" t="s">
        <v>288</v>
      </c>
      <c r="U43" s="36">
        <v>38836.65</v>
      </c>
      <c r="V43" s="30" t="s">
        <v>369</v>
      </c>
      <c r="W43" s="30" t="s">
        <v>289</v>
      </c>
      <c r="X43" s="30" t="s">
        <v>0</v>
      </c>
      <c r="Y43" s="30" t="s">
        <v>354</v>
      </c>
      <c r="Z43" s="30" t="s">
        <v>290</v>
      </c>
      <c r="AA43" s="30" t="s">
        <v>382</v>
      </c>
      <c r="AB43" s="30" t="s">
        <v>0</v>
      </c>
      <c r="AC43" s="30" t="s">
        <v>0</v>
      </c>
      <c r="AD43" s="30" t="s">
        <v>0</v>
      </c>
      <c r="AE43" s="31">
        <v>45716</v>
      </c>
      <c r="AF43" s="31"/>
      <c r="AG43" s="30" t="s">
        <v>0</v>
      </c>
    </row>
    <row r="44" spans="1:33" x14ac:dyDescent="0.35">
      <c r="A44" s="30" t="s">
        <v>297</v>
      </c>
      <c r="B44" s="30" t="s">
        <v>280</v>
      </c>
      <c r="C44" s="30" t="s">
        <v>281</v>
      </c>
      <c r="D44" s="30" t="s">
        <v>282</v>
      </c>
      <c r="E44" s="30" t="s">
        <v>283</v>
      </c>
      <c r="F44" s="30" t="s">
        <v>296</v>
      </c>
      <c r="G44" s="31">
        <v>45716</v>
      </c>
      <c r="H44" s="30" t="s">
        <v>383</v>
      </c>
      <c r="I44" s="30" t="s">
        <v>360</v>
      </c>
      <c r="J44" s="31">
        <v>45716</v>
      </c>
      <c r="K44" s="31">
        <v>45716</v>
      </c>
      <c r="L44" s="30" t="s">
        <v>354</v>
      </c>
      <c r="M44" s="30" t="s">
        <v>384</v>
      </c>
      <c r="N44" s="30" t="s">
        <v>286</v>
      </c>
      <c r="O44" s="30" t="s">
        <v>287</v>
      </c>
      <c r="P44" s="30" t="s">
        <v>0</v>
      </c>
      <c r="Q44" s="30" t="s">
        <v>352</v>
      </c>
      <c r="R44" s="30" t="s">
        <v>356</v>
      </c>
      <c r="S44" s="36">
        <v>465</v>
      </c>
      <c r="T44" s="37" t="s">
        <v>288</v>
      </c>
      <c r="U44" s="36">
        <v>40131.199999999997</v>
      </c>
      <c r="V44" s="30" t="s">
        <v>369</v>
      </c>
      <c r="W44" s="30" t="s">
        <v>289</v>
      </c>
      <c r="X44" s="30" t="s">
        <v>0</v>
      </c>
      <c r="Y44" s="30" t="s">
        <v>354</v>
      </c>
      <c r="Z44" s="30" t="s">
        <v>290</v>
      </c>
      <c r="AA44" s="30" t="s">
        <v>382</v>
      </c>
      <c r="AB44" s="30" t="s">
        <v>0</v>
      </c>
      <c r="AC44" s="30" t="s">
        <v>0</v>
      </c>
      <c r="AD44" s="30" t="s">
        <v>0</v>
      </c>
      <c r="AE44" s="31">
        <v>45716</v>
      </c>
      <c r="AF44" s="31"/>
      <c r="AG44" s="30" t="s">
        <v>0</v>
      </c>
    </row>
    <row r="45" spans="1:33" x14ac:dyDescent="0.35">
      <c r="A45" s="30" t="s">
        <v>297</v>
      </c>
      <c r="B45" s="30" t="s">
        <v>280</v>
      </c>
      <c r="C45" s="30" t="s">
        <v>281</v>
      </c>
      <c r="D45" s="30" t="s">
        <v>282</v>
      </c>
      <c r="E45" s="30" t="s">
        <v>283</v>
      </c>
      <c r="F45" s="30" t="s">
        <v>296</v>
      </c>
      <c r="G45" s="31">
        <v>45716</v>
      </c>
      <c r="H45" s="30" t="s">
        <v>385</v>
      </c>
      <c r="I45" s="30" t="s">
        <v>360</v>
      </c>
      <c r="J45" s="31">
        <v>45716</v>
      </c>
      <c r="K45" s="31">
        <v>45716</v>
      </c>
      <c r="L45" s="30" t="s">
        <v>354</v>
      </c>
      <c r="M45" s="30" t="s">
        <v>386</v>
      </c>
      <c r="N45" s="30" t="s">
        <v>286</v>
      </c>
      <c r="O45" s="30" t="s">
        <v>287</v>
      </c>
      <c r="P45" s="30" t="s">
        <v>0</v>
      </c>
      <c r="Q45" s="30" t="s">
        <v>352</v>
      </c>
      <c r="R45" s="30" t="s">
        <v>356</v>
      </c>
      <c r="S45" s="36">
        <v>465</v>
      </c>
      <c r="T45" s="37" t="s">
        <v>288</v>
      </c>
      <c r="U45" s="36">
        <v>40131.199999999997</v>
      </c>
      <c r="V45" s="30" t="s">
        <v>369</v>
      </c>
      <c r="W45" s="30" t="s">
        <v>289</v>
      </c>
      <c r="X45" s="30" t="s">
        <v>0</v>
      </c>
      <c r="Y45" s="30" t="s">
        <v>354</v>
      </c>
      <c r="Z45" s="30" t="s">
        <v>290</v>
      </c>
      <c r="AA45" s="30" t="s">
        <v>382</v>
      </c>
      <c r="AB45" s="30" t="s">
        <v>0</v>
      </c>
      <c r="AC45" s="30" t="s">
        <v>0</v>
      </c>
      <c r="AD45" s="30" t="s">
        <v>0</v>
      </c>
      <c r="AE45" s="31">
        <v>45716</v>
      </c>
      <c r="AF45" s="31"/>
      <c r="AG45" s="30" t="s">
        <v>0</v>
      </c>
    </row>
    <row r="46" spans="1:33" x14ac:dyDescent="0.35">
      <c r="A46" s="30" t="s">
        <v>297</v>
      </c>
      <c r="B46" s="30" t="s">
        <v>280</v>
      </c>
      <c r="C46" s="30" t="s">
        <v>281</v>
      </c>
      <c r="D46" s="30" t="s">
        <v>282</v>
      </c>
      <c r="E46" s="30" t="s">
        <v>283</v>
      </c>
      <c r="F46" s="30" t="s">
        <v>296</v>
      </c>
      <c r="G46" s="31">
        <v>45716</v>
      </c>
      <c r="H46" s="30" t="s">
        <v>387</v>
      </c>
      <c r="I46" s="30" t="s">
        <v>360</v>
      </c>
      <c r="J46" s="31">
        <v>45716</v>
      </c>
      <c r="K46" s="31">
        <v>45716</v>
      </c>
      <c r="L46" s="30" t="s">
        <v>354</v>
      </c>
      <c r="M46" s="30" t="s">
        <v>388</v>
      </c>
      <c r="N46" s="30" t="s">
        <v>286</v>
      </c>
      <c r="O46" s="30" t="s">
        <v>287</v>
      </c>
      <c r="P46" s="30" t="s">
        <v>0</v>
      </c>
      <c r="Q46" s="30" t="s">
        <v>352</v>
      </c>
      <c r="R46" s="30" t="s">
        <v>356</v>
      </c>
      <c r="S46" s="36">
        <v>450</v>
      </c>
      <c r="T46" s="37" t="s">
        <v>288</v>
      </c>
      <c r="U46" s="36">
        <v>38836.65</v>
      </c>
      <c r="V46" s="30" t="s">
        <v>369</v>
      </c>
      <c r="W46" s="30" t="s">
        <v>289</v>
      </c>
      <c r="X46" s="30" t="s">
        <v>0</v>
      </c>
      <c r="Y46" s="30" t="s">
        <v>354</v>
      </c>
      <c r="Z46" s="30" t="s">
        <v>290</v>
      </c>
      <c r="AA46" s="30" t="s">
        <v>382</v>
      </c>
      <c r="AB46" s="30" t="s">
        <v>0</v>
      </c>
      <c r="AC46" s="30" t="s">
        <v>0</v>
      </c>
      <c r="AD46" s="30" t="s">
        <v>0</v>
      </c>
      <c r="AE46" s="31">
        <v>45716</v>
      </c>
      <c r="AF46" s="31"/>
      <c r="AG46" s="30" t="s">
        <v>0</v>
      </c>
    </row>
    <row r="47" spans="1:33" x14ac:dyDescent="0.35">
      <c r="A47" s="30" t="s">
        <v>297</v>
      </c>
      <c r="B47" s="30" t="s">
        <v>280</v>
      </c>
      <c r="C47" s="30" t="s">
        <v>281</v>
      </c>
      <c r="D47" s="30" t="s">
        <v>282</v>
      </c>
      <c r="E47" s="30" t="s">
        <v>283</v>
      </c>
      <c r="F47" s="30" t="s">
        <v>336</v>
      </c>
      <c r="G47" s="31">
        <v>45722</v>
      </c>
      <c r="H47" s="30" t="s">
        <v>389</v>
      </c>
      <c r="I47" s="30" t="s">
        <v>360</v>
      </c>
      <c r="J47" s="31">
        <v>45722</v>
      </c>
      <c r="K47" s="31">
        <v>45722</v>
      </c>
      <c r="L47" s="30" t="s">
        <v>354</v>
      </c>
      <c r="M47" s="30" t="s">
        <v>390</v>
      </c>
      <c r="N47" s="30" t="s">
        <v>286</v>
      </c>
      <c r="O47" s="30" t="s">
        <v>287</v>
      </c>
      <c r="P47" s="30" t="s">
        <v>0</v>
      </c>
      <c r="Q47" s="30" t="s">
        <v>352</v>
      </c>
      <c r="R47" s="30" t="s">
        <v>356</v>
      </c>
      <c r="S47" s="36">
        <v>2306.52</v>
      </c>
      <c r="T47" s="37" t="s">
        <v>288</v>
      </c>
      <c r="U47" s="36">
        <v>199955.13</v>
      </c>
      <c r="V47" s="30" t="s">
        <v>369</v>
      </c>
      <c r="W47" s="30" t="s">
        <v>289</v>
      </c>
      <c r="X47" s="30" t="s">
        <v>0</v>
      </c>
      <c r="Y47" s="30" t="s">
        <v>354</v>
      </c>
      <c r="Z47" s="30" t="s">
        <v>290</v>
      </c>
      <c r="AA47" s="30" t="s">
        <v>391</v>
      </c>
      <c r="AB47" s="30" t="s">
        <v>0</v>
      </c>
      <c r="AC47" s="30" t="s">
        <v>0</v>
      </c>
      <c r="AD47" s="30" t="s">
        <v>0</v>
      </c>
      <c r="AE47" s="31">
        <v>45722</v>
      </c>
      <c r="AF47" s="31"/>
      <c r="AG47" s="30" t="s">
        <v>0</v>
      </c>
    </row>
    <row r="48" spans="1:33" x14ac:dyDescent="0.35">
      <c r="A48" s="30" t="s">
        <v>297</v>
      </c>
      <c r="B48" s="30" t="s">
        <v>280</v>
      </c>
      <c r="C48" s="30" t="s">
        <v>281</v>
      </c>
      <c r="D48" s="30" t="s">
        <v>282</v>
      </c>
      <c r="E48" s="30" t="s">
        <v>283</v>
      </c>
      <c r="F48" s="30" t="s">
        <v>336</v>
      </c>
      <c r="G48" s="31">
        <v>45722</v>
      </c>
      <c r="H48" s="30" t="s">
        <v>392</v>
      </c>
      <c r="I48" s="30" t="s">
        <v>360</v>
      </c>
      <c r="J48" s="31">
        <v>45722</v>
      </c>
      <c r="K48" s="31">
        <v>45722</v>
      </c>
      <c r="L48" s="30" t="s">
        <v>354</v>
      </c>
      <c r="M48" s="30" t="s">
        <v>393</v>
      </c>
      <c r="N48" s="30" t="s">
        <v>286</v>
      </c>
      <c r="O48" s="30" t="s">
        <v>287</v>
      </c>
      <c r="P48" s="30" t="s">
        <v>0</v>
      </c>
      <c r="Q48" s="30" t="s">
        <v>352</v>
      </c>
      <c r="R48" s="30" t="s">
        <v>356</v>
      </c>
      <c r="S48" s="36">
        <v>2390.58</v>
      </c>
      <c r="T48" s="37" t="s">
        <v>288</v>
      </c>
      <c r="U48" s="36">
        <v>207242.39</v>
      </c>
      <c r="V48" s="30" t="s">
        <v>369</v>
      </c>
      <c r="W48" s="30" t="s">
        <v>289</v>
      </c>
      <c r="X48" s="30" t="s">
        <v>0</v>
      </c>
      <c r="Y48" s="30" t="s">
        <v>354</v>
      </c>
      <c r="Z48" s="30" t="s">
        <v>290</v>
      </c>
      <c r="AA48" s="30" t="s">
        <v>394</v>
      </c>
      <c r="AB48" s="30" t="s">
        <v>0</v>
      </c>
      <c r="AC48" s="30" t="s">
        <v>0</v>
      </c>
      <c r="AD48" s="30" t="s">
        <v>0</v>
      </c>
      <c r="AE48" s="31">
        <v>45722</v>
      </c>
      <c r="AF48" s="31"/>
      <c r="AG48" s="30" t="s">
        <v>0</v>
      </c>
    </row>
    <row r="49" spans="1:33" x14ac:dyDescent="0.35">
      <c r="A49" s="30" t="s">
        <v>297</v>
      </c>
      <c r="B49" s="30" t="s">
        <v>280</v>
      </c>
      <c r="C49" s="30" t="s">
        <v>281</v>
      </c>
      <c r="D49" s="30" t="s">
        <v>282</v>
      </c>
      <c r="E49" s="30" t="s">
        <v>283</v>
      </c>
      <c r="F49" s="30" t="s">
        <v>336</v>
      </c>
      <c r="G49" s="31">
        <v>45719</v>
      </c>
      <c r="H49" s="30" t="s">
        <v>395</v>
      </c>
      <c r="I49" s="30" t="s">
        <v>360</v>
      </c>
      <c r="J49" s="31">
        <v>45719</v>
      </c>
      <c r="K49" s="31">
        <v>45719</v>
      </c>
      <c r="L49" s="30" t="s">
        <v>354</v>
      </c>
      <c r="M49" s="30" t="s">
        <v>396</v>
      </c>
      <c r="N49" s="30" t="s">
        <v>286</v>
      </c>
      <c r="O49" s="30" t="s">
        <v>287</v>
      </c>
      <c r="P49" s="30" t="s">
        <v>0</v>
      </c>
      <c r="Q49" s="30" t="s">
        <v>352</v>
      </c>
      <c r="R49" s="30" t="s">
        <v>356</v>
      </c>
      <c r="S49" s="36">
        <v>1894.32</v>
      </c>
      <c r="T49" s="37" t="s">
        <v>288</v>
      </c>
      <c r="U49" s="36">
        <v>164220.99</v>
      </c>
      <c r="V49" s="30" t="s">
        <v>369</v>
      </c>
      <c r="W49" s="30" t="s">
        <v>289</v>
      </c>
      <c r="X49" s="30" t="s">
        <v>0</v>
      </c>
      <c r="Y49" s="30" t="s">
        <v>354</v>
      </c>
      <c r="Z49" s="30" t="s">
        <v>290</v>
      </c>
      <c r="AA49" s="30" t="s">
        <v>397</v>
      </c>
      <c r="AB49" s="30" t="s">
        <v>0</v>
      </c>
      <c r="AC49" s="30" t="s">
        <v>0</v>
      </c>
      <c r="AD49" s="30" t="s">
        <v>0</v>
      </c>
      <c r="AE49" s="31">
        <v>45719</v>
      </c>
      <c r="AF49" s="31"/>
      <c r="AG49" s="30" t="s">
        <v>0</v>
      </c>
    </row>
    <row r="50" spans="1:33" x14ac:dyDescent="0.35">
      <c r="A50" s="30" t="s">
        <v>297</v>
      </c>
      <c r="B50" s="30" t="s">
        <v>280</v>
      </c>
      <c r="C50" s="30" t="s">
        <v>281</v>
      </c>
      <c r="D50" s="30" t="s">
        <v>282</v>
      </c>
      <c r="E50" s="30" t="s">
        <v>283</v>
      </c>
      <c r="F50" s="30" t="s">
        <v>336</v>
      </c>
      <c r="G50" s="31">
        <v>45719</v>
      </c>
      <c r="H50" s="30" t="s">
        <v>398</v>
      </c>
      <c r="I50" s="30" t="s">
        <v>360</v>
      </c>
      <c r="J50" s="31">
        <v>45719</v>
      </c>
      <c r="K50" s="31">
        <v>45719</v>
      </c>
      <c r="L50" s="30" t="s">
        <v>354</v>
      </c>
      <c r="M50" s="30" t="s">
        <v>399</v>
      </c>
      <c r="N50" s="30" t="s">
        <v>286</v>
      </c>
      <c r="O50" s="30" t="s">
        <v>287</v>
      </c>
      <c r="P50" s="30" t="s">
        <v>0</v>
      </c>
      <c r="Q50" s="30" t="s">
        <v>352</v>
      </c>
      <c r="R50" s="30" t="s">
        <v>356</v>
      </c>
      <c r="S50" s="36">
        <v>1930.92</v>
      </c>
      <c r="T50" s="37" t="s">
        <v>288</v>
      </c>
      <c r="U50" s="36">
        <v>167393.89000000001</v>
      </c>
      <c r="V50" s="30" t="s">
        <v>369</v>
      </c>
      <c r="W50" s="30" t="s">
        <v>289</v>
      </c>
      <c r="X50" s="30" t="s">
        <v>0</v>
      </c>
      <c r="Y50" s="30" t="s">
        <v>354</v>
      </c>
      <c r="Z50" s="30" t="s">
        <v>290</v>
      </c>
      <c r="AA50" s="30" t="s">
        <v>400</v>
      </c>
      <c r="AB50" s="30" t="s">
        <v>0</v>
      </c>
      <c r="AC50" s="30" t="s">
        <v>0</v>
      </c>
      <c r="AD50" s="30" t="s">
        <v>0</v>
      </c>
      <c r="AE50" s="31">
        <v>45719</v>
      </c>
      <c r="AF50" s="31"/>
      <c r="AG50" s="30" t="s">
        <v>0</v>
      </c>
    </row>
    <row r="51" spans="1:33" x14ac:dyDescent="0.35">
      <c r="A51" s="30" t="s">
        <v>279</v>
      </c>
      <c r="B51" s="30" t="s">
        <v>280</v>
      </c>
      <c r="C51" s="30" t="s">
        <v>281</v>
      </c>
      <c r="D51" s="30" t="s">
        <v>282</v>
      </c>
      <c r="E51" s="30" t="s">
        <v>283</v>
      </c>
      <c r="F51" s="30" t="s">
        <v>336</v>
      </c>
      <c r="G51" s="31">
        <v>45719</v>
      </c>
      <c r="H51" s="30" t="s">
        <v>401</v>
      </c>
      <c r="I51" s="30" t="s">
        <v>360</v>
      </c>
      <c r="J51" s="31">
        <v>45719</v>
      </c>
      <c r="K51" s="31">
        <v>45719</v>
      </c>
      <c r="L51" s="30" t="s">
        <v>354</v>
      </c>
      <c r="M51" s="30" t="s">
        <v>402</v>
      </c>
      <c r="N51" s="30" t="s">
        <v>286</v>
      </c>
      <c r="O51" s="30" t="s">
        <v>287</v>
      </c>
      <c r="P51" s="30" t="s">
        <v>0</v>
      </c>
      <c r="Q51" s="30" t="s">
        <v>352</v>
      </c>
      <c r="R51" s="30" t="s">
        <v>356</v>
      </c>
      <c r="S51" s="36">
        <v>1018.38</v>
      </c>
      <c r="T51" s="37" t="s">
        <v>288</v>
      </c>
      <c r="U51" s="36">
        <v>88284.65</v>
      </c>
      <c r="V51" s="30" t="s">
        <v>369</v>
      </c>
      <c r="W51" s="30" t="s">
        <v>289</v>
      </c>
      <c r="X51" s="30" t="s">
        <v>0</v>
      </c>
      <c r="Y51" s="30" t="s">
        <v>354</v>
      </c>
      <c r="Z51" s="30" t="s">
        <v>290</v>
      </c>
      <c r="AA51" s="30" t="s">
        <v>403</v>
      </c>
      <c r="AB51" s="30" t="s">
        <v>0</v>
      </c>
      <c r="AC51" s="30" t="s">
        <v>0</v>
      </c>
      <c r="AD51" s="30" t="s">
        <v>0</v>
      </c>
      <c r="AE51" s="31">
        <v>45719</v>
      </c>
      <c r="AF51" s="31">
        <v>45796</v>
      </c>
      <c r="AG51" s="30" t="s">
        <v>334</v>
      </c>
    </row>
    <row r="52" spans="1:33" x14ac:dyDescent="0.35">
      <c r="A52" s="30" t="s">
        <v>297</v>
      </c>
      <c r="B52" s="30" t="s">
        <v>280</v>
      </c>
      <c r="C52" s="30" t="s">
        <v>281</v>
      </c>
      <c r="D52" s="30" t="s">
        <v>282</v>
      </c>
      <c r="E52" s="30" t="s">
        <v>283</v>
      </c>
      <c r="F52" s="30" t="s">
        <v>54</v>
      </c>
      <c r="G52" s="31">
        <v>45870</v>
      </c>
      <c r="H52" s="30" t="s">
        <v>404</v>
      </c>
      <c r="I52" s="30" t="s">
        <v>360</v>
      </c>
      <c r="J52" s="31">
        <v>45870</v>
      </c>
      <c r="K52" s="31">
        <v>45873</v>
      </c>
      <c r="L52" s="30" t="s">
        <v>354</v>
      </c>
      <c r="M52" s="30" t="s">
        <v>405</v>
      </c>
      <c r="N52" s="30" t="s">
        <v>286</v>
      </c>
      <c r="O52" s="30" t="s">
        <v>287</v>
      </c>
      <c r="P52" s="30" t="s">
        <v>0</v>
      </c>
      <c r="Q52" s="30" t="s">
        <v>352</v>
      </c>
      <c r="R52" s="30" t="s">
        <v>356</v>
      </c>
      <c r="S52" s="36">
        <v>1800</v>
      </c>
      <c r="T52" s="37" t="s">
        <v>288</v>
      </c>
      <c r="U52" s="36">
        <v>154854.22</v>
      </c>
      <c r="V52" s="30" t="s">
        <v>369</v>
      </c>
      <c r="W52" s="30" t="s">
        <v>289</v>
      </c>
      <c r="X52" s="30" t="s">
        <v>0</v>
      </c>
      <c r="Y52" s="30" t="s">
        <v>354</v>
      </c>
      <c r="Z52" s="30" t="s">
        <v>290</v>
      </c>
      <c r="AA52" s="30" t="s">
        <v>406</v>
      </c>
      <c r="AB52" s="30" t="s">
        <v>0</v>
      </c>
      <c r="AC52" s="30" t="s">
        <v>0</v>
      </c>
      <c r="AD52" s="30" t="s">
        <v>0</v>
      </c>
      <c r="AE52" s="31">
        <v>45870</v>
      </c>
      <c r="AF52" s="31"/>
      <c r="AG52" s="30" t="s">
        <v>0</v>
      </c>
    </row>
    <row r="53" spans="1:33" x14ac:dyDescent="0.35">
      <c r="A53" s="30" t="s">
        <v>297</v>
      </c>
      <c r="B53" s="30" t="s">
        <v>280</v>
      </c>
      <c r="C53" s="30" t="s">
        <v>281</v>
      </c>
      <c r="D53" s="30" t="s">
        <v>282</v>
      </c>
      <c r="E53" s="30" t="s">
        <v>283</v>
      </c>
      <c r="F53" s="30" t="s">
        <v>336</v>
      </c>
      <c r="G53" s="31">
        <v>45733</v>
      </c>
      <c r="H53" s="30" t="s">
        <v>407</v>
      </c>
      <c r="I53" s="30" t="s">
        <v>360</v>
      </c>
      <c r="J53" s="31">
        <v>45733</v>
      </c>
      <c r="K53" s="31">
        <v>45733</v>
      </c>
      <c r="L53" s="30" t="s">
        <v>354</v>
      </c>
      <c r="M53" s="30" t="s">
        <v>408</v>
      </c>
      <c r="N53" s="30" t="s">
        <v>286</v>
      </c>
      <c r="O53" s="30" t="s">
        <v>287</v>
      </c>
      <c r="P53" s="30" t="s">
        <v>0</v>
      </c>
      <c r="Q53" s="30" t="s">
        <v>352</v>
      </c>
      <c r="R53" s="30" t="s">
        <v>356</v>
      </c>
      <c r="S53" s="36">
        <v>245.69</v>
      </c>
      <c r="T53" s="37" t="s">
        <v>288</v>
      </c>
      <c r="U53" s="36">
        <v>21299.18</v>
      </c>
      <c r="V53" s="30" t="s">
        <v>369</v>
      </c>
      <c r="W53" s="30" t="s">
        <v>289</v>
      </c>
      <c r="X53" s="30" t="s">
        <v>0</v>
      </c>
      <c r="Y53" s="30" t="s">
        <v>354</v>
      </c>
      <c r="Z53" s="30" t="s">
        <v>290</v>
      </c>
      <c r="AA53" s="30" t="s">
        <v>409</v>
      </c>
      <c r="AB53" s="30" t="s">
        <v>0</v>
      </c>
      <c r="AC53" s="30" t="s">
        <v>0</v>
      </c>
      <c r="AD53" s="30" t="s">
        <v>0</v>
      </c>
      <c r="AE53" s="31">
        <v>45733</v>
      </c>
      <c r="AF53" s="31"/>
      <c r="AG53" s="30" t="s">
        <v>0</v>
      </c>
    </row>
    <row r="54" spans="1:33" x14ac:dyDescent="0.35">
      <c r="A54" s="30" t="s">
        <v>297</v>
      </c>
      <c r="B54" s="30" t="s">
        <v>280</v>
      </c>
      <c r="C54" s="30" t="s">
        <v>281</v>
      </c>
      <c r="D54" s="30" t="s">
        <v>282</v>
      </c>
      <c r="E54" s="30" t="s">
        <v>283</v>
      </c>
      <c r="F54" s="30" t="s">
        <v>336</v>
      </c>
      <c r="G54" s="31">
        <v>45733</v>
      </c>
      <c r="H54" s="30" t="s">
        <v>410</v>
      </c>
      <c r="I54" s="30" t="s">
        <v>360</v>
      </c>
      <c r="J54" s="31">
        <v>45733</v>
      </c>
      <c r="K54" s="31">
        <v>45733</v>
      </c>
      <c r="L54" s="30" t="s">
        <v>354</v>
      </c>
      <c r="M54" s="30" t="s">
        <v>411</v>
      </c>
      <c r="N54" s="30" t="s">
        <v>286</v>
      </c>
      <c r="O54" s="30" t="s">
        <v>287</v>
      </c>
      <c r="P54" s="30" t="s">
        <v>0</v>
      </c>
      <c r="Q54" s="30" t="s">
        <v>352</v>
      </c>
      <c r="R54" s="30" t="s">
        <v>356</v>
      </c>
      <c r="S54" s="36">
        <v>69.819999999999993</v>
      </c>
      <c r="T54" s="37" t="s">
        <v>288</v>
      </c>
      <c r="U54" s="36">
        <v>6052.78</v>
      </c>
      <c r="V54" s="30" t="s">
        <v>369</v>
      </c>
      <c r="W54" s="30" t="s">
        <v>289</v>
      </c>
      <c r="X54" s="30" t="s">
        <v>0</v>
      </c>
      <c r="Y54" s="30" t="s">
        <v>354</v>
      </c>
      <c r="Z54" s="30" t="s">
        <v>290</v>
      </c>
      <c r="AA54" s="30" t="s">
        <v>409</v>
      </c>
      <c r="AB54" s="30" t="s">
        <v>0</v>
      </c>
      <c r="AC54" s="30" t="s">
        <v>0</v>
      </c>
      <c r="AD54" s="30" t="s">
        <v>0</v>
      </c>
      <c r="AE54" s="31">
        <v>45733</v>
      </c>
      <c r="AF54" s="31"/>
      <c r="AG54" s="30" t="s">
        <v>0</v>
      </c>
    </row>
    <row r="55" spans="1:33" x14ac:dyDescent="0.35">
      <c r="A55" s="30" t="s">
        <v>297</v>
      </c>
      <c r="B55" s="30" t="s">
        <v>280</v>
      </c>
      <c r="C55" s="30" t="s">
        <v>281</v>
      </c>
      <c r="D55" s="30" t="s">
        <v>282</v>
      </c>
      <c r="E55" s="30" t="s">
        <v>283</v>
      </c>
      <c r="F55" s="30" t="s">
        <v>336</v>
      </c>
      <c r="G55" s="31">
        <v>45733</v>
      </c>
      <c r="H55" s="30" t="s">
        <v>412</v>
      </c>
      <c r="I55" s="30" t="s">
        <v>360</v>
      </c>
      <c r="J55" s="31">
        <v>45733</v>
      </c>
      <c r="K55" s="31">
        <v>45733</v>
      </c>
      <c r="L55" s="30" t="s">
        <v>354</v>
      </c>
      <c r="M55" s="30" t="s">
        <v>413</v>
      </c>
      <c r="N55" s="30" t="s">
        <v>286</v>
      </c>
      <c r="O55" s="30" t="s">
        <v>287</v>
      </c>
      <c r="P55" s="30" t="s">
        <v>0</v>
      </c>
      <c r="Q55" s="30" t="s">
        <v>352</v>
      </c>
      <c r="R55" s="30" t="s">
        <v>356</v>
      </c>
      <c r="S55" s="36">
        <v>71.61</v>
      </c>
      <c r="T55" s="37" t="s">
        <v>288</v>
      </c>
      <c r="U55" s="36">
        <v>6207.96</v>
      </c>
      <c r="V55" s="30" t="s">
        <v>369</v>
      </c>
      <c r="W55" s="30" t="s">
        <v>289</v>
      </c>
      <c r="X55" s="30" t="s">
        <v>0</v>
      </c>
      <c r="Y55" s="30" t="s">
        <v>354</v>
      </c>
      <c r="Z55" s="30" t="s">
        <v>290</v>
      </c>
      <c r="AA55" s="30" t="s">
        <v>409</v>
      </c>
      <c r="AB55" s="30" t="s">
        <v>0</v>
      </c>
      <c r="AC55" s="30" t="s">
        <v>0</v>
      </c>
      <c r="AD55" s="30" t="s">
        <v>0</v>
      </c>
      <c r="AE55" s="31">
        <v>45733</v>
      </c>
      <c r="AF55" s="31"/>
      <c r="AG55" s="30" t="s">
        <v>0</v>
      </c>
    </row>
    <row r="56" spans="1:33" x14ac:dyDescent="0.35">
      <c r="A56" s="30" t="s">
        <v>297</v>
      </c>
      <c r="B56" s="30" t="s">
        <v>280</v>
      </c>
      <c r="C56" s="30" t="s">
        <v>281</v>
      </c>
      <c r="D56" s="30" t="s">
        <v>282</v>
      </c>
      <c r="E56" s="30" t="s">
        <v>283</v>
      </c>
      <c r="F56" s="30" t="s">
        <v>336</v>
      </c>
      <c r="G56" s="31">
        <v>45733</v>
      </c>
      <c r="H56" s="30" t="s">
        <v>414</v>
      </c>
      <c r="I56" s="30" t="s">
        <v>360</v>
      </c>
      <c r="J56" s="31">
        <v>45733</v>
      </c>
      <c r="K56" s="31">
        <v>45733</v>
      </c>
      <c r="L56" s="30" t="s">
        <v>354</v>
      </c>
      <c r="M56" s="30" t="s">
        <v>415</v>
      </c>
      <c r="N56" s="30" t="s">
        <v>286</v>
      </c>
      <c r="O56" s="30" t="s">
        <v>287</v>
      </c>
      <c r="P56" s="30" t="s">
        <v>0</v>
      </c>
      <c r="Q56" s="30" t="s">
        <v>352</v>
      </c>
      <c r="R56" s="30" t="s">
        <v>356</v>
      </c>
      <c r="S56" s="36">
        <v>61.82</v>
      </c>
      <c r="T56" s="37" t="s">
        <v>288</v>
      </c>
      <c r="U56" s="36">
        <v>5359.25</v>
      </c>
      <c r="V56" s="30" t="s">
        <v>369</v>
      </c>
      <c r="W56" s="30" t="s">
        <v>289</v>
      </c>
      <c r="X56" s="30" t="s">
        <v>0</v>
      </c>
      <c r="Y56" s="30" t="s">
        <v>354</v>
      </c>
      <c r="Z56" s="30" t="s">
        <v>290</v>
      </c>
      <c r="AA56" s="30" t="s">
        <v>409</v>
      </c>
      <c r="AB56" s="30" t="s">
        <v>0</v>
      </c>
      <c r="AC56" s="30" t="s">
        <v>0</v>
      </c>
      <c r="AD56" s="30" t="s">
        <v>0</v>
      </c>
      <c r="AE56" s="31">
        <v>45733</v>
      </c>
      <c r="AF56" s="31"/>
      <c r="AG56" s="30" t="s">
        <v>0</v>
      </c>
    </row>
    <row r="57" spans="1:33" x14ac:dyDescent="0.35">
      <c r="A57" s="30" t="s">
        <v>297</v>
      </c>
      <c r="B57" s="30" t="s">
        <v>280</v>
      </c>
      <c r="C57" s="30" t="s">
        <v>281</v>
      </c>
      <c r="D57" s="30" t="s">
        <v>282</v>
      </c>
      <c r="E57" s="30" t="s">
        <v>283</v>
      </c>
      <c r="F57" s="30" t="s">
        <v>336</v>
      </c>
      <c r="G57" s="31">
        <v>45733</v>
      </c>
      <c r="H57" s="30" t="s">
        <v>416</v>
      </c>
      <c r="I57" s="30" t="s">
        <v>360</v>
      </c>
      <c r="J57" s="31">
        <v>45733</v>
      </c>
      <c r="K57" s="31">
        <v>45734</v>
      </c>
      <c r="L57" s="30" t="s">
        <v>354</v>
      </c>
      <c r="M57" s="30" t="s">
        <v>417</v>
      </c>
      <c r="N57" s="30" t="s">
        <v>286</v>
      </c>
      <c r="O57" s="30" t="s">
        <v>287</v>
      </c>
      <c r="P57" s="30" t="s">
        <v>0</v>
      </c>
      <c r="Q57" s="30" t="s">
        <v>352</v>
      </c>
      <c r="R57" s="30" t="s">
        <v>356</v>
      </c>
      <c r="S57" s="36">
        <v>122.18</v>
      </c>
      <c r="T57" s="37" t="s">
        <v>288</v>
      </c>
      <c r="U57" s="36">
        <v>10591.94</v>
      </c>
      <c r="V57" s="30" t="s">
        <v>369</v>
      </c>
      <c r="W57" s="30" t="s">
        <v>289</v>
      </c>
      <c r="X57" s="30" t="s">
        <v>0</v>
      </c>
      <c r="Y57" s="30" t="s">
        <v>354</v>
      </c>
      <c r="Z57" s="30" t="s">
        <v>290</v>
      </c>
      <c r="AA57" s="30" t="s">
        <v>418</v>
      </c>
      <c r="AB57" s="30" t="s">
        <v>0</v>
      </c>
      <c r="AC57" s="30" t="s">
        <v>0</v>
      </c>
      <c r="AD57" s="30" t="s">
        <v>0</v>
      </c>
      <c r="AE57" s="31">
        <v>45733</v>
      </c>
      <c r="AF57" s="31"/>
      <c r="AG57" s="30" t="s">
        <v>0</v>
      </c>
    </row>
    <row r="58" spans="1:33" x14ac:dyDescent="0.35">
      <c r="A58" s="30" t="s">
        <v>297</v>
      </c>
      <c r="B58" s="30" t="s">
        <v>280</v>
      </c>
      <c r="C58" s="30" t="s">
        <v>281</v>
      </c>
      <c r="D58" s="30" t="s">
        <v>282</v>
      </c>
      <c r="E58" s="30" t="s">
        <v>283</v>
      </c>
      <c r="F58" s="30" t="s">
        <v>52</v>
      </c>
      <c r="G58" s="31">
        <v>45818</v>
      </c>
      <c r="H58" s="30" t="s">
        <v>419</v>
      </c>
      <c r="I58" s="30" t="s">
        <v>360</v>
      </c>
      <c r="J58" s="31">
        <v>45818</v>
      </c>
      <c r="K58" s="31">
        <v>45825</v>
      </c>
      <c r="L58" s="30" t="s">
        <v>354</v>
      </c>
      <c r="M58" s="30" t="s">
        <v>420</v>
      </c>
      <c r="N58" s="30" t="s">
        <v>286</v>
      </c>
      <c r="O58" s="30" t="s">
        <v>287</v>
      </c>
      <c r="P58" s="30" t="s">
        <v>0</v>
      </c>
      <c r="Q58" s="30" t="s">
        <v>352</v>
      </c>
      <c r="R58" s="30" t="s">
        <v>356</v>
      </c>
      <c r="S58" s="36">
        <v>1800</v>
      </c>
      <c r="T58" s="37" t="s">
        <v>288</v>
      </c>
      <c r="U58" s="36">
        <v>153883.4</v>
      </c>
      <c r="V58" s="30" t="s">
        <v>369</v>
      </c>
      <c r="W58" s="30" t="s">
        <v>289</v>
      </c>
      <c r="X58" s="30" t="s">
        <v>0</v>
      </c>
      <c r="Y58" s="30" t="s">
        <v>354</v>
      </c>
      <c r="Z58" s="30" t="s">
        <v>290</v>
      </c>
      <c r="AA58" s="30" t="s">
        <v>421</v>
      </c>
      <c r="AB58" s="30" t="s">
        <v>0</v>
      </c>
      <c r="AC58" s="30" t="s">
        <v>0</v>
      </c>
      <c r="AD58" s="30" t="s">
        <v>0</v>
      </c>
      <c r="AE58" s="31">
        <v>45818</v>
      </c>
      <c r="AF58" s="31"/>
      <c r="AG58" s="30" t="s">
        <v>0</v>
      </c>
    </row>
    <row r="59" spans="1:33" x14ac:dyDescent="0.35">
      <c r="A59" s="30" t="s">
        <v>297</v>
      </c>
      <c r="B59" s="30" t="s">
        <v>280</v>
      </c>
      <c r="C59" s="30" t="s">
        <v>281</v>
      </c>
      <c r="D59" s="30" t="s">
        <v>282</v>
      </c>
      <c r="E59" s="30" t="s">
        <v>283</v>
      </c>
      <c r="F59" s="30" t="s">
        <v>55</v>
      </c>
      <c r="G59" s="31">
        <v>45917</v>
      </c>
      <c r="H59" s="30" t="s">
        <v>422</v>
      </c>
      <c r="I59" s="30" t="s">
        <v>360</v>
      </c>
      <c r="J59" s="31">
        <v>45917</v>
      </c>
      <c r="K59" s="31">
        <v>45922</v>
      </c>
      <c r="L59" s="30" t="s">
        <v>354</v>
      </c>
      <c r="M59" s="30" t="s">
        <v>423</v>
      </c>
      <c r="N59" s="30" t="s">
        <v>286</v>
      </c>
      <c r="O59" s="30" t="s">
        <v>287</v>
      </c>
      <c r="P59" s="30" t="s">
        <v>0</v>
      </c>
      <c r="Q59" s="30" t="s">
        <v>352</v>
      </c>
      <c r="R59" s="30" t="s">
        <v>356</v>
      </c>
      <c r="S59" s="36">
        <v>1326.2</v>
      </c>
      <c r="T59" s="37" t="s">
        <v>288</v>
      </c>
      <c r="U59" s="36">
        <v>116061.5</v>
      </c>
      <c r="V59" s="30" t="s">
        <v>369</v>
      </c>
      <c r="W59" s="30" t="s">
        <v>289</v>
      </c>
      <c r="X59" s="30" t="s">
        <v>0</v>
      </c>
      <c r="Y59" s="30" t="s">
        <v>424</v>
      </c>
      <c r="Z59" s="30" t="s">
        <v>290</v>
      </c>
      <c r="AA59" s="30" t="s">
        <v>425</v>
      </c>
      <c r="AB59" s="30" t="s">
        <v>0</v>
      </c>
      <c r="AC59" s="30" t="s">
        <v>0</v>
      </c>
      <c r="AD59" s="30" t="s">
        <v>0</v>
      </c>
      <c r="AE59" s="31">
        <v>45917</v>
      </c>
      <c r="AF59" s="31"/>
      <c r="AG59" s="30" t="s">
        <v>0</v>
      </c>
    </row>
    <row r="60" spans="1:33" x14ac:dyDescent="0.35">
      <c r="A60" s="30" t="s">
        <v>297</v>
      </c>
      <c r="B60" s="30" t="s">
        <v>280</v>
      </c>
      <c r="C60" s="30" t="s">
        <v>281</v>
      </c>
      <c r="D60" s="30" t="s">
        <v>282</v>
      </c>
      <c r="E60" s="30" t="s">
        <v>283</v>
      </c>
      <c r="F60" s="30" t="s">
        <v>291</v>
      </c>
      <c r="G60" s="31">
        <v>45762</v>
      </c>
      <c r="H60" s="30" t="s">
        <v>426</v>
      </c>
      <c r="I60" s="30" t="s">
        <v>360</v>
      </c>
      <c r="J60" s="31">
        <v>45762</v>
      </c>
      <c r="K60" s="31">
        <v>45763</v>
      </c>
      <c r="L60" s="30" t="s">
        <v>354</v>
      </c>
      <c r="M60" s="30" t="s">
        <v>427</v>
      </c>
      <c r="N60" s="30" t="s">
        <v>286</v>
      </c>
      <c r="O60" s="30" t="s">
        <v>287</v>
      </c>
      <c r="P60" s="30" t="s">
        <v>0</v>
      </c>
      <c r="Q60" s="30" t="s">
        <v>352</v>
      </c>
      <c r="R60" s="30" t="s">
        <v>356</v>
      </c>
      <c r="S60" s="36">
        <v>68.819999999999993</v>
      </c>
      <c r="T60" s="37" t="s">
        <v>288</v>
      </c>
      <c r="U60" s="36">
        <v>5981.96</v>
      </c>
      <c r="V60" s="30" t="s">
        <v>369</v>
      </c>
      <c r="W60" s="30" t="s">
        <v>0</v>
      </c>
      <c r="X60" s="30" t="s">
        <v>0</v>
      </c>
      <c r="Y60" s="30" t="s">
        <v>354</v>
      </c>
      <c r="Z60" s="30" t="s">
        <v>290</v>
      </c>
      <c r="AA60" s="30" t="s">
        <v>428</v>
      </c>
      <c r="AB60" s="30" t="s">
        <v>0</v>
      </c>
      <c r="AC60" s="30" t="s">
        <v>0</v>
      </c>
      <c r="AD60" s="30" t="s">
        <v>0</v>
      </c>
      <c r="AE60" s="31">
        <v>45762</v>
      </c>
      <c r="AF60" s="31"/>
      <c r="AG60" s="30" t="s">
        <v>0</v>
      </c>
    </row>
    <row r="61" spans="1:33" x14ac:dyDescent="0.35">
      <c r="A61" s="30" t="s">
        <v>297</v>
      </c>
      <c r="B61" s="30" t="s">
        <v>280</v>
      </c>
      <c r="C61" s="30" t="s">
        <v>281</v>
      </c>
      <c r="D61" s="30" t="s">
        <v>282</v>
      </c>
      <c r="E61" s="30" t="s">
        <v>283</v>
      </c>
      <c r="F61" s="30" t="s">
        <v>291</v>
      </c>
      <c r="G61" s="31">
        <v>45762</v>
      </c>
      <c r="H61" s="30" t="s">
        <v>429</v>
      </c>
      <c r="I61" s="30" t="s">
        <v>360</v>
      </c>
      <c r="J61" s="31">
        <v>45762</v>
      </c>
      <c r="K61" s="31">
        <v>45763</v>
      </c>
      <c r="L61" s="30" t="s">
        <v>354</v>
      </c>
      <c r="M61" s="30" t="s">
        <v>430</v>
      </c>
      <c r="N61" s="30" t="s">
        <v>286</v>
      </c>
      <c r="O61" s="30" t="s">
        <v>287</v>
      </c>
      <c r="P61" s="30" t="s">
        <v>0</v>
      </c>
      <c r="Q61" s="30" t="s">
        <v>352</v>
      </c>
      <c r="R61" s="30" t="s">
        <v>356</v>
      </c>
      <c r="S61" s="36">
        <v>60.51</v>
      </c>
      <c r="T61" s="37" t="s">
        <v>288</v>
      </c>
      <c r="U61" s="36">
        <v>5259.64</v>
      </c>
      <c r="V61" s="30" t="s">
        <v>369</v>
      </c>
      <c r="W61" s="30" t="s">
        <v>0</v>
      </c>
      <c r="X61" s="30" t="s">
        <v>0</v>
      </c>
      <c r="Y61" s="30" t="s">
        <v>354</v>
      </c>
      <c r="Z61" s="30" t="s">
        <v>290</v>
      </c>
      <c r="AA61" s="30" t="s">
        <v>428</v>
      </c>
      <c r="AB61" s="30" t="s">
        <v>0</v>
      </c>
      <c r="AC61" s="30" t="s">
        <v>0</v>
      </c>
      <c r="AD61" s="30" t="s">
        <v>0</v>
      </c>
      <c r="AE61" s="31">
        <v>45762</v>
      </c>
      <c r="AF61" s="31"/>
      <c r="AG61" s="30" t="s">
        <v>0</v>
      </c>
    </row>
    <row r="62" spans="1:33" x14ac:dyDescent="0.35">
      <c r="A62" s="30" t="s">
        <v>297</v>
      </c>
      <c r="B62" s="30" t="s">
        <v>280</v>
      </c>
      <c r="C62" s="30" t="s">
        <v>281</v>
      </c>
      <c r="D62" s="30" t="s">
        <v>282</v>
      </c>
      <c r="E62" s="30" t="s">
        <v>283</v>
      </c>
      <c r="F62" s="30" t="s">
        <v>291</v>
      </c>
      <c r="G62" s="31">
        <v>45762</v>
      </c>
      <c r="H62" s="30" t="s">
        <v>431</v>
      </c>
      <c r="I62" s="30" t="s">
        <v>360</v>
      </c>
      <c r="J62" s="31">
        <v>45762</v>
      </c>
      <c r="K62" s="31">
        <v>45763</v>
      </c>
      <c r="L62" s="30" t="s">
        <v>354</v>
      </c>
      <c r="M62" s="30" t="s">
        <v>432</v>
      </c>
      <c r="N62" s="30" t="s">
        <v>286</v>
      </c>
      <c r="O62" s="30" t="s">
        <v>287</v>
      </c>
      <c r="P62" s="30" t="s">
        <v>0</v>
      </c>
      <c r="Q62" s="30" t="s">
        <v>352</v>
      </c>
      <c r="R62" s="30" t="s">
        <v>356</v>
      </c>
      <c r="S62" s="36">
        <v>50</v>
      </c>
      <c r="T62" s="37" t="s">
        <v>288</v>
      </c>
      <c r="U62" s="36">
        <v>4346.09</v>
      </c>
      <c r="V62" s="30" t="s">
        <v>369</v>
      </c>
      <c r="W62" s="30" t="s">
        <v>0</v>
      </c>
      <c r="X62" s="30" t="s">
        <v>0</v>
      </c>
      <c r="Y62" s="30" t="s">
        <v>354</v>
      </c>
      <c r="Z62" s="30" t="s">
        <v>290</v>
      </c>
      <c r="AA62" s="30" t="s">
        <v>428</v>
      </c>
      <c r="AB62" s="30" t="s">
        <v>0</v>
      </c>
      <c r="AC62" s="30" t="s">
        <v>0</v>
      </c>
      <c r="AD62" s="30" t="s">
        <v>0</v>
      </c>
      <c r="AE62" s="31">
        <v>45762</v>
      </c>
      <c r="AF62" s="31"/>
      <c r="AG62" s="30" t="s">
        <v>0</v>
      </c>
    </row>
    <row r="63" spans="1:33" x14ac:dyDescent="0.35">
      <c r="A63" s="30" t="s">
        <v>297</v>
      </c>
      <c r="B63" s="30" t="s">
        <v>280</v>
      </c>
      <c r="C63" s="30" t="s">
        <v>281</v>
      </c>
      <c r="D63" s="30" t="s">
        <v>282</v>
      </c>
      <c r="E63" s="30" t="s">
        <v>283</v>
      </c>
      <c r="F63" s="30" t="s">
        <v>291</v>
      </c>
      <c r="G63" s="31">
        <v>45762</v>
      </c>
      <c r="H63" s="30" t="s">
        <v>433</v>
      </c>
      <c r="I63" s="30" t="s">
        <v>360</v>
      </c>
      <c r="J63" s="31">
        <v>45762</v>
      </c>
      <c r="K63" s="31">
        <v>45763</v>
      </c>
      <c r="L63" s="30" t="s">
        <v>354</v>
      </c>
      <c r="M63" s="30" t="s">
        <v>434</v>
      </c>
      <c r="N63" s="30" t="s">
        <v>286</v>
      </c>
      <c r="O63" s="30" t="s">
        <v>287</v>
      </c>
      <c r="P63" s="30" t="s">
        <v>0</v>
      </c>
      <c r="Q63" s="30" t="s">
        <v>352</v>
      </c>
      <c r="R63" s="30" t="s">
        <v>356</v>
      </c>
      <c r="S63" s="36">
        <v>120</v>
      </c>
      <c r="T63" s="37" t="s">
        <v>288</v>
      </c>
      <c r="U63" s="36">
        <v>10430.620000000001</v>
      </c>
      <c r="V63" s="30" t="s">
        <v>369</v>
      </c>
      <c r="W63" s="30" t="s">
        <v>0</v>
      </c>
      <c r="X63" s="30" t="s">
        <v>0</v>
      </c>
      <c r="Y63" s="30" t="s">
        <v>354</v>
      </c>
      <c r="Z63" s="30" t="s">
        <v>290</v>
      </c>
      <c r="AA63" s="30" t="s">
        <v>435</v>
      </c>
      <c r="AB63" s="30" t="s">
        <v>0</v>
      </c>
      <c r="AC63" s="30" t="s">
        <v>0</v>
      </c>
      <c r="AD63" s="30" t="s">
        <v>0</v>
      </c>
      <c r="AE63" s="31">
        <v>45762</v>
      </c>
      <c r="AF63" s="31"/>
      <c r="AG63" s="30" t="s">
        <v>0</v>
      </c>
    </row>
    <row r="64" spans="1:33" x14ac:dyDescent="0.35">
      <c r="A64" s="30" t="s">
        <v>279</v>
      </c>
      <c r="B64" s="30" t="s">
        <v>280</v>
      </c>
      <c r="C64" s="30" t="s">
        <v>281</v>
      </c>
      <c r="D64" s="30" t="s">
        <v>282</v>
      </c>
      <c r="E64" s="30" t="s">
        <v>283</v>
      </c>
      <c r="F64" s="30" t="s">
        <v>56</v>
      </c>
      <c r="G64" s="31">
        <v>45947</v>
      </c>
      <c r="H64" s="30" t="s">
        <v>436</v>
      </c>
      <c r="I64" s="30" t="s">
        <v>437</v>
      </c>
      <c r="J64" s="31">
        <v>45947</v>
      </c>
      <c r="K64" s="31">
        <v>45953</v>
      </c>
      <c r="L64" s="30" t="s">
        <v>354</v>
      </c>
      <c r="M64" s="30" t="s">
        <v>438</v>
      </c>
      <c r="N64" s="30" t="s">
        <v>286</v>
      </c>
      <c r="O64" s="30" t="s">
        <v>287</v>
      </c>
      <c r="P64" s="30" t="s">
        <v>0</v>
      </c>
      <c r="Q64" s="30" t="s">
        <v>57</v>
      </c>
      <c r="R64" s="30" t="s">
        <v>356</v>
      </c>
      <c r="S64" s="36">
        <v>-156.08000000000001</v>
      </c>
      <c r="T64" s="37" t="s">
        <v>288</v>
      </c>
      <c r="U64" s="36">
        <v>-13764.82</v>
      </c>
      <c r="V64" s="30" t="s">
        <v>369</v>
      </c>
      <c r="W64" s="30" t="s">
        <v>289</v>
      </c>
      <c r="X64" s="30" t="s">
        <v>0</v>
      </c>
      <c r="Y64" s="30" t="s">
        <v>439</v>
      </c>
      <c r="Z64" s="30" t="s">
        <v>290</v>
      </c>
      <c r="AA64" s="30" t="s">
        <v>440</v>
      </c>
      <c r="AB64" s="30" t="s">
        <v>0</v>
      </c>
      <c r="AC64" s="30" t="s">
        <v>0</v>
      </c>
      <c r="AD64" s="30" t="s">
        <v>0</v>
      </c>
      <c r="AE64" s="31">
        <v>45947</v>
      </c>
      <c r="AF64" s="31">
        <v>45975</v>
      </c>
      <c r="AG64" s="30" t="s">
        <v>284</v>
      </c>
    </row>
    <row r="65" spans="1:33" x14ac:dyDescent="0.35">
      <c r="A65" s="30" t="s">
        <v>297</v>
      </c>
      <c r="B65" s="30" t="s">
        <v>280</v>
      </c>
      <c r="C65" s="30" t="s">
        <v>281</v>
      </c>
      <c r="D65" s="30" t="s">
        <v>282</v>
      </c>
      <c r="E65" s="30" t="s">
        <v>283</v>
      </c>
      <c r="F65" s="30" t="s">
        <v>291</v>
      </c>
      <c r="G65" s="31">
        <v>45763</v>
      </c>
      <c r="H65" s="30" t="s">
        <v>441</v>
      </c>
      <c r="I65" s="30" t="s">
        <v>360</v>
      </c>
      <c r="J65" s="31">
        <v>45763</v>
      </c>
      <c r="K65" s="31">
        <v>45764</v>
      </c>
      <c r="L65" s="30" t="s">
        <v>354</v>
      </c>
      <c r="M65" s="30" t="s">
        <v>442</v>
      </c>
      <c r="N65" s="30" t="s">
        <v>286</v>
      </c>
      <c r="O65" s="30" t="s">
        <v>287</v>
      </c>
      <c r="P65" s="30" t="s">
        <v>0</v>
      </c>
      <c r="Q65" s="30" t="s">
        <v>352</v>
      </c>
      <c r="R65" s="30" t="s">
        <v>356</v>
      </c>
      <c r="S65" s="36">
        <v>620</v>
      </c>
      <c r="T65" s="37" t="s">
        <v>288</v>
      </c>
      <c r="U65" s="36">
        <v>53891.53</v>
      </c>
      <c r="V65" s="30" t="s">
        <v>369</v>
      </c>
      <c r="W65" s="30" t="s">
        <v>289</v>
      </c>
      <c r="X65" s="30" t="s">
        <v>0</v>
      </c>
      <c r="Y65" s="30" t="s">
        <v>354</v>
      </c>
      <c r="Z65" s="30" t="s">
        <v>290</v>
      </c>
      <c r="AA65" s="30" t="s">
        <v>443</v>
      </c>
      <c r="AB65" s="30" t="s">
        <v>0</v>
      </c>
      <c r="AC65" s="30" t="s">
        <v>0</v>
      </c>
      <c r="AD65" s="30" t="s">
        <v>0</v>
      </c>
      <c r="AE65" s="31">
        <v>45763</v>
      </c>
      <c r="AF65" s="31"/>
      <c r="AG65" s="30" t="s">
        <v>0</v>
      </c>
    </row>
    <row r="66" spans="1:33" x14ac:dyDescent="0.35">
      <c r="A66" s="30" t="s">
        <v>297</v>
      </c>
      <c r="B66" s="30" t="s">
        <v>280</v>
      </c>
      <c r="C66" s="30" t="s">
        <v>281</v>
      </c>
      <c r="D66" s="30" t="s">
        <v>282</v>
      </c>
      <c r="E66" s="30" t="s">
        <v>283</v>
      </c>
      <c r="F66" s="30" t="s">
        <v>291</v>
      </c>
      <c r="G66" s="31">
        <v>45763</v>
      </c>
      <c r="H66" s="30" t="s">
        <v>444</v>
      </c>
      <c r="I66" s="30" t="s">
        <v>360</v>
      </c>
      <c r="J66" s="31">
        <v>45763</v>
      </c>
      <c r="K66" s="31">
        <v>45764</v>
      </c>
      <c r="L66" s="30" t="s">
        <v>354</v>
      </c>
      <c r="M66" s="30" t="s">
        <v>445</v>
      </c>
      <c r="N66" s="30" t="s">
        <v>286</v>
      </c>
      <c r="O66" s="30" t="s">
        <v>287</v>
      </c>
      <c r="P66" s="30" t="s">
        <v>0</v>
      </c>
      <c r="Q66" s="30" t="s">
        <v>352</v>
      </c>
      <c r="R66" s="30" t="s">
        <v>356</v>
      </c>
      <c r="S66" s="36">
        <v>1.75</v>
      </c>
      <c r="T66" s="37" t="s">
        <v>288</v>
      </c>
      <c r="U66" s="36">
        <v>152.11000000000001</v>
      </c>
      <c r="V66" s="30" t="s">
        <v>369</v>
      </c>
      <c r="W66" s="30" t="s">
        <v>289</v>
      </c>
      <c r="X66" s="30" t="s">
        <v>0</v>
      </c>
      <c r="Y66" s="30" t="s">
        <v>354</v>
      </c>
      <c r="Z66" s="30" t="s">
        <v>290</v>
      </c>
      <c r="AA66" s="30" t="s">
        <v>446</v>
      </c>
      <c r="AB66" s="30" t="s">
        <v>0</v>
      </c>
      <c r="AC66" s="30" t="s">
        <v>0</v>
      </c>
      <c r="AD66" s="30" t="s">
        <v>0</v>
      </c>
      <c r="AE66" s="31">
        <v>45763</v>
      </c>
      <c r="AF66" s="31"/>
      <c r="AG66" s="30" t="s">
        <v>0</v>
      </c>
    </row>
    <row r="67" spans="1:33" x14ac:dyDescent="0.35">
      <c r="A67" s="30" t="s">
        <v>297</v>
      </c>
      <c r="B67" s="30" t="s">
        <v>280</v>
      </c>
      <c r="C67" s="30" t="s">
        <v>281</v>
      </c>
      <c r="D67" s="30" t="s">
        <v>282</v>
      </c>
      <c r="E67" s="30" t="s">
        <v>283</v>
      </c>
      <c r="F67" s="30" t="s">
        <v>291</v>
      </c>
      <c r="G67" s="31">
        <v>45763</v>
      </c>
      <c r="H67" s="30" t="s">
        <v>447</v>
      </c>
      <c r="I67" s="30" t="s">
        <v>360</v>
      </c>
      <c r="J67" s="31">
        <v>45763</v>
      </c>
      <c r="K67" s="31">
        <v>45764</v>
      </c>
      <c r="L67" s="30" t="s">
        <v>354</v>
      </c>
      <c r="M67" s="30" t="s">
        <v>448</v>
      </c>
      <c r="N67" s="30" t="s">
        <v>286</v>
      </c>
      <c r="O67" s="30" t="s">
        <v>287</v>
      </c>
      <c r="P67" s="30" t="s">
        <v>0</v>
      </c>
      <c r="Q67" s="30" t="s">
        <v>352</v>
      </c>
      <c r="R67" s="30" t="s">
        <v>356</v>
      </c>
      <c r="S67" s="36">
        <v>1</v>
      </c>
      <c r="T67" s="37" t="s">
        <v>288</v>
      </c>
      <c r="U67" s="36">
        <v>86.92</v>
      </c>
      <c r="V67" s="30" t="s">
        <v>369</v>
      </c>
      <c r="W67" s="30" t="s">
        <v>289</v>
      </c>
      <c r="X67" s="30" t="s">
        <v>0</v>
      </c>
      <c r="Y67" s="30" t="s">
        <v>354</v>
      </c>
      <c r="Z67" s="30" t="s">
        <v>290</v>
      </c>
      <c r="AA67" s="30" t="s">
        <v>449</v>
      </c>
      <c r="AB67" s="30" t="s">
        <v>0</v>
      </c>
      <c r="AC67" s="30" t="s">
        <v>0</v>
      </c>
      <c r="AD67" s="30" t="s">
        <v>0</v>
      </c>
      <c r="AE67" s="31">
        <v>45763</v>
      </c>
      <c r="AF67" s="31"/>
      <c r="AG67" s="30" t="s">
        <v>0</v>
      </c>
    </row>
    <row r="68" spans="1:33" x14ac:dyDescent="0.35">
      <c r="A68" s="30" t="s">
        <v>297</v>
      </c>
      <c r="B68" s="30" t="s">
        <v>280</v>
      </c>
      <c r="C68" s="30" t="s">
        <v>281</v>
      </c>
      <c r="D68" s="30" t="s">
        <v>282</v>
      </c>
      <c r="E68" s="30" t="s">
        <v>283</v>
      </c>
      <c r="F68" s="30" t="s">
        <v>291</v>
      </c>
      <c r="G68" s="31">
        <v>45763</v>
      </c>
      <c r="H68" s="30" t="s">
        <v>450</v>
      </c>
      <c r="I68" s="30" t="s">
        <v>360</v>
      </c>
      <c r="J68" s="31">
        <v>45763</v>
      </c>
      <c r="K68" s="31">
        <v>45764</v>
      </c>
      <c r="L68" s="30" t="s">
        <v>354</v>
      </c>
      <c r="M68" s="30" t="s">
        <v>451</v>
      </c>
      <c r="N68" s="30" t="s">
        <v>286</v>
      </c>
      <c r="O68" s="30" t="s">
        <v>287</v>
      </c>
      <c r="P68" s="30" t="s">
        <v>0</v>
      </c>
      <c r="Q68" s="30" t="s">
        <v>352</v>
      </c>
      <c r="R68" s="30" t="s">
        <v>356</v>
      </c>
      <c r="S68" s="36">
        <v>15</v>
      </c>
      <c r="T68" s="37" t="s">
        <v>288</v>
      </c>
      <c r="U68" s="36">
        <v>1303.83</v>
      </c>
      <c r="V68" s="30" t="s">
        <v>369</v>
      </c>
      <c r="W68" s="30" t="s">
        <v>289</v>
      </c>
      <c r="X68" s="30" t="s">
        <v>0</v>
      </c>
      <c r="Y68" s="30" t="s">
        <v>354</v>
      </c>
      <c r="Z68" s="30" t="s">
        <v>290</v>
      </c>
      <c r="AA68" s="30" t="s">
        <v>452</v>
      </c>
      <c r="AB68" s="30" t="s">
        <v>0</v>
      </c>
      <c r="AC68" s="30" t="s">
        <v>0</v>
      </c>
      <c r="AD68" s="30" t="s">
        <v>0</v>
      </c>
      <c r="AE68" s="31">
        <v>45763</v>
      </c>
      <c r="AF68" s="31"/>
      <c r="AG68" s="30" t="s">
        <v>0</v>
      </c>
    </row>
    <row r="69" spans="1:33" x14ac:dyDescent="0.35">
      <c r="A69" s="30" t="s">
        <v>297</v>
      </c>
      <c r="B69" s="30" t="s">
        <v>280</v>
      </c>
      <c r="C69" s="30" t="s">
        <v>281</v>
      </c>
      <c r="D69" s="30" t="s">
        <v>282</v>
      </c>
      <c r="E69" s="30" t="s">
        <v>283</v>
      </c>
      <c r="F69" s="30" t="s">
        <v>291</v>
      </c>
      <c r="G69" s="31">
        <v>45763</v>
      </c>
      <c r="H69" s="30" t="s">
        <v>453</v>
      </c>
      <c r="I69" s="30" t="s">
        <v>360</v>
      </c>
      <c r="J69" s="31">
        <v>45763</v>
      </c>
      <c r="K69" s="31">
        <v>45764</v>
      </c>
      <c r="L69" s="30" t="s">
        <v>354</v>
      </c>
      <c r="M69" s="30" t="s">
        <v>454</v>
      </c>
      <c r="N69" s="30" t="s">
        <v>286</v>
      </c>
      <c r="O69" s="30" t="s">
        <v>287</v>
      </c>
      <c r="P69" s="30" t="s">
        <v>0</v>
      </c>
      <c r="Q69" s="30" t="s">
        <v>352</v>
      </c>
      <c r="R69" s="30" t="s">
        <v>356</v>
      </c>
      <c r="S69" s="36">
        <v>1</v>
      </c>
      <c r="T69" s="37" t="s">
        <v>288</v>
      </c>
      <c r="U69" s="36">
        <v>86.92</v>
      </c>
      <c r="V69" s="30" t="s">
        <v>369</v>
      </c>
      <c r="W69" s="30" t="s">
        <v>289</v>
      </c>
      <c r="X69" s="30" t="s">
        <v>0</v>
      </c>
      <c r="Y69" s="30" t="s">
        <v>354</v>
      </c>
      <c r="Z69" s="30" t="s">
        <v>290</v>
      </c>
      <c r="AA69" s="30" t="s">
        <v>455</v>
      </c>
      <c r="AB69" s="30" t="s">
        <v>0</v>
      </c>
      <c r="AC69" s="30" t="s">
        <v>0</v>
      </c>
      <c r="AD69" s="30" t="s">
        <v>0</v>
      </c>
      <c r="AE69" s="31">
        <v>45763</v>
      </c>
      <c r="AF69" s="31"/>
      <c r="AG69" s="30" t="s">
        <v>0</v>
      </c>
    </row>
    <row r="70" spans="1:33" x14ac:dyDescent="0.35">
      <c r="A70" s="30" t="s">
        <v>297</v>
      </c>
      <c r="B70" s="30" t="s">
        <v>280</v>
      </c>
      <c r="C70" s="30" t="s">
        <v>281</v>
      </c>
      <c r="D70" s="30" t="s">
        <v>282</v>
      </c>
      <c r="E70" s="30" t="s">
        <v>283</v>
      </c>
      <c r="F70" s="30" t="s">
        <v>291</v>
      </c>
      <c r="G70" s="31">
        <v>45763</v>
      </c>
      <c r="H70" s="30" t="s">
        <v>456</v>
      </c>
      <c r="I70" s="30" t="s">
        <v>360</v>
      </c>
      <c r="J70" s="31">
        <v>45763</v>
      </c>
      <c r="K70" s="31">
        <v>45764</v>
      </c>
      <c r="L70" s="30" t="s">
        <v>354</v>
      </c>
      <c r="M70" s="30" t="s">
        <v>457</v>
      </c>
      <c r="N70" s="30" t="s">
        <v>286</v>
      </c>
      <c r="O70" s="30" t="s">
        <v>287</v>
      </c>
      <c r="P70" s="30" t="s">
        <v>0</v>
      </c>
      <c r="Q70" s="30" t="s">
        <v>352</v>
      </c>
      <c r="R70" s="30" t="s">
        <v>356</v>
      </c>
      <c r="S70" s="36">
        <v>489.55</v>
      </c>
      <c r="T70" s="37" t="s">
        <v>288</v>
      </c>
      <c r="U70" s="36">
        <v>42552.58</v>
      </c>
      <c r="V70" s="30" t="s">
        <v>369</v>
      </c>
      <c r="W70" s="30" t="s">
        <v>289</v>
      </c>
      <c r="X70" s="30" t="s">
        <v>0</v>
      </c>
      <c r="Y70" s="30" t="s">
        <v>354</v>
      </c>
      <c r="Z70" s="30" t="s">
        <v>290</v>
      </c>
      <c r="AA70" s="30" t="s">
        <v>458</v>
      </c>
      <c r="AB70" s="30" t="s">
        <v>0</v>
      </c>
      <c r="AC70" s="30" t="s">
        <v>0</v>
      </c>
      <c r="AD70" s="30" t="s">
        <v>0</v>
      </c>
      <c r="AE70" s="31">
        <v>45763</v>
      </c>
      <c r="AF70" s="31"/>
      <c r="AG70" s="30" t="s">
        <v>0</v>
      </c>
    </row>
    <row r="71" spans="1:33" x14ac:dyDescent="0.35">
      <c r="A71" s="30" t="s">
        <v>297</v>
      </c>
      <c r="B71" s="30" t="s">
        <v>280</v>
      </c>
      <c r="C71" s="30" t="s">
        <v>281</v>
      </c>
      <c r="D71" s="30" t="s">
        <v>282</v>
      </c>
      <c r="E71" s="30" t="s">
        <v>283</v>
      </c>
      <c r="F71" s="30" t="s">
        <v>291</v>
      </c>
      <c r="G71" s="31">
        <v>45763</v>
      </c>
      <c r="H71" s="30" t="s">
        <v>459</v>
      </c>
      <c r="I71" s="30" t="s">
        <v>360</v>
      </c>
      <c r="J71" s="31">
        <v>45763</v>
      </c>
      <c r="K71" s="31">
        <v>45764</v>
      </c>
      <c r="L71" s="30" t="s">
        <v>354</v>
      </c>
      <c r="M71" s="30" t="s">
        <v>460</v>
      </c>
      <c r="N71" s="30" t="s">
        <v>286</v>
      </c>
      <c r="O71" s="30" t="s">
        <v>287</v>
      </c>
      <c r="P71" s="30" t="s">
        <v>0</v>
      </c>
      <c r="Q71" s="30" t="s">
        <v>352</v>
      </c>
      <c r="R71" s="30" t="s">
        <v>356</v>
      </c>
      <c r="S71" s="36">
        <v>12.85</v>
      </c>
      <c r="T71" s="37" t="s">
        <v>288</v>
      </c>
      <c r="U71" s="36">
        <v>1116.95</v>
      </c>
      <c r="V71" s="30" t="s">
        <v>369</v>
      </c>
      <c r="W71" s="30" t="s">
        <v>289</v>
      </c>
      <c r="X71" s="30" t="s">
        <v>0</v>
      </c>
      <c r="Y71" s="30" t="s">
        <v>354</v>
      </c>
      <c r="Z71" s="30" t="s">
        <v>290</v>
      </c>
      <c r="AA71" s="30" t="s">
        <v>461</v>
      </c>
      <c r="AB71" s="30" t="s">
        <v>0</v>
      </c>
      <c r="AC71" s="30" t="s">
        <v>0</v>
      </c>
      <c r="AD71" s="30" t="s">
        <v>0</v>
      </c>
      <c r="AE71" s="31">
        <v>45763</v>
      </c>
      <c r="AF71" s="31"/>
      <c r="AG71" s="30" t="s">
        <v>0</v>
      </c>
    </row>
    <row r="72" spans="1:33" x14ac:dyDescent="0.35">
      <c r="A72" s="30" t="s">
        <v>297</v>
      </c>
      <c r="B72" s="30" t="s">
        <v>280</v>
      </c>
      <c r="C72" s="30" t="s">
        <v>281</v>
      </c>
      <c r="D72" s="30" t="s">
        <v>282</v>
      </c>
      <c r="E72" s="30" t="s">
        <v>283</v>
      </c>
      <c r="F72" s="30" t="s">
        <v>291</v>
      </c>
      <c r="G72" s="31">
        <v>45763</v>
      </c>
      <c r="H72" s="30" t="s">
        <v>462</v>
      </c>
      <c r="I72" s="30" t="s">
        <v>360</v>
      </c>
      <c r="J72" s="31">
        <v>45763</v>
      </c>
      <c r="K72" s="31">
        <v>45764</v>
      </c>
      <c r="L72" s="30" t="s">
        <v>354</v>
      </c>
      <c r="M72" s="30" t="s">
        <v>463</v>
      </c>
      <c r="N72" s="30" t="s">
        <v>286</v>
      </c>
      <c r="O72" s="30" t="s">
        <v>287</v>
      </c>
      <c r="P72" s="30" t="s">
        <v>0</v>
      </c>
      <c r="Q72" s="30" t="s">
        <v>352</v>
      </c>
      <c r="R72" s="30" t="s">
        <v>356</v>
      </c>
      <c r="S72" s="36">
        <v>1082.6400000000001</v>
      </c>
      <c r="T72" s="37" t="s">
        <v>288</v>
      </c>
      <c r="U72" s="36">
        <v>94105.04</v>
      </c>
      <c r="V72" s="30" t="s">
        <v>369</v>
      </c>
      <c r="W72" s="30" t="s">
        <v>289</v>
      </c>
      <c r="X72" s="30" t="s">
        <v>0</v>
      </c>
      <c r="Y72" s="30" t="s">
        <v>354</v>
      </c>
      <c r="Z72" s="30" t="s">
        <v>290</v>
      </c>
      <c r="AA72" s="30" t="s">
        <v>464</v>
      </c>
      <c r="AB72" s="30" t="s">
        <v>0</v>
      </c>
      <c r="AC72" s="30" t="s">
        <v>0</v>
      </c>
      <c r="AD72" s="30" t="s">
        <v>0</v>
      </c>
      <c r="AE72" s="31">
        <v>45763</v>
      </c>
      <c r="AF72" s="31"/>
      <c r="AG72" s="30" t="s">
        <v>0</v>
      </c>
    </row>
    <row r="73" spans="1:33" x14ac:dyDescent="0.35">
      <c r="A73" s="30" t="s">
        <v>297</v>
      </c>
      <c r="B73" s="30" t="s">
        <v>280</v>
      </c>
      <c r="C73" s="30" t="s">
        <v>281</v>
      </c>
      <c r="D73" s="30" t="s">
        <v>282</v>
      </c>
      <c r="E73" s="30" t="s">
        <v>283</v>
      </c>
      <c r="F73" s="30" t="s">
        <v>53</v>
      </c>
      <c r="G73" s="31">
        <v>45863</v>
      </c>
      <c r="H73" s="30" t="s">
        <v>465</v>
      </c>
      <c r="I73" s="30" t="s">
        <v>360</v>
      </c>
      <c r="J73" s="31">
        <v>45863</v>
      </c>
      <c r="K73" s="31">
        <v>45863</v>
      </c>
      <c r="L73" s="30" t="s">
        <v>354</v>
      </c>
      <c r="M73" s="30" t="s">
        <v>466</v>
      </c>
      <c r="N73" s="30" t="s">
        <v>286</v>
      </c>
      <c r="O73" s="30" t="s">
        <v>287</v>
      </c>
      <c r="P73" s="30" t="s">
        <v>0</v>
      </c>
      <c r="Q73" s="30" t="s">
        <v>352</v>
      </c>
      <c r="R73" s="30" t="s">
        <v>356</v>
      </c>
      <c r="S73" s="36">
        <v>465</v>
      </c>
      <c r="T73" s="37" t="s">
        <v>288</v>
      </c>
      <c r="U73" s="36">
        <v>39990.31</v>
      </c>
      <c r="V73" s="30" t="s">
        <v>369</v>
      </c>
      <c r="W73" s="30" t="s">
        <v>289</v>
      </c>
      <c r="X73" s="30" t="s">
        <v>0</v>
      </c>
      <c r="Y73" s="30" t="s">
        <v>354</v>
      </c>
      <c r="Z73" s="30" t="s">
        <v>290</v>
      </c>
      <c r="AA73" s="30" t="s">
        <v>467</v>
      </c>
      <c r="AB73" s="30" t="s">
        <v>0</v>
      </c>
      <c r="AC73" s="30" t="s">
        <v>0</v>
      </c>
      <c r="AD73" s="30" t="s">
        <v>0</v>
      </c>
      <c r="AE73" s="31">
        <v>45863</v>
      </c>
      <c r="AF73" s="31"/>
      <c r="AG73" s="30" t="s">
        <v>0</v>
      </c>
    </row>
    <row r="74" spans="1:33" x14ac:dyDescent="0.35">
      <c r="A74" s="30" t="s">
        <v>297</v>
      </c>
      <c r="B74" s="30" t="s">
        <v>280</v>
      </c>
      <c r="C74" s="30" t="s">
        <v>281</v>
      </c>
      <c r="D74" s="30" t="s">
        <v>282</v>
      </c>
      <c r="E74" s="30" t="s">
        <v>283</v>
      </c>
      <c r="F74" s="30" t="s">
        <v>53</v>
      </c>
      <c r="G74" s="31">
        <v>45863</v>
      </c>
      <c r="H74" s="30" t="s">
        <v>468</v>
      </c>
      <c r="I74" s="30" t="s">
        <v>360</v>
      </c>
      <c r="J74" s="31">
        <v>45863</v>
      </c>
      <c r="K74" s="31">
        <v>45863</v>
      </c>
      <c r="L74" s="30" t="s">
        <v>354</v>
      </c>
      <c r="M74" s="30" t="s">
        <v>469</v>
      </c>
      <c r="N74" s="30" t="s">
        <v>286</v>
      </c>
      <c r="O74" s="30" t="s">
        <v>287</v>
      </c>
      <c r="P74" s="30" t="s">
        <v>0</v>
      </c>
      <c r="Q74" s="30" t="s">
        <v>352</v>
      </c>
      <c r="R74" s="30" t="s">
        <v>356</v>
      </c>
      <c r="S74" s="36">
        <v>151.58000000000001</v>
      </c>
      <c r="T74" s="37" t="s">
        <v>288</v>
      </c>
      <c r="U74" s="36">
        <v>13035.98</v>
      </c>
      <c r="V74" s="30" t="s">
        <v>369</v>
      </c>
      <c r="W74" s="30" t="s">
        <v>289</v>
      </c>
      <c r="X74" s="30" t="s">
        <v>0</v>
      </c>
      <c r="Y74" s="30" t="s">
        <v>0</v>
      </c>
      <c r="Z74" s="30" t="s">
        <v>290</v>
      </c>
      <c r="AA74" s="30" t="s">
        <v>470</v>
      </c>
      <c r="AB74" s="30" t="s">
        <v>0</v>
      </c>
      <c r="AC74" s="30" t="s">
        <v>0</v>
      </c>
      <c r="AD74" s="30" t="s">
        <v>0</v>
      </c>
      <c r="AE74" s="31">
        <v>45863</v>
      </c>
      <c r="AF74" s="31"/>
      <c r="AG74" s="30" t="s">
        <v>0</v>
      </c>
    </row>
    <row r="75" spans="1:33" x14ac:dyDescent="0.35">
      <c r="A75" s="30" t="s">
        <v>297</v>
      </c>
      <c r="B75" s="30" t="s">
        <v>280</v>
      </c>
      <c r="C75" s="30" t="s">
        <v>281</v>
      </c>
      <c r="D75" s="30" t="s">
        <v>282</v>
      </c>
      <c r="E75" s="30" t="s">
        <v>283</v>
      </c>
      <c r="F75" s="30" t="s">
        <v>336</v>
      </c>
      <c r="G75" s="31">
        <v>45730</v>
      </c>
      <c r="H75" s="30" t="s">
        <v>471</v>
      </c>
      <c r="I75" s="30" t="s">
        <v>360</v>
      </c>
      <c r="J75" s="31">
        <v>45730</v>
      </c>
      <c r="K75" s="31">
        <v>45733</v>
      </c>
      <c r="L75" s="30" t="s">
        <v>354</v>
      </c>
      <c r="M75" s="30" t="s">
        <v>472</v>
      </c>
      <c r="N75" s="30" t="s">
        <v>286</v>
      </c>
      <c r="O75" s="30" t="s">
        <v>287</v>
      </c>
      <c r="P75" s="30" t="s">
        <v>0</v>
      </c>
      <c r="Q75" s="30" t="s">
        <v>352</v>
      </c>
      <c r="R75" s="30" t="s">
        <v>356</v>
      </c>
      <c r="S75" s="36">
        <v>77.2</v>
      </c>
      <c r="T75" s="37" t="s">
        <v>288</v>
      </c>
      <c r="U75" s="36">
        <v>6692.57</v>
      </c>
      <c r="V75" s="30" t="s">
        <v>369</v>
      </c>
      <c r="W75" s="30" t="s">
        <v>289</v>
      </c>
      <c r="X75" s="30" t="s">
        <v>0</v>
      </c>
      <c r="Y75" s="30" t="s">
        <v>354</v>
      </c>
      <c r="Z75" s="30" t="s">
        <v>290</v>
      </c>
      <c r="AA75" s="30" t="s">
        <v>473</v>
      </c>
      <c r="AB75" s="30" t="s">
        <v>0</v>
      </c>
      <c r="AC75" s="30" t="s">
        <v>0</v>
      </c>
      <c r="AD75" s="30" t="s">
        <v>0</v>
      </c>
      <c r="AE75" s="31">
        <v>45730</v>
      </c>
      <c r="AF75" s="31"/>
      <c r="AG75" s="30" t="s">
        <v>0</v>
      </c>
    </row>
    <row r="76" spans="1:33" x14ac:dyDescent="0.35">
      <c r="A76" s="30" t="s">
        <v>279</v>
      </c>
      <c r="B76" s="30" t="s">
        <v>280</v>
      </c>
      <c r="C76" s="30" t="s">
        <v>281</v>
      </c>
      <c r="D76" s="30" t="s">
        <v>282</v>
      </c>
      <c r="E76" s="30" t="s">
        <v>283</v>
      </c>
      <c r="F76" s="30" t="s">
        <v>336</v>
      </c>
      <c r="G76" s="31">
        <v>45730</v>
      </c>
      <c r="H76" s="30" t="s">
        <v>474</v>
      </c>
      <c r="I76" s="30" t="s">
        <v>360</v>
      </c>
      <c r="J76" s="31">
        <v>45730</v>
      </c>
      <c r="K76" s="31">
        <v>45735</v>
      </c>
      <c r="L76" s="30" t="s">
        <v>354</v>
      </c>
      <c r="M76" s="30" t="s">
        <v>475</v>
      </c>
      <c r="N76" s="30" t="s">
        <v>286</v>
      </c>
      <c r="O76" s="30" t="s">
        <v>287</v>
      </c>
      <c r="P76" s="30" t="s">
        <v>0</v>
      </c>
      <c r="Q76" s="30" t="s">
        <v>352</v>
      </c>
      <c r="R76" s="30" t="s">
        <v>356</v>
      </c>
      <c r="S76" s="36">
        <v>77.2</v>
      </c>
      <c r="T76" s="37" t="s">
        <v>288</v>
      </c>
      <c r="U76" s="36">
        <v>6692.57</v>
      </c>
      <c r="V76" s="30" t="s">
        <v>369</v>
      </c>
      <c r="W76" s="30" t="s">
        <v>289</v>
      </c>
      <c r="X76" s="30" t="s">
        <v>0</v>
      </c>
      <c r="Y76" s="30" t="s">
        <v>354</v>
      </c>
      <c r="Z76" s="30" t="s">
        <v>290</v>
      </c>
      <c r="AA76" s="30" t="s">
        <v>473</v>
      </c>
      <c r="AB76" s="30" t="s">
        <v>0</v>
      </c>
      <c r="AC76" s="30" t="s">
        <v>0</v>
      </c>
      <c r="AD76" s="30" t="s">
        <v>0</v>
      </c>
      <c r="AE76" s="31">
        <v>45730</v>
      </c>
      <c r="AF76" s="31">
        <v>45861</v>
      </c>
      <c r="AG76" s="30" t="s">
        <v>353</v>
      </c>
    </row>
    <row r="77" spans="1:33" x14ac:dyDescent="0.35">
      <c r="A77" s="30" t="s">
        <v>297</v>
      </c>
      <c r="B77" s="30" t="s">
        <v>280</v>
      </c>
      <c r="C77" s="30" t="s">
        <v>281</v>
      </c>
      <c r="D77" s="30" t="s">
        <v>282</v>
      </c>
      <c r="E77" s="30" t="s">
        <v>283</v>
      </c>
      <c r="F77" s="30" t="s">
        <v>55</v>
      </c>
      <c r="G77" s="31">
        <v>45904</v>
      </c>
      <c r="H77" s="30" t="s">
        <v>476</v>
      </c>
      <c r="I77" s="30" t="s">
        <v>360</v>
      </c>
      <c r="J77" s="31">
        <v>45904</v>
      </c>
      <c r="K77" s="31">
        <v>45909</v>
      </c>
      <c r="L77" s="30" t="s">
        <v>354</v>
      </c>
      <c r="M77" s="30" t="s">
        <v>477</v>
      </c>
      <c r="N77" s="30" t="s">
        <v>286</v>
      </c>
      <c r="O77" s="30" t="s">
        <v>287</v>
      </c>
      <c r="P77" s="30" t="s">
        <v>0</v>
      </c>
      <c r="Q77" s="30" t="s">
        <v>352</v>
      </c>
      <c r="R77" s="30" t="s">
        <v>356</v>
      </c>
      <c r="S77" s="36">
        <v>75.13</v>
      </c>
      <c r="T77" s="37" t="s">
        <v>288</v>
      </c>
      <c r="U77" s="36">
        <v>6574.95</v>
      </c>
      <c r="V77" s="30" t="s">
        <v>369</v>
      </c>
      <c r="W77" s="30" t="s">
        <v>289</v>
      </c>
      <c r="X77" s="30" t="s">
        <v>0</v>
      </c>
      <c r="Y77" s="30" t="s">
        <v>354</v>
      </c>
      <c r="Z77" s="30" t="s">
        <v>290</v>
      </c>
      <c r="AA77" s="30" t="s">
        <v>478</v>
      </c>
      <c r="AB77" s="30" t="s">
        <v>0</v>
      </c>
      <c r="AC77" s="30" t="s">
        <v>0</v>
      </c>
      <c r="AD77" s="30" t="s">
        <v>0</v>
      </c>
      <c r="AE77" s="31">
        <v>45904</v>
      </c>
      <c r="AF77" s="31"/>
      <c r="AG77" s="30" t="s">
        <v>0</v>
      </c>
    </row>
    <row r="78" spans="1:33" x14ac:dyDescent="0.35">
      <c r="A78" s="30" t="s">
        <v>297</v>
      </c>
      <c r="B78" s="30" t="s">
        <v>280</v>
      </c>
      <c r="C78" s="30" t="s">
        <v>281</v>
      </c>
      <c r="D78" s="30" t="s">
        <v>282</v>
      </c>
      <c r="E78" s="30" t="s">
        <v>283</v>
      </c>
      <c r="F78" s="30" t="s">
        <v>55</v>
      </c>
      <c r="G78" s="31">
        <v>45904</v>
      </c>
      <c r="H78" s="30" t="s">
        <v>479</v>
      </c>
      <c r="I78" s="30" t="s">
        <v>360</v>
      </c>
      <c r="J78" s="31">
        <v>45904</v>
      </c>
      <c r="K78" s="31">
        <v>45909</v>
      </c>
      <c r="L78" s="30" t="s">
        <v>354</v>
      </c>
      <c r="M78" s="30" t="s">
        <v>480</v>
      </c>
      <c r="N78" s="30" t="s">
        <v>286</v>
      </c>
      <c r="O78" s="30" t="s">
        <v>287</v>
      </c>
      <c r="P78" s="30" t="s">
        <v>0</v>
      </c>
      <c r="Q78" s="30" t="s">
        <v>352</v>
      </c>
      <c r="R78" s="30" t="s">
        <v>356</v>
      </c>
      <c r="S78" s="36">
        <v>140</v>
      </c>
      <c r="T78" s="37" t="s">
        <v>288</v>
      </c>
      <c r="U78" s="36">
        <v>12252.01</v>
      </c>
      <c r="V78" s="30" t="s">
        <v>369</v>
      </c>
      <c r="W78" s="30" t="s">
        <v>289</v>
      </c>
      <c r="X78" s="30" t="s">
        <v>0</v>
      </c>
      <c r="Y78" s="30" t="s">
        <v>354</v>
      </c>
      <c r="Z78" s="30" t="s">
        <v>290</v>
      </c>
      <c r="AA78" s="30" t="s">
        <v>481</v>
      </c>
      <c r="AB78" s="30" t="s">
        <v>0</v>
      </c>
      <c r="AC78" s="30" t="s">
        <v>0</v>
      </c>
      <c r="AD78" s="30" t="s">
        <v>0</v>
      </c>
      <c r="AE78" s="31">
        <v>45904</v>
      </c>
      <c r="AF78" s="31"/>
      <c r="AG78" s="30" t="s">
        <v>0</v>
      </c>
    </row>
    <row r="79" spans="1:33" x14ac:dyDescent="0.35">
      <c r="A79" s="30" t="s">
        <v>297</v>
      </c>
      <c r="B79" s="30" t="s">
        <v>280</v>
      </c>
      <c r="C79" s="30" t="s">
        <v>281</v>
      </c>
      <c r="D79" s="30" t="s">
        <v>282</v>
      </c>
      <c r="E79" s="30" t="s">
        <v>283</v>
      </c>
      <c r="F79" s="30" t="s">
        <v>55</v>
      </c>
      <c r="G79" s="31">
        <v>45904</v>
      </c>
      <c r="H79" s="30" t="s">
        <v>482</v>
      </c>
      <c r="I79" s="30" t="s">
        <v>360</v>
      </c>
      <c r="J79" s="31">
        <v>45904</v>
      </c>
      <c r="K79" s="31">
        <v>45909</v>
      </c>
      <c r="L79" s="30" t="s">
        <v>354</v>
      </c>
      <c r="M79" s="30" t="s">
        <v>483</v>
      </c>
      <c r="N79" s="30" t="s">
        <v>286</v>
      </c>
      <c r="O79" s="30" t="s">
        <v>287</v>
      </c>
      <c r="P79" s="30" t="s">
        <v>0</v>
      </c>
      <c r="Q79" s="30" t="s">
        <v>352</v>
      </c>
      <c r="R79" s="30" t="s">
        <v>356</v>
      </c>
      <c r="S79" s="36">
        <v>108.12</v>
      </c>
      <c r="T79" s="37" t="s">
        <v>288</v>
      </c>
      <c r="U79" s="36">
        <v>9462.0499999999993</v>
      </c>
      <c r="V79" s="30" t="s">
        <v>369</v>
      </c>
      <c r="W79" s="30" t="s">
        <v>289</v>
      </c>
      <c r="X79" s="30" t="s">
        <v>0</v>
      </c>
      <c r="Y79" s="30" t="s">
        <v>354</v>
      </c>
      <c r="Z79" s="30" t="s">
        <v>290</v>
      </c>
      <c r="AA79" s="30" t="s">
        <v>484</v>
      </c>
      <c r="AB79" s="30" t="s">
        <v>0</v>
      </c>
      <c r="AC79" s="30" t="s">
        <v>0</v>
      </c>
      <c r="AD79" s="30" t="s">
        <v>0</v>
      </c>
      <c r="AE79" s="31">
        <v>45904</v>
      </c>
      <c r="AF79" s="31"/>
      <c r="AG79" s="30" t="s">
        <v>0</v>
      </c>
    </row>
    <row r="80" spans="1:33" x14ac:dyDescent="0.35">
      <c r="A80" s="30" t="s">
        <v>297</v>
      </c>
      <c r="B80" s="30" t="s">
        <v>280</v>
      </c>
      <c r="C80" s="30" t="s">
        <v>281</v>
      </c>
      <c r="D80" s="30" t="s">
        <v>282</v>
      </c>
      <c r="E80" s="30" t="s">
        <v>283</v>
      </c>
      <c r="F80" s="30" t="s">
        <v>55</v>
      </c>
      <c r="G80" s="31">
        <v>45904</v>
      </c>
      <c r="H80" s="30" t="s">
        <v>485</v>
      </c>
      <c r="I80" s="30" t="s">
        <v>360</v>
      </c>
      <c r="J80" s="31">
        <v>45904</v>
      </c>
      <c r="K80" s="31">
        <v>45909</v>
      </c>
      <c r="L80" s="30" t="s">
        <v>354</v>
      </c>
      <c r="M80" s="30" t="s">
        <v>486</v>
      </c>
      <c r="N80" s="30" t="s">
        <v>286</v>
      </c>
      <c r="O80" s="30" t="s">
        <v>287</v>
      </c>
      <c r="P80" s="30" t="s">
        <v>0</v>
      </c>
      <c r="Q80" s="30" t="s">
        <v>352</v>
      </c>
      <c r="R80" s="30" t="s">
        <v>356</v>
      </c>
      <c r="S80" s="36">
        <v>578.4</v>
      </c>
      <c r="T80" s="37" t="s">
        <v>288</v>
      </c>
      <c r="U80" s="36">
        <v>50618.29</v>
      </c>
      <c r="V80" s="30" t="s">
        <v>369</v>
      </c>
      <c r="W80" s="30" t="s">
        <v>289</v>
      </c>
      <c r="X80" s="30" t="s">
        <v>0</v>
      </c>
      <c r="Y80" s="30" t="s">
        <v>354</v>
      </c>
      <c r="Z80" s="30" t="s">
        <v>290</v>
      </c>
      <c r="AA80" s="30" t="s">
        <v>487</v>
      </c>
      <c r="AB80" s="30" t="s">
        <v>0</v>
      </c>
      <c r="AC80" s="30" t="s">
        <v>0</v>
      </c>
      <c r="AD80" s="30" t="s">
        <v>0</v>
      </c>
      <c r="AE80" s="31">
        <v>45904</v>
      </c>
      <c r="AF80" s="31"/>
      <c r="AG80" s="30" t="s">
        <v>0</v>
      </c>
    </row>
    <row r="81" spans="1:33" x14ac:dyDescent="0.35">
      <c r="A81" s="30" t="s">
        <v>297</v>
      </c>
      <c r="B81" s="30" t="s">
        <v>280</v>
      </c>
      <c r="C81" s="30" t="s">
        <v>281</v>
      </c>
      <c r="D81" s="30" t="s">
        <v>282</v>
      </c>
      <c r="E81" s="30" t="s">
        <v>283</v>
      </c>
      <c r="F81" s="30" t="s">
        <v>55</v>
      </c>
      <c r="G81" s="31">
        <v>45904</v>
      </c>
      <c r="H81" s="30" t="s">
        <v>488</v>
      </c>
      <c r="I81" s="30" t="s">
        <v>360</v>
      </c>
      <c r="J81" s="31">
        <v>45904</v>
      </c>
      <c r="K81" s="31">
        <v>45909</v>
      </c>
      <c r="L81" s="30" t="s">
        <v>354</v>
      </c>
      <c r="M81" s="30" t="s">
        <v>489</v>
      </c>
      <c r="N81" s="30" t="s">
        <v>286</v>
      </c>
      <c r="O81" s="30" t="s">
        <v>287</v>
      </c>
      <c r="P81" s="30" t="s">
        <v>0</v>
      </c>
      <c r="Q81" s="30" t="s">
        <v>352</v>
      </c>
      <c r="R81" s="30" t="s">
        <v>356</v>
      </c>
      <c r="S81" s="36">
        <v>13.52</v>
      </c>
      <c r="T81" s="37" t="s">
        <v>288</v>
      </c>
      <c r="U81" s="36">
        <v>1183.19</v>
      </c>
      <c r="V81" s="30" t="s">
        <v>369</v>
      </c>
      <c r="W81" s="30" t="s">
        <v>289</v>
      </c>
      <c r="X81" s="30" t="s">
        <v>0</v>
      </c>
      <c r="Y81" s="30" t="s">
        <v>490</v>
      </c>
      <c r="Z81" s="30" t="s">
        <v>290</v>
      </c>
      <c r="AA81" s="30" t="s">
        <v>491</v>
      </c>
      <c r="AB81" s="30" t="s">
        <v>0</v>
      </c>
      <c r="AC81" s="30" t="s">
        <v>0</v>
      </c>
      <c r="AD81" s="30" t="s">
        <v>0</v>
      </c>
      <c r="AE81" s="31">
        <v>45904</v>
      </c>
      <c r="AF81" s="31"/>
      <c r="AG81" s="30" t="s">
        <v>0</v>
      </c>
    </row>
    <row r="82" spans="1:33" x14ac:dyDescent="0.35">
      <c r="A82" s="30" t="s">
        <v>297</v>
      </c>
      <c r="B82" s="30" t="s">
        <v>280</v>
      </c>
      <c r="C82" s="30" t="s">
        <v>281</v>
      </c>
      <c r="D82" s="30" t="s">
        <v>282</v>
      </c>
      <c r="E82" s="30" t="s">
        <v>283</v>
      </c>
      <c r="F82" s="30" t="s">
        <v>55</v>
      </c>
      <c r="G82" s="31">
        <v>45904</v>
      </c>
      <c r="H82" s="30" t="s">
        <v>492</v>
      </c>
      <c r="I82" s="30" t="s">
        <v>360</v>
      </c>
      <c r="J82" s="31">
        <v>45904</v>
      </c>
      <c r="K82" s="31">
        <v>45909</v>
      </c>
      <c r="L82" s="30" t="s">
        <v>354</v>
      </c>
      <c r="M82" s="30" t="s">
        <v>493</v>
      </c>
      <c r="N82" s="30" t="s">
        <v>286</v>
      </c>
      <c r="O82" s="30" t="s">
        <v>287</v>
      </c>
      <c r="P82" s="30" t="s">
        <v>0</v>
      </c>
      <c r="Q82" s="30" t="s">
        <v>352</v>
      </c>
      <c r="R82" s="30" t="s">
        <v>356</v>
      </c>
      <c r="S82" s="36">
        <v>1800</v>
      </c>
      <c r="T82" s="37" t="s">
        <v>288</v>
      </c>
      <c r="U82" s="36">
        <v>157525.79</v>
      </c>
      <c r="V82" s="30" t="s">
        <v>369</v>
      </c>
      <c r="W82" s="30" t="s">
        <v>289</v>
      </c>
      <c r="X82" s="30" t="s">
        <v>0</v>
      </c>
      <c r="Y82" s="30" t="s">
        <v>354</v>
      </c>
      <c r="Z82" s="30" t="s">
        <v>290</v>
      </c>
      <c r="AA82" s="30" t="s">
        <v>494</v>
      </c>
      <c r="AB82" s="30" t="s">
        <v>0</v>
      </c>
      <c r="AC82" s="30" t="s">
        <v>0</v>
      </c>
      <c r="AD82" s="30" t="s">
        <v>0</v>
      </c>
      <c r="AE82" s="31">
        <v>45904</v>
      </c>
      <c r="AF82" s="31"/>
      <c r="AG82" s="30" t="s">
        <v>0</v>
      </c>
    </row>
    <row r="83" spans="1:33" x14ac:dyDescent="0.35">
      <c r="A83" s="30" t="s">
        <v>297</v>
      </c>
      <c r="B83" s="30" t="s">
        <v>280</v>
      </c>
      <c r="C83" s="30" t="s">
        <v>281</v>
      </c>
      <c r="D83" s="30" t="s">
        <v>282</v>
      </c>
      <c r="E83" s="30" t="s">
        <v>283</v>
      </c>
      <c r="F83" s="30" t="s">
        <v>53</v>
      </c>
      <c r="G83" s="31">
        <v>45842</v>
      </c>
      <c r="H83" s="30" t="s">
        <v>495</v>
      </c>
      <c r="I83" s="30" t="s">
        <v>360</v>
      </c>
      <c r="J83" s="31">
        <v>45842</v>
      </c>
      <c r="K83" s="31">
        <v>45845</v>
      </c>
      <c r="L83" s="30" t="s">
        <v>354</v>
      </c>
      <c r="M83" s="30" t="s">
        <v>496</v>
      </c>
      <c r="N83" s="30" t="s">
        <v>286</v>
      </c>
      <c r="O83" s="30" t="s">
        <v>287</v>
      </c>
      <c r="P83" s="30" t="s">
        <v>0</v>
      </c>
      <c r="Q83" s="30" t="s">
        <v>352</v>
      </c>
      <c r="R83" s="30" t="s">
        <v>356</v>
      </c>
      <c r="S83" s="36">
        <v>66.790000000000006</v>
      </c>
      <c r="T83" s="37" t="s">
        <v>288</v>
      </c>
      <c r="U83" s="36">
        <v>5743.98</v>
      </c>
      <c r="V83" s="30" t="s">
        <v>369</v>
      </c>
      <c r="W83" s="30" t="s">
        <v>289</v>
      </c>
      <c r="X83" s="30" t="s">
        <v>0</v>
      </c>
      <c r="Y83" s="30" t="s">
        <v>354</v>
      </c>
      <c r="Z83" s="30" t="s">
        <v>290</v>
      </c>
      <c r="AA83" s="30" t="s">
        <v>497</v>
      </c>
      <c r="AB83" s="30" t="s">
        <v>0</v>
      </c>
      <c r="AC83" s="30" t="s">
        <v>0</v>
      </c>
      <c r="AD83" s="30" t="s">
        <v>0</v>
      </c>
      <c r="AE83" s="31">
        <v>45842</v>
      </c>
      <c r="AF83" s="31"/>
      <c r="AG83" s="30" t="s">
        <v>0</v>
      </c>
    </row>
    <row r="84" spans="1:33" x14ac:dyDescent="0.35">
      <c r="A84" s="30" t="s">
        <v>297</v>
      </c>
      <c r="B84" s="30" t="s">
        <v>280</v>
      </c>
      <c r="C84" s="30" t="s">
        <v>281</v>
      </c>
      <c r="D84" s="30" t="s">
        <v>282</v>
      </c>
      <c r="E84" s="30" t="s">
        <v>283</v>
      </c>
      <c r="F84" s="30" t="s">
        <v>53</v>
      </c>
      <c r="G84" s="31">
        <v>45842</v>
      </c>
      <c r="H84" s="30" t="s">
        <v>498</v>
      </c>
      <c r="I84" s="30" t="s">
        <v>360</v>
      </c>
      <c r="J84" s="31">
        <v>45842</v>
      </c>
      <c r="K84" s="31">
        <v>45845</v>
      </c>
      <c r="L84" s="30" t="s">
        <v>354</v>
      </c>
      <c r="M84" s="30" t="s">
        <v>499</v>
      </c>
      <c r="N84" s="30" t="s">
        <v>286</v>
      </c>
      <c r="O84" s="30" t="s">
        <v>287</v>
      </c>
      <c r="P84" s="30" t="s">
        <v>0</v>
      </c>
      <c r="Q84" s="30" t="s">
        <v>352</v>
      </c>
      <c r="R84" s="30" t="s">
        <v>356</v>
      </c>
      <c r="S84" s="36">
        <v>318.63</v>
      </c>
      <c r="T84" s="37" t="s">
        <v>288</v>
      </c>
      <c r="U84" s="36">
        <v>27402.39</v>
      </c>
      <c r="V84" s="30" t="s">
        <v>369</v>
      </c>
      <c r="W84" s="30" t="s">
        <v>289</v>
      </c>
      <c r="X84" s="30" t="s">
        <v>0</v>
      </c>
      <c r="Y84" s="30" t="s">
        <v>354</v>
      </c>
      <c r="Z84" s="30" t="s">
        <v>290</v>
      </c>
      <c r="AA84" s="30" t="s">
        <v>500</v>
      </c>
      <c r="AB84" s="30" t="s">
        <v>0</v>
      </c>
      <c r="AC84" s="30" t="s">
        <v>0</v>
      </c>
      <c r="AD84" s="30" t="s">
        <v>0</v>
      </c>
      <c r="AE84" s="31">
        <v>45842</v>
      </c>
      <c r="AF84" s="31"/>
      <c r="AG84" s="30" t="s">
        <v>0</v>
      </c>
    </row>
    <row r="85" spans="1:33" x14ac:dyDescent="0.35">
      <c r="A85" s="30" t="s">
        <v>297</v>
      </c>
      <c r="B85" s="30" t="s">
        <v>280</v>
      </c>
      <c r="C85" s="30" t="s">
        <v>281</v>
      </c>
      <c r="D85" s="30" t="s">
        <v>282</v>
      </c>
      <c r="E85" s="30" t="s">
        <v>283</v>
      </c>
      <c r="F85" s="30" t="s">
        <v>53</v>
      </c>
      <c r="G85" s="31">
        <v>45842</v>
      </c>
      <c r="H85" s="30" t="s">
        <v>501</v>
      </c>
      <c r="I85" s="30" t="s">
        <v>360</v>
      </c>
      <c r="J85" s="31">
        <v>45842</v>
      </c>
      <c r="K85" s="31">
        <v>45845</v>
      </c>
      <c r="L85" s="30" t="s">
        <v>354</v>
      </c>
      <c r="M85" s="30" t="s">
        <v>502</v>
      </c>
      <c r="N85" s="30" t="s">
        <v>286</v>
      </c>
      <c r="O85" s="30" t="s">
        <v>287</v>
      </c>
      <c r="P85" s="30" t="s">
        <v>0</v>
      </c>
      <c r="Q85" s="30" t="s">
        <v>352</v>
      </c>
      <c r="R85" s="30" t="s">
        <v>356</v>
      </c>
      <c r="S85" s="36">
        <v>15.28</v>
      </c>
      <c r="T85" s="37" t="s">
        <v>288</v>
      </c>
      <c r="U85" s="36">
        <v>1314.09</v>
      </c>
      <c r="V85" s="30" t="s">
        <v>369</v>
      </c>
      <c r="W85" s="30" t="s">
        <v>289</v>
      </c>
      <c r="X85" s="30" t="s">
        <v>0</v>
      </c>
      <c r="Y85" s="30" t="s">
        <v>354</v>
      </c>
      <c r="Z85" s="30" t="s">
        <v>290</v>
      </c>
      <c r="AA85" s="30" t="s">
        <v>503</v>
      </c>
      <c r="AB85" s="30" t="s">
        <v>0</v>
      </c>
      <c r="AC85" s="30" t="s">
        <v>0</v>
      </c>
      <c r="AD85" s="30" t="s">
        <v>0</v>
      </c>
      <c r="AE85" s="31">
        <v>45842</v>
      </c>
      <c r="AF85" s="31"/>
      <c r="AG85" s="30" t="s">
        <v>0</v>
      </c>
    </row>
    <row r="86" spans="1:33" x14ac:dyDescent="0.35">
      <c r="A86" s="30" t="s">
        <v>297</v>
      </c>
      <c r="B86" s="30" t="s">
        <v>280</v>
      </c>
      <c r="C86" s="30" t="s">
        <v>281</v>
      </c>
      <c r="D86" s="30" t="s">
        <v>282</v>
      </c>
      <c r="E86" s="30" t="s">
        <v>283</v>
      </c>
      <c r="F86" s="30" t="s">
        <v>53</v>
      </c>
      <c r="G86" s="31">
        <v>45842</v>
      </c>
      <c r="H86" s="30" t="s">
        <v>504</v>
      </c>
      <c r="I86" s="30" t="s">
        <v>360</v>
      </c>
      <c r="J86" s="31">
        <v>45842</v>
      </c>
      <c r="K86" s="31">
        <v>45847</v>
      </c>
      <c r="L86" s="30" t="s">
        <v>354</v>
      </c>
      <c r="M86" s="30" t="s">
        <v>505</v>
      </c>
      <c r="N86" s="30" t="s">
        <v>286</v>
      </c>
      <c r="O86" s="30" t="s">
        <v>287</v>
      </c>
      <c r="P86" s="30" t="s">
        <v>0</v>
      </c>
      <c r="Q86" s="30" t="s">
        <v>352</v>
      </c>
      <c r="R86" s="30" t="s">
        <v>356</v>
      </c>
      <c r="S86" s="36">
        <v>52.22</v>
      </c>
      <c r="T86" s="37" t="s">
        <v>288</v>
      </c>
      <c r="U86" s="36">
        <v>4490.95</v>
      </c>
      <c r="V86" s="30" t="s">
        <v>369</v>
      </c>
      <c r="W86" s="30" t="s">
        <v>289</v>
      </c>
      <c r="X86" s="30" t="s">
        <v>0</v>
      </c>
      <c r="Y86" s="30" t="s">
        <v>354</v>
      </c>
      <c r="Z86" s="30" t="s">
        <v>290</v>
      </c>
      <c r="AA86" s="30" t="s">
        <v>506</v>
      </c>
      <c r="AB86" s="30" t="s">
        <v>0</v>
      </c>
      <c r="AC86" s="30" t="s">
        <v>0</v>
      </c>
      <c r="AD86" s="30" t="s">
        <v>0</v>
      </c>
      <c r="AE86" s="31">
        <v>45842</v>
      </c>
      <c r="AF86" s="31"/>
      <c r="AG86" s="30" t="s">
        <v>0</v>
      </c>
    </row>
    <row r="87" spans="1:33" x14ac:dyDescent="0.35">
      <c r="A87" s="30" t="s">
        <v>297</v>
      </c>
      <c r="B87" s="30" t="s">
        <v>280</v>
      </c>
      <c r="C87" s="30" t="s">
        <v>281</v>
      </c>
      <c r="D87" s="30" t="s">
        <v>282</v>
      </c>
      <c r="E87" s="30" t="s">
        <v>283</v>
      </c>
      <c r="F87" s="30" t="s">
        <v>53</v>
      </c>
      <c r="G87" s="31">
        <v>45842</v>
      </c>
      <c r="H87" s="30" t="s">
        <v>507</v>
      </c>
      <c r="I87" s="30" t="s">
        <v>360</v>
      </c>
      <c r="J87" s="31">
        <v>45842</v>
      </c>
      <c r="K87" s="31">
        <v>45847</v>
      </c>
      <c r="L87" s="30" t="s">
        <v>354</v>
      </c>
      <c r="M87" s="30" t="s">
        <v>508</v>
      </c>
      <c r="N87" s="30" t="s">
        <v>286</v>
      </c>
      <c r="O87" s="30" t="s">
        <v>287</v>
      </c>
      <c r="P87" s="30" t="s">
        <v>0</v>
      </c>
      <c r="Q87" s="30" t="s">
        <v>352</v>
      </c>
      <c r="R87" s="30" t="s">
        <v>356</v>
      </c>
      <c r="S87" s="36">
        <v>1800</v>
      </c>
      <c r="T87" s="37" t="s">
        <v>288</v>
      </c>
      <c r="U87" s="36">
        <v>154801.21</v>
      </c>
      <c r="V87" s="30" t="s">
        <v>369</v>
      </c>
      <c r="W87" s="30" t="s">
        <v>289</v>
      </c>
      <c r="X87" s="30" t="s">
        <v>0</v>
      </c>
      <c r="Y87" s="30" t="s">
        <v>354</v>
      </c>
      <c r="Z87" s="30" t="s">
        <v>290</v>
      </c>
      <c r="AA87" s="30" t="s">
        <v>509</v>
      </c>
      <c r="AB87" s="30" t="s">
        <v>0</v>
      </c>
      <c r="AC87" s="30" t="s">
        <v>0</v>
      </c>
      <c r="AD87" s="30" t="s">
        <v>0</v>
      </c>
      <c r="AE87" s="31">
        <v>45842</v>
      </c>
      <c r="AF87" s="31"/>
      <c r="AG87" s="30" t="s">
        <v>0</v>
      </c>
    </row>
    <row r="88" spans="1:33" x14ac:dyDescent="0.35">
      <c r="A88" s="30" t="s">
        <v>297</v>
      </c>
      <c r="B88" s="30" t="s">
        <v>280</v>
      </c>
      <c r="C88" s="30" t="s">
        <v>281</v>
      </c>
      <c r="D88" s="30" t="s">
        <v>282</v>
      </c>
      <c r="E88" s="30" t="s">
        <v>283</v>
      </c>
      <c r="F88" s="30" t="s">
        <v>53</v>
      </c>
      <c r="G88" s="31">
        <v>45842</v>
      </c>
      <c r="H88" s="30" t="s">
        <v>510</v>
      </c>
      <c r="I88" s="30" t="s">
        <v>360</v>
      </c>
      <c r="J88" s="31">
        <v>45842</v>
      </c>
      <c r="K88" s="31">
        <v>45847</v>
      </c>
      <c r="L88" s="30" t="s">
        <v>354</v>
      </c>
      <c r="M88" s="30" t="s">
        <v>511</v>
      </c>
      <c r="N88" s="30" t="s">
        <v>286</v>
      </c>
      <c r="O88" s="30" t="s">
        <v>287</v>
      </c>
      <c r="P88" s="30" t="s">
        <v>0</v>
      </c>
      <c r="Q88" s="30" t="s">
        <v>352</v>
      </c>
      <c r="R88" s="30" t="s">
        <v>356</v>
      </c>
      <c r="S88" s="36">
        <v>175.39</v>
      </c>
      <c r="T88" s="37" t="s">
        <v>288</v>
      </c>
      <c r="U88" s="36">
        <v>15083.66</v>
      </c>
      <c r="V88" s="30" t="s">
        <v>369</v>
      </c>
      <c r="W88" s="30" t="s">
        <v>289</v>
      </c>
      <c r="X88" s="30" t="s">
        <v>0</v>
      </c>
      <c r="Y88" s="30" t="s">
        <v>354</v>
      </c>
      <c r="Z88" s="30" t="s">
        <v>290</v>
      </c>
      <c r="AA88" s="30" t="s">
        <v>512</v>
      </c>
      <c r="AB88" s="30" t="s">
        <v>0</v>
      </c>
      <c r="AC88" s="30" t="s">
        <v>0</v>
      </c>
      <c r="AD88" s="30" t="s">
        <v>0</v>
      </c>
      <c r="AE88" s="31">
        <v>45842</v>
      </c>
      <c r="AF88" s="31"/>
      <c r="AG88" s="30" t="s">
        <v>0</v>
      </c>
    </row>
    <row r="89" spans="1:33" x14ac:dyDescent="0.35">
      <c r="A89" s="30" t="s">
        <v>297</v>
      </c>
      <c r="B89" s="30" t="s">
        <v>280</v>
      </c>
      <c r="C89" s="30" t="s">
        <v>281</v>
      </c>
      <c r="D89" s="30" t="s">
        <v>282</v>
      </c>
      <c r="E89" s="30" t="s">
        <v>283</v>
      </c>
      <c r="F89" s="30" t="s">
        <v>53</v>
      </c>
      <c r="G89" s="31">
        <v>45842</v>
      </c>
      <c r="H89" s="30" t="s">
        <v>513</v>
      </c>
      <c r="I89" s="30" t="s">
        <v>360</v>
      </c>
      <c r="J89" s="31">
        <v>45842</v>
      </c>
      <c r="K89" s="31">
        <v>45847</v>
      </c>
      <c r="L89" s="30" t="s">
        <v>354</v>
      </c>
      <c r="M89" s="30" t="s">
        <v>514</v>
      </c>
      <c r="N89" s="30" t="s">
        <v>286</v>
      </c>
      <c r="O89" s="30" t="s">
        <v>287</v>
      </c>
      <c r="P89" s="30" t="s">
        <v>0</v>
      </c>
      <c r="Q89" s="30" t="s">
        <v>352</v>
      </c>
      <c r="R89" s="30" t="s">
        <v>356</v>
      </c>
      <c r="S89" s="36">
        <v>1521.18</v>
      </c>
      <c r="T89" s="37" t="s">
        <v>288</v>
      </c>
      <c r="U89" s="36">
        <v>130822.5</v>
      </c>
      <c r="V89" s="30" t="s">
        <v>369</v>
      </c>
      <c r="W89" s="30" t="s">
        <v>289</v>
      </c>
      <c r="X89" s="30" t="s">
        <v>0</v>
      </c>
      <c r="Y89" s="30" t="s">
        <v>354</v>
      </c>
      <c r="Z89" s="30" t="s">
        <v>290</v>
      </c>
      <c r="AA89" s="30" t="s">
        <v>515</v>
      </c>
      <c r="AB89" s="30" t="s">
        <v>0</v>
      </c>
      <c r="AC89" s="30" t="s">
        <v>0</v>
      </c>
      <c r="AD89" s="30" t="s">
        <v>0</v>
      </c>
      <c r="AE89" s="31">
        <v>45842</v>
      </c>
      <c r="AF89" s="31"/>
      <c r="AG89" s="30" t="s">
        <v>0</v>
      </c>
    </row>
    <row r="90" spans="1:33" x14ac:dyDescent="0.35">
      <c r="A90" s="30" t="s">
        <v>297</v>
      </c>
      <c r="B90" s="30" t="s">
        <v>280</v>
      </c>
      <c r="C90" s="30" t="s">
        <v>281</v>
      </c>
      <c r="D90" s="30" t="s">
        <v>282</v>
      </c>
      <c r="E90" s="30" t="s">
        <v>283</v>
      </c>
      <c r="F90" s="30" t="s">
        <v>53</v>
      </c>
      <c r="G90" s="31">
        <v>45842</v>
      </c>
      <c r="H90" s="30" t="s">
        <v>516</v>
      </c>
      <c r="I90" s="30" t="s">
        <v>360</v>
      </c>
      <c r="J90" s="31">
        <v>45842</v>
      </c>
      <c r="K90" s="31">
        <v>45847</v>
      </c>
      <c r="L90" s="30" t="s">
        <v>354</v>
      </c>
      <c r="M90" s="30" t="s">
        <v>517</v>
      </c>
      <c r="N90" s="30" t="s">
        <v>286</v>
      </c>
      <c r="O90" s="30" t="s">
        <v>287</v>
      </c>
      <c r="P90" s="30" t="s">
        <v>0</v>
      </c>
      <c r="Q90" s="30" t="s">
        <v>352</v>
      </c>
      <c r="R90" s="30" t="s">
        <v>356</v>
      </c>
      <c r="S90" s="36">
        <v>164.73</v>
      </c>
      <c r="T90" s="37" t="s">
        <v>288</v>
      </c>
      <c r="U90" s="36">
        <v>14166.89</v>
      </c>
      <c r="V90" s="30" t="s">
        <v>369</v>
      </c>
      <c r="W90" s="30" t="s">
        <v>289</v>
      </c>
      <c r="X90" s="30" t="s">
        <v>0</v>
      </c>
      <c r="Y90" s="30" t="s">
        <v>0</v>
      </c>
      <c r="Z90" s="30" t="s">
        <v>290</v>
      </c>
      <c r="AA90" s="30" t="s">
        <v>518</v>
      </c>
      <c r="AB90" s="30" t="s">
        <v>0</v>
      </c>
      <c r="AC90" s="30" t="s">
        <v>0</v>
      </c>
      <c r="AD90" s="30" t="s">
        <v>0</v>
      </c>
      <c r="AE90" s="31">
        <v>45842</v>
      </c>
      <c r="AF90" s="31"/>
      <c r="AG90" s="30" t="s">
        <v>0</v>
      </c>
    </row>
    <row r="91" spans="1:33" x14ac:dyDescent="0.35">
      <c r="A91" s="30" t="s">
        <v>297</v>
      </c>
      <c r="B91" s="30" t="s">
        <v>280</v>
      </c>
      <c r="C91" s="30" t="s">
        <v>281</v>
      </c>
      <c r="D91" s="30" t="s">
        <v>282</v>
      </c>
      <c r="E91" s="30" t="s">
        <v>283</v>
      </c>
      <c r="F91" s="30" t="s">
        <v>57</v>
      </c>
      <c r="G91" s="31">
        <v>45966</v>
      </c>
      <c r="H91" s="30" t="s">
        <v>519</v>
      </c>
      <c r="I91" s="30" t="s">
        <v>360</v>
      </c>
      <c r="J91" s="31">
        <v>45966</v>
      </c>
      <c r="K91" s="31">
        <v>45966</v>
      </c>
      <c r="L91" s="30" t="s">
        <v>354</v>
      </c>
      <c r="M91" s="30" t="s">
        <v>520</v>
      </c>
      <c r="N91" s="30" t="s">
        <v>286</v>
      </c>
      <c r="O91" s="30" t="s">
        <v>287</v>
      </c>
      <c r="P91" s="30" t="s">
        <v>0</v>
      </c>
      <c r="Q91" s="30" t="s">
        <v>352</v>
      </c>
      <c r="R91" s="30" t="s">
        <v>356</v>
      </c>
      <c r="S91" s="36">
        <v>1800</v>
      </c>
      <c r="T91" s="37" t="s">
        <v>288</v>
      </c>
      <c r="U91" s="36">
        <v>158406.1</v>
      </c>
      <c r="V91" s="30" t="s">
        <v>369</v>
      </c>
      <c r="W91" s="30" t="s">
        <v>289</v>
      </c>
      <c r="X91" s="30" t="s">
        <v>0</v>
      </c>
      <c r="Y91" s="30" t="s">
        <v>521</v>
      </c>
      <c r="Z91" s="30" t="s">
        <v>290</v>
      </c>
      <c r="AA91" s="30" t="s">
        <v>522</v>
      </c>
      <c r="AB91" s="30" t="s">
        <v>0</v>
      </c>
      <c r="AC91" s="30" t="s">
        <v>0</v>
      </c>
      <c r="AD91" s="30" t="s">
        <v>0</v>
      </c>
      <c r="AE91" s="31">
        <v>45966</v>
      </c>
      <c r="AF91" s="31"/>
      <c r="AG91" s="30" t="s">
        <v>0</v>
      </c>
    </row>
    <row r="92" spans="1:33" x14ac:dyDescent="0.35">
      <c r="A92" s="30" t="s">
        <v>297</v>
      </c>
      <c r="B92" s="30" t="s">
        <v>280</v>
      </c>
      <c r="C92" s="30" t="s">
        <v>281</v>
      </c>
      <c r="D92" s="30" t="s">
        <v>282</v>
      </c>
      <c r="E92" s="30" t="s">
        <v>283</v>
      </c>
      <c r="F92" s="30" t="s">
        <v>57</v>
      </c>
      <c r="G92" s="31">
        <v>45966</v>
      </c>
      <c r="H92" s="30" t="s">
        <v>523</v>
      </c>
      <c r="I92" s="30" t="s">
        <v>360</v>
      </c>
      <c r="J92" s="31">
        <v>45966</v>
      </c>
      <c r="K92" s="31">
        <v>45967</v>
      </c>
      <c r="L92" s="30" t="s">
        <v>354</v>
      </c>
      <c r="M92" s="30" t="s">
        <v>524</v>
      </c>
      <c r="N92" s="30" t="s">
        <v>286</v>
      </c>
      <c r="O92" s="30" t="s">
        <v>287</v>
      </c>
      <c r="P92" s="30" t="s">
        <v>0</v>
      </c>
      <c r="Q92" s="30" t="s">
        <v>352</v>
      </c>
      <c r="R92" s="30" t="s">
        <v>356</v>
      </c>
      <c r="S92" s="36">
        <v>13.53</v>
      </c>
      <c r="T92" s="37" t="s">
        <v>288</v>
      </c>
      <c r="U92" s="36">
        <v>1190.69</v>
      </c>
      <c r="V92" s="30" t="s">
        <v>369</v>
      </c>
      <c r="W92" s="30" t="s">
        <v>289</v>
      </c>
      <c r="X92" s="30" t="s">
        <v>0</v>
      </c>
      <c r="Y92" s="30" t="s">
        <v>525</v>
      </c>
      <c r="Z92" s="30" t="s">
        <v>290</v>
      </c>
      <c r="AA92" s="30" t="s">
        <v>526</v>
      </c>
      <c r="AB92" s="30" t="s">
        <v>0</v>
      </c>
      <c r="AC92" s="30" t="s">
        <v>0</v>
      </c>
      <c r="AD92" s="30" t="s">
        <v>0</v>
      </c>
      <c r="AE92" s="31">
        <v>45966</v>
      </c>
      <c r="AF92" s="31"/>
      <c r="AG92" s="30" t="s">
        <v>0</v>
      </c>
    </row>
    <row r="93" spans="1:33" x14ac:dyDescent="0.35">
      <c r="A93" s="30" t="s">
        <v>297</v>
      </c>
      <c r="B93" s="30" t="s">
        <v>280</v>
      </c>
      <c r="C93" s="30" t="s">
        <v>281</v>
      </c>
      <c r="D93" s="30" t="s">
        <v>282</v>
      </c>
      <c r="E93" s="30" t="s">
        <v>283</v>
      </c>
      <c r="F93" s="30" t="s">
        <v>57</v>
      </c>
      <c r="G93" s="31">
        <v>45966</v>
      </c>
      <c r="H93" s="30" t="s">
        <v>527</v>
      </c>
      <c r="I93" s="30" t="s">
        <v>360</v>
      </c>
      <c r="J93" s="31">
        <v>45966</v>
      </c>
      <c r="K93" s="31">
        <v>45967</v>
      </c>
      <c r="L93" s="30" t="s">
        <v>354</v>
      </c>
      <c r="M93" s="30" t="s">
        <v>528</v>
      </c>
      <c r="N93" s="30" t="s">
        <v>286</v>
      </c>
      <c r="O93" s="30" t="s">
        <v>287</v>
      </c>
      <c r="P93" s="30" t="s">
        <v>0</v>
      </c>
      <c r="Q93" s="30" t="s">
        <v>352</v>
      </c>
      <c r="R93" s="30" t="s">
        <v>356</v>
      </c>
      <c r="S93" s="36">
        <v>1068.54</v>
      </c>
      <c r="T93" s="37" t="s">
        <v>288</v>
      </c>
      <c r="U93" s="36">
        <v>94035.14</v>
      </c>
      <c r="V93" s="30" t="s">
        <v>369</v>
      </c>
      <c r="W93" s="30" t="s">
        <v>289</v>
      </c>
      <c r="X93" s="30" t="s">
        <v>0</v>
      </c>
      <c r="Y93" s="30" t="s">
        <v>529</v>
      </c>
      <c r="Z93" s="30" t="s">
        <v>290</v>
      </c>
      <c r="AA93" s="30" t="s">
        <v>530</v>
      </c>
      <c r="AB93" s="30" t="s">
        <v>0</v>
      </c>
      <c r="AC93" s="30" t="s">
        <v>0</v>
      </c>
      <c r="AD93" s="30" t="s">
        <v>0</v>
      </c>
      <c r="AE93" s="31">
        <v>45966</v>
      </c>
      <c r="AF93" s="31"/>
      <c r="AG93" s="30" t="s">
        <v>0</v>
      </c>
    </row>
    <row r="94" spans="1:33" x14ac:dyDescent="0.35">
      <c r="A94" s="30" t="s">
        <v>297</v>
      </c>
      <c r="B94" s="30" t="s">
        <v>280</v>
      </c>
      <c r="C94" s="30" t="s">
        <v>281</v>
      </c>
      <c r="D94" s="30" t="s">
        <v>282</v>
      </c>
      <c r="E94" s="30" t="s">
        <v>283</v>
      </c>
      <c r="F94" s="30" t="s">
        <v>57</v>
      </c>
      <c r="G94" s="31">
        <v>45966</v>
      </c>
      <c r="H94" s="30" t="s">
        <v>531</v>
      </c>
      <c r="I94" s="30" t="s">
        <v>360</v>
      </c>
      <c r="J94" s="31">
        <v>45966</v>
      </c>
      <c r="K94" s="31">
        <v>45967</v>
      </c>
      <c r="L94" s="30" t="s">
        <v>354</v>
      </c>
      <c r="M94" s="30" t="s">
        <v>532</v>
      </c>
      <c r="N94" s="30" t="s">
        <v>286</v>
      </c>
      <c r="O94" s="30" t="s">
        <v>287</v>
      </c>
      <c r="P94" s="30" t="s">
        <v>0</v>
      </c>
      <c r="Q94" s="30" t="s">
        <v>352</v>
      </c>
      <c r="R94" s="30" t="s">
        <v>356</v>
      </c>
      <c r="S94" s="36">
        <v>140</v>
      </c>
      <c r="T94" s="37" t="s">
        <v>288</v>
      </c>
      <c r="U94" s="36">
        <v>12320.47</v>
      </c>
      <c r="V94" s="30" t="s">
        <v>369</v>
      </c>
      <c r="W94" s="30" t="s">
        <v>289</v>
      </c>
      <c r="X94" s="30" t="s">
        <v>0</v>
      </c>
      <c r="Y94" s="30" t="s">
        <v>533</v>
      </c>
      <c r="Z94" s="30" t="s">
        <v>290</v>
      </c>
      <c r="AA94" s="30" t="s">
        <v>534</v>
      </c>
      <c r="AB94" s="30" t="s">
        <v>0</v>
      </c>
      <c r="AC94" s="30" t="s">
        <v>0</v>
      </c>
      <c r="AD94" s="30" t="s">
        <v>0</v>
      </c>
      <c r="AE94" s="31">
        <v>45966</v>
      </c>
      <c r="AF94" s="31"/>
      <c r="AG94" s="30" t="s">
        <v>0</v>
      </c>
    </row>
    <row r="95" spans="1:33" x14ac:dyDescent="0.35">
      <c r="A95" s="30" t="s">
        <v>297</v>
      </c>
      <c r="B95" s="30" t="s">
        <v>280</v>
      </c>
      <c r="C95" s="30" t="s">
        <v>281</v>
      </c>
      <c r="D95" s="30" t="s">
        <v>282</v>
      </c>
      <c r="E95" s="30" t="s">
        <v>283</v>
      </c>
      <c r="F95" s="30" t="s">
        <v>57</v>
      </c>
      <c r="G95" s="31">
        <v>45966</v>
      </c>
      <c r="H95" s="30" t="s">
        <v>535</v>
      </c>
      <c r="I95" s="30" t="s">
        <v>360</v>
      </c>
      <c r="J95" s="31">
        <v>45966</v>
      </c>
      <c r="K95" s="31">
        <v>45967</v>
      </c>
      <c r="L95" s="30" t="s">
        <v>354</v>
      </c>
      <c r="M95" s="30" t="s">
        <v>536</v>
      </c>
      <c r="N95" s="30" t="s">
        <v>286</v>
      </c>
      <c r="O95" s="30" t="s">
        <v>287</v>
      </c>
      <c r="P95" s="30" t="s">
        <v>0</v>
      </c>
      <c r="Q95" s="30" t="s">
        <v>352</v>
      </c>
      <c r="R95" s="30" t="s">
        <v>356</v>
      </c>
      <c r="S95" s="36">
        <v>35</v>
      </c>
      <c r="T95" s="37" t="s">
        <v>288</v>
      </c>
      <c r="U95" s="36">
        <v>3080.12</v>
      </c>
      <c r="V95" s="30" t="s">
        <v>369</v>
      </c>
      <c r="W95" s="30" t="s">
        <v>289</v>
      </c>
      <c r="X95" s="30" t="s">
        <v>0</v>
      </c>
      <c r="Y95" s="30" t="s">
        <v>537</v>
      </c>
      <c r="Z95" s="30" t="s">
        <v>290</v>
      </c>
      <c r="AA95" s="30" t="s">
        <v>538</v>
      </c>
      <c r="AB95" s="30" t="s">
        <v>0</v>
      </c>
      <c r="AC95" s="30" t="s">
        <v>0</v>
      </c>
      <c r="AD95" s="30" t="s">
        <v>0</v>
      </c>
      <c r="AE95" s="31">
        <v>45966</v>
      </c>
      <c r="AF95" s="31"/>
      <c r="AG95" s="30" t="s">
        <v>0</v>
      </c>
    </row>
    <row r="96" spans="1:33" x14ac:dyDescent="0.35">
      <c r="A96" s="30" t="s">
        <v>297</v>
      </c>
      <c r="B96" s="30" t="s">
        <v>280</v>
      </c>
      <c r="C96" s="30" t="s">
        <v>281</v>
      </c>
      <c r="D96" s="30" t="s">
        <v>282</v>
      </c>
      <c r="E96" s="30" t="s">
        <v>283</v>
      </c>
      <c r="F96" s="30" t="s">
        <v>57</v>
      </c>
      <c r="G96" s="31">
        <v>45966</v>
      </c>
      <c r="H96" s="30" t="s">
        <v>539</v>
      </c>
      <c r="I96" s="30" t="s">
        <v>360</v>
      </c>
      <c r="J96" s="31">
        <v>45966</v>
      </c>
      <c r="K96" s="31">
        <v>45967</v>
      </c>
      <c r="L96" s="30" t="s">
        <v>354</v>
      </c>
      <c r="M96" s="30" t="s">
        <v>540</v>
      </c>
      <c r="N96" s="30" t="s">
        <v>286</v>
      </c>
      <c r="O96" s="30" t="s">
        <v>287</v>
      </c>
      <c r="P96" s="30" t="s">
        <v>0</v>
      </c>
      <c r="Q96" s="30" t="s">
        <v>352</v>
      </c>
      <c r="R96" s="30" t="s">
        <v>356</v>
      </c>
      <c r="S96" s="36">
        <v>322.64</v>
      </c>
      <c r="T96" s="37" t="s">
        <v>288</v>
      </c>
      <c r="U96" s="36">
        <v>28393.41</v>
      </c>
      <c r="V96" s="30" t="s">
        <v>369</v>
      </c>
      <c r="W96" s="30" t="s">
        <v>289</v>
      </c>
      <c r="X96" s="30" t="s">
        <v>0</v>
      </c>
      <c r="Y96" s="30" t="s">
        <v>541</v>
      </c>
      <c r="Z96" s="30" t="s">
        <v>290</v>
      </c>
      <c r="AA96" s="30" t="s">
        <v>542</v>
      </c>
      <c r="AB96" s="30" t="s">
        <v>0</v>
      </c>
      <c r="AC96" s="30" t="s">
        <v>0</v>
      </c>
      <c r="AD96" s="30" t="s">
        <v>0</v>
      </c>
      <c r="AE96" s="31">
        <v>45966</v>
      </c>
      <c r="AF96" s="31"/>
      <c r="AG96" s="30" t="s">
        <v>0</v>
      </c>
    </row>
    <row r="97" spans="1:33" x14ac:dyDescent="0.35">
      <c r="A97" s="30" t="s">
        <v>297</v>
      </c>
      <c r="B97" s="30" t="s">
        <v>280</v>
      </c>
      <c r="C97" s="30" t="s">
        <v>281</v>
      </c>
      <c r="D97" s="30" t="s">
        <v>282</v>
      </c>
      <c r="E97" s="30" t="s">
        <v>283</v>
      </c>
      <c r="F97" s="30" t="s">
        <v>57</v>
      </c>
      <c r="G97" s="31">
        <v>45966</v>
      </c>
      <c r="H97" s="30" t="s">
        <v>543</v>
      </c>
      <c r="I97" s="30" t="s">
        <v>360</v>
      </c>
      <c r="J97" s="31">
        <v>45966</v>
      </c>
      <c r="K97" s="31">
        <v>45967</v>
      </c>
      <c r="L97" s="30" t="s">
        <v>354</v>
      </c>
      <c r="M97" s="30" t="s">
        <v>544</v>
      </c>
      <c r="N97" s="30" t="s">
        <v>286</v>
      </c>
      <c r="O97" s="30" t="s">
        <v>287</v>
      </c>
      <c r="P97" s="30" t="s">
        <v>0</v>
      </c>
      <c r="Q97" s="30" t="s">
        <v>352</v>
      </c>
      <c r="R97" s="30" t="s">
        <v>356</v>
      </c>
      <c r="S97" s="36">
        <v>13.3</v>
      </c>
      <c r="T97" s="37" t="s">
        <v>288</v>
      </c>
      <c r="U97" s="36">
        <v>1170.45</v>
      </c>
      <c r="V97" s="30" t="s">
        <v>369</v>
      </c>
      <c r="W97" s="30" t="s">
        <v>289</v>
      </c>
      <c r="X97" s="30" t="s">
        <v>0</v>
      </c>
      <c r="Y97" s="30" t="s">
        <v>545</v>
      </c>
      <c r="Z97" s="30" t="s">
        <v>290</v>
      </c>
      <c r="AA97" s="30" t="s">
        <v>546</v>
      </c>
      <c r="AB97" s="30" t="s">
        <v>0</v>
      </c>
      <c r="AC97" s="30" t="s">
        <v>0</v>
      </c>
      <c r="AD97" s="30" t="s">
        <v>0</v>
      </c>
      <c r="AE97" s="31">
        <v>45966</v>
      </c>
      <c r="AF97" s="31"/>
      <c r="AG97" s="30" t="s">
        <v>0</v>
      </c>
    </row>
    <row r="98" spans="1:33" x14ac:dyDescent="0.35">
      <c r="A98" s="30" t="s">
        <v>297</v>
      </c>
      <c r="B98" s="30" t="s">
        <v>280</v>
      </c>
      <c r="C98" s="30" t="s">
        <v>281</v>
      </c>
      <c r="D98" s="30" t="s">
        <v>282</v>
      </c>
      <c r="E98" s="30" t="s">
        <v>283</v>
      </c>
      <c r="F98" s="30" t="s">
        <v>57</v>
      </c>
      <c r="G98" s="31">
        <v>45966</v>
      </c>
      <c r="H98" s="30" t="s">
        <v>547</v>
      </c>
      <c r="I98" s="30" t="s">
        <v>360</v>
      </c>
      <c r="J98" s="31">
        <v>45966</v>
      </c>
      <c r="K98" s="31">
        <v>45968</v>
      </c>
      <c r="L98" s="30" t="s">
        <v>548</v>
      </c>
      <c r="M98" s="30" t="s">
        <v>549</v>
      </c>
      <c r="N98" s="30" t="s">
        <v>286</v>
      </c>
      <c r="O98" s="30" t="s">
        <v>287</v>
      </c>
      <c r="P98" s="30" t="s">
        <v>0</v>
      </c>
      <c r="Q98" s="30" t="s">
        <v>352</v>
      </c>
      <c r="R98" s="30" t="s">
        <v>356</v>
      </c>
      <c r="S98" s="36">
        <v>146.19</v>
      </c>
      <c r="T98" s="37" t="s">
        <v>288</v>
      </c>
      <c r="U98" s="36">
        <v>12865.22</v>
      </c>
      <c r="V98" s="30" t="s">
        <v>369</v>
      </c>
      <c r="W98" s="30" t="s">
        <v>289</v>
      </c>
      <c r="X98" s="30" t="s">
        <v>0</v>
      </c>
      <c r="Y98" s="30" t="s">
        <v>354</v>
      </c>
      <c r="Z98" s="30" t="s">
        <v>290</v>
      </c>
      <c r="AA98" s="30" t="s">
        <v>550</v>
      </c>
      <c r="AB98" s="30" t="s">
        <v>0</v>
      </c>
      <c r="AC98" s="30" t="s">
        <v>0</v>
      </c>
      <c r="AD98" s="30" t="s">
        <v>0</v>
      </c>
      <c r="AE98" s="31">
        <v>45966</v>
      </c>
      <c r="AF98" s="31"/>
      <c r="AG98" s="30" t="s">
        <v>0</v>
      </c>
    </row>
    <row r="99" spans="1:33" x14ac:dyDescent="0.35">
      <c r="A99" s="30" t="s">
        <v>297</v>
      </c>
      <c r="B99" s="30" t="s">
        <v>280</v>
      </c>
      <c r="C99" s="30" t="s">
        <v>281</v>
      </c>
      <c r="D99" s="30" t="s">
        <v>282</v>
      </c>
      <c r="E99" s="30" t="s">
        <v>283</v>
      </c>
      <c r="F99" s="30" t="s">
        <v>57</v>
      </c>
      <c r="G99" s="31">
        <v>45966</v>
      </c>
      <c r="H99" s="30" t="s">
        <v>551</v>
      </c>
      <c r="I99" s="30" t="s">
        <v>360</v>
      </c>
      <c r="J99" s="31">
        <v>45966</v>
      </c>
      <c r="K99" s="31">
        <v>45971</v>
      </c>
      <c r="L99" s="30" t="s">
        <v>354</v>
      </c>
      <c r="M99" s="30" t="s">
        <v>552</v>
      </c>
      <c r="N99" s="30" t="s">
        <v>286</v>
      </c>
      <c r="O99" s="30" t="s">
        <v>287</v>
      </c>
      <c r="P99" s="30" t="s">
        <v>0</v>
      </c>
      <c r="Q99" s="30" t="s">
        <v>352</v>
      </c>
      <c r="R99" s="30" t="s">
        <v>356</v>
      </c>
      <c r="S99" s="36">
        <v>197.23</v>
      </c>
      <c r="T99" s="37" t="s">
        <v>288</v>
      </c>
      <c r="U99" s="36">
        <v>17356.91</v>
      </c>
      <c r="V99" s="30" t="s">
        <v>369</v>
      </c>
      <c r="W99" s="30" t="s">
        <v>289</v>
      </c>
      <c r="X99" s="30" t="s">
        <v>0</v>
      </c>
      <c r="Y99" s="30" t="s">
        <v>553</v>
      </c>
      <c r="Z99" s="30" t="s">
        <v>290</v>
      </c>
      <c r="AA99" s="30" t="s">
        <v>554</v>
      </c>
      <c r="AB99" s="30" t="s">
        <v>0</v>
      </c>
      <c r="AC99" s="30" t="s">
        <v>0</v>
      </c>
      <c r="AD99" s="30" t="s">
        <v>0</v>
      </c>
      <c r="AE99" s="31">
        <v>45966</v>
      </c>
      <c r="AF99" s="31"/>
      <c r="AG99" s="30" t="s">
        <v>0</v>
      </c>
    </row>
    <row r="100" spans="1:33" x14ac:dyDescent="0.35">
      <c r="A100" s="30" t="s">
        <v>279</v>
      </c>
      <c r="B100" s="30" t="s">
        <v>280</v>
      </c>
      <c r="C100" s="30" t="s">
        <v>281</v>
      </c>
      <c r="D100" s="30" t="s">
        <v>282</v>
      </c>
      <c r="E100" s="30" t="s">
        <v>283</v>
      </c>
      <c r="F100" s="30" t="s">
        <v>296</v>
      </c>
      <c r="G100" s="31">
        <v>45713</v>
      </c>
      <c r="H100" s="30" t="s">
        <v>555</v>
      </c>
      <c r="I100" s="30" t="s">
        <v>360</v>
      </c>
      <c r="J100" s="31">
        <v>45713</v>
      </c>
      <c r="K100" s="31">
        <v>45713</v>
      </c>
      <c r="L100" s="30" t="s">
        <v>354</v>
      </c>
      <c r="M100" s="30" t="s">
        <v>556</v>
      </c>
      <c r="N100" s="30" t="s">
        <v>286</v>
      </c>
      <c r="O100" s="30" t="s">
        <v>287</v>
      </c>
      <c r="P100" s="30" t="s">
        <v>0</v>
      </c>
      <c r="Q100" s="30" t="s">
        <v>352</v>
      </c>
      <c r="R100" s="30" t="s">
        <v>356</v>
      </c>
      <c r="S100" s="36">
        <v>465</v>
      </c>
      <c r="T100" s="37" t="s">
        <v>288</v>
      </c>
      <c r="U100" s="36">
        <v>40131.199999999997</v>
      </c>
      <c r="V100" s="30" t="s">
        <v>369</v>
      </c>
      <c r="W100" s="30" t="s">
        <v>289</v>
      </c>
      <c r="X100" s="30" t="s">
        <v>0</v>
      </c>
      <c r="Y100" s="30" t="s">
        <v>354</v>
      </c>
      <c r="Z100" s="30" t="s">
        <v>290</v>
      </c>
      <c r="AA100" s="30" t="s">
        <v>382</v>
      </c>
      <c r="AB100" s="30" t="s">
        <v>0</v>
      </c>
      <c r="AC100" s="30" t="s">
        <v>0</v>
      </c>
      <c r="AD100" s="30" t="s">
        <v>0</v>
      </c>
      <c r="AE100" s="31">
        <v>45713</v>
      </c>
      <c r="AF100" s="31">
        <v>45796</v>
      </c>
      <c r="AG100" s="30" t="s">
        <v>334</v>
      </c>
    </row>
    <row r="101" spans="1:33" x14ac:dyDescent="0.35">
      <c r="A101" s="30" t="s">
        <v>297</v>
      </c>
      <c r="B101" s="30" t="s">
        <v>280</v>
      </c>
      <c r="C101" s="30" t="s">
        <v>281</v>
      </c>
      <c r="D101" s="30" t="s">
        <v>282</v>
      </c>
      <c r="E101" s="30" t="s">
        <v>283</v>
      </c>
      <c r="F101" s="30" t="s">
        <v>57</v>
      </c>
      <c r="G101" s="31">
        <v>45964</v>
      </c>
      <c r="H101" s="30" t="s">
        <v>557</v>
      </c>
      <c r="I101" s="30" t="s">
        <v>360</v>
      </c>
      <c r="J101" s="31">
        <v>45964</v>
      </c>
      <c r="K101" s="31">
        <v>45967</v>
      </c>
      <c r="L101" s="30" t="s">
        <v>354</v>
      </c>
      <c r="M101" s="30" t="s">
        <v>558</v>
      </c>
      <c r="N101" s="30" t="s">
        <v>286</v>
      </c>
      <c r="O101" s="30" t="s">
        <v>287</v>
      </c>
      <c r="P101" s="30" t="s">
        <v>0</v>
      </c>
      <c r="Q101" s="30" t="s">
        <v>352</v>
      </c>
      <c r="R101" s="30" t="s">
        <v>356</v>
      </c>
      <c r="S101" s="36">
        <v>459.88</v>
      </c>
      <c r="T101" s="37" t="s">
        <v>288</v>
      </c>
      <c r="U101" s="36">
        <v>40471</v>
      </c>
      <c r="V101" s="30" t="s">
        <v>369</v>
      </c>
      <c r="W101" s="30" t="s">
        <v>289</v>
      </c>
      <c r="X101" s="30" t="s">
        <v>0</v>
      </c>
      <c r="Y101" s="30" t="s">
        <v>559</v>
      </c>
      <c r="Z101" s="30" t="s">
        <v>290</v>
      </c>
      <c r="AA101" s="30" t="s">
        <v>560</v>
      </c>
      <c r="AB101" s="30" t="s">
        <v>0</v>
      </c>
      <c r="AC101" s="30" t="s">
        <v>0</v>
      </c>
      <c r="AD101" s="30" t="s">
        <v>0</v>
      </c>
      <c r="AE101" s="31">
        <v>45964</v>
      </c>
      <c r="AF101" s="31"/>
      <c r="AG101" s="30" t="s">
        <v>0</v>
      </c>
    </row>
    <row r="102" spans="1:33" x14ac:dyDescent="0.35">
      <c r="A102" s="30" t="s">
        <v>297</v>
      </c>
      <c r="B102" s="30" t="s">
        <v>280</v>
      </c>
      <c r="C102" s="30" t="s">
        <v>281</v>
      </c>
      <c r="D102" s="30" t="s">
        <v>282</v>
      </c>
      <c r="E102" s="30" t="s">
        <v>283</v>
      </c>
      <c r="F102" s="30" t="s">
        <v>54</v>
      </c>
      <c r="G102" s="31">
        <v>45877</v>
      </c>
      <c r="H102" s="30" t="s">
        <v>561</v>
      </c>
      <c r="I102" s="30" t="s">
        <v>360</v>
      </c>
      <c r="J102" s="31">
        <v>45877</v>
      </c>
      <c r="K102" s="31">
        <v>45877</v>
      </c>
      <c r="L102" s="30" t="s">
        <v>354</v>
      </c>
      <c r="M102" s="30" t="s">
        <v>562</v>
      </c>
      <c r="N102" s="30" t="s">
        <v>286</v>
      </c>
      <c r="O102" s="30" t="s">
        <v>287</v>
      </c>
      <c r="P102" s="30" t="s">
        <v>0</v>
      </c>
      <c r="Q102" s="30" t="s">
        <v>352</v>
      </c>
      <c r="R102" s="30" t="s">
        <v>356</v>
      </c>
      <c r="S102" s="36">
        <v>1267.5</v>
      </c>
      <c r="T102" s="37" t="s">
        <v>288</v>
      </c>
      <c r="U102" s="36">
        <v>109043.18</v>
      </c>
      <c r="V102" s="30" t="s">
        <v>369</v>
      </c>
      <c r="W102" s="30" t="s">
        <v>289</v>
      </c>
      <c r="X102" s="30" t="s">
        <v>0</v>
      </c>
      <c r="Y102" s="30" t="s">
        <v>354</v>
      </c>
      <c r="Z102" s="30" t="s">
        <v>290</v>
      </c>
      <c r="AA102" s="30" t="s">
        <v>563</v>
      </c>
      <c r="AB102" s="30" t="s">
        <v>0</v>
      </c>
      <c r="AC102" s="30" t="s">
        <v>0</v>
      </c>
      <c r="AD102" s="30" t="s">
        <v>0</v>
      </c>
      <c r="AE102" s="31">
        <v>45877</v>
      </c>
      <c r="AF102" s="31"/>
      <c r="AG102" s="30" t="s">
        <v>0</v>
      </c>
    </row>
    <row r="103" spans="1:33" x14ac:dyDescent="0.35">
      <c r="A103" s="30" t="s">
        <v>297</v>
      </c>
      <c r="B103" s="30" t="s">
        <v>280</v>
      </c>
      <c r="C103" s="30" t="s">
        <v>281</v>
      </c>
      <c r="D103" s="30" t="s">
        <v>282</v>
      </c>
      <c r="E103" s="30" t="s">
        <v>283</v>
      </c>
      <c r="F103" s="30" t="s">
        <v>54</v>
      </c>
      <c r="G103" s="31">
        <v>45877</v>
      </c>
      <c r="H103" s="30" t="s">
        <v>564</v>
      </c>
      <c r="I103" s="30" t="s">
        <v>360</v>
      </c>
      <c r="J103" s="31">
        <v>45877</v>
      </c>
      <c r="K103" s="31">
        <v>45877</v>
      </c>
      <c r="L103" s="30" t="s">
        <v>354</v>
      </c>
      <c r="M103" s="30" t="s">
        <v>565</v>
      </c>
      <c r="N103" s="30" t="s">
        <v>286</v>
      </c>
      <c r="O103" s="30" t="s">
        <v>287</v>
      </c>
      <c r="P103" s="30" t="s">
        <v>0</v>
      </c>
      <c r="Q103" s="30" t="s">
        <v>352</v>
      </c>
      <c r="R103" s="30" t="s">
        <v>356</v>
      </c>
      <c r="S103" s="36">
        <v>26.27</v>
      </c>
      <c r="T103" s="37" t="s">
        <v>288</v>
      </c>
      <c r="U103" s="36">
        <v>2260.0100000000002</v>
      </c>
      <c r="V103" s="30" t="s">
        <v>369</v>
      </c>
      <c r="W103" s="30" t="s">
        <v>289</v>
      </c>
      <c r="X103" s="30" t="s">
        <v>0</v>
      </c>
      <c r="Y103" s="30" t="s">
        <v>354</v>
      </c>
      <c r="Z103" s="30" t="s">
        <v>290</v>
      </c>
      <c r="AA103" s="30" t="s">
        <v>566</v>
      </c>
      <c r="AB103" s="30" t="s">
        <v>0</v>
      </c>
      <c r="AC103" s="30" t="s">
        <v>0</v>
      </c>
      <c r="AD103" s="30" t="s">
        <v>0</v>
      </c>
      <c r="AE103" s="31">
        <v>45877</v>
      </c>
      <c r="AF103" s="31"/>
      <c r="AG103" s="30" t="s">
        <v>0</v>
      </c>
    </row>
    <row r="104" spans="1:33" x14ac:dyDescent="0.35">
      <c r="A104" s="30" t="s">
        <v>297</v>
      </c>
      <c r="B104" s="30" t="s">
        <v>280</v>
      </c>
      <c r="C104" s="30" t="s">
        <v>281</v>
      </c>
      <c r="D104" s="30" t="s">
        <v>282</v>
      </c>
      <c r="E104" s="30" t="s">
        <v>283</v>
      </c>
      <c r="F104" s="30" t="s">
        <v>54</v>
      </c>
      <c r="G104" s="31">
        <v>45877</v>
      </c>
      <c r="H104" s="30" t="s">
        <v>567</v>
      </c>
      <c r="I104" s="30" t="s">
        <v>360</v>
      </c>
      <c r="J104" s="31">
        <v>45877</v>
      </c>
      <c r="K104" s="31">
        <v>45877</v>
      </c>
      <c r="L104" s="30" t="s">
        <v>354</v>
      </c>
      <c r="M104" s="30" t="s">
        <v>568</v>
      </c>
      <c r="N104" s="30" t="s">
        <v>286</v>
      </c>
      <c r="O104" s="30" t="s">
        <v>287</v>
      </c>
      <c r="P104" s="30" t="s">
        <v>0</v>
      </c>
      <c r="Q104" s="30" t="s">
        <v>352</v>
      </c>
      <c r="R104" s="30" t="s">
        <v>356</v>
      </c>
      <c r="S104" s="36">
        <v>102.33</v>
      </c>
      <c r="T104" s="37" t="s">
        <v>288</v>
      </c>
      <c r="U104" s="36">
        <v>8803.4599999999991</v>
      </c>
      <c r="V104" s="30" t="s">
        <v>369</v>
      </c>
      <c r="W104" s="30" t="s">
        <v>289</v>
      </c>
      <c r="X104" s="30" t="s">
        <v>0</v>
      </c>
      <c r="Y104" s="30" t="s">
        <v>354</v>
      </c>
      <c r="Z104" s="30" t="s">
        <v>290</v>
      </c>
      <c r="AA104" s="30" t="s">
        <v>569</v>
      </c>
      <c r="AB104" s="30" t="s">
        <v>0</v>
      </c>
      <c r="AC104" s="30" t="s">
        <v>0</v>
      </c>
      <c r="AD104" s="30" t="s">
        <v>0</v>
      </c>
      <c r="AE104" s="31">
        <v>45877</v>
      </c>
      <c r="AF104" s="31"/>
      <c r="AG104" s="30" t="s">
        <v>0</v>
      </c>
    </row>
    <row r="105" spans="1:33" x14ac:dyDescent="0.35">
      <c r="A105" s="30" t="s">
        <v>297</v>
      </c>
      <c r="B105" s="30" t="s">
        <v>280</v>
      </c>
      <c r="C105" s="30" t="s">
        <v>281</v>
      </c>
      <c r="D105" s="30" t="s">
        <v>282</v>
      </c>
      <c r="E105" s="30" t="s">
        <v>283</v>
      </c>
      <c r="F105" s="30" t="s">
        <v>54</v>
      </c>
      <c r="G105" s="31">
        <v>45877</v>
      </c>
      <c r="H105" s="30" t="s">
        <v>570</v>
      </c>
      <c r="I105" s="30" t="s">
        <v>360</v>
      </c>
      <c r="J105" s="31">
        <v>45877</v>
      </c>
      <c r="K105" s="31">
        <v>45877</v>
      </c>
      <c r="L105" s="30" t="s">
        <v>354</v>
      </c>
      <c r="M105" s="30" t="s">
        <v>571</v>
      </c>
      <c r="N105" s="30" t="s">
        <v>286</v>
      </c>
      <c r="O105" s="30" t="s">
        <v>287</v>
      </c>
      <c r="P105" s="30" t="s">
        <v>0</v>
      </c>
      <c r="Q105" s="30" t="s">
        <v>352</v>
      </c>
      <c r="R105" s="30" t="s">
        <v>356</v>
      </c>
      <c r="S105" s="36">
        <v>22.7</v>
      </c>
      <c r="T105" s="37" t="s">
        <v>288</v>
      </c>
      <c r="U105" s="36">
        <v>1952.88</v>
      </c>
      <c r="V105" s="30" t="s">
        <v>369</v>
      </c>
      <c r="W105" s="30" t="s">
        <v>289</v>
      </c>
      <c r="X105" s="30" t="s">
        <v>0</v>
      </c>
      <c r="Y105" s="30" t="s">
        <v>354</v>
      </c>
      <c r="Z105" s="30" t="s">
        <v>290</v>
      </c>
      <c r="AA105" s="30" t="s">
        <v>572</v>
      </c>
      <c r="AB105" s="30" t="s">
        <v>0</v>
      </c>
      <c r="AC105" s="30" t="s">
        <v>0</v>
      </c>
      <c r="AD105" s="30" t="s">
        <v>0</v>
      </c>
      <c r="AE105" s="31">
        <v>45877</v>
      </c>
      <c r="AF105" s="31"/>
      <c r="AG105" s="30" t="s">
        <v>0</v>
      </c>
    </row>
    <row r="106" spans="1:33" x14ac:dyDescent="0.35">
      <c r="A106" s="30" t="s">
        <v>297</v>
      </c>
      <c r="B106" s="30" t="s">
        <v>280</v>
      </c>
      <c r="C106" s="30" t="s">
        <v>281</v>
      </c>
      <c r="D106" s="30" t="s">
        <v>282</v>
      </c>
      <c r="E106" s="30" t="s">
        <v>283</v>
      </c>
      <c r="F106" s="30" t="s">
        <v>54</v>
      </c>
      <c r="G106" s="31">
        <v>45877</v>
      </c>
      <c r="H106" s="30" t="s">
        <v>573</v>
      </c>
      <c r="I106" s="30" t="s">
        <v>360</v>
      </c>
      <c r="J106" s="31">
        <v>45877</v>
      </c>
      <c r="K106" s="31">
        <v>45877</v>
      </c>
      <c r="L106" s="30" t="s">
        <v>354</v>
      </c>
      <c r="M106" s="30" t="s">
        <v>574</v>
      </c>
      <c r="N106" s="30" t="s">
        <v>286</v>
      </c>
      <c r="O106" s="30" t="s">
        <v>287</v>
      </c>
      <c r="P106" s="30" t="s">
        <v>0</v>
      </c>
      <c r="Q106" s="30" t="s">
        <v>352</v>
      </c>
      <c r="R106" s="30" t="s">
        <v>356</v>
      </c>
      <c r="S106" s="36">
        <v>358.32</v>
      </c>
      <c r="T106" s="37" t="s">
        <v>288</v>
      </c>
      <c r="U106" s="36">
        <v>30826.31</v>
      </c>
      <c r="V106" s="30" t="s">
        <v>369</v>
      </c>
      <c r="W106" s="30" t="s">
        <v>289</v>
      </c>
      <c r="X106" s="30" t="s">
        <v>0</v>
      </c>
      <c r="Y106" s="30" t="s">
        <v>354</v>
      </c>
      <c r="Z106" s="30" t="s">
        <v>290</v>
      </c>
      <c r="AA106" s="30" t="s">
        <v>575</v>
      </c>
      <c r="AB106" s="30" t="s">
        <v>0</v>
      </c>
      <c r="AC106" s="30" t="s">
        <v>0</v>
      </c>
      <c r="AD106" s="30" t="s">
        <v>0</v>
      </c>
      <c r="AE106" s="31">
        <v>45877</v>
      </c>
      <c r="AF106" s="31"/>
      <c r="AG106" s="30" t="s">
        <v>0</v>
      </c>
    </row>
    <row r="107" spans="1:33" x14ac:dyDescent="0.35">
      <c r="A107" s="30" t="s">
        <v>297</v>
      </c>
      <c r="B107" s="30" t="s">
        <v>280</v>
      </c>
      <c r="C107" s="30" t="s">
        <v>281</v>
      </c>
      <c r="D107" s="30" t="s">
        <v>282</v>
      </c>
      <c r="E107" s="30" t="s">
        <v>283</v>
      </c>
      <c r="F107" s="30" t="s">
        <v>54</v>
      </c>
      <c r="G107" s="31">
        <v>45877</v>
      </c>
      <c r="H107" s="30" t="s">
        <v>576</v>
      </c>
      <c r="I107" s="30" t="s">
        <v>360</v>
      </c>
      <c r="J107" s="31">
        <v>45877</v>
      </c>
      <c r="K107" s="31">
        <v>45877</v>
      </c>
      <c r="L107" s="30" t="s">
        <v>354</v>
      </c>
      <c r="M107" s="30" t="s">
        <v>577</v>
      </c>
      <c r="N107" s="30" t="s">
        <v>286</v>
      </c>
      <c r="O107" s="30" t="s">
        <v>287</v>
      </c>
      <c r="P107" s="30" t="s">
        <v>0</v>
      </c>
      <c r="Q107" s="30" t="s">
        <v>352</v>
      </c>
      <c r="R107" s="30" t="s">
        <v>356</v>
      </c>
      <c r="S107" s="36">
        <v>13.71</v>
      </c>
      <c r="T107" s="37" t="s">
        <v>288</v>
      </c>
      <c r="U107" s="36">
        <v>1179.47</v>
      </c>
      <c r="V107" s="30" t="s">
        <v>369</v>
      </c>
      <c r="W107" s="30" t="s">
        <v>289</v>
      </c>
      <c r="X107" s="30" t="s">
        <v>0</v>
      </c>
      <c r="Y107" s="30" t="s">
        <v>354</v>
      </c>
      <c r="Z107" s="30" t="s">
        <v>290</v>
      </c>
      <c r="AA107" s="30" t="s">
        <v>578</v>
      </c>
      <c r="AB107" s="30" t="s">
        <v>0</v>
      </c>
      <c r="AC107" s="30" t="s">
        <v>0</v>
      </c>
      <c r="AD107" s="30" t="s">
        <v>0</v>
      </c>
      <c r="AE107" s="31">
        <v>45877</v>
      </c>
      <c r="AF107" s="31"/>
      <c r="AG107" s="30" t="s">
        <v>0</v>
      </c>
    </row>
    <row r="108" spans="1:33" x14ac:dyDescent="0.35">
      <c r="A108" s="30" t="s">
        <v>297</v>
      </c>
      <c r="B108" s="30" t="s">
        <v>280</v>
      </c>
      <c r="C108" s="30" t="s">
        <v>281</v>
      </c>
      <c r="D108" s="30" t="s">
        <v>282</v>
      </c>
      <c r="E108" s="30" t="s">
        <v>283</v>
      </c>
      <c r="F108" s="30" t="s">
        <v>54</v>
      </c>
      <c r="G108" s="31">
        <v>45877</v>
      </c>
      <c r="H108" s="30" t="s">
        <v>579</v>
      </c>
      <c r="I108" s="30" t="s">
        <v>360</v>
      </c>
      <c r="J108" s="31">
        <v>45877</v>
      </c>
      <c r="K108" s="31">
        <v>45877</v>
      </c>
      <c r="L108" s="30" t="s">
        <v>354</v>
      </c>
      <c r="M108" s="30" t="s">
        <v>580</v>
      </c>
      <c r="N108" s="30" t="s">
        <v>286</v>
      </c>
      <c r="O108" s="30" t="s">
        <v>287</v>
      </c>
      <c r="P108" s="30" t="s">
        <v>0</v>
      </c>
      <c r="Q108" s="30" t="s">
        <v>352</v>
      </c>
      <c r="R108" s="30" t="s">
        <v>356</v>
      </c>
      <c r="S108" s="36">
        <v>56.33</v>
      </c>
      <c r="T108" s="37" t="s">
        <v>288</v>
      </c>
      <c r="U108" s="36">
        <v>4846.08</v>
      </c>
      <c r="V108" s="30" t="s">
        <v>369</v>
      </c>
      <c r="W108" s="30" t="s">
        <v>289</v>
      </c>
      <c r="X108" s="30" t="s">
        <v>0</v>
      </c>
      <c r="Y108" s="30" t="s">
        <v>354</v>
      </c>
      <c r="Z108" s="30" t="s">
        <v>290</v>
      </c>
      <c r="AA108" s="30" t="s">
        <v>581</v>
      </c>
      <c r="AB108" s="30" t="s">
        <v>0</v>
      </c>
      <c r="AC108" s="30" t="s">
        <v>0</v>
      </c>
      <c r="AD108" s="30" t="s">
        <v>0</v>
      </c>
      <c r="AE108" s="31">
        <v>45877</v>
      </c>
      <c r="AF108" s="31"/>
      <c r="AG108" s="30" t="s">
        <v>0</v>
      </c>
    </row>
    <row r="109" spans="1:33" x14ac:dyDescent="0.35">
      <c r="A109" s="30" t="s">
        <v>297</v>
      </c>
      <c r="B109" s="30" t="s">
        <v>280</v>
      </c>
      <c r="C109" s="30" t="s">
        <v>281</v>
      </c>
      <c r="D109" s="30" t="s">
        <v>282</v>
      </c>
      <c r="E109" s="30" t="s">
        <v>283</v>
      </c>
      <c r="F109" s="30" t="s">
        <v>52</v>
      </c>
      <c r="G109" s="31">
        <v>45812</v>
      </c>
      <c r="H109" s="30" t="s">
        <v>582</v>
      </c>
      <c r="I109" s="30" t="s">
        <v>360</v>
      </c>
      <c r="J109" s="31">
        <v>45812</v>
      </c>
      <c r="K109" s="31">
        <v>45817</v>
      </c>
      <c r="L109" s="30" t="s">
        <v>354</v>
      </c>
      <c r="M109" s="30" t="s">
        <v>583</v>
      </c>
      <c r="N109" s="30" t="s">
        <v>286</v>
      </c>
      <c r="O109" s="30" t="s">
        <v>287</v>
      </c>
      <c r="P109" s="30" t="s">
        <v>0</v>
      </c>
      <c r="Q109" s="30" t="s">
        <v>352</v>
      </c>
      <c r="R109" s="30" t="s">
        <v>356</v>
      </c>
      <c r="S109" s="36">
        <v>129.31</v>
      </c>
      <c r="T109" s="37" t="s">
        <v>288</v>
      </c>
      <c r="U109" s="36">
        <v>11054.81</v>
      </c>
      <c r="V109" s="30" t="s">
        <v>369</v>
      </c>
      <c r="W109" s="30" t="s">
        <v>289</v>
      </c>
      <c r="X109" s="30" t="s">
        <v>0</v>
      </c>
      <c r="Y109" s="30" t="s">
        <v>354</v>
      </c>
      <c r="Z109" s="30" t="s">
        <v>290</v>
      </c>
      <c r="AA109" s="30" t="s">
        <v>584</v>
      </c>
      <c r="AB109" s="30" t="s">
        <v>0</v>
      </c>
      <c r="AC109" s="30" t="s">
        <v>0</v>
      </c>
      <c r="AD109" s="30" t="s">
        <v>0</v>
      </c>
      <c r="AE109" s="31">
        <v>45812</v>
      </c>
      <c r="AF109" s="31"/>
      <c r="AG109" s="30" t="s">
        <v>0</v>
      </c>
    </row>
    <row r="110" spans="1:33" x14ac:dyDescent="0.35">
      <c r="A110" s="30" t="s">
        <v>297</v>
      </c>
      <c r="B110" s="30" t="s">
        <v>280</v>
      </c>
      <c r="C110" s="30" t="s">
        <v>281</v>
      </c>
      <c r="D110" s="30" t="s">
        <v>282</v>
      </c>
      <c r="E110" s="30" t="s">
        <v>283</v>
      </c>
      <c r="F110" s="30" t="s">
        <v>52</v>
      </c>
      <c r="G110" s="31">
        <v>45812</v>
      </c>
      <c r="H110" s="30" t="s">
        <v>585</v>
      </c>
      <c r="I110" s="30" t="s">
        <v>360</v>
      </c>
      <c r="J110" s="31">
        <v>45812</v>
      </c>
      <c r="K110" s="31">
        <v>45817</v>
      </c>
      <c r="L110" s="30" t="s">
        <v>354</v>
      </c>
      <c r="M110" s="30" t="s">
        <v>586</v>
      </c>
      <c r="N110" s="30" t="s">
        <v>286</v>
      </c>
      <c r="O110" s="30" t="s">
        <v>287</v>
      </c>
      <c r="P110" s="30" t="s">
        <v>0</v>
      </c>
      <c r="Q110" s="30" t="s">
        <v>352</v>
      </c>
      <c r="R110" s="30" t="s">
        <v>356</v>
      </c>
      <c r="S110" s="36">
        <v>46.22</v>
      </c>
      <c r="T110" s="37" t="s">
        <v>288</v>
      </c>
      <c r="U110" s="36">
        <v>3951.38</v>
      </c>
      <c r="V110" s="30" t="s">
        <v>369</v>
      </c>
      <c r="W110" s="30" t="s">
        <v>289</v>
      </c>
      <c r="X110" s="30" t="s">
        <v>0</v>
      </c>
      <c r="Y110" s="30" t="s">
        <v>354</v>
      </c>
      <c r="Z110" s="30" t="s">
        <v>290</v>
      </c>
      <c r="AA110" s="30" t="s">
        <v>587</v>
      </c>
      <c r="AB110" s="30" t="s">
        <v>0</v>
      </c>
      <c r="AC110" s="30" t="s">
        <v>0</v>
      </c>
      <c r="AD110" s="30" t="s">
        <v>0</v>
      </c>
      <c r="AE110" s="31">
        <v>45812</v>
      </c>
      <c r="AF110" s="31"/>
      <c r="AG110" s="30" t="s">
        <v>0</v>
      </c>
    </row>
    <row r="111" spans="1:33" x14ac:dyDescent="0.35">
      <c r="A111" s="30" t="s">
        <v>297</v>
      </c>
      <c r="B111" s="30" t="s">
        <v>280</v>
      </c>
      <c r="C111" s="30" t="s">
        <v>281</v>
      </c>
      <c r="D111" s="30" t="s">
        <v>282</v>
      </c>
      <c r="E111" s="30" t="s">
        <v>283</v>
      </c>
      <c r="F111" s="30" t="s">
        <v>52</v>
      </c>
      <c r="G111" s="31">
        <v>45812</v>
      </c>
      <c r="H111" s="30" t="s">
        <v>588</v>
      </c>
      <c r="I111" s="30" t="s">
        <v>360</v>
      </c>
      <c r="J111" s="31">
        <v>45812</v>
      </c>
      <c r="K111" s="31">
        <v>45817</v>
      </c>
      <c r="L111" s="30" t="s">
        <v>354</v>
      </c>
      <c r="M111" s="30" t="s">
        <v>589</v>
      </c>
      <c r="N111" s="30" t="s">
        <v>286</v>
      </c>
      <c r="O111" s="30" t="s">
        <v>287</v>
      </c>
      <c r="P111" s="30" t="s">
        <v>0</v>
      </c>
      <c r="Q111" s="30" t="s">
        <v>352</v>
      </c>
      <c r="R111" s="30" t="s">
        <v>356</v>
      </c>
      <c r="S111" s="36">
        <v>7.02</v>
      </c>
      <c r="T111" s="37" t="s">
        <v>288</v>
      </c>
      <c r="U111" s="36">
        <v>600.15</v>
      </c>
      <c r="V111" s="30" t="s">
        <v>369</v>
      </c>
      <c r="W111" s="30" t="s">
        <v>289</v>
      </c>
      <c r="X111" s="30" t="s">
        <v>0</v>
      </c>
      <c r="Y111" s="30" t="s">
        <v>354</v>
      </c>
      <c r="Z111" s="30" t="s">
        <v>290</v>
      </c>
      <c r="AA111" s="30" t="s">
        <v>590</v>
      </c>
      <c r="AB111" s="30" t="s">
        <v>0</v>
      </c>
      <c r="AC111" s="30" t="s">
        <v>0</v>
      </c>
      <c r="AD111" s="30" t="s">
        <v>0</v>
      </c>
      <c r="AE111" s="31">
        <v>45812</v>
      </c>
      <c r="AF111" s="31"/>
      <c r="AG111" s="30" t="s">
        <v>0</v>
      </c>
    </row>
    <row r="112" spans="1:33" x14ac:dyDescent="0.35">
      <c r="A112" s="30" t="s">
        <v>297</v>
      </c>
      <c r="B112" s="30" t="s">
        <v>280</v>
      </c>
      <c r="C112" s="30" t="s">
        <v>281</v>
      </c>
      <c r="D112" s="30" t="s">
        <v>282</v>
      </c>
      <c r="E112" s="30" t="s">
        <v>283</v>
      </c>
      <c r="F112" s="30" t="s">
        <v>52</v>
      </c>
      <c r="G112" s="31">
        <v>45812</v>
      </c>
      <c r="H112" s="30" t="s">
        <v>591</v>
      </c>
      <c r="I112" s="30" t="s">
        <v>360</v>
      </c>
      <c r="J112" s="31">
        <v>45812</v>
      </c>
      <c r="K112" s="31">
        <v>45817</v>
      </c>
      <c r="L112" s="30" t="s">
        <v>354</v>
      </c>
      <c r="M112" s="30" t="s">
        <v>592</v>
      </c>
      <c r="N112" s="30" t="s">
        <v>286</v>
      </c>
      <c r="O112" s="30" t="s">
        <v>287</v>
      </c>
      <c r="P112" s="30" t="s">
        <v>0</v>
      </c>
      <c r="Q112" s="30" t="s">
        <v>352</v>
      </c>
      <c r="R112" s="30" t="s">
        <v>356</v>
      </c>
      <c r="S112" s="36">
        <v>611.36</v>
      </c>
      <c r="T112" s="37" t="s">
        <v>288</v>
      </c>
      <c r="U112" s="36">
        <v>52265.64</v>
      </c>
      <c r="V112" s="30" t="s">
        <v>369</v>
      </c>
      <c r="W112" s="30" t="s">
        <v>289</v>
      </c>
      <c r="X112" s="30" t="s">
        <v>0</v>
      </c>
      <c r="Y112" s="30" t="s">
        <v>354</v>
      </c>
      <c r="Z112" s="30" t="s">
        <v>290</v>
      </c>
      <c r="AA112" s="30" t="s">
        <v>593</v>
      </c>
      <c r="AB112" s="30" t="s">
        <v>0</v>
      </c>
      <c r="AC112" s="30" t="s">
        <v>0</v>
      </c>
      <c r="AD112" s="30" t="s">
        <v>0</v>
      </c>
      <c r="AE112" s="31">
        <v>45812</v>
      </c>
      <c r="AF112" s="31"/>
      <c r="AG112" s="30" t="s">
        <v>0</v>
      </c>
    </row>
    <row r="113" spans="1:33" x14ac:dyDescent="0.35">
      <c r="A113" s="30" t="s">
        <v>279</v>
      </c>
      <c r="B113" s="30" t="s">
        <v>280</v>
      </c>
      <c r="C113" s="30" t="s">
        <v>281</v>
      </c>
      <c r="D113" s="30" t="s">
        <v>282</v>
      </c>
      <c r="E113" s="30" t="s">
        <v>283</v>
      </c>
      <c r="F113" s="30" t="s">
        <v>51</v>
      </c>
      <c r="G113" s="31">
        <v>45791</v>
      </c>
      <c r="H113" s="30" t="s">
        <v>594</v>
      </c>
      <c r="I113" s="30" t="s">
        <v>437</v>
      </c>
      <c r="J113" s="31">
        <v>45791</v>
      </c>
      <c r="K113" s="31">
        <v>45793</v>
      </c>
      <c r="L113" s="30" t="s">
        <v>354</v>
      </c>
      <c r="M113" s="30" t="s">
        <v>595</v>
      </c>
      <c r="N113" s="30" t="s">
        <v>286</v>
      </c>
      <c r="O113" s="30" t="s">
        <v>287</v>
      </c>
      <c r="P113" s="30" t="s">
        <v>0</v>
      </c>
      <c r="Q113" s="30" t="s">
        <v>57</v>
      </c>
      <c r="R113" s="30" t="s">
        <v>356</v>
      </c>
      <c r="S113" s="36">
        <v>-77.2</v>
      </c>
      <c r="T113" s="37" t="s">
        <v>288</v>
      </c>
      <c r="U113" s="36">
        <v>-6692.57</v>
      </c>
      <c r="V113" s="30" t="s">
        <v>369</v>
      </c>
      <c r="W113" s="30" t="s">
        <v>289</v>
      </c>
      <c r="X113" s="30" t="s">
        <v>0</v>
      </c>
      <c r="Y113" s="30" t="s">
        <v>354</v>
      </c>
      <c r="Z113" s="30" t="s">
        <v>290</v>
      </c>
      <c r="AA113" s="30" t="s">
        <v>596</v>
      </c>
      <c r="AB113" s="30" t="s">
        <v>0</v>
      </c>
      <c r="AC113" s="30" t="s">
        <v>0</v>
      </c>
      <c r="AD113" s="30" t="s">
        <v>0</v>
      </c>
      <c r="AE113" s="31">
        <v>45791</v>
      </c>
      <c r="AF113" s="31">
        <v>45861</v>
      </c>
      <c r="AG113" s="30" t="s">
        <v>353</v>
      </c>
    </row>
    <row r="114" spans="1:33" x14ac:dyDescent="0.35">
      <c r="A114" s="30" t="s">
        <v>279</v>
      </c>
      <c r="B114" s="30" t="s">
        <v>280</v>
      </c>
      <c r="C114" s="30" t="s">
        <v>281</v>
      </c>
      <c r="D114" s="30" t="s">
        <v>282</v>
      </c>
      <c r="E114" s="30" t="s">
        <v>283</v>
      </c>
      <c r="F114" s="30" t="s">
        <v>51</v>
      </c>
      <c r="G114" s="31">
        <v>45791</v>
      </c>
      <c r="H114" s="30" t="s">
        <v>597</v>
      </c>
      <c r="I114" s="30" t="s">
        <v>437</v>
      </c>
      <c r="J114" s="31">
        <v>45791</v>
      </c>
      <c r="K114" s="31">
        <v>45793</v>
      </c>
      <c r="L114" s="30" t="s">
        <v>354</v>
      </c>
      <c r="M114" s="30" t="s">
        <v>598</v>
      </c>
      <c r="N114" s="30" t="s">
        <v>286</v>
      </c>
      <c r="O114" s="30" t="s">
        <v>287</v>
      </c>
      <c r="P114" s="30" t="s">
        <v>0</v>
      </c>
      <c r="Q114" s="30" t="s">
        <v>57</v>
      </c>
      <c r="R114" s="30" t="s">
        <v>356</v>
      </c>
      <c r="S114" s="36">
        <v>-1800</v>
      </c>
      <c r="T114" s="37" t="s">
        <v>288</v>
      </c>
      <c r="U114" s="36">
        <v>-156459.28</v>
      </c>
      <c r="V114" s="30" t="s">
        <v>369</v>
      </c>
      <c r="W114" s="30" t="s">
        <v>289</v>
      </c>
      <c r="X114" s="30" t="s">
        <v>0</v>
      </c>
      <c r="Y114" s="30" t="s">
        <v>354</v>
      </c>
      <c r="Z114" s="30" t="s">
        <v>290</v>
      </c>
      <c r="AA114" s="30" t="s">
        <v>599</v>
      </c>
      <c r="AB114" s="30" t="s">
        <v>0</v>
      </c>
      <c r="AC114" s="30" t="s">
        <v>0</v>
      </c>
      <c r="AD114" s="30" t="s">
        <v>0</v>
      </c>
      <c r="AE114" s="31">
        <v>45791</v>
      </c>
      <c r="AF114" s="31">
        <v>45861</v>
      </c>
      <c r="AG114" s="30" t="s">
        <v>364</v>
      </c>
    </row>
    <row r="115" spans="1:33" x14ac:dyDescent="0.35">
      <c r="A115" s="30" t="s">
        <v>279</v>
      </c>
      <c r="B115" s="30" t="s">
        <v>280</v>
      </c>
      <c r="C115" s="30" t="s">
        <v>281</v>
      </c>
      <c r="D115" s="30" t="s">
        <v>282</v>
      </c>
      <c r="E115" s="30" t="s">
        <v>283</v>
      </c>
      <c r="F115" s="30" t="s">
        <v>51</v>
      </c>
      <c r="G115" s="31">
        <v>45791</v>
      </c>
      <c r="H115" s="30" t="s">
        <v>600</v>
      </c>
      <c r="I115" s="30" t="s">
        <v>437</v>
      </c>
      <c r="J115" s="31">
        <v>45791</v>
      </c>
      <c r="K115" s="31">
        <v>45793</v>
      </c>
      <c r="L115" s="30" t="s">
        <v>354</v>
      </c>
      <c r="M115" s="30" t="s">
        <v>601</v>
      </c>
      <c r="N115" s="30" t="s">
        <v>286</v>
      </c>
      <c r="O115" s="30" t="s">
        <v>287</v>
      </c>
      <c r="P115" s="30" t="s">
        <v>0</v>
      </c>
      <c r="Q115" s="30" t="s">
        <v>57</v>
      </c>
      <c r="R115" s="30" t="s">
        <v>356</v>
      </c>
      <c r="S115" s="36">
        <v>-1800</v>
      </c>
      <c r="T115" s="37" t="s">
        <v>288</v>
      </c>
      <c r="U115" s="36">
        <v>-156459.28</v>
      </c>
      <c r="V115" s="30" t="s">
        <v>369</v>
      </c>
      <c r="W115" s="30" t="s">
        <v>289</v>
      </c>
      <c r="X115" s="30" t="s">
        <v>0</v>
      </c>
      <c r="Y115" s="30" t="s">
        <v>354</v>
      </c>
      <c r="Z115" s="30" t="s">
        <v>290</v>
      </c>
      <c r="AA115" s="30" t="s">
        <v>602</v>
      </c>
      <c r="AB115" s="30" t="s">
        <v>0</v>
      </c>
      <c r="AC115" s="30" t="s">
        <v>0</v>
      </c>
      <c r="AD115" s="30" t="s">
        <v>0</v>
      </c>
      <c r="AE115" s="31">
        <v>45791</v>
      </c>
      <c r="AF115" s="31">
        <v>45861</v>
      </c>
      <c r="AG115" s="30" t="s">
        <v>366</v>
      </c>
    </row>
    <row r="116" spans="1:33" x14ac:dyDescent="0.35">
      <c r="A116" s="30" t="s">
        <v>297</v>
      </c>
      <c r="B116" s="30" t="s">
        <v>280</v>
      </c>
      <c r="C116" s="30" t="s">
        <v>281</v>
      </c>
      <c r="D116" s="30" t="s">
        <v>282</v>
      </c>
      <c r="E116" s="30" t="s">
        <v>283</v>
      </c>
      <c r="F116" s="30" t="s">
        <v>51</v>
      </c>
      <c r="G116" s="31">
        <v>45793</v>
      </c>
      <c r="H116" s="30" t="s">
        <v>603</v>
      </c>
      <c r="I116" s="30" t="s">
        <v>360</v>
      </c>
      <c r="J116" s="31">
        <v>45793</v>
      </c>
      <c r="K116" s="31">
        <v>45800</v>
      </c>
      <c r="L116" s="30" t="s">
        <v>354</v>
      </c>
      <c r="M116" s="30" t="s">
        <v>604</v>
      </c>
      <c r="N116" s="30" t="s">
        <v>286</v>
      </c>
      <c r="O116" s="30" t="s">
        <v>287</v>
      </c>
      <c r="P116" s="30" t="s">
        <v>0</v>
      </c>
      <c r="Q116" s="30" t="s">
        <v>352</v>
      </c>
      <c r="R116" s="30" t="s">
        <v>356</v>
      </c>
      <c r="S116" s="36">
        <v>546</v>
      </c>
      <c r="T116" s="37" t="s">
        <v>288</v>
      </c>
      <c r="U116" s="36">
        <v>46947.1</v>
      </c>
      <c r="V116" s="30" t="s">
        <v>369</v>
      </c>
      <c r="W116" s="30" t="s">
        <v>289</v>
      </c>
      <c r="X116" s="30" t="s">
        <v>0</v>
      </c>
      <c r="Y116" s="30" t="s">
        <v>354</v>
      </c>
      <c r="Z116" s="30" t="s">
        <v>290</v>
      </c>
      <c r="AA116" s="30" t="s">
        <v>605</v>
      </c>
      <c r="AB116" s="30" t="s">
        <v>0</v>
      </c>
      <c r="AC116" s="30" t="s">
        <v>0</v>
      </c>
      <c r="AD116" s="30" t="s">
        <v>0</v>
      </c>
      <c r="AE116" s="31">
        <v>45793</v>
      </c>
      <c r="AF116" s="31"/>
      <c r="AG116" s="30" t="s">
        <v>0</v>
      </c>
    </row>
    <row r="117" spans="1:33" x14ac:dyDescent="0.35">
      <c r="A117" s="30" t="s">
        <v>297</v>
      </c>
      <c r="B117" s="30" t="s">
        <v>280</v>
      </c>
      <c r="C117" s="30" t="s">
        <v>281</v>
      </c>
      <c r="D117" s="30" t="s">
        <v>282</v>
      </c>
      <c r="E117" s="30" t="s">
        <v>283</v>
      </c>
      <c r="F117" s="30" t="s">
        <v>51</v>
      </c>
      <c r="G117" s="31">
        <v>45805</v>
      </c>
      <c r="H117" s="30" t="s">
        <v>606</v>
      </c>
      <c r="I117" s="30" t="s">
        <v>360</v>
      </c>
      <c r="J117" s="31">
        <v>45805</v>
      </c>
      <c r="K117" s="31">
        <v>45805</v>
      </c>
      <c r="L117" s="30" t="s">
        <v>354</v>
      </c>
      <c r="M117" s="30" t="s">
        <v>607</v>
      </c>
      <c r="N117" s="30" t="s">
        <v>286</v>
      </c>
      <c r="O117" s="30" t="s">
        <v>287</v>
      </c>
      <c r="P117" s="30" t="s">
        <v>0</v>
      </c>
      <c r="Q117" s="30" t="s">
        <v>352</v>
      </c>
      <c r="R117" s="30" t="s">
        <v>356</v>
      </c>
      <c r="S117" s="36">
        <v>1501.8</v>
      </c>
      <c r="T117" s="37" t="s">
        <v>288</v>
      </c>
      <c r="U117" s="36">
        <v>129130.32</v>
      </c>
      <c r="V117" s="30" t="s">
        <v>369</v>
      </c>
      <c r="W117" s="30" t="s">
        <v>289</v>
      </c>
      <c r="X117" s="30" t="s">
        <v>0</v>
      </c>
      <c r="Y117" s="30" t="s">
        <v>354</v>
      </c>
      <c r="Z117" s="30" t="s">
        <v>290</v>
      </c>
      <c r="AA117" s="30" t="s">
        <v>608</v>
      </c>
      <c r="AB117" s="30" t="s">
        <v>0</v>
      </c>
      <c r="AC117" s="30" t="s">
        <v>0</v>
      </c>
      <c r="AD117" s="30" t="s">
        <v>0</v>
      </c>
      <c r="AE117" s="31">
        <v>45805</v>
      </c>
      <c r="AF117" s="31"/>
      <c r="AG117" s="30" t="s">
        <v>0</v>
      </c>
    </row>
    <row r="118" spans="1:33" x14ac:dyDescent="0.35">
      <c r="A118" s="30" t="s">
        <v>297</v>
      </c>
      <c r="B118" s="30" t="s">
        <v>280</v>
      </c>
      <c r="C118" s="30" t="s">
        <v>281</v>
      </c>
      <c r="D118" s="30" t="s">
        <v>282</v>
      </c>
      <c r="E118" s="30" t="s">
        <v>283</v>
      </c>
      <c r="F118" s="30" t="s">
        <v>53</v>
      </c>
      <c r="G118" s="31">
        <v>45856</v>
      </c>
      <c r="H118" s="30" t="s">
        <v>609</v>
      </c>
      <c r="I118" s="30" t="s">
        <v>360</v>
      </c>
      <c r="J118" s="31">
        <v>45856</v>
      </c>
      <c r="K118" s="31">
        <v>45859</v>
      </c>
      <c r="L118" s="30" t="s">
        <v>354</v>
      </c>
      <c r="M118" s="30" t="s">
        <v>610</v>
      </c>
      <c r="N118" s="30" t="s">
        <v>286</v>
      </c>
      <c r="O118" s="30" t="s">
        <v>287</v>
      </c>
      <c r="P118" s="30" t="s">
        <v>0</v>
      </c>
      <c r="Q118" s="30" t="s">
        <v>352</v>
      </c>
      <c r="R118" s="30" t="s">
        <v>356</v>
      </c>
      <c r="S118" s="36">
        <v>110.95</v>
      </c>
      <c r="T118" s="37" t="s">
        <v>288</v>
      </c>
      <c r="U118" s="36">
        <v>9541.77</v>
      </c>
      <c r="V118" s="30" t="s">
        <v>369</v>
      </c>
      <c r="W118" s="30" t="s">
        <v>289</v>
      </c>
      <c r="X118" s="30" t="s">
        <v>0</v>
      </c>
      <c r="Y118" s="30" t="s">
        <v>354</v>
      </c>
      <c r="Z118" s="30" t="s">
        <v>290</v>
      </c>
      <c r="AA118" s="30" t="s">
        <v>611</v>
      </c>
      <c r="AB118" s="30" t="s">
        <v>0</v>
      </c>
      <c r="AC118" s="30" t="s">
        <v>0</v>
      </c>
      <c r="AD118" s="30" t="s">
        <v>0</v>
      </c>
      <c r="AE118" s="31">
        <v>45856</v>
      </c>
      <c r="AF118" s="31"/>
      <c r="AG118" s="30" t="s">
        <v>0</v>
      </c>
    </row>
    <row r="119" spans="1:33" x14ac:dyDescent="0.35">
      <c r="A119" s="30" t="s">
        <v>297</v>
      </c>
      <c r="B119" s="30" t="s">
        <v>280</v>
      </c>
      <c r="C119" s="30" t="s">
        <v>281</v>
      </c>
      <c r="D119" s="30" t="s">
        <v>282</v>
      </c>
      <c r="E119" s="30" t="s">
        <v>283</v>
      </c>
      <c r="F119" s="30" t="s">
        <v>53</v>
      </c>
      <c r="G119" s="31">
        <v>45856</v>
      </c>
      <c r="H119" s="30" t="s">
        <v>612</v>
      </c>
      <c r="I119" s="30" t="s">
        <v>360</v>
      </c>
      <c r="J119" s="31">
        <v>45856</v>
      </c>
      <c r="K119" s="31">
        <v>45859</v>
      </c>
      <c r="L119" s="30" t="s">
        <v>354</v>
      </c>
      <c r="M119" s="30" t="s">
        <v>613</v>
      </c>
      <c r="N119" s="30" t="s">
        <v>286</v>
      </c>
      <c r="O119" s="30" t="s">
        <v>287</v>
      </c>
      <c r="P119" s="30" t="s">
        <v>0</v>
      </c>
      <c r="Q119" s="30" t="s">
        <v>352</v>
      </c>
      <c r="R119" s="30" t="s">
        <v>356</v>
      </c>
      <c r="S119" s="36">
        <v>26.09</v>
      </c>
      <c r="T119" s="37" t="s">
        <v>288</v>
      </c>
      <c r="U119" s="36">
        <v>2243.7600000000002</v>
      </c>
      <c r="V119" s="30" t="s">
        <v>369</v>
      </c>
      <c r="W119" s="30" t="s">
        <v>289</v>
      </c>
      <c r="X119" s="30" t="s">
        <v>0</v>
      </c>
      <c r="Y119" s="30" t="s">
        <v>354</v>
      </c>
      <c r="Z119" s="30" t="s">
        <v>290</v>
      </c>
      <c r="AA119" s="30" t="s">
        <v>614</v>
      </c>
      <c r="AB119" s="30" t="s">
        <v>0</v>
      </c>
      <c r="AC119" s="30" t="s">
        <v>0</v>
      </c>
      <c r="AD119" s="30" t="s">
        <v>0</v>
      </c>
      <c r="AE119" s="31">
        <v>45856</v>
      </c>
      <c r="AF119" s="31"/>
      <c r="AG119" s="30" t="s">
        <v>0</v>
      </c>
    </row>
    <row r="120" spans="1:33" x14ac:dyDescent="0.35">
      <c r="A120" s="30" t="s">
        <v>297</v>
      </c>
      <c r="B120" s="30" t="s">
        <v>280</v>
      </c>
      <c r="C120" s="30" t="s">
        <v>281</v>
      </c>
      <c r="D120" s="30" t="s">
        <v>282</v>
      </c>
      <c r="E120" s="30" t="s">
        <v>283</v>
      </c>
      <c r="F120" s="30" t="s">
        <v>53</v>
      </c>
      <c r="G120" s="31">
        <v>45856</v>
      </c>
      <c r="H120" s="30" t="s">
        <v>615</v>
      </c>
      <c r="I120" s="30" t="s">
        <v>360</v>
      </c>
      <c r="J120" s="31">
        <v>45856</v>
      </c>
      <c r="K120" s="31">
        <v>45859</v>
      </c>
      <c r="L120" s="30" t="s">
        <v>354</v>
      </c>
      <c r="M120" s="30" t="s">
        <v>616</v>
      </c>
      <c r="N120" s="30" t="s">
        <v>286</v>
      </c>
      <c r="O120" s="30" t="s">
        <v>287</v>
      </c>
      <c r="P120" s="30" t="s">
        <v>0</v>
      </c>
      <c r="Q120" s="30" t="s">
        <v>352</v>
      </c>
      <c r="R120" s="30" t="s">
        <v>356</v>
      </c>
      <c r="S120" s="36">
        <v>73.739999999999995</v>
      </c>
      <c r="T120" s="37" t="s">
        <v>288</v>
      </c>
      <c r="U120" s="36">
        <v>6341.69</v>
      </c>
      <c r="V120" s="30" t="s">
        <v>369</v>
      </c>
      <c r="W120" s="30" t="s">
        <v>289</v>
      </c>
      <c r="X120" s="30" t="s">
        <v>0</v>
      </c>
      <c r="Y120" s="30" t="s">
        <v>354</v>
      </c>
      <c r="Z120" s="30" t="s">
        <v>290</v>
      </c>
      <c r="AA120" s="30" t="s">
        <v>617</v>
      </c>
      <c r="AB120" s="30" t="s">
        <v>0</v>
      </c>
      <c r="AC120" s="30" t="s">
        <v>0</v>
      </c>
      <c r="AD120" s="30" t="s">
        <v>0</v>
      </c>
      <c r="AE120" s="31">
        <v>45856</v>
      </c>
      <c r="AF120" s="31"/>
      <c r="AG120" s="30" t="s">
        <v>0</v>
      </c>
    </row>
    <row r="121" spans="1:33" x14ac:dyDescent="0.35">
      <c r="A121" s="30" t="s">
        <v>297</v>
      </c>
      <c r="B121" s="30" t="s">
        <v>280</v>
      </c>
      <c r="C121" s="30" t="s">
        <v>281</v>
      </c>
      <c r="D121" s="30" t="s">
        <v>282</v>
      </c>
      <c r="E121" s="30" t="s">
        <v>283</v>
      </c>
      <c r="F121" s="30" t="s">
        <v>53</v>
      </c>
      <c r="G121" s="31">
        <v>45856</v>
      </c>
      <c r="H121" s="30" t="s">
        <v>618</v>
      </c>
      <c r="I121" s="30" t="s">
        <v>360</v>
      </c>
      <c r="J121" s="31">
        <v>45856</v>
      </c>
      <c r="K121" s="31">
        <v>45859</v>
      </c>
      <c r="L121" s="30" t="s">
        <v>354</v>
      </c>
      <c r="M121" s="30" t="s">
        <v>619</v>
      </c>
      <c r="N121" s="30" t="s">
        <v>286</v>
      </c>
      <c r="O121" s="30" t="s">
        <v>287</v>
      </c>
      <c r="P121" s="30" t="s">
        <v>0</v>
      </c>
      <c r="Q121" s="30" t="s">
        <v>352</v>
      </c>
      <c r="R121" s="30" t="s">
        <v>356</v>
      </c>
      <c r="S121" s="36">
        <v>239.19</v>
      </c>
      <c r="T121" s="37" t="s">
        <v>288</v>
      </c>
      <c r="U121" s="36">
        <v>20570.5</v>
      </c>
      <c r="V121" s="30" t="s">
        <v>369</v>
      </c>
      <c r="W121" s="30" t="s">
        <v>289</v>
      </c>
      <c r="X121" s="30" t="s">
        <v>0</v>
      </c>
      <c r="Y121" s="30" t="s">
        <v>354</v>
      </c>
      <c r="Z121" s="30" t="s">
        <v>290</v>
      </c>
      <c r="AA121" s="30" t="s">
        <v>620</v>
      </c>
      <c r="AB121" s="30" t="s">
        <v>0</v>
      </c>
      <c r="AC121" s="30" t="s">
        <v>0</v>
      </c>
      <c r="AD121" s="30" t="s">
        <v>0</v>
      </c>
      <c r="AE121" s="31">
        <v>45856</v>
      </c>
      <c r="AF121" s="31"/>
      <c r="AG121" s="30" t="s">
        <v>0</v>
      </c>
    </row>
    <row r="122" spans="1:33" x14ac:dyDescent="0.35">
      <c r="A122" s="30" t="s">
        <v>297</v>
      </c>
      <c r="B122" s="30" t="s">
        <v>280</v>
      </c>
      <c r="C122" s="30" t="s">
        <v>281</v>
      </c>
      <c r="D122" s="30" t="s">
        <v>282</v>
      </c>
      <c r="E122" s="30" t="s">
        <v>283</v>
      </c>
      <c r="F122" s="30" t="s">
        <v>53</v>
      </c>
      <c r="G122" s="31">
        <v>45856</v>
      </c>
      <c r="H122" s="30" t="s">
        <v>621</v>
      </c>
      <c r="I122" s="30" t="s">
        <v>360</v>
      </c>
      <c r="J122" s="31">
        <v>45856</v>
      </c>
      <c r="K122" s="31">
        <v>45859</v>
      </c>
      <c r="L122" s="30" t="s">
        <v>354</v>
      </c>
      <c r="M122" s="30" t="s">
        <v>622</v>
      </c>
      <c r="N122" s="30" t="s">
        <v>286</v>
      </c>
      <c r="O122" s="30" t="s">
        <v>287</v>
      </c>
      <c r="P122" s="30" t="s">
        <v>0</v>
      </c>
      <c r="Q122" s="30" t="s">
        <v>352</v>
      </c>
      <c r="R122" s="30" t="s">
        <v>356</v>
      </c>
      <c r="S122" s="36">
        <v>2.75</v>
      </c>
      <c r="T122" s="37" t="s">
        <v>288</v>
      </c>
      <c r="U122" s="36">
        <v>236.5</v>
      </c>
      <c r="V122" s="30" t="s">
        <v>369</v>
      </c>
      <c r="W122" s="30" t="s">
        <v>289</v>
      </c>
      <c r="X122" s="30" t="s">
        <v>0</v>
      </c>
      <c r="Y122" s="30" t="s">
        <v>354</v>
      </c>
      <c r="Z122" s="30" t="s">
        <v>290</v>
      </c>
      <c r="AA122" s="30" t="s">
        <v>623</v>
      </c>
      <c r="AB122" s="30" t="s">
        <v>0</v>
      </c>
      <c r="AC122" s="30" t="s">
        <v>0</v>
      </c>
      <c r="AD122" s="30" t="s">
        <v>0</v>
      </c>
      <c r="AE122" s="31">
        <v>45856</v>
      </c>
      <c r="AF122" s="31"/>
      <c r="AG122" s="30" t="s">
        <v>0</v>
      </c>
    </row>
    <row r="123" spans="1:33" x14ac:dyDescent="0.35">
      <c r="A123" s="30" t="s">
        <v>297</v>
      </c>
      <c r="B123" s="30" t="s">
        <v>280</v>
      </c>
      <c r="C123" s="30" t="s">
        <v>281</v>
      </c>
      <c r="D123" s="30" t="s">
        <v>282</v>
      </c>
      <c r="E123" s="30" t="s">
        <v>283</v>
      </c>
      <c r="F123" s="30" t="s">
        <v>53</v>
      </c>
      <c r="G123" s="31">
        <v>45856</v>
      </c>
      <c r="H123" s="30" t="s">
        <v>624</v>
      </c>
      <c r="I123" s="30" t="s">
        <v>360</v>
      </c>
      <c r="J123" s="31">
        <v>45856</v>
      </c>
      <c r="K123" s="31">
        <v>45859</v>
      </c>
      <c r="L123" s="30" t="s">
        <v>354</v>
      </c>
      <c r="M123" s="30" t="s">
        <v>625</v>
      </c>
      <c r="N123" s="30" t="s">
        <v>286</v>
      </c>
      <c r="O123" s="30" t="s">
        <v>287</v>
      </c>
      <c r="P123" s="30" t="s">
        <v>0</v>
      </c>
      <c r="Q123" s="30" t="s">
        <v>352</v>
      </c>
      <c r="R123" s="30" t="s">
        <v>356</v>
      </c>
      <c r="S123" s="36">
        <v>200</v>
      </c>
      <c r="T123" s="37" t="s">
        <v>288</v>
      </c>
      <c r="U123" s="36">
        <v>17200.13</v>
      </c>
      <c r="V123" s="30" t="s">
        <v>369</v>
      </c>
      <c r="W123" s="30" t="s">
        <v>289</v>
      </c>
      <c r="X123" s="30" t="s">
        <v>0</v>
      </c>
      <c r="Y123" s="30" t="s">
        <v>354</v>
      </c>
      <c r="Z123" s="30" t="s">
        <v>290</v>
      </c>
      <c r="AA123" s="30" t="s">
        <v>626</v>
      </c>
      <c r="AB123" s="30" t="s">
        <v>0</v>
      </c>
      <c r="AC123" s="30" t="s">
        <v>0</v>
      </c>
      <c r="AD123" s="30" t="s">
        <v>0</v>
      </c>
      <c r="AE123" s="31">
        <v>45856</v>
      </c>
      <c r="AF123" s="31"/>
      <c r="AG123" s="30" t="s">
        <v>0</v>
      </c>
    </row>
    <row r="124" spans="1:33" x14ac:dyDescent="0.35">
      <c r="A124" s="30" t="s">
        <v>279</v>
      </c>
      <c r="B124" s="30" t="s">
        <v>280</v>
      </c>
      <c r="C124" s="30" t="s">
        <v>281</v>
      </c>
      <c r="D124" s="30" t="s">
        <v>282</v>
      </c>
      <c r="E124" s="30" t="s">
        <v>283</v>
      </c>
      <c r="F124" s="30" t="s">
        <v>53</v>
      </c>
      <c r="G124" s="31">
        <v>45856</v>
      </c>
      <c r="H124" s="30" t="s">
        <v>627</v>
      </c>
      <c r="I124" s="30" t="s">
        <v>360</v>
      </c>
      <c r="J124" s="31">
        <v>45856</v>
      </c>
      <c r="K124" s="31">
        <v>45859</v>
      </c>
      <c r="L124" s="30" t="s">
        <v>354</v>
      </c>
      <c r="M124" s="30" t="s">
        <v>628</v>
      </c>
      <c r="N124" s="30" t="s">
        <v>286</v>
      </c>
      <c r="O124" s="30" t="s">
        <v>287</v>
      </c>
      <c r="P124" s="30" t="s">
        <v>0</v>
      </c>
      <c r="Q124" s="30" t="s">
        <v>352</v>
      </c>
      <c r="R124" s="30" t="s">
        <v>356</v>
      </c>
      <c r="S124" s="36">
        <v>239.19</v>
      </c>
      <c r="T124" s="37" t="s">
        <v>288</v>
      </c>
      <c r="U124" s="36">
        <v>20570.5</v>
      </c>
      <c r="V124" s="30" t="s">
        <v>369</v>
      </c>
      <c r="W124" s="30" t="s">
        <v>289</v>
      </c>
      <c r="X124" s="30" t="s">
        <v>0</v>
      </c>
      <c r="Y124" s="30" t="s">
        <v>354</v>
      </c>
      <c r="Z124" s="30" t="s">
        <v>290</v>
      </c>
      <c r="AA124" s="30" t="s">
        <v>620</v>
      </c>
      <c r="AB124" s="30" t="s">
        <v>0</v>
      </c>
      <c r="AC124" s="30" t="s">
        <v>0</v>
      </c>
      <c r="AD124" s="30" t="s">
        <v>0</v>
      </c>
      <c r="AE124" s="31">
        <v>45856</v>
      </c>
      <c r="AF124" s="31">
        <v>45975</v>
      </c>
      <c r="AG124" s="30" t="s">
        <v>284</v>
      </c>
    </row>
    <row r="125" spans="1:33" x14ac:dyDescent="0.35">
      <c r="A125" s="30" t="s">
        <v>297</v>
      </c>
      <c r="B125" s="30" t="s">
        <v>280</v>
      </c>
      <c r="C125" s="30" t="s">
        <v>281</v>
      </c>
      <c r="D125" s="30" t="s">
        <v>282</v>
      </c>
      <c r="E125" s="30" t="s">
        <v>283</v>
      </c>
      <c r="F125" s="30" t="s">
        <v>336</v>
      </c>
      <c r="G125" s="31">
        <v>45729</v>
      </c>
      <c r="H125" s="30" t="s">
        <v>629</v>
      </c>
      <c r="I125" s="30" t="s">
        <v>360</v>
      </c>
      <c r="J125" s="31">
        <v>45729</v>
      </c>
      <c r="K125" s="31">
        <v>45733</v>
      </c>
      <c r="L125" s="30" t="s">
        <v>354</v>
      </c>
      <c r="M125" s="30" t="s">
        <v>630</v>
      </c>
      <c r="N125" s="30" t="s">
        <v>286</v>
      </c>
      <c r="O125" s="30" t="s">
        <v>287</v>
      </c>
      <c r="P125" s="30" t="s">
        <v>0</v>
      </c>
      <c r="Q125" s="30" t="s">
        <v>352</v>
      </c>
      <c r="R125" s="30" t="s">
        <v>356</v>
      </c>
      <c r="S125" s="36">
        <v>35</v>
      </c>
      <c r="T125" s="37" t="s">
        <v>288</v>
      </c>
      <c r="U125" s="36">
        <v>3034.19</v>
      </c>
      <c r="V125" s="30" t="s">
        <v>369</v>
      </c>
      <c r="W125" s="30" t="s">
        <v>289</v>
      </c>
      <c r="X125" s="30" t="s">
        <v>0</v>
      </c>
      <c r="Y125" s="30" t="s">
        <v>354</v>
      </c>
      <c r="Z125" s="30" t="s">
        <v>290</v>
      </c>
      <c r="AA125" s="30" t="s">
        <v>631</v>
      </c>
      <c r="AB125" s="30" t="s">
        <v>0</v>
      </c>
      <c r="AC125" s="30" t="s">
        <v>0</v>
      </c>
      <c r="AD125" s="30" t="s">
        <v>0</v>
      </c>
      <c r="AE125" s="31">
        <v>45729</v>
      </c>
      <c r="AF125" s="31"/>
      <c r="AG125" s="30" t="s">
        <v>0</v>
      </c>
    </row>
    <row r="126" spans="1:33" x14ac:dyDescent="0.35">
      <c r="A126" s="30" t="s">
        <v>297</v>
      </c>
      <c r="B126" s="30" t="s">
        <v>280</v>
      </c>
      <c r="C126" s="30" t="s">
        <v>281</v>
      </c>
      <c r="D126" s="30" t="s">
        <v>282</v>
      </c>
      <c r="E126" s="30" t="s">
        <v>283</v>
      </c>
      <c r="F126" s="30" t="s">
        <v>336</v>
      </c>
      <c r="G126" s="31">
        <v>45736</v>
      </c>
      <c r="H126" s="30" t="s">
        <v>632</v>
      </c>
      <c r="I126" s="30" t="s">
        <v>360</v>
      </c>
      <c r="J126" s="31">
        <v>45736</v>
      </c>
      <c r="K126" s="31">
        <v>45736</v>
      </c>
      <c r="L126" s="30" t="s">
        <v>354</v>
      </c>
      <c r="M126" s="30" t="s">
        <v>633</v>
      </c>
      <c r="N126" s="30" t="s">
        <v>286</v>
      </c>
      <c r="O126" s="30" t="s">
        <v>287</v>
      </c>
      <c r="P126" s="30" t="s">
        <v>0</v>
      </c>
      <c r="Q126" s="30" t="s">
        <v>352</v>
      </c>
      <c r="R126" s="30" t="s">
        <v>356</v>
      </c>
      <c r="S126" s="36">
        <v>465</v>
      </c>
      <c r="T126" s="37" t="s">
        <v>288</v>
      </c>
      <c r="U126" s="36">
        <v>40311.440000000002</v>
      </c>
      <c r="V126" s="30" t="s">
        <v>369</v>
      </c>
      <c r="W126" s="30" t="s">
        <v>289</v>
      </c>
      <c r="X126" s="30" t="s">
        <v>0</v>
      </c>
      <c r="Y126" s="30" t="s">
        <v>354</v>
      </c>
      <c r="Z126" s="30" t="s">
        <v>290</v>
      </c>
      <c r="AA126" s="30" t="s">
        <v>634</v>
      </c>
      <c r="AB126" s="30" t="s">
        <v>0</v>
      </c>
      <c r="AC126" s="30" t="s">
        <v>0</v>
      </c>
      <c r="AD126" s="30" t="s">
        <v>0</v>
      </c>
      <c r="AE126" s="31">
        <v>45736</v>
      </c>
      <c r="AF126" s="31"/>
      <c r="AG126" s="30" t="s">
        <v>0</v>
      </c>
    </row>
    <row r="127" spans="1:33" x14ac:dyDescent="0.35">
      <c r="A127" s="30" t="s">
        <v>297</v>
      </c>
      <c r="B127" s="30" t="s">
        <v>280</v>
      </c>
      <c r="C127" s="30" t="s">
        <v>281</v>
      </c>
      <c r="D127" s="30" t="s">
        <v>282</v>
      </c>
      <c r="E127" s="30" t="s">
        <v>283</v>
      </c>
      <c r="F127" s="30" t="s">
        <v>336</v>
      </c>
      <c r="G127" s="31">
        <v>45736</v>
      </c>
      <c r="H127" s="30" t="s">
        <v>635</v>
      </c>
      <c r="I127" s="30" t="s">
        <v>360</v>
      </c>
      <c r="J127" s="31">
        <v>45736</v>
      </c>
      <c r="K127" s="31">
        <v>45736</v>
      </c>
      <c r="L127" s="30" t="s">
        <v>354</v>
      </c>
      <c r="M127" s="30" t="s">
        <v>636</v>
      </c>
      <c r="N127" s="30" t="s">
        <v>286</v>
      </c>
      <c r="O127" s="30" t="s">
        <v>287</v>
      </c>
      <c r="P127" s="30" t="s">
        <v>0</v>
      </c>
      <c r="Q127" s="30" t="s">
        <v>352</v>
      </c>
      <c r="R127" s="30" t="s">
        <v>356</v>
      </c>
      <c r="S127" s="36">
        <v>420</v>
      </c>
      <c r="T127" s="37" t="s">
        <v>288</v>
      </c>
      <c r="U127" s="36">
        <v>36410.33</v>
      </c>
      <c r="V127" s="30" t="s">
        <v>369</v>
      </c>
      <c r="W127" s="30" t="s">
        <v>289</v>
      </c>
      <c r="X127" s="30" t="s">
        <v>0</v>
      </c>
      <c r="Y127" s="30" t="s">
        <v>354</v>
      </c>
      <c r="Z127" s="30" t="s">
        <v>290</v>
      </c>
      <c r="AA127" s="30" t="s">
        <v>637</v>
      </c>
      <c r="AB127" s="30" t="s">
        <v>0</v>
      </c>
      <c r="AC127" s="30" t="s">
        <v>0</v>
      </c>
      <c r="AD127" s="30" t="s">
        <v>0</v>
      </c>
      <c r="AE127" s="31">
        <v>45736</v>
      </c>
      <c r="AF127" s="31"/>
      <c r="AG127" s="30" t="s">
        <v>0</v>
      </c>
    </row>
    <row r="128" spans="1:33" x14ac:dyDescent="0.35">
      <c r="A128" s="30" t="s">
        <v>297</v>
      </c>
      <c r="B128" s="30" t="s">
        <v>280</v>
      </c>
      <c r="C128" s="30" t="s">
        <v>281</v>
      </c>
      <c r="D128" s="30" t="s">
        <v>282</v>
      </c>
      <c r="E128" s="30" t="s">
        <v>283</v>
      </c>
      <c r="F128" s="30" t="s">
        <v>336</v>
      </c>
      <c r="G128" s="31">
        <v>45736</v>
      </c>
      <c r="H128" s="30" t="s">
        <v>638</v>
      </c>
      <c r="I128" s="30" t="s">
        <v>360</v>
      </c>
      <c r="J128" s="31">
        <v>45736</v>
      </c>
      <c r="K128" s="31">
        <v>45737</v>
      </c>
      <c r="L128" s="30" t="s">
        <v>354</v>
      </c>
      <c r="M128" s="30" t="s">
        <v>639</v>
      </c>
      <c r="N128" s="30" t="s">
        <v>286</v>
      </c>
      <c r="O128" s="30" t="s">
        <v>287</v>
      </c>
      <c r="P128" s="30" t="s">
        <v>0</v>
      </c>
      <c r="Q128" s="30" t="s">
        <v>352</v>
      </c>
      <c r="R128" s="30" t="s">
        <v>356</v>
      </c>
      <c r="S128" s="36">
        <v>128.52000000000001</v>
      </c>
      <c r="T128" s="37" t="s">
        <v>288</v>
      </c>
      <c r="U128" s="36">
        <v>11141.56</v>
      </c>
      <c r="V128" s="30" t="s">
        <v>369</v>
      </c>
      <c r="W128" s="30" t="s">
        <v>289</v>
      </c>
      <c r="X128" s="30" t="s">
        <v>0</v>
      </c>
      <c r="Y128" s="30" t="s">
        <v>354</v>
      </c>
      <c r="Z128" s="30" t="s">
        <v>290</v>
      </c>
      <c r="AA128" s="30" t="s">
        <v>640</v>
      </c>
      <c r="AB128" s="30" t="s">
        <v>0</v>
      </c>
      <c r="AC128" s="30" t="s">
        <v>0</v>
      </c>
      <c r="AD128" s="30" t="s">
        <v>0</v>
      </c>
      <c r="AE128" s="31">
        <v>45736</v>
      </c>
      <c r="AF128" s="31"/>
      <c r="AG128" s="30" t="s">
        <v>0</v>
      </c>
    </row>
    <row r="129" spans="1:33" x14ac:dyDescent="0.35">
      <c r="A129" s="30" t="s">
        <v>297</v>
      </c>
      <c r="B129" s="30" t="s">
        <v>280</v>
      </c>
      <c r="C129" s="30" t="s">
        <v>281</v>
      </c>
      <c r="D129" s="30" t="s">
        <v>282</v>
      </c>
      <c r="E129" s="30" t="s">
        <v>283</v>
      </c>
      <c r="F129" s="30" t="s">
        <v>336</v>
      </c>
      <c r="G129" s="31">
        <v>45736</v>
      </c>
      <c r="H129" s="30" t="s">
        <v>641</v>
      </c>
      <c r="I129" s="30" t="s">
        <v>360</v>
      </c>
      <c r="J129" s="31">
        <v>45736</v>
      </c>
      <c r="K129" s="31">
        <v>45737</v>
      </c>
      <c r="L129" s="30" t="s">
        <v>354</v>
      </c>
      <c r="M129" s="30" t="s">
        <v>642</v>
      </c>
      <c r="N129" s="30" t="s">
        <v>286</v>
      </c>
      <c r="O129" s="30" t="s">
        <v>287</v>
      </c>
      <c r="P129" s="30" t="s">
        <v>0</v>
      </c>
      <c r="Q129" s="30" t="s">
        <v>352</v>
      </c>
      <c r="R129" s="30" t="s">
        <v>356</v>
      </c>
      <c r="S129" s="36">
        <v>2</v>
      </c>
      <c r="T129" s="37" t="s">
        <v>288</v>
      </c>
      <c r="U129" s="36">
        <v>173.38</v>
      </c>
      <c r="V129" s="30" t="s">
        <v>369</v>
      </c>
      <c r="W129" s="30" t="s">
        <v>289</v>
      </c>
      <c r="X129" s="30" t="s">
        <v>0</v>
      </c>
      <c r="Y129" s="30" t="s">
        <v>354</v>
      </c>
      <c r="Z129" s="30" t="s">
        <v>290</v>
      </c>
      <c r="AA129" s="30" t="s">
        <v>640</v>
      </c>
      <c r="AB129" s="30" t="s">
        <v>0</v>
      </c>
      <c r="AC129" s="30" t="s">
        <v>0</v>
      </c>
      <c r="AD129" s="30" t="s">
        <v>0</v>
      </c>
      <c r="AE129" s="31">
        <v>45736</v>
      </c>
      <c r="AF129" s="31"/>
      <c r="AG129" s="30" t="s">
        <v>0</v>
      </c>
    </row>
    <row r="130" spans="1:33" x14ac:dyDescent="0.35">
      <c r="A130" s="30" t="s">
        <v>297</v>
      </c>
      <c r="B130" s="30" t="s">
        <v>280</v>
      </c>
      <c r="C130" s="30" t="s">
        <v>281</v>
      </c>
      <c r="D130" s="30" t="s">
        <v>282</v>
      </c>
      <c r="E130" s="30" t="s">
        <v>283</v>
      </c>
      <c r="F130" s="30" t="s">
        <v>336</v>
      </c>
      <c r="G130" s="31">
        <v>45736</v>
      </c>
      <c r="H130" s="30" t="s">
        <v>643</v>
      </c>
      <c r="I130" s="30" t="s">
        <v>360</v>
      </c>
      <c r="J130" s="31">
        <v>45736</v>
      </c>
      <c r="K130" s="31">
        <v>45737</v>
      </c>
      <c r="L130" s="30" t="s">
        <v>354</v>
      </c>
      <c r="M130" s="30" t="s">
        <v>644</v>
      </c>
      <c r="N130" s="30" t="s">
        <v>286</v>
      </c>
      <c r="O130" s="30" t="s">
        <v>287</v>
      </c>
      <c r="P130" s="30" t="s">
        <v>0</v>
      </c>
      <c r="Q130" s="30" t="s">
        <v>352</v>
      </c>
      <c r="R130" s="30" t="s">
        <v>356</v>
      </c>
      <c r="S130" s="36">
        <v>1.75</v>
      </c>
      <c r="T130" s="37" t="s">
        <v>288</v>
      </c>
      <c r="U130" s="36">
        <v>151.71</v>
      </c>
      <c r="V130" s="30" t="s">
        <v>369</v>
      </c>
      <c r="W130" s="30" t="s">
        <v>289</v>
      </c>
      <c r="X130" s="30" t="s">
        <v>0</v>
      </c>
      <c r="Y130" s="30" t="s">
        <v>354</v>
      </c>
      <c r="Z130" s="30" t="s">
        <v>290</v>
      </c>
      <c r="AA130" s="30" t="s">
        <v>640</v>
      </c>
      <c r="AB130" s="30" t="s">
        <v>0</v>
      </c>
      <c r="AC130" s="30" t="s">
        <v>0</v>
      </c>
      <c r="AD130" s="30" t="s">
        <v>0</v>
      </c>
      <c r="AE130" s="31">
        <v>45736</v>
      </c>
      <c r="AF130" s="31"/>
      <c r="AG130" s="30" t="s">
        <v>0</v>
      </c>
    </row>
    <row r="131" spans="1:33" x14ac:dyDescent="0.35">
      <c r="A131" s="30" t="s">
        <v>297</v>
      </c>
      <c r="B131" s="30" t="s">
        <v>280</v>
      </c>
      <c r="C131" s="30" t="s">
        <v>281</v>
      </c>
      <c r="D131" s="30" t="s">
        <v>282</v>
      </c>
      <c r="E131" s="30" t="s">
        <v>283</v>
      </c>
      <c r="F131" s="30" t="s">
        <v>336</v>
      </c>
      <c r="G131" s="31">
        <v>45736</v>
      </c>
      <c r="H131" s="30" t="s">
        <v>645</v>
      </c>
      <c r="I131" s="30" t="s">
        <v>360</v>
      </c>
      <c r="J131" s="31">
        <v>45736</v>
      </c>
      <c r="K131" s="31">
        <v>45737</v>
      </c>
      <c r="L131" s="30" t="s">
        <v>354</v>
      </c>
      <c r="M131" s="30" t="s">
        <v>646</v>
      </c>
      <c r="N131" s="30" t="s">
        <v>286</v>
      </c>
      <c r="O131" s="30" t="s">
        <v>287</v>
      </c>
      <c r="P131" s="30" t="s">
        <v>0</v>
      </c>
      <c r="Q131" s="30" t="s">
        <v>352</v>
      </c>
      <c r="R131" s="30" t="s">
        <v>356</v>
      </c>
      <c r="S131" s="36">
        <v>1.99</v>
      </c>
      <c r="T131" s="37" t="s">
        <v>288</v>
      </c>
      <c r="U131" s="36">
        <v>172.52</v>
      </c>
      <c r="V131" s="30" t="s">
        <v>369</v>
      </c>
      <c r="W131" s="30" t="s">
        <v>289</v>
      </c>
      <c r="X131" s="30" t="s">
        <v>0</v>
      </c>
      <c r="Y131" s="30" t="s">
        <v>354</v>
      </c>
      <c r="Z131" s="30" t="s">
        <v>290</v>
      </c>
      <c r="AA131" s="30" t="s">
        <v>640</v>
      </c>
      <c r="AB131" s="30" t="s">
        <v>0</v>
      </c>
      <c r="AC131" s="30" t="s">
        <v>0</v>
      </c>
      <c r="AD131" s="30" t="s">
        <v>0</v>
      </c>
      <c r="AE131" s="31">
        <v>45736</v>
      </c>
      <c r="AF131" s="31"/>
      <c r="AG131" s="30" t="s">
        <v>0</v>
      </c>
    </row>
    <row r="132" spans="1:33" x14ac:dyDescent="0.35">
      <c r="A132" s="30" t="s">
        <v>297</v>
      </c>
      <c r="B132" s="30" t="s">
        <v>280</v>
      </c>
      <c r="C132" s="30" t="s">
        <v>281</v>
      </c>
      <c r="D132" s="30" t="s">
        <v>282</v>
      </c>
      <c r="E132" s="30" t="s">
        <v>283</v>
      </c>
      <c r="F132" s="30" t="s">
        <v>336</v>
      </c>
      <c r="G132" s="31">
        <v>45736</v>
      </c>
      <c r="H132" s="30" t="s">
        <v>647</v>
      </c>
      <c r="I132" s="30" t="s">
        <v>360</v>
      </c>
      <c r="J132" s="31">
        <v>45736</v>
      </c>
      <c r="K132" s="31">
        <v>45737</v>
      </c>
      <c r="L132" s="30" t="s">
        <v>354</v>
      </c>
      <c r="M132" s="30" t="s">
        <v>648</v>
      </c>
      <c r="N132" s="30" t="s">
        <v>286</v>
      </c>
      <c r="O132" s="30" t="s">
        <v>287</v>
      </c>
      <c r="P132" s="30" t="s">
        <v>0</v>
      </c>
      <c r="Q132" s="30" t="s">
        <v>352</v>
      </c>
      <c r="R132" s="30" t="s">
        <v>356</v>
      </c>
      <c r="S132" s="36">
        <v>14.8</v>
      </c>
      <c r="T132" s="37" t="s">
        <v>288</v>
      </c>
      <c r="U132" s="36">
        <v>1283.03</v>
      </c>
      <c r="V132" s="30" t="s">
        <v>369</v>
      </c>
      <c r="W132" s="30" t="s">
        <v>289</v>
      </c>
      <c r="X132" s="30" t="s">
        <v>0</v>
      </c>
      <c r="Y132" s="30" t="s">
        <v>354</v>
      </c>
      <c r="Z132" s="30" t="s">
        <v>290</v>
      </c>
      <c r="AA132" s="30" t="s">
        <v>640</v>
      </c>
      <c r="AB132" s="30" t="s">
        <v>0</v>
      </c>
      <c r="AC132" s="30" t="s">
        <v>0</v>
      </c>
      <c r="AD132" s="30" t="s">
        <v>0</v>
      </c>
      <c r="AE132" s="31">
        <v>45736</v>
      </c>
      <c r="AF132" s="31"/>
      <c r="AG132" s="30" t="s">
        <v>0</v>
      </c>
    </row>
    <row r="133" spans="1:33" x14ac:dyDescent="0.35">
      <c r="A133" s="30" t="s">
        <v>297</v>
      </c>
      <c r="B133" s="30" t="s">
        <v>280</v>
      </c>
      <c r="C133" s="30" t="s">
        <v>281</v>
      </c>
      <c r="D133" s="30" t="s">
        <v>282</v>
      </c>
      <c r="E133" s="30" t="s">
        <v>283</v>
      </c>
      <c r="F133" s="30" t="s">
        <v>336</v>
      </c>
      <c r="G133" s="31">
        <v>45736</v>
      </c>
      <c r="H133" s="30" t="s">
        <v>649</v>
      </c>
      <c r="I133" s="30" t="s">
        <v>360</v>
      </c>
      <c r="J133" s="31">
        <v>45736</v>
      </c>
      <c r="K133" s="31">
        <v>45737</v>
      </c>
      <c r="L133" s="30" t="s">
        <v>354</v>
      </c>
      <c r="M133" s="30" t="s">
        <v>650</v>
      </c>
      <c r="N133" s="30" t="s">
        <v>286</v>
      </c>
      <c r="O133" s="30" t="s">
        <v>287</v>
      </c>
      <c r="P133" s="30" t="s">
        <v>0</v>
      </c>
      <c r="Q133" s="30" t="s">
        <v>352</v>
      </c>
      <c r="R133" s="30" t="s">
        <v>356</v>
      </c>
      <c r="S133" s="36">
        <v>273</v>
      </c>
      <c r="T133" s="37" t="s">
        <v>288</v>
      </c>
      <c r="U133" s="36">
        <v>23666.71</v>
      </c>
      <c r="V133" s="30" t="s">
        <v>369</v>
      </c>
      <c r="W133" s="30" t="s">
        <v>289</v>
      </c>
      <c r="X133" s="30" t="s">
        <v>0</v>
      </c>
      <c r="Y133" s="30" t="s">
        <v>354</v>
      </c>
      <c r="Z133" s="30" t="s">
        <v>290</v>
      </c>
      <c r="AA133" s="30" t="s">
        <v>651</v>
      </c>
      <c r="AB133" s="30" t="s">
        <v>0</v>
      </c>
      <c r="AC133" s="30" t="s">
        <v>0</v>
      </c>
      <c r="AD133" s="30" t="s">
        <v>0</v>
      </c>
      <c r="AE133" s="31">
        <v>45736</v>
      </c>
      <c r="AF133" s="31"/>
      <c r="AG133" s="30" t="s">
        <v>0</v>
      </c>
    </row>
    <row r="134" spans="1:33" x14ac:dyDescent="0.35">
      <c r="A134" s="30" t="s">
        <v>297</v>
      </c>
      <c r="B134" s="30" t="s">
        <v>280</v>
      </c>
      <c r="C134" s="30" t="s">
        <v>281</v>
      </c>
      <c r="D134" s="30" t="s">
        <v>282</v>
      </c>
      <c r="E134" s="30" t="s">
        <v>283</v>
      </c>
      <c r="F134" s="30" t="s">
        <v>336</v>
      </c>
      <c r="G134" s="31">
        <v>45736</v>
      </c>
      <c r="H134" s="30" t="s">
        <v>652</v>
      </c>
      <c r="I134" s="30" t="s">
        <v>360</v>
      </c>
      <c r="J134" s="31">
        <v>45736</v>
      </c>
      <c r="K134" s="31">
        <v>45737</v>
      </c>
      <c r="L134" s="30" t="s">
        <v>354</v>
      </c>
      <c r="M134" s="30" t="s">
        <v>653</v>
      </c>
      <c r="N134" s="30" t="s">
        <v>286</v>
      </c>
      <c r="O134" s="30" t="s">
        <v>287</v>
      </c>
      <c r="P134" s="30" t="s">
        <v>0</v>
      </c>
      <c r="Q134" s="30" t="s">
        <v>352</v>
      </c>
      <c r="R134" s="30" t="s">
        <v>356</v>
      </c>
      <c r="S134" s="36">
        <v>277.3</v>
      </c>
      <c r="T134" s="37" t="s">
        <v>288</v>
      </c>
      <c r="U134" s="36">
        <v>24039.49</v>
      </c>
      <c r="V134" s="30" t="s">
        <v>369</v>
      </c>
      <c r="W134" s="30" t="s">
        <v>289</v>
      </c>
      <c r="X134" s="30" t="s">
        <v>0</v>
      </c>
      <c r="Y134" s="30" t="s">
        <v>354</v>
      </c>
      <c r="Z134" s="30" t="s">
        <v>290</v>
      </c>
      <c r="AA134" s="30" t="s">
        <v>651</v>
      </c>
      <c r="AB134" s="30" t="s">
        <v>0</v>
      </c>
      <c r="AC134" s="30" t="s">
        <v>0</v>
      </c>
      <c r="AD134" s="30" t="s">
        <v>0</v>
      </c>
      <c r="AE134" s="31">
        <v>45736</v>
      </c>
      <c r="AF134" s="31"/>
      <c r="AG134" s="30" t="s">
        <v>0</v>
      </c>
    </row>
    <row r="135" spans="1:33" x14ac:dyDescent="0.35">
      <c r="A135" s="30" t="s">
        <v>297</v>
      </c>
      <c r="B135" s="30" t="s">
        <v>280</v>
      </c>
      <c r="C135" s="30" t="s">
        <v>281</v>
      </c>
      <c r="D135" s="30" t="s">
        <v>282</v>
      </c>
      <c r="E135" s="30" t="s">
        <v>283</v>
      </c>
      <c r="F135" s="30" t="s">
        <v>336</v>
      </c>
      <c r="G135" s="31">
        <v>45736</v>
      </c>
      <c r="H135" s="30" t="s">
        <v>654</v>
      </c>
      <c r="I135" s="30" t="s">
        <v>360</v>
      </c>
      <c r="J135" s="31">
        <v>45736</v>
      </c>
      <c r="K135" s="31">
        <v>45737</v>
      </c>
      <c r="L135" s="30" t="s">
        <v>354</v>
      </c>
      <c r="M135" s="30" t="s">
        <v>655</v>
      </c>
      <c r="N135" s="30" t="s">
        <v>286</v>
      </c>
      <c r="O135" s="30" t="s">
        <v>287</v>
      </c>
      <c r="P135" s="30" t="s">
        <v>0</v>
      </c>
      <c r="Q135" s="30" t="s">
        <v>352</v>
      </c>
      <c r="R135" s="30" t="s">
        <v>356</v>
      </c>
      <c r="S135" s="36">
        <v>251.5</v>
      </c>
      <c r="T135" s="37" t="s">
        <v>288</v>
      </c>
      <c r="U135" s="36">
        <v>21802.85</v>
      </c>
      <c r="V135" s="30" t="s">
        <v>369</v>
      </c>
      <c r="W135" s="30" t="s">
        <v>289</v>
      </c>
      <c r="X135" s="30" t="s">
        <v>0</v>
      </c>
      <c r="Y135" s="30" t="s">
        <v>354</v>
      </c>
      <c r="Z135" s="30" t="s">
        <v>290</v>
      </c>
      <c r="AA135" s="30" t="s">
        <v>651</v>
      </c>
      <c r="AB135" s="30" t="s">
        <v>0</v>
      </c>
      <c r="AC135" s="30" t="s">
        <v>0</v>
      </c>
      <c r="AD135" s="30" t="s">
        <v>0</v>
      </c>
      <c r="AE135" s="31">
        <v>45736</v>
      </c>
      <c r="AF135" s="31"/>
      <c r="AG135" s="30" t="s">
        <v>0</v>
      </c>
    </row>
    <row r="136" spans="1:33" x14ac:dyDescent="0.35">
      <c r="A136" s="30" t="s">
        <v>297</v>
      </c>
      <c r="B136" s="30" t="s">
        <v>280</v>
      </c>
      <c r="C136" s="30" t="s">
        <v>281</v>
      </c>
      <c r="D136" s="30" t="s">
        <v>282</v>
      </c>
      <c r="E136" s="30" t="s">
        <v>283</v>
      </c>
      <c r="F136" s="30" t="s">
        <v>336</v>
      </c>
      <c r="G136" s="31">
        <v>45736</v>
      </c>
      <c r="H136" s="30" t="s">
        <v>656</v>
      </c>
      <c r="I136" s="30" t="s">
        <v>360</v>
      </c>
      <c r="J136" s="31">
        <v>45736</v>
      </c>
      <c r="K136" s="31">
        <v>45737</v>
      </c>
      <c r="L136" s="30" t="s">
        <v>354</v>
      </c>
      <c r="M136" s="30" t="s">
        <v>657</v>
      </c>
      <c r="N136" s="30" t="s">
        <v>286</v>
      </c>
      <c r="O136" s="30" t="s">
        <v>287</v>
      </c>
      <c r="P136" s="30" t="s">
        <v>0</v>
      </c>
      <c r="Q136" s="30" t="s">
        <v>352</v>
      </c>
      <c r="R136" s="30" t="s">
        <v>356</v>
      </c>
      <c r="S136" s="36">
        <v>554.6</v>
      </c>
      <c r="T136" s="37" t="s">
        <v>288</v>
      </c>
      <c r="U136" s="36">
        <v>48078.97</v>
      </c>
      <c r="V136" s="30" t="s">
        <v>369</v>
      </c>
      <c r="W136" s="30" t="s">
        <v>289</v>
      </c>
      <c r="X136" s="30" t="s">
        <v>0</v>
      </c>
      <c r="Y136" s="30" t="s">
        <v>354</v>
      </c>
      <c r="Z136" s="30" t="s">
        <v>290</v>
      </c>
      <c r="AA136" s="30" t="s">
        <v>651</v>
      </c>
      <c r="AB136" s="30" t="s">
        <v>0</v>
      </c>
      <c r="AC136" s="30" t="s">
        <v>0</v>
      </c>
      <c r="AD136" s="30" t="s">
        <v>0</v>
      </c>
      <c r="AE136" s="31">
        <v>45736</v>
      </c>
      <c r="AF136" s="31"/>
      <c r="AG136" s="30" t="s">
        <v>0</v>
      </c>
    </row>
    <row r="137" spans="1:33" x14ac:dyDescent="0.35">
      <c r="A137" s="30" t="s">
        <v>297</v>
      </c>
      <c r="B137" s="30" t="s">
        <v>280</v>
      </c>
      <c r="C137" s="30" t="s">
        <v>281</v>
      </c>
      <c r="D137" s="30" t="s">
        <v>282</v>
      </c>
      <c r="E137" s="30" t="s">
        <v>283</v>
      </c>
      <c r="F137" s="30" t="s">
        <v>336</v>
      </c>
      <c r="G137" s="31">
        <v>45736</v>
      </c>
      <c r="H137" s="30" t="s">
        <v>658</v>
      </c>
      <c r="I137" s="30" t="s">
        <v>360</v>
      </c>
      <c r="J137" s="31">
        <v>45736</v>
      </c>
      <c r="K137" s="31">
        <v>45737</v>
      </c>
      <c r="L137" s="30" t="s">
        <v>354</v>
      </c>
      <c r="M137" s="30" t="s">
        <v>659</v>
      </c>
      <c r="N137" s="30" t="s">
        <v>286</v>
      </c>
      <c r="O137" s="30" t="s">
        <v>287</v>
      </c>
      <c r="P137" s="30" t="s">
        <v>0</v>
      </c>
      <c r="Q137" s="30" t="s">
        <v>352</v>
      </c>
      <c r="R137" s="30" t="s">
        <v>356</v>
      </c>
      <c r="S137" s="36">
        <v>353.2</v>
      </c>
      <c r="T137" s="37" t="s">
        <v>288</v>
      </c>
      <c r="U137" s="36">
        <v>30619.35</v>
      </c>
      <c r="V137" s="30" t="s">
        <v>369</v>
      </c>
      <c r="W137" s="30" t="s">
        <v>289</v>
      </c>
      <c r="X137" s="30" t="s">
        <v>0</v>
      </c>
      <c r="Y137" s="30" t="s">
        <v>354</v>
      </c>
      <c r="Z137" s="30" t="s">
        <v>290</v>
      </c>
      <c r="AA137" s="30" t="s">
        <v>651</v>
      </c>
      <c r="AB137" s="30" t="s">
        <v>0</v>
      </c>
      <c r="AC137" s="30" t="s">
        <v>0</v>
      </c>
      <c r="AD137" s="30" t="s">
        <v>0</v>
      </c>
      <c r="AE137" s="31">
        <v>45736</v>
      </c>
      <c r="AF137" s="31"/>
      <c r="AG137" s="30" t="s">
        <v>0</v>
      </c>
    </row>
    <row r="138" spans="1:33" x14ac:dyDescent="0.35">
      <c r="A138" s="30" t="s">
        <v>297</v>
      </c>
      <c r="B138" s="30" t="s">
        <v>280</v>
      </c>
      <c r="C138" s="30" t="s">
        <v>281</v>
      </c>
      <c r="D138" s="30" t="s">
        <v>282</v>
      </c>
      <c r="E138" s="30" t="s">
        <v>283</v>
      </c>
      <c r="F138" s="30" t="s">
        <v>336</v>
      </c>
      <c r="G138" s="31">
        <v>45736</v>
      </c>
      <c r="H138" s="30" t="s">
        <v>660</v>
      </c>
      <c r="I138" s="30" t="s">
        <v>360</v>
      </c>
      <c r="J138" s="31">
        <v>45736</v>
      </c>
      <c r="K138" s="31">
        <v>45737</v>
      </c>
      <c r="L138" s="30" t="s">
        <v>354</v>
      </c>
      <c r="M138" s="30" t="s">
        <v>661</v>
      </c>
      <c r="N138" s="30" t="s">
        <v>286</v>
      </c>
      <c r="O138" s="30" t="s">
        <v>287</v>
      </c>
      <c r="P138" s="30" t="s">
        <v>0</v>
      </c>
      <c r="Q138" s="30" t="s">
        <v>352</v>
      </c>
      <c r="R138" s="30" t="s">
        <v>356</v>
      </c>
      <c r="S138" s="36">
        <v>277.3</v>
      </c>
      <c r="T138" s="37" t="s">
        <v>288</v>
      </c>
      <c r="U138" s="36">
        <v>24039.49</v>
      </c>
      <c r="V138" s="30" t="s">
        <v>369</v>
      </c>
      <c r="W138" s="30" t="s">
        <v>289</v>
      </c>
      <c r="X138" s="30" t="s">
        <v>0</v>
      </c>
      <c r="Y138" s="30" t="s">
        <v>354</v>
      </c>
      <c r="Z138" s="30" t="s">
        <v>290</v>
      </c>
      <c r="AA138" s="30" t="s">
        <v>651</v>
      </c>
      <c r="AB138" s="30" t="s">
        <v>0</v>
      </c>
      <c r="AC138" s="30" t="s">
        <v>0</v>
      </c>
      <c r="AD138" s="30" t="s">
        <v>0</v>
      </c>
      <c r="AE138" s="31">
        <v>45736</v>
      </c>
      <c r="AF138" s="31"/>
      <c r="AG138" s="30" t="s">
        <v>0</v>
      </c>
    </row>
    <row r="139" spans="1:33" x14ac:dyDescent="0.35">
      <c r="A139" s="30" t="s">
        <v>297</v>
      </c>
      <c r="B139" s="30" t="s">
        <v>280</v>
      </c>
      <c r="C139" s="30" t="s">
        <v>281</v>
      </c>
      <c r="D139" s="30" t="s">
        <v>282</v>
      </c>
      <c r="E139" s="30" t="s">
        <v>283</v>
      </c>
      <c r="F139" s="30" t="s">
        <v>336</v>
      </c>
      <c r="G139" s="31">
        <v>45736</v>
      </c>
      <c r="H139" s="30" t="s">
        <v>662</v>
      </c>
      <c r="I139" s="30" t="s">
        <v>360</v>
      </c>
      <c r="J139" s="31">
        <v>45736</v>
      </c>
      <c r="K139" s="31">
        <v>45737</v>
      </c>
      <c r="L139" s="30" t="s">
        <v>354</v>
      </c>
      <c r="M139" s="30" t="s">
        <v>663</v>
      </c>
      <c r="N139" s="30" t="s">
        <v>286</v>
      </c>
      <c r="O139" s="30" t="s">
        <v>287</v>
      </c>
      <c r="P139" s="30" t="s">
        <v>0</v>
      </c>
      <c r="Q139" s="30" t="s">
        <v>352</v>
      </c>
      <c r="R139" s="30" t="s">
        <v>356</v>
      </c>
      <c r="S139" s="36">
        <v>21.13</v>
      </c>
      <c r="T139" s="37" t="s">
        <v>288</v>
      </c>
      <c r="U139" s="36">
        <v>1831.79</v>
      </c>
      <c r="V139" s="30" t="s">
        <v>369</v>
      </c>
      <c r="W139" s="30" t="s">
        <v>289</v>
      </c>
      <c r="X139" s="30" t="s">
        <v>0</v>
      </c>
      <c r="Y139" s="30" t="s">
        <v>354</v>
      </c>
      <c r="Z139" s="30" t="s">
        <v>290</v>
      </c>
      <c r="AA139" s="30" t="s">
        <v>651</v>
      </c>
      <c r="AB139" s="30" t="s">
        <v>0</v>
      </c>
      <c r="AC139" s="30" t="s">
        <v>0</v>
      </c>
      <c r="AD139" s="30" t="s">
        <v>0</v>
      </c>
      <c r="AE139" s="31">
        <v>45736</v>
      </c>
      <c r="AF139" s="31"/>
      <c r="AG139" s="30" t="s">
        <v>0</v>
      </c>
    </row>
    <row r="140" spans="1:33" x14ac:dyDescent="0.35">
      <c r="A140" s="30" t="s">
        <v>297</v>
      </c>
      <c r="B140" s="30" t="s">
        <v>280</v>
      </c>
      <c r="C140" s="30" t="s">
        <v>281</v>
      </c>
      <c r="D140" s="30" t="s">
        <v>282</v>
      </c>
      <c r="E140" s="30" t="s">
        <v>283</v>
      </c>
      <c r="F140" s="30" t="s">
        <v>336</v>
      </c>
      <c r="G140" s="31">
        <v>45736</v>
      </c>
      <c r="H140" s="30" t="s">
        <v>664</v>
      </c>
      <c r="I140" s="30" t="s">
        <v>360</v>
      </c>
      <c r="J140" s="31">
        <v>45736</v>
      </c>
      <c r="K140" s="31">
        <v>45737</v>
      </c>
      <c r="L140" s="30" t="s">
        <v>354</v>
      </c>
      <c r="M140" s="30" t="s">
        <v>665</v>
      </c>
      <c r="N140" s="30" t="s">
        <v>286</v>
      </c>
      <c r="O140" s="30" t="s">
        <v>287</v>
      </c>
      <c r="P140" s="30" t="s">
        <v>0</v>
      </c>
      <c r="Q140" s="30" t="s">
        <v>352</v>
      </c>
      <c r="R140" s="30" t="s">
        <v>356</v>
      </c>
      <c r="S140" s="36">
        <v>15</v>
      </c>
      <c r="T140" s="37" t="s">
        <v>288</v>
      </c>
      <c r="U140" s="36">
        <v>1300.3699999999999</v>
      </c>
      <c r="V140" s="30" t="s">
        <v>369</v>
      </c>
      <c r="W140" s="30" t="s">
        <v>289</v>
      </c>
      <c r="X140" s="30" t="s">
        <v>0</v>
      </c>
      <c r="Y140" s="30" t="s">
        <v>354</v>
      </c>
      <c r="Z140" s="30" t="s">
        <v>290</v>
      </c>
      <c r="AA140" s="30" t="s">
        <v>666</v>
      </c>
      <c r="AB140" s="30" t="s">
        <v>0</v>
      </c>
      <c r="AC140" s="30" t="s">
        <v>0</v>
      </c>
      <c r="AD140" s="30" t="s">
        <v>0</v>
      </c>
      <c r="AE140" s="31">
        <v>45736</v>
      </c>
      <c r="AF140" s="31"/>
      <c r="AG140" s="30" t="s">
        <v>0</v>
      </c>
    </row>
    <row r="141" spans="1:33" x14ac:dyDescent="0.35">
      <c r="A141" s="30" t="s">
        <v>297</v>
      </c>
      <c r="B141" s="30" t="s">
        <v>280</v>
      </c>
      <c r="C141" s="30" t="s">
        <v>281</v>
      </c>
      <c r="D141" s="30" t="s">
        <v>282</v>
      </c>
      <c r="E141" s="30" t="s">
        <v>283</v>
      </c>
      <c r="F141" s="30" t="s">
        <v>336</v>
      </c>
      <c r="G141" s="31">
        <v>45736</v>
      </c>
      <c r="H141" s="30" t="s">
        <v>667</v>
      </c>
      <c r="I141" s="30" t="s">
        <v>360</v>
      </c>
      <c r="J141" s="31">
        <v>45736</v>
      </c>
      <c r="K141" s="31">
        <v>45737</v>
      </c>
      <c r="L141" s="30" t="s">
        <v>354</v>
      </c>
      <c r="M141" s="30" t="s">
        <v>668</v>
      </c>
      <c r="N141" s="30" t="s">
        <v>286</v>
      </c>
      <c r="O141" s="30" t="s">
        <v>287</v>
      </c>
      <c r="P141" s="30" t="s">
        <v>0</v>
      </c>
      <c r="Q141" s="30" t="s">
        <v>352</v>
      </c>
      <c r="R141" s="30" t="s">
        <v>356</v>
      </c>
      <c r="S141" s="36">
        <v>9.1</v>
      </c>
      <c r="T141" s="37" t="s">
        <v>288</v>
      </c>
      <c r="U141" s="36">
        <v>788.89</v>
      </c>
      <c r="V141" s="30" t="s">
        <v>369</v>
      </c>
      <c r="W141" s="30" t="s">
        <v>289</v>
      </c>
      <c r="X141" s="30" t="s">
        <v>0</v>
      </c>
      <c r="Y141" s="30" t="s">
        <v>354</v>
      </c>
      <c r="Z141" s="30" t="s">
        <v>290</v>
      </c>
      <c r="AA141" s="30" t="s">
        <v>669</v>
      </c>
      <c r="AB141" s="30" t="s">
        <v>0</v>
      </c>
      <c r="AC141" s="30" t="s">
        <v>0</v>
      </c>
      <c r="AD141" s="30" t="s">
        <v>0</v>
      </c>
      <c r="AE141" s="31">
        <v>45736</v>
      </c>
      <c r="AF141" s="31"/>
      <c r="AG141" s="30" t="s">
        <v>0</v>
      </c>
    </row>
    <row r="142" spans="1:33" x14ac:dyDescent="0.35">
      <c r="A142" s="30" t="s">
        <v>297</v>
      </c>
      <c r="B142" s="30" t="s">
        <v>280</v>
      </c>
      <c r="C142" s="30" t="s">
        <v>281</v>
      </c>
      <c r="D142" s="30" t="s">
        <v>282</v>
      </c>
      <c r="E142" s="30" t="s">
        <v>283</v>
      </c>
      <c r="F142" s="30" t="s">
        <v>336</v>
      </c>
      <c r="G142" s="31">
        <v>45736</v>
      </c>
      <c r="H142" s="30" t="s">
        <v>670</v>
      </c>
      <c r="I142" s="30" t="s">
        <v>360</v>
      </c>
      <c r="J142" s="31">
        <v>45736</v>
      </c>
      <c r="K142" s="31">
        <v>45737</v>
      </c>
      <c r="L142" s="30" t="s">
        <v>354</v>
      </c>
      <c r="M142" s="30" t="s">
        <v>671</v>
      </c>
      <c r="N142" s="30" t="s">
        <v>286</v>
      </c>
      <c r="O142" s="30" t="s">
        <v>287</v>
      </c>
      <c r="P142" s="30" t="s">
        <v>0</v>
      </c>
      <c r="Q142" s="30" t="s">
        <v>352</v>
      </c>
      <c r="R142" s="30" t="s">
        <v>356</v>
      </c>
      <c r="S142" s="36">
        <v>1</v>
      </c>
      <c r="T142" s="37" t="s">
        <v>288</v>
      </c>
      <c r="U142" s="36">
        <v>86.69</v>
      </c>
      <c r="V142" s="30" t="s">
        <v>369</v>
      </c>
      <c r="W142" s="30" t="s">
        <v>289</v>
      </c>
      <c r="X142" s="30" t="s">
        <v>0</v>
      </c>
      <c r="Y142" s="30" t="s">
        <v>354</v>
      </c>
      <c r="Z142" s="30" t="s">
        <v>290</v>
      </c>
      <c r="AA142" s="30" t="s">
        <v>672</v>
      </c>
      <c r="AB142" s="30" t="s">
        <v>0</v>
      </c>
      <c r="AC142" s="30" t="s">
        <v>0</v>
      </c>
      <c r="AD142" s="30" t="s">
        <v>0</v>
      </c>
      <c r="AE142" s="31">
        <v>45736</v>
      </c>
      <c r="AF142" s="31"/>
      <c r="AG142" s="30" t="s">
        <v>0</v>
      </c>
    </row>
    <row r="143" spans="1:33" x14ac:dyDescent="0.35">
      <c r="A143" s="30" t="s">
        <v>297</v>
      </c>
      <c r="B143" s="30" t="s">
        <v>280</v>
      </c>
      <c r="C143" s="30" t="s">
        <v>281</v>
      </c>
      <c r="D143" s="30" t="s">
        <v>282</v>
      </c>
      <c r="E143" s="30" t="s">
        <v>283</v>
      </c>
      <c r="F143" s="30" t="s">
        <v>336</v>
      </c>
      <c r="G143" s="31">
        <v>45736</v>
      </c>
      <c r="H143" s="30" t="s">
        <v>673</v>
      </c>
      <c r="I143" s="30" t="s">
        <v>360</v>
      </c>
      <c r="J143" s="31">
        <v>45736</v>
      </c>
      <c r="K143" s="31">
        <v>45737</v>
      </c>
      <c r="L143" s="30" t="s">
        <v>354</v>
      </c>
      <c r="M143" s="30" t="s">
        <v>674</v>
      </c>
      <c r="N143" s="30" t="s">
        <v>286</v>
      </c>
      <c r="O143" s="30" t="s">
        <v>287</v>
      </c>
      <c r="P143" s="30" t="s">
        <v>0</v>
      </c>
      <c r="Q143" s="30" t="s">
        <v>352</v>
      </c>
      <c r="R143" s="30" t="s">
        <v>356</v>
      </c>
      <c r="S143" s="36">
        <v>10.5</v>
      </c>
      <c r="T143" s="37" t="s">
        <v>288</v>
      </c>
      <c r="U143" s="36">
        <v>910.26</v>
      </c>
      <c r="V143" s="30" t="s">
        <v>369</v>
      </c>
      <c r="W143" s="30" t="s">
        <v>289</v>
      </c>
      <c r="X143" s="30" t="s">
        <v>0</v>
      </c>
      <c r="Y143" s="30" t="s">
        <v>354</v>
      </c>
      <c r="Z143" s="30" t="s">
        <v>290</v>
      </c>
      <c r="AA143" s="30" t="s">
        <v>675</v>
      </c>
      <c r="AB143" s="30" t="s">
        <v>0</v>
      </c>
      <c r="AC143" s="30" t="s">
        <v>0</v>
      </c>
      <c r="AD143" s="30" t="s">
        <v>0</v>
      </c>
      <c r="AE143" s="31">
        <v>45736</v>
      </c>
      <c r="AF143" s="31"/>
      <c r="AG143" s="30" t="s">
        <v>0</v>
      </c>
    </row>
    <row r="144" spans="1:33" x14ac:dyDescent="0.35">
      <c r="A144" s="30" t="s">
        <v>297</v>
      </c>
      <c r="B144" s="30" t="s">
        <v>280</v>
      </c>
      <c r="C144" s="30" t="s">
        <v>281</v>
      </c>
      <c r="D144" s="30" t="s">
        <v>282</v>
      </c>
      <c r="E144" s="30" t="s">
        <v>283</v>
      </c>
      <c r="F144" s="30" t="s">
        <v>336</v>
      </c>
      <c r="G144" s="31">
        <v>45736</v>
      </c>
      <c r="H144" s="30" t="s">
        <v>676</v>
      </c>
      <c r="I144" s="30" t="s">
        <v>360</v>
      </c>
      <c r="J144" s="31">
        <v>45736</v>
      </c>
      <c r="K144" s="31">
        <v>45737</v>
      </c>
      <c r="L144" s="30" t="s">
        <v>354</v>
      </c>
      <c r="M144" s="30" t="s">
        <v>677</v>
      </c>
      <c r="N144" s="30" t="s">
        <v>286</v>
      </c>
      <c r="O144" s="30" t="s">
        <v>287</v>
      </c>
      <c r="P144" s="30" t="s">
        <v>0</v>
      </c>
      <c r="Q144" s="30" t="s">
        <v>352</v>
      </c>
      <c r="R144" s="30" t="s">
        <v>356</v>
      </c>
      <c r="S144" s="36">
        <v>15</v>
      </c>
      <c r="T144" s="37" t="s">
        <v>288</v>
      </c>
      <c r="U144" s="36">
        <v>1300.3699999999999</v>
      </c>
      <c r="V144" s="30" t="s">
        <v>369</v>
      </c>
      <c r="W144" s="30" t="s">
        <v>289</v>
      </c>
      <c r="X144" s="30" t="s">
        <v>0</v>
      </c>
      <c r="Y144" s="30" t="s">
        <v>354</v>
      </c>
      <c r="Z144" s="30" t="s">
        <v>290</v>
      </c>
      <c r="AA144" s="30" t="s">
        <v>678</v>
      </c>
      <c r="AB144" s="30" t="s">
        <v>0</v>
      </c>
      <c r="AC144" s="30" t="s">
        <v>0</v>
      </c>
      <c r="AD144" s="30" t="s">
        <v>0</v>
      </c>
      <c r="AE144" s="31">
        <v>45736</v>
      </c>
      <c r="AF144" s="31"/>
      <c r="AG144" s="30" t="s">
        <v>0</v>
      </c>
    </row>
    <row r="145" spans="1:33" x14ac:dyDescent="0.35">
      <c r="A145" s="30" t="s">
        <v>297</v>
      </c>
      <c r="B145" s="30" t="s">
        <v>280</v>
      </c>
      <c r="C145" s="30" t="s">
        <v>281</v>
      </c>
      <c r="D145" s="30" t="s">
        <v>282</v>
      </c>
      <c r="E145" s="30" t="s">
        <v>283</v>
      </c>
      <c r="F145" s="30" t="s">
        <v>336</v>
      </c>
      <c r="G145" s="31">
        <v>45736</v>
      </c>
      <c r="H145" s="30" t="s">
        <v>679</v>
      </c>
      <c r="I145" s="30" t="s">
        <v>360</v>
      </c>
      <c r="J145" s="31">
        <v>45736</v>
      </c>
      <c r="K145" s="31">
        <v>45737</v>
      </c>
      <c r="L145" s="30" t="s">
        <v>354</v>
      </c>
      <c r="M145" s="30" t="s">
        <v>680</v>
      </c>
      <c r="N145" s="30" t="s">
        <v>286</v>
      </c>
      <c r="O145" s="30" t="s">
        <v>287</v>
      </c>
      <c r="P145" s="30" t="s">
        <v>0</v>
      </c>
      <c r="Q145" s="30" t="s">
        <v>352</v>
      </c>
      <c r="R145" s="30" t="s">
        <v>356</v>
      </c>
      <c r="S145" s="36">
        <v>18.170000000000002</v>
      </c>
      <c r="T145" s="37" t="s">
        <v>288</v>
      </c>
      <c r="U145" s="36">
        <v>1575.18</v>
      </c>
      <c r="V145" s="30" t="s">
        <v>369</v>
      </c>
      <c r="W145" s="30" t="s">
        <v>289</v>
      </c>
      <c r="X145" s="30" t="s">
        <v>0</v>
      </c>
      <c r="Y145" s="30" t="s">
        <v>354</v>
      </c>
      <c r="Z145" s="30" t="s">
        <v>290</v>
      </c>
      <c r="AA145" s="30" t="s">
        <v>651</v>
      </c>
      <c r="AB145" s="30" t="s">
        <v>0</v>
      </c>
      <c r="AC145" s="30" t="s">
        <v>0</v>
      </c>
      <c r="AD145" s="30" t="s">
        <v>0</v>
      </c>
      <c r="AE145" s="31">
        <v>45736</v>
      </c>
      <c r="AF145" s="31"/>
      <c r="AG145" s="30" t="s">
        <v>0</v>
      </c>
    </row>
    <row r="146" spans="1:33" x14ac:dyDescent="0.35">
      <c r="A146" s="30" t="s">
        <v>297</v>
      </c>
      <c r="B146" s="30" t="s">
        <v>280</v>
      </c>
      <c r="C146" s="30" t="s">
        <v>281</v>
      </c>
      <c r="D146" s="30" t="s">
        <v>282</v>
      </c>
      <c r="E146" s="30" t="s">
        <v>283</v>
      </c>
      <c r="F146" s="30" t="s">
        <v>336</v>
      </c>
      <c r="G146" s="31">
        <v>45736</v>
      </c>
      <c r="H146" s="30" t="s">
        <v>681</v>
      </c>
      <c r="I146" s="30" t="s">
        <v>360</v>
      </c>
      <c r="J146" s="31">
        <v>45736</v>
      </c>
      <c r="K146" s="31">
        <v>45737</v>
      </c>
      <c r="L146" s="30" t="s">
        <v>354</v>
      </c>
      <c r="M146" s="30" t="s">
        <v>682</v>
      </c>
      <c r="N146" s="30" t="s">
        <v>286</v>
      </c>
      <c r="O146" s="30" t="s">
        <v>287</v>
      </c>
      <c r="P146" s="30" t="s">
        <v>0</v>
      </c>
      <c r="Q146" s="30" t="s">
        <v>352</v>
      </c>
      <c r="R146" s="30" t="s">
        <v>356</v>
      </c>
      <c r="S146" s="36">
        <v>6.38</v>
      </c>
      <c r="T146" s="37" t="s">
        <v>288</v>
      </c>
      <c r="U146" s="36">
        <v>553.09</v>
      </c>
      <c r="V146" s="30" t="s">
        <v>369</v>
      </c>
      <c r="W146" s="30" t="s">
        <v>289</v>
      </c>
      <c r="X146" s="30" t="s">
        <v>0</v>
      </c>
      <c r="Y146" s="30" t="s">
        <v>354</v>
      </c>
      <c r="Z146" s="30" t="s">
        <v>290</v>
      </c>
      <c r="AA146" s="30" t="s">
        <v>683</v>
      </c>
      <c r="AB146" s="30" t="s">
        <v>0</v>
      </c>
      <c r="AC146" s="30" t="s">
        <v>0</v>
      </c>
      <c r="AD146" s="30" t="s">
        <v>0</v>
      </c>
      <c r="AE146" s="31">
        <v>45736</v>
      </c>
      <c r="AF146" s="31"/>
      <c r="AG146" s="30" t="s">
        <v>0</v>
      </c>
    </row>
    <row r="147" spans="1:33" x14ac:dyDescent="0.35">
      <c r="A147" s="30" t="s">
        <v>297</v>
      </c>
      <c r="B147" s="30" t="s">
        <v>280</v>
      </c>
      <c r="C147" s="30" t="s">
        <v>281</v>
      </c>
      <c r="D147" s="30" t="s">
        <v>282</v>
      </c>
      <c r="E147" s="30" t="s">
        <v>283</v>
      </c>
      <c r="F147" s="30" t="s">
        <v>336</v>
      </c>
      <c r="G147" s="31">
        <v>45736</v>
      </c>
      <c r="H147" s="30" t="s">
        <v>684</v>
      </c>
      <c r="I147" s="30" t="s">
        <v>360</v>
      </c>
      <c r="J147" s="31">
        <v>45736</v>
      </c>
      <c r="K147" s="31">
        <v>45737</v>
      </c>
      <c r="L147" s="30" t="s">
        <v>354</v>
      </c>
      <c r="M147" s="30" t="s">
        <v>685</v>
      </c>
      <c r="N147" s="30" t="s">
        <v>286</v>
      </c>
      <c r="O147" s="30" t="s">
        <v>287</v>
      </c>
      <c r="P147" s="30" t="s">
        <v>0</v>
      </c>
      <c r="Q147" s="30" t="s">
        <v>352</v>
      </c>
      <c r="R147" s="30" t="s">
        <v>356</v>
      </c>
      <c r="S147" s="36">
        <v>60</v>
      </c>
      <c r="T147" s="37" t="s">
        <v>288</v>
      </c>
      <c r="U147" s="36">
        <v>5201.4799999999996</v>
      </c>
      <c r="V147" s="30" t="s">
        <v>369</v>
      </c>
      <c r="W147" s="30" t="s">
        <v>289</v>
      </c>
      <c r="X147" s="30" t="s">
        <v>0</v>
      </c>
      <c r="Y147" s="30" t="s">
        <v>354</v>
      </c>
      <c r="Z147" s="30" t="s">
        <v>290</v>
      </c>
      <c r="AA147" s="30" t="s">
        <v>686</v>
      </c>
      <c r="AB147" s="30" t="s">
        <v>0</v>
      </c>
      <c r="AC147" s="30" t="s">
        <v>0</v>
      </c>
      <c r="AD147" s="30" t="s">
        <v>0</v>
      </c>
      <c r="AE147" s="31">
        <v>45736</v>
      </c>
      <c r="AF147" s="31"/>
      <c r="AG147" s="30" t="s">
        <v>0</v>
      </c>
    </row>
    <row r="148" spans="1:33" x14ac:dyDescent="0.35">
      <c r="A148" s="30" t="s">
        <v>297</v>
      </c>
      <c r="B148" s="30" t="s">
        <v>280</v>
      </c>
      <c r="C148" s="30" t="s">
        <v>281</v>
      </c>
      <c r="D148" s="30" t="s">
        <v>282</v>
      </c>
      <c r="E148" s="30" t="s">
        <v>283</v>
      </c>
      <c r="F148" s="30" t="s">
        <v>336</v>
      </c>
      <c r="G148" s="31">
        <v>45736</v>
      </c>
      <c r="H148" s="30" t="s">
        <v>687</v>
      </c>
      <c r="I148" s="30" t="s">
        <v>360</v>
      </c>
      <c r="J148" s="31">
        <v>45736</v>
      </c>
      <c r="K148" s="31">
        <v>45737</v>
      </c>
      <c r="L148" s="30" t="s">
        <v>354</v>
      </c>
      <c r="M148" s="30" t="s">
        <v>688</v>
      </c>
      <c r="N148" s="30" t="s">
        <v>286</v>
      </c>
      <c r="O148" s="30" t="s">
        <v>287</v>
      </c>
      <c r="P148" s="30" t="s">
        <v>0</v>
      </c>
      <c r="Q148" s="30" t="s">
        <v>352</v>
      </c>
      <c r="R148" s="30" t="s">
        <v>356</v>
      </c>
      <c r="S148" s="36">
        <v>111.18</v>
      </c>
      <c r="T148" s="37" t="s">
        <v>288</v>
      </c>
      <c r="U148" s="36">
        <v>9638.33</v>
      </c>
      <c r="V148" s="30" t="s">
        <v>369</v>
      </c>
      <c r="W148" s="30" t="s">
        <v>289</v>
      </c>
      <c r="X148" s="30" t="s">
        <v>0</v>
      </c>
      <c r="Y148" s="30" t="s">
        <v>354</v>
      </c>
      <c r="Z148" s="30" t="s">
        <v>290</v>
      </c>
      <c r="AA148" s="30" t="s">
        <v>689</v>
      </c>
      <c r="AB148" s="30" t="s">
        <v>0</v>
      </c>
      <c r="AC148" s="30" t="s">
        <v>0</v>
      </c>
      <c r="AD148" s="30" t="s">
        <v>0</v>
      </c>
      <c r="AE148" s="31">
        <v>45736</v>
      </c>
      <c r="AF148" s="31"/>
      <c r="AG148" s="30" t="s">
        <v>0</v>
      </c>
    </row>
    <row r="149" spans="1:33" x14ac:dyDescent="0.35">
      <c r="A149" s="30" t="s">
        <v>297</v>
      </c>
      <c r="B149" s="30" t="s">
        <v>280</v>
      </c>
      <c r="C149" s="30" t="s">
        <v>281</v>
      </c>
      <c r="D149" s="30" t="s">
        <v>282</v>
      </c>
      <c r="E149" s="30" t="s">
        <v>283</v>
      </c>
      <c r="F149" s="30" t="s">
        <v>336</v>
      </c>
      <c r="G149" s="31">
        <v>45736</v>
      </c>
      <c r="H149" s="30" t="s">
        <v>690</v>
      </c>
      <c r="I149" s="30" t="s">
        <v>360</v>
      </c>
      <c r="J149" s="31">
        <v>45736</v>
      </c>
      <c r="K149" s="31">
        <v>45737</v>
      </c>
      <c r="L149" s="30" t="s">
        <v>354</v>
      </c>
      <c r="M149" s="30" t="s">
        <v>691</v>
      </c>
      <c r="N149" s="30" t="s">
        <v>286</v>
      </c>
      <c r="O149" s="30" t="s">
        <v>287</v>
      </c>
      <c r="P149" s="30" t="s">
        <v>0</v>
      </c>
      <c r="Q149" s="30" t="s">
        <v>352</v>
      </c>
      <c r="R149" s="30" t="s">
        <v>356</v>
      </c>
      <c r="S149" s="36">
        <v>1.97</v>
      </c>
      <c r="T149" s="37" t="s">
        <v>288</v>
      </c>
      <c r="U149" s="36">
        <v>170.78</v>
      </c>
      <c r="V149" s="30" t="s">
        <v>369</v>
      </c>
      <c r="W149" s="30" t="s">
        <v>289</v>
      </c>
      <c r="X149" s="30" t="s">
        <v>0</v>
      </c>
      <c r="Y149" s="30" t="s">
        <v>354</v>
      </c>
      <c r="Z149" s="30" t="s">
        <v>290</v>
      </c>
      <c r="AA149" s="30" t="s">
        <v>692</v>
      </c>
      <c r="AB149" s="30" t="s">
        <v>0</v>
      </c>
      <c r="AC149" s="30" t="s">
        <v>0</v>
      </c>
      <c r="AD149" s="30" t="s">
        <v>0</v>
      </c>
      <c r="AE149" s="31">
        <v>45736</v>
      </c>
      <c r="AF149" s="31"/>
      <c r="AG149" s="30" t="s">
        <v>0</v>
      </c>
    </row>
    <row r="150" spans="1:33" x14ac:dyDescent="0.35">
      <c r="A150" s="30" t="s">
        <v>297</v>
      </c>
      <c r="B150" s="30" t="s">
        <v>280</v>
      </c>
      <c r="C150" s="30" t="s">
        <v>281</v>
      </c>
      <c r="D150" s="30" t="s">
        <v>282</v>
      </c>
      <c r="E150" s="30" t="s">
        <v>283</v>
      </c>
      <c r="F150" s="30" t="s">
        <v>336</v>
      </c>
      <c r="G150" s="31">
        <v>45736</v>
      </c>
      <c r="H150" s="30" t="s">
        <v>693</v>
      </c>
      <c r="I150" s="30" t="s">
        <v>360</v>
      </c>
      <c r="J150" s="31">
        <v>45736</v>
      </c>
      <c r="K150" s="31">
        <v>45737</v>
      </c>
      <c r="L150" s="30" t="s">
        <v>354</v>
      </c>
      <c r="M150" s="30" t="s">
        <v>694</v>
      </c>
      <c r="N150" s="30" t="s">
        <v>286</v>
      </c>
      <c r="O150" s="30" t="s">
        <v>287</v>
      </c>
      <c r="P150" s="30" t="s">
        <v>0</v>
      </c>
      <c r="Q150" s="30" t="s">
        <v>352</v>
      </c>
      <c r="R150" s="30" t="s">
        <v>356</v>
      </c>
      <c r="S150" s="36">
        <v>60</v>
      </c>
      <c r="T150" s="37" t="s">
        <v>288</v>
      </c>
      <c r="U150" s="36">
        <v>5201.4799999999996</v>
      </c>
      <c r="V150" s="30" t="s">
        <v>369</v>
      </c>
      <c r="W150" s="30" t="s">
        <v>289</v>
      </c>
      <c r="X150" s="30" t="s">
        <v>0</v>
      </c>
      <c r="Y150" s="30" t="s">
        <v>354</v>
      </c>
      <c r="Z150" s="30" t="s">
        <v>290</v>
      </c>
      <c r="AA150" s="30" t="s">
        <v>689</v>
      </c>
      <c r="AB150" s="30" t="s">
        <v>0</v>
      </c>
      <c r="AC150" s="30" t="s">
        <v>0</v>
      </c>
      <c r="AD150" s="30" t="s">
        <v>0</v>
      </c>
      <c r="AE150" s="31">
        <v>45736</v>
      </c>
      <c r="AF150" s="31"/>
      <c r="AG150" s="30" t="s">
        <v>0</v>
      </c>
    </row>
    <row r="151" spans="1:33" x14ac:dyDescent="0.35">
      <c r="A151" s="30" t="s">
        <v>297</v>
      </c>
      <c r="B151" s="30" t="s">
        <v>280</v>
      </c>
      <c r="C151" s="30" t="s">
        <v>281</v>
      </c>
      <c r="D151" s="30" t="s">
        <v>282</v>
      </c>
      <c r="E151" s="30" t="s">
        <v>283</v>
      </c>
      <c r="F151" s="30" t="s">
        <v>336</v>
      </c>
      <c r="G151" s="31">
        <v>45736</v>
      </c>
      <c r="H151" s="30" t="s">
        <v>695</v>
      </c>
      <c r="I151" s="30" t="s">
        <v>360</v>
      </c>
      <c r="J151" s="31">
        <v>45736</v>
      </c>
      <c r="K151" s="31">
        <v>45737</v>
      </c>
      <c r="L151" s="30" t="s">
        <v>354</v>
      </c>
      <c r="M151" s="30" t="s">
        <v>696</v>
      </c>
      <c r="N151" s="30" t="s">
        <v>286</v>
      </c>
      <c r="O151" s="30" t="s">
        <v>287</v>
      </c>
      <c r="P151" s="30" t="s">
        <v>0</v>
      </c>
      <c r="Q151" s="30" t="s">
        <v>352</v>
      </c>
      <c r="R151" s="30" t="s">
        <v>356</v>
      </c>
      <c r="S151" s="36">
        <v>43</v>
      </c>
      <c r="T151" s="37" t="s">
        <v>288</v>
      </c>
      <c r="U151" s="36">
        <v>3727.72</v>
      </c>
      <c r="V151" s="30" t="s">
        <v>369</v>
      </c>
      <c r="W151" s="30" t="s">
        <v>289</v>
      </c>
      <c r="X151" s="30" t="s">
        <v>0</v>
      </c>
      <c r="Y151" s="30" t="s">
        <v>354</v>
      </c>
      <c r="Z151" s="30" t="s">
        <v>290</v>
      </c>
      <c r="AA151" s="30" t="s">
        <v>689</v>
      </c>
      <c r="AB151" s="30" t="s">
        <v>0</v>
      </c>
      <c r="AC151" s="30" t="s">
        <v>0</v>
      </c>
      <c r="AD151" s="30" t="s">
        <v>0</v>
      </c>
      <c r="AE151" s="31">
        <v>45736</v>
      </c>
      <c r="AF151" s="31"/>
      <c r="AG151" s="30" t="s">
        <v>0</v>
      </c>
    </row>
    <row r="152" spans="1:33" x14ac:dyDescent="0.35">
      <c r="A152" s="30" t="s">
        <v>297</v>
      </c>
      <c r="B152" s="30" t="s">
        <v>280</v>
      </c>
      <c r="C152" s="30" t="s">
        <v>281</v>
      </c>
      <c r="D152" s="30" t="s">
        <v>282</v>
      </c>
      <c r="E152" s="30" t="s">
        <v>283</v>
      </c>
      <c r="F152" s="30" t="s">
        <v>336</v>
      </c>
      <c r="G152" s="31">
        <v>45736</v>
      </c>
      <c r="H152" s="30" t="s">
        <v>697</v>
      </c>
      <c r="I152" s="30" t="s">
        <v>360</v>
      </c>
      <c r="J152" s="31">
        <v>45736</v>
      </c>
      <c r="K152" s="31">
        <v>45737</v>
      </c>
      <c r="L152" s="30" t="s">
        <v>354</v>
      </c>
      <c r="M152" s="30" t="s">
        <v>698</v>
      </c>
      <c r="N152" s="30" t="s">
        <v>286</v>
      </c>
      <c r="O152" s="30" t="s">
        <v>287</v>
      </c>
      <c r="P152" s="30" t="s">
        <v>0</v>
      </c>
      <c r="Q152" s="30" t="s">
        <v>352</v>
      </c>
      <c r="R152" s="30" t="s">
        <v>356</v>
      </c>
      <c r="S152" s="36">
        <v>47.3</v>
      </c>
      <c r="T152" s="37" t="s">
        <v>288</v>
      </c>
      <c r="U152" s="36">
        <v>4100.5</v>
      </c>
      <c r="V152" s="30" t="s">
        <v>369</v>
      </c>
      <c r="W152" s="30" t="s">
        <v>289</v>
      </c>
      <c r="X152" s="30" t="s">
        <v>0</v>
      </c>
      <c r="Y152" s="30" t="s">
        <v>354</v>
      </c>
      <c r="Z152" s="30" t="s">
        <v>290</v>
      </c>
      <c r="AA152" s="30" t="s">
        <v>689</v>
      </c>
      <c r="AB152" s="30" t="s">
        <v>0</v>
      </c>
      <c r="AC152" s="30" t="s">
        <v>0</v>
      </c>
      <c r="AD152" s="30" t="s">
        <v>0</v>
      </c>
      <c r="AE152" s="31">
        <v>45736</v>
      </c>
      <c r="AF152" s="31"/>
      <c r="AG152" s="30" t="s">
        <v>0</v>
      </c>
    </row>
    <row r="153" spans="1:33" x14ac:dyDescent="0.35">
      <c r="A153" s="30" t="s">
        <v>297</v>
      </c>
      <c r="B153" s="30" t="s">
        <v>280</v>
      </c>
      <c r="C153" s="30" t="s">
        <v>281</v>
      </c>
      <c r="D153" s="30" t="s">
        <v>282</v>
      </c>
      <c r="E153" s="30" t="s">
        <v>283</v>
      </c>
      <c r="F153" s="30" t="s">
        <v>336</v>
      </c>
      <c r="G153" s="31">
        <v>45736</v>
      </c>
      <c r="H153" s="30" t="s">
        <v>699</v>
      </c>
      <c r="I153" s="30" t="s">
        <v>360</v>
      </c>
      <c r="J153" s="31">
        <v>45736</v>
      </c>
      <c r="K153" s="31">
        <v>45737</v>
      </c>
      <c r="L153" s="30" t="s">
        <v>354</v>
      </c>
      <c r="M153" s="30" t="s">
        <v>700</v>
      </c>
      <c r="N153" s="30" t="s">
        <v>286</v>
      </c>
      <c r="O153" s="30" t="s">
        <v>287</v>
      </c>
      <c r="P153" s="30" t="s">
        <v>0</v>
      </c>
      <c r="Q153" s="30" t="s">
        <v>352</v>
      </c>
      <c r="R153" s="30" t="s">
        <v>356</v>
      </c>
      <c r="S153" s="36">
        <v>94.6</v>
      </c>
      <c r="T153" s="37" t="s">
        <v>288</v>
      </c>
      <c r="U153" s="36">
        <v>8200.99</v>
      </c>
      <c r="V153" s="30" t="s">
        <v>369</v>
      </c>
      <c r="W153" s="30" t="s">
        <v>289</v>
      </c>
      <c r="X153" s="30" t="s">
        <v>0</v>
      </c>
      <c r="Y153" s="30" t="s">
        <v>354</v>
      </c>
      <c r="Z153" s="30" t="s">
        <v>290</v>
      </c>
      <c r="AA153" s="30" t="s">
        <v>689</v>
      </c>
      <c r="AB153" s="30" t="s">
        <v>0</v>
      </c>
      <c r="AC153" s="30" t="s">
        <v>0</v>
      </c>
      <c r="AD153" s="30" t="s">
        <v>0</v>
      </c>
      <c r="AE153" s="31">
        <v>45736</v>
      </c>
      <c r="AF153" s="31"/>
      <c r="AG153" s="30" t="s">
        <v>0</v>
      </c>
    </row>
    <row r="154" spans="1:33" x14ac:dyDescent="0.35">
      <c r="A154" s="30" t="s">
        <v>297</v>
      </c>
      <c r="B154" s="30" t="s">
        <v>280</v>
      </c>
      <c r="C154" s="30" t="s">
        <v>281</v>
      </c>
      <c r="D154" s="30" t="s">
        <v>282</v>
      </c>
      <c r="E154" s="30" t="s">
        <v>283</v>
      </c>
      <c r="F154" s="30" t="s">
        <v>336</v>
      </c>
      <c r="G154" s="31">
        <v>45736</v>
      </c>
      <c r="H154" s="30" t="s">
        <v>701</v>
      </c>
      <c r="I154" s="30" t="s">
        <v>360</v>
      </c>
      <c r="J154" s="31">
        <v>45736</v>
      </c>
      <c r="K154" s="31">
        <v>45737</v>
      </c>
      <c r="L154" s="30" t="s">
        <v>354</v>
      </c>
      <c r="M154" s="30" t="s">
        <v>702</v>
      </c>
      <c r="N154" s="30" t="s">
        <v>286</v>
      </c>
      <c r="O154" s="30" t="s">
        <v>287</v>
      </c>
      <c r="P154" s="30" t="s">
        <v>0</v>
      </c>
      <c r="Q154" s="30" t="s">
        <v>352</v>
      </c>
      <c r="R154" s="30" t="s">
        <v>356</v>
      </c>
      <c r="S154" s="36">
        <v>51.6</v>
      </c>
      <c r="T154" s="37" t="s">
        <v>288</v>
      </c>
      <c r="U154" s="36">
        <v>4473.2700000000004</v>
      </c>
      <c r="V154" s="30" t="s">
        <v>369</v>
      </c>
      <c r="W154" s="30" t="s">
        <v>289</v>
      </c>
      <c r="X154" s="30" t="s">
        <v>0</v>
      </c>
      <c r="Y154" s="30" t="s">
        <v>354</v>
      </c>
      <c r="Z154" s="30" t="s">
        <v>290</v>
      </c>
      <c r="AA154" s="30" t="s">
        <v>689</v>
      </c>
      <c r="AB154" s="30" t="s">
        <v>0</v>
      </c>
      <c r="AC154" s="30" t="s">
        <v>0</v>
      </c>
      <c r="AD154" s="30" t="s">
        <v>0</v>
      </c>
      <c r="AE154" s="31">
        <v>45736</v>
      </c>
      <c r="AF154" s="31"/>
      <c r="AG154" s="30" t="s">
        <v>0</v>
      </c>
    </row>
    <row r="155" spans="1:33" x14ac:dyDescent="0.35">
      <c r="A155" s="30" t="s">
        <v>297</v>
      </c>
      <c r="B155" s="30" t="s">
        <v>280</v>
      </c>
      <c r="C155" s="30" t="s">
        <v>281</v>
      </c>
      <c r="D155" s="30" t="s">
        <v>282</v>
      </c>
      <c r="E155" s="30" t="s">
        <v>283</v>
      </c>
      <c r="F155" s="30" t="s">
        <v>336</v>
      </c>
      <c r="G155" s="31">
        <v>45736</v>
      </c>
      <c r="H155" s="30" t="s">
        <v>703</v>
      </c>
      <c r="I155" s="30" t="s">
        <v>360</v>
      </c>
      <c r="J155" s="31">
        <v>45736</v>
      </c>
      <c r="K155" s="31">
        <v>45737</v>
      </c>
      <c r="L155" s="30" t="s">
        <v>354</v>
      </c>
      <c r="M155" s="30" t="s">
        <v>704</v>
      </c>
      <c r="N155" s="30" t="s">
        <v>286</v>
      </c>
      <c r="O155" s="30" t="s">
        <v>287</v>
      </c>
      <c r="P155" s="30" t="s">
        <v>0</v>
      </c>
      <c r="Q155" s="30" t="s">
        <v>352</v>
      </c>
      <c r="R155" s="30" t="s">
        <v>356</v>
      </c>
      <c r="S155" s="36">
        <v>51.6</v>
      </c>
      <c r="T155" s="37" t="s">
        <v>288</v>
      </c>
      <c r="U155" s="36">
        <v>4473.2700000000004</v>
      </c>
      <c r="V155" s="30" t="s">
        <v>369</v>
      </c>
      <c r="W155" s="30" t="s">
        <v>289</v>
      </c>
      <c r="X155" s="30" t="s">
        <v>0</v>
      </c>
      <c r="Y155" s="30" t="s">
        <v>354</v>
      </c>
      <c r="Z155" s="30" t="s">
        <v>290</v>
      </c>
      <c r="AA155" s="30" t="s">
        <v>689</v>
      </c>
      <c r="AB155" s="30" t="s">
        <v>0</v>
      </c>
      <c r="AC155" s="30" t="s">
        <v>0</v>
      </c>
      <c r="AD155" s="30" t="s">
        <v>0</v>
      </c>
      <c r="AE155" s="31">
        <v>45736</v>
      </c>
      <c r="AF155" s="31"/>
      <c r="AG155" s="30" t="s">
        <v>0</v>
      </c>
    </row>
    <row r="156" spans="1:33" x14ac:dyDescent="0.35">
      <c r="A156" s="30" t="s">
        <v>297</v>
      </c>
      <c r="B156" s="30" t="s">
        <v>280</v>
      </c>
      <c r="C156" s="30" t="s">
        <v>281</v>
      </c>
      <c r="D156" s="30" t="s">
        <v>282</v>
      </c>
      <c r="E156" s="30" t="s">
        <v>283</v>
      </c>
      <c r="F156" s="30" t="s">
        <v>336</v>
      </c>
      <c r="G156" s="31">
        <v>45736</v>
      </c>
      <c r="H156" s="30" t="s">
        <v>705</v>
      </c>
      <c r="I156" s="30" t="s">
        <v>360</v>
      </c>
      <c r="J156" s="31">
        <v>45736</v>
      </c>
      <c r="K156" s="31">
        <v>45737</v>
      </c>
      <c r="L156" s="30" t="s">
        <v>354</v>
      </c>
      <c r="M156" s="30" t="s">
        <v>706</v>
      </c>
      <c r="N156" s="30" t="s">
        <v>286</v>
      </c>
      <c r="O156" s="30" t="s">
        <v>287</v>
      </c>
      <c r="P156" s="30" t="s">
        <v>0</v>
      </c>
      <c r="Q156" s="30" t="s">
        <v>352</v>
      </c>
      <c r="R156" s="30" t="s">
        <v>356</v>
      </c>
      <c r="S156" s="36">
        <v>6.13</v>
      </c>
      <c r="T156" s="37" t="s">
        <v>288</v>
      </c>
      <c r="U156" s="36">
        <v>531.41999999999996</v>
      </c>
      <c r="V156" s="30" t="s">
        <v>369</v>
      </c>
      <c r="W156" s="30" t="s">
        <v>289</v>
      </c>
      <c r="X156" s="30" t="s">
        <v>0</v>
      </c>
      <c r="Y156" s="30" t="s">
        <v>354</v>
      </c>
      <c r="Z156" s="30" t="s">
        <v>290</v>
      </c>
      <c r="AA156" s="30" t="s">
        <v>689</v>
      </c>
      <c r="AB156" s="30" t="s">
        <v>0</v>
      </c>
      <c r="AC156" s="30" t="s">
        <v>0</v>
      </c>
      <c r="AD156" s="30" t="s">
        <v>0</v>
      </c>
      <c r="AE156" s="31">
        <v>45736</v>
      </c>
      <c r="AF156" s="31"/>
      <c r="AG156" s="30" t="s">
        <v>0</v>
      </c>
    </row>
    <row r="157" spans="1:33" x14ac:dyDescent="0.35">
      <c r="A157" s="30" t="s">
        <v>297</v>
      </c>
      <c r="B157" s="30" t="s">
        <v>280</v>
      </c>
      <c r="C157" s="30" t="s">
        <v>281</v>
      </c>
      <c r="D157" s="30" t="s">
        <v>282</v>
      </c>
      <c r="E157" s="30" t="s">
        <v>283</v>
      </c>
      <c r="F157" s="30" t="s">
        <v>336</v>
      </c>
      <c r="G157" s="31">
        <v>45736</v>
      </c>
      <c r="H157" s="30" t="s">
        <v>707</v>
      </c>
      <c r="I157" s="30" t="s">
        <v>360</v>
      </c>
      <c r="J157" s="31">
        <v>45736</v>
      </c>
      <c r="K157" s="31">
        <v>45737</v>
      </c>
      <c r="L157" s="30" t="s">
        <v>354</v>
      </c>
      <c r="M157" s="30" t="s">
        <v>708</v>
      </c>
      <c r="N157" s="30" t="s">
        <v>286</v>
      </c>
      <c r="O157" s="30" t="s">
        <v>287</v>
      </c>
      <c r="P157" s="30" t="s">
        <v>0</v>
      </c>
      <c r="Q157" s="30" t="s">
        <v>352</v>
      </c>
      <c r="R157" s="30" t="s">
        <v>356</v>
      </c>
      <c r="S157" s="36">
        <v>3.52</v>
      </c>
      <c r="T157" s="37" t="s">
        <v>288</v>
      </c>
      <c r="U157" s="36">
        <v>305.14999999999998</v>
      </c>
      <c r="V157" s="30" t="s">
        <v>369</v>
      </c>
      <c r="W157" s="30" t="s">
        <v>289</v>
      </c>
      <c r="X157" s="30" t="s">
        <v>0</v>
      </c>
      <c r="Y157" s="30" t="s">
        <v>354</v>
      </c>
      <c r="Z157" s="30" t="s">
        <v>290</v>
      </c>
      <c r="AA157" s="30" t="s">
        <v>689</v>
      </c>
      <c r="AB157" s="30" t="s">
        <v>0</v>
      </c>
      <c r="AC157" s="30" t="s">
        <v>0</v>
      </c>
      <c r="AD157" s="30" t="s">
        <v>0</v>
      </c>
      <c r="AE157" s="31">
        <v>45736</v>
      </c>
      <c r="AF157" s="31"/>
      <c r="AG157" s="30" t="s">
        <v>0</v>
      </c>
    </row>
    <row r="158" spans="1:33" x14ac:dyDescent="0.35">
      <c r="A158" s="30" t="s">
        <v>297</v>
      </c>
      <c r="B158" s="30" t="s">
        <v>280</v>
      </c>
      <c r="C158" s="30" t="s">
        <v>281</v>
      </c>
      <c r="D158" s="30" t="s">
        <v>282</v>
      </c>
      <c r="E158" s="30" t="s">
        <v>283</v>
      </c>
      <c r="F158" s="30" t="s">
        <v>336</v>
      </c>
      <c r="G158" s="31">
        <v>45736</v>
      </c>
      <c r="H158" s="30" t="s">
        <v>709</v>
      </c>
      <c r="I158" s="30" t="s">
        <v>360</v>
      </c>
      <c r="J158" s="31">
        <v>45736</v>
      </c>
      <c r="K158" s="31">
        <v>45737</v>
      </c>
      <c r="L158" s="30" t="s">
        <v>354</v>
      </c>
      <c r="M158" s="30" t="s">
        <v>710</v>
      </c>
      <c r="N158" s="30" t="s">
        <v>286</v>
      </c>
      <c r="O158" s="30" t="s">
        <v>287</v>
      </c>
      <c r="P158" s="30" t="s">
        <v>0</v>
      </c>
      <c r="Q158" s="30" t="s">
        <v>352</v>
      </c>
      <c r="R158" s="30" t="s">
        <v>356</v>
      </c>
      <c r="S158" s="36">
        <v>1.75</v>
      </c>
      <c r="T158" s="37" t="s">
        <v>288</v>
      </c>
      <c r="U158" s="36">
        <v>151.71</v>
      </c>
      <c r="V158" s="30" t="s">
        <v>369</v>
      </c>
      <c r="W158" s="30" t="s">
        <v>289</v>
      </c>
      <c r="X158" s="30" t="s">
        <v>0</v>
      </c>
      <c r="Y158" s="30" t="s">
        <v>354</v>
      </c>
      <c r="Z158" s="30" t="s">
        <v>290</v>
      </c>
      <c r="AA158" s="30" t="s">
        <v>640</v>
      </c>
      <c r="AB158" s="30" t="s">
        <v>0</v>
      </c>
      <c r="AC158" s="30" t="s">
        <v>0</v>
      </c>
      <c r="AD158" s="30" t="s">
        <v>0</v>
      </c>
      <c r="AE158" s="31">
        <v>45736</v>
      </c>
      <c r="AF158" s="31"/>
      <c r="AG158" s="30" t="s">
        <v>0</v>
      </c>
    </row>
    <row r="159" spans="1:33" x14ac:dyDescent="0.35">
      <c r="A159" s="30" t="s">
        <v>297</v>
      </c>
      <c r="B159" s="30" t="s">
        <v>280</v>
      </c>
      <c r="C159" s="30" t="s">
        <v>281</v>
      </c>
      <c r="D159" s="30" t="s">
        <v>282</v>
      </c>
      <c r="E159" s="30" t="s">
        <v>283</v>
      </c>
      <c r="F159" s="30" t="s">
        <v>336</v>
      </c>
      <c r="G159" s="31">
        <v>45736</v>
      </c>
      <c r="H159" s="30" t="s">
        <v>711</v>
      </c>
      <c r="I159" s="30" t="s">
        <v>360</v>
      </c>
      <c r="J159" s="31">
        <v>45736</v>
      </c>
      <c r="K159" s="31">
        <v>45737</v>
      </c>
      <c r="L159" s="30" t="s">
        <v>354</v>
      </c>
      <c r="M159" s="30" t="s">
        <v>712</v>
      </c>
      <c r="N159" s="30" t="s">
        <v>286</v>
      </c>
      <c r="O159" s="30" t="s">
        <v>287</v>
      </c>
      <c r="P159" s="30" t="s">
        <v>0</v>
      </c>
      <c r="Q159" s="30" t="s">
        <v>352</v>
      </c>
      <c r="R159" s="30" t="s">
        <v>356</v>
      </c>
      <c r="S159" s="36">
        <v>7</v>
      </c>
      <c r="T159" s="37" t="s">
        <v>288</v>
      </c>
      <c r="U159" s="36">
        <v>606.84</v>
      </c>
      <c r="V159" s="30" t="s">
        <v>369</v>
      </c>
      <c r="W159" s="30" t="s">
        <v>289</v>
      </c>
      <c r="X159" s="30" t="s">
        <v>0</v>
      </c>
      <c r="Y159" s="30" t="s">
        <v>354</v>
      </c>
      <c r="Z159" s="30" t="s">
        <v>290</v>
      </c>
      <c r="AA159" s="30" t="s">
        <v>713</v>
      </c>
      <c r="AB159" s="30" t="s">
        <v>0</v>
      </c>
      <c r="AC159" s="30" t="s">
        <v>0</v>
      </c>
      <c r="AD159" s="30" t="s">
        <v>0</v>
      </c>
      <c r="AE159" s="31">
        <v>45736</v>
      </c>
      <c r="AF159" s="31"/>
      <c r="AG159" s="30" t="s">
        <v>0</v>
      </c>
    </row>
    <row r="160" spans="1:33" x14ac:dyDescent="0.35">
      <c r="A160" s="30" t="s">
        <v>297</v>
      </c>
      <c r="B160" s="30" t="s">
        <v>280</v>
      </c>
      <c r="C160" s="30" t="s">
        <v>281</v>
      </c>
      <c r="D160" s="30" t="s">
        <v>282</v>
      </c>
      <c r="E160" s="30" t="s">
        <v>283</v>
      </c>
      <c r="F160" s="30" t="s">
        <v>336</v>
      </c>
      <c r="G160" s="31">
        <v>45736</v>
      </c>
      <c r="H160" s="30" t="s">
        <v>714</v>
      </c>
      <c r="I160" s="30" t="s">
        <v>360</v>
      </c>
      <c r="J160" s="31">
        <v>45736</v>
      </c>
      <c r="K160" s="31">
        <v>45737</v>
      </c>
      <c r="L160" s="30" t="s">
        <v>354</v>
      </c>
      <c r="M160" s="30" t="s">
        <v>715</v>
      </c>
      <c r="N160" s="30" t="s">
        <v>286</v>
      </c>
      <c r="O160" s="30" t="s">
        <v>287</v>
      </c>
      <c r="P160" s="30" t="s">
        <v>0</v>
      </c>
      <c r="Q160" s="30" t="s">
        <v>352</v>
      </c>
      <c r="R160" s="30" t="s">
        <v>356</v>
      </c>
      <c r="S160" s="36">
        <v>9.9</v>
      </c>
      <c r="T160" s="37" t="s">
        <v>288</v>
      </c>
      <c r="U160" s="36">
        <v>858.24</v>
      </c>
      <c r="V160" s="30" t="s">
        <v>369</v>
      </c>
      <c r="W160" s="30" t="s">
        <v>289</v>
      </c>
      <c r="X160" s="30" t="s">
        <v>0</v>
      </c>
      <c r="Y160" s="30" t="s">
        <v>354</v>
      </c>
      <c r="Z160" s="30" t="s">
        <v>290</v>
      </c>
      <c r="AA160" s="30" t="s">
        <v>716</v>
      </c>
      <c r="AB160" s="30" t="s">
        <v>0</v>
      </c>
      <c r="AC160" s="30" t="s">
        <v>0</v>
      </c>
      <c r="AD160" s="30" t="s">
        <v>0</v>
      </c>
      <c r="AE160" s="31">
        <v>45736</v>
      </c>
      <c r="AF160" s="31"/>
      <c r="AG160" s="30" t="s">
        <v>0</v>
      </c>
    </row>
    <row r="161" spans="1:33" x14ac:dyDescent="0.35">
      <c r="A161" s="30" t="s">
        <v>297</v>
      </c>
      <c r="B161" s="30" t="s">
        <v>280</v>
      </c>
      <c r="C161" s="30" t="s">
        <v>281</v>
      </c>
      <c r="D161" s="30" t="s">
        <v>282</v>
      </c>
      <c r="E161" s="30" t="s">
        <v>283</v>
      </c>
      <c r="F161" s="30" t="s">
        <v>336</v>
      </c>
      <c r="G161" s="31">
        <v>45736</v>
      </c>
      <c r="H161" s="30" t="s">
        <v>717</v>
      </c>
      <c r="I161" s="30" t="s">
        <v>360</v>
      </c>
      <c r="J161" s="31">
        <v>45736</v>
      </c>
      <c r="K161" s="31">
        <v>45737</v>
      </c>
      <c r="L161" s="30" t="s">
        <v>354</v>
      </c>
      <c r="M161" s="30" t="s">
        <v>718</v>
      </c>
      <c r="N161" s="30" t="s">
        <v>286</v>
      </c>
      <c r="O161" s="30" t="s">
        <v>287</v>
      </c>
      <c r="P161" s="30" t="s">
        <v>0</v>
      </c>
      <c r="Q161" s="30" t="s">
        <v>352</v>
      </c>
      <c r="R161" s="30" t="s">
        <v>356</v>
      </c>
      <c r="S161" s="36">
        <v>50.75</v>
      </c>
      <c r="T161" s="37" t="s">
        <v>288</v>
      </c>
      <c r="U161" s="36">
        <v>4399.58</v>
      </c>
      <c r="V161" s="30" t="s">
        <v>369</v>
      </c>
      <c r="W161" s="30" t="s">
        <v>289</v>
      </c>
      <c r="X161" s="30" t="s">
        <v>0</v>
      </c>
      <c r="Y161" s="30" t="s">
        <v>354</v>
      </c>
      <c r="Z161" s="30" t="s">
        <v>290</v>
      </c>
      <c r="AA161" s="30" t="s">
        <v>719</v>
      </c>
      <c r="AB161" s="30" t="s">
        <v>0</v>
      </c>
      <c r="AC161" s="30" t="s">
        <v>0</v>
      </c>
      <c r="AD161" s="30" t="s">
        <v>0</v>
      </c>
      <c r="AE161" s="31">
        <v>45736</v>
      </c>
      <c r="AF161" s="31"/>
      <c r="AG161" s="30" t="s">
        <v>0</v>
      </c>
    </row>
    <row r="162" spans="1:33" x14ac:dyDescent="0.35">
      <c r="A162" s="30" t="s">
        <v>297</v>
      </c>
      <c r="B162" s="30" t="s">
        <v>280</v>
      </c>
      <c r="C162" s="30" t="s">
        <v>281</v>
      </c>
      <c r="D162" s="30" t="s">
        <v>282</v>
      </c>
      <c r="E162" s="30" t="s">
        <v>283</v>
      </c>
      <c r="F162" s="30" t="s">
        <v>336</v>
      </c>
      <c r="G162" s="31">
        <v>45736</v>
      </c>
      <c r="H162" s="30" t="s">
        <v>720</v>
      </c>
      <c r="I162" s="30" t="s">
        <v>360</v>
      </c>
      <c r="J162" s="31">
        <v>45736</v>
      </c>
      <c r="K162" s="31">
        <v>45737</v>
      </c>
      <c r="L162" s="30" t="s">
        <v>354</v>
      </c>
      <c r="M162" s="30" t="s">
        <v>721</v>
      </c>
      <c r="N162" s="30" t="s">
        <v>286</v>
      </c>
      <c r="O162" s="30" t="s">
        <v>287</v>
      </c>
      <c r="P162" s="30" t="s">
        <v>0</v>
      </c>
      <c r="Q162" s="30" t="s">
        <v>352</v>
      </c>
      <c r="R162" s="30" t="s">
        <v>356</v>
      </c>
      <c r="S162" s="36">
        <v>60</v>
      </c>
      <c r="T162" s="37" t="s">
        <v>288</v>
      </c>
      <c r="U162" s="36">
        <v>5201.4799999999996</v>
      </c>
      <c r="V162" s="30" t="s">
        <v>369</v>
      </c>
      <c r="W162" s="30" t="s">
        <v>289</v>
      </c>
      <c r="X162" s="30" t="s">
        <v>0</v>
      </c>
      <c r="Y162" s="30" t="s">
        <v>354</v>
      </c>
      <c r="Z162" s="30" t="s">
        <v>290</v>
      </c>
      <c r="AA162" s="30" t="s">
        <v>722</v>
      </c>
      <c r="AB162" s="30" t="s">
        <v>0</v>
      </c>
      <c r="AC162" s="30" t="s">
        <v>0</v>
      </c>
      <c r="AD162" s="30" t="s">
        <v>0</v>
      </c>
      <c r="AE162" s="31">
        <v>45736</v>
      </c>
      <c r="AF162" s="31"/>
      <c r="AG162" s="30" t="s">
        <v>0</v>
      </c>
    </row>
    <row r="163" spans="1:33" x14ac:dyDescent="0.35">
      <c r="A163" s="30" t="s">
        <v>297</v>
      </c>
      <c r="B163" s="30" t="s">
        <v>280</v>
      </c>
      <c r="C163" s="30" t="s">
        <v>281</v>
      </c>
      <c r="D163" s="30" t="s">
        <v>282</v>
      </c>
      <c r="E163" s="30" t="s">
        <v>283</v>
      </c>
      <c r="F163" s="30" t="s">
        <v>296</v>
      </c>
      <c r="G163" s="31">
        <v>45708</v>
      </c>
      <c r="H163" s="30" t="s">
        <v>723</v>
      </c>
      <c r="I163" s="30" t="s">
        <v>360</v>
      </c>
      <c r="J163" s="31">
        <v>45708</v>
      </c>
      <c r="K163" s="31">
        <v>45708</v>
      </c>
      <c r="L163" s="30" t="s">
        <v>354</v>
      </c>
      <c r="M163" s="30" t="s">
        <v>724</v>
      </c>
      <c r="N163" s="30" t="s">
        <v>286</v>
      </c>
      <c r="O163" s="30" t="s">
        <v>287</v>
      </c>
      <c r="P163" s="30" t="s">
        <v>0</v>
      </c>
      <c r="Q163" s="30" t="s">
        <v>352</v>
      </c>
      <c r="R163" s="30" t="s">
        <v>356</v>
      </c>
      <c r="S163" s="36">
        <v>1800</v>
      </c>
      <c r="T163" s="37" t="s">
        <v>288</v>
      </c>
      <c r="U163" s="36">
        <v>155346.59</v>
      </c>
      <c r="V163" s="30" t="s">
        <v>369</v>
      </c>
      <c r="W163" s="30" t="s">
        <v>289</v>
      </c>
      <c r="X163" s="30" t="s">
        <v>0</v>
      </c>
      <c r="Y163" s="30" t="s">
        <v>354</v>
      </c>
      <c r="Z163" s="30" t="s">
        <v>290</v>
      </c>
      <c r="AA163" s="30" t="s">
        <v>725</v>
      </c>
      <c r="AB163" s="30" t="s">
        <v>0</v>
      </c>
      <c r="AC163" s="30" t="s">
        <v>0</v>
      </c>
      <c r="AD163" s="30" t="s">
        <v>0</v>
      </c>
      <c r="AE163" s="31">
        <v>45708</v>
      </c>
      <c r="AF163" s="31"/>
      <c r="AG163" s="30" t="s">
        <v>0</v>
      </c>
    </row>
    <row r="164" spans="1:33" x14ac:dyDescent="0.35">
      <c r="A164" s="30" t="s">
        <v>297</v>
      </c>
      <c r="B164" s="30" t="s">
        <v>280</v>
      </c>
      <c r="C164" s="30" t="s">
        <v>281</v>
      </c>
      <c r="D164" s="30" t="s">
        <v>282</v>
      </c>
      <c r="E164" s="30" t="s">
        <v>283</v>
      </c>
      <c r="F164" s="30" t="s">
        <v>296</v>
      </c>
      <c r="G164" s="31">
        <v>45708</v>
      </c>
      <c r="H164" s="30" t="s">
        <v>726</v>
      </c>
      <c r="I164" s="30" t="s">
        <v>360</v>
      </c>
      <c r="J164" s="31">
        <v>45708</v>
      </c>
      <c r="K164" s="31">
        <v>45708</v>
      </c>
      <c r="L164" s="30" t="s">
        <v>354</v>
      </c>
      <c r="M164" s="30" t="s">
        <v>727</v>
      </c>
      <c r="N164" s="30" t="s">
        <v>286</v>
      </c>
      <c r="O164" s="30" t="s">
        <v>287</v>
      </c>
      <c r="P164" s="30" t="s">
        <v>0</v>
      </c>
      <c r="Q164" s="30" t="s">
        <v>352</v>
      </c>
      <c r="R164" s="30" t="s">
        <v>356</v>
      </c>
      <c r="S164" s="36">
        <v>1800</v>
      </c>
      <c r="T164" s="37" t="s">
        <v>288</v>
      </c>
      <c r="U164" s="36">
        <v>155346.59</v>
      </c>
      <c r="V164" s="30" t="s">
        <v>369</v>
      </c>
      <c r="W164" s="30" t="s">
        <v>289</v>
      </c>
      <c r="X164" s="30" t="s">
        <v>0</v>
      </c>
      <c r="Y164" s="30" t="s">
        <v>354</v>
      </c>
      <c r="Z164" s="30" t="s">
        <v>290</v>
      </c>
      <c r="AA164" s="30" t="s">
        <v>728</v>
      </c>
      <c r="AB164" s="30" t="s">
        <v>0</v>
      </c>
      <c r="AC164" s="30" t="s">
        <v>0</v>
      </c>
      <c r="AD164" s="30" t="s">
        <v>0</v>
      </c>
      <c r="AE164" s="31">
        <v>45708</v>
      </c>
      <c r="AF164" s="31"/>
      <c r="AG164" s="30" t="s">
        <v>0</v>
      </c>
    </row>
    <row r="165" spans="1:33" x14ac:dyDescent="0.35">
      <c r="A165" s="30" t="s">
        <v>297</v>
      </c>
      <c r="B165" s="30" t="s">
        <v>280</v>
      </c>
      <c r="C165" s="30" t="s">
        <v>281</v>
      </c>
      <c r="D165" s="30" t="s">
        <v>282</v>
      </c>
      <c r="E165" s="30" t="s">
        <v>283</v>
      </c>
      <c r="F165" s="30" t="s">
        <v>296</v>
      </c>
      <c r="G165" s="31">
        <v>45708</v>
      </c>
      <c r="H165" s="30" t="s">
        <v>729</v>
      </c>
      <c r="I165" s="30" t="s">
        <v>360</v>
      </c>
      <c r="J165" s="31">
        <v>45708</v>
      </c>
      <c r="K165" s="31">
        <v>45708</v>
      </c>
      <c r="L165" s="30" t="s">
        <v>354</v>
      </c>
      <c r="M165" s="30" t="s">
        <v>730</v>
      </c>
      <c r="N165" s="30" t="s">
        <v>286</v>
      </c>
      <c r="O165" s="30" t="s">
        <v>287</v>
      </c>
      <c r="P165" s="30" t="s">
        <v>0</v>
      </c>
      <c r="Q165" s="30" t="s">
        <v>352</v>
      </c>
      <c r="R165" s="30" t="s">
        <v>356</v>
      </c>
      <c r="S165" s="36">
        <v>1800</v>
      </c>
      <c r="T165" s="37" t="s">
        <v>288</v>
      </c>
      <c r="U165" s="36">
        <v>155346.59</v>
      </c>
      <c r="V165" s="30" t="s">
        <v>369</v>
      </c>
      <c r="W165" s="30" t="s">
        <v>289</v>
      </c>
      <c r="X165" s="30" t="s">
        <v>0</v>
      </c>
      <c r="Y165" s="30" t="s">
        <v>354</v>
      </c>
      <c r="Z165" s="30" t="s">
        <v>290</v>
      </c>
      <c r="AA165" s="30" t="s">
        <v>731</v>
      </c>
      <c r="AB165" s="30" t="s">
        <v>0</v>
      </c>
      <c r="AC165" s="30" t="s">
        <v>0</v>
      </c>
      <c r="AD165" s="30" t="s">
        <v>0</v>
      </c>
      <c r="AE165" s="31">
        <v>45708</v>
      </c>
      <c r="AF165" s="31"/>
      <c r="AG165" s="30" t="s">
        <v>0</v>
      </c>
    </row>
    <row r="166" spans="1:33" x14ac:dyDescent="0.35">
      <c r="A166" s="30" t="s">
        <v>297</v>
      </c>
      <c r="B166" s="30" t="s">
        <v>280</v>
      </c>
      <c r="C166" s="30" t="s">
        <v>281</v>
      </c>
      <c r="D166" s="30" t="s">
        <v>282</v>
      </c>
      <c r="E166" s="30" t="s">
        <v>283</v>
      </c>
      <c r="F166" s="30" t="s">
        <v>296</v>
      </c>
      <c r="G166" s="31">
        <v>45708</v>
      </c>
      <c r="H166" s="30" t="s">
        <v>732</v>
      </c>
      <c r="I166" s="30" t="s">
        <v>360</v>
      </c>
      <c r="J166" s="31">
        <v>45708</v>
      </c>
      <c r="K166" s="31">
        <v>45708</v>
      </c>
      <c r="L166" s="30" t="s">
        <v>354</v>
      </c>
      <c r="M166" s="30" t="s">
        <v>733</v>
      </c>
      <c r="N166" s="30" t="s">
        <v>286</v>
      </c>
      <c r="O166" s="30" t="s">
        <v>287</v>
      </c>
      <c r="P166" s="30" t="s">
        <v>0</v>
      </c>
      <c r="Q166" s="30" t="s">
        <v>352</v>
      </c>
      <c r="R166" s="30" t="s">
        <v>356</v>
      </c>
      <c r="S166" s="36">
        <v>1800</v>
      </c>
      <c r="T166" s="37" t="s">
        <v>288</v>
      </c>
      <c r="U166" s="36">
        <v>155346.59</v>
      </c>
      <c r="V166" s="30" t="s">
        <v>369</v>
      </c>
      <c r="W166" s="30" t="s">
        <v>289</v>
      </c>
      <c r="X166" s="30" t="s">
        <v>0</v>
      </c>
      <c r="Y166" s="30" t="s">
        <v>354</v>
      </c>
      <c r="Z166" s="30" t="s">
        <v>290</v>
      </c>
      <c r="AA166" s="30" t="s">
        <v>734</v>
      </c>
      <c r="AB166" s="30" t="s">
        <v>0</v>
      </c>
      <c r="AC166" s="30" t="s">
        <v>0</v>
      </c>
      <c r="AD166" s="30" t="s">
        <v>0</v>
      </c>
      <c r="AE166" s="31">
        <v>45708</v>
      </c>
      <c r="AF166" s="31"/>
      <c r="AG166" s="30" t="s">
        <v>0</v>
      </c>
    </row>
    <row r="167" spans="1:33" x14ac:dyDescent="0.35">
      <c r="A167" s="30" t="s">
        <v>297</v>
      </c>
      <c r="B167" s="30" t="s">
        <v>280</v>
      </c>
      <c r="C167" s="30" t="s">
        <v>281</v>
      </c>
      <c r="D167" s="30" t="s">
        <v>282</v>
      </c>
      <c r="E167" s="30" t="s">
        <v>283</v>
      </c>
      <c r="F167" s="30" t="s">
        <v>296</v>
      </c>
      <c r="G167" s="31">
        <v>45708</v>
      </c>
      <c r="H167" s="30" t="s">
        <v>735</v>
      </c>
      <c r="I167" s="30" t="s">
        <v>360</v>
      </c>
      <c r="J167" s="31">
        <v>45708</v>
      </c>
      <c r="K167" s="31">
        <v>45708</v>
      </c>
      <c r="L167" s="30" t="s">
        <v>354</v>
      </c>
      <c r="M167" s="30" t="s">
        <v>736</v>
      </c>
      <c r="N167" s="30" t="s">
        <v>286</v>
      </c>
      <c r="O167" s="30" t="s">
        <v>287</v>
      </c>
      <c r="P167" s="30" t="s">
        <v>0</v>
      </c>
      <c r="Q167" s="30" t="s">
        <v>352</v>
      </c>
      <c r="R167" s="30" t="s">
        <v>356</v>
      </c>
      <c r="S167" s="36">
        <v>1800</v>
      </c>
      <c r="T167" s="37" t="s">
        <v>288</v>
      </c>
      <c r="U167" s="36">
        <v>155346.59</v>
      </c>
      <c r="V167" s="30" t="s">
        <v>369</v>
      </c>
      <c r="W167" s="30" t="s">
        <v>289</v>
      </c>
      <c r="X167" s="30" t="s">
        <v>0</v>
      </c>
      <c r="Y167" s="30" t="s">
        <v>354</v>
      </c>
      <c r="Z167" s="30" t="s">
        <v>290</v>
      </c>
      <c r="AA167" s="30" t="s">
        <v>737</v>
      </c>
      <c r="AB167" s="30" t="s">
        <v>0</v>
      </c>
      <c r="AC167" s="30" t="s">
        <v>0</v>
      </c>
      <c r="AD167" s="30" t="s">
        <v>0</v>
      </c>
      <c r="AE167" s="31">
        <v>45708</v>
      </c>
      <c r="AF167" s="31"/>
      <c r="AG167" s="30" t="s">
        <v>0</v>
      </c>
    </row>
    <row r="168" spans="1:33" x14ac:dyDescent="0.35">
      <c r="A168" s="30" t="s">
        <v>297</v>
      </c>
      <c r="B168" s="30" t="s">
        <v>280</v>
      </c>
      <c r="C168" s="30" t="s">
        <v>281</v>
      </c>
      <c r="D168" s="30" t="s">
        <v>282</v>
      </c>
      <c r="E168" s="30" t="s">
        <v>283</v>
      </c>
      <c r="F168" s="30" t="s">
        <v>296</v>
      </c>
      <c r="G168" s="31">
        <v>45708</v>
      </c>
      <c r="H168" s="30" t="s">
        <v>738</v>
      </c>
      <c r="I168" s="30" t="s">
        <v>360</v>
      </c>
      <c r="J168" s="31">
        <v>45708</v>
      </c>
      <c r="K168" s="31">
        <v>45709</v>
      </c>
      <c r="L168" s="30" t="s">
        <v>354</v>
      </c>
      <c r="M168" s="30" t="s">
        <v>739</v>
      </c>
      <c r="N168" s="30" t="s">
        <v>286</v>
      </c>
      <c r="O168" s="30" t="s">
        <v>287</v>
      </c>
      <c r="P168" s="30" t="s">
        <v>0</v>
      </c>
      <c r="Q168" s="30" t="s">
        <v>352</v>
      </c>
      <c r="R168" s="30" t="s">
        <v>356</v>
      </c>
      <c r="S168" s="36">
        <v>1800</v>
      </c>
      <c r="T168" s="37" t="s">
        <v>288</v>
      </c>
      <c r="U168" s="36">
        <v>155346.59</v>
      </c>
      <c r="V168" s="30" t="s">
        <v>369</v>
      </c>
      <c r="W168" s="30" t="s">
        <v>289</v>
      </c>
      <c r="X168" s="30" t="s">
        <v>0</v>
      </c>
      <c r="Y168" s="30" t="s">
        <v>354</v>
      </c>
      <c r="Z168" s="30" t="s">
        <v>290</v>
      </c>
      <c r="AA168" s="30" t="s">
        <v>740</v>
      </c>
      <c r="AB168" s="30" t="s">
        <v>0</v>
      </c>
      <c r="AC168" s="30" t="s">
        <v>0</v>
      </c>
      <c r="AD168" s="30" t="s">
        <v>0</v>
      </c>
      <c r="AE168" s="31">
        <v>45708</v>
      </c>
      <c r="AF168" s="31"/>
      <c r="AG168" s="30" t="s">
        <v>0</v>
      </c>
    </row>
    <row r="169" spans="1:33" x14ac:dyDescent="0.35">
      <c r="A169" s="30" t="s">
        <v>297</v>
      </c>
      <c r="B169" s="30" t="s">
        <v>280</v>
      </c>
      <c r="C169" s="30" t="s">
        <v>281</v>
      </c>
      <c r="D169" s="30" t="s">
        <v>282</v>
      </c>
      <c r="E169" s="30" t="s">
        <v>283</v>
      </c>
      <c r="F169" s="30" t="s">
        <v>54</v>
      </c>
      <c r="G169" s="31">
        <v>45889</v>
      </c>
      <c r="H169" s="30" t="s">
        <v>741</v>
      </c>
      <c r="I169" s="30" t="s">
        <v>360</v>
      </c>
      <c r="J169" s="31">
        <v>45889</v>
      </c>
      <c r="K169" s="31">
        <v>45891</v>
      </c>
      <c r="L169" s="30" t="s">
        <v>354</v>
      </c>
      <c r="M169" s="30" t="s">
        <v>742</v>
      </c>
      <c r="N169" s="30" t="s">
        <v>286</v>
      </c>
      <c r="O169" s="30" t="s">
        <v>287</v>
      </c>
      <c r="P169" s="30" t="s">
        <v>0</v>
      </c>
      <c r="Q169" s="30" t="s">
        <v>352</v>
      </c>
      <c r="R169" s="30" t="s">
        <v>356</v>
      </c>
      <c r="S169" s="36">
        <v>17.75</v>
      </c>
      <c r="T169" s="37" t="s">
        <v>288</v>
      </c>
      <c r="U169" s="36">
        <v>1527.03</v>
      </c>
      <c r="V169" s="30" t="s">
        <v>369</v>
      </c>
      <c r="W169" s="30" t="s">
        <v>289</v>
      </c>
      <c r="X169" s="30" t="s">
        <v>0</v>
      </c>
      <c r="Y169" s="30" t="s">
        <v>354</v>
      </c>
      <c r="Z169" s="30" t="s">
        <v>290</v>
      </c>
      <c r="AA169" s="30" t="s">
        <v>743</v>
      </c>
      <c r="AB169" s="30" t="s">
        <v>0</v>
      </c>
      <c r="AC169" s="30" t="s">
        <v>0</v>
      </c>
      <c r="AD169" s="30" t="s">
        <v>0</v>
      </c>
      <c r="AE169" s="31">
        <v>45889</v>
      </c>
      <c r="AF169" s="31"/>
      <c r="AG169" s="30" t="s">
        <v>0</v>
      </c>
    </row>
    <row r="170" spans="1:33" x14ac:dyDescent="0.35">
      <c r="A170" s="30" t="s">
        <v>297</v>
      </c>
      <c r="B170" s="30" t="s">
        <v>280</v>
      </c>
      <c r="C170" s="30" t="s">
        <v>281</v>
      </c>
      <c r="D170" s="30" t="s">
        <v>282</v>
      </c>
      <c r="E170" s="30" t="s">
        <v>283</v>
      </c>
      <c r="F170" s="30" t="s">
        <v>54</v>
      </c>
      <c r="G170" s="31">
        <v>45889</v>
      </c>
      <c r="H170" s="30" t="s">
        <v>744</v>
      </c>
      <c r="I170" s="30" t="s">
        <v>360</v>
      </c>
      <c r="J170" s="31">
        <v>45889</v>
      </c>
      <c r="K170" s="31">
        <v>45891</v>
      </c>
      <c r="L170" s="30" t="s">
        <v>354</v>
      </c>
      <c r="M170" s="30" t="s">
        <v>745</v>
      </c>
      <c r="N170" s="30" t="s">
        <v>286</v>
      </c>
      <c r="O170" s="30" t="s">
        <v>287</v>
      </c>
      <c r="P170" s="30" t="s">
        <v>0</v>
      </c>
      <c r="Q170" s="30" t="s">
        <v>352</v>
      </c>
      <c r="R170" s="30" t="s">
        <v>356</v>
      </c>
      <c r="S170" s="36">
        <v>50.05</v>
      </c>
      <c r="T170" s="37" t="s">
        <v>288</v>
      </c>
      <c r="U170" s="36">
        <v>4305.8100000000004</v>
      </c>
      <c r="V170" s="30" t="s">
        <v>369</v>
      </c>
      <c r="W170" s="30" t="s">
        <v>289</v>
      </c>
      <c r="X170" s="30" t="s">
        <v>0</v>
      </c>
      <c r="Y170" s="30" t="s">
        <v>354</v>
      </c>
      <c r="Z170" s="30" t="s">
        <v>290</v>
      </c>
      <c r="AA170" s="30" t="s">
        <v>746</v>
      </c>
      <c r="AB170" s="30" t="s">
        <v>0</v>
      </c>
      <c r="AC170" s="30" t="s">
        <v>0</v>
      </c>
      <c r="AD170" s="30" t="s">
        <v>0</v>
      </c>
      <c r="AE170" s="31">
        <v>45889</v>
      </c>
      <c r="AF170" s="31"/>
      <c r="AG170" s="30" t="s">
        <v>0</v>
      </c>
    </row>
    <row r="171" spans="1:33" x14ac:dyDescent="0.35">
      <c r="A171" s="30" t="s">
        <v>297</v>
      </c>
      <c r="B171" s="30" t="s">
        <v>280</v>
      </c>
      <c r="C171" s="30" t="s">
        <v>281</v>
      </c>
      <c r="D171" s="30" t="s">
        <v>282</v>
      </c>
      <c r="E171" s="30" t="s">
        <v>283</v>
      </c>
      <c r="F171" s="30" t="s">
        <v>59</v>
      </c>
      <c r="G171" s="31">
        <v>45999</v>
      </c>
      <c r="H171" s="30" t="s">
        <v>747</v>
      </c>
      <c r="I171" s="30" t="s">
        <v>360</v>
      </c>
      <c r="J171" s="31">
        <v>45999</v>
      </c>
      <c r="K171" s="31">
        <v>46000</v>
      </c>
      <c r="L171" s="30" t="s">
        <v>354</v>
      </c>
      <c r="M171" s="30" t="s">
        <v>748</v>
      </c>
      <c r="N171" s="30" t="s">
        <v>286</v>
      </c>
      <c r="O171" s="30" t="s">
        <v>287</v>
      </c>
      <c r="P171" s="30" t="s">
        <v>0</v>
      </c>
      <c r="Q171" s="30" t="s">
        <v>352</v>
      </c>
      <c r="R171" s="30" t="s">
        <v>356</v>
      </c>
      <c r="S171" s="36">
        <v>42.73</v>
      </c>
      <c r="T171" s="37" t="s">
        <v>288</v>
      </c>
      <c r="U171" s="36">
        <v>3790.16</v>
      </c>
      <c r="V171" s="30" t="s">
        <v>369</v>
      </c>
      <c r="W171" s="30" t="s">
        <v>289</v>
      </c>
      <c r="X171" s="30" t="s">
        <v>0</v>
      </c>
      <c r="Y171" s="30" t="s">
        <v>749</v>
      </c>
      <c r="Z171" s="30" t="s">
        <v>290</v>
      </c>
      <c r="AA171" s="30" t="s">
        <v>750</v>
      </c>
      <c r="AB171" s="30" t="s">
        <v>0</v>
      </c>
      <c r="AC171" s="30" t="s">
        <v>0</v>
      </c>
      <c r="AD171" s="30" t="s">
        <v>0</v>
      </c>
      <c r="AE171" s="31">
        <v>45999</v>
      </c>
      <c r="AF171" s="31"/>
      <c r="AG171" s="30" t="s">
        <v>0</v>
      </c>
    </row>
    <row r="172" spans="1:33" x14ac:dyDescent="0.35">
      <c r="A172" s="30" t="s">
        <v>297</v>
      </c>
      <c r="B172" s="30" t="s">
        <v>280</v>
      </c>
      <c r="C172" s="30" t="s">
        <v>281</v>
      </c>
      <c r="D172" s="30" t="s">
        <v>282</v>
      </c>
      <c r="E172" s="30" t="s">
        <v>283</v>
      </c>
      <c r="F172" s="30" t="s">
        <v>56</v>
      </c>
      <c r="G172" s="31">
        <v>45958</v>
      </c>
      <c r="H172" s="30" t="s">
        <v>751</v>
      </c>
      <c r="I172" s="30" t="s">
        <v>360</v>
      </c>
      <c r="J172" s="31">
        <v>45958</v>
      </c>
      <c r="K172" s="31">
        <v>45958</v>
      </c>
      <c r="L172" s="30" t="s">
        <v>354</v>
      </c>
      <c r="M172" s="30" t="s">
        <v>752</v>
      </c>
      <c r="N172" s="30" t="s">
        <v>286</v>
      </c>
      <c r="O172" s="30" t="s">
        <v>287</v>
      </c>
      <c r="P172" s="30" t="s">
        <v>0</v>
      </c>
      <c r="Q172" s="30" t="s">
        <v>352</v>
      </c>
      <c r="R172" s="30" t="s">
        <v>356</v>
      </c>
      <c r="S172" s="36">
        <v>246.92</v>
      </c>
      <c r="T172" s="37" t="s">
        <v>288</v>
      </c>
      <c r="U172" s="36">
        <v>21776.06</v>
      </c>
      <c r="V172" s="30" t="s">
        <v>369</v>
      </c>
      <c r="W172" s="30" t="s">
        <v>289</v>
      </c>
      <c r="X172" s="30" t="s">
        <v>0</v>
      </c>
      <c r="Y172" s="30" t="s">
        <v>354</v>
      </c>
      <c r="Z172" s="30" t="s">
        <v>290</v>
      </c>
      <c r="AA172" s="30" t="s">
        <v>753</v>
      </c>
      <c r="AB172" s="30" t="s">
        <v>0</v>
      </c>
      <c r="AC172" s="30" t="s">
        <v>0</v>
      </c>
      <c r="AD172" s="30" t="s">
        <v>0</v>
      </c>
      <c r="AE172" s="31">
        <v>45958</v>
      </c>
      <c r="AF172" s="31"/>
      <c r="AG172" s="30" t="s">
        <v>0</v>
      </c>
    </row>
    <row r="173" spans="1:33" x14ac:dyDescent="0.35">
      <c r="A173" s="30" t="s">
        <v>279</v>
      </c>
      <c r="B173" s="30" t="s">
        <v>280</v>
      </c>
      <c r="C173" s="30" t="s">
        <v>281</v>
      </c>
      <c r="D173" s="30" t="s">
        <v>282</v>
      </c>
      <c r="E173" s="30" t="s">
        <v>283</v>
      </c>
      <c r="F173" s="30" t="s">
        <v>296</v>
      </c>
      <c r="G173" s="31">
        <v>45707</v>
      </c>
      <c r="H173" s="30" t="s">
        <v>754</v>
      </c>
      <c r="I173" s="30" t="s">
        <v>360</v>
      </c>
      <c r="J173" s="31">
        <v>45707</v>
      </c>
      <c r="K173" s="31">
        <v>45708</v>
      </c>
      <c r="L173" s="30" t="s">
        <v>354</v>
      </c>
      <c r="M173" s="30" t="s">
        <v>755</v>
      </c>
      <c r="N173" s="30" t="s">
        <v>286</v>
      </c>
      <c r="O173" s="30" t="s">
        <v>287</v>
      </c>
      <c r="P173" s="30" t="s">
        <v>0</v>
      </c>
      <c r="Q173" s="30" t="s">
        <v>352</v>
      </c>
      <c r="R173" s="30" t="s">
        <v>356</v>
      </c>
      <c r="S173" s="36">
        <v>1800</v>
      </c>
      <c r="T173" s="37" t="s">
        <v>288</v>
      </c>
      <c r="U173" s="36">
        <v>155346.59</v>
      </c>
      <c r="V173" s="30" t="s">
        <v>369</v>
      </c>
      <c r="W173" s="30" t="s">
        <v>289</v>
      </c>
      <c r="X173" s="30" t="s">
        <v>0</v>
      </c>
      <c r="Y173" s="30" t="s">
        <v>354</v>
      </c>
      <c r="Z173" s="30" t="s">
        <v>290</v>
      </c>
      <c r="AA173" s="30" t="s">
        <v>756</v>
      </c>
      <c r="AB173" s="30" t="s">
        <v>0</v>
      </c>
      <c r="AC173" s="30" t="s">
        <v>0</v>
      </c>
      <c r="AD173" s="30" t="s">
        <v>0</v>
      </c>
      <c r="AE173" s="31">
        <v>45707</v>
      </c>
      <c r="AF173" s="31">
        <v>45796</v>
      </c>
      <c r="AG173" s="30" t="s">
        <v>334</v>
      </c>
    </row>
    <row r="174" spans="1:33" x14ac:dyDescent="0.35">
      <c r="A174" s="30" t="s">
        <v>297</v>
      </c>
      <c r="B174" s="30" t="s">
        <v>280</v>
      </c>
      <c r="C174" s="30" t="s">
        <v>281</v>
      </c>
      <c r="D174" s="30" t="s">
        <v>282</v>
      </c>
      <c r="E174" s="30" t="s">
        <v>283</v>
      </c>
      <c r="F174" s="30" t="s">
        <v>52</v>
      </c>
      <c r="G174" s="31">
        <v>45821</v>
      </c>
      <c r="H174" s="30" t="s">
        <v>757</v>
      </c>
      <c r="I174" s="30" t="s">
        <v>360</v>
      </c>
      <c r="J174" s="31">
        <v>45821</v>
      </c>
      <c r="K174" s="31">
        <v>45825</v>
      </c>
      <c r="L174" s="30" t="s">
        <v>354</v>
      </c>
      <c r="M174" s="30" t="s">
        <v>758</v>
      </c>
      <c r="N174" s="30" t="s">
        <v>286</v>
      </c>
      <c r="O174" s="30" t="s">
        <v>287</v>
      </c>
      <c r="P174" s="30" t="s">
        <v>0</v>
      </c>
      <c r="Q174" s="30" t="s">
        <v>352</v>
      </c>
      <c r="R174" s="30" t="s">
        <v>356</v>
      </c>
      <c r="S174" s="36">
        <v>465</v>
      </c>
      <c r="T174" s="37" t="s">
        <v>288</v>
      </c>
      <c r="U174" s="36">
        <v>39753.21</v>
      </c>
      <c r="V174" s="30" t="s">
        <v>369</v>
      </c>
      <c r="W174" s="30" t="s">
        <v>289</v>
      </c>
      <c r="X174" s="30" t="s">
        <v>0</v>
      </c>
      <c r="Y174" s="30" t="s">
        <v>354</v>
      </c>
      <c r="Z174" s="30" t="s">
        <v>290</v>
      </c>
      <c r="AA174" s="30" t="s">
        <v>759</v>
      </c>
      <c r="AB174" s="30" t="s">
        <v>0</v>
      </c>
      <c r="AC174" s="30" t="s">
        <v>0</v>
      </c>
      <c r="AD174" s="30" t="s">
        <v>0</v>
      </c>
      <c r="AE174" s="31">
        <v>45821</v>
      </c>
      <c r="AF174" s="31"/>
      <c r="AG174" s="30" t="s">
        <v>0</v>
      </c>
    </row>
    <row r="175" spans="1:33" x14ac:dyDescent="0.35">
      <c r="A175" s="30" t="s">
        <v>297</v>
      </c>
      <c r="B175" s="30" t="s">
        <v>280</v>
      </c>
      <c r="C175" s="30" t="s">
        <v>281</v>
      </c>
      <c r="D175" s="30" t="s">
        <v>282</v>
      </c>
      <c r="E175" s="30" t="s">
        <v>283</v>
      </c>
      <c r="F175" s="30" t="s">
        <v>51</v>
      </c>
      <c r="G175" s="31">
        <v>45797</v>
      </c>
      <c r="H175" s="30" t="s">
        <v>760</v>
      </c>
      <c r="I175" s="30" t="s">
        <v>360</v>
      </c>
      <c r="J175" s="31">
        <v>45797</v>
      </c>
      <c r="K175" s="31">
        <v>45805</v>
      </c>
      <c r="L175" s="30" t="s">
        <v>354</v>
      </c>
      <c r="M175" s="30" t="s">
        <v>761</v>
      </c>
      <c r="N175" s="30" t="s">
        <v>286</v>
      </c>
      <c r="O175" s="30" t="s">
        <v>287</v>
      </c>
      <c r="P175" s="30" t="s">
        <v>0</v>
      </c>
      <c r="Q175" s="30" t="s">
        <v>352</v>
      </c>
      <c r="R175" s="30" t="s">
        <v>356</v>
      </c>
      <c r="S175" s="36">
        <v>88.75</v>
      </c>
      <c r="T175" s="37" t="s">
        <v>288</v>
      </c>
      <c r="U175" s="36">
        <v>7631.05</v>
      </c>
      <c r="V175" s="30" t="s">
        <v>369</v>
      </c>
      <c r="W175" s="30" t="s">
        <v>289</v>
      </c>
      <c r="X175" s="30" t="s">
        <v>0</v>
      </c>
      <c r="Y175" s="30" t="s">
        <v>354</v>
      </c>
      <c r="Z175" s="30" t="s">
        <v>290</v>
      </c>
      <c r="AA175" s="30" t="s">
        <v>762</v>
      </c>
      <c r="AB175" s="30" t="s">
        <v>0</v>
      </c>
      <c r="AC175" s="30" t="s">
        <v>0</v>
      </c>
      <c r="AD175" s="30" t="s">
        <v>0</v>
      </c>
      <c r="AE175" s="31">
        <v>45797</v>
      </c>
      <c r="AF175" s="31"/>
      <c r="AG175" s="30" t="s">
        <v>0</v>
      </c>
    </row>
    <row r="176" spans="1:33" x14ac:dyDescent="0.35">
      <c r="A176" s="30" t="s">
        <v>279</v>
      </c>
      <c r="B176" s="30" t="s">
        <v>280</v>
      </c>
      <c r="C176" s="30" t="s">
        <v>281</v>
      </c>
      <c r="D176" s="30" t="s">
        <v>282</v>
      </c>
      <c r="E176" s="30" t="s">
        <v>283</v>
      </c>
      <c r="F176" s="30" t="s">
        <v>51</v>
      </c>
      <c r="G176" s="31">
        <v>45797</v>
      </c>
      <c r="H176" s="30" t="s">
        <v>763</v>
      </c>
      <c r="I176" s="30" t="s">
        <v>360</v>
      </c>
      <c r="J176" s="31">
        <v>45797</v>
      </c>
      <c r="K176" s="31">
        <v>45805</v>
      </c>
      <c r="L176" s="30" t="s">
        <v>354</v>
      </c>
      <c r="M176" s="30" t="s">
        <v>764</v>
      </c>
      <c r="N176" s="30" t="s">
        <v>286</v>
      </c>
      <c r="O176" s="30" t="s">
        <v>287</v>
      </c>
      <c r="P176" s="30" t="s">
        <v>0</v>
      </c>
      <c r="Q176" s="30" t="s">
        <v>352</v>
      </c>
      <c r="R176" s="30" t="s">
        <v>356</v>
      </c>
      <c r="S176" s="36">
        <v>29.25</v>
      </c>
      <c r="T176" s="37" t="s">
        <v>288</v>
      </c>
      <c r="U176" s="36">
        <v>2515.02</v>
      </c>
      <c r="V176" s="30" t="s">
        <v>369</v>
      </c>
      <c r="W176" s="30" t="s">
        <v>289</v>
      </c>
      <c r="X176" s="30" t="s">
        <v>0</v>
      </c>
      <c r="Y176" s="30" t="s">
        <v>354</v>
      </c>
      <c r="Z176" s="30" t="s">
        <v>290</v>
      </c>
      <c r="AA176" s="30" t="s">
        <v>765</v>
      </c>
      <c r="AB176" s="30" t="s">
        <v>0</v>
      </c>
      <c r="AC176" s="30" t="s">
        <v>0</v>
      </c>
      <c r="AD176" s="30" t="s">
        <v>0</v>
      </c>
      <c r="AE176" s="31">
        <v>45797</v>
      </c>
      <c r="AF176" s="31">
        <v>45975</v>
      </c>
      <c r="AG176" s="30" t="s">
        <v>284</v>
      </c>
    </row>
    <row r="177" spans="1:33" x14ac:dyDescent="0.35">
      <c r="A177" s="30" t="s">
        <v>279</v>
      </c>
      <c r="B177" s="30" t="s">
        <v>280</v>
      </c>
      <c r="C177" s="30" t="s">
        <v>281</v>
      </c>
      <c r="D177" s="30" t="s">
        <v>282</v>
      </c>
      <c r="E177" s="30" t="s">
        <v>283</v>
      </c>
      <c r="F177" s="30" t="s">
        <v>54</v>
      </c>
      <c r="G177" s="31">
        <v>45873</v>
      </c>
      <c r="H177" s="30" t="s">
        <v>766</v>
      </c>
      <c r="I177" s="30" t="s">
        <v>437</v>
      </c>
      <c r="J177" s="31">
        <v>45873</v>
      </c>
      <c r="K177" s="31">
        <v>45873</v>
      </c>
      <c r="L177" s="30" t="s">
        <v>354</v>
      </c>
      <c r="M177" s="30" t="s">
        <v>767</v>
      </c>
      <c r="N177" s="30" t="s">
        <v>286</v>
      </c>
      <c r="O177" s="30" t="s">
        <v>287</v>
      </c>
      <c r="P177" s="30" t="s">
        <v>0</v>
      </c>
      <c r="Q177" s="30" t="s">
        <v>57</v>
      </c>
      <c r="R177" s="30" t="s">
        <v>356</v>
      </c>
      <c r="S177" s="36">
        <v>-239.19</v>
      </c>
      <c r="T177" s="37" t="s">
        <v>288</v>
      </c>
      <c r="U177" s="36">
        <v>-20570.5</v>
      </c>
      <c r="V177" s="30" t="s">
        <v>369</v>
      </c>
      <c r="W177" s="30" t="s">
        <v>289</v>
      </c>
      <c r="X177" s="30" t="s">
        <v>0</v>
      </c>
      <c r="Y177" s="30" t="s">
        <v>354</v>
      </c>
      <c r="Z177" s="30" t="s">
        <v>290</v>
      </c>
      <c r="AA177" s="30" t="s">
        <v>768</v>
      </c>
      <c r="AB177" s="30" t="s">
        <v>0</v>
      </c>
      <c r="AC177" s="30" t="s">
        <v>0</v>
      </c>
      <c r="AD177" s="30" t="s">
        <v>0</v>
      </c>
      <c r="AE177" s="31">
        <v>45873</v>
      </c>
      <c r="AF177" s="31">
        <v>45975</v>
      </c>
      <c r="AG177" s="30" t="s">
        <v>284</v>
      </c>
    </row>
    <row r="178" spans="1:33" x14ac:dyDescent="0.35">
      <c r="A178" s="30" t="s">
        <v>297</v>
      </c>
      <c r="B178" s="30" t="s">
        <v>280</v>
      </c>
      <c r="C178" s="30" t="s">
        <v>281</v>
      </c>
      <c r="D178" s="30" t="s">
        <v>282</v>
      </c>
      <c r="E178" s="30" t="s">
        <v>283</v>
      </c>
      <c r="F178" s="30" t="s">
        <v>291</v>
      </c>
      <c r="G178" s="31">
        <v>45750</v>
      </c>
      <c r="H178" s="30" t="s">
        <v>769</v>
      </c>
      <c r="I178" s="30" t="s">
        <v>360</v>
      </c>
      <c r="J178" s="31">
        <v>45750</v>
      </c>
      <c r="K178" s="31">
        <v>45752</v>
      </c>
      <c r="L178" s="30" t="s">
        <v>354</v>
      </c>
      <c r="M178" s="30" t="s">
        <v>770</v>
      </c>
      <c r="N178" s="30" t="s">
        <v>286</v>
      </c>
      <c r="O178" s="30" t="s">
        <v>287</v>
      </c>
      <c r="P178" s="30" t="s">
        <v>0</v>
      </c>
      <c r="Q178" s="30" t="s">
        <v>352</v>
      </c>
      <c r="R178" s="30" t="s">
        <v>356</v>
      </c>
      <c r="S178" s="36">
        <v>450</v>
      </c>
      <c r="T178" s="37" t="s">
        <v>288</v>
      </c>
      <c r="U178" s="36">
        <v>39114.82</v>
      </c>
      <c r="V178" s="30" t="s">
        <v>369</v>
      </c>
      <c r="W178" s="30" t="s">
        <v>0</v>
      </c>
      <c r="X178" s="30" t="s">
        <v>0</v>
      </c>
      <c r="Y178" s="30" t="s">
        <v>354</v>
      </c>
      <c r="Z178" s="30" t="s">
        <v>290</v>
      </c>
      <c r="AA178" s="30" t="s">
        <v>382</v>
      </c>
      <c r="AB178" s="30" t="s">
        <v>0</v>
      </c>
      <c r="AC178" s="30" t="s">
        <v>0</v>
      </c>
      <c r="AD178" s="30" t="s">
        <v>0</v>
      </c>
      <c r="AE178" s="31">
        <v>45750</v>
      </c>
      <c r="AF178" s="31"/>
      <c r="AG178" s="30" t="s">
        <v>0</v>
      </c>
    </row>
    <row r="179" spans="1:33" x14ac:dyDescent="0.35">
      <c r="A179" s="30" t="s">
        <v>297</v>
      </c>
      <c r="B179" s="30" t="s">
        <v>280</v>
      </c>
      <c r="C179" s="30" t="s">
        <v>281</v>
      </c>
      <c r="D179" s="30" t="s">
        <v>282</v>
      </c>
      <c r="E179" s="30" t="s">
        <v>283</v>
      </c>
      <c r="F179" s="30" t="s">
        <v>291</v>
      </c>
      <c r="G179" s="31">
        <v>45750</v>
      </c>
      <c r="H179" s="30" t="s">
        <v>771</v>
      </c>
      <c r="I179" s="30" t="s">
        <v>360</v>
      </c>
      <c r="J179" s="31">
        <v>45750</v>
      </c>
      <c r="K179" s="31">
        <v>45752</v>
      </c>
      <c r="L179" s="30" t="s">
        <v>354</v>
      </c>
      <c r="M179" s="30" t="s">
        <v>772</v>
      </c>
      <c r="N179" s="30" t="s">
        <v>286</v>
      </c>
      <c r="O179" s="30" t="s">
        <v>287</v>
      </c>
      <c r="P179" s="30" t="s">
        <v>0</v>
      </c>
      <c r="Q179" s="30" t="s">
        <v>352</v>
      </c>
      <c r="R179" s="30" t="s">
        <v>356</v>
      </c>
      <c r="S179" s="36">
        <v>465</v>
      </c>
      <c r="T179" s="37" t="s">
        <v>288</v>
      </c>
      <c r="U179" s="36">
        <v>40418.65</v>
      </c>
      <c r="V179" s="30" t="s">
        <v>369</v>
      </c>
      <c r="W179" s="30" t="s">
        <v>0</v>
      </c>
      <c r="X179" s="30" t="s">
        <v>0</v>
      </c>
      <c r="Y179" s="30" t="s">
        <v>354</v>
      </c>
      <c r="Z179" s="30" t="s">
        <v>290</v>
      </c>
      <c r="AA179" s="30" t="s">
        <v>382</v>
      </c>
      <c r="AB179" s="30" t="s">
        <v>0</v>
      </c>
      <c r="AC179" s="30" t="s">
        <v>0</v>
      </c>
      <c r="AD179" s="30" t="s">
        <v>0</v>
      </c>
      <c r="AE179" s="31">
        <v>45750</v>
      </c>
      <c r="AF179" s="31"/>
      <c r="AG179" s="30" t="s">
        <v>0</v>
      </c>
    </row>
    <row r="180" spans="1:33" x14ac:dyDescent="0.35">
      <c r="A180" s="30" t="s">
        <v>297</v>
      </c>
      <c r="B180" s="30" t="s">
        <v>280</v>
      </c>
      <c r="C180" s="30" t="s">
        <v>281</v>
      </c>
      <c r="D180" s="30" t="s">
        <v>282</v>
      </c>
      <c r="E180" s="30" t="s">
        <v>283</v>
      </c>
      <c r="F180" s="30" t="s">
        <v>291</v>
      </c>
      <c r="G180" s="31">
        <v>45750</v>
      </c>
      <c r="H180" s="30" t="s">
        <v>773</v>
      </c>
      <c r="I180" s="30" t="s">
        <v>360</v>
      </c>
      <c r="J180" s="31">
        <v>45750</v>
      </c>
      <c r="K180" s="31">
        <v>45752</v>
      </c>
      <c r="L180" s="30" t="s">
        <v>354</v>
      </c>
      <c r="M180" s="30" t="s">
        <v>774</v>
      </c>
      <c r="N180" s="30" t="s">
        <v>286</v>
      </c>
      <c r="O180" s="30" t="s">
        <v>287</v>
      </c>
      <c r="P180" s="30" t="s">
        <v>0</v>
      </c>
      <c r="Q180" s="30" t="s">
        <v>352</v>
      </c>
      <c r="R180" s="30" t="s">
        <v>356</v>
      </c>
      <c r="S180" s="36">
        <v>450</v>
      </c>
      <c r="T180" s="37" t="s">
        <v>288</v>
      </c>
      <c r="U180" s="36">
        <v>39114.82</v>
      </c>
      <c r="V180" s="30" t="s">
        <v>369</v>
      </c>
      <c r="W180" s="30" t="s">
        <v>0</v>
      </c>
      <c r="X180" s="30" t="s">
        <v>0</v>
      </c>
      <c r="Y180" s="30" t="s">
        <v>354</v>
      </c>
      <c r="Z180" s="30" t="s">
        <v>290</v>
      </c>
      <c r="AA180" s="30" t="s">
        <v>382</v>
      </c>
      <c r="AB180" s="30" t="s">
        <v>0</v>
      </c>
      <c r="AC180" s="30" t="s">
        <v>0</v>
      </c>
      <c r="AD180" s="30" t="s">
        <v>0</v>
      </c>
      <c r="AE180" s="31">
        <v>45750</v>
      </c>
      <c r="AF180" s="31"/>
      <c r="AG180" s="30" t="s">
        <v>0</v>
      </c>
    </row>
    <row r="181" spans="1:33" x14ac:dyDescent="0.35">
      <c r="A181" s="30" t="s">
        <v>297</v>
      </c>
      <c r="B181" s="30" t="s">
        <v>280</v>
      </c>
      <c r="C181" s="30" t="s">
        <v>281</v>
      </c>
      <c r="D181" s="30" t="s">
        <v>282</v>
      </c>
      <c r="E181" s="30" t="s">
        <v>283</v>
      </c>
      <c r="F181" s="30" t="s">
        <v>291</v>
      </c>
      <c r="G181" s="31">
        <v>45750</v>
      </c>
      <c r="H181" s="30" t="s">
        <v>775</v>
      </c>
      <c r="I181" s="30" t="s">
        <v>360</v>
      </c>
      <c r="J181" s="31">
        <v>45750</v>
      </c>
      <c r="K181" s="31">
        <v>45752</v>
      </c>
      <c r="L181" s="30" t="s">
        <v>354</v>
      </c>
      <c r="M181" s="30" t="s">
        <v>776</v>
      </c>
      <c r="N181" s="30" t="s">
        <v>286</v>
      </c>
      <c r="O181" s="30" t="s">
        <v>287</v>
      </c>
      <c r="P181" s="30" t="s">
        <v>0</v>
      </c>
      <c r="Q181" s="30" t="s">
        <v>352</v>
      </c>
      <c r="R181" s="30" t="s">
        <v>356</v>
      </c>
      <c r="S181" s="36">
        <v>5.25</v>
      </c>
      <c r="T181" s="37" t="s">
        <v>288</v>
      </c>
      <c r="U181" s="36">
        <v>456.34</v>
      </c>
      <c r="V181" s="30" t="s">
        <v>369</v>
      </c>
      <c r="W181" s="30" t="s">
        <v>0</v>
      </c>
      <c r="X181" s="30" t="s">
        <v>0</v>
      </c>
      <c r="Y181" s="30" t="s">
        <v>354</v>
      </c>
      <c r="Z181" s="30" t="s">
        <v>290</v>
      </c>
      <c r="AA181" s="30" t="s">
        <v>777</v>
      </c>
      <c r="AB181" s="30" t="s">
        <v>0</v>
      </c>
      <c r="AC181" s="30" t="s">
        <v>0</v>
      </c>
      <c r="AD181" s="30" t="s">
        <v>0</v>
      </c>
      <c r="AE181" s="31">
        <v>45750</v>
      </c>
      <c r="AF181" s="31"/>
      <c r="AG181" s="30" t="s">
        <v>0</v>
      </c>
    </row>
    <row r="182" spans="1:33" x14ac:dyDescent="0.35">
      <c r="A182" s="30" t="s">
        <v>297</v>
      </c>
      <c r="B182" s="30" t="s">
        <v>280</v>
      </c>
      <c r="C182" s="30" t="s">
        <v>281</v>
      </c>
      <c r="D182" s="30" t="s">
        <v>282</v>
      </c>
      <c r="E182" s="30" t="s">
        <v>283</v>
      </c>
      <c r="F182" s="30" t="s">
        <v>291</v>
      </c>
      <c r="G182" s="31">
        <v>45750</v>
      </c>
      <c r="H182" s="30" t="s">
        <v>778</v>
      </c>
      <c r="I182" s="30" t="s">
        <v>360</v>
      </c>
      <c r="J182" s="31">
        <v>45750</v>
      </c>
      <c r="K182" s="31">
        <v>45752</v>
      </c>
      <c r="L182" s="30" t="s">
        <v>354</v>
      </c>
      <c r="M182" s="30" t="s">
        <v>779</v>
      </c>
      <c r="N182" s="30" t="s">
        <v>286</v>
      </c>
      <c r="O182" s="30" t="s">
        <v>287</v>
      </c>
      <c r="P182" s="30" t="s">
        <v>0</v>
      </c>
      <c r="Q182" s="30" t="s">
        <v>352</v>
      </c>
      <c r="R182" s="30" t="s">
        <v>356</v>
      </c>
      <c r="S182" s="36">
        <v>30</v>
      </c>
      <c r="T182" s="37" t="s">
        <v>288</v>
      </c>
      <c r="U182" s="36">
        <v>2607.65</v>
      </c>
      <c r="V182" s="30" t="s">
        <v>369</v>
      </c>
      <c r="W182" s="30" t="s">
        <v>0</v>
      </c>
      <c r="X182" s="30" t="s">
        <v>0</v>
      </c>
      <c r="Y182" s="30" t="s">
        <v>354</v>
      </c>
      <c r="Z182" s="30" t="s">
        <v>290</v>
      </c>
      <c r="AA182" s="30" t="s">
        <v>780</v>
      </c>
      <c r="AB182" s="30" t="s">
        <v>0</v>
      </c>
      <c r="AC182" s="30" t="s">
        <v>0</v>
      </c>
      <c r="AD182" s="30" t="s">
        <v>0</v>
      </c>
      <c r="AE182" s="31">
        <v>45750</v>
      </c>
      <c r="AF182" s="31"/>
      <c r="AG182" s="30" t="s">
        <v>0</v>
      </c>
    </row>
    <row r="183" spans="1:33" x14ac:dyDescent="0.35">
      <c r="A183" s="30" t="s">
        <v>297</v>
      </c>
      <c r="B183" s="30" t="s">
        <v>280</v>
      </c>
      <c r="C183" s="30" t="s">
        <v>281</v>
      </c>
      <c r="D183" s="30" t="s">
        <v>282</v>
      </c>
      <c r="E183" s="30" t="s">
        <v>283</v>
      </c>
      <c r="F183" s="30" t="s">
        <v>291</v>
      </c>
      <c r="G183" s="31">
        <v>45750</v>
      </c>
      <c r="H183" s="30" t="s">
        <v>781</v>
      </c>
      <c r="I183" s="30" t="s">
        <v>360</v>
      </c>
      <c r="J183" s="31">
        <v>45750</v>
      </c>
      <c r="K183" s="31">
        <v>45752</v>
      </c>
      <c r="L183" s="30" t="s">
        <v>354</v>
      </c>
      <c r="M183" s="30" t="s">
        <v>782</v>
      </c>
      <c r="N183" s="30" t="s">
        <v>286</v>
      </c>
      <c r="O183" s="30" t="s">
        <v>287</v>
      </c>
      <c r="P183" s="30" t="s">
        <v>0</v>
      </c>
      <c r="Q183" s="30" t="s">
        <v>352</v>
      </c>
      <c r="R183" s="30" t="s">
        <v>356</v>
      </c>
      <c r="S183" s="36">
        <v>3.5</v>
      </c>
      <c r="T183" s="37" t="s">
        <v>288</v>
      </c>
      <c r="U183" s="36">
        <v>304.23</v>
      </c>
      <c r="V183" s="30" t="s">
        <v>369</v>
      </c>
      <c r="W183" s="30" t="s">
        <v>0</v>
      </c>
      <c r="X183" s="30" t="s">
        <v>0</v>
      </c>
      <c r="Y183" s="30" t="s">
        <v>354</v>
      </c>
      <c r="Z183" s="30" t="s">
        <v>290</v>
      </c>
      <c r="AA183" s="30" t="s">
        <v>783</v>
      </c>
      <c r="AB183" s="30" t="s">
        <v>0</v>
      </c>
      <c r="AC183" s="30" t="s">
        <v>0</v>
      </c>
      <c r="AD183" s="30" t="s">
        <v>0</v>
      </c>
      <c r="AE183" s="31">
        <v>45750</v>
      </c>
      <c r="AF183" s="31"/>
      <c r="AG183" s="30" t="s">
        <v>0</v>
      </c>
    </row>
    <row r="184" spans="1:33" x14ac:dyDescent="0.35">
      <c r="A184" s="30" t="s">
        <v>297</v>
      </c>
      <c r="B184" s="30" t="s">
        <v>280</v>
      </c>
      <c r="C184" s="30" t="s">
        <v>281</v>
      </c>
      <c r="D184" s="30" t="s">
        <v>282</v>
      </c>
      <c r="E184" s="30" t="s">
        <v>283</v>
      </c>
      <c r="F184" s="30" t="s">
        <v>291</v>
      </c>
      <c r="G184" s="31">
        <v>45750</v>
      </c>
      <c r="H184" s="30" t="s">
        <v>784</v>
      </c>
      <c r="I184" s="30" t="s">
        <v>360</v>
      </c>
      <c r="J184" s="31">
        <v>45750</v>
      </c>
      <c r="K184" s="31">
        <v>45752</v>
      </c>
      <c r="L184" s="30" t="s">
        <v>354</v>
      </c>
      <c r="M184" s="30" t="s">
        <v>785</v>
      </c>
      <c r="N184" s="30" t="s">
        <v>286</v>
      </c>
      <c r="O184" s="30" t="s">
        <v>287</v>
      </c>
      <c r="P184" s="30" t="s">
        <v>0</v>
      </c>
      <c r="Q184" s="30" t="s">
        <v>352</v>
      </c>
      <c r="R184" s="30" t="s">
        <v>356</v>
      </c>
      <c r="S184" s="36">
        <v>1</v>
      </c>
      <c r="T184" s="37" t="s">
        <v>288</v>
      </c>
      <c r="U184" s="36">
        <v>86.92</v>
      </c>
      <c r="V184" s="30" t="s">
        <v>369</v>
      </c>
      <c r="W184" s="30" t="s">
        <v>0</v>
      </c>
      <c r="X184" s="30" t="s">
        <v>0</v>
      </c>
      <c r="Y184" s="30" t="s">
        <v>354</v>
      </c>
      <c r="Z184" s="30" t="s">
        <v>290</v>
      </c>
      <c r="AA184" s="30" t="s">
        <v>786</v>
      </c>
      <c r="AB184" s="30" t="s">
        <v>0</v>
      </c>
      <c r="AC184" s="30" t="s">
        <v>0</v>
      </c>
      <c r="AD184" s="30" t="s">
        <v>0</v>
      </c>
      <c r="AE184" s="31">
        <v>45750</v>
      </c>
      <c r="AF184" s="31"/>
      <c r="AG184" s="30" t="s">
        <v>0</v>
      </c>
    </row>
    <row r="185" spans="1:33" x14ac:dyDescent="0.35">
      <c r="A185" s="30" t="s">
        <v>297</v>
      </c>
      <c r="B185" s="30" t="s">
        <v>280</v>
      </c>
      <c r="C185" s="30" t="s">
        <v>281</v>
      </c>
      <c r="D185" s="30" t="s">
        <v>282</v>
      </c>
      <c r="E185" s="30" t="s">
        <v>283</v>
      </c>
      <c r="F185" s="30" t="s">
        <v>291</v>
      </c>
      <c r="G185" s="31">
        <v>45750</v>
      </c>
      <c r="H185" s="30" t="s">
        <v>787</v>
      </c>
      <c r="I185" s="30" t="s">
        <v>360</v>
      </c>
      <c r="J185" s="31">
        <v>45750</v>
      </c>
      <c r="K185" s="31">
        <v>45752</v>
      </c>
      <c r="L185" s="30" t="s">
        <v>354</v>
      </c>
      <c r="M185" s="30" t="s">
        <v>788</v>
      </c>
      <c r="N185" s="30" t="s">
        <v>286</v>
      </c>
      <c r="O185" s="30" t="s">
        <v>287</v>
      </c>
      <c r="P185" s="30" t="s">
        <v>0</v>
      </c>
      <c r="Q185" s="30" t="s">
        <v>352</v>
      </c>
      <c r="R185" s="30" t="s">
        <v>356</v>
      </c>
      <c r="S185" s="36">
        <v>465</v>
      </c>
      <c r="T185" s="37" t="s">
        <v>288</v>
      </c>
      <c r="U185" s="36">
        <v>40418.65</v>
      </c>
      <c r="V185" s="30" t="s">
        <v>369</v>
      </c>
      <c r="W185" s="30" t="s">
        <v>0</v>
      </c>
      <c r="X185" s="30" t="s">
        <v>0</v>
      </c>
      <c r="Y185" s="30" t="s">
        <v>354</v>
      </c>
      <c r="Z185" s="30" t="s">
        <v>290</v>
      </c>
      <c r="AA185" s="30" t="s">
        <v>382</v>
      </c>
      <c r="AB185" s="30" t="s">
        <v>0</v>
      </c>
      <c r="AC185" s="30" t="s">
        <v>0</v>
      </c>
      <c r="AD185" s="30" t="s">
        <v>0</v>
      </c>
      <c r="AE185" s="31">
        <v>45750</v>
      </c>
      <c r="AF185" s="31"/>
      <c r="AG185" s="30" t="s">
        <v>0</v>
      </c>
    </row>
    <row r="186" spans="1:33" x14ac:dyDescent="0.35">
      <c r="A186" s="30" t="s">
        <v>279</v>
      </c>
      <c r="B186" s="30" t="s">
        <v>280</v>
      </c>
      <c r="C186" s="30" t="s">
        <v>281</v>
      </c>
      <c r="D186" s="30" t="s">
        <v>282</v>
      </c>
      <c r="E186" s="30" t="s">
        <v>283</v>
      </c>
      <c r="F186" s="30" t="s">
        <v>291</v>
      </c>
      <c r="G186" s="31">
        <v>45750</v>
      </c>
      <c r="H186" s="30" t="s">
        <v>789</v>
      </c>
      <c r="I186" s="30" t="s">
        <v>360</v>
      </c>
      <c r="J186" s="31">
        <v>45750</v>
      </c>
      <c r="K186" s="31">
        <v>45752</v>
      </c>
      <c r="L186" s="30" t="s">
        <v>354</v>
      </c>
      <c r="M186" s="30" t="s">
        <v>790</v>
      </c>
      <c r="N186" s="30" t="s">
        <v>286</v>
      </c>
      <c r="O186" s="30" t="s">
        <v>287</v>
      </c>
      <c r="P186" s="30" t="s">
        <v>0</v>
      </c>
      <c r="Q186" s="30" t="s">
        <v>352</v>
      </c>
      <c r="R186" s="30" t="s">
        <v>356</v>
      </c>
      <c r="S186" s="36">
        <v>1800</v>
      </c>
      <c r="T186" s="37" t="s">
        <v>288</v>
      </c>
      <c r="U186" s="36">
        <v>156459.28</v>
      </c>
      <c r="V186" s="30" t="s">
        <v>369</v>
      </c>
      <c r="W186" s="30" t="s">
        <v>0</v>
      </c>
      <c r="X186" s="30" t="s">
        <v>0</v>
      </c>
      <c r="Y186" s="30" t="s">
        <v>354</v>
      </c>
      <c r="Z186" s="30" t="s">
        <v>290</v>
      </c>
      <c r="AA186" s="30" t="s">
        <v>737</v>
      </c>
      <c r="AB186" s="30" t="s">
        <v>0</v>
      </c>
      <c r="AC186" s="30" t="s">
        <v>0</v>
      </c>
      <c r="AD186" s="30" t="s">
        <v>0</v>
      </c>
      <c r="AE186" s="31">
        <v>45750</v>
      </c>
      <c r="AF186" s="31">
        <v>45861</v>
      </c>
      <c r="AG186" s="30" t="s">
        <v>364</v>
      </c>
    </row>
    <row r="187" spans="1:33" x14ac:dyDescent="0.35">
      <c r="A187" s="30" t="s">
        <v>279</v>
      </c>
      <c r="B187" s="30" t="s">
        <v>280</v>
      </c>
      <c r="C187" s="30" t="s">
        <v>281</v>
      </c>
      <c r="D187" s="30" t="s">
        <v>282</v>
      </c>
      <c r="E187" s="30" t="s">
        <v>283</v>
      </c>
      <c r="F187" s="30" t="s">
        <v>291</v>
      </c>
      <c r="G187" s="31">
        <v>45750</v>
      </c>
      <c r="H187" s="30" t="s">
        <v>791</v>
      </c>
      <c r="I187" s="30" t="s">
        <v>360</v>
      </c>
      <c r="J187" s="31">
        <v>45750</v>
      </c>
      <c r="K187" s="31">
        <v>45752</v>
      </c>
      <c r="L187" s="30" t="s">
        <v>354</v>
      </c>
      <c r="M187" s="30" t="s">
        <v>792</v>
      </c>
      <c r="N187" s="30" t="s">
        <v>286</v>
      </c>
      <c r="O187" s="30" t="s">
        <v>287</v>
      </c>
      <c r="P187" s="30" t="s">
        <v>0</v>
      </c>
      <c r="Q187" s="30" t="s">
        <v>352</v>
      </c>
      <c r="R187" s="30" t="s">
        <v>356</v>
      </c>
      <c r="S187" s="36">
        <v>1800</v>
      </c>
      <c r="T187" s="37" t="s">
        <v>288</v>
      </c>
      <c r="U187" s="36">
        <v>156459.28</v>
      </c>
      <c r="V187" s="30" t="s">
        <v>369</v>
      </c>
      <c r="W187" s="30" t="s">
        <v>0</v>
      </c>
      <c r="X187" s="30" t="s">
        <v>0</v>
      </c>
      <c r="Y187" s="30" t="s">
        <v>354</v>
      </c>
      <c r="Z187" s="30" t="s">
        <v>290</v>
      </c>
      <c r="AA187" s="30" t="s">
        <v>734</v>
      </c>
      <c r="AB187" s="30" t="s">
        <v>0</v>
      </c>
      <c r="AC187" s="30" t="s">
        <v>0</v>
      </c>
      <c r="AD187" s="30" t="s">
        <v>0</v>
      </c>
      <c r="AE187" s="31">
        <v>45750</v>
      </c>
      <c r="AF187" s="31">
        <v>45861</v>
      </c>
      <c r="AG187" s="30" t="s">
        <v>366</v>
      </c>
    </row>
    <row r="188" spans="1:33" x14ac:dyDescent="0.35">
      <c r="A188" s="30" t="s">
        <v>297</v>
      </c>
      <c r="B188" s="30" t="s">
        <v>280</v>
      </c>
      <c r="C188" s="30" t="s">
        <v>281</v>
      </c>
      <c r="D188" s="30" t="s">
        <v>282</v>
      </c>
      <c r="E188" s="30" t="s">
        <v>283</v>
      </c>
      <c r="F188" s="30" t="s">
        <v>56</v>
      </c>
      <c r="G188" s="31">
        <v>45950</v>
      </c>
      <c r="H188" s="30" t="s">
        <v>793</v>
      </c>
      <c r="I188" s="30" t="s">
        <v>360</v>
      </c>
      <c r="J188" s="31">
        <v>45950</v>
      </c>
      <c r="K188" s="31">
        <v>45951</v>
      </c>
      <c r="L188" s="30" t="s">
        <v>354</v>
      </c>
      <c r="M188" s="30" t="s">
        <v>794</v>
      </c>
      <c r="N188" s="30" t="s">
        <v>286</v>
      </c>
      <c r="O188" s="30" t="s">
        <v>287</v>
      </c>
      <c r="P188" s="30" t="s">
        <v>0</v>
      </c>
      <c r="Q188" s="30" t="s">
        <v>352</v>
      </c>
      <c r="R188" s="30" t="s">
        <v>356</v>
      </c>
      <c r="S188" s="36">
        <v>235</v>
      </c>
      <c r="T188" s="37" t="s">
        <v>288</v>
      </c>
      <c r="U188" s="36">
        <v>20724.830000000002</v>
      </c>
      <c r="V188" s="30" t="s">
        <v>369</v>
      </c>
      <c r="W188" s="30" t="s">
        <v>289</v>
      </c>
      <c r="X188" s="30" t="s">
        <v>0</v>
      </c>
      <c r="Y188" s="30" t="s">
        <v>795</v>
      </c>
      <c r="Z188" s="30" t="s">
        <v>290</v>
      </c>
      <c r="AA188" s="30" t="s">
        <v>796</v>
      </c>
      <c r="AB188" s="30" t="s">
        <v>0</v>
      </c>
      <c r="AC188" s="30" t="s">
        <v>0</v>
      </c>
      <c r="AD188" s="30" t="s">
        <v>0</v>
      </c>
      <c r="AE188" s="31">
        <v>45950</v>
      </c>
      <c r="AF188" s="31"/>
      <c r="AG188" s="30" t="s">
        <v>0</v>
      </c>
    </row>
    <row r="189" spans="1:33" x14ac:dyDescent="0.35">
      <c r="A189" s="30" t="s">
        <v>297</v>
      </c>
      <c r="B189" s="30" t="s">
        <v>280</v>
      </c>
      <c r="C189" s="30" t="s">
        <v>281</v>
      </c>
      <c r="D189" s="30" t="s">
        <v>282</v>
      </c>
      <c r="E189" s="30" t="s">
        <v>283</v>
      </c>
      <c r="F189" s="30" t="s">
        <v>56</v>
      </c>
      <c r="G189" s="31">
        <v>45950</v>
      </c>
      <c r="H189" s="30" t="s">
        <v>797</v>
      </c>
      <c r="I189" s="30" t="s">
        <v>360</v>
      </c>
      <c r="J189" s="31">
        <v>45950</v>
      </c>
      <c r="K189" s="31">
        <v>45951</v>
      </c>
      <c r="L189" s="30" t="s">
        <v>354</v>
      </c>
      <c r="M189" s="30" t="s">
        <v>798</v>
      </c>
      <c r="N189" s="30" t="s">
        <v>286</v>
      </c>
      <c r="O189" s="30" t="s">
        <v>287</v>
      </c>
      <c r="P189" s="30" t="s">
        <v>0</v>
      </c>
      <c r="Q189" s="30" t="s">
        <v>352</v>
      </c>
      <c r="R189" s="30" t="s">
        <v>356</v>
      </c>
      <c r="S189" s="36">
        <v>54.34</v>
      </c>
      <c r="T189" s="37" t="s">
        <v>288</v>
      </c>
      <c r="U189" s="36">
        <v>4792.29</v>
      </c>
      <c r="V189" s="30" t="s">
        <v>369</v>
      </c>
      <c r="W189" s="30" t="s">
        <v>289</v>
      </c>
      <c r="X189" s="30" t="s">
        <v>0</v>
      </c>
      <c r="Y189" s="30" t="s">
        <v>799</v>
      </c>
      <c r="Z189" s="30" t="s">
        <v>290</v>
      </c>
      <c r="AA189" s="30" t="s">
        <v>800</v>
      </c>
      <c r="AB189" s="30" t="s">
        <v>0</v>
      </c>
      <c r="AC189" s="30" t="s">
        <v>0</v>
      </c>
      <c r="AD189" s="30" t="s">
        <v>0</v>
      </c>
      <c r="AE189" s="31">
        <v>45950</v>
      </c>
      <c r="AF189" s="31"/>
      <c r="AG189" s="30" t="s">
        <v>0</v>
      </c>
    </row>
    <row r="190" spans="1:33" x14ac:dyDescent="0.35">
      <c r="A190" s="30" t="s">
        <v>297</v>
      </c>
      <c r="B190" s="30" t="s">
        <v>280</v>
      </c>
      <c r="C190" s="30" t="s">
        <v>281</v>
      </c>
      <c r="D190" s="30" t="s">
        <v>282</v>
      </c>
      <c r="E190" s="30" t="s">
        <v>283</v>
      </c>
      <c r="F190" s="30" t="s">
        <v>291</v>
      </c>
      <c r="G190" s="31">
        <v>45768</v>
      </c>
      <c r="H190" s="30" t="s">
        <v>801</v>
      </c>
      <c r="I190" s="30" t="s">
        <v>360</v>
      </c>
      <c r="J190" s="31">
        <v>45768</v>
      </c>
      <c r="K190" s="31">
        <v>45769</v>
      </c>
      <c r="L190" s="30" t="s">
        <v>354</v>
      </c>
      <c r="M190" s="30" t="s">
        <v>802</v>
      </c>
      <c r="N190" s="30" t="s">
        <v>286</v>
      </c>
      <c r="O190" s="30" t="s">
        <v>287</v>
      </c>
      <c r="P190" s="30" t="s">
        <v>0</v>
      </c>
      <c r="Q190" s="30" t="s">
        <v>352</v>
      </c>
      <c r="R190" s="30" t="s">
        <v>356</v>
      </c>
      <c r="S190" s="36">
        <v>188.79</v>
      </c>
      <c r="T190" s="37" t="s">
        <v>288</v>
      </c>
      <c r="U190" s="36">
        <v>16200.07</v>
      </c>
      <c r="V190" s="30" t="s">
        <v>369</v>
      </c>
      <c r="W190" s="30" t="s">
        <v>289</v>
      </c>
      <c r="X190" s="30" t="s">
        <v>0</v>
      </c>
      <c r="Y190" s="30" t="s">
        <v>354</v>
      </c>
      <c r="Z190" s="30" t="s">
        <v>290</v>
      </c>
      <c r="AA190" s="30" t="s">
        <v>803</v>
      </c>
      <c r="AB190" s="30" t="s">
        <v>0</v>
      </c>
      <c r="AC190" s="30" t="s">
        <v>0</v>
      </c>
      <c r="AD190" s="30" t="s">
        <v>0</v>
      </c>
      <c r="AE190" s="31">
        <v>45768</v>
      </c>
      <c r="AF190" s="31"/>
      <c r="AG190" s="30" t="s">
        <v>0</v>
      </c>
    </row>
    <row r="191" spans="1:33" x14ac:dyDescent="0.35">
      <c r="A191" s="30" t="s">
        <v>297</v>
      </c>
      <c r="B191" s="30" t="s">
        <v>280</v>
      </c>
      <c r="C191" s="30" t="s">
        <v>281</v>
      </c>
      <c r="D191" s="30" t="s">
        <v>282</v>
      </c>
      <c r="E191" s="30" t="s">
        <v>283</v>
      </c>
      <c r="F191" s="30" t="s">
        <v>53</v>
      </c>
      <c r="G191" s="31">
        <v>45862</v>
      </c>
      <c r="H191" s="30" t="s">
        <v>804</v>
      </c>
      <c r="I191" s="30" t="s">
        <v>360</v>
      </c>
      <c r="J191" s="31">
        <v>45862</v>
      </c>
      <c r="K191" s="31">
        <v>45862</v>
      </c>
      <c r="L191" s="30" t="s">
        <v>354</v>
      </c>
      <c r="M191" s="30" t="s">
        <v>805</v>
      </c>
      <c r="N191" s="30" t="s">
        <v>286</v>
      </c>
      <c r="O191" s="30" t="s">
        <v>287</v>
      </c>
      <c r="P191" s="30" t="s">
        <v>0</v>
      </c>
      <c r="Q191" s="30" t="s">
        <v>352</v>
      </c>
      <c r="R191" s="30" t="s">
        <v>356</v>
      </c>
      <c r="S191" s="36">
        <v>29.25</v>
      </c>
      <c r="T191" s="37" t="s">
        <v>288</v>
      </c>
      <c r="U191" s="36">
        <v>2515.52</v>
      </c>
      <c r="V191" s="30" t="s">
        <v>369</v>
      </c>
      <c r="W191" s="30" t="s">
        <v>289</v>
      </c>
      <c r="X191" s="30" t="s">
        <v>0</v>
      </c>
      <c r="Y191" s="30" t="s">
        <v>354</v>
      </c>
      <c r="Z191" s="30" t="s">
        <v>290</v>
      </c>
      <c r="AA191" s="30" t="s">
        <v>765</v>
      </c>
      <c r="AB191" s="30" t="s">
        <v>0</v>
      </c>
      <c r="AC191" s="30" t="s">
        <v>0</v>
      </c>
      <c r="AD191" s="30" t="s">
        <v>0</v>
      </c>
      <c r="AE191" s="31">
        <v>45862</v>
      </c>
      <c r="AF191" s="31"/>
      <c r="AG191" s="30" t="s">
        <v>0</v>
      </c>
    </row>
    <row r="192" spans="1:33" x14ac:dyDescent="0.35">
      <c r="A192" s="30" t="s">
        <v>279</v>
      </c>
      <c r="B192" s="30" t="s">
        <v>280</v>
      </c>
      <c r="C192" s="30" t="s">
        <v>281</v>
      </c>
      <c r="D192" s="30" t="s">
        <v>282</v>
      </c>
      <c r="E192" s="30" t="s">
        <v>283</v>
      </c>
      <c r="F192" s="30" t="s">
        <v>53</v>
      </c>
      <c r="G192" s="31">
        <v>45862</v>
      </c>
      <c r="H192" s="30" t="s">
        <v>806</v>
      </c>
      <c r="I192" s="30" t="s">
        <v>437</v>
      </c>
      <c r="J192" s="31">
        <v>45862</v>
      </c>
      <c r="K192" s="31">
        <v>45862</v>
      </c>
      <c r="L192" s="30" t="s">
        <v>354</v>
      </c>
      <c r="M192" s="30" t="s">
        <v>807</v>
      </c>
      <c r="N192" s="30" t="s">
        <v>286</v>
      </c>
      <c r="O192" s="30" t="s">
        <v>287</v>
      </c>
      <c r="P192" s="30" t="s">
        <v>0</v>
      </c>
      <c r="Q192" s="30" t="s">
        <v>57</v>
      </c>
      <c r="R192" s="30" t="s">
        <v>356</v>
      </c>
      <c r="S192" s="36">
        <v>-29.25</v>
      </c>
      <c r="T192" s="37" t="s">
        <v>288</v>
      </c>
      <c r="U192" s="36">
        <v>-2515.02</v>
      </c>
      <c r="V192" s="30" t="s">
        <v>369</v>
      </c>
      <c r="W192" s="30" t="s">
        <v>289</v>
      </c>
      <c r="X192" s="30" t="s">
        <v>0</v>
      </c>
      <c r="Y192" s="30" t="s">
        <v>354</v>
      </c>
      <c r="Z192" s="30" t="s">
        <v>290</v>
      </c>
      <c r="AA192" s="30" t="s">
        <v>808</v>
      </c>
      <c r="AB192" s="30" t="s">
        <v>0</v>
      </c>
      <c r="AC192" s="30" t="s">
        <v>0</v>
      </c>
      <c r="AD192" s="30" t="s">
        <v>0</v>
      </c>
      <c r="AE192" s="31">
        <v>45862</v>
      </c>
      <c r="AF192" s="31">
        <v>45975</v>
      </c>
      <c r="AG192" s="30" t="s">
        <v>284</v>
      </c>
    </row>
    <row r="193" spans="1:33" x14ac:dyDescent="0.35">
      <c r="A193" s="30" t="s">
        <v>297</v>
      </c>
      <c r="B193" s="30" t="s">
        <v>280</v>
      </c>
      <c r="C193" s="30" t="s">
        <v>281</v>
      </c>
      <c r="D193" s="30" t="s">
        <v>282</v>
      </c>
      <c r="E193" s="30" t="s">
        <v>283</v>
      </c>
      <c r="F193" s="30" t="s">
        <v>291</v>
      </c>
      <c r="G193" s="31">
        <v>45771</v>
      </c>
      <c r="H193" s="30" t="s">
        <v>809</v>
      </c>
      <c r="I193" s="30" t="s">
        <v>360</v>
      </c>
      <c r="J193" s="31">
        <v>45771</v>
      </c>
      <c r="K193" s="31">
        <v>45773</v>
      </c>
      <c r="L193" s="30" t="s">
        <v>354</v>
      </c>
      <c r="M193" s="30" t="s">
        <v>810</v>
      </c>
      <c r="N193" s="30" t="s">
        <v>286</v>
      </c>
      <c r="O193" s="30" t="s">
        <v>287</v>
      </c>
      <c r="P193" s="30" t="s">
        <v>0</v>
      </c>
      <c r="Q193" s="30" t="s">
        <v>352</v>
      </c>
      <c r="R193" s="30" t="s">
        <v>356</v>
      </c>
      <c r="S193" s="36">
        <v>1820.14</v>
      </c>
      <c r="T193" s="37" t="s">
        <v>288</v>
      </c>
      <c r="U193" s="36">
        <v>158209.88</v>
      </c>
      <c r="V193" s="30" t="s">
        <v>369</v>
      </c>
      <c r="W193" s="30" t="s">
        <v>289</v>
      </c>
      <c r="X193" s="30" t="s">
        <v>0</v>
      </c>
      <c r="Y193" s="30" t="s">
        <v>354</v>
      </c>
      <c r="Z193" s="30" t="s">
        <v>290</v>
      </c>
      <c r="AA193" s="30" t="s">
        <v>811</v>
      </c>
      <c r="AB193" s="30" t="s">
        <v>0</v>
      </c>
      <c r="AC193" s="30" t="s">
        <v>0</v>
      </c>
      <c r="AD193" s="30" t="s">
        <v>0</v>
      </c>
      <c r="AE193" s="31">
        <v>45771</v>
      </c>
      <c r="AF193" s="31"/>
      <c r="AG193" s="30" t="s">
        <v>0</v>
      </c>
    </row>
    <row r="194" spans="1:33" x14ac:dyDescent="0.35">
      <c r="A194" s="30" t="s">
        <v>297</v>
      </c>
      <c r="B194" s="30" t="s">
        <v>280</v>
      </c>
      <c r="C194" s="30" t="s">
        <v>281</v>
      </c>
      <c r="D194" s="30" t="s">
        <v>282</v>
      </c>
      <c r="E194" s="30" t="s">
        <v>283</v>
      </c>
      <c r="F194" s="30" t="s">
        <v>56</v>
      </c>
      <c r="G194" s="31">
        <v>45951</v>
      </c>
      <c r="H194" s="30" t="s">
        <v>812</v>
      </c>
      <c r="I194" s="30" t="s">
        <v>360</v>
      </c>
      <c r="J194" s="31">
        <v>45951</v>
      </c>
      <c r="K194" s="31">
        <v>45951</v>
      </c>
      <c r="L194" s="30" t="s">
        <v>354</v>
      </c>
      <c r="M194" s="30" t="s">
        <v>813</v>
      </c>
      <c r="N194" s="30" t="s">
        <v>286</v>
      </c>
      <c r="O194" s="30" t="s">
        <v>287</v>
      </c>
      <c r="P194" s="30" t="s">
        <v>0</v>
      </c>
      <c r="Q194" s="30" t="s">
        <v>352</v>
      </c>
      <c r="R194" s="30" t="s">
        <v>356</v>
      </c>
      <c r="S194" s="36">
        <v>13.59</v>
      </c>
      <c r="T194" s="37" t="s">
        <v>288</v>
      </c>
      <c r="U194" s="36">
        <v>1198.51</v>
      </c>
      <c r="V194" s="30" t="s">
        <v>369</v>
      </c>
      <c r="W194" s="30" t="s">
        <v>289</v>
      </c>
      <c r="X194" s="30" t="s">
        <v>0</v>
      </c>
      <c r="Y194" s="30" t="s">
        <v>814</v>
      </c>
      <c r="Z194" s="30" t="s">
        <v>290</v>
      </c>
      <c r="AA194" s="30" t="s">
        <v>815</v>
      </c>
      <c r="AB194" s="30" t="s">
        <v>0</v>
      </c>
      <c r="AC194" s="30" t="s">
        <v>0</v>
      </c>
      <c r="AD194" s="30" t="s">
        <v>0</v>
      </c>
      <c r="AE194" s="31">
        <v>45951</v>
      </c>
      <c r="AF194" s="31"/>
      <c r="AG194" s="30" t="s">
        <v>0</v>
      </c>
    </row>
    <row r="195" spans="1:33" x14ac:dyDescent="0.35">
      <c r="A195" s="30" t="s">
        <v>297</v>
      </c>
      <c r="B195" s="30" t="s">
        <v>280</v>
      </c>
      <c r="C195" s="30" t="s">
        <v>281</v>
      </c>
      <c r="D195" s="30" t="s">
        <v>282</v>
      </c>
      <c r="E195" s="30" t="s">
        <v>283</v>
      </c>
      <c r="F195" s="30" t="s">
        <v>56</v>
      </c>
      <c r="G195" s="31">
        <v>45951</v>
      </c>
      <c r="H195" s="30" t="s">
        <v>816</v>
      </c>
      <c r="I195" s="30" t="s">
        <v>360</v>
      </c>
      <c r="J195" s="31">
        <v>45951</v>
      </c>
      <c r="K195" s="31">
        <v>45951</v>
      </c>
      <c r="L195" s="30" t="s">
        <v>354</v>
      </c>
      <c r="M195" s="30" t="s">
        <v>817</v>
      </c>
      <c r="N195" s="30" t="s">
        <v>286</v>
      </c>
      <c r="O195" s="30" t="s">
        <v>287</v>
      </c>
      <c r="P195" s="30" t="s">
        <v>0</v>
      </c>
      <c r="Q195" s="30" t="s">
        <v>352</v>
      </c>
      <c r="R195" s="30" t="s">
        <v>356</v>
      </c>
      <c r="S195" s="36">
        <v>13.59</v>
      </c>
      <c r="T195" s="37" t="s">
        <v>288</v>
      </c>
      <c r="U195" s="36">
        <v>1198.51</v>
      </c>
      <c r="V195" s="30" t="s">
        <v>369</v>
      </c>
      <c r="W195" s="30" t="s">
        <v>289</v>
      </c>
      <c r="X195" s="30" t="s">
        <v>0</v>
      </c>
      <c r="Y195" s="30" t="s">
        <v>814</v>
      </c>
      <c r="Z195" s="30" t="s">
        <v>290</v>
      </c>
      <c r="AA195" s="30" t="s">
        <v>815</v>
      </c>
      <c r="AB195" s="30" t="s">
        <v>0</v>
      </c>
      <c r="AC195" s="30" t="s">
        <v>0</v>
      </c>
      <c r="AD195" s="30" t="s">
        <v>0</v>
      </c>
      <c r="AE195" s="31">
        <v>45951</v>
      </c>
      <c r="AF195" s="31"/>
      <c r="AG195" s="30" t="s">
        <v>0</v>
      </c>
    </row>
    <row r="196" spans="1:33" x14ac:dyDescent="0.35">
      <c r="A196" s="30" t="s">
        <v>297</v>
      </c>
      <c r="B196" s="30" t="s">
        <v>280</v>
      </c>
      <c r="C196" s="30" t="s">
        <v>281</v>
      </c>
      <c r="D196" s="30" t="s">
        <v>282</v>
      </c>
      <c r="E196" s="30" t="s">
        <v>283</v>
      </c>
      <c r="F196" s="30" t="s">
        <v>336</v>
      </c>
      <c r="G196" s="31">
        <v>45735</v>
      </c>
      <c r="H196" s="30" t="s">
        <v>818</v>
      </c>
      <c r="I196" s="30" t="s">
        <v>360</v>
      </c>
      <c r="J196" s="31">
        <v>45735</v>
      </c>
      <c r="K196" s="31">
        <v>45736</v>
      </c>
      <c r="L196" s="30" t="s">
        <v>354</v>
      </c>
      <c r="M196" s="30" t="s">
        <v>819</v>
      </c>
      <c r="N196" s="30" t="s">
        <v>286</v>
      </c>
      <c r="O196" s="30" t="s">
        <v>287</v>
      </c>
      <c r="P196" s="30" t="s">
        <v>0</v>
      </c>
      <c r="Q196" s="30" t="s">
        <v>352</v>
      </c>
      <c r="R196" s="30" t="s">
        <v>356</v>
      </c>
      <c r="S196" s="36">
        <v>186.08</v>
      </c>
      <c r="T196" s="37" t="s">
        <v>288</v>
      </c>
      <c r="U196" s="36">
        <v>16131.51</v>
      </c>
      <c r="V196" s="30" t="s">
        <v>369</v>
      </c>
      <c r="W196" s="30" t="s">
        <v>289</v>
      </c>
      <c r="X196" s="30" t="s">
        <v>0</v>
      </c>
      <c r="Y196" s="30" t="s">
        <v>354</v>
      </c>
      <c r="Z196" s="30" t="s">
        <v>290</v>
      </c>
      <c r="AA196" s="30" t="s">
        <v>820</v>
      </c>
      <c r="AB196" s="30" t="s">
        <v>0</v>
      </c>
      <c r="AC196" s="30" t="s">
        <v>0</v>
      </c>
      <c r="AD196" s="30" t="s">
        <v>0</v>
      </c>
      <c r="AE196" s="31">
        <v>45735</v>
      </c>
      <c r="AF196" s="31"/>
      <c r="AG196" s="30" t="s">
        <v>0</v>
      </c>
    </row>
    <row r="197" spans="1:33" x14ac:dyDescent="0.35">
      <c r="A197" s="30" t="s">
        <v>297</v>
      </c>
      <c r="B197" s="30" t="s">
        <v>280</v>
      </c>
      <c r="C197" s="30" t="s">
        <v>281</v>
      </c>
      <c r="D197" s="30" t="s">
        <v>282</v>
      </c>
      <c r="E197" s="30" t="s">
        <v>283</v>
      </c>
      <c r="F197" s="30" t="s">
        <v>336</v>
      </c>
      <c r="G197" s="31">
        <v>45735</v>
      </c>
      <c r="H197" s="30" t="s">
        <v>821</v>
      </c>
      <c r="I197" s="30" t="s">
        <v>360</v>
      </c>
      <c r="J197" s="31">
        <v>45735</v>
      </c>
      <c r="K197" s="31">
        <v>45736</v>
      </c>
      <c r="L197" s="30" t="s">
        <v>354</v>
      </c>
      <c r="M197" s="30" t="s">
        <v>822</v>
      </c>
      <c r="N197" s="30" t="s">
        <v>286</v>
      </c>
      <c r="O197" s="30" t="s">
        <v>287</v>
      </c>
      <c r="P197" s="30" t="s">
        <v>0</v>
      </c>
      <c r="Q197" s="30" t="s">
        <v>352</v>
      </c>
      <c r="R197" s="30" t="s">
        <v>356</v>
      </c>
      <c r="S197" s="36">
        <v>26.04</v>
      </c>
      <c r="T197" s="37" t="s">
        <v>288</v>
      </c>
      <c r="U197" s="36">
        <v>2257.44</v>
      </c>
      <c r="V197" s="30" t="s">
        <v>369</v>
      </c>
      <c r="W197" s="30" t="s">
        <v>289</v>
      </c>
      <c r="X197" s="30" t="s">
        <v>0</v>
      </c>
      <c r="Y197" s="30" t="s">
        <v>354</v>
      </c>
      <c r="Z197" s="30" t="s">
        <v>290</v>
      </c>
      <c r="AA197" s="30" t="s">
        <v>823</v>
      </c>
      <c r="AB197" s="30" t="s">
        <v>0</v>
      </c>
      <c r="AC197" s="30" t="s">
        <v>0</v>
      </c>
      <c r="AD197" s="30" t="s">
        <v>0</v>
      </c>
      <c r="AE197" s="31">
        <v>45735</v>
      </c>
      <c r="AF197" s="31"/>
      <c r="AG197" s="30" t="s">
        <v>0</v>
      </c>
    </row>
    <row r="198" spans="1:33" x14ac:dyDescent="0.35">
      <c r="A198" s="30" t="s">
        <v>297</v>
      </c>
      <c r="B198" s="30" t="s">
        <v>280</v>
      </c>
      <c r="C198" s="30" t="s">
        <v>281</v>
      </c>
      <c r="D198" s="30" t="s">
        <v>282</v>
      </c>
      <c r="E198" s="30" t="s">
        <v>283</v>
      </c>
      <c r="F198" s="30" t="s">
        <v>52</v>
      </c>
      <c r="G198" s="31">
        <v>45827</v>
      </c>
      <c r="H198" s="30" t="s">
        <v>824</v>
      </c>
      <c r="I198" s="30" t="s">
        <v>360</v>
      </c>
      <c r="J198" s="31">
        <v>45827</v>
      </c>
      <c r="K198" s="31">
        <v>45829</v>
      </c>
      <c r="L198" s="30" t="s">
        <v>354</v>
      </c>
      <c r="M198" s="30" t="s">
        <v>825</v>
      </c>
      <c r="N198" s="30" t="s">
        <v>286</v>
      </c>
      <c r="O198" s="30" t="s">
        <v>287</v>
      </c>
      <c r="P198" s="30" t="s">
        <v>0</v>
      </c>
      <c r="Q198" s="30" t="s">
        <v>352</v>
      </c>
      <c r="R198" s="30" t="s">
        <v>356</v>
      </c>
      <c r="S198" s="36">
        <v>110</v>
      </c>
      <c r="T198" s="37" t="s">
        <v>288</v>
      </c>
      <c r="U198" s="36">
        <v>9403.99</v>
      </c>
      <c r="V198" s="30" t="s">
        <v>369</v>
      </c>
      <c r="W198" s="30" t="s">
        <v>289</v>
      </c>
      <c r="X198" s="30" t="s">
        <v>0</v>
      </c>
      <c r="Y198" s="30" t="s">
        <v>354</v>
      </c>
      <c r="Z198" s="30" t="s">
        <v>290</v>
      </c>
      <c r="AA198" s="30" t="s">
        <v>826</v>
      </c>
      <c r="AB198" s="30" t="s">
        <v>0</v>
      </c>
      <c r="AC198" s="30" t="s">
        <v>0</v>
      </c>
      <c r="AD198" s="30" t="s">
        <v>0</v>
      </c>
      <c r="AE198" s="31">
        <v>45827</v>
      </c>
      <c r="AF198" s="31"/>
      <c r="AG198" s="30" t="s">
        <v>0</v>
      </c>
    </row>
    <row r="199" spans="1:33" x14ac:dyDescent="0.35">
      <c r="A199" s="30" t="s">
        <v>297</v>
      </c>
      <c r="B199" s="30" t="s">
        <v>280</v>
      </c>
      <c r="C199" s="30" t="s">
        <v>281</v>
      </c>
      <c r="D199" s="30" t="s">
        <v>282</v>
      </c>
      <c r="E199" s="30" t="s">
        <v>283</v>
      </c>
      <c r="F199" s="30" t="s">
        <v>52</v>
      </c>
      <c r="G199" s="31">
        <v>45827</v>
      </c>
      <c r="H199" s="30" t="s">
        <v>827</v>
      </c>
      <c r="I199" s="30" t="s">
        <v>360</v>
      </c>
      <c r="J199" s="31">
        <v>45827</v>
      </c>
      <c r="K199" s="31">
        <v>45829</v>
      </c>
      <c r="L199" s="30" t="s">
        <v>354</v>
      </c>
      <c r="M199" s="30" t="s">
        <v>828</v>
      </c>
      <c r="N199" s="30" t="s">
        <v>286</v>
      </c>
      <c r="O199" s="30" t="s">
        <v>287</v>
      </c>
      <c r="P199" s="30" t="s">
        <v>0</v>
      </c>
      <c r="Q199" s="30" t="s">
        <v>352</v>
      </c>
      <c r="R199" s="30" t="s">
        <v>356</v>
      </c>
      <c r="S199" s="36">
        <v>287.81</v>
      </c>
      <c r="T199" s="37" t="s">
        <v>288</v>
      </c>
      <c r="U199" s="36">
        <v>24605.1</v>
      </c>
      <c r="V199" s="30" t="s">
        <v>369</v>
      </c>
      <c r="W199" s="30" t="s">
        <v>289</v>
      </c>
      <c r="X199" s="30" t="s">
        <v>0</v>
      </c>
      <c r="Y199" s="30" t="s">
        <v>0</v>
      </c>
      <c r="Z199" s="30" t="s">
        <v>290</v>
      </c>
      <c r="AA199" s="30" t="s">
        <v>829</v>
      </c>
      <c r="AB199" s="30" t="s">
        <v>0</v>
      </c>
      <c r="AC199" s="30" t="s">
        <v>0</v>
      </c>
      <c r="AD199" s="30" t="s">
        <v>0</v>
      </c>
      <c r="AE199" s="31">
        <v>45827</v>
      </c>
      <c r="AF199" s="31"/>
      <c r="AG199" s="30" t="s">
        <v>0</v>
      </c>
    </row>
    <row r="200" spans="1:33" x14ac:dyDescent="0.35">
      <c r="A200" s="30" t="s">
        <v>297</v>
      </c>
      <c r="B200" s="30" t="s">
        <v>280</v>
      </c>
      <c r="C200" s="30" t="s">
        <v>281</v>
      </c>
      <c r="D200" s="30" t="s">
        <v>282</v>
      </c>
      <c r="E200" s="30" t="s">
        <v>283</v>
      </c>
      <c r="F200" s="30" t="s">
        <v>57</v>
      </c>
      <c r="G200" s="31">
        <v>45981</v>
      </c>
      <c r="H200" s="30" t="s">
        <v>830</v>
      </c>
      <c r="I200" s="30" t="s">
        <v>360</v>
      </c>
      <c r="J200" s="31">
        <v>45981</v>
      </c>
      <c r="K200" s="31">
        <v>45982</v>
      </c>
      <c r="L200" s="30" t="s">
        <v>354</v>
      </c>
      <c r="M200" s="30" t="s">
        <v>831</v>
      </c>
      <c r="N200" s="30" t="s">
        <v>286</v>
      </c>
      <c r="O200" s="30" t="s">
        <v>287</v>
      </c>
      <c r="P200" s="30" t="s">
        <v>0</v>
      </c>
      <c r="Q200" s="30" t="s">
        <v>352</v>
      </c>
      <c r="R200" s="30" t="s">
        <v>356</v>
      </c>
      <c r="S200" s="36">
        <v>2040.23</v>
      </c>
      <c r="T200" s="37" t="s">
        <v>288</v>
      </c>
      <c r="U200" s="36">
        <v>179547.16</v>
      </c>
      <c r="V200" s="30" t="s">
        <v>369</v>
      </c>
      <c r="W200" s="30" t="s">
        <v>289</v>
      </c>
      <c r="X200" s="30" t="s">
        <v>0</v>
      </c>
      <c r="Y200" s="30" t="s">
        <v>832</v>
      </c>
      <c r="Z200" s="30" t="s">
        <v>290</v>
      </c>
      <c r="AA200" s="30" t="s">
        <v>833</v>
      </c>
      <c r="AB200" s="30" t="s">
        <v>0</v>
      </c>
      <c r="AC200" s="30" t="s">
        <v>0</v>
      </c>
      <c r="AD200" s="30" t="s">
        <v>0</v>
      </c>
      <c r="AE200" s="31">
        <v>45981</v>
      </c>
      <c r="AF200" s="31"/>
      <c r="AG200" s="30" t="s">
        <v>0</v>
      </c>
    </row>
    <row r="201" spans="1:33" x14ac:dyDescent="0.35">
      <c r="A201" s="30" t="s">
        <v>297</v>
      </c>
      <c r="B201" s="30" t="s">
        <v>280</v>
      </c>
      <c r="C201" s="30" t="s">
        <v>281</v>
      </c>
      <c r="D201" s="30" t="s">
        <v>282</v>
      </c>
      <c r="E201" s="30" t="s">
        <v>283</v>
      </c>
      <c r="F201" s="30" t="s">
        <v>57</v>
      </c>
      <c r="G201" s="31">
        <v>45981</v>
      </c>
      <c r="H201" s="30" t="s">
        <v>834</v>
      </c>
      <c r="I201" s="30" t="s">
        <v>360</v>
      </c>
      <c r="J201" s="31">
        <v>45981</v>
      </c>
      <c r="K201" s="31">
        <v>45985</v>
      </c>
      <c r="L201" s="30" t="s">
        <v>354</v>
      </c>
      <c r="M201" s="30" t="s">
        <v>835</v>
      </c>
      <c r="N201" s="30" t="s">
        <v>286</v>
      </c>
      <c r="O201" s="30" t="s">
        <v>287</v>
      </c>
      <c r="P201" s="30" t="s">
        <v>0</v>
      </c>
      <c r="Q201" s="30" t="s">
        <v>352</v>
      </c>
      <c r="R201" s="30" t="s">
        <v>356</v>
      </c>
      <c r="S201" s="36">
        <v>65.05</v>
      </c>
      <c r="T201" s="37" t="s">
        <v>288</v>
      </c>
      <c r="U201" s="36">
        <v>5724.62</v>
      </c>
      <c r="V201" s="30" t="s">
        <v>369</v>
      </c>
      <c r="W201" s="30" t="s">
        <v>289</v>
      </c>
      <c r="X201" s="30" t="s">
        <v>0</v>
      </c>
      <c r="Y201" s="30" t="s">
        <v>836</v>
      </c>
      <c r="Z201" s="30" t="s">
        <v>290</v>
      </c>
      <c r="AA201" s="30" t="s">
        <v>837</v>
      </c>
      <c r="AB201" s="30" t="s">
        <v>0</v>
      </c>
      <c r="AC201" s="30" t="s">
        <v>0</v>
      </c>
      <c r="AD201" s="30" t="s">
        <v>0</v>
      </c>
      <c r="AE201" s="31">
        <v>45981</v>
      </c>
      <c r="AF201" s="31"/>
      <c r="AG201" s="30" t="s">
        <v>0</v>
      </c>
    </row>
    <row r="202" spans="1:33" x14ac:dyDescent="0.35">
      <c r="A202" s="30" t="s">
        <v>297</v>
      </c>
      <c r="B202" s="30" t="s">
        <v>280</v>
      </c>
      <c r="C202" s="30" t="s">
        <v>281</v>
      </c>
      <c r="D202" s="30" t="s">
        <v>282</v>
      </c>
      <c r="E202" s="30" t="s">
        <v>283</v>
      </c>
      <c r="F202" s="30" t="s">
        <v>57</v>
      </c>
      <c r="G202" s="31">
        <v>45981</v>
      </c>
      <c r="H202" s="30" t="s">
        <v>838</v>
      </c>
      <c r="I202" s="30" t="s">
        <v>360</v>
      </c>
      <c r="J202" s="31">
        <v>45981</v>
      </c>
      <c r="K202" s="31">
        <v>45985</v>
      </c>
      <c r="L202" s="30" t="s">
        <v>354</v>
      </c>
      <c r="M202" s="30" t="s">
        <v>839</v>
      </c>
      <c r="N202" s="30" t="s">
        <v>286</v>
      </c>
      <c r="O202" s="30" t="s">
        <v>287</v>
      </c>
      <c r="P202" s="30" t="s">
        <v>0</v>
      </c>
      <c r="Q202" s="30" t="s">
        <v>352</v>
      </c>
      <c r="R202" s="30" t="s">
        <v>356</v>
      </c>
      <c r="S202" s="36">
        <v>42.21</v>
      </c>
      <c r="T202" s="37" t="s">
        <v>288</v>
      </c>
      <c r="U202" s="36">
        <v>3714.62</v>
      </c>
      <c r="V202" s="30" t="s">
        <v>369</v>
      </c>
      <c r="W202" s="30" t="s">
        <v>289</v>
      </c>
      <c r="X202" s="30" t="s">
        <v>0</v>
      </c>
      <c r="Y202" s="30" t="s">
        <v>840</v>
      </c>
      <c r="Z202" s="30" t="s">
        <v>290</v>
      </c>
      <c r="AA202" s="30" t="s">
        <v>841</v>
      </c>
      <c r="AB202" s="30" t="s">
        <v>0</v>
      </c>
      <c r="AC202" s="30" t="s">
        <v>0</v>
      </c>
      <c r="AD202" s="30" t="s">
        <v>0</v>
      </c>
      <c r="AE202" s="31">
        <v>45981</v>
      </c>
      <c r="AF202" s="31"/>
      <c r="AG202" s="30" t="s">
        <v>0</v>
      </c>
    </row>
    <row r="203" spans="1:33" x14ac:dyDescent="0.35">
      <c r="A203" s="30" t="s">
        <v>297</v>
      </c>
      <c r="B203" s="30" t="s">
        <v>280</v>
      </c>
      <c r="C203" s="30" t="s">
        <v>281</v>
      </c>
      <c r="D203" s="30" t="s">
        <v>282</v>
      </c>
      <c r="E203" s="30" t="s">
        <v>283</v>
      </c>
      <c r="F203" s="30" t="s">
        <v>291</v>
      </c>
      <c r="G203" s="31">
        <v>45769</v>
      </c>
      <c r="H203" s="30" t="s">
        <v>842</v>
      </c>
      <c r="I203" s="30" t="s">
        <v>360</v>
      </c>
      <c r="J203" s="31">
        <v>45769</v>
      </c>
      <c r="K203" s="31">
        <v>45770</v>
      </c>
      <c r="L203" s="30" t="s">
        <v>354</v>
      </c>
      <c r="M203" s="30" t="s">
        <v>843</v>
      </c>
      <c r="N203" s="30" t="s">
        <v>286</v>
      </c>
      <c r="O203" s="30" t="s">
        <v>287</v>
      </c>
      <c r="P203" s="30" t="s">
        <v>0</v>
      </c>
      <c r="Q203" s="30" t="s">
        <v>352</v>
      </c>
      <c r="R203" s="30" t="s">
        <v>356</v>
      </c>
      <c r="S203" s="36">
        <v>17.75</v>
      </c>
      <c r="T203" s="37" t="s">
        <v>288</v>
      </c>
      <c r="U203" s="36">
        <v>1542.86</v>
      </c>
      <c r="V203" s="30" t="s">
        <v>369</v>
      </c>
      <c r="W203" s="30" t="s">
        <v>289</v>
      </c>
      <c r="X203" s="30" t="s">
        <v>0</v>
      </c>
      <c r="Y203" s="30" t="s">
        <v>354</v>
      </c>
      <c r="Z203" s="30" t="s">
        <v>290</v>
      </c>
      <c r="AA203" s="30" t="s">
        <v>844</v>
      </c>
      <c r="AB203" s="30" t="s">
        <v>0</v>
      </c>
      <c r="AC203" s="30" t="s">
        <v>0</v>
      </c>
      <c r="AD203" s="30" t="s">
        <v>0</v>
      </c>
      <c r="AE203" s="31">
        <v>45769</v>
      </c>
      <c r="AF203" s="31"/>
      <c r="AG203" s="30" t="s">
        <v>0</v>
      </c>
    </row>
    <row r="204" spans="1:33" x14ac:dyDescent="0.35">
      <c r="A204" s="30" t="s">
        <v>297</v>
      </c>
      <c r="B204" s="30" t="s">
        <v>280</v>
      </c>
      <c r="C204" s="30" t="s">
        <v>281</v>
      </c>
      <c r="D204" s="30" t="s">
        <v>282</v>
      </c>
      <c r="E204" s="30" t="s">
        <v>283</v>
      </c>
      <c r="F204" s="30" t="s">
        <v>291</v>
      </c>
      <c r="G204" s="31">
        <v>45769</v>
      </c>
      <c r="H204" s="30" t="s">
        <v>845</v>
      </c>
      <c r="I204" s="30" t="s">
        <v>360</v>
      </c>
      <c r="J204" s="31">
        <v>45769</v>
      </c>
      <c r="K204" s="31">
        <v>45770</v>
      </c>
      <c r="L204" s="30" t="s">
        <v>354</v>
      </c>
      <c r="M204" s="30" t="s">
        <v>846</v>
      </c>
      <c r="N204" s="30" t="s">
        <v>286</v>
      </c>
      <c r="O204" s="30" t="s">
        <v>287</v>
      </c>
      <c r="P204" s="30" t="s">
        <v>0</v>
      </c>
      <c r="Q204" s="30" t="s">
        <v>352</v>
      </c>
      <c r="R204" s="30" t="s">
        <v>356</v>
      </c>
      <c r="S204" s="36">
        <v>43.02</v>
      </c>
      <c r="T204" s="37" t="s">
        <v>288</v>
      </c>
      <c r="U204" s="36">
        <v>3739.38</v>
      </c>
      <c r="V204" s="30" t="s">
        <v>369</v>
      </c>
      <c r="W204" s="30" t="s">
        <v>289</v>
      </c>
      <c r="X204" s="30" t="s">
        <v>0</v>
      </c>
      <c r="Y204" s="30" t="s">
        <v>354</v>
      </c>
      <c r="Z204" s="30" t="s">
        <v>290</v>
      </c>
      <c r="AA204" s="30" t="s">
        <v>847</v>
      </c>
      <c r="AB204" s="30" t="s">
        <v>0</v>
      </c>
      <c r="AC204" s="30" t="s">
        <v>0</v>
      </c>
      <c r="AD204" s="30" t="s">
        <v>0</v>
      </c>
      <c r="AE204" s="31">
        <v>45769</v>
      </c>
      <c r="AF204" s="31"/>
      <c r="AG204" s="30" t="s">
        <v>0</v>
      </c>
    </row>
    <row r="205" spans="1:33" x14ac:dyDescent="0.35">
      <c r="A205" s="30" t="s">
        <v>297</v>
      </c>
      <c r="B205" s="30" t="s">
        <v>280</v>
      </c>
      <c r="C205" s="30" t="s">
        <v>281</v>
      </c>
      <c r="D205" s="30" t="s">
        <v>282</v>
      </c>
      <c r="E205" s="30" t="s">
        <v>283</v>
      </c>
      <c r="F205" s="30" t="s">
        <v>291</v>
      </c>
      <c r="G205" s="31">
        <v>45769</v>
      </c>
      <c r="H205" s="30" t="s">
        <v>848</v>
      </c>
      <c r="I205" s="30" t="s">
        <v>360</v>
      </c>
      <c r="J205" s="31">
        <v>45769</v>
      </c>
      <c r="K205" s="31">
        <v>45770</v>
      </c>
      <c r="L205" s="30" t="s">
        <v>354</v>
      </c>
      <c r="M205" s="30" t="s">
        <v>849</v>
      </c>
      <c r="N205" s="30" t="s">
        <v>286</v>
      </c>
      <c r="O205" s="30" t="s">
        <v>287</v>
      </c>
      <c r="P205" s="30" t="s">
        <v>0</v>
      </c>
      <c r="Q205" s="30" t="s">
        <v>352</v>
      </c>
      <c r="R205" s="30" t="s">
        <v>356</v>
      </c>
      <c r="S205" s="36">
        <v>6.05</v>
      </c>
      <c r="T205" s="37" t="s">
        <v>288</v>
      </c>
      <c r="U205" s="36">
        <v>525.88</v>
      </c>
      <c r="V205" s="30" t="s">
        <v>369</v>
      </c>
      <c r="W205" s="30" t="s">
        <v>289</v>
      </c>
      <c r="X205" s="30" t="s">
        <v>0</v>
      </c>
      <c r="Y205" s="30" t="s">
        <v>354</v>
      </c>
      <c r="Z205" s="30" t="s">
        <v>290</v>
      </c>
      <c r="AA205" s="30" t="s">
        <v>850</v>
      </c>
      <c r="AB205" s="30" t="s">
        <v>0</v>
      </c>
      <c r="AC205" s="30" t="s">
        <v>0</v>
      </c>
      <c r="AD205" s="30" t="s">
        <v>0</v>
      </c>
      <c r="AE205" s="31">
        <v>45769</v>
      </c>
      <c r="AF205" s="31"/>
      <c r="AG205" s="30" t="s">
        <v>0</v>
      </c>
    </row>
    <row r="206" spans="1:33" x14ac:dyDescent="0.35">
      <c r="A206" s="30" t="s">
        <v>297</v>
      </c>
      <c r="B206" s="30" t="s">
        <v>280</v>
      </c>
      <c r="C206" s="30" t="s">
        <v>281</v>
      </c>
      <c r="D206" s="30" t="s">
        <v>282</v>
      </c>
      <c r="E206" s="30" t="s">
        <v>283</v>
      </c>
      <c r="F206" s="30" t="s">
        <v>55</v>
      </c>
      <c r="G206" s="31">
        <v>45918</v>
      </c>
      <c r="H206" s="30" t="s">
        <v>851</v>
      </c>
      <c r="I206" s="30" t="s">
        <v>360</v>
      </c>
      <c r="J206" s="31">
        <v>45918</v>
      </c>
      <c r="K206" s="31">
        <v>45922</v>
      </c>
      <c r="L206" s="30" t="s">
        <v>354</v>
      </c>
      <c r="M206" s="30" t="s">
        <v>852</v>
      </c>
      <c r="N206" s="30" t="s">
        <v>286</v>
      </c>
      <c r="O206" s="30" t="s">
        <v>287</v>
      </c>
      <c r="P206" s="30" t="s">
        <v>0</v>
      </c>
      <c r="Q206" s="30" t="s">
        <v>352</v>
      </c>
      <c r="R206" s="30" t="s">
        <v>356</v>
      </c>
      <c r="S206" s="36">
        <v>41.3</v>
      </c>
      <c r="T206" s="37" t="s">
        <v>288</v>
      </c>
      <c r="U206" s="36">
        <v>3614.34</v>
      </c>
      <c r="V206" s="30" t="s">
        <v>369</v>
      </c>
      <c r="W206" s="30" t="s">
        <v>289</v>
      </c>
      <c r="X206" s="30" t="s">
        <v>0</v>
      </c>
      <c r="Y206" s="30" t="s">
        <v>853</v>
      </c>
      <c r="Z206" s="30" t="s">
        <v>290</v>
      </c>
      <c r="AA206" s="30" t="s">
        <v>854</v>
      </c>
      <c r="AB206" s="30" t="s">
        <v>0</v>
      </c>
      <c r="AC206" s="30" t="s">
        <v>0</v>
      </c>
      <c r="AD206" s="30" t="s">
        <v>0</v>
      </c>
      <c r="AE206" s="31">
        <v>45918</v>
      </c>
      <c r="AF206" s="31"/>
      <c r="AG206" s="30" t="s">
        <v>0</v>
      </c>
    </row>
    <row r="207" spans="1:33" x14ac:dyDescent="0.35">
      <c r="A207" s="30" t="s">
        <v>297</v>
      </c>
      <c r="B207" s="30" t="s">
        <v>280</v>
      </c>
      <c r="C207" s="30" t="s">
        <v>281</v>
      </c>
      <c r="D207" s="30" t="s">
        <v>282</v>
      </c>
      <c r="E207" s="30" t="s">
        <v>283</v>
      </c>
      <c r="F207" s="30" t="s">
        <v>55</v>
      </c>
      <c r="G207" s="31">
        <v>45918</v>
      </c>
      <c r="H207" s="30" t="s">
        <v>855</v>
      </c>
      <c r="I207" s="30" t="s">
        <v>360</v>
      </c>
      <c r="J207" s="31">
        <v>45918</v>
      </c>
      <c r="K207" s="31">
        <v>45922</v>
      </c>
      <c r="L207" s="30" t="s">
        <v>354</v>
      </c>
      <c r="M207" s="30" t="s">
        <v>856</v>
      </c>
      <c r="N207" s="30" t="s">
        <v>286</v>
      </c>
      <c r="O207" s="30" t="s">
        <v>287</v>
      </c>
      <c r="P207" s="30" t="s">
        <v>0</v>
      </c>
      <c r="Q207" s="30" t="s">
        <v>352</v>
      </c>
      <c r="R207" s="30" t="s">
        <v>356</v>
      </c>
      <c r="S207" s="36">
        <v>156.84</v>
      </c>
      <c r="T207" s="37" t="s">
        <v>288</v>
      </c>
      <c r="U207" s="36">
        <v>13725.75</v>
      </c>
      <c r="V207" s="30" t="s">
        <v>369</v>
      </c>
      <c r="W207" s="30" t="s">
        <v>289</v>
      </c>
      <c r="X207" s="30" t="s">
        <v>0</v>
      </c>
      <c r="Y207" s="30" t="s">
        <v>857</v>
      </c>
      <c r="Z207" s="30" t="s">
        <v>290</v>
      </c>
      <c r="AA207" s="30" t="s">
        <v>858</v>
      </c>
      <c r="AB207" s="30" t="s">
        <v>0</v>
      </c>
      <c r="AC207" s="30" t="s">
        <v>0</v>
      </c>
      <c r="AD207" s="30" t="s">
        <v>0</v>
      </c>
      <c r="AE207" s="31">
        <v>45918</v>
      </c>
      <c r="AF207" s="31"/>
      <c r="AG207" s="30" t="s">
        <v>0</v>
      </c>
    </row>
    <row r="208" spans="1:33" x14ac:dyDescent="0.35">
      <c r="A208" s="30" t="s">
        <v>297</v>
      </c>
      <c r="B208" s="30" t="s">
        <v>280</v>
      </c>
      <c r="C208" s="30" t="s">
        <v>281</v>
      </c>
      <c r="D208" s="30" t="s">
        <v>282</v>
      </c>
      <c r="E208" s="30" t="s">
        <v>283</v>
      </c>
      <c r="F208" s="30" t="s">
        <v>59</v>
      </c>
      <c r="G208" s="31">
        <v>45996</v>
      </c>
      <c r="H208" s="30" t="s">
        <v>859</v>
      </c>
      <c r="I208" s="30" t="s">
        <v>360</v>
      </c>
      <c r="J208" s="31">
        <v>45996</v>
      </c>
      <c r="K208" s="31">
        <v>46000</v>
      </c>
      <c r="L208" s="30" t="s">
        <v>354</v>
      </c>
      <c r="M208" s="30" t="s">
        <v>860</v>
      </c>
      <c r="N208" s="30" t="s">
        <v>286</v>
      </c>
      <c r="O208" s="30" t="s">
        <v>287</v>
      </c>
      <c r="P208" s="30" t="s">
        <v>0</v>
      </c>
      <c r="Q208" s="30" t="s">
        <v>352</v>
      </c>
      <c r="R208" s="30" t="s">
        <v>356</v>
      </c>
      <c r="S208" s="36">
        <v>161.41</v>
      </c>
      <c r="T208" s="37" t="s">
        <v>288</v>
      </c>
      <c r="U208" s="36">
        <v>14317.09</v>
      </c>
      <c r="V208" s="30" t="s">
        <v>369</v>
      </c>
      <c r="W208" s="30" t="s">
        <v>289</v>
      </c>
      <c r="X208" s="30" t="s">
        <v>0</v>
      </c>
      <c r="Y208" s="30" t="s">
        <v>861</v>
      </c>
      <c r="Z208" s="30" t="s">
        <v>290</v>
      </c>
      <c r="AA208" s="30" t="s">
        <v>862</v>
      </c>
      <c r="AB208" s="30" t="s">
        <v>0</v>
      </c>
      <c r="AC208" s="30" t="s">
        <v>0</v>
      </c>
      <c r="AD208" s="30" t="s">
        <v>0</v>
      </c>
      <c r="AE208" s="31">
        <v>45996</v>
      </c>
      <c r="AF208" s="31"/>
      <c r="AG208" s="30" t="s">
        <v>0</v>
      </c>
    </row>
    <row r="209" spans="1:33" x14ac:dyDescent="0.35">
      <c r="A209" s="30" t="s">
        <v>279</v>
      </c>
      <c r="B209" s="30" t="s">
        <v>280</v>
      </c>
      <c r="C209" s="30" t="s">
        <v>281</v>
      </c>
      <c r="D209" s="30" t="s">
        <v>282</v>
      </c>
      <c r="E209" s="30" t="s">
        <v>283</v>
      </c>
      <c r="F209" s="30" t="s">
        <v>51</v>
      </c>
      <c r="G209" s="31">
        <v>45799</v>
      </c>
      <c r="H209" s="30" t="s">
        <v>863</v>
      </c>
      <c r="I209" s="30" t="s">
        <v>437</v>
      </c>
      <c r="J209" s="31">
        <v>45799</v>
      </c>
      <c r="K209" s="31">
        <v>45800</v>
      </c>
      <c r="L209" s="30" t="s">
        <v>354</v>
      </c>
      <c r="M209" s="30" t="s">
        <v>864</v>
      </c>
      <c r="N209" s="30" t="s">
        <v>286</v>
      </c>
      <c r="O209" s="30" t="s">
        <v>287</v>
      </c>
      <c r="P209" s="30" t="s">
        <v>0</v>
      </c>
      <c r="Q209" s="30" t="s">
        <v>57</v>
      </c>
      <c r="R209" s="30" t="s">
        <v>356</v>
      </c>
      <c r="S209" s="36">
        <v>-368.88</v>
      </c>
      <c r="T209" s="37" t="s">
        <v>288</v>
      </c>
      <c r="U209" s="36">
        <v>-31978.67</v>
      </c>
      <c r="V209" s="30" t="s">
        <v>369</v>
      </c>
      <c r="W209" s="30" t="s">
        <v>289</v>
      </c>
      <c r="X209" s="30" t="s">
        <v>0</v>
      </c>
      <c r="Y209" s="30" t="s">
        <v>354</v>
      </c>
      <c r="Z209" s="30" t="s">
        <v>290</v>
      </c>
      <c r="AA209" s="30" t="s">
        <v>865</v>
      </c>
      <c r="AB209" s="30" t="s">
        <v>0</v>
      </c>
      <c r="AC209" s="30" t="s">
        <v>0</v>
      </c>
      <c r="AD209" s="30" t="s">
        <v>0</v>
      </c>
      <c r="AE209" s="31">
        <v>45799</v>
      </c>
      <c r="AF209" s="31">
        <v>45861</v>
      </c>
      <c r="AG209" s="30" t="s">
        <v>357</v>
      </c>
    </row>
    <row r="210" spans="1:33" x14ac:dyDescent="0.35">
      <c r="A210" s="30" t="s">
        <v>279</v>
      </c>
      <c r="B210" s="30" t="s">
        <v>280</v>
      </c>
      <c r="C210" s="30" t="s">
        <v>281</v>
      </c>
      <c r="D210" s="30" t="s">
        <v>282</v>
      </c>
      <c r="E210" s="30" t="s">
        <v>283</v>
      </c>
      <c r="F210" s="30" t="s">
        <v>51</v>
      </c>
      <c r="G210" s="31">
        <v>45799</v>
      </c>
      <c r="H210" s="30" t="s">
        <v>866</v>
      </c>
      <c r="I210" s="30" t="s">
        <v>437</v>
      </c>
      <c r="J210" s="31">
        <v>45799</v>
      </c>
      <c r="K210" s="31">
        <v>45800</v>
      </c>
      <c r="L210" s="30" t="s">
        <v>354</v>
      </c>
      <c r="M210" s="30" t="s">
        <v>867</v>
      </c>
      <c r="N210" s="30" t="s">
        <v>286</v>
      </c>
      <c r="O210" s="30" t="s">
        <v>287</v>
      </c>
      <c r="P210" s="30" t="s">
        <v>0</v>
      </c>
      <c r="Q210" s="30" t="s">
        <v>57</v>
      </c>
      <c r="R210" s="30" t="s">
        <v>356</v>
      </c>
      <c r="S210" s="36">
        <v>-190.41</v>
      </c>
      <c r="T210" s="37" t="s">
        <v>288</v>
      </c>
      <c r="U210" s="36">
        <v>-16550.78</v>
      </c>
      <c r="V210" s="30" t="s">
        <v>369</v>
      </c>
      <c r="W210" s="30" t="s">
        <v>289</v>
      </c>
      <c r="X210" s="30" t="s">
        <v>0</v>
      </c>
      <c r="Y210" s="30" t="s">
        <v>354</v>
      </c>
      <c r="Z210" s="30" t="s">
        <v>290</v>
      </c>
      <c r="AA210" s="30" t="s">
        <v>868</v>
      </c>
      <c r="AB210" s="30" t="s">
        <v>0</v>
      </c>
      <c r="AC210" s="30" t="s">
        <v>0</v>
      </c>
      <c r="AD210" s="30" t="s">
        <v>0</v>
      </c>
      <c r="AE210" s="31">
        <v>45799</v>
      </c>
      <c r="AF210" s="31">
        <v>45861</v>
      </c>
      <c r="AG210" s="30" t="s">
        <v>358</v>
      </c>
    </row>
    <row r="211" spans="1:33" x14ac:dyDescent="0.35">
      <c r="A211" s="30" t="s">
        <v>297</v>
      </c>
      <c r="B211" s="30" t="s">
        <v>280</v>
      </c>
      <c r="C211" s="30" t="s">
        <v>281</v>
      </c>
      <c r="D211" s="30" t="s">
        <v>282</v>
      </c>
      <c r="E211" s="30" t="s">
        <v>283</v>
      </c>
      <c r="F211" s="30" t="s">
        <v>291</v>
      </c>
      <c r="G211" s="31">
        <v>45770</v>
      </c>
      <c r="H211" s="30" t="s">
        <v>869</v>
      </c>
      <c r="I211" s="30" t="s">
        <v>360</v>
      </c>
      <c r="J211" s="31">
        <v>45770</v>
      </c>
      <c r="K211" s="31">
        <v>45776</v>
      </c>
      <c r="L211" s="30" t="s">
        <v>354</v>
      </c>
      <c r="M211" s="30" t="s">
        <v>870</v>
      </c>
      <c r="N211" s="30" t="s">
        <v>286</v>
      </c>
      <c r="O211" s="30" t="s">
        <v>287</v>
      </c>
      <c r="P211" s="30" t="s">
        <v>0</v>
      </c>
      <c r="Q211" s="30" t="s">
        <v>352</v>
      </c>
      <c r="R211" s="30" t="s">
        <v>356</v>
      </c>
      <c r="S211" s="36">
        <v>189.2</v>
      </c>
      <c r="T211" s="37" t="s">
        <v>288</v>
      </c>
      <c r="U211" s="36">
        <v>16445.61</v>
      </c>
      <c r="V211" s="30" t="s">
        <v>369</v>
      </c>
      <c r="W211" s="30" t="s">
        <v>289</v>
      </c>
      <c r="X211" s="30" t="s">
        <v>0</v>
      </c>
      <c r="Y211" s="30" t="s">
        <v>354</v>
      </c>
      <c r="Z211" s="30" t="s">
        <v>290</v>
      </c>
      <c r="AA211" s="30" t="s">
        <v>871</v>
      </c>
      <c r="AB211" s="30" t="s">
        <v>0</v>
      </c>
      <c r="AC211" s="30" t="s">
        <v>0</v>
      </c>
      <c r="AD211" s="30" t="s">
        <v>0</v>
      </c>
      <c r="AE211" s="31">
        <v>45770</v>
      </c>
      <c r="AF211" s="31"/>
      <c r="AG211" s="30" t="s">
        <v>0</v>
      </c>
    </row>
    <row r="212" spans="1:33" x14ac:dyDescent="0.35">
      <c r="A212" s="30" t="s">
        <v>279</v>
      </c>
      <c r="B212" s="30" t="s">
        <v>280</v>
      </c>
      <c r="C212" s="30" t="s">
        <v>281</v>
      </c>
      <c r="D212" s="30" t="s">
        <v>282</v>
      </c>
      <c r="E212" s="30" t="s">
        <v>283</v>
      </c>
      <c r="F212" s="30" t="s">
        <v>291</v>
      </c>
      <c r="G212" s="31">
        <v>45770</v>
      </c>
      <c r="H212" s="30" t="s">
        <v>872</v>
      </c>
      <c r="I212" s="30" t="s">
        <v>360</v>
      </c>
      <c r="J212" s="31">
        <v>45770</v>
      </c>
      <c r="K212" s="31">
        <v>45776</v>
      </c>
      <c r="L212" s="30" t="s">
        <v>354</v>
      </c>
      <c r="M212" s="30" t="s">
        <v>873</v>
      </c>
      <c r="N212" s="30" t="s">
        <v>286</v>
      </c>
      <c r="O212" s="30" t="s">
        <v>287</v>
      </c>
      <c r="P212" s="30" t="s">
        <v>0</v>
      </c>
      <c r="Q212" s="30" t="s">
        <v>352</v>
      </c>
      <c r="R212" s="30" t="s">
        <v>356</v>
      </c>
      <c r="S212" s="36">
        <v>190.41</v>
      </c>
      <c r="T212" s="37" t="s">
        <v>288</v>
      </c>
      <c r="U212" s="36">
        <v>16550.78</v>
      </c>
      <c r="V212" s="30" t="s">
        <v>369</v>
      </c>
      <c r="W212" s="30" t="s">
        <v>289</v>
      </c>
      <c r="X212" s="30" t="s">
        <v>0</v>
      </c>
      <c r="Y212" s="30" t="s">
        <v>354</v>
      </c>
      <c r="Z212" s="30" t="s">
        <v>290</v>
      </c>
      <c r="AA212" s="30" t="s">
        <v>874</v>
      </c>
      <c r="AB212" s="30" t="s">
        <v>0</v>
      </c>
      <c r="AC212" s="30" t="s">
        <v>0</v>
      </c>
      <c r="AD212" s="30" t="s">
        <v>0</v>
      </c>
      <c r="AE212" s="31">
        <v>45770</v>
      </c>
      <c r="AF212" s="31">
        <v>45861</v>
      </c>
      <c r="AG212" s="30" t="s">
        <v>358</v>
      </c>
    </row>
    <row r="213" spans="1:33" x14ac:dyDescent="0.35">
      <c r="A213" s="30" t="s">
        <v>297</v>
      </c>
      <c r="B213" s="30" t="s">
        <v>280</v>
      </c>
      <c r="C213" s="30" t="s">
        <v>281</v>
      </c>
      <c r="D213" s="30" t="s">
        <v>282</v>
      </c>
      <c r="E213" s="30" t="s">
        <v>283</v>
      </c>
      <c r="F213" s="30" t="s">
        <v>336</v>
      </c>
      <c r="G213" s="31">
        <v>45737</v>
      </c>
      <c r="H213" s="30" t="s">
        <v>875</v>
      </c>
      <c r="I213" s="30" t="s">
        <v>360</v>
      </c>
      <c r="J213" s="31">
        <v>45737</v>
      </c>
      <c r="K213" s="31">
        <v>45737</v>
      </c>
      <c r="L213" s="30" t="s">
        <v>354</v>
      </c>
      <c r="M213" s="30" t="s">
        <v>876</v>
      </c>
      <c r="N213" s="30" t="s">
        <v>286</v>
      </c>
      <c r="O213" s="30" t="s">
        <v>287</v>
      </c>
      <c r="P213" s="30" t="s">
        <v>0</v>
      </c>
      <c r="Q213" s="30" t="s">
        <v>352</v>
      </c>
      <c r="R213" s="30" t="s">
        <v>356</v>
      </c>
      <c r="S213" s="36">
        <v>13.25</v>
      </c>
      <c r="T213" s="37" t="s">
        <v>288</v>
      </c>
      <c r="U213" s="36">
        <v>1148.6600000000001</v>
      </c>
      <c r="V213" s="30" t="s">
        <v>369</v>
      </c>
      <c r="W213" s="30" t="s">
        <v>289</v>
      </c>
      <c r="X213" s="30" t="s">
        <v>0</v>
      </c>
      <c r="Y213" s="30" t="s">
        <v>354</v>
      </c>
      <c r="Z213" s="30" t="s">
        <v>290</v>
      </c>
      <c r="AA213" s="30" t="s">
        <v>877</v>
      </c>
      <c r="AB213" s="30" t="s">
        <v>0</v>
      </c>
      <c r="AC213" s="30" t="s">
        <v>0</v>
      </c>
      <c r="AD213" s="30" t="s">
        <v>0</v>
      </c>
      <c r="AE213" s="31">
        <v>45737</v>
      </c>
      <c r="AF213" s="31"/>
      <c r="AG213" s="30" t="s">
        <v>0</v>
      </c>
    </row>
    <row r="214" spans="1:33" x14ac:dyDescent="0.35">
      <c r="A214" s="30" t="s">
        <v>297</v>
      </c>
      <c r="B214" s="30" t="s">
        <v>280</v>
      </c>
      <c r="C214" s="30" t="s">
        <v>281</v>
      </c>
      <c r="D214" s="30" t="s">
        <v>282</v>
      </c>
      <c r="E214" s="30" t="s">
        <v>283</v>
      </c>
      <c r="F214" s="30" t="s">
        <v>336</v>
      </c>
      <c r="G214" s="31">
        <v>45737</v>
      </c>
      <c r="H214" s="30" t="s">
        <v>878</v>
      </c>
      <c r="I214" s="30" t="s">
        <v>360</v>
      </c>
      <c r="J214" s="31">
        <v>45737</v>
      </c>
      <c r="K214" s="31">
        <v>45737</v>
      </c>
      <c r="L214" s="30" t="s">
        <v>354</v>
      </c>
      <c r="M214" s="30" t="s">
        <v>879</v>
      </c>
      <c r="N214" s="30" t="s">
        <v>286</v>
      </c>
      <c r="O214" s="30" t="s">
        <v>287</v>
      </c>
      <c r="P214" s="30" t="s">
        <v>0</v>
      </c>
      <c r="Q214" s="30" t="s">
        <v>352</v>
      </c>
      <c r="R214" s="30" t="s">
        <v>356</v>
      </c>
      <c r="S214" s="36">
        <v>38.5</v>
      </c>
      <c r="T214" s="37" t="s">
        <v>288</v>
      </c>
      <c r="U214" s="36">
        <v>3337.61</v>
      </c>
      <c r="V214" s="30" t="s">
        <v>369</v>
      </c>
      <c r="W214" s="30" t="s">
        <v>289</v>
      </c>
      <c r="X214" s="30" t="s">
        <v>0</v>
      </c>
      <c r="Y214" s="30" t="s">
        <v>354</v>
      </c>
      <c r="Z214" s="30" t="s">
        <v>290</v>
      </c>
      <c r="AA214" s="30" t="s">
        <v>880</v>
      </c>
      <c r="AB214" s="30" t="s">
        <v>0</v>
      </c>
      <c r="AC214" s="30" t="s">
        <v>0</v>
      </c>
      <c r="AD214" s="30" t="s">
        <v>0</v>
      </c>
      <c r="AE214" s="31">
        <v>45737</v>
      </c>
      <c r="AF214" s="31"/>
      <c r="AG214" s="30" t="s">
        <v>0</v>
      </c>
    </row>
    <row r="215" spans="1:33" x14ac:dyDescent="0.35">
      <c r="A215" s="30" t="s">
        <v>297</v>
      </c>
      <c r="B215" s="30" t="s">
        <v>280</v>
      </c>
      <c r="C215" s="30" t="s">
        <v>281</v>
      </c>
      <c r="D215" s="30" t="s">
        <v>282</v>
      </c>
      <c r="E215" s="30" t="s">
        <v>283</v>
      </c>
      <c r="F215" s="30" t="s">
        <v>336</v>
      </c>
      <c r="G215" s="31">
        <v>45737</v>
      </c>
      <c r="H215" s="30" t="s">
        <v>881</v>
      </c>
      <c r="I215" s="30" t="s">
        <v>360</v>
      </c>
      <c r="J215" s="31">
        <v>45737</v>
      </c>
      <c r="K215" s="31">
        <v>45737</v>
      </c>
      <c r="L215" s="30" t="s">
        <v>354</v>
      </c>
      <c r="M215" s="30" t="s">
        <v>882</v>
      </c>
      <c r="N215" s="30" t="s">
        <v>286</v>
      </c>
      <c r="O215" s="30" t="s">
        <v>287</v>
      </c>
      <c r="P215" s="30" t="s">
        <v>0</v>
      </c>
      <c r="Q215" s="30" t="s">
        <v>352</v>
      </c>
      <c r="R215" s="30" t="s">
        <v>356</v>
      </c>
      <c r="S215" s="36">
        <v>30</v>
      </c>
      <c r="T215" s="37" t="s">
        <v>288</v>
      </c>
      <c r="U215" s="36">
        <v>2600.7399999999998</v>
      </c>
      <c r="V215" s="30" t="s">
        <v>369</v>
      </c>
      <c r="W215" s="30" t="s">
        <v>289</v>
      </c>
      <c r="X215" s="30" t="s">
        <v>0</v>
      </c>
      <c r="Y215" s="30" t="s">
        <v>354</v>
      </c>
      <c r="Z215" s="30" t="s">
        <v>290</v>
      </c>
      <c r="AA215" s="30" t="s">
        <v>883</v>
      </c>
      <c r="AB215" s="30" t="s">
        <v>0</v>
      </c>
      <c r="AC215" s="30" t="s">
        <v>0</v>
      </c>
      <c r="AD215" s="30" t="s">
        <v>0</v>
      </c>
      <c r="AE215" s="31">
        <v>45737</v>
      </c>
      <c r="AF215" s="31"/>
      <c r="AG215" s="30" t="s">
        <v>0</v>
      </c>
    </row>
    <row r="216" spans="1:33" x14ac:dyDescent="0.35">
      <c r="A216" s="30" t="s">
        <v>297</v>
      </c>
      <c r="B216" s="30" t="s">
        <v>280</v>
      </c>
      <c r="C216" s="30" t="s">
        <v>281</v>
      </c>
      <c r="D216" s="30" t="s">
        <v>282</v>
      </c>
      <c r="E216" s="30" t="s">
        <v>283</v>
      </c>
      <c r="F216" s="30" t="s">
        <v>52</v>
      </c>
      <c r="G216" s="31">
        <v>45810</v>
      </c>
      <c r="H216" s="30" t="s">
        <v>884</v>
      </c>
      <c r="I216" s="30" t="s">
        <v>360</v>
      </c>
      <c r="J216" s="31">
        <v>45810</v>
      </c>
      <c r="K216" s="31">
        <v>45810</v>
      </c>
      <c r="L216" s="30" t="s">
        <v>354</v>
      </c>
      <c r="M216" s="30" t="s">
        <v>885</v>
      </c>
      <c r="N216" s="30" t="s">
        <v>286</v>
      </c>
      <c r="O216" s="30" t="s">
        <v>287</v>
      </c>
      <c r="P216" s="30" t="s">
        <v>0</v>
      </c>
      <c r="Q216" s="30" t="s">
        <v>352</v>
      </c>
      <c r="R216" s="30" t="s">
        <v>356</v>
      </c>
      <c r="S216" s="36">
        <v>368.88</v>
      </c>
      <c r="T216" s="37" t="s">
        <v>288</v>
      </c>
      <c r="U216" s="36">
        <v>31535.84</v>
      </c>
      <c r="V216" s="30" t="s">
        <v>369</v>
      </c>
      <c r="W216" s="30" t="s">
        <v>289</v>
      </c>
      <c r="X216" s="30" t="s">
        <v>0</v>
      </c>
      <c r="Y216" s="30" t="s">
        <v>354</v>
      </c>
      <c r="Z216" s="30" t="s">
        <v>290</v>
      </c>
      <c r="AA216" s="30" t="s">
        <v>886</v>
      </c>
      <c r="AB216" s="30" t="s">
        <v>0</v>
      </c>
      <c r="AC216" s="30" t="s">
        <v>0</v>
      </c>
      <c r="AD216" s="30" t="s">
        <v>0</v>
      </c>
      <c r="AE216" s="31">
        <v>45810</v>
      </c>
      <c r="AF216" s="31"/>
      <c r="AG216" s="30" t="s">
        <v>0</v>
      </c>
    </row>
    <row r="217" spans="1:33" x14ac:dyDescent="0.35">
      <c r="A217" s="30" t="s">
        <v>297</v>
      </c>
      <c r="B217" s="30" t="s">
        <v>280</v>
      </c>
      <c r="C217" s="30" t="s">
        <v>281</v>
      </c>
      <c r="D217" s="30" t="s">
        <v>282</v>
      </c>
      <c r="E217" s="30" t="s">
        <v>283</v>
      </c>
      <c r="F217" s="30" t="s">
        <v>52</v>
      </c>
      <c r="G217" s="31">
        <v>45810</v>
      </c>
      <c r="H217" s="30" t="s">
        <v>887</v>
      </c>
      <c r="I217" s="30" t="s">
        <v>360</v>
      </c>
      <c r="J217" s="31">
        <v>45810</v>
      </c>
      <c r="K217" s="31">
        <v>45810</v>
      </c>
      <c r="L217" s="30" t="s">
        <v>354</v>
      </c>
      <c r="M217" s="30" t="s">
        <v>888</v>
      </c>
      <c r="N217" s="30" t="s">
        <v>286</v>
      </c>
      <c r="O217" s="30" t="s">
        <v>287</v>
      </c>
      <c r="P217" s="30" t="s">
        <v>0</v>
      </c>
      <c r="Q217" s="30" t="s">
        <v>352</v>
      </c>
      <c r="R217" s="30" t="s">
        <v>356</v>
      </c>
      <c r="S217" s="36">
        <v>190.21</v>
      </c>
      <c r="T217" s="37" t="s">
        <v>288</v>
      </c>
      <c r="U217" s="36">
        <v>16261.2</v>
      </c>
      <c r="V217" s="30" t="s">
        <v>369</v>
      </c>
      <c r="W217" s="30" t="s">
        <v>289</v>
      </c>
      <c r="X217" s="30" t="s">
        <v>0</v>
      </c>
      <c r="Y217" s="30" t="s">
        <v>354</v>
      </c>
      <c r="Z217" s="30" t="s">
        <v>290</v>
      </c>
      <c r="AA217" s="30" t="s">
        <v>874</v>
      </c>
      <c r="AB217" s="30" t="s">
        <v>0</v>
      </c>
      <c r="AC217" s="30" t="s">
        <v>0</v>
      </c>
      <c r="AD217" s="30" t="s">
        <v>0</v>
      </c>
      <c r="AE217" s="31">
        <v>45810</v>
      </c>
      <c r="AF217" s="31"/>
      <c r="AG217" s="30" t="s">
        <v>0</v>
      </c>
    </row>
    <row r="218" spans="1:33" x14ac:dyDescent="0.35">
      <c r="A218" s="30" t="s">
        <v>297</v>
      </c>
      <c r="B218" s="30" t="s">
        <v>280</v>
      </c>
      <c r="C218" s="30" t="s">
        <v>281</v>
      </c>
      <c r="D218" s="30" t="s">
        <v>282</v>
      </c>
      <c r="E218" s="30" t="s">
        <v>283</v>
      </c>
      <c r="F218" s="30" t="s">
        <v>56</v>
      </c>
      <c r="G218" s="31">
        <v>45937</v>
      </c>
      <c r="H218" s="30" t="s">
        <v>889</v>
      </c>
      <c r="I218" s="30" t="s">
        <v>360</v>
      </c>
      <c r="J218" s="31">
        <v>45937</v>
      </c>
      <c r="K218" s="31">
        <v>45939</v>
      </c>
      <c r="L218" s="30" t="s">
        <v>354</v>
      </c>
      <c r="M218" s="30" t="s">
        <v>890</v>
      </c>
      <c r="N218" s="30" t="s">
        <v>286</v>
      </c>
      <c r="O218" s="30" t="s">
        <v>287</v>
      </c>
      <c r="P218" s="30" t="s">
        <v>0</v>
      </c>
      <c r="Q218" s="30" t="s">
        <v>352</v>
      </c>
      <c r="R218" s="30" t="s">
        <v>356</v>
      </c>
      <c r="S218" s="36">
        <v>559.99</v>
      </c>
      <c r="T218" s="37" t="s">
        <v>288</v>
      </c>
      <c r="U218" s="36">
        <v>49385.95</v>
      </c>
      <c r="V218" s="30" t="s">
        <v>369</v>
      </c>
      <c r="W218" s="30" t="s">
        <v>289</v>
      </c>
      <c r="X218" s="30" t="s">
        <v>0</v>
      </c>
      <c r="Y218" s="30" t="s">
        <v>891</v>
      </c>
      <c r="Z218" s="30" t="s">
        <v>290</v>
      </c>
      <c r="AA218" s="30" t="s">
        <v>892</v>
      </c>
      <c r="AB218" s="30" t="s">
        <v>0</v>
      </c>
      <c r="AC218" s="30" t="s">
        <v>0</v>
      </c>
      <c r="AD218" s="30" t="s">
        <v>0</v>
      </c>
      <c r="AE218" s="31">
        <v>45937</v>
      </c>
      <c r="AF218" s="31"/>
      <c r="AG218" s="30" t="s">
        <v>0</v>
      </c>
    </row>
    <row r="219" spans="1:33" x14ac:dyDescent="0.35">
      <c r="A219" s="30" t="s">
        <v>297</v>
      </c>
      <c r="B219" s="30" t="s">
        <v>280</v>
      </c>
      <c r="C219" s="30" t="s">
        <v>281</v>
      </c>
      <c r="D219" s="30" t="s">
        <v>282</v>
      </c>
      <c r="E219" s="30" t="s">
        <v>283</v>
      </c>
      <c r="F219" s="30" t="s">
        <v>51</v>
      </c>
      <c r="G219" s="31">
        <v>45787</v>
      </c>
      <c r="H219" s="30" t="s">
        <v>893</v>
      </c>
      <c r="I219" s="30" t="s">
        <v>360</v>
      </c>
      <c r="J219" s="31">
        <v>45787</v>
      </c>
      <c r="K219" s="31">
        <v>45791</v>
      </c>
      <c r="L219" s="30" t="s">
        <v>354</v>
      </c>
      <c r="M219" s="30" t="s">
        <v>894</v>
      </c>
      <c r="N219" s="30" t="s">
        <v>286</v>
      </c>
      <c r="O219" s="30" t="s">
        <v>287</v>
      </c>
      <c r="P219" s="30" t="s">
        <v>0</v>
      </c>
      <c r="Q219" s="30" t="s">
        <v>352</v>
      </c>
      <c r="R219" s="30" t="s">
        <v>356</v>
      </c>
      <c r="S219" s="36">
        <v>1800</v>
      </c>
      <c r="T219" s="37" t="s">
        <v>288</v>
      </c>
      <c r="U219" s="36">
        <v>154770.66</v>
      </c>
      <c r="V219" s="30" t="s">
        <v>369</v>
      </c>
      <c r="W219" s="30" t="s">
        <v>289</v>
      </c>
      <c r="X219" s="30" t="s">
        <v>0</v>
      </c>
      <c r="Y219" s="30" t="s">
        <v>354</v>
      </c>
      <c r="Z219" s="30" t="s">
        <v>290</v>
      </c>
      <c r="AA219" s="30" t="s">
        <v>895</v>
      </c>
      <c r="AB219" s="30" t="s">
        <v>0</v>
      </c>
      <c r="AC219" s="30" t="s">
        <v>0</v>
      </c>
      <c r="AD219" s="30" t="s">
        <v>0</v>
      </c>
      <c r="AE219" s="31">
        <v>45787</v>
      </c>
      <c r="AF219" s="31"/>
      <c r="AG219" s="30" t="s">
        <v>0</v>
      </c>
    </row>
    <row r="220" spans="1:33" x14ac:dyDescent="0.35">
      <c r="A220" s="30" t="s">
        <v>297</v>
      </c>
      <c r="B220" s="30" t="s">
        <v>280</v>
      </c>
      <c r="C220" s="30" t="s">
        <v>281</v>
      </c>
      <c r="D220" s="30" t="s">
        <v>282</v>
      </c>
      <c r="E220" s="30" t="s">
        <v>283</v>
      </c>
      <c r="F220" s="30" t="s">
        <v>51</v>
      </c>
      <c r="G220" s="31">
        <v>45787</v>
      </c>
      <c r="H220" s="30" t="s">
        <v>896</v>
      </c>
      <c r="I220" s="30" t="s">
        <v>360</v>
      </c>
      <c r="J220" s="31">
        <v>45787</v>
      </c>
      <c r="K220" s="31">
        <v>45792</v>
      </c>
      <c r="L220" s="30" t="s">
        <v>354</v>
      </c>
      <c r="M220" s="30" t="s">
        <v>897</v>
      </c>
      <c r="N220" s="30" t="s">
        <v>286</v>
      </c>
      <c r="O220" s="30" t="s">
        <v>287</v>
      </c>
      <c r="P220" s="30" t="s">
        <v>0</v>
      </c>
      <c r="Q220" s="30" t="s">
        <v>352</v>
      </c>
      <c r="R220" s="30" t="s">
        <v>356</v>
      </c>
      <c r="S220" s="36">
        <v>450</v>
      </c>
      <c r="T220" s="37" t="s">
        <v>288</v>
      </c>
      <c r="U220" s="36">
        <v>38692.67</v>
      </c>
      <c r="V220" s="30" t="s">
        <v>369</v>
      </c>
      <c r="W220" s="30" t="s">
        <v>289</v>
      </c>
      <c r="X220" s="30" t="s">
        <v>0</v>
      </c>
      <c r="Y220" s="30" t="s">
        <v>354</v>
      </c>
      <c r="Z220" s="30" t="s">
        <v>290</v>
      </c>
      <c r="AA220" s="30" t="s">
        <v>898</v>
      </c>
      <c r="AB220" s="30" t="s">
        <v>0</v>
      </c>
      <c r="AC220" s="30" t="s">
        <v>0</v>
      </c>
      <c r="AD220" s="30" t="s">
        <v>0</v>
      </c>
      <c r="AE220" s="31">
        <v>45787</v>
      </c>
      <c r="AF220" s="31"/>
      <c r="AG220" s="30" t="s">
        <v>0</v>
      </c>
    </row>
    <row r="221" spans="1:33" x14ac:dyDescent="0.35">
      <c r="A221" s="30" t="s">
        <v>297</v>
      </c>
      <c r="B221" s="30" t="s">
        <v>280</v>
      </c>
      <c r="C221" s="30" t="s">
        <v>281</v>
      </c>
      <c r="D221" s="30" t="s">
        <v>282</v>
      </c>
      <c r="E221" s="30" t="s">
        <v>283</v>
      </c>
      <c r="F221" s="30" t="s">
        <v>51</v>
      </c>
      <c r="G221" s="31">
        <v>45787</v>
      </c>
      <c r="H221" s="30" t="s">
        <v>899</v>
      </c>
      <c r="I221" s="30" t="s">
        <v>360</v>
      </c>
      <c r="J221" s="31">
        <v>45787</v>
      </c>
      <c r="K221" s="31">
        <v>45792</v>
      </c>
      <c r="L221" s="30" t="s">
        <v>354</v>
      </c>
      <c r="M221" s="30" t="s">
        <v>900</v>
      </c>
      <c r="N221" s="30" t="s">
        <v>286</v>
      </c>
      <c r="O221" s="30" t="s">
        <v>287</v>
      </c>
      <c r="P221" s="30" t="s">
        <v>0</v>
      </c>
      <c r="Q221" s="30" t="s">
        <v>352</v>
      </c>
      <c r="R221" s="30" t="s">
        <v>356</v>
      </c>
      <c r="S221" s="36">
        <v>396.79</v>
      </c>
      <c r="T221" s="37" t="s">
        <v>288</v>
      </c>
      <c r="U221" s="36">
        <v>34117.47</v>
      </c>
      <c r="V221" s="30" t="s">
        <v>369</v>
      </c>
      <c r="W221" s="30" t="s">
        <v>289</v>
      </c>
      <c r="X221" s="30" t="s">
        <v>0</v>
      </c>
      <c r="Y221" s="30" t="s">
        <v>354</v>
      </c>
      <c r="Z221" s="30" t="s">
        <v>290</v>
      </c>
      <c r="AA221" s="30" t="s">
        <v>901</v>
      </c>
      <c r="AB221" s="30" t="s">
        <v>0</v>
      </c>
      <c r="AC221" s="30" t="s">
        <v>0</v>
      </c>
      <c r="AD221" s="30" t="s">
        <v>0</v>
      </c>
      <c r="AE221" s="31">
        <v>45787</v>
      </c>
      <c r="AF221" s="31"/>
      <c r="AG221" s="30" t="s">
        <v>0</v>
      </c>
    </row>
    <row r="222" spans="1:33" x14ac:dyDescent="0.35">
      <c r="A222" s="30" t="s">
        <v>297</v>
      </c>
      <c r="B222" s="30" t="s">
        <v>280</v>
      </c>
      <c r="C222" s="30" t="s">
        <v>281</v>
      </c>
      <c r="D222" s="30" t="s">
        <v>282</v>
      </c>
      <c r="E222" s="30" t="s">
        <v>283</v>
      </c>
      <c r="F222" s="30" t="s">
        <v>56</v>
      </c>
      <c r="G222" s="31">
        <v>45948</v>
      </c>
      <c r="H222" s="30" t="s">
        <v>902</v>
      </c>
      <c r="I222" s="30" t="s">
        <v>360</v>
      </c>
      <c r="J222" s="31">
        <v>45948</v>
      </c>
      <c r="K222" s="31">
        <v>45951</v>
      </c>
      <c r="L222" s="30" t="s">
        <v>354</v>
      </c>
      <c r="M222" s="30" t="s">
        <v>903</v>
      </c>
      <c r="N222" s="30" t="s">
        <v>286</v>
      </c>
      <c r="O222" s="30" t="s">
        <v>287</v>
      </c>
      <c r="P222" s="30" t="s">
        <v>0</v>
      </c>
      <c r="Q222" s="30" t="s">
        <v>352</v>
      </c>
      <c r="R222" s="30" t="s">
        <v>356</v>
      </c>
      <c r="S222" s="36">
        <v>46.92</v>
      </c>
      <c r="T222" s="37" t="s">
        <v>288</v>
      </c>
      <c r="U222" s="36">
        <v>4137.91</v>
      </c>
      <c r="V222" s="30" t="s">
        <v>369</v>
      </c>
      <c r="W222" s="30" t="s">
        <v>289</v>
      </c>
      <c r="X222" s="30" t="s">
        <v>0</v>
      </c>
      <c r="Y222" s="30" t="s">
        <v>904</v>
      </c>
      <c r="Z222" s="30" t="s">
        <v>290</v>
      </c>
      <c r="AA222" s="30" t="s">
        <v>905</v>
      </c>
      <c r="AB222" s="30" t="s">
        <v>0</v>
      </c>
      <c r="AC222" s="30" t="s">
        <v>0</v>
      </c>
      <c r="AD222" s="30" t="s">
        <v>0</v>
      </c>
      <c r="AE222" s="31">
        <v>45948</v>
      </c>
      <c r="AF222" s="31"/>
      <c r="AG222" s="30" t="s">
        <v>0</v>
      </c>
    </row>
    <row r="223" spans="1:33" x14ac:dyDescent="0.35">
      <c r="A223" s="30" t="s">
        <v>297</v>
      </c>
      <c r="B223" s="30" t="s">
        <v>280</v>
      </c>
      <c r="C223" s="30" t="s">
        <v>281</v>
      </c>
      <c r="D223" s="30" t="s">
        <v>282</v>
      </c>
      <c r="E223" s="30" t="s">
        <v>283</v>
      </c>
      <c r="F223" s="30" t="s">
        <v>52</v>
      </c>
      <c r="G223" s="31">
        <v>45815</v>
      </c>
      <c r="H223" s="30" t="s">
        <v>906</v>
      </c>
      <c r="I223" s="30" t="s">
        <v>360</v>
      </c>
      <c r="J223" s="31">
        <v>45815</v>
      </c>
      <c r="K223" s="31">
        <v>45817</v>
      </c>
      <c r="L223" s="30" t="s">
        <v>354</v>
      </c>
      <c r="M223" s="30" t="s">
        <v>907</v>
      </c>
      <c r="N223" s="30" t="s">
        <v>286</v>
      </c>
      <c r="O223" s="30" t="s">
        <v>287</v>
      </c>
      <c r="P223" s="30" t="s">
        <v>0</v>
      </c>
      <c r="Q223" s="30" t="s">
        <v>352</v>
      </c>
      <c r="R223" s="30" t="s">
        <v>356</v>
      </c>
      <c r="S223" s="36">
        <v>1240.4000000000001</v>
      </c>
      <c r="T223" s="37" t="s">
        <v>288</v>
      </c>
      <c r="U223" s="36">
        <v>106042.76</v>
      </c>
      <c r="V223" s="30" t="s">
        <v>369</v>
      </c>
      <c r="W223" s="30" t="s">
        <v>289</v>
      </c>
      <c r="X223" s="30" t="s">
        <v>0</v>
      </c>
      <c r="Y223" s="30" t="s">
        <v>354</v>
      </c>
      <c r="Z223" s="30" t="s">
        <v>290</v>
      </c>
      <c r="AA223" s="30" t="s">
        <v>908</v>
      </c>
      <c r="AB223" s="30" t="s">
        <v>0</v>
      </c>
      <c r="AC223" s="30" t="s">
        <v>0</v>
      </c>
      <c r="AD223" s="30" t="s">
        <v>0</v>
      </c>
      <c r="AE223" s="31">
        <v>45815</v>
      </c>
      <c r="AF223" s="31"/>
      <c r="AG223" s="30" t="s">
        <v>0</v>
      </c>
    </row>
    <row r="224" spans="1:33" x14ac:dyDescent="0.35">
      <c r="A224" s="30" t="s">
        <v>297</v>
      </c>
      <c r="B224" s="30" t="s">
        <v>280</v>
      </c>
      <c r="C224" s="30" t="s">
        <v>281</v>
      </c>
      <c r="D224" s="30" t="s">
        <v>282</v>
      </c>
      <c r="E224" s="30" t="s">
        <v>283</v>
      </c>
      <c r="F224" s="30" t="s">
        <v>56</v>
      </c>
      <c r="G224" s="31">
        <v>45936</v>
      </c>
      <c r="H224" s="30" t="s">
        <v>909</v>
      </c>
      <c r="I224" s="30" t="s">
        <v>360</v>
      </c>
      <c r="J224" s="31">
        <v>45936</v>
      </c>
      <c r="K224" s="31">
        <v>45937</v>
      </c>
      <c r="L224" s="30" t="s">
        <v>354</v>
      </c>
      <c r="M224" s="30" t="s">
        <v>910</v>
      </c>
      <c r="N224" s="30" t="s">
        <v>286</v>
      </c>
      <c r="O224" s="30" t="s">
        <v>287</v>
      </c>
      <c r="P224" s="30" t="s">
        <v>0</v>
      </c>
      <c r="Q224" s="30" t="s">
        <v>352</v>
      </c>
      <c r="R224" s="30" t="s">
        <v>356</v>
      </c>
      <c r="S224" s="36">
        <v>1329.96</v>
      </c>
      <c r="T224" s="37" t="s">
        <v>288</v>
      </c>
      <c r="U224" s="36">
        <v>117290.2</v>
      </c>
      <c r="V224" s="30" t="s">
        <v>369</v>
      </c>
      <c r="W224" s="30" t="s">
        <v>289</v>
      </c>
      <c r="X224" s="30" t="s">
        <v>0</v>
      </c>
      <c r="Y224" s="30" t="s">
        <v>911</v>
      </c>
      <c r="Z224" s="30" t="s">
        <v>290</v>
      </c>
      <c r="AA224" s="30" t="s">
        <v>912</v>
      </c>
      <c r="AB224" s="30" t="s">
        <v>0</v>
      </c>
      <c r="AC224" s="30" t="s">
        <v>0</v>
      </c>
      <c r="AD224" s="30" t="s">
        <v>0</v>
      </c>
      <c r="AE224" s="31">
        <v>45936</v>
      </c>
      <c r="AF224" s="31"/>
      <c r="AG224" s="30" t="s">
        <v>0</v>
      </c>
    </row>
    <row r="225" spans="1:33" x14ac:dyDescent="0.35">
      <c r="A225" s="30" t="s">
        <v>297</v>
      </c>
      <c r="B225" s="30" t="s">
        <v>280</v>
      </c>
      <c r="C225" s="30" t="s">
        <v>281</v>
      </c>
      <c r="D225" s="30" t="s">
        <v>282</v>
      </c>
      <c r="E225" s="30" t="s">
        <v>283</v>
      </c>
      <c r="F225" s="30" t="s">
        <v>56</v>
      </c>
      <c r="G225" s="31">
        <v>45935</v>
      </c>
      <c r="H225" s="30" t="s">
        <v>913</v>
      </c>
      <c r="I225" s="30" t="s">
        <v>360</v>
      </c>
      <c r="J225" s="31">
        <v>45935</v>
      </c>
      <c r="K225" s="31">
        <v>45937</v>
      </c>
      <c r="L225" s="30" t="s">
        <v>354</v>
      </c>
      <c r="M225" s="30" t="s">
        <v>914</v>
      </c>
      <c r="N225" s="30" t="s">
        <v>286</v>
      </c>
      <c r="O225" s="30" t="s">
        <v>287</v>
      </c>
      <c r="P225" s="30" t="s">
        <v>0</v>
      </c>
      <c r="Q225" s="30" t="s">
        <v>352</v>
      </c>
      <c r="R225" s="30" t="s">
        <v>356</v>
      </c>
      <c r="S225" s="36">
        <v>29.9</v>
      </c>
      <c r="T225" s="37" t="s">
        <v>288</v>
      </c>
      <c r="U225" s="36">
        <v>2636.9</v>
      </c>
      <c r="V225" s="30" t="s">
        <v>369</v>
      </c>
      <c r="W225" s="30" t="s">
        <v>289</v>
      </c>
      <c r="X225" s="30" t="s">
        <v>0</v>
      </c>
      <c r="Y225" s="30" t="s">
        <v>915</v>
      </c>
      <c r="Z225" s="30" t="s">
        <v>290</v>
      </c>
      <c r="AA225" s="30" t="s">
        <v>916</v>
      </c>
      <c r="AB225" s="30" t="s">
        <v>0</v>
      </c>
      <c r="AC225" s="30" t="s">
        <v>0</v>
      </c>
      <c r="AD225" s="30" t="s">
        <v>0</v>
      </c>
      <c r="AE225" s="31">
        <v>45935</v>
      </c>
      <c r="AF225" s="31"/>
      <c r="AG225" s="30" t="s">
        <v>0</v>
      </c>
    </row>
    <row r="226" spans="1:33" x14ac:dyDescent="0.35">
      <c r="A226" s="30" t="s">
        <v>297</v>
      </c>
      <c r="B226" s="30" t="s">
        <v>280</v>
      </c>
      <c r="C226" s="30" t="s">
        <v>281</v>
      </c>
      <c r="D226" s="30" t="s">
        <v>282</v>
      </c>
      <c r="E226" s="30" t="s">
        <v>283</v>
      </c>
      <c r="F226" s="30" t="s">
        <v>56</v>
      </c>
      <c r="G226" s="31">
        <v>45935</v>
      </c>
      <c r="H226" s="30" t="s">
        <v>917</v>
      </c>
      <c r="I226" s="30" t="s">
        <v>360</v>
      </c>
      <c r="J226" s="31">
        <v>45935</v>
      </c>
      <c r="K226" s="31">
        <v>45937</v>
      </c>
      <c r="L226" s="30" t="s">
        <v>354</v>
      </c>
      <c r="M226" s="30" t="s">
        <v>918</v>
      </c>
      <c r="N226" s="30" t="s">
        <v>286</v>
      </c>
      <c r="O226" s="30" t="s">
        <v>287</v>
      </c>
      <c r="P226" s="30" t="s">
        <v>0</v>
      </c>
      <c r="Q226" s="30" t="s">
        <v>352</v>
      </c>
      <c r="R226" s="30" t="s">
        <v>356</v>
      </c>
      <c r="S226" s="36">
        <v>270.85000000000002</v>
      </c>
      <c r="T226" s="37" t="s">
        <v>288</v>
      </c>
      <c r="U226" s="36">
        <v>23886.47</v>
      </c>
      <c r="V226" s="30" t="s">
        <v>369</v>
      </c>
      <c r="W226" s="30" t="s">
        <v>289</v>
      </c>
      <c r="X226" s="30" t="s">
        <v>0</v>
      </c>
      <c r="Y226" s="30" t="s">
        <v>354</v>
      </c>
      <c r="Z226" s="30" t="s">
        <v>290</v>
      </c>
      <c r="AA226" s="30" t="s">
        <v>919</v>
      </c>
      <c r="AB226" s="30" t="s">
        <v>0</v>
      </c>
      <c r="AC226" s="30" t="s">
        <v>0</v>
      </c>
      <c r="AD226" s="30" t="s">
        <v>0</v>
      </c>
      <c r="AE226" s="31">
        <v>45935</v>
      </c>
      <c r="AF226" s="31"/>
      <c r="AG226" s="30" t="s">
        <v>0</v>
      </c>
    </row>
    <row r="227" spans="1:33" x14ac:dyDescent="0.35">
      <c r="A227" s="30" t="s">
        <v>297</v>
      </c>
      <c r="B227" s="30" t="s">
        <v>280</v>
      </c>
      <c r="C227" s="30" t="s">
        <v>281</v>
      </c>
      <c r="D227" s="30" t="s">
        <v>282</v>
      </c>
      <c r="E227" s="30" t="s">
        <v>283</v>
      </c>
      <c r="F227" s="30" t="s">
        <v>56</v>
      </c>
      <c r="G227" s="31">
        <v>45935</v>
      </c>
      <c r="H227" s="30" t="s">
        <v>920</v>
      </c>
      <c r="I227" s="30" t="s">
        <v>360</v>
      </c>
      <c r="J227" s="31">
        <v>45935</v>
      </c>
      <c r="K227" s="31">
        <v>45937</v>
      </c>
      <c r="L227" s="30" t="s">
        <v>354</v>
      </c>
      <c r="M227" s="30" t="s">
        <v>921</v>
      </c>
      <c r="N227" s="30" t="s">
        <v>286</v>
      </c>
      <c r="O227" s="30" t="s">
        <v>287</v>
      </c>
      <c r="P227" s="30" t="s">
        <v>0</v>
      </c>
      <c r="Q227" s="30" t="s">
        <v>352</v>
      </c>
      <c r="R227" s="30" t="s">
        <v>356</v>
      </c>
      <c r="S227" s="36">
        <v>156.08000000000001</v>
      </c>
      <c r="T227" s="37" t="s">
        <v>288</v>
      </c>
      <c r="U227" s="36">
        <v>13764.82</v>
      </c>
      <c r="V227" s="30" t="s">
        <v>369</v>
      </c>
      <c r="W227" s="30" t="s">
        <v>289</v>
      </c>
      <c r="X227" s="30" t="s">
        <v>0</v>
      </c>
      <c r="Y227" s="30" t="s">
        <v>922</v>
      </c>
      <c r="Z227" s="30" t="s">
        <v>290</v>
      </c>
      <c r="AA227" s="30" t="s">
        <v>923</v>
      </c>
      <c r="AB227" s="30" t="s">
        <v>0</v>
      </c>
      <c r="AC227" s="30" t="s">
        <v>0</v>
      </c>
      <c r="AD227" s="30" t="s">
        <v>0</v>
      </c>
      <c r="AE227" s="31">
        <v>45935</v>
      </c>
      <c r="AF227" s="31"/>
      <c r="AG227" s="30" t="s">
        <v>0</v>
      </c>
    </row>
    <row r="228" spans="1:33" x14ac:dyDescent="0.35">
      <c r="A228" s="30" t="s">
        <v>297</v>
      </c>
      <c r="B228" s="30" t="s">
        <v>280</v>
      </c>
      <c r="C228" s="30" t="s">
        <v>281</v>
      </c>
      <c r="D228" s="30" t="s">
        <v>282</v>
      </c>
      <c r="E228" s="30" t="s">
        <v>283</v>
      </c>
      <c r="F228" s="30" t="s">
        <v>56</v>
      </c>
      <c r="G228" s="31">
        <v>45935</v>
      </c>
      <c r="H228" s="30" t="s">
        <v>924</v>
      </c>
      <c r="I228" s="30" t="s">
        <v>360</v>
      </c>
      <c r="J228" s="31">
        <v>45935</v>
      </c>
      <c r="K228" s="31">
        <v>45937</v>
      </c>
      <c r="L228" s="30" t="s">
        <v>354</v>
      </c>
      <c r="M228" s="30" t="s">
        <v>925</v>
      </c>
      <c r="N228" s="30" t="s">
        <v>286</v>
      </c>
      <c r="O228" s="30" t="s">
        <v>287</v>
      </c>
      <c r="P228" s="30" t="s">
        <v>0</v>
      </c>
      <c r="Q228" s="30" t="s">
        <v>352</v>
      </c>
      <c r="R228" s="30" t="s">
        <v>356</v>
      </c>
      <c r="S228" s="36">
        <v>1800</v>
      </c>
      <c r="T228" s="37" t="s">
        <v>288</v>
      </c>
      <c r="U228" s="36">
        <v>158743.39000000001</v>
      </c>
      <c r="V228" s="30" t="s">
        <v>369</v>
      </c>
      <c r="W228" s="30" t="s">
        <v>289</v>
      </c>
      <c r="X228" s="30" t="s">
        <v>0</v>
      </c>
      <c r="Y228" s="30" t="s">
        <v>926</v>
      </c>
      <c r="Z228" s="30" t="s">
        <v>290</v>
      </c>
      <c r="AA228" s="30" t="s">
        <v>927</v>
      </c>
      <c r="AB228" s="30" t="s">
        <v>0</v>
      </c>
      <c r="AC228" s="30" t="s">
        <v>0</v>
      </c>
      <c r="AD228" s="30" t="s">
        <v>0</v>
      </c>
      <c r="AE228" s="31">
        <v>45935</v>
      </c>
      <c r="AF228" s="31"/>
      <c r="AG228" s="30" t="s">
        <v>0</v>
      </c>
    </row>
    <row r="229" spans="1:33" x14ac:dyDescent="0.35">
      <c r="A229" s="30" t="s">
        <v>297</v>
      </c>
      <c r="B229" s="30" t="s">
        <v>280</v>
      </c>
      <c r="C229" s="30" t="s">
        <v>281</v>
      </c>
      <c r="D229" s="30" t="s">
        <v>282</v>
      </c>
      <c r="E229" s="30" t="s">
        <v>283</v>
      </c>
      <c r="F229" s="30" t="s">
        <v>56</v>
      </c>
      <c r="G229" s="31">
        <v>45935</v>
      </c>
      <c r="H229" s="30" t="s">
        <v>928</v>
      </c>
      <c r="I229" s="30" t="s">
        <v>360</v>
      </c>
      <c r="J229" s="31">
        <v>45935</v>
      </c>
      <c r="K229" s="31">
        <v>45940</v>
      </c>
      <c r="L229" s="30" t="s">
        <v>354</v>
      </c>
      <c r="M229" s="30" t="s">
        <v>929</v>
      </c>
      <c r="N229" s="30" t="s">
        <v>286</v>
      </c>
      <c r="O229" s="30" t="s">
        <v>287</v>
      </c>
      <c r="P229" s="30" t="s">
        <v>0</v>
      </c>
      <c r="Q229" s="30" t="s">
        <v>352</v>
      </c>
      <c r="R229" s="30" t="s">
        <v>356</v>
      </c>
      <c r="S229" s="36">
        <v>51.34</v>
      </c>
      <c r="T229" s="37" t="s">
        <v>288</v>
      </c>
      <c r="U229" s="36">
        <v>4527.71</v>
      </c>
      <c r="V229" s="30" t="s">
        <v>369</v>
      </c>
      <c r="W229" s="30" t="s">
        <v>289</v>
      </c>
      <c r="X229" s="30" t="s">
        <v>0</v>
      </c>
      <c r="Y229" s="30" t="s">
        <v>930</v>
      </c>
      <c r="Z229" s="30" t="s">
        <v>290</v>
      </c>
      <c r="AA229" s="30" t="s">
        <v>931</v>
      </c>
      <c r="AB229" s="30" t="s">
        <v>0</v>
      </c>
      <c r="AC229" s="30" t="s">
        <v>0</v>
      </c>
      <c r="AD229" s="30" t="s">
        <v>0</v>
      </c>
      <c r="AE229" s="31">
        <v>45935</v>
      </c>
      <c r="AF229" s="31"/>
      <c r="AG229" s="30" t="s">
        <v>0</v>
      </c>
    </row>
    <row r="230" spans="1:33" x14ac:dyDescent="0.35">
      <c r="A230" s="30" t="s">
        <v>279</v>
      </c>
      <c r="B230" s="30" t="s">
        <v>280</v>
      </c>
      <c r="C230" s="30" t="s">
        <v>281</v>
      </c>
      <c r="D230" s="30" t="s">
        <v>282</v>
      </c>
      <c r="E230" s="30" t="s">
        <v>283</v>
      </c>
      <c r="F230" s="30" t="s">
        <v>56</v>
      </c>
      <c r="G230" s="31">
        <v>45935</v>
      </c>
      <c r="H230" s="30" t="s">
        <v>932</v>
      </c>
      <c r="I230" s="30" t="s">
        <v>360</v>
      </c>
      <c r="J230" s="31">
        <v>45935</v>
      </c>
      <c r="K230" s="31">
        <v>45937</v>
      </c>
      <c r="L230" s="30" t="s">
        <v>354</v>
      </c>
      <c r="M230" s="30" t="s">
        <v>933</v>
      </c>
      <c r="N230" s="30" t="s">
        <v>286</v>
      </c>
      <c r="O230" s="30" t="s">
        <v>287</v>
      </c>
      <c r="P230" s="30" t="s">
        <v>0</v>
      </c>
      <c r="Q230" s="30" t="s">
        <v>352</v>
      </c>
      <c r="R230" s="30" t="s">
        <v>356</v>
      </c>
      <c r="S230" s="36">
        <v>156.08000000000001</v>
      </c>
      <c r="T230" s="37" t="s">
        <v>288</v>
      </c>
      <c r="U230" s="36">
        <v>13764.82</v>
      </c>
      <c r="V230" s="30" t="s">
        <v>369</v>
      </c>
      <c r="W230" s="30" t="s">
        <v>289</v>
      </c>
      <c r="X230" s="30" t="s">
        <v>0</v>
      </c>
      <c r="Y230" s="30" t="s">
        <v>934</v>
      </c>
      <c r="Z230" s="30" t="s">
        <v>290</v>
      </c>
      <c r="AA230" s="30" t="s">
        <v>923</v>
      </c>
      <c r="AB230" s="30" t="s">
        <v>0</v>
      </c>
      <c r="AC230" s="30" t="s">
        <v>0</v>
      </c>
      <c r="AD230" s="30" t="s">
        <v>0</v>
      </c>
      <c r="AE230" s="31">
        <v>45935</v>
      </c>
      <c r="AF230" s="31">
        <v>45975</v>
      </c>
      <c r="AG230" s="30" t="s">
        <v>284</v>
      </c>
    </row>
    <row r="231" spans="1:33" x14ac:dyDescent="0.35">
      <c r="A231" s="30" t="s">
        <v>297</v>
      </c>
      <c r="B231" s="30" t="s">
        <v>280</v>
      </c>
      <c r="C231" s="30" t="s">
        <v>281</v>
      </c>
      <c r="D231" s="30" t="s">
        <v>282</v>
      </c>
      <c r="E231" s="30" t="s">
        <v>283</v>
      </c>
      <c r="F231" s="30" t="s">
        <v>55</v>
      </c>
      <c r="G231" s="31">
        <v>45906</v>
      </c>
      <c r="H231" s="30" t="s">
        <v>935</v>
      </c>
      <c r="I231" s="30" t="s">
        <v>360</v>
      </c>
      <c r="J231" s="31">
        <v>45906</v>
      </c>
      <c r="K231" s="31">
        <v>45909</v>
      </c>
      <c r="L231" s="30" t="s">
        <v>354</v>
      </c>
      <c r="M231" s="30" t="s">
        <v>936</v>
      </c>
      <c r="N231" s="30" t="s">
        <v>286</v>
      </c>
      <c r="O231" s="30" t="s">
        <v>287</v>
      </c>
      <c r="P231" s="30" t="s">
        <v>0</v>
      </c>
      <c r="Q231" s="30" t="s">
        <v>352</v>
      </c>
      <c r="R231" s="30" t="s">
        <v>356</v>
      </c>
      <c r="S231" s="36">
        <v>1099.02</v>
      </c>
      <c r="T231" s="37" t="s">
        <v>288</v>
      </c>
      <c r="U231" s="36">
        <v>96180</v>
      </c>
      <c r="V231" s="30" t="s">
        <v>369</v>
      </c>
      <c r="W231" s="30" t="s">
        <v>289</v>
      </c>
      <c r="X231" s="30" t="s">
        <v>0</v>
      </c>
      <c r="Y231" s="30" t="s">
        <v>354</v>
      </c>
      <c r="Z231" s="30" t="s">
        <v>290</v>
      </c>
      <c r="AA231" s="30" t="s">
        <v>937</v>
      </c>
      <c r="AB231" s="30" t="s">
        <v>0</v>
      </c>
      <c r="AC231" s="30" t="s">
        <v>0</v>
      </c>
      <c r="AD231" s="30" t="s">
        <v>0</v>
      </c>
      <c r="AE231" s="31">
        <v>45906</v>
      </c>
      <c r="AF231" s="31"/>
      <c r="AG231" s="30" t="s">
        <v>0</v>
      </c>
    </row>
    <row r="232" spans="1:33" x14ac:dyDescent="0.35">
      <c r="A232" s="30" t="s">
        <v>297</v>
      </c>
      <c r="B232" s="30" t="s">
        <v>280</v>
      </c>
      <c r="C232" s="30" t="s">
        <v>281</v>
      </c>
      <c r="D232" s="30" t="s">
        <v>282</v>
      </c>
      <c r="E232" s="30" t="s">
        <v>938</v>
      </c>
      <c r="F232" s="30" t="s">
        <v>290</v>
      </c>
      <c r="G232" s="31">
        <v>46024</v>
      </c>
      <c r="H232" s="30" t="s">
        <v>939</v>
      </c>
      <c r="I232" s="30" t="s">
        <v>360</v>
      </c>
      <c r="J232" s="31">
        <v>46024</v>
      </c>
      <c r="K232" s="31">
        <v>46024</v>
      </c>
      <c r="L232" s="30" t="s">
        <v>354</v>
      </c>
      <c r="M232" s="30" t="s">
        <v>940</v>
      </c>
      <c r="N232" s="30" t="s">
        <v>286</v>
      </c>
      <c r="O232" s="30" t="s">
        <v>287</v>
      </c>
      <c r="P232" s="30" t="s">
        <v>0</v>
      </c>
      <c r="Q232" s="30" t="s">
        <v>352</v>
      </c>
      <c r="R232" s="30" t="s">
        <v>356</v>
      </c>
      <c r="S232" s="36">
        <v>871.08</v>
      </c>
      <c r="T232" s="37" t="s">
        <v>288</v>
      </c>
      <c r="U232" s="36">
        <v>79044.53</v>
      </c>
      <c r="V232" s="30" t="s">
        <v>369</v>
      </c>
      <c r="W232" s="30" t="s">
        <v>289</v>
      </c>
      <c r="X232" s="30" t="s">
        <v>0</v>
      </c>
      <c r="Y232" s="30" t="s">
        <v>941</v>
      </c>
      <c r="Z232" s="30" t="s">
        <v>290</v>
      </c>
      <c r="AA232" s="30" t="s">
        <v>942</v>
      </c>
      <c r="AB232" s="30" t="s">
        <v>0</v>
      </c>
      <c r="AC232" s="30" t="s">
        <v>0</v>
      </c>
      <c r="AD232" s="30" t="s">
        <v>0</v>
      </c>
      <c r="AE232" s="31">
        <v>46024</v>
      </c>
      <c r="AF232" s="31"/>
      <c r="AG232" s="30" t="s">
        <v>0</v>
      </c>
    </row>
    <row r="233" spans="1:33" x14ac:dyDescent="0.35">
      <c r="A233" s="30" t="s">
        <v>297</v>
      </c>
      <c r="B233" s="30" t="s">
        <v>280</v>
      </c>
      <c r="C233" s="30" t="s">
        <v>281</v>
      </c>
      <c r="D233" s="30" t="s">
        <v>282</v>
      </c>
      <c r="E233" s="30" t="s">
        <v>938</v>
      </c>
      <c r="F233" s="30" t="s">
        <v>290</v>
      </c>
      <c r="G233" s="31">
        <v>46024</v>
      </c>
      <c r="H233" s="30" t="s">
        <v>943</v>
      </c>
      <c r="I233" s="30" t="s">
        <v>360</v>
      </c>
      <c r="J233" s="31">
        <v>46024</v>
      </c>
      <c r="K233" s="31">
        <v>46024</v>
      </c>
      <c r="L233" s="30" t="s">
        <v>354</v>
      </c>
      <c r="M233" s="30" t="s">
        <v>944</v>
      </c>
      <c r="N233" s="30" t="s">
        <v>286</v>
      </c>
      <c r="O233" s="30" t="s">
        <v>287</v>
      </c>
      <c r="P233" s="30" t="s">
        <v>0</v>
      </c>
      <c r="Q233" s="30" t="s">
        <v>352</v>
      </c>
      <c r="R233" s="30" t="s">
        <v>356</v>
      </c>
      <c r="S233" s="36">
        <v>1800</v>
      </c>
      <c r="T233" s="37" t="s">
        <v>288</v>
      </c>
      <c r="U233" s="36">
        <v>163337.65</v>
      </c>
      <c r="V233" s="30" t="s">
        <v>369</v>
      </c>
      <c r="W233" s="30" t="s">
        <v>289</v>
      </c>
      <c r="X233" s="30" t="s">
        <v>0</v>
      </c>
      <c r="Y233" s="30" t="s">
        <v>945</v>
      </c>
      <c r="Z233" s="30" t="s">
        <v>290</v>
      </c>
      <c r="AA233" s="30" t="s">
        <v>946</v>
      </c>
      <c r="AB233" s="30" t="s">
        <v>0</v>
      </c>
      <c r="AC233" s="30" t="s">
        <v>0</v>
      </c>
      <c r="AD233" s="30" t="s">
        <v>0</v>
      </c>
      <c r="AE233" s="31">
        <v>46024</v>
      </c>
      <c r="AF233" s="31"/>
      <c r="AG233" s="30" t="s">
        <v>0</v>
      </c>
    </row>
    <row r="234" spans="1:33" x14ac:dyDescent="0.35">
      <c r="A234" s="30" t="s">
        <v>297</v>
      </c>
      <c r="B234" s="30" t="s">
        <v>280</v>
      </c>
      <c r="C234" s="30" t="s">
        <v>281</v>
      </c>
      <c r="D234" s="30" t="s">
        <v>282</v>
      </c>
      <c r="E234" s="30" t="s">
        <v>938</v>
      </c>
      <c r="F234" s="30" t="s">
        <v>290</v>
      </c>
      <c r="G234" s="31">
        <v>46027</v>
      </c>
      <c r="H234" s="30" t="s">
        <v>947</v>
      </c>
      <c r="I234" s="30" t="s">
        <v>437</v>
      </c>
      <c r="J234" s="31">
        <v>46027</v>
      </c>
      <c r="K234" s="31">
        <v>46027</v>
      </c>
      <c r="L234" s="30" t="s">
        <v>354</v>
      </c>
      <c r="M234" s="30" t="s">
        <v>948</v>
      </c>
      <c r="N234" s="30" t="s">
        <v>286</v>
      </c>
      <c r="O234" s="30" t="s">
        <v>287</v>
      </c>
      <c r="P234" s="30" t="s">
        <v>0</v>
      </c>
      <c r="Q234" s="30" t="s">
        <v>57</v>
      </c>
      <c r="R234" s="30" t="s">
        <v>356</v>
      </c>
      <c r="S234" s="36">
        <v>-13.59</v>
      </c>
      <c r="T234" s="37" t="s">
        <v>288</v>
      </c>
      <c r="U234" s="36">
        <v>-1233.2</v>
      </c>
      <c r="V234" s="30" t="s">
        <v>369</v>
      </c>
      <c r="W234" s="30" t="s">
        <v>289</v>
      </c>
      <c r="X234" s="30" t="s">
        <v>0</v>
      </c>
      <c r="Y234" s="30" t="s">
        <v>949</v>
      </c>
      <c r="Z234" s="30" t="s">
        <v>290</v>
      </c>
      <c r="AA234" s="30" t="s">
        <v>950</v>
      </c>
      <c r="AB234" s="30" t="s">
        <v>0</v>
      </c>
      <c r="AC234" s="30" t="s">
        <v>0</v>
      </c>
      <c r="AD234" s="30" t="s">
        <v>0</v>
      </c>
      <c r="AE234" s="31">
        <v>46027</v>
      </c>
      <c r="AF234" s="31"/>
      <c r="AG234" s="30" t="s">
        <v>0</v>
      </c>
    </row>
    <row r="235" spans="1:33" x14ac:dyDescent="0.35">
      <c r="A235" s="30" t="s">
        <v>297</v>
      </c>
      <c r="B235" s="30" t="s">
        <v>280</v>
      </c>
      <c r="C235" s="30" t="s">
        <v>281</v>
      </c>
      <c r="D235" s="30" t="s">
        <v>282</v>
      </c>
      <c r="E235" s="30" t="s">
        <v>938</v>
      </c>
      <c r="F235" s="30" t="s">
        <v>290</v>
      </c>
      <c r="G235" s="31">
        <v>46027</v>
      </c>
      <c r="H235" s="30" t="s">
        <v>951</v>
      </c>
      <c r="I235" s="30" t="s">
        <v>360</v>
      </c>
      <c r="J235" s="31">
        <v>46027</v>
      </c>
      <c r="K235" s="31">
        <v>46027</v>
      </c>
      <c r="L235" s="30" t="s">
        <v>952</v>
      </c>
      <c r="M235" s="30" t="s">
        <v>953</v>
      </c>
      <c r="N235" s="30" t="s">
        <v>286</v>
      </c>
      <c r="O235" s="30" t="s">
        <v>287</v>
      </c>
      <c r="P235" s="30" t="s">
        <v>0</v>
      </c>
      <c r="Q235" s="30" t="s">
        <v>352</v>
      </c>
      <c r="R235" s="30" t="s">
        <v>356</v>
      </c>
      <c r="S235" s="36">
        <v>31.82</v>
      </c>
      <c r="T235" s="37" t="s">
        <v>288</v>
      </c>
      <c r="U235" s="36">
        <v>2887.45</v>
      </c>
      <c r="V235" s="30" t="s">
        <v>369</v>
      </c>
      <c r="W235" s="30" t="s">
        <v>289</v>
      </c>
      <c r="X235" s="30" t="s">
        <v>0</v>
      </c>
      <c r="Y235" s="30" t="s">
        <v>354</v>
      </c>
      <c r="Z235" s="30" t="s">
        <v>290</v>
      </c>
      <c r="AA235" s="30" t="s">
        <v>954</v>
      </c>
      <c r="AB235" s="30" t="s">
        <v>0</v>
      </c>
      <c r="AC235" s="30" t="s">
        <v>0</v>
      </c>
      <c r="AD235" s="30" t="s">
        <v>0</v>
      </c>
      <c r="AE235" s="31">
        <v>46027</v>
      </c>
      <c r="AF235" s="31"/>
      <c r="AG235" s="30" t="s">
        <v>0</v>
      </c>
    </row>
    <row r="236" spans="1:33" x14ac:dyDescent="0.35">
      <c r="A236" s="30" t="s">
        <v>297</v>
      </c>
      <c r="B236" s="30" t="s">
        <v>280</v>
      </c>
      <c r="C236" s="30" t="s">
        <v>281</v>
      </c>
      <c r="D236" s="30" t="s">
        <v>282</v>
      </c>
      <c r="E236" s="30" t="s">
        <v>938</v>
      </c>
      <c r="F236" s="30" t="s">
        <v>290</v>
      </c>
      <c r="G236" s="31">
        <v>46027</v>
      </c>
      <c r="H236" s="30" t="s">
        <v>955</v>
      </c>
      <c r="I236" s="30" t="s">
        <v>360</v>
      </c>
      <c r="J236" s="31">
        <v>46027</v>
      </c>
      <c r="K236" s="31">
        <v>46027</v>
      </c>
      <c r="L236" s="30" t="s">
        <v>956</v>
      </c>
      <c r="M236" s="30" t="s">
        <v>957</v>
      </c>
      <c r="N236" s="30" t="s">
        <v>286</v>
      </c>
      <c r="O236" s="30" t="s">
        <v>287</v>
      </c>
      <c r="P236" s="30" t="s">
        <v>0</v>
      </c>
      <c r="Q236" s="30" t="s">
        <v>352</v>
      </c>
      <c r="R236" s="30" t="s">
        <v>356</v>
      </c>
      <c r="S236" s="36">
        <v>347.44</v>
      </c>
      <c r="T236" s="37" t="s">
        <v>288</v>
      </c>
      <c r="U236" s="36">
        <v>31527.8</v>
      </c>
      <c r="V236" s="30" t="s">
        <v>369</v>
      </c>
      <c r="W236" s="30" t="s">
        <v>289</v>
      </c>
      <c r="X236" s="30" t="s">
        <v>0</v>
      </c>
      <c r="Y236" s="30" t="s">
        <v>354</v>
      </c>
      <c r="Z236" s="30" t="s">
        <v>290</v>
      </c>
      <c r="AA236" s="30" t="s">
        <v>958</v>
      </c>
      <c r="AB236" s="30" t="s">
        <v>0</v>
      </c>
      <c r="AC236" s="30" t="s">
        <v>0</v>
      </c>
      <c r="AD236" s="30" t="s">
        <v>0</v>
      </c>
      <c r="AE236" s="31">
        <v>46027</v>
      </c>
      <c r="AF236" s="31"/>
      <c r="AG236" s="30" t="s">
        <v>0</v>
      </c>
    </row>
    <row r="237" spans="1:33" x14ac:dyDescent="0.35">
      <c r="A237" s="30" t="s">
        <v>297</v>
      </c>
      <c r="B237" s="30" t="s">
        <v>280</v>
      </c>
      <c r="C237" s="30" t="s">
        <v>281</v>
      </c>
      <c r="D237" s="30" t="s">
        <v>282</v>
      </c>
      <c r="E237" s="30" t="s">
        <v>938</v>
      </c>
      <c r="F237" s="30" t="s">
        <v>290</v>
      </c>
      <c r="G237" s="31">
        <v>46027</v>
      </c>
      <c r="H237" s="30" t="s">
        <v>959</v>
      </c>
      <c r="I237" s="30" t="s">
        <v>360</v>
      </c>
      <c r="J237" s="31">
        <v>46027</v>
      </c>
      <c r="K237" s="31">
        <v>46027</v>
      </c>
      <c r="L237" s="30" t="s">
        <v>960</v>
      </c>
      <c r="M237" s="30" t="s">
        <v>961</v>
      </c>
      <c r="N237" s="30" t="s">
        <v>286</v>
      </c>
      <c r="O237" s="30" t="s">
        <v>287</v>
      </c>
      <c r="P237" s="30" t="s">
        <v>0</v>
      </c>
      <c r="Q237" s="30" t="s">
        <v>352</v>
      </c>
      <c r="R237" s="30" t="s">
        <v>356</v>
      </c>
      <c r="S237" s="36">
        <v>360.71</v>
      </c>
      <c r="T237" s="37" t="s">
        <v>288</v>
      </c>
      <c r="U237" s="36">
        <v>32731.96</v>
      </c>
      <c r="V237" s="30" t="s">
        <v>369</v>
      </c>
      <c r="W237" s="30" t="s">
        <v>289</v>
      </c>
      <c r="X237" s="30" t="s">
        <v>0</v>
      </c>
      <c r="Y237" s="30" t="s">
        <v>354</v>
      </c>
      <c r="Z237" s="30" t="s">
        <v>290</v>
      </c>
      <c r="AA237" s="30" t="s">
        <v>962</v>
      </c>
      <c r="AB237" s="30" t="s">
        <v>0</v>
      </c>
      <c r="AC237" s="30" t="s">
        <v>0</v>
      </c>
      <c r="AD237" s="30" t="s">
        <v>0</v>
      </c>
      <c r="AE237" s="31">
        <v>46027</v>
      </c>
      <c r="AF237" s="31"/>
      <c r="AG237" s="30" t="s">
        <v>0</v>
      </c>
    </row>
    <row r="238" spans="1:33" x14ac:dyDescent="0.35">
      <c r="A238" s="30" t="s">
        <v>297</v>
      </c>
      <c r="B238" s="30" t="s">
        <v>280</v>
      </c>
      <c r="C238" s="30" t="s">
        <v>281</v>
      </c>
      <c r="D238" s="30" t="s">
        <v>282</v>
      </c>
      <c r="E238" s="30" t="s">
        <v>938</v>
      </c>
      <c r="F238" s="30" t="s">
        <v>290</v>
      </c>
      <c r="G238" s="31">
        <v>46030</v>
      </c>
      <c r="H238" s="30" t="s">
        <v>963</v>
      </c>
      <c r="I238" s="30" t="s">
        <v>299</v>
      </c>
      <c r="J238" s="31">
        <v>46030</v>
      </c>
      <c r="K238" s="31">
        <v>46030</v>
      </c>
      <c r="L238" s="30" t="s">
        <v>964</v>
      </c>
      <c r="M238" s="30" t="s">
        <v>0</v>
      </c>
      <c r="N238" s="30" t="s">
        <v>286</v>
      </c>
      <c r="O238" s="30" t="s">
        <v>287</v>
      </c>
      <c r="P238" s="30" t="s">
        <v>0</v>
      </c>
      <c r="Q238" s="30" t="s">
        <v>62</v>
      </c>
      <c r="R238" s="30" t="s">
        <v>288</v>
      </c>
      <c r="S238" s="36">
        <v>-200000</v>
      </c>
      <c r="T238" s="37" t="s">
        <v>288</v>
      </c>
      <c r="U238" s="36">
        <v>-200000</v>
      </c>
      <c r="V238" s="30" t="s">
        <v>0</v>
      </c>
      <c r="W238" s="30" t="s">
        <v>301</v>
      </c>
      <c r="X238" s="30" t="s">
        <v>0</v>
      </c>
      <c r="Y238" s="30" t="s">
        <v>0</v>
      </c>
      <c r="Z238" s="30" t="s">
        <v>296</v>
      </c>
      <c r="AA238" s="30" t="s">
        <v>0</v>
      </c>
      <c r="AB238" s="30" t="s">
        <v>0</v>
      </c>
      <c r="AC238" s="30" t="s">
        <v>0</v>
      </c>
      <c r="AD238" s="30" t="s">
        <v>0</v>
      </c>
      <c r="AE238" s="31">
        <v>46030</v>
      </c>
      <c r="AF238" s="31"/>
      <c r="AG238" s="30" t="s">
        <v>0</v>
      </c>
    </row>
    <row r="239" spans="1:33" x14ac:dyDescent="0.35">
      <c r="A239" s="30" t="s">
        <v>297</v>
      </c>
      <c r="B239" s="30" t="s">
        <v>280</v>
      </c>
      <c r="C239" s="30" t="s">
        <v>281</v>
      </c>
      <c r="D239" s="30" t="s">
        <v>282</v>
      </c>
      <c r="E239" s="30" t="s">
        <v>938</v>
      </c>
      <c r="F239" s="30" t="s">
        <v>290</v>
      </c>
      <c r="G239" s="31">
        <v>46031</v>
      </c>
      <c r="H239" s="30" t="s">
        <v>965</v>
      </c>
      <c r="I239" s="30" t="s">
        <v>299</v>
      </c>
      <c r="J239" s="31">
        <v>46031</v>
      </c>
      <c r="K239" s="31">
        <v>46031</v>
      </c>
      <c r="L239" s="30" t="s">
        <v>966</v>
      </c>
      <c r="M239" s="30" t="s">
        <v>0</v>
      </c>
      <c r="N239" s="30" t="s">
        <v>286</v>
      </c>
      <c r="O239" s="30" t="s">
        <v>287</v>
      </c>
      <c r="P239" s="30" t="s">
        <v>0</v>
      </c>
      <c r="Q239" s="30" t="s">
        <v>62</v>
      </c>
      <c r="R239" s="30" t="s">
        <v>288</v>
      </c>
      <c r="S239" s="36">
        <v>-100000</v>
      </c>
      <c r="T239" s="37" t="s">
        <v>288</v>
      </c>
      <c r="U239" s="36">
        <v>-100000</v>
      </c>
      <c r="V239" s="30" t="s">
        <v>0</v>
      </c>
      <c r="W239" s="30" t="s">
        <v>301</v>
      </c>
      <c r="X239" s="30" t="s">
        <v>0</v>
      </c>
      <c r="Y239" s="30" t="s">
        <v>0</v>
      </c>
      <c r="Z239" s="30" t="s">
        <v>296</v>
      </c>
      <c r="AA239" s="30" t="s">
        <v>0</v>
      </c>
      <c r="AB239" s="30" t="s">
        <v>0</v>
      </c>
      <c r="AC239" s="30" t="s">
        <v>0</v>
      </c>
      <c r="AD239" s="30" t="s">
        <v>0</v>
      </c>
      <c r="AE239" s="31">
        <v>46031</v>
      </c>
      <c r="AF239" s="31"/>
      <c r="AG239" s="30" t="s">
        <v>0</v>
      </c>
    </row>
    <row r="240" spans="1:33" x14ac:dyDescent="0.35">
      <c r="A240" s="30" t="s">
        <v>297</v>
      </c>
      <c r="B240" s="30" t="s">
        <v>280</v>
      </c>
      <c r="C240" s="30" t="s">
        <v>281</v>
      </c>
      <c r="D240" s="30" t="s">
        <v>282</v>
      </c>
      <c r="E240" s="30" t="s">
        <v>938</v>
      </c>
      <c r="F240" s="30" t="s">
        <v>290</v>
      </c>
      <c r="G240" s="31">
        <v>46028</v>
      </c>
      <c r="H240" s="30" t="s">
        <v>967</v>
      </c>
      <c r="I240" s="30" t="s">
        <v>360</v>
      </c>
      <c r="J240" s="31">
        <v>46028</v>
      </c>
      <c r="K240" s="31">
        <v>46031</v>
      </c>
      <c r="L240" s="30" t="s">
        <v>968</v>
      </c>
      <c r="M240" s="30" t="s">
        <v>969</v>
      </c>
      <c r="N240" s="30" t="s">
        <v>286</v>
      </c>
      <c r="O240" s="30" t="s">
        <v>287</v>
      </c>
      <c r="P240" s="30" t="s">
        <v>0</v>
      </c>
      <c r="Q240" s="30" t="s">
        <v>352</v>
      </c>
      <c r="R240" s="30" t="s">
        <v>356</v>
      </c>
      <c r="S240" s="36">
        <v>55.03</v>
      </c>
      <c r="T240" s="37" t="s">
        <v>288</v>
      </c>
      <c r="U240" s="36">
        <v>4993.59</v>
      </c>
      <c r="V240" s="30" t="s">
        <v>369</v>
      </c>
      <c r="W240" s="30" t="s">
        <v>289</v>
      </c>
      <c r="X240" s="30" t="s">
        <v>0</v>
      </c>
      <c r="Y240" s="30" t="s">
        <v>354</v>
      </c>
      <c r="Z240" s="30" t="s">
        <v>290</v>
      </c>
      <c r="AA240" s="30" t="s">
        <v>970</v>
      </c>
      <c r="AB240" s="30" t="s">
        <v>0</v>
      </c>
      <c r="AC240" s="30" t="s">
        <v>0</v>
      </c>
      <c r="AD240" s="30" t="s">
        <v>0</v>
      </c>
      <c r="AE240" s="31">
        <v>46028</v>
      </c>
      <c r="AF240" s="31"/>
      <c r="AG240" s="30" t="s">
        <v>0</v>
      </c>
    </row>
    <row r="241" spans="1:33" x14ac:dyDescent="0.35">
      <c r="A241" s="30" t="s">
        <v>297</v>
      </c>
      <c r="B241" s="30" t="s">
        <v>280</v>
      </c>
      <c r="C241" s="30" t="s">
        <v>281</v>
      </c>
      <c r="D241" s="30" t="s">
        <v>282</v>
      </c>
      <c r="E241" s="30" t="s">
        <v>938</v>
      </c>
      <c r="F241" s="30" t="s">
        <v>290</v>
      </c>
      <c r="G241" s="31">
        <v>46028</v>
      </c>
      <c r="H241" s="30" t="s">
        <v>971</v>
      </c>
      <c r="I241" s="30" t="s">
        <v>360</v>
      </c>
      <c r="J241" s="31">
        <v>46028</v>
      </c>
      <c r="K241" s="31">
        <v>46034</v>
      </c>
      <c r="L241" s="30" t="s">
        <v>972</v>
      </c>
      <c r="M241" s="30" t="s">
        <v>973</v>
      </c>
      <c r="N241" s="30" t="s">
        <v>286</v>
      </c>
      <c r="O241" s="30" t="s">
        <v>287</v>
      </c>
      <c r="P241" s="30" t="s">
        <v>0</v>
      </c>
      <c r="Q241" s="30" t="s">
        <v>352</v>
      </c>
      <c r="R241" s="30" t="s">
        <v>356</v>
      </c>
      <c r="S241" s="36">
        <v>16.75</v>
      </c>
      <c r="T241" s="37" t="s">
        <v>288</v>
      </c>
      <c r="U241" s="36">
        <v>1519.95</v>
      </c>
      <c r="V241" s="30" t="s">
        <v>369</v>
      </c>
      <c r="W241" s="30" t="s">
        <v>289</v>
      </c>
      <c r="X241" s="30" t="s">
        <v>0</v>
      </c>
      <c r="Y241" s="30" t="s">
        <v>354</v>
      </c>
      <c r="Z241" s="30" t="s">
        <v>290</v>
      </c>
      <c r="AA241" s="30" t="s">
        <v>974</v>
      </c>
      <c r="AB241" s="30" t="s">
        <v>0</v>
      </c>
      <c r="AC241" s="30" t="s">
        <v>0</v>
      </c>
      <c r="AD241" s="30" t="s">
        <v>0</v>
      </c>
      <c r="AE241" s="31">
        <v>46028</v>
      </c>
      <c r="AF241" s="31"/>
      <c r="AG241" s="30" t="s">
        <v>0</v>
      </c>
    </row>
    <row r="242" spans="1:33" x14ac:dyDescent="0.35">
      <c r="A242" s="30" t="s">
        <v>297</v>
      </c>
      <c r="B242" s="30" t="s">
        <v>280</v>
      </c>
      <c r="C242" s="30" t="s">
        <v>281</v>
      </c>
      <c r="D242" s="30" t="s">
        <v>282</v>
      </c>
      <c r="E242" s="30" t="s">
        <v>938</v>
      </c>
      <c r="F242" s="30" t="s">
        <v>290</v>
      </c>
      <c r="G242" s="31">
        <v>46034</v>
      </c>
      <c r="H242" s="30" t="s">
        <v>975</v>
      </c>
      <c r="I242" s="30" t="s">
        <v>360</v>
      </c>
      <c r="J242" s="31">
        <v>46034</v>
      </c>
      <c r="K242" s="31">
        <v>46034</v>
      </c>
      <c r="L242" s="30" t="s">
        <v>976</v>
      </c>
      <c r="M242" s="30" t="s">
        <v>977</v>
      </c>
      <c r="N242" s="30" t="s">
        <v>286</v>
      </c>
      <c r="O242" s="30" t="s">
        <v>287</v>
      </c>
      <c r="P242" s="30" t="s">
        <v>0</v>
      </c>
      <c r="Q242" s="30" t="s">
        <v>352</v>
      </c>
      <c r="R242" s="30" t="s">
        <v>356</v>
      </c>
      <c r="S242" s="36">
        <v>45.04</v>
      </c>
      <c r="T242" s="37" t="s">
        <v>288</v>
      </c>
      <c r="U242" s="36">
        <v>4087.07</v>
      </c>
      <c r="V242" s="30" t="s">
        <v>369</v>
      </c>
      <c r="W242" s="30" t="s">
        <v>289</v>
      </c>
      <c r="X242" s="30" t="s">
        <v>0</v>
      </c>
      <c r="Y242" s="30" t="s">
        <v>354</v>
      </c>
      <c r="Z242" s="30" t="s">
        <v>290</v>
      </c>
      <c r="AA242" s="30" t="s">
        <v>978</v>
      </c>
      <c r="AB242" s="30" t="s">
        <v>0</v>
      </c>
      <c r="AC242" s="30" t="s">
        <v>0</v>
      </c>
      <c r="AD242" s="30" t="s">
        <v>0</v>
      </c>
      <c r="AE242" s="31">
        <v>46034</v>
      </c>
      <c r="AF242" s="31"/>
      <c r="AG242" s="30" t="s">
        <v>0</v>
      </c>
    </row>
    <row r="243" spans="1:33" x14ac:dyDescent="0.35">
      <c r="A243" s="30" t="s">
        <v>297</v>
      </c>
      <c r="B243" s="30" t="s">
        <v>280</v>
      </c>
      <c r="C243" s="30" t="s">
        <v>281</v>
      </c>
      <c r="D243" s="30" t="s">
        <v>282</v>
      </c>
      <c r="E243" s="30" t="s">
        <v>938</v>
      </c>
      <c r="F243" s="30" t="s">
        <v>290</v>
      </c>
      <c r="G243" s="31">
        <v>46028</v>
      </c>
      <c r="H243" s="30" t="s">
        <v>979</v>
      </c>
      <c r="I243" s="30" t="s">
        <v>360</v>
      </c>
      <c r="J243" s="31">
        <v>46028</v>
      </c>
      <c r="K243" s="31">
        <v>46034</v>
      </c>
      <c r="L243" s="30" t="s">
        <v>980</v>
      </c>
      <c r="M243" s="30" t="s">
        <v>981</v>
      </c>
      <c r="N243" s="30" t="s">
        <v>286</v>
      </c>
      <c r="O243" s="30" t="s">
        <v>287</v>
      </c>
      <c r="P243" s="30" t="s">
        <v>0</v>
      </c>
      <c r="Q243" s="30" t="s">
        <v>352</v>
      </c>
      <c r="R243" s="30" t="s">
        <v>356</v>
      </c>
      <c r="S243" s="36">
        <v>730.62</v>
      </c>
      <c r="T243" s="37" t="s">
        <v>288</v>
      </c>
      <c r="U243" s="36">
        <v>66298.75</v>
      </c>
      <c r="V243" s="30" t="s">
        <v>369</v>
      </c>
      <c r="W243" s="30" t="s">
        <v>289</v>
      </c>
      <c r="X243" s="30" t="s">
        <v>0</v>
      </c>
      <c r="Y243" s="30" t="s">
        <v>354</v>
      </c>
      <c r="Z243" s="30" t="s">
        <v>290</v>
      </c>
      <c r="AA243" s="30" t="s">
        <v>982</v>
      </c>
      <c r="AB243" s="30" t="s">
        <v>0</v>
      </c>
      <c r="AC243" s="30" t="s">
        <v>0</v>
      </c>
      <c r="AD243" s="30" t="s">
        <v>0</v>
      </c>
      <c r="AE243" s="31">
        <v>46028</v>
      </c>
      <c r="AF243" s="31"/>
      <c r="AG243" s="30" t="s">
        <v>0</v>
      </c>
    </row>
    <row r="244" spans="1:33" x14ac:dyDescent="0.35">
      <c r="A244" s="30" t="s">
        <v>297</v>
      </c>
      <c r="B244" s="30" t="s">
        <v>280</v>
      </c>
      <c r="C244" s="30" t="s">
        <v>281</v>
      </c>
      <c r="D244" s="30" t="s">
        <v>282</v>
      </c>
      <c r="E244" s="30" t="s">
        <v>938</v>
      </c>
      <c r="F244" s="30" t="s">
        <v>290</v>
      </c>
      <c r="G244" s="31">
        <v>46034</v>
      </c>
      <c r="H244" s="30" t="s">
        <v>983</v>
      </c>
      <c r="I244" s="30" t="s">
        <v>360</v>
      </c>
      <c r="J244" s="31">
        <v>46034</v>
      </c>
      <c r="K244" s="31">
        <v>46035</v>
      </c>
      <c r="L244" s="30" t="s">
        <v>984</v>
      </c>
      <c r="M244" s="30" t="s">
        <v>985</v>
      </c>
      <c r="N244" s="30" t="s">
        <v>286</v>
      </c>
      <c r="O244" s="30" t="s">
        <v>287</v>
      </c>
      <c r="P244" s="30" t="s">
        <v>0</v>
      </c>
      <c r="Q244" s="30" t="s">
        <v>352</v>
      </c>
      <c r="R244" s="30" t="s">
        <v>356</v>
      </c>
      <c r="S244" s="36">
        <v>126.24</v>
      </c>
      <c r="T244" s="37" t="s">
        <v>288</v>
      </c>
      <c r="U244" s="36">
        <v>11455.41</v>
      </c>
      <c r="V244" s="30" t="s">
        <v>369</v>
      </c>
      <c r="W244" s="30" t="s">
        <v>289</v>
      </c>
      <c r="X244" s="30" t="s">
        <v>0</v>
      </c>
      <c r="Y244" s="30" t="s">
        <v>354</v>
      </c>
      <c r="Z244" s="30" t="s">
        <v>290</v>
      </c>
      <c r="AA244" s="30" t="s">
        <v>986</v>
      </c>
      <c r="AB244" s="30" t="s">
        <v>0</v>
      </c>
      <c r="AC244" s="30" t="s">
        <v>0</v>
      </c>
      <c r="AD244" s="30" t="s">
        <v>0</v>
      </c>
      <c r="AE244" s="31">
        <v>46034</v>
      </c>
      <c r="AF244" s="31"/>
      <c r="AG244" s="30" t="s">
        <v>0</v>
      </c>
    </row>
    <row r="245" spans="1:33" x14ac:dyDescent="0.35">
      <c r="A245" s="30" t="s">
        <v>297</v>
      </c>
      <c r="B245" s="30" t="s">
        <v>280</v>
      </c>
      <c r="C245" s="30" t="s">
        <v>281</v>
      </c>
      <c r="D245" s="30" t="s">
        <v>282</v>
      </c>
      <c r="E245" s="30" t="s">
        <v>938</v>
      </c>
      <c r="F245" s="30" t="s">
        <v>290</v>
      </c>
      <c r="G245" s="31">
        <v>46028</v>
      </c>
      <c r="H245" s="30" t="s">
        <v>987</v>
      </c>
      <c r="I245" s="30" t="s">
        <v>360</v>
      </c>
      <c r="J245" s="31">
        <v>46028</v>
      </c>
      <c r="K245" s="31">
        <v>46035</v>
      </c>
      <c r="L245" s="30" t="s">
        <v>354</v>
      </c>
      <c r="M245" s="30" t="s">
        <v>988</v>
      </c>
      <c r="N245" s="30" t="s">
        <v>286</v>
      </c>
      <c r="O245" s="30" t="s">
        <v>287</v>
      </c>
      <c r="P245" s="30" t="s">
        <v>0</v>
      </c>
      <c r="Q245" s="30" t="s">
        <v>352</v>
      </c>
      <c r="R245" s="30" t="s">
        <v>356</v>
      </c>
      <c r="S245" s="36">
        <v>1800</v>
      </c>
      <c r="T245" s="37" t="s">
        <v>288</v>
      </c>
      <c r="U245" s="36">
        <v>163337.65</v>
      </c>
      <c r="V245" s="30" t="s">
        <v>369</v>
      </c>
      <c r="W245" s="30" t="s">
        <v>289</v>
      </c>
      <c r="X245" s="30" t="s">
        <v>0</v>
      </c>
      <c r="Y245" s="30" t="s">
        <v>989</v>
      </c>
      <c r="Z245" s="30" t="s">
        <v>290</v>
      </c>
      <c r="AA245" s="30" t="s">
        <v>990</v>
      </c>
      <c r="AB245" s="30" t="s">
        <v>0</v>
      </c>
      <c r="AC245" s="30" t="s">
        <v>0</v>
      </c>
      <c r="AD245" s="30" t="s">
        <v>0</v>
      </c>
      <c r="AE245" s="31">
        <v>46028</v>
      </c>
      <c r="AF245" s="31"/>
      <c r="AG245" s="30" t="s">
        <v>0</v>
      </c>
    </row>
    <row r="246" spans="1:33" x14ac:dyDescent="0.35">
      <c r="A246" s="30" t="s">
        <v>297</v>
      </c>
      <c r="B246" s="30" t="s">
        <v>280</v>
      </c>
      <c r="C246" s="30" t="s">
        <v>281</v>
      </c>
      <c r="D246" s="30" t="s">
        <v>282</v>
      </c>
      <c r="E246" s="30" t="s">
        <v>938</v>
      </c>
      <c r="F246" s="30" t="s">
        <v>290</v>
      </c>
      <c r="G246" s="31">
        <v>46035</v>
      </c>
      <c r="H246" s="30" t="s">
        <v>991</v>
      </c>
      <c r="I246" s="30" t="s">
        <v>360</v>
      </c>
      <c r="J246" s="31">
        <v>46035</v>
      </c>
      <c r="K246" s="31">
        <v>46035</v>
      </c>
      <c r="L246" s="30" t="s">
        <v>354</v>
      </c>
      <c r="M246" s="30" t="s">
        <v>992</v>
      </c>
      <c r="N246" s="30" t="s">
        <v>286</v>
      </c>
      <c r="O246" s="30" t="s">
        <v>287</v>
      </c>
      <c r="P246" s="30" t="s">
        <v>0</v>
      </c>
      <c r="Q246" s="30" t="s">
        <v>352</v>
      </c>
      <c r="R246" s="30" t="s">
        <v>356</v>
      </c>
      <c r="S246" s="36">
        <v>696.85</v>
      </c>
      <c r="T246" s="37" t="s">
        <v>288</v>
      </c>
      <c r="U246" s="36">
        <v>63234.36</v>
      </c>
      <c r="V246" s="30" t="s">
        <v>369</v>
      </c>
      <c r="W246" s="30" t="s">
        <v>289</v>
      </c>
      <c r="X246" s="30" t="s">
        <v>0</v>
      </c>
      <c r="Y246" s="30" t="s">
        <v>993</v>
      </c>
      <c r="Z246" s="30" t="s">
        <v>290</v>
      </c>
      <c r="AA246" s="30" t="s">
        <v>994</v>
      </c>
      <c r="AB246" s="30" t="s">
        <v>0</v>
      </c>
      <c r="AC246" s="30" t="s">
        <v>0</v>
      </c>
      <c r="AD246" s="30" t="s">
        <v>0</v>
      </c>
      <c r="AE246" s="31">
        <v>46035</v>
      </c>
      <c r="AF246" s="31"/>
      <c r="AG246" s="30" t="s">
        <v>0</v>
      </c>
    </row>
    <row r="247" spans="1:33" x14ac:dyDescent="0.35">
      <c r="A247" s="30" t="s">
        <v>297</v>
      </c>
      <c r="B247" s="30" t="s">
        <v>280</v>
      </c>
      <c r="C247" s="30" t="s">
        <v>281</v>
      </c>
      <c r="D247" s="30" t="s">
        <v>282</v>
      </c>
      <c r="E247" s="30" t="s">
        <v>938</v>
      </c>
      <c r="F247" s="30" t="s">
        <v>290</v>
      </c>
      <c r="G247" s="31">
        <v>46041</v>
      </c>
      <c r="H247" s="30" t="s">
        <v>995</v>
      </c>
      <c r="I247" s="30" t="s">
        <v>299</v>
      </c>
      <c r="J247" s="31">
        <v>46041</v>
      </c>
      <c r="K247" s="31">
        <v>46041</v>
      </c>
      <c r="L247" s="30" t="s">
        <v>996</v>
      </c>
      <c r="M247" s="30" t="s">
        <v>0</v>
      </c>
      <c r="N247" s="30" t="s">
        <v>286</v>
      </c>
      <c r="O247" s="30" t="s">
        <v>287</v>
      </c>
      <c r="P247" s="30" t="s">
        <v>0</v>
      </c>
      <c r="Q247" s="30" t="s">
        <v>62</v>
      </c>
      <c r="R247" s="30" t="s">
        <v>288</v>
      </c>
      <c r="S247" s="36">
        <v>-150000</v>
      </c>
      <c r="T247" s="37" t="s">
        <v>288</v>
      </c>
      <c r="U247" s="36">
        <v>-150000</v>
      </c>
      <c r="V247" s="30" t="s">
        <v>0</v>
      </c>
      <c r="W247" s="30" t="s">
        <v>301</v>
      </c>
      <c r="X247" s="30" t="s">
        <v>0</v>
      </c>
      <c r="Y247" s="30" t="s">
        <v>0</v>
      </c>
      <c r="Z247" s="30" t="s">
        <v>296</v>
      </c>
      <c r="AA247" s="30" t="s">
        <v>0</v>
      </c>
      <c r="AB247" s="30" t="s">
        <v>0</v>
      </c>
      <c r="AC247" s="30" t="s">
        <v>0</v>
      </c>
      <c r="AD247" s="30" t="s">
        <v>0</v>
      </c>
      <c r="AE247" s="31">
        <v>46041</v>
      </c>
      <c r="AF247" s="31"/>
      <c r="AG247" s="30" t="s">
        <v>0</v>
      </c>
    </row>
    <row r="248" spans="1:33" x14ac:dyDescent="0.35">
      <c r="A248" s="30" t="s">
        <v>297</v>
      </c>
      <c r="B248" s="30" t="s">
        <v>280</v>
      </c>
      <c r="C248" s="30" t="s">
        <v>281</v>
      </c>
      <c r="D248" s="30" t="s">
        <v>282</v>
      </c>
      <c r="E248" s="30" t="s">
        <v>938</v>
      </c>
      <c r="F248" s="30" t="s">
        <v>290</v>
      </c>
      <c r="G248" s="31">
        <v>46045</v>
      </c>
      <c r="H248" s="30" t="s">
        <v>997</v>
      </c>
      <c r="I248" s="30" t="s">
        <v>299</v>
      </c>
      <c r="J248" s="31">
        <v>46045</v>
      </c>
      <c r="K248" s="31">
        <v>46045</v>
      </c>
      <c r="L248" s="30" t="s">
        <v>998</v>
      </c>
      <c r="M248" s="30" t="s">
        <v>0</v>
      </c>
      <c r="N248" s="30" t="s">
        <v>286</v>
      </c>
      <c r="O248" s="30" t="s">
        <v>287</v>
      </c>
      <c r="P248" s="30" t="s">
        <v>0</v>
      </c>
      <c r="Q248" s="30" t="s">
        <v>62</v>
      </c>
      <c r="R248" s="30" t="s">
        <v>288</v>
      </c>
      <c r="S248" s="36">
        <v>-150000</v>
      </c>
      <c r="T248" s="37" t="s">
        <v>288</v>
      </c>
      <c r="U248" s="36">
        <v>-150000</v>
      </c>
      <c r="V248" s="30" t="s">
        <v>0</v>
      </c>
      <c r="W248" s="30" t="s">
        <v>301</v>
      </c>
      <c r="X248" s="30" t="s">
        <v>0</v>
      </c>
      <c r="Y248" s="30" t="s">
        <v>0</v>
      </c>
      <c r="Z248" s="30" t="s">
        <v>296</v>
      </c>
      <c r="AA248" s="30" t="s">
        <v>0</v>
      </c>
      <c r="AB248" s="30" t="s">
        <v>0</v>
      </c>
      <c r="AC248" s="30" t="s">
        <v>0</v>
      </c>
      <c r="AD248" s="30" t="s">
        <v>0</v>
      </c>
      <c r="AE248" s="31">
        <v>46045</v>
      </c>
      <c r="AF248" s="31"/>
      <c r="AG248" s="30" t="s">
        <v>0</v>
      </c>
    </row>
    <row r="249" spans="1:33" x14ac:dyDescent="0.35">
      <c r="A249" s="30" t="s">
        <v>297</v>
      </c>
      <c r="B249" s="30" t="s">
        <v>280</v>
      </c>
      <c r="C249" s="30" t="s">
        <v>281</v>
      </c>
      <c r="D249" s="30" t="s">
        <v>282</v>
      </c>
      <c r="E249" s="30" t="s">
        <v>938</v>
      </c>
      <c r="F249" s="30" t="s">
        <v>290</v>
      </c>
      <c r="G249" s="31">
        <v>46045</v>
      </c>
      <c r="H249" s="30" t="s">
        <v>999</v>
      </c>
      <c r="I249" s="30" t="s">
        <v>360</v>
      </c>
      <c r="J249" s="31">
        <v>46045</v>
      </c>
      <c r="K249" s="31">
        <v>46049</v>
      </c>
      <c r="L249" s="30" t="s">
        <v>1000</v>
      </c>
      <c r="M249" s="30" t="s">
        <v>1001</v>
      </c>
      <c r="N249" s="30" t="s">
        <v>286</v>
      </c>
      <c r="O249" s="30" t="s">
        <v>287</v>
      </c>
      <c r="P249" s="30" t="s">
        <v>0</v>
      </c>
      <c r="Q249" s="30" t="s">
        <v>352</v>
      </c>
      <c r="R249" s="30" t="s">
        <v>356</v>
      </c>
      <c r="S249" s="36">
        <v>16.75</v>
      </c>
      <c r="T249" s="37" t="s">
        <v>288</v>
      </c>
      <c r="U249" s="36">
        <v>1519.95</v>
      </c>
      <c r="V249" s="30" t="s">
        <v>369</v>
      </c>
      <c r="W249" s="30" t="s">
        <v>289</v>
      </c>
      <c r="X249" s="30" t="s">
        <v>0</v>
      </c>
      <c r="Y249" s="30" t="s">
        <v>354</v>
      </c>
      <c r="Z249" s="30" t="s">
        <v>290</v>
      </c>
      <c r="AA249" s="30" t="s">
        <v>1002</v>
      </c>
      <c r="AB249" s="30" t="s">
        <v>0</v>
      </c>
      <c r="AC249" s="30" t="s">
        <v>0</v>
      </c>
      <c r="AD249" s="30" t="s">
        <v>0</v>
      </c>
      <c r="AE249" s="31">
        <v>46045</v>
      </c>
      <c r="AF249" s="31"/>
      <c r="AG249" s="30" t="s">
        <v>0</v>
      </c>
    </row>
    <row r="250" spans="1:33" x14ac:dyDescent="0.35">
      <c r="A250" s="30" t="s">
        <v>297</v>
      </c>
      <c r="B250" s="30" t="s">
        <v>280</v>
      </c>
      <c r="C250" s="30" t="s">
        <v>281</v>
      </c>
      <c r="D250" s="30" t="s">
        <v>282</v>
      </c>
      <c r="E250" s="30" t="s">
        <v>938</v>
      </c>
      <c r="F250" s="30" t="s">
        <v>290</v>
      </c>
      <c r="G250" s="31">
        <v>46045</v>
      </c>
      <c r="H250" s="30" t="s">
        <v>1003</v>
      </c>
      <c r="I250" s="30" t="s">
        <v>360</v>
      </c>
      <c r="J250" s="31">
        <v>46045</v>
      </c>
      <c r="K250" s="31">
        <v>46049</v>
      </c>
      <c r="L250" s="30" t="s">
        <v>1004</v>
      </c>
      <c r="M250" s="30" t="s">
        <v>1005</v>
      </c>
      <c r="N250" s="30" t="s">
        <v>286</v>
      </c>
      <c r="O250" s="30" t="s">
        <v>287</v>
      </c>
      <c r="P250" s="30" t="s">
        <v>0</v>
      </c>
      <c r="Q250" s="30" t="s">
        <v>352</v>
      </c>
      <c r="R250" s="30" t="s">
        <v>356</v>
      </c>
      <c r="S250" s="36">
        <v>3.5</v>
      </c>
      <c r="T250" s="37" t="s">
        <v>288</v>
      </c>
      <c r="U250" s="36">
        <v>317.60000000000002</v>
      </c>
      <c r="V250" s="30" t="s">
        <v>369</v>
      </c>
      <c r="W250" s="30" t="s">
        <v>289</v>
      </c>
      <c r="X250" s="30" t="s">
        <v>0</v>
      </c>
      <c r="Y250" s="30" t="s">
        <v>354</v>
      </c>
      <c r="Z250" s="30" t="s">
        <v>290</v>
      </c>
      <c r="AA250" s="30" t="s">
        <v>1006</v>
      </c>
      <c r="AB250" s="30" t="s">
        <v>0</v>
      </c>
      <c r="AC250" s="30" t="s">
        <v>0</v>
      </c>
      <c r="AD250" s="30" t="s">
        <v>0</v>
      </c>
      <c r="AE250" s="31">
        <v>46045</v>
      </c>
      <c r="AF250" s="31"/>
      <c r="AG250" s="30" t="s">
        <v>0</v>
      </c>
    </row>
    <row r="251" spans="1:33" x14ac:dyDescent="0.35">
      <c r="A251" s="30" t="s">
        <v>297</v>
      </c>
      <c r="B251" s="30" t="s">
        <v>280</v>
      </c>
      <c r="C251" s="30" t="s">
        <v>281</v>
      </c>
      <c r="D251" s="30" t="s">
        <v>282</v>
      </c>
      <c r="E251" s="30" t="s">
        <v>938</v>
      </c>
      <c r="F251" s="30" t="s">
        <v>290</v>
      </c>
      <c r="G251" s="31">
        <v>46049</v>
      </c>
      <c r="H251" s="30" t="s">
        <v>1007</v>
      </c>
      <c r="I251" s="30" t="s">
        <v>360</v>
      </c>
      <c r="J251" s="31">
        <v>46049</v>
      </c>
      <c r="K251" s="31">
        <v>46049</v>
      </c>
      <c r="L251" s="30" t="s">
        <v>1008</v>
      </c>
      <c r="M251" s="30" t="s">
        <v>1009</v>
      </c>
      <c r="N251" s="30" t="s">
        <v>286</v>
      </c>
      <c r="O251" s="30" t="s">
        <v>287</v>
      </c>
      <c r="P251" s="30" t="s">
        <v>0</v>
      </c>
      <c r="Q251" s="30" t="s">
        <v>352</v>
      </c>
      <c r="R251" s="30" t="s">
        <v>356</v>
      </c>
      <c r="S251" s="36">
        <v>176.58</v>
      </c>
      <c r="T251" s="37" t="s">
        <v>288</v>
      </c>
      <c r="U251" s="36">
        <v>16023.42</v>
      </c>
      <c r="V251" s="30" t="s">
        <v>369</v>
      </c>
      <c r="W251" s="30" t="s">
        <v>289</v>
      </c>
      <c r="X251" s="30" t="s">
        <v>0</v>
      </c>
      <c r="Y251" s="30" t="s">
        <v>354</v>
      </c>
      <c r="Z251" s="30" t="s">
        <v>290</v>
      </c>
      <c r="AA251" s="30" t="s">
        <v>1010</v>
      </c>
      <c r="AB251" s="30" t="s">
        <v>0</v>
      </c>
      <c r="AC251" s="30" t="s">
        <v>0</v>
      </c>
      <c r="AD251" s="30" t="s">
        <v>0</v>
      </c>
      <c r="AE251" s="31">
        <v>46049</v>
      </c>
      <c r="AF251" s="31"/>
      <c r="AG251" s="30" t="s">
        <v>0</v>
      </c>
    </row>
    <row r="252" spans="1:33" x14ac:dyDescent="0.35">
      <c r="A252" s="30" t="s">
        <v>297</v>
      </c>
      <c r="B252" s="30" t="s">
        <v>280</v>
      </c>
      <c r="C252" s="30" t="s">
        <v>281</v>
      </c>
      <c r="D252" s="30" t="s">
        <v>282</v>
      </c>
      <c r="E252" s="30" t="s">
        <v>938</v>
      </c>
      <c r="F252" s="30" t="s">
        <v>296</v>
      </c>
      <c r="G252" s="31">
        <v>46055</v>
      </c>
      <c r="H252" s="30" t="s">
        <v>1011</v>
      </c>
      <c r="I252" s="30" t="s">
        <v>299</v>
      </c>
      <c r="J252" s="31">
        <v>46055</v>
      </c>
      <c r="K252" s="31">
        <v>46055</v>
      </c>
      <c r="L252" s="30" t="s">
        <v>1012</v>
      </c>
      <c r="M252" s="30" t="s">
        <v>1013</v>
      </c>
      <c r="N252" s="30" t="s">
        <v>286</v>
      </c>
      <c r="O252" s="30" t="s">
        <v>287</v>
      </c>
      <c r="P252" s="30" t="s">
        <v>0</v>
      </c>
      <c r="Q252" s="30" t="s">
        <v>62</v>
      </c>
      <c r="R252" s="30" t="s">
        <v>288</v>
      </c>
      <c r="S252" s="36">
        <v>-200000</v>
      </c>
      <c r="T252" s="37" t="s">
        <v>288</v>
      </c>
      <c r="U252" s="36">
        <v>-200000</v>
      </c>
      <c r="V252" s="30" t="s">
        <v>0</v>
      </c>
      <c r="W252" s="30" t="s">
        <v>301</v>
      </c>
      <c r="X252" s="30" t="s">
        <v>0</v>
      </c>
      <c r="Y252" s="30" t="s">
        <v>0</v>
      </c>
      <c r="Z252" s="30" t="s">
        <v>296</v>
      </c>
      <c r="AA252" s="30" t="s">
        <v>0</v>
      </c>
      <c r="AB252" s="30" t="s">
        <v>0</v>
      </c>
      <c r="AC252" s="30" t="s">
        <v>0</v>
      </c>
      <c r="AD252" s="30" t="s">
        <v>0</v>
      </c>
      <c r="AE252" s="31">
        <v>46055</v>
      </c>
      <c r="AF252" s="31"/>
      <c r="AG252" s="30" t="s">
        <v>0</v>
      </c>
    </row>
    <row r="253" spans="1:33" x14ac:dyDescent="0.35">
      <c r="A253" s="30" t="s">
        <v>279</v>
      </c>
      <c r="B253" s="30" t="s">
        <v>280</v>
      </c>
      <c r="C253" s="30" t="s">
        <v>281</v>
      </c>
      <c r="D253" s="30" t="s">
        <v>282</v>
      </c>
      <c r="E253" s="30" t="s">
        <v>938</v>
      </c>
      <c r="F253" s="30" t="s">
        <v>296</v>
      </c>
      <c r="G253" s="31">
        <v>46055</v>
      </c>
      <c r="H253" s="30" t="s">
        <v>1014</v>
      </c>
      <c r="I253" s="30" t="s">
        <v>299</v>
      </c>
      <c r="J253" s="31">
        <v>46055</v>
      </c>
      <c r="K253" s="31">
        <v>46062</v>
      </c>
      <c r="L253" s="30" t="s">
        <v>1015</v>
      </c>
      <c r="M253" s="30" t="s">
        <v>1016</v>
      </c>
      <c r="N253" s="30" t="s">
        <v>286</v>
      </c>
      <c r="O253" s="30" t="s">
        <v>287</v>
      </c>
      <c r="P253" s="30" t="s">
        <v>0</v>
      </c>
      <c r="Q253" s="30" t="s">
        <v>304</v>
      </c>
      <c r="R253" s="30" t="s">
        <v>288</v>
      </c>
      <c r="S253" s="36">
        <v>200000</v>
      </c>
      <c r="T253" s="37" t="s">
        <v>288</v>
      </c>
      <c r="U253" s="36">
        <v>200000</v>
      </c>
      <c r="V253" s="30" t="s">
        <v>0</v>
      </c>
      <c r="W253" s="30" t="s">
        <v>301</v>
      </c>
      <c r="X253" s="30" t="s">
        <v>0</v>
      </c>
      <c r="Y253" s="30" t="s">
        <v>0</v>
      </c>
      <c r="Z253" s="30" t="s">
        <v>296</v>
      </c>
      <c r="AA253" s="30" t="s">
        <v>0</v>
      </c>
      <c r="AB253" s="30" t="s">
        <v>0</v>
      </c>
      <c r="AC253" s="30" t="s">
        <v>0</v>
      </c>
      <c r="AD253" s="30" t="s">
        <v>0</v>
      </c>
      <c r="AE253" s="31">
        <v>46055</v>
      </c>
      <c r="AF253" s="31">
        <v>46055</v>
      </c>
      <c r="AG253" s="30" t="s">
        <v>1014</v>
      </c>
    </row>
    <row r="254" spans="1:33" x14ac:dyDescent="0.35">
      <c r="A254" s="30" t="s">
        <v>279</v>
      </c>
      <c r="B254" s="30" t="s">
        <v>280</v>
      </c>
      <c r="C254" s="30" t="s">
        <v>281</v>
      </c>
      <c r="D254" s="30" t="s">
        <v>282</v>
      </c>
      <c r="E254" s="30" t="s">
        <v>938</v>
      </c>
      <c r="F254" s="30" t="s">
        <v>296</v>
      </c>
      <c r="G254" s="31">
        <v>46055</v>
      </c>
      <c r="H254" s="30" t="s">
        <v>1017</v>
      </c>
      <c r="I254" s="30" t="s">
        <v>299</v>
      </c>
      <c r="J254" s="31">
        <v>46055</v>
      </c>
      <c r="K254" s="31">
        <v>46055</v>
      </c>
      <c r="L254" s="30" t="s">
        <v>1015</v>
      </c>
      <c r="M254" s="30" t="s">
        <v>1016</v>
      </c>
      <c r="N254" s="30" t="s">
        <v>286</v>
      </c>
      <c r="O254" s="30" t="s">
        <v>287</v>
      </c>
      <c r="P254" s="30" t="s">
        <v>0</v>
      </c>
      <c r="Q254" s="30" t="s">
        <v>62</v>
      </c>
      <c r="R254" s="30" t="s">
        <v>288</v>
      </c>
      <c r="S254" s="36">
        <v>-200000</v>
      </c>
      <c r="T254" s="37" t="s">
        <v>288</v>
      </c>
      <c r="U254" s="36">
        <v>-200000</v>
      </c>
      <c r="V254" s="30" t="s">
        <v>0</v>
      </c>
      <c r="W254" s="30" t="s">
        <v>301</v>
      </c>
      <c r="X254" s="30" t="s">
        <v>0</v>
      </c>
      <c r="Y254" s="30" t="s">
        <v>0</v>
      </c>
      <c r="Z254" s="30" t="s">
        <v>296</v>
      </c>
      <c r="AA254" s="30" t="s">
        <v>0</v>
      </c>
      <c r="AB254" s="30" t="s">
        <v>0</v>
      </c>
      <c r="AC254" s="30" t="s">
        <v>0</v>
      </c>
      <c r="AD254" s="30" t="s">
        <v>0</v>
      </c>
      <c r="AE254" s="31">
        <v>46055</v>
      </c>
      <c r="AF254" s="31">
        <v>46055</v>
      </c>
      <c r="AG254" s="30" t="s">
        <v>1014</v>
      </c>
    </row>
    <row r="255" spans="1:33" x14ac:dyDescent="0.35">
      <c r="A255" s="30" t="s">
        <v>297</v>
      </c>
      <c r="B255" s="30" t="s">
        <v>280</v>
      </c>
      <c r="C255" s="30" t="s">
        <v>281</v>
      </c>
      <c r="D255" s="30" t="s">
        <v>282</v>
      </c>
      <c r="E255" s="30" t="s">
        <v>938</v>
      </c>
      <c r="F255" s="30" t="s">
        <v>296</v>
      </c>
      <c r="G255" s="31">
        <v>46066</v>
      </c>
      <c r="H255" s="30" t="s">
        <v>1018</v>
      </c>
      <c r="I255" s="30" t="s">
        <v>299</v>
      </c>
      <c r="J255" s="31">
        <v>46066</v>
      </c>
      <c r="K255" s="31">
        <v>46066</v>
      </c>
      <c r="L255" s="30" t="s">
        <v>1019</v>
      </c>
      <c r="M255" s="30" t="s">
        <v>1020</v>
      </c>
      <c r="N255" s="30" t="s">
        <v>286</v>
      </c>
      <c r="O255" s="30" t="s">
        <v>287</v>
      </c>
      <c r="P255" s="30" t="s">
        <v>0</v>
      </c>
      <c r="Q255" s="30" t="s">
        <v>62</v>
      </c>
      <c r="R255" s="30" t="s">
        <v>288</v>
      </c>
      <c r="S255" s="36">
        <v>-200000</v>
      </c>
      <c r="T255" s="37" t="s">
        <v>288</v>
      </c>
      <c r="U255" s="36">
        <v>-200000</v>
      </c>
      <c r="V255" s="30" t="s">
        <v>0</v>
      </c>
      <c r="W255" s="30" t="s">
        <v>301</v>
      </c>
      <c r="X255" s="30" t="s">
        <v>0</v>
      </c>
      <c r="Y255" s="30" t="s">
        <v>0</v>
      </c>
      <c r="Z255" s="30" t="s">
        <v>296</v>
      </c>
      <c r="AA255" s="30" t="s">
        <v>0</v>
      </c>
      <c r="AB255" s="30" t="s">
        <v>0</v>
      </c>
      <c r="AC255" s="30" t="s">
        <v>0</v>
      </c>
      <c r="AD255" s="30" t="s">
        <v>0</v>
      </c>
      <c r="AE255" s="31">
        <v>46066</v>
      </c>
      <c r="AF255" s="31"/>
      <c r="AG255" s="30" t="s">
        <v>0</v>
      </c>
    </row>
    <row r="256" spans="1:33" x14ac:dyDescent="0.35">
      <c r="A256" s="30" t="s">
        <v>297</v>
      </c>
      <c r="B256" s="30" t="s">
        <v>280</v>
      </c>
      <c r="C256" s="30" t="s">
        <v>281</v>
      </c>
      <c r="D256" s="30" t="s">
        <v>282</v>
      </c>
      <c r="E256" s="30" t="s">
        <v>938</v>
      </c>
      <c r="F256" s="30" t="s">
        <v>296</v>
      </c>
      <c r="G256" s="31">
        <v>46064</v>
      </c>
      <c r="H256" s="30" t="s">
        <v>1021</v>
      </c>
      <c r="I256" s="30" t="s">
        <v>360</v>
      </c>
      <c r="J256" s="31">
        <v>46064</v>
      </c>
      <c r="K256" s="31">
        <v>46066</v>
      </c>
      <c r="L256" s="30" t="s">
        <v>1022</v>
      </c>
      <c r="M256" s="30" t="s">
        <v>1023</v>
      </c>
      <c r="N256" s="30" t="s">
        <v>286</v>
      </c>
      <c r="O256" s="30" t="s">
        <v>287</v>
      </c>
      <c r="P256" s="30" t="s">
        <v>0</v>
      </c>
      <c r="Q256" s="30" t="s">
        <v>352</v>
      </c>
      <c r="R256" s="30" t="s">
        <v>356</v>
      </c>
      <c r="S256" s="36">
        <v>1800</v>
      </c>
      <c r="T256" s="37" t="s">
        <v>288</v>
      </c>
      <c r="U256" s="36">
        <v>162603.35999999999</v>
      </c>
      <c r="V256" s="30" t="s">
        <v>369</v>
      </c>
      <c r="W256" s="30" t="s">
        <v>289</v>
      </c>
      <c r="X256" s="30" t="s">
        <v>0</v>
      </c>
      <c r="Y256" s="30" t="s">
        <v>354</v>
      </c>
      <c r="Z256" s="30" t="s">
        <v>290</v>
      </c>
      <c r="AA256" s="30" t="s">
        <v>1024</v>
      </c>
      <c r="AB256" s="30" t="s">
        <v>0</v>
      </c>
      <c r="AC256" s="30" t="s">
        <v>0</v>
      </c>
      <c r="AD256" s="30" t="s">
        <v>0</v>
      </c>
      <c r="AE256" s="31">
        <v>46064</v>
      </c>
      <c r="AF256" s="31"/>
      <c r="AG256" s="30" t="s">
        <v>0</v>
      </c>
    </row>
    <row r="257" spans="1:33" x14ac:dyDescent="0.35">
      <c r="A257" s="30" t="s">
        <v>297</v>
      </c>
      <c r="B257" s="30" t="s">
        <v>280</v>
      </c>
      <c r="C257" s="30" t="s">
        <v>281</v>
      </c>
      <c r="D257" s="30" t="s">
        <v>282</v>
      </c>
      <c r="E257" s="30" t="s">
        <v>938</v>
      </c>
      <c r="F257" s="30" t="s">
        <v>296</v>
      </c>
      <c r="G257" s="31">
        <v>46065</v>
      </c>
      <c r="H257" s="30" t="s">
        <v>1025</v>
      </c>
      <c r="I257" s="30" t="s">
        <v>360</v>
      </c>
      <c r="J257" s="31">
        <v>46065</v>
      </c>
      <c r="K257" s="31">
        <v>46069</v>
      </c>
      <c r="L257" s="30" t="s">
        <v>354</v>
      </c>
      <c r="M257" s="30" t="s">
        <v>1026</v>
      </c>
      <c r="N257" s="30" t="s">
        <v>286</v>
      </c>
      <c r="O257" s="30" t="s">
        <v>287</v>
      </c>
      <c r="P257" s="30" t="s">
        <v>0</v>
      </c>
      <c r="Q257" s="30" t="s">
        <v>352</v>
      </c>
      <c r="R257" s="30" t="s">
        <v>356</v>
      </c>
      <c r="S257" s="36">
        <v>968.76</v>
      </c>
      <c r="T257" s="37" t="s">
        <v>288</v>
      </c>
      <c r="U257" s="36">
        <v>87513.13</v>
      </c>
      <c r="V257" s="30" t="s">
        <v>369</v>
      </c>
      <c r="W257" s="30" t="s">
        <v>1027</v>
      </c>
      <c r="X257" s="30" t="s">
        <v>0</v>
      </c>
      <c r="Y257" s="30" t="s">
        <v>1028</v>
      </c>
      <c r="Z257" s="30" t="s">
        <v>290</v>
      </c>
      <c r="AA257" s="30" t="s">
        <v>1029</v>
      </c>
      <c r="AB257" s="30" t="s">
        <v>0</v>
      </c>
      <c r="AC257" s="30" t="s">
        <v>0</v>
      </c>
      <c r="AD257" s="30" t="s">
        <v>0</v>
      </c>
      <c r="AE257" s="31">
        <v>46065</v>
      </c>
      <c r="AF257" s="31"/>
      <c r="AG257" s="30" t="s">
        <v>0</v>
      </c>
    </row>
    <row r="258" spans="1:33" x14ac:dyDescent="0.35">
      <c r="A258" s="30" t="s">
        <v>297</v>
      </c>
      <c r="B258" s="30" t="s">
        <v>280</v>
      </c>
      <c r="C258" s="30" t="s">
        <v>281</v>
      </c>
      <c r="D258" s="30" t="s">
        <v>282</v>
      </c>
      <c r="E258" s="30" t="s">
        <v>938</v>
      </c>
      <c r="F258" s="30" t="s">
        <v>296</v>
      </c>
      <c r="G258" s="31">
        <v>46064</v>
      </c>
      <c r="H258" s="30" t="s">
        <v>1030</v>
      </c>
      <c r="I258" s="30" t="s">
        <v>360</v>
      </c>
      <c r="J258" s="31">
        <v>46064</v>
      </c>
      <c r="K258" s="31">
        <v>46069</v>
      </c>
      <c r="L258" s="30" t="s">
        <v>1031</v>
      </c>
      <c r="M258" s="30" t="s">
        <v>1032</v>
      </c>
      <c r="N258" s="30" t="s">
        <v>286</v>
      </c>
      <c r="O258" s="30" t="s">
        <v>287</v>
      </c>
      <c r="P258" s="30" t="s">
        <v>0</v>
      </c>
      <c r="Q258" s="30" t="s">
        <v>352</v>
      </c>
      <c r="R258" s="30" t="s">
        <v>356</v>
      </c>
      <c r="S258" s="36">
        <v>46.29</v>
      </c>
      <c r="T258" s="37" t="s">
        <v>288</v>
      </c>
      <c r="U258" s="36">
        <v>4181.62</v>
      </c>
      <c r="V258" s="30" t="s">
        <v>369</v>
      </c>
      <c r="W258" s="30" t="s">
        <v>1027</v>
      </c>
      <c r="X258" s="30" t="s">
        <v>0</v>
      </c>
      <c r="Y258" s="30" t="s">
        <v>354</v>
      </c>
      <c r="Z258" s="30" t="s">
        <v>290</v>
      </c>
      <c r="AA258" s="30" t="s">
        <v>1033</v>
      </c>
      <c r="AB258" s="30" t="s">
        <v>0</v>
      </c>
      <c r="AC258" s="30" t="s">
        <v>0</v>
      </c>
      <c r="AD258" s="30" t="s">
        <v>0</v>
      </c>
      <c r="AE258" s="31">
        <v>46064</v>
      </c>
      <c r="AF258" s="31"/>
      <c r="AG258" s="30" t="s">
        <v>0</v>
      </c>
    </row>
    <row r="259" spans="1:33" x14ac:dyDescent="0.35">
      <c r="A259" s="30" t="s">
        <v>297</v>
      </c>
      <c r="B259" s="30" t="s">
        <v>280</v>
      </c>
      <c r="C259" s="30" t="s">
        <v>281</v>
      </c>
      <c r="D259" s="30" t="s">
        <v>282</v>
      </c>
      <c r="E259" s="30" t="s">
        <v>938</v>
      </c>
      <c r="F259" s="30" t="s">
        <v>296</v>
      </c>
      <c r="G259" s="31">
        <v>46064</v>
      </c>
      <c r="H259" s="30" t="s">
        <v>1034</v>
      </c>
      <c r="I259" s="30" t="s">
        <v>360</v>
      </c>
      <c r="J259" s="31">
        <v>46064</v>
      </c>
      <c r="K259" s="31">
        <v>46069</v>
      </c>
      <c r="L259" s="30" t="s">
        <v>1035</v>
      </c>
      <c r="M259" s="30" t="s">
        <v>1036</v>
      </c>
      <c r="N259" s="30" t="s">
        <v>286</v>
      </c>
      <c r="O259" s="30" t="s">
        <v>287</v>
      </c>
      <c r="P259" s="30" t="s">
        <v>0</v>
      </c>
      <c r="Q259" s="30" t="s">
        <v>352</v>
      </c>
      <c r="R259" s="30" t="s">
        <v>356</v>
      </c>
      <c r="S259" s="36">
        <v>248.85</v>
      </c>
      <c r="T259" s="37" t="s">
        <v>288</v>
      </c>
      <c r="U259" s="36">
        <v>22479.91</v>
      </c>
      <c r="V259" s="30" t="s">
        <v>369</v>
      </c>
      <c r="W259" s="30" t="s">
        <v>1027</v>
      </c>
      <c r="X259" s="30" t="s">
        <v>0</v>
      </c>
      <c r="Y259" s="30" t="s">
        <v>354</v>
      </c>
      <c r="Z259" s="30" t="s">
        <v>290</v>
      </c>
      <c r="AA259" s="30" t="s">
        <v>1037</v>
      </c>
      <c r="AB259" s="30" t="s">
        <v>0</v>
      </c>
      <c r="AC259" s="30" t="s">
        <v>0</v>
      </c>
      <c r="AD259" s="30" t="s">
        <v>0</v>
      </c>
      <c r="AE259" s="31">
        <v>46064</v>
      </c>
      <c r="AF259" s="31"/>
      <c r="AG259" s="30" t="s">
        <v>0</v>
      </c>
    </row>
    <row r="260" spans="1:33" x14ac:dyDescent="0.35">
      <c r="A260" s="30" t="s">
        <v>297</v>
      </c>
      <c r="B260" s="30" t="s">
        <v>280</v>
      </c>
      <c r="C260" s="30" t="s">
        <v>281</v>
      </c>
      <c r="D260" s="30" t="s">
        <v>282</v>
      </c>
      <c r="E260" s="30" t="s">
        <v>938</v>
      </c>
      <c r="F260" s="30" t="s">
        <v>296</v>
      </c>
      <c r="G260" s="31">
        <v>46076</v>
      </c>
      <c r="H260" s="30" t="s">
        <v>1038</v>
      </c>
      <c r="I260" s="30" t="s">
        <v>299</v>
      </c>
      <c r="J260" s="31">
        <v>46076</v>
      </c>
      <c r="K260" s="31">
        <v>46076</v>
      </c>
      <c r="L260" s="30" t="s">
        <v>1039</v>
      </c>
      <c r="M260" s="30" t="s">
        <v>1040</v>
      </c>
      <c r="N260" s="30" t="s">
        <v>286</v>
      </c>
      <c r="O260" s="30" t="s">
        <v>287</v>
      </c>
      <c r="P260" s="30" t="s">
        <v>0</v>
      </c>
      <c r="Q260" s="30" t="s">
        <v>62</v>
      </c>
      <c r="R260" s="30" t="s">
        <v>288</v>
      </c>
      <c r="S260" s="36">
        <v>-200000</v>
      </c>
      <c r="T260" s="37" t="s">
        <v>288</v>
      </c>
      <c r="U260" s="36">
        <v>-200000</v>
      </c>
      <c r="V260" s="30" t="s">
        <v>0</v>
      </c>
      <c r="W260" s="30" t="s">
        <v>301</v>
      </c>
      <c r="X260" s="30" t="s">
        <v>0</v>
      </c>
      <c r="Y260" s="30" t="s">
        <v>0</v>
      </c>
      <c r="Z260" s="30" t="s">
        <v>296</v>
      </c>
      <c r="AA260" s="30" t="s">
        <v>0</v>
      </c>
      <c r="AB260" s="30" t="s">
        <v>0</v>
      </c>
      <c r="AC260" s="30" t="s">
        <v>0</v>
      </c>
      <c r="AD260" s="30" t="s">
        <v>0</v>
      </c>
      <c r="AE260" s="31">
        <v>46076</v>
      </c>
      <c r="AF260" s="31"/>
      <c r="AG260" s="30" t="s">
        <v>0</v>
      </c>
    </row>
    <row r="261" spans="1:33" x14ac:dyDescent="0.35">
      <c r="A261" s="30" t="s">
        <v>297</v>
      </c>
      <c r="B261" s="30" t="s">
        <v>280</v>
      </c>
      <c r="C261" s="30" t="s">
        <v>281</v>
      </c>
      <c r="D261" s="30" t="s">
        <v>282</v>
      </c>
      <c r="E261" s="30" t="s">
        <v>938</v>
      </c>
      <c r="F261" s="30" t="s">
        <v>296</v>
      </c>
      <c r="G261" s="31">
        <v>46076</v>
      </c>
      <c r="H261" s="30" t="s">
        <v>1041</v>
      </c>
      <c r="I261" s="30" t="s">
        <v>360</v>
      </c>
      <c r="J261" s="31">
        <v>46076</v>
      </c>
      <c r="K261" s="31">
        <v>46077</v>
      </c>
      <c r="L261" s="30" t="s">
        <v>354</v>
      </c>
      <c r="M261" s="30" t="s">
        <v>1042</v>
      </c>
      <c r="N261" s="30" t="s">
        <v>286</v>
      </c>
      <c r="O261" s="30" t="s">
        <v>287</v>
      </c>
      <c r="P261" s="30" t="s">
        <v>0</v>
      </c>
      <c r="Q261" s="30" t="s">
        <v>352</v>
      </c>
      <c r="R261" s="30" t="s">
        <v>356</v>
      </c>
      <c r="S261" s="36">
        <v>1000.3</v>
      </c>
      <c r="T261" s="37" t="s">
        <v>288</v>
      </c>
      <c r="U261" s="36">
        <v>90362.3</v>
      </c>
      <c r="V261" s="30" t="s">
        <v>369</v>
      </c>
      <c r="W261" s="30" t="s">
        <v>1027</v>
      </c>
      <c r="X261" s="30" t="s">
        <v>0</v>
      </c>
      <c r="Y261" s="30" t="s">
        <v>1043</v>
      </c>
      <c r="Z261" s="30" t="s">
        <v>290</v>
      </c>
      <c r="AA261" s="30" t="s">
        <v>1044</v>
      </c>
      <c r="AB261" s="30" t="s">
        <v>0</v>
      </c>
      <c r="AC261" s="30" t="s">
        <v>0</v>
      </c>
      <c r="AD261" s="30" t="s">
        <v>0</v>
      </c>
      <c r="AE261" s="31">
        <v>46076</v>
      </c>
      <c r="AF261" s="31"/>
      <c r="AG261" s="30" t="s">
        <v>0</v>
      </c>
    </row>
    <row r="262" spans="1:33" x14ac:dyDescent="0.35">
      <c r="A262" s="30" t="s">
        <v>297</v>
      </c>
      <c r="B262" s="30" t="s">
        <v>280</v>
      </c>
      <c r="C262" s="30" t="s">
        <v>281</v>
      </c>
      <c r="D262" s="30" t="s">
        <v>282</v>
      </c>
      <c r="E262" s="30" t="s">
        <v>938</v>
      </c>
      <c r="F262" s="30" t="s">
        <v>296</v>
      </c>
      <c r="G262" s="31">
        <v>46077</v>
      </c>
      <c r="H262" s="30" t="s">
        <v>1045</v>
      </c>
      <c r="I262" s="30" t="s">
        <v>360</v>
      </c>
      <c r="J262" s="31">
        <v>46077</v>
      </c>
      <c r="K262" s="31">
        <v>46077</v>
      </c>
      <c r="L262" s="30" t="s">
        <v>1046</v>
      </c>
      <c r="M262" s="30" t="s">
        <v>1047</v>
      </c>
      <c r="N262" s="30" t="s">
        <v>286</v>
      </c>
      <c r="O262" s="30" t="s">
        <v>287</v>
      </c>
      <c r="P262" s="30" t="s">
        <v>0</v>
      </c>
      <c r="Q262" s="30" t="s">
        <v>352</v>
      </c>
      <c r="R262" s="30" t="s">
        <v>356</v>
      </c>
      <c r="S262" s="36">
        <v>47.67</v>
      </c>
      <c r="T262" s="37" t="s">
        <v>288</v>
      </c>
      <c r="U262" s="36">
        <v>4306.28</v>
      </c>
      <c r="V262" s="30" t="s">
        <v>369</v>
      </c>
      <c r="W262" s="30" t="s">
        <v>1027</v>
      </c>
      <c r="X262" s="30" t="s">
        <v>0</v>
      </c>
      <c r="Y262" s="30" t="s">
        <v>354</v>
      </c>
      <c r="Z262" s="30" t="s">
        <v>290</v>
      </c>
      <c r="AA262" s="30" t="s">
        <v>1048</v>
      </c>
      <c r="AB262" s="30" t="s">
        <v>0</v>
      </c>
      <c r="AC262" s="30" t="s">
        <v>0</v>
      </c>
      <c r="AD262" s="30" t="s">
        <v>0</v>
      </c>
      <c r="AE262" s="31">
        <v>46077</v>
      </c>
      <c r="AF262" s="31"/>
      <c r="AG262" s="30" t="s">
        <v>0</v>
      </c>
    </row>
    <row r="263" spans="1:33" x14ac:dyDescent="0.35">
      <c r="A263" s="30" t="s">
        <v>297</v>
      </c>
      <c r="B263" s="30" t="s">
        <v>280</v>
      </c>
      <c r="C263" s="30" t="s">
        <v>281</v>
      </c>
      <c r="D263" s="30" t="s">
        <v>282</v>
      </c>
      <c r="E263" s="30" t="s">
        <v>938</v>
      </c>
      <c r="F263" s="30" t="s">
        <v>296</v>
      </c>
      <c r="G263" s="31">
        <v>46077</v>
      </c>
      <c r="H263" s="30" t="s">
        <v>1049</v>
      </c>
      <c r="I263" s="30" t="s">
        <v>360</v>
      </c>
      <c r="J263" s="31">
        <v>46077</v>
      </c>
      <c r="K263" s="31">
        <v>46077</v>
      </c>
      <c r="L263" s="30" t="s">
        <v>1050</v>
      </c>
      <c r="M263" s="30" t="s">
        <v>1051</v>
      </c>
      <c r="N263" s="30" t="s">
        <v>286</v>
      </c>
      <c r="O263" s="30" t="s">
        <v>287</v>
      </c>
      <c r="P263" s="30" t="s">
        <v>0</v>
      </c>
      <c r="Q263" s="30" t="s">
        <v>352</v>
      </c>
      <c r="R263" s="30" t="s">
        <v>356</v>
      </c>
      <c r="S263" s="36">
        <v>108.3</v>
      </c>
      <c r="T263" s="37" t="s">
        <v>288</v>
      </c>
      <c r="U263" s="36">
        <v>9783.2999999999993</v>
      </c>
      <c r="V263" s="30" t="s">
        <v>369</v>
      </c>
      <c r="W263" s="30" t="s">
        <v>1027</v>
      </c>
      <c r="X263" s="30" t="s">
        <v>0</v>
      </c>
      <c r="Y263" s="30" t="s">
        <v>354</v>
      </c>
      <c r="Z263" s="30" t="s">
        <v>290</v>
      </c>
      <c r="AA263" s="30" t="s">
        <v>1052</v>
      </c>
      <c r="AB263" s="30" t="s">
        <v>0</v>
      </c>
      <c r="AC263" s="30" t="s">
        <v>0</v>
      </c>
      <c r="AD263" s="30" t="s">
        <v>0</v>
      </c>
      <c r="AE263" s="31">
        <v>46077</v>
      </c>
      <c r="AF263" s="31"/>
      <c r="AG263" s="30" t="s">
        <v>0</v>
      </c>
    </row>
    <row r="264" spans="1:33" x14ac:dyDescent="0.35">
      <c r="A264" s="30" t="s">
        <v>297</v>
      </c>
      <c r="B264" s="30" t="s">
        <v>280</v>
      </c>
      <c r="C264" s="30" t="s">
        <v>281</v>
      </c>
      <c r="D264" s="30" t="s">
        <v>282</v>
      </c>
      <c r="E264" s="30" t="s">
        <v>938</v>
      </c>
      <c r="F264" s="30" t="s">
        <v>336</v>
      </c>
      <c r="G264" s="31">
        <v>46083</v>
      </c>
      <c r="H264" s="30" t="s">
        <v>1053</v>
      </c>
      <c r="I264" s="30" t="s">
        <v>299</v>
      </c>
      <c r="J264" s="31">
        <v>46083</v>
      </c>
      <c r="K264" s="31">
        <v>46083</v>
      </c>
      <c r="L264" s="30" t="s">
        <v>1054</v>
      </c>
      <c r="M264" s="30" t="s">
        <v>1055</v>
      </c>
      <c r="N264" s="30" t="s">
        <v>286</v>
      </c>
      <c r="O264" s="30" t="s">
        <v>287</v>
      </c>
      <c r="P264" s="30" t="s">
        <v>0</v>
      </c>
      <c r="Q264" s="30" t="s">
        <v>62</v>
      </c>
      <c r="R264" s="30" t="s">
        <v>288</v>
      </c>
      <c r="S264" s="36">
        <v>-200000</v>
      </c>
      <c r="T264" s="37" t="s">
        <v>288</v>
      </c>
      <c r="U264" s="36">
        <v>-200000</v>
      </c>
      <c r="V264" s="30" t="s">
        <v>0</v>
      </c>
      <c r="W264" s="30" t="s">
        <v>301</v>
      </c>
      <c r="X264" s="30" t="s">
        <v>0</v>
      </c>
      <c r="Y264" s="30" t="s">
        <v>0</v>
      </c>
      <c r="Z264" s="30" t="s">
        <v>296</v>
      </c>
      <c r="AA264" s="30" t="s">
        <v>0</v>
      </c>
      <c r="AB264" s="30" t="s">
        <v>0</v>
      </c>
      <c r="AC264" s="30" t="s">
        <v>0</v>
      </c>
      <c r="AD264" s="30" t="s">
        <v>0</v>
      </c>
      <c r="AE264" s="31">
        <v>46083</v>
      </c>
      <c r="AF264" s="31"/>
      <c r="AG264" s="30" t="s">
        <v>0</v>
      </c>
    </row>
    <row r="265" spans="1:33" x14ac:dyDescent="0.35">
      <c r="A265" s="30" t="s">
        <v>297</v>
      </c>
      <c r="B265" s="30" t="s">
        <v>280</v>
      </c>
      <c r="C265" s="30" t="s">
        <v>281</v>
      </c>
      <c r="D265" s="30" t="s">
        <v>282</v>
      </c>
      <c r="E265" s="30" t="s">
        <v>938</v>
      </c>
      <c r="F265" s="30" t="s">
        <v>336</v>
      </c>
      <c r="G265" s="31">
        <v>46091</v>
      </c>
      <c r="H265" s="30" t="s">
        <v>1056</v>
      </c>
      <c r="I265" s="30" t="s">
        <v>360</v>
      </c>
      <c r="J265" s="31">
        <v>46091</v>
      </c>
      <c r="K265" s="31">
        <v>46092</v>
      </c>
      <c r="L265" s="30" t="s">
        <v>1057</v>
      </c>
      <c r="M265" s="30" t="s">
        <v>1058</v>
      </c>
      <c r="N265" s="30" t="s">
        <v>286</v>
      </c>
      <c r="O265" s="30" t="s">
        <v>287</v>
      </c>
      <c r="P265" s="30" t="s">
        <v>0</v>
      </c>
      <c r="Q265" s="30" t="s">
        <v>352</v>
      </c>
      <c r="R265" s="30" t="s">
        <v>356</v>
      </c>
      <c r="S265" s="36">
        <v>1800</v>
      </c>
      <c r="T265" s="37" t="s">
        <v>288</v>
      </c>
      <c r="U265" s="36">
        <v>163074.31</v>
      </c>
      <c r="V265" s="30" t="s">
        <v>369</v>
      </c>
      <c r="W265" s="30" t="s">
        <v>289</v>
      </c>
      <c r="X265" s="30" t="s">
        <v>0</v>
      </c>
      <c r="Y265" s="30" t="s">
        <v>354</v>
      </c>
      <c r="Z265" s="30" t="s">
        <v>290</v>
      </c>
      <c r="AA265" s="30" t="s">
        <v>1059</v>
      </c>
      <c r="AB265" s="30" t="s">
        <v>0</v>
      </c>
      <c r="AC265" s="30" t="s">
        <v>0</v>
      </c>
      <c r="AD265" s="30" t="s">
        <v>0</v>
      </c>
      <c r="AE265" s="31">
        <v>46091</v>
      </c>
      <c r="AF265" s="31"/>
      <c r="AG265" s="30" t="s">
        <v>0</v>
      </c>
    </row>
    <row r="266" spans="1:33" x14ac:dyDescent="0.35">
      <c r="A266" s="30" t="s">
        <v>297</v>
      </c>
      <c r="B266" s="30" t="s">
        <v>280</v>
      </c>
      <c r="C266" s="30" t="s">
        <v>281</v>
      </c>
      <c r="D266" s="30" t="s">
        <v>282</v>
      </c>
      <c r="E266" s="30" t="s">
        <v>938</v>
      </c>
      <c r="F266" s="30" t="s">
        <v>336</v>
      </c>
      <c r="G266" s="31">
        <v>46092</v>
      </c>
      <c r="H266" s="30" t="s">
        <v>1060</v>
      </c>
      <c r="I266" s="30" t="s">
        <v>360</v>
      </c>
      <c r="J266" s="31">
        <v>46092</v>
      </c>
      <c r="K266" s="31">
        <v>46092</v>
      </c>
      <c r="L266" s="30" t="s">
        <v>1061</v>
      </c>
      <c r="M266" s="30" t="s">
        <v>1062</v>
      </c>
      <c r="N266" s="30" t="s">
        <v>286</v>
      </c>
      <c r="O266" s="30" t="s">
        <v>287</v>
      </c>
      <c r="P266" s="30" t="s">
        <v>0</v>
      </c>
      <c r="Q266" s="30" t="s">
        <v>352</v>
      </c>
      <c r="R266" s="30" t="s">
        <v>356</v>
      </c>
      <c r="S266" s="36">
        <v>23.66</v>
      </c>
      <c r="T266" s="37" t="s">
        <v>288</v>
      </c>
      <c r="U266" s="36">
        <v>2143.52</v>
      </c>
      <c r="V266" s="30" t="s">
        <v>369</v>
      </c>
      <c r="W266" s="30" t="s">
        <v>1027</v>
      </c>
      <c r="X266" s="30" t="s">
        <v>0</v>
      </c>
      <c r="Y266" s="30" t="s">
        <v>354</v>
      </c>
      <c r="Z266" s="30" t="s">
        <v>290</v>
      </c>
      <c r="AA266" s="30" t="s">
        <v>1063</v>
      </c>
      <c r="AB266" s="30" t="s">
        <v>0</v>
      </c>
      <c r="AC266" s="30" t="s">
        <v>0</v>
      </c>
      <c r="AD266" s="30" t="s">
        <v>0</v>
      </c>
      <c r="AE266" s="31">
        <v>46092</v>
      </c>
      <c r="AF266" s="31"/>
      <c r="AG266" s="30" t="s">
        <v>0</v>
      </c>
    </row>
    <row r="267" spans="1:33" x14ac:dyDescent="0.35">
      <c r="A267" s="30" t="s">
        <v>297</v>
      </c>
      <c r="B267" s="30" t="s">
        <v>280</v>
      </c>
      <c r="C267" s="30" t="s">
        <v>281</v>
      </c>
      <c r="D267" s="30" t="s">
        <v>282</v>
      </c>
      <c r="E267" s="30" t="s">
        <v>938</v>
      </c>
      <c r="F267" s="30" t="s">
        <v>336</v>
      </c>
      <c r="G267" s="31">
        <v>46092</v>
      </c>
      <c r="H267" s="30" t="s">
        <v>1064</v>
      </c>
      <c r="I267" s="30" t="s">
        <v>360</v>
      </c>
      <c r="J267" s="31">
        <v>46092</v>
      </c>
      <c r="K267" s="31">
        <v>46094</v>
      </c>
      <c r="L267" s="30" t="s">
        <v>1065</v>
      </c>
      <c r="M267" s="30" t="s">
        <v>1066</v>
      </c>
      <c r="N267" s="30" t="s">
        <v>286</v>
      </c>
      <c r="O267" s="30" t="s">
        <v>287</v>
      </c>
      <c r="P267" s="30" t="s">
        <v>0</v>
      </c>
      <c r="Q267" s="30" t="s">
        <v>352</v>
      </c>
      <c r="R267" s="30" t="s">
        <v>356</v>
      </c>
      <c r="S267" s="36">
        <v>657.18</v>
      </c>
      <c r="T267" s="37" t="s">
        <v>288</v>
      </c>
      <c r="U267" s="36">
        <v>59538.43</v>
      </c>
      <c r="V267" s="30" t="s">
        <v>369</v>
      </c>
      <c r="W267" s="30" t="s">
        <v>1027</v>
      </c>
      <c r="X267" s="30" t="s">
        <v>0</v>
      </c>
      <c r="Y267" s="30" t="s">
        <v>354</v>
      </c>
      <c r="Z267" s="30" t="s">
        <v>290</v>
      </c>
      <c r="AA267" s="30" t="s">
        <v>1067</v>
      </c>
      <c r="AB267" s="30" t="s">
        <v>0</v>
      </c>
      <c r="AC267" s="30" t="s">
        <v>0</v>
      </c>
      <c r="AD267" s="30" t="s">
        <v>0</v>
      </c>
      <c r="AE267" s="31">
        <v>46092</v>
      </c>
      <c r="AF267" s="31"/>
      <c r="AG267" s="30" t="s">
        <v>0</v>
      </c>
    </row>
    <row r="268" spans="1:33" x14ac:dyDescent="0.35">
      <c r="A268" s="30" t="s">
        <v>297</v>
      </c>
      <c r="B268" s="30" t="s">
        <v>280</v>
      </c>
      <c r="C268" s="30" t="s">
        <v>281</v>
      </c>
      <c r="D268" s="30" t="s">
        <v>282</v>
      </c>
      <c r="E268" s="30" t="s">
        <v>938</v>
      </c>
      <c r="F268" s="30" t="s">
        <v>336</v>
      </c>
      <c r="G268" s="31">
        <v>46092</v>
      </c>
      <c r="H268" s="30" t="s">
        <v>1068</v>
      </c>
      <c r="I268" s="30" t="s">
        <v>360</v>
      </c>
      <c r="J268" s="31">
        <v>46092</v>
      </c>
      <c r="K268" s="31">
        <v>46094</v>
      </c>
      <c r="L268" s="30" t="s">
        <v>1069</v>
      </c>
      <c r="M268" s="30" t="s">
        <v>1070</v>
      </c>
      <c r="N268" s="30" t="s">
        <v>286</v>
      </c>
      <c r="O268" s="30" t="s">
        <v>287</v>
      </c>
      <c r="P268" s="30" t="s">
        <v>0</v>
      </c>
      <c r="Q268" s="30" t="s">
        <v>352</v>
      </c>
      <c r="R268" s="30" t="s">
        <v>356</v>
      </c>
      <c r="S268" s="36">
        <v>814.32</v>
      </c>
      <c r="T268" s="37" t="s">
        <v>288</v>
      </c>
      <c r="U268" s="36">
        <v>73774.820000000007</v>
      </c>
      <c r="V268" s="30" t="s">
        <v>369</v>
      </c>
      <c r="W268" s="30" t="s">
        <v>1027</v>
      </c>
      <c r="X268" s="30" t="s">
        <v>0</v>
      </c>
      <c r="Y268" s="30" t="s">
        <v>354</v>
      </c>
      <c r="Z268" s="30" t="s">
        <v>290</v>
      </c>
      <c r="AA268" s="30" t="s">
        <v>1071</v>
      </c>
      <c r="AB268" s="30" t="s">
        <v>0</v>
      </c>
      <c r="AC268" s="30" t="s">
        <v>0</v>
      </c>
      <c r="AD268" s="30" t="s">
        <v>0</v>
      </c>
      <c r="AE268" s="31">
        <v>46092</v>
      </c>
      <c r="AF268" s="31"/>
      <c r="AG268" s="30" t="s">
        <v>0</v>
      </c>
    </row>
    <row r="269" spans="1:33" x14ac:dyDescent="0.35">
      <c r="A269" s="30" t="s">
        <v>297</v>
      </c>
      <c r="B269" s="30" t="s">
        <v>280</v>
      </c>
      <c r="C269" s="30" t="s">
        <v>281</v>
      </c>
      <c r="D269" s="30" t="s">
        <v>282</v>
      </c>
      <c r="E269" s="30" t="s">
        <v>938</v>
      </c>
      <c r="F269" s="30" t="s">
        <v>336</v>
      </c>
      <c r="G269" s="31">
        <v>46093</v>
      </c>
      <c r="H269" s="30" t="s">
        <v>1072</v>
      </c>
      <c r="I269" s="30" t="s">
        <v>437</v>
      </c>
      <c r="J269" s="31">
        <v>46093</v>
      </c>
      <c r="K269" s="31">
        <v>46094</v>
      </c>
      <c r="L269" s="30" t="s">
        <v>1073</v>
      </c>
      <c r="M269" s="30" t="s">
        <v>1074</v>
      </c>
      <c r="N269" s="30" t="s">
        <v>286</v>
      </c>
      <c r="O269" s="30" t="s">
        <v>287</v>
      </c>
      <c r="P269" s="30" t="s">
        <v>0</v>
      </c>
      <c r="Q269" s="30" t="s">
        <v>57</v>
      </c>
      <c r="R269" s="30" t="s">
        <v>356</v>
      </c>
      <c r="S269" s="36">
        <v>-450</v>
      </c>
      <c r="T269" s="37" t="s">
        <v>288</v>
      </c>
      <c r="U269" s="36">
        <v>-40768.58</v>
      </c>
      <c r="V269" s="30" t="s">
        <v>369</v>
      </c>
      <c r="W269" s="30" t="s">
        <v>289</v>
      </c>
      <c r="X269" s="30" t="s">
        <v>0</v>
      </c>
      <c r="Y269" s="30" t="s">
        <v>354</v>
      </c>
      <c r="Z269" s="30" t="s">
        <v>290</v>
      </c>
      <c r="AA269" s="30" t="s">
        <v>1075</v>
      </c>
      <c r="AB269" s="30" t="s">
        <v>0</v>
      </c>
      <c r="AC269" s="30" t="s">
        <v>0</v>
      </c>
      <c r="AD269" s="30" t="s">
        <v>0</v>
      </c>
      <c r="AE269" s="31">
        <v>46093</v>
      </c>
      <c r="AF269" s="31"/>
      <c r="AG269" s="30" t="s">
        <v>0</v>
      </c>
    </row>
    <row r="270" spans="1:33" x14ac:dyDescent="0.35">
      <c r="A270" s="30" t="s">
        <v>297</v>
      </c>
      <c r="B270" s="30" t="s">
        <v>280</v>
      </c>
      <c r="C270" s="30" t="s">
        <v>281</v>
      </c>
      <c r="D270" s="30" t="s">
        <v>282</v>
      </c>
      <c r="E270" s="30" t="s">
        <v>938</v>
      </c>
      <c r="F270" s="30" t="s">
        <v>336</v>
      </c>
      <c r="G270" s="31">
        <v>46093</v>
      </c>
      <c r="H270" s="30" t="s">
        <v>1076</v>
      </c>
      <c r="I270" s="30" t="s">
        <v>437</v>
      </c>
      <c r="J270" s="31">
        <v>46093</v>
      </c>
      <c r="K270" s="31">
        <v>46094</v>
      </c>
      <c r="L270" s="30" t="s">
        <v>1073</v>
      </c>
      <c r="M270" s="30" t="s">
        <v>1077</v>
      </c>
      <c r="N270" s="30" t="s">
        <v>286</v>
      </c>
      <c r="O270" s="30" t="s">
        <v>287</v>
      </c>
      <c r="P270" s="30" t="s">
        <v>0</v>
      </c>
      <c r="Q270" s="30" t="s">
        <v>57</v>
      </c>
      <c r="R270" s="30" t="s">
        <v>356</v>
      </c>
      <c r="S270" s="36">
        <v>-450</v>
      </c>
      <c r="T270" s="37" t="s">
        <v>288</v>
      </c>
      <c r="U270" s="36">
        <v>-40768.58</v>
      </c>
      <c r="V270" s="30" t="s">
        <v>369</v>
      </c>
      <c r="W270" s="30" t="s">
        <v>289</v>
      </c>
      <c r="X270" s="30" t="s">
        <v>0</v>
      </c>
      <c r="Y270" s="30" t="s">
        <v>354</v>
      </c>
      <c r="Z270" s="30" t="s">
        <v>290</v>
      </c>
      <c r="AA270" s="30" t="s">
        <v>1078</v>
      </c>
      <c r="AB270" s="30" t="s">
        <v>0</v>
      </c>
      <c r="AC270" s="30" t="s">
        <v>0</v>
      </c>
      <c r="AD270" s="30" t="s">
        <v>0</v>
      </c>
      <c r="AE270" s="31">
        <v>46093</v>
      </c>
      <c r="AF270" s="31"/>
      <c r="AG270" s="30" t="s">
        <v>0</v>
      </c>
    </row>
    <row r="271" spans="1:33" x14ac:dyDescent="0.35">
      <c r="A271" s="30" t="s">
        <v>297</v>
      </c>
      <c r="B271" s="30" t="s">
        <v>280</v>
      </c>
      <c r="C271" s="30" t="s">
        <v>281</v>
      </c>
      <c r="D271" s="30" t="s">
        <v>282</v>
      </c>
      <c r="E271" s="30" t="s">
        <v>938</v>
      </c>
      <c r="F271" s="30" t="s">
        <v>336</v>
      </c>
      <c r="G271" s="31">
        <v>46093</v>
      </c>
      <c r="H271" s="30" t="s">
        <v>1079</v>
      </c>
      <c r="I271" s="30" t="s">
        <v>437</v>
      </c>
      <c r="J271" s="31">
        <v>46093</v>
      </c>
      <c r="K271" s="31">
        <v>46094</v>
      </c>
      <c r="L271" s="30" t="s">
        <v>1073</v>
      </c>
      <c r="M271" s="30" t="s">
        <v>1080</v>
      </c>
      <c r="N271" s="30" t="s">
        <v>286</v>
      </c>
      <c r="O271" s="30" t="s">
        <v>287</v>
      </c>
      <c r="P271" s="30" t="s">
        <v>0</v>
      </c>
      <c r="Q271" s="30" t="s">
        <v>57</v>
      </c>
      <c r="R271" s="30" t="s">
        <v>356</v>
      </c>
      <c r="S271" s="36">
        <v>-465</v>
      </c>
      <c r="T271" s="37" t="s">
        <v>288</v>
      </c>
      <c r="U271" s="36">
        <v>-42127.53</v>
      </c>
      <c r="V271" s="30" t="s">
        <v>369</v>
      </c>
      <c r="W271" s="30" t="s">
        <v>289</v>
      </c>
      <c r="X271" s="30" t="s">
        <v>0</v>
      </c>
      <c r="Y271" s="30" t="s">
        <v>354</v>
      </c>
      <c r="Z271" s="30" t="s">
        <v>290</v>
      </c>
      <c r="AA271" s="30" t="s">
        <v>1081</v>
      </c>
      <c r="AB271" s="30" t="s">
        <v>0</v>
      </c>
      <c r="AC271" s="30" t="s">
        <v>0</v>
      </c>
      <c r="AD271" s="30" t="s">
        <v>0</v>
      </c>
      <c r="AE271" s="31">
        <v>46093</v>
      </c>
      <c r="AF271" s="31"/>
      <c r="AG271" s="30" t="s">
        <v>0</v>
      </c>
    </row>
    <row r="272" spans="1:33" x14ac:dyDescent="0.35">
      <c r="A272" s="30" t="s">
        <v>297</v>
      </c>
      <c r="B272" s="30" t="s">
        <v>280</v>
      </c>
      <c r="C272" s="30" t="s">
        <v>281</v>
      </c>
      <c r="D272" s="30" t="s">
        <v>282</v>
      </c>
      <c r="E272" s="30" t="s">
        <v>938</v>
      </c>
      <c r="F272" s="30" t="s">
        <v>336</v>
      </c>
      <c r="G272" s="31">
        <v>46093</v>
      </c>
      <c r="H272" s="30" t="s">
        <v>1082</v>
      </c>
      <c r="I272" s="30" t="s">
        <v>437</v>
      </c>
      <c r="J272" s="31">
        <v>46093</v>
      </c>
      <c r="K272" s="31">
        <v>46094</v>
      </c>
      <c r="L272" s="30" t="s">
        <v>1073</v>
      </c>
      <c r="M272" s="30" t="s">
        <v>1083</v>
      </c>
      <c r="N272" s="30" t="s">
        <v>286</v>
      </c>
      <c r="O272" s="30" t="s">
        <v>287</v>
      </c>
      <c r="P272" s="30" t="s">
        <v>0</v>
      </c>
      <c r="Q272" s="30" t="s">
        <v>57</v>
      </c>
      <c r="R272" s="30" t="s">
        <v>356</v>
      </c>
      <c r="S272" s="36">
        <v>-465</v>
      </c>
      <c r="T272" s="37" t="s">
        <v>288</v>
      </c>
      <c r="U272" s="36">
        <v>-42127.53</v>
      </c>
      <c r="V272" s="30" t="s">
        <v>369</v>
      </c>
      <c r="W272" s="30" t="s">
        <v>289</v>
      </c>
      <c r="X272" s="30" t="s">
        <v>0</v>
      </c>
      <c r="Y272" s="30" t="s">
        <v>354</v>
      </c>
      <c r="Z272" s="30" t="s">
        <v>290</v>
      </c>
      <c r="AA272" s="30" t="s">
        <v>1084</v>
      </c>
      <c r="AB272" s="30" t="s">
        <v>0</v>
      </c>
      <c r="AC272" s="30" t="s">
        <v>0</v>
      </c>
      <c r="AD272" s="30" t="s">
        <v>0</v>
      </c>
      <c r="AE272" s="31">
        <v>46093</v>
      </c>
      <c r="AF272" s="31"/>
      <c r="AG272" s="30" t="s">
        <v>0</v>
      </c>
    </row>
    <row r="273" spans="1:33" x14ac:dyDescent="0.35">
      <c r="A273" s="30" t="s">
        <v>297</v>
      </c>
      <c r="B273" s="30" t="s">
        <v>280</v>
      </c>
      <c r="C273" s="30" t="s">
        <v>281</v>
      </c>
      <c r="D273" s="30" t="s">
        <v>282</v>
      </c>
      <c r="E273" s="30" t="s">
        <v>938</v>
      </c>
      <c r="F273" s="30" t="s">
        <v>336</v>
      </c>
      <c r="G273" s="31">
        <v>46093</v>
      </c>
      <c r="H273" s="30" t="s">
        <v>1085</v>
      </c>
      <c r="I273" s="30" t="s">
        <v>360</v>
      </c>
      <c r="J273" s="31">
        <v>46093</v>
      </c>
      <c r="K273" s="31">
        <v>46094</v>
      </c>
      <c r="L273" s="30" t="s">
        <v>1086</v>
      </c>
      <c r="M273" s="30" t="s">
        <v>1087</v>
      </c>
      <c r="N273" s="30" t="s">
        <v>286</v>
      </c>
      <c r="O273" s="30" t="s">
        <v>287</v>
      </c>
      <c r="P273" s="30" t="s">
        <v>0</v>
      </c>
      <c r="Q273" s="30" t="s">
        <v>352</v>
      </c>
      <c r="R273" s="30" t="s">
        <v>356</v>
      </c>
      <c r="S273" s="36">
        <v>33.46</v>
      </c>
      <c r="T273" s="37" t="s">
        <v>288</v>
      </c>
      <c r="U273" s="36">
        <v>3031.37</v>
      </c>
      <c r="V273" s="30" t="s">
        <v>369</v>
      </c>
      <c r="W273" s="30" t="s">
        <v>1027</v>
      </c>
      <c r="X273" s="30" t="s">
        <v>0</v>
      </c>
      <c r="Y273" s="30" t="s">
        <v>354</v>
      </c>
      <c r="Z273" s="30" t="s">
        <v>290</v>
      </c>
      <c r="AA273" s="30" t="s">
        <v>1088</v>
      </c>
      <c r="AB273" s="30" t="s">
        <v>0</v>
      </c>
      <c r="AC273" s="30" t="s">
        <v>0</v>
      </c>
      <c r="AD273" s="30" t="s">
        <v>0</v>
      </c>
      <c r="AE273" s="31">
        <v>46093</v>
      </c>
      <c r="AF273" s="31"/>
      <c r="AG273" s="30" t="s">
        <v>0</v>
      </c>
    </row>
    <row r="274" spans="1:33" x14ac:dyDescent="0.35">
      <c r="A274" s="30" t="s">
        <v>297</v>
      </c>
      <c r="B274" s="30" t="s">
        <v>280</v>
      </c>
      <c r="C274" s="30" t="s">
        <v>281</v>
      </c>
      <c r="D274" s="30" t="s">
        <v>282</v>
      </c>
      <c r="E274" s="30" t="s">
        <v>938</v>
      </c>
      <c r="F274" s="30" t="s">
        <v>336</v>
      </c>
      <c r="G274" s="31">
        <v>46095</v>
      </c>
      <c r="H274" s="30" t="s">
        <v>1089</v>
      </c>
      <c r="I274" s="30" t="s">
        <v>299</v>
      </c>
      <c r="J274" s="31">
        <v>46095</v>
      </c>
      <c r="K274" s="31">
        <v>46095</v>
      </c>
      <c r="L274" s="30" t="s">
        <v>1090</v>
      </c>
      <c r="M274" s="30" t="s">
        <v>1091</v>
      </c>
      <c r="N274" s="30" t="s">
        <v>286</v>
      </c>
      <c r="O274" s="30" t="s">
        <v>287</v>
      </c>
      <c r="P274" s="30" t="s">
        <v>0</v>
      </c>
      <c r="Q274" s="30" t="s">
        <v>62</v>
      </c>
      <c r="R274" s="30" t="s">
        <v>288</v>
      </c>
      <c r="S274" s="36">
        <v>-200000</v>
      </c>
      <c r="T274" s="37" t="s">
        <v>288</v>
      </c>
      <c r="U274" s="36">
        <v>-200000</v>
      </c>
      <c r="V274" s="30" t="s">
        <v>0</v>
      </c>
      <c r="W274" s="30" t="s">
        <v>301</v>
      </c>
      <c r="X274" s="30" t="s">
        <v>0</v>
      </c>
      <c r="Y274" s="30" t="s">
        <v>0</v>
      </c>
      <c r="Z274" s="30" t="s">
        <v>296</v>
      </c>
      <c r="AA274" s="30" t="s">
        <v>0</v>
      </c>
      <c r="AB274" s="30" t="s">
        <v>0</v>
      </c>
      <c r="AC274" s="30" t="s">
        <v>0</v>
      </c>
      <c r="AD274" s="30" t="s">
        <v>0</v>
      </c>
      <c r="AE274" s="31">
        <v>46095</v>
      </c>
      <c r="AF274" s="31"/>
      <c r="AG274" s="30" t="s">
        <v>0</v>
      </c>
    </row>
    <row r="275" spans="1:33" x14ac:dyDescent="0.35">
      <c r="A275" s="30" t="s">
        <v>297</v>
      </c>
      <c r="B275" s="30" t="s">
        <v>280</v>
      </c>
      <c r="C275" s="30" t="s">
        <v>281</v>
      </c>
      <c r="D275" s="30" t="s">
        <v>282</v>
      </c>
      <c r="E275" s="30" t="s">
        <v>938</v>
      </c>
      <c r="F275" s="30" t="s">
        <v>336</v>
      </c>
      <c r="G275" s="31">
        <v>46105</v>
      </c>
      <c r="H275" s="30" t="s">
        <v>1092</v>
      </c>
      <c r="I275" s="30" t="s">
        <v>360</v>
      </c>
      <c r="J275" s="31">
        <v>46105</v>
      </c>
      <c r="K275" s="31">
        <v>46105</v>
      </c>
      <c r="L275" s="30" t="s">
        <v>1093</v>
      </c>
      <c r="M275" s="30" t="s">
        <v>1094</v>
      </c>
      <c r="N275" s="30" t="s">
        <v>286</v>
      </c>
      <c r="O275" s="30" t="s">
        <v>287</v>
      </c>
      <c r="P275" s="30" t="s">
        <v>0</v>
      </c>
      <c r="Q275" s="30" t="s">
        <v>352</v>
      </c>
      <c r="R275" s="30" t="s">
        <v>356</v>
      </c>
      <c r="S275" s="36">
        <v>379.44</v>
      </c>
      <c r="T275" s="37" t="s">
        <v>288</v>
      </c>
      <c r="U275" s="36">
        <v>34376.06</v>
      </c>
      <c r="V275" s="30" t="s">
        <v>369</v>
      </c>
      <c r="W275" s="30" t="s">
        <v>1027</v>
      </c>
      <c r="X275" s="30" t="s">
        <v>0</v>
      </c>
      <c r="Y275" s="30" t="s">
        <v>1093</v>
      </c>
      <c r="Z275" s="30" t="s">
        <v>290</v>
      </c>
      <c r="AA275" s="30" t="s">
        <v>1095</v>
      </c>
      <c r="AB275" s="30" t="s">
        <v>0</v>
      </c>
      <c r="AC275" s="30" t="s">
        <v>0</v>
      </c>
      <c r="AD275" s="30" t="s">
        <v>0</v>
      </c>
      <c r="AE275" s="31">
        <v>46105</v>
      </c>
      <c r="AF275" s="31"/>
      <c r="AG275" s="30" t="s">
        <v>0</v>
      </c>
    </row>
    <row r="276" spans="1:33" x14ac:dyDescent="0.35">
      <c r="A276" s="30" t="s">
        <v>297</v>
      </c>
      <c r="B276" s="30" t="s">
        <v>280</v>
      </c>
      <c r="C276" s="30" t="s">
        <v>281</v>
      </c>
      <c r="D276" s="30" t="s">
        <v>282</v>
      </c>
      <c r="E276" s="30" t="s">
        <v>938</v>
      </c>
      <c r="F276" s="30" t="s">
        <v>336</v>
      </c>
      <c r="G276" s="31">
        <v>46106</v>
      </c>
      <c r="H276" s="30" t="s">
        <v>1096</v>
      </c>
      <c r="I276" s="30" t="s">
        <v>299</v>
      </c>
      <c r="J276" s="31">
        <v>46106</v>
      </c>
      <c r="K276" s="31">
        <v>46106</v>
      </c>
      <c r="L276" s="30" t="s">
        <v>1097</v>
      </c>
      <c r="M276" s="30" t="s">
        <v>1098</v>
      </c>
      <c r="N276" s="30" t="s">
        <v>286</v>
      </c>
      <c r="O276" s="30" t="s">
        <v>287</v>
      </c>
      <c r="P276" s="30" t="s">
        <v>0</v>
      </c>
      <c r="Q276" s="30" t="s">
        <v>62</v>
      </c>
      <c r="R276" s="30" t="s">
        <v>288</v>
      </c>
      <c r="S276" s="36">
        <v>-200000</v>
      </c>
      <c r="T276" s="37" t="s">
        <v>288</v>
      </c>
      <c r="U276" s="36">
        <v>-200000</v>
      </c>
      <c r="V276" s="30" t="s">
        <v>0</v>
      </c>
      <c r="W276" s="30" t="s">
        <v>301</v>
      </c>
      <c r="X276" s="30" t="s">
        <v>0</v>
      </c>
      <c r="Y276" s="30" t="s">
        <v>0</v>
      </c>
      <c r="Z276" s="30" t="s">
        <v>296</v>
      </c>
      <c r="AA276" s="30" t="s">
        <v>0</v>
      </c>
      <c r="AB276" s="30" t="s">
        <v>0</v>
      </c>
      <c r="AC276" s="30" t="s">
        <v>0</v>
      </c>
      <c r="AD276" s="30" t="s">
        <v>0</v>
      </c>
      <c r="AE276" s="31">
        <v>46106</v>
      </c>
      <c r="AF276" s="31"/>
      <c r="AG276" s="30" t="s">
        <v>0</v>
      </c>
    </row>
    <row r="277" spans="1:33" x14ac:dyDescent="0.35">
      <c r="A277" s="30" t="s">
        <v>297</v>
      </c>
      <c r="B277" s="30" t="s">
        <v>280</v>
      </c>
      <c r="C277" s="30" t="s">
        <v>281</v>
      </c>
      <c r="D277" s="30" t="s">
        <v>282</v>
      </c>
      <c r="E277" s="30" t="s">
        <v>938</v>
      </c>
      <c r="F277" s="30" t="s">
        <v>336</v>
      </c>
      <c r="G277" s="31">
        <v>46104</v>
      </c>
      <c r="H277" s="30" t="s">
        <v>1099</v>
      </c>
      <c r="I277" s="30" t="s">
        <v>360</v>
      </c>
      <c r="J277" s="31">
        <v>46104</v>
      </c>
      <c r="K277" s="31">
        <v>46106</v>
      </c>
      <c r="L277" s="30" t="s">
        <v>354</v>
      </c>
      <c r="M277" s="30" t="s">
        <v>1100</v>
      </c>
      <c r="N277" s="30" t="s">
        <v>286</v>
      </c>
      <c r="O277" s="30" t="s">
        <v>287</v>
      </c>
      <c r="P277" s="30" t="s">
        <v>0</v>
      </c>
      <c r="Q277" s="30" t="s">
        <v>352</v>
      </c>
      <c r="R277" s="30" t="s">
        <v>356</v>
      </c>
      <c r="S277" s="36">
        <v>69.540000000000006</v>
      </c>
      <c r="T277" s="37" t="s">
        <v>288</v>
      </c>
      <c r="U277" s="36">
        <v>6300.1</v>
      </c>
      <c r="V277" s="30" t="s">
        <v>369</v>
      </c>
      <c r="W277" s="30" t="s">
        <v>1027</v>
      </c>
      <c r="X277" s="30" t="s">
        <v>0</v>
      </c>
      <c r="Y277" s="30" t="s">
        <v>354</v>
      </c>
      <c r="Z277" s="30" t="s">
        <v>290</v>
      </c>
      <c r="AA277" s="30" t="s">
        <v>1101</v>
      </c>
      <c r="AB277" s="30" t="s">
        <v>0</v>
      </c>
      <c r="AC277" s="30" t="s">
        <v>0</v>
      </c>
      <c r="AD277" s="30" t="s">
        <v>0</v>
      </c>
      <c r="AE277" s="31">
        <v>46104</v>
      </c>
      <c r="AF277" s="31"/>
      <c r="AG277" s="30" t="s">
        <v>0</v>
      </c>
    </row>
    <row r="278" spans="1:33" x14ac:dyDescent="0.35">
      <c r="A278" s="30" t="s">
        <v>297</v>
      </c>
      <c r="B278" s="30" t="s">
        <v>280</v>
      </c>
      <c r="C278" s="30" t="s">
        <v>281</v>
      </c>
      <c r="D278" s="30" t="s">
        <v>282</v>
      </c>
      <c r="E278" s="30" t="s">
        <v>938</v>
      </c>
      <c r="F278" s="30" t="s">
        <v>336</v>
      </c>
      <c r="G278" s="31">
        <v>46104</v>
      </c>
      <c r="H278" s="30" t="s">
        <v>1102</v>
      </c>
      <c r="I278" s="30" t="s">
        <v>360</v>
      </c>
      <c r="J278" s="31">
        <v>46104</v>
      </c>
      <c r="K278" s="31">
        <v>46106</v>
      </c>
      <c r="L278" s="30" t="s">
        <v>354</v>
      </c>
      <c r="M278" s="30" t="s">
        <v>1103</v>
      </c>
      <c r="N278" s="30" t="s">
        <v>286</v>
      </c>
      <c r="O278" s="30" t="s">
        <v>287</v>
      </c>
      <c r="P278" s="30" t="s">
        <v>0</v>
      </c>
      <c r="Q278" s="30" t="s">
        <v>352</v>
      </c>
      <c r="R278" s="30" t="s">
        <v>356</v>
      </c>
      <c r="S278" s="36">
        <v>20.100000000000001</v>
      </c>
      <c r="T278" s="37" t="s">
        <v>288</v>
      </c>
      <c r="U278" s="36">
        <v>1821</v>
      </c>
      <c r="V278" s="30" t="s">
        <v>369</v>
      </c>
      <c r="W278" s="30" t="s">
        <v>1027</v>
      </c>
      <c r="X278" s="30" t="s">
        <v>0</v>
      </c>
      <c r="Y278" s="30" t="s">
        <v>354</v>
      </c>
      <c r="Z278" s="30" t="s">
        <v>290</v>
      </c>
      <c r="AA278" s="30" t="s">
        <v>1104</v>
      </c>
      <c r="AB278" s="30" t="s">
        <v>0</v>
      </c>
      <c r="AC278" s="30" t="s">
        <v>0</v>
      </c>
      <c r="AD278" s="30" t="s">
        <v>0</v>
      </c>
      <c r="AE278" s="31">
        <v>46104</v>
      </c>
      <c r="AF278" s="31"/>
      <c r="AG278" s="30" t="s">
        <v>0</v>
      </c>
    </row>
    <row r="279" spans="1:33" x14ac:dyDescent="0.35">
      <c r="A279" s="32" t="s">
        <v>0</v>
      </c>
      <c r="B279" s="32" t="s">
        <v>0</v>
      </c>
      <c r="C279" s="32" t="s">
        <v>0</v>
      </c>
      <c r="D279" s="32" t="s">
        <v>0</v>
      </c>
      <c r="E279" s="32" t="s">
        <v>0</v>
      </c>
      <c r="F279" s="32" t="s">
        <v>0</v>
      </c>
      <c r="G279" s="33"/>
      <c r="H279" s="32" t="s">
        <v>0</v>
      </c>
      <c r="I279" s="32" t="s">
        <v>0</v>
      </c>
      <c r="J279" s="33"/>
      <c r="K279" s="33"/>
      <c r="L279" s="32" t="s">
        <v>0</v>
      </c>
      <c r="M279" s="32" t="s">
        <v>0</v>
      </c>
      <c r="N279" s="32" t="s">
        <v>286</v>
      </c>
      <c r="O279" s="32" t="s">
        <v>0</v>
      </c>
      <c r="P279" s="32" t="s">
        <v>0</v>
      </c>
      <c r="Q279" s="32" t="s">
        <v>0</v>
      </c>
      <c r="R279" s="32" t="s">
        <v>288</v>
      </c>
      <c r="S279" s="38">
        <v>-5760099.3700000001</v>
      </c>
      <c r="T279" s="39" t="s">
        <v>288</v>
      </c>
      <c r="U279" s="38">
        <v>2007059.68</v>
      </c>
      <c r="V279" s="32" t="s">
        <v>0</v>
      </c>
      <c r="W279" s="32" t="s">
        <v>0</v>
      </c>
      <c r="X279" s="32" t="s">
        <v>0</v>
      </c>
      <c r="Y279" s="32" t="s">
        <v>0</v>
      </c>
      <c r="Z279" s="32" t="s">
        <v>0</v>
      </c>
      <c r="AA279" s="32" t="s">
        <v>0</v>
      </c>
      <c r="AB279" s="32" t="s">
        <v>0</v>
      </c>
      <c r="AC279" s="32" t="s">
        <v>0</v>
      </c>
      <c r="AD279" s="32" t="s">
        <v>0</v>
      </c>
      <c r="AE279" s="33"/>
      <c r="AF279" s="33"/>
      <c r="AG279" s="32" t="s">
        <v>0</v>
      </c>
    </row>
    <row r="280" spans="1:33" x14ac:dyDescent="0.35">
      <c r="A280" s="32" t="s">
        <v>0</v>
      </c>
      <c r="B280" s="32" t="s">
        <v>0</v>
      </c>
      <c r="C280" s="32" t="s">
        <v>0</v>
      </c>
      <c r="D280" s="32" t="s">
        <v>0</v>
      </c>
      <c r="E280" s="32" t="s">
        <v>0</v>
      </c>
      <c r="F280" s="32" t="s">
        <v>0</v>
      </c>
      <c r="G280" s="33"/>
      <c r="H280" s="32" t="s">
        <v>0</v>
      </c>
      <c r="I280" s="32" t="s">
        <v>0</v>
      </c>
      <c r="J280" s="33"/>
      <c r="K280" s="33"/>
      <c r="L280" s="32" t="s">
        <v>0</v>
      </c>
      <c r="M280" s="32" t="s">
        <v>0</v>
      </c>
      <c r="N280" s="32" t="s">
        <v>0</v>
      </c>
      <c r="O280" s="32" t="s">
        <v>0</v>
      </c>
      <c r="P280" s="32" t="s">
        <v>0</v>
      </c>
      <c r="Q280" s="32" t="s">
        <v>0</v>
      </c>
      <c r="R280" s="32" t="s">
        <v>356</v>
      </c>
      <c r="S280" s="38">
        <v>88969.9</v>
      </c>
      <c r="T280" s="39" t="s">
        <v>0</v>
      </c>
      <c r="U280" s="38"/>
      <c r="V280" s="32" t="s">
        <v>0</v>
      </c>
      <c r="W280" s="32" t="s">
        <v>0</v>
      </c>
      <c r="X280" s="32" t="s">
        <v>0</v>
      </c>
      <c r="Y280" s="32" t="s">
        <v>0</v>
      </c>
      <c r="Z280" s="32" t="s">
        <v>0</v>
      </c>
      <c r="AA280" s="32" t="s">
        <v>0</v>
      </c>
      <c r="AB280" s="32" t="s">
        <v>0</v>
      </c>
      <c r="AC280" s="32" t="s">
        <v>0</v>
      </c>
      <c r="AD280" s="32" t="s">
        <v>0</v>
      </c>
      <c r="AE280" s="33"/>
      <c r="AF280" s="33"/>
      <c r="AG280" s="32" t="s">
        <v>0</v>
      </c>
    </row>
    <row r="281" spans="1:33" x14ac:dyDescent="0.35">
      <c r="A281" s="34" t="s">
        <v>0</v>
      </c>
      <c r="B281" s="34" t="s">
        <v>0</v>
      </c>
      <c r="C281" s="34" t="s">
        <v>0</v>
      </c>
      <c r="D281" s="34" t="s">
        <v>0</v>
      </c>
      <c r="E281" s="34" t="s">
        <v>0</v>
      </c>
      <c r="F281" s="34" t="s">
        <v>0</v>
      </c>
      <c r="G281" s="35"/>
      <c r="H281" s="34" t="s">
        <v>0</v>
      </c>
      <c r="I281" s="34" t="s">
        <v>0</v>
      </c>
      <c r="J281" s="35"/>
      <c r="K281" s="35"/>
      <c r="L281" s="34" t="s">
        <v>0</v>
      </c>
      <c r="M281" s="34" t="s">
        <v>0</v>
      </c>
      <c r="N281" s="34" t="s">
        <v>0</v>
      </c>
      <c r="O281" s="34" t="s">
        <v>0</v>
      </c>
      <c r="P281" s="34" t="s">
        <v>0</v>
      </c>
      <c r="Q281" s="34" t="s">
        <v>0</v>
      </c>
      <c r="R281" s="34" t="s">
        <v>288</v>
      </c>
      <c r="S281" s="40">
        <v>-5760099.3700000001</v>
      </c>
      <c r="T281" s="41" t="s">
        <v>288</v>
      </c>
      <c r="U281" s="40">
        <v>2007059.68</v>
      </c>
      <c r="V281" s="34" t="s">
        <v>0</v>
      </c>
      <c r="W281" s="34" t="s">
        <v>0</v>
      </c>
      <c r="X281" s="34" t="s">
        <v>0</v>
      </c>
      <c r="Y281" s="34" t="s">
        <v>0</v>
      </c>
      <c r="Z281" s="34" t="s">
        <v>0</v>
      </c>
      <c r="AA281" s="34" t="s">
        <v>0</v>
      </c>
      <c r="AB281" s="34" t="s">
        <v>0</v>
      </c>
      <c r="AC281" s="34" t="s">
        <v>0</v>
      </c>
      <c r="AD281" s="34" t="s">
        <v>0</v>
      </c>
      <c r="AE281" s="35"/>
      <c r="AF281" s="35"/>
      <c r="AG281" s="34" t="s">
        <v>0</v>
      </c>
    </row>
    <row r="282" spans="1:33" x14ac:dyDescent="0.35">
      <c r="A282" s="34" t="s">
        <v>0</v>
      </c>
      <c r="B282" s="34" t="s">
        <v>0</v>
      </c>
      <c r="C282" s="34" t="s">
        <v>0</v>
      </c>
      <c r="D282" s="34" t="s">
        <v>0</v>
      </c>
      <c r="E282" s="34" t="s">
        <v>0</v>
      </c>
      <c r="F282" s="34" t="s">
        <v>0</v>
      </c>
      <c r="G282" s="35"/>
      <c r="H282" s="34" t="s">
        <v>0</v>
      </c>
      <c r="I282" s="34" t="s">
        <v>0</v>
      </c>
      <c r="J282" s="35"/>
      <c r="K282" s="35"/>
      <c r="L282" s="34" t="s">
        <v>0</v>
      </c>
      <c r="M282" s="34" t="s">
        <v>0</v>
      </c>
      <c r="N282" s="34" t="s">
        <v>0</v>
      </c>
      <c r="O282" s="34" t="s">
        <v>0</v>
      </c>
      <c r="P282" s="34" t="s">
        <v>0</v>
      </c>
      <c r="Q282" s="34" t="s">
        <v>0</v>
      </c>
      <c r="R282" s="34" t="s">
        <v>356</v>
      </c>
      <c r="S282" s="40">
        <v>88969.9</v>
      </c>
      <c r="T282" s="41" t="s">
        <v>0</v>
      </c>
      <c r="U282" s="40"/>
      <c r="V282" s="34" t="s">
        <v>0</v>
      </c>
      <c r="W282" s="34" t="s">
        <v>0</v>
      </c>
      <c r="X282" s="34" t="s">
        <v>0</v>
      </c>
      <c r="Y282" s="34" t="s">
        <v>0</v>
      </c>
      <c r="Z282" s="34" t="s">
        <v>0</v>
      </c>
      <c r="AA282" s="34" t="s">
        <v>0</v>
      </c>
      <c r="AB282" s="34" t="s">
        <v>0</v>
      </c>
      <c r="AC282" s="34" t="s">
        <v>0</v>
      </c>
      <c r="AD282" s="34" t="s">
        <v>0</v>
      </c>
      <c r="AE282" s="35"/>
      <c r="AF282" s="35"/>
      <c r="AG282" s="34" t="s">
        <v>0</v>
      </c>
    </row>
  </sheetData>
  <autoFilter ref="A1:AG1" xr:uid="{D5FFA788-8E62-4487-BE8E-B45866867C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3A15-A3BE-4E95-870C-D51C0896EBEC}">
  <dimension ref="A1:L615"/>
  <sheetViews>
    <sheetView workbookViewId="0">
      <selection activeCell="L2" sqref="L2"/>
    </sheetView>
  </sheetViews>
  <sheetFormatPr defaultRowHeight="14.5" x14ac:dyDescent="0.35"/>
  <cols>
    <col min="1" max="1" width="8.6328125" bestFit="1" customWidth="1"/>
    <col min="2" max="2" width="9.26953125" bestFit="1" customWidth="1"/>
    <col min="3" max="3" width="23.08984375" bestFit="1" customWidth="1"/>
    <col min="4" max="4" width="11.7265625" bestFit="1" customWidth="1"/>
    <col min="5" max="5" width="13.36328125" bestFit="1" customWidth="1"/>
    <col min="6" max="6" width="16.54296875" bestFit="1" customWidth="1"/>
    <col min="7" max="7" width="17.1796875" bestFit="1" customWidth="1"/>
    <col min="8" max="8" width="10" bestFit="1" customWidth="1"/>
    <col min="9" max="9" width="7.453125" bestFit="1" customWidth="1"/>
    <col min="10" max="11" width="9" bestFit="1" customWidth="1"/>
    <col min="12" max="12" width="11.1796875" bestFit="1" customWidth="1"/>
  </cols>
  <sheetData>
    <row r="1" spans="1:12" x14ac:dyDescent="0.35">
      <c r="J1">
        <f>SUBTOTAL(9,J3:J612)</f>
        <v>5732093</v>
      </c>
      <c r="K1">
        <f>SUBTOTAL(9,K3:K612)</f>
        <v>6489711</v>
      </c>
      <c r="L1" s="42">
        <f>K1-J1</f>
        <v>757618</v>
      </c>
    </row>
    <row r="2" spans="1:12" x14ac:dyDescent="0.35">
      <c r="A2" s="3" t="s">
        <v>1</v>
      </c>
      <c r="B2" s="4" t="s">
        <v>2</v>
      </c>
      <c r="C2" s="4"/>
      <c r="D2" s="4"/>
      <c r="E2" s="5" t="s">
        <v>3</v>
      </c>
      <c r="F2" s="6" t="s">
        <v>4</v>
      </c>
      <c r="G2" s="6" t="s">
        <v>5</v>
      </c>
      <c r="H2" s="5" t="s">
        <v>6</v>
      </c>
      <c r="I2" s="6" t="s">
        <v>7</v>
      </c>
      <c r="J2" s="7" t="s">
        <v>8</v>
      </c>
      <c r="K2" s="7" t="s">
        <v>9</v>
      </c>
      <c r="L2" s="2"/>
    </row>
    <row r="3" spans="1:12" x14ac:dyDescent="0.35">
      <c r="A3" s="8">
        <v>45707</v>
      </c>
      <c r="B3" s="9" t="s">
        <v>10</v>
      </c>
      <c r="C3" s="46" t="s">
        <v>11</v>
      </c>
      <c r="D3" s="46"/>
      <c r="E3" s="10" t="s">
        <v>12</v>
      </c>
      <c r="F3" s="11"/>
      <c r="G3" s="11">
        <v>1620.01</v>
      </c>
      <c r="H3" s="12" t="s">
        <v>13</v>
      </c>
      <c r="I3" s="13" t="s">
        <v>14</v>
      </c>
      <c r="J3" s="11"/>
      <c r="K3" s="11">
        <v>140899</v>
      </c>
      <c r="L3" s="2"/>
    </row>
    <row r="4" spans="1:12" x14ac:dyDescent="0.35">
      <c r="A4" s="43"/>
      <c r="B4" s="43"/>
      <c r="C4" s="14" t="s">
        <v>15</v>
      </c>
      <c r="D4" s="15">
        <v>246779410018</v>
      </c>
      <c r="E4" s="16" t="s">
        <v>0</v>
      </c>
      <c r="F4" s="17">
        <v>140899</v>
      </c>
      <c r="G4" s="18" t="s">
        <v>16</v>
      </c>
      <c r="H4" s="1"/>
      <c r="I4" s="2"/>
      <c r="J4" s="2"/>
      <c r="K4" s="2"/>
      <c r="L4" s="2"/>
    </row>
    <row r="5" spans="1:12" x14ac:dyDescent="0.35">
      <c r="A5" s="8">
        <v>45708</v>
      </c>
      <c r="B5" s="9" t="s">
        <v>10</v>
      </c>
      <c r="C5" s="45" t="s">
        <v>11</v>
      </c>
      <c r="D5" s="45"/>
      <c r="E5" s="10" t="s">
        <v>17</v>
      </c>
      <c r="F5" s="11"/>
      <c r="G5" s="11">
        <v>1620</v>
      </c>
      <c r="H5" s="12" t="s">
        <v>13</v>
      </c>
      <c r="I5" s="13" t="s">
        <v>18</v>
      </c>
      <c r="J5" s="11"/>
      <c r="K5" s="11">
        <v>140453</v>
      </c>
      <c r="L5" s="2"/>
    </row>
    <row r="6" spans="1:12" x14ac:dyDescent="0.35">
      <c r="A6" s="43"/>
      <c r="B6" s="43"/>
      <c r="C6" s="14" t="s">
        <v>15</v>
      </c>
      <c r="D6" s="15">
        <v>246779410038</v>
      </c>
      <c r="E6" s="16" t="s">
        <v>0</v>
      </c>
      <c r="F6" s="17">
        <v>140453</v>
      </c>
      <c r="G6" s="18" t="s">
        <v>16</v>
      </c>
      <c r="H6" s="1"/>
      <c r="I6" s="2"/>
      <c r="J6" s="2"/>
      <c r="K6" s="2"/>
      <c r="L6" s="2"/>
    </row>
    <row r="7" spans="1:12" x14ac:dyDescent="0.35">
      <c r="A7" s="8">
        <v>45708</v>
      </c>
      <c r="B7" s="9" t="s">
        <v>10</v>
      </c>
      <c r="C7" s="45" t="s">
        <v>11</v>
      </c>
      <c r="D7" s="45"/>
      <c r="E7" s="10" t="s">
        <v>19</v>
      </c>
      <c r="F7" s="11"/>
      <c r="G7" s="11">
        <v>1620</v>
      </c>
      <c r="H7" s="12" t="s">
        <v>13</v>
      </c>
      <c r="I7" s="13" t="s">
        <v>20</v>
      </c>
      <c r="J7" s="11"/>
      <c r="K7" s="11">
        <v>140453</v>
      </c>
      <c r="L7" s="2"/>
    </row>
    <row r="8" spans="1:12" x14ac:dyDescent="0.35">
      <c r="A8" s="43"/>
      <c r="B8" s="43"/>
      <c r="C8" s="14" t="s">
        <v>15</v>
      </c>
      <c r="D8" s="15">
        <v>246779410292</v>
      </c>
      <c r="E8" s="16" t="s">
        <v>0</v>
      </c>
      <c r="F8" s="17">
        <v>140453</v>
      </c>
      <c r="G8" s="18" t="s">
        <v>16</v>
      </c>
      <c r="H8" s="1"/>
      <c r="I8" s="2"/>
      <c r="J8" s="2"/>
      <c r="K8" s="2"/>
      <c r="L8" s="2"/>
    </row>
    <row r="9" spans="1:12" x14ac:dyDescent="0.35">
      <c r="A9" s="8">
        <v>45708</v>
      </c>
      <c r="B9" s="9" t="s">
        <v>10</v>
      </c>
      <c r="C9" s="45" t="s">
        <v>11</v>
      </c>
      <c r="D9" s="45"/>
      <c r="E9" s="10" t="s">
        <v>21</v>
      </c>
      <c r="F9" s="11"/>
      <c r="G9" s="11">
        <v>1620</v>
      </c>
      <c r="H9" s="12" t="s">
        <v>13</v>
      </c>
      <c r="I9" s="13" t="s">
        <v>22</v>
      </c>
      <c r="J9" s="11"/>
      <c r="K9" s="11">
        <v>140453</v>
      </c>
      <c r="L9" s="2"/>
    </row>
    <row r="10" spans="1:12" x14ac:dyDescent="0.35">
      <c r="A10" s="43"/>
      <c r="B10" s="43"/>
      <c r="C10" s="14" t="s">
        <v>15</v>
      </c>
      <c r="D10" s="15">
        <v>246779410106</v>
      </c>
      <c r="E10" s="16" t="s">
        <v>0</v>
      </c>
      <c r="F10" s="17">
        <v>140453</v>
      </c>
      <c r="G10" s="18" t="s">
        <v>16</v>
      </c>
      <c r="H10" s="1"/>
      <c r="I10" s="2"/>
      <c r="J10" s="2"/>
      <c r="K10" s="2"/>
      <c r="L10" s="2"/>
    </row>
    <row r="11" spans="1:12" x14ac:dyDescent="0.35">
      <c r="A11" s="8">
        <v>45717</v>
      </c>
      <c r="B11" s="9" t="s">
        <v>10</v>
      </c>
      <c r="C11" s="45" t="s">
        <v>11</v>
      </c>
      <c r="D11" s="45"/>
      <c r="E11" s="10" t="s">
        <v>23</v>
      </c>
      <c r="F11" s="11"/>
      <c r="G11" s="11">
        <v>1620</v>
      </c>
      <c r="H11" s="12" t="s">
        <v>13</v>
      </c>
      <c r="I11" s="13" t="s">
        <v>24</v>
      </c>
      <c r="J11" s="11"/>
      <c r="K11" s="11">
        <v>140453</v>
      </c>
      <c r="L11" s="2"/>
    </row>
    <row r="12" spans="1:12" x14ac:dyDescent="0.35">
      <c r="A12" s="43"/>
      <c r="B12" s="43"/>
      <c r="C12" s="14" t="s">
        <v>15</v>
      </c>
      <c r="D12" s="15">
        <v>246779410149</v>
      </c>
      <c r="E12" s="16" t="s">
        <v>0</v>
      </c>
      <c r="F12" s="17">
        <v>140453</v>
      </c>
      <c r="G12" s="18" t="s">
        <v>16</v>
      </c>
      <c r="H12" s="1"/>
      <c r="I12" s="2"/>
      <c r="J12" s="2"/>
      <c r="K12" s="2"/>
      <c r="L12" s="2"/>
    </row>
    <row r="13" spans="1:12" x14ac:dyDescent="0.35">
      <c r="A13" s="8">
        <v>45717</v>
      </c>
      <c r="B13" s="9" t="s">
        <v>10</v>
      </c>
      <c r="C13" s="45" t="s">
        <v>11</v>
      </c>
      <c r="D13" s="45"/>
      <c r="E13" s="10" t="s">
        <v>25</v>
      </c>
      <c r="F13" s="11"/>
      <c r="G13" s="11">
        <v>1620</v>
      </c>
      <c r="H13" s="12" t="s">
        <v>13</v>
      </c>
      <c r="I13" s="13" t="s">
        <v>26</v>
      </c>
      <c r="J13" s="11"/>
      <c r="K13" s="11">
        <v>140453</v>
      </c>
      <c r="L13" s="2"/>
    </row>
    <row r="14" spans="1:12" x14ac:dyDescent="0.35">
      <c r="A14" s="43"/>
      <c r="B14" s="43"/>
      <c r="C14" s="14" t="s">
        <v>15</v>
      </c>
      <c r="D14" s="15">
        <v>246779410192</v>
      </c>
      <c r="E14" s="16" t="s">
        <v>0</v>
      </c>
      <c r="F14" s="17">
        <v>140453</v>
      </c>
      <c r="G14" s="18" t="s">
        <v>16</v>
      </c>
      <c r="H14" s="1"/>
      <c r="I14" s="2"/>
      <c r="J14" s="2"/>
      <c r="K14" s="2"/>
      <c r="L14" s="2"/>
    </row>
    <row r="15" spans="1:12" x14ac:dyDescent="0.35">
      <c r="A15" s="8">
        <v>45717</v>
      </c>
      <c r="B15" s="9" t="s">
        <v>10</v>
      </c>
      <c r="C15" s="45" t="s">
        <v>11</v>
      </c>
      <c r="D15" s="45"/>
      <c r="E15" s="10" t="s">
        <v>27</v>
      </c>
      <c r="F15" s="11"/>
      <c r="G15" s="11">
        <v>1620</v>
      </c>
      <c r="H15" s="12" t="s">
        <v>13</v>
      </c>
      <c r="I15" s="13" t="s">
        <v>28</v>
      </c>
      <c r="J15" s="11"/>
      <c r="K15" s="11">
        <v>140453</v>
      </c>
      <c r="L15" s="2"/>
    </row>
    <row r="16" spans="1:12" x14ac:dyDescent="0.35">
      <c r="A16" s="43"/>
      <c r="B16" s="43"/>
      <c r="C16" s="14" t="s">
        <v>15</v>
      </c>
      <c r="D16" s="15">
        <v>246779410235</v>
      </c>
      <c r="E16" s="16" t="s">
        <v>0</v>
      </c>
      <c r="F16" s="17">
        <v>140453</v>
      </c>
      <c r="G16" s="18" t="s">
        <v>16</v>
      </c>
      <c r="H16" s="1"/>
      <c r="I16" s="2"/>
      <c r="J16" s="2"/>
      <c r="K16" s="2"/>
      <c r="L16" s="2"/>
    </row>
    <row r="17" spans="1:12" x14ac:dyDescent="0.35">
      <c r="A17" s="8">
        <v>45717</v>
      </c>
      <c r="B17" s="9" t="s">
        <v>10</v>
      </c>
      <c r="C17" s="45" t="s">
        <v>29</v>
      </c>
      <c r="D17" s="45"/>
      <c r="E17" s="10" t="s">
        <v>12</v>
      </c>
      <c r="F17" s="11"/>
      <c r="G17" s="11">
        <v>418.5</v>
      </c>
      <c r="H17" s="12" t="s">
        <v>13</v>
      </c>
      <c r="I17" s="13" t="s">
        <v>30</v>
      </c>
      <c r="J17" s="11"/>
      <c r="K17" s="11">
        <v>36410</v>
      </c>
      <c r="L17" s="2"/>
    </row>
    <row r="18" spans="1:12" x14ac:dyDescent="0.35">
      <c r="A18" s="43"/>
      <c r="B18" s="43"/>
      <c r="C18" s="14" t="s">
        <v>15</v>
      </c>
      <c r="D18" s="15">
        <v>246779410321</v>
      </c>
      <c r="E18" s="16" t="s">
        <v>0</v>
      </c>
      <c r="F18" s="17">
        <v>36410</v>
      </c>
      <c r="G18" s="18" t="s">
        <v>16</v>
      </c>
      <c r="H18" s="1"/>
      <c r="I18" s="2"/>
      <c r="J18" s="2"/>
      <c r="K18" s="2"/>
      <c r="L18" s="2"/>
    </row>
    <row r="19" spans="1:12" x14ac:dyDescent="0.35">
      <c r="A19" s="8">
        <v>45717</v>
      </c>
      <c r="B19" s="9" t="s">
        <v>10</v>
      </c>
      <c r="C19" s="45" t="s">
        <v>29</v>
      </c>
      <c r="D19" s="45"/>
      <c r="E19" s="10" t="s">
        <v>17</v>
      </c>
      <c r="F19" s="11"/>
      <c r="G19" s="11">
        <v>405</v>
      </c>
      <c r="H19" s="12" t="s">
        <v>13</v>
      </c>
      <c r="I19" s="13" t="s">
        <v>31</v>
      </c>
      <c r="J19" s="11"/>
      <c r="K19" s="11">
        <v>35397</v>
      </c>
      <c r="L19" s="2"/>
    </row>
    <row r="20" spans="1:12" x14ac:dyDescent="0.35">
      <c r="A20" s="43"/>
      <c r="B20" s="43"/>
      <c r="C20" s="14" t="s">
        <v>15</v>
      </c>
      <c r="D20" s="15">
        <v>246779410341</v>
      </c>
      <c r="E20" s="16" t="s">
        <v>0</v>
      </c>
      <c r="F20" s="17">
        <v>35397</v>
      </c>
      <c r="G20" s="18" t="s">
        <v>16</v>
      </c>
      <c r="H20" s="1"/>
      <c r="I20" s="2"/>
      <c r="J20" s="2"/>
      <c r="K20" s="2"/>
      <c r="L20" s="2"/>
    </row>
    <row r="21" spans="1:12" x14ac:dyDescent="0.35">
      <c r="A21" s="8">
        <v>45717</v>
      </c>
      <c r="B21" s="9" t="s">
        <v>10</v>
      </c>
      <c r="C21" s="45" t="s">
        <v>29</v>
      </c>
      <c r="D21" s="45"/>
      <c r="E21" s="10" t="s">
        <v>19</v>
      </c>
      <c r="F21" s="11"/>
      <c r="G21" s="11">
        <v>418.5</v>
      </c>
      <c r="H21" s="12" t="s">
        <v>13</v>
      </c>
      <c r="I21" s="13" t="s">
        <v>32</v>
      </c>
      <c r="J21" s="11"/>
      <c r="K21" s="11">
        <v>36577</v>
      </c>
      <c r="L21" s="2"/>
    </row>
    <row r="22" spans="1:12" x14ac:dyDescent="0.35">
      <c r="A22" s="43"/>
      <c r="B22" s="43"/>
      <c r="C22" s="14" t="s">
        <v>15</v>
      </c>
      <c r="D22" s="15">
        <v>246779410345</v>
      </c>
      <c r="E22" s="16" t="s">
        <v>0</v>
      </c>
      <c r="F22" s="17">
        <v>36577</v>
      </c>
      <c r="G22" s="18" t="s">
        <v>16</v>
      </c>
      <c r="H22" s="1"/>
      <c r="I22" s="2"/>
      <c r="J22" s="2"/>
      <c r="K22" s="2"/>
      <c r="L22" s="2"/>
    </row>
    <row r="23" spans="1:12" x14ac:dyDescent="0.35">
      <c r="A23" s="8">
        <v>45717</v>
      </c>
      <c r="B23" s="9" t="s">
        <v>10</v>
      </c>
      <c r="C23" s="45" t="s">
        <v>29</v>
      </c>
      <c r="D23" s="45"/>
      <c r="E23" s="10" t="s">
        <v>21</v>
      </c>
      <c r="F23" s="11"/>
      <c r="G23" s="11">
        <v>405</v>
      </c>
      <c r="H23" s="12" t="s">
        <v>13</v>
      </c>
      <c r="I23" s="13" t="s">
        <v>33</v>
      </c>
      <c r="J23" s="11"/>
      <c r="K23" s="11">
        <v>35397</v>
      </c>
      <c r="L23" s="2"/>
    </row>
    <row r="24" spans="1:12" x14ac:dyDescent="0.35">
      <c r="A24" s="43"/>
      <c r="B24" s="43"/>
      <c r="C24" s="14" t="s">
        <v>15</v>
      </c>
      <c r="D24" s="15">
        <v>246779410357</v>
      </c>
      <c r="E24" s="16" t="s">
        <v>0</v>
      </c>
      <c r="F24" s="17">
        <v>35397</v>
      </c>
      <c r="G24" s="18" t="s">
        <v>16</v>
      </c>
      <c r="H24" s="1"/>
      <c r="I24" s="2"/>
      <c r="J24" s="2"/>
      <c r="K24" s="2"/>
      <c r="L24" s="2"/>
    </row>
    <row r="25" spans="1:12" x14ac:dyDescent="0.35">
      <c r="A25" s="8">
        <v>45717</v>
      </c>
      <c r="B25" s="9" t="s">
        <v>10</v>
      </c>
      <c r="C25" s="45" t="s">
        <v>29</v>
      </c>
      <c r="D25" s="45"/>
      <c r="E25" s="10" t="s">
        <v>23</v>
      </c>
      <c r="F25" s="11"/>
      <c r="G25" s="11">
        <v>418.5</v>
      </c>
      <c r="H25" s="12" t="s">
        <v>13</v>
      </c>
      <c r="I25" s="13" t="s">
        <v>34</v>
      </c>
      <c r="J25" s="11"/>
      <c r="K25" s="11">
        <v>36577</v>
      </c>
      <c r="L25" s="2"/>
    </row>
    <row r="26" spans="1:12" x14ac:dyDescent="0.35">
      <c r="A26" s="43"/>
      <c r="B26" s="43"/>
      <c r="C26" s="14" t="s">
        <v>15</v>
      </c>
      <c r="D26" s="15">
        <v>246779410351</v>
      </c>
      <c r="E26" s="16" t="s">
        <v>0</v>
      </c>
      <c r="F26" s="17">
        <v>36577</v>
      </c>
      <c r="G26" s="18" t="s">
        <v>16</v>
      </c>
      <c r="H26" s="1"/>
      <c r="I26" s="2"/>
      <c r="J26" s="2"/>
      <c r="K26" s="2"/>
      <c r="L26" s="2"/>
    </row>
    <row r="27" spans="1:12" x14ac:dyDescent="0.35">
      <c r="A27" s="8">
        <v>45719</v>
      </c>
      <c r="B27" s="9" t="s">
        <v>10</v>
      </c>
      <c r="C27" s="45" t="s">
        <v>11</v>
      </c>
      <c r="D27" s="45"/>
      <c r="E27" s="10" t="s">
        <v>12</v>
      </c>
      <c r="F27" s="11"/>
      <c r="G27" s="11">
        <v>916.54</v>
      </c>
      <c r="H27" s="12" t="s">
        <v>13</v>
      </c>
      <c r="I27" s="13" t="s">
        <v>35</v>
      </c>
      <c r="J27" s="11"/>
      <c r="K27" s="11">
        <v>80043</v>
      </c>
      <c r="L27" s="2"/>
    </row>
    <row r="28" spans="1:12" x14ac:dyDescent="0.35">
      <c r="A28" s="43"/>
      <c r="B28" s="43"/>
      <c r="C28" s="14" t="s">
        <v>15</v>
      </c>
      <c r="D28" s="15">
        <v>246779410365</v>
      </c>
      <c r="E28" s="16" t="s">
        <v>0</v>
      </c>
      <c r="F28" s="17">
        <v>80043</v>
      </c>
      <c r="G28" s="18" t="s">
        <v>16</v>
      </c>
      <c r="H28" s="1"/>
      <c r="I28" s="2"/>
      <c r="J28" s="2"/>
      <c r="K28" s="2"/>
      <c r="L28" s="2"/>
    </row>
    <row r="29" spans="1:12" x14ac:dyDescent="0.35">
      <c r="A29" s="8">
        <v>45719</v>
      </c>
      <c r="B29" s="9" t="s">
        <v>10</v>
      </c>
      <c r="C29" s="45" t="s">
        <v>11</v>
      </c>
      <c r="D29" s="45"/>
      <c r="E29" s="10" t="s">
        <v>17</v>
      </c>
      <c r="F29" s="11"/>
      <c r="G29" s="11">
        <v>1704.9</v>
      </c>
      <c r="H29" s="12" t="s">
        <v>13</v>
      </c>
      <c r="I29" s="13" t="s">
        <v>36</v>
      </c>
      <c r="J29" s="11"/>
      <c r="K29" s="11">
        <v>148891</v>
      </c>
      <c r="L29" s="2"/>
    </row>
    <row r="30" spans="1:12" x14ac:dyDescent="0.35">
      <c r="A30" s="43"/>
      <c r="B30" s="43"/>
      <c r="C30" s="14" t="s">
        <v>15</v>
      </c>
      <c r="D30" s="15">
        <v>246779410391</v>
      </c>
      <c r="E30" s="16" t="s">
        <v>0</v>
      </c>
      <c r="F30" s="17">
        <v>148891</v>
      </c>
      <c r="G30" s="18" t="s">
        <v>16</v>
      </c>
      <c r="H30" s="1"/>
      <c r="I30" s="2"/>
      <c r="J30" s="2"/>
      <c r="K30" s="2"/>
      <c r="L30" s="2"/>
    </row>
    <row r="31" spans="1:12" x14ac:dyDescent="0.35">
      <c r="A31" s="8">
        <v>45719</v>
      </c>
      <c r="B31" s="9" t="s">
        <v>10</v>
      </c>
      <c r="C31" s="45" t="s">
        <v>11</v>
      </c>
      <c r="D31" s="45"/>
      <c r="E31" s="10" t="s">
        <v>19</v>
      </c>
      <c r="F31" s="11"/>
      <c r="G31" s="11">
        <v>1737.83</v>
      </c>
      <c r="H31" s="12" t="s">
        <v>13</v>
      </c>
      <c r="I31" s="13" t="s">
        <v>37</v>
      </c>
      <c r="J31" s="11"/>
      <c r="K31" s="11">
        <v>151767</v>
      </c>
      <c r="L31" s="2"/>
    </row>
    <row r="32" spans="1:12" x14ac:dyDescent="0.35">
      <c r="A32" s="43"/>
      <c r="B32" s="43"/>
      <c r="C32" s="14" t="s">
        <v>15</v>
      </c>
      <c r="D32" s="15">
        <v>246779410415</v>
      </c>
      <c r="E32" s="16" t="s">
        <v>0</v>
      </c>
      <c r="F32" s="17">
        <v>151767</v>
      </c>
      <c r="G32" s="18" t="s">
        <v>16</v>
      </c>
      <c r="H32" s="1"/>
      <c r="I32" s="2"/>
      <c r="J32" s="2"/>
      <c r="K32" s="2"/>
      <c r="L32" s="2"/>
    </row>
    <row r="33" spans="1:12" x14ac:dyDescent="0.35">
      <c r="A33" s="8">
        <v>45722</v>
      </c>
      <c r="B33" s="9" t="s">
        <v>10</v>
      </c>
      <c r="C33" s="45" t="s">
        <v>11</v>
      </c>
      <c r="D33" s="45"/>
      <c r="E33" s="10" t="s">
        <v>21</v>
      </c>
      <c r="F33" s="11"/>
      <c r="G33" s="11">
        <v>2075.86</v>
      </c>
      <c r="H33" s="12" t="s">
        <v>13</v>
      </c>
      <c r="I33" s="13" t="s">
        <v>38</v>
      </c>
      <c r="J33" s="11"/>
      <c r="K33" s="11">
        <v>180778</v>
      </c>
      <c r="L33" s="2"/>
    </row>
    <row r="34" spans="1:12" x14ac:dyDescent="0.35">
      <c r="A34" s="43"/>
      <c r="B34" s="43"/>
      <c r="C34" s="14" t="s">
        <v>15</v>
      </c>
      <c r="D34" s="15">
        <v>246779410862</v>
      </c>
      <c r="E34" s="16" t="s">
        <v>0</v>
      </c>
      <c r="F34" s="17">
        <v>180778</v>
      </c>
      <c r="G34" s="18" t="s">
        <v>16</v>
      </c>
      <c r="H34" s="1"/>
      <c r="I34" s="2"/>
      <c r="J34" s="2"/>
      <c r="K34" s="2"/>
      <c r="L34" s="2"/>
    </row>
    <row r="35" spans="1:12" x14ac:dyDescent="0.35">
      <c r="A35" s="8">
        <v>45722</v>
      </c>
      <c r="B35" s="9" t="s">
        <v>10</v>
      </c>
      <c r="C35" s="45" t="s">
        <v>11</v>
      </c>
      <c r="D35" s="45"/>
      <c r="E35" s="10" t="s">
        <v>23</v>
      </c>
      <c r="F35" s="11"/>
      <c r="G35" s="11">
        <v>2151.52</v>
      </c>
      <c r="H35" s="12" t="s">
        <v>13</v>
      </c>
      <c r="I35" s="13" t="s">
        <v>39</v>
      </c>
      <c r="J35" s="11"/>
      <c r="K35" s="11">
        <v>187367</v>
      </c>
      <c r="L35" s="2"/>
    </row>
    <row r="36" spans="1:12" x14ac:dyDescent="0.35">
      <c r="A36" s="43"/>
      <c r="B36" s="43"/>
      <c r="C36" s="14" t="s">
        <v>15</v>
      </c>
      <c r="D36" s="15">
        <v>246779410885</v>
      </c>
      <c r="E36" s="16" t="s">
        <v>0</v>
      </c>
      <c r="F36" s="17">
        <v>187367</v>
      </c>
      <c r="G36" s="18" t="s">
        <v>16</v>
      </c>
      <c r="H36" s="1"/>
      <c r="I36" s="2"/>
      <c r="J36" s="2"/>
      <c r="K36" s="2"/>
      <c r="L36" s="2"/>
    </row>
    <row r="37" spans="1:12" x14ac:dyDescent="0.35">
      <c r="A37" s="8">
        <v>45735</v>
      </c>
      <c r="B37" s="9" t="s">
        <v>10</v>
      </c>
      <c r="C37" s="45" t="s">
        <v>11</v>
      </c>
      <c r="D37" s="45"/>
      <c r="E37" s="10" t="s">
        <v>40</v>
      </c>
      <c r="F37" s="11"/>
      <c r="G37" s="11">
        <v>167.47</v>
      </c>
      <c r="H37" s="12" t="s">
        <v>13</v>
      </c>
      <c r="I37" s="13" t="s">
        <v>41</v>
      </c>
      <c r="J37" s="11"/>
      <c r="K37" s="11">
        <v>14486</v>
      </c>
      <c r="L37" s="2"/>
    </row>
    <row r="38" spans="1:12" x14ac:dyDescent="0.35">
      <c r="A38" s="43"/>
      <c r="B38" s="43"/>
      <c r="C38" s="14" t="s">
        <v>15</v>
      </c>
      <c r="D38" s="15">
        <v>246779412999</v>
      </c>
      <c r="E38" s="16" t="s">
        <v>0</v>
      </c>
      <c r="F38" s="17">
        <v>14486</v>
      </c>
      <c r="G38" s="18" t="s">
        <v>16</v>
      </c>
      <c r="H38" s="1"/>
      <c r="I38" s="2"/>
      <c r="J38" s="2"/>
      <c r="K38" s="2"/>
      <c r="L38" s="2"/>
    </row>
    <row r="39" spans="1:12" x14ac:dyDescent="0.35">
      <c r="A39" s="8">
        <v>45736</v>
      </c>
      <c r="B39" s="9" t="s">
        <v>10</v>
      </c>
      <c r="C39" s="45" t="s">
        <v>29</v>
      </c>
      <c r="D39" s="45"/>
      <c r="E39" s="10" t="s">
        <v>25</v>
      </c>
      <c r="F39" s="11"/>
      <c r="G39" s="11">
        <v>418.5</v>
      </c>
      <c r="H39" s="12" t="s">
        <v>13</v>
      </c>
      <c r="I39" s="13" t="s">
        <v>42</v>
      </c>
      <c r="J39" s="11"/>
      <c r="K39" s="11">
        <v>36118</v>
      </c>
      <c r="L39" s="2"/>
    </row>
    <row r="40" spans="1:12" x14ac:dyDescent="0.35">
      <c r="A40" s="43"/>
      <c r="B40" s="43"/>
      <c r="C40" s="14" t="s">
        <v>15</v>
      </c>
      <c r="D40" s="15">
        <v>246779413798</v>
      </c>
      <c r="E40" s="16" t="s">
        <v>0</v>
      </c>
      <c r="F40" s="17">
        <v>36118</v>
      </c>
      <c r="G40" s="18" t="s">
        <v>16</v>
      </c>
      <c r="H40" s="1"/>
      <c r="I40" s="2"/>
      <c r="J40" s="2"/>
      <c r="K40" s="2"/>
      <c r="L40" s="2"/>
    </row>
    <row r="41" spans="1:12" x14ac:dyDescent="0.35">
      <c r="A41" s="8">
        <v>45736</v>
      </c>
      <c r="B41" s="9" t="s">
        <v>10</v>
      </c>
      <c r="C41" s="45" t="s">
        <v>29</v>
      </c>
      <c r="D41" s="45"/>
      <c r="E41" s="10" t="s">
        <v>27</v>
      </c>
      <c r="F41" s="11"/>
      <c r="G41" s="11">
        <v>378</v>
      </c>
      <c r="H41" s="12" t="s">
        <v>13</v>
      </c>
      <c r="I41" s="13" t="s">
        <v>43</v>
      </c>
      <c r="J41" s="11"/>
      <c r="K41" s="11">
        <v>32623</v>
      </c>
      <c r="L41" s="2"/>
    </row>
    <row r="42" spans="1:12" x14ac:dyDescent="0.35">
      <c r="A42" s="43"/>
      <c r="B42" s="43"/>
      <c r="C42" s="14" t="s">
        <v>15</v>
      </c>
      <c r="D42" s="15">
        <v>246779413809</v>
      </c>
      <c r="E42" s="16" t="s">
        <v>0</v>
      </c>
      <c r="F42" s="17">
        <v>32623</v>
      </c>
      <c r="G42" s="18" t="s">
        <v>16</v>
      </c>
      <c r="H42" s="1"/>
      <c r="I42" s="2"/>
      <c r="J42" s="2"/>
      <c r="K42" s="2"/>
      <c r="L42" s="2"/>
    </row>
    <row r="43" spans="1:12" x14ac:dyDescent="0.35">
      <c r="A43" s="8">
        <v>45776</v>
      </c>
      <c r="B43" s="9" t="s">
        <v>16</v>
      </c>
      <c r="C43" s="45" t="s">
        <v>44</v>
      </c>
      <c r="D43" s="45"/>
      <c r="E43" s="10" t="s">
        <v>45</v>
      </c>
      <c r="F43" s="11"/>
      <c r="G43" s="11"/>
      <c r="H43" s="12" t="s">
        <v>46</v>
      </c>
      <c r="I43" s="13" t="s">
        <v>47</v>
      </c>
      <c r="J43" s="11">
        <v>257391</v>
      </c>
      <c r="K43" s="11"/>
      <c r="L43" s="2"/>
    </row>
    <row r="44" spans="1:12" x14ac:dyDescent="0.35">
      <c r="A44" s="43"/>
      <c r="B44" s="43"/>
      <c r="C44" s="14" t="s">
        <v>48</v>
      </c>
      <c r="D44" s="15">
        <v>246779410018</v>
      </c>
      <c r="E44" s="16" t="s">
        <v>0</v>
      </c>
      <c r="F44" s="17">
        <v>140899</v>
      </c>
      <c r="G44" s="18" t="s">
        <v>10</v>
      </c>
      <c r="H44" s="1"/>
      <c r="I44" s="2"/>
      <c r="J44" s="2"/>
      <c r="K44" s="2"/>
      <c r="L44" s="2"/>
    </row>
    <row r="45" spans="1:12" x14ac:dyDescent="0.35">
      <c r="A45" s="43"/>
      <c r="B45" s="43"/>
      <c r="C45" s="14" t="s">
        <v>48</v>
      </c>
      <c r="D45" s="15">
        <v>246779410321</v>
      </c>
      <c r="E45" s="16" t="s">
        <v>0</v>
      </c>
      <c r="F45" s="17">
        <v>36410</v>
      </c>
      <c r="G45" s="18" t="s">
        <v>10</v>
      </c>
      <c r="H45" s="1"/>
      <c r="I45" s="2"/>
      <c r="J45" s="2"/>
      <c r="K45" s="2"/>
      <c r="L45" s="2"/>
    </row>
    <row r="46" spans="1:12" x14ac:dyDescent="0.35">
      <c r="A46" s="43"/>
      <c r="B46" s="43"/>
      <c r="C46" s="14" t="s">
        <v>48</v>
      </c>
      <c r="D46" s="15">
        <v>246779410365</v>
      </c>
      <c r="E46" s="16" t="s">
        <v>0</v>
      </c>
      <c r="F46" s="17">
        <v>80043</v>
      </c>
      <c r="G46" s="18" t="s">
        <v>10</v>
      </c>
      <c r="H46" s="1"/>
      <c r="I46" s="2"/>
      <c r="J46" s="2"/>
      <c r="K46" s="2"/>
      <c r="L46" s="2"/>
    </row>
    <row r="47" spans="1:12" x14ac:dyDescent="0.35">
      <c r="A47" s="43"/>
      <c r="B47" s="43"/>
      <c r="C47" s="14" t="s">
        <v>48</v>
      </c>
      <c r="D47" s="15">
        <v>246779410038</v>
      </c>
      <c r="E47" s="16" t="s">
        <v>0</v>
      </c>
      <c r="F47" s="17">
        <v>39</v>
      </c>
      <c r="G47" s="18" t="s">
        <v>10</v>
      </c>
      <c r="H47" s="1"/>
      <c r="I47" s="2"/>
      <c r="J47" s="2"/>
      <c r="K47" s="2"/>
      <c r="L47" s="2"/>
    </row>
    <row r="48" spans="1:12" x14ac:dyDescent="0.35">
      <c r="A48" s="8">
        <v>45803</v>
      </c>
      <c r="B48" s="9" t="s">
        <v>16</v>
      </c>
      <c r="C48" s="45" t="s">
        <v>44</v>
      </c>
      <c r="D48" s="45"/>
      <c r="E48" s="10" t="s">
        <v>45</v>
      </c>
      <c r="F48" s="11"/>
      <c r="G48" s="11"/>
      <c r="H48" s="12" t="s">
        <v>46</v>
      </c>
      <c r="I48" s="13" t="s">
        <v>49</v>
      </c>
      <c r="J48" s="11">
        <v>324702</v>
      </c>
      <c r="K48" s="11"/>
      <c r="L48" s="2"/>
    </row>
    <row r="49" spans="1:12" x14ac:dyDescent="0.35">
      <c r="A49" s="43"/>
      <c r="B49" s="43"/>
      <c r="C49" s="14" t="s">
        <v>48</v>
      </c>
      <c r="D49" s="15">
        <v>246779410038</v>
      </c>
      <c r="E49" s="16" t="s">
        <v>0</v>
      </c>
      <c r="F49" s="17">
        <v>140414</v>
      </c>
      <c r="G49" s="18" t="s">
        <v>10</v>
      </c>
      <c r="H49" s="1"/>
      <c r="I49" s="2"/>
      <c r="J49" s="2"/>
      <c r="K49" s="2"/>
      <c r="L49" s="2"/>
    </row>
    <row r="50" spans="1:12" x14ac:dyDescent="0.35">
      <c r="A50" s="43"/>
      <c r="B50" s="43"/>
      <c r="C50" s="14" t="s">
        <v>48</v>
      </c>
      <c r="D50" s="15">
        <v>246779410341</v>
      </c>
      <c r="E50" s="16" t="s">
        <v>0</v>
      </c>
      <c r="F50" s="17">
        <v>35397</v>
      </c>
      <c r="G50" s="18" t="s">
        <v>10</v>
      </c>
      <c r="H50" s="1"/>
      <c r="I50" s="2"/>
      <c r="J50" s="2"/>
      <c r="K50" s="2"/>
      <c r="L50" s="2"/>
    </row>
    <row r="51" spans="1:12" x14ac:dyDescent="0.35">
      <c r="A51" s="43"/>
      <c r="B51" s="43"/>
      <c r="C51" s="14" t="s">
        <v>48</v>
      </c>
      <c r="D51" s="15">
        <v>246779410391</v>
      </c>
      <c r="E51" s="16" t="s">
        <v>0</v>
      </c>
      <c r="F51" s="17">
        <v>148891</v>
      </c>
      <c r="G51" s="18" t="s">
        <v>10</v>
      </c>
      <c r="H51" s="1"/>
      <c r="I51" s="2"/>
      <c r="J51" s="2"/>
      <c r="K51" s="2"/>
      <c r="L51" s="2"/>
    </row>
    <row r="52" spans="1:12" x14ac:dyDescent="0.35">
      <c r="A52" s="8">
        <v>45809</v>
      </c>
      <c r="B52" s="9" t="s">
        <v>10</v>
      </c>
      <c r="C52" s="45" t="s">
        <v>50</v>
      </c>
      <c r="D52" s="45"/>
      <c r="E52" s="10" t="s">
        <v>40</v>
      </c>
      <c r="F52" s="11"/>
      <c r="G52" s="11">
        <v>75.66</v>
      </c>
      <c r="H52" s="12" t="s">
        <v>13</v>
      </c>
      <c r="I52" s="13" t="s">
        <v>51</v>
      </c>
      <c r="J52" s="11"/>
      <c r="K52" s="11">
        <v>6589</v>
      </c>
      <c r="L52" s="2"/>
    </row>
    <row r="53" spans="1:12" x14ac:dyDescent="0.35">
      <c r="A53" s="43"/>
      <c r="B53" s="43"/>
      <c r="C53" s="14" t="s">
        <v>15</v>
      </c>
      <c r="D53" s="15">
        <v>246779411458</v>
      </c>
      <c r="E53" s="16" t="s">
        <v>0</v>
      </c>
      <c r="F53" s="17">
        <v>6589</v>
      </c>
      <c r="G53" s="18" t="s">
        <v>16</v>
      </c>
      <c r="H53" s="1"/>
      <c r="I53" s="2"/>
      <c r="J53" s="2"/>
      <c r="K53" s="2"/>
      <c r="L53" s="2"/>
    </row>
    <row r="54" spans="1:12" x14ac:dyDescent="0.35">
      <c r="A54" s="8">
        <v>45809</v>
      </c>
      <c r="B54" s="9" t="s">
        <v>10</v>
      </c>
      <c r="C54" s="45" t="s">
        <v>50</v>
      </c>
      <c r="D54" s="45"/>
      <c r="E54" s="10" t="s">
        <v>40</v>
      </c>
      <c r="F54" s="11"/>
      <c r="G54" s="11">
        <v>240.78</v>
      </c>
      <c r="H54" s="12" t="s">
        <v>13</v>
      </c>
      <c r="I54" s="13" t="s">
        <v>52</v>
      </c>
      <c r="J54" s="11"/>
      <c r="K54" s="11">
        <v>20898</v>
      </c>
      <c r="L54" s="2"/>
    </row>
    <row r="55" spans="1:12" x14ac:dyDescent="0.35">
      <c r="A55" s="43"/>
      <c r="B55" s="43"/>
      <c r="C55" s="14" t="s">
        <v>15</v>
      </c>
      <c r="D55" s="15">
        <v>246779411624</v>
      </c>
      <c r="E55" s="16" t="s">
        <v>0</v>
      </c>
      <c r="F55" s="17">
        <v>20898</v>
      </c>
      <c r="G55" s="18" t="s">
        <v>16</v>
      </c>
      <c r="H55" s="1"/>
      <c r="I55" s="2"/>
      <c r="J55" s="2"/>
      <c r="K55" s="2"/>
      <c r="L55" s="2"/>
    </row>
    <row r="56" spans="1:12" x14ac:dyDescent="0.35">
      <c r="A56" s="8">
        <v>45809</v>
      </c>
      <c r="B56" s="9" t="s">
        <v>10</v>
      </c>
      <c r="C56" s="45" t="s">
        <v>50</v>
      </c>
      <c r="D56" s="45"/>
      <c r="E56" s="10" t="s">
        <v>40</v>
      </c>
      <c r="F56" s="11"/>
      <c r="G56" s="11">
        <v>68.430000000000007</v>
      </c>
      <c r="H56" s="12" t="s">
        <v>13</v>
      </c>
      <c r="I56" s="13" t="s">
        <v>53</v>
      </c>
      <c r="J56" s="11"/>
      <c r="K56" s="11">
        <v>5939</v>
      </c>
      <c r="L56" s="2"/>
    </row>
    <row r="57" spans="1:12" x14ac:dyDescent="0.35">
      <c r="A57" s="43"/>
      <c r="B57" s="43"/>
      <c r="C57" s="14" t="s">
        <v>15</v>
      </c>
      <c r="D57" s="15">
        <v>246779411625</v>
      </c>
      <c r="E57" s="16" t="s">
        <v>0</v>
      </c>
      <c r="F57" s="17">
        <v>5939</v>
      </c>
      <c r="G57" s="18" t="s">
        <v>16</v>
      </c>
      <c r="H57" s="1"/>
      <c r="I57" s="2"/>
      <c r="J57" s="2"/>
      <c r="K57" s="2"/>
      <c r="L57" s="2"/>
    </row>
    <row r="58" spans="1:12" x14ac:dyDescent="0.35">
      <c r="A58" s="8">
        <v>45809</v>
      </c>
      <c r="B58" s="9" t="s">
        <v>10</v>
      </c>
      <c r="C58" s="45" t="s">
        <v>50</v>
      </c>
      <c r="D58" s="45"/>
      <c r="E58" s="10" t="s">
        <v>40</v>
      </c>
      <c r="F58" s="11"/>
      <c r="G58" s="11">
        <v>70.180000000000007</v>
      </c>
      <c r="H58" s="12" t="s">
        <v>13</v>
      </c>
      <c r="I58" s="13" t="s">
        <v>54</v>
      </c>
      <c r="J58" s="11"/>
      <c r="K58" s="11">
        <v>6091</v>
      </c>
      <c r="L58" s="2"/>
    </row>
    <row r="59" spans="1:12" x14ac:dyDescent="0.35">
      <c r="A59" s="43"/>
      <c r="B59" s="43"/>
      <c r="C59" s="14" t="s">
        <v>15</v>
      </c>
      <c r="D59" s="15">
        <v>246779411626</v>
      </c>
      <c r="E59" s="16" t="s">
        <v>0</v>
      </c>
      <c r="F59" s="17">
        <v>6091</v>
      </c>
      <c r="G59" s="18" t="s">
        <v>16</v>
      </c>
      <c r="H59" s="1"/>
      <c r="I59" s="2"/>
      <c r="J59" s="2"/>
      <c r="K59" s="2"/>
      <c r="L59" s="2"/>
    </row>
    <row r="60" spans="1:12" x14ac:dyDescent="0.35">
      <c r="A60" s="8">
        <v>45809</v>
      </c>
      <c r="B60" s="9" t="s">
        <v>10</v>
      </c>
      <c r="C60" s="45" t="s">
        <v>50</v>
      </c>
      <c r="D60" s="45"/>
      <c r="E60" s="10" t="s">
        <v>40</v>
      </c>
      <c r="F60" s="11"/>
      <c r="G60" s="11">
        <v>60.58</v>
      </c>
      <c r="H60" s="12" t="s">
        <v>13</v>
      </c>
      <c r="I60" s="13" t="s">
        <v>55</v>
      </c>
      <c r="J60" s="11"/>
      <c r="K60" s="11">
        <v>5258</v>
      </c>
      <c r="L60" s="2"/>
    </row>
    <row r="61" spans="1:12" x14ac:dyDescent="0.35">
      <c r="A61" s="43"/>
      <c r="B61" s="43"/>
      <c r="C61" s="14" t="s">
        <v>15</v>
      </c>
      <c r="D61" s="15">
        <v>246779411627</v>
      </c>
      <c r="E61" s="16" t="s">
        <v>0</v>
      </c>
      <c r="F61" s="17">
        <v>5258</v>
      </c>
      <c r="G61" s="18" t="s">
        <v>16</v>
      </c>
      <c r="H61" s="1"/>
      <c r="I61" s="2"/>
      <c r="J61" s="2"/>
      <c r="K61" s="2"/>
      <c r="L61" s="2"/>
    </row>
    <row r="62" spans="1:12" x14ac:dyDescent="0.35">
      <c r="A62" s="8">
        <v>45809</v>
      </c>
      <c r="B62" s="9" t="s">
        <v>10</v>
      </c>
      <c r="C62" s="45" t="s">
        <v>50</v>
      </c>
      <c r="D62" s="45"/>
      <c r="E62" s="10" t="s">
        <v>40</v>
      </c>
      <c r="F62" s="11"/>
      <c r="G62" s="11">
        <v>119.73</v>
      </c>
      <c r="H62" s="12" t="s">
        <v>13</v>
      </c>
      <c r="I62" s="13" t="s">
        <v>56</v>
      </c>
      <c r="J62" s="11"/>
      <c r="K62" s="11">
        <v>10392</v>
      </c>
      <c r="L62" s="2"/>
    </row>
    <row r="63" spans="1:12" x14ac:dyDescent="0.35">
      <c r="A63" s="43"/>
      <c r="B63" s="43"/>
      <c r="C63" s="14" t="s">
        <v>15</v>
      </c>
      <c r="D63" s="15">
        <v>246779412068</v>
      </c>
      <c r="E63" s="16" t="s">
        <v>0</v>
      </c>
      <c r="F63" s="17">
        <v>10392</v>
      </c>
      <c r="G63" s="18" t="s">
        <v>16</v>
      </c>
      <c r="H63" s="1"/>
      <c r="I63" s="2"/>
      <c r="J63" s="2"/>
      <c r="K63" s="2"/>
      <c r="L63" s="2"/>
    </row>
    <row r="64" spans="1:12" x14ac:dyDescent="0.35">
      <c r="A64" s="8">
        <v>45809</v>
      </c>
      <c r="B64" s="9" t="s">
        <v>10</v>
      </c>
      <c r="C64" s="45" t="s">
        <v>50</v>
      </c>
      <c r="D64" s="45"/>
      <c r="E64" s="10" t="s">
        <v>40</v>
      </c>
      <c r="F64" s="11"/>
      <c r="G64" s="11">
        <v>75.66</v>
      </c>
      <c r="H64" s="12" t="s">
        <v>13</v>
      </c>
      <c r="I64" s="13" t="s">
        <v>57</v>
      </c>
      <c r="J64" s="11"/>
      <c r="K64" s="11">
        <v>6589</v>
      </c>
      <c r="L64" s="2"/>
    </row>
    <row r="65" spans="1:12" x14ac:dyDescent="0.35">
      <c r="A65" s="43"/>
      <c r="B65" s="43"/>
      <c r="C65" s="14" t="s">
        <v>15</v>
      </c>
      <c r="D65" s="15">
        <v>246779412247</v>
      </c>
      <c r="E65" s="16" t="s">
        <v>0</v>
      </c>
      <c r="F65" s="17">
        <v>6589</v>
      </c>
      <c r="G65" s="18" t="s">
        <v>16</v>
      </c>
      <c r="H65" s="1"/>
      <c r="I65" s="2"/>
      <c r="J65" s="2"/>
      <c r="K65" s="2"/>
      <c r="L65" s="2"/>
    </row>
    <row r="66" spans="1:12" x14ac:dyDescent="0.35">
      <c r="A66" s="8">
        <v>45809</v>
      </c>
      <c r="B66" s="9" t="s">
        <v>10</v>
      </c>
      <c r="C66" s="45" t="s">
        <v>58</v>
      </c>
      <c r="D66" s="45"/>
      <c r="E66" s="10" t="s">
        <v>40</v>
      </c>
      <c r="F66" s="11"/>
      <c r="G66" s="11">
        <v>267.54000000000002</v>
      </c>
      <c r="H66" s="12" t="s">
        <v>13</v>
      </c>
      <c r="I66" s="13" t="s">
        <v>59</v>
      </c>
      <c r="J66" s="11"/>
      <c r="K66" s="11">
        <v>23090</v>
      </c>
      <c r="L66" s="2"/>
    </row>
    <row r="67" spans="1:12" x14ac:dyDescent="0.35">
      <c r="A67" s="43"/>
      <c r="B67" s="43"/>
      <c r="C67" s="14" t="s">
        <v>15</v>
      </c>
      <c r="D67" s="15">
        <v>246779414060</v>
      </c>
      <c r="E67" s="16" t="s">
        <v>0</v>
      </c>
      <c r="F67" s="17">
        <v>23090</v>
      </c>
      <c r="G67" s="18" t="s">
        <v>16</v>
      </c>
      <c r="H67" s="1"/>
      <c r="I67" s="2"/>
      <c r="J67" s="2"/>
      <c r="K67" s="2"/>
      <c r="L67" s="2"/>
    </row>
    <row r="68" spans="1:12" x14ac:dyDescent="0.35">
      <c r="A68" s="8">
        <v>45809</v>
      </c>
      <c r="B68" s="9" t="s">
        <v>10</v>
      </c>
      <c r="C68" s="45" t="s">
        <v>58</v>
      </c>
      <c r="D68" s="45"/>
      <c r="E68" s="10" t="s">
        <v>40</v>
      </c>
      <c r="F68" s="11"/>
      <c r="G68" s="11">
        <v>271.75</v>
      </c>
      <c r="H68" s="12" t="s">
        <v>13</v>
      </c>
      <c r="I68" s="13" t="s">
        <v>60</v>
      </c>
      <c r="J68" s="11"/>
      <c r="K68" s="11">
        <v>23453</v>
      </c>
      <c r="L68" s="2"/>
    </row>
    <row r="69" spans="1:12" x14ac:dyDescent="0.35">
      <c r="A69" s="43"/>
      <c r="B69" s="43"/>
      <c r="C69" s="14" t="s">
        <v>15</v>
      </c>
      <c r="D69" s="15">
        <v>246779414061</v>
      </c>
      <c r="E69" s="16" t="s">
        <v>0</v>
      </c>
      <c r="F69" s="17">
        <v>23453</v>
      </c>
      <c r="G69" s="18" t="s">
        <v>16</v>
      </c>
      <c r="H69" s="1"/>
      <c r="I69" s="2"/>
      <c r="J69" s="2"/>
      <c r="K69" s="2"/>
      <c r="L69" s="2"/>
    </row>
    <row r="70" spans="1:12" x14ac:dyDescent="0.35">
      <c r="A70" s="8">
        <v>45809</v>
      </c>
      <c r="B70" s="9" t="s">
        <v>10</v>
      </c>
      <c r="C70" s="45" t="s">
        <v>58</v>
      </c>
      <c r="D70" s="45"/>
      <c r="E70" s="10" t="s">
        <v>40</v>
      </c>
      <c r="F70" s="11"/>
      <c r="G70" s="11">
        <v>246.47</v>
      </c>
      <c r="H70" s="12" t="s">
        <v>13</v>
      </c>
      <c r="I70" s="13" t="s">
        <v>61</v>
      </c>
      <c r="J70" s="11"/>
      <c r="K70" s="11">
        <v>21271</v>
      </c>
      <c r="L70" s="2"/>
    </row>
    <row r="71" spans="1:12" x14ac:dyDescent="0.35">
      <c r="A71" s="43"/>
      <c r="B71" s="43"/>
      <c r="C71" s="14" t="s">
        <v>15</v>
      </c>
      <c r="D71" s="15">
        <v>246779414062</v>
      </c>
      <c r="E71" s="16" t="s">
        <v>0</v>
      </c>
      <c r="F71" s="17">
        <v>21271</v>
      </c>
      <c r="G71" s="18" t="s">
        <v>16</v>
      </c>
      <c r="H71" s="1"/>
      <c r="I71" s="2"/>
      <c r="J71" s="2"/>
      <c r="K71" s="2"/>
      <c r="L71" s="2"/>
    </row>
    <row r="72" spans="1:12" x14ac:dyDescent="0.35">
      <c r="A72" s="8">
        <v>45809</v>
      </c>
      <c r="B72" s="9" t="s">
        <v>10</v>
      </c>
      <c r="C72" s="45" t="s">
        <v>58</v>
      </c>
      <c r="D72" s="45"/>
      <c r="E72" s="10" t="s">
        <v>40</v>
      </c>
      <c r="F72" s="11"/>
      <c r="G72" s="11">
        <v>543.51</v>
      </c>
      <c r="H72" s="12" t="s">
        <v>13</v>
      </c>
      <c r="I72" s="13" t="s">
        <v>62</v>
      </c>
      <c r="J72" s="11"/>
      <c r="K72" s="11">
        <v>46907</v>
      </c>
      <c r="L72" s="2"/>
    </row>
    <row r="73" spans="1:12" x14ac:dyDescent="0.35">
      <c r="A73" s="43"/>
      <c r="B73" s="43"/>
      <c r="C73" s="14" t="s">
        <v>15</v>
      </c>
      <c r="D73" s="15">
        <v>246779414063</v>
      </c>
      <c r="E73" s="16" t="s">
        <v>0</v>
      </c>
      <c r="F73" s="17">
        <v>46907</v>
      </c>
      <c r="G73" s="18" t="s">
        <v>16</v>
      </c>
      <c r="H73" s="1"/>
      <c r="I73" s="2"/>
      <c r="J73" s="2"/>
      <c r="K73" s="2"/>
      <c r="L73" s="2"/>
    </row>
    <row r="74" spans="1:12" x14ac:dyDescent="0.35">
      <c r="A74" s="8">
        <v>45809</v>
      </c>
      <c r="B74" s="9" t="s">
        <v>10</v>
      </c>
      <c r="C74" s="45" t="s">
        <v>58</v>
      </c>
      <c r="D74" s="45"/>
      <c r="E74" s="10" t="s">
        <v>40</v>
      </c>
      <c r="F74" s="11"/>
      <c r="G74" s="11">
        <v>346.14</v>
      </c>
      <c r="H74" s="12" t="s">
        <v>13</v>
      </c>
      <c r="I74" s="13" t="s">
        <v>63</v>
      </c>
      <c r="J74" s="11"/>
      <c r="K74" s="11">
        <v>29873</v>
      </c>
      <c r="L74" s="2"/>
    </row>
    <row r="75" spans="1:12" x14ac:dyDescent="0.35">
      <c r="A75" s="43"/>
      <c r="B75" s="43"/>
      <c r="C75" s="14" t="s">
        <v>15</v>
      </c>
      <c r="D75" s="15">
        <v>246779414064</v>
      </c>
      <c r="E75" s="16" t="s">
        <v>0</v>
      </c>
      <c r="F75" s="17">
        <v>29873</v>
      </c>
      <c r="G75" s="18" t="s">
        <v>16</v>
      </c>
      <c r="H75" s="1"/>
      <c r="I75" s="2"/>
      <c r="J75" s="2"/>
      <c r="K75" s="2"/>
      <c r="L75" s="2"/>
    </row>
    <row r="76" spans="1:12" x14ac:dyDescent="0.35">
      <c r="A76" s="8">
        <v>45809</v>
      </c>
      <c r="B76" s="9" t="s">
        <v>10</v>
      </c>
      <c r="C76" s="45" t="s">
        <v>58</v>
      </c>
      <c r="D76" s="45"/>
      <c r="E76" s="10" t="s">
        <v>40</v>
      </c>
      <c r="F76" s="11"/>
      <c r="G76" s="11">
        <v>271.75</v>
      </c>
      <c r="H76" s="12" t="s">
        <v>13</v>
      </c>
      <c r="I76" s="13" t="s">
        <v>64</v>
      </c>
      <c r="J76" s="11"/>
      <c r="K76" s="11">
        <v>23453</v>
      </c>
      <c r="L76" s="2"/>
    </row>
    <row r="77" spans="1:12" x14ac:dyDescent="0.35">
      <c r="A77" s="43"/>
      <c r="B77" s="43"/>
      <c r="C77" s="14" t="s">
        <v>15</v>
      </c>
      <c r="D77" s="15">
        <v>246779414065</v>
      </c>
      <c r="E77" s="16" t="s">
        <v>0</v>
      </c>
      <c r="F77" s="17">
        <v>23453</v>
      </c>
      <c r="G77" s="18" t="s">
        <v>16</v>
      </c>
      <c r="H77" s="1"/>
      <c r="I77" s="2"/>
      <c r="J77" s="2"/>
      <c r="K77" s="2"/>
      <c r="L77" s="2"/>
    </row>
    <row r="78" spans="1:12" x14ac:dyDescent="0.35">
      <c r="A78" s="8">
        <v>45809</v>
      </c>
      <c r="B78" s="9" t="s">
        <v>10</v>
      </c>
      <c r="C78" s="45" t="s">
        <v>58</v>
      </c>
      <c r="D78" s="45"/>
      <c r="E78" s="10" t="s">
        <v>40</v>
      </c>
      <c r="F78" s="11"/>
      <c r="G78" s="11">
        <v>20.72</v>
      </c>
      <c r="H78" s="12" t="s">
        <v>13</v>
      </c>
      <c r="I78" s="13" t="s">
        <v>65</v>
      </c>
      <c r="J78" s="11"/>
      <c r="K78" s="11">
        <v>1788</v>
      </c>
      <c r="L78" s="2"/>
    </row>
    <row r="79" spans="1:12" x14ac:dyDescent="0.35">
      <c r="A79" s="43"/>
      <c r="B79" s="43"/>
      <c r="C79" s="14" t="s">
        <v>15</v>
      </c>
      <c r="D79" s="15">
        <v>246779414066</v>
      </c>
      <c r="E79" s="16" t="s">
        <v>0</v>
      </c>
      <c r="F79" s="17">
        <v>1788</v>
      </c>
      <c r="G79" s="18" t="s">
        <v>16</v>
      </c>
      <c r="H79" s="1"/>
      <c r="I79" s="2"/>
      <c r="J79" s="2"/>
      <c r="K79" s="2"/>
      <c r="L79" s="2"/>
    </row>
    <row r="80" spans="1:12" x14ac:dyDescent="0.35">
      <c r="A80" s="8">
        <v>45809</v>
      </c>
      <c r="B80" s="9" t="s">
        <v>10</v>
      </c>
      <c r="C80" s="45" t="s">
        <v>58</v>
      </c>
      <c r="D80" s="45"/>
      <c r="E80" s="10" t="s">
        <v>40</v>
      </c>
      <c r="F80" s="11"/>
      <c r="G80" s="11">
        <v>34.299999999999997</v>
      </c>
      <c r="H80" s="12" t="s">
        <v>13</v>
      </c>
      <c r="I80" s="13" t="s">
        <v>66</v>
      </c>
      <c r="J80" s="11"/>
      <c r="K80" s="11">
        <v>2987</v>
      </c>
      <c r="L80" s="2"/>
    </row>
    <row r="81" spans="1:12" x14ac:dyDescent="0.35">
      <c r="A81" s="43"/>
      <c r="B81" s="43"/>
      <c r="C81" s="14" t="s">
        <v>15</v>
      </c>
      <c r="D81" s="15">
        <v>246779411302</v>
      </c>
      <c r="E81" s="16" t="s">
        <v>0</v>
      </c>
      <c r="F81" s="17">
        <v>2987</v>
      </c>
      <c r="G81" s="18" t="s">
        <v>16</v>
      </c>
      <c r="H81" s="1"/>
      <c r="I81" s="2"/>
      <c r="J81" s="2"/>
      <c r="K81" s="2"/>
      <c r="L81" s="2"/>
    </row>
    <row r="82" spans="1:12" x14ac:dyDescent="0.35">
      <c r="A82" s="8">
        <v>45809</v>
      </c>
      <c r="B82" s="9" t="s">
        <v>10</v>
      </c>
      <c r="C82" s="45" t="s">
        <v>58</v>
      </c>
      <c r="D82" s="45"/>
      <c r="E82" s="10" t="s">
        <v>40</v>
      </c>
      <c r="F82" s="11"/>
      <c r="G82" s="11">
        <v>25.51</v>
      </c>
      <c r="H82" s="12" t="s">
        <v>13</v>
      </c>
      <c r="I82" s="13" t="s">
        <v>67</v>
      </c>
      <c r="J82" s="11"/>
      <c r="K82" s="11">
        <v>2207</v>
      </c>
      <c r="L82" s="2"/>
    </row>
    <row r="83" spans="1:12" x14ac:dyDescent="0.35">
      <c r="A83" s="43"/>
      <c r="B83" s="43"/>
      <c r="C83" s="14" t="s">
        <v>15</v>
      </c>
      <c r="D83" s="15">
        <v>246779413220</v>
      </c>
      <c r="E83" s="16" t="s">
        <v>0</v>
      </c>
      <c r="F83" s="17">
        <v>2207</v>
      </c>
      <c r="G83" s="18" t="s">
        <v>16</v>
      </c>
      <c r="H83" s="1"/>
      <c r="I83" s="2"/>
      <c r="J83" s="2"/>
      <c r="K83" s="2"/>
      <c r="L83" s="2"/>
    </row>
    <row r="84" spans="1:12" x14ac:dyDescent="0.35">
      <c r="A84" s="8">
        <v>45809</v>
      </c>
      <c r="B84" s="9" t="s">
        <v>10</v>
      </c>
      <c r="C84" s="45" t="s">
        <v>68</v>
      </c>
      <c r="D84" s="45"/>
      <c r="E84" s="10" t="s">
        <v>40</v>
      </c>
      <c r="F84" s="11"/>
      <c r="G84" s="11">
        <v>125.95</v>
      </c>
      <c r="H84" s="12" t="s">
        <v>13</v>
      </c>
      <c r="I84" s="13" t="s">
        <v>69</v>
      </c>
      <c r="J84" s="11"/>
      <c r="K84" s="11">
        <v>10870</v>
      </c>
      <c r="L84" s="2"/>
    </row>
    <row r="85" spans="1:12" x14ac:dyDescent="0.35">
      <c r="A85" s="43"/>
      <c r="B85" s="43"/>
      <c r="C85" s="14" t="s">
        <v>15</v>
      </c>
      <c r="D85" s="15">
        <v>246779413884</v>
      </c>
      <c r="E85" s="16" t="s">
        <v>0</v>
      </c>
      <c r="F85" s="17">
        <v>10870</v>
      </c>
      <c r="G85" s="18" t="s">
        <v>16</v>
      </c>
      <c r="H85" s="1"/>
      <c r="I85" s="2"/>
      <c r="J85" s="2"/>
      <c r="K85" s="2"/>
      <c r="L85" s="2"/>
    </row>
    <row r="86" spans="1:12" x14ac:dyDescent="0.35">
      <c r="A86" s="8">
        <v>45809</v>
      </c>
      <c r="B86" s="9" t="s">
        <v>10</v>
      </c>
      <c r="C86" s="45" t="s">
        <v>68</v>
      </c>
      <c r="D86" s="45"/>
      <c r="E86" s="10" t="s">
        <v>40</v>
      </c>
      <c r="F86" s="11"/>
      <c r="G86" s="11">
        <v>1.71</v>
      </c>
      <c r="H86" s="12" t="s">
        <v>13</v>
      </c>
      <c r="I86" s="13" t="s">
        <v>70</v>
      </c>
      <c r="J86" s="11"/>
      <c r="K86" s="11">
        <v>148</v>
      </c>
      <c r="L86" s="2"/>
    </row>
    <row r="87" spans="1:12" x14ac:dyDescent="0.35">
      <c r="A87" s="43"/>
      <c r="B87" s="43"/>
      <c r="C87" s="14" t="s">
        <v>15</v>
      </c>
      <c r="D87" s="15">
        <v>246779413893</v>
      </c>
      <c r="E87" s="16" t="s">
        <v>0</v>
      </c>
      <c r="F87" s="17">
        <v>148</v>
      </c>
      <c r="G87" s="18" t="s">
        <v>16</v>
      </c>
      <c r="H87" s="1"/>
      <c r="I87" s="2"/>
      <c r="J87" s="2"/>
      <c r="K87" s="2"/>
      <c r="L87" s="2"/>
    </row>
    <row r="88" spans="1:12" x14ac:dyDescent="0.35">
      <c r="A88" s="8">
        <v>45809</v>
      </c>
      <c r="B88" s="9" t="s">
        <v>10</v>
      </c>
      <c r="C88" s="45" t="s">
        <v>68</v>
      </c>
      <c r="D88" s="45"/>
      <c r="E88" s="10" t="s">
        <v>40</v>
      </c>
      <c r="F88" s="11"/>
      <c r="G88" s="11">
        <v>1.97</v>
      </c>
      <c r="H88" s="12" t="s">
        <v>13</v>
      </c>
      <c r="I88" s="13" t="s">
        <v>71</v>
      </c>
      <c r="J88" s="11"/>
      <c r="K88" s="11">
        <v>170</v>
      </c>
      <c r="L88" s="2"/>
    </row>
    <row r="89" spans="1:12" x14ac:dyDescent="0.35">
      <c r="A89" s="43"/>
      <c r="B89" s="43"/>
      <c r="C89" s="14" t="s">
        <v>15</v>
      </c>
      <c r="D89" s="15">
        <v>246779413894</v>
      </c>
      <c r="E89" s="16" t="s">
        <v>0</v>
      </c>
      <c r="F89" s="17">
        <v>170</v>
      </c>
      <c r="G89" s="18" t="s">
        <v>16</v>
      </c>
      <c r="H89" s="1"/>
      <c r="I89" s="2"/>
      <c r="J89" s="2"/>
      <c r="K89" s="2"/>
      <c r="L89" s="2"/>
    </row>
    <row r="90" spans="1:12" x14ac:dyDescent="0.35">
      <c r="A90" s="8">
        <v>45809</v>
      </c>
      <c r="B90" s="9" t="s">
        <v>10</v>
      </c>
      <c r="C90" s="45" t="s">
        <v>68</v>
      </c>
      <c r="D90" s="45"/>
      <c r="E90" s="10" t="s">
        <v>40</v>
      </c>
      <c r="F90" s="11"/>
      <c r="G90" s="11">
        <v>1.71</v>
      </c>
      <c r="H90" s="12" t="s">
        <v>13</v>
      </c>
      <c r="I90" s="13" t="s">
        <v>72</v>
      </c>
      <c r="J90" s="11"/>
      <c r="K90" s="11">
        <v>148</v>
      </c>
      <c r="L90" s="2"/>
    </row>
    <row r="91" spans="1:12" x14ac:dyDescent="0.35">
      <c r="A91" s="43"/>
      <c r="B91" s="43"/>
      <c r="C91" s="14" t="s">
        <v>15</v>
      </c>
      <c r="D91" s="15">
        <v>246779413901</v>
      </c>
      <c r="E91" s="16" t="s">
        <v>0</v>
      </c>
      <c r="F91" s="17">
        <v>148</v>
      </c>
      <c r="G91" s="18" t="s">
        <v>16</v>
      </c>
      <c r="H91" s="1"/>
      <c r="I91" s="2"/>
      <c r="J91" s="2"/>
      <c r="K91" s="2"/>
      <c r="L91" s="2"/>
    </row>
    <row r="92" spans="1:12" x14ac:dyDescent="0.35">
      <c r="A92" s="8">
        <v>45810</v>
      </c>
      <c r="B92" s="9" t="s">
        <v>10</v>
      </c>
      <c r="C92" s="45" t="s">
        <v>29</v>
      </c>
      <c r="D92" s="45"/>
      <c r="E92" s="10" t="s">
        <v>73</v>
      </c>
      <c r="F92" s="11"/>
      <c r="G92" s="11">
        <v>405.01</v>
      </c>
      <c r="H92" s="12" t="s">
        <v>13</v>
      </c>
      <c r="I92" s="13" t="s">
        <v>47</v>
      </c>
      <c r="J92" s="11"/>
      <c r="K92" s="11">
        <v>34824</v>
      </c>
      <c r="L92" s="2"/>
    </row>
    <row r="93" spans="1:12" x14ac:dyDescent="0.35">
      <c r="A93" s="43"/>
      <c r="B93" s="43"/>
      <c r="C93" s="14" t="s">
        <v>15</v>
      </c>
      <c r="D93" s="15">
        <v>256779413186</v>
      </c>
      <c r="E93" s="16" t="s">
        <v>0</v>
      </c>
      <c r="F93" s="17">
        <v>34824</v>
      </c>
      <c r="G93" s="18" t="s">
        <v>16</v>
      </c>
      <c r="H93" s="1"/>
      <c r="I93" s="2"/>
      <c r="J93" s="2"/>
      <c r="K93" s="2"/>
      <c r="L93" s="2"/>
    </row>
    <row r="94" spans="1:12" x14ac:dyDescent="0.35">
      <c r="A94" s="8">
        <v>45818</v>
      </c>
      <c r="B94" s="9" t="s">
        <v>16</v>
      </c>
      <c r="C94" s="45" t="s">
        <v>44</v>
      </c>
      <c r="D94" s="45"/>
      <c r="E94" s="10" t="s">
        <v>45</v>
      </c>
      <c r="F94" s="11"/>
      <c r="G94" s="11"/>
      <c r="H94" s="12" t="s">
        <v>46</v>
      </c>
      <c r="I94" s="13" t="s">
        <v>38</v>
      </c>
      <c r="J94" s="11">
        <v>500000</v>
      </c>
      <c r="K94" s="11"/>
      <c r="L94" s="2"/>
    </row>
    <row r="95" spans="1:12" x14ac:dyDescent="0.35">
      <c r="A95" s="43"/>
      <c r="B95" s="43"/>
      <c r="C95" s="14" t="s">
        <v>48</v>
      </c>
      <c r="D95" s="15">
        <v>246779410292</v>
      </c>
      <c r="E95" s="16" t="s">
        <v>0</v>
      </c>
      <c r="F95" s="17">
        <v>140453</v>
      </c>
      <c r="G95" s="18" t="s">
        <v>10</v>
      </c>
      <c r="H95" s="1"/>
      <c r="I95" s="2"/>
      <c r="J95" s="2"/>
      <c r="K95" s="2"/>
      <c r="L95" s="2"/>
    </row>
    <row r="96" spans="1:12" x14ac:dyDescent="0.35">
      <c r="A96" s="43"/>
      <c r="B96" s="43"/>
      <c r="C96" s="14" t="s">
        <v>48</v>
      </c>
      <c r="D96" s="15">
        <v>246779410106</v>
      </c>
      <c r="E96" s="16" t="s">
        <v>0</v>
      </c>
      <c r="F96" s="17">
        <v>140453</v>
      </c>
      <c r="G96" s="18" t="s">
        <v>10</v>
      </c>
      <c r="H96" s="1"/>
      <c r="I96" s="2"/>
      <c r="J96" s="2"/>
      <c r="K96" s="2"/>
      <c r="L96" s="2"/>
    </row>
    <row r="97" spans="1:12" x14ac:dyDescent="0.35">
      <c r="A97" s="43"/>
      <c r="B97" s="43"/>
      <c r="C97" s="14" t="s">
        <v>48</v>
      </c>
      <c r="D97" s="15">
        <v>246779410149</v>
      </c>
      <c r="E97" s="16" t="s">
        <v>0</v>
      </c>
      <c r="F97" s="17">
        <v>140453</v>
      </c>
      <c r="G97" s="18" t="s">
        <v>10</v>
      </c>
      <c r="H97" s="1"/>
      <c r="I97" s="2"/>
      <c r="J97" s="2"/>
      <c r="K97" s="2"/>
      <c r="L97" s="2"/>
    </row>
    <row r="98" spans="1:12" x14ac:dyDescent="0.35">
      <c r="A98" s="43"/>
      <c r="B98" s="43"/>
      <c r="C98" s="14" t="s">
        <v>48</v>
      </c>
      <c r="D98" s="15">
        <v>246779410192</v>
      </c>
      <c r="E98" s="16" t="s">
        <v>0</v>
      </c>
      <c r="F98" s="17">
        <v>78641</v>
      </c>
      <c r="G98" s="18" t="s">
        <v>10</v>
      </c>
      <c r="H98" s="1"/>
      <c r="I98" s="2"/>
      <c r="J98" s="2"/>
      <c r="K98" s="2"/>
      <c r="L98" s="2"/>
    </row>
    <row r="99" spans="1:12" x14ac:dyDescent="0.35">
      <c r="A99" s="8">
        <v>45821</v>
      </c>
      <c r="B99" s="9" t="s">
        <v>10</v>
      </c>
      <c r="C99" s="45" t="s">
        <v>74</v>
      </c>
      <c r="D99" s="45"/>
      <c r="E99" s="10" t="s">
        <v>40</v>
      </c>
      <c r="F99" s="11"/>
      <c r="G99" s="11">
        <v>417.76</v>
      </c>
      <c r="H99" s="12" t="s">
        <v>13</v>
      </c>
      <c r="I99" s="13" t="s">
        <v>75</v>
      </c>
      <c r="J99" s="11"/>
      <c r="K99" s="11">
        <v>35715</v>
      </c>
      <c r="L99" s="2"/>
    </row>
    <row r="100" spans="1:12" x14ac:dyDescent="0.35">
      <c r="A100" s="43"/>
      <c r="B100" s="43"/>
      <c r="C100" s="14" t="s">
        <v>15</v>
      </c>
      <c r="D100" s="15">
        <v>256779414342</v>
      </c>
      <c r="E100" s="16" t="s">
        <v>0</v>
      </c>
      <c r="F100" s="17">
        <v>35715</v>
      </c>
      <c r="G100" s="18" t="s">
        <v>16</v>
      </c>
      <c r="H100" s="1"/>
      <c r="I100" s="2"/>
      <c r="J100" s="2"/>
      <c r="K100" s="2"/>
      <c r="L100" s="2"/>
    </row>
    <row r="101" spans="1:12" x14ac:dyDescent="0.35">
      <c r="A101" s="8">
        <v>45826</v>
      </c>
      <c r="B101" s="9" t="s">
        <v>16</v>
      </c>
      <c r="C101" s="45" t="s">
        <v>44</v>
      </c>
      <c r="D101" s="45"/>
      <c r="E101" s="10" t="s">
        <v>45</v>
      </c>
      <c r="F101" s="11"/>
      <c r="G101" s="11"/>
      <c r="H101" s="12" t="s">
        <v>46</v>
      </c>
      <c r="I101" s="13" t="s">
        <v>76</v>
      </c>
      <c r="J101" s="11">
        <v>100000</v>
      </c>
      <c r="K101" s="11"/>
      <c r="L101" s="2"/>
    </row>
    <row r="102" spans="1:12" x14ac:dyDescent="0.35">
      <c r="A102" s="43"/>
      <c r="B102" s="43"/>
      <c r="C102" s="14" t="s">
        <v>48</v>
      </c>
      <c r="D102" s="15">
        <v>246779410192</v>
      </c>
      <c r="E102" s="16" t="s">
        <v>0</v>
      </c>
      <c r="F102" s="17">
        <v>61812</v>
      </c>
      <c r="G102" s="18" t="s">
        <v>10</v>
      </c>
      <c r="H102" s="1"/>
      <c r="I102" s="2"/>
      <c r="J102" s="2"/>
      <c r="K102" s="2"/>
      <c r="L102" s="2"/>
    </row>
    <row r="103" spans="1:12" x14ac:dyDescent="0.35">
      <c r="A103" s="43"/>
      <c r="B103" s="43"/>
      <c r="C103" s="14" t="s">
        <v>48</v>
      </c>
      <c r="D103" s="15">
        <v>246779410235</v>
      </c>
      <c r="E103" s="16" t="s">
        <v>0</v>
      </c>
      <c r="F103" s="17">
        <v>38188</v>
      </c>
      <c r="G103" s="18" t="s">
        <v>10</v>
      </c>
      <c r="H103" s="1"/>
      <c r="I103" s="2"/>
      <c r="J103" s="2"/>
      <c r="K103" s="2"/>
      <c r="L103" s="2"/>
    </row>
    <row r="104" spans="1:12" x14ac:dyDescent="0.35">
      <c r="A104" s="8">
        <v>45835</v>
      </c>
      <c r="B104" s="9" t="s">
        <v>16</v>
      </c>
      <c r="C104" s="45" t="s">
        <v>44</v>
      </c>
      <c r="D104" s="45"/>
      <c r="E104" s="10" t="s">
        <v>45</v>
      </c>
      <c r="F104" s="11"/>
      <c r="G104" s="11"/>
      <c r="H104" s="12" t="s">
        <v>46</v>
      </c>
      <c r="I104" s="13" t="s">
        <v>77</v>
      </c>
      <c r="J104" s="11">
        <v>700000</v>
      </c>
      <c r="K104" s="11"/>
      <c r="L104" s="2"/>
    </row>
    <row r="105" spans="1:12" x14ac:dyDescent="0.35">
      <c r="A105" s="43"/>
      <c r="B105" s="43"/>
      <c r="C105" s="14" t="s">
        <v>48</v>
      </c>
      <c r="D105" s="15">
        <v>246779410235</v>
      </c>
      <c r="E105" s="16" t="s">
        <v>0</v>
      </c>
      <c r="F105" s="17">
        <v>102265</v>
      </c>
      <c r="G105" s="18" t="s">
        <v>10</v>
      </c>
      <c r="H105" s="1"/>
      <c r="I105" s="2"/>
      <c r="J105" s="2"/>
      <c r="K105" s="2"/>
      <c r="L105" s="2"/>
    </row>
    <row r="106" spans="1:12" x14ac:dyDescent="0.35">
      <c r="A106" s="43"/>
      <c r="B106" s="43"/>
      <c r="C106" s="14" t="s">
        <v>48</v>
      </c>
      <c r="D106" s="15">
        <v>246779410345</v>
      </c>
      <c r="E106" s="16" t="s">
        <v>0</v>
      </c>
      <c r="F106" s="17">
        <v>36577</v>
      </c>
      <c r="G106" s="18" t="s">
        <v>10</v>
      </c>
      <c r="H106" s="1"/>
      <c r="I106" s="2"/>
      <c r="J106" s="2"/>
      <c r="K106" s="2"/>
      <c r="L106" s="2"/>
    </row>
    <row r="107" spans="1:12" x14ac:dyDescent="0.35">
      <c r="A107" s="43"/>
      <c r="B107" s="43"/>
      <c r="C107" s="14" t="s">
        <v>48</v>
      </c>
      <c r="D107" s="15">
        <v>246779410351</v>
      </c>
      <c r="E107" s="16" t="s">
        <v>0</v>
      </c>
      <c r="F107" s="17">
        <v>36577</v>
      </c>
      <c r="G107" s="18" t="s">
        <v>10</v>
      </c>
      <c r="H107" s="1"/>
      <c r="I107" s="2"/>
      <c r="J107" s="2"/>
      <c r="K107" s="2"/>
      <c r="L107" s="2"/>
    </row>
    <row r="108" spans="1:12" x14ac:dyDescent="0.35">
      <c r="A108" s="43"/>
      <c r="B108" s="43"/>
      <c r="C108" s="14" t="s">
        <v>48</v>
      </c>
      <c r="D108" s="15">
        <v>246779410357</v>
      </c>
      <c r="E108" s="16" t="s">
        <v>0</v>
      </c>
      <c r="F108" s="17">
        <v>35397</v>
      </c>
      <c r="G108" s="18" t="s">
        <v>10</v>
      </c>
      <c r="H108" s="1"/>
      <c r="I108" s="2"/>
      <c r="J108" s="2"/>
      <c r="K108" s="2"/>
      <c r="L108" s="2"/>
    </row>
    <row r="109" spans="1:12" x14ac:dyDescent="0.35">
      <c r="A109" s="43"/>
      <c r="B109" s="43"/>
      <c r="C109" s="14" t="s">
        <v>48</v>
      </c>
      <c r="D109" s="15">
        <v>246779410415</v>
      </c>
      <c r="E109" s="16" t="s">
        <v>0</v>
      </c>
      <c r="F109" s="17">
        <v>151767</v>
      </c>
      <c r="G109" s="18" t="s">
        <v>10</v>
      </c>
      <c r="H109" s="1"/>
      <c r="I109" s="2"/>
      <c r="J109" s="2"/>
      <c r="K109" s="2"/>
      <c r="L109" s="2"/>
    </row>
    <row r="110" spans="1:12" x14ac:dyDescent="0.35">
      <c r="A110" s="43"/>
      <c r="B110" s="43"/>
      <c r="C110" s="14" t="s">
        <v>48</v>
      </c>
      <c r="D110" s="15">
        <v>246779410862</v>
      </c>
      <c r="E110" s="16" t="s">
        <v>0</v>
      </c>
      <c r="F110" s="17">
        <v>180778</v>
      </c>
      <c r="G110" s="18" t="s">
        <v>10</v>
      </c>
      <c r="H110" s="1"/>
      <c r="I110" s="2"/>
      <c r="J110" s="2"/>
      <c r="K110" s="2"/>
      <c r="L110" s="2"/>
    </row>
    <row r="111" spans="1:12" x14ac:dyDescent="0.35">
      <c r="A111" s="43"/>
      <c r="B111" s="43"/>
      <c r="C111" s="14" t="s">
        <v>48</v>
      </c>
      <c r="D111" s="15">
        <v>246779410885</v>
      </c>
      <c r="E111" s="16" t="s">
        <v>0</v>
      </c>
      <c r="F111" s="17">
        <v>156639</v>
      </c>
      <c r="G111" s="18" t="s">
        <v>10</v>
      </c>
      <c r="H111" s="1"/>
      <c r="I111" s="2"/>
      <c r="J111" s="2"/>
      <c r="K111" s="2"/>
      <c r="L111" s="2"/>
    </row>
    <row r="112" spans="1:12" x14ac:dyDescent="0.35">
      <c r="A112" s="8">
        <v>45839</v>
      </c>
      <c r="B112" s="9" t="s">
        <v>10</v>
      </c>
      <c r="C112" s="45" t="s">
        <v>68</v>
      </c>
      <c r="D112" s="45"/>
      <c r="E112" s="10" t="s">
        <v>40</v>
      </c>
      <c r="F112" s="11"/>
      <c r="G112" s="11">
        <v>1.96</v>
      </c>
      <c r="H112" s="12" t="s">
        <v>13</v>
      </c>
      <c r="I112" s="13" t="s">
        <v>78</v>
      </c>
      <c r="J112" s="11"/>
      <c r="K112" s="11">
        <v>169</v>
      </c>
      <c r="L112" s="2"/>
    </row>
    <row r="113" spans="1:12" x14ac:dyDescent="0.35">
      <c r="A113" s="43"/>
      <c r="B113" s="43"/>
      <c r="C113" s="14" t="s">
        <v>15</v>
      </c>
      <c r="D113" s="15">
        <v>246779413911</v>
      </c>
      <c r="E113" s="16" t="s">
        <v>0</v>
      </c>
      <c r="F113" s="17">
        <v>169</v>
      </c>
      <c r="G113" s="18" t="s">
        <v>16</v>
      </c>
      <c r="H113" s="1"/>
      <c r="I113" s="2"/>
      <c r="J113" s="2"/>
      <c r="K113" s="2"/>
      <c r="L113" s="2"/>
    </row>
    <row r="114" spans="1:12" x14ac:dyDescent="0.35">
      <c r="A114" s="8">
        <v>45839</v>
      </c>
      <c r="B114" s="9" t="s">
        <v>10</v>
      </c>
      <c r="C114" s="45" t="s">
        <v>68</v>
      </c>
      <c r="D114" s="45"/>
      <c r="E114" s="10" t="s">
        <v>40</v>
      </c>
      <c r="F114" s="11"/>
      <c r="G114" s="11">
        <v>14.5</v>
      </c>
      <c r="H114" s="12" t="s">
        <v>13</v>
      </c>
      <c r="I114" s="13" t="s">
        <v>79</v>
      </c>
      <c r="J114" s="11"/>
      <c r="K114" s="11">
        <v>1251</v>
      </c>
      <c r="L114" s="2"/>
    </row>
    <row r="115" spans="1:12" x14ac:dyDescent="0.35">
      <c r="A115" s="43"/>
      <c r="B115" s="43"/>
      <c r="C115" s="14" t="s">
        <v>15</v>
      </c>
      <c r="D115" s="15">
        <v>246779413913</v>
      </c>
      <c r="E115" s="16" t="s">
        <v>0</v>
      </c>
      <c r="F115" s="17">
        <v>1251</v>
      </c>
      <c r="G115" s="18" t="s">
        <v>16</v>
      </c>
      <c r="H115" s="1"/>
      <c r="I115" s="2"/>
      <c r="J115" s="2"/>
      <c r="K115" s="2"/>
      <c r="L115" s="2"/>
    </row>
    <row r="116" spans="1:12" x14ac:dyDescent="0.35">
      <c r="A116" s="8">
        <v>45839</v>
      </c>
      <c r="B116" s="9" t="s">
        <v>10</v>
      </c>
      <c r="C116" s="45" t="s">
        <v>58</v>
      </c>
      <c r="D116" s="45"/>
      <c r="E116" s="10" t="s">
        <v>40</v>
      </c>
      <c r="F116" s="11"/>
      <c r="G116" s="11">
        <v>12</v>
      </c>
      <c r="H116" s="12" t="s">
        <v>13</v>
      </c>
      <c r="I116" s="13" t="s">
        <v>80</v>
      </c>
      <c r="J116" s="11"/>
      <c r="K116" s="11">
        <v>1036</v>
      </c>
      <c r="L116" s="2"/>
    </row>
    <row r="117" spans="1:12" x14ac:dyDescent="0.35">
      <c r="A117" s="43"/>
      <c r="B117" s="43"/>
      <c r="C117" s="14" t="s">
        <v>15</v>
      </c>
      <c r="D117" s="15">
        <v>246779414150</v>
      </c>
      <c r="E117" s="16" t="s">
        <v>0</v>
      </c>
      <c r="F117" s="17">
        <v>1036</v>
      </c>
      <c r="G117" s="18" t="s">
        <v>16</v>
      </c>
      <c r="H117" s="1"/>
      <c r="I117" s="2"/>
      <c r="J117" s="2"/>
      <c r="K117" s="2"/>
      <c r="L117" s="2"/>
    </row>
    <row r="118" spans="1:12" x14ac:dyDescent="0.35">
      <c r="A118" s="8">
        <v>45839</v>
      </c>
      <c r="B118" s="9" t="s">
        <v>10</v>
      </c>
      <c r="C118" s="45" t="s">
        <v>58</v>
      </c>
      <c r="D118" s="45"/>
      <c r="E118" s="10" t="s">
        <v>40</v>
      </c>
      <c r="F118" s="11"/>
      <c r="G118" s="11">
        <v>14.7</v>
      </c>
      <c r="H118" s="12" t="s">
        <v>13</v>
      </c>
      <c r="I118" s="13" t="s">
        <v>81</v>
      </c>
      <c r="J118" s="11"/>
      <c r="K118" s="11">
        <v>1269</v>
      </c>
      <c r="L118" s="2"/>
    </row>
    <row r="119" spans="1:12" x14ac:dyDescent="0.35">
      <c r="A119" s="43"/>
      <c r="B119" s="43"/>
      <c r="C119" s="14" t="s">
        <v>15</v>
      </c>
      <c r="D119" s="15">
        <v>246779414151</v>
      </c>
      <c r="E119" s="16" t="s">
        <v>0</v>
      </c>
      <c r="F119" s="17">
        <v>1269</v>
      </c>
      <c r="G119" s="18" t="s">
        <v>16</v>
      </c>
      <c r="H119" s="1"/>
      <c r="I119" s="2"/>
      <c r="J119" s="2"/>
      <c r="K119" s="2"/>
      <c r="L119" s="2"/>
    </row>
    <row r="120" spans="1:12" x14ac:dyDescent="0.35">
      <c r="A120" s="8">
        <v>45839</v>
      </c>
      <c r="B120" s="9" t="s">
        <v>10</v>
      </c>
      <c r="C120" s="45" t="s">
        <v>68</v>
      </c>
      <c r="D120" s="45"/>
      <c r="E120" s="10" t="s">
        <v>40</v>
      </c>
      <c r="F120" s="11"/>
      <c r="G120" s="11">
        <v>8.91</v>
      </c>
      <c r="H120" s="12" t="s">
        <v>13</v>
      </c>
      <c r="I120" s="13" t="s">
        <v>82</v>
      </c>
      <c r="J120" s="11"/>
      <c r="K120" s="11">
        <v>769</v>
      </c>
      <c r="L120" s="2"/>
    </row>
    <row r="121" spans="1:12" x14ac:dyDescent="0.35">
      <c r="A121" s="43"/>
      <c r="B121" s="43"/>
      <c r="C121" s="14" t="s">
        <v>15</v>
      </c>
      <c r="D121" s="15">
        <v>246779414229</v>
      </c>
      <c r="E121" s="16" t="s">
        <v>0</v>
      </c>
      <c r="F121" s="17">
        <v>769</v>
      </c>
      <c r="G121" s="18" t="s">
        <v>16</v>
      </c>
      <c r="H121" s="1"/>
      <c r="I121" s="2"/>
      <c r="J121" s="2"/>
      <c r="K121" s="2"/>
      <c r="L121" s="2"/>
    </row>
    <row r="122" spans="1:12" x14ac:dyDescent="0.35">
      <c r="A122" s="8">
        <v>45839</v>
      </c>
      <c r="B122" s="9" t="s">
        <v>10</v>
      </c>
      <c r="C122" s="45" t="s">
        <v>58</v>
      </c>
      <c r="D122" s="45"/>
      <c r="E122" s="10" t="s">
        <v>40</v>
      </c>
      <c r="F122" s="11"/>
      <c r="G122" s="11">
        <v>0.97</v>
      </c>
      <c r="H122" s="12" t="s">
        <v>13</v>
      </c>
      <c r="I122" s="13" t="s">
        <v>83</v>
      </c>
      <c r="J122" s="11"/>
      <c r="K122" s="11">
        <v>84</v>
      </c>
      <c r="L122" s="2"/>
    </row>
    <row r="123" spans="1:12" x14ac:dyDescent="0.35">
      <c r="A123" s="43"/>
      <c r="B123" s="43"/>
      <c r="C123" s="14" t="s">
        <v>15</v>
      </c>
      <c r="D123" s="15">
        <v>246779414230</v>
      </c>
      <c r="E123" s="16" t="s">
        <v>0</v>
      </c>
      <c r="F123" s="17">
        <v>84</v>
      </c>
      <c r="G123" s="18" t="s">
        <v>16</v>
      </c>
      <c r="H123" s="1"/>
      <c r="I123" s="2"/>
      <c r="J123" s="2"/>
      <c r="K123" s="2"/>
      <c r="L123" s="2"/>
    </row>
    <row r="124" spans="1:12" x14ac:dyDescent="0.35">
      <c r="A124" s="8">
        <v>45839</v>
      </c>
      <c r="B124" s="9" t="s">
        <v>10</v>
      </c>
      <c r="C124" s="45" t="s">
        <v>58</v>
      </c>
      <c r="D124" s="45"/>
      <c r="E124" s="10" t="s">
        <v>40</v>
      </c>
      <c r="F124" s="11"/>
      <c r="G124" s="11">
        <v>12.98</v>
      </c>
      <c r="H124" s="12" t="s">
        <v>13</v>
      </c>
      <c r="I124" s="13" t="s">
        <v>84</v>
      </c>
      <c r="J124" s="11"/>
      <c r="K124" s="11">
        <v>1119</v>
      </c>
      <c r="L124" s="2"/>
    </row>
    <row r="125" spans="1:12" x14ac:dyDescent="0.35">
      <c r="A125" s="43"/>
      <c r="B125" s="43"/>
      <c r="C125" s="14" t="s">
        <v>15</v>
      </c>
      <c r="D125" s="15">
        <v>246779414319</v>
      </c>
      <c r="E125" s="16" t="s">
        <v>0</v>
      </c>
      <c r="F125" s="17">
        <v>1119</v>
      </c>
      <c r="G125" s="18" t="s">
        <v>16</v>
      </c>
      <c r="H125" s="1"/>
      <c r="I125" s="2"/>
      <c r="J125" s="2"/>
      <c r="K125" s="2"/>
      <c r="L125" s="2"/>
    </row>
    <row r="126" spans="1:12" x14ac:dyDescent="0.35">
      <c r="A126" s="8">
        <v>45839</v>
      </c>
      <c r="B126" s="9" t="s">
        <v>10</v>
      </c>
      <c r="C126" s="45" t="s">
        <v>58</v>
      </c>
      <c r="D126" s="45"/>
      <c r="E126" s="10" t="s">
        <v>40</v>
      </c>
      <c r="F126" s="11"/>
      <c r="G126" s="11">
        <v>37.729999999999997</v>
      </c>
      <c r="H126" s="12" t="s">
        <v>13</v>
      </c>
      <c r="I126" s="13" t="s">
        <v>85</v>
      </c>
      <c r="J126" s="11"/>
      <c r="K126" s="11">
        <v>3253</v>
      </c>
      <c r="L126" s="2"/>
    </row>
    <row r="127" spans="1:12" x14ac:dyDescent="0.35">
      <c r="A127" s="43"/>
      <c r="B127" s="43"/>
      <c r="C127" s="14" t="s">
        <v>15</v>
      </c>
      <c r="D127" s="15">
        <v>246779414320</v>
      </c>
      <c r="E127" s="16" t="s">
        <v>0</v>
      </c>
      <c r="F127" s="17">
        <v>3253</v>
      </c>
      <c r="G127" s="18" t="s">
        <v>16</v>
      </c>
      <c r="H127" s="1"/>
      <c r="I127" s="2"/>
      <c r="J127" s="2"/>
      <c r="K127" s="2"/>
      <c r="L127" s="2"/>
    </row>
    <row r="128" spans="1:12" x14ac:dyDescent="0.35">
      <c r="A128" s="8">
        <v>45839</v>
      </c>
      <c r="B128" s="9" t="s">
        <v>10</v>
      </c>
      <c r="C128" s="45" t="s">
        <v>58</v>
      </c>
      <c r="D128" s="45"/>
      <c r="E128" s="10" t="s">
        <v>40</v>
      </c>
      <c r="F128" s="11"/>
      <c r="G128" s="11">
        <v>29.4</v>
      </c>
      <c r="H128" s="12" t="s">
        <v>13</v>
      </c>
      <c r="I128" s="13" t="s">
        <v>86</v>
      </c>
      <c r="J128" s="11"/>
      <c r="K128" s="11">
        <v>2535</v>
      </c>
      <c r="L128" s="2"/>
    </row>
    <row r="129" spans="1:12" x14ac:dyDescent="0.35">
      <c r="A129" s="43"/>
      <c r="B129" s="43"/>
      <c r="C129" s="14" t="s">
        <v>15</v>
      </c>
      <c r="D129" s="15">
        <v>246779414321</v>
      </c>
      <c r="E129" s="16" t="s">
        <v>0</v>
      </c>
      <c r="F129" s="17">
        <v>2535</v>
      </c>
      <c r="G129" s="18" t="s">
        <v>16</v>
      </c>
      <c r="H129" s="1"/>
      <c r="I129" s="2"/>
      <c r="J129" s="2"/>
      <c r="K129" s="2"/>
      <c r="L129" s="2"/>
    </row>
    <row r="130" spans="1:12" x14ac:dyDescent="0.35">
      <c r="A130" s="8">
        <v>45839</v>
      </c>
      <c r="B130" s="9" t="s">
        <v>10</v>
      </c>
      <c r="C130" s="45" t="s">
        <v>58</v>
      </c>
      <c r="D130" s="45"/>
      <c r="E130" s="10" t="s">
        <v>40</v>
      </c>
      <c r="F130" s="11"/>
      <c r="G130" s="11">
        <v>10.29</v>
      </c>
      <c r="H130" s="12" t="s">
        <v>13</v>
      </c>
      <c r="I130" s="13" t="s">
        <v>87</v>
      </c>
      <c r="J130" s="11"/>
      <c r="K130" s="11">
        <v>888</v>
      </c>
      <c r="L130" s="2"/>
    </row>
    <row r="131" spans="1:12" x14ac:dyDescent="0.35">
      <c r="A131" s="43"/>
      <c r="B131" s="43"/>
      <c r="C131" s="14" t="s">
        <v>15</v>
      </c>
      <c r="D131" s="15">
        <v>246779414402</v>
      </c>
      <c r="E131" s="16" t="s">
        <v>0</v>
      </c>
      <c r="F131" s="17">
        <v>888</v>
      </c>
      <c r="G131" s="18" t="s">
        <v>16</v>
      </c>
      <c r="H131" s="1"/>
      <c r="I131" s="2"/>
      <c r="J131" s="2"/>
      <c r="K131" s="2"/>
      <c r="L131" s="2"/>
    </row>
    <row r="132" spans="1:12" x14ac:dyDescent="0.35">
      <c r="A132" s="8">
        <v>45839</v>
      </c>
      <c r="B132" s="9" t="s">
        <v>10</v>
      </c>
      <c r="C132" s="45" t="s">
        <v>58</v>
      </c>
      <c r="D132" s="45"/>
      <c r="E132" s="10" t="s">
        <v>40</v>
      </c>
      <c r="F132" s="11"/>
      <c r="G132" s="11">
        <v>14.7</v>
      </c>
      <c r="H132" s="12" t="s">
        <v>13</v>
      </c>
      <c r="I132" s="13" t="s">
        <v>88</v>
      </c>
      <c r="J132" s="11"/>
      <c r="K132" s="11">
        <v>1269</v>
      </c>
      <c r="L132" s="2"/>
    </row>
    <row r="133" spans="1:12" x14ac:dyDescent="0.35">
      <c r="A133" s="43"/>
      <c r="B133" s="43"/>
      <c r="C133" s="14" t="s">
        <v>15</v>
      </c>
      <c r="D133" s="15">
        <v>246779414403</v>
      </c>
      <c r="E133" s="16" t="s">
        <v>0</v>
      </c>
      <c r="F133" s="17">
        <v>1269</v>
      </c>
      <c r="G133" s="18" t="s">
        <v>16</v>
      </c>
      <c r="H133" s="1"/>
      <c r="I133" s="2"/>
      <c r="J133" s="2"/>
      <c r="K133" s="2"/>
      <c r="L133" s="2"/>
    </row>
    <row r="134" spans="1:12" x14ac:dyDescent="0.35">
      <c r="A134" s="8">
        <v>45839</v>
      </c>
      <c r="B134" s="9" t="s">
        <v>10</v>
      </c>
      <c r="C134" s="45" t="s">
        <v>58</v>
      </c>
      <c r="D134" s="45"/>
      <c r="E134" s="10" t="s">
        <v>40</v>
      </c>
      <c r="F134" s="11"/>
      <c r="G134" s="11">
        <v>17.809999999999999</v>
      </c>
      <c r="H134" s="12" t="s">
        <v>13</v>
      </c>
      <c r="I134" s="13" t="s">
        <v>89</v>
      </c>
      <c r="J134" s="11"/>
      <c r="K134" s="11">
        <v>1537</v>
      </c>
      <c r="L134" s="2"/>
    </row>
    <row r="135" spans="1:12" x14ac:dyDescent="0.35">
      <c r="A135" s="43"/>
      <c r="B135" s="43"/>
      <c r="C135" s="14" t="s">
        <v>15</v>
      </c>
      <c r="D135" s="15">
        <v>246779414472</v>
      </c>
      <c r="E135" s="16" t="s">
        <v>0</v>
      </c>
      <c r="F135" s="17">
        <v>1537</v>
      </c>
      <c r="G135" s="18" t="s">
        <v>16</v>
      </c>
      <c r="H135" s="1"/>
      <c r="I135" s="2"/>
      <c r="J135" s="2"/>
      <c r="K135" s="2"/>
      <c r="L135" s="2"/>
    </row>
    <row r="136" spans="1:12" x14ac:dyDescent="0.35">
      <c r="A136" s="8">
        <v>45839</v>
      </c>
      <c r="B136" s="9" t="s">
        <v>10</v>
      </c>
      <c r="C136" s="45" t="s">
        <v>58</v>
      </c>
      <c r="D136" s="45"/>
      <c r="E136" s="10" t="s">
        <v>40</v>
      </c>
      <c r="F136" s="11"/>
      <c r="G136" s="11">
        <v>6.26</v>
      </c>
      <c r="H136" s="12" t="s">
        <v>13</v>
      </c>
      <c r="I136" s="13" t="s">
        <v>90</v>
      </c>
      <c r="J136" s="11"/>
      <c r="K136" s="11">
        <v>540</v>
      </c>
      <c r="L136" s="2"/>
    </row>
    <row r="137" spans="1:12" x14ac:dyDescent="0.35">
      <c r="A137" s="43"/>
      <c r="B137" s="43"/>
      <c r="C137" s="14" t="s">
        <v>15</v>
      </c>
      <c r="D137" s="15">
        <v>246779414473</v>
      </c>
      <c r="E137" s="16" t="s">
        <v>0</v>
      </c>
      <c r="F137" s="17">
        <v>540</v>
      </c>
      <c r="G137" s="18" t="s">
        <v>16</v>
      </c>
      <c r="H137" s="1"/>
      <c r="I137" s="2"/>
      <c r="J137" s="2"/>
      <c r="K137" s="2"/>
      <c r="L137" s="2"/>
    </row>
    <row r="138" spans="1:12" x14ac:dyDescent="0.35">
      <c r="A138" s="8">
        <v>45839</v>
      </c>
      <c r="B138" s="9" t="s">
        <v>10</v>
      </c>
      <c r="C138" s="45" t="s">
        <v>58</v>
      </c>
      <c r="D138" s="45"/>
      <c r="E138" s="10" t="s">
        <v>40</v>
      </c>
      <c r="F138" s="11"/>
      <c r="G138" s="11">
        <v>58.79</v>
      </c>
      <c r="H138" s="12" t="s">
        <v>13</v>
      </c>
      <c r="I138" s="13" t="s">
        <v>91</v>
      </c>
      <c r="J138" s="11"/>
      <c r="K138" s="11">
        <v>5074</v>
      </c>
      <c r="L138" s="2"/>
    </row>
    <row r="139" spans="1:12" x14ac:dyDescent="0.35">
      <c r="A139" s="43"/>
      <c r="B139" s="43"/>
      <c r="C139" s="14" t="s">
        <v>15</v>
      </c>
      <c r="D139" s="15">
        <v>246779414474</v>
      </c>
      <c r="E139" s="16" t="s">
        <v>0</v>
      </c>
      <c r="F139" s="17">
        <v>5074</v>
      </c>
      <c r="G139" s="18" t="s">
        <v>16</v>
      </c>
      <c r="H139" s="1"/>
      <c r="I139" s="2"/>
      <c r="J139" s="2"/>
      <c r="K139" s="2"/>
      <c r="L139" s="2"/>
    </row>
    <row r="140" spans="1:12" x14ac:dyDescent="0.35">
      <c r="A140" s="8">
        <v>45839</v>
      </c>
      <c r="B140" s="9" t="s">
        <v>10</v>
      </c>
      <c r="C140" s="45" t="s">
        <v>68</v>
      </c>
      <c r="D140" s="45"/>
      <c r="E140" s="10" t="s">
        <v>40</v>
      </c>
      <c r="F140" s="11"/>
      <c r="G140" s="11">
        <v>6.86</v>
      </c>
      <c r="H140" s="12" t="s">
        <v>13</v>
      </c>
      <c r="I140" s="13" t="s">
        <v>92</v>
      </c>
      <c r="J140" s="11"/>
      <c r="K140" s="11">
        <v>592</v>
      </c>
      <c r="L140" s="2"/>
    </row>
    <row r="141" spans="1:12" x14ac:dyDescent="0.35">
      <c r="A141" s="43"/>
      <c r="B141" s="43"/>
      <c r="C141" s="14" t="s">
        <v>15</v>
      </c>
      <c r="D141" s="15">
        <v>246779414610</v>
      </c>
      <c r="E141" s="16" t="s">
        <v>0</v>
      </c>
      <c r="F141" s="17">
        <v>592</v>
      </c>
      <c r="G141" s="18" t="s">
        <v>16</v>
      </c>
      <c r="H141" s="1"/>
      <c r="I141" s="2"/>
      <c r="J141" s="2"/>
      <c r="K141" s="2"/>
      <c r="L141" s="2"/>
    </row>
    <row r="142" spans="1:12" x14ac:dyDescent="0.35">
      <c r="A142" s="8">
        <v>45839</v>
      </c>
      <c r="B142" s="9" t="s">
        <v>10</v>
      </c>
      <c r="C142" s="45" t="s">
        <v>58</v>
      </c>
      <c r="D142" s="45"/>
      <c r="E142" s="10" t="s">
        <v>40</v>
      </c>
      <c r="F142" s="11"/>
      <c r="G142" s="11">
        <v>9.6999999999999993</v>
      </c>
      <c r="H142" s="12" t="s">
        <v>13</v>
      </c>
      <c r="I142" s="13" t="s">
        <v>93</v>
      </c>
      <c r="J142" s="11"/>
      <c r="K142" s="11">
        <v>837</v>
      </c>
      <c r="L142" s="2"/>
    </row>
    <row r="143" spans="1:12" x14ac:dyDescent="0.35">
      <c r="A143" s="43"/>
      <c r="B143" s="43"/>
      <c r="C143" s="14" t="s">
        <v>15</v>
      </c>
      <c r="D143" s="15">
        <v>246779414688</v>
      </c>
      <c r="E143" s="16" t="s">
        <v>0</v>
      </c>
      <c r="F143" s="17">
        <v>837</v>
      </c>
      <c r="G143" s="18" t="s">
        <v>16</v>
      </c>
      <c r="H143" s="1"/>
      <c r="I143" s="2"/>
      <c r="J143" s="2"/>
      <c r="K143" s="2"/>
      <c r="L143" s="2"/>
    </row>
    <row r="144" spans="1:12" x14ac:dyDescent="0.35">
      <c r="A144" s="8">
        <v>45839</v>
      </c>
      <c r="B144" s="9" t="s">
        <v>10</v>
      </c>
      <c r="C144" s="45" t="s">
        <v>68</v>
      </c>
      <c r="D144" s="45"/>
      <c r="E144" s="10" t="s">
        <v>40</v>
      </c>
      <c r="F144" s="11"/>
      <c r="G144" s="11">
        <v>49.73</v>
      </c>
      <c r="H144" s="12" t="s">
        <v>13</v>
      </c>
      <c r="I144" s="13" t="s">
        <v>94</v>
      </c>
      <c r="J144" s="11"/>
      <c r="K144" s="11">
        <v>4292</v>
      </c>
      <c r="L144" s="2"/>
    </row>
    <row r="145" spans="1:12" x14ac:dyDescent="0.35">
      <c r="A145" s="43"/>
      <c r="B145" s="43"/>
      <c r="C145" s="14" t="s">
        <v>15</v>
      </c>
      <c r="D145" s="15">
        <v>246779414689</v>
      </c>
      <c r="E145" s="16" t="s">
        <v>0</v>
      </c>
      <c r="F145" s="17">
        <v>4292</v>
      </c>
      <c r="G145" s="18" t="s">
        <v>16</v>
      </c>
      <c r="H145" s="1"/>
      <c r="I145" s="2"/>
      <c r="J145" s="2"/>
      <c r="K145" s="2"/>
      <c r="L145" s="2"/>
    </row>
    <row r="146" spans="1:12" x14ac:dyDescent="0.35">
      <c r="A146" s="8">
        <v>45839</v>
      </c>
      <c r="B146" s="9" t="s">
        <v>10</v>
      </c>
      <c r="C146" s="45" t="s">
        <v>68</v>
      </c>
      <c r="D146" s="45"/>
      <c r="E146" s="10" t="s">
        <v>40</v>
      </c>
      <c r="F146" s="11"/>
      <c r="G146" s="11">
        <v>58.79</v>
      </c>
      <c r="H146" s="12" t="s">
        <v>13</v>
      </c>
      <c r="I146" s="13" t="s">
        <v>95</v>
      </c>
      <c r="J146" s="11"/>
      <c r="K146" s="11">
        <v>5074</v>
      </c>
      <c r="L146" s="2"/>
    </row>
    <row r="147" spans="1:12" x14ac:dyDescent="0.35">
      <c r="A147" s="43"/>
      <c r="B147" s="43"/>
      <c r="C147" s="14" t="s">
        <v>15</v>
      </c>
      <c r="D147" s="15">
        <v>246779414690</v>
      </c>
      <c r="E147" s="16" t="s">
        <v>0</v>
      </c>
      <c r="F147" s="17">
        <v>5074</v>
      </c>
      <c r="G147" s="18" t="s">
        <v>16</v>
      </c>
      <c r="H147" s="1"/>
      <c r="I147" s="2"/>
      <c r="J147" s="2"/>
      <c r="K147" s="2"/>
      <c r="L147" s="2"/>
    </row>
    <row r="148" spans="1:12" x14ac:dyDescent="0.35">
      <c r="A148" s="8">
        <v>45839</v>
      </c>
      <c r="B148" s="9" t="s">
        <v>10</v>
      </c>
      <c r="C148" s="45" t="s">
        <v>68</v>
      </c>
      <c r="D148" s="45"/>
      <c r="E148" s="10" t="s">
        <v>40</v>
      </c>
      <c r="F148" s="11"/>
      <c r="G148" s="11">
        <v>108.95</v>
      </c>
      <c r="H148" s="12" t="s">
        <v>13</v>
      </c>
      <c r="I148" s="13" t="s">
        <v>96</v>
      </c>
      <c r="J148" s="11"/>
      <c r="K148" s="11">
        <v>9403</v>
      </c>
      <c r="L148" s="2"/>
    </row>
    <row r="149" spans="1:12" x14ac:dyDescent="0.35">
      <c r="A149" s="43"/>
      <c r="B149" s="43"/>
      <c r="C149" s="14" t="s">
        <v>15</v>
      </c>
      <c r="D149" s="15">
        <v>246779414740</v>
      </c>
      <c r="E149" s="16" t="s">
        <v>0</v>
      </c>
      <c r="F149" s="17">
        <v>9403</v>
      </c>
      <c r="G149" s="18" t="s">
        <v>16</v>
      </c>
      <c r="H149" s="1"/>
      <c r="I149" s="2"/>
      <c r="J149" s="2"/>
      <c r="K149" s="2"/>
      <c r="L149" s="2"/>
    </row>
    <row r="150" spans="1:12" x14ac:dyDescent="0.35">
      <c r="A150" s="8">
        <v>45839</v>
      </c>
      <c r="B150" s="9" t="s">
        <v>10</v>
      </c>
      <c r="C150" s="45" t="s">
        <v>58</v>
      </c>
      <c r="D150" s="45"/>
      <c r="E150" s="10" t="s">
        <v>40</v>
      </c>
      <c r="F150" s="11"/>
      <c r="G150" s="11">
        <v>1.94</v>
      </c>
      <c r="H150" s="12" t="s">
        <v>13</v>
      </c>
      <c r="I150" s="13" t="s">
        <v>97</v>
      </c>
      <c r="J150" s="11"/>
      <c r="K150" s="11">
        <v>167</v>
      </c>
      <c r="L150" s="2"/>
    </row>
    <row r="151" spans="1:12" x14ac:dyDescent="0.35">
      <c r="A151" s="43"/>
      <c r="B151" s="43"/>
      <c r="C151" s="14" t="s">
        <v>15</v>
      </c>
      <c r="D151" s="15">
        <v>246779414741</v>
      </c>
      <c r="E151" s="16" t="s">
        <v>0</v>
      </c>
      <c r="F151" s="17">
        <v>167</v>
      </c>
      <c r="G151" s="18" t="s">
        <v>16</v>
      </c>
      <c r="H151" s="1"/>
      <c r="I151" s="2"/>
      <c r="J151" s="2"/>
      <c r="K151" s="2"/>
      <c r="L151" s="2"/>
    </row>
    <row r="152" spans="1:12" x14ac:dyDescent="0.35">
      <c r="A152" s="8">
        <v>45839</v>
      </c>
      <c r="B152" s="9" t="s">
        <v>10</v>
      </c>
      <c r="C152" s="45" t="s">
        <v>68</v>
      </c>
      <c r="D152" s="45"/>
      <c r="E152" s="10" t="s">
        <v>40</v>
      </c>
      <c r="F152" s="11"/>
      <c r="G152" s="11">
        <v>58.79</v>
      </c>
      <c r="H152" s="12" t="s">
        <v>13</v>
      </c>
      <c r="I152" s="13" t="s">
        <v>98</v>
      </c>
      <c r="J152" s="11"/>
      <c r="K152" s="11">
        <v>5074</v>
      </c>
      <c r="L152" s="2"/>
    </row>
    <row r="153" spans="1:12" x14ac:dyDescent="0.35">
      <c r="A153" s="43"/>
      <c r="B153" s="43"/>
      <c r="C153" s="14" t="s">
        <v>15</v>
      </c>
      <c r="D153" s="15">
        <v>246779414895</v>
      </c>
      <c r="E153" s="16" t="s">
        <v>0</v>
      </c>
      <c r="F153" s="17">
        <v>5074</v>
      </c>
      <c r="G153" s="18" t="s">
        <v>16</v>
      </c>
      <c r="H153" s="1"/>
      <c r="I153" s="2"/>
      <c r="J153" s="2"/>
      <c r="K153" s="2"/>
      <c r="L153" s="2"/>
    </row>
    <row r="154" spans="1:12" x14ac:dyDescent="0.35">
      <c r="A154" s="8">
        <v>45839</v>
      </c>
      <c r="B154" s="9" t="s">
        <v>10</v>
      </c>
      <c r="C154" s="45" t="s">
        <v>68</v>
      </c>
      <c r="D154" s="45"/>
      <c r="E154" s="10" t="s">
        <v>40</v>
      </c>
      <c r="F154" s="11"/>
      <c r="G154" s="11">
        <v>42.14</v>
      </c>
      <c r="H154" s="12" t="s">
        <v>13</v>
      </c>
      <c r="I154" s="13" t="s">
        <v>99</v>
      </c>
      <c r="J154" s="11"/>
      <c r="K154" s="11">
        <v>3637</v>
      </c>
      <c r="L154" s="2"/>
    </row>
    <row r="155" spans="1:12" x14ac:dyDescent="0.35">
      <c r="A155" s="43"/>
      <c r="B155" s="43"/>
      <c r="C155" s="14" t="s">
        <v>15</v>
      </c>
      <c r="D155" s="15">
        <v>246779414896</v>
      </c>
      <c r="E155" s="16" t="s">
        <v>0</v>
      </c>
      <c r="F155" s="17">
        <v>3637</v>
      </c>
      <c r="G155" s="18" t="s">
        <v>16</v>
      </c>
      <c r="H155" s="1"/>
      <c r="I155" s="2"/>
      <c r="J155" s="2"/>
      <c r="K155" s="2"/>
      <c r="L155" s="2"/>
    </row>
    <row r="156" spans="1:12" x14ac:dyDescent="0.35">
      <c r="A156" s="8">
        <v>45839</v>
      </c>
      <c r="B156" s="9" t="s">
        <v>10</v>
      </c>
      <c r="C156" s="45" t="s">
        <v>68</v>
      </c>
      <c r="D156" s="45"/>
      <c r="E156" s="10" t="s">
        <v>40</v>
      </c>
      <c r="F156" s="11"/>
      <c r="G156" s="11">
        <v>46.35</v>
      </c>
      <c r="H156" s="12" t="s">
        <v>13</v>
      </c>
      <c r="I156" s="13" t="s">
        <v>100</v>
      </c>
      <c r="J156" s="11"/>
      <c r="K156" s="11">
        <v>4000</v>
      </c>
      <c r="L156" s="2"/>
    </row>
    <row r="157" spans="1:12" x14ac:dyDescent="0.35">
      <c r="A157" s="43"/>
      <c r="B157" s="43"/>
      <c r="C157" s="14" t="s">
        <v>15</v>
      </c>
      <c r="D157" s="15">
        <v>246779414897</v>
      </c>
      <c r="E157" s="16" t="s">
        <v>0</v>
      </c>
      <c r="F157" s="17">
        <v>4000</v>
      </c>
      <c r="G157" s="18" t="s">
        <v>16</v>
      </c>
      <c r="H157" s="1"/>
      <c r="I157" s="2"/>
      <c r="J157" s="2"/>
      <c r="K157" s="2"/>
      <c r="L157" s="2"/>
    </row>
    <row r="158" spans="1:12" x14ac:dyDescent="0.35">
      <c r="A158" s="8">
        <v>45839</v>
      </c>
      <c r="B158" s="9" t="s">
        <v>10</v>
      </c>
      <c r="C158" s="45" t="s">
        <v>68</v>
      </c>
      <c r="D158" s="45"/>
      <c r="E158" s="10" t="s">
        <v>40</v>
      </c>
      <c r="F158" s="11"/>
      <c r="G158" s="11">
        <v>92.71</v>
      </c>
      <c r="H158" s="12" t="s">
        <v>13</v>
      </c>
      <c r="I158" s="13" t="s">
        <v>101</v>
      </c>
      <c r="J158" s="11"/>
      <c r="K158" s="11">
        <v>8001</v>
      </c>
      <c r="L158" s="2"/>
    </row>
    <row r="159" spans="1:12" x14ac:dyDescent="0.35">
      <c r="A159" s="43"/>
      <c r="B159" s="43"/>
      <c r="C159" s="14" t="s">
        <v>15</v>
      </c>
      <c r="D159" s="15">
        <v>246779414898</v>
      </c>
      <c r="E159" s="16" t="s">
        <v>0</v>
      </c>
      <c r="F159" s="17">
        <v>8001</v>
      </c>
      <c r="G159" s="18" t="s">
        <v>16</v>
      </c>
      <c r="H159" s="1"/>
      <c r="I159" s="2"/>
      <c r="J159" s="2"/>
      <c r="K159" s="2"/>
      <c r="L159" s="2"/>
    </row>
    <row r="160" spans="1:12" x14ac:dyDescent="0.35">
      <c r="A160" s="8">
        <v>45839</v>
      </c>
      <c r="B160" s="9" t="s">
        <v>10</v>
      </c>
      <c r="C160" s="45" t="s">
        <v>68</v>
      </c>
      <c r="D160" s="45"/>
      <c r="E160" s="10" t="s">
        <v>40</v>
      </c>
      <c r="F160" s="11"/>
      <c r="G160" s="11">
        <v>50.57</v>
      </c>
      <c r="H160" s="12" t="s">
        <v>13</v>
      </c>
      <c r="I160" s="13" t="s">
        <v>102</v>
      </c>
      <c r="J160" s="11"/>
      <c r="K160" s="11">
        <v>4384</v>
      </c>
      <c r="L160" s="2"/>
    </row>
    <row r="161" spans="1:12" x14ac:dyDescent="0.35">
      <c r="A161" s="43"/>
      <c r="B161" s="43"/>
      <c r="C161" s="14" t="s">
        <v>15</v>
      </c>
      <c r="D161" s="15">
        <v>246779414899</v>
      </c>
      <c r="E161" s="16" t="s">
        <v>0</v>
      </c>
      <c r="F161" s="17">
        <v>4384</v>
      </c>
      <c r="G161" s="18" t="s">
        <v>16</v>
      </c>
      <c r="H161" s="1"/>
      <c r="I161" s="2"/>
      <c r="J161" s="2"/>
      <c r="K161" s="2"/>
      <c r="L161" s="2"/>
    </row>
    <row r="162" spans="1:12" x14ac:dyDescent="0.35">
      <c r="A162" s="8">
        <v>45839</v>
      </c>
      <c r="B162" s="9" t="s">
        <v>10</v>
      </c>
      <c r="C162" s="45" t="s">
        <v>68</v>
      </c>
      <c r="D162" s="45"/>
      <c r="E162" s="10" t="s">
        <v>40</v>
      </c>
      <c r="F162" s="11"/>
      <c r="G162" s="11">
        <v>50.57</v>
      </c>
      <c r="H162" s="12" t="s">
        <v>13</v>
      </c>
      <c r="I162" s="13" t="s">
        <v>103</v>
      </c>
      <c r="J162" s="11"/>
      <c r="K162" s="11">
        <v>4364</v>
      </c>
      <c r="L162" s="2"/>
    </row>
    <row r="163" spans="1:12" x14ac:dyDescent="0.35">
      <c r="A163" s="43"/>
      <c r="B163" s="43"/>
      <c r="C163" s="14" t="s">
        <v>15</v>
      </c>
      <c r="D163" s="15">
        <v>246779414900</v>
      </c>
      <c r="E163" s="16" t="s">
        <v>0</v>
      </c>
      <c r="F163" s="17">
        <v>4364</v>
      </c>
      <c r="G163" s="18" t="s">
        <v>16</v>
      </c>
      <c r="H163" s="1"/>
      <c r="I163" s="2"/>
      <c r="J163" s="2"/>
      <c r="K163" s="2"/>
      <c r="L163" s="2"/>
    </row>
    <row r="164" spans="1:12" x14ac:dyDescent="0.35">
      <c r="A164" s="8">
        <v>45839</v>
      </c>
      <c r="B164" s="9" t="s">
        <v>10</v>
      </c>
      <c r="C164" s="45" t="s">
        <v>68</v>
      </c>
      <c r="D164" s="45"/>
      <c r="E164" s="10" t="s">
        <v>40</v>
      </c>
      <c r="F164" s="11"/>
      <c r="G164" s="11">
        <v>6</v>
      </c>
      <c r="H164" s="12" t="s">
        <v>13</v>
      </c>
      <c r="I164" s="13" t="s">
        <v>104</v>
      </c>
      <c r="J164" s="11"/>
      <c r="K164" s="11">
        <v>518</v>
      </c>
      <c r="L164" s="2"/>
    </row>
    <row r="165" spans="1:12" x14ac:dyDescent="0.35">
      <c r="A165" s="43"/>
      <c r="B165" s="43"/>
      <c r="C165" s="14" t="s">
        <v>15</v>
      </c>
      <c r="D165" s="15">
        <v>246779414901</v>
      </c>
      <c r="E165" s="16" t="s">
        <v>0</v>
      </c>
      <c r="F165" s="17">
        <v>518</v>
      </c>
      <c r="G165" s="18" t="s">
        <v>16</v>
      </c>
      <c r="H165" s="1"/>
      <c r="I165" s="2"/>
      <c r="J165" s="2"/>
      <c r="K165" s="2"/>
      <c r="L165" s="2"/>
    </row>
    <row r="166" spans="1:12" x14ac:dyDescent="0.35">
      <c r="A166" s="8">
        <v>45839</v>
      </c>
      <c r="B166" s="9" t="s">
        <v>10</v>
      </c>
      <c r="C166" s="45" t="s">
        <v>68</v>
      </c>
      <c r="D166" s="45"/>
      <c r="E166" s="10" t="s">
        <v>40</v>
      </c>
      <c r="F166" s="11"/>
      <c r="G166" s="11">
        <v>3.45</v>
      </c>
      <c r="H166" s="12" t="s">
        <v>13</v>
      </c>
      <c r="I166" s="13" t="s">
        <v>105</v>
      </c>
      <c r="J166" s="11"/>
      <c r="K166" s="11">
        <v>298</v>
      </c>
      <c r="L166" s="2"/>
    </row>
    <row r="167" spans="1:12" x14ac:dyDescent="0.35">
      <c r="A167" s="43"/>
      <c r="B167" s="43"/>
      <c r="C167" s="14" t="s">
        <v>15</v>
      </c>
      <c r="D167" s="15">
        <v>246779414902</v>
      </c>
      <c r="E167" s="16" t="s">
        <v>0</v>
      </c>
      <c r="F167" s="17">
        <v>298</v>
      </c>
      <c r="G167" s="18" t="s">
        <v>16</v>
      </c>
      <c r="H167" s="1"/>
      <c r="I167" s="2"/>
      <c r="J167" s="2"/>
      <c r="K167" s="2"/>
      <c r="L167" s="2"/>
    </row>
    <row r="168" spans="1:12" x14ac:dyDescent="0.35">
      <c r="A168" s="8">
        <v>45840</v>
      </c>
      <c r="B168" s="9" t="s">
        <v>10</v>
      </c>
      <c r="C168" s="45" t="s">
        <v>74</v>
      </c>
      <c r="D168" s="45"/>
      <c r="E168" s="10" t="s">
        <v>27</v>
      </c>
      <c r="F168" s="11"/>
      <c r="G168" s="11">
        <v>1255.18</v>
      </c>
      <c r="H168" s="12" t="s">
        <v>13</v>
      </c>
      <c r="I168" s="13" t="s">
        <v>106</v>
      </c>
      <c r="J168" s="11"/>
      <c r="K168" s="11">
        <v>106977</v>
      </c>
      <c r="L168" s="2"/>
    </row>
    <row r="169" spans="1:12" x14ac:dyDescent="0.35">
      <c r="A169" s="43"/>
      <c r="B169" s="43"/>
      <c r="C169" s="14" t="s">
        <v>15</v>
      </c>
      <c r="D169" s="15">
        <v>256779410788</v>
      </c>
      <c r="E169" s="16" t="s">
        <v>0</v>
      </c>
      <c r="F169" s="17">
        <v>106977</v>
      </c>
      <c r="G169" s="18" t="s">
        <v>16</v>
      </c>
      <c r="H169" s="1"/>
      <c r="I169" s="2"/>
      <c r="J169" s="2"/>
      <c r="K169" s="2"/>
      <c r="L169" s="2"/>
    </row>
    <row r="170" spans="1:12" x14ac:dyDescent="0.35">
      <c r="A170" s="8">
        <v>45840</v>
      </c>
      <c r="B170" s="9" t="s">
        <v>10</v>
      </c>
      <c r="C170" s="45" t="s">
        <v>74</v>
      </c>
      <c r="D170" s="45"/>
      <c r="E170" s="10" t="s">
        <v>25</v>
      </c>
      <c r="F170" s="11"/>
      <c r="G170" s="11">
        <v>2333.4699999999998</v>
      </c>
      <c r="H170" s="12" t="s">
        <v>13</v>
      </c>
      <c r="I170" s="13" t="s">
        <v>107</v>
      </c>
      <c r="J170" s="11"/>
      <c r="K170" s="11">
        <v>198877</v>
      </c>
      <c r="L170" s="2"/>
    </row>
    <row r="171" spans="1:12" x14ac:dyDescent="0.35">
      <c r="A171" s="43"/>
      <c r="B171" s="43"/>
      <c r="C171" s="14" t="s">
        <v>15</v>
      </c>
      <c r="D171" s="15">
        <v>256779410804</v>
      </c>
      <c r="E171" s="16" t="s">
        <v>0</v>
      </c>
      <c r="F171" s="17">
        <v>198877</v>
      </c>
      <c r="G171" s="18" t="s">
        <v>16</v>
      </c>
      <c r="H171" s="1"/>
      <c r="I171" s="2"/>
      <c r="J171" s="2"/>
      <c r="K171" s="2"/>
      <c r="L171" s="2"/>
    </row>
    <row r="172" spans="1:12" x14ac:dyDescent="0.35">
      <c r="A172" s="8">
        <v>45840</v>
      </c>
      <c r="B172" s="9" t="s">
        <v>10</v>
      </c>
      <c r="C172" s="45" t="s">
        <v>74</v>
      </c>
      <c r="D172" s="45"/>
      <c r="E172" s="10" t="s">
        <v>40</v>
      </c>
      <c r="F172" s="11"/>
      <c r="G172" s="11">
        <v>974.38</v>
      </c>
      <c r="H172" s="12" t="s">
        <v>13</v>
      </c>
      <c r="I172" s="13" t="s">
        <v>108</v>
      </c>
      <c r="J172" s="11"/>
      <c r="K172" s="11">
        <v>83452</v>
      </c>
      <c r="L172" s="2"/>
    </row>
    <row r="173" spans="1:12" x14ac:dyDescent="0.35">
      <c r="A173" s="43"/>
      <c r="B173" s="43"/>
      <c r="C173" s="14" t="s">
        <v>15</v>
      </c>
      <c r="D173" s="15">
        <v>256779412111</v>
      </c>
      <c r="E173" s="16" t="s">
        <v>0</v>
      </c>
      <c r="F173" s="17">
        <v>83452</v>
      </c>
      <c r="G173" s="18" t="s">
        <v>16</v>
      </c>
      <c r="H173" s="1"/>
      <c r="I173" s="2"/>
      <c r="J173" s="2"/>
      <c r="K173" s="2"/>
      <c r="L173" s="2"/>
    </row>
    <row r="174" spans="1:12" x14ac:dyDescent="0.35">
      <c r="A174" s="8">
        <v>45840</v>
      </c>
      <c r="B174" s="9" t="s">
        <v>10</v>
      </c>
      <c r="C174" s="45" t="s">
        <v>11</v>
      </c>
      <c r="D174" s="45"/>
      <c r="E174" s="10" t="s">
        <v>73</v>
      </c>
      <c r="F174" s="11"/>
      <c r="G174" s="11">
        <v>169.91</v>
      </c>
      <c r="H174" s="12" t="s">
        <v>13</v>
      </c>
      <c r="I174" s="13" t="s">
        <v>109</v>
      </c>
      <c r="J174" s="11"/>
      <c r="K174" s="11">
        <v>14552</v>
      </c>
      <c r="L174" s="2"/>
    </row>
    <row r="175" spans="1:12" x14ac:dyDescent="0.35">
      <c r="A175" s="43"/>
      <c r="B175" s="43"/>
      <c r="C175" s="14" t="s">
        <v>15</v>
      </c>
      <c r="D175" s="15">
        <v>256779412160</v>
      </c>
      <c r="E175" s="16" t="s">
        <v>0</v>
      </c>
      <c r="F175" s="17">
        <v>14552</v>
      </c>
      <c r="G175" s="18" t="s">
        <v>16</v>
      </c>
      <c r="H175" s="1"/>
      <c r="I175" s="2"/>
      <c r="J175" s="2"/>
      <c r="K175" s="2"/>
      <c r="L175" s="2"/>
    </row>
    <row r="176" spans="1:12" x14ac:dyDescent="0.35">
      <c r="A176" s="8">
        <v>45840</v>
      </c>
      <c r="B176" s="9" t="s">
        <v>10</v>
      </c>
      <c r="C176" s="45" t="s">
        <v>50</v>
      </c>
      <c r="D176" s="45"/>
      <c r="E176" s="10" t="s">
        <v>73</v>
      </c>
      <c r="F176" s="11"/>
      <c r="G176" s="11">
        <v>1638.13</v>
      </c>
      <c r="H176" s="12" t="s">
        <v>13</v>
      </c>
      <c r="I176" s="13" t="s">
        <v>110</v>
      </c>
      <c r="J176" s="11"/>
      <c r="K176" s="11">
        <v>140371</v>
      </c>
      <c r="L176" s="2"/>
    </row>
    <row r="177" spans="1:12" x14ac:dyDescent="0.35">
      <c r="A177" s="43"/>
      <c r="B177" s="43"/>
      <c r="C177" s="14" t="s">
        <v>15</v>
      </c>
      <c r="D177" s="15">
        <v>256779412779</v>
      </c>
      <c r="E177" s="16" t="s">
        <v>0</v>
      </c>
      <c r="F177" s="17">
        <v>140371</v>
      </c>
      <c r="G177" s="18" t="s">
        <v>16</v>
      </c>
      <c r="H177" s="1"/>
      <c r="I177" s="2"/>
      <c r="J177" s="2"/>
      <c r="K177" s="2"/>
      <c r="L177" s="2"/>
    </row>
    <row r="178" spans="1:12" x14ac:dyDescent="0.35">
      <c r="A178" s="8">
        <v>45842</v>
      </c>
      <c r="B178" s="9" t="s">
        <v>16</v>
      </c>
      <c r="C178" s="45" t="s">
        <v>44</v>
      </c>
      <c r="D178" s="45"/>
      <c r="E178" s="10" t="s">
        <v>45</v>
      </c>
      <c r="F178" s="11"/>
      <c r="G178" s="11"/>
      <c r="H178" s="12" t="s">
        <v>46</v>
      </c>
      <c r="I178" s="13" t="s">
        <v>111</v>
      </c>
      <c r="J178" s="11">
        <v>150000</v>
      </c>
      <c r="K178" s="11"/>
      <c r="L178" s="2"/>
    </row>
    <row r="179" spans="1:12" x14ac:dyDescent="0.35">
      <c r="A179" s="43"/>
      <c r="B179" s="43"/>
      <c r="C179" s="14" t="s">
        <v>48</v>
      </c>
      <c r="D179" s="15">
        <v>246779410885</v>
      </c>
      <c r="E179" s="16" t="s">
        <v>0</v>
      </c>
      <c r="F179" s="17">
        <v>30728</v>
      </c>
      <c r="G179" s="18" t="s">
        <v>10</v>
      </c>
      <c r="H179" s="1"/>
      <c r="I179" s="2"/>
      <c r="J179" s="2"/>
      <c r="K179" s="2"/>
      <c r="L179" s="2"/>
    </row>
    <row r="180" spans="1:12" x14ac:dyDescent="0.35">
      <c r="A180" s="43"/>
      <c r="B180" s="43"/>
      <c r="C180" s="14" t="s">
        <v>48</v>
      </c>
      <c r="D180" s="15">
        <v>246779411458</v>
      </c>
      <c r="E180" s="16" t="s">
        <v>0</v>
      </c>
      <c r="F180" s="17">
        <v>6589</v>
      </c>
      <c r="G180" s="18" t="s">
        <v>10</v>
      </c>
      <c r="H180" s="1"/>
      <c r="I180" s="2"/>
      <c r="J180" s="2"/>
      <c r="K180" s="2"/>
      <c r="L180" s="2"/>
    </row>
    <row r="181" spans="1:12" x14ac:dyDescent="0.35">
      <c r="A181" s="43"/>
      <c r="B181" s="43"/>
      <c r="C181" s="14" t="s">
        <v>48</v>
      </c>
      <c r="D181" s="15">
        <v>246779411624</v>
      </c>
      <c r="E181" s="16" t="s">
        <v>0</v>
      </c>
      <c r="F181" s="17">
        <v>20898</v>
      </c>
      <c r="G181" s="18" t="s">
        <v>10</v>
      </c>
      <c r="H181" s="1"/>
      <c r="I181" s="2"/>
      <c r="J181" s="2"/>
      <c r="K181" s="2"/>
      <c r="L181" s="2"/>
    </row>
    <row r="182" spans="1:12" x14ac:dyDescent="0.35">
      <c r="A182" s="43"/>
      <c r="B182" s="43"/>
      <c r="C182" s="14" t="s">
        <v>48</v>
      </c>
      <c r="D182" s="15">
        <v>246779411625</v>
      </c>
      <c r="E182" s="16" t="s">
        <v>0</v>
      </c>
      <c r="F182" s="17">
        <v>5939</v>
      </c>
      <c r="G182" s="18" t="s">
        <v>10</v>
      </c>
      <c r="H182" s="1"/>
      <c r="I182" s="2"/>
      <c r="J182" s="2"/>
      <c r="K182" s="2"/>
      <c r="L182" s="2"/>
    </row>
    <row r="183" spans="1:12" x14ac:dyDescent="0.35">
      <c r="A183" s="43"/>
      <c r="B183" s="43"/>
      <c r="C183" s="14" t="s">
        <v>48</v>
      </c>
      <c r="D183" s="15">
        <v>246779411626</v>
      </c>
      <c r="E183" s="16" t="s">
        <v>0</v>
      </c>
      <c r="F183" s="17">
        <v>6091</v>
      </c>
      <c r="G183" s="18" t="s">
        <v>10</v>
      </c>
      <c r="H183" s="1"/>
      <c r="I183" s="2"/>
      <c r="J183" s="2"/>
      <c r="K183" s="2"/>
      <c r="L183" s="2"/>
    </row>
    <row r="184" spans="1:12" x14ac:dyDescent="0.35">
      <c r="A184" s="43"/>
      <c r="B184" s="43"/>
      <c r="C184" s="14" t="s">
        <v>48</v>
      </c>
      <c r="D184" s="15">
        <v>246779411627</v>
      </c>
      <c r="E184" s="16" t="s">
        <v>0</v>
      </c>
      <c r="F184" s="17">
        <v>5258</v>
      </c>
      <c r="G184" s="18" t="s">
        <v>10</v>
      </c>
      <c r="H184" s="1"/>
      <c r="I184" s="2"/>
      <c r="J184" s="2"/>
      <c r="K184" s="2"/>
      <c r="L184" s="2"/>
    </row>
    <row r="185" spans="1:12" x14ac:dyDescent="0.35">
      <c r="A185" s="43"/>
      <c r="B185" s="43"/>
      <c r="C185" s="14" t="s">
        <v>48</v>
      </c>
      <c r="D185" s="15">
        <v>246779412068</v>
      </c>
      <c r="E185" s="16" t="s">
        <v>0</v>
      </c>
      <c r="F185" s="17">
        <v>10392</v>
      </c>
      <c r="G185" s="18" t="s">
        <v>10</v>
      </c>
      <c r="H185" s="1"/>
      <c r="I185" s="2"/>
      <c r="J185" s="2"/>
      <c r="K185" s="2"/>
      <c r="L185" s="2"/>
    </row>
    <row r="186" spans="1:12" x14ac:dyDescent="0.35">
      <c r="A186" s="43"/>
      <c r="B186" s="43"/>
      <c r="C186" s="14" t="s">
        <v>48</v>
      </c>
      <c r="D186" s="15">
        <v>246779412247</v>
      </c>
      <c r="E186" s="16" t="s">
        <v>0</v>
      </c>
      <c r="F186" s="17">
        <v>6589</v>
      </c>
      <c r="G186" s="18" t="s">
        <v>10</v>
      </c>
      <c r="H186" s="1"/>
      <c r="I186" s="2"/>
      <c r="J186" s="2"/>
      <c r="K186" s="2"/>
      <c r="L186" s="2"/>
    </row>
    <row r="187" spans="1:12" x14ac:dyDescent="0.35">
      <c r="A187" s="43"/>
      <c r="B187" s="43"/>
      <c r="C187" s="14" t="s">
        <v>48</v>
      </c>
      <c r="D187" s="15">
        <v>246779414060</v>
      </c>
      <c r="E187" s="16" t="s">
        <v>0</v>
      </c>
      <c r="F187" s="17">
        <v>23090</v>
      </c>
      <c r="G187" s="18" t="s">
        <v>10</v>
      </c>
      <c r="H187" s="1"/>
      <c r="I187" s="2"/>
      <c r="J187" s="2"/>
      <c r="K187" s="2"/>
      <c r="L187" s="2"/>
    </row>
    <row r="188" spans="1:12" x14ac:dyDescent="0.35">
      <c r="A188" s="43"/>
      <c r="B188" s="43"/>
      <c r="C188" s="14" t="s">
        <v>48</v>
      </c>
      <c r="D188" s="15">
        <v>246779414061</v>
      </c>
      <c r="E188" s="16" t="s">
        <v>0</v>
      </c>
      <c r="F188" s="17">
        <v>23453</v>
      </c>
      <c r="G188" s="18" t="s">
        <v>10</v>
      </c>
      <c r="H188" s="1"/>
      <c r="I188" s="2"/>
      <c r="J188" s="2"/>
      <c r="K188" s="2"/>
      <c r="L188" s="2"/>
    </row>
    <row r="189" spans="1:12" x14ac:dyDescent="0.35">
      <c r="A189" s="43"/>
      <c r="B189" s="43"/>
      <c r="C189" s="14" t="s">
        <v>48</v>
      </c>
      <c r="D189" s="15">
        <v>246779414062</v>
      </c>
      <c r="E189" s="16" t="s">
        <v>0</v>
      </c>
      <c r="F189" s="17">
        <v>10973</v>
      </c>
      <c r="G189" s="18" t="s">
        <v>10</v>
      </c>
      <c r="H189" s="1"/>
      <c r="I189" s="2"/>
      <c r="J189" s="2"/>
      <c r="K189" s="2"/>
      <c r="L189" s="2"/>
    </row>
    <row r="190" spans="1:12" x14ac:dyDescent="0.35">
      <c r="A190" s="8">
        <v>45849</v>
      </c>
      <c r="B190" s="9" t="s">
        <v>16</v>
      </c>
      <c r="C190" s="45" t="s">
        <v>44</v>
      </c>
      <c r="D190" s="45"/>
      <c r="E190" s="10" t="s">
        <v>45</v>
      </c>
      <c r="F190" s="11"/>
      <c r="G190" s="11"/>
      <c r="H190" s="12" t="s">
        <v>46</v>
      </c>
      <c r="I190" s="13" t="s">
        <v>112</v>
      </c>
      <c r="J190" s="11">
        <v>150000</v>
      </c>
      <c r="K190" s="11"/>
      <c r="L190" s="2"/>
    </row>
    <row r="191" spans="1:12" x14ac:dyDescent="0.35">
      <c r="A191" s="43"/>
      <c r="B191" s="43"/>
      <c r="C191" s="14" t="s">
        <v>48</v>
      </c>
      <c r="D191" s="15">
        <v>246779414062</v>
      </c>
      <c r="E191" s="16" t="s">
        <v>0</v>
      </c>
      <c r="F191" s="17">
        <v>10298</v>
      </c>
      <c r="G191" s="18" t="s">
        <v>10</v>
      </c>
      <c r="H191" s="1"/>
      <c r="I191" s="2"/>
      <c r="J191" s="2"/>
      <c r="K191" s="2"/>
      <c r="L191" s="2"/>
    </row>
    <row r="192" spans="1:12" x14ac:dyDescent="0.35">
      <c r="A192" s="43"/>
      <c r="B192" s="43"/>
      <c r="C192" s="14" t="s">
        <v>48</v>
      </c>
      <c r="D192" s="15">
        <v>246779414063</v>
      </c>
      <c r="E192" s="16" t="s">
        <v>0</v>
      </c>
      <c r="F192" s="17">
        <v>46907</v>
      </c>
      <c r="G192" s="18" t="s">
        <v>10</v>
      </c>
      <c r="H192" s="1"/>
      <c r="I192" s="2"/>
      <c r="J192" s="2"/>
      <c r="K192" s="2"/>
      <c r="L192" s="2"/>
    </row>
    <row r="193" spans="1:12" x14ac:dyDescent="0.35">
      <c r="A193" s="43"/>
      <c r="B193" s="43"/>
      <c r="C193" s="14" t="s">
        <v>48</v>
      </c>
      <c r="D193" s="15">
        <v>246779414064</v>
      </c>
      <c r="E193" s="16" t="s">
        <v>0</v>
      </c>
      <c r="F193" s="17">
        <v>29873</v>
      </c>
      <c r="G193" s="18" t="s">
        <v>10</v>
      </c>
      <c r="H193" s="1"/>
      <c r="I193" s="2"/>
      <c r="J193" s="2"/>
      <c r="K193" s="2"/>
      <c r="L193" s="2"/>
    </row>
    <row r="194" spans="1:12" x14ac:dyDescent="0.35">
      <c r="A194" s="43"/>
      <c r="B194" s="43"/>
      <c r="C194" s="14" t="s">
        <v>48</v>
      </c>
      <c r="D194" s="15">
        <v>246779414065</v>
      </c>
      <c r="E194" s="16" t="s">
        <v>0</v>
      </c>
      <c r="F194" s="17">
        <v>23453</v>
      </c>
      <c r="G194" s="18" t="s">
        <v>10</v>
      </c>
      <c r="H194" s="1"/>
      <c r="I194" s="2"/>
      <c r="J194" s="2"/>
      <c r="K194" s="2"/>
      <c r="L194" s="2"/>
    </row>
    <row r="195" spans="1:12" x14ac:dyDescent="0.35">
      <c r="A195" s="43"/>
      <c r="B195" s="43"/>
      <c r="C195" s="14" t="s">
        <v>48</v>
      </c>
      <c r="D195" s="15">
        <v>246779414066</v>
      </c>
      <c r="E195" s="16" t="s">
        <v>0</v>
      </c>
      <c r="F195" s="17">
        <v>1788</v>
      </c>
      <c r="G195" s="18" t="s">
        <v>10</v>
      </c>
      <c r="H195" s="1"/>
      <c r="I195" s="2"/>
      <c r="J195" s="2"/>
      <c r="K195" s="2"/>
      <c r="L195" s="2"/>
    </row>
    <row r="196" spans="1:12" x14ac:dyDescent="0.35">
      <c r="A196" s="43"/>
      <c r="B196" s="43"/>
      <c r="C196" s="14" t="s">
        <v>48</v>
      </c>
      <c r="D196" s="15">
        <v>246779411302</v>
      </c>
      <c r="E196" s="16" t="s">
        <v>0</v>
      </c>
      <c r="F196" s="17">
        <v>2987</v>
      </c>
      <c r="G196" s="18" t="s">
        <v>10</v>
      </c>
      <c r="H196" s="1"/>
      <c r="I196" s="2"/>
      <c r="J196" s="2"/>
      <c r="K196" s="2"/>
      <c r="L196" s="2"/>
    </row>
    <row r="197" spans="1:12" x14ac:dyDescent="0.35">
      <c r="A197" s="43"/>
      <c r="B197" s="43"/>
      <c r="C197" s="14" t="s">
        <v>48</v>
      </c>
      <c r="D197" s="15">
        <v>246779413220</v>
      </c>
      <c r="E197" s="16" t="s">
        <v>0</v>
      </c>
      <c r="F197" s="17">
        <v>2207</v>
      </c>
      <c r="G197" s="18" t="s">
        <v>10</v>
      </c>
      <c r="H197" s="1"/>
      <c r="I197" s="2"/>
      <c r="J197" s="2"/>
      <c r="K197" s="2"/>
      <c r="L197" s="2"/>
    </row>
    <row r="198" spans="1:12" x14ac:dyDescent="0.35">
      <c r="A198" s="43"/>
      <c r="B198" s="43"/>
      <c r="C198" s="14" t="s">
        <v>48</v>
      </c>
      <c r="D198" s="15">
        <v>246779413884</v>
      </c>
      <c r="E198" s="16" t="s">
        <v>0</v>
      </c>
      <c r="F198" s="17">
        <v>10870</v>
      </c>
      <c r="G198" s="18" t="s">
        <v>10</v>
      </c>
      <c r="H198" s="1"/>
      <c r="I198" s="2"/>
      <c r="J198" s="2"/>
      <c r="K198" s="2"/>
      <c r="L198" s="2"/>
    </row>
    <row r="199" spans="1:12" x14ac:dyDescent="0.35">
      <c r="A199" s="43"/>
      <c r="B199" s="43"/>
      <c r="C199" s="14" t="s">
        <v>48</v>
      </c>
      <c r="D199" s="15">
        <v>246779413893</v>
      </c>
      <c r="E199" s="16" t="s">
        <v>0</v>
      </c>
      <c r="F199" s="17">
        <v>148</v>
      </c>
      <c r="G199" s="18" t="s">
        <v>10</v>
      </c>
      <c r="H199" s="1"/>
      <c r="I199" s="2"/>
      <c r="J199" s="2"/>
      <c r="K199" s="2"/>
      <c r="L199" s="2"/>
    </row>
    <row r="200" spans="1:12" x14ac:dyDescent="0.35">
      <c r="A200" s="43"/>
      <c r="B200" s="43"/>
      <c r="C200" s="14" t="s">
        <v>48</v>
      </c>
      <c r="D200" s="15">
        <v>246779413894</v>
      </c>
      <c r="E200" s="16" t="s">
        <v>0</v>
      </c>
      <c r="F200" s="17">
        <v>170</v>
      </c>
      <c r="G200" s="18" t="s">
        <v>10</v>
      </c>
      <c r="H200" s="1"/>
      <c r="I200" s="2"/>
      <c r="J200" s="2"/>
      <c r="K200" s="2"/>
      <c r="L200" s="2"/>
    </row>
    <row r="201" spans="1:12" x14ac:dyDescent="0.35">
      <c r="A201" s="43"/>
      <c r="B201" s="43"/>
      <c r="C201" s="14" t="s">
        <v>48</v>
      </c>
      <c r="D201" s="15">
        <v>246779413901</v>
      </c>
      <c r="E201" s="16" t="s">
        <v>0</v>
      </c>
      <c r="F201" s="17">
        <v>148</v>
      </c>
      <c r="G201" s="18" t="s">
        <v>10</v>
      </c>
      <c r="H201" s="1"/>
      <c r="I201" s="2"/>
      <c r="J201" s="2"/>
      <c r="K201" s="2"/>
      <c r="L201" s="2"/>
    </row>
    <row r="202" spans="1:12" x14ac:dyDescent="0.35">
      <c r="A202" s="43"/>
      <c r="B202" s="43"/>
      <c r="C202" s="14" t="s">
        <v>48</v>
      </c>
      <c r="D202" s="15">
        <v>246779413911</v>
      </c>
      <c r="E202" s="16" t="s">
        <v>0</v>
      </c>
      <c r="F202" s="17">
        <v>169</v>
      </c>
      <c r="G202" s="18" t="s">
        <v>10</v>
      </c>
      <c r="H202" s="1"/>
      <c r="I202" s="2"/>
      <c r="J202" s="2"/>
      <c r="K202" s="2"/>
      <c r="L202" s="2"/>
    </row>
    <row r="203" spans="1:12" x14ac:dyDescent="0.35">
      <c r="A203" s="43"/>
      <c r="B203" s="43"/>
      <c r="C203" s="14" t="s">
        <v>48</v>
      </c>
      <c r="D203" s="15">
        <v>246779413913</v>
      </c>
      <c r="E203" s="16" t="s">
        <v>0</v>
      </c>
      <c r="F203" s="17">
        <v>1251</v>
      </c>
      <c r="G203" s="18" t="s">
        <v>10</v>
      </c>
      <c r="H203" s="1"/>
      <c r="I203" s="2"/>
      <c r="J203" s="2"/>
      <c r="K203" s="2"/>
      <c r="L203" s="2"/>
    </row>
    <row r="204" spans="1:12" x14ac:dyDescent="0.35">
      <c r="A204" s="43"/>
      <c r="B204" s="43"/>
      <c r="C204" s="14" t="s">
        <v>48</v>
      </c>
      <c r="D204" s="15">
        <v>246779414150</v>
      </c>
      <c r="E204" s="16" t="s">
        <v>0</v>
      </c>
      <c r="F204" s="17">
        <v>1036</v>
      </c>
      <c r="G204" s="18" t="s">
        <v>10</v>
      </c>
      <c r="H204" s="1"/>
      <c r="I204" s="2"/>
      <c r="J204" s="2"/>
      <c r="K204" s="2"/>
      <c r="L204" s="2"/>
    </row>
    <row r="205" spans="1:12" x14ac:dyDescent="0.35">
      <c r="A205" s="43"/>
      <c r="B205" s="43"/>
      <c r="C205" s="14" t="s">
        <v>48</v>
      </c>
      <c r="D205" s="15">
        <v>246779414151</v>
      </c>
      <c r="E205" s="16" t="s">
        <v>0</v>
      </c>
      <c r="F205" s="17">
        <v>1269</v>
      </c>
      <c r="G205" s="18" t="s">
        <v>10</v>
      </c>
      <c r="H205" s="1"/>
      <c r="I205" s="2"/>
      <c r="J205" s="2"/>
      <c r="K205" s="2"/>
      <c r="L205" s="2"/>
    </row>
    <row r="206" spans="1:12" x14ac:dyDescent="0.35">
      <c r="A206" s="43"/>
      <c r="B206" s="43"/>
      <c r="C206" s="14" t="s">
        <v>48</v>
      </c>
      <c r="D206" s="15">
        <v>246779414229</v>
      </c>
      <c r="E206" s="16" t="s">
        <v>0</v>
      </c>
      <c r="F206" s="17">
        <v>769</v>
      </c>
      <c r="G206" s="18" t="s">
        <v>10</v>
      </c>
      <c r="H206" s="1"/>
      <c r="I206" s="2"/>
      <c r="J206" s="2"/>
      <c r="K206" s="2"/>
      <c r="L206" s="2"/>
    </row>
    <row r="207" spans="1:12" x14ac:dyDescent="0.35">
      <c r="A207" s="43"/>
      <c r="B207" s="43"/>
      <c r="C207" s="14" t="s">
        <v>48</v>
      </c>
      <c r="D207" s="15">
        <v>246779414230</v>
      </c>
      <c r="E207" s="16" t="s">
        <v>0</v>
      </c>
      <c r="F207" s="17">
        <v>84</v>
      </c>
      <c r="G207" s="18" t="s">
        <v>10</v>
      </c>
      <c r="H207" s="1"/>
      <c r="I207" s="2"/>
      <c r="J207" s="2"/>
      <c r="K207" s="2"/>
      <c r="L207" s="2"/>
    </row>
    <row r="208" spans="1:12" x14ac:dyDescent="0.35">
      <c r="A208" s="43"/>
      <c r="B208" s="43"/>
      <c r="C208" s="14" t="s">
        <v>48</v>
      </c>
      <c r="D208" s="15">
        <v>246779414319</v>
      </c>
      <c r="E208" s="16" t="s">
        <v>0</v>
      </c>
      <c r="F208" s="17">
        <v>1119</v>
      </c>
      <c r="G208" s="18" t="s">
        <v>10</v>
      </c>
      <c r="H208" s="1"/>
      <c r="I208" s="2"/>
      <c r="J208" s="2"/>
      <c r="K208" s="2"/>
      <c r="L208" s="2"/>
    </row>
    <row r="209" spans="1:12" x14ac:dyDescent="0.35">
      <c r="A209" s="43"/>
      <c r="B209" s="43"/>
      <c r="C209" s="14" t="s">
        <v>48</v>
      </c>
      <c r="D209" s="15">
        <v>246779414320</v>
      </c>
      <c r="E209" s="16" t="s">
        <v>0</v>
      </c>
      <c r="F209" s="17">
        <v>3253</v>
      </c>
      <c r="G209" s="18" t="s">
        <v>10</v>
      </c>
      <c r="H209" s="1"/>
      <c r="I209" s="2"/>
      <c r="J209" s="2"/>
      <c r="K209" s="2"/>
      <c r="L209" s="2"/>
    </row>
    <row r="210" spans="1:12" x14ac:dyDescent="0.35">
      <c r="A210" s="43"/>
      <c r="B210" s="43"/>
      <c r="C210" s="14" t="s">
        <v>48</v>
      </c>
      <c r="D210" s="15">
        <v>246779414321</v>
      </c>
      <c r="E210" s="16" t="s">
        <v>0</v>
      </c>
      <c r="F210" s="17">
        <v>2535</v>
      </c>
      <c r="G210" s="18" t="s">
        <v>10</v>
      </c>
      <c r="H210" s="1"/>
      <c r="I210" s="2"/>
      <c r="J210" s="2"/>
      <c r="K210" s="2"/>
      <c r="L210" s="2"/>
    </row>
    <row r="211" spans="1:12" x14ac:dyDescent="0.35">
      <c r="A211" s="43"/>
      <c r="B211" s="43"/>
      <c r="C211" s="14" t="s">
        <v>48</v>
      </c>
      <c r="D211" s="15">
        <v>246779414402</v>
      </c>
      <c r="E211" s="16" t="s">
        <v>0</v>
      </c>
      <c r="F211" s="17">
        <v>888</v>
      </c>
      <c r="G211" s="18" t="s">
        <v>10</v>
      </c>
      <c r="H211" s="1"/>
      <c r="I211" s="2"/>
      <c r="J211" s="2"/>
      <c r="K211" s="2"/>
      <c r="L211" s="2"/>
    </row>
    <row r="212" spans="1:12" x14ac:dyDescent="0.35">
      <c r="A212" s="43"/>
      <c r="B212" s="43"/>
      <c r="C212" s="14" t="s">
        <v>48</v>
      </c>
      <c r="D212" s="15">
        <v>246779414403</v>
      </c>
      <c r="E212" s="16" t="s">
        <v>0</v>
      </c>
      <c r="F212" s="17">
        <v>1269</v>
      </c>
      <c r="G212" s="18" t="s">
        <v>10</v>
      </c>
      <c r="H212" s="1"/>
      <c r="I212" s="2"/>
      <c r="J212" s="2"/>
      <c r="K212" s="2"/>
      <c r="L212" s="2"/>
    </row>
    <row r="213" spans="1:12" x14ac:dyDescent="0.35">
      <c r="A213" s="43"/>
      <c r="B213" s="43"/>
      <c r="C213" s="14" t="s">
        <v>48</v>
      </c>
      <c r="D213" s="15">
        <v>246779414472</v>
      </c>
      <c r="E213" s="16" t="s">
        <v>0</v>
      </c>
      <c r="F213" s="17">
        <v>1537</v>
      </c>
      <c r="G213" s="18" t="s">
        <v>10</v>
      </c>
      <c r="H213" s="1"/>
      <c r="I213" s="2"/>
      <c r="J213" s="2"/>
      <c r="K213" s="2"/>
      <c r="L213" s="2"/>
    </row>
    <row r="214" spans="1:12" x14ac:dyDescent="0.35">
      <c r="A214" s="43"/>
      <c r="B214" s="43"/>
      <c r="C214" s="14" t="s">
        <v>48</v>
      </c>
      <c r="D214" s="15">
        <v>246779414473</v>
      </c>
      <c r="E214" s="16" t="s">
        <v>0</v>
      </c>
      <c r="F214" s="17">
        <v>540</v>
      </c>
      <c r="G214" s="18" t="s">
        <v>10</v>
      </c>
      <c r="H214" s="1"/>
      <c r="I214" s="2"/>
      <c r="J214" s="2"/>
      <c r="K214" s="2"/>
      <c r="L214" s="2"/>
    </row>
    <row r="215" spans="1:12" x14ac:dyDescent="0.35">
      <c r="A215" s="43"/>
      <c r="B215" s="43"/>
      <c r="C215" s="14" t="s">
        <v>48</v>
      </c>
      <c r="D215" s="15">
        <v>246779414474</v>
      </c>
      <c r="E215" s="16" t="s">
        <v>0</v>
      </c>
      <c r="F215" s="17">
        <v>5074</v>
      </c>
      <c r="G215" s="18" t="s">
        <v>10</v>
      </c>
      <c r="H215" s="1"/>
      <c r="I215" s="2"/>
      <c r="J215" s="2"/>
      <c r="K215" s="2"/>
      <c r="L215" s="2"/>
    </row>
    <row r="216" spans="1:12" x14ac:dyDescent="0.35">
      <c r="A216" s="43"/>
      <c r="B216" s="43"/>
      <c r="C216" s="14" t="s">
        <v>48</v>
      </c>
      <c r="D216" s="15">
        <v>246779414610</v>
      </c>
      <c r="E216" s="16" t="s">
        <v>0</v>
      </c>
      <c r="F216" s="17">
        <v>358</v>
      </c>
      <c r="G216" s="18" t="s">
        <v>10</v>
      </c>
      <c r="H216" s="1"/>
      <c r="I216" s="2"/>
      <c r="J216" s="2"/>
      <c r="K216" s="2"/>
      <c r="L216" s="2"/>
    </row>
    <row r="217" spans="1:12" x14ac:dyDescent="0.35">
      <c r="A217" s="8">
        <v>45857</v>
      </c>
      <c r="B217" s="9" t="s">
        <v>16</v>
      </c>
      <c r="C217" s="45" t="s">
        <v>44</v>
      </c>
      <c r="D217" s="45"/>
      <c r="E217" s="10" t="s">
        <v>45</v>
      </c>
      <c r="F217" s="11"/>
      <c r="G217" s="11"/>
      <c r="H217" s="12" t="s">
        <v>46</v>
      </c>
      <c r="I217" s="13" t="s">
        <v>113</v>
      </c>
      <c r="J217" s="11">
        <v>150000</v>
      </c>
      <c r="K217" s="11"/>
      <c r="L217" s="2"/>
    </row>
    <row r="218" spans="1:12" x14ac:dyDescent="0.35">
      <c r="A218" s="43"/>
      <c r="B218" s="43"/>
      <c r="C218" s="14" t="s">
        <v>48</v>
      </c>
      <c r="D218" s="15">
        <v>246779414610</v>
      </c>
      <c r="E218" s="16" t="s">
        <v>0</v>
      </c>
      <c r="F218" s="17">
        <v>234</v>
      </c>
      <c r="G218" s="18" t="s">
        <v>10</v>
      </c>
      <c r="H218" s="1"/>
      <c r="I218" s="2"/>
      <c r="J218" s="2"/>
      <c r="K218" s="2"/>
      <c r="L218" s="2"/>
    </row>
    <row r="219" spans="1:12" x14ac:dyDescent="0.35">
      <c r="A219" s="43"/>
      <c r="B219" s="43"/>
      <c r="C219" s="14" t="s">
        <v>48</v>
      </c>
      <c r="D219" s="15">
        <v>246779414688</v>
      </c>
      <c r="E219" s="16" t="s">
        <v>0</v>
      </c>
      <c r="F219" s="17">
        <v>837</v>
      </c>
      <c r="G219" s="18" t="s">
        <v>10</v>
      </c>
      <c r="H219" s="1"/>
      <c r="I219" s="2"/>
      <c r="J219" s="2"/>
      <c r="K219" s="2"/>
      <c r="L219" s="2"/>
    </row>
    <row r="220" spans="1:12" x14ac:dyDescent="0.35">
      <c r="A220" s="43"/>
      <c r="B220" s="43"/>
      <c r="C220" s="14" t="s">
        <v>48</v>
      </c>
      <c r="D220" s="15">
        <v>246779414689</v>
      </c>
      <c r="E220" s="16" t="s">
        <v>0</v>
      </c>
      <c r="F220" s="17">
        <v>4292</v>
      </c>
      <c r="G220" s="18" t="s">
        <v>10</v>
      </c>
      <c r="H220" s="1"/>
      <c r="I220" s="2"/>
      <c r="J220" s="2"/>
      <c r="K220" s="2"/>
      <c r="L220" s="2"/>
    </row>
    <row r="221" spans="1:12" x14ac:dyDescent="0.35">
      <c r="A221" s="43"/>
      <c r="B221" s="43"/>
      <c r="C221" s="14" t="s">
        <v>48</v>
      </c>
      <c r="D221" s="15">
        <v>246779414690</v>
      </c>
      <c r="E221" s="16" t="s">
        <v>0</v>
      </c>
      <c r="F221" s="17">
        <v>5074</v>
      </c>
      <c r="G221" s="18" t="s">
        <v>10</v>
      </c>
      <c r="H221" s="1"/>
      <c r="I221" s="2"/>
      <c r="J221" s="2"/>
      <c r="K221" s="2"/>
      <c r="L221" s="2"/>
    </row>
    <row r="222" spans="1:12" x14ac:dyDescent="0.35">
      <c r="A222" s="43"/>
      <c r="B222" s="43"/>
      <c r="C222" s="14" t="s">
        <v>48</v>
      </c>
      <c r="D222" s="15">
        <v>246779414740</v>
      </c>
      <c r="E222" s="16" t="s">
        <v>0</v>
      </c>
      <c r="F222" s="17">
        <v>9403</v>
      </c>
      <c r="G222" s="18" t="s">
        <v>10</v>
      </c>
      <c r="H222" s="1"/>
      <c r="I222" s="2"/>
      <c r="J222" s="2"/>
      <c r="K222" s="2"/>
      <c r="L222" s="2"/>
    </row>
    <row r="223" spans="1:12" x14ac:dyDescent="0.35">
      <c r="A223" s="43"/>
      <c r="B223" s="43"/>
      <c r="C223" s="14" t="s">
        <v>48</v>
      </c>
      <c r="D223" s="15">
        <v>246779414741</v>
      </c>
      <c r="E223" s="16" t="s">
        <v>0</v>
      </c>
      <c r="F223" s="17">
        <v>167</v>
      </c>
      <c r="G223" s="18" t="s">
        <v>10</v>
      </c>
      <c r="H223" s="1"/>
      <c r="I223" s="2"/>
      <c r="J223" s="2"/>
      <c r="K223" s="2"/>
      <c r="L223" s="2"/>
    </row>
    <row r="224" spans="1:12" x14ac:dyDescent="0.35">
      <c r="A224" s="43"/>
      <c r="B224" s="43"/>
      <c r="C224" s="14" t="s">
        <v>48</v>
      </c>
      <c r="D224" s="15">
        <v>246779414895</v>
      </c>
      <c r="E224" s="16" t="s">
        <v>0</v>
      </c>
      <c r="F224" s="17">
        <v>5074</v>
      </c>
      <c r="G224" s="18" t="s">
        <v>10</v>
      </c>
      <c r="H224" s="1"/>
      <c r="I224" s="2"/>
      <c r="J224" s="2"/>
      <c r="K224" s="2"/>
      <c r="L224" s="2"/>
    </row>
    <row r="225" spans="1:12" x14ac:dyDescent="0.35">
      <c r="A225" s="43"/>
      <c r="B225" s="43"/>
      <c r="C225" s="14" t="s">
        <v>48</v>
      </c>
      <c r="D225" s="15">
        <v>246779414896</v>
      </c>
      <c r="E225" s="16" t="s">
        <v>0</v>
      </c>
      <c r="F225" s="17">
        <v>3637</v>
      </c>
      <c r="G225" s="18" t="s">
        <v>10</v>
      </c>
      <c r="H225" s="1"/>
      <c r="I225" s="2"/>
      <c r="J225" s="2"/>
      <c r="K225" s="2"/>
      <c r="L225" s="2"/>
    </row>
    <row r="226" spans="1:12" x14ac:dyDescent="0.35">
      <c r="A226" s="43"/>
      <c r="B226" s="43"/>
      <c r="C226" s="14" t="s">
        <v>48</v>
      </c>
      <c r="D226" s="15">
        <v>246779414897</v>
      </c>
      <c r="E226" s="16" t="s">
        <v>0</v>
      </c>
      <c r="F226" s="17">
        <v>4000</v>
      </c>
      <c r="G226" s="18" t="s">
        <v>10</v>
      </c>
      <c r="H226" s="1"/>
      <c r="I226" s="2"/>
      <c r="J226" s="2"/>
      <c r="K226" s="2"/>
      <c r="L226" s="2"/>
    </row>
    <row r="227" spans="1:12" x14ac:dyDescent="0.35">
      <c r="A227" s="43"/>
      <c r="B227" s="43"/>
      <c r="C227" s="14" t="s">
        <v>48</v>
      </c>
      <c r="D227" s="15">
        <v>246779414898</v>
      </c>
      <c r="E227" s="16" t="s">
        <v>0</v>
      </c>
      <c r="F227" s="17">
        <v>8001</v>
      </c>
      <c r="G227" s="18" t="s">
        <v>10</v>
      </c>
      <c r="H227" s="1"/>
      <c r="I227" s="2"/>
      <c r="J227" s="2"/>
      <c r="K227" s="2"/>
      <c r="L227" s="2"/>
    </row>
    <row r="228" spans="1:12" x14ac:dyDescent="0.35">
      <c r="A228" s="43"/>
      <c r="B228" s="43"/>
      <c r="C228" s="14" t="s">
        <v>48</v>
      </c>
      <c r="D228" s="15">
        <v>246779412999</v>
      </c>
      <c r="E228" s="16" t="s">
        <v>0</v>
      </c>
      <c r="F228" s="17">
        <v>14486</v>
      </c>
      <c r="G228" s="18" t="s">
        <v>10</v>
      </c>
      <c r="H228" s="1"/>
      <c r="I228" s="2"/>
      <c r="J228" s="2"/>
      <c r="K228" s="2"/>
      <c r="L228" s="2"/>
    </row>
    <row r="229" spans="1:12" x14ac:dyDescent="0.35">
      <c r="A229" s="43"/>
      <c r="B229" s="43"/>
      <c r="C229" s="14" t="s">
        <v>48</v>
      </c>
      <c r="D229" s="15">
        <v>246779413798</v>
      </c>
      <c r="E229" s="16" t="s">
        <v>0</v>
      </c>
      <c r="F229" s="17">
        <v>36118</v>
      </c>
      <c r="G229" s="18" t="s">
        <v>10</v>
      </c>
      <c r="H229" s="1"/>
      <c r="I229" s="2"/>
      <c r="J229" s="2"/>
      <c r="K229" s="2"/>
      <c r="L229" s="2"/>
    </row>
    <row r="230" spans="1:12" x14ac:dyDescent="0.35">
      <c r="A230" s="43"/>
      <c r="B230" s="43"/>
      <c r="C230" s="14" t="s">
        <v>48</v>
      </c>
      <c r="D230" s="15">
        <v>246779413809</v>
      </c>
      <c r="E230" s="16" t="s">
        <v>0</v>
      </c>
      <c r="F230" s="17">
        <v>32623</v>
      </c>
      <c r="G230" s="18" t="s">
        <v>10</v>
      </c>
      <c r="H230" s="1"/>
      <c r="I230" s="2"/>
      <c r="J230" s="2"/>
      <c r="K230" s="2"/>
      <c r="L230" s="2"/>
    </row>
    <row r="231" spans="1:12" x14ac:dyDescent="0.35">
      <c r="A231" s="43"/>
      <c r="B231" s="43"/>
      <c r="C231" s="14" t="s">
        <v>48</v>
      </c>
      <c r="D231" s="15">
        <v>246779414899</v>
      </c>
      <c r="E231" s="16" t="s">
        <v>0</v>
      </c>
      <c r="F231" s="17">
        <v>4384</v>
      </c>
      <c r="G231" s="18" t="s">
        <v>10</v>
      </c>
      <c r="H231" s="1"/>
      <c r="I231" s="2"/>
      <c r="J231" s="2"/>
      <c r="K231" s="2"/>
      <c r="L231" s="2"/>
    </row>
    <row r="232" spans="1:12" x14ac:dyDescent="0.35">
      <c r="A232" s="43"/>
      <c r="B232" s="43"/>
      <c r="C232" s="14" t="s">
        <v>48</v>
      </c>
      <c r="D232" s="15">
        <v>246779414900</v>
      </c>
      <c r="E232" s="16" t="s">
        <v>0</v>
      </c>
      <c r="F232" s="17">
        <v>4364</v>
      </c>
      <c r="G232" s="18" t="s">
        <v>10</v>
      </c>
      <c r="H232" s="1"/>
      <c r="I232" s="2"/>
      <c r="J232" s="2"/>
      <c r="K232" s="2"/>
      <c r="L232" s="2"/>
    </row>
    <row r="233" spans="1:12" x14ac:dyDescent="0.35">
      <c r="A233" s="43"/>
      <c r="B233" s="43"/>
      <c r="C233" s="14" t="s">
        <v>48</v>
      </c>
      <c r="D233" s="15">
        <v>246779414901</v>
      </c>
      <c r="E233" s="16" t="s">
        <v>0</v>
      </c>
      <c r="F233" s="17">
        <v>518</v>
      </c>
      <c r="G233" s="18" t="s">
        <v>10</v>
      </c>
      <c r="H233" s="1"/>
      <c r="I233" s="2"/>
      <c r="J233" s="2"/>
      <c r="K233" s="2"/>
      <c r="L233" s="2"/>
    </row>
    <row r="234" spans="1:12" x14ac:dyDescent="0.35">
      <c r="A234" s="43"/>
      <c r="B234" s="43"/>
      <c r="C234" s="14" t="s">
        <v>48</v>
      </c>
      <c r="D234" s="15">
        <v>246779414902</v>
      </c>
      <c r="E234" s="16" t="s">
        <v>0</v>
      </c>
      <c r="F234" s="17">
        <v>298</v>
      </c>
      <c r="G234" s="18" t="s">
        <v>10</v>
      </c>
      <c r="H234" s="1"/>
      <c r="I234" s="2"/>
      <c r="J234" s="2"/>
      <c r="K234" s="2"/>
      <c r="L234" s="2"/>
    </row>
    <row r="235" spans="1:12" x14ac:dyDescent="0.35">
      <c r="A235" s="43"/>
      <c r="B235" s="43"/>
      <c r="C235" s="14" t="s">
        <v>48</v>
      </c>
      <c r="D235" s="15">
        <v>256779410788</v>
      </c>
      <c r="E235" s="16" t="s">
        <v>0</v>
      </c>
      <c r="F235" s="17">
        <v>16490</v>
      </c>
      <c r="G235" s="18" t="s">
        <v>10</v>
      </c>
      <c r="H235" s="1"/>
      <c r="I235" s="2"/>
      <c r="J235" s="2"/>
      <c r="K235" s="2"/>
      <c r="L235" s="2"/>
    </row>
    <row r="236" spans="1:12" x14ac:dyDescent="0.35">
      <c r="A236" s="8">
        <v>45863</v>
      </c>
      <c r="B236" s="9" t="s">
        <v>16</v>
      </c>
      <c r="C236" s="45" t="s">
        <v>44</v>
      </c>
      <c r="D236" s="45"/>
      <c r="E236" s="10" t="s">
        <v>45</v>
      </c>
      <c r="F236" s="11"/>
      <c r="G236" s="11"/>
      <c r="H236" s="12" t="s">
        <v>46</v>
      </c>
      <c r="I236" s="13" t="s">
        <v>114</v>
      </c>
      <c r="J236" s="11">
        <v>150000</v>
      </c>
      <c r="K236" s="11"/>
      <c r="L236" s="2"/>
    </row>
    <row r="237" spans="1:12" x14ac:dyDescent="0.35">
      <c r="A237" s="43"/>
      <c r="B237" s="43"/>
      <c r="C237" s="14" t="s">
        <v>48</v>
      </c>
      <c r="D237" s="15">
        <v>256779410788</v>
      </c>
      <c r="E237" s="16" t="s">
        <v>0</v>
      </c>
      <c r="F237" s="17">
        <v>90487</v>
      </c>
      <c r="G237" s="18" t="s">
        <v>10</v>
      </c>
      <c r="H237" s="1"/>
      <c r="I237" s="2"/>
      <c r="J237" s="2"/>
      <c r="K237" s="2"/>
      <c r="L237" s="2"/>
    </row>
    <row r="238" spans="1:12" x14ac:dyDescent="0.35">
      <c r="A238" s="43"/>
      <c r="B238" s="43"/>
      <c r="C238" s="14" t="s">
        <v>48</v>
      </c>
      <c r="D238" s="15">
        <v>256779410804</v>
      </c>
      <c r="E238" s="16" t="s">
        <v>0</v>
      </c>
      <c r="F238" s="17">
        <v>59513</v>
      </c>
      <c r="G238" s="18" t="s">
        <v>10</v>
      </c>
      <c r="H238" s="1"/>
      <c r="I238" s="2"/>
      <c r="J238" s="2"/>
      <c r="K238" s="2"/>
      <c r="L238" s="2"/>
    </row>
    <row r="239" spans="1:12" x14ac:dyDescent="0.35">
      <c r="A239" s="8">
        <v>45870</v>
      </c>
      <c r="B239" s="9" t="s">
        <v>10</v>
      </c>
      <c r="C239" s="45" t="s">
        <v>58</v>
      </c>
      <c r="D239" s="45"/>
      <c r="E239" s="10" t="s">
        <v>73</v>
      </c>
      <c r="F239" s="11"/>
      <c r="G239" s="11">
        <v>5.15</v>
      </c>
      <c r="H239" s="12" t="s">
        <v>13</v>
      </c>
      <c r="I239" s="13" t="s">
        <v>115</v>
      </c>
      <c r="J239" s="11"/>
      <c r="K239" s="11">
        <v>441</v>
      </c>
      <c r="L239" s="2"/>
    </row>
    <row r="240" spans="1:12" x14ac:dyDescent="0.35">
      <c r="A240" s="43"/>
      <c r="B240" s="43"/>
      <c r="C240" s="14" t="s">
        <v>15</v>
      </c>
      <c r="D240" s="15">
        <v>256779410088</v>
      </c>
      <c r="E240" s="16" t="s">
        <v>0</v>
      </c>
      <c r="F240" s="17">
        <v>441</v>
      </c>
      <c r="G240" s="18" t="s">
        <v>16</v>
      </c>
      <c r="H240" s="1"/>
      <c r="I240" s="2"/>
      <c r="J240" s="2"/>
      <c r="K240" s="2"/>
      <c r="L240" s="2"/>
    </row>
    <row r="241" spans="1:12" x14ac:dyDescent="0.35">
      <c r="A241" s="8">
        <v>45870</v>
      </c>
      <c r="B241" s="9" t="s">
        <v>10</v>
      </c>
      <c r="C241" s="45" t="s">
        <v>58</v>
      </c>
      <c r="D241" s="45"/>
      <c r="E241" s="10" t="s">
        <v>73</v>
      </c>
      <c r="F241" s="11"/>
      <c r="G241" s="11">
        <v>29.4</v>
      </c>
      <c r="H241" s="12" t="s">
        <v>13</v>
      </c>
      <c r="I241" s="13" t="s">
        <v>116</v>
      </c>
      <c r="J241" s="11"/>
      <c r="K241" s="11">
        <v>2518</v>
      </c>
      <c r="L241" s="2"/>
    </row>
    <row r="242" spans="1:12" x14ac:dyDescent="0.35">
      <c r="A242" s="43"/>
      <c r="B242" s="43"/>
      <c r="C242" s="14" t="s">
        <v>15</v>
      </c>
      <c r="D242" s="15">
        <v>256779410089</v>
      </c>
      <c r="E242" s="16" t="s">
        <v>0</v>
      </c>
      <c r="F242" s="17">
        <v>2518</v>
      </c>
      <c r="G242" s="18" t="s">
        <v>16</v>
      </c>
      <c r="H242" s="1"/>
      <c r="I242" s="2"/>
      <c r="J242" s="2"/>
      <c r="K242" s="2"/>
      <c r="L242" s="2"/>
    </row>
    <row r="243" spans="1:12" x14ac:dyDescent="0.35">
      <c r="A243" s="8">
        <v>45870</v>
      </c>
      <c r="B243" s="9" t="s">
        <v>10</v>
      </c>
      <c r="C243" s="45" t="s">
        <v>58</v>
      </c>
      <c r="D243" s="45"/>
      <c r="E243" s="10" t="s">
        <v>73</v>
      </c>
      <c r="F243" s="11"/>
      <c r="G243" s="11">
        <v>3.43</v>
      </c>
      <c r="H243" s="12" t="s">
        <v>13</v>
      </c>
      <c r="I243" s="13" t="s">
        <v>117</v>
      </c>
      <c r="J243" s="11"/>
      <c r="K243" s="11">
        <v>294</v>
      </c>
      <c r="L243" s="2"/>
    </row>
    <row r="244" spans="1:12" x14ac:dyDescent="0.35">
      <c r="A244" s="43"/>
      <c r="B244" s="43"/>
      <c r="C244" s="14" t="s">
        <v>15</v>
      </c>
      <c r="D244" s="15">
        <v>256779410139</v>
      </c>
      <c r="E244" s="16" t="s">
        <v>0</v>
      </c>
      <c r="F244" s="17">
        <v>294</v>
      </c>
      <c r="G244" s="18" t="s">
        <v>16</v>
      </c>
      <c r="H244" s="1"/>
      <c r="I244" s="2"/>
      <c r="J244" s="2"/>
      <c r="K244" s="2"/>
      <c r="L244" s="2"/>
    </row>
    <row r="245" spans="1:12" x14ac:dyDescent="0.35">
      <c r="A245" s="8">
        <v>45870</v>
      </c>
      <c r="B245" s="9" t="s">
        <v>10</v>
      </c>
      <c r="C245" s="45" t="s">
        <v>58</v>
      </c>
      <c r="D245" s="45"/>
      <c r="E245" s="10" t="s">
        <v>73</v>
      </c>
      <c r="F245" s="11"/>
      <c r="G245" s="11">
        <v>0.98</v>
      </c>
      <c r="H245" s="12" t="s">
        <v>13</v>
      </c>
      <c r="I245" s="13" t="s">
        <v>118</v>
      </c>
      <c r="J245" s="11"/>
      <c r="K245" s="11">
        <v>84</v>
      </c>
      <c r="L245" s="2"/>
    </row>
    <row r="246" spans="1:12" x14ac:dyDescent="0.35">
      <c r="A246" s="43"/>
      <c r="B246" s="43"/>
      <c r="C246" s="14" t="s">
        <v>15</v>
      </c>
      <c r="D246" s="15">
        <v>256779410140</v>
      </c>
      <c r="E246" s="16" t="s">
        <v>0</v>
      </c>
      <c r="F246" s="17">
        <v>84</v>
      </c>
      <c r="G246" s="18" t="s">
        <v>16</v>
      </c>
      <c r="H246" s="1"/>
      <c r="I246" s="2"/>
      <c r="J246" s="2"/>
      <c r="K246" s="2"/>
      <c r="L246" s="2"/>
    </row>
    <row r="247" spans="1:12" x14ac:dyDescent="0.35">
      <c r="A247" s="8">
        <v>45870</v>
      </c>
      <c r="B247" s="9" t="s">
        <v>10</v>
      </c>
      <c r="C247" s="45" t="s">
        <v>58</v>
      </c>
      <c r="D247" s="45"/>
      <c r="E247" s="10" t="s">
        <v>73</v>
      </c>
      <c r="F247" s="11"/>
      <c r="G247" s="11">
        <v>67.44</v>
      </c>
      <c r="H247" s="12" t="s">
        <v>13</v>
      </c>
      <c r="I247" s="13" t="s">
        <v>119</v>
      </c>
      <c r="J247" s="11"/>
      <c r="K247" s="11">
        <v>5779</v>
      </c>
      <c r="L247" s="2"/>
    </row>
    <row r="248" spans="1:12" x14ac:dyDescent="0.35">
      <c r="A248" s="43"/>
      <c r="B248" s="43"/>
      <c r="C248" s="14" t="s">
        <v>15</v>
      </c>
      <c r="D248" s="15">
        <v>256779411167</v>
      </c>
      <c r="E248" s="16" t="s">
        <v>0</v>
      </c>
      <c r="F248" s="17">
        <v>5779</v>
      </c>
      <c r="G248" s="18" t="s">
        <v>16</v>
      </c>
      <c r="H248" s="1"/>
      <c r="I248" s="2"/>
      <c r="J248" s="2"/>
      <c r="K248" s="2"/>
      <c r="L248" s="2"/>
    </row>
    <row r="249" spans="1:12" x14ac:dyDescent="0.35">
      <c r="A249" s="8">
        <v>45870</v>
      </c>
      <c r="B249" s="9" t="s">
        <v>10</v>
      </c>
      <c r="C249" s="45" t="s">
        <v>58</v>
      </c>
      <c r="D249" s="45"/>
      <c r="E249" s="10" t="s">
        <v>73</v>
      </c>
      <c r="F249" s="11"/>
      <c r="G249" s="11">
        <v>59.29</v>
      </c>
      <c r="H249" s="12" t="s">
        <v>13</v>
      </c>
      <c r="I249" s="13" t="s">
        <v>120</v>
      </c>
      <c r="J249" s="11"/>
      <c r="K249" s="11">
        <v>5081</v>
      </c>
      <c r="L249" s="2"/>
    </row>
    <row r="250" spans="1:12" x14ac:dyDescent="0.35">
      <c r="A250" s="43"/>
      <c r="B250" s="43"/>
      <c r="C250" s="14" t="s">
        <v>15</v>
      </c>
      <c r="D250" s="15">
        <v>256779411168</v>
      </c>
      <c r="E250" s="16" t="s">
        <v>0</v>
      </c>
      <c r="F250" s="17">
        <v>5081</v>
      </c>
      <c r="G250" s="18" t="s">
        <v>16</v>
      </c>
      <c r="H250" s="1"/>
      <c r="I250" s="2"/>
      <c r="J250" s="2"/>
      <c r="K250" s="2"/>
      <c r="L250" s="2"/>
    </row>
    <row r="251" spans="1:12" x14ac:dyDescent="0.35">
      <c r="A251" s="8">
        <v>45870</v>
      </c>
      <c r="B251" s="9" t="s">
        <v>10</v>
      </c>
      <c r="C251" s="45" t="s">
        <v>58</v>
      </c>
      <c r="D251" s="45"/>
      <c r="E251" s="10" t="s">
        <v>73</v>
      </c>
      <c r="F251" s="11"/>
      <c r="G251" s="11">
        <v>49</v>
      </c>
      <c r="H251" s="12" t="s">
        <v>13</v>
      </c>
      <c r="I251" s="13" t="s">
        <v>121</v>
      </c>
      <c r="J251" s="11"/>
      <c r="K251" s="11">
        <v>4199</v>
      </c>
      <c r="L251" s="2"/>
    </row>
    <row r="252" spans="1:12" x14ac:dyDescent="0.35">
      <c r="A252" s="43"/>
      <c r="B252" s="43"/>
      <c r="C252" s="14" t="s">
        <v>15</v>
      </c>
      <c r="D252" s="15">
        <v>256779411169</v>
      </c>
      <c r="E252" s="16" t="s">
        <v>0</v>
      </c>
      <c r="F252" s="17">
        <v>4199</v>
      </c>
      <c r="G252" s="18" t="s">
        <v>16</v>
      </c>
      <c r="H252" s="1"/>
      <c r="I252" s="2"/>
      <c r="J252" s="2"/>
      <c r="K252" s="2"/>
      <c r="L252" s="2"/>
    </row>
    <row r="253" spans="1:12" x14ac:dyDescent="0.35">
      <c r="A253" s="8">
        <v>45870</v>
      </c>
      <c r="B253" s="9" t="s">
        <v>10</v>
      </c>
      <c r="C253" s="45" t="s">
        <v>58</v>
      </c>
      <c r="D253" s="45"/>
      <c r="E253" s="10" t="s">
        <v>73</v>
      </c>
      <c r="F253" s="11"/>
      <c r="G253" s="11">
        <v>117.6</v>
      </c>
      <c r="H253" s="12" t="s">
        <v>13</v>
      </c>
      <c r="I253" s="13" t="s">
        <v>122</v>
      </c>
      <c r="J253" s="11"/>
      <c r="K253" s="11">
        <v>10077</v>
      </c>
      <c r="L253" s="2"/>
    </row>
    <row r="254" spans="1:12" x14ac:dyDescent="0.35">
      <c r="A254" s="43"/>
      <c r="B254" s="43"/>
      <c r="C254" s="14" t="s">
        <v>15</v>
      </c>
      <c r="D254" s="15">
        <v>256779411170</v>
      </c>
      <c r="E254" s="16" t="s">
        <v>0</v>
      </c>
      <c r="F254" s="17">
        <v>10077</v>
      </c>
      <c r="G254" s="18" t="s">
        <v>16</v>
      </c>
      <c r="H254" s="1"/>
      <c r="I254" s="2"/>
      <c r="J254" s="2"/>
      <c r="K254" s="2"/>
      <c r="L254" s="2"/>
    </row>
    <row r="255" spans="1:12" x14ac:dyDescent="0.35">
      <c r="A255" s="8">
        <v>45870</v>
      </c>
      <c r="B255" s="9" t="s">
        <v>10</v>
      </c>
      <c r="C255" s="45" t="s">
        <v>123</v>
      </c>
      <c r="D255" s="45"/>
      <c r="E255" s="10" t="s">
        <v>73</v>
      </c>
      <c r="F255" s="11"/>
      <c r="G255" s="11">
        <v>607.6</v>
      </c>
      <c r="H255" s="12" t="s">
        <v>13</v>
      </c>
      <c r="I255" s="13" t="s">
        <v>124</v>
      </c>
      <c r="J255" s="11"/>
      <c r="K255" s="11">
        <v>52814</v>
      </c>
      <c r="L255" s="2"/>
    </row>
    <row r="256" spans="1:12" x14ac:dyDescent="0.35">
      <c r="A256" s="43"/>
      <c r="B256" s="43"/>
      <c r="C256" s="14" t="s">
        <v>15</v>
      </c>
      <c r="D256" s="15">
        <v>256779411724</v>
      </c>
      <c r="E256" s="16" t="s">
        <v>0</v>
      </c>
      <c r="F256" s="17">
        <v>52814</v>
      </c>
      <c r="G256" s="18" t="s">
        <v>16</v>
      </c>
      <c r="H256" s="1"/>
      <c r="I256" s="2"/>
      <c r="J256" s="2"/>
      <c r="K256" s="2"/>
      <c r="L256" s="2"/>
    </row>
    <row r="257" spans="1:12" x14ac:dyDescent="0.35">
      <c r="A257" s="8">
        <v>45870</v>
      </c>
      <c r="B257" s="9" t="s">
        <v>10</v>
      </c>
      <c r="C257" s="45" t="s">
        <v>58</v>
      </c>
      <c r="D257" s="45"/>
      <c r="E257" s="10" t="s">
        <v>73</v>
      </c>
      <c r="F257" s="11"/>
      <c r="G257" s="11">
        <v>1.72</v>
      </c>
      <c r="H257" s="12" t="s">
        <v>13</v>
      </c>
      <c r="I257" s="13" t="s">
        <v>125</v>
      </c>
      <c r="J257" s="11"/>
      <c r="K257" s="11">
        <v>147</v>
      </c>
      <c r="L257" s="2"/>
    </row>
    <row r="258" spans="1:12" x14ac:dyDescent="0.35">
      <c r="A258" s="43"/>
      <c r="B258" s="43"/>
      <c r="C258" s="14" t="s">
        <v>15</v>
      </c>
      <c r="D258" s="15">
        <v>256779411813</v>
      </c>
      <c r="E258" s="16" t="s">
        <v>0</v>
      </c>
      <c r="F258" s="17">
        <v>147</v>
      </c>
      <c r="G258" s="18" t="s">
        <v>16</v>
      </c>
      <c r="H258" s="1"/>
      <c r="I258" s="2"/>
      <c r="J258" s="2"/>
      <c r="K258" s="2"/>
      <c r="L258" s="2"/>
    </row>
    <row r="259" spans="1:12" x14ac:dyDescent="0.35">
      <c r="A259" s="8">
        <v>45870</v>
      </c>
      <c r="B259" s="9" t="s">
        <v>10</v>
      </c>
      <c r="C259" s="45" t="s">
        <v>58</v>
      </c>
      <c r="D259" s="45"/>
      <c r="E259" s="10" t="s">
        <v>73</v>
      </c>
      <c r="F259" s="11"/>
      <c r="G259" s="11">
        <v>0.98</v>
      </c>
      <c r="H259" s="12" t="s">
        <v>13</v>
      </c>
      <c r="I259" s="13" t="s">
        <v>126</v>
      </c>
      <c r="J259" s="11"/>
      <c r="K259" s="11">
        <v>84</v>
      </c>
      <c r="L259" s="2"/>
    </row>
    <row r="260" spans="1:12" x14ac:dyDescent="0.35">
      <c r="A260" s="43"/>
      <c r="B260" s="43"/>
      <c r="C260" s="14" t="s">
        <v>15</v>
      </c>
      <c r="D260" s="15">
        <v>256779411814</v>
      </c>
      <c r="E260" s="16" t="s">
        <v>0</v>
      </c>
      <c r="F260" s="17">
        <v>84</v>
      </c>
      <c r="G260" s="18" t="s">
        <v>16</v>
      </c>
      <c r="H260" s="1"/>
      <c r="I260" s="2"/>
      <c r="J260" s="2"/>
      <c r="K260" s="2"/>
      <c r="L260" s="2"/>
    </row>
    <row r="261" spans="1:12" x14ac:dyDescent="0.35">
      <c r="A261" s="8">
        <v>45870</v>
      </c>
      <c r="B261" s="9" t="s">
        <v>10</v>
      </c>
      <c r="C261" s="45" t="s">
        <v>58</v>
      </c>
      <c r="D261" s="45"/>
      <c r="E261" s="10" t="s">
        <v>73</v>
      </c>
      <c r="F261" s="11"/>
      <c r="G261" s="11">
        <v>14.7</v>
      </c>
      <c r="H261" s="12" t="s">
        <v>13</v>
      </c>
      <c r="I261" s="13" t="s">
        <v>127</v>
      </c>
      <c r="J261" s="11"/>
      <c r="K261" s="11">
        <v>1259</v>
      </c>
      <c r="L261" s="2"/>
    </row>
    <row r="262" spans="1:12" x14ac:dyDescent="0.35">
      <c r="A262" s="43"/>
      <c r="B262" s="43"/>
      <c r="C262" s="14" t="s">
        <v>15</v>
      </c>
      <c r="D262" s="15">
        <v>256779411815</v>
      </c>
      <c r="E262" s="16" t="s">
        <v>0</v>
      </c>
      <c r="F262" s="17">
        <v>1259</v>
      </c>
      <c r="G262" s="18" t="s">
        <v>16</v>
      </c>
      <c r="H262" s="1"/>
      <c r="I262" s="2"/>
      <c r="J262" s="2"/>
      <c r="K262" s="2"/>
      <c r="L262" s="2"/>
    </row>
    <row r="263" spans="1:12" x14ac:dyDescent="0.35">
      <c r="A263" s="8">
        <v>45870</v>
      </c>
      <c r="B263" s="9" t="s">
        <v>10</v>
      </c>
      <c r="C263" s="45" t="s">
        <v>68</v>
      </c>
      <c r="D263" s="45"/>
      <c r="E263" s="10" t="s">
        <v>73</v>
      </c>
      <c r="F263" s="11"/>
      <c r="G263" s="11">
        <v>6.94</v>
      </c>
      <c r="H263" s="12" t="s">
        <v>13</v>
      </c>
      <c r="I263" s="13" t="s">
        <v>128</v>
      </c>
      <c r="J263" s="11"/>
      <c r="K263" s="11">
        <v>594</v>
      </c>
      <c r="L263" s="2"/>
    </row>
    <row r="264" spans="1:12" x14ac:dyDescent="0.35">
      <c r="A264" s="43"/>
      <c r="B264" s="43"/>
      <c r="C264" s="14" t="s">
        <v>15</v>
      </c>
      <c r="D264" s="15">
        <v>256779411894</v>
      </c>
      <c r="E264" s="16" t="s">
        <v>0</v>
      </c>
      <c r="F264" s="17">
        <v>594</v>
      </c>
      <c r="G264" s="18" t="s">
        <v>16</v>
      </c>
      <c r="H264" s="1"/>
      <c r="I264" s="2"/>
      <c r="J264" s="2"/>
      <c r="K264" s="2"/>
      <c r="L264" s="2"/>
    </row>
    <row r="265" spans="1:12" x14ac:dyDescent="0.35">
      <c r="A265" s="8">
        <v>45870</v>
      </c>
      <c r="B265" s="9" t="s">
        <v>10</v>
      </c>
      <c r="C265" s="45" t="s">
        <v>58</v>
      </c>
      <c r="D265" s="45"/>
      <c r="E265" s="10" t="s">
        <v>73</v>
      </c>
      <c r="F265" s="11"/>
      <c r="G265" s="11">
        <v>0.98</v>
      </c>
      <c r="H265" s="12" t="s">
        <v>13</v>
      </c>
      <c r="I265" s="13" t="s">
        <v>129</v>
      </c>
      <c r="J265" s="11"/>
      <c r="K265" s="11">
        <v>84</v>
      </c>
      <c r="L265" s="2"/>
    </row>
    <row r="266" spans="1:12" x14ac:dyDescent="0.35">
      <c r="A266" s="43"/>
      <c r="B266" s="43"/>
      <c r="C266" s="14" t="s">
        <v>15</v>
      </c>
      <c r="D266" s="15">
        <v>256779411895</v>
      </c>
      <c r="E266" s="16" t="s">
        <v>0</v>
      </c>
      <c r="F266" s="17">
        <v>84</v>
      </c>
      <c r="G266" s="18" t="s">
        <v>16</v>
      </c>
      <c r="H266" s="1"/>
      <c r="I266" s="2"/>
      <c r="J266" s="2"/>
      <c r="K266" s="2"/>
      <c r="L266" s="2"/>
    </row>
    <row r="267" spans="1:12" x14ac:dyDescent="0.35">
      <c r="A267" s="8">
        <v>45870</v>
      </c>
      <c r="B267" s="9" t="s">
        <v>10</v>
      </c>
      <c r="C267" s="45" t="s">
        <v>50</v>
      </c>
      <c r="D267" s="45"/>
      <c r="E267" s="10" t="s">
        <v>73</v>
      </c>
      <c r="F267" s="11"/>
      <c r="G267" s="11">
        <v>479.77</v>
      </c>
      <c r="H267" s="12" t="s">
        <v>13</v>
      </c>
      <c r="I267" s="13" t="s">
        <v>130</v>
      </c>
      <c r="J267" s="11"/>
      <c r="K267" s="11">
        <v>41567</v>
      </c>
      <c r="L267" s="2"/>
    </row>
    <row r="268" spans="1:12" x14ac:dyDescent="0.35">
      <c r="A268" s="43"/>
      <c r="B268" s="43"/>
      <c r="C268" s="14" t="s">
        <v>15</v>
      </c>
      <c r="D268" s="15">
        <v>256779412024</v>
      </c>
      <c r="E268" s="16" t="s">
        <v>0</v>
      </c>
      <c r="F268" s="17">
        <v>41567</v>
      </c>
      <c r="G268" s="18" t="s">
        <v>16</v>
      </c>
      <c r="H268" s="1"/>
      <c r="I268" s="2"/>
      <c r="J268" s="2"/>
      <c r="K268" s="2"/>
      <c r="L268" s="2"/>
    </row>
    <row r="269" spans="1:12" x14ac:dyDescent="0.35">
      <c r="A269" s="8">
        <v>45870</v>
      </c>
      <c r="B269" s="9" t="s">
        <v>10</v>
      </c>
      <c r="C269" s="45" t="s">
        <v>50</v>
      </c>
      <c r="D269" s="45"/>
      <c r="E269" s="10" t="s">
        <v>73</v>
      </c>
      <c r="F269" s="11"/>
      <c r="G269" s="11">
        <v>12.6</v>
      </c>
      <c r="H269" s="12" t="s">
        <v>13</v>
      </c>
      <c r="I269" s="13" t="s">
        <v>131</v>
      </c>
      <c r="J269" s="11"/>
      <c r="K269" s="11">
        <v>1078</v>
      </c>
      <c r="L269" s="2"/>
    </row>
    <row r="270" spans="1:12" x14ac:dyDescent="0.35">
      <c r="A270" s="43"/>
      <c r="B270" s="43"/>
      <c r="C270" s="14" t="s">
        <v>15</v>
      </c>
      <c r="D270" s="15">
        <v>256779412105</v>
      </c>
      <c r="E270" s="16" t="s">
        <v>0</v>
      </c>
      <c r="F270" s="17">
        <v>1078</v>
      </c>
      <c r="G270" s="18" t="s">
        <v>16</v>
      </c>
      <c r="H270" s="1"/>
      <c r="I270" s="2"/>
      <c r="J270" s="2"/>
      <c r="K270" s="2"/>
      <c r="L270" s="2"/>
    </row>
    <row r="271" spans="1:12" x14ac:dyDescent="0.35">
      <c r="A271" s="8">
        <v>45870</v>
      </c>
      <c r="B271" s="9" t="s">
        <v>10</v>
      </c>
      <c r="C271" s="45" t="s">
        <v>58</v>
      </c>
      <c r="D271" s="45"/>
      <c r="E271" s="10" t="s">
        <v>73</v>
      </c>
      <c r="F271" s="11"/>
      <c r="G271" s="11">
        <v>17.39</v>
      </c>
      <c r="H271" s="12" t="s">
        <v>13</v>
      </c>
      <c r="I271" s="13" t="s">
        <v>132</v>
      </c>
      <c r="J271" s="11"/>
      <c r="K271" s="11">
        <v>1512</v>
      </c>
      <c r="L271" s="2"/>
    </row>
    <row r="272" spans="1:12" x14ac:dyDescent="0.35">
      <c r="A272" s="43"/>
      <c r="B272" s="43"/>
      <c r="C272" s="14" t="s">
        <v>15</v>
      </c>
      <c r="D272" s="15">
        <v>256779412567</v>
      </c>
      <c r="E272" s="16" t="s">
        <v>0</v>
      </c>
      <c r="F272" s="17">
        <v>1512</v>
      </c>
      <c r="G272" s="18" t="s">
        <v>16</v>
      </c>
      <c r="H272" s="1"/>
      <c r="I272" s="2"/>
      <c r="J272" s="2"/>
      <c r="K272" s="2"/>
      <c r="L272" s="2"/>
    </row>
    <row r="273" spans="1:12" x14ac:dyDescent="0.35">
      <c r="A273" s="8">
        <v>45870</v>
      </c>
      <c r="B273" s="9" t="s">
        <v>10</v>
      </c>
      <c r="C273" s="45" t="s">
        <v>58</v>
      </c>
      <c r="D273" s="45"/>
      <c r="E273" s="10" t="s">
        <v>73</v>
      </c>
      <c r="F273" s="11"/>
      <c r="G273" s="11">
        <v>42.15</v>
      </c>
      <c r="H273" s="12" t="s">
        <v>13</v>
      </c>
      <c r="I273" s="13" t="s">
        <v>133</v>
      </c>
      <c r="J273" s="11"/>
      <c r="K273" s="11">
        <v>3664</v>
      </c>
      <c r="L273" s="2"/>
    </row>
    <row r="274" spans="1:12" x14ac:dyDescent="0.35">
      <c r="A274" s="43"/>
      <c r="B274" s="43"/>
      <c r="C274" s="14" t="s">
        <v>15</v>
      </c>
      <c r="D274" s="15">
        <v>256779412618</v>
      </c>
      <c r="E274" s="16" t="s">
        <v>0</v>
      </c>
      <c r="F274" s="17">
        <v>3664</v>
      </c>
      <c r="G274" s="18" t="s">
        <v>16</v>
      </c>
      <c r="H274" s="1"/>
      <c r="I274" s="2"/>
      <c r="J274" s="2"/>
      <c r="K274" s="2"/>
      <c r="L274" s="2"/>
    </row>
    <row r="275" spans="1:12" x14ac:dyDescent="0.35">
      <c r="A275" s="8">
        <v>45870</v>
      </c>
      <c r="B275" s="9" t="s">
        <v>16</v>
      </c>
      <c r="C275" s="45" t="s">
        <v>44</v>
      </c>
      <c r="D275" s="45"/>
      <c r="E275" s="10" t="s">
        <v>45</v>
      </c>
      <c r="F275" s="11"/>
      <c r="G275" s="11"/>
      <c r="H275" s="12" t="s">
        <v>46</v>
      </c>
      <c r="I275" s="13" t="s">
        <v>134</v>
      </c>
      <c r="J275" s="11">
        <v>450000</v>
      </c>
      <c r="K275" s="11"/>
      <c r="L275" s="2"/>
    </row>
    <row r="276" spans="1:12" x14ac:dyDescent="0.35">
      <c r="A276" s="43"/>
      <c r="B276" s="43"/>
      <c r="C276" s="14" t="s">
        <v>48</v>
      </c>
      <c r="D276" s="15">
        <v>256779410804</v>
      </c>
      <c r="E276" s="16" t="s">
        <v>0</v>
      </c>
      <c r="F276" s="17">
        <v>139364</v>
      </c>
      <c r="G276" s="18" t="s">
        <v>10</v>
      </c>
      <c r="H276" s="1"/>
      <c r="I276" s="2"/>
      <c r="J276" s="2"/>
      <c r="K276" s="2"/>
      <c r="L276" s="2"/>
    </row>
    <row r="277" spans="1:12" x14ac:dyDescent="0.35">
      <c r="A277" s="43"/>
      <c r="B277" s="43"/>
      <c r="C277" s="14" t="s">
        <v>48</v>
      </c>
      <c r="D277" s="15">
        <v>256779410088</v>
      </c>
      <c r="E277" s="16" t="s">
        <v>0</v>
      </c>
      <c r="F277" s="17">
        <v>441</v>
      </c>
      <c r="G277" s="18" t="s">
        <v>10</v>
      </c>
      <c r="H277" s="1"/>
      <c r="I277" s="2"/>
      <c r="J277" s="2"/>
      <c r="K277" s="2"/>
      <c r="L277" s="2"/>
    </row>
    <row r="278" spans="1:12" x14ac:dyDescent="0.35">
      <c r="A278" s="43"/>
      <c r="B278" s="43"/>
      <c r="C278" s="14" t="s">
        <v>48</v>
      </c>
      <c r="D278" s="15">
        <v>256779410089</v>
      </c>
      <c r="E278" s="16" t="s">
        <v>0</v>
      </c>
      <c r="F278" s="17">
        <v>2518</v>
      </c>
      <c r="G278" s="18" t="s">
        <v>10</v>
      </c>
      <c r="H278" s="1"/>
      <c r="I278" s="2"/>
      <c r="J278" s="2"/>
      <c r="K278" s="2"/>
      <c r="L278" s="2"/>
    </row>
    <row r="279" spans="1:12" x14ac:dyDescent="0.35">
      <c r="A279" s="43"/>
      <c r="B279" s="43"/>
      <c r="C279" s="14" t="s">
        <v>48</v>
      </c>
      <c r="D279" s="15">
        <v>256779410139</v>
      </c>
      <c r="E279" s="16" t="s">
        <v>0</v>
      </c>
      <c r="F279" s="17">
        <v>294</v>
      </c>
      <c r="G279" s="18" t="s">
        <v>10</v>
      </c>
      <c r="H279" s="1"/>
      <c r="I279" s="2"/>
      <c r="J279" s="2"/>
      <c r="K279" s="2"/>
      <c r="L279" s="2"/>
    </row>
    <row r="280" spans="1:12" x14ac:dyDescent="0.35">
      <c r="A280" s="43"/>
      <c r="B280" s="43"/>
      <c r="C280" s="14" t="s">
        <v>48</v>
      </c>
      <c r="D280" s="15">
        <v>256779410140</v>
      </c>
      <c r="E280" s="16" t="s">
        <v>0</v>
      </c>
      <c r="F280" s="17">
        <v>84</v>
      </c>
      <c r="G280" s="18" t="s">
        <v>10</v>
      </c>
      <c r="H280" s="1"/>
      <c r="I280" s="2"/>
      <c r="J280" s="2"/>
      <c r="K280" s="2"/>
      <c r="L280" s="2"/>
    </row>
    <row r="281" spans="1:12" x14ac:dyDescent="0.35">
      <c r="A281" s="43"/>
      <c r="B281" s="43"/>
      <c r="C281" s="14" t="s">
        <v>48</v>
      </c>
      <c r="D281" s="15">
        <v>256779411167</v>
      </c>
      <c r="E281" s="16" t="s">
        <v>0</v>
      </c>
      <c r="F281" s="17">
        <v>5779</v>
      </c>
      <c r="G281" s="18" t="s">
        <v>10</v>
      </c>
      <c r="H281" s="1"/>
      <c r="I281" s="2"/>
      <c r="J281" s="2"/>
      <c r="K281" s="2"/>
      <c r="L281" s="2"/>
    </row>
    <row r="282" spans="1:12" x14ac:dyDescent="0.35">
      <c r="A282" s="43"/>
      <c r="B282" s="43"/>
      <c r="C282" s="14" t="s">
        <v>48</v>
      </c>
      <c r="D282" s="15">
        <v>256779411168</v>
      </c>
      <c r="E282" s="16" t="s">
        <v>0</v>
      </c>
      <c r="F282" s="17">
        <v>5081</v>
      </c>
      <c r="G282" s="18" t="s">
        <v>10</v>
      </c>
      <c r="H282" s="1"/>
      <c r="I282" s="2"/>
      <c r="J282" s="2"/>
      <c r="K282" s="2"/>
      <c r="L282" s="2"/>
    </row>
    <row r="283" spans="1:12" x14ac:dyDescent="0.35">
      <c r="A283" s="43"/>
      <c r="B283" s="43"/>
      <c r="C283" s="14" t="s">
        <v>48</v>
      </c>
      <c r="D283" s="15">
        <v>256779411169</v>
      </c>
      <c r="E283" s="16" t="s">
        <v>0</v>
      </c>
      <c r="F283" s="17">
        <v>4199</v>
      </c>
      <c r="G283" s="18" t="s">
        <v>10</v>
      </c>
      <c r="H283" s="1"/>
      <c r="I283" s="2"/>
      <c r="J283" s="2"/>
      <c r="K283" s="2"/>
      <c r="L283" s="2"/>
    </row>
    <row r="284" spans="1:12" x14ac:dyDescent="0.35">
      <c r="A284" s="43"/>
      <c r="B284" s="43"/>
      <c r="C284" s="14" t="s">
        <v>48</v>
      </c>
      <c r="D284" s="15">
        <v>256779411170</v>
      </c>
      <c r="E284" s="16" t="s">
        <v>0</v>
      </c>
      <c r="F284" s="17">
        <v>10077</v>
      </c>
      <c r="G284" s="18" t="s">
        <v>10</v>
      </c>
      <c r="H284" s="1"/>
      <c r="I284" s="2"/>
      <c r="J284" s="2"/>
      <c r="K284" s="2"/>
      <c r="L284" s="2"/>
    </row>
    <row r="285" spans="1:12" x14ac:dyDescent="0.35">
      <c r="A285" s="43"/>
      <c r="B285" s="43"/>
      <c r="C285" s="14" t="s">
        <v>48</v>
      </c>
      <c r="D285" s="15">
        <v>256779411724</v>
      </c>
      <c r="E285" s="16" t="s">
        <v>0</v>
      </c>
      <c r="F285" s="17">
        <v>52814</v>
      </c>
      <c r="G285" s="18" t="s">
        <v>10</v>
      </c>
      <c r="H285" s="1"/>
      <c r="I285" s="2"/>
      <c r="J285" s="2"/>
      <c r="K285" s="2"/>
      <c r="L285" s="2"/>
    </row>
    <row r="286" spans="1:12" x14ac:dyDescent="0.35">
      <c r="A286" s="43"/>
      <c r="B286" s="43"/>
      <c r="C286" s="14" t="s">
        <v>48</v>
      </c>
      <c r="D286" s="15">
        <v>256779411813</v>
      </c>
      <c r="E286" s="16" t="s">
        <v>0</v>
      </c>
      <c r="F286" s="17">
        <v>147</v>
      </c>
      <c r="G286" s="18" t="s">
        <v>10</v>
      </c>
      <c r="H286" s="1"/>
      <c r="I286" s="2"/>
      <c r="J286" s="2"/>
      <c r="K286" s="2"/>
      <c r="L286" s="2"/>
    </row>
    <row r="287" spans="1:12" x14ac:dyDescent="0.35">
      <c r="A287" s="43"/>
      <c r="B287" s="43"/>
      <c r="C287" s="14" t="s">
        <v>48</v>
      </c>
      <c r="D287" s="15">
        <v>256779411814</v>
      </c>
      <c r="E287" s="16" t="s">
        <v>0</v>
      </c>
      <c r="F287" s="17">
        <v>84</v>
      </c>
      <c r="G287" s="18" t="s">
        <v>10</v>
      </c>
      <c r="H287" s="1"/>
      <c r="I287" s="2"/>
      <c r="J287" s="2"/>
      <c r="K287" s="2"/>
      <c r="L287" s="2"/>
    </row>
    <row r="288" spans="1:12" x14ac:dyDescent="0.35">
      <c r="A288" s="43"/>
      <c r="B288" s="43"/>
      <c r="C288" s="14" t="s">
        <v>48</v>
      </c>
      <c r="D288" s="15">
        <v>256779411815</v>
      </c>
      <c r="E288" s="16" t="s">
        <v>0</v>
      </c>
      <c r="F288" s="17">
        <v>1259</v>
      </c>
      <c r="G288" s="18" t="s">
        <v>10</v>
      </c>
      <c r="H288" s="1"/>
      <c r="I288" s="2"/>
      <c r="J288" s="2"/>
      <c r="K288" s="2"/>
      <c r="L288" s="2"/>
    </row>
    <row r="289" spans="1:12" x14ac:dyDescent="0.35">
      <c r="A289" s="43"/>
      <c r="B289" s="43"/>
      <c r="C289" s="14" t="s">
        <v>48</v>
      </c>
      <c r="D289" s="15">
        <v>256779411894</v>
      </c>
      <c r="E289" s="16" t="s">
        <v>0</v>
      </c>
      <c r="F289" s="17">
        <v>594</v>
      </c>
      <c r="G289" s="18" t="s">
        <v>10</v>
      </c>
      <c r="H289" s="1"/>
      <c r="I289" s="2"/>
      <c r="J289" s="2"/>
      <c r="K289" s="2"/>
      <c r="L289" s="2"/>
    </row>
    <row r="290" spans="1:12" x14ac:dyDescent="0.35">
      <c r="A290" s="43"/>
      <c r="B290" s="43"/>
      <c r="C290" s="14" t="s">
        <v>48</v>
      </c>
      <c r="D290" s="15">
        <v>256779411895</v>
      </c>
      <c r="E290" s="16" t="s">
        <v>0</v>
      </c>
      <c r="F290" s="17">
        <v>84</v>
      </c>
      <c r="G290" s="18" t="s">
        <v>10</v>
      </c>
      <c r="H290" s="1"/>
      <c r="I290" s="2"/>
      <c r="J290" s="2"/>
      <c r="K290" s="2"/>
      <c r="L290" s="2"/>
    </row>
    <row r="291" spans="1:12" x14ac:dyDescent="0.35">
      <c r="A291" s="43"/>
      <c r="B291" s="43"/>
      <c r="C291" s="14" t="s">
        <v>48</v>
      </c>
      <c r="D291" s="15">
        <v>256779412024</v>
      </c>
      <c r="E291" s="16" t="s">
        <v>0</v>
      </c>
      <c r="F291" s="17">
        <v>41567</v>
      </c>
      <c r="G291" s="18" t="s">
        <v>10</v>
      </c>
      <c r="H291" s="1"/>
      <c r="I291" s="2"/>
      <c r="J291" s="2"/>
      <c r="K291" s="2"/>
      <c r="L291" s="2"/>
    </row>
    <row r="292" spans="1:12" x14ac:dyDescent="0.35">
      <c r="A292" s="43"/>
      <c r="B292" s="43"/>
      <c r="C292" s="14" t="s">
        <v>48</v>
      </c>
      <c r="D292" s="15">
        <v>256779412105</v>
      </c>
      <c r="E292" s="16" t="s">
        <v>0</v>
      </c>
      <c r="F292" s="17">
        <v>1078</v>
      </c>
      <c r="G292" s="18" t="s">
        <v>10</v>
      </c>
      <c r="H292" s="1"/>
      <c r="I292" s="2"/>
      <c r="J292" s="2"/>
      <c r="K292" s="2"/>
      <c r="L292" s="2"/>
    </row>
    <row r="293" spans="1:12" x14ac:dyDescent="0.35">
      <c r="A293" s="43"/>
      <c r="B293" s="43"/>
      <c r="C293" s="14" t="s">
        <v>48</v>
      </c>
      <c r="D293" s="15">
        <v>256779412111</v>
      </c>
      <c r="E293" s="16" t="s">
        <v>0</v>
      </c>
      <c r="F293" s="17">
        <v>83452</v>
      </c>
      <c r="G293" s="18" t="s">
        <v>10</v>
      </c>
      <c r="H293" s="1"/>
      <c r="I293" s="2"/>
      <c r="J293" s="2"/>
      <c r="K293" s="2"/>
      <c r="L293" s="2"/>
    </row>
    <row r="294" spans="1:12" x14ac:dyDescent="0.35">
      <c r="A294" s="43"/>
      <c r="B294" s="43"/>
      <c r="C294" s="14" t="s">
        <v>48</v>
      </c>
      <c r="D294" s="15">
        <v>256779412160</v>
      </c>
      <c r="E294" s="16" t="s">
        <v>0</v>
      </c>
      <c r="F294" s="17">
        <v>14552</v>
      </c>
      <c r="G294" s="18" t="s">
        <v>10</v>
      </c>
      <c r="H294" s="1"/>
      <c r="I294" s="2"/>
      <c r="J294" s="2"/>
      <c r="K294" s="2"/>
      <c r="L294" s="2"/>
    </row>
    <row r="295" spans="1:12" x14ac:dyDescent="0.35">
      <c r="A295" s="43"/>
      <c r="B295" s="43"/>
      <c r="C295" s="14" t="s">
        <v>48</v>
      </c>
      <c r="D295" s="15">
        <v>256779412567</v>
      </c>
      <c r="E295" s="16" t="s">
        <v>0</v>
      </c>
      <c r="F295" s="17">
        <v>1512</v>
      </c>
      <c r="G295" s="18" t="s">
        <v>10</v>
      </c>
      <c r="H295" s="1"/>
      <c r="I295" s="2"/>
      <c r="J295" s="2"/>
      <c r="K295" s="2"/>
      <c r="L295" s="2"/>
    </row>
    <row r="296" spans="1:12" x14ac:dyDescent="0.35">
      <c r="A296" s="43"/>
      <c r="B296" s="43"/>
      <c r="C296" s="14" t="s">
        <v>48</v>
      </c>
      <c r="D296" s="15">
        <v>256779412618</v>
      </c>
      <c r="E296" s="16" t="s">
        <v>0</v>
      </c>
      <c r="F296" s="17">
        <v>3664</v>
      </c>
      <c r="G296" s="18" t="s">
        <v>10</v>
      </c>
      <c r="H296" s="1"/>
      <c r="I296" s="2"/>
      <c r="J296" s="2"/>
      <c r="K296" s="2"/>
      <c r="L296" s="2"/>
    </row>
    <row r="297" spans="1:12" x14ac:dyDescent="0.35">
      <c r="A297" s="43"/>
      <c r="B297" s="43"/>
      <c r="C297" s="14" t="s">
        <v>15</v>
      </c>
      <c r="D297" s="15">
        <v>256779412661</v>
      </c>
      <c r="E297" s="16" t="s">
        <v>0</v>
      </c>
      <c r="F297" s="17">
        <v>515</v>
      </c>
      <c r="G297" s="18" t="s">
        <v>10</v>
      </c>
      <c r="H297" s="1"/>
      <c r="I297" s="2"/>
      <c r="J297" s="2"/>
      <c r="K297" s="2"/>
      <c r="L297" s="2"/>
    </row>
    <row r="298" spans="1:12" x14ac:dyDescent="0.35">
      <c r="A298" s="43"/>
      <c r="B298" s="43"/>
      <c r="C298" s="14" t="s">
        <v>48</v>
      </c>
      <c r="D298" s="15">
        <v>256779412779</v>
      </c>
      <c r="E298" s="16" t="s">
        <v>0</v>
      </c>
      <c r="F298" s="17">
        <v>80841</v>
      </c>
      <c r="G298" s="18" t="s">
        <v>10</v>
      </c>
      <c r="H298" s="1"/>
      <c r="I298" s="2"/>
      <c r="J298" s="2"/>
      <c r="K298" s="2"/>
      <c r="L298" s="2"/>
    </row>
    <row r="299" spans="1:12" x14ac:dyDescent="0.35">
      <c r="A299" s="8">
        <v>45870</v>
      </c>
      <c r="B299" s="9" t="s">
        <v>10</v>
      </c>
      <c r="C299" s="45" t="s">
        <v>68</v>
      </c>
      <c r="D299" s="45"/>
      <c r="E299" s="10" t="s">
        <v>73</v>
      </c>
      <c r="F299" s="11"/>
      <c r="G299" s="11">
        <v>5.92</v>
      </c>
      <c r="H299" s="12" t="s">
        <v>13</v>
      </c>
      <c r="I299" s="13" t="s">
        <v>135</v>
      </c>
      <c r="J299" s="11"/>
      <c r="K299" s="11">
        <v>515</v>
      </c>
      <c r="L299" s="2"/>
    </row>
    <row r="300" spans="1:12" x14ac:dyDescent="0.35">
      <c r="A300" s="43"/>
      <c r="B300" s="43"/>
      <c r="C300" s="14" t="s">
        <v>48</v>
      </c>
      <c r="D300" s="15">
        <v>256779412661</v>
      </c>
      <c r="E300" s="16" t="s">
        <v>0</v>
      </c>
      <c r="F300" s="17">
        <v>515</v>
      </c>
      <c r="G300" s="18" t="s">
        <v>16</v>
      </c>
      <c r="H300" s="1"/>
      <c r="I300" s="2"/>
      <c r="J300" s="2"/>
      <c r="K300" s="2"/>
      <c r="L300" s="2"/>
    </row>
    <row r="301" spans="1:12" x14ac:dyDescent="0.35">
      <c r="A301" s="8">
        <v>45870</v>
      </c>
      <c r="B301" s="9" t="s">
        <v>10</v>
      </c>
      <c r="C301" s="45" t="s">
        <v>58</v>
      </c>
      <c r="D301" s="45"/>
      <c r="E301" s="10" t="s">
        <v>73</v>
      </c>
      <c r="F301" s="11"/>
      <c r="G301" s="11">
        <v>185.42</v>
      </c>
      <c r="H301" s="12" t="s">
        <v>13</v>
      </c>
      <c r="I301" s="13" t="s">
        <v>136</v>
      </c>
      <c r="J301" s="11"/>
      <c r="K301" s="11">
        <v>16117</v>
      </c>
      <c r="L301" s="2"/>
    </row>
    <row r="302" spans="1:12" x14ac:dyDescent="0.35">
      <c r="A302" s="43"/>
      <c r="B302" s="43"/>
      <c r="C302" s="14" t="s">
        <v>15</v>
      </c>
      <c r="D302" s="15">
        <v>256779412892</v>
      </c>
      <c r="E302" s="16" t="s">
        <v>0</v>
      </c>
      <c r="F302" s="17">
        <v>16117</v>
      </c>
      <c r="G302" s="18" t="s">
        <v>16</v>
      </c>
      <c r="H302" s="1"/>
      <c r="I302" s="2"/>
      <c r="J302" s="2"/>
      <c r="K302" s="2"/>
      <c r="L302" s="2"/>
    </row>
    <row r="303" spans="1:12" x14ac:dyDescent="0.35">
      <c r="A303" s="8">
        <v>45870</v>
      </c>
      <c r="B303" s="9" t="s">
        <v>10</v>
      </c>
      <c r="C303" s="45" t="s">
        <v>50</v>
      </c>
      <c r="D303" s="45"/>
      <c r="E303" s="10" t="s">
        <v>137</v>
      </c>
      <c r="F303" s="11"/>
      <c r="G303" s="11">
        <v>388.85</v>
      </c>
      <c r="H303" s="12" t="s">
        <v>13</v>
      </c>
      <c r="I303" s="13" t="s">
        <v>138</v>
      </c>
      <c r="J303" s="11"/>
      <c r="K303" s="11">
        <v>33169</v>
      </c>
      <c r="L303" s="2"/>
    </row>
    <row r="304" spans="1:12" x14ac:dyDescent="0.35">
      <c r="A304" s="43"/>
      <c r="B304" s="43"/>
      <c r="C304" s="14" t="s">
        <v>15</v>
      </c>
      <c r="D304" s="15">
        <v>256779413245</v>
      </c>
      <c r="E304" s="16" t="s">
        <v>0</v>
      </c>
      <c r="F304" s="17">
        <v>33169</v>
      </c>
      <c r="G304" s="18" t="s">
        <v>16</v>
      </c>
      <c r="H304" s="1"/>
      <c r="I304" s="2"/>
      <c r="J304" s="2"/>
      <c r="K304" s="2"/>
      <c r="L304" s="2"/>
    </row>
    <row r="305" spans="1:12" x14ac:dyDescent="0.35">
      <c r="A305" s="8">
        <v>45870</v>
      </c>
      <c r="B305" s="9" t="s">
        <v>10</v>
      </c>
      <c r="C305" s="45" t="s">
        <v>123</v>
      </c>
      <c r="D305" s="45"/>
      <c r="E305" s="10" t="s">
        <v>137</v>
      </c>
      <c r="F305" s="11"/>
      <c r="G305" s="11">
        <v>535.08000000000004</v>
      </c>
      <c r="H305" s="12" t="s">
        <v>13</v>
      </c>
      <c r="I305" s="13" t="s">
        <v>139</v>
      </c>
      <c r="J305" s="11"/>
      <c r="K305" s="11">
        <v>46008</v>
      </c>
      <c r="L305" s="2"/>
    </row>
    <row r="306" spans="1:12" x14ac:dyDescent="0.35">
      <c r="A306" s="43"/>
      <c r="B306" s="43"/>
      <c r="C306" s="14" t="s">
        <v>15</v>
      </c>
      <c r="D306" s="15">
        <v>256779413316</v>
      </c>
      <c r="E306" s="16" t="s">
        <v>0</v>
      </c>
      <c r="F306" s="17">
        <v>46008</v>
      </c>
      <c r="G306" s="18" t="s">
        <v>16</v>
      </c>
      <c r="H306" s="1"/>
      <c r="I306" s="2"/>
      <c r="J306" s="2"/>
      <c r="K306" s="2"/>
      <c r="L306" s="2"/>
    </row>
    <row r="307" spans="1:12" x14ac:dyDescent="0.35">
      <c r="A307" s="8">
        <v>45870</v>
      </c>
      <c r="B307" s="9" t="s">
        <v>10</v>
      </c>
      <c r="C307" s="45" t="s">
        <v>68</v>
      </c>
      <c r="D307" s="45"/>
      <c r="E307" s="10" t="s">
        <v>137</v>
      </c>
      <c r="F307" s="11"/>
      <c r="G307" s="11">
        <v>86.97</v>
      </c>
      <c r="H307" s="12" t="s">
        <v>13</v>
      </c>
      <c r="I307" s="13" t="s">
        <v>140</v>
      </c>
      <c r="J307" s="11"/>
      <c r="K307" s="11">
        <v>7478</v>
      </c>
      <c r="L307" s="2"/>
    </row>
    <row r="308" spans="1:12" x14ac:dyDescent="0.35">
      <c r="A308" s="43"/>
      <c r="B308" s="43"/>
      <c r="C308" s="14" t="s">
        <v>15</v>
      </c>
      <c r="D308" s="15">
        <v>256779413491</v>
      </c>
      <c r="E308" s="16" t="s">
        <v>0</v>
      </c>
      <c r="F308" s="17">
        <v>7478</v>
      </c>
      <c r="G308" s="18" t="s">
        <v>16</v>
      </c>
      <c r="H308" s="1"/>
      <c r="I308" s="2"/>
      <c r="J308" s="2"/>
      <c r="K308" s="2"/>
      <c r="L308" s="2"/>
    </row>
    <row r="309" spans="1:12" x14ac:dyDescent="0.35">
      <c r="A309" s="8">
        <v>45870</v>
      </c>
      <c r="B309" s="9" t="s">
        <v>10</v>
      </c>
      <c r="C309" s="45" t="s">
        <v>68</v>
      </c>
      <c r="D309" s="45"/>
      <c r="E309" s="10" t="s">
        <v>141</v>
      </c>
      <c r="F309" s="11"/>
      <c r="G309" s="11">
        <v>361.5</v>
      </c>
      <c r="H309" s="12" t="s">
        <v>13</v>
      </c>
      <c r="I309" s="13" t="s">
        <v>14</v>
      </c>
      <c r="J309" s="11"/>
      <c r="K309" s="11">
        <v>30905</v>
      </c>
      <c r="L309" s="2"/>
    </row>
    <row r="310" spans="1:12" x14ac:dyDescent="0.35">
      <c r="A310" s="43"/>
      <c r="B310" s="43"/>
      <c r="C310" s="14" t="s">
        <v>15</v>
      </c>
      <c r="D310" s="15">
        <v>256779413922</v>
      </c>
      <c r="E310" s="16" t="s">
        <v>0</v>
      </c>
      <c r="F310" s="17">
        <v>30905</v>
      </c>
      <c r="G310" s="18" t="s">
        <v>16</v>
      </c>
      <c r="H310" s="1"/>
      <c r="I310" s="2"/>
      <c r="J310" s="2"/>
      <c r="K310" s="2"/>
      <c r="L310" s="2"/>
    </row>
    <row r="311" spans="1:12" x14ac:dyDescent="0.35">
      <c r="A311" s="8">
        <v>45870</v>
      </c>
      <c r="B311" s="9" t="s">
        <v>10</v>
      </c>
      <c r="C311" s="45" t="s">
        <v>68</v>
      </c>
      <c r="D311" s="45"/>
      <c r="E311" s="10" t="s">
        <v>141</v>
      </c>
      <c r="F311" s="11"/>
      <c r="G311" s="11">
        <v>186.41</v>
      </c>
      <c r="H311" s="12" t="s">
        <v>13</v>
      </c>
      <c r="I311" s="13" t="s">
        <v>142</v>
      </c>
      <c r="J311" s="11"/>
      <c r="K311" s="11">
        <v>15936</v>
      </c>
      <c r="L311" s="2"/>
    </row>
    <row r="312" spans="1:12" x14ac:dyDescent="0.35">
      <c r="A312" s="43"/>
      <c r="B312" s="43"/>
      <c r="C312" s="14" t="s">
        <v>15</v>
      </c>
      <c r="D312" s="15">
        <v>256779413998</v>
      </c>
      <c r="E312" s="16" t="s">
        <v>0</v>
      </c>
      <c r="F312" s="17">
        <v>15936</v>
      </c>
      <c r="G312" s="18" t="s">
        <v>16</v>
      </c>
      <c r="H312" s="1"/>
      <c r="I312" s="2"/>
      <c r="J312" s="2"/>
      <c r="K312" s="2"/>
      <c r="L312" s="2"/>
    </row>
    <row r="313" spans="1:12" x14ac:dyDescent="0.35">
      <c r="A313" s="8">
        <v>45870</v>
      </c>
      <c r="B313" s="9" t="s">
        <v>10</v>
      </c>
      <c r="C313" s="45" t="s">
        <v>68</v>
      </c>
      <c r="D313" s="45"/>
      <c r="E313" s="10" t="s">
        <v>141</v>
      </c>
      <c r="F313" s="11"/>
      <c r="G313" s="11">
        <v>126.73</v>
      </c>
      <c r="H313" s="12" t="s">
        <v>13</v>
      </c>
      <c r="I313" s="13" t="s">
        <v>18</v>
      </c>
      <c r="J313" s="11"/>
      <c r="K313" s="11">
        <v>10834</v>
      </c>
      <c r="L313" s="2"/>
    </row>
    <row r="314" spans="1:12" x14ac:dyDescent="0.35">
      <c r="A314" s="43"/>
      <c r="B314" s="43"/>
      <c r="C314" s="14" t="s">
        <v>15</v>
      </c>
      <c r="D314" s="15">
        <v>256779414176</v>
      </c>
      <c r="E314" s="16" t="s">
        <v>0</v>
      </c>
      <c r="F314" s="17">
        <v>10834</v>
      </c>
      <c r="G314" s="18" t="s">
        <v>16</v>
      </c>
      <c r="H314" s="1"/>
      <c r="I314" s="2"/>
      <c r="J314" s="2"/>
      <c r="K314" s="2"/>
      <c r="L314" s="2"/>
    </row>
    <row r="315" spans="1:12" x14ac:dyDescent="0.35">
      <c r="A315" s="8">
        <v>45870</v>
      </c>
      <c r="B315" s="9" t="s">
        <v>10</v>
      </c>
      <c r="C315" s="45" t="s">
        <v>68</v>
      </c>
      <c r="D315" s="45"/>
      <c r="E315" s="10" t="s">
        <v>141</v>
      </c>
      <c r="F315" s="11"/>
      <c r="G315" s="11">
        <v>45.29</v>
      </c>
      <c r="H315" s="12" t="s">
        <v>13</v>
      </c>
      <c r="I315" s="13" t="s">
        <v>20</v>
      </c>
      <c r="J315" s="11"/>
      <c r="K315" s="11">
        <v>3872</v>
      </c>
      <c r="L315" s="2"/>
    </row>
    <row r="316" spans="1:12" x14ac:dyDescent="0.35">
      <c r="A316" s="43"/>
      <c r="B316" s="43"/>
      <c r="C316" s="14" t="s">
        <v>15</v>
      </c>
      <c r="D316" s="15">
        <v>256779414221</v>
      </c>
      <c r="E316" s="16" t="s">
        <v>0</v>
      </c>
      <c r="F316" s="17">
        <v>3872</v>
      </c>
      <c r="G316" s="18" t="s">
        <v>16</v>
      </c>
      <c r="H316" s="1"/>
      <c r="I316" s="2"/>
      <c r="J316" s="2"/>
      <c r="K316" s="2"/>
      <c r="L316" s="2"/>
    </row>
    <row r="317" spans="1:12" x14ac:dyDescent="0.35">
      <c r="A317" s="8">
        <v>45870</v>
      </c>
      <c r="B317" s="9" t="s">
        <v>10</v>
      </c>
      <c r="C317" s="45" t="s">
        <v>58</v>
      </c>
      <c r="D317" s="45"/>
      <c r="E317" s="10" t="s">
        <v>141</v>
      </c>
      <c r="F317" s="11"/>
      <c r="G317" s="11">
        <v>6.88</v>
      </c>
      <c r="H317" s="12" t="s">
        <v>13</v>
      </c>
      <c r="I317" s="13" t="s">
        <v>22</v>
      </c>
      <c r="J317" s="11"/>
      <c r="K317" s="11">
        <v>588</v>
      </c>
      <c r="L317" s="2"/>
    </row>
    <row r="318" spans="1:12" x14ac:dyDescent="0.35">
      <c r="A318" s="43"/>
      <c r="B318" s="43"/>
      <c r="C318" s="14" t="s">
        <v>15</v>
      </c>
      <c r="D318" s="15">
        <v>256779414264</v>
      </c>
      <c r="E318" s="16" t="s">
        <v>0</v>
      </c>
      <c r="F318" s="17">
        <v>588</v>
      </c>
      <c r="G318" s="18" t="s">
        <v>16</v>
      </c>
      <c r="H318" s="1"/>
      <c r="I318" s="2"/>
      <c r="J318" s="2"/>
      <c r="K318" s="2"/>
      <c r="L318" s="2"/>
    </row>
    <row r="319" spans="1:12" x14ac:dyDescent="0.35">
      <c r="A319" s="8">
        <v>45870</v>
      </c>
      <c r="B319" s="9" t="s">
        <v>10</v>
      </c>
      <c r="C319" s="45" t="s">
        <v>123</v>
      </c>
      <c r="D319" s="45"/>
      <c r="E319" s="10" t="s">
        <v>141</v>
      </c>
      <c r="F319" s="11"/>
      <c r="G319" s="11">
        <v>599.14</v>
      </c>
      <c r="H319" s="12" t="s">
        <v>13</v>
      </c>
      <c r="I319" s="13" t="s">
        <v>143</v>
      </c>
      <c r="J319" s="11"/>
      <c r="K319" s="11">
        <v>51221</v>
      </c>
      <c r="L319" s="2"/>
    </row>
    <row r="320" spans="1:12" x14ac:dyDescent="0.35">
      <c r="A320" s="43"/>
      <c r="B320" s="43"/>
      <c r="C320" s="14" t="s">
        <v>15</v>
      </c>
      <c r="D320" s="15">
        <v>256779414320</v>
      </c>
      <c r="E320" s="16" t="s">
        <v>0</v>
      </c>
      <c r="F320" s="17">
        <v>51221</v>
      </c>
      <c r="G320" s="18" t="s">
        <v>16</v>
      </c>
      <c r="H320" s="1"/>
      <c r="I320" s="2"/>
      <c r="J320" s="2"/>
      <c r="K320" s="2"/>
      <c r="L320" s="2"/>
    </row>
    <row r="321" spans="1:12" x14ac:dyDescent="0.35">
      <c r="A321" s="8">
        <v>45870</v>
      </c>
      <c r="B321" s="9" t="s">
        <v>10</v>
      </c>
      <c r="C321" s="45" t="s">
        <v>58</v>
      </c>
      <c r="D321" s="45"/>
      <c r="E321" s="10" t="s">
        <v>141</v>
      </c>
      <c r="F321" s="11"/>
      <c r="G321" s="11">
        <v>107.8</v>
      </c>
      <c r="H321" s="12" t="s">
        <v>13</v>
      </c>
      <c r="I321" s="13" t="s">
        <v>24</v>
      </c>
      <c r="J321" s="11"/>
      <c r="K321" s="11">
        <v>9282</v>
      </c>
      <c r="L321" s="2"/>
    </row>
    <row r="322" spans="1:12" x14ac:dyDescent="0.35">
      <c r="A322" s="43"/>
      <c r="B322" s="43"/>
      <c r="C322" s="14" t="s">
        <v>15</v>
      </c>
      <c r="D322" s="15">
        <v>256779414736</v>
      </c>
      <c r="E322" s="16" t="s">
        <v>0</v>
      </c>
      <c r="F322" s="17">
        <v>9282</v>
      </c>
      <c r="G322" s="18" t="s">
        <v>16</v>
      </c>
      <c r="H322" s="1"/>
      <c r="I322" s="2"/>
      <c r="J322" s="2"/>
      <c r="K322" s="2"/>
      <c r="L322" s="2"/>
    </row>
    <row r="323" spans="1:12" x14ac:dyDescent="0.35">
      <c r="A323" s="8">
        <v>45870</v>
      </c>
      <c r="B323" s="9" t="s">
        <v>10</v>
      </c>
      <c r="C323" s="45" t="s">
        <v>50</v>
      </c>
      <c r="D323" s="45"/>
      <c r="E323" s="10" t="s">
        <v>141</v>
      </c>
      <c r="F323" s="11"/>
      <c r="G323" s="11">
        <v>282.04000000000002</v>
      </c>
      <c r="H323" s="12" t="s">
        <v>13</v>
      </c>
      <c r="I323" s="13" t="s">
        <v>26</v>
      </c>
      <c r="J323" s="11"/>
      <c r="K323" s="11">
        <v>24284</v>
      </c>
      <c r="L323" s="2"/>
    </row>
    <row r="324" spans="1:12" x14ac:dyDescent="0.35">
      <c r="A324" s="43"/>
      <c r="B324" s="43"/>
      <c r="C324" s="14" t="s">
        <v>15</v>
      </c>
      <c r="D324" s="15">
        <v>256779414744</v>
      </c>
      <c r="E324" s="16" t="s">
        <v>0</v>
      </c>
      <c r="F324" s="17">
        <v>24284</v>
      </c>
      <c r="G324" s="18" t="s">
        <v>16</v>
      </c>
      <c r="H324" s="1"/>
      <c r="I324" s="2"/>
      <c r="J324" s="2"/>
      <c r="K324" s="2"/>
      <c r="L324" s="2"/>
    </row>
    <row r="325" spans="1:12" x14ac:dyDescent="0.35">
      <c r="A325" s="8">
        <v>45871</v>
      </c>
      <c r="B325" s="9" t="s">
        <v>10</v>
      </c>
      <c r="C325" s="45" t="s">
        <v>11</v>
      </c>
      <c r="D325" s="45"/>
      <c r="E325" s="10" t="s">
        <v>137</v>
      </c>
      <c r="F325" s="11"/>
      <c r="G325" s="11">
        <v>1620</v>
      </c>
      <c r="H325" s="12" t="s">
        <v>13</v>
      </c>
      <c r="I325" s="13" t="s">
        <v>28</v>
      </c>
      <c r="J325" s="11"/>
      <c r="K325" s="11">
        <v>139294</v>
      </c>
      <c r="L325" s="2"/>
    </row>
    <row r="326" spans="1:12" x14ac:dyDescent="0.35">
      <c r="A326" s="43"/>
      <c r="B326" s="43"/>
      <c r="C326" s="14" t="s">
        <v>15</v>
      </c>
      <c r="D326" s="15">
        <v>256779413115</v>
      </c>
      <c r="E326" s="16" t="s">
        <v>0</v>
      </c>
      <c r="F326" s="17">
        <v>139294</v>
      </c>
      <c r="G326" s="18" t="s">
        <v>16</v>
      </c>
      <c r="H326" s="1"/>
      <c r="I326" s="2"/>
      <c r="J326" s="2"/>
      <c r="K326" s="2"/>
      <c r="L326" s="2"/>
    </row>
    <row r="327" spans="1:12" x14ac:dyDescent="0.35">
      <c r="A327" s="8">
        <v>45871</v>
      </c>
      <c r="B327" s="9" t="s">
        <v>10</v>
      </c>
      <c r="C327" s="45" t="s">
        <v>11</v>
      </c>
      <c r="D327" s="45"/>
      <c r="E327" s="10" t="s">
        <v>141</v>
      </c>
      <c r="F327" s="11"/>
      <c r="G327" s="11">
        <v>1116.3699999999999</v>
      </c>
      <c r="H327" s="12" t="s">
        <v>13</v>
      </c>
      <c r="I327" s="13" t="s">
        <v>30</v>
      </c>
      <c r="J327" s="11"/>
      <c r="K327" s="11">
        <v>95439</v>
      </c>
      <c r="L327" s="2"/>
    </row>
    <row r="328" spans="1:12" x14ac:dyDescent="0.35">
      <c r="A328" s="43"/>
      <c r="B328" s="43"/>
      <c r="C328" s="14" t="s">
        <v>15</v>
      </c>
      <c r="D328" s="15">
        <v>256779414232</v>
      </c>
      <c r="E328" s="16" t="s">
        <v>0</v>
      </c>
      <c r="F328" s="17">
        <v>95439</v>
      </c>
      <c r="G328" s="18" t="s">
        <v>16</v>
      </c>
      <c r="H328" s="1"/>
      <c r="I328" s="2"/>
      <c r="J328" s="2"/>
      <c r="K328" s="2"/>
      <c r="L328" s="2"/>
    </row>
    <row r="329" spans="1:12" x14ac:dyDescent="0.35">
      <c r="A329" s="8">
        <v>45871</v>
      </c>
      <c r="B329" s="9" t="s">
        <v>10</v>
      </c>
      <c r="C329" s="45" t="s">
        <v>11</v>
      </c>
      <c r="D329" s="45"/>
      <c r="E329" s="10" t="s">
        <v>141</v>
      </c>
      <c r="F329" s="11"/>
      <c r="G329" s="11">
        <v>1620</v>
      </c>
      <c r="H329" s="12" t="s">
        <v>13</v>
      </c>
      <c r="I329" s="13" t="s">
        <v>31</v>
      </c>
      <c r="J329" s="11"/>
      <c r="K329" s="11">
        <v>138495</v>
      </c>
      <c r="L329" s="2"/>
    </row>
    <row r="330" spans="1:12" x14ac:dyDescent="0.35">
      <c r="A330" s="43"/>
      <c r="B330" s="43"/>
      <c r="C330" s="14" t="s">
        <v>15</v>
      </c>
      <c r="D330" s="15">
        <v>256779414374</v>
      </c>
      <c r="E330" s="16" t="s">
        <v>0</v>
      </c>
      <c r="F330" s="17">
        <v>138495</v>
      </c>
      <c r="G330" s="18" t="s">
        <v>16</v>
      </c>
      <c r="H330" s="1"/>
      <c r="I330" s="2"/>
      <c r="J330" s="2"/>
      <c r="K330" s="2"/>
      <c r="L330" s="2"/>
    </row>
    <row r="331" spans="1:12" x14ac:dyDescent="0.35">
      <c r="A331" s="8">
        <v>45909</v>
      </c>
      <c r="B331" s="9" t="s">
        <v>16</v>
      </c>
      <c r="C331" s="45" t="s">
        <v>44</v>
      </c>
      <c r="D331" s="45"/>
      <c r="E331" s="10" t="s">
        <v>45</v>
      </c>
      <c r="F331" s="11"/>
      <c r="G331" s="11"/>
      <c r="H331" s="12" t="s">
        <v>46</v>
      </c>
      <c r="I331" s="13" t="s">
        <v>144</v>
      </c>
      <c r="J331" s="11">
        <v>100000</v>
      </c>
      <c r="K331" s="11"/>
      <c r="L331" s="2"/>
    </row>
    <row r="332" spans="1:12" x14ac:dyDescent="0.35">
      <c r="A332" s="43"/>
      <c r="B332" s="43"/>
      <c r="C332" s="14" t="s">
        <v>48</v>
      </c>
      <c r="D332" s="15">
        <v>256779412779</v>
      </c>
      <c r="E332" s="16" t="s">
        <v>0</v>
      </c>
      <c r="F332" s="17">
        <v>59530</v>
      </c>
      <c r="G332" s="18" t="s">
        <v>10</v>
      </c>
      <c r="H332" s="1"/>
      <c r="I332" s="2"/>
      <c r="J332" s="2"/>
      <c r="K332" s="2"/>
      <c r="L332" s="2"/>
    </row>
    <row r="333" spans="1:12" x14ac:dyDescent="0.35">
      <c r="A333" s="43"/>
      <c r="B333" s="43"/>
      <c r="C333" s="14" t="s">
        <v>48</v>
      </c>
      <c r="D333" s="15">
        <v>256779412892</v>
      </c>
      <c r="E333" s="16" t="s">
        <v>0</v>
      </c>
      <c r="F333" s="17">
        <v>16117</v>
      </c>
      <c r="G333" s="18" t="s">
        <v>10</v>
      </c>
      <c r="H333" s="1"/>
      <c r="I333" s="2"/>
      <c r="J333" s="2"/>
      <c r="K333" s="2"/>
      <c r="L333" s="2"/>
    </row>
    <row r="334" spans="1:12" x14ac:dyDescent="0.35">
      <c r="A334" s="43"/>
      <c r="B334" s="43"/>
      <c r="C334" s="14" t="s">
        <v>48</v>
      </c>
      <c r="D334" s="15">
        <v>256779413115</v>
      </c>
      <c r="E334" s="16" t="s">
        <v>0</v>
      </c>
      <c r="F334" s="17">
        <v>24353</v>
      </c>
      <c r="G334" s="18" t="s">
        <v>10</v>
      </c>
      <c r="H334" s="1"/>
      <c r="I334" s="2"/>
      <c r="J334" s="2"/>
      <c r="K334" s="2"/>
      <c r="L334" s="2"/>
    </row>
    <row r="335" spans="1:12" x14ac:dyDescent="0.35">
      <c r="A335" s="8">
        <v>45918</v>
      </c>
      <c r="B335" s="9" t="s">
        <v>16</v>
      </c>
      <c r="C335" s="45" t="s">
        <v>44</v>
      </c>
      <c r="D335" s="45"/>
      <c r="E335" s="10" t="s">
        <v>45</v>
      </c>
      <c r="F335" s="11"/>
      <c r="G335" s="11"/>
      <c r="H335" s="12" t="s">
        <v>46</v>
      </c>
      <c r="I335" s="13" t="s">
        <v>145</v>
      </c>
      <c r="J335" s="11">
        <v>100000</v>
      </c>
      <c r="K335" s="11"/>
      <c r="L335" s="2"/>
    </row>
    <row r="336" spans="1:12" x14ac:dyDescent="0.35">
      <c r="A336" s="43"/>
      <c r="B336" s="43"/>
      <c r="C336" s="14" t="s">
        <v>48</v>
      </c>
      <c r="D336" s="15">
        <v>256779413115</v>
      </c>
      <c r="E336" s="16" t="s">
        <v>0</v>
      </c>
      <c r="F336" s="17">
        <v>100000</v>
      </c>
      <c r="G336" s="18" t="s">
        <v>10</v>
      </c>
      <c r="H336" s="1"/>
      <c r="I336" s="2"/>
      <c r="J336" s="2"/>
      <c r="K336" s="2"/>
      <c r="L336" s="2"/>
    </row>
    <row r="337" spans="1:12" x14ac:dyDescent="0.35">
      <c r="A337" s="8">
        <v>45929</v>
      </c>
      <c r="B337" s="9" t="s">
        <v>16</v>
      </c>
      <c r="C337" s="45" t="s">
        <v>44</v>
      </c>
      <c r="D337" s="45"/>
      <c r="E337" s="10" t="s">
        <v>45</v>
      </c>
      <c r="F337" s="11"/>
      <c r="G337" s="11"/>
      <c r="H337" s="12" t="s">
        <v>46</v>
      </c>
      <c r="I337" s="13" t="s">
        <v>146</v>
      </c>
      <c r="J337" s="11">
        <v>100000</v>
      </c>
      <c r="K337" s="11"/>
      <c r="L337" s="2"/>
    </row>
    <row r="338" spans="1:12" x14ac:dyDescent="0.35">
      <c r="A338" s="43"/>
      <c r="B338" s="43"/>
      <c r="C338" s="14" t="s">
        <v>48</v>
      </c>
      <c r="D338" s="15">
        <v>256779413115</v>
      </c>
      <c r="E338" s="16" t="s">
        <v>0</v>
      </c>
      <c r="F338" s="17">
        <v>14941</v>
      </c>
      <c r="G338" s="18" t="s">
        <v>10</v>
      </c>
      <c r="H338" s="1"/>
      <c r="I338" s="2"/>
      <c r="J338" s="2"/>
      <c r="K338" s="2"/>
      <c r="L338" s="2"/>
    </row>
    <row r="339" spans="1:12" x14ac:dyDescent="0.35">
      <c r="A339" s="43"/>
      <c r="B339" s="43"/>
      <c r="C339" s="14" t="s">
        <v>48</v>
      </c>
      <c r="D339" s="15">
        <v>256779413186</v>
      </c>
      <c r="E339" s="16" t="s">
        <v>0</v>
      </c>
      <c r="F339" s="17">
        <v>34824</v>
      </c>
      <c r="G339" s="18" t="s">
        <v>10</v>
      </c>
      <c r="H339" s="1"/>
      <c r="I339" s="2"/>
      <c r="J339" s="2"/>
      <c r="K339" s="2"/>
      <c r="L339" s="2"/>
    </row>
    <row r="340" spans="1:12" x14ac:dyDescent="0.35">
      <c r="A340" s="43"/>
      <c r="B340" s="43"/>
      <c r="C340" s="14" t="s">
        <v>48</v>
      </c>
      <c r="D340" s="15">
        <v>256779413245</v>
      </c>
      <c r="E340" s="16" t="s">
        <v>0</v>
      </c>
      <c r="F340" s="17">
        <v>33169</v>
      </c>
      <c r="G340" s="18" t="s">
        <v>10</v>
      </c>
      <c r="H340" s="1"/>
      <c r="I340" s="2"/>
      <c r="J340" s="2"/>
      <c r="K340" s="2"/>
      <c r="L340" s="2"/>
    </row>
    <row r="341" spans="1:12" x14ac:dyDescent="0.35">
      <c r="A341" s="43"/>
      <c r="B341" s="43"/>
      <c r="C341" s="14" t="s">
        <v>48</v>
      </c>
      <c r="D341" s="15">
        <v>256779413316</v>
      </c>
      <c r="E341" s="16" t="s">
        <v>0</v>
      </c>
      <c r="F341" s="17">
        <v>17066</v>
      </c>
      <c r="G341" s="18" t="s">
        <v>10</v>
      </c>
      <c r="H341" s="1"/>
      <c r="I341" s="2"/>
      <c r="J341" s="2"/>
      <c r="K341" s="2"/>
      <c r="L341" s="2"/>
    </row>
    <row r="342" spans="1:12" x14ac:dyDescent="0.35">
      <c r="A342" s="8">
        <v>45931</v>
      </c>
      <c r="B342" s="9" t="s">
        <v>10</v>
      </c>
      <c r="C342" s="45" t="s">
        <v>11</v>
      </c>
      <c r="D342" s="45"/>
      <c r="E342" s="10" t="s">
        <v>73</v>
      </c>
      <c r="F342" s="11"/>
      <c r="G342" s="11">
        <v>1351.62</v>
      </c>
      <c r="H342" s="12" t="s">
        <v>13</v>
      </c>
      <c r="I342" s="13" t="s">
        <v>38</v>
      </c>
      <c r="J342" s="11"/>
      <c r="K342" s="11">
        <v>116217</v>
      </c>
      <c r="L342" s="2"/>
    </row>
    <row r="343" spans="1:12" x14ac:dyDescent="0.35">
      <c r="A343" s="43"/>
      <c r="B343" s="43"/>
      <c r="C343" s="14" t="s">
        <v>15</v>
      </c>
      <c r="D343" s="15">
        <v>256779413891</v>
      </c>
      <c r="E343" s="16" t="s">
        <v>0</v>
      </c>
      <c r="F343" s="17">
        <v>116217</v>
      </c>
      <c r="G343" s="18" t="s">
        <v>16</v>
      </c>
      <c r="H343" s="1"/>
      <c r="I343" s="2"/>
      <c r="J343" s="2"/>
      <c r="K343" s="2"/>
      <c r="L343" s="2"/>
    </row>
    <row r="344" spans="1:12" x14ac:dyDescent="0.35">
      <c r="A344" s="8">
        <v>45931</v>
      </c>
      <c r="B344" s="9" t="s">
        <v>10</v>
      </c>
      <c r="C344" s="45" t="s">
        <v>11</v>
      </c>
      <c r="D344" s="45"/>
      <c r="E344" s="10" t="s">
        <v>141</v>
      </c>
      <c r="F344" s="11"/>
      <c r="G344" s="11">
        <v>1369.06</v>
      </c>
      <c r="H344" s="12" t="s">
        <v>13</v>
      </c>
      <c r="I344" s="13" t="s">
        <v>39</v>
      </c>
      <c r="J344" s="11"/>
      <c r="K344" s="11">
        <v>117740</v>
      </c>
      <c r="L344" s="2"/>
    </row>
    <row r="345" spans="1:12" x14ac:dyDescent="0.35">
      <c r="A345" s="43"/>
      <c r="B345" s="43"/>
      <c r="C345" s="14" t="s">
        <v>15</v>
      </c>
      <c r="D345" s="15">
        <v>256779415188</v>
      </c>
      <c r="E345" s="16" t="s">
        <v>0</v>
      </c>
      <c r="F345" s="17">
        <v>117740</v>
      </c>
      <c r="G345" s="18" t="s">
        <v>16</v>
      </c>
      <c r="H345" s="1"/>
      <c r="I345" s="2"/>
      <c r="J345" s="2"/>
      <c r="K345" s="2"/>
      <c r="L345" s="2"/>
    </row>
    <row r="346" spans="1:12" x14ac:dyDescent="0.35">
      <c r="A346" s="8">
        <v>45931</v>
      </c>
      <c r="B346" s="9" t="s">
        <v>10</v>
      </c>
      <c r="C346" s="45" t="s">
        <v>11</v>
      </c>
      <c r="D346" s="45"/>
      <c r="E346" s="10" t="s">
        <v>147</v>
      </c>
      <c r="F346" s="11"/>
      <c r="G346" s="11">
        <v>1140.75</v>
      </c>
      <c r="H346" s="12" t="s">
        <v>13</v>
      </c>
      <c r="I346" s="13" t="s">
        <v>148</v>
      </c>
      <c r="J346" s="11"/>
      <c r="K346" s="11">
        <v>98139</v>
      </c>
      <c r="L346" s="2"/>
    </row>
    <row r="347" spans="1:12" x14ac:dyDescent="0.35">
      <c r="A347" s="43"/>
      <c r="B347" s="43"/>
      <c r="C347" s="14" t="s">
        <v>15</v>
      </c>
      <c r="D347" s="15">
        <v>256779416081</v>
      </c>
      <c r="E347" s="16" t="s">
        <v>0</v>
      </c>
      <c r="F347" s="17">
        <v>98139</v>
      </c>
      <c r="G347" s="18" t="s">
        <v>16</v>
      </c>
      <c r="H347" s="1"/>
      <c r="I347" s="2"/>
      <c r="J347" s="2"/>
      <c r="K347" s="2"/>
      <c r="L347" s="2"/>
    </row>
    <row r="348" spans="1:12" x14ac:dyDescent="0.35">
      <c r="A348" s="8">
        <v>45931</v>
      </c>
      <c r="B348" s="9" t="s">
        <v>10</v>
      </c>
      <c r="C348" s="45" t="s">
        <v>11</v>
      </c>
      <c r="D348" s="45"/>
      <c r="E348" s="10" t="s">
        <v>147</v>
      </c>
      <c r="F348" s="11"/>
      <c r="G348" s="11">
        <v>1620</v>
      </c>
      <c r="H348" s="12" t="s">
        <v>13</v>
      </c>
      <c r="I348" s="13" t="s">
        <v>149</v>
      </c>
      <c r="J348" s="11"/>
      <c r="K348" s="11">
        <v>139321</v>
      </c>
      <c r="L348" s="2"/>
    </row>
    <row r="349" spans="1:12" x14ac:dyDescent="0.35">
      <c r="A349" s="43"/>
      <c r="B349" s="43"/>
      <c r="C349" s="14" t="s">
        <v>15</v>
      </c>
      <c r="D349" s="15">
        <v>256779414932</v>
      </c>
      <c r="E349" s="16" t="s">
        <v>0</v>
      </c>
      <c r="F349" s="17">
        <v>139321</v>
      </c>
      <c r="G349" s="18" t="s">
        <v>16</v>
      </c>
      <c r="H349" s="1"/>
      <c r="I349" s="2"/>
      <c r="J349" s="2"/>
      <c r="K349" s="2"/>
      <c r="L349" s="2"/>
    </row>
    <row r="350" spans="1:12" x14ac:dyDescent="0.35">
      <c r="A350" s="8">
        <v>45931</v>
      </c>
      <c r="B350" s="9" t="s">
        <v>10</v>
      </c>
      <c r="C350" s="45" t="s">
        <v>11</v>
      </c>
      <c r="D350" s="45"/>
      <c r="E350" s="10" t="s">
        <v>150</v>
      </c>
      <c r="F350" s="11"/>
      <c r="G350" s="11">
        <v>1620</v>
      </c>
      <c r="H350" s="12" t="s">
        <v>13</v>
      </c>
      <c r="I350" s="13" t="s">
        <v>41</v>
      </c>
      <c r="J350" s="11"/>
      <c r="K350" s="11">
        <v>139369</v>
      </c>
      <c r="L350" s="2"/>
    </row>
    <row r="351" spans="1:12" x14ac:dyDescent="0.35">
      <c r="A351" s="43"/>
      <c r="B351" s="43"/>
      <c r="C351" s="14" t="s">
        <v>15</v>
      </c>
      <c r="D351" s="15">
        <v>256779416043</v>
      </c>
      <c r="E351" s="16" t="s">
        <v>0</v>
      </c>
      <c r="F351" s="17">
        <v>139369</v>
      </c>
      <c r="G351" s="18" t="s">
        <v>16</v>
      </c>
      <c r="H351" s="1"/>
      <c r="I351" s="2"/>
      <c r="J351" s="2"/>
      <c r="K351" s="2"/>
      <c r="L351" s="2"/>
    </row>
    <row r="352" spans="1:12" x14ac:dyDescent="0.35">
      <c r="A352" s="8">
        <v>45931</v>
      </c>
      <c r="B352" s="9" t="s">
        <v>10</v>
      </c>
      <c r="C352" s="45" t="s">
        <v>29</v>
      </c>
      <c r="D352" s="45"/>
      <c r="E352" s="10" t="s">
        <v>137</v>
      </c>
      <c r="F352" s="11"/>
      <c r="G352" s="11">
        <v>418.5</v>
      </c>
      <c r="H352" s="12" t="s">
        <v>13</v>
      </c>
      <c r="I352" s="13" t="s">
        <v>42</v>
      </c>
      <c r="J352" s="11"/>
      <c r="K352" s="11">
        <v>35991</v>
      </c>
      <c r="L352" s="2"/>
    </row>
    <row r="353" spans="1:12" x14ac:dyDescent="0.35">
      <c r="A353" s="43"/>
      <c r="B353" s="43"/>
      <c r="C353" s="14" t="s">
        <v>15</v>
      </c>
      <c r="D353" s="15">
        <v>256779415968</v>
      </c>
      <c r="E353" s="16" t="s">
        <v>0</v>
      </c>
      <c r="F353" s="17">
        <v>35991</v>
      </c>
      <c r="G353" s="18" t="s">
        <v>16</v>
      </c>
      <c r="H353" s="1"/>
      <c r="I353" s="2"/>
      <c r="J353" s="2"/>
      <c r="K353" s="2"/>
      <c r="L353" s="2"/>
    </row>
    <row r="354" spans="1:12" x14ac:dyDescent="0.35">
      <c r="A354" s="8">
        <v>45932</v>
      </c>
      <c r="B354" s="9" t="s">
        <v>10</v>
      </c>
      <c r="C354" s="45" t="s">
        <v>68</v>
      </c>
      <c r="D354" s="45"/>
      <c r="E354" s="10" t="s">
        <v>141</v>
      </c>
      <c r="F354" s="11"/>
      <c r="G354" s="11">
        <v>14.98</v>
      </c>
      <c r="H354" s="12" t="s">
        <v>13</v>
      </c>
      <c r="I354" s="13" t="s">
        <v>43</v>
      </c>
      <c r="J354" s="11"/>
      <c r="K354" s="11">
        <v>1288</v>
      </c>
      <c r="L354" s="2"/>
    </row>
    <row r="355" spans="1:12" x14ac:dyDescent="0.35">
      <c r="A355" s="43"/>
      <c r="B355" s="43"/>
      <c r="C355" s="14" t="s">
        <v>15</v>
      </c>
      <c r="D355" s="15">
        <v>256779414834</v>
      </c>
      <c r="E355" s="16" t="s">
        <v>0</v>
      </c>
      <c r="F355" s="17">
        <v>1288</v>
      </c>
      <c r="G355" s="18" t="s">
        <v>16</v>
      </c>
      <c r="H355" s="1"/>
      <c r="I355" s="2"/>
      <c r="J355" s="2"/>
      <c r="K355" s="2"/>
      <c r="L355" s="2"/>
    </row>
    <row r="356" spans="1:12" x14ac:dyDescent="0.35">
      <c r="A356" s="8">
        <v>45932</v>
      </c>
      <c r="B356" s="9" t="s">
        <v>10</v>
      </c>
      <c r="C356" s="45" t="s">
        <v>58</v>
      </c>
      <c r="D356" s="45"/>
      <c r="E356" s="10" t="s">
        <v>141</v>
      </c>
      <c r="F356" s="11"/>
      <c r="G356" s="11">
        <v>65.45</v>
      </c>
      <c r="H356" s="12" t="s">
        <v>13</v>
      </c>
      <c r="I356" s="13" t="s">
        <v>151</v>
      </c>
      <c r="J356" s="11"/>
      <c r="K356" s="11">
        <v>5629</v>
      </c>
      <c r="L356" s="2"/>
    </row>
    <row r="357" spans="1:12" x14ac:dyDescent="0.35">
      <c r="A357" s="43"/>
      <c r="B357" s="43"/>
      <c r="C357" s="14" t="s">
        <v>15</v>
      </c>
      <c r="D357" s="15">
        <v>256779414769</v>
      </c>
      <c r="E357" s="16" t="s">
        <v>0</v>
      </c>
      <c r="F357" s="17">
        <v>5629</v>
      </c>
      <c r="G357" s="18" t="s">
        <v>16</v>
      </c>
      <c r="H357" s="1"/>
      <c r="I357" s="2"/>
      <c r="J357" s="2"/>
      <c r="K357" s="2"/>
      <c r="L357" s="2"/>
    </row>
    <row r="358" spans="1:12" x14ac:dyDescent="0.35">
      <c r="A358" s="8">
        <v>45932</v>
      </c>
      <c r="B358" s="9" t="s">
        <v>10</v>
      </c>
      <c r="C358" s="45" t="s">
        <v>58</v>
      </c>
      <c r="D358" s="45"/>
      <c r="E358" s="10" t="s">
        <v>141</v>
      </c>
      <c r="F358" s="11"/>
      <c r="G358" s="11">
        <v>312.25</v>
      </c>
      <c r="H358" s="12" t="s">
        <v>13</v>
      </c>
      <c r="I358" s="13" t="s">
        <v>152</v>
      </c>
      <c r="J358" s="11"/>
      <c r="K358" s="11">
        <v>26854</v>
      </c>
      <c r="L358" s="2"/>
    </row>
    <row r="359" spans="1:12" x14ac:dyDescent="0.35">
      <c r="A359" s="43"/>
      <c r="B359" s="43"/>
      <c r="C359" s="14" t="s">
        <v>15</v>
      </c>
      <c r="D359" s="15">
        <v>256779414803</v>
      </c>
      <c r="E359" s="16" t="s">
        <v>0</v>
      </c>
      <c r="F359" s="17">
        <v>26854</v>
      </c>
      <c r="G359" s="18" t="s">
        <v>16</v>
      </c>
      <c r="H359" s="1"/>
      <c r="I359" s="2"/>
      <c r="J359" s="2"/>
      <c r="K359" s="2"/>
      <c r="L359" s="2"/>
    </row>
    <row r="360" spans="1:12" x14ac:dyDescent="0.35">
      <c r="A360" s="8">
        <v>45932</v>
      </c>
      <c r="B360" s="9" t="s">
        <v>10</v>
      </c>
      <c r="C360" s="45" t="s">
        <v>58</v>
      </c>
      <c r="D360" s="45"/>
      <c r="E360" s="10" t="s">
        <v>141</v>
      </c>
      <c r="F360" s="11"/>
      <c r="G360" s="11">
        <v>51.17</v>
      </c>
      <c r="H360" s="12" t="s">
        <v>13</v>
      </c>
      <c r="I360" s="13" t="s">
        <v>153</v>
      </c>
      <c r="J360" s="11"/>
      <c r="K360" s="11">
        <v>4401</v>
      </c>
      <c r="L360" s="2"/>
    </row>
    <row r="361" spans="1:12" x14ac:dyDescent="0.35">
      <c r="A361" s="43"/>
      <c r="B361" s="43"/>
      <c r="C361" s="14" t="s">
        <v>15</v>
      </c>
      <c r="D361" s="15">
        <v>256779414881</v>
      </c>
      <c r="E361" s="16" t="s">
        <v>0</v>
      </c>
      <c r="F361" s="17">
        <v>4401</v>
      </c>
      <c r="G361" s="18" t="s">
        <v>16</v>
      </c>
      <c r="H361" s="1"/>
      <c r="I361" s="2"/>
      <c r="J361" s="2"/>
      <c r="K361" s="2"/>
      <c r="L361" s="2"/>
    </row>
    <row r="362" spans="1:12" x14ac:dyDescent="0.35">
      <c r="A362" s="8">
        <v>45932</v>
      </c>
      <c r="B362" s="9" t="s">
        <v>10</v>
      </c>
      <c r="C362" s="45" t="s">
        <v>50</v>
      </c>
      <c r="D362" s="45"/>
      <c r="E362" s="10" t="s">
        <v>141</v>
      </c>
      <c r="F362" s="11"/>
      <c r="G362" s="11">
        <v>161.44</v>
      </c>
      <c r="H362" s="12" t="s">
        <v>13</v>
      </c>
      <c r="I362" s="13" t="s">
        <v>154</v>
      </c>
      <c r="J362" s="11"/>
      <c r="K362" s="11">
        <v>13884</v>
      </c>
      <c r="L362" s="2"/>
    </row>
    <row r="363" spans="1:12" x14ac:dyDescent="0.35">
      <c r="A363" s="43"/>
      <c r="B363" s="43"/>
      <c r="C363" s="14" t="s">
        <v>15</v>
      </c>
      <c r="D363" s="15">
        <v>256779415265</v>
      </c>
      <c r="E363" s="16" t="s">
        <v>0</v>
      </c>
      <c r="F363" s="17">
        <v>13884</v>
      </c>
      <c r="G363" s="18" t="s">
        <v>16</v>
      </c>
      <c r="H363" s="1"/>
      <c r="I363" s="2"/>
      <c r="J363" s="2"/>
      <c r="K363" s="2"/>
      <c r="L363" s="2"/>
    </row>
    <row r="364" spans="1:12" x14ac:dyDescent="0.35">
      <c r="A364" s="8">
        <v>45932</v>
      </c>
      <c r="B364" s="9" t="s">
        <v>10</v>
      </c>
      <c r="C364" s="45" t="s">
        <v>68</v>
      </c>
      <c r="D364" s="45"/>
      <c r="E364" s="10" t="s">
        <v>141</v>
      </c>
      <c r="F364" s="11"/>
      <c r="G364" s="11">
        <v>171.88</v>
      </c>
      <c r="H364" s="12" t="s">
        <v>13</v>
      </c>
      <c r="I364" s="13" t="s">
        <v>155</v>
      </c>
      <c r="J364" s="11"/>
      <c r="K364" s="11">
        <v>14782</v>
      </c>
      <c r="L364" s="2"/>
    </row>
    <row r="365" spans="1:12" x14ac:dyDescent="0.35">
      <c r="A365" s="43"/>
      <c r="B365" s="43"/>
      <c r="C365" s="14" t="s">
        <v>15</v>
      </c>
      <c r="D365" s="15">
        <v>256779415020</v>
      </c>
      <c r="E365" s="16" t="s">
        <v>0</v>
      </c>
      <c r="F365" s="17">
        <v>14782</v>
      </c>
      <c r="G365" s="18" t="s">
        <v>16</v>
      </c>
      <c r="H365" s="1"/>
      <c r="I365" s="2"/>
      <c r="J365" s="2"/>
      <c r="K365" s="2"/>
      <c r="L365" s="2"/>
    </row>
    <row r="366" spans="1:12" x14ac:dyDescent="0.35">
      <c r="A366" s="8">
        <v>45932</v>
      </c>
      <c r="B366" s="9" t="s">
        <v>10</v>
      </c>
      <c r="C366" s="45" t="s">
        <v>58</v>
      </c>
      <c r="D366" s="45"/>
      <c r="E366" s="10" t="s">
        <v>141</v>
      </c>
      <c r="F366" s="11"/>
      <c r="G366" s="11">
        <v>108.73</v>
      </c>
      <c r="H366" s="12" t="s">
        <v>13</v>
      </c>
      <c r="I366" s="13" t="s">
        <v>156</v>
      </c>
      <c r="J366" s="11"/>
      <c r="K366" s="11">
        <v>9351</v>
      </c>
      <c r="L366" s="2"/>
    </row>
    <row r="367" spans="1:12" x14ac:dyDescent="0.35">
      <c r="A367" s="43"/>
      <c r="B367" s="43"/>
      <c r="C367" s="14" t="s">
        <v>15</v>
      </c>
      <c r="D367" s="15">
        <v>256779415434</v>
      </c>
      <c r="E367" s="16" t="s">
        <v>0</v>
      </c>
      <c r="F367" s="17">
        <v>9351</v>
      </c>
      <c r="G367" s="18" t="s">
        <v>16</v>
      </c>
      <c r="H367" s="1"/>
      <c r="I367" s="2"/>
      <c r="J367" s="2"/>
      <c r="K367" s="2"/>
      <c r="L367" s="2"/>
    </row>
    <row r="368" spans="1:12" x14ac:dyDescent="0.35">
      <c r="A368" s="8">
        <v>45932</v>
      </c>
      <c r="B368" s="9" t="s">
        <v>10</v>
      </c>
      <c r="C368" s="45" t="s">
        <v>123</v>
      </c>
      <c r="D368" s="45"/>
      <c r="E368" s="10" t="s">
        <v>147</v>
      </c>
      <c r="F368" s="11"/>
      <c r="G368" s="11">
        <v>196</v>
      </c>
      <c r="H368" s="12" t="s">
        <v>13</v>
      </c>
      <c r="I368" s="13" t="s">
        <v>157</v>
      </c>
      <c r="J368" s="11"/>
      <c r="K368" s="11">
        <v>16856</v>
      </c>
      <c r="L368" s="2"/>
    </row>
    <row r="369" spans="1:12" x14ac:dyDescent="0.35">
      <c r="A369" s="43"/>
      <c r="B369" s="43"/>
      <c r="C369" s="14" t="s">
        <v>15</v>
      </c>
      <c r="D369" s="15">
        <v>256779415702</v>
      </c>
      <c r="E369" s="16" t="s">
        <v>0</v>
      </c>
      <c r="F369" s="17">
        <v>16856</v>
      </c>
      <c r="G369" s="18" t="s">
        <v>16</v>
      </c>
      <c r="H369" s="1"/>
      <c r="I369" s="2"/>
      <c r="J369" s="2"/>
      <c r="K369" s="2"/>
      <c r="L369" s="2"/>
    </row>
    <row r="370" spans="1:12" x14ac:dyDescent="0.35">
      <c r="A370" s="8">
        <v>45932</v>
      </c>
      <c r="B370" s="9" t="s">
        <v>10</v>
      </c>
      <c r="C370" s="45" t="s">
        <v>58</v>
      </c>
      <c r="D370" s="45"/>
      <c r="E370" s="10" t="s">
        <v>147</v>
      </c>
      <c r="F370" s="11"/>
      <c r="G370" s="11">
        <v>25.57</v>
      </c>
      <c r="H370" s="12" t="s">
        <v>13</v>
      </c>
      <c r="I370" s="13" t="s">
        <v>158</v>
      </c>
      <c r="J370" s="11"/>
      <c r="K370" s="11">
        <v>2199</v>
      </c>
      <c r="L370" s="2"/>
    </row>
    <row r="371" spans="1:12" x14ac:dyDescent="0.35">
      <c r="A371" s="43"/>
      <c r="B371" s="43"/>
      <c r="C371" s="14" t="s">
        <v>15</v>
      </c>
      <c r="D371" s="15">
        <v>256779415445</v>
      </c>
      <c r="E371" s="16" t="s">
        <v>0</v>
      </c>
      <c r="F371" s="17">
        <v>2199</v>
      </c>
      <c r="G371" s="18" t="s">
        <v>16</v>
      </c>
      <c r="H371" s="1"/>
      <c r="I371" s="2"/>
      <c r="J371" s="2"/>
      <c r="K371" s="2"/>
      <c r="L371" s="2"/>
    </row>
    <row r="372" spans="1:12" x14ac:dyDescent="0.35">
      <c r="A372" s="8">
        <v>45932</v>
      </c>
      <c r="B372" s="9" t="s">
        <v>10</v>
      </c>
      <c r="C372" s="45" t="s">
        <v>68</v>
      </c>
      <c r="D372" s="45"/>
      <c r="E372" s="10" t="s">
        <v>147</v>
      </c>
      <c r="F372" s="11"/>
      <c r="G372" s="11">
        <v>72.27</v>
      </c>
      <c r="H372" s="12" t="s">
        <v>13</v>
      </c>
      <c r="I372" s="13" t="s">
        <v>76</v>
      </c>
      <c r="J372" s="11"/>
      <c r="K372" s="11">
        <v>6215</v>
      </c>
      <c r="L372" s="2"/>
    </row>
    <row r="373" spans="1:12" x14ac:dyDescent="0.35">
      <c r="A373" s="43"/>
      <c r="B373" s="43"/>
      <c r="C373" s="14" t="s">
        <v>15</v>
      </c>
      <c r="D373" s="15">
        <v>256779415458</v>
      </c>
      <c r="E373" s="16" t="s">
        <v>0</v>
      </c>
      <c r="F373" s="17">
        <v>6215</v>
      </c>
      <c r="G373" s="18" t="s">
        <v>16</v>
      </c>
      <c r="H373" s="1"/>
      <c r="I373" s="2"/>
      <c r="J373" s="2"/>
      <c r="K373" s="2"/>
      <c r="L373" s="2"/>
    </row>
    <row r="374" spans="1:12" x14ac:dyDescent="0.35">
      <c r="A374" s="8">
        <v>45932</v>
      </c>
      <c r="B374" s="9" t="s">
        <v>10</v>
      </c>
      <c r="C374" s="45" t="s">
        <v>58</v>
      </c>
      <c r="D374" s="45"/>
      <c r="E374" s="10" t="s">
        <v>147</v>
      </c>
      <c r="F374" s="11"/>
      <c r="G374" s="11">
        <v>234.41</v>
      </c>
      <c r="H374" s="12" t="s">
        <v>13</v>
      </c>
      <c r="I374" s="13" t="s">
        <v>159</v>
      </c>
      <c r="J374" s="11"/>
      <c r="K374" s="11">
        <v>20159</v>
      </c>
      <c r="L374" s="2"/>
    </row>
    <row r="375" spans="1:12" x14ac:dyDescent="0.35">
      <c r="A375" s="43"/>
      <c r="B375" s="43"/>
      <c r="C375" s="14" t="s">
        <v>15</v>
      </c>
      <c r="D375" s="15">
        <v>256779415486</v>
      </c>
      <c r="E375" s="16" t="s">
        <v>0</v>
      </c>
      <c r="F375" s="17">
        <v>20159</v>
      </c>
      <c r="G375" s="18" t="s">
        <v>16</v>
      </c>
      <c r="H375" s="1"/>
      <c r="I375" s="2"/>
      <c r="J375" s="2"/>
      <c r="K375" s="2"/>
      <c r="L375" s="2"/>
    </row>
    <row r="376" spans="1:12" x14ac:dyDescent="0.35">
      <c r="A376" s="8">
        <v>45932</v>
      </c>
      <c r="B376" s="9" t="s">
        <v>10</v>
      </c>
      <c r="C376" s="45" t="s">
        <v>68</v>
      </c>
      <c r="D376" s="45"/>
      <c r="E376" s="10" t="s">
        <v>147</v>
      </c>
      <c r="F376" s="11"/>
      <c r="G376" s="11">
        <v>2.7</v>
      </c>
      <c r="H376" s="12" t="s">
        <v>13</v>
      </c>
      <c r="I376" s="13" t="s">
        <v>160</v>
      </c>
      <c r="J376" s="11"/>
      <c r="K376" s="11">
        <v>232</v>
      </c>
      <c r="L376" s="2"/>
    </row>
    <row r="377" spans="1:12" x14ac:dyDescent="0.35">
      <c r="A377" s="43"/>
      <c r="B377" s="43"/>
      <c r="C377" s="14" t="s">
        <v>15</v>
      </c>
      <c r="D377" s="15">
        <v>256779415526</v>
      </c>
      <c r="E377" s="16" t="s">
        <v>0</v>
      </c>
      <c r="F377" s="17">
        <v>232</v>
      </c>
      <c r="G377" s="18" t="s">
        <v>16</v>
      </c>
      <c r="H377" s="1"/>
      <c r="I377" s="2"/>
      <c r="J377" s="2"/>
      <c r="K377" s="2"/>
      <c r="L377" s="2"/>
    </row>
    <row r="378" spans="1:12" x14ac:dyDescent="0.35">
      <c r="A378" s="8">
        <v>45932</v>
      </c>
      <c r="B378" s="9" t="s">
        <v>10</v>
      </c>
      <c r="C378" s="45" t="s">
        <v>58</v>
      </c>
      <c r="D378" s="45"/>
      <c r="E378" s="10" t="s">
        <v>137</v>
      </c>
      <c r="F378" s="11"/>
      <c r="G378" s="11">
        <v>28.67</v>
      </c>
      <c r="H378" s="12" t="s">
        <v>13</v>
      </c>
      <c r="I378" s="13" t="s">
        <v>161</v>
      </c>
      <c r="J378" s="11"/>
      <c r="K378" s="11">
        <v>2466</v>
      </c>
      <c r="L378" s="2"/>
    </row>
    <row r="379" spans="1:12" x14ac:dyDescent="0.35">
      <c r="A379" s="43"/>
      <c r="B379" s="43"/>
      <c r="C379" s="14" t="s">
        <v>15</v>
      </c>
      <c r="D379" s="15">
        <v>256779415946</v>
      </c>
      <c r="E379" s="16" t="s">
        <v>0</v>
      </c>
      <c r="F379" s="17">
        <v>2466</v>
      </c>
      <c r="G379" s="18" t="s">
        <v>16</v>
      </c>
      <c r="H379" s="1"/>
      <c r="I379" s="2"/>
      <c r="J379" s="2"/>
      <c r="K379" s="2"/>
      <c r="L379" s="2"/>
    </row>
    <row r="380" spans="1:12" x14ac:dyDescent="0.35">
      <c r="A380" s="8">
        <v>45932</v>
      </c>
      <c r="B380" s="9" t="s">
        <v>10</v>
      </c>
      <c r="C380" s="45" t="s">
        <v>50</v>
      </c>
      <c r="D380" s="45"/>
      <c r="E380" s="10" t="s">
        <v>137</v>
      </c>
      <c r="F380" s="11"/>
      <c r="G380" s="11">
        <v>148.55000000000001</v>
      </c>
      <c r="H380" s="12" t="s">
        <v>13</v>
      </c>
      <c r="I380" s="13" t="s">
        <v>162</v>
      </c>
      <c r="J380" s="11"/>
      <c r="K380" s="11">
        <v>12698</v>
      </c>
      <c r="L380" s="2"/>
    </row>
    <row r="381" spans="1:12" x14ac:dyDescent="0.35">
      <c r="A381" s="43"/>
      <c r="B381" s="43"/>
      <c r="C381" s="14" t="s">
        <v>15</v>
      </c>
      <c r="D381" s="15">
        <v>256779416000</v>
      </c>
      <c r="E381" s="16" t="s">
        <v>0</v>
      </c>
      <c r="F381" s="17">
        <v>12698</v>
      </c>
      <c r="G381" s="18" t="s">
        <v>16</v>
      </c>
      <c r="H381" s="1"/>
      <c r="I381" s="2"/>
      <c r="J381" s="2"/>
      <c r="K381" s="2"/>
      <c r="L381" s="2"/>
    </row>
    <row r="382" spans="1:12" x14ac:dyDescent="0.35">
      <c r="A382" s="8">
        <v>45932</v>
      </c>
      <c r="B382" s="9" t="s">
        <v>10</v>
      </c>
      <c r="C382" s="45" t="s">
        <v>58</v>
      </c>
      <c r="D382" s="45"/>
      <c r="E382" s="10" t="s">
        <v>147</v>
      </c>
      <c r="F382" s="11"/>
      <c r="G382" s="11">
        <v>25.75</v>
      </c>
      <c r="H382" s="12" t="s">
        <v>13</v>
      </c>
      <c r="I382" s="13" t="s">
        <v>163</v>
      </c>
      <c r="J382" s="11"/>
      <c r="K382" s="11">
        <v>2215</v>
      </c>
      <c r="L382" s="2"/>
    </row>
    <row r="383" spans="1:12" x14ac:dyDescent="0.35">
      <c r="A383" s="43"/>
      <c r="B383" s="43"/>
      <c r="C383" s="14" t="s">
        <v>15</v>
      </c>
      <c r="D383" s="15">
        <v>256779416143</v>
      </c>
      <c r="E383" s="16" t="s">
        <v>0</v>
      </c>
      <c r="F383" s="17">
        <v>2215</v>
      </c>
      <c r="G383" s="18" t="s">
        <v>16</v>
      </c>
      <c r="H383" s="1"/>
      <c r="I383" s="2"/>
      <c r="J383" s="2"/>
      <c r="K383" s="2"/>
      <c r="L383" s="2"/>
    </row>
    <row r="384" spans="1:12" x14ac:dyDescent="0.35">
      <c r="A384" s="8">
        <v>45932</v>
      </c>
      <c r="B384" s="9" t="s">
        <v>10</v>
      </c>
      <c r="C384" s="45" t="s">
        <v>58</v>
      </c>
      <c r="D384" s="45"/>
      <c r="E384" s="10" t="s">
        <v>147</v>
      </c>
      <c r="F384" s="11"/>
      <c r="G384" s="11">
        <v>100.28</v>
      </c>
      <c r="H384" s="12" t="s">
        <v>13</v>
      </c>
      <c r="I384" s="13" t="s">
        <v>164</v>
      </c>
      <c r="J384" s="11"/>
      <c r="K384" s="11">
        <v>8627</v>
      </c>
      <c r="L384" s="2"/>
    </row>
    <row r="385" spans="1:12" x14ac:dyDescent="0.35">
      <c r="A385" s="43"/>
      <c r="B385" s="43"/>
      <c r="C385" s="14" t="s">
        <v>15</v>
      </c>
      <c r="D385" s="15">
        <v>256779416183</v>
      </c>
      <c r="E385" s="16" t="s">
        <v>0</v>
      </c>
      <c r="F385" s="17">
        <v>8627</v>
      </c>
      <c r="G385" s="18" t="s">
        <v>16</v>
      </c>
      <c r="H385" s="1"/>
      <c r="I385" s="2"/>
      <c r="J385" s="2"/>
      <c r="K385" s="2"/>
      <c r="L385" s="2"/>
    </row>
    <row r="386" spans="1:12" x14ac:dyDescent="0.35">
      <c r="A386" s="8">
        <v>45932</v>
      </c>
      <c r="B386" s="9" t="s">
        <v>10</v>
      </c>
      <c r="C386" s="45" t="s">
        <v>68</v>
      </c>
      <c r="D386" s="45"/>
      <c r="E386" s="10" t="s">
        <v>147</v>
      </c>
      <c r="F386" s="11"/>
      <c r="G386" s="11">
        <v>22.25</v>
      </c>
      <c r="H386" s="12" t="s">
        <v>13</v>
      </c>
      <c r="I386" s="13" t="s">
        <v>165</v>
      </c>
      <c r="J386" s="11"/>
      <c r="K386" s="11">
        <v>1914</v>
      </c>
      <c r="L386" s="2"/>
    </row>
    <row r="387" spans="1:12" x14ac:dyDescent="0.35">
      <c r="A387" s="43"/>
      <c r="B387" s="43"/>
      <c r="C387" s="14" t="s">
        <v>15</v>
      </c>
      <c r="D387" s="15">
        <v>256779416229</v>
      </c>
      <c r="E387" s="16" t="s">
        <v>0</v>
      </c>
      <c r="F387" s="17">
        <v>1914</v>
      </c>
      <c r="G387" s="18" t="s">
        <v>16</v>
      </c>
      <c r="H387" s="1"/>
      <c r="I387" s="2"/>
      <c r="J387" s="2"/>
      <c r="K387" s="2"/>
      <c r="L387" s="2"/>
    </row>
    <row r="388" spans="1:12" x14ac:dyDescent="0.35">
      <c r="A388" s="8">
        <v>45932</v>
      </c>
      <c r="B388" s="9" t="s">
        <v>10</v>
      </c>
      <c r="C388" s="45" t="s">
        <v>50</v>
      </c>
      <c r="D388" s="45"/>
      <c r="E388" s="10" t="s">
        <v>147</v>
      </c>
      <c r="F388" s="11"/>
      <c r="G388" s="11">
        <v>351.14</v>
      </c>
      <c r="H388" s="12" t="s">
        <v>13</v>
      </c>
      <c r="I388" s="13" t="s">
        <v>166</v>
      </c>
      <c r="J388" s="11"/>
      <c r="K388" s="11">
        <v>30209</v>
      </c>
      <c r="L388" s="2"/>
    </row>
    <row r="389" spans="1:12" x14ac:dyDescent="0.35">
      <c r="A389" s="43"/>
      <c r="B389" s="43"/>
      <c r="C389" s="14" t="s">
        <v>15</v>
      </c>
      <c r="D389" s="15">
        <v>256779416447</v>
      </c>
      <c r="E389" s="16" t="s">
        <v>0</v>
      </c>
      <c r="F389" s="17">
        <v>30209</v>
      </c>
      <c r="G389" s="18" t="s">
        <v>16</v>
      </c>
      <c r="H389" s="1"/>
      <c r="I389" s="2"/>
      <c r="J389" s="2"/>
      <c r="K389" s="2"/>
      <c r="L389" s="2"/>
    </row>
    <row r="390" spans="1:12" x14ac:dyDescent="0.35">
      <c r="A390" s="8">
        <v>45932</v>
      </c>
      <c r="B390" s="9" t="s">
        <v>10</v>
      </c>
      <c r="C390" s="45" t="s">
        <v>50</v>
      </c>
      <c r="D390" s="45"/>
      <c r="E390" s="10" t="s">
        <v>147</v>
      </c>
      <c r="F390" s="11"/>
      <c r="G390" s="11">
        <v>13.43</v>
      </c>
      <c r="H390" s="12" t="s">
        <v>13</v>
      </c>
      <c r="I390" s="13" t="s">
        <v>167</v>
      </c>
      <c r="J390" s="11"/>
      <c r="K390" s="11">
        <v>1155</v>
      </c>
      <c r="L390" s="2"/>
    </row>
    <row r="391" spans="1:12" x14ac:dyDescent="0.35">
      <c r="A391" s="43"/>
      <c r="B391" s="43"/>
      <c r="C391" s="14" t="s">
        <v>15</v>
      </c>
      <c r="D391" s="15">
        <v>256779416455</v>
      </c>
      <c r="E391" s="16" t="s">
        <v>0</v>
      </c>
      <c r="F391" s="17">
        <v>1155</v>
      </c>
      <c r="G391" s="18" t="s">
        <v>16</v>
      </c>
      <c r="H391" s="1"/>
      <c r="I391" s="2"/>
      <c r="J391" s="2"/>
      <c r="K391" s="2"/>
      <c r="L391" s="2"/>
    </row>
    <row r="392" spans="1:12" x14ac:dyDescent="0.35">
      <c r="A392" s="8">
        <v>45932</v>
      </c>
      <c r="B392" s="9" t="s">
        <v>10</v>
      </c>
      <c r="C392" s="45" t="s">
        <v>50</v>
      </c>
      <c r="D392" s="45"/>
      <c r="E392" s="10" t="s">
        <v>147</v>
      </c>
      <c r="F392" s="11"/>
      <c r="G392" s="11">
        <v>55.2</v>
      </c>
      <c r="H392" s="12" t="s">
        <v>13</v>
      </c>
      <c r="I392" s="13" t="s">
        <v>168</v>
      </c>
      <c r="J392" s="11"/>
      <c r="K392" s="11">
        <v>4749</v>
      </c>
      <c r="L392" s="2"/>
    </row>
    <row r="393" spans="1:12" x14ac:dyDescent="0.35">
      <c r="A393" s="43"/>
      <c r="B393" s="43"/>
      <c r="C393" s="14" t="s">
        <v>15</v>
      </c>
      <c r="D393" s="15">
        <v>256779416517</v>
      </c>
      <c r="E393" s="16" t="s">
        <v>0</v>
      </c>
      <c r="F393" s="17">
        <v>4749</v>
      </c>
      <c r="G393" s="18" t="s">
        <v>16</v>
      </c>
      <c r="H393" s="1"/>
      <c r="I393" s="2"/>
      <c r="J393" s="2"/>
      <c r="K393" s="2"/>
      <c r="L393" s="2"/>
    </row>
    <row r="394" spans="1:12" x14ac:dyDescent="0.35">
      <c r="A394" s="8">
        <v>45932</v>
      </c>
      <c r="B394" s="9" t="s">
        <v>10</v>
      </c>
      <c r="C394" s="45" t="s">
        <v>58</v>
      </c>
      <c r="D394" s="45"/>
      <c r="E394" s="10" t="s">
        <v>150</v>
      </c>
      <c r="F394" s="11"/>
      <c r="G394" s="11">
        <v>17.39</v>
      </c>
      <c r="H394" s="12" t="s">
        <v>13</v>
      </c>
      <c r="I394" s="13" t="s">
        <v>169</v>
      </c>
      <c r="J394" s="11"/>
      <c r="K394" s="11">
        <v>1496</v>
      </c>
      <c r="L394" s="2"/>
    </row>
    <row r="395" spans="1:12" x14ac:dyDescent="0.35">
      <c r="A395" s="43"/>
      <c r="B395" s="43"/>
      <c r="C395" s="14" t="s">
        <v>15</v>
      </c>
      <c r="D395" s="15">
        <v>256779416848</v>
      </c>
      <c r="E395" s="16" t="s">
        <v>0</v>
      </c>
      <c r="F395" s="17">
        <v>1496</v>
      </c>
      <c r="G395" s="18" t="s">
        <v>16</v>
      </c>
      <c r="H395" s="1"/>
      <c r="I395" s="2"/>
      <c r="J395" s="2"/>
      <c r="K395" s="2"/>
      <c r="L395" s="2"/>
    </row>
    <row r="396" spans="1:12" x14ac:dyDescent="0.35">
      <c r="A396" s="8">
        <v>45932</v>
      </c>
      <c r="B396" s="9" t="s">
        <v>10</v>
      </c>
      <c r="C396" s="45" t="s">
        <v>68</v>
      </c>
      <c r="D396" s="45"/>
      <c r="E396" s="10" t="s">
        <v>150</v>
      </c>
      <c r="F396" s="11"/>
      <c r="G396" s="11">
        <v>49.05</v>
      </c>
      <c r="H396" s="12" t="s">
        <v>13</v>
      </c>
      <c r="I396" s="13" t="s">
        <v>170</v>
      </c>
      <c r="J396" s="11"/>
      <c r="K396" s="11">
        <v>4220</v>
      </c>
      <c r="L396" s="2"/>
    </row>
    <row r="397" spans="1:12" x14ac:dyDescent="0.35">
      <c r="A397" s="43"/>
      <c r="B397" s="43"/>
      <c r="C397" s="14" t="s">
        <v>15</v>
      </c>
      <c r="D397" s="15">
        <v>256779416883</v>
      </c>
      <c r="E397" s="16" t="s">
        <v>0</v>
      </c>
      <c r="F397" s="17">
        <v>4220</v>
      </c>
      <c r="G397" s="18" t="s">
        <v>16</v>
      </c>
      <c r="H397" s="1"/>
      <c r="I397" s="2"/>
      <c r="J397" s="2"/>
      <c r="K397" s="2"/>
      <c r="L397" s="2"/>
    </row>
    <row r="398" spans="1:12" x14ac:dyDescent="0.35">
      <c r="A398" s="8">
        <v>45937</v>
      </c>
      <c r="B398" s="9" t="s">
        <v>16</v>
      </c>
      <c r="C398" s="45" t="s">
        <v>44</v>
      </c>
      <c r="D398" s="45"/>
      <c r="E398" s="10" t="s">
        <v>45</v>
      </c>
      <c r="F398" s="11"/>
      <c r="G398" s="11"/>
      <c r="H398" s="12" t="s">
        <v>46</v>
      </c>
      <c r="I398" s="13" t="s">
        <v>171</v>
      </c>
      <c r="J398" s="11">
        <v>100000</v>
      </c>
      <c r="K398" s="11"/>
      <c r="L398" s="2"/>
    </row>
    <row r="399" spans="1:12" x14ac:dyDescent="0.35">
      <c r="A399" s="43"/>
      <c r="B399" s="43"/>
      <c r="C399" s="14" t="s">
        <v>48</v>
      </c>
      <c r="D399" s="15">
        <v>256779413316</v>
      </c>
      <c r="E399" s="16" t="s">
        <v>0</v>
      </c>
      <c r="F399" s="17">
        <v>28942</v>
      </c>
      <c r="G399" s="18" t="s">
        <v>10</v>
      </c>
      <c r="H399" s="1"/>
      <c r="I399" s="2"/>
      <c r="J399" s="2"/>
      <c r="K399" s="2"/>
      <c r="L399" s="2"/>
    </row>
    <row r="400" spans="1:12" x14ac:dyDescent="0.35">
      <c r="A400" s="43"/>
      <c r="B400" s="43"/>
      <c r="C400" s="14" t="s">
        <v>48</v>
      </c>
      <c r="D400" s="15">
        <v>256779413491</v>
      </c>
      <c r="E400" s="16" t="s">
        <v>0</v>
      </c>
      <c r="F400" s="17">
        <v>7478</v>
      </c>
      <c r="G400" s="18" t="s">
        <v>10</v>
      </c>
      <c r="H400" s="1"/>
      <c r="I400" s="2"/>
      <c r="J400" s="2"/>
      <c r="K400" s="2"/>
      <c r="L400" s="2"/>
    </row>
    <row r="401" spans="1:12" x14ac:dyDescent="0.35">
      <c r="A401" s="43"/>
      <c r="B401" s="43"/>
      <c r="C401" s="14" t="s">
        <v>48</v>
      </c>
      <c r="D401" s="15">
        <v>256779413891</v>
      </c>
      <c r="E401" s="16" t="s">
        <v>0</v>
      </c>
      <c r="F401" s="17">
        <v>63580</v>
      </c>
      <c r="G401" s="18" t="s">
        <v>10</v>
      </c>
      <c r="H401" s="1"/>
      <c r="I401" s="2"/>
      <c r="J401" s="2"/>
      <c r="K401" s="2"/>
      <c r="L401" s="2"/>
    </row>
    <row r="402" spans="1:12" x14ac:dyDescent="0.35">
      <c r="A402" s="8">
        <v>45947</v>
      </c>
      <c r="B402" s="9" t="s">
        <v>16</v>
      </c>
      <c r="C402" s="45" t="s">
        <v>44</v>
      </c>
      <c r="D402" s="45"/>
      <c r="E402" s="10" t="s">
        <v>45</v>
      </c>
      <c r="F402" s="11"/>
      <c r="G402" s="11"/>
      <c r="H402" s="12" t="s">
        <v>46</v>
      </c>
      <c r="I402" s="13" t="s">
        <v>172</v>
      </c>
      <c r="J402" s="11">
        <v>100000</v>
      </c>
      <c r="K402" s="11"/>
      <c r="L402" s="2"/>
    </row>
    <row r="403" spans="1:12" x14ac:dyDescent="0.35">
      <c r="A403" s="43"/>
      <c r="B403" s="43"/>
      <c r="C403" s="14" t="s">
        <v>48</v>
      </c>
      <c r="D403" s="15">
        <v>256779413891</v>
      </c>
      <c r="E403" s="16" t="s">
        <v>0</v>
      </c>
      <c r="F403" s="17">
        <v>52637</v>
      </c>
      <c r="G403" s="18" t="s">
        <v>10</v>
      </c>
      <c r="H403" s="1"/>
      <c r="I403" s="2"/>
      <c r="J403" s="2"/>
      <c r="K403" s="2"/>
      <c r="L403" s="2"/>
    </row>
    <row r="404" spans="1:12" x14ac:dyDescent="0.35">
      <c r="A404" s="43"/>
      <c r="B404" s="43"/>
      <c r="C404" s="14" t="s">
        <v>48</v>
      </c>
      <c r="D404" s="15">
        <v>256779413922</v>
      </c>
      <c r="E404" s="16" t="s">
        <v>0</v>
      </c>
      <c r="F404" s="17">
        <v>30905</v>
      </c>
      <c r="G404" s="18" t="s">
        <v>10</v>
      </c>
      <c r="H404" s="1"/>
      <c r="I404" s="2"/>
      <c r="J404" s="2"/>
      <c r="K404" s="2"/>
      <c r="L404" s="2"/>
    </row>
    <row r="405" spans="1:12" x14ac:dyDescent="0.35">
      <c r="A405" s="43"/>
      <c r="B405" s="43"/>
      <c r="C405" s="14" t="s">
        <v>48</v>
      </c>
      <c r="D405" s="15">
        <v>256779413998</v>
      </c>
      <c r="E405" s="16" t="s">
        <v>0</v>
      </c>
      <c r="F405" s="17">
        <v>15936</v>
      </c>
      <c r="G405" s="18" t="s">
        <v>10</v>
      </c>
      <c r="H405" s="1"/>
      <c r="I405" s="2"/>
      <c r="J405" s="2"/>
      <c r="K405" s="2"/>
      <c r="L405" s="2"/>
    </row>
    <row r="406" spans="1:12" x14ac:dyDescent="0.35">
      <c r="A406" s="43"/>
      <c r="B406" s="43"/>
      <c r="C406" s="14" t="s">
        <v>48</v>
      </c>
      <c r="D406" s="15">
        <v>256779414176</v>
      </c>
      <c r="E406" s="16" t="s">
        <v>0</v>
      </c>
      <c r="F406" s="17">
        <v>522</v>
      </c>
      <c r="G406" s="18" t="s">
        <v>10</v>
      </c>
      <c r="H406" s="1"/>
      <c r="I406" s="2"/>
      <c r="J406" s="2"/>
      <c r="K406" s="2"/>
      <c r="L406" s="2"/>
    </row>
    <row r="407" spans="1:12" x14ac:dyDescent="0.35">
      <c r="A407" s="8">
        <v>45959</v>
      </c>
      <c r="B407" s="9" t="s">
        <v>16</v>
      </c>
      <c r="C407" s="45" t="s">
        <v>44</v>
      </c>
      <c r="D407" s="45"/>
      <c r="E407" s="10" t="s">
        <v>45</v>
      </c>
      <c r="F407" s="11"/>
      <c r="G407" s="11"/>
      <c r="H407" s="12" t="s">
        <v>46</v>
      </c>
      <c r="I407" s="13" t="s">
        <v>173</v>
      </c>
      <c r="J407" s="11">
        <v>100000</v>
      </c>
      <c r="K407" s="11"/>
      <c r="L407" s="2"/>
    </row>
    <row r="408" spans="1:12" x14ac:dyDescent="0.35">
      <c r="A408" s="43"/>
      <c r="B408" s="43"/>
      <c r="C408" s="14" t="s">
        <v>48</v>
      </c>
      <c r="D408" s="15">
        <v>256779414176</v>
      </c>
      <c r="E408" s="16" t="s">
        <v>0</v>
      </c>
      <c r="F408" s="17">
        <v>10312</v>
      </c>
      <c r="G408" s="18" t="s">
        <v>10</v>
      </c>
      <c r="H408" s="1"/>
      <c r="I408" s="2"/>
      <c r="J408" s="2"/>
      <c r="K408" s="2"/>
      <c r="L408" s="2"/>
    </row>
    <row r="409" spans="1:12" x14ac:dyDescent="0.35">
      <c r="A409" s="43"/>
      <c r="B409" s="43"/>
      <c r="C409" s="14" t="s">
        <v>48</v>
      </c>
      <c r="D409" s="15">
        <v>256779414221</v>
      </c>
      <c r="E409" s="16" t="s">
        <v>0</v>
      </c>
      <c r="F409" s="17">
        <v>3872</v>
      </c>
      <c r="G409" s="18" t="s">
        <v>10</v>
      </c>
      <c r="H409" s="1"/>
      <c r="I409" s="2"/>
      <c r="J409" s="2"/>
      <c r="K409" s="2"/>
      <c r="L409" s="2"/>
    </row>
    <row r="410" spans="1:12" x14ac:dyDescent="0.35">
      <c r="A410" s="43"/>
      <c r="B410" s="43"/>
      <c r="C410" s="14" t="s">
        <v>48</v>
      </c>
      <c r="D410" s="15">
        <v>256779414232</v>
      </c>
      <c r="E410" s="16" t="s">
        <v>0</v>
      </c>
      <c r="F410" s="17">
        <v>85816</v>
      </c>
      <c r="G410" s="18" t="s">
        <v>10</v>
      </c>
      <c r="H410" s="1"/>
      <c r="I410" s="2"/>
      <c r="J410" s="2"/>
      <c r="K410" s="2"/>
      <c r="L410" s="2"/>
    </row>
    <row r="411" spans="1:12" x14ac:dyDescent="0.35">
      <c r="A411" s="8">
        <v>45962</v>
      </c>
      <c r="B411" s="9" t="s">
        <v>10</v>
      </c>
      <c r="C411" s="45" t="s">
        <v>50</v>
      </c>
      <c r="D411" s="45"/>
      <c r="E411" s="10" t="s">
        <v>150</v>
      </c>
      <c r="F411" s="11"/>
      <c r="G411" s="11">
        <v>73.63</v>
      </c>
      <c r="H411" s="12" t="s">
        <v>13</v>
      </c>
      <c r="I411" s="13" t="s">
        <v>174</v>
      </c>
      <c r="J411" s="11"/>
      <c r="K411" s="11">
        <v>6444</v>
      </c>
      <c r="L411" s="2"/>
    </row>
    <row r="412" spans="1:12" x14ac:dyDescent="0.35">
      <c r="A412" s="43"/>
      <c r="B412" s="43"/>
      <c r="C412" s="14" t="s">
        <v>15</v>
      </c>
      <c r="D412" s="15">
        <v>256779417163</v>
      </c>
      <c r="E412" s="16" t="s">
        <v>0</v>
      </c>
      <c r="F412" s="17">
        <v>6444</v>
      </c>
      <c r="G412" s="18" t="s">
        <v>16</v>
      </c>
      <c r="H412" s="1"/>
      <c r="I412" s="2"/>
      <c r="J412" s="2"/>
      <c r="K412" s="2"/>
      <c r="L412" s="2"/>
    </row>
    <row r="413" spans="1:12" x14ac:dyDescent="0.35">
      <c r="A413" s="8">
        <v>45962</v>
      </c>
      <c r="B413" s="9" t="s">
        <v>10</v>
      </c>
      <c r="C413" s="45" t="s">
        <v>123</v>
      </c>
      <c r="D413" s="45"/>
      <c r="E413" s="10" t="s">
        <v>150</v>
      </c>
      <c r="F413" s="11"/>
      <c r="G413" s="11">
        <v>137.19999999999999</v>
      </c>
      <c r="H413" s="12" t="s">
        <v>13</v>
      </c>
      <c r="I413" s="13" t="s">
        <v>175</v>
      </c>
      <c r="J413" s="11"/>
      <c r="K413" s="11">
        <v>12007</v>
      </c>
      <c r="L413" s="2"/>
    </row>
    <row r="414" spans="1:12" x14ac:dyDescent="0.35">
      <c r="A414" s="43"/>
      <c r="B414" s="43"/>
      <c r="C414" s="14" t="s">
        <v>15</v>
      </c>
      <c r="D414" s="15">
        <v>256779417188</v>
      </c>
      <c r="E414" s="16" t="s">
        <v>0</v>
      </c>
      <c r="F414" s="17">
        <v>12007</v>
      </c>
      <c r="G414" s="18" t="s">
        <v>16</v>
      </c>
      <c r="H414" s="1"/>
      <c r="I414" s="2"/>
      <c r="J414" s="2"/>
      <c r="K414" s="2"/>
      <c r="L414" s="2"/>
    </row>
    <row r="415" spans="1:12" x14ac:dyDescent="0.35">
      <c r="A415" s="8">
        <v>45962</v>
      </c>
      <c r="B415" s="9" t="s">
        <v>10</v>
      </c>
      <c r="C415" s="45" t="s">
        <v>58</v>
      </c>
      <c r="D415" s="45"/>
      <c r="E415" s="10" t="s">
        <v>150</v>
      </c>
      <c r="F415" s="11"/>
      <c r="G415" s="11">
        <v>105.96</v>
      </c>
      <c r="H415" s="12" t="s">
        <v>13</v>
      </c>
      <c r="I415" s="13" t="s">
        <v>176</v>
      </c>
      <c r="J415" s="11"/>
      <c r="K415" s="11">
        <v>9273</v>
      </c>
      <c r="L415" s="2"/>
    </row>
    <row r="416" spans="1:12" x14ac:dyDescent="0.35">
      <c r="A416" s="43"/>
      <c r="B416" s="43"/>
      <c r="C416" s="14" t="s">
        <v>15</v>
      </c>
      <c r="D416" s="15">
        <v>256779417247</v>
      </c>
      <c r="E416" s="16" t="s">
        <v>0</v>
      </c>
      <c r="F416" s="17">
        <v>9273</v>
      </c>
      <c r="G416" s="18" t="s">
        <v>16</v>
      </c>
      <c r="H416" s="1"/>
      <c r="I416" s="2"/>
      <c r="J416" s="2"/>
      <c r="K416" s="2"/>
      <c r="L416" s="2"/>
    </row>
    <row r="417" spans="1:12" x14ac:dyDescent="0.35">
      <c r="A417" s="8">
        <v>45962</v>
      </c>
      <c r="B417" s="9" t="s">
        <v>10</v>
      </c>
      <c r="C417" s="45" t="s">
        <v>58</v>
      </c>
      <c r="D417" s="45"/>
      <c r="E417" s="10" t="s">
        <v>150</v>
      </c>
      <c r="F417" s="11"/>
      <c r="G417" s="11">
        <v>566.83000000000004</v>
      </c>
      <c r="H417" s="12" t="s">
        <v>13</v>
      </c>
      <c r="I417" s="13" t="s">
        <v>177</v>
      </c>
      <c r="J417" s="11"/>
      <c r="K417" s="11">
        <v>49606</v>
      </c>
      <c r="L417" s="2"/>
    </row>
    <row r="418" spans="1:12" x14ac:dyDescent="0.35">
      <c r="A418" s="43"/>
      <c r="B418" s="43"/>
      <c r="C418" s="14" t="s">
        <v>15</v>
      </c>
      <c r="D418" s="15">
        <v>256779417290</v>
      </c>
      <c r="E418" s="16" t="s">
        <v>0</v>
      </c>
      <c r="F418" s="17">
        <v>49606</v>
      </c>
      <c r="G418" s="18" t="s">
        <v>16</v>
      </c>
      <c r="H418" s="1"/>
      <c r="I418" s="2"/>
      <c r="J418" s="2"/>
      <c r="K418" s="2"/>
      <c r="L418" s="2"/>
    </row>
    <row r="419" spans="1:12" x14ac:dyDescent="0.35">
      <c r="A419" s="8">
        <v>45962</v>
      </c>
      <c r="B419" s="9" t="s">
        <v>10</v>
      </c>
      <c r="C419" s="45" t="s">
        <v>68</v>
      </c>
      <c r="D419" s="45"/>
      <c r="E419" s="10" t="s">
        <v>150</v>
      </c>
      <c r="F419" s="11"/>
      <c r="G419" s="11">
        <v>13.24</v>
      </c>
      <c r="H419" s="12" t="s">
        <v>13</v>
      </c>
      <c r="I419" s="13" t="s">
        <v>178</v>
      </c>
      <c r="J419" s="11"/>
      <c r="K419" s="11">
        <v>1159</v>
      </c>
      <c r="L419" s="2"/>
    </row>
    <row r="420" spans="1:12" x14ac:dyDescent="0.35">
      <c r="A420" s="43"/>
      <c r="B420" s="43"/>
      <c r="C420" s="14" t="s">
        <v>15</v>
      </c>
      <c r="D420" s="15">
        <v>256779417330</v>
      </c>
      <c r="E420" s="16" t="s">
        <v>0</v>
      </c>
      <c r="F420" s="17">
        <v>1159</v>
      </c>
      <c r="G420" s="18" t="s">
        <v>16</v>
      </c>
      <c r="H420" s="1"/>
      <c r="I420" s="2"/>
      <c r="J420" s="2"/>
      <c r="K420" s="2"/>
      <c r="L420" s="2"/>
    </row>
    <row r="421" spans="1:12" x14ac:dyDescent="0.35">
      <c r="A421" s="8">
        <v>45962</v>
      </c>
      <c r="B421" s="9" t="s">
        <v>10</v>
      </c>
      <c r="C421" s="45" t="s">
        <v>50</v>
      </c>
      <c r="D421" s="45"/>
      <c r="E421" s="10" t="s">
        <v>179</v>
      </c>
      <c r="F421" s="11"/>
      <c r="G421" s="11">
        <v>1299.67</v>
      </c>
      <c r="H421" s="12" t="s">
        <v>13</v>
      </c>
      <c r="I421" s="13" t="s">
        <v>180</v>
      </c>
      <c r="J421" s="11"/>
      <c r="K421" s="11">
        <v>113740</v>
      </c>
      <c r="L421" s="2"/>
    </row>
    <row r="422" spans="1:12" x14ac:dyDescent="0.35">
      <c r="A422" s="43"/>
      <c r="B422" s="43"/>
      <c r="C422" s="14" t="s">
        <v>15</v>
      </c>
      <c r="D422" s="15">
        <v>256779417444</v>
      </c>
      <c r="E422" s="16" t="s">
        <v>0</v>
      </c>
      <c r="F422" s="17">
        <v>113740</v>
      </c>
      <c r="G422" s="18" t="s">
        <v>16</v>
      </c>
      <c r="H422" s="1"/>
      <c r="I422" s="2"/>
      <c r="J422" s="2"/>
      <c r="K422" s="2"/>
      <c r="L422" s="2"/>
    </row>
    <row r="423" spans="1:12" x14ac:dyDescent="0.35">
      <c r="A423" s="8">
        <v>45962</v>
      </c>
      <c r="B423" s="9" t="s">
        <v>10</v>
      </c>
      <c r="C423" s="45" t="s">
        <v>68</v>
      </c>
      <c r="D423" s="45"/>
      <c r="E423" s="10" t="s">
        <v>179</v>
      </c>
      <c r="F423" s="11"/>
      <c r="G423" s="11">
        <v>40.47</v>
      </c>
      <c r="H423" s="12" t="s">
        <v>13</v>
      </c>
      <c r="I423" s="13" t="s">
        <v>181</v>
      </c>
      <c r="J423" s="11"/>
      <c r="K423" s="11">
        <v>3542</v>
      </c>
      <c r="L423" s="2"/>
    </row>
    <row r="424" spans="1:12" x14ac:dyDescent="0.35">
      <c r="A424" s="43"/>
      <c r="B424" s="43"/>
      <c r="C424" s="14" t="s">
        <v>15</v>
      </c>
      <c r="D424" s="15">
        <v>256779417530</v>
      </c>
      <c r="E424" s="16" t="s">
        <v>0</v>
      </c>
      <c r="F424" s="17">
        <v>3542</v>
      </c>
      <c r="G424" s="18" t="s">
        <v>16</v>
      </c>
      <c r="H424" s="1"/>
      <c r="I424" s="2"/>
      <c r="J424" s="2"/>
      <c r="K424" s="2"/>
      <c r="L424" s="2"/>
    </row>
    <row r="425" spans="1:12" x14ac:dyDescent="0.35">
      <c r="A425" s="8">
        <v>45962</v>
      </c>
      <c r="B425" s="9" t="s">
        <v>10</v>
      </c>
      <c r="C425" s="45" t="s">
        <v>58</v>
      </c>
      <c r="D425" s="45"/>
      <c r="E425" s="10" t="s">
        <v>179</v>
      </c>
      <c r="F425" s="11"/>
      <c r="G425" s="11">
        <v>153.69999999999999</v>
      </c>
      <c r="H425" s="12" t="s">
        <v>13</v>
      </c>
      <c r="I425" s="13" t="s">
        <v>182</v>
      </c>
      <c r="J425" s="11"/>
      <c r="K425" s="11">
        <v>13451</v>
      </c>
      <c r="L425" s="2"/>
    </row>
    <row r="426" spans="1:12" x14ac:dyDescent="0.35">
      <c r="A426" s="43"/>
      <c r="B426" s="43"/>
      <c r="C426" s="14" t="s">
        <v>15</v>
      </c>
      <c r="D426" s="15">
        <v>256779417571</v>
      </c>
      <c r="E426" s="16" t="s">
        <v>0</v>
      </c>
      <c r="F426" s="17">
        <v>13451</v>
      </c>
      <c r="G426" s="18" t="s">
        <v>16</v>
      </c>
      <c r="H426" s="1"/>
      <c r="I426" s="2"/>
      <c r="J426" s="2"/>
      <c r="K426" s="2"/>
      <c r="L426" s="2"/>
    </row>
    <row r="427" spans="1:12" x14ac:dyDescent="0.35">
      <c r="A427" s="8">
        <v>45962</v>
      </c>
      <c r="B427" s="9" t="s">
        <v>10</v>
      </c>
      <c r="C427" s="45" t="s">
        <v>58</v>
      </c>
      <c r="D427" s="45"/>
      <c r="E427" s="10" t="s">
        <v>179</v>
      </c>
      <c r="F427" s="11"/>
      <c r="G427" s="11">
        <v>29.3</v>
      </c>
      <c r="H427" s="12" t="s">
        <v>13</v>
      </c>
      <c r="I427" s="13" t="s">
        <v>183</v>
      </c>
      <c r="J427" s="11"/>
      <c r="K427" s="11">
        <v>2584</v>
      </c>
      <c r="L427" s="2"/>
    </row>
    <row r="428" spans="1:12" x14ac:dyDescent="0.35">
      <c r="A428" s="43"/>
      <c r="B428" s="43"/>
      <c r="C428" s="14" t="s">
        <v>15</v>
      </c>
      <c r="D428" s="15">
        <v>256779417904</v>
      </c>
      <c r="E428" s="16" t="s">
        <v>0</v>
      </c>
      <c r="F428" s="17">
        <v>2584</v>
      </c>
      <c r="G428" s="18" t="s">
        <v>16</v>
      </c>
      <c r="H428" s="1"/>
      <c r="I428" s="2"/>
      <c r="J428" s="2"/>
      <c r="K428" s="2"/>
      <c r="L428" s="2"/>
    </row>
    <row r="429" spans="1:12" x14ac:dyDescent="0.35">
      <c r="A429" s="8">
        <v>45962</v>
      </c>
      <c r="B429" s="9" t="s">
        <v>10</v>
      </c>
      <c r="C429" s="45" t="s">
        <v>68</v>
      </c>
      <c r="D429" s="45"/>
      <c r="E429" s="10" t="s">
        <v>179</v>
      </c>
      <c r="F429" s="11"/>
      <c r="G429" s="11">
        <v>152.96</v>
      </c>
      <c r="H429" s="12" t="s">
        <v>13</v>
      </c>
      <c r="I429" s="13" t="s">
        <v>184</v>
      </c>
      <c r="J429" s="11"/>
      <c r="K429" s="11">
        <v>13490</v>
      </c>
      <c r="L429" s="2"/>
    </row>
    <row r="430" spans="1:12" x14ac:dyDescent="0.35">
      <c r="A430" s="43"/>
      <c r="B430" s="43"/>
      <c r="C430" s="14" t="s">
        <v>15</v>
      </c>
      <c r="D430" s="15">
        <v>256779417982</v>
      </c>
      <c r="E430" s="16" t="s">
        <v>0</v>
      </c>
      <c r="F430" s="17">
        <v>13490</v>
      </c>
      <c r="G430" s="18" t="s">
        <v>16</v>
      </c>
      <c r="H430" s="1"/>
      <c r="I430" s="2"/>
      <c r="J430" s="2"/>
      <c r="K430" s="2"/>
      <c r="L430" s="2"/>
    </row>
    <row r="431" spans="1:12" x14ac:dyDescent="0.35">
      <c r="A431" s="8">
        <v>45962</v>
      </c>
      <c r="B431" s="9" t="s">
        <v>10</v>
      </c>
      <c r="C431" s="45" t="s">
        <v>50</v>
      </c>
      <c r="D431" s="45"/>
      <c r="E431" s="10" t="s">
        <v>179</v>
      </c>
      <c r="F431" s="11"/>
      <c r="G431" s="11">
        <v>548.79</v>
      </c>
      <c r="H431" s="12" t="s">
        <v>13</v>
      </c>
      <c r="I431" s="13" t="s">
        <v>185</v>
      </c>
      <c r="J431" s="11"/>
      <c r="K431" s="11">
        <v>48398</v>
      </c>
      <c r="L431" s="2"/>
    </row>
    <row r="432" spans="1:12" x14ac:dyDescent="0.35">
      <c r="A432" s="43"/>
      <c r="B432" s="43"/>
      <c r="C432" s="14" t="s">
        <v>15</v>
      </c>
      <c r="D432" s="15">
        <v>256779418182</v>
      </c>
      <c r="E432" s="16" t="s">
        <v>0</v>
      </c>
      <c r="F432" s="17">
        <v>48398</v>
      </c>
      <c r="G432" s="18" t="s">
        <v>16</v>
      </c>
      <c r="H432" s="1"/>
      <c r="I432" s="2"/>
      <c r="J432" s="2"/>
      <c r="K432" s="2"/>
      <c r="L432" s="2"/>
    </row>
    <row r="433" spans="1:12" x14ac:dyDescent="0.35">
      <c r="A433" s="8">
        <v>45962</v>
      </c>
      <c r="B433" s="9" t="s">
        <v>10</v>
      </c>
      <c r="C433" s="45" t="s">
        <v>58</v>
      </c>
      <c r="D433" s="45"/>
      <c r="E433" s="10" t="s">
        <v>179</v>
      </c>
      <c r="F433" s="11"/>
      <c r="G433" s="11">
        <v>50.31</v>
      </c>
      <c r="H433" s="12" t="s">
        <v>13</v>
      </c>
      <c r="I433" s="13" t="s">
        <v>186</v>
      </c>
      <c r="J433" s="11"/>
      <c r="K433" s="11">
        <v>4437</v>
      </c>
      <c r="L433" s="2"/>
    </row>
    <row r="434" spans="1:12" x14ac:dyDescent="0.35">
      <c r="A434" s="43"/>
      <c r="B434" s="43"/>
      <c r="C434" s="14" t="s">
        <v>15</v>
      </c>
      <c r="D434" s="15">
        <v>256779418403</v>
      </c>
      <c r="E434" s="16" t="s">
        <v>0</v>
      </c>
      <c r="F434" s="17">
        <v>4437</v>
      </c>
      <c r="G434" s="18" t="s">
        <v>16</v>
      </c>
      <c r="H434" s="1"/>
      <c r="I434" s="2"/>
      <c r="J434" s="2"/>
      <c r="K434" s="2"/>
      <c r="L434" s="2"/>
    </row>
    <row r="435" spans="1:12" x14ac:dyDescent="0.35">
      <c r="A435" s="8">
        <v>45962</v>
      </c>
      <c r="B435" s="9" t="s">
        <v>10</v>
      </c>
      <c r="C435" s="45" t="s">
        <v>58</v>
      </c>
      <c r="D435" s="45"/>
      <c r="E435" s="10" t="s">
        <v>187</v>
      </c>
      <c r="F435" s="11"/>
      <c r="G435" s="11">
        <v>45.98</v>
      </c>
      <c r="H435" s="12" t="s">
        <v>13</v>
      </c>
      <c r="I435" s="13" t="s">
        <v>188</v>
      </c>
      <c r="J435" s="11"/>
      <c r="K435" s="11">
        <v>4055</v>
      </c>
      <c r="L435" s="2"/>
    </row>
    <row r="436" spans="1:12" x14ac:dyDescent="0.35">
      <c r="A436" s="43"/>
      <c r="B436" s="43"/>
      <c r="C436" s="14" t="s">
        <v>15</v>
      </c>
      <c r="D436" s="15">
        <v>256779418430</v>
      </c>
      <c r="E436" s="16" t="s">
        <v>0</v>
      </c>
      <c r="F436" s="17">
        <v>4055</v>
      </c>
      <c r="G436" s="18" t="s">
        <v>16</v>
      </c>
      <c r="H436" s="1"/>
      <c r="I436" s="2"/>
      <c r="J436" s="2"/>
      <c r="K436" s="2"/>
      <c r="L436" s="2"/>
    </row>
    <row r="437" spans="1:12" x14ac:dyDescent="0.35">
      <c r="A437" s="8">
        <v>45962</v>
      </c>
      <c r="B437" s="9" t="s">
        <v>10</v>
      </c>
      <c r="C437" s="45" t="s">
        <v>58</v>
      </c>
      <c r="D437" s="45"/>
      <c r="E437" s="10" t="s">
        <v>187</v>
      </c>
      <c r="F437" s="11"/>
      <c r="G437" s="11">
        <v>13.32</v>
      </c>
      <c r="H437" s="12" t="s">
        <v>13</v>
      </c>
      <c r="I437" s="13" t="s">
        <v>189</v>
      </c>
      <c r="J437" s="11"/>
      <c r="K437" s="11">
        <v>1175</v>
      </c>
      <c r="L437" s="2"/>
    </row>
    <row r="438" spans="1:12" x14ac:dyDescent="0.35">
      <c r="A438" s="43"/>
      <c r="B438" s="43"/>
      <c r="C438" s="14" t="s">
        <v>15</v>
      </c>
      <c r="D438" s="15">
        <v>256779418482</v>
      </c>
      <c r="E438" s="16" t="s">
        <v>0</v>
      </c>
      <c r="F438" s="17">
        <v>1175</v>
      </c>
      <c r="G438" s="18" t="s">
        <v>16</v>
      </c>
      <c r="H438" s="1"/>
      <c r="I438" s="2"/>
      <c r="J438" s="2"/>
      <c r="K438" s="2"/>
      <c r="L438" s="2"/>
    </row>
    <row r="439" spans="1:12" x14ac:dyDescent="0.35">
      <c r="A439" s="8">
        <v>45962</v>
      </c>
      <c r="B439" s="9" t="s">
        <v>10</v>
      </c>
      <c r="C439" s="45" t="s">
        <v>123</v>
      </c>
      <c r="D439" s="45"/>
      <c r="E439" s="10" t="s">
        <v>187</v>
      </c>
      <c r="F439" s="11"/>
      <c r="G439" s="11">
        <v>230.31</v>
      </c>
      <c r="H439" s="12" t="s">
        <v>13</v>
      </c>
      <c r="I439" s="13" t="s">
        <v>190</v>
      </c>
      <c r="J439" s="11"/>
      <c r="K439" s="11">
        <v>20311</v>
      </c>
      <c r="L439" s="2"/>
    </row>
    <row r="440" spans="1:12" x14ac:dyDescent="0.35">
      <c r="A440" s="43"/>
      <c r="B440" s="43"/>
      <c r="C440" s="14" t="s">
        <v>15</v>
      </c>
      <c r="D440" s="15">
        <v>256779418628</v>
      </c>
      <c r="E440" s="16" t="s">
        <v>0</v>
      </c>
      <c r="F440" s="17">
        <v>20311</v>
      </c>
      <c r="G440" s="18" t="s">
        <v>16</v>
      </c>
      <c r="H440" s="1"/>
      <c r="I440" s="2"/>
      <c r="J440" s="2"/>
      <c r="K440" s="2"/>
      <c r="L440" s="2"/>
    </row>
    <row r="441" spans="1:12" x14ac:dyDescent="0.35">
      <c r="A441" s="8">
        <v>45962</v>
      </c>
      <c r="B441" s="9" t="s">
        <v>10</v>
      </c>
      <c r="C441" s="45" t="s">
        <v>68</v>
      </c>
      <c r="D441" s="45"/>
      <c r="E441" s="10" t="s">
        <v>187</v>
      </c>
      <c r="F441" s="11"/>
      <c r="G441" s="11">
        <v>53.25</v>
      </c>
      <c r="H441" s="12" t="s">
        <v>13</v>
      </c>
      <c r="I441" s="13" t="s">
        <v>191</v>
      </c>
      <c r="J441" s="11"/>
      <c r="K441" s="11">
        <v>4696</v>
      </c>
      <c r="L441" s="2"/>
    </row>
    <row r="442" spans="1:12" x14ac:dyDescent="0.35">
      <c r="A442" s="43"/>
      <c r="B442" s="43"/>
      <c r="C442" s="14" t="s">
        <v>15</v>
      </c>
      <c r="D442" s="15">
        <v>256779418706</v>
      </c>
      <c r="E442" s="16" t="s">
        <v>0</v>
      </c>
      <c r="F442" s="17">
        <v>4696</v>
      </c>
      <c r="G442" s="18" t="s">
        <v>16</v>
      </c>
      <c r="H442" s="1"/>
      <c r="I442" s="2"/>
      <c r="J442" s="2"/>
      <c r="K442" s="2"/>
      <c r="L442" s="2"/>
    </row>
    <row r="443" spans="1:12" x14ac:dyDescent="0.35">
      <c r="A443" s="8">
        <v>45962</v>
      </c>
      <c r="B443" s="9" t="s">
        <v>10</v>
      </c>
      <c r="C443" s="45" t="s">
        <v>58</v>
      </c>
      <c r="D443" s="45"/>
      <c r="E443" s="10" t="s">
        <v>179</v>
      </c>
      <c r="F443" s="11"/>
      <c r="G443" s="11">
        <v>265.42</v>
      </c>
      <c r="H443" s="12" t="s">
        <v>13</v>
      </c>
      <c r="I443" s="13" t="s">
        <v>192</v>
      </c>
      <c r="J443" s="11"/>
      <c r="K443" s="11">
        <v>23408</v>
      </c>
      <c r="L443" s="2"/>
    </row>
    <row r="444" spans="1:12" x14ac:dyDescent="0.35">
      <c r="A444" s="43"/>
      <c r="B444" s="43"/>
      <c r="C444" s="14" t="s">
        <v>15</v>
      </c>
      <c r="D444" s="15">
        <v>256779417943</v>
      </c>
      <c r="E444" s="16" t="s">
        <v>0</v>
      </c>
      <c r="F444" s="17">
        <v>23408</v>
      </c>
      <c r="G444" s="18" t="s">
        <v>16</v>
      </c>
      <c r="H444" s="1"/>
      <c r="I444" s="2"/>
      <c r="J444" s="2"/>
      <c r="K444" s="2"/>
      <c r="L444" s="2"/>
    </row>
    <row r="445" spans="1:12" x14ac:dyDescent="0.35">
      <c r="A445" s="8">
        <v>45962</v>
      </c>
      <c r="B445" s="9" t="s">
        <v>10</v>
      </c>
      <c r="C445" s="45" t="s">
        <v>58</v>
      </c>
      <c r="D445" s="45"/>
      <c r="E445" s="10" t="s">
        <v>187</v>
      </c>
      <c r="F445" s="11"/>
      <c r="G445" s="11">
        <v>241.98</v>
      </c>
      <c r="H445" s="12" t="s">
        <v>13</v>
      </c>
      <c r="I445" s="13" t="s">
        <v>193</v>
      </c>
      <c r="J445" s="11"/>
      <c r="K445" s="11">
        <v>21340</v>
      </c>
      <c r="L445" s="2"/>
    </row>
    <row r="446" spans="1:12" x14ac:dyDescent="0.35">
      <c r="A446" s="43"/>
      <c r="B446" s="43"/>
      <c r="C446" s="14" t="s">
        <v>15</v>
      </c>
      <c r="D446" s="15">
        <v>256779418736</v>
      </c>
      <c r="E446" s="16" t="s">
        <v>0</v>
      </c>
      <c r="F446" s="17">
        <v>21340</v>
      </c>
      <c r="G446" s="18" t="s">
        <v>16</v>
      </c>
      <c r="H446" s="1"/>
      <c r="I446" s="2"/>
      <c r="J446" s="2"/>
      <c r="K446" s="2"/>
      <c r="L446" s="2"/>
    </row>
    <row r="447" spans="1:12" x14ac:dyDescent="0.35">
      <c r="A447" s="8">
        <v>45964</v>
      </c>
      <c r="B447" s="9" t="s">
        <v>10</v>
      </c>
      <c r="C447" s="45" t="s">
        <v>58</v>
      </c>
      <c r="D447" s="45"/>
      <c r="E447" s="10" t="s">
        <v>187</v>
      </c>
      <c r="F447" s="11"/>
      <c r="G447" s="11">
        <v>450.69</v>
      </c>
      <c r="H447" s="12" t="s">
        <v>13</v>
      </c>
      <c r="I447" s="13" t="s">
        <v>194</v>
      </c>
      <c r="J447" s="11"/>
      <c r="K447" s="11">
        <v>39662</v>
      </c>
      <c r="L447" s="2"/>
    </row>
    <row r="448" spans="1:12" x14ac:dyDescent="0.35">
      <c r="A448" s="43"/>
      <c r="B448" s="43"/>
      <c r="C448" s="14" t="s">
        <v>15</v>
      </c>
      <c r="D448" s="15">
        <v>256779419136</v>
      </c>
      <c r="E448" s="16" t="s">
        <v>0</v>
      </c>
      <c r="F448" s="17">
        <v>39662</v>
      </c>
      <c r="G448" s="18" t="s">
        <v>16</v>
      </c>
      <c r="H448" s="1"/>
      <c r="I448" s="2"/>
      <c r="J448" s="2"/>
      <c r="K448" s="2"/>
      <c r="L448" s="2"/>
    </row>
    <row r="449" spans="1:12" x14ac:dyDescent="0.35">
      <c r="A449" s="8">
        <v>45966</v>
      </c>
      <c r="B449" s="9" t="s">
        <v>10</v>
      </c>
      <c r="C449" s="45" t="s">
        <v>58</v>
      </c>
      <c r="D449" s="45"/>
      <c r="E449" s="10" t="s">
        <v>187</v>
      </c>
      <c r="F449" s="11"/>
      <c r="G449" s="11">
        <v>13.26</v>
      </c>
      <c r="H449" s="12" t="s">
        <v>13</v>
      </c>
      <c r="I449" s="13" t="s">
        <v>195</v>
      </c>
      <c r="J449" s="11"/>
      <c r="K449" s="11">
        <v>1167</v>
      </c>
      <c r="L449" s="2"/>
    </row>
    <row r="450" spans="1:12" x14ac:dyDescent="0.35">
      <c r="A450" s="43"/>
      <c r="B450" s="43"/>
      <c r="C450" s="14" t="s">
        <v>15</v>
      </c>
      <c r="D450" s="15">
        <v>256779418828</v>
      </c>
      <c r="E450" s="16" t="s">
        <v>0</v>
      </c>
      <c r="F450" s="17">
        <v>1167</v>
      </c>
      <c r="G450" s="18" t="s">
        <v>16</v>
      </c>
      <c r="H450" s="1"/>
      <c r="I450" s="2"/>
      <c r="J450" s="2"/>
      <c r="K450" s="2"/>
      <c r="L450" s="2"/>
    </row>
    <row r="451" spans="1:12" x14ac:dyDescent="0.35">
      <c r="A451" s="8">
        <v>45966</v>
      </c>
      <c r="B451" s="9" t="s">
        <v>10</v>
      </c>
      <c r="C451" s="45" t="s">
        <v>123</v>
      </c>
      <c r="D451" s="45"/>
      <c r="E451" s="10" t="s">
        <v>187</v>
      </c>
      <c r="F451" s="11"/>
      <c r="G451" s="11">
        <v>137.19999999999999</v>
      </c>
      <c r="H451" s="12" t="s">
        <v>13</v>
      </c>
      <c r="I451" s="13" t="s">
        <v>196</v>
      </c>
      <c r="J451" s="11"/>
      <c r="K451" s="11">
        <v>12074</v>
      </c>
      <c r="L451" s="2"/>
    </row>
    <row r="452" spans="1:12" x14ac:dyDescent="0.35">
      <c r="A452" s="43"/>
      <c r="B452" s="43"/>
      <c r="C452" s="14" t="s">
        <v>15</v>
      </c>
      <c r="D452" s="15">
        <v>256779419087</v>
      </c>
      <c r="E452" s="16" t="s">
        <v>0</v>
      </c>
      <c r="F452" s="17">
        <v>12074</v>
      </c>
      <c r="G452" s="18" t="s">
        <v>16</v>
      </c>
      <c r="H452" s="1"/>
      <c r="I452" s="2"/>
      <c r="J452" s="2"/>
      <c r="K452" s="2"/>
      <c r="L452" s="2"/>
    </row>
    <row r="453" spans="1:12" x14ac:dyDescent="0.35">
      <c r="A453" s="8">
        <v>45966</v>
      </c>
      <c r="B453" s="9" t="s">
        <v>10</v>
      </c>
      <c r="C453" s="45" t="s">
        <v>58</v>
      </c>
      <c r="D453" s="45"/>
      <c r="E453" s="10" t="s">
        <v>187</v>
      </c>
      <c r="F453" s="11"/>
      <c r="G453" s="11">
        <v>34.29</v>
      </c>
      <c r="H453" s="12" t="s">
        <v>13</v>
      </c>
      <c r="I453" s="13" t="s">
        <v>197</v>
      </c>
      <c r="J453" s="11"/>
      <c r="K453" s="11">
        <v>3018</v>
      </c>
      <c r="L453" s="2"/>
    </row>
    <row r="454" spans="1:12" x14ac:dyDescent="0.35">
      <c r="A454" s="43"/>
      <c r="B454" s="43"/>
      <c r="C454" s="14" t="s">
        <v>15</v>
      </c>
      <c r="D454" s="15">
        <v>256779419098</v>
      </c>
      <c r="E454" s="16" t="s">
        <v>0</v>
      </c>
      <c r="F454" s="17">
        <v>3018</v>
      </c>
      <c r="G454" s="18" t="s">
        <v>16</v>
      </c>
      <c r="H454" s="1"/>
      <c r="I454" s="2"/>
      <c r="J454" s="2"/>
      <c r="K454" s="2"/>
      <c r="L454" s="2"/>
    </row>
    <row r="455" spans="1:12" x14ac:dyDescent="0.35">
      <c r="A455" s="8">
        <v>45966</v>
      </c>
      <c r="B455" s="9" t="s">
        <v>10</v>
      </c>
      <c r="C455" s="45" t="s">
        <v>68</v>
      </c>
      <c r="D455" s="45"/>
      <c r="E455" s="10" t="s">
        <v>187</v>
      </c>
      <c r="F455" s="11"/>
      <c r="G455" s="11">
        <v>316.18</v>
      </c>
      <c r="H455" s="12" t="s">
        <v>13</v>
      </c>
      <c r="I455" s="13" t="s">
        <v>198</v>
      </c>
      <c r="J455" s="11"/>
      <c r="K455" s="11">
        <v>27825</v>
      </c>
      <c r="L455" s="2"/>
    </row>
    <row r="456" spans="1:12" x14ac:dyDescent="0.35">
      <c r="A456" s="43"/>
      <c r="B456" s="43"/>
      <c r="C456" s="14" t="s">
        <v>15</v>
      </c>
      <c r="D456" s="15">
        <v>256779419179</v>
      </c>
      <c r="E456" s="16" t="s">
        <v>0</v>
      </c>
      <c r="F456" s="17">
        <v>27825</v>
      </c>
      <c r="G456" s="18" t="s">
        <v>16</v>
      </c>
      <c r="H456" s="1"/>
      <c r="I456" s="2"/>
      <c r="J456" s="2"/>
      <c r="K456" s="2"/>
      <c r="L456" s="2"/>
    </row>
    <row r="457" spans="1:12" x14ac:dyDescent="0.35">
      <c r="A457" s="8">
        <v>45966</v>
      </c>
      <c r="B457" s="9" t="s">
        <v>10</v>
      </c>
      <c r="C457" s="45" t="s">
        <v>58</v>
      </c>
      <c r="D457" s="45"/>
      <c r="E457" s="10" t="s">
        <v>187</v>
      </c>
      <c r="F457" s="11"/>
      <c r="G457" s="11">
        <v>13.03</v>
      </c>
      <c r="H457" s="12" t="s">
        <v>13</v>
      </c>
      <c r="I457" s="13" t="s">
        <v>199</v>
      </c>
      <c r="J457" s="11"/>
      <c r="K457" s="11">
        <v>1147</v>
      </c>
      <c r="L457" s="2"/>
    </row>
    <row r="458" spans="1:12" x14ac:dyDescent="0.35">
      <c r="A458" s="43"/>
      <c r="B458" s="43"/>
      <c r="C458" s="14" t="s">
        <v>15</v>
      </c>
      <c r="D458" s="15">
        <v>256779419204</v>
      </c>
      <c r="E458" s="16" t="s">
        <v>0</v>
      </c>
      <c r="F458" s="17">
        <v>1147</v>
      </c>
      <c r="G458" s="18" t="s">
        <v>16</v>
      </c>
      <c r="H458" s="1"/>
      <c r="I458" s="2"/>
      <c r="J458" s="2"/>
      <c r="K458" s="2"/>
      <c r="L458" s="2"/>
    </row>
    <row r="459" spans="1:12" x14ac:dyDescent="0.35">
      <c r="A459" s="8">
        <v>45966</v>
      </c>
      <c r="B459" s="9" t="s">
        <v>10</v>
      </c>
      <c r="C459" s="45" t="s">
        <v>200</v>
      </c>
      <c r="D459" s="45"/>
      <c r="E459" s="10" t="s">
        <v>187</v>
      </c>
      <c r="F459" s="11"/>
      <c r="G459" s="11">
        <v>193.29</v>
      </c>
      <c r="H459" s="12" t="s">
        <v>13</v>
      </c>
      <c r="I459" s="13" t="s">
        <v>201</v>
      </c>
      <c r="J459" s="11"/>
      <c r="K459" s="11">
        <v>17010</v>
      </c>
      <c r="L459" s="2"/>
    </row>
    <row r="460" spans="1:12" x14ac:dyDescent="0.35">
      <c r="A460" s="43"/>
      <c r="B460" s="43"/>
      <c r="C460" s="14" t="s">
        <v>15</v>
      </c>
      <c r="D460" s="15">
        <v>256779419267</v>
      </c>
      <c r="E460" s="16" t="s">
        <v>0</v>
      </c>
      <c r="F460" s="17">
        <v>17010</v>
      </c>
      <c r="G460" s="18" t="s">
        <v>16</v>
      </c>
      <c r="H460" s="1"/>
      <c r="I460" s="2"/>
      <c r="J460" s="2"/>
      <c r="K460" s="2"/>
      <c r="L460" s="2"/>
    </row>
    <row r="461" spans="1:12" x14ac:dyDescent="0.35">
      <c r="A461" s="8">
        <v>45966</v>
      </c>
      <c r="B461" s="9" t="s">
        <v>10</v>
      </c>
      <c r="C461" s="45" t="s">
        <v>58</v>
      </c>
      <c r="D461" s="45"/>
      <c r="E461" s="10" t="s">
        <v>187</v>
      </c>
      <c r="F461" s="11"/>
      <c r="G461" s="11">
        <v>143.27000000000001</v>
      </c>
      <c r="H461" s="12" t="s">
        <v>13</v>
      </c>
      <c r="I461" s="13" t="s">
        <v>202</v>
      </c>
      <c r="J461" s="11"/>
      <c r="K461" s="11">
        <v>12608</v>
      </c>
      <c r="L461" s="2"/>
    </row>
    <row r="462" spans="1:12" x14ac:dyDescent="0.35">
      <c r="A462" s="43"/>
      <c r="B462" s="43"/>
      <c r="C462" s="14" t="s">
        <v>15</v>
      </c>
      <c r="D462" s="15">
        <v>256779419235</v>
      </c>
      <c r="E462" s="16" t="s">
        <v>0</v>
      </c>
      <c r="F462" s="17">
        <v>12608</v>
      </c>
      <c r="G462" s="18" t="s">
        <v>16</v>
      </c>
      <c r="H462" s="1"/>
      <c r="I462" s="2"/>
      <c r="J462" s="2"/>
      <c r="K462" s="2"/>
      <c r="L462" s="2"/>
    </row>
    <row r="463" spans="1:12" x14ac:dyDescent="0.35">
      <c r="A463" s="8">
        <v>45967</v>
      </c>
      <c r="B463" s="9" t="s">
        <v>16</v>
      </c>
      <c r="C463" s="45" t="s">
        <v>44</v>
      </c>
      <c r="D463" s="45"/>
      <c r="E463" s="10" t="s">
        <v>45</v>
      </c>
      <c r="F463" s="11"/>
      <c r="G463" s="11"/>
      <c r="H463" s="12" t="s">
        <v>46</v>
      </c>
      <c r="I463" s="13" t="s">
        <v>203</v>
      </c>
      <c r="J463" s="11">
        <v>100000</v>
      </c>
      <c r="K463" s="11"/>
      <c r="L463" s="2"/>
    </row>
    <row r="464" spans="1:12" x14ac:dyDescent="0.35">
      <c r="A464" s="43"/>
      <c r="B464" s="43"/>
      <c r="C464" s="14" t="s">
        <v>48</v>
      </c>
      <c r="D464" s="15">
        <v>256779414232</v>
      </c>
      <c r="E464" s="16" t="s">
        <v>0</v>
      </c>
      <c r="F464" s="17">
        <v>9623</v>
      </c>
      <c r="G464" s="18" t="s">
        <v>10</v>
      </c>
      <c r="H464" s="1"/>
      <c r="I464" s="2"/>
      <c r="J464" s="2"/>
      <c r="K464" s="2"/>
      <c r="L464" s="2"/>
    </row>
    <row r="465" spans="1:12" x14ac:dyDescent="0.35">
      <c r="A465" s="43"/>
      <c r="B465" s="43"/>
      <c r="C465" s="14" t="s">
        <v>48</v>
      </c>
      <c r="D465" s="15">
        <v>256779414264</v>
      </c>
      <c r="E465" s="16" t="s">
        <v>0</v>
      </c>
      <c r="F465" s="17">
        <v>588</v>
      </c>
      <c r="G465" s="18" t="s">
        <v>10</v>
      </c>
      <c r="H465" s="1"/>
      <c r="I465" s="2"/>
      <c r="J465" s="2"/>
      <c r="K465" s="2"/>
      <c r="L465" s="2"/>
    </row>
    <row r="466" spans="1:12" x14ac:dyDescent="0.35">
      <c r="A466" s="43"/>
      <c r="B466" s="43"/>
      <c r="C466" s="14" t="s">
        <v>48</v>
      </c>
      <c r="D466" s="15">
        <v>256779414320</v>
      </c>
      <c r="E466" s="16" t="s">
        <v>0</v>
      </c>
      <c r="F466" s="17">
        <v>51221</v>
      </c>
      <c r="G466" s="18" t="s">
        <v>10</v>
      </c>
      <c r="H466" s="1"/>
      <c r="I466" s="2"/>
      <c r="J466" s="2"/>
      <c r="K466" s="2"/>
      <c r="L466" s="2"/>
    </row>
    <row r="467" spans="1:12" x14ac:dyDescent="0.35">
      <c r="A467" s="43"/>
      <c r="B467" s="43"/>
      <c r="C467" s="14" t="s">
        <v>48</v>
      </c>
      <c r="D467" s="15">
        <v>256779414342</v>
      </c>
      <c r="E467" s="16" t="s">
        <v>0</v>
      </c>
      <c r="F467" s="17">
        <v>35715</v>
      </c>
      <c r="G467" s="18" t="s">
        <v>10</v>
      </c>
      <c r="H467" s="1"/>
      <c r="I467" s="2"/>
      <c r="J467" s="2"/>
      <c r="K467" s="2"/>
      <c r="L467" s="2"/>
    </row>
    <row r="468" spans="1:12" x14ac:dyDescent="0.35">
      <c r="A468" s="43"/>
      <c r="B468" s="43"/>
      <c r="C468" s="14" t="s">
        <v>48</v>
      </c>
      <c r="D468" s="15">
        <v>256779414374</v>
      </c>
      <c r="E468" s="16" t="s">
        <v>0</v>
      </c>
      <c r="F468" s="17">
        <v>2853</v>
      </c>
      <c r="G468" s="18" t="s">
        <v>10</v>
      </c>
      <c r="H468" s="1"/>
      <c r="I468" s="2"/>
      <c r="J468" s="2"/>
      <c r="K468" s="2"/>
      <c r="L468" s="2"/>
    </row>
    <row r="469" spans="1:12" x14ac:dyDescent="0.35">
      <c r="A469" s="8">
        <v>45967</v>
      </c>
      <c r="B469" s="9" t="s">
        <v>10</v>
      </c>
      <c r="C469" s="45" t="s">
        <v>11</v>
      </c>
      <c r="D469" s="45"/>
      <c r="E469" s="10" t="s">
        <v>179</v>
      </c>
      <c r="F469" s="11"/>
      <c r="G469" s="11">
        <v>1620</v>
      </c>
      <c r="H469" s="12" t="s">
        <v>13</v>
      </c>
      <c r="I469" s="13" t="s">
        <v>204</v>
      </c>
      <c r="J469" s="11"/>
      <c r="K469" s="11">
        <v>141773</v>
      </c>
      <c r="L469" s="2"/>
    </row>
    <row r="470" spans="1:12" x14ac:dyDescent="0.35">
      <c r="A470" s="43"/>
      <c r="B470" s="43"/>
      <c r="C470" s="14" t="s">
        <v>15</v>
      </c>
      <c r="D470" s="15">
        <v>256779417362</v>
      </c>
      <c r="E470" s="16" t="s">
        <v>0</v>
      </c>
      <c r="F470" s="17">
        <v>141773</v>
      </c>
      <c r="G470" s="18" t="s">
        <v>16</v>
      </c>
      <c r="H470" s="1"/>
      <c r="I470" s="2"/>
      <c r="J470" s="2"/>
      <c r="K470" s="2"/>
      <c r="L470" s="2"/>
    </row>
    <row r="471" spans="1:12" x14ac:dyDescent="0.35">
      <c r="A471" s="8">
        <v>45967</v>
      </c>
      <c r="B471" s="9" t="s">
        <v>10</v>
      </c>
      <c r="C471" s="45" t="s">
        <v>11</v>
      </c>
      <c r="D471" s="45"/>
      <c r="E471" s="10" t="s">
        <v>150</v>
      </c>
      <c r="F471" s="11"/>
      <c r="G471" s="11">
        <v>989.12</v>
      </c>
      <c r="H471" s="12" t="s">
        <v>13</v>
      </c>
      <c r="I471" s="13" t="s">
        <v>205</v>
      </c>
      <c r="J471" s="11"/>
      <c r="K471" s="11">
        <v>86562</v>
      </c>
      <c r="L471" s="2"/>
    </row>
    <row r="472" spans="1:12" x14ac:dyDescent="0.35">
      <c r="A472" s="43"/>
      <c r="B472" s="43"/>
      <c r="C472" s="14" t="s">
        <v>15</v>
      </c>
      <c r="D472" s="15">
        <v>256779417075</v>
      </c>
      <c r="E472" s="16" t="s">
        <v>0</v>
      </c>
      <c r="F472" s="17">
        <v>86562</v>
      </c>
      <c r="G472" s="18" t="s">
        <v>16</v>
      </c>
      <c r="H472" s="1"/>
      <c r="I472" s="2"/>
      <c r="J472" s="2"/>
      <c r="K472" s="2"/>
      <c r="L472" s="2"/>
    </row>
    <row r="473" spans="1:12" x14ac:dyDescent="0.35">
      <c r="A473" s="8">
        <v>45967</v>
      </c>
      <c r="B473" s="9" t="s">
        <v>10</v>
      </c>
      <c r="C473" s="45" t="s">
        <v>11</v>
      </c>
      <c r="D473" s="45"/>
      <c r="E473" s="10" t="s">
        <v>179</v>
      </c>
      <c r="F473" s="11"/>
      <c r="G473" s="11">
        <v>1196.96</v>
      </c>
      <c r="H473" s="12" t="s">
        <v>13</v>
      </c>
      <c r="I473" s="13" t="s">
        <v>206</v>
      </c>
      <c r="J473" s="11"/>
      <c r="K473" s="11">
        <v>105561</v>
      </c>
      <c r="L473" s="2"/>
    </row>
    <row r="474" spans="1:12" x14ac:dyDescent="0.35">
      <c r="A474" s="43"/>
      <c r="B474" s="43"/>
      <c r="C474" s="14" t="s">
        <v>15</v>
      </c>
      <c r="D474" s="15">
        <v>256779418014</v>
      </c>
      <c r="E474" s="16" t="s">
        <v>0</v>
      </c>
      <c r="F474" s="17">
        <v>105561</v>
      </c>
      <c r="G474" s="18" t="s">
        <v>16</v>
      </c>
      <c r="H474" s="1"/>
      <c r="I474" s="2"/>
      <c r="J474" s="2"/>
      <c r="K474" s="2"/>
      <c r="L474" s="2"/>
    </row>
    <row r="475" spans="1:12" x14ac:dyDescent="0.35">
      <c r="A475" s="8">
        <v>45975</v>
      </c>
      <c r="B475" s="9" t="s">
        <v>16</v>
      </c>
      <c r="C475" s="45" t="s">
        <v>44</v>
      </c>
      <c r="D475" s="45"/>
      <c r="E475" s="10" t="s">
        <v>45</v>
      </c>
      <c r="F475" s="11"/>
      <c r="G475" s="11"/>
      <c r="H475" s="12" t="s">
        <v>46</v>
      </c>
      <c r="I475" s="13" t="s">
        <v>207</v>
      </c>
      <c r="J475" s="11">
        <v>100000</v>
      </c>
      <c r="K475" s="11"/>
      <c r="L475" s="2"/>
    </row>
    <row r="476" spans="1:12" x14ac:dyDescent="0.35">
      <c r="A476" s="43"/>
      <c r="B476" s="43"/>
      <c r="C476" s="14" t="s">
        <v>48</v>
      </c>
      <c r="D476" s="15">
        <v>256779414374</v>
      </c>
      <c r="E476" s="16" t="s">
        <v>0</v>
      </c>
      <c r="F476" s="17">
        <v>100000</v>
      </c>
      <c r="G476" s="18" t="s">
        <v>10</v>
      </c>
      <c r="H476" s="1"/>
      <c r="I476" s="2"/>
      <c r="J476" s="2"/>
      <c r="K476" s="2"/>
      <c r="L476" s="2"/>
    </row>
    <row r="477" spans="1:12" x14ac:dyDescent="0.35">
      <c r="A477" s="8">
        <v>45987</v>
      </c>
      <c r="B477" s="9" t="s">
        <v>16</v>
      </c>
      <c r="C477" s="45" t="s">
        <v>44</v>
      </c>
      <c r="D477" s="45"/>
      <c r="E477" s="10" t="s">
        <v>45</v>
      </c>
      <c r="F477" s="11"/>
      <c r="G477" s="11"/>
      <c r="H477" s="12" t="s">
        <v>46</v>
      </c>
      <c r="I477" s="13" t="s">
        <v>208</v>
      </c>
      <c r="J477" s="11">
        <v>100000</v>
      </c>
      <c r="K477" s="11"/>
      <c r="L477" s="2"/>
    </row>
    <row r="478" spans="1:12" x14ac:dyDescent="0.35">
      <c r="A478" s="43"/>
      <c r="B478" s="43"/>
      <c r="C478" s="14" t="s">
        <v>48</v>
      </c>
      <c r="D478" s="15">
        <v>256779414374</v>
      </c>
      <c r="E478" s="16" t="s">
        <v>0</v>
      </c>
      <c r="F478" s="17">
        <v>35642</v>
      </c>
      <c r="G478" s="18" t="s">
        <v>10</v>
      </c>
      <c r="H478" s="1"/>
      <c r="I478" s="2"/>
      <c r="J478" s="2"/>
      <c r="K478" s="2"/>
      <c r="L478" s="2"/>
    </row>
    <row r="479" spans="1:12" x14ac:dyDescent="0.35">
      <c r="A479" s="43"/>
      <c r="B479" s="43"/>
      <c r="C479" s="14" t="s">
        <v>48</v>
      </c>
      <c r="D479" s="15">
        <v>256779414736</v>
      </c>
      <c r="E479" s="16" t="s">
        <v>0</v>
      </c>
      <c r="F479" s="17">
        <v>9282</v>
      </c>
      <c r="G479" s="18" t="s">
        <v>10</v>
      </c>
      <c r="H479" s="1"/>
      <c r="I479" s="2"/>
      <c r="J479" s="2"/>
      <c r="K479" s="2"/>
      <c r="L479" s="2"/>
    </row>
    <row r="480" spans="1:12" x14ac:dyDescent="0.35">
      <c r="A480" s="43"/>
      <c r="B480" s="43"/>
      <c r="C480" s="14" t="s">
        <v>48</v>
      </c>
      <c r="D480" s="15">
        <v>256779414744</v>
      </c>
      <c r="E480" s="16" t="s">
        <v>0</v>
      </c>
      <c r="F480" s="17">
        <v>24284</v>
      </c>
      <c r="G480" s="18" t="s">
        <v>10</v>
      </c>
      <c r="H480" s="1"/>
      <c r="I480" s="2"/>
      <c r="J480" s="2"/>
      <c r="K480" s="2"/>
      <c r="L480" s="2"/>
    </row>
    <row r="481" spans="1:12" x14ac:dyDescent="0.35">
      <c r="A481" s="43"/>
      <c r="B481" s="43"/>
      <c r="C481" s="14" t="s">
        <v>48</v>
      </c>
      <c r="D481" s="15">
        <v>256779414769</v>
      </c>
      <c r="E481" s="16" t="s">
        <v>0</v>
      </c>
      <c r="F481" s="17">
        <v>5629</v>
      </c>
      <c r="G481" s="18" t="s">
        <v>10</v>
      </c>
      <c r="H481" s="1"/>
      <c r="I481" s="2"/>
      <c r="J481" s="2"/>
      <c r="K481" s="2"/>
      <c r="L481" s="2"/>
    </row>
    <row r="482" spans="1:12" x14ac:dyDescent="0.35">
      <c r="A482" s="43"/>
      <c r="B482" s="43"/>
      <c r="C482" s="14" t="s">
        <v>48</v>
      </c>
      <c r="D482" s="15">
        <v>256779414803</v>
      </c>
      <c r="E482" s="16" t="s">
        <v>0</v>
      </c>
      <c r="F482" s="17">
        <v>25163</v>
      </c>
      <c r="G482" s="18" t="s">
        <v>10</v>
      </c>
      <c r="H482" s="1"/>
      <c r="I482" s="2"/>
      <c r="J482" s="2"/>
      <c r="K482" s="2"/>
      <c r="L482" s="2"/>
    </row>
    <row r="483" spans="1:12" x14ac:dyDescent="0.35">
      <c r="A483" s="8">
        <v>45992</v>
      </c>
      <c r="B483" s="9" t="s">
        <v>10</v>
      </c>
      <c r="C483" s="45" t="s">
        <v>11</v>
      </c>
      <c r="D483" s="45"/>
      <c r="E483" s="10" t="s">
        <v>187</v>
      </c>
      <c r="F483" s="11"/>
      <c r="G483" s="11">
        <v>1620</v>
      </c>
      <c r="H483" s="12" t="s">
        <v>13</v>
      </c>
      <c r="I483" s="13" t="s">
        <v>209</v>
      </c>
      <c r="J483" s="11"/>
      <c r="K483" s="11">
        <v>142869</v>
      </c>
      <c r="L483" s="2"/>
    </row>
    <row r="484" spans="1:12" x14ac:dyDescent="0.35">
      <c r="A484" s="43"/>
      <c r="B484" s="43"/>
      <c r="C484" s="14" t="s">
        <v>15</v>
      </c>
      <c r="D484" s="15">
        <v>256779418025</v>
      </c>
      <c r="E484" s="16" t="s">
        <v>0</v>
      </c>
      <c r="F484" s="17">
        <v>142869</v>
      </c>
      <c r="G484" s="18" t="s">
        <v>16</v>
      </c>
      <c r="H484" s="1"/>
      <c r="I484" s="2"/>
      <c r="J484" s="2"/>
      <c r="K484" s="2"/>
      <c r="L484" s="2"/>
    </row>
    <row r="485" spans="1:12" x14ac:dyDescent="0.35">
      <c r="A485" s="8">
        <v>45992</v>
      </c>
      <c r="B485" s="9" t="s">
        <v>10</v>
      </c>
      <c r="C485" s="45" t="s">
        <v>11</v>
      </c>
      <c r="D485" s="45"/>
      <c r="E485" s="10" t="s">
        <v>210</v>
      </c>
      <c r="F485" s="11"/>
      <c r="G485" s="11">
        <v>1619.99</v>
      </c>
      <c r="H485" s="12" t="s">
        <v>13</v>
      </c>
      <c r="I485" s="13" t="s">
        <v>111</v>
      </c>
      <c r="J485" s="11"/>
      <c r="K485" s="11">
        <v>142565</v>
      </c>
      <c r="L485" s="2"/>
    </row>
    <row r="486" spans="1:12" x14ac:dyDescent="0.35">
      <c r="A486" s="43"/>
      <c r="B486" s="43"/>
      <c r="C486" s="14" t="s">
        <v>15</v>
      </c>
      <c r="D486" s="15">
        <v>256779418791</v>
      </c>
      <c r="E486" s="16" t="s">
        <v>0</v>
      </c>
      <c r="F486" s="17">
        <v>142565</v>
      </c>
      <c r="G486" s="18" t="s">
        <v>16</v>
      </c>
      <c r="H486" s="1"/>
      <c r="I486" s="2"/>
      <c r="J486" s="2"/>
      <c r="K486" s="2"/>
      <c r="L486" s="2"/>
    </row>
    <row r="487" spans="1:12" x14ac:dyDescent="0.35">
      <c r="A487" s="8">
        <v>45992</v>
      </c>
      <c r="B487" s="9" t="s">
        <v>10</v>
      </c>
      <c r="C487" s="45" t="s">
        <v>11</v>
      </c>
      <c r="D487" s="45"/>
      <c r="E487" s="10" t="s">
        <v>187</v>
      </c>
      <c r="F487" s="11"/>
      <c r="G487" s="11">
        <v>961.68</v>
      </c>
      <c r="H487" s="12" t="s">
        <v>13</v>
      </c>
      <c r="I487" s="13" t="s">
        <v>211</v>
      </c>
      <c r="J487" s="11"/>
      <c r="K487" s="11">
        <v>84631</v>
      </c>
      <c r="L487" s="2"/>
    </row>
    <row r="488" spans="1:12" x14ac:dyDescent="0.35">
      <c r="A488" s="43"/>
      <c r="B488" s="43"/>
      <c r="C488" s="14" t="s">
        <v>15</v>
      </c>
      <c r="D488" s="15">
        <v>256779418871</v>
      </c>
      <c r="E488" s="16" t="s">
        <v>0</v>
      </c>
      <c r="F488" s="17">
        <v>84631</v>
      </c>
      <c r="G488" s="18" t="s">
        <v>16</v>
      </c>
      <c r="H488" s="1"/>
      <c r="I488" s="2"/>
      <c r="J488" s="2"/>
      <c r="K488" s="2"/>
      <c r="L488" s="2"/>
    </row>
    <row r="489" spans="1:12" x14ac:dyDescent="0.35">
      <c r="A489" s="8">
        <v>46006</v>
      </c>
      <c r="B489" s="9" t="s">
        <v>16</v>
      </c>
      <c r="C489" s="45" t="s">
        <v>44</v>
      </c>
      <c r="D489" s="45"/>
      <c r="E489" s="10" t="s">
        <v>45</v>
      </c>
      <c r="F489" s="11"/>
      <c r="G489" s="11"/>
      <c r="H489" s="12" t="s">
        <v>46</v>
      </c>
      <c r="I489" s="13" t="s">
        <v>212</v>
      </c>
      <c r="J489" s="11">
        <v>100000</v>
      </c>
      <c r="K489" s="11"/>
      <c r="L489" s="2"/>
    </row>
    <row r="490" spans="1:12" x14ac:dyDescent="0.35">
      <c r="A490" s="43"/>
      <c r="B490" s="43"/>
      <c r="C490" s="14" t="s">
        <v>48</v>
      </c>
      <c r="D490" s="15">
        <v>256779414803</v>
      </c>
      <c r="E490" s="16" t="s">
        <v>0</v>
      </c>
      <c r="F490" s="17">
        <v>1691</v>
      </c>
      <c r="G490" s="18" t="s">
        <v>10</v>
      </c>
      <c r="H490" s="1"/>
      <c r="I490" s="2"/>
      <c r="J490" s="2"/>
      <c r="K490" s="2"/>
      <c r="L490" s="2"/>
    </row>
    <row r="491" spans="1:12" x14ac:dyDescent="0.35">
      <c r="A491" s="43"/>
      <c r="B491" s="43"/>
      <c r="C491" s="14" t="s">
        <v>48</v>
      </c>
      <c r="D491" s="15">
        <v>256779414834</v>
      </c>
      <c r="E491" s="16" t="s">
        <v>0</v>
      </c>
      <c r="F491" s="17">
        <v>1288</v>
      </c>
      <c r="G491" s="18" t="s">
        <v>10</v>
      </c>
      <c r="H491" s="1"/>
      <c r="I491" s="2"/>
      <c r="J491" s="2"/>
      <c r="K491" s="2"/>
      <c r="L491" s="2"/>
    </row>
    <row r="492" spans="1:12" x14ac:dyDescent="0.35">
      <c r="A492" s="43"/>
      <c r="B492" s="43"/>
      <c r="C492" s="14" t="s">
        <v>48</v>
      </c>
      <c r="D492" s="15">
        <v>256779414881</v>
      </c>
      <c r="E492" s="16" t="s">
        <v>0</v>
      </c>
      <c r="F492" s="17">
        <v>4401</v>
      </c>
      <c r="G492" s="18" t="s">
        <v>10</v>
      </c>
      <c r="H492" s="1"/>
      <c r="I492" s="2"/>
      <c r="J492" s="2"/>
      <c r="K492" s="2"/>
      <c r="L492" s="2"/>
    </row>
    <row r="493" spans="1:12" x14ac:dyDescent="0.35">
      <c r="A493" s="43"/>
      <c r="B493" s="43"/>
      <c r="C493" s="14" t="s">
        <v>48</v>
      </c>
      <c r="D493" s="15">
        <v>256779414932</v>
      </c>
      <c r="E493" s="16" t="s">
        <v>0</v>
      </c>
      <c r="F493" s="17">
        <v>92620</v>
      </c>
      <c r="G493" s="18" t="s">
        <v>10</v>
      </c>
      <c r="H493" s="1"/>
      <c r="I493" s="2"/>
      <c r="J493" s="2"/>
      <c r="K493" s="2"/>
      <c r="L493" s="2"/>
    </row>
    <row r="494" spans="1:12" x14ac:dyDescent="0.35">
      <c r="A494" s="8">
        <v>46021</v>
      </c>
      <c r="B494" s="9" t="s">
        <v>16</v>
      </c>
      <c r="C494" s="45" t="s">
        <v>44</v>
      </c>
      <c r="D494" s="45"/>
      <c r="E494" s="10" t="s">
        <v>45</v>
      </c>
      <c r="F494" s="11"/>
      <c r="G494" s="11"/>
      <c r="H494" s="12" t="s">
        <v>46</v>
      </c>
      <c r="I494" s="13" t="s">
        <v>213</v>
      </c>
      <c r="J494" s="11">
        <v>200000</v>
      </c>
      <c r="K494" s="11"/>
      <c r="L494" s="2"/>
    </row>
    <row r="495" spans="1:12" x14ac:dyDescent="0.35">
      <c r="A495" s="43"/>
      <c r="B495" s="43"/>
      <c r="C495" s="14" t="s">
        <v>48</v>
      </c>
      <c r="D495" s="15">
        <v>256779414932</v>
      </c>
      <c r="E495" s="16" t="s">
        <v>0</v>
      </c>
      <c r="F495" s="17">
        <v>46701</v>
      </c>
      <c r="G495" s="18" t="s">
        <v>10</v>
      </c>
      <c r="H495" s="1"/>
      <c r="I495" s="2"/>
      <c r="J495" s="2"/>
      <c r="K495" s="2"/>
      <c r="L495" s="2"/>
    </row>
    <row r="496" spans="1:12" x14ac:dyDescent="0.35">
      <c r="A496" s="43"/>
      <c r="B496" s="43"/>
      <c r="C496" s="14" t="s">
        <v>48</v>
      </c>
      <c r="D496" s="15">
        <v>256779415020</v>
      </c>
      <c r="E496" s="16" t="s">
        <v>0</v>
      </c>
      <c r="F496" s="17">
        <v>14782</v>
      </c>
      <c r="G496" s="18" t="s">
        <v>10</v>
      </c>
      <c r="H496" s="1"/>
      <c r="I496" s="2"/>
      <c r="J496" s="2"/>
      <c r="K496" s="2"/>
      <c r="L496" s="2"/>
    </row>
    <row r="497" spans="1:12" x14ac:dyDescent="0.35">
      <c r="A497" s="43"/>
      <c r="B497" s="43"/>
      <c r="C497" s="14" t="s">
        <v>48</v>
      </c>
      <c r="D497" s="15">
        <v>256779415188</v>
      </c>
      <c r="E497" s="16" t="s">
        <v>0</v>
      </c>
      <c r="F497" s="17">
        <v>117740</v>
      </c>
      <c r="G497" s="18" t="s">
        <v>10</v>
      </c>
      <c r="H497" s="1"/>
      <c r="I497" s="2"/>
      <c r="J497" s="2"/>
      <c r="K497" s="2"/>
      <c r="L497" s="2"/>
    </row>
    <row r="498" spans="1:12" x14ac:dyDescent="0.35">
      <c r="A498" s="43"/>
      <c r="B498" s="43"/>
      <c r="C498" s="14" t="s">
        <v>48</v>
      </c>
      <c r="D498" s="15">
        <v>256779415265</v>
      </c>
      <c r="E498" s="16" t="s">
        <v>0</v>
      </c>
      <c r="F498" s="17">
        <v>13884</v>
      </c>
      <c r="G498" s="18" t="s">
        <v>10</v>
      </c>
      <c r="H498" s="1"/>
      <c r="I498" s="2"/>
      <c r="J498" s="2"/>
      <c r="K498" s="2"/>
      <c r="L498" s="2"/>
    </row>
    <row r="499" spans="1:12" x14ac:dyDescent="0.35">
      <c r="A499" s="43"/>
      <c r="B499" s="43"/>
      <c r="C499" s="14" t="s">
        <v>48</v>
      </c>
      <c r="D499" s="15">
        <v>256779415434</v>
      </c>
      <c r="E499" s="16" t="s">
        <v>0</v>
      </c>
      <c r="F499" s="17">
        <v>6893</v>
      </c>
      <c r="G499" s="18" t="s">
        <v>10</v>
      </c>
      <c r="H499" s="1"/>
      <c r="I499" s="2"/>
      <c r="J499" s="2"/>
      <c r="K499" s="2"/>
      <c r="L499" s="2"/>
    </row>
    <row r="500" spans="1:12" x14ac:dyDescent="0.35">
      <c r="A500" s="8">
        <v>46028</v>
      </c>
      <c r="B500" s="9" t="s">
        <v>16</v>
      </c>
      <c r="C500" s="45" t="s">
        <v>44</v>
      </c>
      <c r="D500" s="45"/>
      <c r="E500" s="10" t="s">
        <v>45</v>
      </c>
      <c r="F500" s="11"/>
      <c r="G500" s="11"/>
      <c r="H500" s="12" t="s">
        <v>46</v>
      </c>
      <c r="I500" s="13" t="s">
        <v>214</v>
      </c>
      <c r="J500" s="11">
        <v>100000</v>
      </c>
      <c r="K500" s="11"/>
      <c r="L500" s="2"/>
    </row>
    <row r="501" spans="1:12" x14ac:dyDescent="0.35">
      <c r="A501" s="43"/>
      <c r="B501" s="43"/>
      <c r="C501" s="14" t="s">
        <v>48</v>
      </c>
      <c r="D501" s="15">
        <v>256779415434</v>
      </c>
      <c r="E501" s="16" t="s">
        <v>0</v>
      </c>
      <c r="F501" s="17">
        <v>2458</v>
      </c>
      <c r="G501" s="18" t="s">
        <v>10</v>
      </c>
      <c r="H501" s="1"/>
      <c r="I501" s="2"/>
      <c r="J501" s="2"/>
      <c r="K501" s="2"/>
      <c r="L501" s="2"/>
    </row>
    <row r="502" spans="1:12" x14ac:dyDescent="0.35">
      <c r="A502" s="43"/>
      <c r="B502" s="43"/>
      <c r="C502" s="14" t="s">
        <v>48</v>
      </c>
      <c r="D502" s="15">
        <v>256779415445</v>
      </c>
      <c r="E502" s="16" t="s">
        <v>0</v>
      </c>
      <c r="F502" s="17">
        <v>2199</v>
      </c>
      <c r="G502" s="18" t="s">
        <v>10</v>
      </c>
      <c r="H502" s="1"/>
      <c r="I502" s="2"/>
      <c r="J502" s="2"/>
      <c r="K502" s="2"/>
      <c r="L502" s="2"/>
    </row>
    <row r="503" spans="1:12" x14ac:dyDescent="0.35">
      <c r="A503" s="43"/>
      <c r="B503" s="43"/>
      <c r="C503" s="14" t="s">
        <v>48</v>
      </c>
      <c r="D503" s="15">
        <v>256779415458</v>
      </c>
      <c r="E503" s="16" t="s">
        <v>0</v>
      </c>
      <c r="F503" s="17">
        <v>6215</v>
      </c>
      <c r="G503" s="18" t="s">
        <v>10</v>
      </c>
      <c r="H503" s="1"/>
      <c r="I503" s="2"/>
      <c r="J503" s="2"/>
      <c r="K503" s="2"/>
      <c r="L503" s="2"/>
    </row>
    <row r="504" spans="1:12" x14ac:dyDescent="0.35">
      <c r="A504" s="43"/>
      <c r="B504" s="43"/>
      <c r="C504" s="14" t="s">
        <v>48</v>
      </c>
      <c r="D504" s="15">
        <v>256779415486</v>
      </c>
      <c r="E504" s="16" t="s">
        <v>0</v>
      </c>
      <c r="F504" s="17">
        <v>20159</v>
      </c>
      <c r="G504" s="18" t="s">
        <v>10</v>
      </c>
      <c r="H504" s="1"/>
      <c r="I504" s="2"/>
      <c r="J504" s="2"/>
      <c r="K504" s="2"/>
      <c r="L504" s="2"/>
    </row>
    <row r="505" spans="1:12" x14ac:dyDescent="0.35">
      <c r="A505" s="43"/>
      <c r="B505" s="43"/>
      <c r="C505" s="14" t="s">
        <v>48</v>
      </c>
      <c r="D505" s="15">
        <v>256779415526</v>
      </c>
      <c r="E505" s="16" t="s">
        <v>0</v>
      </c>
      <c r="F505" s="17">
        <v>232</v>
      </c>
      <c r="G505" s="18" t="s">
        <v>10</v>
      </c>
      <c r="H505" s="1"/>
      <c r="I505" s="2"/>
      <c r="J505" s="2"/>
      <c r="K505" s="2"/>
      <c r="L505" s="2"/>
    </row>
    <row r="506" spans="1:12" x14ac:dyDescent="0.35">
      <c r="A506" s="43"/>
      <c r="B506" s="43"/>
      <c r="C506" s="14" t="s">
        <v>48</v>
      </c>
      <c r="D506" s="15">
        <v>256779415702</v>
      </c>
      <c r="E506" s="16" t="s">
        <v>0</v>
      </c>
      <c r="F506" s="17">
        <v>16856</v>
      </c>
      <c r="G506" s="18" t="s">
        <v>10</v>
      </c>
      <c r="H506" s="1"/>
      <c r="I506" s="2"/>
      <c r="J506" s="2"/>
      <c r="K506" s="2"/>
      <c r="L506" s="2"/>
    </row>
    <row r="507" spans="1:12" x14ac:dyDescent="0.35">
      <c r="A507" s="43"/>
      <c r="B507" s="43"/>
      <c r="C507" s="14" t="s">
        <v>48</v>
      </c>
      <c r="D507" s="15">
        <v>256779415946</v>
      </c>
      <c r="E507" s="16" t="s">
        <v>0</v>
      </c>
      <c r="F507" s="17">
        <v>2466</v>
      </c>
      <c r="G507" s="18" t="s">
        <v>10</v>
      </c>
      <c r="H507" s="1"/>
      <c r="I507" s="2"/>
      <c r="J507" s="2"/>
      <c r="K507" s="2"/>
      <c r="L507" s="2"/>
    </row>
    <row r="508" spans="1:12" x14ac:dyDescent="0.35">
      <c r="A508" s="43"/>
      <c r="B508" s="43"/>
      <c r="C508" s="14" t="s">
        <v>48</v>
      </c>
      <c r="D508" s="15">
        <v>256779415968</v>
      </c>
      <c r="E508" s="16" t="s">
        <v>0</v>
      </c>
      <c r="F508" s="17">
        <v>35991</v>
      </c>
      <c r="G508" s="18" t="s">
        <v>10</v>
      </c>
      <c r="H508" s="1"/>
      <c r="I508" s="2"/>
      <c r="J508" s="2"/>
      <c r="K508" s="2"/>
      <c r="L508" s="2"/>
    </row>
    <row r="509" spans="1:12" x14ac:dyDescent="0.35">
      <c r="A509" s="43"/>
      <c r="B509" s="43"/>
      <c r="C509" s="14" t="s">
        <v>48</v>
      </c>
      <c r="D509" s="15">
        <v>256779416000</v>
      </c>
      <c r="E509" s="16" t="s">
        <v>0</v>
      </c>
      <c r="F509" s="17">
        <v>12698</v>
      </c>
      <c r="G509" s="18" t="s">
        <v>10</v>
      </c>
      <c r="H509" s="1"/>
      <c r="I509" s="2"/>
      <c r="J509" s="2"/>
      <c r="K509" s="2"/>
      <c r="L509" s="2"/>
    </row>
    <row r="510" spans="1:12" x14ac:dyDescent="0.35">
      <c r="A510" s="43"/>
      <c r="B510" s="43"/>
      <c r="C510" s="14" t="s">
        <v>48</v>
      </c>
      <c r="D510" s="15">
        <v>256779416143</v>
      </c>
      <c r="E510" s="16" t="s">
        <v>0</v>
      </c>
      <c r="F510" s="17">
        <v>726</v>
      </c>
      <c r="G510" s="18" t="s">
        <v>10</v>
      </c>
      <c r="H510" s="1"/>
      <c r="I510" s="2"/>
      <c r="J510" s="2"/>
      <c r="K510" s="2"/>
      <c r="L510" s="2"/>
    </row>
    <row r="511" spans="1:12" x14ac:dyDescent="0.35">
      <c r="A511" s="8">
        <v>46036</v>
      </c>
      <c r="B511" s="9" t="s">
        <v>16</v>
      </c>
      <c r="C511" s="45" t="s">
        <v>44</v>
      </c>
      <c r="D511" s="45"/>
      <c r="E511" s="10" t="s">
        <v>45</v>
      </c>
      <c r="F511" s="11"/>
      <c r="G511" s="11"/>
      <c r="H511" s="12" t="s">
        <v>46</v>
      </c>
      <c r="I511" s="13" t="s">
        <v>215</v>
      </c>
      <c r="J511" s="11">
        <v>150000</v>
      </c>
      <c r="K511" s="11"/>
      <c r="L511" s="2"/>
    </row>
    <row r="512" spans="1:12" x14ac:dyDescent="0.35">
      <c r="A512" s="43"/>
      <c r="B512" s="43"/>
      <c r="C512" s="14" t="s">
        <v>48</v>
      </c>
      <c r="D512" s="15">
        <v>256779416143</v>
      </c>
      <c r="E512" s="16" t="s">
        <v>0</v>
      </c>
      <c r="F512" s="17">
        <v>1489</v>
      </c>
      <c r="G512" s="18" t="s">
        <v>10</v>
      </c>
      <c r="H512" s="1"/>
      <c r="I512" s="2"/>
      <c r="J512" s="2"/>
      <c r="K512" s="2"/>
      <c r="L512" s="2"/>
    </row>
    <row r="513" spans="1:12" x14ac:dyDescent="0.35">
      <c r="A513" s="43"/>
      <c r="B513" s="43"/>
      <c r="C513" s="14" t="s">
        <v>48</v>
      </c>
      <c r="D513" s="15">
        <v>256779416043</v>
      </c>
      <c r="E513" s="16" t="s">
        <v>0</v>
      </c>
      <c r="F513" s="17">
        <v>139369</v>
      </c>
      <c r="G513" s="18" t="s">
        <v>10</v>
      </c>
      <c r="H513" s="1"/>
      <c r="I513" s="2"/>
      <c r="J513" s="2"/>
      <c r="K513" s="2"/>
      <c r="L513" s="2"/>
    </row>
    <row r="514" spans="1:12" x14ac:dyDescent="0.35">
      <c r="A514" s="43"/>
      <c r="B514" s="43"/>
      <c r="C514" s="14" t="s">
        <v>48</v>
      </c>
      <c r="D514" s="15">
        <v>256779416183</v>
      </c>
      <c r="E514" s="16" t="s">
        <v>0</v>
      </c>
      <c r="F514" s="17">
        <v>8627</v>
      </c>
      <c r="G514" s="18" t="s">
        <v>10</v>
      </c>
      <c r="H514" s="1"/>
      <c r="I514" s="2"/>
      <c r="J514" s="2"/>
      <c r="K514" s="2"/>
      <c r="L514" s="2"/>
    </row>
    <row r="515" spans="1:12" x14ac:dyDescent="0.35">
      <c r="A515" s="43"/>
      <c r="B515" s="43"/>
      <c r="C515" s="14" t="s">
        <v>48</v>
      </c>
      <c r="D515" s="15">
        <v>256779416229</v>
      </c>
      <c r="E515" s="16" t="s">
        <v>0</v>
      </c>
      <c r="F515" s="17">
        <v>515</v>
      </c>
      <c r="G515" s="18" t="s">
        <v>10</v>
      </c>
      <c r="H515" s="1"/>
      <c r="I515" s="2"/>
      <c r="J515" s="2"/>
      <c r="K515" s="2"/>
      <c r="L515" s="2"/>
    </row>
    <row r="516" spans="1:12" x14ac:dyDescent="0.35">
      <c r="A516" s="8">
        <v>46043</v>
      </c>
      <c r="B516" s="9" t="s">
        <v>16</v>
      </c>
      <c r="C516" s="45" t="s">
        <v>44</v>
      </c>
      <c r="D516" s="45"/>
      <c r="E516" s="10" t="s">
        <v>45</v>
      </c>
      <c r="F516" s="11"/>
      <c r="G516" s="11"/>
      <c r="H516" s="12" t="s">
        <v>46</v>
      </c>
      <c r="I516" s="13" t="s">
        <v>216</v>
      </c>
      <c r="J516" s="11">
        <v>150000</v>
      </c>
      <c r="K516" s="11"/>
      <c r="L516" s="2"/>
    </row>
    <row r="517" spans="1:12" x14ac:dyDescent="0.35">
      <c r="A517" s="43"/>
      <c r="B517" s="43"/>
      <c r="C517" s="14" t="s">
        <v>48</v>
      </c>
      <c r="D517" s="15">
        <v>256779416229</v>
      </c>
      <c r="E517" s="16" t="s">
        <v>0</v>
      </c>
      <c r="F517" s="17">
        <v>1399</v>
      </c>
      <c r="G517" s="18" t="s">
        <v>10</v>
      </c>
      <c r="H517" s="1"/>
      <c r="I517" s="2"/>
      <c r="J517" s="2"/>
      <c r="K517" s="2"/>
      <c r="L517" s="2"/>
    </row>
    <row r="518" spans="1:12" x14ac:dyDescent="0.35">
      <c r="A518" s="43"/>
      <c r="B518" s="43"/>
      <c r="C518" s="14" t="s">
        <v>48</v>
      </c>
      <c r="D518" s="15">
        <v>256779416081</v>
      </c>
      <c r="E518" s="16" t="s">
        <v>0</v>
      </c>
      <c r="F518" s="17">
        <v>98139</v>
      </c>
      <c r="G518" s="18" t="s">
        <v>10</v>
      </c>
      <c r="H518" s="1"/>
      <c r="I518" s="2"/>
      <c r="J518" s="2"/>
      <c r="K518" s="2"/>
      <c r="L518" s="2"/>
    </row>
    <row r="519" spans="1:12" x14ac:dyDescent="0.35">
      <c r="A519" s="43"/>
      <c r="B519" s="43"/>
      <c r="C519" s="14" t="s">
        <v>48</v>
      </c>
      <c r="D519" s="15">
        <v>256779416447</v>
      </c>
      <c r="E519" s="16" t="s">
        <v>0</v>
      </c>
      <c r="F519" s="17">
        <v>30209</v>
      </c>
      <c r="G519" s="18" t="s">
        <v>10</v>
      </c>
      <c r="H519" s="1"/>
      <c r="I519" s="2"/>
      <c r="J519" s="2"/>
      <c r="K519" s="2"/>
      <c r="L519" s="2"/>
    </row>
    <row r="520" spans="1:12" x14ac:dyDescent="0.35">
      <c r="A520" s="43"/>
      <c r="B520" s="43"/>
      <c r="C520" s="14" t="s">
        <v>48</v>
      </c>
      <c r="D520" s="15">
        <v>256779416455</v>
      </c>
      <c r="E520" s="16" t="s">
        <v>0</v>
      </c>
      <c r="F520" s="17">
        <v>1155</v>
      </c>
      <c r="G520" s="18" t="s">
        <v>10</v>
      </c>
      <c r="H520" s="1"/>
      <c r="I520" s="2"/>
      <c r="J520" s="2"/>
      <c r="K520" s="2"/>
      <c r="L520" s="2"/>
    </row>
    <row r="521" spans="1:12" x14ac:dyDescent="0.35">
      <c r="A521" s="43"/>
      <c r="B521" s="43"/>
      <c r="C521" s="14" t="s">
        <v>48</v>
      </c>
      <c r="D521" s="15">
        <v>256779416517</v>
      </c>
      <c r="E521" s="16" t="s">
        <v>0</v>
      </c>
      <c r="F521" s="17">
        <v>4749</v>
      </c>
      <c r="G521" s="18" t="s">
        <v>10</v>
      </c>
      <c r="H521" s="1"/>
      <c r="I521" s="2"/>
      <c r="J521" s="2"/>
      <c r="K521" s="2"/>
      <c r="L521" s="2"/>
    </row>
    <row r="522" spans="1:12" x14ac:dyDescent="0.35">
      <c r="A522" s="43"/>
      <c r="B522" s="43"/>
      <c r="C522" s="14" t="s">
        <v>48</v>
      </c>
      <c r="D522" s="15">
        <v>256779416848</v>
      </c>
      <c r="E522" s="16" t="s">
        <v>0</v>
      </c>
      <c r="F522" s="17">
        <v>1496</v>
      </c>
      <c r="G522" s="18" t="s">
        <v>10</v>
      </c>
      <c r="H522" s="1"/>
      <c r="I522" s="2"/>
      <c r="J522" s="2"/>
      <c r="K522" s="2"/>
      <c r="L522" s="2"/>
    </row>
    <row r="523" spans="1:12" x14ac:dyDescent="0.35">
      <c r="A523" s="43"/>
      <c r="B523" s="43"/>
      <c r="C523" s="14" t="s">
        <v>48</v>
      </c>
      <c r="D523" s="15">
        <v>256779416883</v>
      </c>
      <c r="E523" s="16" t="s">
        <v>0</v>
      </c>
      <c r="F523" s="17">
        <v>4220</v>
      </c>
      <c r="G523" s="18" t="s">
        <v>10</v>
      </c>
      <c r="H523" s="1"/>
      <c r="I523" s="2"/>
      <c r="J523" s="2"/>
      <c r="K523" s="2"/>
      <c r="L523" s="2"/>
    </row>
    <row r="524" spans="1:12" x14ac:dyDescent="0.35">
      <c r="A524" s="43"/>
      <c r="B524" s="43"/>
      <c r="C524" s="14" t="s">
        <v>48</v>
      </c>
      <c r="D524" s="15">
        <v>256779417163</v>
      </c>
      <c r="E524" s="16" t="s">
        <v>0</v>
      </c>
      <c r="F524" s="17">
        <v>6444</v>
      </c>
      <c r="G524" s="18" t="s">
        <v>10</v>
      </c>
      <c r="H524" s="1"/>
      <c r="I524" s="2"/>
      <c r="J524" s="2"/>
      <c r="K524" s="2"/>
      <c r="L524" s="2"/>
    </row>
    <row r="525" spans="1:12" x14ac:dyDescent="0.35">
      <c r="A525" s="43"/>
      <c r="B525" s="43"/>
      <c r="C525" s="14" t="s">
        <v>48</v>
      </c>
      <c r="D525" s="15">
        <v>256779417075</v>
      </c>
      <c r="E525" s="16" t="s">
        <v>0</v>
      </c>
      <c r="F525" s="17">
        <v>2189</v>
      </c>
      <c r="G525" s="18" t="s">
        <v>10</v>
      </c>
      <c r="H525" s="1"/>
      <c r="I525" s="2"/>
      <c r="J525" s="2"/>
      <c r="K525" s="2"/>
      <c r="L525" s="2"/>
    </row>
    <row r="526" spans="1:12" x14ac:dyDescent="0.35">
      <c r="A526" s="8">
        <v>46053</v>
      </c>
      <c r="B526" s="9" t="s">
        <v>16</v>
      </c>
      <c r="C526" s="45" t="s">
        <v>44</v>
      </c>
      <c r="D526" s="45"/>
      <c r="E526" s="10" t="s">
        <v>45</v>
      </c>
      <c r="F526" s="11"/>
      <c r="G526" s="11"/>
      <c r="H526" s="12" t="s">
        <v>46</v>
      </c>
      <c r="I526" s="13" t="s">
        <v>217</v>
      </c>
      <c r="J526" s="11">
        <v>200000</v>
      </c>
      <c r="K526" s="11"/>
      <c r="L526" s="2"/>
    </row>
    <row r="527" spans="1:12" x14ac:dyDescent="0.35">
      <c r="A527" s="43"/>
      <c r="B527" s="43"/>
      <c r="C527" s="14" t="s">
        <v>48</v>
      </c>
      <c r="D527" s="15">
        <v>256779417075</v>
      </c>
      <c r="E527" s="16" t="s">
        <v>0</v>
      </c>
      <c r="F527" s="17">
        <v>84373</v>
      </c>
      <c r="G527" s="18" t="s">
        <v>10</v>
      </c>
      <c r="H527" s="1"/>
      <c r="I527" s="2"/>
      <c r="J527" s="2"/>
      <c r="K527" s="2"/>
      <c r="L527" s="2"/>
    </row>
    <row r="528" spans="1:12" x14ac:dyDescent="0.35">
      <c r="A528" s="43"/>
      <c r="B528" s="43"/>
      <c r="C528" s="14" t="s">
        <v>48</v>
      </c>
      <c r="D528" s="15">
        <v>256779417188</v>
      </c>
      <c r="E528" s="16" t="s">
        <v>0</v>
      </c>
      <c r="F528" s="17">
        <v>12007</v>
      </c>
      <c r="G528" s="18" t="s">
        <v>10</v>
      </c>
      <c r="H528" s="1"/>
      <c r="I528" s="2"/>
      <c r="J528" s="2"/>
      <c r="K528" s="2"/>
      <c r="L528" s="2"/>
    </row>
    <row r="529" spans="1:12" x14ac:dyDescent="0.35">
      <c r="A529" s="43"/>
      <c r="B529" s="43"/>
      <c r="C529" s="14" t="s">
        <v>48</v>
      </c>
      <c r="D529" s="15">
        <v>256779417247</v>
      </c>
      <c r="E529" s="16" t="s">
        <v>0</v>
      </c>
      <c r="F529" s="17">
        <v>9273</v>
      </c>
      <c r="G529" s="18" t="s">
        <v>10</v>
      </c>
      <c r="H529" s="1"/>
      <c r="I529" s="2"/>
      <c r="J529" s="2"/>
      <c r="K529" s="2"/>
      <c r="L529" s="2"/>
    </row>
    <row r="530" spans="1:12" x14ac:dyDescent="0.35">
      <c r="A530" s="43"/>
      <c r="B530" s="43"/>
      <c r="C530" s="14" t="s">
        <v>48</v>
      </c>
      <c r="D530" s="15">
        <v>256779417290</v>
      </c>
      <c r="E530" s="16" t="s">
        <v>0</v>
      </c>
      <c r="F530" s="17">
        <v>49606</v>
      </c>
      <c r="G530" s="18" t="s">
        <v>10</v>
      </c>
      <c r="H530" s="1"/>
      <c r="I530" s="2"/>
      <c r="J530" s="2"/>
      <c r="K530" s="2"/>
      <c r="L530" s="2"/>
    </row>
    <row r="531" spans="1:12" x14ac:dyDescent="0.35">
      <c r="A531" s="43"/>
      <c r="B531" s="43"/>
      <c r="C531" s="14" t="s">
        <v>48</v>
      </c>
      <c r="D531" s="15">
        <v>256779417330</v>
      </c>
      <c r="E531" s="16" t="s">
        <v>0</v>
      </c>
      <c r="F531" s="17">
        <v>1159</v>
      </c>
      <c r="G531" s="18" t="s">
        <v>10</v>
      </c>
      <c r="H531" s="1"/>
      <c r="I531" s="2"/>
      <c r="J531" s="2"/>
      <c r="K531" s="2"/>
      <c r="L531" s="2"/>
    </row>
    <row r="532" spans="1:12" x14ac:dyDescent="0.35">
      <c r="A532" s="43"/>
      <c r="B532" s="43"/>
      <c r="C532" s="14" t="s">
        <v>48</v>
      </c>
      <c r="D532" s="15">
        <v>256779417530</v>
      </c>
      <c r="E532" s="16" t="s">
        <v>0</v>
      </c>
      <c r="F532" s="17">
        <v>3542</v>
      </c>
      <c r="G532" s="18" t="s">
        <v>10</v>
      </c>
      <c r="H532" s="1"/>
      <c r="I532" s="2"/>
      <c r="J532" s="2"/>
      <c r="K532" s="2"/>
      <c r="L532" s="2"/>
    </row>
    <row r="533" spans="1:12" x14ac:dyDescent="0.35">
      <c r="A533" s="43"/>
      <c r="B533" s="43"/>
      <c r="C533" s="14" t="s">
        <v>48</v>
      </c>
      <c r="D533" s="15">
        <v>256779417571</v>
      </c>
      <c r="E533" s="16" t="s">
        <v>0</v>
      </c>
      <c r="F533" s="17">
        <v>13451</v>
      </c>
      <c r="G533" s="18" t="s">
        <v>10</v>
      </c>
      <c r="H533" s="1"/>
      <c r="I533" s="2"/>
      <c r="J533" s="2"/>
      <c r="K533" s="2"/>
      <c r="L533" s="2"/>
    </row>
    <row r="534" spans="1:12" x14ac:dyDescent="0.35">
      <c r="A534" s="43"/>
      <c r="B534" s="43"/>
      <c r="C534" s="14" t="s">
        <v>48</v>
      </c>
      <c r="D534" s="15">
        <v>256779417904</v>
      </c>
      <c r="E534" s="16" t="s">
        <v>0</v>
      </c>
      <c r="F534" s="17">
        <v>2584</v>
      </c>
      <c r="G534" s="18" t="s">
        <v>10</v>
      </c>
      <c r="H534" s="1"/>
      <c r="I534" s="2"/>
      <c r="J534" s="2"/>
      <c r="K534" s="2"/>
      <c r="L534" s="2"/>
    </row>
    <row r="535" spans="1:12" x14ac:dyDescent="0.35">
      <c r="A535" s="43"/>
      <c r="B535" s="43"/>
      <c r="C535" s="14" t="s">
        <v>48</v>
      </c>
      <c r="D535" s="15">
        <v>256779417943</v>
      </c>
      <c r="E535" s="16" t="s">
        <v>0</v>
      </c>
      <c r="F535" s="17">
        <v>23408</v>
      </c>
      <c r="G535" s="18" t="s">
        <v>10</v>
      </c>
      <c r="H535" s="1"/>
      <c r="I535" s="2"/>
      <c r="J535" s="2"/>
      <c r="K535" s="2"/>
      <c r="L535" s="2"/>
    </row>
    <row r="536" spans="1:12" x14ac:dyDescent="0.35">
      <c r="A536" s="43"/>
      <c r="B536" s="43"/>
      <c r="C536" s="14" t="s">
        <v>48</v>
      </c>
      <c r="D536" s="15">
        <v>256779418828</v>
      </c>
      <c r="E536" s="16" t="s">
        <v>0</v>
      </c>
      <c r="F536" s="17">
        <v>597</v>
      </c>
      <c r="G536" s="18" t="s">
        <v>10</v>
      </c>
      <c r="H536" s="1"/>
      <c r="I536" s="2"/>
      <c r="J536" s="2"/>
      <c r="K536" s="2"/>
      <c r="L536" s="2"/>
    </row>
    <row r="537" spans="1:12" x14ac:dyDescent="0.35">
      <c r="A537" s="8">
        <v>46054</v>
      </c>
      <c r="B537" s="9" t="s">
        <v>10</v>
      </c>
      <c r="C537" s="45" t="s">
        <v>11</v>
      </c>
      <c r="D537" s="45"/>
      <c r="E537" s="10" t="s">
        <v>218</v>
      </c>
      <c r="F537" s="11"/>
      <c r="G537" s="11">
        <v>1620</v>
      </c>
      <c r="H537" s="12" t="s">
        <v>13</v>
      </c>
      <c r="I537" s="13" t="s">
        <v>219</v>
      </c>
      <c r="J537" s="11"/>
      <c r="K537" s="11">
        <v>147004</v>
      </c>
      <c r="L537" s="2"/>
    </row>
    <row r="538" spans="1:12" x14ac:dyDescent="0.35">
      <c r="A538" s="43"/>
      <c r="B538" s="43"/>
      <c r="C538" s="14" t="s">
        <v>15</v>
      </c>
      <c r="D538" s="15">
        <v>256779440031</v>
      </c>
      <c r="E538" s="16" t="s">
        <v>0</v>
      </c>
      <c r="F538" s="17">
        <v>147004</v>
      </c>
      <c r="G538" s="18" t="s">
        <v>16</v>
      </c>
      <c r="H538" s="1"/>
      <c r="I538" s="2"/>
      <c r="J538" s="2"/>
      <c r="K538" s="2"/>
      <c r="L538" s="2"/>
    </row>
    <row r="539" spans="1:12" x14ac:dyDescent="0.35">
      <c r="A539" s="8">
        <v>46054</v>
      </c>
      <c r="B539" s="9" t="s">
        <v>10</v>
      </c>
      <c r="C539" s="45" t="s">
        <v>11</v>
      </c>
      <c r="D539" s="45"/>
      <c r="E539" s="10" t="s">
        <v>220</v>
      </c>
      <c r="F539" s="11"/>
      <c r="G539" s="11">
        <v>1620</v>
      </c>
      <c r="H539" s="12" t="s">
        <v>13</v>
      </c>
      <c r="I539" s="13" t="s">
        <v>221</v>
      </c>
      <c r="J539" s="11"/>
      <c r="K539" s="11">
        <v>147004</v>
      </c>
      <c r="L539" s="2"/>
    </row>
    <row r="540" spans="1:12" x14ac:dyDescent="0.35">
      <c r="A540" s="43"/>
      <c r="B540" s="43"/>
      <c r="C540" s="14" t="s">
        <v>15</v>
      </c>
      <c r="D540" s="15">
        <v>256779440322</v>
      </c>
      <c r="E540" s="16" t="s">
        <v>0</v>
      </c>
      <c r="F540" s="17">
        <v>147004</v>
      </c>
      <c r="G540" s="18" t="s">
        <v>16</v>
      </c>
      <c r="H540" s="1"/>
      <c r="I540" s="2"/>
      <c r="J540" s="2"/>
      <c r="K540" s="2"/>
      <c r="L540" s="2"/>
    </row>
    <row r="541" spans="1:12" x14ac:dyDescent="0.35">
      <c r="A541" s="8">
        <v>46054</v>
      </c>
      <c r="B541" s="9" t="s">
        <v>10</v>
      </c>
      <c r="C541" s="45" t="s">
        <v>11</v>
      </c>
      <c r="D541" s="45"/>
      <c r="E541" s="10" t="s">
        <v>210</v>
      </c>
      <c r="F541" s="11"/>
      <c r="G541" s="11">
        <v>783.98</v>
      </c>
      <c r="H541" s="12" t="s">
        <v>13</v>
      </c>
      <c r="I541" s="13" t="s">
        <v>222</v>
      </c>
      <c r="J541" s="11"/>
      <c r="K541" s="11">
        <v>71141</v>
      </c>
      <c r="L541" s="2"/>
    </row>
    <row r="542" spans="1:12" x14ac:dyDescent="0.35">
      <c r="A542" s="43"/>
      <c r="B542" s="43"/>
      <c r="C542" s="14" t="s">
        <v>15</v>
      </c>
      <c r="D542" s="15">
        <v>256779440006</v>
      </c>
      <c r="E542" s="16" t="s">
        <v>0</v>
      </c>
      <c r="F542" s="17">
        <v>71141</v>
      </c>
      <c r="G542" s="18" t="s">
        <v>16</v>
      </c>
      <c r="H542" s="1"/>
      <c r="I542" s="2"/>
      <c r="J542" s="2"/>
      <c r="K542" s="2"/>
      <c r="L542" s="2"/>
    </row>
    <row r="543" spans="1:12" x14ac:dyDescent="0.35">
      <c r="A543" s="8">
        <v>46054</v>
      </c>
      <c r="B543" s="9" t="s">
        <v>10</v>
      </c>
      <c r="C543" s="45" t="s">
        <v>11</v>
      </c>
      <c r="D543" s="45"/>
      <c r="E543" s="10" t="s">
        <v>218</v>
      </c>
      <c r="F543" s="11"/>
      <c r="G543" s="11">
        <v>657.56</v>
      </c>
      <c r="H543" s="12" t="s">
        <v>13</v>
      </c>
      <c r="I543" s="13" t="s">
        <v>223</v>
      </c>
      <c r="J543" s="11"/>
      <c r="K543" s="11">
        <v>59669</v>
      </c>
      <c r="L543" s="2"/>
    </row>
    <row r="544" spans="1:12" x14ac:dyDescent="0.35">
      <c r="A544" s="43"/>
      <c r="B544" s="43"/>
      <c r="C544" s="14" t="s">
        <v>15</v>
      </c>
      <c r="D544" s="15">
        <v>256779440237</v>
      </c>
      <c r="E544" s="16" t="s">
        <v>0</v>
      </c>
      <c r="F544" s="17">
        <v>59669</v>
      </c>
      <c r="G544" s="18" t="s">
        <v>16</v>
      </c>
      <c r="H544" s="1"/>
      <c r="I544" s="2"/>
      <c r="J544" s="2"/>
      <c r="K544" s="2"/>
      <c r="L544" s="2"/>
    </row>
    <row r="545" spans="1:12" x14ac:dyDescent="0.35">
      <c r="A545" s="8">
        <v>46055</v>
      </c>
      <c r="B545" s="9" t="s">
        <v>10</v>
      </c>
      <c r="C545" s="45" t="s">
        <v>50</v>
      </c>
      <c r="D545" s="45"/>
      <c r="E545" s="10" t="s">
        <v>224</v>
      </c>
      <c r="F545" s="11"/>
      <c r="G545" s="11">
        <v>1999.42</v>
      </c>
      <c r="H545" s="12" t="s">
        <v>13</v>
      </c>
      <c r="I545" s="13" t="s">
        <v>112</v>
      </c>
      <c r="J545" s="11"/>
      <c r="K545" s="11">
        <v>175956</v>
      </c>
      <c r="L545" s="2"/>
    </row>
    <row r="546" spans="1:12" x14ac:dyDescent="0.35">
      <c r="A546" s="43"/>
      <c r="B546" s="43"/>
      <c r="C546" s="14" t="s">
        <v>15</v>
      </c>
      <c r="D546" s="15">
        <v>256779419469</v>
      </c>
      <c r="E546" s="16" t="s">
        <v>0</v>
      </c>
      <c r="F546" s="17">
        <v>175956</v>
      </c>
      <c r="G546" s="18" t="s">
        <v>16</v>
      </c>
      <c r="H546" s="1"/>
      <c r="I546" s="2"/>
      <c r="J546" s="2"/>
      <c r="K546" s="2"/>
      <c r="L546" s="2"/>
    </row>
    <row r="547" spans="1:12" x14ac:dyDescent="0.35">
      <c r="A547" s="8">
        <v>46055</v>
      </c>
      <c r="B547" s="9" t="s">
        <v>10</v>
      </c>
      <c r="C547" s="45" t="s">
        <v>58</v>
      </c>
      <c r="D547" s="45"/>
      <c r="E547" s="10" t="s">
        <v>210</v>
      </c>
      <c r="F547" s="11"/>
      <c r="G547" s="11">
        <v>63.76</v>
      </c>
      <c r="H547" s="12" t="s">
        <v>13</v>
      </c>
      <c r="I547" s="13" t="s">
        <v>225</v>
      </c>
      <c r="J547" s="11"/>
      <c r="K547" s="11">
        <v>5611</v>
      </c>
      <c r="L547" s="2"/>
    </row>
    <row r="548" spans="1:12" x14ac:dyDescent="0.35">
      <c r="A548" s="43"/>
      <c r="B548" s="43"/>
      <c r="C548" s="14" t="s">
        <v>15</v>
      </c>
      <c r="D548" s="15">
        <v>256779419593</v>
      </c>
      <c r="E548" s="16" t="s">
        <v>0</v>
      </c>
      <c r="F548" s="17">
        <v>5611</v>
      </c>
      <c r="G548" s="18" t="s">
        <v>16</v>
      </c>
      <c r="H548" s="1"/>
      <c r="I548" s="2"/>
      <c r="J548" s="2"/>
      <c r="K548" s="2"/>
      <c r="L548" s="2"/>
    </row>
    <row r="549" spans="1:12" x14ac:dyDescent="0.35">
      <c r="A549" s="8">
        <v>46055</v>
      </c>
      <c r="B549" s="9" t="s">
        <v>10</v>
      </c>
      <c r="C549" s="45" t="s">
        <v>68</v>
      </c>
      <c r="D549" s="45"/>
      <c r="E549" s="10" t="s">
        <v>210</v>
      </c>
      <c r="F549" s="11"/>
      <c r="G549" s="11">
        <v>41.37</v>
      </c>
      <c r="H549" s="12" t="s">
        <v>13</v>
      </c>
      <c r="I549" s="13" t="s">
        <v>226</v>
      </c>
      <c r="J549" s="11"/>
      <c r="K549" s="11">
        <v>3641</v>
      </c>
      <c r="L549" s="2"/>
    </row>
    <row r="550" spans="1:12" x14ac:dyDescent="0.35">
      <c r="A550" s="43"/>
      <c r="B550" s="43"/>
      <c r="C550" s="14" t="s">
        <v>15</v>
      </c>
      <c r="D550" s="15">
        <v>256779419634</v>
      </c>
      <c r="E550" s="16" t="s">
        <v>0</v>
      </c>
      <c r="F550" s="17">
        <v>3641</v>
      </c>
      <c r="G550" s="18" t="s">
        <v>16</v>
      </c>
      <c r="H550" s="1"/>
      <c r="I550" s="2"/>
      <c r="J550" s="2"/>
      <c r="K550" s="2"/>
      <c r="L550" s="2"/>
    </row>
    <row r="551" spans="1:12" x14ac:dyDescent="0.35">
      <c r="A551" s="8">
        <v>46055</v>
      </c>
      <c r="B551" s="9" t="s">
        <v>10</v>
      </c>
      <c r="C551" s="45" t="s">
        <v>58</v>
      </c>
      <c r="D551" s="45"/>
      <c r="E551" s="10" t="s">
        <v>210</v>
      </c>
      <c r="F551" s="11"/>
      <c r="G551" s="11">
        <v>41.87</v>
      </c>
      <c r="H551" s="12" t="s">
        <v>13</v>
      </c>
      <c r="I551" s="13" t="s">
        <v>227</v>
      </c>
      <c r="J551" s="11"/>
      <c r="K551" s="11">
        <v>3714</v>
      </c>
      <c r="L551" s="2"/>
    </row>
    <row r="552" spans="1:12" x14ac:dyDescent="0.35">
      <c r="A552" s="43"/>
      <c r="B552" s="43"/>
      <c r="C552" s="14" t="s">
        <v>15</v>
      </c>
      <c r="D552" s="15">
        <v>256779419872</v>
      </c>
      <c r="E552" s="16" t="s">
        <v>0</v>
      </c>
      <c r="F552" s="17">
        <v>3714</v>
      </c>
      <c r="G552" s="18" t="s">
        <v>16</v>
      </c>
      <c r="H552" s="1"/>
      <c r="I552" s="2"/>
      <c r="J552" s="2"/>
      <c r="K552" s="2"/>
      <c r="L552" s="2"/>
    </row>
    <row r="553" spans="1:12" x14ac:dyDescent="0.35">
      <c r="A553" s="8">
        <v>46055</v>
      </c>
      <c r="B553" s="9" t="s">
        <v>10</v>
      </c>
      <c r="C553" s="45" t="s">
        <v>68</v>
      </c>
      <c r="D553" s="45"/>
      <c r="E553" s="10" t="s">
        <v>210</v>
      </c>
      <c r="F553" s="11"/>
      <c r="G553" s="11">
        <v>158.18</v>
      </c>
      <c r="H553" s="12" t="s">
        <v>13</v>
      </c>
      <c r="I553" s="13" t="s">
        <v>228</v>
      </c>
      <c r="J553" s="11"/>
      <c r="K553" s="11">
        <v>14031</v>
      </c>
      <c r="L553" s="2"/>
    </row>
    <row r="554" spans="1:12" x14ac:dyDescent="0.35">
      <c r="A554" s="43"/>
      <c r="B554" s="43"/>
      <c r="C554" s="14" t="s">
        <v>15</v>
      </c>
      <c r="D554" s="15">
        <v>256779419922</v>
      </c>
      <c r="E554" s="16" t="s">
        <v>0</v>
      </c>
      <c r="F554" s="17">
        <v>14031</v>
      </c>
      <c r="G554" s="18" t="s">
        <v>16</v>
      </c>
      <c r="H554" s="1"/>
      <c r="I554" s="2"/>
      <c r="J554" s="2"/>
      <c r="K554" s="2"/>
      <c r="L554" s="2"/>
    </row>
    <row r="555" spans="1:12" x14ac:dyDescent="0.35">
      <c r="A555" s="8">
        <v>46055</v>
      </c>
      <c r="B555" s="9" t="s">
        <v>10</v>
      </c>
      <c r="C555" s="45" t="s">
        <v>68</v>
      </c>
      <c r="D555" s="45"/>
      <c r="E555" s="10" t="s">
        <v>218</v>
      </c>
      <c r="F555" s="11"/>
      <c r="G555" s="11">
        <v>31.18</v>
      </c>
      <c r="H555" s="12" t="s">
        <v>13</v>
      </c>
      <c r="I555" s="13" t="s">
        <v>229</v>
      </c>
      <c r="J555" s="11"/>
      <c r="K555" s="11">
        <v>2829</v>
      </c>
      <c r="L555" s="2"/>
    </row>
    <row r="556" spans="1:12" x14ac:dyDescent="0.35">
      <c r="A556" s="43"/>
      <c r="B556" s="43"/>
      <c r="C556" s="14" t="s">
        <v>15</v>
      </c>
      <c r="D556" s="15">
        <v>256779440083</v>
      </c>
      <c r="E556" s="16" t="s">
        <v>0</v>
      </c>
      <c r="F556" s="17">
        <v>2829</v>
      </c>
      <c r="G556" s="18" t="s">
        <v>16</v>
      </c>
      <c r="H556" s="1"/>
      <c r="I556" s="2"/>
      <c r="J556" s="2"/>
      <c r="K556" s="2"/>
      <c r="L556" s="2"/>
    </row>
    <row r="557" spans="1:12" x14ac:dyDescent="0.35">
      <c r="A557" s="8">
        <v>46055</v>
      </c>
      <c r="B557" s="9" t="s">
        <v>10</v>
      </c>
      <c r="C557" s="45" t="s">
        <v>50</v>
      </c>
      <c r="D557" s="45"/>
      <c r="E557" s="10" t="s">
        <v>230</v>
      </c>
      <c r="F557" s="11"/>
      <c r="G557" s="11">
        <v>340.49</v>
      </c>
      <c r="H557" s="12" t="s">
        <v>13</v>
      </c>
      <c r="I557" s="13" t="s">
        <v>231</v>
      </c>
      <c r="J557" s="11"/>
      <c r="K557" s="11">
        <v>30897</v>
      </c>
      <c r="L557" s="2"/>
    </row>
    <row r="558" spans="1:12" x14ac:dyDescent="0.35">
      <c r="A558" s="43"/>
      <c r="B558" s="43"/>
      <c r="C558" s="14" t="s">
        <v>15</v>
      </c>
      <c r="D558" s="15">
        <v>256779440103</v>
      </c>
      <c r="E558" s="16" t="s">
        <v>0</v>
      </c>
      <c r="F558" s="17">
        <v>30897</v>
      </c>
      <c r="G558" s="18" t="s">
        <v>16</v>
      </c>
      <c r="H558" s="1"/>
      <c r="I558" s="2"/>
      <c r="J558" s="2"/>
      <c r="K558" s="2"/>
      <c r="L558" s="2"/>
    </row>
    <row r="559" spans="1:12" x14ac:dyDescent="0.35">
      <c r="A559" s="8">
        <v>46055</v>
      </c>
      <c r="B559" s="9" t="s">
        <v>10</v>
      </c>
      <c r="C559" s="45" t="s">
        <v>58</v>
      </c>
      <c r="D559" s="45"/>
      <c r="E559" s="10" t="s">
        <v>218</v>
      </c>
      <c r="F559" s="11"/>
      <c r="G559" s="11">
        <v>353.49</v>
      </c>
      <c r="H559" s="12" t="s">
        <v>13</v>
      </c>
      <c r="I559" s="13" t="s">
        <v>232</v>
      </c>
      <c r="J559" s="11"/>
      <c r="K559" s="11">
        <v>32077</v>
      </c>
      <c r="L559" s="2"/>
    </row>
    <row r="560" spans="1:12" x14ac:dyDescent="0.35">
      <c r="A560" s="43"/>
      <c r="B560" s="43"/>
      <c r="C560" s="14" t="s">
        <v>15</v>
      </c>
      <c r="D560" s="15">
        <v>256779440120</v>
      </c>
      <c r="E560" s="16" t="s">
        <v>0</v>
      </c>
      <c r="F560" s="17">
        <v>32077</v>
      </c>
      <c r="G560" s="18" t="s">
        <v>16</v>
      </c>
      <c r="H560" s="1"/>
      <c r="I560" s="2"/>
      <c r="J560" s="2"/>
      <c r="K560" s="2"/>
      <c r="L560" s="2"/>
    </row>
    <row r="561" spans="1:12" x14ac:dyDescent="0.35">
      <c r="A561" s="8">
        <v>46055</v>
      </c>
      <c r="B561" s="9" t="s">
        <v>10</v>
      </c>
      <c r="C561" s="45" t="s">
        <v>68</v>
      </c>
      <c r="D561" s="45"/>
      <c r="E561" s="10" t="s">
        <v>218</v>
      </c>
      <c r="F561" s="11"/>
      <c r="G561" s="11">
        <v>44.14</v>
      </c>
      <c r="H561" s="12" t="s">
        <v>13</v>
      </c>
      <c r="I561" s="13" t="s">
        <v>233</v>
      </c>
      <c r="J561" s="11"/>
      <c r="K561" s="11">
        <v>4005</v>
      </c>
      <c r="L561" s="2"/>
    </row>
    <row r="562" spans="1:12" x14ac:dyDescent="0.35">
      <c r="A562" s="43"/>
      <c r="B562" s="43"/>
      <c r="C562" s="14" t="s">
        <v>15</v>
      </c>
      <c r="D562" s="15">
        <v>256779440231</v>
      </c>
      <c r="E562" s="16" t="s">
        <v>0</v>
      </c>
      <c r="F562" s="17">
        <v>4005</v>
      </c>
      <c r="G562" s="18" t="s">
        <v>16</v>
      </c>
      <c r="H562" s="1"/>
      <c r="I562" s="2"/>
      <c r="J562" s="2"/>
      <c r="K562" s="2"/>
      <c r="L562" s="2"/>
    </row>
    <row r="563" spans="1:12" x14ac:dyDescent="0.35">
      <c r="A563" s="8">
        <v>46055</v>
      </c>
      <c r="B563" s="9" t="s">
        <v>10</v>
      </c>
      <c r="C563" s="45" t="s">
        <v>50</v>
      </c>
      <c r="D563" s="45"/>
      <c r="E563" s="10" t="s">
        <v>230</v>
      </c>
      <c r="F563" s="11"/>
      <c r="G563" s="11">
        <v>123.71</v>
      </c>
      <c r="H563" s="12" t="s">
        <v>13</v>
      </c>
      <c r="I563" s="13" t="s">
        <v>113</v>
      </c>
      <c r="J563" s="11"/>
      <c r="K563" s="11">
        <v>11226</v>
      </c>
      <c r="L563" s="2"/>
    </row>
    <row r="564" spans="1:12" x14ac:dyDescent="0.35">
      <c r="A564" s="43"/>
      <c r="B564" s="43"/>
      <c r="C564" s="14" t="s">
        <v>15</v>
      </c>
      <c r="D564" s="15">
        <v>256779440289</v>
      </c>
      <c r="E564" s="16" t="s">
        <v>0</v>
      </c>
      <c r="F564" s="17">
        <v>11226</v>
      </c>
      <c r="G564" s="18" t="s">
        <v>16</v>
      </c>
      <c r="H564" s="1"/>
      <c r="I564" s="2"/>
      <c r="J564" s="2"/>
      <c r="K564" s="2"/>
      <c r="L564" s="2"/>
    </row>
    <row r="565" spans="1:12" x14ac:dyDescent="0.35">
      <c r="A565" s="8">
        <v>46055</v>
      </c>
      <c r="B565" s="9" t="s">
        <v>10</v>
      </c>
      <c r="C565" s="45" t="s">
        <v>50</v>
      </c>
      <c r="D565" s="45"/>
      <c r="E565" s="10" t="s">
        <v>224</v>
      </c>
      <c r="F565" s="11"/>
      <c r="G565" s="11">
        <v>682.91</v>
      </c>
      <c r="H565" s="12" t="s">
        <v>13</v>
      </c>
      <c r="I565" s="13" t="s">
        <v>234</v>
      </c>
      <c r="J565" s="11"/>
      <c r="K565" s="11">
        <v>61969</v>
      </c>
      <c r="L565" s="2"/>
    </row>
    <row r="566" spans="1:12" x14ac:dyDescent="0.35">
      <c r="A566" s="43"/>
      <c r="B566" s="43"/>
      <c r="C566" s="14" t="s">
        <v>15</v>
      </c>
      <c r="D566" s="15">
        <v>256779440367</v>
      </c>
      <c r="E566" s="16" t="s">
        <v>0</v>
      </c>
      <c r="F566" s="17">
        <v>61969</v>
      </c>
      <c r="G566" s="18" t="s">
        <v>16</v>
      </c>
      <c r="H566" s="1"/>
      <c r="I566" s="2"/>
      <c r="J566" s="2"/>
      <c r="K566" s="2"/>
      <c r="L566" s="2"/>
    </row>
    <row r="567" spans="1:12" x14ac:dyDescent="0.35">
      <c r="A567" s="8">
        <v>46055</v>
      </c>
      <c r="B567" s="9" t="s">
        <v>10</v>
      </c>
      <c r="C567" s="45" t="s">
        <v>58</v>
      </c>
      <c r="D567" s="45"/>
      <c r="E567" s="10" t="s">
        <v>218</v>
      </c>
      <c r="F567" s="11"/>
      <c r="G567" s="11">
        <v>53.93</v>
      </c>
      <c r="H567" s="12" t="s">
        <v>13</v>
      </c>
      <c r="I567" s="13" t="s">
        <v>235</v>
      </c>
      <c r="J567" s="11"/>
      <c r="K567" s="11">
        <v>4894</v>
      </c>
      <c r="L567" s="2"/>
    </row>
    <row r="568" spans="1:12" x14ac:dyDescent="0.35">
      <c r="A568" s="43"/>
      <c r="B568" s="43"/>
      <c r="C568" s="14" t="s">
        <v>15</v>
      </c>
      <c r="D568" s="15">
        <v>256779440163</v>
      </c>
      <c r="E568" s="16" t="s">
        <v>0</v>
      </c>
      <c r="F568" s="17">
        <v>4894</v>
      </c>
      <c r="G568" s="18" t="s">
        <v>16</v>
      </c>
      <c r="H568" s="1"/>
      <c r="I568" s="2"/>
      <c r="J568" s="2"/>
      <c r="K568" s="2"/>
      <c r="L568" s="2"/>
    </row>
    <row r="569" spans="1:12" x14ac:dyDescent="0.35">
      <c r="A569" s="8">
        <v>46055</v>
      </c>
      <c r="B569" s="9" t="s">
        <v>10</v>
      </c>
      <c r="C569" s="45" t="s">
        <v>58</v>
      </c>
      <c r="D569" s="45"/>
      <c r="E569" s="10" t="s">
        <v>218</v>
      </c>
      <c r="F569" s="11"/>
      <c r="G569" s="11">
        <v>16.420000000000002</v>
      </c>
      <c r="H569" s="12" t="s">
        <v>13</v>
      </c>
      <c r="I569" s="13" t="s">
        <v>236</v>
      </c>
      <c r="J569" s="11"/>
      <c r="K569" s="11">
        <v>1490</v>
      </c>
      <c r="L569" s="2"/>
    </row>
    <row r="570" spans="1:12" x14ac:dyDescent="0.35">
      <c r="A570" s="43"/>
      <c r="B570" s="43"/>
      <c r="C570" s="14" t="s">
        <v>15</v>
      </c>
      <c r="D570" s="15">
        <v>256779440212</v>
      </c>
      <c r="E570" s="16" t="s">
        <v>0</v>
      </c>
      <c r="F570" s="17">
        <v>1490</v>
      </c>
      <c r="G570" s="18" t="s">
        <v>16</v>
      </c>
      <c r="H570" s="1"/>
      <c r="I570" s="2"/>
      <c r="J570" s="2"/>
      <c r="K570" s="2"/>
      <c r="L570" s="2"/>
    </row>
    <row r="571" spans="1:12" x14ac:dyDescent="0.35">
      <c r="A571" s="8">
        <v>46055</v>
      </c>
      <c r="B571" s="9" t="s">
        <v>10</v>
      </c>
      <c r="C571" s="45" t="s">
        <v>58</v>
      </c>
      <c r="D571" s="45"/>
      <c r="E571" s="10" t="s">
        <v>220</v>
      </c>
      <c r="F571" s="11"/>
      <c r="G571" s="11">
        <v>16.420000000000002</v>
      </c>
      <c r="H571" s="12" t="s">
        <v>13</v>
      </c>
      <c r="I571" s="13" t="s">
        <v>237</v>
      </c>
      <c r="J571" s="11"/>
      <c r="K571" s="11">
        <v>1490</v>
      </c>
      <c r="L571" s="2"/>
    </row>
    <row r="572" spans="1:12" x14ac:dyDescent="0.35">
      <c r="A572" s="43"/>
      <c r="B572" s="43"/>
      <c r="C572" s="14" t="s">
        <v>15</v>
      </c>
      <c r="D572" s="15">
        <v>256779440415</v>
      </c>
      <c r="E572" s="16" t="s">
        <v>0</v>
      </c>
      <c r="F572" s="17">
        <v>1490</v>
      </c>
      <c r="G572" s="18" t="s">
        <v>16</v>
      </c>
      <c r="H572" s="1"/>
      <c r="I572" s="2"/>
      <c r="J572" s="2"/>
      <c r="K572" s="2"/>
      <c r="L572" s="2"/>
    </row>
    <row r="573" spans="1:12" x14ac:dyDescent="0.35">
      <c r="A573" s="8">
        <v>46055</v>
      </c>
      <c r="B573" s="9" t="s">
        <v>10</v>
      </c>
      <c r="C573" s="45" t="s">
        <v>68</v>
      </c>
      <c r="D573" s="45"/>
      <c r="E573" s="10" t="s">
        <v>220</v>
      </c>
      <c r="F573" s="11"/>
      <c r="G573" s="11">
        <v>3.44</v>
      </c>
      <c r="H573" s="12" t="s">
        <v>13</v>
      </c>
      <c r="I573" s="13" t="s">
        <v>114</v>
      </c>
      <c r="J573" s="11"/>
      <c r="K573" s="11">
        <v>312</v>
      </c>
      <c r="L573" s="2"/>
    </row>
    <row r="574" spans="1:12" x14ac:dyDescent="0.35">
      <c r="A574" s="43"/>
      <c r="B574" s="43"/>
      <c r="C574" s="14" t="s">
        <v>15</v>
      </c>
      <c r="D574" s="15">
        <v>256779440432</v>
      </c>
      <c r="E574" s="16" t="s">
        <v>0</v>
      </c>
      <c r="F574" s="17">
        <v>312</v>
      </c>
      <c r="G574" s="18" t="s">
        <v>16</v>
      </c>
      <c r="H574" s="1"/>
      <c r="I574" s="2"/>
      <c r="J574" s="2"/>
      <c r="K574" s="2"/>
      <c r="L574" s="2"/>
    </row>
    <row r="575" spans="1:12" x14ac:dyDescent="0.35">
      <c r="A575" s="8">
        <v>46055</v>
      </c>
      <c r="B575" s="9" t="s">
        <v>10</v>
      </c>
      <c r="C575" s="45" t="s">
        <v>50</v>
      </c>
      <c r="D575" s="45"/>
      <c r="E575" s="10" t="s">
        <v>220</v>
      </c>
      <c r="F575" s="11"/>
      <c r="G575" s="11">
        <v>173.05</v>
      </c>
      <c r="H575" s="12" t="s">
        <v>13</v>
      </c>
      <c r="I575" s="13" t="s">
        <v>238</v>
      </c>
      <c r="J575" s="11"/>
      <c r="K575" s="11">
        <v>15703</v>
      </c>
      <c r="L575" s="2"/>
    </row>
    <row r="576" spans="1:12" x14ac:dyDescent="0.35">
      <c r="A576" s="43"/>
      <c r="B576" s="43"/>
      <c r="C576" s="14" t="s">
        <v>15</v>
      </c>
      <c r="D576" s="15">
        <v>256779440447</v>
      </c>
      <c r="E576" s="16" t="s">
        <v>0</v>
      </c>
      <c r="F576" s="17">
        <v>15703</v>
      </c>
      <c r="G576" s="18" t="s">
        <v>16</v>
      </c>
      <c r="H576" s="1"/>
      <c r="I576" s="2"/>
      <c r="J576" s="2"/>
      <c r="K576" s="2"/>
      <c r="L576" s="2"/>
    </row>
    <row r="577" spans="1:12" x14ac:dyDescent="0.35">
      <c r="A577" s="8">
        <v>46065</v>
      </c>
      <c r="B577" s="9" t="s">
        <v>16</v>
      </c>
      <c r="C577" s="45" t="s">
        <v>44</v>
      </c>
      <c r="D577" s="45"/>
      <c r="E577" s="10" t="s">
        <v>45</v>
      </c>
      <c r="F577" s="11"/>
      <c r="G577" s="11"/>
      <c r="H577" s="12" t="s">
        <v>46</v>
      </c>
      <c r="I577" s="13" t="s">
        <v>239</v>
      </c>
      <c r="J577" s="11">
        <v>200000</v>
      </c>
      <c r="K577" s="11"/>
      <c r="L577" s="2"/>
    </row>
    <row r="578" spans="1:12" x14ac:dyDescent="0.35">
      <c r="A578" s="43"/>
      <c r="B578" s="43"/>
      <c r="C578" s="14" t="s">
        <v>48</v>
      </c>
      <c r="D578" s="15">
        <v>256779418828</v>
      </c>
      <c r="E578" s="16" t="s">
        <v>0</v>
      </c>
      <c r="F578" s="17">
        <v>570</v>
      </c>
      <c r="G578" s="18" t="s">
        <v>10</v>
      </c>
      <c r="H578" s="1"/>
      <c r="I578" s="2"/>
      <c r="J578" s="2"/>
      <c r="K578" s="2"/>
      <c r="L578" s="2"/>
    </row>
    <row r="579" spans="1:12" x14ac:dyDescent="0.35">
      <c r="A579" s="43"/>
      <c r="B579" s="43"/>
      <c r="C579" s="14" t="s">
        <v>48</v>
      </c>
      <c r="D579" s="15">
        <v>256779417444</v>
      </c>
      <c r="E579" s="16" t="s">
        <v>0</v>
      </c>
      <c r="F579" s="17">
        <v>113740</v>
      </c>
      <c r="G579" s="18" t="s">
        <v>10</v>
      </c>
      <c r="H579" s="1"/>
      <c r="I579" s="2"/>
      <c r="J579" s="2"/>
      <c r="K579" s="2"/>
      <c r="L579" s="2"/>
    </row>
    <row r="580" spans="1:12" x14ac:dyDescent="0.35">
      <c r="A580" s="43"/>
      <c r="B580" s="43"/>
      <c r="C580" s="14" t="s">
        <v>48</v>
      </c>
      <c r="D580" s="15">
        <v>256779417982</v>
      </c>
      <c r="E580" s="16" t="s">
        <v>0</v>
      </c>
      <c r="F580" s="17">
        <v>13490</v>
      </c>
      <c r="G580" s="18" t="s">
        <v>10</v>
      </c>
      <c r="H580" s="1"/>
      <c r="I580" s="2"/>
      <c r="J580" s="2"/>
      <c r="K580" s="2"/>
      <c r="L580" s="2"/>
    </row>
    <row r="581" spans="1:12" x14ac:dyDescent="0.35">
      <c r="A581" s="43"/>
      <c r="B581" s="43"/>
      <c r="C581" s="14" t="s">
        <v>48</v>
      </c>
      <c r="D581" s="15">
        <v>256779418182</v>
      </c>
      <c r="E581" s="16" t="s">
        <v>0</v>
      </c>
      <c r="F581" s="17">
        <v>48398</v>
      </c>
      <c r="G581" s="18" t="s">
        <v>10</v>
      </c>
      <c r="H581" s="1"/>
      <c r="I581" s="2"/>
      <c r="J581" s="2"/>
      <c r="K581" s="2"/>
      <c r="L581" s="2"/>
    </row>
    <row r="582" spans="1:12" x14ac:dyDescent="0.35">
      <c r="A582" s="43"/>
      <c r="B582" s="43"/>
      <c r="C582" s="14" t="s">
        <v>48</v>
      </c>
      <c r="D582" s="15">
        <v>256779418403</v>
      </c>
      <c r="E582" s="16" t="s">
        <v>0</v>
      </c>
      <c r="F582" s="17">
        <v>4437</v>
      </c>
      <c r="G582" s="18" t="s">
        <v>10</v>
      </c>
      <c r="H582" s="1"/>
      <c r="I582" s="2"/>
      <c r="J582" s="2"/>
      <c r="K582" s="2"/>
      <c r="L582" s="2"/>
    </row>
    <row r="583" spans="1:12" x14ac:dyDescent="0.35">
      <c r="A583" s="43"/>
      <c r="B583" s="43"/>
      <c r="C583" s="14" t="s">
        <v>48</v>
      </c>
      <c r="D583" s="15">
        <v>256779418430</v>
      </c>
      <c r="E583" s="16" t="s">
        <v>0</v>
      </c>
      <c r="F583" s="17">
        <v>4055</v>
      </c>
      <c r="G583" s="18" t="s">
        <v>10</v>
      </c>
      <c r="H583" s="1"/>
      <c r="I583" s="2"/>
      <c r="J583" s="2"/>
      <c r="K583" s="2"/>
      <c r="L583" s="2"/>
    </row>
    <row r="584" spans="1:12" x14ac:dyDescent="0.35">
      <c r="A584" s="43"/>
      <c r="B584" s="43"/>
      <c r="C584" s="14" t="s">
        <v>48</v>
      </c>
      <c r="D584" s="15">
        <v>256779418482</v>
      </c>
      <c r="E584" s="16" t="s">
        <v>0</v>
      </c>
      <c r="F584" s="17">
        <v>1175</v>
      </c>
      <c r="G584" s="18" t="s">
        <v>10</v>
      </c>
      <c r="H584" s="1"/>
      <c r="I584" s="2"/>
      <c r="J584" s="2"/>
      <c r="K584" s="2"/>
      <c r="L584" s="2"/>
    </row>
    <row r="585" spans="1:12" x14ac:dyDescent="0.35">
      <c r="A585" s="43"/>
      <c r="B585" s="43"/>
      <c r="C585" s="14" t="s">
        <v>48</v>
      </c>
      <c r="D585" s="15">
        <v>256779418706</v>
      </c>
      <c r="E585" s="16" t="s">
        <v>0</v>
      </c>
      <c r="F585" s="17">
        <v>4696</v>
      </c>
      <c r="G585" s="18" t="s">
        <v>10</v>
      </c>
      <c r="H585" s="1"/>
      <c r="I585" s="2"/>
      <c r="J585" s="2"/>
      <c r="K585" s="2"/>
      <c r="L585" s="2"/>
    </row>
    <row r="586" spans="1:12" x14ac:dyDescent="0.35">
      <c r="A586" s="43"/>
      <c r="B586" s="43"/>
      <c r="C586" s="14" t="s">
        <v>48</v>
      </c>
      <c r="D586" s="15">
        <v>256779418628</v>
      </c>
      <c r="E586" s="16" t="s">
        <v>0</v>
      </c>
      <c r="F586" s="17">
        <v>9439</v>
      </c>
      <c r="G586" s="18" t="s">
        <v>10</v>
      </c>
      <c r="H586" s="1"/>
      <c r="I586" s="2"/>
      <c r="J586" s="2"/>
      <c r="K586" s="2"/>
      <c r="L586" s="2"/>
    </row>
    <row r="587" spans="1:12" x14ac:dyDescent="0.35">
      <c r="A587" s="8">
        <v>46073</v>
      </c>
      <c r="B587" s="9" t="s">
        <v>16</v>
      </c>
      <c r="C587" s="45" t="s">
        <v>44</v>
      </c>
      <c r="D587" s="45"/>
      <c r="E587" s="10" t="s">
        <v>45</v>
      </c>
      <c r="F587" s="11"/>
      <c r="G587" s="11"/>
      <c r="H587" s="12" t="s">
        <v>46</v>
      </c>
      <c r="I587" s="13" t="s">
        <v>240</v>
      </c>
      <c r="J587" s="11">
        <v>200000</v>
      </c>
      <c r="K587" s="11"/>
      <c r="L587" s="2"/>
    </row>
    <row r="588" spans="1:12" x14ac:dyDescent="0.35">
      <c r="A588" s="43"/>
      <c r="B588" s="43"/>
      <c r="C588" s="14" t="s">
        <v>48</v>
      </c>
      <c r="D588" s="15">
        <v>256779418628</v>
      </c>
      <c r="E588" s="16" t="s">
        <v>0</v>
      </c>
      <c r="F588" s="17">
        <v>10872</v>
      </c>
      <c r="G588" s="18" t="s">
        <v>10</v>
      </c>
      <c r="H588" s="1"/>
      <c r="I588" s="2"/>
      <c r="J588" s="2"/>
      <c r="K588" s="2"/>
      <c r="L588" s="2"/>
    </row>
    <row r="589" spans="1:12" x14ac:dyDescent="0.35">
      <c r="A589" s="43"/>
      <c r="B589" s="43"/>
      <c r="C589" s="14" t="s">
        <v>48</v>
      </c>
      <c r="D589" s="15">
        <v>256779417362</v>
      </c>
      <c r="E589" s="16" t="s">
        <v>0</v>
      </c>
      <c r="F589" s="17">
        <v>141773</v>
      </c>
      <c r="G589" s="18" t="s">
        <v>10</v>
      </c>
      <c r="H589" s="1"/>
      <c r="I589" s="2"/>
      <c r="J589" s="2"/>
      <c r="K589" s="2"/>
      <c r="L589" s="2"/>
    </row>
    <row r="590" spans="1:12" x14ac:dyDescent="0.35">
      <c r="A590" s="43"/>
      <c r="B590" s="43"/>
      <c r="C590" s="14" t="s">
        <v>48</v>
      </c>
      <c r="D590" s="15">
        <v>256779418736</v>
      </c>
      <c r="E590" s="16" t="s">
        <v>0</v>
      </c>
      <c r="F590" s="17">
        <v>21340</v>
      </c>
      <c r="G590" s="18" t="s">
        <v>10</v>
      </c>
      <c r="H590" s="1"/>
      <c r="I590" s="2"/>
      <c r="J590" s="2"/>
      <c r="K590" s="2"/>
      <c r="L590" s="2"/>
    </row>
    <row r="591" spans="1:12" x14ac:dyDescent="0.35">
      <c r="A591" s="43"/>
      <c r="B591" s="43"/>
      <c r="C591" s="14" t="s">
        <v>48</v>
      </c>
      <c r="D591" s="15">
        <v>256779419087</v>
      </c>
      <c r="E591" s="16" t="s">
        <v>0</v>
      </c>
      <c r="F591" s="17">
        <v>12074</v>
      </c>
      <c r="G591" s="18" t="s">
        <v>10</v>
      </c>
      <c r="H591" s="1"/>
      <c r="I591" s="2"/>
      <c r="J591" s="2"/>
      <c r="K591" s="2"/>
      <c r="L591" s="2"/>
    </row>
    <row r="592" spans="1:12" x14ac:dyDescent="0.35">
      <c r="A592" s="43"/>
      <c r="B592" s="43"/>
      <c r="C592" s="14" t="s">
        <v>48</v>
      </c>
      <c r="D592" s="15">
        <v>256779419235</v>
      </c>
      <c r="E592" s="16" t="s">
        <v>0</v>
      </c>
      <c r="F592" s="17">
        <v>12608</v>
      </c>
      <c r="G592" s="18" t="s">
        <v>10</v>
      </c>
      <c r="H592" s="1"/>
      <c r="I592" s="2"/>
      <c r="J592" s="2"/>
      <c r="K592" s="2"/>
      <c r="L592" s="2"/>
    </row>
    <row r="593" spans="1:12" x14ac:dyDescent="0.35">
      <c r="A593" s="43"/>
      <c r="B593" s="43"/>
      <c r="C593" s="14" t="s">
        <v>48</v>
      </c>
      <c r="D593" s="15">
        <v>256779419204</v>
      </c>
      <c r="E593" s="16" t="s">
        <v>0</v>
      </c>
      <c r="F593" s="17">
        <v>1147</v>
      </c>
      <c r="G593" s="18" t="s">
        <v>10</v>
      </c>
      <c r="H593" s="1"/>
      <c r="I593" s="2"/>
      <c r="J593" s="2"/>
      <c r="K593" s="2"/>
      <c r="L593" s="2"/>
    </row>
    <row r="594" spans="1:12" x14ac:dyDescent="0.35">
      <c r="A594" s="43"/>
      <c r="B594" s="43"/>
      <c r="C594" s="14" t="s">
        <v>48</v>
      </c>
      <c r="D594" s="15">
        <v>256779419098</v>
      </c>
      <c r="E594" s="16" t="s">
        <v>0</v>
      </c>
      <c r="F594" s="17">
        <v>186</v>
      </c>
      <c r="G594" s="18" t="s">
        <v>10</v>
      </c>
      <c r="H594" s="1"/>
      <c r="I594" s="2"/>
      <c r="J594" s="2"/>
      <c r="K594" s="2"/>
      <c r="L594" s="2"/>
    </row>
    <row r="595" spans="1:12" x14ac:dyDescent="0.35">
      <c r="A595" s="8">
        <v>46081</v>
      </c>
      <c r="B595" s="9" t="s">
        <v>16</v>
      </c>
      <c r="C595" s="45" t="s">
        <v>44</v>
      </c>
      <c r="D595" s="45"/>
      <c r="E595" s="10" t="s">
        <v>45</v>
      </c>
      <c r="F595" s="11"/>
      <c r="G595" s="11"/>
      <c r="H595" s="12" t="s">
        <v>46</v>
      </c>
      <c r="I595" s="13" t="s">
        <v>241</v>
      </c>
      <c r="J595" s="11">
        <v>200000</v>
      </c>
      <c r="K595" s="11"/>
      <c r="L595" s="2"/>
    </row>
    <row r="596" spans="1:12" x14ac:dyDescent="0.35">
      <c r="A596" s="43"/>
      <c r="B596" s="43"/>
      <c r="C596" s="14" t="s">
        <v>48</v>
      </c>
      <c r="D596" s="15">
        <v>256779419098</v>
      </c>
      <c r="E596" s="16" t="s">
        <v>0</v>
      </c>
      <c r="F596" s="17">
        <v>2832</v>
      </c>
      <c r="G596" s="18" t="s">
        <v>10</v>
      </c>
      <c r="H596" s="1"/>
      <c r="I596" s="2"/>
      <c r="J596" s="2"/>
      <c r="K596" s="2"/>
      <c r="L596" s="2"/>
    </row>
    <row r="597" spans="1:12" x14ac:dyDescent="0.35">
      <c r="A597" s="43"/>
      <c r="B597" s="43"/>
      <c r="C597" s="14" t="s">
        <v>48</v>
      </c>
      <c r="D597" s="15">
        <v>256779418014</v>
      </c>
      <c r="E597" s="16" t="s">
        <v>0</v>
      </c>
      <c r="F597" s="17">
        <v>105561</v>
      </c>
      <c r="G597" s="18" t="s">
        <v>10</v>
      </c>
      <c r="H597" s="1"/>
      <c r="I597" s="2"/>
      <c r="J597" s="2"/>
      <c r="K597" s="2"/>
      <c r="L597" s="2"/>
    </row>
    <row r="598" spans="1:12" x14ac:dyDescent="0.35">
      <c r="A598" s="43"/>
      <c r="B598" s="43"/>
      <c r="C598" s="14" t="s">
        <v>48</v>
      </c>
      <c r="D598" s="15">
        <v>256779418871</v>
      </c>
      <c r="E598" s="16" t="s">
        <v>0</v>
      </c>
      <c r="F598" s="17">
        <v>84631</v>
      </c>
      <c r="G598" s="18" t="s">
        <v>10</v>
      </c>
      <c r="H598" s="1"/>
      <c r="I598" s="2"/>
      <c r="J598" s="2"/>
      <c r="K598" s="2"/>
      <c r="L598" s="2"/>
    </row>
    <row r="599" spans="1:12" x14ac:dyDescent="0.35">
      <c r="A599" s="43"/>
      <c r="B599" s="43"/>
      <c r="C599" s="14" t="s">
        <v>48</v>
      </c>
      <c r="D599" s="15">
        <v>256779419267</v>
      </c>
      <c r="E599" s="16" t="s">
        <v>0</v>
      </c>
      <c r="F599" s="17">
        <v>6976</v>
      </c>
      <c r="G599" s="18" t="s">
        <v>10</v>
      </c>
      <c r="H599" s="1"/>
      <c r="I599" s="2"/>
      <c r="J599" s="2"/>
      <c r="K599" s="2"/>
      <c r="L599" s="2"/>
    </row>
    <row r="600" spans="1:12" x14ac:dyDescent="0.35">
      <c r="A600" s="8">
        <v>46093</v>
      </c>
      <c r="B600" s="9" t="s">
        <v>16</v>
      </c>
      <c r="C600" s="45" t="s">
        <v>44</v>
      </c>
      <c r="D600" s="45"/>
      <c r="E600" s="10" t="s">
        <v>45</v>
      </c>
      <c r="F600" s="11"/>
      <c r="G600" s="11"/>
      <c r="H600" s="12" t="s">
        <v>46</v>
      </c>
      <c r="I600" s="13" t="s">
        <v>242</v>
      </c>
      <c r="J600" s="11">
        <v>200000</v>
      </c>
      <c r="K600" s="11"/>
      <c r="L600" s="2"/>
    </row>
    <row r="601" spans="1:12" x14ac:dyDescent="0.35">
      <c r="A601" s="43"/>
      <c r="B601" s="43"/>
      <c r="C601" s="14" t="s">
        <v>48</v>
      </c>
      <c r="D601" s="15">
        <v>256779419267</v>
      </c>
      <c r="E601" s="16" t="s">
        <v>0</v>
      </c>
      <c r="F601" s="17">
        <v>10034</v>
      </c>
      <c r="G601" s="18" t="s">
        <v>10</v>
      </c>
      <c r="H601" s="1"/>
      <c r="I601" s="2"/>
      <c r="J601" s="2"/>
      <c r="K601" s="2"/>
      <c r="L601" s="2"/>
    </row>
    <row r="602" spans="1:12" x14ac:dyDescent="0.35">
      <c r="A602" s="43"/>
      <c r="B602" s="43"/>
      <c r="C602" s="14" t="s">
        <v>48</v>
      </c>
      <c r="D602" s="15">
        <v>256779418025</v>
      </c>
      <c r="E602" s="16" t="s">
        <v>0</v>
      </c>
      <c r="F602" s="17">
        <v>142869</v>
      </c>
      <c r="G602" s="18" t="s">
        <v>10</v>
      </c>
      <c r="H602" s="1"/>
      <c r="I602" s="2"/>
      <c r="J602" s="2"/>
      <c r="K602" s="2"/>
      <c r="L602" s="2"/>
    </row>
    <row r="603" spans="1:12" x14ac:dyDescent="0.35">
      <c r="A603" s="43"/>
      <c r="B603" s="43"/>
      <c r="C603" s="14" t="s">
        <v>48</v>
      </c>
      <c r="D603" s="15">
        <v>256779419136</v>
      </c>
      <c r="E603" s="16" t="s">
        <v>0</v>
      </c>
      <c r="F603" s="17">
        <v>39662</v>
      </c>
      <c r="G603" s="18" t="s">
        <v>10</v>
      </c>
      <c r="H603" s="1"/>
      <c r="I603" s="2"/>
      <c r="J603" s="2"/>
      <c r="K603" s="2"/>
      <c r="L603" s="2"/>
    </row>
    <row r="604" spans="1:12" x14ac:dyDescent="0.35">
      <c r="A604" s="43"/>
      <c r="B604" s="43"/>
      <c r="C604" s="14" t="s">
        <v>48</v>
      </c>
      <c r="D604" s="15">
        <v>256779419179</v>
      </c>
      <c r="E604" s="16" t="s">
        <v>0</v>
      </c>
      <c r="F604" s="17">
        <v>7435</v>
      </c>
      <c r="G604" s="18" t="s">
        <v>10</v>
      </c>
      <c r="H604" s="1"/>
      <c r="I604" s="2"/>
      <c r="J604" s="2"/>
      <c r="K604" s="2"/>
      <c r="L604" s="2"/>
    </row>
    <row r="605" spans="1:12" x14ac:dyDescent="0.35">
      <c r="A605" s="8">
        <v>46105</v>
      </c>
      <c r="B605" s="9" t="s">
        <v>16</v>
      </c>
      <c r="C605" s="45" t="s">
        <v>44</v>
      </c>
      <c r="D605" s="45"/>
      <c r="E605" s="10" t="s">
        <v>45</v>
      </c>
      <c r="F605" s="11"/>
      <c r="G605" s="11"/>
      <c r="H605" s="12" t="s">
        <v>46</v>
      </c>
      <c r="I605" s="13" t="s">
        <v>243</v>
      </c>
      <c r="J605" s="11">
        <v>200000</v>
      </c>
      <c r="K605" s="11"/>
      <c r="L605" s="2"/>
    </row>
    <row r="606" spans="1:12" x14ac:dyDescent="0.35">
      <c r="A606" s="43"/>
      <c r="B606" s="43"/>
      <c r="C606" s="14" t="s">
        <v>48</v>
      </c>
      <c r="D606" s="15">
        <v>256779419179</v>
      </c>
      <c r="E606" s="16" t="s">
        <v>0</v>
      </c>
      <c r="F606" s="17">
        <v>20390</v>
      </c>
      <c r="G606" s="18" t="s">
        <v>10</v>
      </c>
      <c r="H606" s="1"/>
      <c r="I606" s="2"/>
      <c r="J606" s="2"/>
      <c r="K606" s="2"/>
      <c r="L606" s="2"/>
    </row>
    <row r="607" spans="1:12" x14ac:dyDescent="0.35">
      <c r="A607" s="43"/>
      <c r="B607" s="43"/>
      <c r="C607" s="14" t="s">
        <v>48</v>
      </c>
      <c r="D607" s="15">
        <v>256779418791</v>
      </c>
      <c r="E607" s="16" t="s">
        <v>0</v>
      </c>
      <c r="F607" s="17">
        <v>142565</v>
      </c>
      <c r="G607" s="18" t="s">
        <v>10</v>
      </c>
      <c r="H607" s="1"/>
      <c r="I607" s="2"/>
      <c r="J607" s="2"/>
      <c r="K607" s="2"/>
      <c r="L607" s="2"/>
    </row>
    <row r="608" spans="1:12" x14ac:dyDescent="0.35">
      <c r="A608" s="43"/>
      <c r="B608" s="43"/>
      <c r="C608" s="14" t="s">
        <v>48</v>
      </c>
      <c r="D608" s="15">
        <v>256779440447</v>
      </c>
      <c r="E608" s="16" t="s">
        <v>0</v>
      </c>
      <c r="F608" s="17">
        <v>15703</v>
      </c>
      <c r="G608" s="18" t="s">
        <v>10</v>
      </c>
      <c r="H608" s="1"/>
      <c r="I608" s="2"/>
      <c r="J608" s="2"/>
      <c r="K608" s="2"/>
      <c r="L608" s="2"/>
    </row>
    <row r="609" spans="1:12" x14ac:dyDescent="0.35">
      <c r="A609" s="43"/>
      <c r="B609" s="43"/>
      <c r="C609" s="14" t="s">
        <v>48</v>
      </c>
      <c r="D609" s="15">
        <v>256779419922</v>
      </c>
      <c r="E609" s="16" t="s">
        <v>0</v>
      </c>
      <c r="F609" s="17">
        <v>14031</v>
      </c>
      <c r="G609" s="18" t="s">
        <v>10</v>
      </c>
      <c r="H609" s="1"/>
      <c r="I609" s="2"/>
      <c r="J609" s="2"/>
      <c r="K609" s="2"/>
      <c r="L609" s="2"/>
    </row>
    <row r="610" spans="1:12" x14ac:dyDescent="0.35">
      <c r="A610" s="43"/>
      <c r="B610" s="43"/>
      <c r="C610" s="14" t="s">
        <v>48</v>
      </c>
      <c r="D610" s="15">
        <v>256779419593</v>
      </c>
      <c r="E610" s="16" t="s">
        <v>0</v>
      </c>
      <c r="F610" s="17">
        <v>5611</v>
      </c>
      <c r="G610" s="18" t="s">
        <v>10</v>
      </c>
      <c r="H610" s="1"/>
      <c r="I610" s="2"/>
      <c r="J610" s="2"/>
      <c r="K610" s="2"/>
      <c r="L610" s="2"/>
    </row>
    <row r="611" spans="1:12" x14ac:dyDescent="0.35">
      <c r="A611" s="43"/>
      <c r="B611" s="43"/>
      <c r="C611" s="14" t="s">
        <v>48</v>
      </c>
      <c r="D611" s="15">
        <v>256779440212</v>
      </c>
      <c r="E611" s="16" t="s">
        <v>0</v>
      </c>
      <c r="F611" s="17">
        <v>1490</v>
      </c>
      <c r="G611" s="18" t="s">
        <v>10</v>
      </c>
      <c r="H611" s="1"/>
      <c r="I611" s="2"/>
      <c r="J611" s="2"/>
      <c r="K611" s="2"/>
      <c r="L611" s="2"/>
    </row>
    <row r="612" spans="1:12" x14ac:dyDescent="0.35">
      <c r="A612" s="43"/>
      <c r="B612" s="43"/>
      <c r="C612" s="14" t="s">
        <v>244</v>
      </c>
      <c r="D612" s="15" t="s">
        <v>0</v>
      </c>
      <c r="E612" s="16" t="s">
        <v>0</v>
      </c>
      <c r="F612" s="17">
        <v>210</v>
      </c>
      <c r="G612" s="18" t="s">
        <v>10</v>
      </c>
      <c r="H612" s="1"/>
      <c r="I612" s="2"/>
      <c r="J612" s="2"/>
      <c r="K612" s="2"/>
      <c r="L612" s="2"/>
    </row>
    <row r="613" spans="1:12" x14ac:dyDescent="0.35">
      <c r="B613" s="19"/>
      <c r="C613" s="19"/>
      <c r="D613" s="19"/>
      <c r="E613" s="19"/>
      <c r="F613" s="19"/>
      <c r="G613" s="20">
        <v>5732093</v>
      </c>
      <c r="H613" s="21">
        <v>6489711</v>
      </c>
      <c r="I613" s="2"/>
      <c r="J613" s="2"/>
      <c r="K613" s="2"/>
      <c r="L613" s="2"/>
    </row>
    <row r="614" spans="1:12" x14ac:dyDescent="0.35">
      <c r="A614" s="22" t="s">
        <v>0</v>
      </c>
      <c r="B614" s="9" t="s">
        <v>16</v>
      </c>
      <c r="C614" s="23" t="s">
        <v>245</v>
      </c>
      <c r="D614" s="9" t="s">
        <v>0</v>
      </c>
      <c r="E614" s="24"/>
      <c r="F614" s="11">
        <v>74544.179999999993</v>
      </c>
      <c r="G614" s="18" t="s">
        <v>0</v>
      </c>
      <c r="H614" s="13" t="s">
        <v>0</v>
      </c>
      <c r="I614" s="44">
        <v>757618</v>
      </c>
      <c r="J614" s="44"/>
      <c r="K614" s="44"/>
      <c r="L614" s="44"/>
    </row>
    <row r="615" spans="1:12" x14ac:dyDescent="0.35">
      <c r="B615" s="25"/>
      <c r="C615" s="25"/>
      <c r="D615" s="25"/>
      <c r="E615" s="25"/>
      <c r="F615" s="25"/>
      <c r="G615" s="26">
        <v>6489711</v>
      </c>
      <c r="H615" s="27">
        <v>6489711</v>
      </c>
      <c r="I615" s="2"/>
      <c r="J615" s="2"/>
      <c r="K615" s="2"/>
      <c r="L615" s="2"/>
    </row>
  </sheetData>
  <autoFilter ref="A2:L615" xr:uid="{92C33A15-A3BE-4E95-870C-D51C0896EBEC}"/>
  <mergeCells count="611">
    <mergeCell ref="C9:D9"/>
    <mergeCell ref="A10:B10"/>
    <mergeCell ref="C11:D11"/>
    <mergeCell ref="A12:B12"/>
    <mergeCell ref="C13:D13"/>
    <mergeCell ref="A14:B14"/>
    <mergeCell ref="C3:D3"/>
    <mergeCell ref="A4:B4"/>
    <mergeCell ref="C5:D5"/>
    <mergeCell ref="A6:B6"/>
    <mergeCell ref="C7:D7"/>
    <mergeCell ref="A8:B8"/>
    <mergeCell ref="C21:D21"/>
    <mergeCell ref="A22:B22"/>
    <mergeCell ref="C23:D23"/>
    <mergeCell ref="A24:B24"/>
    <mergeCell ref="C25:D25"/>
    <mergeCell ref="A26:B26"/>
    <mergeCell ref="C15:D15"/>
    <mergeCell ref="A16:B16"/>
    <mergeCell ref="C17:D17"/>
    <mergeCell ref="A18:B18"/>
    <mergeCell ref="C19:D19"/>
    <mergeCell ref="A20:B20"/>
    <mergeCell ref="C33:D33"/>
    <mergeCell ref="A34:B34"/>
    <mergeCell ref="C35:D35"/>
    <mergeCell ref="A36:B36"/>
    <mergeCell ref="C37:D37"/>
    <mergeCell ref="A38:B38"/>
    <mergeCell ref="C27:D27"/>
    <mergeCell ref="A28:B28"/>
    <mergeCell ref="C29:D29"/>
    <mergeCell ref="A30:B30"/>
    <mergeCell ref="C31:D31"/>
    <mergeCell ref="A32:B32"/>
    <mergeCell ref="A45:B45"/>
    <mergeCell ref="A46:B46"/>
    <mergeCell ref="A47:B47"/>
    <mergeCell ref="C48:D48"/>
    <mergeCell ref="A49:B49"/>
    <mergeCell ref="A50:B50"/>
    <mergeCell ref="C39:D39"/>
    <mergeCell ref="A40:B40"/>
    <mergeCell ref="C41:D41"/>
    <mergeCell ref="A42:B42"/>
    <mergeCell ref="C43:D43"/>
    <mergeCell ref="A44:B44"/>
    <mergeCell ref="A57:B57"/>
    <mergeCell ref="C58:D58"/>
    <mergeCell ref="A59:B59"/>
    <mergeCell ref="C60:D60"/>
    <mergeCell ref="A61:B61"/>
    <mergeCell ref="C62:D62"/>
    <mergeCell ref="A51:B51"/>
    <mergeCell ref="C52:D52"/>
    <mergeCell ref="A53:B53"/>
    <mergeCell ref="C54:D54"/>
    <mergeCell ref="A55:B55"/>
    <mergeCell ref="C56:D56"/>
    <mergeCell ref="A69:B69"/>
    <mergeCell ref="C70:D70"/>
    <mergeCell ref="A71:B71"/>
    <mergeCell ref="C72:D72"/>
    <mergeCell ref="A73:B73"/>
    <mergeCell ref="C74:D74"/>
    <mergeCell ref="A63:B63"/>
    <mergeCell ref="C64:D64"/>
    <mergeCell ref="A65:B65"/>
    <mergeCell ref="C66:D66"/>
    <mergeCell ref="A67:B67"/>
    <mergeCell ref="C68:D68"/>
    <mergeCell ref="A81:B81"/>
    <mergeCell ref="C82:D82"/>
    <mergeCell ref="A83:B83"/>
    <mergeCell ref="C84:D84"/>
    <mergeCell ref="A85:B85"/>
    <mergeCell ref="C86:D86"/>
    <mergeCell ref="A75:B75"/>
    <mergeCell ref="C76:D76"/>
    <mergeCell ref="A77:B77"/>
    <mergeCell ref="C78:D78"/>
    <mergeCell ref="A79:B79"/>
    <mergeCell ref="C80:D80"/>
    <mergeCell ref="A93:B93"/>
    <mergeCell ref="C94:D94"/>
    <mergeCell ref="A95:B95"/>
    <mergeCell ref="A96:B96"/>
    <mergeCell ref="A97:B97"/>
    <mergeCell ref="A98:B98"/>
    <mergeCell ref="A87:B87"/>
    <mergeCell ref="C88:D88"/>
    <mergeCell ref="A89:B89"/>
    <mergeCell ref="C90:D90"/>
    <mergeCell ref="A91:B91"/>
    <mergeCell ref="C92:D92"/>
    <mergeCell ref="A105:B105"/>
    <mergeCell ref="A106:B106"/>
    <mergeCell ref="A107:B107"/>
    <mergeCell ref="A108:B108"/>
    <mergeCell ref="A109:B109"/>
    <mergeCell ref="A110:B110"/>
    <mergeCell ref="C99:D99"/>
    <mergeCell ref="A100:B100"/>
    <mergeCell ref="C101:D101"/>
    <mergeCell ref="A102:B102"/>
    <mergeCell ref="A103:B103"/>
    <mergeCell ref="C104:D104"/>
    <mergeCell ref="A117:B117"/>
    <mergeCell ref="C118:D118"/>
    <mergeCell ref="A119:B119"/>
    <mergeCell ref="C120:D120"/>
    <mergeCell ref="A121:B121"/>
    <mergeCell ref="C122:D122"/>
    <mergeCell ref="A111:B111"/>
    <mergeCell ref="C112:D112"/>
    <mergeCell ref="A113:B113"/>
    <mergeCell ref="C114:D114"/>
    <mergeCell ref="A115:B115"/>
    <mergeCell ref="C116:D116"/>
    <mergeCell ref="A129:B129"/>
    <mergeCell ref="C130:D130"/>
    <mergeCell ref="A131:B131"/>
    <mergeCell ref="C132:D132"/>
    <mergeCell ref="A133:B133"/>
    <mergeCell ref="C134:D134"/>
    <mergeCell ref="A123:B123"/>
    <mergeCell ref="C124:D124"/>
    <mergeCell ref="A125:B125"/>
    <mergeCell ref="C126:D126"/>
    <mergeCell ref="A127:B127"/>
    <mergeCell ref="C128:D128"/>
    <mergeCell ref="A141:B141"/>
    <mergeCell ref="C142:D142"/>
    <mergeCell ref="A143:B143"/>
    <mergeCell ref="C144:D144"/>
    <mergeCell ref="A145:B145"/>
    <mergeCell ref="C146:D146"/>
    <mergeCell ref="A135:B135"/>
    <mergeCell ref="C136:D136"/>
    <mergeCell ref="A137:B137"/>
    <mergeCell ref="C138:D138"/>
    <mergeCell ref="A139:B139"/>
    <mergeCell ref="C140:D140"/>
    <mergeCell ref="A153:B153"/>
    <mergeCell ref="C154:D154"/>
    <mergeCell ref="A155:B155"/>
    <mergeCell ref="C156:D156"/>
    <mergeCell ref="A157:B157"/>
    <mergeCell ref="C158:D158"/>
    <mergeCell ref="A147:B147"/>
    <mergeCell ref="C148:D148"/>
    <mergeCell ref="A149:B149"/>
    <mergeCell ref="C150:D150"/>
    <mergeCell ref="A151:B151"/>
    <mergeCell ref="C152:D152"/>
    <mergeCell ref="A165:B165"/>
    <mergeCell ref="C166:D166"/>
    <mergeCell ref="A167:B167"/>
    <mergeCell ref="C168:D168"/>
    <mergeCell ref="A169:B169"/>
    <mergeCell ref="C170:D170"/>
    <mergeCell ref="A159:B159"/>
    <mergeCell ref="C160:D160"/>
    <mergeCell ref="A161:B161"/>
    <mergeCell ref="C162:D162"/>
    <mergeCell ref="A163:B163"/>
    <mergeCell ref="C164:D164"/>
    <mergeCell ref="A177:B177"/>
    <mergeCell ref="C178:D178"/>
    <mergeCell ref="A179:B179"/>
    <mergeCell ref="A180:B180"/>
    <mergeCell ref="A181:B181"/>
    <mergeCell ref="A182:B182"/>
    <mergeCell ref="A171:B171"/>
    <mergeCell ref="C172:D172"/>
    <mergeCell ref="A173:B173"/>
    <mergeCell ref="C174:D174"/>
    <mergeCell ref="A175:B175"/>
    <mergeCell ref="C176:D176"/>
    <mergeCell ref="A189:B189"/>
    <mergeCell ref="C190:D190"/>
    <mergeCell ref="A191:B191"/>
    <mergeCell ref="A192:B192"/>
    <mergeCell ref="A193:B193"/>
    <mergeCell ref="A194:B194"/>
    <mergeCell ref="A183:B183"/>
    <mergeCell ref="A184:B184"/>
    <mergeCell ref="A185:B185"/>
    <mergeCell ref="A186:B186"/>
    <mergeCell ref="A187:B187"/>
    <mergeCell ref="A188:B188"/>
    <mergeCell ref="A201:B201"/>
    <mergeCell ref="A202:B202"/>
    <mergeCell ref="A203:B203"/>
    <mergeCell ref="A204:B204"/>
    <mergeCell ref="A205:B205"/>
    <mergeCell ref="A206:B206"/>
    <mergeCell ref="A195:B195"/>
    <mergeCell ref="A196:B196"/>
    <mergeCell ref="A197:B197"/>
    <mergeCell ref="A198:B198"/>
    <mergeCell ref="A199:B199"/>
    <mergeCell ref="A200:B200"/>
    <mergeCell ref="A213:B213"/>
    <mergeCell ref="A214:B214"/>
    <mergeCell ref="A215:B215"/>
    <mergeCell ref="A216:B216"/>
    <mergeCell ref="C217:D217"/>
    <mergeCell ref="A218:B218"/>
    <mergeCell ref="A207:B207"/>
    <mergeCell ref="A208:B208"/>
    <mergeCell ref="A209:B209"/>
    <mergeCell ref="A210:B210"/>
    <mergeCell ref="A211:B211"/>
    <mergeCell ref="A212:B212"/>
    <mergeCell ref="A225:B225"/>
    <mergeCell ref="A226:B226"/>
    <mergeCell ref="A227:B227"/>
    <mergeCell ref="A228:B228"/>
    <mergeCell ref="A229:B229"/>
    <mergeCell ref="A230:B230"/>
    <mergeCell ref="A219:B219"/>
    <mergeCell ref="A220:B220"/>
    <mergeCell ref="A221:B221"/>
    <mergeCell ref="A222:B222"/>
    <mergeCell ref="A223:B223"/>
    <mergeCell ref="A224:B224"/>
    <mergeCell ref="A237:B237"/>
    <mergeCell ref="A238:B238"/>
    <mergeCell ref="C239:D239"/>
    <mergeCell ref="A240:B240"/>
    <mergeCell ref="C241:D241"/>
    <mergeCell ref="A242:B242"/>
    <mergeCell ref="A231:B231"/>
    <mergeCell ref="A232:B232"/>
    <mergeCell ref="A233:B233"/>
    <mergeCell ref="A234:B234"/>
    <mergeCell ref="A235:B235"/>
    <mergeCell ref="C236:D236"/>
    <mergeCell ref="C249:D249"/>
    <mergeCell ref="A250:B250"/>
    <mergeCell ref="C251:D251"/>
    <mergeCell ref="A252:B252"/>
    <mergeCell ref="C253:D253"/>
    <mergeCell ref="A254:B254"/>
    <mergeCell ref="C243:D243"/>
    <mergeCell ref="A244:B244"/>
    <mergeCell ref="C245:D245"/>
    <mergeCell ref="A246:B246"/>
    <mergeCell ref="C247:D247"/>
    <mergeCell ref="A248:B248"/>
    <mergeCell ref="C261:D261"/>
    <mergeCell ref="A262:B262"/>
    <mergeCell ref="C263:D263"/>
    <mergeCell ref="A264:B264"/>
    <mergeCell ref="C265:D265"/>
    <mergeCell ref="A266:B266"/>
    <mergeCell ref="C255:D255"/>
    <mergeCell ref="A256:B256"/>
    <mergeCell ref="C257:D257"/>
    <mergeCell ref="A258:B258"/>
    <mergeCell ref="C259:D259"/>
    <mergeCell ref="A260:B260"/>
    <mergeCell ref="C273:D273"/>
    <mergeCell ref="A274:B274"/>
    <mergeCell ref="C275:D275"/>
    <mergeCell ref="A276:B276"/>
    <mergeCell ref="A277:B277"/>
    <mergeCell ref="A278:B278"/>
    <mergeCell ref="C267:D267"/>
    <mergeCell ref="A268:B268"/>
    <mergeCell ref="C269:D269"/>
    <mergeCell ref="A270:B270"/>
    <mergeCell ref="C271:D271"/>
    <mergeCell ref="A272:B272"/>
    <mergeCell ref="A285:B285"/>
    <mergeCell ref="A286:B286"/>
    <mergeCell ref="A287:B287"/>
    <mergeCell ref="A288:B288"/>
    <mergeCell ref="A289:B289"/>
    <mergeCell ref="A290:B290"/>
    <mergeCell ref="A279:B279"/>
    <mergeCell ref="A280:B280"/>
    <mergeCell ref="A281:B281"/>
    <mergeCell ref="A282:B282"/>
    <mergeCell ref="A283:B283"/>
    <mergeCell ref="A284:B284"/>
    <mergeCell ref="A297:B297"/>
    <mergeCell ref="A298:B298"/>
    <mergeCell ref="C299:D299"/>
    <mergeCell ref="A300:B300"/>
    <mergeCell ref="C301:D301"/>
    <mergeCell ref="A302:B302"/>
    <mergeCell ref="A291:B291"/>
    <mergeCell ref="A292:B292"/>
    <mergeCell ref="A293:B293"/>
    <mergeCell ref="A294:B294"/>
    <mergeCell ref="A295:B295"/>
    <mergeCell ref="A296:B296"/>
    <mergeCell ref="C309:D309"/>
    <mergeCell ref="A310:B310"/>
    <mergeCell ref="C311:D311"/>
    <mergeCell ref="A312:B312"/>
    <mergeCell ref="C313:D313"/>
    <mergeCell ref="A314:B314"/>
    <mergeCell ref="C303:D303"/>
    <mergeCell ref="A304:B304"/>
    <mergeCell ref="C305:D305"/>
    <mergeCell ref="A306:B306"/>
    <mergeCell ref="C307:D307"/>
    <mergeCell ref="A308:B308"/>
    <mergeCell ref="C321:D321"/>
    <mergeCell ref="A322:B322"/>
    <mergeCell ref="C323:D323"/>
    <mergeCell ref="A324:B324"/>
    <mergeCell ref="C325:D325"/>
    <mergeCell ref="A326:B326"/>
    <mergeCell ref="C315:D315"/>
    <mergeCell ref="A316:B316"/>
    <mergeCell ref="C317:D317"/>
    <mergeCell ref="A318:B318"/>
    <mergeCell ref="C319:D319"/>
    <mergeCell ref="A320:B320"/>
    <mergeCell ref="A333:B333"/>
    <mergeCell ref="A334:B334"/>
    <mergeCell ref="C335:D335"/>
    <mergeCell ref="A336:B336"/>
    <mergeCell ref="C337:D337"/>
    <mergeCell ref="A338:B338"/>
    <mergeCell ref="C327:D327"/>
    <mergeCell ref="A328:B328"/>
    <mergeCell ref="C329:D329"/>
    <mergeCell ref="A330:B330"/>
    <mergeCell ref="C331:D331"/>
    <mergeCell ref="A332:B332"/>
    <mergeCell ref="A345:B345"/>
    <mergeCell ref="C346:D346"/>
    <mergeCell ref="A347:B347"/>
    <mergeCell ref="C348:D348"/>
    <mergeCell ref="A349:B349"/>
    <mergeCell ref="C350:D350"/>
    <mergeCell ref="A339:B339"/>
    <mergeCell ref="A340:B340"/>
    <mergeCell ref="A341:B341"/>
    <mergeCell ref="C342:D342"/>
    <mergeCell ref="A343:B343"/>
    <mergeCell ref="C344:D344"/>
    <mergeCell ref="A357:B357"/>
    <mergeCell ref="C358:D358"/>
    <mergeCell ref="A359:B359"/>
    <mergeCell ref="C360:D360"/>
    <mergeCell ref="A361:B361"/>
    <mergeCell ref="C362:D362"/>
    <mergeCell ref="A351:B351"/>
    <mergeCell ref="C352:D352"/>
    <mergeCell ref="A353:B353"/>
    <mergeCell ref="C354:D354"/>
    <mergeCell ref="A355:B355"/>
    <mergeCell ref="C356:D356"/>
    <mergeCell ref="A369:B369"/>
    <mergeCell ref="C370:D370"/>
    <mergeCell ref="A371:B371"/>
    <mergeCell ref="C372:D372"/>
    <mergeCell ref="A373:B373"/>
    <mergeCell ref="C374:D374"/>
    <mergeCell ref="A363:B363"/>
    <mergeCell ref="C364:D364"/>
    <mergeCell ref="A365:B365"/>
    <mergeCell ref="C366:D366"/>
    <mergeCell ref="A367:B367"/>
    <mergeCell ref="C368:D368"/>
    <mergeCell ref="A381:B381"/>
    <mergeCell ref="C382:D382"/>
    <mergeCell ref="A383:B383"/>
    <mergeCell ref="C384:D384"/>
    <mergeCell ref="A385:B385"/>
    <mergeCell ref="C386:D386"/>
    <mergeCell ref="A375:B375"/>
    <mergeCell ref="C376:D376"/>
    <mergeCell ref="A377:B377"/>
    <mergeCell ref="C378:D378"/>
    <mergeCell ref="A379:B379"/>
    <mergeCell ref="C380:D380"/>
    <mergeCell ref="A393:B393"/>
    <mergeCell ref="C394:D394"/>
    <mergeCell ref="A395:B395"/>
    <mergeCell ref="C396:D396"/>
    <mergeCell ref="A397:B397"/>
    <mergeCell ref="C398:D398"/>
    <mergeCell ref="A387:B387"/>
    <mergeCell ref="C388:D388"/>
    <mergeCell ref="A389:B389"/>
    <mergeCell ref="C390:D390"/>
    <mergeCell ref="A391:B391"/>
    <mergeCell ref="C392:D392"/>
    <mergeCell ref="A405:B405"/>
    <mergeCell ref="A406:B406"/>
    <mergeCell ref="C407:D407"/>
    <mergeCell ref="A408:B408"/>
    <mergeCell ref="A409:B409"/>
    <mergeCell ref="A410:B410"/>
    <mergeCell ref="A399:B399"/>
    <mergeCell ref="A400:B400"/>
    <mergeCell ref="A401:B401"/>
    <mergeCell ref="C402:D402"/>
    <mergeCell ref="A403:B403"/>
    <mergeCell ref="A404:B404"/>
    <mergeCell ref="C417:D417"/>
    <mergeCell ref="A418:B418"/>
    <mergeCell ref="C419:D419"/>
    <mergeCell ref="A420:B420"/>
    <mergeCell ref="C421:D421"/>
    <mergeCell ref="A422:B422"/>
    <mergeCell ref="C411:D411"/>
    <mergeCell ref="A412:B412"/>
    <mergeCell ref="C413:D413"/>
    <mergeCell ref="A414:B414"/>
    <mergeCell ref="C415:D415"/>
    <mergeCell ref="A416:B416"/>
    <mergeCell ref="C429:D429"/>
    <mergeCell ref="A430:B430"/>
    <mergeCell ref="C431:D431"/>
    <mergeCell ref="A432:B432"/>
    <mergeCell ref="C433:D433"/>
    <mergeCell ref="A434:B434"/>
    <mergeCell ref="C423:D423"/>
    <mergeCell ref="A424:B424"/>
    <mergeCell ref="C425:D425"/>
    <mergeCell ref="A426:B426"/>
    <mergeCell ref="C427:D427"/>
    <mergeCell ref="A428:B428"/>
    <mergeCell ref="C441:D441"/>
    <mergeCell ref="A442:B442"/>
    <mergeCell ref="C443:D443"/>
    <mergeCell ref="A444:B444"/>
    <mergeCell ref="C445:D445"/>
    <mergeCell ref="A446:B446"/>
    <mergeCell ref="C435:D435"/>
    <mergeCell ref="A436:B436"/>
    <mergeCell ref="C437:D437"/>
    <mergeCell ref="A438:B438"/>
    <mergeCell ref="C439:D439"/>
    <mergeCell ref="A440:B440"/>
    <mergeCell ref="C453:D453"/>
    <mergeCell ref="A454:B454"/>
    <mergeCell ref="C455:D455"/>
    <mergeCell ref="A456:B456"/>
    <mergeCell ref="C457:D457"/>
    <mergeCell ref="A458:B458"/>
    <mergeCell ref="C447:D447"/>
    <mergeCell ref="A448:B448"/>
    <mergeCell ref="C449:D449"/>
    <mergeCell ref="A450:B450"/>
    <mergeCell ref="C451:D451"/>
    <mergeCell ref="A452:B452"/>
    <mergeCell ref="A465:B465"/>
    <mergeCell ref="A466:B466"/>
    <mergeCell ref="A467:B467"/>
    <mergeCell ref="A468:B468"/>
    <mergeCell ref="C469:D469"/>
    <mergeCell ref="A470:B470"/>
    <mergeCell ref="C459:D459"/>
    <mergeCell ref="A460:B460"/>
    <mergeCell ref="C461:D461"/>
    <mergeCell ref="A462:B462"/>
    <mergeCell ref="C463:D463"/>
    <mergeCell ref="A464:B464"/>
    <mergeCell ref="C477:D477"/>
    <mergeCell ref="A478:B478"/>
    <mergeCell ref="A479:B479"/>
    <mergeCell ref="A480:B480"/>
    <mergeCell ref="A481:B481"/>
    <mergeCell ref="A482:B482"/>
    <mergeCell ref="C471:D471"/>
    <mergeCell ref="A472:B472"/>
    <mergeCell ref="C473:D473"/>
    <mergeCell ref="A474:B474"/>
    <mergeCell ref="C475:D475"/>
    <mergeCell ref="A476:B476"/>
    <mergeCell ref="C500:D500"/>
    <mergeCell ref="C489:D489"/>
    <mergeCell ref="A490:B490"/>
    <mergeCell ref="A491:B491"/>
    <mergeCell ref="A492:B492"/>
    <mergeCell ref="A493:B493"/>
    <mergeCell ref="C494:D494"/>
    <mergeCell ref="C483:D483"/>
    <mergeCell ref="A484:B484"/>
    <mergeCell ref="C485:D485"/>
    <mergeCell ref="A486:B486"/>
    <mergeCell ref="C487:D487"/>
    <mergeCell ref="A488:B488"/>
    <mergeCell ref="A501:B501"/>
    <mergeCell ref="A502:B502"/>
    <mergeCell ref="A503:B503"/>
    <mergeCell ref="A504:B504"/>
    <mergeCell ref="A505:B505"/>
    <mergeCell ref="A506:B506"/>
    <mergeCell ref="A495:B495"/>
    <mergeCell ref="A496:B496"/>
    <mergeCell ref="A497:B497"/>
    <mergeCell ref="A498:B498"/>
    <mergeCell ref="A499:B499"/>
    <mergeCell ref="A513:B513"/>
    <mergeCell ref="A514:B514"/>
    <mergeCell ref="A515:B515"/>
    <mergeCell ref="C516:D516"/>
    <mergeCell ref="A517:B517"/>
    <mergeCell ref="A518:B518"/>
    <mergeCell ref="A507:B507"/>
    <mergeCell ref="A508:B508"/>
    <mergeCell ref="A509:B509"/>
    <mergeCell ref="A510:B510"/>
    <mergeCell ref="C511:D511"/>
    <mergeCell ref="A512:B512"/>
    <mergeCell ref="A525:B525"/>
    <mergeCell ref="C526:D526"/>
    <mergeCell ref="A527:B527"/>
    <mergeCell ref="A528:B528"/>
    <mergeCell ref="A529:B529"/>
    <mergeCell ref="A530:B530"/>
    <mergeCell ref="A519:B519"/>
    <mergeCell ref="A520:B520"/>
    <mergeCell ref="A521:B521"/>
    <mergeCell ref="A522:B522"/>
    <mergeCell ref="A523:B523"/>
    <mergeCell ref="A524:B524"/>
    <mergeCell ref="C537:D537"/>
    <mergeCell ref="A538:B538"/>
    <mergeCell ref="C539:D539"/>
    <mergeCell ref="A540:B540"/>
    <mergeCell ref="C541:D541"/>
    <mergeCell ref="A542:B542"/>
    <mergeCell ref="A531:B531"/>
    <mergeCell ref="A532:B532"/>
    <mergeCell ref="A533:B533"/>
    <mergeCell ref="A534:B534"/>
    <mergeCell ref="A535:B535"/>
    <mergeCell ref="A536:B536"/>
    <mergeCell ref="C549:D549"/>
    <mergeCell ref="A550:B550"/>
    <mergeCell ref="C551:D551"/>
    <mergeCell ref="A552:B552"/>
    <mergeCell ref="C553:D553"/>
    <mergeCell ref="A554:B554"/>
    <mergeCell ref="C543:D543"/>
    <mergeCell ref="A544:B544"/>
    <mergeCell ref="C545:D545"/>
    <mergeCell ref="A546:B546"/>
    <mergeCell ref="C547:D547"/>
    <mergeCell ref="A548:B548"/>
    <mergeCell ref="C561:D561"/>
    <mergeCell ref="A562:B562"/>
    <mergeCell ref="C563:D563"/>
    <mergeCell ref="A564:B564"/>
    <mergeCell ref="C565:D565"/>
    <mergeCell ref="A566:B566"/>
    <mergeCell ref="C555:D555"/>
    <mergeCell ref="A556:B556"/>
    <mergeCell ref="C557:D557"/>
    <mergeCell ref="A558:B558"/>
    <mergeCell ref="C559:D559"/>
    <mergeCell ref="A560:B560"/>
    <mergeCell ref="C573:D573"/>
    <mergeCell ref="A574:B574"/>
    <mergeCell ref="C575:D575"/>
    <mergeCell ref="A576:B576"/>
    <mergeCell ref="C577:D577"/>
    <mergeCell ref="A578:B578"/>
    <mergeCell ref="C567:D567"/>
    <mergeCell ref="A568:B568"/>
    <mergeCell ref="C569:D569"/>
    <mergeCell ref="A570:B570"/>
    <mergeCell ref="C571:D571"/>
    <mergeCell ref="A572:B572"/>
    <mergeCell ref="A585:B585"/>
    <mergeCell ref="A586:B586"/>
    <mergeCell ref="C587:D587"/>
    <mergeCell ref="A588:B588"/>
    <mergeCell ref="A589:B589"/>
    <mergeCell ref="A590:B590"/>
    <mergeCell ref="A579:B579"/>
    <mergeCell ref="A580:B580"/>
    <mergeCell ref="A581:B581"/>
    <mergeCell ref="A582:B582"/>
    <mergeCell ref="A583:B583"/>
    <mergeCell ref="A584:B584"/>
    <mergeCell ref="A597:B597"/>
    <mergeCell ref="A598:B598"/>
    <mergeCell ref="A599:B599"/>
    <mergeCell ref="C600:D600"/>
    <mergeCell ref="A601:B601"/>
    <mergeCell ref="A602:B602"/>
    <mergeCell ref="A591:B591"/>
    <mergeCell ref="A592:B592"/>
    <mergeCell ref="A593:B593"/>
    <mergeCell ref="A594:B594"/>
    <mergeCell ref="C595:D595"/>
    <mergeCell ref="A596:B596"/>
    <mergeCell ref="A609:B609"/>
    <mergeCell ref="A610:B610"/>
    <mergeCell ref="A611:B611"/>
    <mergeCell ref="A612:B612"/>
    <mergeCell ref="I614:L614"/>
    <mergeCell ref="A603:B603"/>
    <mergeCell ref="A604:B604"/>
    <mergeCell ref="C605:D605"/>
    <mergeCell ref="A606:B606"/>
    <mergeCell ref="A607:B607"/>
    <mergeCell ref="A608:B6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Ascendus Ledger</vt:lpstr>
      <vt:lpstr>Customer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2026-03-26T07:12:35Z</dcterms:created>
  <dcterms:modified xsi:type="dcterms:W3CDTF">2026-03-26T14:08:02Z</dcterms:modified>
</cp:coreProperties>
</file>