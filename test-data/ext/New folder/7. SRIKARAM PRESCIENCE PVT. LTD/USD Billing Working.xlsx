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7. SRIKARAM PRESCIENCE PVT. LTD\"/>
    </mc:Choice>
  </mc:AlternateContent>
  <xr:revisionPtr revIDLastSave="0" documentId="13_ncr:1_{A2995EA1-6ECE-41FD-A1BD-9F8252BE1AD3}" xr6:coauthVersionLast="47" xr6:coauthVersionMax="47" xr10:uidLastSave="{00000000-0000-0000-0000-000000000000}"/>
  <bookViews>
    <workbookView xWindow="-110" yWindow="-110" windowWidth="21820" windowHeight="14020" xr2:uid="{5B56049E-3275-498E-9F24-258496C47FA4}"/>
  </bookViews>
  <sheets>
    <sheet name="RECO" sheetId="7" r:id="rId1"/>
    <sheet name="ASCENDUS" sheetId="3" r:id="rId2"/>
    <sheet name="Customer" sheetId="1" r:id="rId3"/>
  </sheets>
  <definedNames>
    <definedName name="_xlnm._FilterDatabase" localSheetId="1" hidden="1">ASCENDUS!$A$2:$J$322</definedName>
    <definedName name="_xlnm._FilterDatabase" localSheetId="2" hidden="1">Customer!$A$1:$I$1</definedName>
  </definedNames>
  <calcPr calcId="191029"/>
  <pivotCaches>
    <pivotCache cacheId="45" r:id="rId4"/>
    <pivotCache cacheId="5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1" i="7" l="1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K22" i="7"/>
  <c r="J22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J1" i="3" l="1"/>
  <c r="I1" i="3"/>
  <c r="H1" i="3"/>
  <c r="G1" i="3"/>
</calcChain>
</file>

<file path=xl/sharedStrings.xml><?xml version="1.0" encoding="utf-8"?>
<sst xmlns="http://schemas.openxmlformats.org/spreadsheetml/2006/main" count="2547" uniqueCount="323">
  <si>
    <t>Date</t>
  </si>
  <si>
    <t>Particulars</t>
  </si>
  <si>
    <t>Credit Amount (USD)</t>
  </si>
  <si>
    <t>Vch Type</t>
  </si>
  <si>
    <t>Credit</t>
  </si>
  <si>
    <t>TDS</t>
  </si>
  <si>
    <t>Dr</t>
  </si>
  <si>
    <t>August, 2024</t>
  </si>
  <si>
    <t>Journal 1</t>
  </si>
  <si>
    <t>September, 2024</t>
  </si>
  <si>
    <t>October, 2024</t>
  </si>
  <si>
    <t>November, 2024</t>
  </si>
  <si>
    <t>December, 2024</t>
  </si>
  <si>
    <t>January, 2025</t>
  </si>
  <si>
    <t>February, 2025</t>
  </si>
  <si>
    <t>March, 2025</t>
  </si>
  <si>
    <t>April, 2025</t>
  </si>
  <si>
    <t>May, 2025</t>
  </si>
  <si>
    <t>June, 2025</t>
  </si>
  <si>
    <t>July, 2025</t>
  </si>
  <si>
    <t>August, 2025</t>
  </si>
  <si>
    <t>September, 2025</t>
  </si>
  <si>
    <t>October, 2025</t>
  </si>
  <si>
    <t>November, 2025</t>
  </si>
  <si>
    <t>Feb</t>
  </si>
  <si>
    <t>Mar</t>
  </si>
  <si>
    <t>Jun</t>
  </si>
  <si>
    <t>Jul</t>
  </si>
  <si>
    <t>Aug</t>
  </si>
  <si>
    <t>Oct</t>
  </si>
  <si>
    <t>Nov</t>
  </si>
  <si>
    <t>Dec</t>
  </si>
  <si>
    <t>Sum of Credit Amount (USD)</t>
  </si>
  <si>
    <t>Document Type</t>
  </si>
  <si>
    <t>DR</t>
  </si>
  <si>
    <t>VAS 1-15 June 25, Exch 86.10</t>
  </si>
  <si>
    <t>VAS - 16-30 June 25</t>
  </si>
  <si>
    <t>VAS 16-31 May 25 Ex.85.48</t>
  </si>
  <si>
    <t>Outbound chgs - 16 - 31 Aug 25</t>
  </si>
  <si>
    <t>LCL chgs - 01 - 15 SEP 25</t>
  </si>
  <si>
    <t>Outbound chgs - 01 - 15 Sep 25</t>
  </si>
  <si>
    <t>VAS -1-15 Sept-25</t>
  </si>
  <si>
    <t>Empty Lolo Chgs - 01 - 30 SEP 25</t>
  </si>
  <si>
    <t>Outbound chgs - 16 - 30 Sep 25</t>
  </si>
  <si>
    <t>Fixed Storage Charges for October 2025</t>
  </si>
  <si>
    <t>Unit Storage - 1-30 Sept 2025</t>
  </si>
  <si>
    <t>VAS-16-30 Sept 25</t>
  </si>
  <si>
    <t>PORT SSR Chgs Sep 25</t>
  </si>
  <si>
    <t>CODC Inbound chgs - 1-15 Oct 25</t>
  </si>
  <si>
    <t>Weighment  -1-15 Oct 2025</t>
  </si>
  <si>
    <t>Transportation In Chgs - 01 - 15 Oct 25</t>
  </si>
  <si>
    <t>Outbound chgs - 01 - 15 Oct 25</t>
  </si>
  <si>
    <t>Fixed Storage Charges for November 2025</t>
  </si>
  <si>
    <t>WEIGHTMENT-16 -31 Oct 25</t>
  </si>
  <si>
    <t>Unit Storage - 1-31 Oct 2025</t>
  </si>
  <si>
    <t>Transportation In Chgs - 16 - 31 Oct 25</t>
  </si>
  <si>
    <t>Scanning  Chgs - 16 - 31 Oct 25</t>
  </si>
  <si>
    <t>Transportation In Chgs - 16 - 31 OCT 25</t>
  </si>
  <si>
    <t>Outbound chgs - 16 - 31 Oct 25</t>
  </si>
  <si>
    <t>Empty Lolo Chgs - 01 - 31 OCT 25</t>
  </si>
  <si>
    <t>Detention Chgs - OCT 25</t>
  </si>
  <si>
    <t>VAS-Nov 1-15, 2025</t>
  </si>
  <si>
    <t>LCL Chgs - 01 - 15 NOV 25</t>
  </si>
  <si>
    <t>Outbound chgs - 01 - 15 Nov 25</t>
  </si>
  <si>
    <t>Unit Storage - 1-30 Nov 2025</t>
  </si>
  <si>
    <t>Fixed Storage Charges for December 2025</t>
  </si>
  <si>
    <t>LCL Chgs - 16 - 30 NOV 25</t>
  </si>
  <si>
    <t>Outbound chgs - 16 - 30 Nov 25</t>
  </si>
  <si>
    <t>DG</t>
  </si>
  <si>
    <t>Fixed Storage Charges for January 2026</t>
  </si>
  <si>
    <t>VAS - NOV 25,16-30</t>
  </si>
  <si>
    <t>Fixed Rental charges for Oct 2024</t>
  </si>
  <si>
    <t>Fixed Rental charges for Sept 2024</t>
  </si>
  <si>
    <t>Fixed Rental charges for Nov 2024</t>
  </si>
  <si>
    <t>Fixed Rental charges for Dec 2024</t>
  </si>
  <si>
    <t>Fixed Rental charges for Jan 2025</t>
  </si>
  <si>
    <t>Fixed Rental charges for Feb 2025</t>
  </si>
  <si>
    <t>Storage  for the month of Sept  2024</t>
  </si>
  <si>
    <t>Storage for the month of Oct 2024</t>
  </si>
  <si>
    <t>Storage for the month of Nov 2024</t>
  </si>
  <si>
    <t>Storage for the month of Dec 2024</t>
  </si>
  <si>
    <t>Fixed Storage Charges for Mar 2025</t>
  </si>
  <si>
    <t>Ground Rent Jan 25</t>
  </si>
  <si>
    <t>Ground Rent Feb 25</t>
  </si>
  <si>
    <t>Outbound Handling charges for Feb 2025</t>
  </si>
  <si>
    <t>Inbound Handling charges for Jan 2025</t>
  </si>
  <si>
    <t>Inbound Handling charges for  Sep 2024</t>
  </si>
  <si>
    <t>LCL charges for Sep 2024</t>
  </si>
  <si>
    <t>Outbound Handling charges for Sep 2024</t>
  </si>
  <si>
    <t>Loose handling Charges for Oct 2024</t>
  </si>
  <si>
    <t>Inbound Handling charges for Oct 2024</t>
  </si>
  <si>
    <t>LCL Movement Charges for Oct 2024</t>
  </si>
  <si>
    <t>Inbound Handling charges for Nov 2024</t>
  </si>
  <si>
    <t>LCL Movement Charges for Nov 2024</t>
  </si>
  <si>
    <t>Loose Unloading charges for Jan 2025</t>
  </si>
  <si>
    <t>LCL charges for Jan 2025</t>
  </si>
  <si>
    <t>Outbound Handling charges for Oct 2024</t>
  </si>
  <si>
    <t>Loose handling Charges for Nov 2024</t>
  </si>
  <si>
    <t>Outbound Handling charges for Nov 2024</t>
  </si>
  <si>
    <t>CY-MOVEMENT CHARGES for Nov 2024</t>
  </si>
  <si>
    <t>Outbound Handling charges for Jan 2025</t>
  </si>
  <si>
    <t>Inbound Handling charges for Mar 2025</t>
  </si>
  <si>
    <t>LCL charges for Mar 2025</t>
  </si>
  <si>
    <t>Storage Charges Feb, 25</t>
  </si>
  <si>
    <t>Storage Charges Jan, 25</t>
  </si>
  <si>
    <t>LCL Charges August 2024</t>
  </si>
  <si>
    <t>Inbound Handling for August 24</t>
  </si>
  <si>
    <t>Inbound Handling charges for Dec 2024</t>
  </si>
  <si>
    <t>Loose Unloading charges for Dec 2024</t>
  </si>
  <si>
    <t>LCL charges for Dec 2024</t>
  </si>
  <si>
    <t>Outbound Handling charges for Dec 2024</t>
  </si>
  <si>
    <t>VAS Activity - Jan 25, Ex Rate. 86.64</t>
  </si>
  <si>
    <t>Storage Charges Mar, 25</t>
  </si>
  <si>
    <t>Fixed Storage Charges for April 2025</t>
  </si>
  <si>
    <t>Inbound Handling charges for Feb 2025</t>
  </si>
  <si>
    <t>Inbound Handling charges for 31 Mar 2025</t>
  </si>
  <si>
    <t>Outbound Handling charges for 31 Mar 25</t>
  </si>
  <si>
    <t>VAS 1-15 April-25,Ex.Rate-85.69</t>
  </si>
  <si>
    <t>Inbound chgs - 01 - 15 Apr 25</t>
  </si>
  <si>
    <t>Fixed Storage Charges fo MAY 2025</t>
  </si>
  <si>
    <t>CY Ground rent Chgs - 01 - 30 Apr 25</t>
  </si>
  <si>
    <t>VAS - 16-30 April 25, Ex.Rate-85.05</t>
  </si>
  <si>
    <t>Transportation In Chgs - 16 - 30 Apr 25</t>
  </si>
  <si>
    <t>Outbound chgs - 01 - 15 MAY 25</t>
  </si>
  <si>
    <t>Storage Chgs - 01 - 31 Apr 25</t>
  </si>
  <si>
    <t>Port SSR Charges - Shifting for Aug to D</t>
  </si>
  <si>
    <t>Outbound chgs - 01 - 15 Apr 25</t>
  </si>
  <si>
    <t>PORT SSR Chgs - 16 - 31 May 25</t>
  </si>
  <si>
    <t>Outbound chgs - 16 - 31 MAY 25</t>
  </si>
  <si>
    <t>Unit storage -1-31 May 25</t>
  </si>
  <si>
    <t>Detention Chgs - 16 - 31 MAY 25</t>
  </si>
  <si>
    <t>LCL Chgs - 16-31 MAY 25</t>
  </si>
  <si>
    <t>CY Longstanding - March 25,16-31</t>
  </si>
  <si>
    <t>Fixed Storage Charges fo JUNE 2025</t>
  </si>
  <si>
    <t>Unit to Unit 1-15 June 25</t>
  </si>
  <si>
    <t>CODC Inbound chgs - 01 - 15 Jun 25</t>
  </si>
  <si>
    <t>LCL Chgs - 01 - 15 JUN 25</t>
  </si>
  <si>
    <t>Outbound chgs - 01 - 15 Jun 25</t>
  </si>
  <si>
    <t>LCL chgs - 16 - 30 JUN 25</t>
  </si>
  <si>
    <t>Fixed Storage Charges fo JULY 2025</t>
  </si>
  <si>
    <t>Outbound chgs - 16 - 30 Jun 25</t>
  </si>
  <si>
    <t>Unit Storage - 1-30 June 25</t>
  </si>
  <si>
    <t>CODC Inbound chgs - 01 - 15 July 25</t>
  </si>
  <si>
    <t>CODC Out chgs - 01 - 15 July 25</t>
  </si>
  <si>
    <t>LCL chgs - 01 - 15 JUL 25</t>
  </si>
  <si>
    <t>Outbound chgs - 01 - 15 Jul 25</t>
  </si>
  <si>
    <t>PORT SSR Chgs May &amp; June 25</t>
  </si>
  <si>
    <t>Transportation In Chgs - 01 - 15 Jul 25</t>
  </si>
  <si>
    <t>LCL Chgs - 01-15 MAY 25</t>
  </si>
  <si>
    <t>CY Ground rent Chgs - 01 - 31 May 25</t>
  </si>
  <si>
    <t>Fixed Storage Charges for August 2025</t>
  </si>
  <si>
    <t>VAS 16-31 July 25</t>
  </si>
  <si>
    <t>Weighment - 16-31 July 25</t>
  </si>
  <si>
    <t>Unit Storage - 1-31 July 25</t>
  </si>
  <si>
    <t>Outbound chgs - 16 - 31 Jul 25</t>
  </si>
  <si>
    <t>LCL chgs - 16 - 31 JUL 25</t>
  </si>
  <si>
    <t>Empty Lolo Chgs - 01 - 31 JUL 25</t>
  </si>
  <si>
    <t>PORT SSR Chgs July 25</t>
  </si>
  <si>
    <t>Outbound chgs - 01 - 15 Aug 25</t>
  </si>
  <si>
    <t>LCL chgs - 01 - 15 AUG 25</t>
  </si>
  <si>
    <t>VAS -16-31 Aug 25</t>
  </si>
  <si>
    <t>Unit-Storage-1-31 Aug 25</t>
  </si>
  <si>
    <t>Transportation In Chgs - 16 - 31 Aug 25</t>
  </si>
  <si>
    <t>PORT SSR Chgs Aug 25</t>
  </si>
  <si>
    <t>LCL chgs - 16 - 31 AUG 25</t>
  </si>
  <si>
    <t>Fixed Storage Charges for September 2025</t>
  </si>
  <si>
    <t>Inbound chgs - 16 - 30 SEP 25</t>
  </si>
  <si>
    <t>CODC Out chgs -1-15 Oct 25</t>
  </si>
  <si>
    <t>PORT SSR Chgs Oct 25</t>
  </si>
  <si>
    <t>Outbound chgs - 01 - 15 Dec 25</t>
  </si>
  <si>
    <t>VAS DEC 25 -1-15</t>
  </si>
  <si>
    <t>LCL Chgs - 01 - 15 DEC 25</t>
  </si>
  <si>
    <t>PORT SSR Chgs Dec 25</t>
  </si>
  <si>
    <t>Unit Storage - 1-31 DEC 2025</t>
  </si>
  <si>
    <t>Outbound chgs - 16 - 31 Dec 25</t>
  </si>
  <si>
    <t>LCL Chgs - 16 - 31 DEC 25</t>
  </si>
  <si>
    <t>VAS-Dec 25 - 16-31</t>
  </si>
  <si>
    <t>LCL Chgs - 01 - 15 JAN 26</t>
  </si>
  <si>
    <t>Outbound chgs - 01 - 15 JAN 26</t>
  </si>
  <si>
    <t>VAS-1-15 Jan 2026</t>
  </si>
  <si>
    <t>Fixed Rental charges for Aug 2024</t>
  </si>
  <si>
    <t>Credit note against 246779412247</t>
  </si>
  <si>
    <t>Credit note against 256779410280</t>
  </si>
  <si>
    <t>Credit note against 256779410239</t>
  </si>
  <si>
    <t>Credit Note against 246779413091</t>
  </si>
  <si>
    <t>Credit Note against 256779412933</t>
  </si>
  <si>
    <t>Credit note raised against 256779418079</t>
  </si>
  <si>
    <t>Credit note raised against 256779415806</t>
  </si>
  <si>
    <t>Document date</t>
  </si>
  <si>
    <t>Document Type description</t>
  </si>
  <si>
    <t>Customer name</t>
  </si>
  <si>
    <t>Service/charge Description</t>
  </si>
  <si>
    <t>Document currency</t>
  </si>
  <si>
    <t>Base amount</t>
  </si>
  <si>
    <t>Exchange rate</t>
  </si>
  <si>
    <t>Total amount (INR)</t>
  </si>
  <si>
    <t>Amount post TDS</t>
  </si>
  <si>
    <t>Customer Invoice/DN</t>
  </si>
  <si>
    <t>SRIKARAM PRESCIENCE PVT. LTD.</t>
  </si>
  <si>
    <t>USD</t>
  </si>
  <si>
    <t>86.69126</t>
  </si>
  <si>
    <t>85.98370</t>
  </si>
  <si>
    <t>Customer Credit Memo</t>
  </si>
  <si>
    <t>Credit note raised against 256779413888</t>
  </si>
  <si>
    <t>86.00067</t>
  </si>
  <si>
    <t>Cy-WH Destuff charges for Jan 2025</t>
  </si>
  <si>
    <t>Loose loading Handling charges for Sep 2</t>
  </si>
  <si>
    <t>86.92182</t>
  </si>
  <si>
    <t>Loose loading Handling charges for Dec 2</t>
  </si>
  <si>
    <t>LCL Movement Charges for Feb 2025</t>
  </si>
  <si>
    <t>Loose handling Charges for Feb 2025</t>
  </si>
  <si>
    <t>LCL charges for 31 Mar 2025</t>
  </si>
  <si>
    <t>Loose chgs - 01 - 15 MAY 25</t>
  </si>
  <si>
    <t>85.49078</t>
  </si>
  <si>
    <t>CY - WH Destuff Chgs - 01 - 15 JUN 25</t>
  </si>
  <si>
    <t>CODC LCL chgs - 01 - 15 July 25</t>
  </si>
  <si>
    <t>CY - WH Destuff Chgs -  01 - 15 JUL 25</t>
  </si>
  <si>
    <t>Loose chgs - 01 - 15 Jul 25</t>
  </si>
  <si>
    <t>86.03012</t>
  </si>
  <si>
    <t>CY - WH Destuff Chgs -  16 - 31 JUL 25</t>
  </si>
  <si>
    <t>Loose chgs - 01 - 15 AUG 25</t>
  </si>
  <si>
    <t>Loose chgs - 01 - 15 Aug 25</t>
  </si>
  <si>
    <t>87.51433</t>
  </si>
  <si>
    <t>88.00339</t>
  </si>
  <si>
    <t>Loose chgs - 01 - 15 NOV 25</t>
  </si>
  <si>
    <t>88.70014</t>
  </si>
  <si>
    <t>CY WH Destuff chgs - 16 - 30 Apr 25</t>
  </si>
  <si>
    <t>CY - WH Destuff Chgs - 16-31 MAY 25</t>
  </si>
  <si>
    <t>Empty Cont Out - 01 - 15 JUL 25</t>
  </si>
  <si>
    <t>Empty Cont Out Chgs - 01 - 15 SEP 25</t>
  </si>
  <si>
    <t>CODC Empty Movement -1-15 Oct  25</t>
  </si>
  <si>
    <t>88.19077</t>
  </si>
  <si>
    <t>LCL Chgs - 16 - 31 OCT 25</t>
  </si>
  <si>
    <t>Empty Cont In chgs - 16 - 31 Oct 25</t>
  </si>
  <si>
    <t>Loose Loading Charges for Feb 2024</t>
  </si>
  <si>
    <t>Transportation Inbound charges for Jan 2</t>
  </si>
  <si>
    <t>Loose Loading Handling charges for Jan 2</t>
  </si>
  <si>
    <t>HLBU3011446-Port SSR Shifting Jan 2025.</t>
  </si>
  <si>
    <t>Loose Unloading Charges August 2024</t>
  </si>
  <si>
    <t>CY Longstanding Transportation chgs for</t>
  </si>
  <si>
    <t>VAS Activity - Mar 25, 16-31, Ex Rate. 8</t>
  </si>
  <si>
    <t>Inbound chgs - 01 - 15 AUG 25</t>
  </si>
  <si>
    <t>Inbound chgs - 01 - 15 JUN 25</t>
  </si>
  <si>
    <t>Loose chgs - 01 - 15 JUN 25</t>
  </si>
  <si>
    <t>Transportation In Chgs - 01 - 15 JUN 25</t>
  </si>
  <si>
    <t>Loose chgs - 01 - 15 Jun 25</t>
  </si>
  <si>
    <t>Inbound chgs - 16 - 30 JUN 25</t>
  </si>
  <si>
    <t>Loose chgs - 16 - 30 JUN 25</t>
  </si>
  <si>
    <t>Loose chgs - 16 - 30 Jun 25</t>
  </si>
  <si>
    <t>Loose Unloading charges for 31 Mar 2025</t>
  </si>
  <si>
    <t>Loose Loading Handling charges for 31 Ma</t>
  </si>
  <si>
    <t>VAS Activity Charges for the month of Se</t>
  </si>
  <si>
    <t>VAS Activity Charges for the month of De</t>
  </si>
  <si>
    <t>Loose chgs - 16 - 31 Oct 25</t>
  </si>
  <si>
    <t>Transportation Out chgs - 16 - 31 Oct 25</t>
  </si>
  <si>
    <t>Inbound chgs - 16 - 31 JUL 25</t>
  </si>
  <si>
    <t>Loose chgs - 16 - 31 JUL 25</t>
  </si>
  <si>
    <t>Loose chgs - 16 - 31 Jul 25</t>
  </si>
  <si>
    <t>Inbound chgs - 16 - 31 AUG 25</t>
  </si>
  <si>
    <t>Loose chgs - 16 - 31 AUG 25</t>
  </si>
  <si>
    <t>Transportation In Chgs - 16 - 31 AUG 25</t>
  </si>
  <si>
    <t>Loose chgs - 16 - 31 Aug 25</t>
  </si>
  <si>
    <t>VAS Activity Charges for the month of Au</t>
  </si>
  <si>
    <t>CY Longstanding container Ground Rent ch</t>
  </si>
  <si>
    <t>Inbound chgs -01-15 MAY 25</t>
  </si>
  <si>
    <t>Inbound chgs - 01 - 15 JUL 25</t>
  </si>
  <si>
    <t>Loose chgs - 01 - 15 JUL 25</t>
  </si>
  <si>
    <t>Transportation In Chgs - 01 - 15 JUL 25</t>
  </si>
  <si>
    <t>Transportation IN Chgs - 16 - 30 SEP 25</t>
  </si>
  <si>
    <t>Loose chgs - 16 - 30 Sep 25</t>
  </si>
  <si>
    <t>86.30366</t>
  </si>
  <si>
    <t>85.81000</t>
  </si>
  <si>
    <t>Loose chgs - 01 - 15 Sep 25</t>
  </si>
  <si>
    <t>Inbound chgs - 01 - 15 SEP 25</t>
  </si>
  <si>
    <t>Loose chgs - 01 - 15 SEP 25</t>
  </si>
  <si>
    <t>Inbound chgs - 01 - 15 NOV 25</t>
  </si>
  <si>
    <t>Loose chgs - 01 - 15 Nov 25</t>
  </si>
  <si>
    <t>Storage Charges for the month of August,</t>
  </si>
  <si>
    <t>Loose chgs - 16 - 31 MAY 25</t>
  </si>
  <si>
    <t>Inbound chgs -16-31 MAY 25</t>
  </si>
  <si>
    <t>Loose chgs - 16-31 MAY 25</t>
  </si>
  <si>
    <t>Transportation In Chgs - 16-31 MAY 25</t>
  </si>
  <si>
    <t>Inbound chgs - 16 - 30 NOV 25</t>
  </si>
  <si>
    <t>Loose chgs - 16 - 30 NOV 25</t>
  </si>
  <si>
    <t>Inbound chgs -16 - 30 Apr 25</t>
  </si>
  <si>
    <t>Loose chgs - 16 - 30 Nov 25</t>
  </si>
  <si>
    <t>Loose chgs - 01 - 15 Apr 25</t>
  </si>
  <si>
    <t>Loose chgs - 01 - 15 Oct 25</t>
  </si>
  <si>
    <t>Scanning Charges for the month of Septem</t>
  </si>
  <si>
    <t>Inbound chgs - 16 - 31 OCT 25</t>
  </si>
  <si>
    <t>Loose chgs - 16 - 31 OCT 25</t>
  </si>
  <si>
    <t>CODC Transportation charge -1-15 Oct 25</t>
  </si>
  <si>
    <t>90.74314</t>
  </si>
  <si>
    <t>Credit note for Duplicate invoice -25677</t>
  </si>
  <si>
    <t>Loose chgs - 01 - 15 Dec 25</t>
  </si>
  <si>
    <t>Inbound chgs - 01 - 15 DEC 25</t>
  </si>
  <si>
    <t>Loose chgs - 01 - 15 DEC 25</t>
  </si>
  <si>
    <t>Transportation In Chgs - 01 - 15 DEC 25</t>
  </si>
  <si>
    <t>Empty Cont Out Chgs - 01 - 15 DEC 25</t>
  </si>
  <si>
    <t>Inbound chgs - 16 - 31 DEC 25</t>
  </si>
  <si>
    <t>Loose chgs - 16 - 31 Dec 25</t>
  </si>
  <si>
    <t>Inbound chgs - 01 - 15 JAN 26</t>
  </si>
  <si>
    <t>2025</t>
  </si>
  <si>
    <t>Qtr1</t>
  </si>
  <si>
    <t>Qtr2</t>
  </si>
  <si>
    <t>Apr</t>
  </si>
  <si>
    <t>May</t>
  </si>
  <si>
    <t>Qtr3</t>
  </si>
  <si>
    <t>Sep</t>
  </si>
  <si>
    <t>Qtr4</t>
  </si>
  <si>
    <t>2026</t>
  </si>
  <si>
    <t>Jan</t>
  </si>
  <si>
    <t>Sum of Base amount</t>
  </si>
  <si>
    <t>Years</t>
  </si>
  <si>
    <t>Quarters</t>
  </si>
  <si>
    <t>Months</t>
  </si>
  <si>
    <t>M</t>
  </si>
  <si>
    <t>2024</t>
  </si>
  <si>
    <t>N</t>
  </si>
  <si>
    <t>As per ascendus</t>
  </si>
  <si>
    <t>As per Customer</t>
  </si>
  <si>
    <t>Net 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</si>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</sst>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/>
    <xf numFmtId="164" fontId="0" fillId="0" borderId="1" xfId="0" applyNumberFormat="1" applyBorder="1" applyAlignment="1">
      <alignment vertical="top"/>
    </xf>
    <xf numFmtId="164" fontId="0" fillId="0" borderId="1" xfId="1" applyNumberFormat="1" applyFont="1" applyFill="1" applyBorder="1"/>
    <xf numFmtId="0" fontId="0" fillId="0" borderId="0" xfId="0" pivotButton="1"/>
    <xf numFmtId="0" fontId="0" fillId="0" borderId="0" xfId="0" applyNumberFormat="1"/>
    <xf numFmtId="0" fontId="0" fillId="2" borderId="1" xfId="0" applyFill="1" applyBorder="1" applyAlignment="1">
      <alignment vertical="top"/>
    </xf>
    <xf numFmtId="14" fontId="0" fillId="0" borderId="0" xfId="0" applyNumberFormat="1"/>
    <xf numFmtId="0" fontId="0" fillId="0" borderId="0" xfId="0" applyAlignment="1">
      <alignment vertical="top"/>
    </xf>
    <xf numFmtId="0" fontId="0" fillId="3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0" borderId="0" xfId="1" applyNumberFormat="1" applyFont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1" xfId="0" applyNumberFormat="1" applyBorder="1"/>
    <xf numFmtId="0" fontId="0" fillId="0" borderId="2" xfId="0" applyBorder="1" applyAlignment="1">
      <alignment horizontal="center"/>
    </xf>
    <xf numFmtId="14" fontId="0" fillId="0" borderId="1" xfId="1" applyNumberFormat="1" applyFont="1" applyBorder="1"/>
    <xf numFmtId="14" fontId="0" fillId="0" borderId="1" xfId="1" applyNumberFormat="1" applyFont="1" applyFill="1" applyBorder="1"/>
    <xf numFmtId="0" fontId="0" fillId="0" borderId="0" xfId="0" applyBorder="1"/>
    <xf numFmtId="15" fontId="0" fillId="0" borderId="0" xfId="0" applyNumberFormat="1"/>
    <xf numFmtId="15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1" applyNumberFormat="1" applyFont="1" applyBorder="1"/>
    <xf numFmtId="0" fontId="0" fillId="0" borderId="1" xfId="0" applyFill="1" applyBorder="1"/>
    <xf numFmtId="0" fontId="0" fillId="0" borderId="3" xfId="0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55.763351273148" createdVersion="7" refreshedVersion="7" minRefreshableVersion="3" recordCount="169" xr:uid="{6225609A-3D2E-48B6-94F6-DF2932245967}">
  <cacheSource type="worksheet">
    <worksheetSource ref="A1:H170" sheet="Customer"/>
  </cacheSource>
  <cacheFields count="10">
    <cacheField name="Date" numFmtId="14">
      <sharedItems containsSemiMixedTypes="0" containsNonDate="0" containsDate="1" containsString="0" minDate="2025-02-19T00:00:00" maxDate="2025-12-02T00:00:00"/>
    </cacheField>
    <cacheField name="Particulars" numFmtId="0">
      <sharedItems/>
    </cacheField>
    <cacheField name="M" numFmtId="14">
      <sharedItems/>
    </cacheField>
    <cacheField name="Credit Amount (USD)" numFmtId="164">
      <sharedItems containsSemiMixedTypes="0" containsString="0" containsNumber="1" minValue="0.97" maxValue="2333.4699999999998"/>
    </cacheField>
    <cacheField name="Vch Type" numFmtId="164">
      <sharedItems/>
    </cacheField>
    <cacheField name="Credit" numFmtId="164">
      <sharedItems containsSemiMixedTypes="0" containsString="0" containsNumber="1" containsInteger="1" minValue="84" maxValue="198877"/>
    </cacheField>
    <cacheField name="TDS" numFmtId="164">
      <sharedItems containsSemiMixedTypes="0" containsString="0" containsNumber="1" containsInteger="1" minValue="2" maxValue="22098"/>
    </cacheField>
    <cacheField name="Months" numFmtId="15">
      <sharedItems containsSemiMixedTypes="0" containsNonDate="0" containsDate="1" containsString="0" minDate="2024-08-01T00:00:00" maxDate="2025-11-02T00:00:00" count="16"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</sharedItems>
      <fieldGroup par="9" base="7">
        <rangePr groupBy="months" startDate="2024-08-01T00:00:00" endDate="2025-11-02T00:00:00"/>
        <groupItems count="14">
          <s v="&lt;01-08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1-2025"/>
        </groupItems>
      </fieldGroup>
    </cacheField>
    <cacheField name="Quarters" numFmtId="0" databaseField="0">
      <fieldGroup base="7">
        <rangePr groupBy="quarters" startDate="2024-08-01T00:00:00" endDate="2025-11-02T00:00:00"/>
        <groupItems count="6">
          <s v="&lt;01-08-2024"/>
          <s v="Qtr1"/>
          <s v="Qtr2"/>
          <s v="Qtr3"/>
          <s v="Qtr4"/>
          <s v="&gt;02-11-2025"/>
        </groupItems>
      </fieldGroup>
    </cacheField>
    <cacheField name="Years" numFmtId="0" databaseField="0">
      <fieldGroup base="7">
        <rangePr groupBy="years" startDate="2024-08-01T00:00:00" endDate="2025-11-02T00:00:00"/>
        <groupItems count="4">
          <s v="&lt;01-08-2024"/>
          <s v="2024"/>
          <s v="2025"/>
          <s v="&gt;02-1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55.772025925929" createdVersion="7" refreshedVersion="7" minRefreshableVersion="3" recordCount="320" xr:uid="{1C00ED6B-DCA5-4939-83A4-A0D9B96CAA07}">
  <cacheSource type="worksheet">
    <worksheetSource ref="A2:J322" sheet="ASCENDUS"/>
  </cacheSource>
  <cacheFields count="12">
    <cacheField name="Document date" numFmtId="14">
      <sharedItems containsSemiMixedTypes="0" containsNonDate="0" containsDate="1" containsString="0" minDate="2025-02-19T00:00:00" maxDate="2026-01-28T00:00:00" count="64">
        <d v="2025-03-20T00:00:00"/>
        <d v="2025-05-20T00:00:00"/>
        <d v="2025-07-24T00:00:00"/>
        <d v="2025-03-21T00:00:00"/>
        <d v="2025-04-03T00:00:00"/>
        <d v="2025-04-15T00:00:00"/>
        <d v="2025-04-16T00:00:00"/>
        <d v="2025-04-22T00:00:00"/>
        <d v="2025-06-04T00:00:00"/>
        <d v="2025-07-04T00:00:00"/>
        <d v="2025-07-18T00:00:00"/>
        <d v="2025-08-04T00:00:00"/>
        <d v="2025-08-08T00:00:00"/>
        <d v="2025-08-20T00:00:00"/>
        <d v="2025-09-04T00:00:00"/>
        <d v="2025-09-18T00:00:00"/>
        <d v="2025-11-20T00:00:00"/>
        <d v="2025-12-08T00:00:00"/>
        <d v="2025-05-16T00:00:00"/>
        <d v="2025-10-28T00:00:00"/>
        <d v="2025-11-03T00:00:00"/>
        <d v="2025-11-05T00:00:00"/>
        <d v="2025-03-19T00:00:00"/>
        <d v="2025-03-17T00:00:00"/>
        <d v="2025-03-06T00:00:00"/>
        <d v="2025-05-22T00:00:00"/>
        <d v="2025-03-14T00:00:00"/>
        <d v="2025-04-04T00:00:00"/>
        <d v="2025-05-14T00:00:00"/>
        <d v="2025-10-05T00:00:00"/>
        <d v="2025-02-20T00:00:00"/>
        <d v="2025-04-21T00:00:00"/>
        <d v="2025-03-03T00:00:00"/>
        <d v="2025-04-24T00:00:00"/>
        <d v="2025-05-10T00:00:00"/>
        <d v="2025-06-19T00:00:00"/>
        <d v="2025-10-06T00:00:00"/>
        <d v="2025-12-05T00:00:00"/>
        <d v="2025-10-18T00:00:00"/>
        <d v="2025-06-10T00:00:00"/>
        <d v="2025-04-23T00:00:00"/>
        <d v="2025-10-20T00:00:00"/>
        <d v="2025-07-25T00:00:00"/>
        <d v="2025-10-07T00:00:00"/>
        <d v="2025-10-17T00:00:00"/>
        <d v="2025-02-28T00:00:00"/>
        <d v="2025-03-13T00:00:00"/>
        <d v="2025-06-02T00:00:00"/>
        <d v="2025-08-01T00:00:00"/>
        <d v="2025-09-17T00:00:00"/>
        <d v="2025-02-19T00:00:00"/>
        <d v="2025-02-25T00:00:00"/>
        <d v="2025-05-28T00:00:00"/>
        <d v="2025-06-07T00:00:00"/>
        <d v="2025-06-13T00:00:00"/>
        <d v="2025-09-06T00:00:00"/>
        <d v="2025-10-21T00:00:00"/>
        <d v="2026-01-02T00:00:00"/>
        <d v="2026-01-05T00:00:00"/>
        <d v="2026-01-06T00:00:00"/>
        <d v="2026-01-12T00:00:00"/>
        <d v="2026-01-13T00:00:00"/>
        <d v="2026-01-23T00:00:00"/>
        <d v="2026-01-27T00:00:00"/>
      </sharedItems>
      <fieldGroup par="11" base="0">
        <rangePr groupBy="months" startDate="2025-02-19T00:00:00" endDate="2026-01-28T00:00:00"/>
        <groupItems count="14">
          <s v="&lt;19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1-2026"/>
        </groupItems>
      </fieldGroup>
    </cacheField>
    <cacheField name="Document Type" numFmtId="0">
      <sharedItems count="2">
        <s v="DR"/>
        <s v="DG"/>
      </sharedItems>
    </cacheField>
    <cacheField name="Document Type description" numFmtId="0">
      <sharedItems/>
    </cacheField>
    <cacheField name="Customer name" numFmtId="0">
      <sharedItems/>
    </cacheField>
    <cacheField name="Service/charge Description" numFmtId="0">
      <sharedItems/>
    </cacheField>
    <cacheField name="Document currency" numFmtId="0">
      <sharedItems/>
    </cacheField>
    <cacheField name="Base amount" numFmtId="4">
      <sharedItems containsSemiMixedTypes="0" containsString="0" containsNumber="1" minValue="-1800" maxValue="2592.75"/>
    </cacheField>
    <cacheField name="Exchange rate" numFmtId="0">
      <sharedItems/>
    </cacheField>
    <cacheField name="Total amount (INR)" numFmtId="4">
      <sharedItems containsSemiMixedTypes="0" containsString="0" containsNumber="1" minValue="-156459.28" maxValue="225366.55"/>
    </cacheField>
    <cacheField name="Amount post TDS" numFmtId="4">
      <sharedItems containsSemiMixedTypes="0" containsString="0" containsNumber="1" minValue="-156459.28" maxValue="225366.55"/>
    </cacheField>
    <cacheField name="Quarters" numFmtId="0" databaseField="0">
      <fieldGroup base="0">
        <rangePr groupBy="quarters" startDate="2025-02-19T00:00:00" endDate="2026-01-28T00:00:00"/>
        <groupItems count="6">
          <s v="&lt;19-02-2025"/>
          <s v="Qtr1"/>
          <s v="Qtr2"/>
          <s v="Qtr3"/>
          <s v="Qtr4"/>
          <s v="&gt;28-01-2026"/>
        </groupItems>
      </fieldGroup>
    </cacheField>
    <cacheField name="Years" numFmtId="0" databaseField="0">
      <fieldGroup base="0">
        <rangePr groupBy="years" startDate="2025-02-19T00:00:00" endDate="2026-01-28T00:00:00"/>
        <groupItems count="4">
          <s v="&lt;19-02-2025"/>
          <s v="2025"/>
          <s v="2026"/>
          <s v="&gt;28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d v="2025-02-19T00:00:00"/>
    <s v="Dr"/>
    <s v="August, 2024"/>
    <n v="1620.01"/>
    <s v="Journal 1"/>
    <n v="140899"/>
    <n v="15655"/>
    <x v="0"/>
  </r>
  <r>
    <d v="2025-02-20T00:00:00"/>
    <s v="Dr"/>
    <s v="September, 2024"/>
    <n v="1620"/>
    <s v="Journal 1"/>
    <n v="140453"/>
    <n v="15606"/>
    <x v="1"/>
  </r>
  <r>
    <d v="2025-02-20T00:00:00"/>
    <s v="Dr"/>
    <s v="October, 2024"/>
    <n v="1620"/>
    <s v="Journal 1"/>
    <n v="140453"/>
    <n v="15606"/>
    <x v="2"/>
  </r>
  <r>
    <d v="2025-02-20T00:00:00"/>
    <s v="Dr"/>
    <s v="November, 2024"/>
    <n v="1620"/>
    <s v="Journal 1"/>
    <n v="140453"/>
    <n v="15606"/>
    <x v="3"/>
  </r>
  <r>
    <d v="2025-03-01T00:00:00"/>
    <s v="Dr"/>
    <s v="December, 2024"/>
    <n v="1620"/>
    <s v="Journal 1"/>
    <n v="140453"/>
    <n v="15606"/>
    <x v="4"/>
  </r>
  <r>
    <d v="2025-03-01T00:00:00"/>
    <s v="Dr"/>
    <s v="January, 2025"/>
    <n v="1620"/>
    <s v="Journal 1"/>
    <n v="140453"/>
    <n v="15606"/>
    <x v="5"/>
  </r>
  <r>
    <d v="2025-03-01T00:00:00"/>
    <s v="Dr"/>
    <s v="February, 2025"/>
    <n v="1620"/>
    <s v="Journal 1"/>
    <n v="140453"/>
    <n v="15606"/>
    <x v="6"/>
  </r>
  <r>
    <d v="2025-03-01T00:00:00"/>
    <s v="Dr"/>
    <s v="August, 2024"/>
    <n v="418.5"/>
    <s v="Journal 1"/>
    <n v="36410"/>
    <n v="4046"/>
    <x v="0"/>
  </r>
  <r>
    <d v="2025-03-01T00:00:00"/>
    <s v="Dr"/>
    <s v="September, 2024"/>
    <n v="405"/>
    <s v="Journal 1"/>
    <n v="35397"/>
    <n v="3933"/>
    <x v="1"/>
  </r>
  <r>
    <d v="2025-03-01T00:00:00"/>
    <s v="Dr"/>
    <s v="October, 2024"/>
    <n v="418.5"/>
    <s v="Journal 1"/>
    <n v="36577"/>
    <n v="4064"/>
    <x v="2"/>
  </r>
  <r>
    <d v="2025-03-01T00:00:00"/>
    <s v="Dr"/>
    <s v="November, 2024"/>
    <n v="405"/>
    <s v="Journal 1"/>
    <n v="35397"/>
    <n v="3933"/>
    <x v="3"/>
  </r>
  <r>
    <d v="2025-03-01T00:00:00"/>
    <s v="Dr"/>
    <s v="December, 2024"/>
    <n v="418.5"/>
    <s v="Journal 1"/>
    <n v="36577"/>
    <n v="4064"/>
    <x v="4"/>
  </r>
  <r>
    <d v="2025-03-03T00:00:00"/>
    <s v="Dr"/>
    <s v="August, 2024"/>
    <n v="916.54"/>
    <s v="Journal 1"/>
    <n v="80043"/>
    <n v="8894"/>
    <x v="0"/>
  </r>
  <r>
    <d v="2025-03-03T00:00:00"/>
    <s v="Dr"/>
    <s v="September, 2024"/>
    <n v="1704.9"/>
    <s v="Journal 1"/>
    <n v="148891"/>
    <n v="16543"/>
    <x v="1"/>
  </r>
  <r>
    <d v="2025-03-03T00:00:00"/>
    <s v="Dr"/>
    <s v="October, 2024"/>
    <n v="1737.83"/>
    <s v="Journal 1"/>
    <n v="151767"/>
    <n v="16863"/>
    <x v="2"/>
  </r>
  <r>
    <d v="2025-03-06T00:00:00"/>
    <s v="Dr"/>
    <s v="November, 2024"/>
    <n v="2075.86"/>
    <s v="Journal 1"/>
    <n v="180778"/>
    <n v="20087"/>
    <x v="3"/>
  </r>
  <r>
    <d v="2025-03-06T00:00:00"/>
    <s v="Dr"/>
    <s v="December, 2024"/>
    <n v="2151.52"/>
    <s v="Journal 1"/>
    <n v="187367"/>
    <n v="20819"/>
    <x v="4"/>
  </r>
  <r>
    <d v="2025-03-19T00:00:00"/>
    <s v="Dr"/>
    <s v="March, 2025"/>
    <n v="167.47"/>
    <s v="Journal 1"/>
    <n v="14486"/>
    <n v="1610"/>
    <x v="7"/>
  </r>
  <r>
    <d v="2025-03-20T00:00:00"/>
    <s v="Dr"/>
    <s v="January, 2025"/>
    <n v="418.5"/>
    <s v="Journal 1"/>
    <n v="36118"/>
    <n v="4013"/>
    <x v="5"/>
  </r>
  <r>
    <d v="2025-03-20T00:00:00"/>
    <s v="Dr"/>
    <s v="February, 2025"/>
    <n v="378"/>
    <s v="Journal 1"/>
    <n v="32623"/>
    <n v="3625"/>
    <x v="6"/>
  </r>
  <r>
    <d v="2025-06-01T00:00:00"/>
    <s v="Dr"/>
    <s v="March, 2025"/>
    <n v="75.66"/>
    <s v="Journal 1"/>
    <n v="6589"/>
    <n v="134"/>
    <x v="7"/>
  </r>
  <r>
    <d v="2025-06-01T00:00:00"/>
    <s v="Dr"/>
    <s v="March, 2025"/>
    <n v="240.78"/>
    <s v="Journal 1"/>
    <n v="20898"/>
    <n v="426"/>
    <x v="7"/>
  </r>
  <r>
    <d v="2025-06-01T00:00:00"/>
    <s v="Dr"/>
    <s v="March, 2025"/>
    <n v="68.430000000000007"/>
    <s v="Journal 1"/>
    <n v="5939"/>
    <n v="121"/>
    <x v="7"/>
  </r>
  <r>
    <d v="2025-06-01T00:00:00"/>
    <s v="Dr"/>
    <s v="March, 2025"/>
    <n v="70.180000000000007"/>
    <s v="Journal 1"/>
    <n v="6091"/>
    <n v="124"/>
    <x v="7"/>
  </r>
  <r>
    <d v="2025-06-01T00:00:00"/>
    <s v="Dr"/>
    <s v="March, 2025"/>
    <n v="60.58"/>
    <s v="Journal 1"/>
    <n v="5258"/>
    <n v="107"/>
    <x v="7"/>
  </r>
  <r>
    <d v="2025-06-01T00:00:00"/>
    <s v="Dr"/>
    <s v="March, 2025"/>
    <n v="119.73"/>
    <s v="Journal 1"/>
    <n v="10392"/>
    <n v="212"/>
    <x v="7"/>
  </r>
  <r>
    <d v="2025-06-01T00:00:00"/>
    <s v="Dr"/>
    <s v="March, 2025"/>
    <n v="75.66"/>
    <s v="Journal 1"/>
    <n v="6589"/>
    <n v="134"/>
    <x v="7"/>
  </r>
  <r>
    <d v="2025-06-01T00:00:00"/>
    <s v="Dr"/>
    <s v="March, 2025"/>
    <n v="267.54000000000002"/>
    <s v="Journal 1"/>
    <n v="23090"/>
    <n v="471"/>
    <x v="7"/>
  </r>
  <r>
    <d v="2025-06-01T00:00:00"/>
    <s v="Dr"/>
    <s v="March, 2025"/>
    <n v="271.75"/>
    <s v="Journal 1"/>
    <n v="23453"/>
    <n v="479"/>
    <x v="7"/>
  </r>
  <r>
    <d v="2025-06-01T00:00:00"/>
    <s v="Dr"/>
    <s v="March, 2025"/>
    <n v="246.47"/>
    <s v="Journal 1"/>
    <n v="21271"/>
    <n v="434"/>
    <x v="7"/>
  </r>
  <r>
    <d v="2025-06-01T00:00:00"/>
    <s v="Dr"/>
    <s v="March, 2025"/>
    <n v="543.51"/>
    <s v="Journal 1"/>
    <n v="46907"/>
    <n v="957"/>
    <x v="7"/>
  </r>
  <r>
    <d v="2025-06-01T00:00:00"/>
    <s v="Dr"/>
    <s v="March, 2025"/>
    <n v="346.14"/>
    <s v="Journal 1"/>
    <n v="29873"/>
    <n v="610"/>
    <x v="7"/>
  </r>
  <r>
    <d v="2025-06-01T00:00:00"/>
    <s v="Dr"/>
    <s v="March, 2025"/>
    <n v="271.75"/>
    <s v="Journal 1"/>
    <n v="23453"/>
    <n v="479"/>
    <x v="7"/>
  </r>
  <r>
    <d v="2025-06-01T00:00:00"/>
    <s v="Dr"/>
    <s v="March, 2025"/>
    <n v="20.72"/>
    <s v="Journal 1"/>
    <n v="1788"/>
    <n v="36"/>
    <x v="7"/>
  </r>
  <r>
    <d v="2025-06-01T00:00:00"/>
    <s v="Dr"/>
    <s v="March, 2025"/>
    <n v="34.299999999999997"/>
    <s v="Journal 1"/>
    <n v="2987"/>
    <n v="61"/>
    <x v="7"/>
  </r>
  <r>
    <d v="2025-06-01T00:00:00"/>
    <s v="Dr"/>
    <s v="March, 2025"/>
    <n v="25.51"/>
    <s v="Journal 1"/>
    <n v="2207"/>
    <n v="45"/>
    <x v="7"/>
  </r>
  <r>
    <d v="2025-06-01T00:00:00"/>
    <s v="Dr"/>
    <s v="March, 2025"/>
    <n v="125.95"/>
    <s v="Journal 1"/>
    <n v="10870"/>
    <n v="222"/>
    <x v="7"/>
  </r>
  <r>
    <d v="2025-06-01T00:00:00"/>
    <s v="Dr"/>
    <s v="March, 2025"/>
    <n v="1.71"/>
    <s v="Journal 1"/>
    <n v="148"/>
    <n v="3"/>
    <x v="7"/>
  </r>
  <r>
    <d v="2025-06-01T00:00:00"/>
    <s v="Dr"/>
    <s v="March, 2025"/>
    <n v="1.97"/>
    <s v="Journal 1"/>
    <n v="170"/>
    <n v="3"/>
    <x v="7"/>
  </r>
  <r>
    <d v="2025-06-01T00:00:00"/>
    <s v="Dr"/>
    <s v="March, 2025"/>
    <n v="1.71"/>
    <s v="Journal 1"/>
    <n v="148"/>
    <n v="3"/>
    <x v="7"/>
  </r>
  <r>
    <d v="2025-06-02T00:00:00"/>
    <s v="Dr"/>
    <s v="April, 2025"/>
    <n v="405.01"/>
    <s v="Journal 1"/>
    <n v="34824"/>
    <n v="3869"/>
    <x v="8"/>
  </r>
  <r>
    <d v="2025-06-13T00:00:00"/>
    <s v="Dr"/>
    <s v="March, 2025"/>
    <n v="417.76"/>
    <s v="Journal 1"/>
    <n v="35715"/>
    <n v="3968"/>
    <x v="7"/>
  </r>
  <r>
    <d v="2025-07-01T00:00:00"/>
    <s v="Dr"/>
    <s v="March, 2025"/>
    <n v="1.96"/>
    <s v="Journal 1"/>
    <n v="169"/>
    <n v="3"/>
    <x v="7"/>
  </r>
  <r>
    <d v="2025-07-01T00:00:00"/>
    <s v="Dr"/>
    <s v="March, 2025"/>
    <n v="14.5"/>
    <s v="Journal 1"/>
    <n v="1251"/>
    <n v="26"/>
    <x v="7"/>
  </r>
  <r>
    <d v="2025-07-01T00:00:00"/>
    <s v="Dr"/>
    <s v="March, 2025"/>
    <n v="12"/>
    <s v="Journal 1"/>
    <n v="1036"/>
    <n v="21"/>
    <x v="7"/>
  </r>
  <r>
    <d v="2025-07-01T00:00:00"/>
    <s v="Dr"/>
    <s v="March, 2025"/>
    <n v="14.7"/>
    <s v="Journal 1"/>
    <n v="1269"/>
    <n v="26"/>
    <x v="7"/>
  </r>
  <r>
    <d v="2025-07-01T00:00:00"/>
    <s v="Dr"/>
    <s v="March, 2025"/>
    <n v="8.91"/>
    <s v="Journal 1"/>
    <n v="769"/>
    <n v="16"/>
    <x v="7"/>
  </r>
  <r>
    <d v="2025-07-01T00:00:00"/>
    <s v="Dr"/>
    <s v="March, 2025"/>
    <n v="0.97"/>
    <s v="Journal 1"/>
    <n v="84"/>
    <n v="2"/>
    <x v="7"/>
  </r>
  <r>
    <d v="2025-07-01T00:00:00"/>
    <s v="Dr"/>
    <s v="March, 2025"/>
    <n v="12.98"/>
    <s v="Journal 1"/>
    <n v="1119"/>
    <n v="23"/>
    <x v="7"/>
  </r>
  <r>
    <d v="2025-07-01T00:00:00"/>
    <s v="Dr"/>
    <s v="March, 2025"/>
    <n v="37.729999999999997"/>
    <s v="Journal 1"/>
    <n v="3253"/>
    <n v="66"/>
    <x v="7"/>
  </r>
  <r>
    <d v="2025-07-01T00:00:00"/>
    <s v="Dr"/>
    <s v="March, 2025"/>
    <n v="29.4"/>
    <s v="Journal 1"/>
    <n v="2535"/>
    <n v="52"/>
    <x v="7"/>
  </r>
  <r>
    <d v="2025-07-01T00:00:00"/>
    <s v="Dr"/>
    <s v="March, 2025"/>
    <n v="10.29"/>
    <s v="Journal 1"/>
    <n v="888"/>
    <n v="18"/>
    <x v="7"/>
  </r>
  <r>
    <d v="2025-07-01T00:00:00"/>
    <s v="Dr"/>
    <s v="March, 2025"/>
    <n v="14.7"/>
    <s v="Journal 1"/>
    <n v="1269"/>
    <n v="26"/>
    <x v="7"/>
  </r>
  <r>
    <d v="2025-07-01T00:00:00"/>
    <s v="Dr"/>
    <s v="March, 2025"/>
    <n v="17.809999999999999"/>
    <s v="Journal 1"/>
    <n v="1537"/>
    <n v="31"/>
    <x v="7"/>
  </r>
  <r>
    <d v="2025-07-01T00:00:00"/>
    <s v="Dr"/>
    <s v="March, 2025"/>
    <n v="6.26"/>
    <s v="Journal 1"/>
    <n v="540"/>
    <n v="11"/>
    <x v="7"/>
  </r>
  <r>
    <d v="2025-07-01T00:00:00"/>
    <s v="Dr"/>
    <s v="March, 2025"/>
    <n v="58.79"/>
    <s v="Journal 1"/>
    <n v="5074"/>
    <n v="104"/>
    <x v="7"/>
  </r>
  <r>
    <d v="2025-07-01T00:00:00"/>
    <s v="Dr"/>
    <s v="March, 2025"/>
    <n v="6.86"/>
    <s v="Journal 1"/>
    <n v="592"/>
    <n v="12"/>
    <x v="7"/>
  </r>
  <r>
    <d v="2025-07-01T00:00:00"/>
    <s v="Dr"/>
    <s v="March, 2025"/>
    <n v="9.6999999999999993"/>
    <s v="Journal 1"/>
    <n v="837"/>
    <n v="17"/>
    <x v="7"/>
  </r>
  <r>
    <d v="2025-07-01T00:00:00"/>
    <s v="Dr"/>
    <s v="March, 2025"/>
    <n v="49.73"/>
    <s v="Journal 1"/>
    <n v="4292"/>
    <n v="88"/>
    <x v="7"/>
  </r>
  <r>
    <d v="2025-07-01T00:00:00"/>
    <s v="Dr"/>
    <s v="March, 2025"/>
    <n v="58.79"/>
    <s v="Journal 1"/>
    <n v="5074"/>
    <n v="104"/>
    <x v="7"/>
  </r>
  <r>
    <d v="2025-07-01T00:00:00"/>
    <s v="Dr"/>
    <s v="March, 2025"/>
    <n v="108.95"/>
    <s v="Journal 1"/>
    <n v="9403"/>
    <n v="192"/>
    <x v="7"/>
  </r>
  <r>
    <d v="2025-07-01T00:00:00"/>
    <s v="Dr"/>
    <s v="March, 2025"/>
    <n v="1.94"/>
    <s v="Journal 1"/>
    <n v="167"/>
    <n v="3"/>
    <x v="7"/>
  </r>
  <r>
    <d v="2025-07-01T00:00:00"/>
    <s v="Dr"/>
    <s v="March, 2025"/>
    <n v="58.79"/>
    <s v="Journal 1"/>
    <n v="5074"/>
    <n v="104"/>
    <x v="7"/>
  </r>
  <r>
    <d v="2025-07-01T00:00:00"/>
    <s v="Dr"/>
    <s v="March, 2025"/>
    <n v="42.14"/>
    <s v="Journal 1"/>
    <n v="3637"/>
    <n v="74"/>
    <x v="7"/>
  </r>
  <r>
    <d v="2025-07-01T00:00:00"/>
    <s v="Dr"/>
    <s v="March, 2025"/>
    <n v="46.35"/>
    <s v="Journal 1"/>
    <n v="4000"/>
    <n v="82"/>
    <x v="7"/>
  </r>
  <r>
    <d v="2025-07-01T00:00:00"/>
    <s v="Dr"/>
    <s v="March, 2025"/>
    <n v="92.71"/>
    <s v="Journal 1"/>
    <n v="8001"/>
    <n v="163"/>
    <x v="7"/>
  </r>
  <r>
    <d v="2025-07-01T00:00:00"/>
    <s v="Dr"/>
    <s v="March, 2025"/>
    <n v="50.57"/>
    <s v="Journal 1"/>
    <n v="4384"/>
    <n v="89"/>
    <x v="7"/>
  </r>
  <r>
    <d v="2025-07-01T00:00:00"/>
    <s v="Dr"/>
    <s v="March, 2025"/>
    <n v="50.57"/>
    <s v="Journal 1"/>
    <n v="4364"/>
    <n v="89"/>
    <x v="7"/>
  </r>
  <r>
    <d v="2025-07-01T00:00:00"/>
    <s v="Dr"/>
    <s v="March, 2025"/>
    <n v="6"/>
    <s v="Journal 1"/>
    <n v="518"/>
    <n v="11"/>
    <x v="7"/>
  </r>
  <r>
    <d v="2025-07-01T00:00:00"/>
    <s v="Dr"/>
    <s v="March, 2025"/>
    <n v="3.45"/>
    <s v="Journal 1"/>
    <n v="298"/>
    <n v="6"/>
    <x v="7"/>
  </r>
  <r>
    <d v="2025-07-02T00:00:00"/>
    <s v="Dr"/>
    <s v="February, 2025"/>
    <n v="1255.18"/>
    <s v="Journal 1"/>
    <n v="106977"/>
    <n v="11886"/>
    <x v="6"/>
  </r>
  <r>
    <d v="2025-07-02T00:00:00"/>
    <s v="Dr"/>
    <s v="January, 2025"/>
    <n v="2333.4699999999998"/>
    <s v="Journal 1"/>
    <n v="198877"/>
    <n v="22098"/>
    <x v="5"/>
  </r>
  <r>
    <d v="2025-07-02T00:00:00"/>
    <s v="Dr"/>
    <s v="March, 2025"/>
    <n v="974.38"/>
    <s v="Journal 1"/>
    <n v="83452"/>
    <n v="9272"/>
    <x v="7"/>
  </r>
  <r>
    <d v="2025-07-02T00:00:00"/>
    <s v="Dr"/>
    <s v="April, 2025"/>
    <n v="169.91"/>
    <s v="Journal 1"/>
    <n v="14552"/>
    <n v="1617"/>
    <x v="8"/>
  </r>
  <r>
    <d v="2025-07-02T00:00:00"/>
    <s v="Dr"/>
    <s v="April, 2025"/>
    <n v="1638.13"/>
    <s v="Journal 1"/>
    <n v="140371"/>
    <n v="15597"/>
    <x v="8"/>
  </r>
  <r>
    <d v="2025-08-01T00:00:00"/>
    <s v="Dr"/>
    <s v="April, 2025"/>
    <n v="5.15"/>
    <s v="Journal 1"/>
    <n v="441"/>
    <n v="9"/>
    <x v="8"/>
  </r>
  <r>
    <d v="2025-08-01T00:00:00"/>
    <s v="Dr"/>
    <s v="April, 2025"/>
    <n v="29.4"/>
    <s v="Journal 1"/>
    <n v="2518"/>
    <n v="51"/>
    <x v="8"/>
  </r>
  <r>
    <d v="2025-08-01T00:00:00"/>
    <s v="Dr"/>
    <s v="April, 2025"/>
    <n v="3.43"/>
    <s v="Journal 1"/>
    <n v="294"/>
    <n v="6"/>
    <x v="8"/>
  </r>
  <r>
    <d v="2025-08-01T00:00:00"/>
    <s v="Dr"/>
    <s v="April, 2025"/>
    <n v="0.98"/>
    <s v="Journal 1"/>
    <n v="84"/>
    <n v="2"/>
    <x v="8"/>
  </r>
  <r>
    <d v="2025-08-01T00:00:00"/>
    <s v="Dr"/>
    <s v="April, 2025"/>
    <n v="67.44"/>
    <s v="Journal 1"/>
    <n v="5779"/>
    <n v="118"/>
    <x v="8"/>
  </r>
  <r>
    <d v="2025-08-01T00:00:00"/>
    <s v="Dr"/>
    <s v="April, 2025"/>
    <n v="59.29"/>
    <s v="Journal 1"/>
    <n v="5081"/>
    <n v="104"/>
    <x v="8"/>
  </r>
  <r>
    <d v="2025-08-01T00:00:00"/>
    <s v="Dr"/>
    <s v="April, 2025"/>
    <n v="49"/>
    <s v="Journal 1"/>
    <n v="4199"/>
    <n v="86"/>
    <x v="8"/>
  </r>
  <r>
    <d v="2025-08-01T00:00:00"/>
    <s v="Dr"/>
    <s v="April, 2025"/>
    <n v="117.6"/>
    <s v="Journal 1"/>
    <n v="10077"/>
    <n v="206"/>
    <x v="8"/>
  </r>
  <r>
    <d v="2025-08-01T00:00:00"/>
    <s v="Dr"/>
    <s v="April, 2025"/>
    <n v="607.6"/>
    <s v="Journal 1"/>
    <n v="52814"/>
    <n v="1078"/>
    <x v="8"/>
  </r>
  <r>
    <d v="2025-08-01T00:00:00"/>
    <s v="Dr"/>
    <s v="April, 2025"/>
    <n v="1.72"/>
    <s v="Journal 1"/>
    <n v="147"/>
    <n v="3"/>
    <x v="8"/>
  </r>
  <r>
    <d v="2025-08-01T00:00:00"/>
    <s v="Dr"/>
    <s v="April, 2025"/>
    <n v="0.98"/>
    <s v="Journal 1"/>
    <n v="84"/>
    <n v="2"/>
    <x v="8"/>
  </r>
  <r>
    <d v="2025-08-01T00:00:00"/>
    <s v="Dr"/>
    <s v="April, 2025"/>
    <n v="14.7"/>
    <s v="Journal 1"/>
    <n v="1259"/>
    <n v="26"/>
    <x v="8"/>
  </r>
  <r>
    <d v="2025-08-01T00:00:00"/>
    <s v="Dr"/>
    <s v="April, 2025"/>
    <n v="6.94"/>
    <s v="Journal 1"/>
    <n v="594"/>
    <n v="12"/>
    <x v="8"/>
  </r>
  <r>
    <d v="2025-08-01T00:00:00"/>
    <s v="Dr"/>
    <s v="April, 2025"/>
    <n v="0.98"/>
    <s v="Journal 1"/>
    <n v="84"/>
    <n v="2"/>
    <x v="8"/>
  </r>
  <r>
    <d v="2025-08-01T00:00:00"/>
    <s v="Dr"/>
    <s v="April, 2025"/>
    <n v="479.77"/>
    <s v="Journal 1"/>
    <n v="41567"/>
    <n v="848"/>
    <x v="8"/>
  </r>
  <r>
    <d v="2025-08-01T00:00:00"/>
    <s v="Dr"/>
    <s v="April, 2025"/>
    <n v="12.6"/>
    <s v="Journal 1"/>
    <n v="1078"/>
    <n v="22"/>
    <x v="8"/>
  </r>
  <r>
    <d v="2025-08-01T00:00:00"/>
    <s v="Dr"/>
    <s v="April, 2025"/>
    <n v="17.39"/>
    <s v="Journal 1"/>
    <n v="1512"/>
    <n v="31"/>
    <x v="8"/>
  </r>
  <r>
    <d v="2025-08-01T00:00:00"/>
    <s v="Dr"/>
    <s v="April, 2025"/>
    <n v="42.15"/>
    <s v="Journal 1"/>
    <n v="3664"/>
    <n v="75"/>
    <x v="8"/>
  </r>
  <r>
    <d v="2025-08-01T00:00:00"/>
    <s v="Dr"/>
    <s v="April, 2025"/>
    <n v="5.92"/>
    <s v="Journal 1"/>
    <n v="515"/>
    <n v="11"/>
    <x v="8"/>
  </r>
  <r>
    <d v="2025-08-01T00:00:00"/>
    <s v="Dr"/>
    <s v="April, 2025"/>
    <n v="185.42"/>
    <s v="Journal 1"/>
    <n v="16117"/>
    <n v="329"/>
    <x v="8"/>
  </r>
  <r>
    <d v="2025-08-01T00:00:00"/>
    <s v="Dr"/>
    <s v="May, 2025"/>
    <n v="388.85"/>
    <s v="Journal 1"/>
    <n v="33169"/>
    <n v="677"/>
    <x v="9"/>
  </r>
  <r>
    <d v="2025-08-01T00:00:00"/>
    <s v="Dr"/>
    <s v="May, 2025"/>
    <n v="535.08000000000004"/>
    <s v="Journal 1"/>
    <n v="46008"/>
    <n v="939"/>
    <x v="9"/>
  </r>
  <r>
    <d v="2025-08-01T00:00:00"/>
    <s v="Dr"/>
    <s v="May, 2025"/>
    <n v="86.97"/>
    <s v="Journal 1"/>
    <n v="7478"/>
    <n v="153"/>
    <x v="9"/>
  </r>
  <r>
    <d v="2025-08-01T00:00:00"/>
    <s v="Dr"/>
    <s v="June, 2025"/>
    <n v="361.5"/>
    <s v="Journal 1"/>
    <n v="30905"/>
    <n v="631"/>
    <x v="10"/>
  </r>
  <r>
    <d v="2025-08-01T00:00:00"/>
    <s v="Dr"/>
    <s v="June, 2025"/>
    <n v="186.41"/>
    <s v="Journal 1"/>
    <n v="15936"/>
    <n v="325"/>
    <x v="10"/>
  </r>
  <r>
    <d v="2025-08-01T00:00:00"/>
    <s v="Dr"/>
    <s v="June, 2025"/>
    <n v="126.73"/>
    <s v="Journal 1"/>
    <n v="10834"/>
    <n v="221"/>
    <x v="10"/>
  </r>
  <r>
    <d v="2025-08-01T00:00:00"/>
    <s v="Dr"/>
    <s v="June, 2025"/>
    <n v="45.29"/>
    <s v="Journal 1"/>
    <n v="3872"/>
    <n v="79"/>
    <x v="10"/>
  </r>
  <r>
    <d v="2025-08-01T00:00:00"/>
    <s v="Dr"/>
    <s v="June, 2025"/>
    <n v="6.88"/>
    <s v="Journal 1"/>
    <n v="588"/>
    <n v="12"/>
    <x v="10"/>
  </r>
  <r>
    <d v="2025-08-01T00:00:00"/>
    <s v="Dr"/>
    <s v="June, 2025"/>
    <n v="599.14"/>
    <s v="Journal 1"/>
    <n v="51221"/>
    <n v="1045"/>
    <x v="10"/>
  </r>
  <r>
    <d v="2025-08-01T00:00:00"/>
    <s v="Dr"/>
    <s v="June, 2025"/>
    <n v="107.8"/>
    <s v="Journal 1"/>
    <n v="9282"/>
    <n v="189"/>
    <x v="10"/>
  </r>
  <r>
    <d v="2025-08-01T00:00:00"/>
    <s v="Dr"/>
    <s v="June, 2025"/>
    <n v="282.04000000000002"/>
    <s v="Journal 1"/>
    <n v="24284"/>
    <n v="496"/>
    <x v="10"/>
  </r>
  <r>
    <d v="2025-08-02T00:00:00"/>
    <s v="Dr"/>
    <s v="May, 2025"/>
    <n v="1620"/>
    <s v="Journal 1"/>
    <n v="139294"/>
    <n v="15477"/>
    <x v="9"/>
  </r>
  <r>
    <d v="2025-08-02T00:00:00"/>
    <s v="Dr"/>
    <s v="June, 2025"/>
    <n v="1116.3699999999999"/>
    <s v="Journal 1"/>
    <n v="95439"/>
    <n v="10604"/>
    <x v="10"/>
  </r>
  <r>
    <d v="2025-08-02T00:00:00"/>
    <s v="Dr"/>
    <s v="June, 2025"/>
    <n v="1620"/>
    <s v="Journal 1"/>
    <n v="138495"/>
    <n v="15388"/>
    <x v="10"/>
  </r>
  <r>
    <d v="2025-10-01T00:00:00"/>
    <s v="Dr"/>
    <s v="April, 2025"/>
    <n v="1351.62"/>
    <s v="Journal 1"/>
    <n v="116217"/>
    <n v="12913"/>
    <x v="8"/>
  </r>
  <r>
    <d v="2025-10-01T00:00:00"/>
    <s v="Dr"/>
    <s v="June, 2025"/>
    <n v="1369.06"/>
    <s v="Journal 1"/>
    <n v="117740"/>
    <n v="13082"/>
    <x v="10"/>
  </r>
  <r>
    <d v="2025-10-01T00:00:00"/>
    <s v="Dr"/>
    <s v="July, 2025"/>
    <n v="1140.75"/>
    <s v="Journal 1"/>
    <n v="98139"/>
    <n v="10904"/>
    <x v="11"/>
  </r>
  <r>
    <d v="2025-10-01T00:00:00"/>
    <s v="Dr"/>
    <s v="July, 2025"/>
    <n v="1620"/>
    <s v="Journal 1"/>
    <n v="139321"/>
    <n v="15480"/>
    <x v="11"/>
  </r>
  <r>
    <d v="2025-10-01T00:00:00"/>
    <s v="Dr"/>
    <s v="August, 2025"/>
    <n v="1620"/>
    <s v="Journal 1"/>
    <n v="139369"/>
    <n v="15485"/>
    <x v="12"/>
  </r>
  <r>
    <d v="2025-10-01T00:00:00"/>
    <s v="Dr"/>
    <s v="May, 2025"/>
    <n v="418.5"/>
    <s v="Journal 1"/>
    <n v="35991"/>
    <n v="3999"/>
    <x v="9"/>
  </r>
  <r>
    <d v="2025-10-02T00:00:00"/>
    <s v="Dr"/>
    <s v="June, 2025"/>
    <n v="14.98"/>
    <s v="Journal 1"/>
    <n v="1288"/>
    <n v="26"/>
    <x v="10"/>
  </r>
  <r>
    <d v="2025-10-02T00:00:00"/>
    <s v="Dr"/>
    <s v="June, 2025"/>
    <n v="65.45"/>
    <s v="Journal 1"/>
    <n v="5629"/>
    <n v="115"/>
    <x v="10"/>
  </r>
  <r>
    <d v="2025-10-02T00:00:00"/>
    <s v="Dr"/>
    <s v="June, 2025"/>
    <n v="312.25"/>
    <s v="Journal 1"/>
    <n v="26854"/>
    <n v="548"/>
    <x v="10"/>
  </r>
  <r>
    <d v="2025-10-02T00:00:00"/>
    <s v="Dr"/>
    <s v="June, 2025"/>
    <n v="51.17"/>
    <s v="Journal 1"/>
    <n v="4401"/>
    <n v="90"/>
    <x v="10"/>
  </r>
  <r>
    <d v="2025-10-02T00:00:00"/>
    <s v="Dr"/>
    <s v="June, 2025"/>
    <n v="161.44"/>
    <s v="Journal 1"/>
    <n v="13884"/>
    <n v="283"/>
    <x v="10"/>
  </r>
  <r>
    <d v="2025-10-02T00:00:00"/>
    <s v="Dr"/>
    <s v="June, 2025"/>
    <n v="171.88"/>
    <s v="Journal 1"/>
    <n v="14782"/>
    <n v="302"/>
    <x v="10"/>
  </r>
  <r>
    <d v="2025-10-02T00:00:00"/>
    <s v="Dr"/>
    <s v="June, 2025"/>
    <n v="108.73"/>
    <s v="Journal 1"/>
    <n v="9351"/>
    <n v="191"/>
    <x v="10"/>
  </r>
  <r>
    <d v="2025-10-02T00:00:00"/>
    <s v="Dr"/>
    <s v="July, 2025"/>
    <n v="196"/>
    <s v="Journal 1"/>
    <n v="16856"/>
    <n v="344"/>
    <x v="11"/>
  </r>
  <r>
    <d v="2025-10-02T00:00:00"/>
    <s v="Dr"/>
    <s v="July, 2025"/>
    <n v="25.57"/>
    <s v="Journal 1"/>
    <n v="2199"/>
    <n v="45"/>
    <x v="11"/>
  </r>
  <r>
    <d v="2025-10-02T00:00:00"/>
    <s v="Dr"/>
    <s v="July, 2025"/>
    <n v="72.27"/>
    <s v="Journal 1"/>
    <n v="6215"/>
    <n v="127"/>
    <x v="11"/>
  </r>
  <r>
    <d v="2025-10-02T00:00:00"/>
    <s v="Dr"/>
    <s v="July, 2025"/>
    <n v="234.41"/>
    <s v="Journal 1"/>
    <n v="20159"/>
    <n v="411"/>
    <x v="11"/>
  </r>
  <r>
    <d v="2025-10-02T00:00:00"/>
    <s v="Dr"/>
    <s v="July, 2025"/>
    <n v="2.7"/>
    <s v="Journal 1"/>
    <n v="232"/>
    <n v="5"/>
    <x v="11"/>
  </r>
  <r>
    <d v="2025-10-02T00:00:00"/>
    <s v="Dr"/>
    <s v="May, 2025"/>
    <n v="28.67"/>
    <s v="Journal 1"/>
    <n v="2466"/>
    <n v="50"/>
    <x v="9"/>
  </r>
  <r>
    <d v="2025-10-02T00:00:00"/>
    <s v="Dr"/>
    <s v="May, 2025"/>
    <n v="148.55000000000001"/>
    <s v="Journal 1"/>
    <n v="12698"/>
    <n v="259"/>
    <x v="9"/>
  </r>
  <r>
    <d v="2025-10-02T00:00:00"/>
    <s v="Dr"/>
    <s v="July, 2025"/>
    <n v="25.75"/>
    <s v="Journal 1"/>
    <n v="2215"/>
    <n v="45"/>
    <x v="11"/>
  </r>
  <r>
    <d v="2025-10-02T00:00:00"/>
    <s v="Dr"/>
    <s v="July, 2025"/>
    <n v="100.28"/>
    <s v="Journal 1"/>
    <n v="8627"/>
    <n v="176"/>
    <x v="11"/>
  </r>
  <r>
    <d v="2025-10-02T00:00:00"/>
    <s v="Dr"/>
    <s v="July, 2025"/>
    <n v="22.25"/>
    <s v="Journal 1"/>
    <n v="1914"/>
    <n v="39"/>
    <x v="11"/>
  </r>
  <r>
    <d v="2025-10-02T00:00:00"/>
    <s v="Dr"/>
    <s v="July, 2025"/>
    <n v="351.14"/>
    <s v="Journal 1"/>
    <n v="30209"/>
    <n v="617"/>
    <x v="11"/>
  </r>
  <r>
    <d v="2025-10-02T00:00:00"/>
    <s v="Dr"/>
    <s v="July, 2025"/>
    <n v="13.43"/>
    <s v="Journal 1"/>
    <n v="1155"/>
    <n v="24"/>
    <x v="11"/>
  </r>
  <r>
    <d v="2025-10-02T00:00:00"/>
    <s v="Dr"/>
    <s v="July, 2025"/>
    <n v="55.2"/>
    <s v="Journal 1"/>
    <n v="4749"/>
    <n v="97"/>
    <x v="11"/>
  </r>
  <r>
    <d v="2025-10-02T00:00:00"/>
    <s v="Dr"/>
    <s v="August, 2025"/>
    <n v="17.39"/>
    <s v="Journal 1"/>
    <n v="1496"/>
    <n v="31"/>
    <x v="12"/>
  </r>
  <r>
    <d v="2025-10-02T00:00:00"/>
    <s v="Dr"/>
    <s v="August, 2025"/>
    <n v="49.05"/>
    <s v="Journal 1"/>
    <n v="4220"/>
    <n v="86"/>
    <x v="12"/>
  </r>
  <r>
    <d v="2025-11-01T00:00:00"/>
    <s v="Dr"/>
    <s v="August, 2025"/>
    <n v="73.63"/>
    <s v="Journal 1"/>
    <n v="6444"/>
    <n v="131"/>
    <x v="12"/>
  </r>
  <r>
    <d v="2025-11-01T00:00:00"/>
    <s v="Dr"/>
    <s v="August, 2025"/>
    <n v="137.19999999999999"/>
    <s v="Journal 1"/>
    <n v="12007"/>
    <n v="245"/>
    <x v="12"/>
  </r>
  <r>
    <d v="2025-11-01T00:00:00"/>
    <s v="Dr"/>
    <s v="August, 2025"/>
    <n v="105.96"/>
    <s v="Journal 1"/>
    <n v="9273"/>
    <n v="189"/>
    <x v="12"/>
  </r>
  <r>
    <d v="2025-11-01T00:00:00"/>
    <s v="Dr"/>
    <s v="August, 2025"/>
    <n v="566.83000000000004"/>
    <s v="Journal 1"/>
    <n v="49606"/>
    <n v="1012"/>
    <x v="12"/>
  </r>
  <r>
    <d v="2025-11-01T00:00:00"/>
    <s v="Dr"/>
    <s v="August, 2025"/>
    <n v="13.24"/>
    <s v="Journal 1"/>
    <n v="1159"/>
    <n v="24"/>
    <x v="12"/>
  </r>
  <r>
    <d v="2025-11-01T00:00:00"/>
    <s v="Dr"/>
    <s v="September, 2025"/>
    <n v="1299.67"/>
    <s v="Journal 1"/>
    <n v="113740"/>
    <n v="2321"/>
    <x v="13"/>
  </r>
  <r>
    <d v="2025-11-01T00:00:00"/>
    <s v="Dr"/>
    <s v="September, 2025"/>
    <n v="40.47"/>
    <s v="Journal 1"/>
    <n v="3542"/>
    <n v="72"/>
    <x v="13"/>
  </r>
  <r>
    <d v="2025-11-01T00:00:00"/>
    <s v="Dr"/>
    <s v="September, 2025"/>
    <n v="153.69999999999999"/>
    <s v="Journal 1"/>
    <n v="13451"/>
    <n v="275"/>
    <x v="13"/>
  </r>
  <r>
    <d v="2025-11-01T00:00:00"/>
    <s v="Dr"/>
    <s v="September, 2025"/>
    <n v="29.3"/>
    <s v="Journal 1"/>
    <n v="2584"/>
    <n v="53"/>
    <x v="13"/>
  </r>
  <r>
    <d v="2025-11-01T00:00:00"/>
    <s v="Dr"/>
    <s v="September, 2025"/>
    <n v="152.96"/>
    <s v="Journal 1"/>
    <n v="13490"/>
    <n v="275"/>
    <x v="13"/>
  </r>
  <r>
    <d v="2025-11-01T00:00:00"/>
    <s v="Dr"/>
    <s v="September, 2025"/>
    <n v="548.79"/>
    <s v="Journal 1"/>
    <n v="48398"/>
    <n v="988"/>
    <x v="13"/>
  </r>
  <r>
    <d v="2025-11-01T00:00:00"/>
    <s v="Dr"/>
    <s v="September, 2025"/>
    <n v="50.31"/>
    <s v="Journal 1"/>
    <n v="4437"/>
    <n v="91"/>
    <x v="13"/>
  </r>
  <r>
    <d v="2025-11-01T00:00:00"/>
    <s v="Dr"/>
    <s v="October, 2025"/>
    <n v="45.98"/>
    <s v="Journal 1"/>
    <n v="4055"/>
    <n v="83"/>
    <x v="14"/>
  </r>
  <r>
    <d v="2025-11-01T00:00:00"/>
    <s v="Dr"/>
    <s v="October, 2025"/>
    <n v="13.32"/>
    <s v="Journal 1"/>
    <n v="1175"/>
    <n v="24"/>
    <x v="14"/>
  </r>
  <r>
    <d v="2025-11-01T00:00:00"/>
    <s v="Dr"/>
    <s v="October, 2025"/>
    <n v="230.31"/>
    <s v="Journal 1"/>
    <n v="20311"/>
    <n v="414"/>
    <x v="14"/>
  </r>
  <r>
    <d v="2025-11-01T00:00:00"/>
    <s v="Dr"/>
    <s v="October, 2025"/>
    <n v="53.25"/>
    <s v="Journal 1"/>
    <n v="4696"/>
    <n v="96"/>
    <x v="14"/>
  </r>
  <r>
    <d v="2025-11-01T00:00:00"/>
    <s v="Dr"/>
    <s v="September, 2025"/>
    <n v="265.42"/>
    <s v="Journal 1"/>
    <n v="23408"/>
    <n v="478"/>
    <x v="13"/>
  </r>
  <r>
    <d v="2025-11-01T00:00:00"/>
    <s v="Dr"/>
    <s v="October, 2025"/>
    <n v="241.98"/>
    <s v="Journal 1"/>
    <n v="21340"/>
    <n v="436"/>
    <x v="14"/>
  </r>
  <r>
    <d v="2025-11-03T00:00:00"/>
    <s v="Dr"/>
    <s v="October, 2025"/>
    <n v="450.69"/>
    <s v="Journal 1"/>
    <n v="39662"/>
    <n v="809"/>
    <x v="14"/>
  </r>
  <r>
    <d v="2025-11-05T00:00:00"/>
    <s v="Dr"/>
    <s v="October, 2025"/>
    <n v="13.26"/>
    <s v="Journal 1"/>
    <n v="1167"/>
    <n v="24"/>
    <x v="14"/>
  </r>
  <r>
    <d v="2025-11-05T00:00:00"/>
    <s v="Dr"/>
    <s v="October, 2025"/>
    <n v="137.19999999999999"/>
    <s v="Journal 1"/>
    <n v="12074"/>
    <n v="246"/>
    <x v="14"/>
  </r>
  <r>
    <d v="2025-11-05T00:00:00"/>
    <s v="Dr"/>
    <s v="October, 2025"/>
    <n v="34.29"/>
    <s v="Journal 1"/>
    <n v="3018"/>
    <n v="62"/>
    <x v="14"/>
  </r>
  <r>
    <d v="2025-11-05T00:00:00"/>
    <s v="Dr"/>
    <s v="October, 2025"/>
    <n v="316.18"/>
    <s v="Journal 1"/>
    <n v="27825"/>
    <n v="568"/>
    <x v="14"/>
  </r>
  <r>
    <d v="2025-11-05T00:00:00"/>
    <s v="Dr"/>
    <s v="October, 2025"/>
    <n v="13.03"/>
    <s v="Journal 1"/>
    <n v="1147"/>
    <n v="23"/>
    <x v="14"/>
  </r>
  <r>
    <d v="2025-11-05T00:00:00"/>
    <s v="Dr"/>
    <s v="October, 2025"/>
    <n v="193.29"/>
    <s v="Journal 1"/>
    <n v="17010"/>
    <n v="347"/>
    <x v="14"/>
  </r>
  <r>
    <d v="2025-11-05T00:00:00"/>
    <s v="Dr"/>
    <s v="October, 2025"/>
    <n v="143.27000000000001"/>
    <s v="Journal 1"/>
    <n v="12608"/>
    <n v="257"/>
    <x v="14"/>
  </r>
  <r>
    <d v="2025-11-06T00:00:00"/>
    <s v="Dr"/>
    <s v="September, 2025"/>
    <n v="1620"/>
    <s v="Journal 1"/>
    <n v="141773"/>
    <n v="15753"/>
    <x v="13"/>
  </r>
  <r>
    <d v="2025-11-06T00:00:00"/>
    <s v="Dr"/>
    <s v="August, 2025"/>
    <n v="989.12"/>
    <s v="Journal 1"/>
    <n v="86562"/>
    <n v="9618"/>
    <x v="12"/>
  </r>
  <r>
    <d v="2025-11-06T00:00:00"/>
    <s v="Dr"/>
    <s v="September, 2025"/>
    <n v="1196.96"/>
    <s v="Journal 1"/>
    <n v="105561"/>
    <n v="11729"/>
    <x v="13"/>
  </r>
  <r>
    <d v="2025-12-01T00:00:00"/>
    <s v="Dr"/>
    <s v="October, 2025"/>
    <n v="1620"/>
    <s v="Journal 1"/>
    <n v="142869"/>
    <n v="15874"/>
    <x v="14"/>
  </r>
  <r>
    <d v="2025-12-01T00:00:00"/>
    <s v="Dr"/>
    <s v="November, 2025"/>
    <n v="1619.99"/>
    <s v="Journal 1"/>
    <n v="142565"/>
    <n v="15841"/>
    <x v="15"/>
  </r>
  <r>
    <d v="2025-12-01T00:00:00"/>
    <s v="Dr"/>
    <s v="October, 2025"/>
    <n v="961.68"/>
    <s v="Journal 1"/>
    <n v="84631"/>
    <n v="9404"/>
    <x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x v="0"/>
    <x v="0"/>
    <s v="Customer Invoice/DN"/>
    <s v="SRIKARAM PRESCIENCE PVT. LTD."/>
    <s v="LCL charges for Jan 2025"/>
    <s v="USD"/>
    <n v="15"/>
    <s v="86.69126"/>
    <n v="1300.3699999999999"/>
    <n v="1300.3699999999999"/>
  </r>
  <r>
    <x v="0"/>
    <x v="0"/>
    <s v="Customer Invoice/DN"/>
    <s v="SRIKARAM PRESCIENCE PVT. LTD."/>
    <s v="LCL charges for Sep 2024"/>
    <s v="USD"/>
    <n v="15"/>
    <s v="86.69126"/>
    <n v="1300.3699999999999"/>
    <n v="1300.3699999999999"/>
  </r>
  <r>
    <x v="0"/>
    <x v="0"/>
    <s v="Customer Invoice/DN"/>
    <s v="SRIKARAM PRESCIENCE PVT. LTD."/>
    <s v="LCL Movement Charges for Nov 2024"/>
    <s v="USD"/>
    <n v="15"/>
    <s v="86.69126"/>
    <n v="1300.3699999999999"/>
    <n v="1300.3699999999999"/>
  </r>
  <r>
    <x v="1"/>
    <x v="0"/>
    <s v="Customer Invoice/DN"/>
    <s v="SRIKARAM PRESCIENCE PVT. LTD."/>
    <s v="LCL Chgs - 01-15 MAY 25"/>
    <s v="USD"/>
    <n v="24"/>
    <s v="85.98370"/>
    <n v="2063.61"/>
    <n v="2063.61"/>
  </r>
  <r>
    <x v="2"/>
    <x v="1"/>
    <s v="Customer Credit Memo"/>
    <s v="SRIKARAM PRESCIENCE PVT. LTD."/>
    <s v="Credit note raised against 256779413888"/>
    <s v="USD"/>
    <n v="-24"/>
    <s v="85.98370"/>
    <n v="-2063.61"/>
    <n v="-2063.61"/>
  </r>
  <r>
    <x v="2"/>
    <x v="0"/>
    <s v="Customer Invoice/DN"/>
    <s v="SRIKARAM PRESCIENCE PVT. LTD."/>
    <s v="LCL Chgs - 01-15 MAY 25"/>
    <s v="USD"/>
    <n v="24"/>
    <s v="86.00067"/>
    <n v="2064.02"/>
    <n v="2064.02"/>
  </r>
  <r>
    <x v="0"/>
    <x v="0"/>
    <s v="Customer Invoice/DN"/>
    <s v="SRIKARAM PRESCIENCE PVT. LTD."/>
    <s v="Cy-WH Destuff charges for Jan 2025"/>
    <s v="USD"/>
    <n v="30"/>
    <s v="86.69126"/>
    <n v="2600.7399999999998"/>
    <n v="2600.7399999999998"/>
  </r>
  <r>
    <x v="0"/>
    <x v="0"/>
    <s v="Customer Invoice/DN"/>
    <s v="SRIKARAM PRESCIENCE PVT. LTD."/>
    <s v="Cy-WH Destuff charges for Jan 2025"/>
    <s v="USD"/>
    <n v="30"/>
    <s v="86.69126"/>
    <n v="2600.7399999999998"/>
    <n v="2600.7399999999998"/>
  </r>
  <r>
    <x v="0"/>
    <x v="0"/>
    <s v="Customer Invoice/DN"/>
    <s v="SRIKARAM PRESCIENCE PVT. LTD."/>
    <s v="Cy-WH Destuff charges for Jan 2025"/>
    <s v="USD"/>
    <n v="30"/>
    <s v="86.69126"/>
    <n v="2600.7399999999998"/>
    <n v="2600.7399999999998"/>
  </r>
  <r>
    <x v="0"/>
    <x v="0"/>
    <s v="Customer Invoice/DN"/>
    <s v="SRIKARAM PRESCIENCE PVT. LTD."/>
    <s v="Cy-WH Destuff charges for Jan 2025"/>
    <s v="USD"/>
    <n v="30"/>
    <s v="86.69126"/>
    <n v="2600.7399999999998"/>
    <n v="2600.7399999999998"/>
  </r>
  <r>
    <x v="0"/>
    <x v="0"/>
    <s v="Customer Invoice/DN"/>
    <s v="SRIKARAM PRESCIENCE PVT. LTD."/>
    <s v="Cy-WH Destuff charges for Jan 2025"/>
    <s v="USD"/>
    <n v="30"/>
    <s v="86.69126"/>
    <n v="2600.7399999999998"/>
    <n v="2600.7399999999998"/>
  </r>
  <r>
    <x v="0"/>
    <x v="0"/>
    <s v="Customer Invoice/DN"/>
    <s v="SRIKARAM PRESCIENCE PVT. LTD."/>
    <s v="Loose loading Handling charges for Sep 2"/>
    <s v="USD"/>
    <n v="1"/>
    <s v="86.69126"/>
    <n v="86.69"/>
    <n v="86.69"/>
  </r>
  <r>
    <x v="3"/>
    <x v="0"/>
    <s v="Customer Invoice/DN"/>
    <s v="SRIKARAM PRESCIENCE PVT. LTD."/>
    <s v="LCL Movement Charges for Oct 2024"/>
    <s v="USD"/>
    <n v="30"/>
    <s v="86.69126"/>
    <n v="2600.7399999999998"/>
    <n v="2600.7399999999998"/>
  </r>
  <r>
    <x v="4"/>
    <x v="0"/>
    <s v="Customer Invoice/DN"/>
    <s v="SRIKARAM PRESCIENCE PVT. LTD."/>
    <s v="LCL charges for Mar 2025"/>
    <s v="USD"/>
    <n v="30"/>
    <s v="86.92182"/>
    <n v="2607.65"/>
    <n v="2607.65"/>
  </r>
  <r>
    <x v="4"/>
    <x v="0"/>
    <s v="Customer Invoice/DN"/>
    <s v="SRIKARAM PRESCIENCE PVT. LTD."/>
    <s v="Inbound Handling charges for Mar 2025"/>
    <s v="USD"/>
    <n v="1"/>
    <s v="86.92182"/>
    <n v="86.92"/>
    <n v="86.92"/>
  </r>
  <r>
    <x v="5"/>
    <x v="0"/>
    <s v="Customer Invoice/DN"/>
    <s v="SRIKARAM PRESCIENCE PVT. LTD."/>
    <s v="LCL Charges August 2024"/>
    <s v="USD"/>
    <n v="15"/>
    <s v="86.92182"/>
    <n v="1303.82"/>
    <n v="1303.82"/>
  </r>
  <r>
    <x v="5"/>
    <x v="0"/>
    <s v="Customer Invoice/DN"/>
    <s v="SRIKARAM PRESCIENCE PVT. LTD."/>
    <s v="LCL Charges August 2024"/>
    <s v="USD"/>
    <n v="15"/>
    <s v="86.92182"/>
    <n v="1303.83"/>
    <n v="1303.83"/>
  </r>
  <r>
    <x v="5"/>
    <x v="0"/>
    <s v="Customer Invoice/DN"/>
    <s v="SRIKARAM PRESCIENCE PVT. LTD."/>
    <s v="LCL Charges August 2024"/>
    <s v="USD"/>
    <n v="15"/>
    <s v="86.92182"/>
    <n v="1303.83"/>
    <n v="1303.83"/>
  </r>
  <r>
    <x v="6"/>
    <x v="0"/>
    <s v="Customer Invoice/DN"/>
    <s v="SRIKARAM PRESCIENCE PVT. LTD."/>
    <s v="Loose Unloading charges for Dec 2024"/>
    <s v="USD"/>
    <n v="1"/>
    <s v="86.92182"/>
    <n v="86.92"/>
    <n v="86.92"/>
  </r>
  <r>
    <x v="6"/>
    <x v="0"/>
    <s v="Customer Invoice/DN"/>
    <s v="SRIKARAM PRESCIENCE PVT. LTD."/>
    <s v="LCL charges for Dec 2024"/>
    <s v="USD"/>
    <n v="15"/>
    <s v="86.92182"/>
    <n v="1303.83"/>
    <n v="1303.83"/>
  </r>
  <r>
    <x v="6"/>
    <x v="0"/>
    <s v="Customer Invoice/DN"/>
    <s v="SRIKARAM PRESCIENCE PVT. LTD."/>
    <s v="Loose loading Handling charges for Dec 2"/>
    <s v="USD"/>
    <n v="1"/>
    <s v="86.92182"/>
    <n v="86.92"/>
    <n v="86.92"/>
  </r>
  <r>
    <x v="7"/>
    <x v="0"/>
    <s v="Customer Invoice/DN"/>
    <s v="SRIKARAM PRESCIENCE PVT. LTD."/>
    <s v="LCL Movement Charges for Feb 2025"/>
    <s v="USD"/>
    <n v="15"/>
    <s v="86.92182"/>
    <n v="1303.83"/>
    <n v="1303.83"/>
  </r>
  <r>
    <x v="7"/>
    <x v="0"/>
    <s v="Customer Invoice/DN"/>
    <s v="SRIKARAM PRESCIENCE PVT. LTD."/>
    <s v="Loose handling Charges for Feb 2025"/>
    <s v="USD"/>
    <n v="1"/>
    <s v="86.92182"/>
    <n v="86.92"/>
    <n v="86.92"/>
  </r>
  <r>
    <x v="7"/>
    <x v="0"/>
    <s v="Customer Invoice/DN"/>
    <s v="SRIKARAM PRESCIENCE PVT. LTD."/>
    <s v="LCL charges for 31 Mar 2025"/>
    <s v="USD"/>
    <n v="30"/>
    <s v="86.92182"/>
    <n v="2607.65"/>
    <n v="2607.65"/>
  </r>
  <r>
    <x v="1"/>
    <x v="0"/>
    <s v="Customer Invoice/DN"/>
    <s v="SRIKARAM PRESCIENCE PVT. LTD."/>
    <s v="Loose chgs - 01 - 15 MAY 25"/>
    <s v="USD"/>
    <n v="1"/>
    <s v="85.98370"/>
    <n v="85.98"/>
    <n v="85.98"/>
  </r>
  <r>
    <x v="8"/>
    <x v="0"/>
    <s v="Customer Invoice/DN"/>
    <s v="SRIKARAM PRESCIENCE PVT. LTD."/>
    <s v="LCL Chgs - 16-31 MAY 25"/>
    <s v="USD"/>
    <n v="30"/>
    <s v="N"/>
    <n v="2564.7199999999998"/>
    <n v="2564.7199999999998"/>
  </r>
  <r>
    <x v="9"/>
    <x v="0"/>
    <s v="Customer Invoice/DN"/>
    <s v="SRIKARAM PRESCIENCE PVT. LTD."/>
    <s v="LCL Chgs - 01 - 15 JUN 25"/>
    <s v="USD"/>
    <n v="30"/>
    <s v="86.00067"/>
    <n v="2580.02"/>
    <n v="2580.02"/>
  </r>
  <r>
    <x v="9"/>
    <x v="0"/>
    <s v="Customer Invoice/DN"/>
    <s v="SRIKARAM PRESCIENCE PVT. LTD."/>
    <s v="CY - WH Destuff Chgs - 01 - 15 JUN 25"/>
    <s v="USD"/>
    <n v="30"/>
    <s v="86.00067"/>
    <n v="2580.02"/>
    <n v="2580.02"/>
  </r>
  <r>
    <x v="9"/>
    <x v="0"/>
    <s v="Customer Invoice/DN"/>
    <s v="SRIKARAM PRESCIENCE PVT. LTD."/>
    <s v="LCL chgs - 16 - 30 JUN 25"/>
    <s v="USD"/>
    <n v="30"/>
    <s v="86.00067"/>
    <n v="2580.02"/>
    <n v="2580.02"/>
  </r>
  <r>
    <x v="10"/>
    <x v="0"/>
    <s v="Customer Invoice/DN"/>
    <s v="SRIKARAM PRESCIENCE PVT. LTD."/>
    <s v="CODC LCL chgs - 01 - 15 July 25"/>
    <s v="USD"/>
    <n v="15"/>
    <s v="86.00067"/>
    <n v="1290.01"/>
    <n v="1290.01"/>
  </r>
  <r>
    <x v="10"/>
    <x v="0"/>
    <s v="Customer Invoice/DN"/>
    <s v="SRIKARAM PRESCIENCE PVT. LTD."/>
    <s v="LCL chgs - 01 - 15 JUL 25"/>
    <s v="USD"/>
    <n v="15"/>
    <s v="86.00067"/>
    <n v="1290.01"/>
    <n v="1290.01"/>
  </r>
  <r>
    <x v="10"/>
    <x v="0"/>
    <s v="Customer Invoice/DN"/>
    <s v="SRIKARAM PRESCIENCE PVT. LTD."/>
    <s v="CY - WH Destuff Chgs -  01 - 15 JUL 25"/>
    <s v="USD"/>
    <n v="30"/>
    <s v="86.00067"/>
    <n v="2580.02"/>
    <n v="2580.02"/>
  </r>
  <r>
    <x v="10"/>
    <x v="0"/>
    <s v="Customer Invoice/DN"/>
    <s v="SRIKARAM PRESCIENCE PVT. LTD."/>
    <s v="Loose chgs - 01 - 15 Jul 25"/>
    <s v="USD"/>
    <n v="1"/>
    <s v="86.00067"/>
    <n v="86"/>
    <n v="86"/>
  </r>
  <r>
    <x v="10"/>
    <x v="0"/>
    <s v="Customer Invoice/DN"/>
    <s v="SRIKARAM PRESCIENCE PVT. LTD."/>
    <s v="LCL chgs - 01 - 15 JUL 25"/>
    <s v="USD"/>
    <n v="15"/>
    <s v="86.00067"/>
    <n v="1290.01"/>
    <n v="1290.01"/>
  </r>
  <r>
    <x v="10"/>
    <x v="0"/>
    <s v="Customer Invoice/DN"/>
    <s v="SRIKARAM PRESCIENCE PVT. LTD."/>
    <s v="CY - WH Destuff Chgs -  01 - 15 JUL 25"/>
    <s v="USD"/>
    <n v="30"/>
    <s v="86.00067"/>
    <n v="2580.02"/>
    <n v="2580.02"/>
  </r>
  <r>
    <x v="11"/>
    <x v="1"/>
    <s v="Customer Credit Memo"/>
    <s v="SRIKARAM PRESCIENCE PVT. LTD."/>
    <s v="Credit note raised against 256779415806"/>
    <s v="USD"/>
    <n v="-15"/>
    <s v="86.00067"/>
    <n v="-1290.01"/>
    <n v="-1290.01"/>
  </r>
  <r>
    <x v="11"/>
    <x v="1"/>
    <s v="Customer Credit Memo"/>
    <s v="SRIKARAM PRESCIENCE PVT. LTD."/>
    <s v="Credit note raised against 256779415806"/>
    <s v="USD"/>
    <n v="-30"/>
    <s v="86.00067"/>
    <n v="-2580.02"/>
    <n v="-2580.02"/>
  </r>
  <r>
    <x v="12"/>
    <x v="0"/>
    <s v="Customer Invoice/DN"/>
    <s v="SRIKARAM PRESCIENCE PVT. LTD."/>
    <s v="LCL chgs - 16 - 31 JUL 25"/>
    <s v="USD"/>
    <n v="15"/>
    <s v="86.03012"/>
    <n v="1290.45"/>
    <n v="1290.45"/>
  </r>
  <r>
    <x v="12"/>
    <x v="0"/>
    <s v="Customer Invoice/DN"/>
    <s v="SRIKARAM PRESCIENCE PVT. LTD."/>
    <s v="CY - WH Destuff Chgs -  16 - 31 JUL 25"/>
    <s v="USD"/>
    <n v="30"/>
    <s v="86.03012"/>
    <n v="2580.9"/>
    <n v="2580.9"/>
  </r>
  <r>
    <x v="13"/>
    <x v="0"/>
    <s v="Customer Invoice/DN"/>
    <s v="SRIKARAM PRESCIENCE PVT. LTD."/>
    <s v="LCL chgs - 01 - 15 AUG 25"/>
    <s v="USD"/>
    <n v="15"/>
    <s v="86.03012"/>
    <n v="1290.45"/>
    <n v="1290.45"/>
  </r>
  <r>
    <x v="13"/>
    <x v="0"/>
    <s v="Customer Invoice/DN"/>
    <s v="SRIKARAM PRESCIENCE PVT. LTD."/>
    <s v="Loose chgs - 01 - 15 AUG 25"/>
    <s v="USD"/>
    <n v="1"/>
    <s v="86.03012"/>
    <n v="86.03"/>
    <n v="86.03"/>
  </r>
  <r>
    <x v="13"/>
    <x v="0"/>
    <s v="Customer Invoice/DN"/>
    <s v="SRIKARAM PRESCIENCE PVT. LTD."/>
    <s v="Loose chgs - 01 - 15 Aug 25"/>
    <s v="USD"/>
    <n v="1"/>
    <s v="86.03012"/>
    <n v="86.03"/>
    <n v="86.03"/>
  </r>
  <r>
    <x v="14"/>
    <x v="0"/>
    <s v="Customer Invoice/DN"/>
    <s v="SRIKARAM PRESCIENCE PVT. LTD."/>
    <s v="LCL chgs - 16 - 31 AUG 25"/>
    <s v="USD"/>
    <n v="15"/>
    <s v="87.51433"/>
    <n v="1312.71"/>
    <n v="1312.71"/>
  </r>
  <r>
    <x v="15"/>
    <x v="0"/>
    <s v="Customer Invoice/DN"/>
    <s v="SRIKARAM PRESCIENCE PVT. LTD."/>
    <s v="LCL chgs - 01 - 15 SEP 25"/>
    <s v="USD"/>
    <n v="30"/>
    <s v="87.51433"/>
    <n v="2625.43"/>
    <n v="2625.43"/>
  </r>
  <r>
    <x v="16"/>
    <x v="0"/>
    <s v="Customer Invoice/DN"/>
    <s v="SRIKARAM PRESCIENCE PVT. LTD."/>
    <s v="LCL Chgs - 01 - 15 NOV 25"/>
    <s v="USD"/>
    <n v="15"/>
    <s v="88.00339"/>
    <n v="1320.05"/>
    <n v="1320.05"/>
  </r>
  <r>
    <x v="16"/>
    <x v="0"/>
    <s v="Customer Invoice/DN"/>
    <s v="SRIKARAM PRESCIENCE PVT. LTD."/>
    <s v="Loose chgs - 01 - 15 NOV 25"/>
    <s v="USD"/>
    <n v="1"/>
    <s v="88.00339"/>
    <n v="88"/>
    <n v="88"/>
  </r>
  <r>
    <x v="17"/>
    <x v="0"/>
    <s v="Customer Invoice/DN"/>
    <s v="SRIKARAM PRESCIENCE PVT. LTD."/>
    <s v="LCL Chgs - 16 - 30 NOV 25"/>
    <s v="USD"/>
    <n v="30"/>
    <s v="88.70014"/>
    <n v="2661.01"/>
    <n v="2661.01"/>
  </r>
  <r>
    <x v="0"/>
    <x v="0"/>
    <s v="Customer Invoice/DN"/>
    <s v="SRIKARAM PRESCIENCE PVT. LTD."/>
    <s v="Cy-WH Destuff charges for Jan 2025"/>
    <s v="USD"/>
    <n v="60"/>
    <s v="86.69126"/>
    <n v="5201.4799999999996"/>
    <n v="5201.4799999999996"/>
  </r>
  <r>
    <x v="0"/>
    <x v="0"/>
    <s v="Customer Invoice/DN"/>
    <s v="SRIKARAM PRESCIENCE PVT. LTD."/>
    <s v="LCL charges for Jan 2025"/>
    <s v="USD"/>
    <n v="60"/>
    <s v="86.69126"/>
    <n v="5201.4799999999996"/>
    <n v="5201.4799999999996"/>
  </r>
  <r>
    <x v="0"/>
    <x v="0"/>
    <s v="Customer Invoice/DN"/>
    <s v="SRIKARAM PRESCIENCE PVT. LTD."/>
    <s v="CY-MOVEMENT CHARGES for Nov 2024"/>
    <s v="USD"/>
    <n v="60"/>
    <s v="86.69126"/>
    <n v="5201.4799999999996"/>
    <n v="5201.4799999999996"/>
  </r>
  <r>
    <x v="0"/>
    <x v="0"/>
    <s v="Customer Invoice/DN"/>
    <s v="SRIKARAM PRESCIENCE PVT. LTD."/>
    <s v="Outbound Handling charges for Jan 2025"/>
    <s v="USD"/>
    <n v="60"/>
    <s v="86.69126"/>
    <n v="5201.4799999999996"/>
    <n v="5201.4799999999996"/>
  </r>
  <r>
    <x v="18"/>
    <x v="0"/>
    <s v="Customer Invoice/DN"/>
    <s v="SRIKARAM PRESCIENCE PVT. LTD."/>
    <s v="CY WH Destuff chgs - 16 - 30 Apr 25"/>
    <s v="USD"/>
    <n v="60"/>
    <s v="85.98370"/>
    <n v="5159.0200000000004"/>
    <n v="5159.0200000000004"/>
  </r>
  <r>
    <x v="8"/>
    <x v="0"/>
    <s v="Customer Invoice/DN"/>
    <s v="SRIKARAM PRESCIENCE PVT. LTD."/>
    <s v="CY - WH Destuff Chgs - 16-31 MAY 25"/>
    <s v="USD"/>
    <n v="60"/>
    <s v="85.49078"/>
    <n v="5129.45"/>
    <n v="5129.45"/>
  </r>
  <r>
    <x v="10"/>
    <x v="0"/>
    <s v="Customer Invoice/DN"/>
    <s v="SRIKARAM PRESCIENCE PVT. LTD."/>
    <s v="Empty Cont Out - 01 - 15 JUL 25"/>
    <s v="USD"/>
    <n v="60"/>
    <s v="86.00067"/>
    <n v="5160.04"/>
    <n v="5160.04"/>
  </r>
  <r>
    <x v="10"/>
    <x v="0"/>
    <s v="Customer Invoice/DN"/>
    <s v="SRIKARAM PRESCIENCE PVT. LTD."/>
    <s v="Empty Cont Out - 01 - 15 JUL 25"/>
    <s v="USD"/>
    <n v="60"/>
    <s v="86.00067"/>
    <n v="5160.04"/>
    <n v="5160.04"/>
  </r>
  <r>
    <x v="11"/>
    <x v="1"/>
    <s v="Customer Credit Memo"/>
    <s v="SRIKARAM PRESCIENCE PVT. LTD."/>
    <s v="Credit note raised against 256779415806"/>
    <s v="USD"/>
    <n v="-60"/>
    <s v="86.00067"/>
    <n v="-5160.04"/>
    <n v="-5160.04"/>
  </r>
  <r>
    <x v="15"/>
    <x v="0"/>
    <s v="Customer Invoice/DN"/>
    <s v="SRIKARAM PRESCIENCE PVT. LTD."/>
    <s v="Empty Cont Out Chgs - 01 - 15 SEP 25"/>
    <s v="USD"/>
    <n v="60"/>
    <s v="87.51433"/>
    <n v="5250.86"/>
    <n v="5250.86"/>
  </r>
  <r>
    <x v="19"/>
    <x v="0"/>
    <s v="Customer Invoice/DN"/>
    <s v="SRIKARAM PRESCIENCE PVT. LTD."/>
    <s v="CODC Empty Movement -1-15 Oct  25"/>
    <s v="USD"/>
    <n v="60"/>
    <s v="88.19077"/>
    <n v="5291.45"/>
    <n v="5291.45"/>
  </r>
  <r>
    <x v="20"/>
    <x v="0"/>
    <s v="Customer Invoice/DN"/>
    <s v="SRIKARAM PRESCIENCE PVT. LTD."/>
    <s v="LCL Chgs - 16 - 31 OCT 25"/>
    <s v="USD"/>
    <n v="60"/>
    <s v="88.00339"/>
    <n v="5280.2"/>
    <n v="5280.2"/>
  </r>
  <r>
    <x v="21"/>
    <x v="0"/>
    <s v="Customer Invoice/DN"/>
    <s v="SRIKARAM PRESCIENCE PVT. LTD."/>
    <s v="Empty Cont In chgs - 16 - 31 Oct 25"/>
    <s v="USD"/>
    <n v="60"/>
    <s v="88.00339"/>
    <n v="5280.2"/>
    <n v="5280.2"/>
  </r>
  <r>
    <x v="0"/>
    <x v="0"/>
    <s v="Customer Invoice/DN"/>
    <s v="SRIKARAM PRESCIENCE PVT. LTD."/>
    <s v="Outbound Handling charges for Feb 2025"/>
    <s v="USD"/>
    <n v="1.75"/>
    <s v="86.69126"/>
    <n v="151.71"/>
    <n v="151.71"/>
  </r>
  <r>
    <x v="0"/>
    <x v="0"/>
    <s v="Customer Invoice/DN"/>
    <s v="SRIKARAM PRESCIENCE PVT. LTD."/>
    <s v="Outbound Handling charges for Feb 2025"/>
    <s v="USD"/>
    <n v="1.75"/>
    <s v="86.69126"/>
    <n v="151.71"/>
    <n v="151.71"/>
  </r>
  <r>
    <x v="0"/>
    <x v="0"/>
    <s v="Customer Invoice/DN"/>
    <s v="SRIKARAM PRESCIENCE PVT. LTD."/>
    <s v="Outbound Handling charges for Feb 2025"/>
    <s v="USD"/>
    <n v="1.75"/>
    <s v="86.69126"/>
    <n v="151.71"/>
    <n v="151.71"/>
  </r>
  <r>
    <x v="0"/>
    <x v="0"/>
    <s v="Customer Invoice/DN"/>
    <s v="SRIKARAM PRESCIENCE PVT. LTD."/>
    <s v="Outbound Handling charges for Feb 2025"/>
    <s v="USD"/>
    <n v="9.42"/>
    <s v="86.69126"/>
    <n v="816.63"/>
    <n v="816.63"/>
  </r>
  <r>
    <x v="0"/>
    <x v="0"/>
    <s v="Customer Invoice/DN"/>
    <s v="SRIKARAM PRESCIENCE PVT. LTD."/>
    <s v="Inbound Handling charges for Jan 2025"/>
    <s v="USD"/>
    <n v="43"/>
    <s v="86.69126"/>
    <n v="3727.72"/>
    <n v="3727.72"/>
  </r>
  <r>
    <x v="0"/>
    <x v="0"/>
    <s v="Customer Invoice/DN"/>
    <s v="SRIKARAM PRESCIENCE PVT. LTD."/>
    <s v="Inbound Handling charges for Jan 2025"/>
    <s v="USD"/>
    <n v="47.3"/>
    <s v="86.69126"/>
    <n v="4100.5"/>
    <n v="4100.5"/>
  </r>
  <r>
    <x v="0"/>
    <x v="0"/>
    <s v="Customer Invoice/DN"/>
    <s v="SRIKARAM PRESCIENCE PVT. LTD."/>
    <s v="Inbound Handling charges for Jan 2025"/>
    <s v="USD"/>
    <n v="21.5"/>
    <s v="86.69126"/>
    <n v="1863.86"/>
    <n v="1863.86"/>
  </r>
  <r>
    <x v="0"/>
    <x v="0"/>
    <s v="Customer Invoice/DN"/>
    <s v="SRIKARAM PRESCIENCE PVT. LTD."/>
    <s v="Inbound Handling charges for Jan 2025"/>
    <s v="USD"/>
    <n v="94.6"/>
    <s v="86.69126"/>
    <n v="8200.99"/>
    <n v="8200.99"/>
  </r>
  <r>
    <x v="0"/>
    <x v="0"/>
    <s v="Customer Invoice/DN"/>
    <s v="SRIKARAM PRESCIENCE PVT. LTD."/>
    <s v="Inbound Handling charges for Jan 2025"/>
    <s v="USD"/>
    <n v="103.2"/>
    <s v="86.69126"/>
    <n v="8946.5300000000007"/>
    <n v="8946.5300000000007"/>
  </r>
  <r>
    <x v="0"/>
    <x v="0"/>
    <s v="Customer Invoice/DN"/>
    <s v="SRIKARAM PRESCIENCE PVT. LTD."/>
    <s v="Inbound Handling charges for Jan 2025"/>
    <s v="USD"/>
    <n v="47.3"/>
    <s v="86.69126"/>
    <n v="4100.5"/>
    <n v="4100.5"/>
  </r>
  <r>
    <x v="0"/>
    <x v="0"/>
    <s v="Customer Invoice/DN"/>
    <s v="SRIKARAM PRESCIENCE PVT. LTD."/>
    <s v="Inbound Handling charges for Jan 2025"/>
    <s v="USD"/>
    <n v="3.9"/>
    <s v="86.69126"/>
    <n v="338.1"/>
    <n v="338.1"/>
  </r>
  <r>
    <x v="0"/>
    <x v="0"/>
    <s v="Customer Invoice/DN"/>
    <s v="SRIKARAM PRESCIENCE PVT. LTD."/>
    <s v="Outbound Handling charges for Sep 2024"/>
    <s v="USD"/>
    <n v="9.1"/>
    <s v="86.69126"/>
    <n v="788.89"/>
    <n v="788.89"/>
  </r>
  <r>
    <x v="0"/>
    <x v="0"/>
    <s v="Customer Invoice/DN"/>
    <s v="SRIKARAM PRESCIENCE PVT. LTD."/>
    <s v="Outbound Handling charges for Jan 2025"/>
    <s v="USD"/>
    <n v="43"/>
    <s v="86.69126"/>
    <n v="3727.72"/>
    <n v="3727.72"/>
  </r>
  <r>
    <x v="0"/>
    <x v="0"/>
    <s v="Customer Invoice/DN"/>
    <s v="SRIKARAM PRESCIENCE PVT. LTD."/>
    <s v="Outbound Handling charges for Jan 2025"/>
    <s v="USD"/>
    <n v="47.3"/>
    <s v="86.69126"/>
    <n v="4100.5"/>
    <n v="4100.5"/>
  </r>
  <r>
    <x v="0"/>
    <x v="0"/>
    <s v="Customer Invoice/DN"/>
    <s v="SRIKARAM PRESCIENCE PVT. LTD."/>
    <s v="Outbound Handling charges for Jan 2025"/>
    <s v="USD"/>
    <n v="47.3"/>
    <s v="86.69126"/>
    <n v="4100.49"/>
    <n v="4100.49"/>
  </r>
  <r>
    <x v="0"/>
    <x v="0"/>
    <s v="Customer Invoice/DN"/>
    <s v="SRIKARAM PRESCIENCE PVT. LTD."/>
    <s v="Outbound Handling charges for Jan 2025"/>
    <s v="USD"/>
    <n v="3.9"/>
    <s v="86.69126"/>
    <n v="338.1"/>
    <n v="338.1"/>
  </r>
  <r>
    <x v="0"/>
    <x v="0"/>
    <s v="Customer Invoice/DN"/>
    <s v="SRIKARAM PRESCIENCE PVT. LTD."/>
    <s v="Outbound Handling charges for Feb 2025"/>
    <s v="USD"/>
    <n v="128.52000000000001"/>
    <s v="86.69126"/>
    <n v="11141.56"/>
    <n v="11141.56"/>
  </r>
  <r>
    <x v="0"/>
    <x v="0"/>
    <s v="Customer Invoice/DN"/>
    <s v="SRIKARAM PRESCIENCE PVT. LTD."/>
    <s v="Outbound Handling charges for Feb 2025"/>
    <s v="USD"/>
    <n v="1.75"/>
    <s v="86.69126"/>
    <n v="151.71"/>
    <n v="151.71"/>
  </r>
  <r>
    <x v="0"/>
    <x v="0"/>
    <s v="Customer Invoice/DN"/>
    <s v="SRIKARAM PRESCIENCE PVT. LTD."/>
    <s v="Loose Loading Charges for Feb 2024"/>
    <s v="USD"/>
    <n v="0.25"/>
    <s v="86.69126"/>
    <n v="21.67"/>
    <n v="21.67"/>
  </r>
  <r>
    <x v="0"/>
    <x v="0"/>
    <s v="Customer Invoice/DN"/>
    <s v="SRIKARAM PRESCIENCE PVT. LTD."/>
    <s v="Loose Loading Charges for Feb 2024"/>
    <s v="USD"/>
    <n v="0.24"/>
    <s v="86.69126"/>
    <n v="20.81"/>
    <n v="20.81"/>
  </r>
  <r>
    <x v="0"/>
    <x v="0"/>
    <s v="Customer Invoice/DN"/>
    <s v="SRIKARAM PRESCIENCE PVT. LTD."/>
    <s v="Loose Loading Charges for Feb 2024"/>
    <s v="USD"/>
    <n v="5.38"/>
    <s v="86.69126"/>
    <n v="466.4"/>
    <n v="466.4"/>
  </r>
  <r>
    <x v="0"/>
    <x v="0"/>
    <s v="Customer Invoice/DN"/>
    <s v="SRIKARAM PRESCIENCE PVT. LTD."/>
    <s v="Transportation Inbound charges for Jan 2"/>
    <s v="USD"/>
    <n v="200"/>
    <s v="86.69126"/>
    <n v="17338.25"/>
    <n v="17338.25"/>
  </r>
  <r>
    <x v="0"/>
    <x v="0"/>
    <s v="Customer Invoice/DN"/>
    <s v="SRIKARAM PRESCIENCE PVT. LTD."/>
    <s v="Transportation Inbound charges for Jan 2"/>
    <s v="USD"/>
    <n v="200"/>
    <s v="86.69126"/>
    <n v="17338.25"/>
    <n v="17338.25"/>
  </r>
  <r>
    <x v="0"/>
    <x v="0"/>
    <s v="Customer Invoice/DN"/>
    <s v="SRIKARAM PRESCIENCE PVT. LTD."/>
    <s v="Transportation Inbound charges for Jan 2"/>
    <s v="USD"/>
    <n v="200"/>
    <s v="86.69126"/>
    <n v="17338.25"/>
    <n v="17338.25"/>
  </r>
  <r>
    <x v="0"/>
    <x v="0"/>
    <s v="Customer Invoice/DN"/>
    <s v="SRIKARAM PRESCIENCE PVT. LTD."/>
    <s v="Transportation Inbound charges for Jan 2"/>
    <s v="USD"/>
    <n v="400"/>
    <s v="86.69126"/>
    <n v="34676.5"/>
    <n v="34676.5"/>
  </r>
  <r>
    <x v="0"/>
    <x v="0"/>
    <s v="Customer Invoice/DN"/>
    <s v="SRIKARAM PRESCIENCE PVT. LTD."/>
    <s v="Transportation Inbound charges for Jan 2"/>
    <s v="USD"/>
    <n v="220"/>
    <s v="86.69126"/>
    <n v="19072.080000000002"/>
    <n v="19072.080000000002"/>
  </r>
  <r>
    <x v="0"/>
    <x v="0"/>
    <s v="Customer Invoice/DN"/>
    <s v="SRIKARAM PRESCIENCE PVT. LTD."/>
    <s v="Inbound Handling charges for  Sep 2024"/>
    <s v="USD"/>
    <n v="12.25"/>
    <s v="86.69126"/>
    <n v="1061.97"/>
    <n v="1061.97"/>
  </r>
  <r>
    <x v="0"/>
    <x v="0"/>
    <s v="Customer Invoice/DN"/>
    <s v="SRIKARAM PRESCIENCE PVT. LTD."/>
    <s v="Inbound Handling charges for Nov 2024"/>
    <s v="USD"/>
    <n v="10.5"/>
    <s v="86.69126"/>
    <n v="910.26"/>
    <n v="910.26"/>
  </r>
  <r>
    <x v="0"/>
    <x v="0"/>
    <s v="Customer Invoice/DN"/>
    <s v="SRIKARAM PRESCIENCE PVT. LTD."/>
    <s v="Inbound Handling charges for Jan 2025"/>
    <s v="USD"/>
    <n v="18.170000000000002"/>
    <s v="86.69126"/>
    <n v="1575.18"/>
    <n v="1575.18"/>
  </r>
  <r>
    <x v="0"/>
    <x v="0"/>
    <s v="Customer Invoice/DN"/>
    <s v="SRIKARAM PRESCIENCE PVT. LTD."/>
    <s v="Loose Unloading charges for Jan 2025"/>
    <s v="USD"/>
    <n v="6.38"/>
    <s v="86.69126"/>
    <n v="553.09"/>
    <n v="553.09"/>
  </r>
  <r>
    <x v="0"/>
    <x v="0"/>
    <s v="Customer Invoice/DN"/>
    <s v="SRIKARAM PRESCIENCE PVT. LTD."/>
    <s v="Outbound Handling charges for Oct 2024"/>
    <s v="USD"/>
    <n v="7"/>
    <s v="86.69126"/>
    <n v="606.84"/>
    <n v="606.84"/>
  </r>
  <r>
    <x v="0"/>
    <x v="0"/>
    <s v="Customer Invoice/DN"/>
    <s v="SRIKARAM PRESCIENCE PVT. LTD."/>
    <s v="Loose handling Charges for Nov 2024"/>
    <s v="USD"/>
    <n v="9.9"/>
    <s v="86.69126"/>
    <n v="858.24"/>
    <n v="858.24"/>
  </r>
  <r>
    <x v="0"/>
    <x v="0"/>
    <s v="Customer Invoice/DN"/>
    <s v="SRIKARAM PRESCIENCE PVT. LTD."/>
    <s v="Outbound Handling charges for Nov 2024"/>
    <s v="USD"/>
    <n v="50.75"/>
    <s v="86.69126"/>
    <n v="4399.58"/>
    <n v="4399.58"/>
  </r>
  <r>
    <x v="0"/>
    <x v="0"/>
    <s v="Customer Invoice/DN"/>
    <s v="SRIKARAM PRESCIENCE PVT. LTD."/>
    <s v="Outbound Handling charges for Jan 2025"/>
    <s v="USD"/>
    <n v="111.18"/>
    <s v="86.69126"/>
    <n v="9638.33"/>
    <n v="9638.33"/>
  </r>
  <r>
    <x v="0"/>
    <x v="0"/>
    <s v="Customer Invoice/DN"/>
    <s v="SRIKARAM PRESCIENCE PVT. LTD."/>
    <s v="Loose Loading Handling charges for Jan 2"/>
    <s v="USD"/>
    <n v="1.97"/>
    <s v="86.69126"/>
    <n v="170.78"/>
    <n v="170.78"/>
  </r>
  <r>
    <x v="0"/>
    <x v="0"/>
    <s v="Customer Invoice/DN"/>
    <s v="SRIKARAM PRESCIENCE PVT. LTD."/>
    <s v="Outbound Handling charges for Jan 2025"/>
    <s v="USD"/>
    <n v="47.3"/>
    <s v="86.69126"/>
    <n v="4100.5"/>
    <n v="4100.5"/>
  </r>
  <r>
    <x v="0"/>
    <x v="0"/>
    <s v="Customer Invoice/DN"/>
    <s v="SRIKARAM PRESCIENCE PVT. LTD."/>
    <s v="Outbound Handling charges for Jan 2025"/>
    <s v="USD"/>
    <n v="51.6"/>
    <s v="86.69126"/>
    <n v="4473.2700000000004"/>
    <n v="4473.2700000000004"/>
  </r>
  <r>
    <x v="0"/>
    <x v="0"/>
    <s v="Customer Invoice/DN"/>
    <s v="SRIKARAM PRESCIENCE PVT. LTD."/>
    <s v="Outbound Handling charges for Jan 2025"/>
    <s v="USD"/>
    <n v="51.6"/>
    <s v="86.69126"/>
    <n v="4473.2700000000004"/>
    <n v="4473.2700000000004"/>
  </r>
  <r>
    <x v="0"/>
    <x v="0"/>
    <s v="Customer Invoice/DN"/>
    <s v="SRIKARAM PRESCIENCE PVT. LTD."/>
    <s v="Loose Loading Handling charges for Jan 2"/>
    <s v="USD"/>
    <n v="2.23"/>
    <s v="86.69126"/>
    <n v="193.32"/>
    <n v="193.32"/>
  </r>
  <r>
    <x v="0"/>
    <x v="0"/>
    <s v="Customer Invoice/DN"/>
    <s v="SRIKARAM PRESCIENCE PVT. LTD."/>
    <s v="Outbound Handling charges for Jan 2025"/>
    <s v="USD"/>
    <n v="3.52"/>
    <s v="86.69126"/>
    <n v="305.14999999999998"/>
    <n v="305.14999999999998"/>
  </r>
  <r>
    <x v="22"/>
    <x v="0"/>
    <s v="Customer Invoice/DN"/>
    <s v="SRIKARAM PRESCIENCE PVT. LTD."/>
    <s v="Fixed Storage Charges for Mar 2025"/>
    <s v="USD"/>
    <n v="186.08"/>
    <s v="86.69126"/>
    <n v="16131.51"/>
    <n v="16131.51"/>
  </r>
  <r>
    <x v="22"/>
    <x v="0"/>
    <s v="Customer Invoice/DN"/>
    <s v="SRIKARAM PRESCIENCE PVT. LTD."/>
    <s v="Port SSR Charges - Shifting for Aug to D"/>
    <s v="USD"/>
    <n v="368.88"/>
    <s v="86.69126"/>
    <n v="31978.67"/>
    <n v="31978.67"/>
  </r>
  <r>
    <x v="22"/>
    <x v="0"/>
    <s v="Customer Invoice/DN"/>
    <s v="SRIKARAM PRESCIENCE PVT. LTD."/>
    <s v="HLBU3011446-Port SSR Shifting Jan 2025."/>
    <s v="USD"/>
    <n v="26.04"/>
    <s v="86.69126"/>
    <n v="2257.44"/>
    <n v="2257.44"/>
  </r>
  <r>
    <x v="0"/>
    <x v="0"/>
    <s v="Customer Invoice/DN"/>
    <s v="SRIKARAM PRESCIENCE PVT. LTD."/>
    <s v="Ground Rent Jan 25"/>
    <s v="USD"/>
    <n v="465"/>
    <s v="86.69126"/>
    <n v="40311.440000000002"/>
    <n v="40311.440000000002"/>
  </r>
  <r>
    <x v="0"/>
    <x v="0"/>
    <s v="Customer Invoice/DN"/>
    <s v="SRIKARAM PRESCIENCE PVT. LTD."/>
    <s v="Ground Rent Feb 25"/>
    <s v="USD"/>
    <n v="420"/>
    <s v="86.69126"/>
    <n v="36410.33"/>
    <n v="36410.33"/>
  </r>
  <r>
    <x v="0"/>
    <x v="0"/>
    <s v="Customer Invoice/DN"/>
    <s v="SRIKARAM PRESCIENCE PVT. LTD."/>
    <s v="Transportation Inbound charges for Jan 2"/>
    <s v="USD"/>
    <n v="200"/>
    <s v="86.69126"/>
    <n v="17338.25"/>
    <n v="17338.25"/>
  </r>
  <r>
    <x v="0"/>
    <x v="0"/>
    <s v="Customer Invoice/DN"/>
    <s v="SRIKARAM PRESCIENCE PVT. LTD."/>
    <s v="Loose Unloading charges for Jan 2025"/>
    <s v="USD"/>
    <n v="2.23"/>
    <s v="86.69126"/>
    <n v="193.32"/>
    <n v="193.32"/>
  </r>
  <r>
    <x v="5"/>
    <x v="0"/>
    <s v="Customer Invoice/DN"/>
    <s v="SRIKARAM PRESCIENCE PVT. LTD."/>
    <s v="Inbound Handling for August 24"/>
    <s v="USD"/>
    <n v="36.75"/>
    <s v="86.92182"/>
    <n v="3194.38"/>
    <n v="3194.38"/>
  </r>
  <r>
    <x v="5"/>
    <x v="0"/>
    <s v="Customer Invoice/DN"/>
    <s v="SRIKARAM PRESCIENCE PVT. LTD."/>
    <s v="Loose Unloading Charges August 2024"/>
    <s v="USD"/>
    <n v="17.07"/>
    <s v="86.92182"/>
    <n v="1483.76"/>
    <n v="1483.76"/>
  </r>
  <r>
    <x v="5"/>
    <x v="0"/>
    <s v="Customer Invoice/DN"/>
    <s v="SRIKARAM PRESCIENCE PVT. LTD."/>
    <s v="Inbound Handling for August 24"/>
    <s v="USD"/>
    <n v="35"/>
    <s v="86.92182"/>
    <n v="3042.26"/>
    <n v="3042.26"/>
  </r>
  <r>
    <x v="5"/>
    <x v="0"/>
    <s v="Customer Invoice/DN"/>
    <s v="SRIKARAM PRESCIENCE PVT. LTD."/>
    <s v="Loose Unloading Charges August 2024"/>
    <s v="USD"/>
    <n v="10.51"/>
    <s v="86.92182"/>
    <n v="913.55"/>
    <n v="913.55"/>
  </r>
  <r>
    <x v="5"/>
    <x v="0"/>
    <s v="Customer Invoice/DN"/>
    <s v="SRIKARAM PRESCIENCE PVT. LTD."/>
    <s v="Inbound Handling for August 24"/>
    <s v="USD"/>
    <n v="35"/>
    <s v="86.92182"/>
    <n v="3042.26"/>
    <n v="3042.26"/>
  </r>
  <r>
    <x v="5"/>
    <x v="0"/>
    <s v="Customer Invoice/DN"/>
    <s v="SRIKARAM PRESCIENCE PVT. LTD."/>
    <s v="Inbound Handling for August 24"/>
    <s v="USD"/>
    <n v="120"/>
    <s v="86.92182"/>
    <n v="10430.620000000001"/>
    <n v="10430.620000000001"/>
  </r>
  <r>
    <x v="6"/>
    <x v="0"/>
    <s v="Customer Invoice/DN"/>
    <s v="SRIKARAM PRESCIENCE PVT. LTD."/>
    <s v="CY Longstanding Transportation chgs for"/>
    <s v="USD"/>
    <n v="620"/>
    <s v="86.92182"/>
    <n v="53891.53"/>
    <n v="53891.53"/>
  </r>
  <r>
    <x v="6"/>
    <x v="0"/>
    <s v="Customer Invoice/DN"/>
    <s v="SRIKARAM PRESCIENCE PVT. LTD."/>
    <s v="Inbound Handling charges for Dec 2024"/>
    <s v="USD"/>
    <n v="1.75"/>
    <s v="86.92182"/>
    <n v="152.11000000000001"/>
    <n v="152.11000000000001"/>
  </r>
  <r>
    <x v="6"/>
    <x v="0"/>
    <s v="Customer Invoice/DN"/>
    <s v="SRIKARAM PRESCIENCE PVT. LTD."/>
    <s v="Outbound Handling charges for Dec 2024"/>
    <s v="USD"/>
    <n v="7.07"/>
    <s v="86.92182"/>
    <n v="614.54"/>
    <n v="614.54"/>
  </r>
  <r>
    <x v="6"/>
    <x v="0"/>
    <s v="Customer Invoice/DN"/>
    <s v="SRIKARAM PRESCIENCE PVT. LTD."/>
    <s v="VAS Activity - Jan 25, Ex Rate. 86.64"/>
    <s v="USD"/>
    <n v="489.55"/>
    <s v="86.92182"/>
    <n v="42552.58"/>
    <n v="42552.58"/>
  </r>
  <r>
    <x v="6"/>
    <x v="0"/>
    <s v="Customer Invoice/DN"/>
    <s v="SRIKARAM PRESCIENCE PVT. LTD."/>
    <s v="VAS Activity - Mar 25, 16-31, Ex Rate. 8"/>
    <s v="USD"/>
    <n v="12.85"/>
    <s v="86.92182"/>
    <n v="1116.95"/>
    <n v="1116.95"/>
  </r>
  <r>
    <x v="6"/>
    <x v="0"/>
    <s v="Customer Invoice/DN"/>
    <s v="SRIKARAM PRESCIENCE PVT. LTD."/>
    <s v="Storage Charges Mar, 25"/>
    <s v="USD"/>
    <n v="1082.6400000000001"/>
    <s v="86.92182"/>
    <n v="94105.04"/>
    <n v="94105.04"/>
  </r>
  <r>
    <x v="13"/>
    <x v="0"/>
    <s v="Customer Invoice/DN"/>
    <s v="SRIKARAM PRESCIENCE PVT. LTD."/>
    <s v="Inbound chgs - 01 - 15 AUG 25"/>
    <s v="USD"/>
    <n v="1.75"/>
    <s v="86.03012"/>
    <n v="150.55000000000001"/>
    <n v="150.55000000000001"/>
  </r>
  <r>
    <x v="13"/>
    <x v="0"/>
    <s v="Customer Invoice/DN"/>
    <s v="SRIKARAM PRESCIENCE PVT. LTD."/>
    <s v="Outbound chgs - 01 - 15 Aug 25"/>
    <s v="USD"/>
    <n v="49.05"/>
    <s v="86.03012"/>
    <n v="4219.78"/>
    <n v="4219.78"/>
  </r>
  <r>
    <x v="9"/>
    <x v="0"/>
    <s v="Customer Invoice/DN"/>
    <s v="SRIKARAM PRESCIENCE PVT. LTD."/>
    <s v="CODC Inbound chgs - 01 - 15 Jun 25"/>
    <s v="USD"/>
    <n v="66.790000000000006"/>
    <s v="86.00067"/>
    <n v="5743.98"/>
    <n v="5743.98"/>
  </r>
  <r>
    <x v="9"/>
    <x v="0"/>
    <s v="Customer Invoice/DN"/>
    <s v="SRIKARAM PRESCIENCE PVT. LTD."/>
    <s v="Inbound chgs - 01 - 15 JUN 25"/>
    <s v="USD"/>
    <n v="56.85"/>
    <s v="86.00067"/>
    <n v="4889.1400000000003"/>
    <n v="4889.1400000000003"/>
  </r>
  <r>
    <x v="9"/>
    <x v="0"/>
    <s v="Customer Invoice/DN"/>
    <s v="SRIKARAM PRESCIENCE PVT. LTD."/>
    <s v="Loose chgs - 01 - 15 JUN 25"/>
    <s v="USD"/>
    <n v="1.78"/>
    <s v="86.00067"/>
    <n v="153.08000000000001"/>
    <n v="153.08000000000001"/>
  </r>
  <r>
    <x v="9"/>
    <x v="0"/>
    <s v="Customer Invoice/DN"/>
    <s v="SRIKARAM PRESCIENCE PVT. LTD."/>
    <s v="Transportation In Chgs - 01 - 15 JUN 25"/>
    <s v="USD"/>
    <n v="200"/>
    <s v="86.00067"/>
    <n v="17200.13"/>
    <n v="17200.13"/>
  </r>
  <r>
    <x v="9"/>
    <x v="0"/>
    <s v="Customer Invoice/DN"/>
    <s v="SRIKARAM PRESCIENCE PVT. LTD."/>
    <s v="Outbound chgs - 01 - 15 Jun 25"/>
    <s v="USD"/>
    <n v="10.5"/>
    <s v="86.00067"/>
    <n v="903.01"/>
    <n v="903.01"/>
  </r>
  <r>
    <x v="9"/>
    <x v="0"/>
    <s v="Customer Invoice/DN"/>
    <s v="SRIKARAM PRESCIENCE PVT. LTD."/>
    <s v="Loose chgs - 01 - 15 Jun 25"/>
    <s v="USD"/>
    <n v="4.78"/>
    <s v="86.00067"/>
    <n v="411.08"/>
    <n v="411.08"/>
  </r>
  <r>
    <x v="9"/>
    <x v="0"/>
    <s v="Customer Invoice/DN"/>
    <s v="SRIKARAM PRESCIENCE PVT. LTD."/>
    <s v="Inbound chgs - 16 - 30 JUN 25"/>
    <s v="USD"/>
    <n v="16.78"/>
    <s v="86.00067"/>
    <n v="1443.09"/>
    <n v="1443.09"/>
  </r>
  <r>
    <x v="9"/>
    <x v="0"/>
    <s v="Customer Invoice/DN"/>
    <s v="SRIKARAM PRESCIENCE PVT. LTD."/>
    <s v="Loose chgs - 16 - 30 JUN 25"/>
    <s v="USD"/>
    <n v="5.44"/>
    <s v="86.00067"/>
    <n v="467.84"/>
    <n v="467.84"/>
  </r>
  <r>
    <x v="9"/>
    <x v="0"/>
    <s v="Customer Invoice/DN"/>
    <s v="SRIKARAM PRESCIENCE PVT. LTD."/>
    <s v="Fixed Storage Charges fo JULY 2025"/>
    <s v="USD"/>
    <n v="1800"/>
    <s v="86.00067"/>
    <n v="154801.21"/>
    <n v="154801.21"/>
  </r>
  <r>
    <x v="9"/>
    <x v="0"/>
    <s v="Customer Invoice/DN"/>
    <s v="SRIKARAM PRESCIENCE PVT. LTD."/>
    <s v="Outbound chgs - 16 - 30 Jun 25"/>
    <s v="USD"/>
    <n v="168.95"/>
    <s v="86.00067"/>
    <n v="14529.82"/>
    <n v="14529.82"/>
  </r>
  <r>
    <x v="9"/>
    <x v="0"/>
    <s v="Customer Invoice/DN"/>
    <s v="SRIKARAM PRESCIENCE PVT. LTD."/>
    <s v="Loose chgs - 16 - 30 Jun 25"/>
    <s v="USD"/>
    <n v="6.44"/>
    <s v="86.00067"/>
    <n v="553.84"/>
    <n v="553.84"/>
  </r>
  <r>
    <x v="9"/>
    <x v="0"/>
    <s v="Customer Invoice/DN"/>
    <s v="SRIKARAM PRESCIENCE PVT. LTD."/>
    <s v="Unit Storage - 1-30 June 25"/>
    <s v="USD"/>
    <n v="1521.18"/>
    <s v="86.00067"/>
    <n v="130822.5"/>
    <n v="130822.5"/>
  </r>
  <r>
    <x v="9"/>
    <x v="0"/>
    <s v="Customer Invoice/DN"/>
    <s v="SRIKARAM PRESCIENCE PVT. LTD."/>
    <s v="VAS - 16-30 June 25"/>
    <s v="USD"/>
    <n v="164.73"/>
    <s v="86.00067"/>
    <n v="14166.89"/>
    <n v="14166.89"/>
  </r>
  <r>
    <x v="7"/>
    <x v="0"/>
    <s v="Customer Invoice/DN"/>
    <s v="SRIKARAM PRESCIENCE PVT. LTD."/>
    <s v="Inbound Handling charges for Feb 2025"/>
    <s v="USD"/>
    <n v="1.75"/>
    <s v="86.92182"/>
    <n v="152.11000000000001"/>
    <n v="152.11000000000001"/>
  </r>
  <r>
    <x v="7"/>
    <x v="0"/>
    <s v="Customer Invoice/DN"/>
    <s v="SRIKARAM PRESCIENCE PVT. LTD."/>
    <s v="Inbound Handling charges for 31 Mar 2025"/>
    <s v="USD"/>
    <n v="10.82"/>
    <s v="86.92182"/>
    <n v="940.5"/>
    <n v="940.5"/>
  </r>
  <r>
    <x v="7"/>
    <x v="0"/>
    <s v="Customer Invoice/DN"/>
    <s v="SRIKARAM PRESCIENCE PVT. LTD."/>
    <s v="Loose Unloading charges for 31 Mar 2025"/>
    <s v="USD"/>
    <n v="2.2000000000000002"/>
    <s v="86.92182"/>
    <n v="191.23"/>
    <n v="191.23"/>
  </r>
  <r>
    <x v="7"/>
    <x v="0"/>
    <s v="Customer Invoice/DN"/>
    <s v="SRIKARAM PRESCIENCE PVT. LTD."/>
    <s v="Outbound Handling charges for 31 Mar 25"/>
    <s v="USD"/>
    <n v="3.85"/>
    <s v="86.92182"/>
    <n v="334.65"/>
    <n v="334.65"/>
  </r>
  <r>
    <x v="7"/>
    <x v="0"/>
    <s v="Customer Invoice/DN"/>
    <s v="SRIKARAM PRESCIENCE PVT. LTD."/>
    <s v="Loose Loading Handling charges for 31 Ma"/>
    <s v="USD"/>
    <n v="2.2000000000000002"/>
    <s v="86.92182"/>
    <n v="191.23"/>
    <n v="191.23"/>
  </r>
  <r>
    <x v="23"/>
    <x v="0"/>
    <s v="Customer Invoice/DN"/>
    <s v="SRIKARAM PRESCIENCE PVT. LTD."/>
    <s v="VAS Activity Charges for the month of Se"/>
    <s v="USD"/>
    <n v="245.69"/>
    <s v="86.69126"/>
    <n v="21299.18"/>
    <n v="21299.18"/>
  </r>
  <r>
    <x v="23"/>
    <x v="0"/>
    <s v="Customer Invoice/DN"/>
    <s v="SRIKARAM PRESCIENCE PVT. LTD."/>
    <s v="VAS Activity Charges for the month of Se"/>
    <s v="USD"/>
    <n v="69.819999999999993"/>
    <s v="86.69126"/>
    <n v="6052.78"/>
    <n v="6052.78"/>
  </r>
  <r>
    <x v="23"/>
    <x v="0"/>
    <s v="Customer Invoice/DN"/>
    <s v="SRIKARAM PRESCIENCE PVT. LTD."/>
    <s v="VAS Activity Charges for the month of Se"/>
    <s v="USD"/>
    <n v="71.61"/>
    <s v="86.69126"/>
    <n v="6207.96"/>
    <n v="6207.96"/>
  </r>
  <r>
    <x v="23"/>
    <x v="0"/>
    <s v="Customer Invoice/DN"/>
    <s v="SRIKARAM PRESCIENCE PVT. LTD."/>
    <s v="VAS Activity Charges for the month of Se"/>
    <s v="USD"/>
    <n v="61.82"/>
    <s v="86.69126"/>
    <n v="5359.25"/>
    <n v="5359.25"/>
  </r>
  <r>
    <x v="23"/>
    <x v="0"/>
    <s v="Customer Invoice/DN"/>
    <s v="SRIKARAM PRESCIENCE PVT. LTD."/>
    <s v="VAS Activity Charges for the month of De"/>
    <s v="USD"/>
    <n v="122.18"/>
    <s v="86.69126"/>
    <n v="10591.94"/>
    <n v="10591.94"/>
  </r>
  <r>
    <x v="21"/>
    <x v="0"/>
    <s v="Customer Invoice/DN"/>
    <s v="SRIKARAM PRESCIENCE PVT. LTD."/>
    <s v="Fixed Storage Charges for November 2025"/>
    <s v="USD"/>
    <n v="1800"/>
    <s v="88.00339"/>
    <n v="158406.1"/>
    <n v="158406.1"/>
  </r>
  <r>
    <x v="21"/>
    <x v="0"/>
    <s v="Customer Invoice/DN"/>
    <s v="SRIKARAM PRESCIENCE PVT. LTD."/>
    <s v="WEIGHTMENT-16 -31 Oct 25"/>
    <s v="USD"/>
    <n v="13.53"/>
    <s v="88.00339"/>
    <n v="1190.69"/>
    <n v="1190.69"/>
  </r>
  <r>
    <x v="21"/>
    <x v="0"/>
    <s v="Customer Invoice/DN"/>
    <s v="SRIKARAM PRESCIENCE PVT. LTD."/>
    <s v="Unit Storage - 1-31 Oct 2025"/>
    <s v="USD"/>
    <n v="1068.54"/>
    <s v="88.00339"/>
    <n v="94035.14"/>
    <n v="94035.14"/>
  </r>
  <r>
    <x v="21"/>
    <x v="0"/>
    <s v="Customer Invoice/DN"/>
    <s v="SRIKARAM PRESCIENCE PVT. LTD."/>
    <s v="Transportation In Chgs - 16 - 31 Oct 25"/>
    <s v="USD"/>
    <n v="140"/>
    <s v="88.00339"/>
    <n v="12320.47"/>
    <n v="12320.47"/>
  </r>
  <r>
    <x v="21"/>
    <x v="0"/>
    <s v="Customer Invoice/DN"/>
    <s v="SRIKARAM PRESCIENCE PVT. LTD."/>
    <s v="Scanning  Chgs - 16 - 31 Oct 25"/>
    <s v="USD"/>
    <n v="35"/>
    <s v="88.00339"/>
    <n v="3080.12"/>
    <n v="3080.12"/>
  </r>
  <r>
    <x v="21"/>
    <x v="0"/>
    <s v="Customer Invoice/DN"/>
    <s v="SRIKARAM PRESCIENCE PVT. LTD."/>
    <s v="Outbound chgs - 16 - 31 Oct 25"/>
    <s v="USD"/>
    <n v="81.03"/>
    <s v="88.00339"/>
    <n v="7130.92"/>
    <n v="7130.92"/>
  </r>
  <r>
    <x v="21"/>
    <x v="0"/>
    <s v="Customer Invoice/DN"/>
    <s v="SRIKARAM PRESCIENCE PVT. LTD."/>
    <s v="Loose chgs - 16 - 31 Oct 25"/>
    <s v="USD"/>
    <n v="41.61"/>
    <s v="88.00339"/>
    <n v="3661.82"/>
    <n v="3661.82"/>
  </r>
  <r>
    <x v="21"/>
    <x v="0"/>
    <s v="Customer Invoice/DN"/>
    <s v="SRIKARAM PRESCIENCE PVT. LTD."/>
    <s v="Transportation Out chgs - 16 - 31 Oct 25"/>
    <s v="USD"/>
    <n v="140"/>
    <s v="88.00339"/>
    <n v="12320.47"/>
    <n v="12320.47"/>
  </r>
  <r>
    <x v="21"/>
    <x v="0"/>
    <s v="Customer Invoice/DN"/>
    <s v="SRIKARAM PRESCIENCE PVT. LTD."/>
    <s v="Empty Lolo Chgs - 01 - 31 OCT 25"/>
    <s v="USD"/>
    <n v="13.3"/>
    <s v="88.00339"/>
    <n v="1170.45"/>
    <n v="1170.45"/>
  </r>
  <r>
    <x v="21"/>
    <x v="0"/>
    <s v="Customer Invoice/DN"/>
    <s v="SRIKARAM PRESCIENCE PVT. LTD."/>
    <s v="PORT SSR Chgs Oct 25"/>
    <s v="USD"/>
    <n v="146.19"/>
    <s v="88.00339"/>
    <n v="12865.22"/>
    <n v="12865.22"/>
  </r>
  <r>
    <x v="21"/>
    <x v="0"/>
    <s v="Customer Invoice/DN"/>
    <s v="SRIKARAM PRESCIENCE PVT. LTD."/>
    <s v="Detention Chgs - OCT 25"/>
    <s v="USD"/>
    <n v="197.23"/>
    <s v="88.00339"/>
    <n v="17356.91"/>
    <n v="17356.91"/>
  </r>
  <r>
    <x v="12"/>
    <x v="0"/>
    <s v="Customer Invoice/DN"/>
    <s v="SRIKARAM PRESCIENCE PVT. LTD."/>
    <s v="Unit Storage - 1-31 July 25"/>
    <s v="USD"/>
    <n v="1267.5"/>
    <s v="86.03012"/>
    <n v="109043.18"/>
    <n v="109043.18"/>
  </r>
  <r>
    <x v="12"/>
    <x v="0"/>
    <s v="Customer Invoice/DN"/>
    <s v="SRIKARAM PRESCIENCE PVT. LTD."/>
    <s v="Empty Lolo Chgs - 01 - 31 JUL 25"/>
    <s v="USD"/>
    <n v="26.27"/>
    <s v="86.03012"/>
    <n v="2260.0100000000002"/>
    <n v="2260.0100000000002"/>
  </r>
  <r>
    <x v="12"/>
    <x v="0"/>
    <s v="Customer Invoice/DN"/>
    <s v="SRIKARAM PRESCIENCE PVT. LTD."/>
    <s v="Inbound chgs - 16 - 31 JUL 25"/>
    <s v="USD"/>
    <n v="53.68"/>
    <s v="86.03012"/>
    <n v="4618.1000000000004"/>
    <n v="4618.1000000000004"/>
  </r>
  <r>
    <x v="12"/>
    <x v="0"/>
    <s v="Customer Invoice/DN"/>
    <s v="SRIKARAM PRESCIENCE PVT. LTD."/>
    <s v="Loose chgs - 16 - 31 JUL 25"/>
    <s v="USD"/>
    <n v="3.65"/>
    <s v="86.03012"/>
    <n v="314.01"/>
    <n v="314.01"/>
  </r>
  <r>
    <x v="12"/>
    <x v="0"/>
    <s v="Customer Invoice/DN"/>
    <s v="SRIKARAM PRESCIENCE PVT. LTD."/>
    <s v="Outbound chgs - 16 - 31 Jul 25"/>
    <s v="USD"/>
    <n v="15.53"/>
    <s v="86.03012"/>
    <n v="1336.04"/>
    <n v="1336.04"/>
  </r>
  <r>
    <x v="12"/>
    <x v="0"/>
    <s v="Customer Invoice/DN"/>
    <s v="SRIKARAM PRESCIENCE PVT. LTD."/>
    <s v="Loose chgs - 16 - 31 Jul 25"/>
    <s v="USD"/>
    <n v="7.17"/>
    <s v="86.03012"/>
    <n v="616.84"/>
    <n v="616.84"/>
  </r>
  <r>
    <x v="12"/>
    <x v="0"/>
    <s v="Customer Invoice/DN"/>
    <s v="SRIKARAM PRESCIENCE PVT. LTD."/>
    <s v="VAS 16-31 July 25"/>
    <s v="USD"/>
    <n v="358.32"/>
    <s v="86.03012"/>
    <n v="30826.31"/>
    <n v="30826.31"/>
  </r>
  <r>
    <x v="12"/>
    <x v="0"/>
    <s v="Customer Invoice/DN"/>
    <s v="SRIKARAM PRESCIENCE PVT. LTD."/>
    <s v="Weighment - 16-31 July 25"/>
    <s v="USD"/>
    <n v="13.71"/>
    <s v="86.03012"/>
    <n v="1179.47"/>
    <n v="1179.47"/>
  </r>
  <r>
    <x v="12"/>
    <x v="0"/>
    <s v="Customer Invoice/DN"/>
    <s v="SRIKARAM PRESCIENCE PVT. LTD."/>
    <s v="PORT SSR Chgs July 25"/>
    <s v="USD"/>
    <n v="56.33"/>
    <s v="86.03012"/>
    <n v="4846.08"/>
    <n v="4846.08"/>
  </r>
  <r>
    <x v="14"/>
    <x v="0"/>
    <s v="Customer Invoice/DN"/>
    <s v="SRIKARAM PRESCIENCE PVT. LTD."/>
    <s v="VAS -16-31 Aug 25"/>
    <s v="USD"/>
    <n v="75.13"/>
    <s v="87.51433"/>
    <n v="6574.95"/>
    <n v="6574.95"/>
  </r>
  <r>
    <x v="14"/>
    <x v="0"/>
    <s v="Customer Invoice/DN"/>
    <s v="SRIKARAM PRESCIENCE PVT. LTD."/>
    <s v="Transportation In Chgs - 16 - 31 Aug 25"/>
    <s v="USD"/>
    <n v="140"/>
    <s v="87.51433"/>
    <n v="12252.01"/>
    <n v="12252.01"/>
  </r>
  <r>
    <x v="14"/>
    <x v="0"/>
    <s v="Customer Invoice/DN"/>
    <s v="SRIKARAM PRESCIENCE PVT. LTD."/>
    <s v="Inbound chgs - 16 - 31 AUG 25"/>
    <s v="USD"/>
    <n v="100.2"/>
    <s v="87.51433"/>
    <n v="8768.94"/>
    <n v="8768.94"/>
  </r>
  <r>
    <x v="14"/>
    <x v="0"/>
    <s v="Customer Invoice/DN"/>
    <s v="SRIKARAM PRESCIENCE PVT. LTD."/>
    <s v="Loose chgs - 16 - 31 AUG 25"/>
    <s v="USD"/>
    <n v="3.2"/>
    <s v="87.51433"/>
    <n v="280.05"/>
    <n v="280.05"/>
  </r>
  <r>
    <x v="14"/>
    <x v="0"/>
    <s v="Customer Invoice/DN"/>
    <s v="SRIKARAM PRESCIENCE PVT. LTD."/>
    <s v="Transportation In Chgs - 16 - 31 AUG 25"/>
    <s v="USD"/>
    <n v="460"/>
    <s v="87.51433"/>
    <n v="40256.589999999997"/>
    <n v="40256.589999999997"/>
  </r>
  <r>
    <x v="14"/>
    <x v="0"/>
    <s v="Customer Invoice/DN"/>
    <s v="SRIKARAM PRESCIENCE PVT. LTD."/>
    <s v="Outbound chgs - 16 - 31 Aug 25"/>
    <s v="USD"/>
    <n v="9.24"/>
    <s v="87.51433"/>
    <n v="808.63"/>
    <n v="808.63"/>
  </r>
  <r>
    <x v="14"/>
    <x v="0"/>
    <s v="Customer Invoice/DN"/>
    <s v="SRIKARAM PRESCIENCE PVT. LTD."/>
    <s v="Loose chgs - 16 - 31 Aug 25"/>
    <s v="USD"/>
    <n v="4.28"/>
    <s v="87.51433"/>
    <n v="374.56"/>
    <n v="374.56"/>
  </r>
  <r>
    <x v="14"/>
    <x v="0"/>
    <s v="Customer Invoice/DN"/>
    <s v="SRIKARAM PRESCIENCE PVT. LTD."/>
    <s v="Fixed Storage Charges for September 2025"/>
    <s v="USD"/>
    <n v="1800"/>
    <s v="87.51433"/>
    <n v="157525.79"/>
    <n v="157525.79"/>
  </r>
  <r>
    <x v="24"/>
    <x v="0"/>
    <s v="Customer Invoice/DN"/>
    <s v="SRIKARAM PRESCIENCE PVT. LTD."/>
    <s v="Storage for the month of Nov 2024"/>
    <s v="USD"/>
    <n v="2306.52"/>
    <s v="86.69126"/>
    <n v="199955.13"/>
    <n v="199955.13"/>
  </r>
  <r>
    <x v="24"/>
    <x v="0"/>
    <s v="Customer Invoice/DN"/>
    <s v="SRIKARAM PRESCIENCE PVT. LTD."/>
    <s v="Storage for the month of Dec 2024"/>
    <s v="USD"/>
    <n v="2390.58"/>
    <s v="86.69126"/>
    <n v="207242.39"/>
    <n v="207242.39"/>
  </r>
  <r>
    <x v="25"/>
    <x v="1"/>
    <s v="Customer Credit Memo"/>
    <s v="SRIKARAM PRESCIENCE PVT. LTD."/>
    <s v="Credit Note against 246779413091"/>
    <s v="USD"/>
    <n v="-368.88"/>
    <s v="86.69126"/>
    <n v="-31978.67"/>
    <n v="-31978.67"/>
  </r>
  <r>
    <x v="25"/>
    <x v="1"/>
    <s v="Customer Credit Memo"/>
    <s v="SRIKARAM PRESCIENCE PVT. LTD."/>
    <s v="Credit Note against 256779412933"/>
    <s v="USD"/>
    <n v="-189.12"/>
    <s v="86.92182"/>
    <n v="-16438.66"/>
    <n v="-16438.66"/>
  </r>
  <r>
    <x v="25"/>
    <x v="1"/>
    <s v="Customer Credit Memo"/>
    <s v="SRIKARAM PRESCIENCE PVT. LTD."/>
    <s v="Credit Note against 256779412933"/>
    <s v="USD"/>
    <n v="-1.0900000000000001"/>
    <s v="86.92182"/>
    <n v="-94.74"/>
    <n v="-94.74"/>
  </r>
  <r>
    <x v="14"/>
    <x v="0"/>
    <s v="Customer Invoice/DN"/>
    <s v="SRIKARAM PRESCIENCE PVT. LTD."/>
    <s v="PORT SSR Chgs Aug 25"/>
    <s v="USD"/>
    <n v="108.12"/>
    <s v="87.51433"/>
    <n v="9462.0499999999993"/>
    <n v="9462.0499999999993"/>
  </r>
  <r>
    <x v="26"/>
    <x v="0"/>
    <s v="Customer Invoice/DN"/>
    <s v="SRIKARAM PRESCIENCE PVT. LTD."/>
    <s v="VAS Activity Charges for the month of Au"/>
    <s v="USD"/>
    <n v="77.2"/>
    <s v="86.69126"/>
    <n v="6692.57"/>
    <n v="6692.57"/>
  </r>
  <r>
    <x v="26"/>
    <x v="0"/>
    <s v="Customer Invoice/DN"/>
    <s v="SRIKARAM PRESCIENCE PVT. LTD."/>
    <s v="VAS Activity Charges for the month of Au"/>
    <s v="USD"/>
    <n v="77.2"/>
    <s v="86.69126"/>
    <n v="6692.57"/>
    <n v="6692.57"/>
  </r>
  <r>
    <x v="27"/>
    <x v="0"/>
    <s v="Customer Invoice/DN"/>
    <s v="SRIKARAM PRESCIENCE PVT. LTD."/>
    <s v="Storage Charges Feb, 25"/>
    <s v="USD"/>
    <n v="1394.64"/>
    <s v="86.92182"/>
    <n v="121224.65"/>
    <n v="121224.65"/>
  </r>
  <r>
    <x v="27"/>
    <x v="0"/>
    <s v="Customer Invoice/DN"/>
    <s v="SRIKARAM PRESCIENCE PVT. LTD."/>
    <s v="Storage Charges Jan, 25"/>
    <s v="USD"/>
    <n v="2592.75"/>
    <s v="86.92182"/>
    <n v="225366.55"/>
    <n v="225366.55"/>
  </r>
  <r>
    <x v="28"/>
    <x v="1"/>
    <s v="Customer Credit Memo"/>
    <s v="SRIKARAM PRESCIENCE PVT. LTD."/>
    <s v="Credit note against 246779412247"/>
    <s v="USD"/>
    <n v="-77.2"/>
    <s v="86.69126"/>
    <n v="-6692.57"/>
    <n v="-6692.57"/>
  </r>
  <r>
    <x v="28"/>
    <x v="1"/>
    <s v="Customer Credit Memo"/>
    <s v="SRIKARAM PRESCIENCE PVT. LTD."/>
    <s v="Credit note against 256779410280"/>
    <s v="USD"/>
    <n v="-1800"/>
    <s v="86.92182"/>
    <n v="-156459.28"/>
    <n v="-156459.28"/>
  </r>
  <r>
    <x v="28"/>
    <x v="1"/>
    <s v="Customer Credit Memo"/>
    <s v="SRIKARAM PRESCIENCE PVT. LTD."/>
    <s v="Credit note against 256779410239"/>
    <s v="USD"/>
    <n v="-1800"/>
    <s v="86.92182"/>
    <n v="-156459.28"/>
    <n v="-156459.28"/>
  </r>
  <r>
    <x v="4"/>
    <x v="0"/>
    <s v="Customer Invoice/DN"/>
    <s v="SRIKARAM PRESCIENCE PVT. LTD."/>
    <s v="CY Longstanding container Ground Rent ch"/>
    <s v="USD"/>
    <n v="450"/>
    <s v="86.92182"/>
    <n v="39114.82"/>
    <n v="39114.82"/>
  </r>
  <r>
    <x v="4"/>
    <x v="0"/>
    <s v="Customer Invoice/DN"/>
    <s v="SRIKARAM PRESCIENCE PVT. LTD."/>
    <s v="CY Longstanding container Ground Rent ch"/>
    <s v="USD"/>
    <n v="450"/>
    <s v="86.92182"/>
    <n v="39114.82"/>
    <n v="39114.82"/>
  </r>
  <r>
    <x v="4"/>
    <x v="0"/>
    <s v="Customer Invoice/DN"/>
    <s v="SRIKARAM PRESCIENCE PVT. LTD."/>
    <s v="Inbound Handling charges for Mar 2025"/>
    <s v="USD"/>
    <n v="5.25"/>
    <s v="86.92182"/>
    <n v="456.34"/>
    <n v="456.34"/>
  </r>
  <r>
    <x v="4"/>
    <x v="0"/>
    <s v="Customer Invoice/DN"/>
    <s v="SRIKARAM PRESCIENCE PVT. LTD."/>
    <s v="LCL charges for Mar 2025"/>
    <s v="USD"/>
    <n v="3.5"/>
    <s v="86.92182"/>
    <n v="304.23"/>
    <n v="304.23"/>
  </r>
  <r>
    <x v="4"/>
    <x v="0"/>
    <s v="Customer Invoice/DN"/>
    <s v="SRIKARAM PRESCIENCE PVT. LTD."/>
    <s v="CY Longstanding container Ground Rent ch"/>
    <s v="USD"/>
    <n v="465"/>
    <s v="86.92182"/>
    <n v="40418.65"/>
    <n v="40418.65"/>
  </r>
  <r>
    <x v="4"/>
    <x v="0"/>
    <s v="Customer Invoice/DN"/>
    <s v="SRIKARAM PRESCIENCE PVT. LTD."/>
    <s v="Fixed Rental charges for Jan 2025"/>
    <s v="USD"/>
    <n v="1800"/>
    <s v="86.92182"/>
    <n v="156459.28"/>
    <n v="156459.28"/>
  </r>
  <r>
    <x v="4"/>
    <x v="0"/>
    <s v="Customer Invoice/DN"/>
    <s v="SRIKARAM PRESCIENCE PVT. LTD."/>
    <s v="Fixed Rental charges for Feb 2025"/>
    <s v="USD"/>
    <n v="1800"/>
    <s v="86.92182"/>
    <n v="156459.28"/>
    <n v="156459.28"/>
  </r>
  <r>
    <x v="2"/>
    <x v="1"/>
    <s v="Customer Credit Memo"/>
    <s v="SRIKARAM PRESCIENCE PVT. LTD."/>
    <s v="Credit note raised against 256779413888"/>
    <s v="USD"/>
    <n v="-5.25"/>
    <s v="85.98370"/>
    <n v="-451.41"/>
    <n v="-451.41"/>
  </r>
  <r>
    <x v="2"/>
    <x v="0"/>
    <s v="Customer Invoice/DN"/>
    <s v="SRIKARAM PRESCIENCE PVT. LTD."/>
    <s v="Inbound chgs -01-15 MAY 25"/>
    <s v="USD"/>
    <n v="5.25"/>
    <s v="86.00067"/>
    <n v="451.5"/>
    <n v="451.5"/>
  </r>
  <r>
    <x v="4"/>
    <x v="0"/>
    <s v="Customer Invoice/DN"/>
    <s v="SRIKARAM PRESCIENCE PVT. LTD."/>
    <s v="CY Longstanding container Ground Rent ch"/>
    <s v="USD"/>
    <n v="465"/>
    <s v="86.92182"/>
    <n v="40418.65"/>
    <n v="40418.65"/>
  </r>
  <r>
    <x v="10"/>
    <x v="0"/>
    <s v="Customer Invoice/DN"/>
    <s v="SRIKARAM PRESCIENCE PVT. LTD."/>
    <s v="Inbound chgs - 01 - 15 JUL 25"/>
    <s v="USD"/>
    <n v="22.66"/>
    <s v="86.00067"/>
    <n v="1948.78"/>
    <n v="1948.78"/>
  </r>
  <r>
    <x v="10"/>
    <x v="0"/>
    <s v="Customer Invoice/DN"/>
    <s v="SRIKARAM PRESCIENCE PVT. LTD."/>
    <s v="Loose chgs - 01 - 15 JUL 25"/>
    <s v="USD"/>
    <n v="1.53"/>
    <s v="86.00067"/>
    <n v="131.58000000000001"/>
    <n v="131.58000000000001"/>
  </r>
  <r>
    <x v="10"/>
    <x v="0"/>
    <s v="Customer Invoice/DN"/>
    <s v="SRIKARAM PRESCIENCE PVT. LTD."/>
    <s v="Transportation In Chgs - 01 - 15 JUL 25"/>
    <s v="USD"/>
    <n v="110"/>
    <s v="86.00067"/>
    <n v="9460.07"/>
    <n v="9460.07"/>
  </r>
  <r>
    <x v="10"/>
    <x v="0"/>
    <s v="Customer Invoice/DN"/>
    <s v="SRIKARAM PRESCIENCE PVT. LTD."/>
    <s v="Inbound chgs - 01 - 15 JUL 25"/>
    <s v="USD"/>
    <n v="22.66"/>
    <s v="86.00067"/>
    <n v="1948.78"/>
    <n v="1948.78"/>
  </r>
  <r>
    <x v="10"/>
    <x v="0"/>
    <s v="Customer Invoice/DN"/>
    <s v="SRIKARAM PRESCIENCE PVT. LTD."/>
    <s v="Loose chgs - 01 - 15 JUL 25"/>
    <s v="USD"/>
    <n v="1.53"/>
    <s v="86.00067"/>
    <n v="131.58000000000001"/>
    <n v="131.58000000000001"/>
  </r>
  <r>
    <x v="10"/>
    <x v="0"/>
    <s v="Customer Invoice/DN"/>
    <s v="SRIKARAM PRESCIENCE PVT. LTD."/>
    <s v="Transportation In Chgs - 01 - 15 JUL 25"/>
    <s v="USD"/>
    <n v="110"/>
    <s v="86.00067"/>
    <n v="9460.07"/>
    <n v="9460.07"/>
  </r>
  <r>
    <x v="29"/>
    <x v="0"/>
    <s v="Customer Invoice/DN"/>
    <s v="SRIKARAM PRESCIENCE PVT. LTD."/>
    <s v="Empty Lolo Chgs - 01 - 30 SEP 25"/>
    <s v="USD"/>
    <n v="29.9"/>
    <s v="88.19077"/>
    <n v="2636.9"/>
    <n v="2636.9"/>
  </r>
  <r>
    <x v="29"/>
    <x v="0"/>
    <s v="Customer Invoice/DN"/>
    <s v="SRIKARAM PRESCIENCE PVT. LTD."/>
    <s v="Inbound chgs - 16 - 30 SEP 25"/>
    <s v="USD"/>
    <n v="40.85"/>
    <s v="88.19077"/>
    <n v="3602.59"/>
    <n v="3602.59"/>
  </r>
  <r>
    <x v="29"/>
    <x v="0"/>
    <s v="Customer Invoice/DN"/>
    <s v="SRIKARAM PRESCIENCE PVT. LTD."/>
    <s v="Transportation IN Chgs - 16 - 30 SEP 25"/>
    <s v="USD"/>
    <n v="230"/>
    <s v="88.19077"/>
    <n v="20283.88"/>
    <n v="20283.88"/>
  </r>
  <r>
    <x v="29"/>
    <x v="0"/>
    <s v="Customer Invoice/DN"/>
    <s v="SRIKARAM PRESCIENCE PVT. LTD."/>
    <s v="Outbound chgs - 16 - 30 Sep 25"/>
    <s v="USD"/>
    <n v="153.58000000000001"/>
    <s v="88.19077"/>
    <n v="13544.34"/>
    <n v="13544.34"/>
  </r>
  <r>
    <x v="29"/>
    <x v="0"/>
    <s v="Customer Invoice/DN"/>
    <s v="SRIKARAM PRESCIENCE PVT. LTD."/>
    <s v="Loose chgs - 16 - 30 Sep 25"/>
    <s v="USD"/>
    <n v="2.5"/>
    <s v="88.19077"/>
    <n v="220.48"/>
    <n v="220.48"/>
  </r>
  <r>
    <x v="29"/>
    <x v="0"/>
    <s v="Customer Invoice/DN"/>
    <s v="SRIKARAM PRESCIENCE PVT. LTD."/>
    <s v="Fixed Storage Charges for October 2025"/>
    <s v="USD"/>
    <n v="1800"/>
    <s v="88.19077"/>
    <n v="158743.39000000001"/>
    <n v="158743.39000000001"/>
  </r>
  <r>
    <x v="29"/>
    <x v="0"/>
    <s v="Customer Invoice/DN"/>
    <s v="SRIKARAM PRESCIENCE PVT. LTD."/>
    <s v="Outbound chgs - 16 - 30 Sep 25"/>
    <s v="USD"/>
    <n v="153.58000000000001"/>
    <s v="88.19077"/>
    <n v="13544.34"/>
    <n v="13544.34"/>
  </r>
  <r>
    <x v="29"/>
    <x v="0"/>
    <s v="Customer Invoice/DN"/>
    <s v="SRIKARAM PRESCIENCE PVT. LTD."/>
    <s v="Loose chgs - 16 - 30 Sep 25"/>
    <s v="USD"/>
    <n v="2.5"/>
    <s v="88.19077"/>
    <n v="220.48"/>
    <n v="220.48"/>
  </r>
  <r>
    <x v="29"/>
    <x v="0"/>
    <s v="Customer Invoice/DN"/>
    <s v="SRIKARAM PRESCIENCE PVT. LTD."/>
    <s v="PORT SSR Chgs Sep 25"/>
    <s v="USD"/>
    <n v="51.34"/>
    <s v="88.19077"/>
    <n v="4527.71"/>
    <n v="4527.71"/>
  </r>
  <r>
    <x v="30"/>
    <x v="0"/>
    <s v="Customer Invoice/DN"/>
    <s v="SRIKARAM PRESCIENCE PVT. LTD."/>
    <s v="Fixed Rental charges for Sept 2024"/>
    <s v="USD"/>
    <n v="1800"/>
    <s v="86.30366"/>
    <n v="155346.59"/>
    <n v="155346.59"/>
  </r>
  <r>
    <x v="30"/>
    <x v="0"/>
    <s v="Customer Invoice/DN"/>
    <s v="SRIKARAM PRESCIENCE PVT. LTD."/>
    <s v="Fixed Rental charges for Feb 2025"/>
    <s v="USD"/>
    <n v="1800"/>
    <s v="86.30366"/>
    <n v="155346.59"/>
    <n v="155346.59"/>
  </r>
  <r>
    <x v="10"/>
    <x v="0"/>
    <s v="Customer Invoice/DN"/>
    <s v="SRIKARAM PRESCIENCE PVT. LTD."/>
    <s v="PORT SSR Chgs May &amp; June 25"/>
    <s v="USD"/>
    <n v="110.95"/>
    <s v="86.00067"/>
    <n v="9541.77"/>
    <n v="9541.77"/>
  </r>
  <r>
    <x v="10"/>
    <x v="0"/>
    <s v="Customer Invoice/DN"/>
    <s v="SRIKARAM PRESCIENCE PVT. LTD."/>
    <s v="CODC Inbound chgs - 01 - 15 July 25"/>
    <s v="USD"/>
    <n v="11.09"/>
    <s v="86.00067"/>
    <n v="953.75"/>
    <n v="953.75"/>
  </r>
  <r>
    <x v="10"/>
    <x v="0"/>
    <s v="Customer Invoice/DN"/>
    <s v="SRIKARAM PRESCIENCE PVT. LTD."/>
    <s v="CODC Out chgs - 01 - 15 July 25"/>
    <s v="USD"/>
    <n v="73.739999999999995"/>
    <s v="86.00067"/>
    <n v="6341.69"/>
    <n v="6341.69"/>
  </r>
  <r>
    <x v="10"/>
    <x v="0"/>
    <s v="Customer Invoice/DN"/>
    <s v="SRIKARAM PRESCIENCE PVT. LTD."/>
    <s v="Outbound chgs - 01 - 15 Jul 25"/>
    <s v="USD"/>
    <n v="1.75"/>
    <s v="86.00067"/>
    <n v="150.5"/>
    <n v="150.5"/>
  </r>
  <r>
    <x v="10"/>
    <x v="0"/>
    <s v="Customer Invoice/DN"/>
    <s v="SRIKARAM PRESCIENCE PVT. LTD."/>
    <s v="Transportation In Chgs - 01 - 15 Jul 25"/>
    <s v="USD"/>
    <n v="200"/>
    <s v="86.00067"/>
    <n v="17200.13"/>
    <n v="17200.13"/>
  </r>
  <r>
    <x v="30"/>
    <x v="0"/>
    <s v="Customer Invoice/DN"/>
    <s v="SRIKARAM PRESCIENCE PVT. LTD."/>
    <s v="Fixed Rental charges for Nov 2024"/>
    <s v="USD"/>
    <n v="1800"/>
    <s v="86.30366"/>
    <n v="155346.59"/>
    <n v="155346.59"/>
  </r>
  <r>
    <x v="30"/>
    <x v="0"/>
    <s v="Customer Invoice/DN"/>
    <s v="SRIKARAM PRESCIENCE PVT. LTD."/>
    <s v="Fixed Rental charges for Dec 2024"/>
    <s v="USD"/>
    <n v="1800"/>
    <s v="86.30366"/>
    <n v="155346.59"/>
    <n v="155346.59"/>
  </r>
  <r>
    <x v="30"/>
    <x v="0"/>
    <s v="Customer Invoice/DN"/>
    <s v="SRIKARAM PRESCIENCE PVT. LTD."/>
    <s v="Fixed Rental charges for Jan 2025"/>
    <s v="USD"/>
    <n v="1800"/>
    <s v="86.30366"/>
    <n v="155346.59"/>
    <n v="155346.59"/>
  </r>
  <r>
    <x v="30"/>
    <x v="0"/>
    <s v="Customer Invoice/DN"/>
    <s v="SRIKARAM PRESCIENCE PVT. LTD."/>
    <s v="Fixed Rental charges for Oct 2024"/>
    <s v="USD"/>
    <n v="1800"/>
    <s v="86.30366"/>
    <n v="155346.59"/>
    <n v="155346.59"/>
  </r>
  <r>
    <x v="31"/>
    <x v="0"/>
    <s v="Customer Invoice/DN"/>
    <s v="SRIKARAM PRESCIENCE PVT. LTD."/>
    <s v="Fixed Storage Charges for April 2025"/>
    <s v="USD"/>
    <n v="188.79"/>
    <s v="85.81000"/>
    <n v="16200.07"/>
    <n v="16200.07"/>
  </r>
  <r>
    <x v="32"/>
    <x v="0"/>
    <s v="Customer Invoice/DN"/>
    <s v="SRIKARAM PRESCIENCE PVT. LTD."/>
    <s v="Storage  for the month of Sept  2024"/>
    <s v="USD"/>
    <n v="1894.32"/>
    <s v="86.69126"/>
    <n v="164220.99"/>
    <n v="164220.99"/>
  </r>
  <r>
    <x v="32"/>
    <x v="0"/>
    <s v="Customer Invoice/DN"/>
    <s v="SRIKARAM PRESCIENCE PVT. LTD."/>
    <s v="Storage for the month of Oct 2024"/>
    <s v="USD"/>
    <n v="1930.92"/>
    <s v="86.69126"/>
    <n v="167393.89000000001"/>
    <n v="167393.89000000001"/>
  </r>
  <r>
    <x v="15"/>
    <x v="0"/>
    <s v="Customer Invoice/DN"/>
    <s v="SRIKARAM PRESCIENCE PVT. LTD."/>
    <s v="Outbound chgs - 01 - 15 Sep 25"/>
    <s v="USD"/>
    <n v="30.1"/>
    <s v="87.51433"/>
    <n v="2634.18"/>
    <n v="2634.18"/>
  </r>
  <r>
    <x v="15"/>
    <x v="0"/>
    <s v="Customer Invoice/DN"/>
    <s v="SRIKARAM PRESCIENCE PVT. LTD."/>
    <s v="Loose chgs - 01 - 15 Sep 25"/>
    <s v="USD"/>
    <n v="11.2"/>
    <s v="87.51433"/>
    <n v="980.16"/>
    <n v="980.16"/>
  </r>
  <r>
    <x v="15"/>
    <x v="0"/>
    <s v="Customer Invoice/DN"/>
    <s v="SRIKARAM PRESCIENCE PVT. LTD."/>
    <s v="Inbound chgs - 01 - 15 SEP 25"/>
    <s v="USD"/>
    <n v="50.64"/>
    <s v="87.51433"/>
    <n v="4431.7299999999996"/>
    <n v="4431.7299999999996"/>
  </r>
  <r>
    <x v="15"/>
    <x v="0"/>
    <s v="Customer Invoice/DN"/>
    <s v="SRIKARAM PRESCIENCE PVT. LTD."/>
    <s v="Loose chgs - 01 - 15 SEP 25"/>
    <s v="USD"/>
    <n v="16.2"/>
    <s v="87.51433"/>
    <n v="1417.73"/>
    <n v="1417.73"/>
  </r>
  <r>
    <x v="16"/>
    <x v="0"/>
    <s v="Customer Invoice/DN"/>
    <s v="SRIKARAM PRESCIENCE PVT. LTD."/>
    <s v="VAS-Nov 1-15, 2025"/>
    <s v="USD"/>
    <n v="2040.23"/>
    <s v="88.00339"/>
    <n v="179547.16"/>
    <n v="179547.16"/>
  </r>
  <r>
    <x v="16"/>
    <x v="0"/>
    <s v="Customer Invoice/DN"/>
    <s v="SRIKARAM PRESCIENCE PVT. LTD."/>
    <s v="Inbound chgs - 01 - 15 NOV 25"/>
    <s v="USD"/>
    <n v="49.05"/>
    <s v="88.00339"/>
    <n v="4316.57"/>
    <n v="4316.57"/>
  </r>
  <r>
    <x v="16"/>
    <x v="0"/>
    <s v="Customer Invoice/DN"/>
    <s v="SRIKARAM PRESCIENCE PVT. LTD."/>
    <s v="Outbound chgs - 01 - 15 Nov 25"/>
    <s v="USD"/>
    <n v="28.71"/>
    <s v="88.00339"/>
    <n v="2526.5700000000002"/>
    <n v="2526.5700000000002"/>
  </r>
  <r>
    <x v="16"/>
    <x v="0"/>
    <s v="Customer Invoice/DN"/>
    <s v="SRIKARAM PRESCIENCE PVT. LTD."/>
    <s v="Loose chgs - 01 - 15 Nov 25"/>
    <s v="USD"/>
    <n v="13.5"/>
    <s v="88.00339"/>
    <n v="1188.05"/>
    <n v="1188.05"/>
  </r>
  <r>
    <x v="32"/>
    <x v="0"/>
    <s v="Customer Invoice/DN"/>
    <s v="SRIKARAM PRESCIENCE PVT. LTD."/>
    <s v="Storage Charges for the month of August,"/>
    <s v="USD"/>
    <n v="1018.38"/>
    <s v="86.69126"/>
    <n v="88284.65"/>
    <n v="88284.65"/>
  </r>
  <r>
    <x v="8"/>
    <x v="0"/>
    <s v="Customer Invoice/DN"/>
    <s v="SRIKARAM PRESCIENCE PVT. LTD."/>
    <s v="PORT SSR Chgs - 16 - 31 May 25"/>
    <s v="USD"/>
    <n v="129.31"/>
    <s v="85.49078"/>
    <n v="11054.81"/>
    <n v="11054.81"/>
  </r>
  <r>
    <x v="8"/>
    <x v="0"/>
    <s v="Customer Invoice/DN"/>
    <s v="SRIKARAM PRESCIENCE PVT. LTD."/>
    <s v="Outbound chgs - 16 - 31 MAY 25"/>
    <s v="USD"/>
    <n v="35"/>
    <s v="85.49078"/>
    <n v="2992.17"/>
    <n v="2992.17"/>
  </r>
  <r>
    <x v="8"/>
    <x v="0"/>
    <s v="Customer Invoice/DN"/>
    <s v="SRIKARAM PRESCIENCE PVT. LTD."/>
    <s v="Loose chgs - 16 - 31 MAY 25"/>
    <s v="USD"/>
    <n v="11.22"/>
    <s v="85.49078"/>
    <n v="959.21"/>
    <n v="959.21"/>
  </r>
  <r>
    <x v="8"/>
    <x v="0"/>
    <s v="Customer Invoice/DN"/>
    <s v="SRIKARAM PRESCIENCE PVT. LTD."/>
    <s v="Detention Chgs - 16 - 31 MAY 25"/>
    <s v="USD"/>
    <n v="7.02"/>
    <s v="85.49078"/>
    <n v="600.15"/>
    <n v="600.15"/>
  </r>
  <r>
    <x v="8"/>
    <x v="0"/>
    <s v="Customer Invoice/DN"/>
    <s v="SRIKARAM PRESCIENCE PVT. LTD."/>
    <s v="Inbound chgs -16-31 MAY 25"/>
    <s v="USD"/>
    <n v="112.14"/>
    <s v="85.49078"/>
    <n v="9586.94"/>
    <n v="9586.94"/>
  </r>
  <r>
    <x v="8"/>
    <x v="0"/>
    <s v="Customer Invoice/DN"/>
    <s v="SRIKARAM PRESCIENCE PVT. LTD."/>
    <s v="Loose chgs - 16-31 MAY 25"/>
    <s v="USD"/>
    <n v="9.2200000000000006"/>
    <s v="85.49078"/>
    <n v="788.22"/>
    <n v="788.22"/>
  </r>
  <r>
    <x v="8"/>
    <x v="0"/>
    <s v="Customer Invoice/DN"/>
    <s v="SRIKARAM PRESCIENCE PVT. LTD."/>
    <s v="Transportation In Chgs - 16-31 MAY 25"/>
    <s v="USD"/>
    <n v="400"/>
    <s v="85.49078"/>
    <n v="34196.31"/>
    <n v="34196.31"/>
  </r>
  <r>
    <x v="33"/>
    <x v="0"/>
    <s v="Customer Invoice/DN"/>
    <s v="SRIKARAM PRESCIENCE PVT. LTD."/>
    <s v="VAS 1-15 April-25,Ex.Rate-85.69"/>
    <s v="USD"/>
    <n v="1820.14"/>
    <s v="86.92182"/>
    <n v="158209.88"/>
    <n v="158209.88"/>
  </r>
  <r>
    <x v="34"/>
    <x v="0"/>
    <s v="Customer Invoice/DN"/>
    <s v="SRIKARAM PRESCIENCE PVT. LTD."/>
    <s v="Fixed Storage Charges fo MAY 2025"/>
    <s v="USD"/>
    <n v="1800"/>
    <s v="85.98370"/>
    <n v="154770.66"/>
    <n v="154770.66"/>
  </r>
  <r>
    <x v="34"/>
    <x v="0"/>
    <s v="Customer Invoice/DN"/>
    <s v="SRIKARAM PRESCIENCE PVT. LTD."/>
    <s v="CY Ground rent Chgs - 01 - 30 Apr 25"/>
    <s v="USD"/>
    <n v="450"/>
    <s v="85.98370"/>
    <n v="38692.67"/>
    <n v="38692.67"/>
  </r>
  <r>
    <x v="34"/>
    <x v="0"/>
    <s v="Customer Invoice/DN"/>
    <s v="SRIKARAM PRESCIENCE PVT. LTD."/>
    <s v="VAS - 16-30 April 25, Ex.Rate-85.05"/>
    <s v="USD"/>
    <n v="396.79"/>
    <s v="85.98370"/>
    <n v="34117.47"/>
    <n v="34117.47"/>
  </r>
  <r>
    <x v="17"/>
    <x v="0"/>
    <s v="Customer Invoice/DN"/>
    <s v="SRIKARAM PRESCIENCE PVT. LTD."/>
    <s v="Inbound chgs - 16 - 30 NOV 25"/>
    <s v="USD"/>
    <n v="8.76"/>
    <s v="88.70014"/>
    <n v="777.01"/>
    <n v="777.01"/>
  </r>
  <r>
    <x v="17"/>
    <x v="0"/>
    <s v="Customer Invoice/DN"/>
    <s v="SRIKARAM PRESCIENCE PVT. LTD."/>
    <s v="Loose chgs - 16 - 30 NOV 25"/>
    <s v="USD"/>
    <n v="3.97"/>
    <s v="88.70014"/>
    <n v="352.14"/>
    <n v="352.14"/>
  </r>
  <r>
    <x v="18"/>
    <x v="0"/>
    <s v="Customer Invoice/DN"/>
    <s v="SRIKARAM PRESCIENCE PVT. LTD."/>
    <s v="Transportation In Chgs - 16 - 30 Apr 25"/>
    <s v="USD"/>
    <n v="400"/>
    <s v="85.98370"/>
    <n v="34393.480000000003"/>
    <n v="34393.480000000003"/>
  </r>
  <r>
    <x v="18"/>
    <x v="0"/>
    <s v="Customer Invoice/DN"/>
    <s v="SRIKARAM PRESCIENCE PVT. LTD."/>
    <s v="Inbound chgs -16 - 30 Apr 25"/>
    <s v="USD"/>
    <n v="86"/>
    <s v="85.98370"/>
    <n v="7394.6"/>
    <n v="7394.6"/>
  </r>
  <r>
    <x v="35"/>
    <x v="0"/>
    <s v="Customer Invoice/DN"/>
    <s v="SRIKARAM PRESCIENCE PVT. LTD."/>
    <s v="Unit to Unit 1-15 June 25"/>
    <s v="USD"/>
    <n v="110"/>
    <s v="85.49078"/>
    <n v="9403.99"/>
    <n v="9403.99"/>
  </r>
  <r>
    <x v="35"/>
    <x v="0"/>
    <s v="Customer Invoice/DN"/>
    <s v="SRIKARAM PRESCIENCE PVT. LTD."/>
    <s v="VAS 1-15 June 25, Exch 86.10"/>
    <s v="USD"/>
    <n v="287.81"/>
    <s v="85.49078"/>
    <n v="24605.1"/>
    <n v="24605.1"/>
  </r>
  <r>
    <x v="36"/>
    <x v="0"/>
    <s v="Customer Invoice/DN"/>
    <s v="SRIKARAM PRESCIENCE PVT. LTD."/>
    <s v="Unit Storage - 1-30 Sept 2025"/>
    <s v="USD"/>
    <n v="1329.96"/>
    <s v="88.19077"/>
    <n v="117290.2"/>
    <n v="117290.2"/>
  </r>
  <r>
    <x v="37"/>
    <x v="0"/>
    <s v="Customer Invoice/DN"/>
    <s v="SRIKARAM PRESCIENCE PVT. LTD."/>
    <s v="Outbound chgs - 16 - 30 Nov 25"/>
    <s v="USD"/>
    <n v="157.44"/>
    <s v="88.70014"/>
    <n v="13964.95"/>
    <n v="13964.95"/>
  </r>
  <r>
    <x v="37"/>
    <x v="0"/>
    <s v="Customer Invoice/DN"/>
    <s v="SRIKARAM PRESCIENCE PVT. LTD."/>
    <s v="Loose chgs - 16 - 30 Nov 25"/>
    <s v="USD"/>
    <n v="3.97"/>
    <s v="88.70014"/>
    <n v="352.14"/>
    <n v="352.14"/>
  </r>
  <r>
    <x v="38"/>
    <x v="0"/>
    <s v="Customer Invoice/DN"/>
    <s v="SRIKARAM PRESCIENCE PVT. LTD."/>
    <s v="CODC Inbound chgs - 1-15 Oct 25"/>
    <s v="USD"/>
    <n v="46.92"/>
    <s v="88.19077"/>
    <n v="4137.91"/>
    <n v="4137.91"/>
  </r>
  <r>
    <x v="39"/>
    <x v="0"/>
    <s v="Customer Invoice/DN"/>
    <s v="SRIKARAM PRESCIENCE PVT. LTD."/>
    <s v="Fixed Storage Charges fo JUNE 2025"/>
    <s v="USD"/>
    <n v="1800"/>
    <s v="85.49078"/>
    <n v="153883.4"/>
    <n v="153883.4"/>
  </r>
  <r>
    <x v="40"/>
    <x v="0"/>
    <s v="Customer Invoice/DN"/>
    <s v="SRIKARAM PRESCIENCE PVT. LTD."/>
    <s v="Inbound chgs - 01 - 15 Apr 25"/>
    <s v="USD"/>
    <n v="189.2"/>
    <s v="86.92182"/>
    <n v="16445.61"/>
    <n v="16445.61"/>
  </r>
  <r>
    <x v="40"/>
    <x v="0"/>
    <s v="Customer Invoice/DN"/>
    <s v="SRIKARAM PRESCIENCE PVT. LTD."/>
    <s v="Outbound chgs - 01 - 15 Apr 25"/>
    <s v="USD"/>
    <n v="189.12"/>
    <s v="86.92182"/>
    <n v="16438.66"/>
    <n v="16438.66"/>
  </r>
  <r>
    <x v="40"/>
    <x v="0"/>
    <s v="Customer Invoice/DN"/>
    <s v="SRIKARAM PRESCIENCE PVT. LTD."/>
    <s v="Loose chgs - 01 - 15 Apr 25"/>
    <s v="USD"/>
    <n v="1.0900000000000001"/>
    <s v="86.92182"/>
    <n v="94.74"/>
    <n v="94.74"/>
  </r>
  <r>
    <x v="1"/>
    <x v="0"/>
    <s v="Customer Invoice/DN"/>
    <s v="SRIKARAM PRESCIENCE PVT. LTD."/>
    <s v="Outbound chgs - 01 - 15 MAY 25"/>
    <s v="USD"/>
    <n v="87.75"/>
    <s v="85.98370"/>
    <n v="7545.07"/>
    <n v="7545.07"/>
  </r>
  <r>
    <x v="1"/>
    <x v="0"/>
    <s v="Customer Invoice/DN"/>
    <s v="SRIKARAM PRESCIENCE PVT. LTD."/>
    <s v="Inbound chgs -01-15 MAY 25"/>
    <s v="USD"/>
    <n v="5.25"/>
    <s v="85.98370"/>
    <n v="451.41"/>
    <n v="451.41"/>
  </r>
  <r>
    <x v="41"/>
    <x v="0"/>
    <s v="Customer Invoice/DN"/>
    <s v="SRIKARAM PRESCIENCE PVT. LTD."/>
    <s v="Transportation In Chgs - 01 - 15 Oct 25"/>
    <s v="USD"/>
    <n v="235"/>
    <s v="88.19077"/>
    <n v="20724.830000000002"/>
    <n v="20724.830000000002"/>
  </r>
  <r>
    <x v="41"/>
    <x v="0"/>
    <s v="Customer Invoice/DN"/>
    <s v="SRIKARAM PRESCIENCE PVT. LTD."/>
    <s v="Outbound chgs - 01 - 15 Oct 25"/>
    <s v="USD"/>
    <n v="34.58"/>
    <s v="88.19077"/>
    <n v="3049.64"/>
    <n v="3049.64"/>
  </r>
  <r>
    <x v="41"/>
    <x v="0"/>
    <s v="Customer Invoice/DN"/>
    <s v="SRIKARAM PRESCIENCE PVT. LTD."/>
    <s v="Loose chgs - 01 - 15 Oct 25"/>
    <s v="USD"/>
    <n v="19.760000000000002"/>
    <s v="88.19077"/>
    <n v="1742.65"/>
    <n v="1742.65"/>
  </r>
  <r>
    <x v="42"/>
    <x v="0"/>
    <s v="Customer Invoice/DN"/>
    <s v="SRIKARAM PRESCIENCE PVT. LTD."/>
    <s v="CY Ground rent Chgs - 01 - 31 May 25"/>
    <s v="USD"/>
    <n v="465"/>
    <s v="86.00067"/>
    <n v="39990.31"/>
    <n v="39990.31"/>
  </r>
  <r>
    <x v="42"/>
    <x v="0"/>
    <s v="Customer Invoice/DN"/>
    <s v="SRIKARAM PRESCIENCE PVT. LTD."/>
    <s v="VAS 16-31 May 25 Ex.85.48"/>
    <s v="USD"/>
    <n v="151.58000000000001"/>
    <s v="86.00067"/>
    <n v="13035.98"/>
    <n v="13035.98"/>
  </r>
  <r>
    <x v="11"/>
    <x v="1"/>
    <s v="Customer Credit Memo"/>
    <s v="SRIKARAM PRESCIENCE PVT. LTD."/>
    <s v="Credit note raised against 256779415806"/>
    <s v="USD"/>
    <n v="-22.66"/>
    <s v="86.00067"/>
    <n v="-1948.78"/>
    <n v="-1948.78"/>
  </r>
  <r>
    <x v="11"/>
    <x v="1"/>
    <s v="Customer Credit Memo"/>
    <s v="SRIKARAM PRESCIENCE PVT. LTD."/>
    <s v="Credit note raised against 256779415806"/>
    <s v="USD"/>
    <n v="-1.53"/>
    <s v="86.00067"/>
    <n v="-131.58000000000001"/>
    <n v="-131.58000000000001"/>
  </r>
  <r>
    <x v="11"/>
    <x v="1"/>
    <s v="Customer Credit Memo"/>
    <s v="SRIKARAM PRESCIENCE PVT. LTD."/>
    <s v="Credit note raised against 256779415806"/>
    <s v="USD"/>
    <n v="-110"/>
    <s v="86.00067"/>
    <n v="-9460.07"/>
    <n v="-9460.07"/>
  </r>
  <r>
    <x v="43"/>
    <x v="0"/>
    <s v="Customer Invoice/DN"/>
    <s v="SRIKARAM PRESCIENCE PVT. LTD."/>
    <s v="VAS-16-30 Sept 25"/>
    <s v="USD"/>
    <n v="559.99"/>
    <s v="88.19077"/>
    <n v="49385.95"/>
    <n v="49385.95"/>
  </r>
  <r>
    <x v="44"/>
    <x v="1"/>
    <s v="Customer Credit Memo"/>
    <s v="SRIKARAM PRESCIENCE PVT. LTD."/>
    <s v="Credit note raised against 256779418079"/>
    <s v="USD"/>
    <n v="-153.58000000000001"/>
    <s v="88.19077"/>
    <n v="-13544.34"/>
    <n v="-13544.34"/>
  </r>
  <r>
    <x v="44"/>
    <x v="1"/>
    <s v="Customer Credit Memo"/>
    <s v="SRIKARAM PRESCIENCE PVT. LTD."/>
    <s v="Credit note raised against 256779418079"/>
    <s v="USD"/>
    <n v="-2.5"/>
    <s v="88.19077"/>
    <n v="-220.48"/>
    <n v="-220.48"/>
  </r>
  <r>
    <x v="45"/>
    <x v="0"/>
    <s v="Customer Invoice/DN"/>
    <s v="SRIKARAM PRESCIENCE PVT. LTD."/>
    <s v="CY Longstanding container Ground Rent ch"/>
    <s v="USD"/>
    <n v="450"/>
    <s v="86.30366"/>
    <n v="38836.65"/>
    <n v="38836.65"/>
  </r>
  <r>
    <x v="45"/>
    <x v="0"/>
    <s v="Customer Invoice/DN"/>
    <s v="SRIKARAM PRESCIENCE PVT. LTD."/>
    <s v="CY Longstanding container Ground Rent ch"/>
    <s v="USD"/>
    <n v="465"/>
    <s v="86.30366"/>
    <n v="40131.199999999997"/>
    <n v="40131.199999999997"/>
  </r>
  <r>
    <x v="45"/>
    <x v="0"/>
    <s v="Customer Invoice/DN"/>
    <s v="SRIKARAM PRESCIENCE PVT. LTD."/>
    <s v="CY Longstanding container Ground Rent ch"/>
    <s v="USD"/>
    <n v="465"/>
    <s v="86.30366"/>
    <n v="40131.199999999997"/>
    <n v="40131.199999999997"/>
  </r>
  <r>
    <x v="45"/>
    <x v="0"/>
    <s v="Customer Invoice/DN"/>
    <s v="SRIKARAM PRESCIENCE PVT. LTD."/>
    <s v="CY Longstanding container Ground Rent ch"/>
    <s v="USD"/>
    <n v="450"/>
    <s v="86.30366"/>
    <n v="38836.65"/>
    <n v="38836.65"/>
  </r>
  <r>
    <x v="46"/>
    <x v="0"/>
    <s v="Customer Invoice/DN"/>
    <s v="SRIKARAM PRESCIENCE PVT. LTD."/>
    <s v="Scanning Charges for the month of Septem"/>
    <s v="USD"/>
    <n v="35"/>
    <s v="86.69126"/>
    <n v="3034.19"/>
    <n v="3034.19"/>
  </r>
  <r>
    <x v="3"/>
    <x v="0"/>
    <s v="Customer Invoice/DN"/>
    <s v="SRIKARAM PRESCIENCE PVT. LTD."/>
    <s v="Loose handling Charges for Oct 2024"/>
    <s v="USD"/>
    <n v="13.25"/>
    <s v="86.69126"/>
    <n v="1148.6600000000001"/>
    <n v="1148.6600000000001"/>
  </r>
  <r>
    <x v="3"/>
    <x v="0"/>
    <s v="Customer Invoice/DN"/>
    <s v="SRIKARAM PRESCIENCE PVT. LTD."/>
    <s v="Inbound Handling charges for Oct 2024"/>
    <s v="USD"/>
    <n v="38.5"/>
    <s v="86.69126"/>
    <n v="3337.61"/>
    <n v="3337.61"/>
  </r>
  <r>
    <x v="47"/>
    <x v="0"/>
    <s v="Customer Invoice/DN"/>
    <s v="SRIKARAM PRESCIENCE PVT. LTD."/>
    <s v="Port SSR Charges - Shifting for Aug to D"/>
    <s v="USD"/>
    <n v="368.88"/>
    <s v="85.49078"/>
    <n v="31535.84"/>
    <n v="31535.84"/>
  </r>
  <r>
    <x v="47"/>
    <x v="0"/>
    <s v="Customer Invoice/DN"/>
    <s v="SRIKARAM PRESCIENCE PVT. LTD."/>
    <s v="Outbound chgs - 01 - 15 Apr 25"/>
    <s v="USD"/>
    <n v="189.12"/>
    <s v="85.49078"/>
    <n v="16168.02"/>
    <n v="16168.02"/>
  </r>
  <r>
    <x v="47"/>
    <x v="0"/>
    <s v="Customer Invoice/DN"/>
    <s v="SRIKARAM PRESCIENCE PVT. LTD."/>
    <s v="Loose chgs - 01 - 15 Apr 25"/>
    <s v="USD"/>
    <n v="1.0900000000000001"/>
    <s v="85.49078"/>
    <n v="93.18"/>
    <n v="93.18"/>
  </r>
  <r>
    <x v="48"/>
    <x v="0"/>
    <s v="Customer Invoice/DN"/>
    <s v="SRIKARAM PRESCIENCE PVT. LTD."/>
    <s v="Fixed Storage Charges for August 2025"/>
    <s v="USD"/>
    <n v="1800"/>
    <s v="86.03012"/>
    <n v="154854.22"/>
    <n v="154854.22"/>
  </r>
  <r>
    <x v="49"/>
    <x v="0"/>
    <s v="Customer Invoice/DN"/>
    <s v="SRIKARAM PRESCIENCE PVT. LTD."/>
    <s v="VAS -1-15 Sept-25"/>
    <s v="USD"/>
    <n v="1326.2"/>
    <s v="87.51433"/>
    <n v="116061.5"/>
    <n v="116061.5"/>
  </r>
  <r>
    <x v="20"/>
    <x v="0"/>
    <s v="Customer Invoice/DN"/>
    <s v="SRIKARAM PRESCIENCE PVT. LTD."/>
    <s v="Transportation In Chgs - 16 - 31 OCT 25"/>
    <s v="USD"/>
    <n v="250"/>
    <s v="88.00339"/>
    <n v="22000.85"/>
    <n v="22000.85"/>
  </r>
  <r>
    <x v="20"/>
    <x v="0"/>
    <s v="Customer Invoice/DN"/>
    <s v="SRIKARAM PRESCIENCE PVT. LTD."/>
    <s v="Inbound chgs - 16 - 31 OCT 25"/>
    <s v="USD"/>
    <n v="138.38"/>
    <s v="88.00339"/>
    <n v="12177.91"/>
    <n v="12177.91"/>
  </r>
  <r>
    <x v="20"/>
    <x v="0"/>
    <s v="Customer Invoice/DN"/>
    <s v="SRIKARAM PRESCIENCE PVT. LTD."/>
    <s v="Loose chgs - 16 - 31 OCT 25"/>
    <s v="USD"/>
    <n v="11.5"/>
    <s v="88.00339"/>
    <n v="1012.04"/>
    <n v="1012.04"/>
  </r>
  <r>
    <x v="50"/>
    <x v="0"/>
    <s v="Customer Invoice/DN"/>
    <s v="SRIKARAM PRESCIENCE PVT. LTD."/>
    <s v="Fixed Rental charges for Aug 2024"/>
    <s v="USD"/>
    <n v="1800"/>
    <s v="86.30366"/>
    <n v="155346.59"/>
    <n v="155346.59"/>
  </r>
  <r>
    <x v="51"/>
    <x v="0"/>
    <s v="Customer Invoice/DN"/>
    <s v="SRIKARAM PRESCIENCE PVT. LTD."/>
    <s v="CY Longstanding container Ground Rent ch"/>
    <s v="USD"/>
    <n v="465"/>
    <s v="86.30366"/>
    <n v="40131.199999999997"/>
    <n v="40131.199999999997"/>
  </r>
  <r>
    <x v="52"/>
    <x v="0"/>
    <s v="Customer Invoice/DN"/>
    <s v="SRIKARAM PRESCIENCE PVT. LTD."/>
    <s v="Storage Chgs - 01 - 31 Apr 25"/>
    <s v="USD"/>
    <n v="1501.8"/>
    <s v="85.98370"/>
    <n v="129130.32"/>
    <n v="129130.32"/>
  </r>
  <r>
    <x v="53"/>
    <x v="0"/>
    <s v="Customer Invoice/DN"/>
    <s v="SRIKARAM PRESCIENCE PVT. LTD."/>
    <s v="Unit storage -1-31 May 25"/>
    <s v="USD"/>
    <n v="1240.4000000000001"/>
    <s v="85.49078"/>
    <n v="106042.76"/>
    <n v="106042.76"/>
  </r>
  <r>
    <x v="54"/>
    <x v="0"/>
    <s v="Customer Invoice/DN"/>
    <s v="SRIKARAM PRESCIENCE PVT. LTD."/>
    <s v="CY Longstanding - March 25,16-31"/>
    <s v="USD"/>
    <n v="465"/>
    <s v="85.49078"/>
    <n v="39753.21"/>
    <n v="39753.21"/>
  </r>
  <r>
    <x v="55"/>
    <x v="0"/>
    <s v="Customer Invoice/DN"/>
    <s v="SRIKARAM PRESCIENCE PVT. LTD."/>
    <s v="Unit-Storage-1-31 Aug 25"/>
    <s v="USD"/>
    <n v="1099.02"/>
    <s v="87.51433"/>
    <n v="96180"/>
    <n v="96180"/>
  </r>
  <r>
    <x v="56"/>
    <x v="0"/>
    <s v="Customer Invoice/DN"/>
    <s v="SRIKARAM PRESCIENCE PVT. LTD."/>
    <s v="Weighment  -1-15 Oct 2025"/>
    <s v="USD"/>
    <n v="13.59"/>
    <s v="88.19077"/>
    <n v="1198.51"/>
    <n v="1198.51"/>
  </r>
  <r>
    <x v="56"/>
    <x v="0"/>
    <s v="Customer Invoice/DN"/>
    <s v="SRIKARAM PRESCIENCE PVT. LTD."/>
    <s v="Weighment  -1-15 Oct 2025"/>
    <s v="USD"/>
    <n v="13.59"/>
    <s v="88.19077"/>
    <n v="1198.51"/>
    <n v="1198.51"/>
  </r>
  <r>
    <x v="19"/>
    <x v="0"/>
    <s v="Customer Invoice/DN"/>
    <s v="SRIKARAM PRESCIENCE PVT. LTD."/>
    <s v="CODC Out chgs -1-15 Oct 25"/>
    <s v="USD"/>
    <n v="46.92"/>
    <s v="88.19077"/>
    <n v="4137.8999999999996"/>
    <n v="4137.8999999999996"/>
  </r>
  <r>
    <x v="19"/>
    <x v="0"/>
    <s v="Customer Invoice/DN"/>
    <s v="SRIKARAM PRESCIENCE PVT. LTD."/>
    <s v="CODC Transportation charge -1-15 Oct 25"/>
    <s v="USD"/>
    <n v="140"/>
    <s v="88.19077"/>
    <n v="12346.71"/>
    <n v="12346.71"/>
  </r>
  <r>
    <x v="57"/>
    <x v="0"/>
    <s v="Customer Invoice/DN"/>
    <s v="SRIKARAM PRESCIENCE PVT. LTD."/>
    <s v="Unit Storage - 1-30 Nov 2025"/>
    <s v="USD"/>
    <n v="871.08"/>
    <s v="90.74314"/>
    <n v="79044.53"/>
    <n v="79044.53"/>
  </r>
  <r>
    <x v="57"/>
    <x v="0"/>
    <s v="Customer Invoice/DN"/>
    <s v="SRIKARAM PRESCIENCE PVT. LTD."/>
    <s v="Fixed Storage Charges for December 2025"/>
    <s v="USD"/>
    <n v="1800"/>
    <s v="90.74314"/>
    <n v="163337.65"/>
    <n v="163337.65"/>
  </r>
  <r>
    <x v="58"/>
    <x v="1"/>
    <s v="Customer Credit Memo"/>
    <s v="SRIKARAM PRESCIENCE PVT. LTD."/>
    <s v="Credit note for Duplicate invoice -25677"/>
    <s v="USD"/>
    <n v="-13.59"/>
    <s v="90.74314"/>
    <n v="-1233.2"/>
    <n v="-1233.2"/>
  </r>
  <r>
    <x v="58"/>
    <x v="0"/>
    <s v="Customer Invoice/DN"/>
    <s v="SRIKARAM PRESCIENCE PVT. LTD."/>
    <s v="Outbound chgs - 01 - 15 Dec 25"/>
    <s v="USD"/>
    <n v="23.57"/>
    <s v="90.74314"/>
    <n v="2138.8200000000002"/>
    <n v="2138.8200000000002"/>
  </r>
  <r>
    <x v="58"/>
    <x v="0"/>
    <s v="Customer Invoice/DN"/>
    <s v="SRIKARAM PRESCIENCE PVT. LTD."/>
    <s v="Loose chgs - 01 - 15 Dec 25"/>
    <s v="USD"/>
    <n v="8.25"/>
    <s v="90.74314"/>
    <n v="748.63"/>
    <n v="748.63"/>
  </r>
  <r>
    <x v="58"/>
    <x v="0"/>
    <s v="Customer Invoice/DN"/>
    <s v="SRIKARAM PRESCIENCE PVT. LTD."/>
    <s v="VAS DEC 25 -1-15"/>
    <s v="USD"/>
    <n v="347.44"/>
    <s v="90.74314"/>
    <n v="31527.8"/>
    <n v="31527.8"/>
  </r>
  <r>
    <x v="58"/>
    <x v="0"/>
    <s v="Customer Invoice/DN"/>
    <s v="SRIKARAM PRESCIENCE PVT. LTD."/>
    <s v="LCL Chgs - 01 - 15 DEC 25"/>
    <s v="USD"/>
    <n v="75"/>
    <s v="90.74314"/>
    <n v="6805.74"/>
    <n v="6805.74"/>
  </r>
  <r>
    <x v="58"/>
    <x v="0"/>
    <s v="Customer Invoice/DN"/>
    <s v="SRIKARAM PRESCIENCE PVT. LTD."/>
    <s v="Inbound chgs - 01 - 15 DEC 25"/>
    <s v="USD"/>
    <n v="77.73"/>
    <s v="90.74314"/>
    <n v="7053.46"/>
    <n v="7053.46"/>
  </r>
  <r>
    <x v="58"/>
    <x v="0"/>
    <s v="Customer Invoice/DN"/>
    <s v="SRIKARAM PRESCIENCE PVT. LTD."/>
    <s v="Loose chgs - 01 - 15 DEC 25"/>
    <s v="USD"/>
    <n v="7.98"/>
    <s v="90.74314"/>
    <n v="724.13"/>
    <n v="724.13"/>
  </r>
  <r>
    <x v="58"/>
    <x v="0"/>
    <s v="Customer Invoice/DN"/>
    <s v="SRIKARAM PRESCIENCE PVT. LTD."/>
    <s v="Transportation In Chgs - 01 - 15 DEC 25"/>
    <s v="USD"/>
    <n v="140"/>
    <s v="90.74314"/>
    <n v="12704.04"/>
    <n v="12704.04"/>
  </r>
  <r>
    <x v="58"/>
    <x v="0"/>
    <s v="Customer Invoice/DN"/>
    <s v="SRIKARAM PRESCIENCE PVT. LTD."/>
    <s v="Empty Cont Out Chgs - 01 - 15 DEC 25"/>
    <s v="USD"/>
    <n v="60"/>
    <s v="90.74314"/>
    <n v="5444.59"/>
    <n v="5444.59"/>
  </r>
  <r>
    <x v="59"/>
    <x v="0"/>
    <s v="Customer Invoice/DN"/>
    <s v="SRIKARAM PRESCIENCE PVT. LTD."/>
    <s v="PORT SSR Chgs Dec 25"/>
    <s v="USD"/>
    <n v="55.03"/>
    <s v="90.74314"/>
    <n v="4993.59"/>
    <n v="4993.59"/>
  </r>
  <r>
    <x v="59"/>
    <x v="0"/>
    <s v="Customer Invoice/DN"/>
    <s v="SRIKARAM PRESCIENCE PVT. LTD."/>
    <s v="LCL Chgs - 16 - 31 DEC 25"/>
    <s v="USD"/>
    <n v="15"/>
    <s v="90.74314"/>
    <n v="1361.15"/>
    <n v="1361.15"/>
  </r>
  <r>
    <x v="59"/>
    <x v="0"/>
    <s v="Customer Invoice/DN"/>
    <s v="SRIKARAM PRESCIENCE PVT. LTD."/>
    <s v="Inbound chgs - 16 - 31 DEC 25"/>
    <s v="USD"/>
    <n v="1.75"/>
    <s v="90.74314"/>
    <n v="158.80000000000001"/>
    <n v="158.80000000000001"/>
  </r>
  <r>
    <x v="60"/>
    <x v="0"/>
    <s v="Customer Invoice/DN"/>
    <s v="SRIKARAM PRESCIENCE PVT. LTD."/>
    <s v="Outbound chgs - 16 - 31 Dec 25"/>
    <s v="USD"/>
    <n v="43.95"/>
    <s v="90.74314"/>
    <n v="3988.16"/>
    <n v="3988.16"/>
  </r>
  <r>
    <x v="60"/>
    <x v="0"/>
    <s v="Customer Invoice/DN"/>
    <s v="SRIKARAM PRESCIENCE PVT. LTD."/>
    <s v="Loose chgs - 16 - 31 Dec 25"/>
    <s v="USD"/>
    <n v="1.0900000000000001"/>
    <s v="90.74314"/>
    <n v="98.91"/>
    <n v="98.91"/>
  </r>
  <r>
    <x v="59"/>
    <x v="0"/>
    <s v="Customer Invoice/DN"/>
    <s v="SRIKARAM PRESCIENCE PVT. LTD."/>
    <s v="Unit Storage - 1-31 DEC 2025"/>
    <s v="USD"/>
    <n v="730.62"/>
    <s v="90.74314"/>
    <n v="66298.75"/>
    <n v="66298.75"/>
  </r>
  <r>
    <x v="60"/>
    <x v="0"/>
    <s v="Customer Invoice/DN"/>
    <s v="SRIKARAM PRESCIENCE PVT. LTD."/>
    <s v="VAS-Dec 25 - 16-31"/>
    <s v="USD"/>
    <n v="126.24"/>
    <s v="90.74314"/>
    <n v="11455.41"/>
    <n v="11455.41"/>
  </r>
  <r>
    <x v="59"/>
    <x v="0"/>
    <s v="Customer Invoice/DN"/>
    <s v="SRIKARAM PRESCIENCE PVT. LTD."/>
    <s v="Fixed Storage Charges for January 2026"/>
    <s v="USD"/>
    <n v="1800"/>
    <s v="90.74314"/>
    <n v="163337.65"/>
    <n v="163337.65"/>
  </r>
  <r>
    <x v="61"/>
    <x v="0"/>
    <s v="Customer Invoice/DN"/>
    <s v="SRIKARAM PRESCIENCE PVT. LTD."/>
    <s v="VAS - NOV 25,16-30"/>
    <s v="USD"/>
    <n v="696.85"/>
    <s v="90.74314"/>
    <n v="63234.36"/>
    <n v="63234.36"/>
  </r>
  <r>
    <x v="62"/>
    <x v="0"/>
    <s v="Customer Invoice/DN"/>
    <s v="SRIKARAM PRESCIENCE PVT. LTD."/>
    <s v="LCL Chgs - 01 - 15 JAN 26"/>
    <s v="USD"/>
    <n v="15"/>
    <s v="90.74314"/>
    <n v="1361.15"/>
    <n v="1361.15"/>
  </r>
  <r>
    <x v="62"/>
    <x v="0"/>
    <s v="Customer Invoice/DN"/>
    <s v="SRIKARAM PRESCIENCE PVT. LTD."/>
    <s v="Inbound chgs - 01 - 15 JAN 26"/>
    <s v="USD"/>
    <n v="1.75"/>
    <s v="90.74314"/>
    <n v="158.80000000000001"/>
    <n v="158.80000000000001"/>
  </r>
  <r>
    <x v="62"/>
    <x v="0"/>
    <s v="Customer Invoice/DN"/>
    <s v="SRIKARAM PRESCIENCE PVT. LTD."/>
    <s v="Outbound chgs - 01 - 15 JAN 26"/>
    <s v="USD"/>
    <n v="3.5"/>
    <s v="90.74314"/>
    <n v="317.60000000000002"/>
    <n v="317.60000000000002"/>
  </r>
  <r>
    <x v="63"/>
    <x v="0"/>
    <s v="Customer Invoice/DN"/>
    <s v="SRIKARAM PRESCIENCE PVT. LTD."/>
    <s v="VAS-1-15 Jan 2026"/>
    <s v="USD"/>
    <n v="176.58"/>
    <s v="90.74314"/>
    <n v="16023.42"/>
    <n v="16023.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BE683-133A-4C92-91C8-72311B49B5DD}" name="PivotTable9" cacheId="53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L2:P15" firstHeaderRow="1" firstDataRow="2" firstDataCol="3"/>
  <pivotFields count="12"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11"/>
        <item x="8"/>
        <item x="9"/>
        <item x="10"/>
        <item x="12"/>
        <item x="13"/>
      </items>
    </pivotField>
    <pivotField axis="axisCol"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4" outline="0" showAll="0" defaultSubtotal="0"/>
    <pivotField compact="0" outline="0" showAll="0" defaultSubtotal="0"/>
    <pivotField compact="0" numFmtId="4" outline="0" showAll="0" defaultSubtotal="0"/>
    <pivotField compact="0" numFmtId="4" outline="0" showAll="0" defaultSubtotal="0"/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11"/>
    <field x="10"/>
    <field x="0"/>
  </rowFields>
  <rowItems count="12">
    <i>
      <x v="1"/>
      <x v="1"/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9"/>
    </i>
    <i r="2">
      <x v="10"/>
    </i>
    <i r="1">
      <x v="4"/>
      <x v="8"/>
    </i>
    <i r="2">
      <x v="11"/>
    </i>
    <i r="2">
      <x v="12"/>
    </i>
    <i>
      <x v="2"/>
      <x v="1"/>
      <x v="1"/>
    </i>
  </rowItems>
  <colFields count="1">
    <field x="1"/>
  </colFields>
  <colItems count="2">
    <i>
      <x/>
    </i>
    <i>
      <x v="1"/>
    </i>
  </colItems>
  <dataFields count="1">
    <dataField name="Sum of Base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31E928-747B-4219-83A3-A3CD16BC7B65}" name="PivotTable10" cacheId="45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K1:N17" firstHeaderRow="1" firstDataRow="1" firstDataCol="3"/>
  <pivotFields count="10"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numFmtId="164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axis="axisRow" compact="0" numFmtId="15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9"/>
    <field x="8"/>
    <field x="7"/>
  </rowFields>
  <rowItems count="16">
    <i>
      <x v="1"/>
      <x v="3"/>
      <x v="8"/>
    </i>
    <i r="2">
      <x v="9"/>
    </i>
    <i r="1">
      <x v="4"/>
      <x v="10"/>
    </i>
    <i r="2">
      <x v="11"/>
    </i>
    <i r="2">
      <x v="12"/>
    </i>
    <i>
      <x v="2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</rowItems>
  <colItems count="1">
    <i/>
  </colItems>
  <dataFields count="1">
    <dataField name="Sum of Credit Amount (USD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1526C-7465-4864-B44B-8D947621CBBA}">
  <dimension ref="A2:L22"/>
  <sheetViews>
    <sheetView tabSelected="1" workbookViewId="0">
      <selection activeCell="L22" sqref="L22"/>
    </sheetView>
  </sheetViews>
  <sheetFormatPr defaultRowHeight="14.5" x14ac:dyDescent="0.35"/>
  <cols>
    <col min="1" max="1" width="5.36328125" bestFit="1" customWidth="1"/>
    <col min="2" max="2" width="13.7265625" bestFit="1" customWidth="1"/>
    <col min="3" max="3" width="9.36328125" bestFit="1" customWidth="1"/>
    <col min="4" max="4" width="9.7265625" bestFit="1" customWidth="1"/>
    <col min="5" max="5" width="10.90625" bestFit="1" customWidth="1"/>
    <col min="6" max="6" width="7.1796875" customWidth="1"/>
    <col min="8" max="8" width="5.36328125" bestFit="1" customWidth="1"/>
    <col min="9" max="9" width="7.26953125" bestFit="1" customWidth="1"/>
    <col min="10" max="10" width="24.7265625" bestFit="1" customWidth="1"/>
  </cols>
  <sheetData>
    <row r="2" spans="1:12" x14ac:dyDescent="0.35">
      <c r="A2" s="27" t="s">
        <v>319</v>
      </c>
      <c r="B2" s="17"/>
      <c r="C2" s="17"/>
      <c r="D2" s="17"/>
      <c r="E2" s="17"/>
      <c r="F2" s="24"/>
      <c r="H2" s="23" t="s">
        <v>320</v>
      </c>
      <c r="I2" s="23"/>
      <c r="J2" s="23"/>
    </row>
    <row r="3" spans="1:12" x14ac:dyDescent="0.35">
      <c r="A3" s="2" t="s">
        <v>313</v>
      </c>
      <c r="B3" s="2" t="s">
        <v>188</v>
      </c>
      <c r="C3" s="2" t="s">
        <v>68</v>
      </c>
      <c r="D3" s="2" t="s">
        <v>34</v>
      </c>
      <c r="E3" s="26" t="s">
        <v>321</v>
      </c>
      <c r="F3" s="20"/>
      <c r="H3" s="2" t="s">
        <v>313</v>
      </c>
      <c r="I3" s="2" t="s">
        <v>315</v>
      </c>
      <c r="J3" s="2" t="s">
        <v>32</v>
      </c>
    </row>
    <row r="4" spans="1:12" x14ac:dyDescent="0.35">
      <c r="A4" s="16">
        <v>2024</v>
      </c>
      <c r="B4" s="2" t="s">
        <v>28</v>
      </c>
      <c r="C4" s="3"/>
      <c r="D4" s="3"/>
      <c r="E4" s="3">
        <f>SUM(C4:D4)</f>
        <v>0</v>
      </c>
      <c r="F4" s="20"/>
      <c r="H4" s="16">
        <v>2024</v>
      </c>
      <c r="I4" s="2" t="s">
        <v>28</v>
      </c>
      <c r="J4" s="3">
        <v>2955.05</v>
      </c>
      <c r="L4" s="28">
        <f>J4-E4</f>
        <v>2955.05</v>
      </c>
    </row>
    <row r="5" spans="1:12" x14ac:dyDescent="0.35">
      <c r="A5" s="16">
        <v>2024</v>
      </c>
      <c r="B5" s="2" t="s">
        <v>308</v>
      </c>
      <c r="C5" s="3"/>
      <c r="D5" s="3"/>
      <c r="E5" s="3">
        <f t="shared" ref="E5:E21" si="0">SUM(C5:D5)</f>
        <v>0</v>
      </c>
      <c r="F5" s="20"/>
      <c r="H5" s="16">
        <v>2024</v>
      </c>
      <c r="I5" s="2" t="s">
        <v>308</v>
      </c>
      <c r="J5" s="3">
        <v>3729.9</v>
      </c>
      <c r="L5" s="28">
        <f t="shared" ref="L5:L21" si="1">J5-E5</f>
        <v>3729.9</v>
      </c>
    </row>
    <row r="6" spans="1:12" x14ac:dyDescent="0.35">
      <c r="A6" s="16">
        <v>2024</v>
      </c>
      <c r="B6" s="2" t="s">
        <v>29</v>
      </c>
      <c r="C6" s="3"/>
      <c r="D6" s="3"/>
      <c r="E6" s="3">
        <f t="shared" si="0"/>
        <v>0</v>
      </c>
      <c r="F6" s="20"/>
      <c r="H6" s="16">
        <v>2024</v>
      </c>
      <c r="I6" s="2" t="s">
        <v>29</v>
      </c>
      <c r="J6" s="3">
        <v>3776.33</v>
      </c>
      <c r="L6" s="28">
        <f t="shared" si="1"/>
        <v>3776.33</v>
      </c>
    </row>
    <row r="7" spans="1:12" x14ac:dyDescent="0.35">
      <c r="A7" s="16">
        <v>2024</v>
      </c>
      <c r="B7" s="2" t="s">
        <v>30</v>
      </c>
      <c r="C7" s="3"/>
      <c r="D7" s="3"/>
      <c r="E7" s="3">
        <f t="shared" si="0"/>
        <v>0</v>
      </c>
      <c r="F7" s="20"/>
      <c r="H7" s="16">
        <v>2024</v>
      </c>
      <c r="I7" s="2" t="s">
        <v>30</v>
      </c>
      <c r="J7" s="3">
        <v>4100.8600000000006</v>
      </c>
      <c r="L7" s="28">
        <f t="shared" si="1"/>
        <v>4100.8600000000006</v>
      </c>
    </row>
    <row r="8" spans="1:12" x14ac:dyDescent="0.35">
      <c r="A8" s="16">
        <v>2024</v>
      </c>
      <c r="B8" s="2" t="s">
        <v>31</v>
      </c>
      <c r="C8" s="3"/>
      <c r="D8" s="3"/>
      <c r="E8" s="3">
        <f t="shared" si="0"/>
        <v>0</v>
      </c>
      <c r="F8" s="20"/>
      <c r="H8" s="16">
        <v>2024</v>
      </c>
      <c r="I8" s="2" t="s">
        <v>31</v>
      </c>
      <c r="J8" s="3">
        <v>4190.0200000000004</v>
      </c>
      <c r="L8" s="28">
        <f t="shared" si="1"/>
        <v>4190.0200000000004</v>
      </c>
    </row>
    <row r="9" spans="1:12" x14ac:dyDescent="0.35">
      <c r="A9" s="16">
        <v>2025</v>
      </c>
      <c r="B9" s="2" t="s">
        <v>311</v>
      </c>
      <c r="C9" s="3"/>
      <c r="D9" s="3"/>
      <c r="E9" s="3">
        <f t="shared" si="0"/>
        <v>0</v>
      </c>
      <c r="F9" s="20"/>
      <c r="H9" s="16">
        <v>2025</v>
      </c>
      <c r="I9" s="2" t="s">
        <v>311</v>
      </c>
      <c r="J9" s="3">
        <v>4371.9699999999993</v>
      </c>
      <c r="L9" s="28">
        <f t="shared" si="1"/>
        <v>4371.9699999999993</v>
      </c>
    </row>
    <row r="10" spans="1:12" x14ac:dyDescent="0.35">
      <c r="A10" s="16">
        <v>2025</v>
      </c>
      <c r="B10" s="2" t="s">
        <v>24</v>
      </c>
      <c r="C10" s="3"/>
      <c r="D10" s="3">
        <v>14895</v>
      </c>
      <c r="E10" s="3">
        <f t="shared" si="0"/>
        <v>14895</v>
      </c>
      <c r="F10" s="25"/>
      <c r="H10" s="16">
        <v>2025</v>
      </c>
      <c r="I10" s="2" t="s">
        <v>24</v>
      </c>
      <c r="J10" s="3">
        <v>3253.1800000000003</v>
      </c>
      <c r="L10" s="28">
        <f t="shared" si="1"/>
        <v>-11641.82</v>
      </c>
    </row>
    <row r="11" spans="1:12" x14ac:dyDescent="0.35">
      <c r="A11" s="16">
        <v>2025</v>
      </c>
      <c r="B11" s="2" t="s">
        <v>25</v>
      </c>
      <c r="C11" s="3"/>
      <c r="D11" s="3">
        <v>14753.779999999999</v>
      </c>
      <c r="E11" s="3">
        <f t="shared" si="0"/>
        <v>14753.779999999999</v>
      </c>
      <c r="F11" s="25"/>
      <c r="H11" s="16">
        <v>2025</v>
      </c>
      <c r="I11" s="2" t="s">
        <v>25</v>
      </c>
      <c r="J11" s="3">
        <v>5257.2099999999982</v>
      </c>
      <c r="L11" s="28">
        <f t="shared" si="1"/>
        <v>-9496.57</v>
      </c>
    </row>
    <row r="12" spans="1:12" x14ac:dyDescent="0.35">
      <c r="A12" s="16">
        <v>2025</v>
      </c>
      <c r="B12" s="2" t="s">
        <v>305</v>
      </c>
      <c r="C12" s="3"/>
      <c r="D12" s="3">
        <v>14442.490000000002</v>
      </c>
      <c r="E12" s="3">
        <f t="shared" si="0"/>
        <v>14442.490000000002</v>
      </c>
      <c r="F12" s="25"/>
      <c r="H12" s="16">
        <v>2025</v>
      </c>
      <c r="I12" s="2" t="s">
        <v>305</v>
      </c>
      <c r="J12" s="3">
        <v>5273.1299999999992</v>
      </c>
      <c r="L12" s="28">
        <f t="shared" si="1"/>
        <v>-9169.3600000000024</v>
      </c>
    </row>
    <row r="13" spans="1:12" x14ac:dyDescent="0.35">
      <c r="A13" s="16">
        <v>2025</v>
      </c>
      <c r="B13" s="2" t="s">
        <v>306</v>
      </c>
      <c r="C13" s="3">
        <v>-4236.29</v>
      </c>
      <c r="D13" s="3">
        <v>4812.59</v>
      </c>
      <c r="E13" s="3">
        <f t="shared" si="0"/>
        <v>576.30000000000018</v>
      </c>
      <c r="F13" s="25"/>
      <c r="H13" s="16">
        <v>2025</v>
      </c>
      <c r="I13" s="2" t="s">
        <v>306</v>
      </c>
      <c r="J13" s="3">
        <v>3226.6200000000003</v>
      </c>
      <c r="L13" s="28">
        <f t="shared" si="1"/>
        <v>2650.32</v>
      </c>
    </row>
    <row r="14" spans="1:12" x14ac:dyDescent="0.35">
      <c r="A14" s="16">
        <v>2025</v>
      </c>
      <c r="B14" s="2" t="s">
        <v>26</v>
      </c>
      <c r="C14" s="3"/>
      <c r="D14" s="3">
        <v>5256.2100000000009</v>
      </c>
      <c r="E14" s="3">
        <f t="shared" si="0"/>
        <v>5256.2100000000009</v>
      </c>
      <c r="F14" s="25"/>
      <c r="H14" s="16">
        <v>2025</v>
      </c>
      <c r="I14" s="2" t="s">
        <v>26</v>
      </c>
      <c r="J14" s="3">
        <v>6707.1199999999981</v>
      </c>
      <c r="L14" s="28">
        <f t="shared" si="1"/>
        <v>1450.9099999999971</v>
      </c>
    </row>
    <row r="15" spans="1:12" x14ac:dyDescent="0.35">
      <c r="A15" s="16">
        <v>2025</v>
      </c>
      <c r="B15" s="2" t="s">
        <v>27</v>
      </c>
      <c r="C15" s="3">
        <v>-29.25</v>
      </c>
      <c r="D15" s="3">
        <v>5651.9599999999982</v>
      </c>
      <c r="E15" s="3">
        <f t="shared" si="0"/>
        <v>5622.7099999999982</v>
      </c>
      <c r="F15" s="25"/>
      <c r="H15" s="16">
        <v>2025</v>
      </c>
      <c r="I15" s="2" t="s">
        <v>27</v>
      </c>
      <c r="J15" s="3">
        <v>3859.7499999999995</v>
      </c>
      <c r="L15" s="28">
        <f t="shared" si="1"/>
        <v>-1762.9599999999987</v>
      </c>
    </row>
    <row r="16" spans="1:12" x14ac:dyDescent="0.35">
      <c r="A16" s="16">
        <v>2025</v>
      </c>
      <c r="B16" s="2" t="s">
        <v>28</v>
      </c>
      <c r="C16" s="3">
        <v>-239.19</v>
      </c>
      <c r="D16" s="3">
        <v>3714.96</v>
      </c>
      <c r="E16" s="3">
        <f t="shared" si="0"/>
        <v>3475.77</v>
      </c>
      <c r="F16" s="25"/>
      <c r="H16" s="16">
        <v>2025</v>
      </c>
      <c r="I16" s="2" t="s">
        <v>28</v>
      </c>
      <c r="J16" s="3">
        <v>3572.42</v>
      </c>
      <c r="L16" s="28">
        <f t="shared" si="1"/>
        <v>96.650000000000091</v>
      </c>
    </row>
    <row r="17" spans="1:12" x14ac:dyDescent="0.35">
      <c r="A17" s="16">
        <v>2025</v>
      </c>
      <c r="B17" s="2" t="s">
        <v>308</v>
      </c>
      <c r="C17" s="3"/>
      <c r="D17" s="3">
        <v>5338.5299999999988</v>
      </c>
      <c r="E17" s="3">
        <f t="shared" si="0"/>
        <v>5338.5299999999988</v>
      </c>
      <c r="F17" s="25"/>
      <c r="H17" s="16">
        <v>2025</v>
      </c>
      <c r="I17" s="2" t="s">
        <v>308</v>
      </c>
      <c r="J17" s="3">
        <v>5357.5800000000008</v>
      </c>
      <c r="L17" s="28">
        <f t="shared" si="1"/>
        <v>19.050000000002001</v>
      </c>
    </row>
    <row r="18" spans="1:12" x14ac:dyDescent="0.35">
      <c r="A18" s="16">
        <v>2025</v>
      </c>
      <c r="B18" s="2" t="s">
        <v>29</v>
      </c>
      <c r="C18" s="3">
        <v>-156.08000000000001</v>
      </c>
      <c r="D18" s="3">
        <v>4964.5600000000004</v>
      </c>
      <c r="E18" s="3">
        <f t="shared" si="0"/>
        <v>4808.4800000000005</v>
      </c>
      <c r="F18" s="25"/>
      <c r="H18" s="16">
        <v>2025</v>
      </c>
      <c r="I18" s="2" t="s">
        <v>29</v>
      </c>
      <c r="J18" s="3">
        <v>4467.7300000000005</v>
      </c>
      <c r="L18" s="28">
        <f t="shared" si="1"/>
        <v>-340.75</v>
      </c>
    </row>
    <row r="19" spans="1:12" x14ac:dyDescent="0.35">
      <c r="A19" s="16">
        <v>2025</v>
      </c>
      <c r="B19" s="2" t="s">
        <v>30</v>
      </c>
      <c r="C19" s="3"/>
      <c r="D19" s="3">
        <v>6343.8</v>
      </c>
      <c r="E19" s="3">
        <f t="shared" si="0"/>
        <v>6343.8</v>
      </c>
      <c r="F19" s="25"/>
      <c r="H19" s="16">
        <v>2025</v>
      </c>
      <c r="I19" s="2" t="s">
        <v>30</v>
      </c>
      <c r="J19" s="3">
        <v>1619.99</v>
      </c>
      <c r="L19" s="28">
        <f t="shared" si="1"/>
        <v>-4723.8100000000004</v>
      </c>
    </row>
    <row r="20" spans="1:12" x14ac:dyDescent="0.35">
      <c r="A20" s="16">
        <v>2025</v>
      </c>
      <c r="B20" s="2" t="s">
        <v>31</v>
      </c>
      <c r="C20" s="3"/>
      <c r="D20" s="3">
        <v>204.14</v>
      </c>
      <c r="E20" s="3">
        <f t="shared" si="0"/>
        <v>204.14</v>
      </c>
      <c r="F20" s="25"/>
      <c r="H20" s="16">
        <v>2025</v>
      </c>
      <c r="I20" s="2" t="s">
        <v>31</v>
      </c>
      <c r="J20" s="3"/>
      <c r="L20" s="28">
        <f t="shared" si="1"/>
        <v>-204.14</v>
      </c>
    </row>
    <row r="21" spans="1:12" x14ac:dyDescent="0.35">
      <c r="A21" s="16">
        <v>2026</v>
      </c>
      <c r="B21" s="2" t="s">
        <v>311</v>
      </c>
      <c r="C21" s="3">
        <v>-13.59</v>
      </c>
      <c r="D21" s="3">
        <v>7078.4100000000008</v>
      </c>
      <c r="E21" s="3">
        <f t="shared" si="0"/>
        <v>7064.8200000000006</v>
      </c>
      <c r="F21" s="25"/>
      <c r="H21" s="16">
        <v>2026</v>
      </c>
      <c r="I21" s="2" t="s">
        <v>311</v>
      </c>
      <c r="J21" s="3"/>
      <c r="L21" s="28">
        <f t="shared" si="1"/>
        <v>-7064.8200000000006</v>
      </c>
    </row>
    <row r="22" spans="1:12" x14ac:dyDescent="0.35">
      <c r="A22" s="23" t="s">
        <v>322</v>
      </c>
      <c r="B22" s="23"/>
      <c r="C22" s="23"/>
      <c r="D22" s="23"/>
      <c r="E22" s="29">
        <f>SUM(E4:E21)</f>
        <v>82782.030000000013</v>
      </c>
      <c r="H22" s="23" t="s">
        <v>322</v>
      </c>
      <c r="I22" s="23"/>
      <c r="J22" s="29">
        <f>SUM(J4:J21)</f>
        <v>65718.86</v>
      </c>
      <c r="K22" s="28">
        <f>E22-J22</f>
        <v>17063.170000000013</v>
      </c>
      <c r="L22" s="28"/>
    </row>
  </sheetData>
  <mergeCells count="4">
    <mergeCell ref="H2:J2"/>
    <mergeCell ref="A2:E2"/>
    <mergeCell ref="H22:I22"/>
    <mergeCell ref="A22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99A1-20F1-4D6E-B9AD-80F5960FACD9}">
  <sheetPr filterMode="1"/>
  <dimension ref="A1:P322"/>
  <sheetViews>
    <sheetView workbookViewId="0">
      <selection activeCell="G186" sqref="G186:G187"/>
    </sheetView>
  </sheetViews>
  <sheetFormatPr defaultRowHeight="14.5" x14ac:dyDescent="0.35"/>
  <cols>
    <col min="1" max="1" width="13.7265625" bestFit="1" customWidth="1"/>
    <col min="2" max="2" width="7.7265625" bestFit="1" customWidth="1"/>
    <col min="3" max="3" width="23.90625" bestFit="1" customWidth="1"/>
    <col min="4" max="4" width="28.54296875" bestFit="1" customWidth="1"/>
    <col min="5" max="5" width="36.81640625" bestFit="1" customWidth="1"/>
    <col min="6" max="6" width="8" bestFit="1" customWidth="1"/>
    <col min="7" max="7" width="11.7265625" bestFit="1" customWidth="1"/>
    <col min="8" max="8" width="12.453125" bestFit="1" customWidth="1"/>
    <col min="9" max="9" width="16.7265625" bestFit="1" customWidth="1"/>
    <col min="10" max="10" width="15.36328125" bestFit="1" customWidth="1"/>
    <col min="12" max="12" width="18.26953125" bestFit="1" customWidth="1"/>
    <col min="13" max="13" width="15.26953125" bestFit="1" customWidth="1"/>
    <col min="14" max="14" width="16.1796875" bestFit="1" customWidth="1"/>
    <col min="15" max="15" width="16.36328125" bestFit="1" customWidth="1"/>
    <col min="16" max="16" width="8.81640625" bestFit="1" customWidth="1"/>
  </cols>
  <sheetData>
    <row r="1" spans="1:16" x14ac:dyDescent="0.35">
      <c r="A1" s="10"/>
      <c r="B1" s="10"/>
      <c r="C1" s="10"/>
      <c r="D1" s="10"/>
      <c r="E1" s="10"/>
      <c r="F1" s="10"/>
      <c r="G1" s="13">
        <f>SUBTOTAL(9,G3:G322)</f>
        <v>-4674.3999999999996</v>
      </c>
      <c r="H1" s="13">
        <f t="shared" ref="H1:J1" si="0">SUBTOTAL(9,H3:H322)</f>
        <v>0</v>
      </c>
      <c r="I1" s="13">
        <f t="shared" si="0"/>
        <v>-406206.74000000005</v>
      </c>
      <c r="J1" s="13">
        <f t="shared" si="0"/>
        <v>-406206.74000000005</v>
      </c>
    </row>
    <row r="2" spans="1:16" x14ac:dyDescent="0.35">
      <c r="A2" s="8" t="s">
        <v>188</v>
      </c>
      <c r="B2" s="12" t="s">
        <v>33</v>
      </c>
      <c r="C2" s="11" t="s">
        <v>189</v>
      </c>
      <c r="D2" s="11" t="s">
        <v>190</v>
      </c>
      <c r="E2" s="8" t="s">
        <v>191</v>
      </c>
      <c r="F2" s="12" t="s">
        <v>192</v>
      </c>
      <c r="G2" s="8" t="s">
        <v>193</v>
      </c>
      <c r="H2" s="8" t="s">
        <v>194</v>
      </c>
      <c r="I2" s="11" t="s">
        <v>195</v>
      </c>
      <c r="J2" s="8" t="s">
        <v>196</v>
      </c>
      <c r="L2" s="6" t="s">
        <v>312</v>
      </c>
      <c r="O2" s="6" t="s">
        <v>33</v>
      </c>
    </row>
    <row r="3" spans="1:16" hidden="1" x14ac:dyDescent="0.35">
      <c r="A3" s="14">
        <v>45736</v>
      </c>
      <c r="B3" s="10" t="s">
        <v>34</v>
      </c>
      <c r="C3" s="10" t="s">
        <v>197</v>
      </c>
      <c r="D3" s="10" t="s">
        <v>198</v>
      </c>
      <c r="E3" s="10" t="s">
        <v>95</v>
      </c>
      <c r="F3" s="10" t="s">
        <v>199</v>
      </c>
      <c r="G3" s="15">
        <v>15</v>
      </c>
      <c r="H3" s="10" t="s">
        <v>200</v>
      </c>
      <c r="I3" s="15">
        <v>1300.3699999999999</v>
      </c>
      <c r="J3" s="15">
        <v>1300.3699999999999</v>
      </c>
      <c r="L3" s="6" t="s">
        <v>313</v>
      </c>
      <c r="M3" s="6" t="s">
        <v>314</v>
      </c>
      <c r="N3" s="6" t="s">
        <v>188</v>
      </c>
      <c r="O3" t="s">
        <v>68</v>
      </c>
      <c r="P3" t="s">
        <v>34</v>
      </c>
    </row>
    <row r="4" spans="1:16" hidden="1" x14ac:dyDescent="0.35">
      <c r="A4" s="14">
        <v>45736</v>
      </c>
      <c r="B4" s="10" t="s">
        <v>34</v>
      </c>
      <c r="C4" s="10" t="s">
        <v>197</v>
      </c>
      <c r="D4" s="10" t="s">
        <v>198</v>
      </c>
      <c r="E4" s="10" t="s">
        <v>87</v>
      </c>
      <c r="F4" s="10" t="s">
        <v>199</v>
      </c>
      <c r="G4" s="15">
        <v>15</v>
      </c>
      <c r="H4" s="10" t="s">
        <v>200</v>
      </c>
      <c r="I4" s="15">
        <v>1300.3699999999999</v>
      </c>
      <c r="J4" s="15">
        <v>1300.3699999999999</v>
      </c>
      <c r="L4" t="s">
        <v>302</v>
      </c>
      <c r="M4" t="s">
        <v>303</v>
      </c>
      <c r="N4" s="9" t="s">
        <v>24</v>
      </c>
      <c r="O4" s="7"/>
      <c r="P4" s="7">
        <v>14895</v>
      </c>
    </row>
    <row r="5" spans="1:16" hidden="1" x14ac:dyDescent="0.35">
      <c r="A5" s="14">
        <v>45736</v>
      </c>
      <c r="B5" s="10" t="s">
        <v>34</v>
      </c>
      <c r="C5" s="10" t="s">
        <v>197</v>
      </c>
      <c r="D5" s="10" t="s">
        <v>198</v>
      </c>
      <c r="E5" s="10" t="s">
        <v>93</v>
      </c>
      <c r="F5" s="10" t="s">
        <v>199</v>
      </c>
      <c r="G5" s="15">
        <v>15</v>
      </c>
      <c r="H5" s="10" t="s">
        <v>200</v>
      </c>
      <c r="I5" s="15">
        <v>1300.3699999999999</v>
      </c>
      <c r="J5" s="15">
        <v>1300.3699999999999</v>
      </c>
      <c r="N5" s="9" t="s">
        <v>25</v>
      </c>
      <c r="O5" s="7"/>
      <c r="P5" s="7">
        <v>14753.779999999999</v>
      </c>
    </row>
    <row r="6" spans="1:16" hidden="1" x14ac:dyDescent="0.35">
      <c r="A6" s="14">
        <v>45797</v>
      </c>
      <c r="B6" s="10" t="s">
        <v>34</v>
      </c>
      <c r="C6" s="10" t="s">
        <v>197</v>
      </c>
      <c r="D6" s="10" t="s">
        <v>198</v>
      </c>
      <c r="E6" s="10" t="s">
        <v>148</v>
      </c>
      <c r="F6" s="10" t="s">
        <v>199</v>
      </c>
      <c r="G6" s="15">
        <v>24</v>
      </c>
      <c r="H6" s="10" t="s">
        <v>201</v>
      </c>
      <c r="I6" s="15">
        <v>2063.61</v>
      </c>
      <c r="J6" s="15">
        <v>2063.61</v>
      </c>
      <c r="M6" t="s">
        <v>304</v>
      </c>
      <c r="N6" s="9" t="s">
        <v>305</v>
      </c>
      <c r="O6" s="7"/>
      <c r="P6" s="7">
        <v>14442.490000000002</v>
      </c>
    </row>
    <row r="7" spans="1:16" x14ac:dyDescent="0.35">
      <c r="A7" s="14">
        <v>45862</v>
      </c>
      <c r="B7" s="10" t="s">
        <v>68</v>
      </c>
      <c r="C7" s="10" t="s">
        <v>202</v>
      </c>
      <c r="D7" s="10" t="s">
        <v>198</v>
      </c>
      <c r="E7" s="10" t="s">
        <v>203</v>
      </c>
      <c r="F7" s="10" t="s">
        <v>199</v>
      </c>
      <c r="G7" s="15">
        <v>-24</v>
      </c>
      <c r="H7" s="10" t="s">
        <v>201</v>
      </c>
      <c r="I7" s="15">
        <v>-2063.61</v>
      </c>
      <c r="J7" s="15">
        <v>-2063.61</v>
      </c>
      <c r="N7" s="9" t="s">
        <v>306</v>
      </c>
      <c r="O7" s="7">
        <v>-4236.29</v>
      </c>
      <c r="P7" s="7">
        <v>4812.59</v>
      </c>
    </row>
    <row r="8" spans="1:16" hidden="1" x14ac:dyDescent="0.35">
      <c r="A8" s="14">
        <v>45862</v>
      </c>
      <c r="B8" s="10" t="s">
        <v>34</v>
      </c>
      <c r="C8" s="10" t="s">
        <v>197</v>
      </c>
      <c r="D8" s="10" t="s">
        <v>198</v>
      </c>
      <c r="E8" s="10" t="s">
        <v>148</v>
      </c>
      <c r="F8" s="10" t="s">
        <v>199</v>
      </c>
      <c r="G8" s="15">
        <v>24</v>
      </c>
      <c r="H8" s="10" t="s">
        <v>204</v>
      </c>
      <c r="I8" s="15">
        <v>2064.02</v>
      </c>
      <c r="J8" s="15">
        <v>2064.02</v>
      </c>
      <c r="N8" s="9" t="s">
        <v>26</v>
      </c>
      <c r="O8" s="7"/>
      <c r="P8" s="7">
        <v>5256.2100000000009</v>
      </c>
    </row>
    <row r="9" spans="1:16" hidden="1" x14ac:dyDescent="0.35">
      <c r="A9" s="14">
        <v>45736</v>
      </c>
      <c r="B9" s="10" t="s">
        <v>34</v>
      </c>
      <c r="C9" s="10" t="s">
        <v>197</v>
      </c>
      <c r="D9" s="10" t="s">
        <v>198</v>
      </c>
      <c r="E9" s="10" t="s">
        <v>205</v>
      </c>
      <c r="F9" s="10" t="s">
        <v>199</v>
      </c>
      <c r="G9" s="15">
        <v>30</v>
      </c>
      <c r="H9" s="10" t="s">
        <v>200</v>
      </c>
      <c r="I9" s="15">
        <v>2600.7399999999998</v>
      </c>
      <c r="J9" s="15">
        <v>2600.7399999999998</v>
      </c>
      <c r="M9" t="s">
        <v>307</v>
      </c>
      <c r="N9" s="9" t="s">
        <v>27</v>
      </c>
      <c r="O9" s="7">
        <v>-29.25</v>
      </c>
      <c r="P9" s="7">
        <v>5651.9599999999982</v>
      </c>
    </row>
    <row r="10" spans="1:16" hidden="1" x14ac:dyDescent="0.35">
      <c r="A10" s="14">
        <v>45736</v>
      </c>
      <c r="B10" s="10" t="s">
        <v>34</v>
      </c>
      <c r="C10" s="10" t="s">
        <v>197</v>
      </c>
      <c r="D10" s="10" t="s">
        <v>198</v>
      </c>
      <c r="E10" s="10" t="s">
        <v>205</v>
      </c>
      <c r="F10" s="10" t="s">
        <v>199</v>
      </c>
      <c r="G10" s="15">
        <v>30</v>
      </c>
      <c r="H10" s="10" t="s">
        <v>200</v>
      </c>
      <c r="I10" s="15">
        <v>2600.7399999999998</v>
      </c>
      <c r="J10" s="15">
        <v>2600.7399999999998</v>
      </c>
      <c r="N10" s="9" t="s">
        <v>28</v>
      </c>
      <c r="O10" s="7">
        <v>-239.19</v>
      </c>
      <c r="P10" s="7">
        <v>3714.96</v>
      </c>
    </row>
    <row r="11" spans="1:16" hidden="1" x14ac:dyDescent="0.35">
      <c r="A11" s="14">
        <v>45736</v>
      </c>
      <c r="B11" s="10" t="s">
        <v>34</v>
      </c>
      <c r="C11" s="10" t="s">
        <v>197</v>
      </c>
      <c r="D11" s="10" t="s">
        <v>198</v>
      </c>
      <c r="E11" s="10" t="s">
        <v>205</v>
      </c>
      <c r="F11" s="10" t="s">
        <v>199</v>
      </c>
      <c r="G11" s="15">
        <v>30</v>
      </c>
      <c r="H11" s="10" t="s">
        <v>200</v>
      </c>
      <c r="I11" s="15">
        <v>2600.7399999999998</v>
      </c>
      <c r="J11" s="15">
        <v>2600.7399999999998</v>
      </c>
      <c r="N11" s="9" t="s">
        <v>308</v>
      </c>
      <c r="O11" s="7"/>
      <c r="P11" s="7">
        <v>5338.5299999999988</v>
      </c>
    </row>
    <row r="12" spans="1:16" hidden="1" x14ac:dyDescent="0.35">
      <c r="A12" s="14">
        <v>45736</v>
      </c>
      <c r="B12" s="10" t="s">
        <v>34</v>
      </c>
      <c r="C12" s="10" t="s">
        <v>197</v>
      </c>
      <c r="D12" s="10" t="s">
        <v>198</v>
      </c>
      <c r="E12" s="10" t="s">
        <v>205</v>
      </c>
      <c r="F12" s="10" t="s">
        <v>199</v>
      </c>
      <c r="G12" s="15">
        <v>30</v>
      </c>
      <c r="H12" s="10" t="s">
        <v>200</v>
      </c>
      <c r="I12" s="15">
        <v>2600.7399999999998</v>
      </c>
      <c r="J12" s="15">
        <v>2600.7399999999998</v>
      </c>
      <c r="M12" t="s">
        <v>309</v>
      </c>
      <c r="N12" s="9" t="s">
        <v>30</v>
      </c>
      <c r="O12" s="7"/>
      <c r="P12" s="7">
        <v>6343.8</v>
      </c>
    </row>
    <row r="13" spans="1:16" hidden="1" x14ac:dyDescent="0.35">
      <c r="A13" s="14">
        <v>45736</v>
      </c>
      <c r="B13" s="10" t="s">
        <v>34</v>
      </c>
      <c r="C13" s="10" t="s">
        <v>197</v>
      </c>
      <c r="D13" s="10" t="s">
        <v>198</v>
      </c>
      <c r="E13" s="10" t="s">
        <v>205</v>
      </c>
      <c r="F13" s="10" t="s">
        <v>199</v>
      </c>
      <c r="G13" s="15">
        <v>30</v>
      </c>
      <c r="H13" s="10" t="s">
        <v>200</v>
      </c>
      <c r="I13" s="15">
        <v>2600.7399999999998</v>
      </c>
      <c r="J13" s="15">
        <v>2600.7399999999998</v>
      </c>
      <c r="N13" s="9" t="s">
        <v>29</v>
      </c>
      <c r="O13" s="7">
        <v>-156.08000000000001</v>
      </c>
      <c r="P13" s="7">
        <v>4964.5600000000004</v>
      </c>
    </row>
    <row r="14" spans="1:16" hidden="1" x14ac:dyDescent="0.35">
      <c r="A14" s="14">
        <v>45736</v>
      </c>
      <c r="B14" s="10" t="s">
        <v>34</v>
      </c>
      <c r="C14" s="10" t="s">
        <v>197</v>
      </c>
      <c r="D14" s="10" t="s">
        <v>198</v>
      </c>
      <c r="E14" s="10" t="s">
        <v>206</v>
      </c>
      <c r="F14" s="10" t="s">
        <v>199</v>
      </c>
      <c r="G14" s="15">
        <v>1</v>
      </c>
      <c r="H14" s="10" t="s">
        <v>200</v>
      </c>
      <c r="I14" s="15">
        <v>86.69</v>
      </c>
      <c r="J14" s="15">
        <v>86.69</v>
      </c>
      <c r="N14" s="9" t="s">
        <v>31</v>
      </c>
      <c r="O14" s="7"/>
      <c r="P14" s="7">
        <v>204.14</v>
      </c>
    </row>
    <row r="15" spans="1:16" hidden="1" x14ac:dyDescent="0.35">
      <c r="A15" s="14">
        <v>45737</v>
      </c>
      <c r="B15" s="10" t="s">
        <v>34</v>
      </c>
      <c r="C15" s="10" t="s">
        <v>197</v>
      </c>
      <c r="D15" s="10" t="s">
        <v>198</v>
      </c>
      <c r="E15" s="10" t="s">
        <v>91</v>
      </c>
      <c r="F15" s="10" t="s">
        <v>199</v>
      </c>
      <c r="G15" s="15">
        <v>30</v>
      </c>
      <c r="H15" s="10" t="s">
        <v>200</v>
      </c>
      <c r="I15" s="15">
        <v>2600.7399999999998</v>
      </c>
      <c r="J15" s="15">
        <v>2600.7399999999998</v>
      </c>
      <c r="L15" t="s">
        <v>310</v>
      </c>
      <c r="M15" t="s">
        <v>303</v>
      </c>
      <c r="N15" s="9" t="s">
        <v>311</v>
      </c>
      <c r="O15" s="7">
        <v>-13.59</v>
      </c>
      <c r="P15" s="7">
        <v>7078.4100000000008</v>
      </c>
    </row>
    <row r="16" spans="1:16" hidden="1" x14ac:dyDescent="0.35">
      <c r="A16" s="14">
        <v>45750</v>
      </c>
      <c r="B16" s="10" t="s">
        <v>34</v>
      </c>
      <c r="C16" s="10" t="s">
        <v>197</v>
      </c>
      <c r="D16" s="10" t="s">
        <v>198</v>
      </c>
      <c r="E16" s="10" t="s">
        <v>102</v>
      </c>
      <c r="F16" s="10" t="s">
        <v>199</v>
      </c>
      <c r="G16" s="15">
        <v>30</v>
      </c>
      <c r="H16" s="10" t="s">
        <v>207</v>
      </c>
      <c r="I16" s="15">
        <v>2607.65</v>
      </c>
      <c r="J16" s="15">
        <v>2607.65</v>
      </c>
    </row>
    <row r="17" spans="1:10" hidden="1" x14ac:dyDescent="0.35">
      <c r="A17" s="14">
        <v>45750</v>
      </c>
      <c r="B17" s="10" t="s">
        <v>34</v>
      </c>
      <c r="C17" s="10" t="s">
        <v>197</v>
      </c>
      <c r="D17" s="10" t="s">
        <v>198</v>
      </c>
      <c r="E17" s="10" t="s">
        <v>101</v>
      </c>
      <c r="F17" s="10" t="s">
        <v>199</v>
      </c>
      <c r="G17" s="15">
        <v>1</v>
      </c>
      <c r="H17" s="10" t="s">
        <v>207</v>
      </c>
      <c r="I17" s="15">
        <v>86.92</v>
      </c>
      <c r="J17" s="15">
        <v>86.92</v>
      </c>
    </row>
    <row r="18" spans="1:10" hidden="1" x14ac:dyDescent="0.35">
      <c r="A18" s="14">
        <v>45762</v>
      </c>
      <c r="B18" s="10" t="s">
        <v>34</v>
      </c>
      <c r="C18" s="10" t="s">
        <v>197</v>
      </c>
      <c r="D18" s="10" t="s">
        <v>198</v>
      </c>
      <c r="E18" s="10" t="s">
        <v>105</v>
      </c>
      <c r="F18" s="10" t="s">
        <v>199</v>
      </c>
      <c r="G18" s="15">
        <v>15</v>
      </c>
      <c r="H18" s="10" t="s">
        <v>207</v>
      </c>
      <c r="I18" s="15">
        <v>1303.82</v>
      </c>
      <c r="J18" s="15">
        <v>1303.82</v>
      </c>
    </row>
    <row r="19" spans="1:10" hidden="1" x14ac:dyDescent="0.35">
      <c r="A19" s="14">
        <v>45762</v>
      </c>
      <c r="B19" s="10" t="s">
        <v>34</v>
      </c>
      <c r="C19" s="10" t="s">
        <v>197</v>
      </c>
      <c r="D19" s="10" t="s">
        <v>198</v>
      </c>
      <c r="E19" s="10" t="s">
        <v>105</v>
      </c>
      <c r="F19" s="10" t="s">
        <v>199</v>
      </c>
      <c r="G19" s="15">
        <v>15</v>
      </c>
      <c r="H19" s="10" t="s">
        <v>207</v>
      </c>
      <c r="I19" s="15">
        <v>1303.83</v>
      </c>
      <c r="J19" s="15">
        <v>1303.83</v>
      </c>
    </row>
    <row r="20" spans="1:10" hidden="1" x14ac:dyDescent="0.35">
      <c r="A20" s="14">
        <v>45762</v>
      </c>
      <c r="B20" s="10" t="s">
        <v>34</v>
      </c>
      <c r="C20" s="10" t="s">
        <v>197</v>
      </c>
      <c r="D20" s="10" t="s">
        <v>198</v>
      </c>
      <c r="E20" s="10" t="s">
        <v>105</v>
      </c>
      <c r="F20" s="10" t="s">
        <v>199</v>
      </c>
      <c r="G20" s="15">
        <v>15</v>
      </c>
      <c r="H20" s="10" t="s">
        <v>207</v>
      </c>
      <c r="I20" s="15">
        <v>1303.83</v>
      </c>
      <c r="J20" s="15">
        <v>1303.83</v>
      </c>
    </row>
    <row r="21" spans="1:10" hidden="1" x14ac:dyDescent="0.35">
      <c r="A21" s="14">
        <v>45763</v>
      </c>
      <c r="B21" s="10" t="s">
        <v>34</v>
      </c>
      <c r="C21" s="10" t="s">
        <v>197</v>
      </c>
      <c r="D21" s="10" t="s">
        <v>198</v>
      </c>
      <c r="E21" s="10" t="s">
        <v>108</v>
      </c>
      <c r="F21" s="10" t="s">
        <v>199</v>
      </c>
      <c r="G21" s="15">
        <v>1</v>
      </c>
      <c r="H21" s="10" t="s">
        <v>207</v>
      </c>
      <c r="I21" s="15">
        <v>86.92</v>
      </c>
      <c r="J21" s="15">
        <v>86.92</v>
      </c>
    </row>
    <row r="22" spans="1:10" hidden="1" x14ac:dyDescent="0.35">
      <c r="A22" s="14">
        <v>45763</v>
      </c>
      <c r="B22" s="10" t="s">
        <v>34</v>
      </c>
      <c r="C22" s="10" t="s">
        <v>197</v>
      </c>
      <c r="D22" s="10" t="s">
        <v>198</v>
      </c>
      <c r="E22" s="10" t="s">
        <v>109</v>
      </c>
      <c r="F22" s="10" t="s">
        <v>199</v>
      </c>
      <c r="G22" s="15">
        <v>15</v>
      </c>
      <c r="H22" s="10" t="s">
        <v>207</v>
      </c>
      <c r="I22" s="15">
        <v>1303.83</v>
      </c>
      <c r="J22" s="15">
        <v>1303.83</v>
      </c>
    </row>
    <row r="23" spans="1:10" hidden="1" x14ac:dyDescent="0.35">
      <c r="A23" s="14">
        <v>45763</v>
      </c>
      <c r="B23" s="10" t="s">
        <v>34</v>
      </c>
      <c r="C23" s="10" t="s">
        <v>197</v>
      </c>
      <c r="D23" s="10" t="s">
        <v>198</v>
      </c>
      <c r="E23" s="10" t="s">
        <v>208</v>
      </c>
      <c r="F23" s="10" t="s">
        <v>199</v>
      </c>
      <c r="G23" s="15">
        <v>1</v>
      </c>
      <c r="H23" s="10" t="s">
        <v>207</v>
      </c>
      <c r="I23" s="15">
        <v>86.92</v>
      </c>
      <c r="J23" s="15">
        <v>86.92</v>
      </c>
    </row>
    <row r="24" spans="1:10" hidden="1" x14ac:dyDescent="0.35">
      <c r="A24" s="14">
        <v>45769</v>
      </c>
      <c r="B24" s="10" t="s">
        <v>34</v>
      </c>
      <c r="C24" s="10" t="s">
        <v>197</v>
      </c>
      <c r="D24" s="10" t="s">
        <v>198</v>
      </c>
      <c r="E24" s="10" t="s">
        <v>209</v>
      </c>
      <c r="F24" s="10" t="s">
        <v>199</v>
      </c>
      <c r="G24" s="15">
        <v>15</v>
      </c>
      <c r="H24" s="10" t="s">
        <v>207</v>
      </c>
      <c r="I24" s="15">
        <v>1303.83</v>
      </c>
      <c r="J24" s="15">
        <v>1303.83</v>
      </c>
    </row>
    <row r="25" spans="1:10" hidden="1" x14ac:dyDescent="0.35">
      <c r="A25" s="14">
        <v>45769</v>
      </c>
      <c r="B25" s="10" t="s">
        <v>34</v>
      </c>
      <c r="C25" s="10" t="s">
        <v>197</v>
      </c>
      <c r="D25" s="10" t="s">
        <v>198</v>
      </c>
      <c r="E25" s="10" t="s">
        <v>210</v>
      </c>
      <c r="F25" s="10" t="s">
        <v>199</v>
      </c>
      <c r="G25" s="15">
        <v>1</v>
      </c>
      <c r="H25" s="10" t="s">
        <v>207</v>
      </c>
      <c r="I25" s="15">
        <v>86.92</v>
      </c>
      <c r="J25" s="15">
        <v>86.92</v>
      </c>
    </row>
    <row r="26" spans="1:10" hidden="1" x14ac:dyDescent="0.35">
      <c r="A26" s="14">
        <v>45769</v>
      </c>
      <c r="B26" s="10" t="s">
        <v>34</v>
      </c>
      <c r="C26" s="10" t="s">
        <v>197</v>
      </c>
      <c r="D26" s="10" t="s">
        <v>198</v>
      </c>
      <c r="E26" s="10" t="s">
        <v>211</v>
      </c>
      <c r="F26" s="10" t="s">
        <v>199</v>
      </c>
      <c r="G26" s="15">
        <v>30</v>
      </c>
      <c r="H26" s="10" t="s">
        <v>207</v>
      </c>
      <c r="I26" s="15">
        <v>2607.65</v>
      </c>
      <c r="J26" s="15">
        <v>2607.65</v>
      </c>
    </row>
    <row r="27" spans="1:10" hidden="1" x14ac:dyDescent="0.35">
      <c r="A27" s="14">
        <v>45797</v>
      </c>
      <c r="B27" s="10" t="s">
        <v>34</v>
      </c>
      <c r="C27" s="10" t="s">
        <v>197</v>
      </c>
      <c r="D27" s="10" t="s">
        <v>198</v>
      </c>
      <c r="E27" s="10" t="s">
        <v>212</v>
      </c>
      <c r="F27" s="10" t="s">
        <v>199</v>
      </c>
      <c r="G27" s="15">
        <v>1</v>
      </c>
      <c r="H27" s="10" t="s">
        <v>201</v>
      </c>
      <c r="I27" s="15">
        <v>85.98</v>
      </c>
      <c r="J27" s="15">
        <v>85.98</v>
      </c>
    </row>
    <row r="28" spans="1:10" hidden="1" x14ac:dyDescent="0.35">
      <c r="A28" s="14">
        <v>45812</v>
      </c>
      <c r="B28" s="10" t="s">
        <v>34</v>
      </c>
      <c r="C28" s="10" t="s">
        <v>197</v>
      </c>
      <c r="D28" s="10" t="s">
        <v>198</v>
      </c>
      <c r="E28" s="10" t="s">
        <v>131</v>
      </c>
      <c r="F28" s="10" t="s">
        <v>199</v>
      </c>
      <c r="G28" s="15">
        <v>30</v>
      </c>
      <c r="H28" s="10" t="s">
        <v>318</v>
      </c>
      <c r="I28" s="15">
        <v>2564.7199999999998</v>
      </c>
      <c r="J28" s="15">
        <v>2564.7199999999998</v>
      </c>
    </row>
    <row r="29" spans="1:10" hidden="1" x14ac:dyDescent="0.35">
      <c r="A29" s="14">
        <v>45842</v>
      </c>
      <c r="B29" s="10" t="s">
        <v>34</v>
      </c>
      <c r="C29" s="10" t="s">
        <v>197</v>
      </c>
      <c r="D29" s="10" t="s">
        <v>198</v>
      </c>
      <c r="E29" s="10" t="s">
        <v>136</v>
      </c>
      <c r="F29" s="10" t="s">
        <v>199</v>
      </c>
      <c r="G29" s="15">
        <v>30</v>
      </c>
      <c r="H29" s="10" t="s">
        <v>204</v>
      </c>
      <c r="I29" s="15">
        <v>2580.02</v>
      </c>
      <c r="J29" s="15">
        <v>2580.02</v>
      </c>
    </row>
    <row r="30" spans="1:10" hidden="1" x14ac:dyDescent="0.35">
      <c r="A30" s="14">
        <v>45842</v>
      </c>
      <c r="B30" s="10" t="s">
        <v>34</v>
      </c>
      <c r="C30" s="10" t="s">
        <v>197</v>
      </c>
      <c r="D30" s="10" t="s">
        <v>198</v>
      </c>
      <c r="E30" s="10" t="s">
        <v>214</v>
      </c>
      <c r="F30" s="10" t="s">
        <v>199</v>
      </c>
      <c r="G30" s="15">
        <v>30</v>
      </c>
      <c r="H30" s="10" t="s">
        <v>204</v>
      </c>
      <c r="I30" s="15">
        <v>2580.02</v>
      </c>
      <c r="J30" s="15">
        <v>2580.02</v>
      </c>
    </row>
    <row r="31" spans="1:10" hidden="1" x14ac:dyDescent="0.35">
      <c r="A31" s="14">
        <v>45842</v>
      </c>
      <c r="B31" s="10" t="s">
        <v>34</v>
      </c>
      <c r="C31" s="10" t="s">
        <v>197</v>
      </c>
      <c r="D31" s="10" t="s">
        <v>198</v>
      </c>
      <c r="E31" s="10" t="s">
        <v>138</v>
      </c>
      <c r="F31" s="10" t="s">
        <v>199</v>
      </c>
      <c r="G31" s="15">
        <v>30</v>
      </c>
      <c r="H31" s="10" t="s">
        <v>204</v>
      </c>
      <c r="I31" s="15">
        <v>2580.02</v>
      </c>
      <c r="J31" s="15">
        <v>2580.02</v>
      </c>
    </row>
    <row r="32" spans="1:10" hidden="1" x14ac:dyDescent="0.35">
      <c r="A32" s="14">
        <v>45856</v>
      </c>
      <c r="B32" s="10" t="s">
        <v>34</v>
      </c>
      <c r="C32" s="10" t="s">
        <v>197</v>
      </c>
      <c r="D32" s="10" t="s">
        <v>198</v>
      </c>
      <c r="E32" s="10" t="s">
        <v>215</v>
      </c>
      <c r="F32" s="10" t="s">
        <v>199</v>
      </c>
      <c r="G32" s="15">
        <v>15</v>
      </c>
      <c r="H32" s="10" t="s">
        <v>204</v>
      </c>
      <c r="I32" s="15">
        <v>1290.01</v>
      </c>
      <c r="J32" s="15">
        <v>1290.01</v>
      </c>
    </row>
    <row r="33" spans="1:10" hidden="1" x14ac:dyDescent="0.35">
      <c r="A33" s="14">
        <v>45856</v>
      </c>
      <c r="B33" s="10" t="s">
        <v>34</v>
      </c>
      <c r="C33" s="10" t="s">
        <v>197</v>
      </c>
      <c r="D33" s="10" t="s">
        <v>198</v>
      </c>
      <c r="E33" s="10" t="s">
        <v>144</v>
      </c>
      <c r="F33" s="10" t="s">
        <v>199</v>
      </c>
      <c r="G33" s="15">
        <v>15</v>
      </c>
      <c r="H33" s="10" t="s">
        <v>204</v>
      </c>
      <c r="I33" s="15">
        <v>1290.01</v>
      </c>
      <c r="J33" s="15">
        <v>1290.01</v>
      </c>
    </row>
    <row r="34" spans="1:10" hidden="1" x14ac:dyDescent="0.35">
      <c r="A34" s="14">
        <v>45856</v>
      </c>
      <c r="B34" s="10" t="s">
        <v>34</v>
      </c>
      <c r="C34" s="10" t="s">
        <v>197</v>
      </c>
      <c r="D34" s="10" t="s">
        <v>198</v>
      </c>
      <c r="E34" s="10" t="s">
        <v>216</v>
      </c>
      <c r="F34" s="10" t="s">
        <v>199</v>
      </c>
      <c r="G34" s="15">
        <v>30</v>
      </c>
      <c r="H34" s="10" t="s">
        <v>204</v>
      </c>
      <c r="I34" s="15">
        <v>2580.02</v>
      </c>
      <c r="J34" s="15">
        <v>2580.02</v>
      </c>
    </row>
    <row r="35" spans="1:10" hidden="1" x14ac:dyDescent="0.35">
      <c r="A35" s="14">
        <v>45856</v>
      </c>
      <c r="B35" s="10" t="s">
        <v>34</v>
      </c>
      <c r="C35" s="10" t="s">
        <v>197</v>
      </c>
      <c r="D35" s="10" t="s">
        <v>198</v>
      </c>
      <c r="E35" s="10" t="s">
        <v>217</v>
      </c>
      <c r="F35" s="10" t="s">
        <v>199</v>
      </c>
      <c r="G35" s="15">
        <v>1</v>
      </c>
      <c r="H35" s="10" t="s">
        <v>204</v>
      </c>
      <c r="I35" s="15">
        <v>86</v>
      </c>
      <c r="J35" s="15">
        <v>86</v>
      </c>
    </row>
    <row r="36" spans="1:10" hidden="1" x14ac:dyDescent="0.35">
      <c r="A36" s="14">
        <v>45856</v>
      </c>
      <c r="B36" s="10" t="s">
        <v>34</v>
      </c>
      <c r="C36" s="10" t="s">
        <v>197</v>
      </c>
      <c r="D36" s="10" t="s">
        <v>198</v>
      </c>
      <c r="E36" s="10" t="s">
        <v>144</v>
      </c>
      <c r="F36" s="10" t="s">
        <v>199</v>
      </c>
      <c r="G36" s="15">
        <v>15</v>
      </c>
      <c r="H36" s="10" t="s">
        <v>204</v>
      </c>
      <c r="I36" s="15">
        <v>1290.01</v>
      </c>
      <c r="J36" s="15">
        <v>1290.01</v>
      </c>
    </row>
    <row r="37" spans="1:10" hidden="1" x14ac:dyDescent="0.35">
      <c r="A37" s="14">
        <v>45856</v>
      </c>
      <c r="B37" s="10" t="s">
        <v>34</v>
      </c>
      <c r="C37" s="10" t="s">
        <v>197</v>
      </c>
      <c r="D37" s="10" t="s">
        <v>198</v>
      </c>
      <c r="E37" s="10" t="s">
        <v>216</v>
      </c>
      <c r="F37" s="10" t="s">
        <v>199</v>
      </c>
      <c r="G37" s="15">
        <v>30</v>
      </c>
      <c r="H37" s="10" t="s">
        <v>204</v>
      </c>
      <c r="I37" s="15">
        <v>2580.02</v>
      </c>
      <c r="J37" s="15">
        <v>2580.02</v>
      </c>
    </row>
    <row r="38" spans="1:10" x14ac:dyDescent="0.35">
      <c r="A38" s="14">
        <v>45873</v>
      </c>
      <c r="B38" s="10" t="s">
        <v>68</v>
      </c>
      <c r="C38" s="10" t="s">
        <v>202</v>
      </c>
      <c r="D38" s="10" t="s">
        <v>198</v>
      </c>
      <c r="E38" s="10" t="s">
        <v>187</v>
      </c>
      <c r="F38" s="10" t="s">
        <v>199</v>
      </c>
      <c r="G38" s="15">
        <v>-15</v>
      </c>
      <c r="H38" s="10" t="s">
        <v>204</v>
      </c>
      <c r="I38" s="15">
        <v>-1290.01</v>
      </c>
      <c r="J38" s="15">
        <v>-1290.01</v>
      </c>
    </row>
    <row r="39" spans="1:10" x14ac:dyDescent="0.35">
      <c r="A39" s="14">
        <v>45873</v>
      </c>
      <c r="B39" s="10" t="s">
        <v>68</v>
      </c>
      <c r="C39" s="10" t="s">
        <v>202</v>
      </c>
      <c r="D39" s="10" t="s">
        <v>198</v>
      </c>
      <c r="E39" s="10" t="s">
        <v>187</v>
      </c>
      <c r="F39" s="10" t="s">
        <v>199</v>
      </c>
      <c r="G39" s="15">
        <v>-30</v>
      </c>
      <c r="H39" s="10" t="s">
        <v>204</v>
      </c>
      <c r="I39" s="15">
        <v>-2580.02</v>
      </c>
      <c r="J39" s="15">
        <v>-2580.02</v>
      </c>
    </row>
    <row r="40" spans="1:10" hidden="1" x14ac:dyDescent="0.35">
      <c r="A40" s="14">
        <v>45877</v>
      </c>
      <c r="B40" s="10" t="s">
        <v>34</v>
      </c>
      <c r="C40" s="10" t="s">
        <v>197</v>
      </c>
      <c r="D40" s="10" t="s">
        <v>198</v>
      </c>
      <c r="E40" s="10" t="s">
        <v>155</v>
      </c>
      <c r="F40" s="10" t="s">
        <v>199</v>
      </c>
      <c r="G40" s="15">
        <v>15</v>
      </c>
      <c r="H40" s="10" t="s">
        <v>218</v>
      </c>
      <c r="I40" s="15">
        <v>1290.45</v>
      </c>
      <c r="J40" s="15">
        <v>1290.45</v>
      </c>
    </row>
    <row r="41" spans="1:10" hidden="1" x14ac:dyDescent="0.35">
      <c r="A41" s="14">
        <v>45877</v>
      </c>
      <c r="B41" s="10" t="s">
        <v>34</v>
      </c>
      <c r="C41" s="10" t="s">
        <v>197</v>
      </c>
      <c r="D41" s="10" t="s">
        <v>198</v>
      </c>
      <c r="E41" s="10" t="s">
        <v>219</v>
      </c>
      <c r="F41" s="10" t="s">
        <v>199</v>
      </c>
      <c r="G41" s="15">
        <v>30</v>
      </c>
      <c r="H41" s="10" t="s">
        <v>218</v>
      </c>
      <c r="I41" s="15">
        <v>2580.9</v>
      </c>
      <c r="J41" s="15">
        <v>2580.9</v>
      </c>
    </row>
    <row r="42" spans="1:10" hidden="1" x14ac:dyDescent="0.35">
      <c r="A42" s="14">
        <v>45889</v>
      </c>
      <c r="B42" s="10" t="s">
        <v>34</v>
      </c>
      <c r="C42" s="10" t="s">
        <v>197</v>
      </c>
      <c r="D42" s="10" t="s">
        <v>198</v>
      </c>
      <c r="E42" s="10" t="s">
        <v>159</v>
      </c>
      <c r="F42" s="10" t="s">
        <v>199</v>
      </c>
      <c r="G42" s="15">
        <v>15</v>
      </c>
      <c r="H42" s="10" t="s">
        <v>218</v>
      </c>
      <c r="I42" s="15">
        <v>1290.45</v>
      </c>
      <c r="J42" s="15">
        <v>1290.45</v>
      </c>
    </row>
    <row r="43" spans="1:10" hidden="1" x14ac:dyDescent="0.35">
      <c r="A43" s="14">
        <v>45889</v>
      </c>
      <c r="B43" s="10" t="s">
        <v>34</v>
      </c>
      <c r="C43" s="10" t="s">
        <v>197</v>
      </c>
      <c r="D43" s="10" t="s">
        <v>198</v>
      </c>
      <c r="E43" s="10" t="s">
        <v>220</v>
      </c>
      <c r="F43" s="10" t="s">
        <v>199</v>
      </c>
      <c r="G43" s="15">
        <v>1</v>
      </c>
      <c r="H43" s="10" t="s">
        <v>218</v>
      </c>
      <c r="I43" s="15">
        <v>86.03</v>
      </c>
      <c r="J43" s="15">
        <v>86.03</v>
      </c>
    </row>
    <row r="44" spans="1:10" hidden="1" x14ac:dyDescent="0.35">
      <c r="A44" s="14">
        <v>45889</v>
      </c>
      <c r="B44" s="10" t="s">
        <v>34</v>
      </c>
      <c r="C44" s="10" t="s">
        <v>197</v>
      </c>
      <c r="D44" s="10" t="s">
        <v>198</v>
      </c>
      <c r="E44" s="10" t="s">
        <v>221</v>
      </c>
      <c r="F44" s="10" t="s">
        <v>199</v>
      </c>
      <c r="G44" s="15">
        <v>1</v>
      </c>
      <c r="H44" s="10" t="s">
        <v>218</v>
      </c>
      <c r="I44" s="15">
        <v>86.03</v>
      </c>
      <c r="J44" s="15">
        <v>86.03</v>
      </c>
    </row>
    <row r="45" spans="1:10" hidden="1" x14ac:dyDescent="0.35">
      <c r="A45" s="14">
        <v>45904</v>
      </c>
      <c r="B45" s="10" t="s">
        <v>34</v>
      </c>
      <c r="C45" s="10" t="s">
        <v>197</v>
      </c>
      <c r="D45" s="10" t="s">
        <v>198</v>
      </c>
      <c r="E45" s="10" t="s">
        <v>164</v>
      </c>
      <c r="F45" s="10" t="s">
        <v>199</v>
      </c>
      <c r="G45" s="15">
        <v>15</v>
      </c>
      <c r="H45" s="10" t="s">
        <v>222</v>
      </c>
      <c r="I45" s="15">
        <v>1312.71</v>
      </c>
      <c r="J45" s="15">
        <v>1312.71</v>
      </c>
    </row>
    <row r="46" spans="1:10" hidden="1" x14ac:dyDescent="0.35">
      <c r="A46" s="14">
        <v>45918</v>
      </c>
      <c r="B46" s="10" t="s">
        <v>34</v>
      </c>
      <c r="C46" s="10" t="s">
        <v>197</v>
      </c>
      <c r="D46" s="10" t="s">
        <v>198</v>
      </c>
      <c r="E46" s="10" t="s">
        <v>39</v>
      </c>
      <c r="F46" s="10" t="s">
        <v>199</v>
      </c>
      <c r="G46" s="15">
        <v>30</v>
      </c>
      <c r="H46" s="10" t="s">
        <v>222</v>
      </c>
      <c r="I46" s="15">
        <v>2625.43</v>
      </c>
      <c r="J46" s="15">
        <v>2625.43</v>
      </c>
    </row>
    <row r="47" spans="1:10" hidden="1" x14ac:dyDescent="0.35">
      <c r="A47" s="14">
        <v>45981</v>
      </c>
      <c r="B47" s="10" t="s">
        <v>34</v>
      </c>
      <c r="C47" s="10" t="s">
        <v>197</v>
      </c>
      <c r="D47" s="10" t="s">
        <v>198</v>
      </c>
      <c r="E47" s="10" t="s">
        <v>62</v>
      </c>
      <c r="F47" s="10" t="s">
        <v>199</v>
      </c>
      <c r="G47" s="15">
        <v>15</v>
      </c>
      <c r="H47" s="10" t="s">
        <v>223</v>
      </c>
      <c r="I47" s="15">
        <v>1320.05</v>
      </c>
      <c r="J47" s="15">
        <v>1320.05</v>
      </c>
    </row>
    <row r="48" spans="1:10" hidden="1" x14ac:dyDescent="0.35">
      <c r="A48" s="14">
        <v>45981</v>
      </c>
      <c r="B48" s="10" t="s">
        <v>34</v>
      </c>
      <c r="C48" s="10" t="s">
        <v>197</v>
      </c>
      <c r="D48" s="10" t="s">
        <v>198</v>
      </c>
      <c r="E48" s="10" t="s">
        <v>224</v>
      </c>
      <c r="F48" s="10" t="s">
        <v>199</v>
      </c>
      <c r="G48" s="15">
        <v>1</v>
      </c>
      <c r="H48" s="10" t="s">
        <v>223</v>
      </c>
      <c r="I48" s="15">
        <v>88</v>
      </c>
      <c r="J48" s="15">
        <v>88</v>
      </c>
    </row>
    <row r="49" spans="1:10" hidden="1" x14ac:dyDescent="0.35">
      <c r="A49" s="14">
        <v>45999</v>
      </c>
      <c r="B49" s="10" t="s">
        <v>34</v>
      </c>
      <c r="C49" s="10" t="s">
        <v>197</v>
      </c>
      <c r="D49" s="10" t="s">
        <v>198</v>
      </c>
      <c r="E49" s="10" t="s">
        <v>66</v>
      </c>
      <c r="F49" s="10" t="s">
        <v>199</v>
      </c>
      <c r="G49" s="15">
        <v>30</v>
      </c>
      <c r="H49" s="10" t="s">
        <v>225</v>
      </c>
      <c r="I49" s="15">
        <v>2661.01</v>
      </c>
      <c r="J49" s="15">
        <v>2661.01</v>
      </c>
    </row>
    <row r="50" spans="1:10" hidden="1" x14ac:dyDescent="0.35">
      <c r="A50" s="14">
        <v>45736</v>
      </c>
      <c r="B50" s="10" t="s">
        <v>34</v>
      </c>
      <c r="C50" s="10" t="s">
        <v>197</v>
      </c>
      <c r="D50" s="10" t="s">
        <v>198</v>
      </c>
      <c r="E50" s="10" t="s">
        <v>205</v>
      </c>
      <c r="F50" s="10" t="s">
        <v>199</v>
      </c>
      <c r="G50" s="15">
        <v>60</v>
      </c>
      <c r="H50" s="10" t="s">
        <v>200</v>
      </c>
      <c r="I50" s="15">
        <v>5201.4799999999996</v>
      </c>
      <c r="J50" s="15">
        <v>5201.4799999999996</v>
      </c>
    </row>
    <row r="51" spans="1:10" hidden="1" x14ac:dyDescent="0.35">
      <c r="A51" s="14">
        <v>45736</v>
      </c>
      <c r="B51" s="10" t="s">
        <v>34</v>
      </c>
      <c r="C51" s="10" t="s">
        <v>197</v>
      </c>
      <c r="D51" s="10" t="s">
        <v>198</v>
      </c>
      <c r="E51" s="10" t="s">
        <v>95</v>
      </c>
      <c r="F51" s="10" t="s">
        <v>199</v>
      </c>
      <c r="G51" s="15">
        <v>60</v>
      </c>
      <c r="H51" s="10" t="s">
        <v>200</v>
      </c>
      <c r="I51" s="15">
        <v>5201.4799999999996</v>
      </c>
      <c r="J51" s="15">
        <v>5201.4799999999996</v>
      </c>
    </row>
    <row r="52" spans="1:10" hidden="1" x14ac:dyDescent="0.35">
      <c r="A52" s="14">
        <v>45736</v>
      </c>
      <c r="B52" s="10" t="s">
        <v>34</v>
      </c>
      <c r="C52" s="10" t="s">
        <v>197</v>
      </c>
      <c r="D52" s="10" t="s">
        <v>198</v>
      </c>
      <c r="E52" s="10" t="s">
        <v>99</v>
      </c>
      <c r="F52" s="10" t="s">
        <v>199</v>
      </c>
      <c r="G52" s="15">
        <v>60</v>
      </c>
      <c r="H52" s="10" t="s">
        <v>200</v>
      </c>
      <c r="I52" s="15">
        <v>5201.4799999999996</v>
      </c>
      <c r="J52" s="15">
        <v>5201.4799999999996</v>
      </c>
    </row>
    <row r="53" spans="1:10" hidden="1" x14ac:dyDescent="0.35">
      <c r="A53" s="14">
        <v>45736</v>
      </c>
      <c r="B53" s="10" t="s">
        <v>34</v>
      </c>
      <c r="C53" s="10" t="s">
        <v>197</v>
      </c>
      <c r="D53" s="10" t="s">
        <v>198</v>
      </c>
      <c r="E53" s="10" t="s">
        <v>100</v>
      </c>
      <c r="F53" s="10" t="s">
        <v>199</v>
      </c>
      <c r="G53" s="15">
        <v>60</v>
      </c>
      <c r="H53" s="10" t="s">
        <v>200</v>
      </c>
      <c r="I53" s="15">
        <v>5201.4799999999996</v>
      </c>
      <c r="J53" s="15">
        <v>5201.4799999999996</v>
      </c>
    </row>
    <row r="54" spans="1:10" hidden="1" x14ac:dyDescent="0.35">
      <c r="A54" s="14">
        <v>45793</v>
      </c>
      <c r="B54" s="10" t="s">
        <v>34</v>
      </c>
      <c r="C54" s="10" t="s">
        <v>197</v>
      </c>
      <c r="D54" s="10" t="s">
        <v>198</v>
      </c>
      <c r="E54" s="10" t="s">
        <v>226</v>
      </c>
      <c r="F54" s="10" t="s">
        <v>199</v>
      </c>
      <c r="G54" s="15">
        <v>60</v>
      </c>
      <c r="H54" s="10" t="s">
        <v>201</v>
      </c>
      <c r="I54" s="15">
        <v>5159.0200000000004</v>
      </c>
      <c r="J54" s="15">
        <v>5159.0200000000004</v>
      </c>
    </row>
    <row r="55" spans="1:10" hidden="1" x14ac:dyDescent="0.35">
      <c r="A55" s="14">
        <v>45812</v>
      </c>
      <c r="B55" s="10" t="s">
        <v>34</v>
      </c>
      <c r="C55" s="10" t="s">
        <v>197</v>
      </c>
      <c r="D55" s="10" t="s">
        <v>198</v>
      </c>
      <c r="E55" s="10" t="s">
        <v>227</v>
      </c>
      <c r="F55" s="10" t="s">
        <v>199</v>
      </c>
      <c r="G55" s="15">
        <v>60</v>
      </c>
      <c r="H55" s="10" t="s">
        <v>213</v>
      </c>
      <c r="I55" s="15">
        <v>5129.45</v>
      </c>
      <c r="J55" s="15">
        <v>5129.45</v>
      </c>
    </row>
    <row r="56" spans="1:10" hidden="1" x14ac:dyDescent="0.35">
      <c r="A56" s="14">
        <v>45856</v>
      </c>
      <c r="B56" s="10" t="s">
        <v>34</v>
      </c>
      <c r="C56" s="10" t="s">
        <v>197</v>
      </c>
      <c r="D56" s="10" t="s">
        <v>198</v>
      </c>
      <c r="E56" s="10" t="s">
        <v>228</v>
      </c>
      <c r="F56" s="10" t="s">
        <v>199</v>
      </c>
      <c r="G56" s="15">
        <v>60</v>
      </c>
      <c r="H56" s="10" t="s">
        <v>204</v>
      </c>
      <c r="I56" s="15">
        <v>5160.04</v>
      </c>
      <c r="J56" s="15">
        <v>5160.04</v>
      </c>
    </row>
    <row r="57" spans="1:10" hidden="1" x14ac:dyDescent="0.35">
      <c r="A57" s="14">
        <v>45856</v>
      </c>
      <c r="B57" s="10" t="s">
        <v>34</v>
      </c>
      <c r="C57" s="10" t="s">
        <v>197</v>
      </c>
      <c r="D57" s="10" t="s">
        <v>198</v>
      </c>
      <c r="E57" s="10" t="s">
        <v>228</v>
      </c>
      <c r="F57" s="10" t="s">
        <v>199</v>
      </c>
      <c r="G57" s="15">
        <v>60</v>
      </c>
      <c r="H57" s="10" t="s">
        <v>204</v>
      </c>
      <c r="I57" s="15">
        <v>5160.04</v>
      </c>
      <c r="J57" s="15">
        <v>5160.04</v>
      </c>
    </row>
    <row r="58" spans="1:10" x14ac:dyDescent="0.35">
      <c r="A58" s="14">
        <v>45873</v>
      </c>
      <c r="B58" s="10" t="s">
        <v>68</v>
      </c>
      <c r="C58" s="10" t="s">
        <v>202</v>
      </c>
      <c r="D58" s="10" t="s">
        <v>198</v>
      </c>
      <c r="E58" s="10" t="s">
        <v>187</v>
      </c>
      <c r="F58" s="10" t="s">
        <v>199</v>
      </c>
      <c r="G58" s="15">
        <v>-60</v>
      </c>
      <c r="H58" s="10" t="s">
        <v>204</v>
      </c>
      <c r="I58" s="15">
        <v>-5160.04</v>
      </c>
      <c r="J58" s="15">
        <v>-5160.04</v>
      </c>
    </row>
    <row r="59" spans="1:10" hidden="1" x14ac:dyDescent="0.35">
      <c r="A59" s="14">
        <v>45918</v>
      </c>
      <c r="B59" s="10" t="s">
        <v>34</v>
      </c>
      <c r="C59" s="10" t="s">
        <v>197</v>
      </c>
      <c r="D59" s="10" t="s">
        <v>198</v>
      </c>
      <c r="E59" s="10" t="s">
        <v>229</v>
      </c>
      <c r="F59" s="10" t="s">
        <v>199</v>
      </c>
      <c r="G59" s="15">
        <v>60</v>
      </c>
      <c r="H59" s="10" t="s">
        <v>222</v>
      </c>
      <c r="I59" s="15">
        <v>5250.86</v>
      </c>
      <c r="J59" s="15">
        <v>5250.86</v>
      </c>
    </row>
    <row r="60" spans="1:10" hidden="1" x14ac:dyDescent="0.35">
      <c r="A60" s="14">
        <v>45958</v>
      </c>
      <c r="B60" s="10" t="s">
        <v>34</v>
      </c>
      <c r="C60" s="10" t="s">
        <v>197</v>
      </c>
      <c r="D60" s="10" t="s">
        <v>198</v>
      </c>
      <c r="E60" s="10" t="s">
        <v>230</v>
      </c>
      <c r="F60" s="10" t="s">
        <v>199</v>
      </c>
      <c r="G60" s="15">
        <v>60</v>
      </c>
      <c r="H60" s="10" t="s">
        <v>231</v>
      </c>
      <c r="I60" s="15">
        <v>5291.45</v>
      </c>
      <c r="J60" s="15">
        <v>5291.45</v>
      </c>
    </row>
    <row r="61" spans="1:10" hidden="1" x14ac:dyDescent="0.35">
      <c r="A61" s="14">
        <v>45964</v>
      </c>
      <c r="B61" s="10" t="s">
        <v>34</v>
      </c>
      <c r="C61" s="10" t="s">
        <v>197</v>
      </c>
      <c r="D61" s="10" t="s">
        <v>198</v>
      </c>
      <c r="E61" s="10" t="s">
        <v>232</v>
      </c>
      <c r="F61" s="10" t="s">
        <v>199</v>
      </c>
      <c r="G61" s="15">
        <v>60</v>
      </c>
      <c r="H61" s="10" t="s">
        <v>223</v>
      </c>
      <c r="I61" s="15">
        <v>5280.2</v>
      </c>
      <c r="J61" s="15">
        <v>5280.2</v>
      </c>
    </row>
    <row r="62" spans="1:10" hidden="1" x14ac:dyDescent="0.35">
      <c r="A62" s="14">
        <v>45966</v>
      </c>
      <c r="B62" s="10" t="s">
        <v>34</v>
      </c>
      <c r="C62" s="10" t="s">
        <v>197</v>
      </c>
      <c r="D62" s="10" t="s">
        <v>198</v>
      </c>
      <c r="E62" s="10" t="s">
        <v>233</v>
      </c>
      <c r="F62" s="10" t="s">
        <v>199</v>
      </c>
      <c r="G62" s="15">
        <v>60</v>
      </c>
      <c r="H62" s="10" t="s">
        <v>223</v>
      </c>
      <c r="I62" s="15">
        <v>5280.2</v>
      </c>
      <c r="J62" s="15">
        <v>5280.2</v>
      </c>
    </row>
    <row r="63" spans="1:10" hidden="1" x14ac:dyDescent="0.35">
      <c r="A63" s="14">
        <v>45736</v>
      </c>
      <c r="B63" s="10" t="s">
        <v>34</v>
      </c>
      <c r="C63" s="10" t="s">
        <v>197</v>
      </c>
      <c r="D63" s="10" t="s">
        <v>198</v>
      </c>
      <c r="E63" s="10" t="s">
        <v>84</v>
      </c>
      <c r="F63" s="10" t="s">
        <v>199</v>
      </c>
      <c r="G63" s="15">
        <v>1.75</v>
      </c>
      <c r="H63" s="10" t="s">
        <v>200</v>
      </c>
      <c r="I63" s="15">
        <v>151.71</v>
      </c>
      <c r="J63" s="15">
        <v>151.71</v>
      </c>
    </row>
    <row r="64" spans="1:10" hidden="1" x14ac:dyDescent="0.35">
      <c r="A64" s="14">
        <v>45736</v>
      </c>
      <c r="B64" s="10" t="s">
        <v>34</v>
      </c>
      <c r="C64" s="10" t="s">
        <v>197</v>
      </c>
      <c r="D64" s="10" t="s">
        <v>198</v>
      </c>
      <c r="E64" s="10" t="s">
        <v>84</v>
      </c>
      <c r="F64" s="10" t="s">
        <v>199</v>
      </c>
      <c r="G64" s="15">
        <v>1.75</v>
      </c>
      <c r="H64" s="10" t="s">
        <v>200</v>
      </c>
      <c r="I64" s="15">
        <v>151.71</v>
      </c>
      <c r="J64" s="15">
        <v>151.71</v>
      </c>
    </row>
    <row r="65" spans="1:10" hidden="1" x14ac:dyDescent="0.35">
      <c r="A65" s="14">
        <v>45736</v>
      </c>
      <c r="B65" s="10" t="s">
        <v>34</v>
      </c>
      <c r="C65" s="10" t="s">
        <v>197</v>
      </c>
      <c r="D65" s="10" t="s">
        <v>198</v>
      </c>
      <c r="E65" s="10" t="s">
        <v>84</v>
      </c>
      <c r="F65" s="10" t="s">
        <v>199</v>
      </c>
      <c r="G65" s="15">
        <v>1.75</v>
      </c>
      <c r="H65" s="10" t="s">
        <v>200</v>
      </c>
      <c r="I65" s="15">
        <v>151.71</v>
      </c>
      <c r="J65" s="15">
        <v>151.71</v>
      </c>
    </row>
    <row r="66" spans="1:10" hidden="1" x14ac:dyDescent="0.35">
      <c r="A66" s="14">
        <v>45736</v>
      </c>
      <c r="B66" s="10" t="s">
        <v>34</v>
      </c>
      <c r="C66" s="10" t="s">
        <v>197</v>
      </c>
      <c r="D66" s="10" t="s">
        <v>198</v>
      </c>
      <c r="E66" s="10" t="s">
        <v>84</v>
      </c>
      <c r="F66" s="10" t="s">
        <v>199</v>
      </c>
      <c r="G66" s="15">
        <v>9.42</v>
      </c>
      <c r="H66" s="10" t="s">
        <v>200</v>
      </c>
      <c r="I66" s="15">
        <v>816.63</v>
      </c>
      <c r="J66" s="15">
        <v>816.63</v>
      </c>
    </row>
    <row r="67" spans="1:10" hidden="1" x14ac:dyDescent="0.35">
      <c r="A67" s="14">
        <v>45736</v>
      </c>
      <c r="B67" s="10" t="s">
        <v>34</v>
      </c>
      <c r="C67" s="10" t="s">
        <v>197</v>
      </c>
      <c r="D67" s="10" t="s">
        <v>198</v>
      </c>
      <c r="E67" s="10" t="s">
        <v>85</v>
      </c>
      <c r="F67" s="10" t="s">
        <v>199</v>
      </c>
      <c r="G67" s="15">
        <v>43</v>
      </c>
      <c r="H67" s="10" t="s">
        <v>200</v>
      </c>
      <c r="I67" s="15">
        <v>3727.72</v>
      </c>
      <c r="J67" s="15">
        <v>3727.72</v>
      </c>
    </row>
    <row r="68" spans="1:10" hidden="1" x14ac:dyDescent="0.35">
      <c r="A68" s="14">
        <v>45736</v>
      </c>
      <c r="B68" s="10" t="s">
        <v>34</v>
      </c>
      <c r="C68" s="10" t="s">
        <v>197</v>
      </c>
      <c r="D68" s="10" t="s">
        <v>198</v>
      </c>
      <c r="E68" s="10" t="s">
        <v>85</v>
      </c>
      <c r="F68" s="10" t="s">
        <v>199</v>
      </c>
      <c r="G68" s="15">
        <v>47.3</v>
      </c>
      <c r="H68" s="10" t="s">
        <v>200</v>
      </c>
      <c r="I68" s="15">
        <v>4100.5</v>
      </c>
      <c r="J68" s="15">
        <v>4100.5</v>
      </c>
    </row>
    <row r="69" spans="1:10" hidden="1" x14ac:dyDescent="0.35">
      <c r="A69" s="14">
        <v>45736</v>
      </c>
      <c r="B69" s="10" t="s">
        <v>34</v>
      </c>
      <c r="C69" s="10" t="s">
        <v>197</v>
      </c>
      <c r="D69" s="10" t="s">
        <v>198</v>
      </c>
      <c r="E69" s="10" t="s">
        <v>85</v>
      </c>
      <c r="F69" s="10" t="s">
        <v>199</v>
      </c>
      <c r="G69" s="15">
        <v>21.5</v>
      </c>
      <c r="H69" s="10" t="s">
        <v>200</v>
      </c>
      <c r="I69" s="15">
        <v>1863.86</v>
      </c>
      <c r="J69" s="15">
        <v>1863.86</v>
      </c>
    </row>
    <row r="70" spans="1:10" hidden="1" x14ac:dyDescent="0.35">
      <c r="A70" s="14">
        <v>45736</v>
      </c>
      <c r="B70" s="10" t="s">
        <v>34</v>
      </c>
      <c r="C70" s="10" t="s">
        <v>197</v>
      </c>
      <c r="D70" s="10" t="s">
        <v>198</v>
      </c>
      <c r="E70" s="10" t="s">
        <v>85</v>
      </c>
      <c r="F70" s="10" t="s">
        <v>199</v>
      </c>
      <c r="G70" s="15">
        <v>94.6</v>
      </c>
      <c r="H70" s="10" t="s">
        <v>200</v>
      </c>
      <c r="I70" s="15">
        <v>8200.99</v>
      </c>
      <c r="J70" s="15">
        <v>8200.99</v>
      </c>
    </row>
    <row r="71" spans="1:10" hidden="1" x14ac:dyDescent="0.35">
      <c r="A71" s="14">
        <v>45736</v>
      </c>
      <c r="B71" s="10" t="s">
        <v>34</v>
      </c>
      <c r="C71" s="10" t="s">
        <v>197</v>
      </c>
      <c r="D71" s="10" t="s">
        <v>198</v>
      </c>
      <c r="E71" s="10" t="s">
        <v>85</v>
      </c>
      <c r="F71" s="10" t="s">
        <v>199</v>
      </c>
      <c r="G71" s="15">
        <v>103.2</v>
      </c>
      <c r="H71" s="10" t="s">
        <v>200</v>
      </c>
      <c r="I71" s="15">
        <v>8946.5300000000007</v>
      </c>
      <c r="J71" s="15">
        <v>8946.5300000000007</v>
      </c>
    </row>
    <row r="72" spans="1:10" hidden="1" x14ac:dyDescent="0.35">
      <c r="A72" s="14">
        <v>45736</v>
      </c>
      <c r="B72" s="10" t="s">
        <v>34</v>
      </c>
      <c r="C72" s="10" t="s">
        <v>197</v>
      </c>
      <c r="D72" s="10" t="s">
        <v>198</v>
      </c>
      <c r="E72" s="10" t="s">
        <v>85</v>
      </c>
      <c r="F72" s="10" t="s">
        <v>199</v>
      </c>
      <c r="G72" s="15">
        <v>47.3</v>
      </c>
      <c r="H72" s="10" t="s">
        <v>200</v>
      </c>
      <c r="I72" s="15">
        <v>4100.5</v>
      </c>
      <c r="J72" s="15">
        <v>4100.5</v>
      </c>
    </row>
    <row r="73" spans="1:10" hidden="1" x14ac:dyDescent="0.35">
      <c r="A73" s="14">
        <v>45736</v>
      </c>
      <c r="B73" s="10" t="s">
        <v>34</v>
      </c>
      <c r="C73" s="10" t="s">
        <v>197</v>
      </c>
      <c r="D73" s="10" t="s">
        <v>198</v>
      </c>
      <c r="E73" s="10" t="s">
        <v>85</v>
      </c>
      <c r="F73" s="10" t="s">
        <v>199</v>
      </c>
      <c r="G73" s="15">
        <v>3.9</v>
      </c>
      <c r="H73" s="10" t="s">
        <v>200</v>
      </c>
      <c r="I73" s="15">
        <v>338.1</v>
      </c>
      <c r="J73" s="15">
        <v>338.1</v>
      </c>
    </row>
    <row r="74" spans="1:10" hidden="1" x14ac:dyDescent="0.35">
      <c r="A74" s="14">
        <v>45736</v>
      </c>
      <c r="B74" s="10" t="s">
        <v>34</v>
      </c>
      <c r="C74" s="10" t="s">
        <v>197</v>
      </c>
      <c r="D74" s="10" t="s">
        <v>198</v>
      </c>
      <c r="E74" s="10" t="s">
        <v>88</v>
      </c>
      <c r="F74" s="10" t="s">
        <v>199</v>
      </c>
      <c r="G74" s="15">
        <v>9.1</v>
      </c>
      <c r="H74" s="10" t="s">
        <v>200</v>
      </c>
      <c r="I74" s="15">
        <v>788.89</v>
      </c>
      <c r="J74" s="15">
        <v>788.89</v>
      </c>
    </row>
    <row r="75" spans="1:10" hidden="1" x14ac:dyDescent="0.35">
      <c r="A75" s="14">
        <v>45736</v>
      </c>
      <c r="B75" s="10" t="s">
        <v>34</v>
      </c>
      <c r="C75" s="10" t="s">
        <v>197</v>
      </c>
      <c r="D75" s="10" t="s">
        <v>198</v>
      </c>
      <c r="E75" s="10" t="s">
        <v>100</v>
      </c>
      <c r="F75" s="10" t="s">
        <v>199</v>
      </c>
      <c r="G75" s="15">
        <v>43</v>
      </c>
      <c r="H75" s="10" t="s">
        <v>200</v>
      </c>
      <c r="I75" s="15">
        <v>3727.72</v>
      </c>
      <c r="J75" s="15">
        <v>3727.72</v>
      </c>
    </row>
    <row r="76" spans="1:10" hidden="1" x14ac:dyDescent="0.35">
      <c r="A76" s="14">
        <v>45736</v>
      </c>
      <c r="B76" s="10" t="s">
        <v>34</v>
      </c>
      <c r="C76" s="10" t="s">
        <v>197</v>
      </c>
      <c r="D76" s="10" t="s">
        <v>198</v>
      </c>
      <c r="E76" s="10" t="s">
        <v>100</v>
      </c>
      <c r="F76" s="10" t="s">
        <v>199</v>
      </c>
      <c r="G76" s="15">
        <v>47.3</v>
      </c>
      <c r="H76" s="10" t="s">
        <v>200</v>
      </c>
      <c r="I76" s="15">
        <v>4100.5</v>
      </c>
      <c r="J76" s="15">
        <v>4100.5</v>
      </c>
    </row>
    <row r="77" spans="1:10" hidden="1" x14ac:dyDescent="0.35">
      <c r="A77" s="14">
        <v>45736</v>
      </c>
      <c r="B77" s="10" t="s">
        <v>34</v>
      </c>
      <c r="C77" s="10" t="s">
        <v>197</v>
      </c>
      <c r="D77" s="10" t="s">
        <v>198</v>
      </c>
      <c r="E77" s="10" t="s">
        <v>100</v>
      </c>
      <c r="F77" s="10" t="s">
        <v>199</v>
      </c>
      <c r="G77" s="15">
        <v>47.3</v>
      </c>
      <c r="H77" s="10" t="s">
        <v>200</v>
      </c>
      <c r="I77" s="15">
        <v>4100.49</v>
      </c>
      <c r="J77" s="15">
        <v>4100.49</v>
      </c>
    </row>
    <row r="78" spans="1:10" hidden="1" x14ac:dyDescent="0.35">
      <c r="A78" s="14">
        <v>45736</v>
      </c>
      <c r="B78" s="10" t="s">
        <v>34</v>
      </c>
      <c r="C78" s="10" t="s">
        <v>197</v>
      </c>
      <c r="D78" s="10" t="s">
        <v>198</v>
      </c>
      <c r="E78" s="10" t="s">
        <v>100</v>
      </c>
      <c r="F78" s="10" t="s">
        <v>199</v>
      </c>
      <c r="G78" s="15">
        <v>3.9</v>
      </c>
      <c r="H78" s="10" t="s">
        <v>200</v>
      </c>
      <c r="I78" s="15">
        <v>338.1</v>
      </c>
      <c r="J78" s="15">
        <v>338.1</v>
      </c>
    </row>
    <row r="79" spans="1:10" hidden="1" x14ac:dyDescent="0.35">
      <c r="A79" s="14">
        <v>45736</v>
      </c>
      <c r="B79" s="10" t="s">
        <v>34</v>
      </c>
      <c r="C79" s="10" t="s">
        <v>197</v>
      </c>
      <c r="D79" s="10" t="s">
        <v>198</v>
      </c>
      <c r="E79" s="10" t="s">
        <v>84</v>
      </c>
      <c r="F79" s="10" t="s">
        <v>199</v>
      </c>
      <c r="G79" s="15">
        <v>128.52000000000001</v>
      </c>
      <c r="H79" s="10" t="s">
        <v>200</v>
      </c>
      <c r="I79" s="15">
        <v>11141.56</v>
      </c>
      <c r="J79" s="15">
        <v>11141.56</v>
      </c>
    </row>
    <row r="80" spans="1:10" hidden="1" x14ac:dyDescent="0.35">
      <c r="A80" s="14">
        <v>45736</v>
      </c>
      <c r="B80" s="10" t="s">
        <v>34</v>
      </c>
      <c r="C80" s="10" t="s">
        <v>197</v>
      </c>
      <c r="D80" s="10" t="s">
        <v>198</v>
      </c>
      <c r="E80" s="10" t="s">
        <v>84</v>
      </c>
      <c r="F80" s="10" t="s">
        <v>199</v>
      </c>
      <c r="G80" s="15">
        <v>1.75</v>
      </c>
      <c r="H80" s="10" t="s">
        <v>200</v>
      </c>
      <c r="I80" s="15">
        <v>151.71</v>
      </c>
      <c r="J80" s="15">
        <v>151.71</v>
      </c>
    </row>
    <row r="81" spans="1:10" hidden="1" x14ac:dyDescent="0.35">
      <c r="A81" s="14">
        <v>45736</v>
      </c>
      <c r="B81" s="10" t="s">
        <v>34</v>
      </c>
      <c r="C81" s="10" t="s">
        <v>197</v>
      </c>
      <c r="D81" s="10" t="s">
        <v>198</v>
      </c>
      <c r="E81" s="10" t="s">
        <v>234</v>
      </c>
      <c r="F81" s="10" t="s">
        <v>199</v>
      </c>
      <c r="G81" s="15">
        <v>0.25</v>
      </c>
      <c r="H81" s="10" t="s">
        <v>200</v>
      </c>
      <c r="I81" s="15">
        <v>21.67</v>
      </c>
      <c r="J81" s="15">
        <v>21.67</v>
      </c>
    </row>
    <row r="82" spans="1:10" hidden="1" x14ac:dyDescent="0.35">
      <c r="A82" s="14">
        <v>45736</v>
      </c>
      <c r="B82" s="10" t="s">
        <v>34</v>
      </c>
      <c r="C82" s="10" t="s">
        <v>197</v>
      </c>
      <c r="D82" s="10" t="s">
        <v>198</v>
      </c>
      <c r="E82" s="10" t="s">
        <v>234</v>
      </c>
      <c r="F82" s="10" t="s">
        <v>199</v>
      </c>
      <c r="G82" s="15">
        <v>0.24</v>
      </c>
      <c r="H82" s="10" t="s">
        <v>200</v>
      </c>
      <c r="I82" s="15">
        <v>20.81</v>
      </c>
      <c r="J82" s="15">
        <v>20.81</v>
      </c>
    </row>
    <row r="83" spans="1:10" hidden="1" x14ac:dyDescent="0.35">
      <c r="A83" s="14">
        <v>45736</v>
      </c>
      <c r="B83" s="10" t="s">
        <v>34</v>
      </c>
      <c r="C83" s="10" t="s">
        <v>197</v>
      </c>
      <c r="D83" s="10" t="s">
        <v>198</v>
      </c>
      <c r="E83" s="10" t="s">
        <v>234</v>
      </c>
      <c r="F83" s="10" t="s">
        <v>199</v>
      </c>
      <c r="G83" s="15">
        <v>5.38</v>
      </c>
      <c r="H83" s="10" t="s">
        <v>200</v>
      </c>
      <c r="I83" s="15">
        <v>466.4</v>
      </c>
      <c r="J83" s="15">
        <v>466.4</v>
      </c>
    </row>
    <row r="84" spans="1:10" hidden="1" x14ac:dyDescent="0.35">
      <c r="A84" s="14">
        <v>45736</v>
      </c>
      <c r="B84" s="10" t="s">
        <v>34</v>
      </c>
      <c r="C84" s="10" t="s">
        <v>197</v>
      </c>
      <c r="D84" s="10" t="s">
        <v>198</v>
      </c>
      <c r="E84" s="10" t="s">
        <v>235</v>
      </c>
      <c r="F84" s="10" t="s">
        <v>199</v>
      </c>
      <c r="G84" s="15">
        <v>200</v>
      </c>
      <c r="H84" s="10" t="s">
        <v>200</v>
      </c>
      <c r="I84" s="15">
        <v>17338.25</v>
      </c>
      <c r="J84" s="15">
        <v>17338.25</v>
      </c>
    </row>
    <row r="85" spans="1:10" hidden="1" x14ac:dyDescent="0.35">
      <c r="A85" s="14">
        <v>45736</v>
      </c>
      <c r="B85" s="10" t="s">
        <v>34</v>
      </c>
      <c r="C85" s="10" t="s">
        <v>197</v>
      </c>
      <c r="D85" s="10" t="s">
        <v>198</v>
      </c>
      <c r="E85" s="10" t="s">
        <v>235</v>
      </c>
      <c r="F85" s="10" t="s">
        <v>199</v>
      </c>
      <c r="G85" s="15">
        <v>200</v>
      </c>
      <c r="H85" s="10" t="s">
        <v>200</v>
      </c>
      <c r="I85" s="15">
        <v>17338.25</v>
      </c>
      <c r="J85" s="15">
        <v>17338.25</v>
      </c>
    </row>
    <row r="86" spans="1:10" hidden="1" x14ac:dyDescent="0.35">
      <c r="A86" s="14">
        <v>45736</v>
      </c>
      <c r="B86" s="10" t="s">
        <v>34</v>
      </c>
      <c r="C86" s="10" t="s">
        <v>197</v>
      </c>
      <c r="D86" s="10" t="s">
        <v>198</v>
      </c>
      <c r="E86" s="10" t="s">
        <v>235</v>
      </c>
      <c r="F86" s="10" t="s">
        <v>199</v>
      </c>
      <c r="G86" s="15">
        <v>200</v>
      </c>
      <c r="H86" s="10" t="s">
        <v>200</v>
      </c>
      <c r="I86" s="15">
        <v>17338.25</v>
      </c>
      <c r="J86" s="15">
        <v>17338.25</v>
      </c>
    </row>
    <row r="87" spans="1:10" hidden="1" x14ac:dyDescent="0.35">
      <c r="A87" s="14">
        <v>45736</v>
      </c>
      <c r="B87" s="10" t="s">
        <v>34</v>
      </c>
      <c r="C87" s="10" t="s">
        <v>197</v>
      </c>
      <c r="D87" s="10" t="s">
        <v>198</v>
      </c>
      <c r="E87" s="10" t="s">
        <v>235</v>
      </c>
      <c r="F87" s="10" t="s">
        <v>199</v>
      </c>
      <c r="G87" s="15">
        <v>400</v>
      </c>
      <c r="H87" s="10" t="s">
        <v>200</v>
      </c>
      <c r="I87" s="15">
        <v>34676.5</v>
      </c>
      <c r="J87" s="15">
        <v>34676.5</v>
      </c>
    </row>
    <row r="88" spans="1:10" hidden="1" x14ac:dyDescent="0.35">
      <c r="A88" s="14">
        <v>45736</v>
      </c>
      <c r="B88" s="10" t="s">
        <v>34</v>
      </c>
      <c r="C88" s="10" t="s">
        <v>197</v>
      </c>
      <c r="D88" s="10" t="s">
        <v>198</v>
      </c>
      <c r="E88" s="10" t="s">
        <v>235</v>
      </c>
      <c r="F88" s="10" t="s">
        <v>199</v>
      </c>
      <c r="G88" s="15">
        <v>220</v>
      </c>
      <c r="H88" s="10" t="s">
        <v>200</v>
      </c>
      <c r="I88" s="15">
        <v>19072.080000000002</v>
      </c>
      <c r="J88" s="15">
        <v>19072.080000000002</v>
      </c>
    </row>
    <row r="89" spans="1:10" hidden="1" x14ac:dyDescent="0.35">
      <c r="A89" s="14">
        <v>45736</v>
      </c>
      <c r="B89" s="10" t="s">
        <v>34</v>
      </c>
      <c r="C89" s="10" t="s">
        <v>197</v>
      </c>
      <c r="D89" s="10" t="s">
        <v>198</v>
      </c>
      <c r="E89" s="10" t="s">
        <v>86</v>
      </c>
      <c r="F89" s="10" t="s">
        <v>199</v>
      </c>
      <c r="G89" s="15">
        <v>12.25</v>
      </c>
      <c r="H89" s="10" t="s">
        <v>200</v>
      </c>
      <c r="I89" s="15">
        <v>1061.97</v>
      </c>
      <c r="J89" s="15">
        <v>1061.97</v>
      </c>
    </row>
    <row r="90" spans="1:10" hidden="1" x14ac:dyDescent="0.35">
      <c r="A90" s="14">
        <v>45736</v>
      </c>
      <c r="B90" s="10" t="s">
        <v>34</v>
      </c>
      <c r="C90" s="10" t="s">
        <v>197</v>
      </c>
      <c r="D90" s="10" t="s">
        <v>198</v>
      </c>
      <c r="E90" s="10" t="s">
        <v>92</v>
      </c>
      <c r="F90" s="10" t="s">
        <v>199</v>
      </c>
      <c r="G90" s="15">
        <v>10.5</v>
      </c>
      <c r="H90" s="10" t="s">
        <v>200</v>
      </c>
      <c r="I90" s="15">
        <v>910.26</v>
      </c>
      <c r="J90" s="15">
        <v>910.26</v>
      </c>
    </row>
    <row r="91" spans="1:10" hidden="1" x14ac:dyDescent="0.35">
      <c r="A91" s="14">
        <v>45736</v>
      </c>
      <c r="B91" s="10" t="s">
        <v>34</v>
      </c>
      <c r="C91" s="10" t="s">
        <v>197</v>
      </c>
      <c r="D91" s="10" t="s">
        <v>198</v>
      </c>
      <c r="E91" s="10" t="s">
        <v>85</v>
      </c>
      <c r="F91" s="10" t="s">
        <v>199</v>
      </c>
      <c r="G91" s="15">
        <v>18.170000000000002</v>
      </c>
      <c r="H91" s="10" t="s">
        <v>200</v>
      </c>
      <c r="I91" s="15">
        <v>1575.18</v>
      </c>
      <c r="J91" s="15">
        <v>1575.18</v>
      </c>
    </row>
    <row r="92" spans="1:10" hidden="1" x14ac:dyDescent="0.35">
      <c r="A92" s="14">
        <v>45736</v>
      </c>
      <c r="B92" s="10" t="s">
        <v>34</v>
      </c>
      <c r="C92" s="10" t="s">
        <v>197</v>
      </c>
      <c r="D92" s="10" t="s">
        <v>198</v>
      </c>
      <c r="E92" s="10" t="s">
        <v>94</v>
      </c>
      <c r="F92" s="10" t="s">
        <v>199</v>
      </c>
      <c r="G92" s="15">
        <v>6.38</v>
      </c>
      <c r="H92" s="10" t="s">
        <v>200</v>
      </c>
      <c r="I92" s="15">
        <v>553.09</v>
      </c>
      <c r="J92" s="15">
        <v>553.09</v>
      </c>
    </row>
    <row r="93" spans="1:10" hidden="1" x14ac:dyDescent="0.35">
      <c r="A93" s="14">
        <v>45736</v>
      </c>
      <c r="B93" s="10" t="s">
        <v>34</v>
      </c>
      <c r="C93" s="10" t="s">
        <v>197</v>
      </c>
      <c r="D93" s="10" t="s">
        <v>198</v>
      </c>
      <c r="E93" s="10" t="s">
        <v>96</v>
      </c>
      <c r="F93" s="10" t="s">
        <v>199</v>
      </c>
      <c r="G93" s="15">
        <v>7</v>
      </c>
      <c r="H93" s="10" t="s">
        <v>200</v>
      </c>
      <c r="I93" s="15">
        <v>606.84</v>
      </c>
      <c r="J93" s="15">
        <v>606.84</v>
      </c>
    </row>
    <row r="94" spans="1:10" hidden="1" x14ac:dyDescent="0.35">
      <c r="A94" s="14">
        <v>45736</v>
      </c>
      <c r="B94" s="10" t="s">
        <v>34</v>
      </c>
      <c r="C94" s="10" t="s">
        <v>197</v>
      </c>
      <c r="D94" s="10" t="s">
        <v>198</v>
      </c>
      <c r="E94" s="10" t="s">
        <v>97</v>
      </c>
      <c r="F94" s="10" t="s">
        <v>199</v>
      </c>
      <c r="G94" s="15">
        <v>9.9</v>
      </c>
      <c r="H94" s="10" t="s">
        <v>200</v>
      </c>
      <c r="I94" s="15">
        <v>858.24</v>
      </c>
      <c r="J94" s="15">
        <v>858.24</v>
      </c>
    </row>
    <row r="95" spans="1:10" hidden="1" x14ac:dyDescent="0.35">
      <c r="A95" s="14">
        <v>45736</v>
      </c>
      <c r="B95" s="10" t="s">
        <v>34</v>
      </c>
      <c r="C95" s="10" t="s">
        <v>197</v>
      </c>
      <c r="D95" s="10" t="s">
        <v>198</v>
      </c>
      <c r="E95" s="10" t="s">
        <v>98</v>
      </c>
      <c r="F95" s="10" t="s">
        <v>199</v>
      </c>
      <c r="G95" s="15">
        <v>50.75</v>
      </c>
      <c r="H95" s="10" t="s">
        <v>200</v>
      </c>
      <c r="I95" s="15">
        <v>4399.58</v>
      </c>
      <c r="J95" s="15">
        <v>4399.58</v>
      </c>
    </row>
    <row r="96" spans="1:10" hidden="1" x14ac:dyDescent="0.35">
      <c r="A96" s="14">
        <v>45736</v>
      </c>
      <c r="B96" s="10" t="s">
        <v>34</v>
      </c>
      <c r="C96" s="10" t="s">
        <v>197</v>
      </c>
      <c r="D96" s="10" t="s">
        <v>198</v>
      </c>
      <c r="E96" s="10" t="s">
        <v>100</v>
      </c>
      <c r="F96" s="10" t="s">
        <v>199</v>
      </c>
      <c r="G96" s="15">
        <v>111.18</v>
      </c>
      <c r="H96" s="10" t="s">
        <v>200</v>
      </c>
      <c r="I96" s="15">
        <v>9638.33</v>
      </c>
      <c r="J96" s="15">
        <v>9638.33</v>
      </c>
    </row>
    <row r="97" spans="1:10" hidden="1" x14ac:dyDescent="0.35">
      <c r="A97" s="14">
        <v>45736</v>
      </c>
      <c r="B97" s="10" t="s">
        <v>34</v>
      </c>
      <c r="C97" s="10" t="s">
        <v>197</v>
      </c>
      <c r="D97" s="10" t="s">
        <v>198</v>
      </c>
      <c r="E97" s="10" t="s">
        <v>236</v>
      </c>
      <c r="F97" s="10" t="s">
        <v>199</v>
      </c>
      <c r="G97" s="15">
        <v>1.97</v>
      </c>
      <c r="H97" s="10" t="s">
        <v>200</v>
      </c>
      <c r="I97" s="15">
        <v>170.78</v>
      </c>
      <c r="J97" s="15">
        <v>170.78</v>
      </c>
    </row>
    <row r="98" spans="1:10" hidden="1" x14ac:dyDescent="0.35">
      <c r="A98" s="14">
        <v>45736</v>
      </c>
      <c r="B98" s="10" t="s">
        <v>34</v>
      </c>
      <c r="C98" s="10" t="s">
        <v>197</v>
      </c>
      <c r="D98" s="10" t="s">
        <v>198</v>
      </c>
      <c r="E98" s="10" t="s">
        <v>100</v>
      </c>
      <c r="F98" s="10" t="s">
        <v>199</v>
      </c>
      <c r="G98" s="15">
        <v>47.3</v>
      </c>
      <c r="H98" s="10" t="s">
        <v>200</v>
      </c>
      <c r="I98" s="15">
        <v>4100.5</v>
      </c>
      <c r="J98" s="15">
        <v>4100.5</v>
      </c>
    </row>
    <row r="99" spans="1:10" hidden="1" x14ac:dyDescent="0.35">
      <c r="A99" s="14">
        <v>45736</v>
      </c>
      <c r="B99" s="10" t="s">
        <v>34</v>
      </c>
      <c r="C99" s="10" t="s">
        <v>197</v>
      </c>
      <c r="D99" s="10" t="s">
        <v>198</v>
      </c>
      <c r="E99" s="10" t="s">
        <v>100</v>
      </c>
      <c r="F99" s="10" t="s">
        <v>199</v>
      </c>
      <c r="G99" s="15">
        <v>51.6</v>
      </c>
      <c r="H99" s="10" t="s">
        <v>200</v>
      </c>
      <c r="I99" s="15">
        <v>4473.2700000000004</v>
      </c>
      <c r="J99" s="15">
        <v>4473.2700000000004</v>
      </c>
    </row>
    <row r="100" spans="1:10" hidden="1" x14ac:dyDescent="0.35">
      <c r="A100" s="14">
        <v>45736</v>
      </c>
      <c r="B100" s="10" t="s">
        <v>34</v>
      </c>
      <c r="C100" s="10" t="s">
        <v>197</v>
      </c>
      <c r="D100" s="10" t="s">
        <v>198</v>
      </c>
      <c r="E100" s="10" t="s">
        <v>100</v>
      </c>
      <c r="F100" s="10" t="s">
        <v>199</v>
      </c>
      <c r="G100" s="15">
        <v>51.6</v>
      </c>
      <c r="H100" s="10" t="s">
        <v>200</v>
      </c>
      <c r="I100" s="15">
        <v>4473.2700000000004</v>
      </c>
      <c r="J100" s="15">
        <v>4473.2700000000004</v>
      </c>
    </row>
    <row r="101" spans="1:10" hidden="1" x14ac:dyDescent="0.35">
      <c r="A101" s="14">
        <v>45736</v>
      </c>
      <c r="B101" s="10" t="s">
        <v>34</v>
      </c>
      <c r="C101" s="10" t="s">
        <v>197</v>
      </c>
      <c r="D101" s="10" t="s">
        <v>198</v>
      </c>
      <c r="E101" s="10" t="s">
        <v>236</v>
      </c>
      <c r="F101" s="10" t="s">
        <v>199</v>
      </c>
      <c r="G101" s="15">
        <v>2.23</v>
      </c>
      <c r="H101" s="10" t="s">
        <v>200</v>
      </c>
      <c r="I101" s="15">
        <v>193.32</v>
      </c>
      <c r="J101" s="15">
        <v>193.32</v>
      </c>
    </row>
    <row r="102" spans="1:10" hidden="1" x14ac:dyDescent="0.35">
      <c r="A102" s="14">
        <v>45736</v>
      </c>
      <c r="B102" s="10" t="s">
        <v>34</v>
      </c>
      <c r="C102" s="10" t="s">
        <v>197</v>
      </c>
      <c r="D102" s="10" t="s">
        <v>198</v>
      </c>
      <c r="E102" s="10" t="s">
        <v>100</v>
      </c>
      <c r="F102" s="10" t="s">
        <v>199</v>
      </c>
      <c r="G102" s="15">
        <v>3.52</v>
      </c>
      <c r="H102" s="10" t="s">
        <v>200</v>
      </c>
      <c r="I102" s="15">
        <v>305.14999999999998</v>
      </c>
      <c r="J102" s="15">
        <v>305.14999999999998</v>
      </c>
    </row>
    <row r="103" spans="1:10" hidden="1" x14ac:dyDescent="0.35">
      <c r="A103" s="14">
        <v>45735</v>
      </c>
      <c r="B103" s="10" t="s">
        <v>34</v>
      </c>
      <c r="C103" s="10" t="s">
        <v>197</v>
      </c>
      <c r="D103" s="10" t="s">
        <v>198</v>
      </c>
      <c r="E103" s="10" t="s">
        <v>81</v>
      </c>
      <c r="F103" s="10" t="s">
        <v>199</v>
      </c>
      <c r="G103" s="15">
        <v>186.08</v>
      </c>
      <c r="H103" s="10" t="s">
        <v>200</v>
      </c>
      <c r="I103" s="15">
        <v>16131.51</v>
      </c>
      <c r="J103" s="15">
        <v>16131.51</v>
      </c>
    </row>
    <row r="104" spans="1:10" hidden="1" x14ac:dyDescent="0.35">
      <c r="A104" s="14">
        <v>45735</v>
      </c>
      <c r="B104" s="10" t="s">
        <v>34</v>
      </c>
      <c r="C104" s="10" t="s">
        <v>197</v>
      </c>
      <c r="D104" s="10" t="s">
        <v>198</v>
      </c>
      <c r="E104" s="10" t="s">
        <v>125</v>
      </c>
      <c r="F104" s="10" t="s">
        <v>199</v>
      </c>
      <c r="G104" s="15">
        <v>368.88</v>
      </c>
      <c r="H104" s="10" t="s">
        <v>200</v>
      </c>
      <c r="I104" s="15">
        <v>31978.67</v>
      </c>
      <c r="J104" s="15">
        <v>31978.67</v>
      </c>
    </row>
    <row r="105" spans="1:10" hidden="1" x14ac:dyDescent="0.35">
      <c r="A105" s="14">
        <v>45735</v>
      </c>
      <c r="B105" s="10" t="s">
        <v>34</v>
      </c>
      <c r="C105" s="10" t="s">
        <v>197</v>
      </c>
      <c r="D105" s="10" t="s">
        <v>198</v>
      </c>
      <c r="E105" s="10" t="s">
        <v>237</v>
      </c>
      <c r="F105" s="10" t="s">
        <v>199</v>
      </c>
      <c r="G105" s="15">
        <v>26.04</v>
      </c>
      <c r="H105" s="10" t="s">
        <v>200</v>
      </c>
      <c r="I105" s="15">
        <v>2257.44</v>
      </c>
      <c r="J105" s="15">
        <v>2257.44</v>
      </c>
    </row>
    <row r="106" spans="1:10" hidden="1" x14ac:dyDescent="0.35">
      <c r="A106" s="14">
        <v>45736</v>
      </c>
      <c r="B106" s="10" t="s">
        <v>34</v>
      </c>
      <c r="C106" s="10" t="s">
        <v>197</v>
      </c>
      <c r="D106" s="10" t="s">
        <v>198</v>
      </c>
      <c r="E106" s="10" t="s">
        <v>82</v>
      </c>
      <c r="F106" s="10" t="s">
        <v>199</v>
      </c>
      <c r="G106" s="15">
        <v>465</v>
      </c>
      <c r="H106" s="10" t="s">
        <v>200</v>
      </c>
      <c r="I106" s="15">
        <v>40311.440000000002</v>
      </c>
      <c r="J106" s="15">
        <v>40311.440000000002</v>
      </c>
    </row>
    <row r="107" spans="1:10" hidden="1" x14ac:dyDescent="0.35">
      <c r="A107" s="14">
        <v>45736</v>
      </c>
      <c r="B107" s="10" t="s">
        <v>34</v>
      </c>
      <c r="C107" s="10" t="s">
        <v>197</v>
      </c>
      <c r="D107" s="10" t="s">
        <v>198</v>
      </c>
      <c r="E107" s="10" t="s">
        <v>83</v>
      </c>
      <c r="F107" s="10" t="s">
        <v>199</v>
      </c>
      <c r="G107" s="15">
        <v>420</v>
      </c>
      <c r="H107" s="10" t="s">
        <v>200</v>
      </c>
      <c r="I107" s="15">
        <v>36410.33</v>
      </c>
      <c r="J107" s="15">
        <v>36410.33</v>
      </c>
    </row>
    <row r="108" spans="1:10" hidden="1" x14ac:dyDescent="0.35">
      <c r="A108" s="14">
        <v>45736</v>
      </c>
      <c r="B108" s="10" t="s">
        <v>34</v>
      </c>
      <c r="C108" s="10" t="s">
        <v>197</v>
      </c>
      <c r="D108" s="10" t="s">
        <v>198</v>
      </c>
      <c r="E108" s="10" t="s">
        <v>235</v>
      </c>
      <c r="F108" s="10" t="s">
        <v>199</v>
      </c>
      <c r="G108" s="15">
        <v>200</v>
      </c>
      <c r="H108" s="10" t="s">
        <v>200</v>
      </c>
      <c r="I108" s="15">
        <v>17338.25</v>
      </c>
      <c r="J108" s="15">
        <v>17338.25</v>
      </c>
    </row>
    <row r="109" spans="1:10" hidden="1" x14ac:dyDescent="0.35">
      <c r="A109" s="14">
        <v>45736</v>
      </c>
      <c r="B109" s="10" t="s">
        <v>34</v>
      </c>
      <c r="C109" s="10" t="s">
        <v>197</v>
      </c>
      <c r="D109" s="10" t="s">
        <v>198</v>
      </c>
      <c r="E109" s="10" t="s">
        <v>94</v>
      </c>
      <c r="F109" s="10" t="s">
        <v>199</v>
      </c>
      <c r="G109" s="15">
        <v>2.23</v>
      </c>
      <c r="H109" s="10" t="s">
        <v>200</v>
      </c>
      <c r="I109" s="15">
        <v>193.32</v>
      </c>
      <c r="J109" s="15">
        <v>193.32</v>
      </c>
    </row>
    <row r="110" spans="1:10" hidden="1" x14ac:dyDescent="0.35">
      <c r="A110" s="14">
        <v>45762</v>
      </c>
      <c r="B110" s="10" t="s">
        <v>34</v>
      </c>
      <c r="C110" s="10" t="s">
        <v>197</v>
      </c>
      <c r="D110" s="10" t="s">
        <v>198</v>
      </c>
      <c r="E110" s="10" t="s">
        <v>106</v>
      </c>
      <c r="F110" s="10" t="s">
        <v>199</v>
      </c>
      <c r="G110" s="15">
        <v>36.75</v>
      </c>
      <c r="H110" s="10" t="s">
        <v>207</v>
      </c>
      <c r="I110" s="15">
        <v>3194.38</v>
      </c>
      <c r="J110" s="15">
        <v>3194.38</v>
      </c>
    </row>
    <row r="111" spans="1:10" hidden="1" x14ac:dyDescent="0.35">
      <c r="A111" s="14">
        <v>45762</v>
      </c>
      <c r="B111" s="10" t="s">
        <v>34</v>
      </c>
      <c r="C111" s="10" t="s">
        <v>197</v>
      </c>
      <c r="D111" s="10" t="s">
        <v>198</v>
      </c>
      <c r="E111" s="10" t="s">
        <v>238</v>
      </c>
      <c r="F111" s="10" t="s">
        <v>199</v>
      </c>
      <c r="G111" s="15">
        <v>17.07</v>
      </c>
      <c r="H111" s="10" t="s">
        <v>207</v>
      </c>
      <c r="I111" s="15">
        <v>1483.76</v>
      </c>
      <c r="J111" s="15">
        <v>1483.76</v>
      </c>
    </row>
    <row r="112" spans="1:10" hidden="1" x14ac:dyDescent="0.35">
      <c r="A112" s="14">
        <v>45762</v>
      </c>
      <c r="B112" s="10" t="s">
        <v>34</v>
      </c>
      <c r="C112" s="10" t="s">
        <v>197</v>
      </c>
      <c r="D112" s="10" t="s">
        <v>198</v>
      </c>
      <c r="E112" s="10" t="s">
        <v>106</v>
      </c>
      <c r="F112" s="10" t="s">
        <v>199</v>
      </c>
      <c r="G112" s="15">
        <v>35</v>
      </c>
      <c r="H112" s="10" t="s">
        <v>207</v>
      </c>
      <c r="I112" s="15">
        <v>3042.26</v>
      </c>
      <c r="J112" s="15">
        <v>3042.26</v>
      </c>
    </row>
    <row r="113" spans="1:10" hidden="1" x14ac:dyDescent="0.35">
      <c r="A113" s="14">
        <v>45762</v>
      </c>
      <c r="B113" s="10" t="s">
        <v>34</v>
      </c>
      <c r="C113" s="10" t="s">
        <v>197</v>
      </c>
      <c r="D113" s="10" t="s">
        <v>198</v>
      </c>
      <c r="E113" s="10" t="s">
        <v>238</v>
      </c>
      <c r="F113" s="10" t="s">
        <v>199</v>
      </c>
      <c r="G113" s="15">
        <v>10.51</v>
      </c>
      <c r="H113" s="10" t="s">
        <v>207</v>
      </c>
      <c r="I113" s="15">
        <v>913.55</v>
      </c>
      <c r="J113" s="15">
        <v>913.55</v>
      </c>
    </row>
    <row r="114" spans="1:10" hidden="1" x14ac:dyDescent="0.35">
      <c r="A114" s="14">
        <v>45762</v>
      </c>
      <c r="B114" s="10" t="s">
        <v>34</v>
      </c>
      <c r="C114" s="10" t="s">
        <v>197</v>
      </c>
      <c r="D114" s="10" t="s">
        <v>198</v>
      </c>
      <c r="E114" s="10" t="s">
        <v>106</v>
      </c>
      <c r="F114" s="10" t="s">
        <v>199</v>
      </c>
      <c r="G114" s="15">
        <v>35</v>
      </c>
      <c r="H114" s="10" t="s">
        <v>207</v>
      </c>
      <c r="I114" s="15">
        <v>3042.26</v>
      </c>
      <c r="J114" s="15">
        <v>3042.26</v>
      </c>
    </row>
    <row r="115" spans="1:10" hidden="1" x14ac:dyDescent="0.35">
      <c r="A115" s="14">
        <v>45762</v>
      </c>
      <c r="B115" s="10" t="s">
        <v>34</v>
      </c>
      <c r="C115" s="10" t="s">
        <v>197</v>
      </c>
      <c r="D115" s="10" t="s">
        <v>198</v>
      </c>
      <c r="E115" s="10" t="s">
        <v>106</v>
      </c>
      <c r="F115" s="10" t="s">
        <v>199</v>
      </c>
      <c r="G115" s="15">
        <v>120</v>
      </c>
      <c r="H115" s="10" t="s">
        <v>207</v>
      </c>
      <c r="I115" s="15">
        <v>10430.620000000001</v>
      </c>
      <c r="J115" s="15">
        <v>10430.620000000001</v>
      </c>
    </row>
    <row r="116" spans="1:10" hidden="1" x14ac:dyDescent="0.35">
      <c r="A116" s="14">
        <v>45763</v>
      </c>
      <c r="B116" s="10" t="s">
        <v>34</v>
      </c>
      <c r="C116" s="10" t="s">
        <v>197</v>
      </c>
      <c r="D116" s="10" t="s">
        <v>198</v>
      </c>
      <c r="E116" s="10" t="s">
        <v>239</v>
      </c>
      <c r="F116" s="10" t="s">
        <v>199</v>
      </c>
      <c r="G116" s="15">
        <v>620</v>
      </c>
      <c r="H116" s="10" t="s">
        <v>207</v>
      </c>
      <c r="I116" s="15">
        <v>53891.53</v>
      </c>
      <c r="J116" s="15">
        <v>53891.53</v>
      </c>
    </row>
    <row r="117" spans="1:10" hidden="1" x14ac:dyDescent="0.35">
      <c r="A117" s="14">
        <v>45763</v>
      </c>
      <c r="B117" s="10" t="s">
        <v>34</v>
      </c>
      <c r="C117" s="10" t="s">
        <v>197</v>
      </c>
      <c r="D117" s="10" t="s">
        <v>198</v>
      </c>
      <c r="E117" s="10" t="s">
        <v>107</v>
      </c>
      <c r="F117" s="10" t="s">
        <v>199</v>
      </c>
      <c r="G117" s="15">
        <v>1.75</v>
      </c>
      <c r="H117" s="10" t="s">
        <v>207</v>
      </c>
      <c r="I117" s="15">
        <v>152.11000000000001</v>
      </c>
      <c r="J117" s="15">
        <v>152.11000000000001</v>
      </c>
    </row>
    <row r="118" spans="1:10" hidden="1" x14ac:dyDescent="0.35">
      <c r="A118" s="14">
        <v>45763</v>
      </c>
      <c r="B118" s="10" t="s">
        <v>34</v>
      </c>
      <c r="C118" s="10" t="s">
        <v>197</v>
      </c>
      <c r="D118" s="10" t="s">
        <v>198</v>
      </c>
      <c r="E118" s="10" t="s">
        <v>110</v>
      </c>
      <c r="F118" s="10" t="s">
        <v>199</v>
      </c>
      <c r="G118" s="15">
        <v>7.07</v>
      </c>
      <c r="H118" s="10" t="s">
        <v>207</v>
      </c>
      <c r="I118" s="15">
        <v>614.54</v>
      </c>
      <c r="J118" s="15">
        <v>614.54</v>
      </c>
    </row>
    <row r="119" spans="1:10" hidden="1" x14ac:dyDescent="0.35">
      <c r="A119" s="14">
        <v>45763</v>
      </c>
      <c r="B119" s="10" t="s">
        <v>34</v>
      </c>
      <c r="C119" s="10" t="s">
        <v>197</v>
      </c>
      <c r="D119" s="10" t="s">
        <v>198</v>
      </c>
      <c r="E119" s="10" t="s">
        <v>111</v>
      </c>
      <c r="F119" s="10" t="s">
        <v>199</v>
      </c>
      <c r="G119" s="15">
        <v>489.55</v>
      </c>
      <c r="H119" s="10" t="s">
        <v>207</v>
      </c>
      <c r="I119" s="15">
        <v>42552.58</v>
      </c>
      <c r="J119" s="15">
        <v>42552.58</v>
      </c>
    </row>
    <row r="120" spans="1:10" hidden="1" x14ac:dyDescent="0.35">
      <c r="A120" s="14">
        <v>45763</v>
      </c>
      <c r="B120" s="10" t="s">
        <v>34</v>
      </c>
      <c r="C120" s="10" t="s">
        <v>197</v>
      </c>
      <c r="D120" s="10" t="s">
        <v>198</v>
      </c>
      <c r="E120" s="10" t="s">
        <v>240</v>
      </c>
      <c r="F120" s="10" t="s">
        <v>199</v>
      </c>
      <c r="G120" s="15">
        <v>12.85</v>
      </c>
      <c r="H120" s="10" t="s">
        <v>207</v>
      </c>
      <c r="I120" s="15">
        <v>1116.95</v>
      </c>
      <c r="J120" s="15">
        <v>1116.95</v>
      </c>
    </row>
    <row r="121" spans="1:10" hidden="1" x14ac:dyDescent="0.35">
      <c r="A121" s="14">
        <v>45763</v>
      </c>
      <c r="B121" s="10" t="s">
        <v>34</v>
      </c>
      <c r="C121" s="10" t="s">
        <v>197</v>
      </c>
      <c r="D121" s="10" t="s">
        <v>198</v>
      </c>
      <c r="E121" s="10" t="s">
        <v>112</v>
      </c>
      <c r="F121" s="10" t="s">
        <v>199</v>
      </c>
      <c r="G121" s="15">
        <v>1082.6400000000001</v>
      </c>
      <c r="H121" s="10" t="s">
        <v>207</v>
      </c>
      <c r="I121" s="15">
        <v>94105.04</v>
      </c>
      <c r="J121" s="15">
        <v>94105.04</v>
      </c>
    </row>
    <row r="122" spans="1:10" hidden="1" x14ac:dyDescent="0.35">
      <c r="A122" s="14">
        <v>45889</v>
      </c>
      <c r="B122" s="10" t="s">
        <v>34</v>
      </c>
      <c r="C122" s="10" t="s">
        <v>197</v>
      </c>
      <c r="D122" s="10" t="s">
        <v>198</v>
      </c>
      <c r="E122" s="10" t="s">
        <v>241</v>
      </c>
      <c r="F122" s="10" t="s">
        <v>199</v>
      </c>
      <c r="G122" s="15">
        <v>1.75</v>
      </c>
      <c r="H122" s="10" t="s">
        <v>218</v>
      </c>
      <c r="I122" s="15">
        <v>150.55000000000001</v>
      </c>
      <c r="J122" s="15">
        <v>150.55000000000001</v>
      </c>
    </row>
    <row r="123" spans="1:10" hidden="1" x14ac:dyDescent="0.35">
      <c r="A123" s="14">
        <v>45889</v>
      </c>
      <c r="B123" s="10" t="s">
        <v>34</v>
      </c>
      <c r="C123" s="10" t="s">
        <v>197</v>
      </c>
      <c r="D123" s="10" t="s">
        <v>198</v>
      </c>
      <c r="E123" s="10" t="s">
        <v>158</v>
      </c>
      <c r="F123" s="10" t="s">
        <v>199</v>
      </c>
      <c r="G123" s="15">
        <v>49.05</v>
      </c>
      <c r="H123" s="10" t="s">
        <v>218</v>
      </c>
      <c r="I123" s="15">
        <v>4219.78</v>
      </c>
      <c r="J123" s="15">
        <v>4219.78</v>
      </c>
    </row>
    <row r="124" spans="1:10" hidden="1" x14ac:dyDescent="0.35">
      <c r="A124" s="14">
        <v>45842</v>
      </c>
      <c r="B124" s="10" t="s">
        <v>34</v>
      </c>
      <c r="C124" s="10" t="s">
        <v>197</v>
      </c>
      <c r="D124" s="10" t="s">
        <v>198</v>
      </c>
      <c r="E124" s="10" t="s">
        <v>135</v>
      </c>
      <c r="F124" s="10" t="s">
        <v>199</v>
      </c>
      <c r="G124" s="15">
        <v>66.790000000000006</v>
      </c>
      <c r="H124" s="10" t="s">
        <v>204</v>
      </c>
      <c r="I124" s="15">
        <v>5743.98</v>
      </c>
      <c r="J124" s="15">
        <v>5743.98</v>
      </c>
    </row>
    <row r="125" spans="1:10" hidden="1" x14ac:dyDescent="0.35">
      <c r="A125" s="14">
        <v>45842</v>
      </c>
      <c r="B125" s="10" t="s">
        <v>34</v>
      </c>
      <c r="C125" s="10" t="s">
        <v>197</v>
      </c>
      <c r="D125" s="10" t="s">
        <v>198</v>
      </c>
      <c r="E125" s="10" t="s">
        <v>242</v>
      </c>
      <c r="F125" s="10" t="s">
        <v>199</v>
      </c>
      <c r="G125" s="15">
        <v>56.85</v>
      </c>
      <c r="H125" s="10" t="s">
        <v>204</v>
      </c>
      <c r="I125" s="15">
        <v>4889.1400000000003</v>
      </c>
      <c r="J125" s="15">
        <v>4889.1400000000003</v>
      </c>
    </row>
    <row r="126" spans="1:10" hidden="1" x14ac:dyDescent="0.35">
      <c r="A126" s="14">
        <v>45842</v>
      </c>
      <c r="B126" s="10" t="s">
        <v>34</v>
      </c>
      <c r="C126" s="10" t="s">
        <v>197</v>
      </c>
      <c r="D126" s="10" t="s">
        <v>198</v>
      </c>
      <c r="E126" s="10" t="s">
        <v>243</v>
      </c>
      <c r="F126" s="10" t="s">
        <v>199</v>
      </c>
      <c r="G126" s="15">
        <v>1.78</v>
      </c>
      <c r="H126" s="10" t="s">
        <v>204</v>
      </c>
      <c r="I126" s="15">
        <v>153.08000000000001</v>
      </c>
      <c r="J126" s="15">
        <v>153.08000000000001</v>
      </c>
    </row>
    <row r="127" spans="1:10" hidden="1" x14ac:dyDescent="0.35">
      <c r="A127" s="14">
        <v>45842</v>
      </c>
      <c r="B127" s="10" t="s">
        <v>34</v>
      </c>
      <c r="C127" s="10" t="s">
        <v>197</v>
      </c>
      <c r="D127" s="10" t="s">
        <v>198</v>
      </c>
      <c r="E127" s="10" t="s">
        <v>244</v>
      </c>
      <c r="F127" s="10" t="s">
        <v>199</v>
      </c>
      <c r="G127" s="15">
        <v>200</v>
      </c>
      <c r="H127" s="10" t="s">
        <v>204</v>
      </c>
      <c r="I127" s="15">
        <v>17200.13</v>
      </c>
      <c r="J127" s="15">
        <v>17200.13</v>
      </c>
    </row>
    <row r="128" spans="1:10" hidden="1" x14ac:dyDescent="0.35">
      <c r="A128" s="14">
        <v>45842</v>
      </c>
      <c r="B128" s="10" t="s">
        <v>34</v>
      </c>
      <c r="C128" s="10" t="s">
        <v>197</v>
      </c>
      <c r="D128" s="10" t="s">
        <v>198</v>
      </c>
      <c r="E128" s="10" t="s">
        <v>137</v>
      </c>
      <c r="F128" s="10" t="s">
        <v>199</v>
      </c>
      <c r="G128" s="15">
        <v>10.5</v>
      </c>
      <c r="H128" s="10" t="s">
        <v>204</v>
      </c>
      <c r="I128" s="15">
        <v>903.01</v>
      </c>
      <c r="J128" s="15">
        <v>903.01</v>
      </c>
    </row>
    <row r="129" spans="1:10" hidden="1" x14ac:dyDescent="0.35">
      <c r="A129" s="14">
        <v>45842</v>
      </c>
      <c r="B129" s="10" t="s">
        <v>34</v>
      </c>
      <c r="C129" s="10" t="s">
        <v>197</v>
      </c>
      <c r="D129" s="10" t="s">
        <v>198</v>
      </c>
      <c r="E129" s="10" t="s">
        <v>245</v>
      </c>
      <c r="F129" s="10" t="s">
        <v>199</v>
      </c>
      <c r="G129" s="15">
        <v>4.78</v>
      </c>
      <c r="H129" s="10" t="s">
        <v>204</v>
      </c>
      <c r="I129" s="15">
        <v>411.08</v>
      </c>
      <c r="J129" s="15">
        <v>411.08</v>
      </c>
    </row>
    <row r="130" spans="1:10" hidden="1" x14ac:dyDescent="0.35">
      <c r="A130" s="14">
        <v>45842</v>
      </c>
      <c r="B130" s="10" t="s">
        <v>34</v>
      </c>
      <c r="C130" s="10" t="s">
        <v>197</v>
      </c>
      <c r="D130" s="10" t="s">
        <v>198</v>
      </c>
      <c r="E130" s="10" t="s">
        <v>246</v>
      </c>
      <c r="F130" s="10" t="s">
        <v>199</v>
      </c>
      <c r="G130" s="15">
        <v>16.78</v>
      </c>
      <c r="H130" s="10" t="s">
        <v>204</v>
      </c>
      <c r="I130" s="15">
        <v>1443.09</v>
      </c>
      <c r="J130" s="15">
        <v>1443.09</v>
      </c>
    </row>
    <row r="131" spans="1:10" hidden="1" x14ac:dyDescent="0.35">
      <c r="A131" s="14">
        <v>45842</v>
      </c>
      <c r="B131" s="10" t="s">
        <v>34</v>
      </c>
      <c r="C131" s="10" t="s">
        <v>197</v>
      </c>
      <c r="D131" s="10" t="s">
        <v>198</v>
      </c>
      <c r="E131" s="10" t="s">
        <v>247</v>
      </c>
      <c r="F131" s="10" t="s">
        <v>199</v>
      </c>
      <c r="G131" s="15">
        <v>5.44</v>
      </c>
      <c r="H131" s="10" t="s">
        <v>204</v>
      </c>
      <c r="I131" s="15">
        <v>467.84</v>
      </c>
      <c r="J131" s="15">
        <v>467.84</v>
      </c>
    </row>
    <row r="132" spans="1:10" hidden="1" x14ac:dyDescent="0.35">
      <c r="A132" s="14">
        <v>45842</v>
      </c>
      <c r="B132" s="10" t="s">
        <v>34</v>
      </c>
      <c r="C132" s="10" t="s">
        <v>197</v>
      </c>
      <c r="D132" s="10" t="s">
        <v>198</v>
      </c>
      <c r="E132" s="10" t="s">
        <v>139</v>
      </c>
      <c r="F132" s="10" t="s">
        <v>199</v>
      </c>
      <c r="G132" s="15">
        <v>1800</v>
      </c>
      <c r="H132" s="10" t="s">
        <v>204</v>
      </c>
      <c r="I132" s="15">
        <v>154801.21</v>
      </c>
      <c r="J132" s="15">
        <v>154801.21</v>
      </c>
    </row>
    <row r="133" spans="1:10" hidden="1" x14ac:dyDescent="0.35">
      <c r="A133" s="14">
        <v>45842</v>
      </c>
      <c r="B133" s="10" t="s">
        <v>34</v>
      </c>
      <c r="C133" s="10" t="s">
        <v>197</v>
      </c>
      <c r="D133" s="10" t="s">
        <v>198</v>
      </c>
      <c r="E133" s="10" t="s">
        <v>140</v>
      </c>
      <c r="F133" s="10" t="s">
        <v>199</v>
      </c>
      <c r="G133" s="15">
        <v>168.95</v>
      </c>
      <c r="H133" s="10" t="s">
        <v>204</v>
      </c>
      <c r="I133" s="15">
        <v>14529.82</v>
      </c>
      <c r="J133" s="15">
        <v>14529.82</v>
      </c>
    </row>
    <row r="134" spans="1:10" hidden="1" x14ac:dyDescent="0.35">
      <c r="A134" s="14">
        <v>45842</v>
      </c>
      <c r="B134" s="10" t="s">
        <v>34</v>
      </c>
      <c r="C134" s="10" t="s">
        <v>197</v>
      </c>
      <c r="D134" s="10" t="s">
        <v>198</v>
      </c>
      <c r="E134" s="10" t="s">
        <v>248</v>
      </c>
      <c r="F134" s="10" t="s">
        <v>199</v>
      </c>
      <c r="G134" s="15">
        <v>6.44</v>
      </c>
      <c r="H134" s="10" t="s">
        <v>204</v>
      </c>
      <c r="I134" s="15">
        <v>553.84</v>
      </c>
      <c r="J134" s="15">
        <v>553.84</v>
      </c>
    </row>
    <row r="135" spans="1:10" hidden="1" x14ac:dyDescent="0.35">
      <c r="A135" s="14">
        <v>45842</v>
      </c>
      <c r="B135" s="10" t="s">
        <v>34</v>
      </c>
      <c r="C135" s="10" t="s">
        <v>197</v>
      </c>
      <c r="D135" s="10" t="s">
        <v>198</v>
      </c>
      <c r="E135" s="10" t="s">
        <v>141</v>
      </c>
      <c r="F135" s="10" t="s">
        <v>199</v>
      </c>
      <c r="G135" s="15">
        <v>1521.18</v>
      </c>
      <c r="H135" s="10" t="s">
        <v>204</v>
      </c>
      <c r="I135" s="15">
        <v>130822.5</v>
      </c>
      <c r="J135" s="15">
        <v>130822.5</v>
      </c>
    </row>
    <row r="136" spans="1:10" hidden="1" x14ac:dyDescent="0.35">
      <c r="A136" s="14">
        <v>45842</v>
      </c>
      <c r="B136" s="10" t="s">
        <v>34</v>
      </c>
      <c r="C136" s="10" t="s">
        <v>197</v>
      </c>
      <c r="D136" s="10" t="s">
        <v>198</v>
      </c>
      <c r="E136" s="10" t="s">
        <v>36</v>
      </c>
      <c r="F136" s="10" t="s">
        <v>199</v>
      </c>
      <c r="G136" s="15">
        <v>164.73</v>
      </c>
      <c r="H136" s="10" t="s">
        <v>204</v>
      </c>
      <c r="I136" s="15">
        <v>14166.89</v>
      </c>
      <c r="J136" s="15">
        <v>14166.89</v>
      </c>
    </row>
    <row r="137" spans="1:10" hidden="1" x14ac:dyDescent="0.35">
      <c r="A137" s="14">
        <v>45769</v>
      </c>
      <c r="B137" s="10" t="s">
        <v>34</v>
      </c>
      <c r="C137" s="10" t="s">
        <v>197</v>
      </c>
      <c r="D137" s="10" t="s">
        <v>198</v>
      </c>
      <c r="E137" s="10" t="s">
        <v>114</v>
      </c>
      <c r="F137" s="10" t="s">
        <v>199</v>
      </c>
      <c r="G137" s="15">
        <v>1.75</v>
      </c>
      <c r="H137" s="10" t="s">
        <v>207</v>
      </c>
      <c r="I137" s="15">
        <v>152.11000000000001</v>
      </c>
      <c r="J137" s="15">
        <v>152.11000000000001</v>
      </c>
    </row>
    <row r="138" spans="1:10" hidden="1" x14ac:dyDescent="0.35">
      <c r="A138" s="14">
        <v>45769</v>
      </c>
      <c r="B138" s="10" t="s">
        <v>34</v>
      </c>
      <c r="C138" s="10" t="s">
        <v>197</v>
      </c>
      <c r="D138" s="10" t="s">
        <v>198</v>
      </c>
      <c r="E138" s="10" t="s">
        <v>115</v>
      </c>
      <c r="F138" s="10" t="s">
        <v>199</v>
      </c>
      <c r="G138" s="15">
        <v>10.82</v>
      </c>
      <c r="H138" s="10" t="s">
        <v>207</v>
      </c>
      <c r="I138" s="15">
        <v>940.5</v>
      </c>
      <c r="J138" s="15">
        <v>940.5</v>
      </c>
    </row>
    <row r="139" spans="1:10" hidden="1" x14ac:dyDescent="0.35">
      <c r="A139" s="14">
        <v>45769</v>
      </c>
      <c r="B139" s="10" t="s">
        <v>34</v>
      </c>
      <c r="C139" s="10" t="s">
        <v>197</v>
      </c>
      <c r="D139" s="10" t="s">
        <v>198</v>
      </c>
      <c r="E139" s="10" t="s">
        <v>249</v>
      </c>
      <c r="F139" s="10" t="s">
        <v>199</v>
      </c>
      <c r="G139" s="15">
        <v>2.2000000000000002</v>
      </c>
      <c r="H139" s="10" t="s">
        <v>207</v>
      </c>
      <c r="I139" s="15">
        <v>191.23</v>
      </c>
      <c r="J139" s="15">
        <v>191.23</v>
      </c>
    </row>
    <row r="140" spans="1:10" hidden="1" x14ac:dyDescent="0.35">
      <c r="A140" s="14">
        <v>45769</v>
      </c>
      <c r="B140" s="10" t="s">
        <v>34</v>
      </c>
      <c r="C140" s="10" t="s">
        <v>197</v>
      </c>
      <c r="D140" s="10" t="s">
        <v>198</v>
      </c>
      <c r="E140" s="10" t="s">
        <v>116</v>
      </c>
      <c r="F140" s="10" t="s">
        <v>199</v>
      </c>
      <c r="G140" s="15">
        <v>3.85</v>
      </c>
      <c r="H140" s="10" t="s">
        <v>207</v>
      </c>
      <c r="I140" s="15">
        <v>334.65</v>
      </c>
      <c r="J140" s="15">
        <v>334.65</v>
      </c>
    </row>
    <row r="141" spans="1:10" hidden="1" x14ac:dyDescent="0.35">
      <c r="A141" s="14">
        <v>45769</v>
      </c>
      <c r="B141" s="10" t="s">
        <v>34</v>
      </c>
      <c r="C141" s="10" t="s">
        <v>197</v>
      </c>
      <c r="D141" s="10" t="s">
        <v>198</v>
      </c>
      <c r="E141" s="10" t="s">
        <v>250</v>
      </c>
      <c r="F141" s="10" t="s">
        <v>199</v>
      </c>
      <c r="G141" s="15">
        <v>2.2000000000000002</v>
      </c>
      <c r="H141" s="10" t="s">
        <v>207</v>
      </c>
      <c r="I141" s="15">
        <v>191.23</v>
      </c>
      <c r="J141" s="15">
        <v>191.23</v>
      </c>
    </row>
    <row r="142" spans="1:10" hidden="1" x14ac:dyDescent="0.35">
      <c r="A142" s="14">
        <v>45733</v>
      </c>
      <c r="B142" s="10" t="s">
        <v>34</v>
      </c>
      <c r="C142" s="10" t="s">
        <v>197</v>
      </c>
      <c r="D142" s="10" t="s">
        <v>198</v>
      </c>
      <c r="E142" s="10" t="s">
        <v>251</v>
      </c>
      <c r="F142" s="10" t="s">
        <v>199</v>
      </c>
      <c r="G142" s="15">
        <v>245.69</v>
      </c>
      <c r="H142" s="10" t="s">
        <v>200</v>
      </c>
      <c r="I142" s="15">
        <v>21299.18</v>
      </c>
      <c r="J142" s="15">
        <v>21299.18</v>
      </c>
    </row>
    <row r="143" spans="1:10" hidden="1" x14ac:dyDescent="0.35">
      <c r="A143" s="14">
        <v>45733</v>
      </c>
      <c r="B143" s="10" t="s">
        <v>34</v>
      </c>
      <c r="C143" s="10" t="s">
        <v>197</v>
      </c>
      <c r="D143" s="10" t="s">
        <v>198</v>
      </c>
      <c r="E143" s="10" t="s">
        <v>251</v>
      </c>
      <c r="F143" s="10" t="s">
        <v>199</v>
      </c>
      <c r="G143" s="15">
        <v>69.819999999999993</v>
      </c>
      <c r="H143" s="10" t="s">
        <v>200</v>
      </c>
      <c r="I143" s="15">
        <v>6052.78</v>
      </c>
      <c r="J143" s="15">
        <v>6052.78</v>
      </c>
    </row>
    <row r="144" spans="1:10" hidden="1" x14ac:dyDescent="0.35">
      <c r="A144" s="14">
        <v>45733</v>
      </c>
      <c r="B144" s="10" t="s">
        <v>34</v>
      </c>
      <c r="C144" s="10" t="s">
        <v>197</v>
      </c>
      <c r="D144" s="10" t="s">
        <v>198</v>
      </c>
      <c r="E144" s="10" t="s">
        <v>251</v>
      </c>
      <c r="F144" s="10" t="s">
        <v>199</v>
      </c>
      <c r="G144" s="15">
        <v>71.61</v>
      </c>
      <c r="H144" s="10" t="s">
        <v>200</v>
      </c>
      <c r="I144" s="15">
        <v>6207.96</v>
      </c>
      <c r="J144" s="15">
        <v>6207.96</v>
      </c>
    </row>
    <row r="145" spans="1:10" hidden="1" x14ac:dyDescent="0.35">
      <c r="A145" s="14">
        <v>45733</v>
      </c>
      <c r="B145" s="10" t="s">
        <v>34</v>
      </c>
      <c r="C145" s="10" t="s">
        <v>197</v>
      </c>
      <c r="D145" s="10" t="s">
        <v>198</v>
      </c>
      <c r="E145" s="10" t="s">
        <v>251</v>
      </c>
      <c r="F145" s="10" t="s">
        <v>199</v>
      </c>
      <c r="G145" s="15">
        <v>61.82</v>
      </c>
      <c r="H145" s="10" t="s">
        <v>200</v>
      </c>
      <c r="I145" s="15">
        <v>5359.25</v>
      </c>
      <c r="J145" s="15">
        <v>5359.25</v>
      </c>
    </row>
    <row r="146" spans="1:10" hidden="1" x14ac:dyDescent="0.35">
      <c r="A146" s="14">
        <v>45733</v>
      </c>
      <c r="B146" s="10" t="s">
        <v>34</v>
      </c>
      <c r="C146" s="10" t="s">
        <v>197</v>
      </c>
      <c r="D146" s="10" t="s">
        <v>198</v>
      </c>
      <c r="E146" s="10" t="s">
        <v>252</v>
      </c>
      <c r="F146" s="10" t="s">
        <v>199</v>
      </c>
      <c r="G146" s="15">
        <v>122.18</v>
      </c>
      <c r="H146" s="10" t="s">
        <v>200</v>
      </c>
      <c r="I146" s="15">
        <v>10591.94</v>
      </c>
      <c r="J146" s="15">
        <v>10591.94</v>
      </c>
    </row>
    <row r="147" spans="1:10" hidden="1" x14ac:dyDescent="0.35">
      <c r="A147" s="14">
        <v>45966</v>
      </c>
      <c r="B147" s="10" t="s">
        <v>34</v>
      </c>
      <c r="C147" s="10" t="s">
        <v>197</v>
      </c>
      <c r="D147" s="10" t="s">
        <v>198</v>
      </c>
      <c r="E147" s="10" t="s">
        <v>52</v>
      </c>
      <c r="F147" s="10" t="s">
        <v>199</v>
      </c>
      <c r="G147" s="15">
        <v>1800</v>
      </c>
      <c r="H147" s="10" t="s">
        <v>223</v>
      </c>
      <c r="I147" s="15">
        <v>158406.1</v>
      </c>
      <c r="J147" s="15">
        <v>158406.1</v>
      </c>
    </row>
    <row r="148" spans="1:10" hidden="1" x14ac:dyDescent="0.35">
      <c r="A148" s="14">
        <v>45966</v>
      </c>
      <c r="B148" s="10" t="s">
        <v>34</v>
      </c>
      <c r="C148" s="10" t="s">
        <v>197</v>
      </c>
      <c r="D148" s="10" t="s">
        <v>198</v>
      </c>
      <c r="E148" s="10" t="s">
        <v>53</v>
      </c>
      <c r="F148" s="10" t="s">
        <v>199</v>
      </c>
      <c r="G148" s="15">
        <v>13.53</v>
      </c>
      <c r="H148" s="10" t="s">
        <v>223</v>
      </c>
      <c r="I148" s="15">
        <v>1190.69</v>
      </c>
      <c r="J148" s="15">
        <v>1190.69</v>
      </c>
    </row>
    <row r="149" spans="1:10" hidden="1" x14ac:dyDescent="0.35">
      <c r="A149" s="14">
        <v>45966</v>
      </c>
      <c r="B149" s="10" t="s">
        <v>34</v>
      </c>
      <c r="C149" s="10" t="s">
        <v>197</v>
      </c>
      <c r="D149" s="10" t="s">
        <v>198</v>
      </c>
      <c r="E149" s="10" t="s">
        <v>54</v>
      </c>
      <c r="F149" s="10" t="s">
        <v>199</v>
      </c>
      <c r="G149" s="15">
        <v>1068.54</v>
      </c>
      <c r="H149" s="10" t="s">
        <v>223</v>
      </c>
      <c r="I149" s="15">
        <v>94035.14</v>
      </c>
      <c r="J149" s="15">
        <v>94035.14</v>
      </c>
    </row>
    <row r="150" spans="1:10" hidden="1" x14ac:dyDescent="0.35">
      <c r="A150" s="14">
        <v>45966</v>
      </c>
      <c r="B150" s="10" t="s">
        <v>34</v>
      </c>
      <c r="C150" s="10" t="s">
        <v>197</v>
      </c>
      <c r="D150" s="10" t="s">
        <v>198</v>
      </c>
      <c r="E150" s="10" t="s">
        <v>55</v>
      </c>
      <c r="F150" s="10" t="s">
        <v>199</v>
      </c>
      <c r="G150" s="15">
        <v>140</v>
      </c>
      <c r="H150" s="10" t="s">
        <v>223</v>
      </c>
      <c r="I150" s="15">
        <v>12320.47</v>
      </c>
      <c r="J150" s="15">
        <v>12320.47</v>
      </c>
    </row>
    <row r="151" spans="1:10" hidden="1" x14ac:dyDescent="0.35">
      <c r="A151" s="14">
        <v>45966</v>
      </c>
      <c r="B151" s="10" t="s">
        <v>34</v>
      </c>
      <c r="C151" s="10" t="s">
        <v>197</v>
      </c>
      <c r="D151" s="10" t="s">
        <v>198</v>
      </c>
      <c r="E151" s="10" t="s">
        <v>56</v>
      </c>
      <c r="F151" s="10" t="s">
        <v>199</v>
      </c>
      <c r="G151" s="15">
        <v>35</v>
      </c>
      <c r="H151" s="10" t="s">
        <v>223</v>
      </c>
      <c r="I151" s="15">
        <v>3080.12</v>
      </c>
      <c r="J151" s="15">
        <v>3080.12</v>
      </c>
    </row>
    <row r="152" spans="1:10" hidden="1" x14ac:dyDescent="0.35">
      <c r="A152" s="14">
        <v>45966</v>
      </c>
      <c r="B152" s="10" t="s">
        <v>34</v>
      </c>
      <c r="C152" s="10" t="s">
        <v>197</v>
      </c>
      <c r="D152" s="10" t="s">
        <v>198</v>
      </c>
      <c r="E152" s="10" t="s">
        <v>58</v>
      </c>
      <c r="F152" s="10" t="s">
        <v>199</v>
      </c>
      <c r="G152" s="15">
        <v>81.03</v>
      </c>
      <c r="H152" s="10" t="s">
        <v>223</v>
      </c>
      <c r="I152" s="15">
        <v>7130.92</v>
      </c>
      <c r="J152" s="15">
        <v>7130.92</v>
      </c>
    </row>
    <row r="153" spans="1:10" hidden="1" x14ac:dyDescent="0.35">
      <c r="A153" s="14">
        <v>45966</v>
      </c>
      <c r="B153" s="10" t="s">
        <v>34</v>
      </c>
      <c r="C153" s="10" t="s">
        <v>197</v>
      </c>
      <c r="D153" s="10" t="s">
        <v>198</v>
      </c>
      <c r="E153" s="10" t="s">
        <v>253</v>
      </c>
      <c r="F153" s="10" t="s">
        <v>199</v>
      </c>
      <c r="G153" s="15">
        <v>41.61</v>
      </c>
      <c r="H153" s="10" t="s">
        <v>223</v>
      </c>
      <c r="I153" s="15">
        <v>3661.82</v>
      </c>
      <c r="J153" s="15">
        <v>3661.82</v>
      </c>
    </row>
    <row r="154" spans="1:10" hidden="1" x14ac:dyDescent="0.35">
      <c r="A154" s="14">
        <v>45966</v>
      </c>
      <c r="B154" s="10" t="s">
        <v>34</v>
      </c>
      <c r="C154" s="10" t="s">
        <v>197</v>
      </c>
      <c r="D154" s="10" t="s">
        <v>198</v>
      </c>
      <c r="E154" s="10" t="s">
        <v>254</v>
      </c>
      <c r="F154" s="10" t="s">
        <v>199</v>
      </c>
      <c r="G154" s="15">
        <v>140</v>
      </c>
      <c r="H154" s="10" t="s">
        <v>223</v>
      </c>
      <c r="I154" s="15">
        <v>12320.47</v>
      </c>
      <c r="J154" s="15">
        <v>12320.47</v>
      </c>
    </row>
    <row r="155" spans="1:10" hidden="1" x14ac:dyDescent="0.35">
      <c r="A155" s="14">
        <v>45966</v>
      </c>
      <c r="B155" s="10" t="s">
        <v>34</v>
      </c>
      <c r="C155" s="10" t="s">
        <v>197</v>
      </c>
      <c r="D155" s="10" t="s">
        <v>198</v>
      </c>
      <c r="E155" s="10" t="s">
        <v>59</v>
      </c>
      <c r="F155" s="10" t="s">
        <v>199</v>
      </c>
      <c r="G155" s="15">
        <v>13.3</v>
      </c>
      <c r="H155" s="10" t="s">
        <v>223</v>
      </c>
      <c r="I155" s="15">
        <v>1170.45</v>
      </c>
      <c r="J155" s="15">
        <v>1170.45</v>
      </c>
    </row>
    <row r="156" spans="1:10" hidden="1" x14ac:dyDescent="0.35">
      <c r="A156" s="14">
        <v>45966</v>
      </c>
      <c r="B156" s="10" t="s">
        <v>34</v>
      </c>
      <c r="C156" s="10" t="s">
        <v>197</v>
      </c>
      <c r="D156" s="10" t="s">
        <v>198</v>
      </c>
      <c r="E156" s="10" t="s">
        <v>168</v>
      </c>
      <c r="F156" s="10" t="s">
        <v>199</v>
      </c>
      <c r="G156" s="15">
        <v>146.19</v>
      </c>
      <c r="H156" s="10" t="s">
        <v>223</v>
      </c>
      <c r="I156" s="15">
        <v>12865.22</v>
      </c>
      <c r="J156" s="15">
        <v>12865.22</v>
      </c>
    </row>
    <row r="157" spans="1:10" hidden="1" x14ac:dyDescent="0.35">
      <c r="A157" s="14">
        <v>45966</v>
      </c>
      <c r="B157" s="10" t="s">
        <v>34</v>
      </c>
      <c r="C157" s="10" t="s">
        <v>197</v>
      </c>
      <c r="D157" s="10" t="s">
        <v>198</v>
      </c>
      <c r="E157" s="10" t="s">
        <v>60</v>
      </c>
      <c r="F157" s="10" t="s">
        <v>199</v>
      </c>
      <c r="G157" s="15">
        <v>197.23</v>
      </c>
      <c r="H157" s="10" t="s">
        <v>223</v>
      </c>
      <c r="I157" s="15">
        <v>17356.91</v>
      </c>
      <c r="J157" s="15">
        <v>17356.91</v>
      </c>
    </row>
    <row r="158" spans="1:10" hidden="1" x14ac:dyDescent="0.35">
      <c r="A158" s="14">
        <v>45877</v>
      </c>
      <c r="B158" s="10" t="s">
        <v>34</v>
      </c>
      <c r="C158" s="10" t="s">
        <v>197</v>
      </c>
      <c r="D158" s="10" t="s">
        <v>198</v>
      </c>
      <c r="E158" s="10" t="s">
        <v>153</v>
      </c>
      <c r="F158" s="10" t="s">
        <v>199</v>
      </c>
      <c r="G158" s="15">
        <v>1267.5</v>
      </c>
      <c r="H158" s="10" t="s">
        <v>218</v>
      </c>
      <c r="I158" s="15">
        <v>109043.18</v>
      </c>
      <c r="J158" s="15">
        <v>109043.18</v>
      </c>
    </row>
    <row r="159" spans="1:10" hidden="1" x14ac:dyDescent="0.35">
      <c r="A159" s="14">
        <v>45877</v>
      </c>
      <c r="B159" s="10" t="s">
        <v>34</v>
      </c>
      <c r="C159" s="10" t="s">
        <v>197</v>
      </c>
      <c r="D159" s="10" t="s">
        <v>198</v>
      </c>
      <c r="E159" s="10" t="s">
        <v>156</v>
      </c>
      <c r="F159" s="10" t="s">
        <v>199</v>
      </c>
      <c r="G159" s="15">
        <v>26.27</v>
      </c>
      <c r="H159" s="10" t="s">
        <v>218</v>
      </c>
      <c r="I159" s="15">
        <v>2260.0100000000002</v>
      </c>
      <c r="J159" s="15">
        <v>2260.0100000000002</v>
      </c>
    </row>
    <row r="160" spans="1:10" hidden="1" x14ac:dyDescent="0.35">
      <c r="A160" s="14">
        <v>45877</v>
      </c>
      <c r="B160" s="10" t="s">
        <v>34</v>
      </c>
      <c r="C160" s="10" t="s">
        <v>197</v>
      </c>
      <c r="D160" s="10" t="s">
        <v>198</v>
      </c>
      <c r="E160" s="10" t="s">
        <v>255</v>
      </c>
      <c r="F160" s="10" t="s">
        <v>199</v>
      </c>
      <c r="G160" s="15">
        <v>53.68</v>
      </c>
      <c r="H160" s="10" t="s">
        <v>218</v>
      </c>
      <c r="I160" s="15">
        <v>4618.1000000000004</v>
      </c>
      <c r="J160" s="15">
        <v>4618.1000000000004</v>
      </c>
    </row>
    <row r="161" spans="1:10" hidden="1" x14ac:dyDescent="0.35">
      <c r="A161" s="14">
        <v>45877</v>
      </c>
      <c r="B161" s="10" t="s">
        <v>34</v>
      </c>
      <c r="C161" s="10" t="s">
        <v>197</v>
      </c>
      <c r="D161" s="10" t="s">
        <v>198</v>
      </c>
      <c r="E161" s="10" t="s">
        <v>256</v>
      </c>
      <c r="F161" s="10" t="s">
        <v>199</v>
      </c>
      <c r="G161" s="15">
        <v>3.65</v>
      </c>
      <c r="H161" s="10" t="s">
        <v>218</v>
      </c>
      <c r="I161" s="15">
        <v>314.01</v>
      </c>
      <c r="J161" s="15">
        <v>314.01</v>
      </c>
    </row>
    <row r="162" spans="1:10" hidden="1" x14ac:dyDescent="0.35">
      <c r="A162" s="14">
        <v>45877</v>
      </c>
      <c r="B162" s="10" t="s">
        <v>34</v>
      </c>
      <c r="C162" s="10" t="s">
        <v>197</v>
      </c>
      <c r="D162" s="10" t="s">
        <v>198</v>
      </c>
      <c r="E162" s="10" t="s">
        <v>154</v>
      </c>
      <c r="F162" s="10" t="s">
        <v>199</v>
      </c>
      <c r="G162" s="15">
        <v>15.53</v>
      </c>
      <c r="H162" s="10" t="s">
        <v>218</v>
      </c>
      <c r="I162" s="15">
        <v>1336.04</v>
      </c>
      <c r="J162" s="15">
        <v>1336.04</v>
      </c>
    </row>
    <row r="163" spans="1:10" hidden="1" x14ac:dyDescent="0.35">
      <c r="A163" s="14">
        <v>45877</v>
      </c>
      <c r="B163" s="10" t="s">
        <v>34</v>
      </c>
      <c r="C163" s="10" t="s">
        <v>197</v>
      </c>
      <c r="D163" s="10" t="s">
        <v>198</v>
      </c>
      <c r="E163" s="10" t="s">
        <v>257</v>
      </c>
      <c r="F163" s="10" t="s">
        <v>199</v>
      </c>
      <c r="G163" s="15">
        <v>7.17</v>
      </c>
      <c r="H163" s="10" t="s">
        <v>218</v>
      </c>
      <c r="I163" s="15">
        <v>616.84</v>
      </c>
      <c r="J163" s="15">
        <v>616.84</v>
      </c>
    </row>
    <row r="164" spans="1:10" hidden="1" x14ac:dyDescent="0.35">
      <c r="A164" s="14">
        <v>45877</v>
      </c>
      <c r="B164" s="10" t="s">
        <v>34</v>
      </c>
      <c r="C164" s="10" t="s">
        <v>197</v>
      </c>
      <c r="D164" s="10" t="s">
        <v>198</v>
      </c>
      <c r="E164" s="10" t="s">
        <v>151</v>
      </c>
      <c r="F164" s="10" t="s">
        <v>199</v>
      </c>
      <c r="G164" s="15">
        <v>358.32</v>
      </c>
      <c r="H164" s="10" t="s">
        <v>218</v>
      </c>
      <c r="I164" s="15">
        <v>30826.31</v>
      </c>
      <c r="J164" s="15">
        <v>30826.31</v>
      </c>
    </row>
    <row r="165" spans="1:10" hidden="1" x14ac:dyDescent="0.35">
      <c r="A165" s="14">
        <v>45877</v>
      </c>
      <c r="B165" s="10" t="s">
        <v>34</v>
      </c>
      <c r="C165" s="10" t="s">
        <v>197</v>
      </c>
      <c r="D165" s="10" t="s">
        <v>198</v>
      </c>
      <c r="E165" s="10" t="s">
        <v>152</v>
      </c>
      <c r="F165" s="10" t="s">
        <v>199</v>
      </c>
      <c r="G165" s="15">
        <v>13.71</v>
      </c>
      <c r="H165" s="10" t="s">
        <v>218</v>
      </c>
      <c r="I165" s="15">
        <v>1179.47</v>
      </c>
      <c r="J165" s="15">
        <v>1179.47</v>
      </c>
    </row>
    <row r="166" spans="1:10" hidden="1" x14ac:dyDescent="0.35">
      <c r="A166" s="14">
        <v>45877</v>
      </c>
      <c r="B166" s="10" t="s">
        <v>34</v>
      </c>
      <c r="C166" s="10" t="s">
        <v>197</v>
      </c>
      <c r="D166" s="10" t="s">
        <v>198</v>
      </c>
      <c r="E166" s="10" t="s">
        <v>157</v>
      </c>
      <c r="F166" s="10" t="s">
        <v>199</v>
      </c>
      <c r="G166" s="15">
        <v>56.33</v>
      </c>
      <c r="H166" s="10" t="s">
        <v>218</v>
      </c>
      <c r="I166" s="15">
        <v>4846.08</v>
      </c>
      <c r="J166" s="15">
        <v>4846.08</v>
      </c>
    </row>
    <row r="167" spans="1:10" hidden="1" x14ac:dyDescent="0.35">
      <c r="A167" s="14">
        <v>45904</v>
      </c>
      <c r="B167" s="10" t="s">
        <v>34</v>
      </c>
      <c r="C167" s="10" t="s">
        <v>197</v>
      </c>
      <c r="D167" s="10" t="s">
        <v>198</v>
      </c>
      <c r="E167" s="10" t="s">
        <v>160</v>
      </c>
      <c r="F167" s="10" t="s">
        <v>199</v>
      </c>
      <c r="G167" s="15">
        <v>75.13</v>
      </c>
      <c r="H167" s="10" t="s">
        <v>222</v>
      </c>
      <c r="I167" s="15">
        <v>6574.95</v>
      </c>
      <c r="J167" s="15">
        <v>6574.95</v>
      </c>
    </row>
    <row r="168" spans="1:10" hidden="1" x14ac:dyDescent="0.35">
      <c r="A168" s="14">
        <v>45904</v>
      </c>
      <c r="B168" s="10" t="s">
        <v>34</v>
      </c>
      <c r="C168" s="10" t="s">
        <v>197</v>
      </c>
      <c r="D168" s="10" t="s">
        <v>198</v>
      </c>
      <c r="E168" s="10" t="s">
        <v>162</v>
      </c>
      <c r="F168" s="10" t="s">
        <v>199</v>
      </c>
      <c r="G168" s="15">
        <v>140</v>
      </c>
      <c r="H168" s="10" t="s">
        <v>222</v>
      </c>
      <c r="I168" s="15">
        <v>12252.01</v>
      </c>
      <c r="J168" s="15">
        <v>12252.01</v>
      </c>
    </row>
    <row r="169" spans="1:10" hidden="1" x14ac:dyDescent="0.35">
      <c r="A169" s="14">
        <v>45904</v>
      </c>
      <c r="B169" s="10" t="s">
        <v>34</v>
      </c>
      <c r="C169" s="10" t="s">
        <v>197</v>
      </c>
      <c r="D169" s="10" t="s">
        <v>198</v>
      </c>
      <c r="E169" s="10" t="s">
        <v>258</v>
      </c>
      <c r="F169" s="10" t="s">
        <v>199</v>
      </c>
      <c r="G169" s="15">
        <v>100.2</v>
      </c>
      <c r="H169" s="10" t="s">
        <v>222</v>
      </c>
      <c r="I169" s="15">
        <v>8768.94</v>
      </c>
      <c r="J169" s="15">
        <v>8768.94</v>
      </c>
    </row>
    <row r="170" spans="1:10" hidden="1" x14ac:dyDescent="0.35">
      <c r="A170" s="14">
        <v>45904</v>
      </c>
      <c r="B170" s="10" t="s">
        <v>34</v>
      </c>
      <c r="C170" s="10" t="s">
        <v>197</v>
      </c>
      <c r="D170" s="10" t="s">
        <v>198</v>
      </c>
      <c r="E170" s="10" t="s">
        <v>259</v>
      </c>
      <c r="F170" s="10" t="s">
        <v>199</v>
      </c>
      <c r="G170" s="15">
        <v>3.2</v>
      </c>
      <c r="H170" s="10" t="s">
        <v>222</v>
      </c>
      <c r="I170" s="15">
        <v>280.05</v>
      </c>
      <c r="J170" s="15">
        <v>280.05</v>
      </c>
    </row>
    <row r="171" spans="1:10" hidden="1" x14ac:dyDescent="0.35">
      <c r="A171" s="14">
        <v>45904</v>
      </c>
      <c r="B171" s="10" t="s">
        <v>34</v>
      </c>
      <c r="C171" s="10" t="s">
        <v>197</v>
      </c>
      <c r="D171" s="10" t="s">
        <v>198</v>
      </c>
      <c r="E171" s="10" t="s">
        <v>260</v>
      </c>
      <c r="F171" s="10" t="s">
        <v>199</v>
      </c>
      <c r="G171" s="15">
        <v>460</v>
      </c>
      <c r="H171" s="10" t="s">
        <v>222</v>
      </c>
      <c r="I171" s="15">
        <v>40256.589999999997</v>
      </c>
      <c r="J171" s="15">
        <v>40256.589999999997</v>
      </c>
    </row>
    <row r="172" spans="1:10" hidden="1" x14ac:dyDescent="0.35">
      <c r="A172" s="14">
        <v>45904</v>
      </c>
      <c r="B172" s="10" t="s">
        <v>34</v>
      </c>
      <c r="C172" s="10" t="s">
        <v>197</v>
      </c>
      <c r="D172" s="10" t="s">
        <v>198</v>
      </c>
      <c r="E172" s="10" t="s">
        <v>38</v>
      </c>
      <c r="F172" s="10" t="s">
        <v>199</v>
      </c>
      <c r="G172" s="15">
        <v>9.24</v>
      </c>
      <c r="H172" s="10" t="s">
        <v>222</v>
      </c>
      <c r="I172" s="15">
        <v>808.63</v>
      </c>
      <c r="J172" s="15">
        <v>808.63</v>
      </c>
    </row>
    <row r="173" spans="1:10" hidden="1" x14ac:dyDescent="0.35">
      <c r="A173" s="14">
        <v>45904</v>
      </c>
      <c r="B173" s="10" t="s">
        <v>34</v>
      </c>
      <c r="C173" s="10" t="s">
        <v>197</v>
      </c>
      <c r="D173" s="10" t="s">
        <v>198</v>
      </c>
      <c r="E173" s="10" t="s">
        <v>261</v>
      </c>
      <c r="F173" s="10" t="s">
        <v>199</v>
      </c>
      <c r="G173" s="15">
        <v>4.28</v>
      </c>
      <c r="H173" s="10" t="s">
        <v>222</v>
      </c>
      <c r="I173" s="15">
        <v>374.56</v>
      </c>
      <c r="J173" s="15">
        <v>374.56</v>
      </c>
    </row>
    <row r="174" spans="1:10" hidden="1" x14ac:dyDescent="0.35">
      <c r="A174" s="14">
        <v>45904</v>
      </c>
      <c r="B174" s="10" t="s">
        <v>34</v>
      </c>
      <c r="C174" s="10" t="s">
        <v>197</v>
      </c>
      <c r="D174" s="10" t="s">
        <v>198</v>
      </c>
      <c r="E174" s="10" t="s">
        <v>165</v>
      </c>
      <c r="F174" s="10" t="s">
        <v>199</v>
      </c>
      <c r="G174" s="15">
        <v>1800</v>
      </c>
      <c r="H174" s="10" t="s">
        <v>222</v>
      </c>
      <c r="I174" s="15">
        <v>157525.79</v>
      </c>
      <c r="J174" s="15">
        <v>157525.79</v>
      </c>
    </row>
    <row r="175" spans="1:10" hidden="1" x14ac:dyDescent="0.35">
      <c r="A175" s="14">
        <v>45722</v>
      </c>
      <c r="B175" s="10" t="s">
        <v>34</v>
      </c>
      <c r="C175" s="10" t="s">
        <v>197</v>
      </c>
      <c r="D175" s="10" t="s">
        <v>198</v>
      </c>
      <c r="E175" s="10" t="s">
        <v>79</v>
      </c>
      <c r="F175" s="10" t="s">
        <v>199</v>
      </c>
      <c r="G175" s="15">
        <v>2306.52</v>
      </c>
      <c r="H175" s="10" t="s">
        <v>200</v>
      </c>
      <c r="I175" s="15">
        <v>199955.13</v>
      </c>
      <c r="J175" s="15">
        <v>199955.13</v>
      </c>
    </row>
    <row r="176" spans="1:10" hidden="1" x14ac:dyDescent="0.35">
      <c r="A176" s="14">
        <v>45722</v>
      </c>
      <c r="B176" s="10" t="s">
        <v>34</v>
      </c>
      <c r="C176" s="10" t="s">
        <v>197</v>
      </c>
      <c r="D176" s="10" t="s">
        <v>198</v>
      </c>
      <c r="E176" s="10" t="s">
        <v>80</v>
      </c>
      <c r="F176" s="10" t="s">
        <v>199</v>
      </c>
      <c r="G176" s="15">
        <v>2390.58</v>
      </c>
      <c r="H176" s="10" t="s">
        <v>200</v>
      </c>
      <c r="I176" s="15">
        <v>207242.39</v>
      </c>
      <c r="J176" s="15">
        <v>207242.39</v>
      </c>
    </row>
    <row r="177" spans="1:10" x14ac:dyDescent="0.35">
      <c r="A177" s="14">
        <v>45799</v>
      </c>
      <c r="B177" s="10" t="s">
        <v>68</v>
      </c>
      <c r="C177" s="10" t="s">
        <v>202</v>
      </c>
      <c r="D177" s="10" t="s">
        <v>198</v>
      </c>
      <c r="E177" s="10" t="s">
        <v>184</v>
      </c>
      <c r="F177" s="10" t="s">
        <v>199</v>
      </c>
      <c r="G177" s="15">
        <v>-368.88</v>
      </c>
      <c r="H177" s="10" t="s">
        <v>200</v>
      </c>
      <c r="I177" s="15">
        <v>-31978.67</v>
      </c>
      <c r="J177" s="15">
        <v>-31978.67</v>
      </c>
    </row>
    <row r="178" spans="1:10" x14ac:dyDescent="0.35">
      <c r="A178" s="14">
        <v>45799</v>
      </c>
      <c r="B178" s="10" t="s">
        <v>68</v>
      </c>
      <c r="C178" s="10" t="s">
        <v>202</v>
      </c>
      <c r="D178" s="10" t="s">
        <v>198</v>
      </c>
      <c r="E178" s="10" t="s">
        <v>185</v>
      </c>
      <c r="F178" s="10" t="s">
        <v>199</v>
      </c>
      <c r="G178" s="15">
        <v>-189.12</v>
      </c>
      <c r="H178" s="10" t="s">
        <v>207</v>
      </c>
      <c r="I178" s="15">
        <v>-16438.66</v>
      </c>
      <c r="J178" s="15">
        <v>-16438.66</v>
      </c>
    </row>
    <row r="179" spans="1:10" x14ac:dyDescent="0.35">
      <c r="A179" s="14">
        <v>45799</v>
      </c>
      <c r="B179" s="10" t="s">
        <v>68</v>
      </c>
      <c r="C179" s="10" t="s">
        <v>202</v>
      </c>
      <c r="D179" s="10" t="s">
        <v>198</v>
      </c>
      <c r="E179" s="10" t="s">
        <v>185</v>
      </c>
      <c r="F179" s="10" t="s">
        <v>199</v>
      </c>
      <c r="G179" s="15">
        <v>-1.0900000000000001</v>
      </c>
      <c r="H179" s="10" t="s">
        <v>207</v>
      </c>
      <c r="I179" s="15">
        <v>-94.74</v>
      </c>
      <c r="J179" s="15">
        <v>-94.74</v>
      </c>
    </row>
    <row r="180" spans="1:10" hidden="1" x14ac:dyDescent="0.35">
      <c r="A180" s="14">
        <v>45904</v>
      </c>
      <c r="B180" s="10" t="s">
        <v>34</v>
      </c>
      <c r="C180" s="10" t="s">
        <v>197</v>
      </c>
      <c r="D180" s="10" t="s">
        <v>198</v>
      </c>
      <c r="E180" s="10" t="s">
        <v>163</v>
      </c>
      <c r="F180" s="10" t="s">
        <v>199</v>
      </c>
      <c r="G180" s="15">
        <v>108.12</v>
      </c>
      <c r="H180" s="10" t="s">
        <v>222</v>
      </c>
      <c r="I180" s="15">
        <v>9462.0499999999993</v>
      </c>
      <c r="J180" s="15">
        <v>9462.0499999999993</v>
      </c>
    </row>
    <row r="181" spans="1:10" hidden="1" x14ac:dyDescent="0.35">
      <c r="A181" s="14">
        <v>45730</v>
      </c>
      <c r="B181" s="10" t="s">
        <v>34</v>
      </c>
      <c r="C181" s="10" t="s">
        <v>197</v>
      </c>
      <c r="D181" s="10" t="s">
        <v>198</v>
      </c>
      <c r="E181" s="10" t="s">
        <v>262</v>
      </c>
      <c r="F181" s="10" t="s">
        <v>199</v>
      </c>
      <c r="G181" s="15">
        <v>77.2</v>
      </c>
      <c r="H181" s="10" t="s">
        <v>200</v>
      </c>
      <c r="I181" s="15">
        <v>6692.57</v>
      </c>
      <c r="J181" s="15">
        <v>6692.57</v>
      </c>
    </row>
    <row r="182" spans="1:10" hidden="1" x14ac:dyDescent="0.35">
      <c r="A182" s="14">
        <v>45730</v>
      </c>
      <c r="B182" s="10" t="s">
        <v>34</v>
      </c>
      <c r="C182" s="10" t="s">
        <v>197</v>
      </c>
      <c r="D182" s="10" t="s">
        <v>198</v>
      </c>
      <c r="E182" s="10" t="s">
        <v>262</v>
      </c>
      <c r="F182" s="10" t="s">
        <v>199</v>
      </c>
      <c r="G182" s="15">
        <v>77.2</v>
      </c>
      <c r="H182" s="10" t="s">
        <v>200</v>
      </c>
      <c r="I182" s="15">
        <v>6692.57</v>
      </c>
      <c r="J182" s="15">
        <v>6692.57</v>
      </c>
    </row>
    <row r="183" spans="1:10" hidden="1" x14ac:dyDescent="0.35">
      <c r="A183" s="14">
        <v>45751</v>
      </c>
      <c r="B183" s="10" t="s">
        <v>34</v>
      </c>
      <c r="C183" s="10" t="s">
        <v>197</v>
      </c>
      <c r="D183" s="10" t="s">
        <v>198</v>
      </c>
      <c r="E183" s="10" t="s">
        <v>103</v>
      </c>
      <c r="F183" s="10" t="s">
        <v>199</v>
      </c>
      <c r="G183" s="15">
        <v>1394.64</v>
      </c>
      <c r="H183" s="10" t="s">
        <v>207</v>
      </c>
      <c r="I183" s="15">
        <v>121224.65</v>
      </c>
      <c r="J183" s="15">
        <v>121224.65</v>
      </c>
    </row>
    <row r="184" spans="1:10" hidden="1" x14ac:dyDescent="0.35">
      <c r="A184" s="14">
        <v>45751</v>
      </c>
      <c r="B184" s="10" t="s">
        <v>34</v>
      </c>
      <c r="C184" s="10" t="s">
        <v>197</v>
      </c>
      <c r="D184" s="10" t="s">
        <v>198</v>
      </c>
      <c r="E184" s="10" t="s">
        <v>104</v>
      </c>
      <c r="F184" s="10" t="s">
        <v>199</v>
      </c>
      <c r="G184" s="15">
        <v>2592.75</v>
      </c>
      <c r="H184" s="10" t="s">
        <v>207</v>
      </c>
      <c r="I184" s="15">
        <v>225366.55</v>
      </c>
      <c r="J184" s="15">
        <v>225366.55</v>
      </c>
    </row>
    <row r="185" spans="1:10" x14ac:dyDescent="0.35">
      <c r="A185" s="14">
        <v>45791</v>
      </c>
      <c r="B185" s="10" t="s">
        <v>68</v>
      </c>
      <c r="C185" s="10" t="s">
        <v>202</v>
      </c>
      <c r="D185" s="10" t="s">
        <v>198</v>
      </c>
      <c r="E185" s="10" t="s">
        <v>181</v>
      </c>
      <c r="F185" s="10" t="s">
        <v>199</v>
      </c>
      <c r="G185" s="15">
        <v>-77.2</v>
      </c>
      <c r="H185" s="10" t="s">
        <v>200</v>
      </c>
      <c r="I185" s="15">
        <v>-6692.57</v>
      </c>
      <c r="J185" s="15">
        <v>-6692.57</v>
      </c>
    </row>
    <row r="186" spans="1:10" x14ac:dyDescent="0.35">
      <c r="A186" s="14">
        <v>45791</v>
      </c>
      <c r="B186" s="10" t="s">
        <v>68</v>
      </c>
      <c r="C186" s="10" t="s">
        <v>202</v>
      </c>
      <c r="D186" s="10" t="s">
        <v>198</v>
      </c>
      <c r="E186" s="10" t="s">
        <v>182</v>
      </c>
      <c r="F186" s="10" t="s">
        <v>199</v>
      </c>
      <c r="G186" s="15">
        <v>-1800</v>
      </c>
      <c r="H186" s="10" t="s">
        <v>207</v>
      </c>
      <c r="I186" s="15">
        <v>-156459.28</v>
      </c>
      <c r="J186" s="15">
        <v>-156459.28</v>
      </c>
    </row>
    <row r="187" spans="1:10" x14ac:dyDescent="0.35">
      <c r="A187" s="14">
        <v>45791</v>
      </c>
      <c r="B187" s="10" t="s">
        <v>68</v>
      </c>
      <c r="C187" s="10" t="s">
        <v>202</v>
      </c>
      <c r="D187" s="10" t="s">
        <v>198</v>
      </c>
      <c r="E187" s="10" t="s">
        <v>183</v>
      </c>
      <c r="F187" s="10" t="s">
        <v>199</v>
      </c>
      <c r="G187" s="15">
        <v>-1800</v>
      </c>
      <c r="H187" s="10" t="s">
        <v>207</v>
      </c>
      <c r="I187" s="15">
        <v>-156459.28</v>
      </c>
      <c r="J187" s="15">
        <v>-156459.28</v>
      </c>
    </row>
    <row r="188" spans="1:10" hidden="1" x14ac:dyDescent="0.35">
      <c r="A188" s="14">
        <v>45750</v>
      </c>
      <c r="B188" s="10" t="s">
        <v>34</v>
      </c>
      <c r="C188" s="10" t="s">
        <v>197</v>
      </c>
      <c r="D188" s="10" t="s">
        <v>198</v>
      </c>
      <c r="E188" s="10" t="s">
        <v>263</v>
      </c>
      <c r="F188" s="10" t="s">
        <v>199</v>
      </c>
      <c r="G188" s="15">
        <v>450</v>
      </c>
      <c r="H188" s="10" t="s">
        <v>207</v>
      </c>
      <c r="I188" s="15">
        <v>39114.82</v>
      </c>
      <c r="J188" s="15">
        <v>39114.82</v>
      </c>
    </row>
    <row r="189" spans="1:10" hidden="1" x14ac:dyDescent="0.35">
      <c r="A189" s="14">
        <v>45750</v>
      </c>
      <c r="B189" s="10" t="s">
        <v>34</v>
      </c>
      <c r="C189" s="10" t="s">
        <v>197</v>
      </c>
      <c r="D189" s="10" t="s">
        <v>198</v>
      </c>
      <c r="E189" s="10" t="s">
        <v>263</v>
      </c>
      <c r="F189" s="10" t="s">
        <v>199</v>
      </c>
      <c r="G189" s="15">
        <v>450</v>
      </c>
      <c r="H189" s="10" t="s">
        <v>207</v>
      </c>
      <c r="I189" s="15">
        <v>39114.82</v>
      </c>
      <c r="J189" s="15">
        <v>39114.82</v>
      </c>
    </row>
    <row r="190" spans="1:10" hidden="1" x14ac:dyDescent="0.35">
      <c r="A190" s="14">
        <v>45750</v>
      </c>
      <c r="B190" s="10" t="s">
        <v>34</v>
      </c>
      <c r="C190" s="10" t="s">
        <v>197</v>
      </c>
      <c r="D190" s="10" t="s">
        <v>198</v>
      </c>
      <c r="E190" s="10" t="s">
        <v>101</v>
      </c>
      <c r="F190" s="10" t="s">
        <v>199</v>
      </c>
      <c r="G190" s="15">
        <v>5.25</v>
      </c>
      <c r="H190" s="10" t="s">
        <v>207</v>
      </c>
      <c r="I190" s="15">
        <v>456.34</v>
      </c>
      <c r="J190" s="15">
        <v>456.34</v>
      </c>
    </row>
    <row r="191" spans="1:10" hidden="1" x14ac:dyDescent="0.35">
      <c r="A191" s="14">
        <v>45750</v>
      </c>
      <c r="B191" s="10" t="s">
        <v>34</v>
      </c>
      <c r="C191" s="10" t="s">
        <v>197</v>
      </c>
      <c r="D191" s="10" t="s">
        <v>198</v>
      </c>
      <c r="E191" s="10" t="s">
        <v>102</v>
      </c>
      <c r="F191" s="10" t="s">
        <v>199</v>
      </c>
      <c r="G191" s="15">
        <v>3.5</v>
      </c>
      <c r="H191" s="10" t="s">
        <v>207</v>
      </c>
      <c r="I191" s="15">
        <v>304.23</v>
      </c>
      <c r="J191" s="15">
        <v>304.23</v>
      </c>
    </row>
    <row r="192" spans="1:10" hidden="1" x14ac:dyDescent="0.35">
      <c r="A192" s="14">
        <v>45750</v>
      </c>
      <c r="B192" s="10" t="s">
        <v>34</v>
      </c>
      <c r="C192" s="10" t="s">
        <v>197</v>
      </c>
      <c r="D192" s="10" t="s">
        <v>198</v>
      </c>
      <c r="E192" s="10" t="s">
        <v>263</v>
      </c>
      <c r="F192" s="10" t="s">
        <v>199</v>
      </c>
      <c r="G192" s="15">
        <v>465</v>
      </c>
      <c r="H192" s="10" t="s">
        <v>207</v>
      </c>
      <c r="I192" s="15">
        <v>40418.65</v>
      </c>
      <c r="J192" s="15">
        <v>40418.65</v>
      </c>
    </row>
    <row r="193" spans="1:10" hidden="1" x14ac:dyDescent="0.35">
      <c r="A193" s="14">
        <v>45750</v>
      </c>
      <c r="B193" s="10" t="s">
        <v>34</v>
      </c>
      <c r="C193" s="10" t="s">
        <v>197</v>
      </c>
      <c r="D193" s="10" t="s">
        <v>198</v>
      </c>
      <c r="E193" s="10" t="s">
        <v>75</v>
      </c>
      <c r="F193" s="10" t="s">
        <v>199</v>
      </c>
      <c r="G193" s="15">
        <v>1800</v>
      </c>
      <c r="H193" s="10" t="s">
        <v>207</v>
      </c>
      <c r="I193" s="15">
        <v>156459.28</v>
      </c>
      <c r="J193" s="15">
        <v>156459.28</v>
      </c>
    </row>
    <row r="194" spans="1:10" hidden="1" x14ac:dyDescent="0.35">
      <c r="A194" s="14">
        <v>45750</v>
      </c>
      <c r="B194" s="10" t="s">
        <v>34</v>
      </c>
      <c r="C194" s="10" t="s">
        <v>197</v>
      </c>
      <c r="D194" s="10" t="s">
        <v>198</v>
      </c>
      <c r="E194" s="10" t="s">
        <v>76</v>
      </c>
      <c r="F194" s="10" t="s">
        <v>199</v>
      </c>
      <c r="G194" s="15">
        <v>1800</v>
      </c>
      <c r="H194" s="10" t="s">
        <v>207</v>
      </c>
      <c r="I194" s="15">
        <v>156459.28</v>
      </c>
      <c r="J194" s="15">
        <v>156459.28</v>
      </c>
    </row>
    <row r="195" spans="1:10" x14ac:dyDescent="0.35">
      <c r="A195" s="14">
        <v>45862</v>
      </c>
      <c r="B195" s="10" t="s">
        <v>68</v>
      </c>
      <c r="C195" s="10" t="s">
        <v>202</v>
      </c>
      <c r="D195" s="10" t="s">
        <v>198</v>
      </c>
      <c r="E195" s="10" t="s">
        <v>203</v>
      </c>
      <c r="F195" s="10" t="s">
        <v>199</v>
      </c>
      <c r="G195" s="15">
        <v>-5.25</v>
      </c>
      <c r="H195" s="10" t="s">
        <v>201</v>
      </c>
      <c r="I195" s="15">
        <v>-451.41</v>
      </c>
      <c r="J195" s="15">
        <v>-451.41</v>
      </c>
    </row>
    <row r="196" spans="1:10" hidden="1" x14ac:dyDescent="0.35">
      <c r="A196" s="14">
        <v>45862</v>
      </c>
      <c r="B196" s="10" t="s">
        <v>34</v>
      </c>
      <c r="C196" s="10" t="s">
        <v>197</v>
      </c>
      <c r="D196" s="10" t="s">
        <v>198</v>
      </c>
      <c r="E196" s="10" t="s">
        <v>264</v>
      </c>
      <c r="F196" s="10" t="s">
        <v>199</v>
      </c>
      <c r="G196" s="15">
        <v>5.25</v>
      </c>
      <c r="H196" s="10" t="s">
        <v>204</v>
      </c>
      <c r="I196" s="15">
        <v>451.5</v>
      </c>
      <c r="J196" s="15">
        <v>451.5</v>
      </c>
    </row>
    <row r="197" spans="1:10" hidden="1" x14ac:dyDescent="0.35">
      <c r="A197" s="14">
        <v>45750</v>
      </c>
      <c r="B197" s="10" t="s">
        <v>34</v>
      </c>
      <c r="C197" s="10" t="s">
        <v>197</v>
      </c>
      <c r="D197" s="10" t="s">
        <v>198</v>
      </c>
      <c r="E197" s="10" t="s">
        <v>263</v>
      </c>
      <c r="F197" s="10" t="s">
        <v>199</v>
      </c>
      <c r="G197" s="15">
        <v>465</v>
      </c>
      <c r="H197" s="10" t="s">
        <v>207</v>
      </c>
      <c r="I197" s="15">
        <v>40418.65</v>
      </c>
      <c r="J197" s="15">
        <v>40418.65</v>
      </c>
    </row>
    <row r="198" spans="1:10" hidden="1" x14ac:dyDescent="0.35">
      <c r="A198" s="14">
        <v>45856</v>
      </c>
      <c r="B198" s="10" t="s">
        <v>34</v>
      </c>
      <c r="C198" s="10" t="s">
        <v>197</v>
      </c>
      <c r="D198" s="10" t="s">
        <v>198</v>
      </c>
      <c r="E198" s="10" t="s">
        <v>265</v>
      </c>
      <c r="F198" s="10" t="s">
        <v>199</v>
      </c>
      <c r="G198" s="15">
        <v>22.66</v>
      </c>
      <c r="H198" s="10" t="s">
        <v>204</v>
      </c>
      <c r="I198" s="15">
        <v>1948.78</v>
      </c>
      <c r="J198" s="15">
        <v>1948.78</v>
      </c>
    </row>
    <row r="199" spans="1:10" hidden="1" x14ac:dyDescent="0.35">
      <c r="A199" s="14">
        <v>45856</v>
      </c>
      <c r="B199" s="10" t="s">
        <v>34</v>
      </c>
      <c r="C199" s="10" t="s">
        <v>197</v>
      </c>
      <c r="D199" s="10" t="s">
        <v>198</v>
      </c>
      <c r="E199" s="10" t="s">
        <v>266</v>
      </c>
      <c r="F199" s="10" t="s">
        <v>199</v>
      </c>
      <c r="G199" s="15">
        <v>1.53</v>
      </c>
      <c r="H199" s="10" t="s">
        <v>204</v>
      </c>
      <c r="I199" s="15">
        <v>131.58000000000001</v>
      </c>
      <c r="J199" s="15">
        <v>131.58000000000001</v>
      </c>
    </row>
    <row r="200" spans="1:10" hidden="1" x14ac:dyDescent="0.35">
      <c r="A200" s="14">
        <v>45856</v>
      </c>
      <c r="B200" s="10" t="s">
        <v>34</v>
      </c>
      <c r="C200" s="10" t="s">
        <v>197</v>
      </c>
      <c r="D200" s="10" t="s">
        <v>198</v>
      </c>
      <c r="E200" s="10" t="s">
        <v>267</v>
      </c>
      <c r="F200" s="10" t="s">
        <v>199</v>
      </c>
      <c r="G200" s="15">
        <v>110</v>
      </c>
      <c r="H200" s="10" t="s">
        <v>204</v>
      </c>
      <c r="I200" s="15">
        <v>9460.07</v>
      </c>
      <c r="J200" s="15">
        <v>9460.07</v>
      </c>
    </row>
    <row r="201" spans="1:10" hidden="1" x14ac:dyDescent="0.35">
      <c r="A201" s="14">
        <v>45856</v>
      </c>
      <c r="B201" s="10" t="s">
        <v>34</v>
      </c>
      <c r="C201" s="10" t="s">
        <v>197</v>
      </c>
      <c r="D201" s="10" t="s">
        <v>198</v>
      </c>
      <c r="E201" s="10" t="s">
        <v>265</v>
      </c>
      <c r="F201" s="10" t="s">
        <v>199</v>
      </c>
      <c r="G201" s="15">
        <v>22.66</v>
      </c>
      <c r="H201" s="10" t="s">
        <v>204</v>
      </c>
      <c r="I201" s="15">
        <v>1948.78</v>
      </c>
      <c r="J201" s="15">
        <v>1948.78</v>
      </c>
    </row>
    <row r="202" spans="1:10" hidden="1" x14ac:dyDescent="0.35">
      <c r="A202" s="14">
        <v>45856</v>
      </c>
      <c r="B202" s="10" t="s">
        <v>34</v>
      </c>
      <c r="C202" s="10" t="s">
        <v>197</v>
      </c>
      <c r="D202" s="10" t="s">
        <v>198</v>
      </c>
      <c r="E202" s="10" t="s">
        <v>266</v>
      </c>
      <c r="F202" s="10" t="s">
        <v>199</v>
      </c>
      <c r="G202" s="15">
        <v>1.53</v>
      </c>
      <c r="H202" s="10" t="s">
        <v>204</v>
      </c>
      <c r="I202" s="15">
        <v>131.58000000000001</v>
      </c>
      <c r="J202" s="15">
        <v>131.58000000000001</v>
      </c>
    </row>
    <row r="203" spans="1:10" hidden="1" x14ac:dyDescent="0.35">
      <c r="A203" s="14">
        <v>45856</v>
      </c>
      <c r="B203" s="10" t="s">
        <v>34</v>
      </c>
      <c r="C203" s="10" t="s">
        <v>197</v>
      </c>
      <c r="D203" s="10" t="s">
        <v>198</v>
      </c>
      <c r="E203" s="10" t="s">
        <v>267</v>
      </c>
      <c r="F203" s="10" t="s">
        <v>199</v>
      </c>
      <c r="G203" s="15">
        <v>110</v>
      </c>
      <c r="H203" s="10" t="s">
        <v>204</v>
      </c>
      <c r="I203" s="15">
        <v>9460.07</v>
      </c>
      <c r="J203" s="15">
        <v>9460.07</v>
      </c>
    </row>
    <row r="204" spans="1:10" hidden="1" x14ac:dyDescent="0.35">
      <c r="A204" s="14">
        <v>45935</v>
      </c>
      <c r="B204" s="10" t="s">
        <v>34</v>
      </c>
      <c r="C204" s="10" t="s">
        <v>197</v>
      </c>
      <c r="D204" s="10" t="s">
        <v>198</v>
      </c>
      <c r="E204" s="10" t="s">
        <v>42</v>
      </c>
      <c r="F204" s="10" t="s">
        <v>199</v>
      </c>
      <c r="G204" s="15">
        <v>29.9</v>
      </c>
      <c r="H204" s="10" t="s">
        <v>231</v>
      </c>
      <c r="I204" s="15">
        <v>2636.9</v>
      </c>
      <c r="J204" s="15">
        <v>2636.9</v>
      </c>
    </row>
    <row r="205" spans="1:10" hidden="1" x14ac:dyDescent="0.35">
      <c r="A205" s="14">
        <v>45935</v>
      </c>
      <c r="B205" s="10" t="s">
        <v>34</v>
      </c>
      <c r="C205" s="10" t="s">
        <v>197</v>
      </c>
      <c r="D205" s="10" t="s">
        <v>198</v>
      </c>
      <c r="E205" s="10" t="s">
        <v>166</v>
      </c>
      <c r="F205" s="10" t="s">
        <v>199</v>
      </c>
      <c r="G205" s="15">
        <v>40.85</v>
      </c>
      <c r="H205" s="10" t="s">
        <v>231</v>
      </c>
      <c r="I205" s="15">
        <v>3602.59</v>
      </c>
      <c r="J205" s="15">
        <v>3602.59</v>
      </c>
    </row>
    <row r="206" spans="1:10" hidden="1" x14ac:dyDescent="0.35">
      <c r="A206" s="14">
        <v>45935</v>
      </c>
      <c r="B206" s="10" t="s">
        <v>34</v>
      </c>
      <c r="C206" s="10" t="s">
        <v>197</v>
      </c>
      <c r="D206" s="10" t="s">
        <v>198</v>
      </c>
      <c r="E206" s="10" t="s">
        <v>268</v>
      </c>
      <c r="F206" s="10" t="s">
        <v>199</v>
      </c>
      <c r="G206" s="15">
        <v>230</v>
      </c>
      <c r="H206" s="10" t="s">
        <v>231</v>
      </c>
      <c r="I206" s="15">
        <v>20283.88</v>
      </c>
      <c r="J206" s="15">
        <v>20283.88</v>
      </c>
    </row>
    <row r="207" spans="1:10" hidden="1" x14ac:dyDescent="0.35">
      <c r="A207" s="14">
        <v>45935</v>
      </c>
      <c r="B207" s="10" t="s">
        <v>34</v>
      </c>
      <c r="C207" s="10" t="s">
        <v>197</v>
      </c>
      <c r="D207" s="10" t="s">
        <v>198</v>
      </c>
      <c r="E207" s="10" t="s">
        <v>43</v>
      </c>
      <c r="F207" s="10" t="s">
        <v>199</v>
      </c>
      <c r="G207" s="15">
        <v>153.58000000000001</v>
      </c>
      <c r="H207" s="10" t="s">
        <v>231</v>
      </c>
      <c r="I207" s="15">
        <v>13544.34</v>
      </c>
      <c r="J207" s="15">
        <v>13544.34</v>
      </c>
    </row>
    <row r="208" spans="1:10" hidden="1" x14ac:dyDescent="0.35">
      <c r="A208" s="14">
        <v>45935</v>
      </c>
      <c r="B208" s="10" t="s">
        <v>34</v>
      </c>
      <c r="C208" s="10" t="s">
        <v>197</v>
      </c>
      <c r="D208" s="10" t="s">
        <v>198</v>
      </c>
      <c r="E208" s="10" t="s">
        <v>269</v>
      </c>
      <c r="F208" s="10" t="s">
        <v>199</v>
      </c>
      <c r="G208" s="15">
        <v>2.5</v>
      </c>
      <c r="H208" s="10" t="s">
        <v>231</v>
      </c>
      <c r="I208" s="15">
        <v>220.48</v>
      </c>
      <c r="J208" s="15">
        <v>220.48</v>
      </c>
    </row>
    <row r="209" spans="1:10" hidden="1" x14ac:dyDescent="0.35">
      <c r="A209" s="14">
        <v>45935</v>
      </c>
      <c r="B209" s="10" t="s">
        <v>34</v>
      </c>
      <c r="C209" s="10" t="s">
        <v>197</v>
      </c>
      <c r="D209" s="10" t="s">
        <v>198</v>
      </c>
      <c r="E209" s="10" t="s">
        <v>44</v>
      </c>
      <c r="F209" s="10" t="s">
        <v>199</v>
      </c>
      <c r="G209" s="15">
        <v>1800</v>
      </c>
      <c r="H209" s="10" t="s">
        <v>231</v>
      </c>
      <c r="I209" s="15">
        <v>158743.39000000001</v>
      </c>
      <c r="J209" s="15">
        <v>158743.39000000001</v>
      </c>
    </row>
    <row r="210" spans="1:10" hidden="1" x14ac:dyDescent="0.35">
      <c r="A210" s="14">
        <v>45935</v>
      </c>
      <c r="B210" s="10" t="s">
        <v>34</v>
      </c>
      <c r="C210" s="10" t="s">
        <v>197</v>
      </c>
      <c r="D210" s="10" t="s">
        <v>198</v>
      </c>
      <c r="E210" s="10" t="s">
        <v>43</v>
      </c>
      <c r="F210" s="10" t="s">
        <v>199</v>
      </c>
      <c r="G210" s="15">
        <v>153.58000000000001</v>
      </c>
      <c r="H210" s="10" t="s">
        <v>231</v>
      </c>
      <c r="I210" s="15">
        <v>13544.34</v>
      </c>
      <c r="J210" s="15">
        <v>13544.34</v>
      </c>
    </row>
    <row r="211" spans="1:10" hidden="1" x14ac:dyDescent="0.35">
      <c r="A211" s="14">
        <v>45935</v>
      </c>
      <c r="B211" s="10" t="s">
        <v>34</v>
      </c>
      <c r="C211" s="10" t="s">
        <v>197</v>
      </c>
      <c r="D211" s="10" t="s">
        <v>198</v>
      </c>
      <c r="E211" s="10" t="s">
        <v>269</v>
      </c>
      <c r="F211" s="10" t="s">
        <v>199</v>
      </c>
      <c r="G211" s="15">
        <v>2.5</v>
      </c>
      <c r="H211" s="10" t="s">
        <v>231</v>
      </c>
      <c r="I211" s="15">
        <v>220.48</v>
      </c>
      <c r="J211" s="15">
        <v>220.48</v>
      </c>
    </row>
    <row r="212" spans="1:10" hidden="1" x14ac:dyDescent="0.35">
      <c r="A212" s="14">
        <v>45935</v>
      </c>
      <c r="B212" s="10" t="s">
        <v>34</v>
      </c>
      <c r="C212" s="10" t="s">
        <v>197</v>
      </c>
      <c r="D212" s="10" t="s">
        <v>198</v>
      </c>
      <c r="E212" s="10" t="s">
        <v>47</v>
      </c>
      <c r="F212" s="10" t="s">
        <v>199</v>
      </c>
      <c r="G212" s="15">
        <v>51.34</v>
      </c>
      <c r="H212" s="10" t="s">
        <v>231</v>
      </c>
      <c r="I212" s="15">
        <v>4527.71</v>
      </c>
      <c r="J212" s="15">
        <v>4527.71</v>
      </c>
    </row>
    <row r="213" spans="1:10" hidden="1" x14ac:dyDescent="0.35">
      <c r="A213" s="14">
        <v>45708</v>
      </c>
      <c r="B213" s="10" t="s">
        <v>34</v>
      </c>
      <c r="C213" s="10" t="s">
        <v>197</v>
      </c>
      <c r="D213" s="10" t="s">
        <v>198</v>
      </c>
      <c r="E213" s="10" t="s">
        <v>72</v>
      </c>
      <c r="F213" s="10" t="s">
        <v>199</v>
      </c>
      <c r="G213" s="15">
        <v>1800</v>
      </c>
      <c r="H213" s="10" t="s">
        <v>270</v>
      </c>
      <c r="I213" s="15">
        <v>155346.59</v>
      </c>
      <c r="J213" s="15">
        <v>155346.59</v>
      </c>
    </row>
    <row r="214" spans="1:10" hidden="1" x14ac:dyDescent="0.35">
      <c r="A214" s="14">
        <v>45708</v>
      </c>
      <c r="B214" s="10" t="s">
        <v>34</v>
      </c>
      <c r="C214" s="10" t="s">
        <v>197</v>
      </c>
      <c r="D214" s="10" t="s">
        <v>198</v>
      </c>
      <c r="E214" s="10" t="s">
        <v>76</v>
      </c>
      <c r="F214" s="10" t="s">
        <v>199</v>
      </c>
      <c r="G214" s="15">
        <v>1800</v>
      </c>
      <c r="H214" s="10" t="s">
        <v>270</v>
      </c>
      <c r="I214" s="15">
        <v>155346.59</v>
      </c>
      <c r="J214" s="15">
        <v>155346.59</v>
      </c>
    </row>
    <row r="215" spans="1:10" hidden="1" x14ac:dyDescent="0.35">
      <c r="A215" s="14">
        <v>45856</v>
      </c>
      <c r="B215" s="10" t="s">
        <v>34</v>
      </c>
      <c r="C215" s="10" t="s">
        <v>197</v>
      </c>
      <c r="D215" s="10" t="s">
        <v>198</v>
      </c>
      <c r="E215" s="10" t="s">
        <v>146</v>
      </c>
      <c r="F215" s="10" t="s">
        <v>199</v>
      </c>
      <c r="G215" s="15">
        <v>110.95</v>
      </c>
      <c r="H215" s="10" t="s">
        <v>204</v>
      </c>
      <c r="I215" s="15">
        <v>9541.77</v>
      </c>
      <c r="J215" s="15">
        <v>9541.77</v>
      </c>
    </row>
    <row r="216" spans="1:10" hidden="1" x14ac:dyDescent="0.35">
      <c r="A216" s="14">
        <v>45856</v>
      </c>
      <c r="B216" s="10" t="s">
        <v>34</v>
      </c>
      <c r="C216" s="10" t="s">
        <v>197</v>
      </c>
      <c r="D216" s="10" t="s">
        <v>198</v>
      </c>
      <c r="E216" s="10" t="s">
        <v>142</v>
      </c>
      <c r="F216" s="10" t="s">
        <v>199</v>
      </c>
      <c r="G216" s="15">
        <v>11.09</v>
      </c>
      <c r="H216" s="10" t="s">
        <v>204</v>
      </c>
      <c r="I216" s="15">
        <v>953.75</v>
      </c>
      <c r="J216" s="15">
        <v>953.75</v>
      </c>
    </row>
    <row r="217" spans="1:10" hidden="1" x14ac:dyDescent="0.35">
      <c r="A217" s="14">
        <v>45856</v>
      </c>
      <c r="B217" s="10" t="s">
        <v>34</v>
      </c>
      <c r="C217" s="10" t="s">
        <v>197</v>
      </c>
      <c r="D217" s="10" t="s">
        <v>198</v>
      </c>
      <c r="E217" s="10" t="s">
        <v>143</v>
      </c>
      <c r="F217" s="10" t="s">
        <v>199</v>
      </c>
      <c r="G217" s="15">
        <v>73.739999999999995</v>
      </c>
      <c r="H217" s="10" t="s">
        <v>204</v>
      </c>
      <c r="I217" s="15">
        <v>6341.69</v>
      </c>
      <c r="J217" s="15">
        <v>6341.69</v>
      </c>
    </row>
    <row r="218" spans="1:10" hidden="1" x14ac:dyDescent="0.35">
      <c r="A218" s="14">
        <v>45856</v>
      </c>
      <c r="B218" s="10" t="s">
        <v>34</v>
      </c>
      <c r="C218" s="10" t="s">
        <v>197</v>
      </c>
      <c r="D218" s="10" t="s">
        <v>198</v>
      </c>
      <c r="E218" s="10" t="s">
        <v>145</v>
      </c>
      <c r="F218" s="10" t="s">
        <v>199</v>
      </c>
      <c r="G218" s="15">
        <v>1.75</v>
      </c>
      <c r="H218" s="10" t="s">
        <v>204</v>
      </c>
      <c r="I218" s="15">
        <v>150.5</v>
      </c>
      <c r="J218" s="15">
        <v>150.5</v>
      </c>
    </row>
    <row r="219" spans="1:10" hidden="1" x14ac:dyDescent="0.35">
      <c r="A219" s="14">
        <v>45856</v>
      </c>
      <c r="B219" s="10" t="s">
        <v>34</v>
      </c>
      <c r="C219" s="10" t="s">
        <v>197</v>
      </c>
      <c r="D219" s="10" t="s">
        <v>198</v>
      </c>
      <c r="E219" s="10" t="s">
        <v>147</v>
      </c>
      <c r="F219" s="10" t="s">
        <v>199</v>
      </c>
      <c r="G219" s="15">
        <v>200</v>
      </c>
      <c r="H219" s="10" t="s">
        <v>204</v>
      </c>
      <c r="I219" s="15">
        <v>17200.13</v>
      </c>
      <c r="J219" s="15">
        <v>17200.13</v>
      </c>
    </row>
    <row r="220" spans="1:10" hidden="1" x14ac:dyDescent="0.35">
      <c r="A220" s="14">
        <v>45708</v>
      </c>
      <c r="B220" s="10" t="s">
        <v>34</v>
      </c>
      <c r="C220" s="10" t="s">
        <v>197</v>
      </c>
      <c r="D220" s="10" t="s">
        <v>198</v>
      </c>
      <c r="E220" s="10" t="s">
        <v>73</v>
      </c>
      <c r="F220" s="10" t="s">
        <v>199</v>
      </c>
      <c r="G220" s="15">
        <v>1800</v>
      </c>
      <c r="H220" s="10" t="s">
        <v>270</v>
      </c>
      <c r="I220" s="15">
        <v>155346.59</v>
      </c>
      <c r="J220" s="15">
        <v>155346.59</v>
      </c>
    </row>
    <row r="221" spans="1:10" hidden="1" x14ac:dyDescent="0.35">
      <c r="A221" s="14">
        <v>45708</v>
      </c>
      <c r="B221" s="10" t="s">
        <v>34</v>
      </c>
      <c r="C221" s="10" t="s">
        <v>197</v>
      </c>
      <c r="D221" s="10" t="s">
        <v>198</v>
      </c>
      <c r="E221" s="10" t="s">
        <v>74</v>
      </c>
      <c r="F221" s="10" t="s">
        <v>199</v>
      </c>
      <c r="G221" s="15">
        <v>1800</v>
      </c>
      <c r="H221" s="10" t="s">
        <v>270</v>
      </c>
      <c r="I221" s="15">
        <v>155346.59</v>
      </c>
      <c r="J221" s="15">
        <v>155346.59</v>
      </c>
    </row>
    <row r="222" spans="1:10" hidden="1" x14ac:dyDescent="0.35">
      <c r="A222" s="14">
        <v>45708</v>
      </c>
      <c r="B222" s="10" t="s">
        <v>34</v>
      </c>
      <c r="C222" s="10" t="s">
        <v>197</v>
      </c>
      <c r="D222" s="10" t="s">
        <v>198</v>
      </c>
      <c r="E222" s="10" t="s">
        <v>75</v>
      </c>
      <c r="F222" s="10" t="s">
        <v>199</v>
      </c>
      <c r="G222" s="15">
        <v>1800</v>
      </c>
      <c r="H222" s="10" t="s">
        <v>270</v>
      </c>
      <c r="I222" s="15">
        <v>155346.59</v>
      </c>
      <c r="J222" s="15">
        <v>155346.59</v>
      </c>
    </row>
    <row r="223" spans="1:10" hidden="1" x14ac:dyDescent="0.35">
      <c r="A223" s="14">
        <v>45708</v>
      </c>
      <c r="B223" s="10" t="s">
        <v>34</v>
      </c>
      <c r="C223" s="10" t="s">
        <v>197</v>
      </c>
      <c r="D223" s="10" t="s">
        <v>198</v>
      </c>
      <c r="E223" s="10" t="s">
        <v>71</v>
      </c>
      <c r="F223" s="10" t="s">
        <v>199</v>
      </c>
      <c r="G223" s="15">
        <v>1800</v>
      </c>
      <c r="H223" s="10" t="s">
        <v>270</v>
      </c>
      <c r="I223" s="15">
        <v>155346.59</v>
      </c>
      <c r="J223" s="15">
        <v>155346.59</v>
      </c>
    </row>
    <row r="224" spans="1:10" hidden="1" x14ac:dyDescent="0.35">
      <c r="A224" s="14">
        <v>45768</v>
      </c>
      <c r="B224" s="10" t="s">
        <v>34</v>
      </c>
      <c r="C224" s="10" t="s">
        <v>197</v>
      </c>
      <c r="D224" s="10" t="s">
        <v>198</v>
      </c>
      <c r="E224" s="10" t="s">
        <v>113</v>
      </c>
      <c r="F224" s="10" t="s">
        <v>199</v>
      </c>
      <c r="G224" s="15">
        <v>188.79</v>
      </c>
      <c r="H224" s="10" t="s">
        <v>271</v>
      </c>
      <c r="I224" s="15">
        <v>16200.07</v>
      </c>
      <c r="J224" s="15">
        <v>16200.07</v>
      </c>
    </row>
    <row r="225" spans="1:10" hidden="1" x14ac:dyDescent="0.35">
      <c r="A225" s="14">
        <v>45719</v>
      </c>
      <c r="B225" s="10" t="s">
        <v>34</v>
      </c>
      <c r="C225" s="10" t="s">
        <v>197</v>
      </c>
      <c r="D225" s="10" t="s">
        <v>198</v>
      </c>
      <c r="E225" s="10" t="s">
        <v>77</v>
      </c>
      <c r="F225" s="10" t="s">
        <v>199</v>
      </c>
      <c r="G225" s="15">
        <v>1894.32</v>
      </c>
      <c r="H225" s="10" t="s">
        <v>200</v>
      </c>
      <c r="I225" s="15">
        <v>164220.99</v>
      </c>
      <c r="J225" s="15">
        <v>164220.99</v>
      </c>
    </row>
    <row r="226" spans="1:10" hidden="1" x14ac:dyDescent="0.35">
      <c r="A226" s="14">
        <v>45719</v>
      </c>
      <c r="B226" s="10" t="s">
        <v>34</v>
      </c>
      <c r="C226" s="10" t="s">
        <v>197</v>
      </c>
      <c r="D226" s="10" t="s">
        <v>198</v>
      </c>
      <c r="E226" s="10" t="s">
        <v>78</v>
      </c>
      <c r="F226" s="10" t="s">
        <v>199</v>
      </c>
      <c r="G226" s="15">
        <v>1930.92</v>
      </c>
      <c r="H226" s="10" t="s">
        <v>200</v>
      </c>
      <c r="I226" s="15">
        <v>167393.89000000001</v>
      </c>
      <c r="J226" s="15">
        <v>167393.89000000001</v>
      </c>
    </row>
    <row r="227" spans="1:10" hidden="1" x14ac:dyDescent="0.35">
      <c r="A227" s="14">
        <v>45918</v>
      </c>
      <c r="B227" s="10" t="s">
        <v>34</v>
      </c>
      <c r="C227" s="10" t="s">
        <v>197</v>
      </c>
      <c r="D227" s="10" t="s">
        <v>198</v>
      </c>
      <c r="E227" s="10" t="s">
        <v>40</v>
      </c>
      <c r="F227" s="10" t="s">
        <v>199</v>
      </c>
      <c r="G227" s="15">
        <v>30.1</v>
      </c>
      <c r="H227" s="10" t="s">
        <v>222</v>
      </c>
      <c r="I227" s="15">
        <v>2634.18</v>
      </c>
      <c r="J227" s="15">
        <v>2634.18</v>
      </c>
    </row>
    <row r="228" spans="1:10" hidden="1" x14ac:dyDescent="0.35">
      <c r="A228" s="14">
        <v>45918</v>
      </c>
      <c r="B228" s="10" t="s">
        <v>34</v>
      </c>
      <c r="C228" s="10" t="s">
        <v>197</v>
      </c>
      <c r="D228" s="10" t="s">
        <v>198</v>
      </c>
      <c r="E228" s="10" t="s">
        <v>272</v>
      </c>
      <c r="F228" s="10" t="s">
        <v>199</v>
      </c>
      <c r="G228" s="15">
        <v>11.2</v>
      </c>
      <c r="H228" s="10" t="s">
        <v>222</v>
      </c>
      <c r="I228" s="15">
        <v>980.16</v>
      </c>
      <c r="J228" s="15">
        <v>980.16</v>
      </c>
    </row>
    <row r="229" spans="1:10" hidden="1" x14ac:dyDescent="0.35">
      <c r="A229" s="14">
        <v>45918</v>
      </c>
      <c r="B229" s="10" t="s">
        <v>34</v>
      </c>
      <c r="C229" s="10" t="s">
        <v>197</v>
      </c>
      <c r="D229" s="10" t="s">
        <v>198</v>
      </c>
      <c r="E229" s="10" t="s">
        <v>273</v>
      </c>
      <c r="F229" s="10" t="s">
        <v>199</v>
      </c>
      <c r="G229" s="15">
        <v>50.64</v>
      </c>
      <c r="H229" s="10" t="s">
        <v>222</v>
      </c>
      <c r="I229" s="15">
        <v>4431.7299999999996</v>
      </c>
      <c r="J229" s="15">
        <v>4431.7299999999996</v>
      </c>
    </row>
    <row r="230" spans="1:10" hidden="1" x14ac:dyDescent="0.35">
      <c r="A230" s="14">
        <v>45918</v>
      </c>
      <c r="B230" s="10" t="s">
        <v>34</v>
      </c>
      <c r="C230" s="10" t="s">
        <v>197</v>
      </c>
      <c r="D230" s="10" t="s">
        <v>198</v>
      </c>
      <c r="E230" s="10" t="s">
        <v>274</v>
      </c>
      <c r="F230" s="10" t="s">
        <v>199</v>
      </c>
      <c r="G230" s="15">
        <v>16.2</v>
      </c>
      <c r="H230" s="10" t="s">
        <v>222</v>
      </c>
      <c r="I230" s="15">
        <v>1417.73</v>
      </c>
      <c r="J230" s="15">
        <v>1417.73</v>
      </c>
    </row>
    <row r="231" spans="1:10" hidden="1" x14ac:dyDescent="0.35">
      <c r="A231" s="14">
        <v>45981</v>
      </c>
      <c r="B231" s="10" t="s">
        <v>34</v>
      </c>
      <c r="C231" s="10" t="s">
        <v>197</v>
      </c>
      <c r="D231" s="10" t="s">
        <v>198</v>
      </c>
      <c r="E231" s="10" t="s">
        <v>61</v>
      </c>
      <c r="F231" s="10" t="s">
        <v>199</v>
      </c>
      <c r="G231" s="15">
        <v>2040.23</v>
      </c>
      <c r="H231" s="10" t="s">
        <v>223</v>
      </c>
      <c r="I231" s="15">
        <v>179547.16</v>
      </c>
      <c r="J231" s="15">
        <v>179547.16</v>
      </c>
    </row>
    <row r="232" spans="1:10" hidden="1" x14ac:dyDescent="0.35">
      <c r="A232" s="14">
        <v>45981</v>
      </c>
      <c r="B232" s="10" t="s">
        <v>34</v>
      </c>
      <c r="C232" s="10" t="s">
        <v>197</v>
      </c>
      <c r="D232" s="10" t="s">
        <v>198</v>
      </c>
      <c r="E232" s="10" t="s">
        <v>275</v>
      </c>
      <c r="F232" s="10" t="s">
        <v>199</v>
      </c>
      <c r="G232" s="15">
        <v>49.05</v>
      </c>
      <c r="H232" s="10" t="s">
        <v>223</v>
      </c>
      <c r="I232" s="15">
        <v>4316.57</v>
      </c>
      <c r="J232" s="15">
        <v>4316.57</v>
      </c>
    </row>
    <row r="233" spans="1:10" hidden="1" x14ac:dyDescent="0.35">
      <c r="A233" s="14">
        <v>45981</v>
      </c>
      <c r="B233" s="10" t="s">
        <v>34</v>
      </c>
      <c r="C233" s="10" t="s">
        <v>197</v>
      </c>
      <c r="D233" s="10" t="s">
        <v>198</v>
      </c>
      <c r="E233" s="10" t="s">
        <v>63</v>
      </c>
      <c r="F233" s="10" t="s">
        <v>199</v>
      </c>
      <c r="G233" s="15">
        <v>28.71</v>
      </c>
      <c r="H233" s="10" t="s">
        <v>223</v>
      </c>
      <c r="I233" s="15">
        <v>2526.5700000000002</v>
      </c>
      <c r="J233" s="15">
        <v>2526.5700000000002</v>
      </c>
    </row>
    <row r="234" spans="1:10" hidden="1" x14ac:dyDescent="0.35">
      <c r="A234" s="14">
        <v>45981</v>
      </c>
      <c r="B234" s="10" t="s">
        <v>34</v>
      </c>
      <c r="C234" s="10" t="s">
        <v>197</v>
      </c>
      <c r="D234" s="10" t="s">
        <v>198</v>
      </c>
      <c r="E234" s="10" t="s">
        <v>276</v>
      </c>
      <c r="F234" s="10" t="s">
        <v>199</v>
      </c>
      <c r="G234" s="15">
        <v>13.5</v>
      </c>
      <c r="H234" s="10" t="s">
        <v>223</v>
      </c>
      <c r="I234" s="15">
        <v>1188.05</v>
      </c>
      <c r="J234" s="15">
        <v>1188.05</v>
      </c>
    </row>
    <row r="235" spans="1:10" hidden="1" x14ac:dyDescent="0.35">
      <c r="A235" s="14">
        <v>45719</v>
      </c>
      <c r="B235" s="10" t="s">
        <v>34</v>
      </c>
      <c r="C235" s="10" t="s">
        <v>197</v>
      </c>
      <c r="D235" s="10" t="s">
        <v>198</v>
      </c>
      <c r="E235" s="10" t="s">
        <v>277</v>
      </c>
      <c r="F235" s="10" t="s">
        <v>199</v>
      </c>
      <c r="G235" s="15">
        <v>1018.38</v>
      </c>
      <c r="H235" s="10" t="s">
        <v>200</v>
      </c>
      <c r="I235" s="15">
        <v>88284.65</v>
      </c>
      <c r="J235" s="15">
        <v>88284.65</v>
      </c>
    </row>
    <row r="236" spans="1:10" hidden="1" x14ac:dyDescent="0.35">
      <c r="A236" s="14">
        <v>45812</v>
      </c>
      <c r="B236" s="10" t="s">
        <v>34</v>
      </c>
      <c r="C236" s="10" t="s">
        <v>197</v>
      </c>
      <c r="D236" s="10" t="s">
        <v>198</v>
      </c>
      <c r="E236" s="10" t="s">
        <v>127</v>
      </c>
      <c r="F236" s="10" t="s">
        <v>199</v>
      </c>
      <c r="G236" s="15">
        <v>129.31</v>
      </c>
      <c r="H236" s="10" t="s">
        <v>213</v>
      </c>
      <c r="I236" s="15">
        <v>11054.81</v>
      </c>
      <c r="J236" s="15">
        <v>11054.81</v>
      </c>
    </row>
    <row r="237" spans="1:10" hidden="1" x14ac:dyDescent="0.35">
      <c r="A237" s="14">
        <v>45812</v>
      </c>
      <c r="B237" s="10" t="s">
        <v>34</v>
      </c>
      <c r="C237" s="10" t="s">
        <v>197</v>
      </c>
      <c r="D237" s="10" t="s">
        <v>198</v>
      </c>
      <c r="E237" s="10" t="s">
        <v>128</v>
      </c>
      <c r="F237" s="10" t="s">
        <v>199</v>
      </c>
      <c r="G237" s="15">
        <v>35</v>
      </c>
      <c r="H237" s="10" t="s">
        <v>213</v>
      </c>
      <c r="I237" s="15">
        <v>2992.17</v>
      </c>
      <c r="J237" s="15">
        <v>2992.17</v>
      </c>
    </row>
    <row r="238" spans="1:10" hidden="1" x14ac:dyDescent="0.35">
      <c r="A238" s="14">
        <v>45812</v>
      </c>
      <c r="B238" s="10" t="s">
        <v>34</v>
      </c>
      <c r="C238" s="10" t="s">
        <v>197</v>
      </c>
      <c r="D238" s="10" t="s">
        <v>198</v>
      </c>
      <c r="E238" s="10" t="s">
        <v>278</v>
      </c>
      <c r="F238" s="10" t="s">
        <v>199</v>
      </c>
      <c r="G238" s="15">
        <v>11.22</v>
      </c>
      <c r="H238" s="10" t="s">
        <v>213</v>
      </c>
      <c r="I238" s="15">
        <v>959.21</v>
      </c>
      <c r="J238" s="15">
        <v>959.21</v>
      </c>
    </row>
    <row r="239" spans="1:10" hidden="1" x14ac:dyDescent="0.35">
      <c r="A239" s="14">
        <v>45812</v>
      </c>
      <c r="B239" s="10" t="s">
        <v>34</v>
      </c>
      <c r="C239" s="10" t="s">
        <v>197</v>
      </c>
      <c r="D239" s="10" t="s">
        <v>198</v>
      </c>
      <c r="E239" s="10" t="s">
        <v>130</v>
      </c>
      <c r="F239" s="10" t="s">
        <v>199</v>
      </c>
      <c r="G239" s="15">
        <v>7.02</v>
      </c>
      <c r="H239" s="10" t="s">
        <v>213</v>
      </c>
      <c r="I239" s="15">
        <v>600.15</v>
      </c>
      <c r="J239" s="15">
        <v>600.15</v>
      </c>
    </row>
    <row r="240" spans="1:10" hidden="1" x14ac:dyDescent="0.35">
      <c r="A240" s="14">
        <v>45812</v>
      </c>
      <c r="B240" s="10" t="s">
        <v>34</v>
      </c>
      <c r="C240" s="10" t="s">
        <v>197</v>
      </c>
      <c r="D240" s="10" t="s">
        <v>198</v>
      </c>
      <c r="E240" s="10" t="s">
        <v>279</v>
      </c>
      <c r="F240" s="10" t="s">
        <v>199</v>
      </c>
      <c r="G240" s="15">
        <v>112.14</v>
      </c>
      <c r="H240" s="10" t="s">
        <v>213</v>
      </c>
      <c r="I240" s="15">
        <v>9586.94</v>
      </c>
      <c r="J240" s="15">
        <v>9586.94</v>
      </c>
    </row>
    <row r="241" spans="1:10" hidden="1" x14ac:dyDescent="0.35">
      <c r="A241" s="14">
        <v>45812</v>
      </c>
      <c r="B241" s="10" t="s">
        <v>34</v>
      </c>
      <c r="C241" s="10" t="s">
        <v>197</v>
      </c>
      <c r="D241" s="10" t="s">
        <v>198</v>
      </c>
      <c r="E241" s="10" t="s">
        <v>280</v>
      </c>
      <c r="F241" s="10" t="s">
        <v>199</v>
      </c>
      <c r="G241" s="15">
        <v>9.2200000000000006</v>
      </c>
      <c r="H241" s="10" t="s">
        <v>213</v>
      </c>
      <c r="I241" s="15">
        <v>788.22</v>
      </c>
      <c r="J241" s="15">
        <v>788.22</v>
      </c>
    </row>
    <row r="242" spans="1:10" hidden="1" x14ac:dyDescent="0.35">
      <c r="A242" s="14">
        <v>45812</v>
      </c>
      <c r="B242" s="10" t="s">
        <v>34</v>
      </c>
      <c r="C242" s="10" t="s">
        <v>197</v>
      </c>
      <c r="D242" s="10" t="s">
        <v>198</v>
      </c>
      <c r="E242" s="10" t="s">
        <v>281</v>
      </c>
      <c r="F242" s="10" t="s">
        <v>199</v>
      </c>
      <c r="G242" s="15">
        <v>400</v>
      </c>
      <c r="H242" s="10" t="s">
        <v>213</v>
      </c>
      <c r="I242" s="15">
        <v>34196.31</v>
      </c>
      <c r="J242" s="15">
        <v>34196.31</v>
      </c>
    </row>
    <row r="243" spans="1:10" hidden="1" x14ac:dyDescent="0.35">
      <c r="A243" s="14">
        <v>45771</v>
      </c>
      <c r="B243" s="10" t="s">
        <v>34</v>
      </c>
      <c r="C243" s="10" t="s">
        <v>197</v>
      </c>
      <c r="D243" s="10" t="s">
        <v>198</v>
      </c>
      <c r="E243" s="10" t="s">
        <v>117</v>
      </c>
      <c r="F243" s="10" t="s">
        <v>199</v>
      </c>
      <c r="G243" s="15">
        <v>1820.14</v>
      </c>
      <c r="H243" s="10" t="s">
        <v>207</v>
      </c>
      <c r="I243" s="15">
        <v>158209.88</v>
      </c>
      <c r="J243" s="15">
        <v>158209.88</v>
      </c>
    </row>
    <row r="244" spans="1:10" hidden="1" x14ac:dyDescent="0.35">
      <c r="A244" s="14">
        <v>45787</v>
      </c>
      <c r="B244" s="10" t="s">
        <v>34</v>
      </c>
      <c r="C244" s="10" t="s">
        <v>197</v>
      </c>
      <c r="D244" s="10" t="s">
        <v>198</v>
      </c>
      <c r="E244" s="10" t="s">
        <v>119</v>
      </c>
      <c r="F244" s="10" t="s">
        <v>199</v>
      </c>
      <c r="G244" s="15">
        <v>1800</v>
      </c>
      <c r="H244" s="10" t="s">
        <v>201</v>
      </c>
      <c r="I244" s="15">
        <v>154770.66</v>
      </c>
      <c r="J244" s="15">
        <v>154770.66</v>
      </c>
    </row>
    <row r="245" spans="1:10" hidden="1" x14ac:dyDescent="0.35">
      <c r="A245" s="14">
        <v>45787</v>
      </c>
      <c r="B245" s="10" t="s">
        <v>34</v>
      </c>
      <c r="C245" s="10" t="s">
        <v>197</v>
      </c>
      <c r="D245" s="10" t="s">
        <v>198</v>
      </c>
      <c r="E245" s="10" t="s">
        <v>120</v>
      </c>
      <c r="F245" s="10" t="s">
        <v>199</v>
      </c>
      <c r="G245" s="15">
        <v>450</v>
      </c>
      <c r="H245" s="10" t="s">
        <v>201</v>
      </c>
      <c r="I245" s="15">
        <v>38692.67</v>
      </c>
      <c r="J245" s="15">
        <v>38692.67</v>
      </c>
    </row>
    <row r="246" spans="1:10" hidden="1" x14ac:dyDescent="0.35">
      <c r="A246" s="14">
        <v>45787</v>
      </c>
      <c r="B246" s="10" t="s">
        <v>34</v>
      </c>
      <c r="C246" s="10" t="s">
        <v>197</v>
      </c>
      <c r="D246" s="10" t="s">
        <v>198</v>
      </c>
      <c r="E246" s="10" t="s">
        <v>121</v>
      </c>
      <c r="F246" s="10" t="s">
        <v>199</v>
      </c>
      <c r="G246" s="15">
        <v>396.79</v>
      </c>
      <c r="H246" s="10" t="s">
        <v>201</v>
      </c>
      <c r="I246" s="15">
        <v>34117.47</v>
      </c>
      <c r="J246" s="15">
        <v>34117.47</v>
      </c>
    </row>
    <row r="247" spans="1:10" hidden="1" x14ac:dyDescent="0.35">
      <c r="A247" s="14">
        <v>45999</v>
      </c>
      <c r="B247" s="10" t="s">
        <v>34</v>
      </c>
      <c r="C247" s="10" t="s">
        <v>197</v>
      </c>
      <c r="D247" s="10" t="s">
        <v>198</v>
      </c>
      <c r="E247" s="10" t="s">
        <v>282</v>
      </c>
      <c r="F247" s="10" t="s">
        <v>199</v>
      </c>
      <c r="G247" s="15">
        <v>8.76</v>
      </c>
      <c r="H247" s="10" t="s">
        <v>225</v>
      </c>
      <c r="I247" s="15">
        <v>777.01</v>
      </c>
      <c r="J247" s="15">
        <v>777.01</v>
      </c>
    </row>
    <row r="248" spans="1:10" hidden="1" x14ac:dyDescent="0.35">
      <c r="A248" s="14">
        <v>45999</v>
      </c>
      <c r="B248" s="10" t="s">
        <v>34</v>
      </c>
      <c r="C248" s="10" t="s">
        <v>197</v>
      </c>
      <c r="D248" s="10" t="s">
        <v>198</v>
      </c>
      <c r="E248" s="10" t="s">
        <v>283</v>
      </c>
      <c r="F248" s="10" t="s">
        <v>199</v>
      </c>
      <c r="G248" s="15">
        <v>3.97</v>
      </c>
      <c r="H248" s="10" t="s">
        <v>225</v>
      </c>
      <c r="I248" s="15">
        <v>352.14</v>
      </c>
      <c r="J248" s="15">
        <v>352.14</v>
      </c>
    </row>
    <row r="249" spans="1:10" hidden="1" x14ac:dyDescent="0.35">
      <c r="A249" s="14">
        <v>45793</v>
      </c>
      <c r="B249" s="10" t="s">
        <v>34</v>
      </c>
      <c r="C249" s="10" t="s">
        <v>197</v>
      </c>
      <c r="D249" s="10" t="s">
        <v>198</v>
      </c>
      <c r="E249" s="10" t="s">
        <v>122</v>
      </c>
      <c r="F249" s="10" t="s">
        <v>199</v>
      </c>
      <c r="G249" s="15">
        <v>400</v>
      </c>
      <c r="H249" s="10" t="s">
        <v>201</v>
      </c>
      <c r="I249" s="15">
        <v>34393.480000000003</v>
      </c>
      <c r="J249" s="15">
        <v>34393.480000000003</v>
      </c>
    </row>
    <row r="250" spans="1:10" hidden="1" x14ac:dyDescent="0.35">
      <c r="A250" s="14">
        <v>45793</v>
      </c>
      <c r="B250" s="10" t="s">
        <v>34</v>
      </c>
      <c r="C250" s="10" t="s">
        <v>197</v>
      </c>
      <c r="D250" s="10" t="s">
        <v>198</v>
      </c>
      <c r="E250" s="10" t="s">
        <v>284</v>
      </c>
      <c r="F250" s="10" t="s">
        <v>199</v>
      </c>
      <c r="G250" s="15">
        <v>86</v>
      </c>
      <c r="H250" s="10" t="s">
        <v>201</v>
      </c>
      <c r="I250" s="15">
        <v>7394.6</v>
      </c>
      <c r="J250" s="15">
        <v>7394.6</v>
      </c>
    </row>
    <row r="251" spans="1:10" hidden="1" x14ac:dyDescent="0.35">
      <c r="A251" s="14">
        <v>45827</v>
      </c>
      <c r="B251" s="10" t="s">
        <v>34</v>
      </c>
      <c r="C251" s="10" t="s">
        <v>197</v>
      </c>
      <c r="D251" s="10" t="s">
        <v>198</v>
      </c>
      <c r="E251" s="10" t="s">
        <v>134</v>
      </c>
      <c r="F251" s="10" t="s">
        <v>199</v>
      </c>
      <c r="G251" s="15">
        <v>110</v>
      </c>
      <c r="H251" s="10" t="s">
        <v>213</v>
      </c>
      <c r="I251" s="15">
        <v>9403.99</v>
      </c>
      <c r="J251" s="15">
        <v>9403.99</v>
      </c>
    </row>
    <row r="252" spans="1:10" hidden="1" x14ac:dyDescent="0.35">
      <c r="A252" s="14">
        <v>45827</v>
      </c>
      <c r="B252" s="10" t="s">
        <v>34</v>
      </c>
      <c r="C252" s="10" t="s">
        <v>197</v>
      </c>
      <c r="D252" s="10" t="s">
        <v>198</v>
      </c>
      <c r="E252" s="10" t="s">
        <v>35</v>
      </c>
      <c r="F252" s="10" t="s">
        <v>199</v>
      </c>
      <c r="G252" s="15">
        <v>287.81</v>
      </c>
      <c r="H252" s="10" t="s">
        <v>213</v>
      </c>
      <c r="I252" s="15">
        <v>24605.1</v>
      </c>
      <c r="J252" s="15">
        <v>24605.1</v>
      </c>
    </row>
    <row r="253" spans="1:10" hidden="1" x14ac:dyDescent="0.35">
      <c r="A253" s="14">
        <v>45936</v>
      </c>
      <c r="B253" s="10" t="s">
        <v>34</v>
      </c>
      <c r="C253" s="10" t="s">
        <v>197</v>
      </c>
      <c r="D253" s="10" t="s">
        <v>198</v>
      </c>
      <c r="E253" s="10" t="s">
        <v>45</v>
      </c>
      <c r="F253" s="10" t="s">
        <v>199</v>
      </c>
      <c r="G253" s="15">
        <v>1329.96</v>
      </c>
      <c r="H253" s="10" t="s">
        <v>231</v>
      </c>
      <c r="I253" s="15">
        <v>117290.2</v>
      </c>
      <c r="J253" s="15">
        <v>117290.2</v>
      </c>
    </row>
    <row r="254" spans="1:10" hidden="1" x14ac:dyDescent="0.35">
      <c r="A254" s="14">
        <v>45996</v>
      </c>
      <c r="B254" s="10" t="s">
        <v>34</v>
      </c>
      <c r="C254" s="10" t="s">
        <v>197</v>
      </c>
      <c r="D254" s="10" t="s">
        <v>198</v>
      </c>
      <c r="E254" s="10" t="s">
        <v>67</v>
      </c>
      <c r="F254" s="10" t="s">
        <v>199</v>
      </c>
      <c r="G254" s="15">
        <v>157.44</v>
      </c>
      <c r="H254" s="10" t="s">
        <v>225</v>
      </c>
      <c r="I254" s="15">
        <v>13964.95</v>
      </c>
      <c r="J254" s="15">
        <v>13964.95</v>
      </c>
    </row>
    <row r="255" spans="1:10" hidden="1" x14ac:dyDescent="0.35">
      <c r="A255" s="14">
        <v>45996</v>
      </c>
      <c r="B255" s="10" t="s">
        <v>34</v>
      </c>
      <c r="C255" s="10" t="s">
        <v>197</v>
      </c>
      <c r="D255" s="10" t="s">
        <v>198</v>
      </c>
      <c r="E255" s="10" t="s">
        <v>285</v>
      </c>
      <c r="F255" s="10" t="s">
        <v>199</v>
      </c>
      <c r="G255" s="15">
        <v>3.97</v>
      </c>
      <c r="H255" s="10" t="s">
        <v>225</v>
      </c>
      <c r="I255" s="15">
        <v>352.14</v>
      </c>
      <c r="J255" s="15">
        <v>352.14</v>
      </c>
    </row>
    <row r="256" spans="1:10" hidden="1" x14ac:dyDescent="0.35">
      <c r="A256" s="14">
        <v>45948</v>
      </c>
      <c r="B256" s="10" t="s">
        <v>34</v>
      </c>
      <c r="C256" s="10" t="s">
        <v>197</v>
      </c>
      <c r="D256" s="10" t="s">
        <v>198</v>
      </c>
      <c r="E256" s="10" t="s">
        <v>48</v>
      </c>
      <c r="F256" s="10" t="s">
        <v>199</v>
      </c>
      <c r="G256" s="15">
        <v>46.92</v>
      </c>
      <c r="H256" s="10" t="s">
        <v>231</v>
      </c>
      <c r="I256" s="15">
        <v>4137.91</v>
      </c>
      <c r="J256" s="15">
        <v>4137.91</v>
      </c>
    </row>
    <row r="257" spans="1:10" hidden="1" x14ac:dyDescent="0.35">
      <c r="A257" s="14">
        <v>45818</v>
      </c>
      <c r="B257" s="10" t="s">
        <v>34</v>
      </c>
      <c r="C257" s="10" t="s">
        <v>197</v>
      </c>
      <c r="D257" s="10" t="s">
        <v>198</v>
      </c>
      <c r="E257" s="10" t="s">
        <v>133</v>
      </c>
      <c r="F257" s="10" t="s">
        <v>199</v>
      </c>
      <c r="G257" s="15">
        <v>1800</v>
      </c>
      <c r="H257" s="10" t="s">
        <v>213</v>
      </c>
      <c r="I257" s="15">
        <v>153883.4</v>
      </c>
      <c r="J257" s="15">
        <v>153883.4</v>
      </c>
    </row>
    <row r="258" spans="1:10" hidden="1" x14ac:dyDescent="0.35">
      <c r="A258" s="14">
        <v>45770</v>
      </c>
      <c r="B258" s="10" t="s">
        <v>34</v>
      </c>
      <c r="C258" s="10" t="s">
        <v>197</v>
      </c>
      <c r="D258" s="10" t="s">
        <v>198</v>
      </c>
      <c r="E258" s="10" t="s">
        <v>118</v>
      </c>
      <c r="F258" s="10" t="s">
        <v>199</v>
      </c>
      <c r="G258" s="15">
        <v>189.2</v>
      </c>
      <c r="H258" s="10" t="s">
        <v>207</v>
      </c>
      <c r="I258" s="15">
        <v>16445.61</v>
      </c>
      <c r="J258" s="15">
        <v>16445.61</v>
      </c>
    </row>
    <row r="259" spans="1:10" hidden="1" x14ac:dyDescent="0.35">
      <c r="A259" s="14">
        <v>45770</v>
      </c>
      <c r="B259" s="10" t="s">
        <v>34</v>
      </c>
      <c r="C259" s="10" t="s">
        <v>197</v>
      </c>
      <c r="D259" s="10" t="s">
        <v>198</v>
      </c>
      <c r="E259" s="10" t="s">
        <v>126</v>
      </c>
      <c r="F259" s="10" t="s">
        <v>199</v>
      </c>
      <c r="G259" s="15">
        <v>189.12</v>
      </c>
      <c r="H259" s="10" t="s">
        <v>207</v>
      </c>
      <c r="I259" s="15">
        <v>16438.66</v>
      </c>
      <c r="J259" s="15">
        <v>16438.66</v>
      </c>
    </row>
    <row r="260" spans="1:10" hidden="1" x14ac:dyDescent="0.35">
      <c r="A260" s="14">
        <v>45770</v>
      </c>
      <c r="B260" s="10" t="s">
        <v>34</v>
      </c>
      <c r="C260" s="10" t="s">
        <v>197</v>
      </c>
      <c r="D260" s="10" t="s">
        <v>198</v>
      </c>
      <c r="E260" s="10" t="s">
        <v>286</v>
      </c>
      <c r="F260" s="10" t="s">
        <v>199</v>
      </c>
      <c r="G260" s="15">
        <v>1.0900000000000001</v>
      </c>
      <c r="H260" s="10" t="s">
        <v>207</v>
      </c>
      <c r="I260" s="15">
        <v>94.74</v>
      </c>
      <c r="J260" s="15">
        <v>94.74</v>
      </c>
    </row>
    <row r="261" spans="1:10" hidden="1" x14ac:dyDescent="0.35">
      <c r="A261" s="14">
        <v>45797</v>
      </c>
      <c r="B261" s="10" t="s">
        <v>34</v>
      </c>
      <c r="C261" s="10" t="s">
        <v>197</v>
      </c>
      <c r="D261" s="10" t="s">
        <v>198</v>
      </c>
      <c r="E261" s="10" t="s">
        <v>123</v>
      </c>
      <c r="F261" s="10" t="s">
        <v>199</v>
      </c>
      <c r="G261" s="15">
        <v>87.75</v>
      </c>
      <c r="H261" s="10" t="s">
        <v>201</v>
      </c>
      <c r="I261" s="15">
        <v>7545.07</v>
      </c>
      <c r="J261" s="15">
        <v>7545.07</v>
      </c>
    </row>
    <row r="262" spans="1:10" hidden="1" x14ac:dyDescent="0.35">
      <c r="A262" s="14">
        <v>45797</v>
      </c>
      <c r="B262" s="10" t="s">
        <v>34</v>
      </c>
      <c r="C262" s="10" t="s">
        <v>197</v>
      </c>
      <c r="D262" s="10" t="s">
        <v>198</v>
      </c>
      <c r="E262" s="10" t="s">
        <v>264</v>
      </c>
      <c r="F262" s="10" t="s">
        <v>199</v>
      </c>
      <c r="G262" s="15">
        <v>5.25</v>
      </c>
      <c r="H262" s="10" t="s">
        <v>201</v>
      </c>
      <c r="I262" s="15">
        <v>451.41</v>
      </c>
      <c r="J262" s="15">
        <v>451.41</v>
      </c>
    </row>
    <row r="263" spans="1:10" hidden="1" x14ac:dyDescent="0.35">
      <c r="A263" s="14">
        <v>45950</v>
      </c>
      <c r="B263" s="10" t="s">
        <v>34</v>
      </c>
      <c r="C263" s="10" t="s">
        <v>197</v>
      </c>
      <c r="D263" s="10" t="s">
        <v>198</v>
      </c>
      <c r="E263" s="10" t="s">
        <v>50</v>
      </c>
      <c r="F263" s="10" t="s">
        <v>199</v>
      </c>
      <c r="G263" s="15">
        <v>235</v>
      </c>
      <c r="H263" s="10" t="s">
        <v>231</v>
      </c>
      <c r="I263" s="15">
        <v>20724.830000000002</v>
      </c>
      <c r="J263" s="15">
        <v>20724.830000000002</v>
      </c>
    </row>
    <row r="264" spans="1:10" hidden="1" x14ac:dyDescent="0.35">
      <c r="A264" s="14">
        <v>45950</v>
      </c>
      <c r="B264" s="10" t="s">
        <v>34</v>
      </c>
      <c r="C264" s="10" t="s">
        <v>197</v>
      </c>
      <c r="D264" s="10" t="s">
        <v>198</v>
      </c>
      <c r="E264" s="10" t="s">
        <v>51</v>
      </c>
      <c r="F264" s="10" t="s">
        <v>199</v>
      </c>
      <c r="G264" s="15">
        <v>34.58</v>
      </c>
      <c r="H264" s="10" t="s">
        <v>231</v>
      </c>
      <c r="I264" s="15">
        <v>3049.64</v>
      </c>
      <c r="J264" s="15">
        <v>3049.64</v>
      </c>
    </row>
    <row r="265" spans="1:10" hidden="1" x14ac:dyDescent="0.35">
      <c r="A265" s="14">
        <v>45950</v>
      </c>
      <c r="B265" s="10" t="s">
        <v>34</v>
      </c>
      <c r="C265" s="10" t="s">
        <v>197</v>
      </c>
      <c r="D265" s="10" t="s">
        <v>198</v>
      </c>
      <c r="E265" s="10" t="s">
        <v>287</v>
      </c>
      <c r="F265" s="10" t="s">
        <v>199</v>
      </c>
      <c r="G265" s="15">
        <v>19.760000000000002</v>
      </c>
      <c r="H265" s="10" t="s">
        <v>231</v>
      </c>
      <c r="I265" s="15">
        <v>1742.65</v>
      </c>
      <c r="J265" s="15">
        <v>1742.65</v>
      </c>
    </row>
    <row r="266" spans="1:10" hidden="1" x14ac:dyDescent="0.35">
      <c r="A266" s="14">
        <v>45863</v>
      </c>
      <c r="B266" s="10" t="s">
        <v>34</v>
      </c>
      <c r="C266" s="10" t="s">
        <v>197</v>
      </c>
      <c r="D266" s="10" t="s">
        <v>198</v>
      </c>
      <c r="E266" s="10" t="s">
        <v>149</v>
      </c>
      <c r="F266" s="10" t="s">
        <v>199</v>
      </c>
      <c r="G266" s="15">
        <v>465</v>
      </c>
      <c r="H266" s="10" t="s">
        <v>204</v>
      </c>
      <c r="I266" s="15">
        <v>39990.31</v>
      </c>
      <c r="J266" s="15">
        <v>39990.31</v>
      </c>
    </row>
    <row r="267" spans="1:10" hidden="1" x14ac:dyDescent="0.35">
      <c r="A267" s="14">
        <v>45863</v>
      </c>
      <c r="B267" s="10" t="s">
        <v>34</v>
      </c>
      <c r="C267" s="10" t="s">
        <v>197</v>
      </c>
      <c r="D267" s="10" t="s">
        <v>198</v>
      </c>
      <c r="E267" s="10" t="s">
        <v>37</v>
      </c>
      <c r="F267" s="10" t="s">
        <v>199</v>
      </c>
      <c r="G267" s="15">
        <v>151.58000000000001</v>
      </c>
      <c r="H267" s="10" t="s">
        <v>204</v>
      </c>
      <c r="I267" s="15">
        <v>13035.98</v>
      </c>
      <c r="J267" s="15">
        <v>13035.98</v>
      </c>
    </row>
    <row r="268" spans="1:10" x14ac:dyDescent="0.35">
      <c r="A268" s="14">
        <v>45873</v>
      </c>
      <c r="B268" s="10" t="s">
        <v>68</v>
      </c>
      <c r="C268" s="10" t="s">
        <v>202</v>
      </c>
      <c r="D268" s="10" t="s">
        <v>198</v>
      </c>
      <c r="E268" s="10" t="s">
        <v>187</v>
      </c>
      <c r="F268" s="10" t="s">
        <v>199</v>
      </c>
      <c r="G268" s="15">
        <v>-22.66</v>
      </c>
      <c r="H268" s="10" t="s">
        <v>204</v>
      </c>
      <c r="I268" s="15">
        <v>-1948.78</v>
      </c>
      <c r="J268" s="15">
        <v>-1948.78</v>
      </c>
    </row>
    <row r="269" spans="1:10" x14ac:dyDescent="0.35">
      <c r="A269" s="14">
        <v>45873</v>
      </c>
      <c r="B269" s="10" t="s">
        <v>68</v>
      </c>
      <c r="C269" s="10" t="s">
        <v>202</v>
      </c>
      <c r="D269" s="10" t="s">
        <v>198</v>
      </c>
      <c r="E269" s="10" t="s">
        <v>187</v>
      </c>
      <c r="F269" s="10" t="s">
        <v>199</v>
      </c>
      <c r="G269" s="15">
        <v>-1.53</v>
      </c>
      <c r="H269" s="10" t="s">
        <v>204</v>
      </c>
      <c r="I269" s="15">
        <v>-131.58000000000001</v>
      </c>
      <c r="J269" s="15">
        <v>-131.58000000000001</v>
      </c>
    </row>
    <row r="270" spans="1:10" x14ac:dyDescent="0.35">
      <c r="A270" s="14">
        <v>45873</v>
      </c>
      <c r="B270" s="10" t="s">
        <v>68</v>
      </c>
      <c r="C270" s="10" t="s">
        <v>202</v>
      </c>
      <c r="D270" s="10" t="s">
        <v>198</v>
      </c>
      <c r="E270" s="10" t="s">
        <v>187</v>
      </c>
      <c r="F270" s="10" t="s">
        <v>199</v>
      </c>
      <c r="G270" s="15">
        <v>-110</v>
      </c>
      <c r="H270" s="10" t="s">
        <v>204</v>
      </c>
      <c r="I270" s="15">
        <v>-9460.07</v>
      </c>
      <c r="J270" s="15">
        <v>-9460.07</v>
      </c>
    </row>
    <row r="271" spans="1:10" hidden="1" x14ac:dyDescent="0.35">
      <c r="A271" s="14">
        <v>45937</v>
      </c>
      <c r="B271" s="10" t="s">
        <v>34</v>
      </c>
      <c r="C271" s="10" t="s">
        <v>197</v>
      </c>
      <c r="D271" s="10" t="s">
        <v>198</v>
      </c>
      <c r="E271" s="10" t="s">
        <v>46</v>
      </c>
      <c r="F271" s="10" t="s">
        <v>199</v>
      </c>
      <c r="G271" s="15">
        <v>559.99</v>
      </c>
      <c r="H271" s="10" t="s">
        <v>231</v>
      </c>
      <c r="I271" s="15">
        <v>49385.95</v>
      </c>
      <c r="J271" s="15">
        <v>49385.95</v>
      </c>
    </row>
    <row r="272" spans="1:10" x14ac:dyDescent="0.35">
      <c r="A272" s="14">
        <v>45947</v>
      </c>
      <c r="B272" s="10" t="s">
        <v>68</v>
      </c>
      <c r="C272" s="10" t="s">
        <v>202</v>
      </c>
      <c r="D272" s="10" t="s">
        <v>198</v>
      </c>
      <c r="E272" s="10" t="s">
        <v>186</v>
      </c>
      <c r="F272" s="10" t="s">
        <v>199</v>
      </c>
      <c r="G272" s="15">
        <v>-153.58000000000001</v>
      </c>
      <c r="H272" s="10" t="s">
        <v>231</v>
      </c>
      <c r="I272" s="15">
        <v>-13544.34</v>
      </c>
      <c r="J272" s="15">
        <v>-13544.34</v>
      </c>
    </row>
    <row r="273" spans="1:10" x14ac:dyDescent="0.35">
      <c r="A273" s="14">
        <v>45947</v>
      </c>
      <c r="B273" s="10" t="s">
        <v>68</v>
      </c>
      <c r="C273" s="10" t="s">
        <v>202</v>
      </c>
      <c r="D273" s="10" t="s">
        <v>198</v>
      </c>
      <c r="E273" s="10" t="s">
        <v>186</v>
      </c>
      <c r="F273" s="10" t="s">
        <v>199</v>
      </c>
      <c r="G273" s="15">
        <v>-2.5</v>
      </c>
      <c r="H273" s="10" t="s">
        <v>231</v>
      </c>
      <c r="I273" s="15">
        <v>-220.48</v>
      </c>
      <c r="J273" s="15">
        <v>-220.48</v>
      </c>
    </row>
    <row r="274" spans="1:10" hidden="1" x14ac:dyDescent="0.35">
      <c r="A274" s="14">
        <v>45716</v>
      </c>
      <c r="B274" s="10" t="s">
        <v>34</v>
      </c>
      <c r="C274" s="10" t="s">
        <v>197</v>
      </c>
      <c r="D274" s="10" t="s">
        <v>198</v>
      </c>
      <c r="E274" s="10" t="s">
        <v>263</v>
      </c>
      <c r="F274" s="10" t="s">
        <v>199</v>
      </c>
      <c r="G274" s="15">
        <v>450</v>
      </c>
      <c r="H274" s="10" t="s">
        <v>270</v>
      </c>
      <c r="I274" s="15">
        <v>38836.65</v>
      </c>
      <c r="J274" s="15">
        <v>38836.65</v>
      </c>
    </row>
    <row r="275" spans="1:10" hidden="1" x14ac:dyDescent="0.35">
      <c r="A275" s="14">
        <v>45716</v>
      </c>
      <c r="B275" s="10" t="s">
        <v>34</v>
      </c>
      <c r="C275" s="10" t="s">
        <v>197</v>
      </c>
      <c r="D275" s="10" t="s">
        <v>198</v>
      </c>
      <c r="E275" s="10" t="s">
        <v>263</v>
      </c>
      <c r="F275" s="10" t="s">
        <v>199</v>
      </c>
      <c r="G275" s="15">
        <v>465</v>
      </c>
      <c r="H275" s="10" t="s">
        <v>270</v>
      </c>
      <c r="I275" s="15">
        <v>40131.199999999997</v>
      </c>
      <c r="J275" s="15">
        <v>40131.199999999997</v>
      </c>
    </row>
    <row r="276" spans="1:10" hidden="1" x14ac:dyDescent="0.35">
      <c r="A276" s="14">
        <v>45716</v>
      </c>
      <c r="B276" s="10" t="s">
        <v>34</v>
      </c>
      <c r="C276" s="10" t="s">
        <v>197</v>
      </c>
      <c r="D276" s="10" t="s">
        <v>198</v>
      </c>
      <c r="E276" s="10" t="s">
        <v>263</v>
      </c>
      <c r="F276" s="10" t="s">
        <v>199</v>
      </c>
      <c r="G276" s="15">
        <v>465</v>
      </c>
      <c r="H276" s="10" t="s">
        <v>270</v>
      </c>
      <c r="I276" s="15">
        <v>40131.199999999997</v>
      </c>
      <c r="J276" s="15">
        <v>40131.199999999997</v>
      </c>
    </row>
    <row r="277" spans="1:10" hidden="1" x14ac:dyDescent="0.35">
      <c r="A277" s="14">
        <v>45716</v>
      </c>
      <c r="B277" s="10" t="s">
        <v>34</v>
      </c>
      <c r="C277" s="10" t="s">
        <v>197</v>
      </c>
      <c r="D277" s="10" t="s">
        <v>198</v>
      </c>
      <c r="E277" s="10" t="s">
        <v>263</v>
      </c>
      <c r="F277" s="10" t="s">
        <v>199</v>
      </c>
      <c r="G277" s="15">
        <v>450</v>
      </c>
      <c r="H277" s="10" t="s">
        <v>270</v>
      </c>
      <c r="I277" s="15">
        <v>38836.65</v>
      </c>
      <c r="J277" s="15">
        <v>38836.65</v>
      </c>
    </row>
    <row r="278" spans="1:10" hidden="1" x14ac:dyDescent="0.35">
      <c r="A278" s="14">
        <v>45729</v>
      </c>
      <c r="B278" s="10" t="s">
        <v>34</v>
      </c>
      <c r="C278" s="10" t="s">
        <v>197</v>
      </c>
      <c r="D278" s="10" t="s">
        <v>198</v>
      </c>
      <c r="E278" s="10" t="s">
        <v>288</v>
      </c>
      <c r="F278" s="10" t="s">
        <v>199</v>
      </c>
      <c r="G278" s="15">
        <v>35</v>
      </c>
      <c r="H278" s="10" t="s">
        <v>200</v>
      </c>
      <c r="I278" s="15">
        <v>3034.19</v>
      </c>
      <c r="J278" s="15">
        <v>3034.19</v>
      </c>
    </row>
    <row r="279" spans="1:10" hidden="1" x14ac:dyDescent="0.35">
      <c r="A279" s="14">
        <v>45737</v>
      </c>
      <c r="B279" s="10" t="s">
        <v>34</v>
      </c>
      <c r="C279" s="10" t="s">
        <v>197</v>
      </c>
      <c r="D279" s="10" t="s">
        <v>198</v>
      </c>
      <c r="E279" s="10" t="s">
        <v>89</v>
      </c>
      <c r="F279" s="10" t="s">
        <v>199</v>
      </c>
      <c r="G279" s="15">
        <v>13.25</v>
      </c>
      <c r="H279" s="10" t="s">
        <v>200</v>
      </c>
      <c r="I279" s="15">
        <v>1148.6600000000001</v>
      </c>
      <c r="J279" s="15">
        <v>1148.6600000000001</v>
      </c>
    </row>
    <row r="280" spans="1:10" hidden="1" x14ac:dyDescent="0.35">
      <c r="A280" s="14">
        <v>45737</v>
      </c>
      <c r="B280" s="10" t="s">
        <v>34</v>
      </c>
      <c r="C280" s="10" t="s">
        <v>197</v>
      </c>
      <c r="D280" s="10" t="s">
        <v>198</v>
      </c>
      <c r="E280" s="10" t="s">
        <v>90</v>
      </c>
      <c r="F280" s="10" t="s">
        <v>199</v>
      </c>
      <c r="G280" s="15">
        <v>38.5</v>
      </c>
      <c r="H280" s="10" t="s">
        <v>200</v>
      </c>
      <c r="I280" s="15">
        <v>3337.61</v>
      </c>
      <c r="J280" s="15">
        <v>3337.61</v>
      </c>
    </row>
    <row r="281" spans="1:10" hidden="1" x14ac:dyDescent="0.35">
      <c r="A281" s="14">
        <v>45810</v>
      </c>
      <c r="B281" s="10" t="s">
        <v>34</v>
      </c>
      <c r="C281" s="10" t="s">
        <v>197</v>
      </c>
      <c r="D281" s="10" t="s">
        <v>198</v>
      </c>
      <c r="E281" s="10" t="s">
        <v>125</v>
      </c>
      <c r="F281" s="10" t="s">
        <v>199</v>
      </c>
      <c r="G281" s="15">
        <v>368.88</v>
      </c>
      <c r="H281" s="10" t="s">
        <v>213</v>
      </c>
      <c r="I281" s="15">
        <v>31535.84</v>
      </c>
      <c r="J281" s="15">
        <v>31535.84</v>
      </c>
    </row>
    <row r="282" spans="1:10" hidden="1" x14ac:dyDescent="0.35">
      <c r="A282" s="14">
        <v>45810</v>
      </c>
      <c r="B282" s="10" t="s">
        <v>34</v>
      </c>
      <c r="C282" s="10" t="s">
        <v>197</v>
      </c>
      <c r="D282" s="10" t="s">
        <v>198</v>
      </c>
      <c r="E282" s="10" t="s">
        <v>126</v>
      </c>
      <c r="F282" s="10" t="s">
        <v>199</v>
      </c>
      <c r="G282" s="15">
        <v>189.12</v>
      </c>
      <c r="H282" s="10" t="s">
        <v>213</v>
      </c>
      <c r="I282" s="15">
        <v>16168.02</v>
      </c>
      <c r="J282" s="15">
        <v>16168.02</v>
      </c>
    </row>
    <row r="283" spans="1:10" hidden="1" x14ac:dyDescent="0.35">
      <c r="A283" s="14">
        <v>45810</v>
      </c>
      <c r="B283" s="10" t="s">
        <v>34</v>
      </c>
      <c r="C283" s="10" t="s">
        <v>197</v>
      </c>
      <c r="D283" s="10" t="s">
        <v>198</v>
      </c>
      <c r="E283" s="10" t="s">
        <v>286</v>
      </c>
      <c r="F283" s="10" t="s">
        <v>199</v>
      </c>
      <c r="G283" s="15">
        <v>1.0900000000000001</v>
      </c>
      <c r="H283" s="10" t="s">
        <v>213</v>
      </c>
      <c r="I283" s="15">
        <v>93.18</v>
      </c>
      <c r="J283" s="15">
        <v>93.18</v>
      </c>
    </row>
    <row r="284" spans="1:10" hidden="1" x14ac:dyDescent="0.35">
      <c r="A284" s="14">
        <v>45870</v>
      </c>
      <c r="B284" s="10" t="s">
        <v>34</v>
      </c>
      <c r="C284" s="10" t="s">
        <v>197</v>
      </c>
      <c r="D284" s="10" t="s">
        <v>198</v>
      </c>
      <c r="E284" s="10" t="s">
        <v>150</v>
      </c>
      <c r="F284" s="10" t="s">
        <v>199</v>
      </c>
      <c r="G284" s="15">
        <v>1800</v>
      </c>
      <c r="H284" s="10" t="s">
        <v>218</v>
      </c>
      <c r="I284" s="15">
        <v>154854.22</v>
      </c>
      <c r="J284" s="15">
        <v>154854.22</v>
      </c>
    </row>
    <row r="285" spans="1:10" hidden="1" x14ac:dyDescent="0.35">
      <c r="A285" s="14">
        <v>45917</v>
      </c>
      <c r="B285" s="10" t="s">
        <v>34</v>
      </c>
      <c r="C285" s="10" t="s">
        <v>197</v>
      </c>
      <c r="D285" s="10" t="s">
        <v>198</v>
      </c>
      <c r="E285" s="10" t="s">
        <v>41</v>
      </c>
      <c r="F285" s="10" t="s">
        <v>199</v>
      </c>
      <c r="G285" s="15">
        <v>1326.2</v>
      </c>
      <c r="H285" s="10" t="s">
        <v>222</v>
      </c>
      <c r="I285" s="15">
        <v>116061.5</v>
      </c>
      <c r="J285" s="15">
        <v>116061.5</v>
      </c>
    </row>
    <row r="286" spans="1:10" hidden="1" x14ac:dyDescent="0.35">
      <c r="A286" s="14">
        <v>45964</v>
      </c>
      <c r="B286" s="10" t="s">
        <v>34</v>
      </c>
      <c r="C286" s="10" t="s">
        <v>197</v>
      </c>
      <c r="D286" s="10" t="s">
        <v>198</v>
      </c>
      <c r="E286" s="10" t="s">
        <v>57</v>
      </c>
      <c r="F286" s="10" t="s">
        <v>199</v>
      </c>
      <c r="G286" s="15">
        <v>250</v>
      </c>
      <c r="H286" s="10" t="s">
        <v>223</v>
      </c>
      <c r="I286" s="15">
        <v>22000.85</v>
      </c>
      <c r="J286" s="15">
        <v>22000.85</v>
      </c>
    </row>
    <row r="287" spans="1:10" hidden="1" x14ac:dyDescent="0.35">
      <c r="A287" s="14">
        <v>45964</v>
      </c>
      <c r="B287" s="10" t="s">
        <v>34</v>
      </c>
      <c r="C287" s="10" t="s">
        <v>197</v>
      </c>
      <c r="D287" s="10" t="s">
        <v>198</v>
      </c>
      <c r="E287" s="10" t="s">
        <v>289</v>
      </c>
      <c r="F287" s="10" t="s">
        <v>199</v>
      </c>
      <c r="G287" s="15">
        <v>138.38</v>
      </c>
      <c r="H287" s="10" t="s">
        <v>223</v>
      </c>
      <c r="I287" s="15">
        <v>12177.91</v>
      </c>
      <c r="J287" s="15">
        <v>12177.91</v>
      </c>
    </row>
    <row r="288" spans="1:10" hidden="1" x14ac:dyDescent="0.35">
      <c r="A288" s="14">
        <v>45964</v>
      </c>
      <c r="B288" s="10" t="s">
        <v>34</v>
      </c>
      <c r="C288" s="10" t="s">
        <v>197</v>
      </c>
      <c r="D288" s="10" t="s">
        <v>198</v>
      </c>
      <c r="E288" s="10" t="s">
        <v>290</v>
      </c>
      <c r="F288" s="10" t="s">
        <v>199</v>
      </c>
      <c r="G288" s="15">
        <v>11.5</v>
      </c>
      <c r="H288" s="10" t="s">
        <v>223</v>
      </c>
      <c r="I288" s="15">
        <v>1012.04</v>
      </c>
      <c r="J288" s="15">
        <v>1012.04</v>
      </c>
    </row>
    <row r="289" spans="1:10" hidden="1" x14ac:dyDescent="0.35">
      <c r="A289" s="14">
        <v>45707</v>
      </c>
      <c r="B289" s="10" t="s">
        <v>34</v>
      </c>
      <c r="C289" s="10" t="s">
        <v>197</v>
      </c>
      <c r="D289" s="10" t="s">
        <v>198</v>
      </c>
      <c r="E289" s="10" t="s">
        <v>180</v>
      </c>
      <c r="F289" s="10" t="s">
        <v>199</v>
      </c>
      <c r="G289" s="15">
        <v>1800</v>
      </c>
      <c r="H289" s="10" t="s">
        <v>270</v>
      </c>
      <c r="I289" s="15">
        <v>155346.59</v>
      </c>
      <c r="J289" s="15">
        <v>155346.59</v>
      </c>
    </row>
    <row r="290" spans="1:10" hidden="1" x14ac:dyDescent="0.35">
      <c r="A290" s="14">
        <v>45713</v>
      </c>
      <c r="B290" s="10" t="s">
        <v>34</v>
      </c>
      <c r="C290" s="10" t="s">
        <v>197</v>
      </c>
      <c r="D290" s="10" t="s">
        <v>198</v>
      </c>
      <c r="E290" s="10" t="s">
        <v>263</v>
      </c>
      <c r="F290" s="10" t="s">
        <v>199</v>
      </c>
      <c r="G290" s="15">
        <v>465</v>
      </c>
      <c r="H290" s="10" t="s">
        <v>270</v>
      </c>
      <c r="I290" s="15">
        <v>40131.199999999997</v>
      </c>
      <c r="J290" s="15">
        <v>40131.199999999997</v>
      </c>
    </row>
    <row r="291" spans="1:10" hidden="1" x14ac:dyDescent="0.35">
      <c r="A291" s="14">
        <v>45805</v>
      </c>
      <c r="B291" s="10" t="s">
        <v>34</v>
      </c>
      <c r="C291" s="10" t="s">
        <v>197</v>
      </c>
      <c r="D291" s="10" t="s">
        <v>198</v>
      </c>
      <c r="E291" s="10" t="s">
        <v>124</v>
      </c>
      <c r="F291" s="10" t="s">
        <v>199</v>
      </c>
      <c r="G291" s="15">
        <v>1501.8</v>
      </c>
      <c r="H291" s="10" t="s">
        <v>201</v>
      </c>
      <c r="I291" s="15">
        <v>129130.32</v>
      </c>
      <c r="J291" s="15">
        <v>129130.32</v>
      </c>
    </row>
    <row r="292" spans="1:10" hidden="1" x14ac:dyDescent="0.35">
      <c r="A292" s="14">
        <v>45815</v>
      </c>
      <c r="B292" s="10" t="s">
        <v>34</v>
      </c>
      <c r="C292" s="10" t="s">
        <v>197</v>
      </c>
      <c r="D292" s="10" t="s">
        <v>198</v>
      </c>
      <c r="E292" s="10" t="s">
        <v>129</v>
      </c>
      <c r="F292" s="10" t="s">
        <v>199</v>
      </c>
      <c r="G292" s="15">
        <v>1240.4000000000001</v>
      </c>
      <c r="H292" s="10" t="s">
        <v>213</v>
      </c>
      <c r="I292" s="15">
        <v>106042.76</v>
      </c>
      <c r="J292" s="15">
        <v>106042.76</v>
      </c>
    </row>
    <row r="293" spans="1:10" hidden="1" x14ac:dyDescent="0.35">
      <c r="A293" s="14">
        <v>45821</v>
      </c>
      <c r="B293" s="10" t="s">
        <v>34</v>
      </c>
      <c r="C293" s="10" t="s">
        <v>197</v>
      </c>
      <c r="D293" s="10" t="s">
        <v>198</v>
      </c>
      <c r="E293" s="10" t="s">
        <v>132</v>
      </c>
      <c r="F293" s="10" t="s">
        <v>199</v>
      </c>
      <c r="G293" s="15">
        <v>465</v>
      </c>
      <c r="H293" s="10" t="s">
        <v>213</v>
      </c>
      <c r="I293" s="15">
        <v>39753.21</v>
      </c>
      <c r="J293" s="15">
        <v>39753.21</v>
      </c>
    </row>
    <row r="294" spans="1:10" hidden="1" x14ac:dyDescent="0.35">
      <c r="A294" s="14">
        <v>45906</v>
      </c>
      <c r="B294" s="10" t="s">
        <v>34</v>
      </c>
      <c r="C294" s="10" t="s">
        <v>197</v>
      </c>
      <c r="D294" s="10" t="s">
        <v>198</v>
      </c>
      <c r="E294" s="10" t="s">
        <v>161</v>
      </c>
      <c r="F294" s="10" t="s">
        <v>199</v>
      </c>
      <c r="G294" s="15">
        <v>1099.02</v>
      </c>
      <c r="H294" s="10" t="s">
        <v>222</v>
      </c>
      <c r="I294" s="15">
        <v>96180</v>
      </c>
      <c r="J294" s="15">
        <v>96180</v>
      </c>
    </row>
    <row r="295" spans="1:10" hidden="1" x14ac:dyDescent="0.35">
      <c r="A295" s="14">
        <v>45951</v>
      </c>
      <c r="B295" s="10" t="s">
        <v>34</v>
      </c>
      <c r="C295" s="10" t="s">
        <v>197</v>
      </c>
      <c r="D295" s="10" t="s">
        <v>198</v>
      </c>
      <c r="E295" s="10" t="s">
        <v>49</v>
      </c>
      <c r="F295" s="10" t="s">
        <v>199</v>
      </c>
      <c r="G295" s="15">
        <v>13.59</v>
      </c>
      <c r="H295" s="10" t="s">
        <v>231</v>
      </c>
      <c r="I295" s="15">
        <v>1198.51</v>
      </c>
      <c r="J295" s="15">
        <v>1198.51</v>
      </c>
    </row>
    <row r="296" spans="1:10" hidden="1" x14ac:dyDescent="0.35">
      <c r="A296" s="14">
        <v>45951</v>
      </c>
      <c r="B296" s="10" t="s">
        <v>34</v>
      </c>
      <c r="C296" s="10" t="s">
        <v>197</v>
      </c>
      <c r="D296" s="10" t="s">
        <v>198</v>
      </c>
      <c r="E296" s="10" t="s">
        <v>49</v>
      </c>
      <c r="F296" s="10" t="s">
        <v>199</v>
      </c>
      <c r="G296" s="15">
        <v>13.59</v>
      </c>
      <c r="H296" s="10" t="s">
        <v>231</v>
      </c>
      <c r="I296" s="15">
        <v>1198.51</v>
      </c>
      <c r="J296" s="15">
        <v>1198.51</v>
      </c>
    </row>
    <row r="297" spans="1:10" hidden="1" x14ac:dyDescent="0.35">
      <c r="A297" s="14">
        <v>45958</v>
      </c>
      <c r="B297" s="10" t="s">
        <v>34</v>
      </c>
      <c r="C297" s="10" t="s">
        <v>197</v>
      </c>
      <c r="D297" s="10" t="s">
        <v>198</v>
      </c>
      <c r="E297" s="10" t="s">
        <v>167</v>
      </c>
      <c r="F297" s="10" t="s">
        <v>199</v>
      </c>
      <c r="G297" s="15">
        <v>46.92</v>
      </c>
      <c r="H297" s="10" t="s">
        <v>231</v>
      </c>
      <c r="I297" s="15">
        <v>4137.8999999999996</v>
      </c>
      <c r="J297" s="15">
        <v>4137.8999999999996</v>
      </c>
    </row>
    <row r="298" spans="1:10" hidden="1" x14ac:dyDescent="0.35">
      <c r="A298" s="14">
        <v>45958</v>
      </c>
      <c r="B298" s="10" t="s">
        <v>34</v>
      </c>
      <c r="C298" s="10" t="s">
        <v>197</v>
      </c>
      <c r="D298" s="10" t="s">
        <v>198</v>
      </c>
      <c r="E298" s="10" t="s">
        <v>291</v>
      </c>
      <c r="F298" s="10" t="s">
        <v>199</v>
      </c>
      <c r="G298" s="15">
        <v>140</v>
      </c>
      <c r="H298" s="10" t="s">
        <v>231</v>
      </c>
      <c r="I298" s="15">
        <v>12346.71</v>
      </c>
      <c r="J298" s="15">
        <v>12346.71</v>
      </c>
    </row>
    <row r="299" spans="1:10" hidden="1" x14ac:dyDescent="0.35">
      <c r="A299" s="14">
        <v>46024</v>
      </c>
      <c r="B299" s="10" t="s">
        <v>34</v>
      </c>
      <c r="C299" s="10" t="s">
        <v>197</v>
      </c>
      <c r="D299" s="10" t="s">
        <v>198</v>
      </c>
      <c r="E299" s="10" t="s">
        <v>64</v>
      </c>
      <c r="F299" s="10" t="s">
        <v>199</v>
      </c>
      <c r="G299" s="15">
        <v>871.08</v>
      </c>
      <c r="H299" s="10" t="s">
        <v>292</v>
      </c>
      <c r="I299" s="15">
        <v>79044.53</v>
      </c>
      <c r="J299" s="15">
        <v>79044.53</v>
      </c>
    </row>
    <row r="300" spans="1:10" hidden="1" x14ac:dyDescent="0.35">
      <c r="A300" s="14">
        <v>46024</v>
      </c>
      <c r="B300" s="10" t="s">
        <v>34</v>
      </c>
      <c r="C300" s="10" t="s">
        <v>197</v>
      </c>
      <c r="D300" s="10" t="s">
        <v>198</v>
      </c>
      <c r="E300" s="10" t="s">
        <v>65</v>
      </c>
      <c r="F300" s="10" t="s">
        <v>199</v>
      </c>
      <c r="G300" s="15">
        <v>1800</v>
      </c>
      <c r="H300" s="10" t="s">
        <v>292</v>
      </c>
      <c r="I300" s="15">
        <v>163337.65</v>
      </c>
      <c r="J300" s="15">
        <v>163337.65</v>
      </c>
    </row>
    <row r="301" spans="1:10" x14ac:dyDescent="0.35">
      <c r="A301" s="14">
        <v>46027</v>
      </c>
      <c r="B301" s="10" t="s">
        <v>68</v>
      </c>
      <c r="C301" s="10" t="s">
        <v>202</v>
      </c>
      <c r="D301" s="10" t="s">
        <v>198</v>
      </c>
      <c r="E301" s="10" t="s">
        <v>293</v>
      </c>
      <c r="F301" s="10" t="s">
        <v>199</v>
      </c>
      <c r="G301" s="15">
        <v>-13.59</v>
      </c>
      <c r="H301" s="10" t="s">
        <v>292</v>
      </c>
      <c r="I301" s="15">
        <v>-1233.2</v>
      </c>
      <c r="J301" s="15">
        <v>-1233.2</v>
      </c>
    </row>
    <row r="302" spans="1:10" hidden="1" x14ac:dyDescent="0.35">
      <c r="A302" s="14">
        <v>46027</v>
      </c>
      <c r="B302" s="10" t="s">
        <v>34</v>
      </c>
      <c r="C302" s="10" t="s">
        <v>197</v>
      </c>
      <c r="D302" s="10" t="s">
        <v>198</v>
      </c>
      <c r="E302" s="10" t="s">
        <v>169</v>
      </c>
      <c r="F302" s="10" t="s">
        <v>199</v>
      </c>
      <c r="G302" s="15">
        <v>23.57</v>
      </c>
      <c r="H302" s="10" t="s">
        <v>292</v>
      </c>
      <c r="I302" s="15">
        <v>2138.8200000000002</v>
      </c>
      <c r="J302" s="15">
        <v>2138.8200000000002</v>
      </c>
    </row>
    <row r="303" spans="1:10" hidden="1" x14ac:dyDescent="0.35">
      <c r="A303" s="14">
        <v>46027</v>
      </c>
      <c r="B303" s="10" t="s">
        <v>34</v>
      </c>
      <c r="C303" s="10" t="s">
        <v>197</v>
      </c>
      <c r="D303" s="10" t="s">
        <v>198</v>
      </c>
      <c r="E303" s="10" t="s">
        <v>294</v>
      </c>
      <c r="F303" s="10" t="s">
        <v>199</v>
      </c>
      <c r="G303" s="15">
        <v>8.25</v>
      </c>
      <c r="H303" s="10" t="s">
        <v>292</v>
      </c>
      <c r="I303" s="15">
        <v>748.63</v>
      </c>
      <c r="J303" s="15">
        <v>748.63</v>
      </c>
    </row>
    <row r="304" spans="1:10" hidden="1" x14ac:dyDescent="0.35">
      <c r="A304" s="14">
        <v>46027</v>
      </c>
      <c r="B304" s="10" t="s">
        <v>34</v>
      </c>
      <c r="C304" s="10" t="s">
        <v>197</v>
      </c>
      <c r="D304" s="10" t="s">
        <v>198</v>
      </c>
      <c r="E304" s="10" t="s">
        <v>170</v>
      </c>
      <c r="F304" s="10" t="s">
        <v>199</v>
      </c>
      <c r="G304" s="15">
        <v>347.44</v>
      </c>
      <c r="H304" s="10" t="s">
        <v>292</v>
      </c>
      <c r="I304" s="15">
        <v>31527.8</v>
      </c>
      <c r="J304" s="15">
        <v>31527.8</v>
      </c>
    </row>
    <row r="305" spans="1:10" hidden="1" x14ac:dyDescent="0.35">
      <c r="A305" s="14">
        <v>46027</v>
      </c>
      <c r="B305" s="10" t="s">
        <v>34</v>
      </c>
      <c r="C305" s="10" t="s">
        <v>197</v>
      </c>
      <c r="D305" s="10" t="s">
        <v>198</v>
      </c>
      <c r="E305" s="10" t="s">
        <v>171</v>
      </c>
      <c r="F305" s="10" t="s">
        <v>199</v>
      </c>
      <c r="G305" s="15">
        <v>75</v>
      </c>
      <c r="H305" s="10" t="s">
        <v>292</v>
      </c>
      <c r="I305" s="15">
        <v>6805.74</v>
      </c>
      <c r="J305" s="15">
        <v>6805.74</v>
      </c>
    </row>
    <row r="306" spans="1:10" hidden="1" x14ac:dyDescent="0.35">
      <c r="A306" s="14">
        <v>46027</v>
      </c>
      <c r="B306" s="10" t="s">
        <v>34</v>
      </c>
      <c r="C306" s="10" t="s">
        <v>197</v>
      </c>
      <c r="D306" s="10" t="s">
        <v>198</v>
      </c>
      <c r="E306" s="10" t="s">
        <v>295</v>
      </c>
      <c r="F306" s="10" t="s">
        <v>199</v>
      </c>
      <c r="G306" s="15">
        <v>77.73</v>
      </c>
      <c r="H306" s="10" t="s">
        <v>292</v>
      </c>
      <c r="I306" s="15">
        <v>7053.46</v>
      </c>
      <c r="J306" s="15">
        <v>7053.46</v>
      </c>
    </row>
    <row r="307" spans="1:10" hidden="1" x14ac:dyDescent="0.35">
      <c r="A307" s="14">
        <v>46027</v>
      </c>
      <c r="B307" s="10" t="s">
        <v>34</v>
      </c>
      <c r="C307" s="10" t="s">
        <v>197</v>
      </c>
      <c r="D307" s="10" t="s">
        <v>198</v>
      </c>
      <c r="E307" s="10" t="s">
        <v>296</v>
      </c>
      <c r="F307" s="10" t="s">
        <v>199</v>
      </c>
      <c r="G307" s="15">
        <v>7.98</v>
      </c>
      <c r="H307" s="10" t="s">
        <v>292</v>
      </c>
      <c r="I307" s="15">
        <v>724.13</v>
      </c>
      <c r="J307" s="15">
        <v>724.13</v>
      </c>
    </row>
    <row r="308" spans="1:10" hidden="1" x14ac:dyDescent="0.35">
      <c r="A308" s="14">
        <v>46027</v>
      </c>
      <c r="B308" s="10" t="s">
        <v>34</v>
      </c>
      <c r="C308" s="10" t="s">
        <v>197</v>
      </c>
      <c r="D308" s="10" t="s">
        <v>198</v>
      </c>
      <c r="E308" s="10" t="s">
        <v>297</v>
      </c>
      <c r="F308" s="10" t="s">
        <v>199</v>
      </c>
      <c r="G308" s="15">
        <v>140</v>
      </c>
      <c r="H308" s="10" t="s">
        <v>292</v>
      </c>
      <c r="I308" s="15">
        <v>12704.04</v>
      </c>
      <c r="J308" s="15">
        <v>12704.04</v>
      </c>
    </row>
    <row r="309" spans="1:10" hidden="1" x14ac:dyDescent="0.35">
      <c r="A309" s="14">
        <v>46027</v>
      </c>
      <c r="B309" s="10" t="s">
        <v>34</v>
      </c>
      <c r="C309" s="10" t="s">
        <v>197</v>
      </c>
      <c r="D309" s="10" t="s">
        <v>198</v>
      </c>
      <c r="E309" s="10" t="s">
        <v>298</v>
      </c>
      <c r="F309" s="10" t="s">
        <v>199</v>
      </c>
      <c r="G309" s="15">
        <v>60</v>
      </c>
      <c r="H309" s="10" t="s">
        <v>292</v>
      </c>
      <c r="I309" s="15">
        <v>5444.59</v>
      </c>
      <c r="J309" s="15">
        <v>5444.59</v>
      </c>
    </row>
    <row r="310" spans="1:10" hidden="1" x14ac:dyDescent="0.35">
      <c r="A310" s="14">
        <v>46028</v>
      </c>
      <c r="B310" s="10" t="s">
        <v>34</v>
      </c>
      <c r="C310" s="10" t="s">
        <v>197</v>
      </c>
      <c r="D310" s="10" t="s">
        <v>198</v>
      </c>
      <c r="E310" s="10" t="s">
        <v>172</v>
      </c>
      <c r="F310" s="10" t="s">
        <v>199</v>
      </c>
      <c r="G310" s="15">
        <v>55.03</v>
      </c>
      <c r="H310" s="10" t="s">
        <v>292</v>
      </c>
      <c r="I310" s="15">
        <v>4993.59</v>
      </c>
      <c r="J310" s="15">
        <v>4993.59</v>
      </c>
    </row>
    <row r="311" spans="1:10" hidden="1" x14ac:dyDescent="0.35">
      <c r="A311" s="14">
        <v>46028</v>
      </c>
      <c r="B311" s="10" t="s">
        <v>34</v>
      </c>
      <c r="C311" s="10" t="s">
        <v>197</v>
      </c>
      <c r="D311" s="10" t="s">
        <v>198</v>
      </c>
      <c r="E311" s="10" t="s">
        <v>175</v>
      </c>
      <c r="F311" s="10" t="s">
        <v>199</v>
      </c>
      <c r="G311" s="15">
        <v>15</v>
      </c>
      <c r="H311" s="10" t="s">
        <v>292</v>
      </c>
      <c r="I311" s="15">
        <v>1361.15</v>
      </c>
      <c r="J311" s="15">
        <v>1361.15</v>
      </c>
    </row>
    <row r="312" spans="1:10" hidden="1" x14ac:dyDescent="0.35">
      <c r="A312" s="14">
        <v>46028</v>
      </c>
      <c r="B312" s="10" t="s">
        <v>34</v>
      </c>
      <c r="C312" s="10" t="s">
        <v>197</v>
      </c>
      <c r="D312" s="10" t="s">
        <v>198</v>
      </c>
      <c r="E312" s="10" t="s">
        <v>299</v>
      </c>
      <c r="F312" s="10" t="s">
        <v>199</v>
      </c>
      <c r="G312" s="15">
        <v>1.75</v>
      </c>
      <c r="H312" s="10" t="s">
        <v>292</v>
      </c>
      <c r="I312" s="15">
        <v>158.80000000000001</v>
      </c>
      <c r="J312" s="15">
        <v>158.80000000000001</v>
      </c>
    </row>
    <row r="313" spans="1:10" hidden="1" x14ac:dyDescent="0.35">
      <c r="A313" s="14">
        <v>46034</v>
      </c>
      <c r="B313" s="10" t="s">
        <v>34</v>
      </c>
      <c r="C313" s="10" t="s">
        <v>197</v>
      </c>
      <c r="D313" s="10" t="s">
        <v>198</v>
      </c>
      <c r="E313" s="10" t="s">
        <v>174</v>
      </c>
      <c r="F313" s="10" t="s">
        <v>199</v>
      </c>
      <c r="G313" s="15">
        <v>43.95</v>
      </c>
      <c r="H313" s="10" t="s">
        <v>292</v>
      </c>
      <c r="I313" s="15">
        <v>3988.16</v>
      </c>
      <c r="J313" s="15">
        <v>3988.16</v>
      </c>
    </row>
    <row r="314" spans="1:10" hidden="1" x14ac:dyDescent="0.35">
      <c r="A314" s="14">
        <v>46034</v>
      </c>
      <c r="B314" s="10" t="s">
        <v>34</v>
      </c>
      <c r="C314" s="10" t="s">
        <v>197</v>
      </c>
      <c r="D314" s="10" t="s">
        <v>198</v>
      </c>
      <c r="E314" s="10" t="s">
        <v>300</v>
      </c>
      <c r="F314" s="10" t="s">
        <v>199</v>
      </c>
      <c r="G314" s="15">
        <v>1.0900000000000001</v>
      </c>
      <c r="H314" s="10" t="s">
        <v>292</v>
      </c>
      <c r="I314" s="15">
        <v>98.91</v>
      </c>
      <c r="J314" s="15">
        <v>98.91</v>
      </c>
    </row>
    <row r="315" spans="1:10" hidden="1" x14ac:dyDescent="0.35">
      <c r="A315" s="14">
        <v>46028</v>
      </c>
      <c r="B315" s="10" t="s">
        <v>34</v>
      </c>
      <c r="C315" s="10" t="s">
        <v>197</v>
      </c>
      <c r="D315" s="10" t="s">
        <v>198</v>
      </c>
      <c r="E315" s="10" t="s">
        <v>173</v>
      </c>
      <c r="F315" s="10" t="s">
        <v>199</v>
      </c>
      <c r="G315" s="15">
        <v>730.62</v>
      </c>
      <c r="H315" s="10" t="s">
        <v>292</v>
      </c>
      <c r="I315" s="15">
        <v>66298.75</v>
      </c>
      <c r="J315" s="15">
        <v>66298.75</v>
      </c>
    </row>
    <row r="316" spans="1:10" hidden="1" x14ac:dyDescent="0.35">
      <c r="A316" s="14">
        <v>46034</v>
      </c>
      <c r="B316" s="10" t="s">
        <v>34</v>
      </c>
      <c r="C316" s="10" t="s">
        <v>197</v>
      </c>
      <c r="D316" s="10" t="s">
        <v>198</v>
      </c>
      <c r="E316" s="10" t="s">
        <v>176</v>
      </c>
      <c r="F316" s="10" t="s">
        <v>199</v>
      </c>
      <c r="G316" s="15">
        <v>126.24</v>
      </c>
      <c r="H316" s="10" t="s">
        <v>292</v>
      </c>
      <c r="I316" s="15">
        <v>11455.41</v>
      </c>
      <c r="J316" s="15">
        <v>11455.41</v>
      </c>
    </row>
    <row r="317" spans="1:10" hidden="1" x14ac:dyDescent="0.35">
      <c r="A317" s="14">
        <v>46028</v>
      </c>
      <c r="B317" s="10" t="s">
        <v>34</v>
      </c>
      <c r="C317" s="10" t="s">
        <v>197</v>
      </c>
      <c r="D317" s="10" t="s">
        <v>198</v>
      </c>
      <c r="E317" s="10" t="s">
        <v>69</v>
      </c>
      <c r="F317" s="10" t="s">
        <v>199</v>
      </c>
      <c r="G317" s="15">
        <v>1800</v>
      </c>
      <c r="H317" s="10" t="s">
        <v>292</v>
      </c>
      <c r="I317" s="15">
        <v>163337.65</v>
      </c>
      <c r="J317" s="15">
        <v>163337.65</v>
      </c>
    </row>
    <row r="318" spans="1:10" hidden="1" x14ac:dyDescent="0.35">
      <c r="A318" s="14">
        <v>46035</v>
      </c>
      <c r="B318" s="10" t="s">
        <v>34</v>
      </c>
      <c r="C318" s="10" t="s">
        <v>197</v>
      </c>
      <c r="D318" s="10" t="s">
        <v>198</v>
      </c>
      <c r="E318" s="10" t="s">
        <v>70</v>
      </c>
      <c r="F318" s="10" t="s">
        <v>199</v>
      </c>
      <c r="G318" s="15">
        <v>696.85</v>
      </c>
      <c r="H318" s="10" t="s">
        <v>292</v>
      </c>
      <c r="I318" s="15">
        <v>63234.36</v>
      </c>
      <c r="J318" s="15">
        <v>63234.36</v>
      </c>
    </row>
    <row r="319" spans="1:10" hidden="1" x14ac:dyDescent="0.35">
      <c r="A319" s="14">
        <v>46045</v>
      </c>
      <c r="B319" s="10" t="s">
        <v>34</v>
      </c>
      <c r="C319" s="10" t="s">
        <v>197</v>
      </c>
      <c r="D319" s="10" t="s">
        <v>198</v>
      </c>
      <c r="E319" s="10" t="s">
        <v>177</v>
      </c>
      <c r="F319" s="10" t="s">
        <v>199</v>
      </c>
      <c r="G319" s="15">
        <v>15</v>
      </c>
      <c r="H319" s="10" t="s">
        <v>292</v>
      </c>
      <c r="I319" s="15">
        <v>1361.15</v>
      </c>
      <c r="J319" s="15">
        <v>1361.15</v>
      </c>
    </row>
    <row r="320" spans="1:10" hidden="1" x14ac:dyDescent="0.35">
      <c r="A320" s="14">
        <v>46045</v>
      </c>
      <c r="B320" s="10" t="s">
        <v>34</v>
      </c>
      <c r="C320" s="10" t="s">
        <v>197</v>
      </c>
      <c r="D320" s="10" t="s">
        <v>198</v>
      </c>
      <c r="E320" s="10" t="s">
        <v>301</v>
      </c>
      <c r="F320" s="10" t="s">
        <v>199</v>
      </c>
      <c r="G320" s="15">
        <v>1.75</v>
      </c>
      <c r="H320" s="10" t="s">
        <v>292</v>
      </c>
      <c r="I320" s="15">
        <v>158.80000000000001</v>
      </c>
      <c r="J320" s="15">
        <v>158.80000000000001</v>
      </c>
    </row>
    <row r="321" spans="1:10" hidden="1" x14ac:dyDescent="0.35">
      <c r="A321" s="14">
        <v>46045</v>
      </c>
      <c r="B321" s="10" t="s">
        <v>34</v>
      </c>
      <c r="C321" s="10" t="s">
        <v>197</v>
      </c>
      <c r="D321" s="10" t="s">
        <v>198</v>
      </c>
      <c r="E321" s="10" t="s">
        <v>178</v>
      </c>
      <c r="F321" s="10" t="s">
        <v>199</v>
      </c>
      <c r="G321" s="15">
        <v>3.5</v>
      </c>
      <c r="H321" s="10" t="s">
        <v>292</v>
      </c>
      <c r="I321" s="15">
        <v>317.60000000000002</v>
      </c>
      <c r="J321" s="15">
        <v>317.60000000000002</v>
      </c>
    </row>
    <row r="322" spans="1:10" hidden="1" x14ac:dyDescent="0.35">
      <c r="A322" s="14">
        <v>46049</v>
      </c>
      <c r="B322" s="10" t="s">
        <v>34</v>
      </c>
      <c r="C322" s="10" t="s">
        <v>197</v>
      </c>
      <c r="D322" s="10" t="s">
        <v>198</v>
      </c>
      <c r="E322" s="10" t="s">
        <v>179</v>
      </c>
      <c r="F322" s="10" t="s">
        <v>199</v>
      </c>
      <c r="G322" s="15">
        <v>176.58</v>
      </c>
      <c r="H322" s="10" t="s">
        <v>292</v>
      </c>
      <c r="I322" s="15">
        <v>16023.42</v>
      </c>
      <c r="J322" s="15">
        <v>16023.42</v>
      </c>
    </row>
  </sheetData>
  <autoFilter ref="A2:J322" xr:uid="{FDEE99A1-20F1-4D6E-B9AD-80F5960FACD9}">
    <filterColumn colId="1">
      <filters>
        <filter val="DG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5F95-D90B-451C-B12A-45F96A71351E}">
  <dimension ref="A1:N170"/>
  <sheetViews>
    <sheetView workbookViewId="0">
      <selection activeCell="A2" sqref="A2"/>
    </sheetView>
  </sheetViews>
  <sheetFormatPr defaultRowHeight="14.5" x14ac:dyDescent="0.35"/>
  <cols>
    <col min="1" max="1" width="10.08984375" bestFit="1" customWidth="1"/>
    <col min="2" max="2" width="9.54296875" bestFit="1" customWidth="1"/>
    <col min="3" max="3" width="15.81640625" bestFit="1" customWidth="1"/>
    <col min="4" max="4" width="19.26953125" bestFit="1" customWidth="1"/>
    <col min="5" max="5" width="9.26953125" bestFit="1" customWidth="1"/>
    <col min="6" max="6" width="8.6328125" bestFit="1" customWidth="1"/>
    <col min="7" max="7" width="7.1796875" bestFit="1" customWidth="1"/>
    <col min="8" max="8" width="9.7265625" bestFit="1" customWidth="1"/>
    <col min="11" max="11" width="12.36328125" bestFit="1" customWidth="1"/>
    <col min="12" max="12" width="24.90625" bestFit="1" customWidth="1"/>
    <col min="13" max="13" width="9.6328125" bestFit="1" customWidth="1"/>
    <col min="14" max="14" width="24.90625" bestFit="1" customWidth="1"/>
  </cols>
  <sheetData>
    <row r="1" spans="1:14" x14ac:dyDescent="0.35">
      <c r="A1" s="1" t="s">
        <v>0</v>
      </c>
      <c r="B1" s="2" t="s">
        <v>1</v>
      </c>
      <c r="C1" s="3" t="s">
        <v>316</v>
      </c>
      <c r="D1" s="3" t="s">
        <v>2</v>
      </c>
      <c r="E1" s="3" t="s">
        <v>3</v>
      </c>
      <c r="F1" s="3" t="s">
        <v>4</v>
      </c>
      <c r="G1" s="3" t="s">
        <v>5</v>
      </c>
      <c r="H1" s="5" t="s">
        <v>315</v>
      </c>
      <c r="K1" s="6" t="s">
        <v>313</v>
      </c>
      <c r="L1" s="6" t="s">
        <v>314</v>
      </c>
      <c r="M1" s="6" t="s">
        <v>315</v>
      </c>
      <c r="N1" t="s">
        <v>32</v>
      </c>
    </row>
    <row r="2" spans="1:14" x14ac:dyDescent="0.35">
      <c r="A2" s="1">
        <v>45707</v>
      </c>
      <c r="B2" s="2" t="s">
        <v>6</v>
      </c>
      <c r="C2" s="18" t="s">
        <v>7</v>
      </c>
      <c r="D2" s="3">
        <v>1620.01</v>
      </c>
      <c r="E2" s="3" t="s">
        <v>8</v>
      </c>
      <c r="F2" s="3">
        <v>140899</v>
      </c>
      <c r="G2" s="4">
        <v>15655</v>
      </c>
      <c r="H2" s="22">
        <v>45505</v>
      </c>
      <c r="K2" t="s">
        <v>317</v>
      </c>
      <c r="L2" t="s">
        <v>307</v>
      </c>
      <c r="M2" s="21" t="s">
        <v>28</v>
      </c>
      <c r="N2" s="7">
        <v>2955.05</v>
      </c>
    </row>
    <row r="3" spans="1:14" x14ac:dyDescent="0.35">
      <c r="A3" s="1">
        <v>45708</v>
      </c>
      <c r="B3" s="2" t="s">
        <v>6</v>
      </c>
      <c r="C3" s="18" t="s">
        <v>9</v>
      </c>
      <c r="D3" s="3">
        <v>1620</v>
      </c>
      <c r="E3" s="3" t="s">
        <v>8</v>
      </c>
      <c r="F3" s="3">
        <v>140453</v>
      </c>
      <c r="G3" s="4">
        <v>15606</v>
      </c>
      <c r="H3" s="22">
        <v>45536</v>
      </c>
      <c r="M3" s="21" t="s">
        <v>308</v>
      </c>
      <c r="N3" s="7">
        <v>3729.9</v>
      </c>
    </row>
    <row r="4" spans="1:14" x14ac:dyDescent="0.35">
      <c r="A4" s="1">
        <v>45708</v>
      </c>
      <c r="B4" s="2" t="s">
        <v>6</v>
      </c>
      <c r="C4" s="18" t="s">
        <v>10</v>
      </c>
      <c r="D4" s="3">
        <v>1620</v>
      </c>
      <c r="E4" s="3" t="s">
        <v>8</v>
      </c>
      <c r="F4" s="3">
        <v>140453</v>
      </c>
      <c r="G4" s="4">
        <v>15606</v>
      </c>
      <c r="H4" s="22">
        <v>45566</v>
      </c>
      <c r="L4" t="s">
        <v>309</v>
      </c>
      <c r="M4" s="21" t="s">
        <v>29</v>
      </c>
      <c r="N4" s="7">
        <v>3776.33</v>
      </c>
    </row>
    <row r="5" spans="1:14" x14ac:dyDescent="0.35">
      <c r="A5" s="1">
        <v>45708</v>
      </c>
      <c r="B5" s="2" t="s">
        <v>6</v>
      </c>
      <c r="C5" s="18" t="s">
        <v>11</v>
      </c>
      <c r="D5" s="3">
        <v>1620</v>
      </c>
      <c r="E5" s="3" t="s">
        <v>8</v>
      </c>
      <c r="F5" s="3">
        <v>140453</v>
      </c>
      <c r="G5" s="4">
        <v>15606</v>
      </c>
      <c r="H5" s="22">
        <v>45597</v>
      </c>
      <c r="M5" s="21" t="s">
        <v>30</v>
      </c>
      <c r="N5" s="7">
        <v>4100.8600000000006</v>
      </c>
    </row>
    <row r="6" spans="1:14" x14ac:dyDescent="0.35">
      <c r="A6" s="1">
        <v>45717</v>
      </c>
      <c r="B6" s="2" t="s">
        <v>6</v>
      </c>
      <c r="C6" s="18" t="s">
        <v>12</v>
      </c>
      <c r="D6" s="3">
        <v>1620</v>
      </c>
      <c r="E6" s="3" t="s">
        <v>8</v>
      </c>
      <c r="F6" s="3">
        <v>140453</v>
      </c>
      <c r="G6" s="4">
        <v>15606</v>
      </c>
      <c r="H6" s="22">
        <v>45627</v>
      </c>
      <c r="M6" s="21" t="s">
        <v>31</v>
      </c>
      <c r="N6" s="7">
        <v>4190.0200000000004</v>
      </c>
    </row>
    <row r="7" spans="1:14" x14ac:dyDescent="0.35">
      <c r="A7" s="1">
        <v>45717</v>
      </c>
      <c r="B7" s="2" t="s">
        <v>6</v>
      </c>
      <c r="C7" s="18" t="s">
        <v>13</v>
      </c>
      <c r="D7" s="3">
        <v>1620</v>
      </c>
      <c r="E7" s="3" t="s">
        <v>8</v>
      </c>
      <c r="F7" s="3">
        <v>140453</v>
      </c>
      <c r="G7" s="4">
        <v>15606</v>
      </c>
      <c r="H7" s="22">
        <v>45658</v>
      </c>
      <c r="K7" t="s">
        <v>302</v>
      </c>
      <c r="L7" t="s">
        <v>303</v>
      </c>
      <c r="M7" s="21" t="s">
        <v>311</v>
      </c>
      <c r="N7" s="7">
        <v>4371.9699999999993</v>
      </c>
    </row>
    <row r="8" spans="1:14" x14ac:dyDescent="0.35">
      <c r="A8" s="1">
        <v>45717</v>
      </c>
      <c r="B8" s="2" t="s">
        <v>6</v>
      </c>
      <c r="C8" s="18" t="s">
        <v>14</v>
      </c>
      <c r="D8" s="3">
        <v>1620</v>
      </c>
      <c r="E8" s="3" t="s">
        <v>8</v>
      </c>
      <c r="F8" s="3">
        <v>140453</v>
      </c>
      <c r="G8" s="4">
        <v>15606</v>
      </c>
      <c r="H8" s="22">
        <v>45689</v>
      </c>
      <c r="M8" s="21" t="s">
        <v>24</v>
      </c>
      <c r="N8" s="7">
        <v>3253.1800000000003</v>
      </c>
    </row>
    <row r="9" spans="1:14" x14ac:dyDescent="0.35">
      <c r="A9" s="1">
        <v>45717</v>
      </c>
      <c r="B9" s="2" t="s">
        <v>6</v>
      </c>
      <c r="C9" s="18" t="s">
        <v>7</v>
      </c>
      <c r="D9" s="3">
        <v>418.5</v>
      </c>
      <c r="E9" s="3" t="s">
        <v>8</v>
      </c>
      <c r="F9" s="3">
        <v>36410</v>
      </c>
      <c r="G9" s="4">
        <v>4046</v>
      </c>
      <c r="H9" s="22">
        <v>45505</v>
      </c>
      <c r="M9" s="21" t="s">
        <v>25</v>
      </c>
      <c r="N9" s="7">
        <v>5257.2099999999982</v>
      </c>
    </row>
    <row r="10" spans="1:14" x14ac:dyDescent="0.35">
      <c r="A10" s="1">
        <v>45717</v>
      </c>
      <c r="B10" s="2" t="s">
        <v>6</v>
      </c>
      <c r="C10" s="18" t="s">
        <v>9</v>
      </c>
      <c r="D10" s="3">
        <v>405</v>
      </c>
      <c r="E10" s="3" t="s">
        <v>8</v>
      </c>
      <c r="F10" s="3">
        <v>35397</v>
      </c>
      <c r="G10" s="4">
        <v>3933</v>
      </c>
      <c r="H10" s="22">
        <v>45536</v>
      </c>
      <c r="L10" t="s">
        <v>304</v>
      </c>
      <c r="M10" s="21" t="s">
        <v>305</v>
      </c>
      <c r="N10" s="7">
        <v>5273.1299999999992</v>
      </c>
    </row>
    <row r="11" spans="1:14" x14ac:dyDescent="0.35">
      <c r="A11" s="1">
        <v>45717</v>
      </c>
      <c r="B11" s="2" t="s">
        <v>6</v>
      </c>
      <c r="C11" s="18" t="s">
        <v>10</v>
      </c>
      <c r="D11" s="3">
        <v>418.5</v>
      </c>
      <c r="E11" s="3" t="s">
        <v>8</v>
      </c>
      <c r="F11" s="3">
        <v>36577</v>
      </c>
      <c r="G11" s="4">
        <v>4064</v>
      </c>
      <c r="H11" s="22">
        <v>45566</v>
      </c>
      <c r="M11" s="21" t="s">
        <v>306</v>
      </c>
      <c r="N11" s="7">
        <v>3226.6200000000003</v>
      </c>
    </row>
    <row r="12" spans="1:14" x14ac:dyDescent="0.35">
      <c r="A12" s="1">
        <v>45717</v>
      </c>
      <c r="B12" s="2" t="s">
        <v>6</v>
      </c>
      <c r="C12" s="18" t="s">
        <v>11</v>
      </c>
      <c r="D12" s="3">
        <v>405</v>
      </c>
      <c r="E12" s="3" t="s">
        <v>8</v>
      </c>
      <c r="F12" s="3">
        <v>35397</v>
      </c>
      <c r="G12" s="4">
        <v>3933</v>
      </c>
      <c r="H12" s="22">
        <v>45597</v>
      </c>
      <c r="M12" s="21" t="s">
        <v>26</v>
      </c>
      <c r="N12" s="7">
        <v>6707.1199999999981</v>
      </c>
    </row>
    <row r="13" spans="1:14" x14ac:dyDescent="0.35">
      <c r="A13" s="1">
        <v>45717</v>
      </c>
      <c r="B13" s="2" t="s">
        <v>6</v>
      </c>
      <c r="C13" s="18" t="s">
        <v>12</v>
      </c>
      <c r="D13" s="3">
        <v>418.5</v>
      </c>
      <c r="E13" s="3" t="s">
        <v>8</v>
      </c>
      <c r="F13" s="3">
        <v>36577</v>
      </c>
      <c r="G13" s="4">
        <v>4064</v>
      </c>
      <c r="H13" s="22">
        <v>45627</v>
      </c>
      <c r="L13" t="s">
        <v>307</v>
      </c>
      <c r="M13" s="21" t="s">
        <v>27</v>
      </c>
      <c r="N13" s="7">
        <v>3859.7499999999995</v>
      </c>
    </row>
    <row r="14" spans="1:14" x14ac:dyDescent="0.35">
      <c r="A14" s="1">
        <v>45719</v>
      </c>
      <c r="B14" s="2" t="s">
        <v>6</v>
      </c>
      <c r="C14" s="18" t="s">
        <v>7</v>
      </c>
      <c r="D14" s="3">
        <v>916.54</v>
      </c>
      <c r="E14" s="3" t="s">
        <v>8</v>
      </c>
      <c r="F14" s="3">
        <v>80043</v>
      </c>
      <c r="G14" s="4">
        <v>8894</v>
      </c>
      <c r="H14" s="22">
        <v>45505</v>
      </c>
      <c r="M14" s="21" t="s">
        <v>28</v>
      </c>
      <c r="N14" s="7">
        <v>3572.42</v>
      </c>
    </row>
    <row r="15" spans="1:14" x14ac:dyDescent="0.35">
      <c r="A15" s="1">
        <v>45719</v>
      </c>
      <c r="B15" s="2" t="s">
        <v>6</v>
      </c>
      <c r="C15" s="18" t="s">
        <v>9</v>
      </c>
      <c r="D15" s="3">
        <v>1704.9</v>
      </c>
      <c r="E15" s="3" t="s">
        <v>8</v>
      </c>
      <c r="F15" s="3">
        <v>148891</v>
      </c>
      <c r="G15" s="4">
        <v>16543</v>
      </c>
      <c r="H15" s="22">
        <v>45536</v>
      </c>
      <c r="M15" s="21" t="s">
        <v>308</v>
      </c>
      <c r="N15" s="7">
        <v>5357.5800000000008</v>
      </c>
    </row>
    <row r="16" spans="1:14" x14ac:dyDescent="0.35">
      <c r="A16" s="1">
        <v>45719</v>
      </c>
      <c r="B16" s="2" t="s">
        <v>6</v>
      </c>
      <c r="C16" s="18" t="s">
        <v>10</v>
      </c>
      <c r="D16" s="3">
        <v>1737.83</v>
      </c>
      <c r="E16" s="3" t="s">
        <v>8</v>
      </c>
      <c r="F16" s="3">
        <v>151767</v>
      </c>
      <c r="G16" s="4">
        <v>16863</v>
      </c>
      <c r="H16" s="22">
        <v>45566</v>
      </c>
      <c r="L16" t="s">
        <v>309</v>
      </c>
      <c r="M16" s="21" t="s">
        <v>29</v>
      </c>
      <c r="N16" s="7">
        <v>4467.7300000000005</v>
      </c>
    </row>
    <row r="17" spans="1:14" x14ac:dyDescent="0.35">
      <c r="A17" s="1">
        <v>45722</v>
      </c>
      <c r="B17" s="2" t="s">
        <v>6</v>
      </c>
      <c r="C17" s="18" t="s">
        <v>11</v>
      </c>
      <c r="D17" s="3">
        <v>2075.86</v>
      </c>
      <c r="E17" s="3" t="s">
        <v>8</v>
      </c>
      <c r="F17" s="3">
        <v>180778</v>
      </c>
      <c r="G17" s="4">
        <v>20087</v>
      </c>
      <c r="H17" s="22">
        <v>45597</v>
      </c>
      <c r="M17" s="21" t="s">
        <v>30</v>
      </c>
      <c r="N17" s="7">
        <v>1619.99</v>
      </c>
    </row>
    <row r="18" spans="1:14" x14ac:dyDescent="0.35">
      <c r="A18" s="1">
        <v>45722</v>
      </c>
      <c r="B18" s="2" t="s">
        <v>6</v>
      </c>
      <c r="C18" s="18" t="s">
        <v>12</v>
      </c>
      <c r="D18" s="3">
        <v>2151.52</v>
      </c>
      <c r="E18" s="3" t="s">
        <v>8</v>
      </c>
      <c r="F18" s="3">
        <v>187367</v>
      </c>
      <c r="G18" s="4">
        <v>20819</v>
      </c>
      <c r="H18" s="22">
        <v>45627</v>
      </c>
    </row>
    <row r="19" spans="1:14" x14ac:dyDescent="0.35">
      <c r="A19" s="1">
        <v>45735</v>
      </c>
      <c r="B19" s="2" t="s">
        <v>6</v>
      </c>
      <c r="C19" s="18" t="s">
        <v>15</v>
      </c>
      <c r="D19" s="3">
        <v>167.47</v>
      </c>
      <c r="E19" s="3" t="s">
        <v>8</v>
      </c>
      <c r="F19" s="3">
        <v>14486</v>
      </c>
      <c r="G19" s="4">
        <v>1610</v>
      </c>
      <c r="H19" s="22">
        <v>45717</v>
      </c>
    </row>
    <row r="20" spans="1:14" x14ac:dyDescent="0.35">
      <c r="A20" s="1">
        <v>45736</v>
      </c>
      <c r="B20" s="2" t="s">
        <v>6</v>
      </c>
      <c r="C20" s="18" t="s">
        <v>13</v>
      </c>
      <c r="D20" s="3">
        <v>418.5</v>
      </c>
      <c r="E20" s="3" t="s">
        <v>8</v>
      </c>
      <c r="F20" s="3">
        <v>36118</v>
      </c>
      <c r="G20" s="4">
        <v>4013</v>
      </c>
      <c r="H20" s="22">
        <v>45658</v>
      </c>
    </row>
    <row r="21" spans="1:14" x14ac:dyDescent="0.35">
      <c r="A21" s="1">
        <v>45736</v>
      </c>
      <c r="B21" s="2" t="s">
        <v>6</v>
      </c>
      <c r="C21" s="18" t="s">
        <v>14</v>
      </c>
      <c r="D21" s="3">
        <v>378</v>
      </c>
      <c r="E21" s="3" t="s">
        <v>8</v>
      </c>
      <c r="F21" s="3">
        <v>32623</v>
      </c>
      <c r="G21" s="4">
        <v>3625</v>
      </c>
      <c r="H21" s="22">
        <v>45689</v>
      </c>
    </row>
    <row r="22" spans="1:14" x14ac:dyDescent="0.35">
      <c r="A22" s="1">
        <v>45809</v>
      </c>
      <c r="B22" s="2" t="s">
        <v>6</v>
      </c>
      <c r="C22" s="18" t="s">
        <v>15</v>
      </c>
      <c r="D22" s="3">
        <v>75.66</v>
      </c>
      <c r="E22" s="3" t="s">
        <v>8</v>
      </c>
      <c r="F22" s="3">
        <v>6589</v>
      </c>
      <c r="G22" s="4">
        <v>134</v>
      </c>
      <c r="H22" s="22">
        <v>45717</v>
      </c>
    </row>
    <row r="23" spans="1:14" x14ac:dyDescent="0.35">
      <c r="A23" s="1">
        <v>45809</v>
      </c>
      <c r="B23" s="2" t="s">
        <v>6</v>
      </c>
      <c r="C23" s="18" t="s">
        <v>15</v>
      </c>
      <c r="D23" s="3">
        <v>240.78</v>
      </c>
      <c r="E23" s="3" t="s">
        <v>8</v>
      </c>
      <c r="F23" s="3">
        <v>20898</v>
      </c>
      <c r="G23" s="4">
        <v>426</v>
      </c>
      <c r="H23" s="22">
        <v>45717</v>
      </c>
    </row>
    <row r="24" spans="1:14" x14ac:dyDescent="0.35">
      <c r="A24" s="1">
        <v>45809</v>
      </c>
      <c r="B24" s="2" t="s">
        <v>6</v>
      </c>
      <c r="C24" s="18" t="s">
        <v>15</v>
      </c>
      <c r="D24" s="3">
        <v>68.430000000000007</v>
      </c>
      <c r="E24" s="3" t="s">
        <v>8</v>
      </c>
      <c r="F24" s="3">
        <v>5939</v>
      </c>
      <c r="G24" s="4">
        <v>121</v>
      </c>
      <c r="H24" s="22">
        <v>45717</v>
      </c>
    </row>
    <row r="25" spans="1:14" x14ac:dyDescent="0.35">
      <c r="A25" s="1">
        <v>45809</v>
      </c>
      <c r="B25" s="2" t="s">
        <v>6</v>
      </c>
      <c r="C25" s="18" t="s">
        <v>15</v>
      </c>
      <c r="D25" s="3">
        <v>70.180000000000007</v>
      </c>
      <c r="E25" s="3" t="s">
        <v>8</v>
      </c>
      <c r="F25" s="3">
        <v>6091</v>
      </c>
      <c r="G25" s="4">
        <v>124</v>
      </c>
      <c r="H25" s="22">
        <v>45717</v>
      </c>
    </row>
    <row r="26" spans="1:14" x14ac:dyDescent="0.35">
      <c r="A26" s="1">
        <v>45809</v>
      </c>
      <c r="B26" s="2" t="s">
        <v>6</v>
      </c>
      <c r="C26" s="18" t="s">
        <v>15</v>
      </c>
      <c r="D26" s="3">
        <v>60.58</v>
      </c>
      <c r="E26" s="3" t="s">
        <v>8</v>
      </c>
      <c r="F26" s="3">
        <v>5258</v>
      </c>
      <c r="G26" s="4">
        <v>107</v>
      </c>
      <c r="H26" s="22">
        <v>45717</v>
      </c>
    </row>
    <row r="27" spans="1:14" x14ac:dyDescent="0.35">
      <c r="A27" s="1">
        <v>45809</v>
      </c>
      <c r="B27" s="2" t="s">
        <v>6</v>
      </c>
      <c r="C27" s="18" t="s">
        <v>15</v>
      </c>
      <c r="D27" s="3">
        <v>119.73</v>
      </c>
      <c r="E27" s="3" t="s">
        <v>8</v>
      </c>
      <c r="F27" s="3">
        <v>10392</v>
      </c>
      <c r="G27" s="4">
        <v>212</v>
      </c>
      <c r="H27" s="22">
        <v>45717</v>
      </c>
    </row>
    <row r="28" spans="1:14" x14ac:dyDescent="0.35">
      <c r="A28" s="1">
        <v>45809</v>
      </c>
      <c r="B28" s="2" t="s">
        <v>6</v>
      </c>
      <c r="C28" s="18" t="s">
        <v>15</v>
      </c>
      <c r="D28" s="3">
        <v>75.66</v>
      </c>
      <c r="E28" s="3" t="s">
        <v>8</v>
      </c>
      <c r="F28" s="3">
        <v>6589</v>
      </c>
      <c r="G28" s="4">
        <v>134</v>
      </c>
      <c r="H28" s="22">
        <v>45717</v>
      </c>
    </row>
    <row r="29" spans="1:14" x14ac:dyDescent="0.35">
      <c r="A29" s="1">
        <v>45809</v>
      </c>
      <c r="B29" s="2" t="s">
        <v>6</v>
      </c>
      <c r="C29" s="19" t="s">
        <v>15</v>
      </c>
      <c r="D29" s="5">
        <v>267.54000000000002</v>
      </c>
      <c r="E29" s="5" t="s">
        <v>8</v>
      </c>
      <c r="F29" s="5">
        <v>23090</v>
      </c>
      <c r="G29" s="4">
        <v>471</v>
      </c>
      <c r="H29" s="22">
        <v>45717</v>
      </c>
    </row>
    <row r="30" spans="1:14" x14ac:dyDescent="0.35">
      <c r="A30" s="1">
        <v>45809</v>
      </c>
      <c r="B30" s="2" t="s">
        <v>6</v>
      </c>
      <c r="C30" s="19" t="s">
        <v>15</v>
      </c>
      <c r="D30" s="5">
        <v>271.75</v>
      </c>
      <c r="E30" s="5" t="s">
        <v>8</v>
      </c>
      <c r="F30" s="5">
        <v>23453</v>
      </c>
      <c r="G30" s="4">
        <v>479</v>
      </c>
      <c r="H30" s="22">
        <v>45717</v>
      </c>
    </row>
    <row r="31" spans="1:14" x14ac:dyDescent="0.35">
      <c r="A31" s="1">
        <v>45809</v>
      </c>
      <c r="B31" s="2" t="s">
        <v>6</v>
      </c>
      <c r="C31" s="19" t="s">
        <v>15</v>
      </c>
      <c r="D31" s="5">
        <v>246.47</v>
      </c>
      <c r="E31" s="5" t="s">
        <v>8</v>
      </c>
      <c r="F31" s="5">
        <v>21271</v>
      </c>
      <c r="G31" s="4">
        <v>434</v>
      </c>
      <c r="H31" s="22">
        <v>45717</v>
      </c>
    </row>
    <row r="32" spans="1:14" x14ac:dyDescent="0.35">
      <c r="A32" s="1">
        <v>45809</v>
      </c>
      <c r="B32" s="2" t="s">
        <v>6</v>
      </c>
      <c r="C32" s="19" t="s">
        <v>15</v>
      </c>
      <c r="D32" s="5">
        <v>543.51</v>
      </c>
      <c r="E32" s="5" t="s">
        <v>8</v>
      </c>
      <c r="F32" s="5">
        <v>46907</v>
      </c>
      <c r="G32" s="4">
        <v>957</v>
      </c>
      <c r="H32" s="22">
        <v>45717</v>
      </c>
    </row>
    <row r="33" spans="1:8" x14ac:dyDescent="0.35">
      <c r="A33" s="1">
        <v>45809</v>
      </c>
      <c r="B33" s="2" t="s">
        <v>6</v>
      </c>
      <c r="C33" s="19" t="s">
        <v>15</v>
      </c>
      <c r="D33" s="5">
        <v>346.14</v>
      </c>
      <c r="E33" s="5" t="s">
        <v>8</v>
      </c>
      <c r="F33" s="5">
        <v>29873</v>
      </c>
      <c r="G33" s="4">
        <v>610</v>
      </c>
      <c r="H33" s="22">
        <v>45717</v>
      </c>
    </row>
    <row r="34" spans="1:8" x14ac:dyDescent="0.35">
      <c r="A34" s="1">
        <v>45809</v>
      </c>
      <c r="B34" s="2" t="s">
        <v>6</v>
      </c>
      <c r="C34" s="19" t="s">
        <v>15</v>
      </c>
      <c r="D34" s="5">
        <v>271.75</v>
      </c>
      <c r="E34" s="5" t="s">
        <v>8</v>
      </c>
      <c r="F34" s="5">
        <v>23453</v>
      </c>
      <c r="G34" s="4">
        <v>479</v>
      </c>
      <c r="H34" s="22">
        <v>45717</v>
      </c>
    </row>
    <row r="35" spans="1:8" x14ac:dyDescent="0.35">
      <c r="A35" s="1">
        <v>45809</v>
      </c>
      <c r="B35" s="2" t="s">
        <v>6</v>
      </c>
      <c r="C35" s="18" t="s">
        <v>15</v>
      </c>
      <c r="D35" s="3">
        <v>20.72</v>
      </c>
      <c r="E35" s="3" t="s">
        <v>8</v>
      </c>
      <c r="F35" s="3">
        <v>1788</v>
      </c>
      <c r="G35" s="4">
        <v>36</v>
      </c>
      <c r="H35" s="22">
        <v>45717</v>
      </c>
    </row>
    <row r="36" spans="1:8" x14ac:dyDescent="0.35">
      <c r="A36" s="1">
        <v>45809</v>
      </c>
      <c r="B36" s="2" t="s">
        <v>6</v>
      </c>
      <c r="C36" s="18" t="s">
        <v>15</v>
      </c>
      <c r="D36" s="3">
        <v>34.299999999999997</v>
      </c>
      <c r="E36" s="3" t="s">
        <v>8</v>
      </c>
      <c r="F36" s="3">
        <v>2987</v>
      </c>
      <c r="G36" s="4">
        <v>61</v>
      </c>
      <c r="H36" s="22">
        <v>45717</v>
      </c>
    </row>
    <row r="37" spans="1:8" x14ac:dyDescent="0.35">
      <c r="A37" s="1">
        <v>45809</v>
      </c>
      <c r="B37" s="2" t="s">
        <v>6</v>
      </c>
      <c r="C37" s="18" t="s">
        <v>15</v>
      </c>
      <c r="D37" s="3">
        <v>25.51</v>
      </c>
      <c r="E37" s="3" t="s">
        <v>8</v>
      </c>
      <c r="F37" s="3">
        <v>2207</v>
      </c>
      <c r="G37" s="4">
        <v>45</v>
      </c>
      <c r="H37" s="22">
        <v>45717</v>
      </c>
    </row>
    <row r="38" spans="1:8" x14ac:dyDescent="0.35">
      <c r="A38" s="1">
        <v>45809</v>
      </c>
      <c r="B38" s="2" t="s">
        <v>6</v>
      </c>
      <c r="C38" s="18" t="s">
        <v>15</v>
      </c>
      <c r="D38" s="3">
        <v>125.95</v>
      </c>
      <c r="E38" s="3" t="s">
        <v>8</v>
      </c>
      <c r="F38" s="3">
        <v>10870</v>
      </c>
      <c r="G38" s="4">
        <v>222</v>
      </c>
      <c r="H38" s="22">
        <v>45717</v>
      </c>
    </row>
    <row r="39" spans="1:8" x14ac:dyDescent="0.35">
      <c r="A39" s="1">
        <v>45809</v>
      </c>
      <c r="B39" s="2" t="s">
        <v>6</v>
      </c>
      <c r="C39" s="18" t="s">
        <v>15</v>
      </c>
      <c r="D39" s="3">
        <v>1.71</v>
      </c>
      <c r="E39" s="3" t="s">
        <v>8</v>
      </c>
      <c r="F39" s="3">
        <v>148</v>
      </c>
      <c r="G39" s="4">
        <v>3</v>
      </c>
      <c r="H39" s="22">
        <v>45717</v>
      </c>
    </row>
    <row r="40" spans="1:8" x14ac:dyDescent="0.35">
      <c r="A40" s="1">
        <v>45809</v>
      </c>
      <c r="B40" s="2" t="s">
        <v>6</v>
      </c>
      <c r="C40" s="18" t="s">
        <v>15</v>
      </c>
      <c r="D40" s="3">
        <v>1.97</v>
      </c>
      <c r="E40" s="3" t="s">
        <v>8</v>
      </c>
      <c r="F40" s="3">
        <v>170</v>
      </c>
      <c r="G40" s="4">
        <v>3</v>
      </c>
      <c r="H40" s="22">
        <v>45717</v>
      </c>
    </row>
    <row r="41" spans="1:8" x14ac:dyDescent="0.35">
      <c r="A41" s="1">
        <v>45809</v>
      </c>
      <c r="B41" s="2" t="s">
        <v>6</v>
      </c>
      <c r="C41" s="18" t="s">
        <v>15</v>
      </c>
      <c r="D41" s="3">
        <v>1.71</v>
      </c>
      <c r="E41" s="3" t="s">
        <v>8</v>
      </c>
      <c r="F41" s="3">
        <v>148</v>
      </c>
      <c r="G41" s="4">
        <v>3</v>
      </c>
      <c r="H41" s="22">
        <v>45717</v>
      </c>
    </row>
    <row r="42" spans="1:8" x14ac:dyDescent="0.35">
      <c r="A42" s="1">
        <v>45810</v>
      </c>
      <c r="B42" s="2" t="s">
        <v>6</v>
      </c>
      <c r="C42" s="18" t="s">
        <v>16</v>
      </c>
      <c r="D42" s="3">
        <v>405.01</v>
      </c>
      <c r="E42" s="3" t="s">
        <v>8</v>
      </c>
      <c r="F42" s="3">
        <v>34824</v>
      </c>
      <c r="G42" s="4">
        <v>3869</v>
      </c>
      <c r="H42" s="22">
        <v>45748</v>
      </c>
    </row>
    <row r="43" spans="1:8" x14ac:dyDescent="0.35">
      <c r="A43" s="1">
        <v>45821</v>
      </c>
      <c r="B43" s="2" t="s">
        <v>6</v>
      </c>
      <c r="C43" s="18" t="s">
        <v>15</v>
      </c>
      <c r="D43" s="3">
        <v>417.76</v>
      </c>
      <c r="E43" s="3" t="s">
        <v>8</v>
      </c>
      <c r="F43" s="3">
        <v>35715</v>
      </c>
      <c r="G43" s="4">
        <v>3968</v>
      </c>
      <c r="H43" s="22">
        <v>45717</v>
      </c>
    </row>
    <row r="44" spans="1:8" x14ac:dyDescent="0.35">
      <c r="A44" s="1">
        <v>45839</v>
      </c>
      <c r="B44" s="2" t="s">
        <v>6</v>
      </c>
      <c r="C44" s="18" t="s">
        <v>15</v>
      </c>
      <c r="D44" s="3">
        <v>1.96</v>
      </c>
      <c r="E44" s="3" t="s">
        <v>8</v>
      </c>
      <c r="F44" s="3">
        <v>169</v>
      </c>
      <c r="G44" s="4">
        <v>3</v>
      </c>
      <c r="H44" s="22">
        <v>45717</v>
      </c>
    </row>
    <row r="45" spans="1:8" x14ac:dyDescent="0.35">
      <c r="A45" s="1">
        <v>45839</v>
      </c>
      <c r="B45" s="2" t="s">
        <v>6</v>
      </c>
      <c r="C45" s="18" t="s">
        <v>15</v>
      </c>
      <c r="D45" s="3">
        <v>14.5</v>
      </c>
      <c r="E45" s="3" t="s">
        <v>8</v>
      </c>
      <c r="F45" s="3">
        <v>1251</v>
      </c>
      <c r="G45" s="4">
        <v>26</v>
      </c>
      <c r="H45" s="22">
        <v>45717</v>
      </c>
    </row>
    <row r="46" spans="1:8" x14ac:dyDescent="0.35">
      <c r="A46" s="1">
        <v>45839</v>
      </c>
      <c r="B46" s="2" t="s">
        <v>6</v>
      </c>
      <c r="C46" s="18" t="s">
        <v>15</v>
      </c>
      <c r="D46" s="3">
        <v>12</v>
      </c>
      <c r="E46" s="3" t="s">
        <v>8</v>
      </c>
      <c r="F46" s="3">
        <v>1036</v>
      </c>
      <c r="G46" s="4">
        <v>21</v>
      </c>
      <c r="H46" s="22">
        <v>45717</v>
      </c>
    </row>
    <row r="47" spans="1:8" x14ac:dyDescent="0.35">
      <c r="A47" s="1">
        <v>45839</v>
      </c>
      <c r="B47" s="2" t="s">
        <v>6</v>
      </c>
      <c r="C47" s="18" t="s">
        <v>15</v>
      </c>
      <c r="D47" s="3">
        <v>14.7</v>
      </c>
      <c r="E47" s="3" t="s">
        <v>8</v>
      </c>
      <c r="F47" s="3">
        <v>1269</v>
      </c>
      <c r="G47" s="4">
        <v>26</v>
      </c>
      <c r="H47" s="22">
        <v>45717</v>
      </c>
    </row>
    <row r="48" spans="1:8" x14ac:dyDescent="0.35">
      <c r="A48" s="1">
        <v>45839</v>
      </c>
      <c r="B48" s="2" t="s">
        <v>6</v>
      </c>
      <c r="C48" s="18" t="s">
        <v>15</v>
      </c>
      <c r="D48" s="3">
        <v>8.91</v>
      </c>
      <c r="E48" s="3" t="s">
        <v>8</v>
      </c>
      <c r="F48" s="3">
        <v>769</v>
      </c>
      <c r="G48" s="4">
        <v>16</v>
      </c>
      <c r="H48" s="22">
        <v>45717</v>
      </c>
    </row>
    <row r="49" spans="1:8" x14ac:dyDescent="0.35">
      <c r="A49" s="1">
        <v>45839</v>
      </c>
      <c r="B49" s="2" t="s">
        <v>6</v>
      </c>
      <c r="C49" s="18" t="s">
        <v>15</v>
      </c>
      <c r="D49" s="3">
        <v>0.97</v>
      </c>
      <c r="E49" s="3" t="s">
        <v>8</v>
      </c>
      <c r="F49" s="3">
        <v>84</v>
      </c>
      <c r="G49" s="4">
        <v>2</v>
      </c>
      <c r="H49" s="22">
        <v>45717</v>
      </c>
    </row>
    <row r="50" spans="1:8" x14ac:dyDescent="0.35">
      <c r="A50" s="1">
        <v>45839</v>
      </c>
      <c r="B50" s="2" t="s">
        <v>6</v>
      </c>
      <c r="C50" s="18" t="s">
        <v>15</v>
      </c>
      <c r="D50" s="3">
        <v>12.98</v>
      </c>
      <c r="E50" s="3" t="s">
        <v>8</v>
      </c>
      <c r="F50" s="3">
        <v>1119</v>
      </c>
      <c r="G50" s="4">
        <v>23</v>
      </c>
      <c r="H50" s="22">
        <v>45717</v>
      </c>
    </row>
    <row r="51" spans="1:8" x14ac:dyDescent="0.35">
      <c r="A51" s="1">
        <v>45839</v>
      </c>
      <c r="B51" s="2" t="s">
        <v>6</v>
      </c>
      <c r="C51" s="18" t="s">
        <v>15</v>
      </c>
      <c r="D51" s="3">
        <v>37.729999999999997</v>
      </c>
      <c r="E51" s="3" t="s">
        <v>8</v>
      </c>
      <c r="F51" s="3">
        <v>3253</v>
      </c>
      <c r="G51" s="4">
        <v>66</v>
      </c>
      <c r="H51" s="22">
        <v>45717</v>
      </c>
    </row>
    <row r="52" spans="1:8" x14ac:dyDescent="0.35">
      <c r="A52" s="1">
        <v>45839</v>
      </c>
      <c r="B52" s="2" t="s">
        <v>6</v>
      </c>
      <c r="C52" s="18" t="s">
        <v>15</v>
      </c>
      <c r="D52" s="3">
        <v>29.4</v>
      </c>
      <c r="E52" s="3" t="s">
        <v>8</v>
      </c>
      <c r="F52" s="3">
        <v>2535</v>
      </c>
      <c r="G52" s="4">
        <v>52</v>
      </c>
      <c r="H52" s="22">
        <v>45717</v>
      </c>
    </row>
    <row r="53" spans="1:8" x14ac:dyDescent="0.35">
      <c r="A53" s="1">
        <v>45839</v>
      </c>
      <c r="B53" s="2" t="s">
        <v>6</v>
      </c>
      <c r="C53" s="18" t="s">
        <v>15</v>
      </c>
      <c r="D53" s="3">
        <v>10.29</v>
      </c>
      <c r="E53" s="3" t="s">
        <v>8</v>
      </c>
      <c r="F53" s="3">
        <v>888</v>
      </c>
      <c r="G53" s="4">
        <v>18</v>
      </c>
      <c r="H53" s="22">
        <v>45717</v>
      </c>
    </row>
    <row r="54" spans="1:8" x14ac:dyDescent="0.35">
      <c r="A54" s="1">
        <v>45839</v>
      </c>
      <c r="B54" s="2" t="s">
        <v>6</v>
      </c>
      <c r="C54" s="18" t="s">
        <v>15</v>
      </c>
      <c r="D54" s="3">
        <v>14.7</v>
      </c>
      <c r="E54" s="3" t="s">
        <v>8</v>
      </c>
      <c r="F54" s="3">
        <v>1269</v>
      </c>
      <c r="G54" s="4">
        <v>26</v>
      </c>
      <c r="H54" s="22">
        <v>45717</v>
      </c>
    </row>
    <row r="55" spans="1:8" x14ac:dyDescent="0.35">
      <c r="A55" s="1">
        <v>45839</v>
      </c>
      <c r="B55" s="2" t="s">
        <v>6</v>
      </c>
      <c r="C55" s="18" t="s">
        <v>15</v>
      </c>
      <c r="D55" s="3">
        <v>17.809999999999999</v>
      </c>
      <c r="E55" s="3" t="s">
        <v>8</v>
      </c>
      <c r="F55" s="3">
        <v>1537</v>
      </c>
      <c r="G55" s="4">
        <v>31</v>
      </c>
      <c r="H55" s="22">
        <v>45717</v>
      </c>
    </row>
    <row r="56" spans="1:8" x14ac:dyDescent="0.35">
      <c r="A56" s="1">
        <v>45839</v>
      </c>
      <c r="B56" s="2" t="s">
        <v>6</v>
      </c>
      <c r="C56" s="18" t="s">
        <v>15</v>
      </c>
      <c r="D56" s="3">
        <v>6.26</v>
      </c>
      <c r="E56" s="3" t="s">
        <v>8</v>
      </c>
      <c r="F56" s="3">
        <v>540</v>
      </c>
      <c r="G56" s="4">
        <v>11</v>
      </c>
      <c r="H56" s="22">
        <v>45717</v>
      </c>
    </row>
    <row r="57" spans="1:8" x14ac:dyDescent="0.35">
      <c r="A57" s="1">
        <v>45839</v>
      </c>
      <c r="B57" s="2" t="s">
        <v>6</v>
      </c>
      <c r="C57" s="18" t="s">
        <v>15</v>
      </c>
      <c r="D57" s="3">
        <v>58.79</v>
      </c>
      <c r="E57" s="3" t="s">
        <v>8</v>
      </c>
      <c r="F57" s="3">
        <v>5074</v>
      </c>
      <c r="G57" s="4">
        <v>104</v>
      </c>
      <c r="H57" s="22">
        <v>45717</v>
      </c>
    </row>
    <row r="58" spans="1:8" x14ac:dyDescent="0.35">
      <c r="A58" s="1">
        <v>45839</v>
      </c>
      <c r="B58" s="2" t="s">
        <v>6</v>
      </c>
      <c r="C58" s="18" t="s">
        <v>15</v>
      </c>
      <c r="D58" s="3">
        <v>6.86</v>
      </c>
      <c r="E58" s="3" t="s">
        <v>8</v>
      </c>
      <c r="F58" s="3">
        <v>592</v>
      </c>
      <c r="G58" s="4">
        <v>12</v>
      </c>
      <c r="H58" s="22">
        <v>45717</v>
      </c>
    </row>
    <row r="59" spans="1:8" x14ac:dyDescent="0.35">
      <c r="A59" s="1">
        <v>45839</v>
      </c>
      <c r="B59" s="2" t="s">
        <v>6</v>
      </c>
      <c r="C59" s="18" t="s">
        <v>15</v>
      </c>
      <c r="D59" s="3">
        <v>9.6999999999999993</v>
      </c>
      <c r="E59" s="3" t="s">
        <v>8</v>
      </c>
      <c r="F59" s="3">
        <v>837</v>
      </c>
      <c r="G59" s="4">
        <v>17</v>
      </c>
      <c r="H59" s="22">
        <v>45717</v>
      </c>
    </row>
    <row r="60" spans="1:8" x14ac:dyDescent="0.35">
      <c r="A60" s="1">
        <v>45839</v>
      </c>
      <c r="B60" s="2" t="s">
        <v>6</v>
      </c>
      <c r="C60" s="18" t="s">
        <v>15</v>
      </c>
      <c r="D60" s="3">
        <v>49.73</v>
      </c>
      <c r="E60" s="3" t="s">
        <v>8</v>
      </c>
      <c r="F60" s="3">
        <v>4292</v>
      </c>
      <c r="G60" s="4">
        <v>88</v>
      </c>
      <c r="H60" s="22">
        <v>45717</v>
      </c>
    </row>
    <row r="61" spans="1:8" x14ac:dyDescent="0.35">
      <c r="A61" s="1">
        <v>45839</v>
      </c>
      <c r="B61" s="2" t="s">
        <v>6</v>
      </c>
      <c r="C61" s="18" t="s">
        <v>15</v>
      </c>
      <c r="D61" s="3">
        <v>58.79</v>
      </c>
      <c r="E61" s="3" t="s">
        <v>8</v>
      </c>
      <c r="F61" s="3">
        <v>5074</v>
      </c>
      <c r="G61" s="4">
        <v>104</v>
      </c>
      <c r="H61" s="22">
        <v>45717</v>
      </c>
    </row>
    <row r="62" spans="1:8" x14ac:dyDescent="0.35">
      <c r="A62" s="1">
        <v>45839</v>
      </c>
      <c r="B62" s="2" t="s">
        <v>6</v>
      </c>
      <c r="C62" s="18" t="s">
        <v>15</v>
      </c>
      <c r="D62" s="3">
        <v>108.95</v>
      </c>
      <c r="E62" s="3" t="s">
        <v>8</v>
      </c>
      <c r="F62" s="3">
        <v>9403</v>
      </c>
      <c r="G62" s="4">
        <v>192</v>
      </c>
      <c r="H62" s="22">
        <v>45717</v>
      </c>
    </row>
    <row r="63" spans="1:8" x14ac:dyDescent="0.35">
      <c r="A63" s="1">
        <v>45839</v>
      </c>
      <c r="B63" s="2" t="s">
        <v>6</v>
      </c>
      <c r="C63" s="18" t="s">
        <v>15</v>
      </c>
      <c r="D63" s="3">
        <v>1.94</v>
      </c>
      <c r="E63" s="3" t="s">
        <v>8</v>
      </c>
      <c r="F63" s="3">
        <v>167</v>
      </c>
      <c r="G63" s="4">
        <v>3</v>
      </c>
      <c r="H63" s="22">
        <v>45717</v>
      </c>
    </row>
    <row r="64" spans="1:8" x14ac:dyDescent="0.35">
      <c r="A64" s="1">
        <v>45839</v>
      </c>
      <c r="B64" s="2" t="s">
        <v>6</v>
      </c>
      <c r="C64" s="18" t="s">
        <v>15</v>
      </c>
      <c r="D64" s="3">
        <v>58.79</v>
      </c>
      <c r="E64" s="3" t="s">
        <v>8</v>
      </c>
      <c r="F64" s="3">
        <v>5074</v>
      </c>
      <c r="G64" s="4">
        <v>104</v>
      </c>
      <c r="H64" s="22">
        <v>45717</v>
      </c>
    </row>
    <row r="65" spans="1:8" x14ac:dyDescent="0.35">
      <c r="A65" s="1">
        <v>45839</v>
      </c>
      <c r="B65" s="2" t="s">
        <v>6</v>
      </c>
      <c r="C65" s="18" t="s">
        <v>15</v>
      </c>
      <c r="D65" s="3">
        <v>42.14</v>
      </c>
      <c r="E65" s="3" t="s">
        <v>8</v>
      </c>
      <c r="F65" s="3">
        <v>3637</v>
      </c>
      <c r="G65" s="4">
        <v>74</v>
      </c>
      <c r="H65" s="22">
        <v>45717</v>
      </c>
    </row>
    <row r="66" spans="1:8" x14ac:dyDescent="0.35">
      <c r="A66" s="1">
        <v>45839</v>
      </c>
      <c r="B66" s="2" t="s">
        <v>6</v>
      </c>
      <c r="C66" s="18" t="s">
        <v>15</v>
      </c>
      <c r="D66" s="3">
        <v>46.35</v>
      </c>
      <c r="E66" s="3" t="s">
        <v>8</v>
      </c>
      <c r="F66" s="3">
        <v>4000</v>
      </c>
      <c r="G66" s="4">
        <v>82</v>
      </c>
      <c r="H66" s="22">
        <v>45717</v>
      </c>
    </row>
    <row r="67" spans="1:8" x14ac:dyDescent="0.35">
      <c r="A67" s="1">
        <v>45839</v>
      </c>
      <c r="B67" s="2" t="s">
        <v>6</v>
      </c>
      <c r="C67" s="18" t="s">
        <v>15</v>
      </c>
      <c r="D67" s="3">
        <v>92.71</v>
      </c>
      <c r="E67" s="3" t="s">
        <v>8</v>
      </c>
      <c r="F67" s="3">
        <v>8001</v>
      </c>
      <c r="G67" s="4">
        <v>163</v>
      </c>
      <c r="H67" s="22">
        <v>45717</v>
      </c>
    </row>
    <row r="68" spans="1:8" x14ac:dyDescent="0.35">
      <c r="A68" s="1">
        <v>45839</v>
      </c>
      <c r="B68" s="2" t="s">
        <v>6</v>
      </c>
      <c r="C68" s="18" t="s">
        <v>15</v>
      </c>
      <c r="D68" s="3">
        <v>50.57</v>
      </c>
      <c r="E68" s="3" t="s">
        <v>8</v>
      </c>
      <c r="F68" s="3">
        <v>4384</v>
      </c>
      <c r="G68" s="4">
        <v>89</v>
      </c>
      <c r="H68" s="22">
        <v>45717</v>
      </c>
    </row>
    <row r="69" spans="1:8" x14ac:dyDescent="0.35">
      <c r="A69" s="1">
        <v>45839</v>
      </c>
      <c r="B69" s="2" t="s">
        <v>6</v>
      </c>
      <c r="C69" s="18" t="s">
        <v>15</v>
      </c>
      <c r="D69" s="3">
        <v>50.57</v>
      </c>
      <c r="E69" s="3" t="s">
        <v>8</v>
      </c>
      <c r="F69" s="3">
        <v>4364</v>
      </c>
      <c r="G69" s="4">
        <v>89</v>
      </c>
      <c r="H69" s="22">
        <v>45717</v>
      </c>
    </row>
    <row r="70" spans="1:8" x14ac:dyDescent="0.35">
      <c r="A70" s="1">
        <v>45839</v>
      </c>
      <c r="B70" s="2" t="s">
        <v>6</v>
      </c>
      <c r="C70" s="18" t="s">
        <v>15</v>
      </c>
      <c r="D70" s="3">
        <v>6</v>
      </c>
      <c r="E70" s="3" t="s">
        <v>8</v>
      </c>
      <c r="F70" s="3">
        <v>518</v>
      </c>
      <c r="G70" s="4">
        <v>11</v>
      </c>
      <c r="H70" s="22">
        <v>45717</v>
      </c>
    </row>
    <row r="71" spans="1:8" x14ac:dyDescent="0.35">
      <c r="A71" s="1">
        <v>45839</v>
      </c>
      <c r="B71" s="2" t="s">
        <v>6</v>
      </c>
      <c r="C71" s="18" t="s">
        <v>15</v>
      </c>
      <c r="D71" s="3">
        <v>3.45</v>
      </c>
      <c r="E71" s="3" t="s">
        <v>8</v>
      </c>
      <c r="F71" s="3">
        <v>298</v>
      </c>
      <c r="G71" s="4">
        <v>6</v>
      </c>
      <c r="H71" s="22">
        <v>45717</v>
      </c>
    </row>
    <row r="72" spans="1:8" x14ac:dyDescent="0.35">
      <c r="A72" s="1">
        <v>45840</v>
      </c>
      <c r="B72" s="2" t="s">
        <v>6</v>
      </c>
      <c r="C72" s="18" t="s">
        <v>14</v>
      </c>
      <c r="D72" s="3">
        <v>1255.18</v>
      </c>
      <c r="E72" s="3" t="s">
        <v>8</v>
      </c>
      <c r="F72" s="3">
        <v>106977</v>
      </c>
      <c r="G72" s="4">
        <v>11886</v>
      </c>
      <c r="H72" s="22">
        <v>45689</v>
      </c>
    </row>
    <row r="73" spans="1:8" x14ac:dyDescent="0.35">
      <c r="A73" s="1">
        <v>45840</v>
      </c>
      <c r="B73" s="2" t="s">
        <v>6</v>
      </c>
      <c r="C73" s="18" t="s">
        <v>13</v>
      </c>
      <c r="D73" s="3">
        <v>2333.4699999999998</v>
      </c>
      <c r="E73" s="3" t="s">
        <v>8</v>
      </c>
      <c r="F73" s="3">
        <v>198877</v>
      </c>
      <c r="G73" s="4">
        <v>22098</v>
      </c>
      <c r="H73" s="22">
        <v>45658</v>
      </c>
    </row>
    <row r="74" spans="1:8" x14ac:dyDescent="0.35">
      <c r="A74" s="1">
        <v>45840</v>
      </c>
      <c r="B74" s="2" t="s">
        <v>6</v>
      </c>
      <c r="C74" s="18" t="s">
        <v>15</v>
      </c>
      <c r="D74" s="3">
        <v>974.38</v>
      </c>
      <c r="E74" s="3" t="s">
        <v>8</v>
      </c>
      <c r="F74" s="3">
        <v>83452</v>
      </c>
      <c r="G74" s="4">
        <v>9272</v>
      </c>
      <c r="H74" s="22">
        <v>45717</v>
      </c>
    </row>
    <row r="75" spans="1:8" x14ac:dyDescent="0.35">
      <c r="A75" s="1">
        <v>45840</v>
      </c>
      <c r="B75" s="2" t="s">
        <v>6</v>
      </c>
      <c r="C75" s="18" t="s">
        <v>16</v>
      </c>
      <c r="D75" s="3">
        <v>169.91</v>
      </c>
      <c r="E75" s="3" t="s">
        <v>8</v>
      </c>
      <c r="F75" s="3">
        <v>14552</v>
      </c>
      <c r="G75" s="4">
        <v>1617</v>
      </c>
      <c r="H75" s="22">
        <v>45748</v>
      </c>
    </row>
    <row r="76" spans="1:8" x14ac:dyDescent="0.35">
      <c r="A76" s="1">
        <v>45840</v>
      </c>
      <c r="B76" s="2" t="s">
        <v>6</v>
      </c>
      <c r="C76" s="18" t="s">
        <v>16</v>
      </c>
      <c r="D76" s="3">
        <v>1638.13</v>
      </c>
      <c r="E76" s="3" t="s">
        <v>8</v>
      </c>
      <c r="F76" s="3">
        <v>140371</v>
      </c>
      <c r="G76" s="4">
        <v>15597</v>
      </c>
      <c r="H76" s="22">
        <v>45748</v>
      </c>
    </row>
    <row r="77" spans="1:8" x14ac:dyDescent="0.35">
      <c r="A77" s="1">
        <v>45870</v>
      </c>
      <c r="B77" s="2" t="s">
        <v>6</v>
      </c>
      <c r="C77" s="18" t="s">
        <v>16</v>
      </c>
      <c r="D77" s="3">
        <v>5.15</v>
      </c>
      <c r="E77" s="3" t="s">
        <v>8</v>
      </c>
      <c r="F77" s="3">
        <v>441</v>
      </c>
      <c r="G77" s="4">
        <v>9</v>
      </c>
      <c r="H77" s="22">
        <v>45748</v>
      </c>
    </row>
    <row r="78" spans="1:8" x14ac:dyDescent="0.35">
      <c r="A78" s="1">
        <v>45870</v>
      </c>
      <c r="B78" s="2" t="s">
        <v>6</v>
      </c>
      <c r="C78" s="18" t="s">
        <v>16</v>
      </c>
      <c r="D78" s="3">
        <v>29.4</v>
      </c>
      <c r="E78" s="3" t="s">
        <v>8</v>
      </c>
      <c r="F78" s="3">
        <v>2518</v>
      </c>
      <c r="G78" s="4">
        <v>51</v>
      </c>
      <c r="H78" s="22">
        <v>45748</v>
      </c>
    </row>
    <row r="79" spans="1:8" x14ac:dyDescent="0.35">
      <c r="A79" s="1">
        <v>45870</v>
      </c>
      <c r="B79" s="2" t="s">
        <v>6</v>
      </c>
      <c r="C79" s="18" t="s">
        <v>16</v>
      </c>
      <c r="D79" s="3">
        <v>3.43</v>
      </c>
      <c r="E79" s="3" t="s">
        <v>8</v>
      </c>
      <c r="F79" s="3">
        <v>294</v>
      </c>
      <c r="G79" s="4">
        <v>6</v>
      </c>
      <c r="H79" s="22">
        <v>45748</v>
      </c>
    </row>
    <row r="80" spans="1:8" x14ac:dyDescent="0.35">
      <c r="A80" s="1">
        <v>45870</v>
      </c>
      <c r="B80" s="2" t="s">
        <v>6</v>
      </c>
      <c r="C80" s="18" t="s">
        <v>16</v>
      </c>
      <c r="D80" s="3">
        <v>0.98</v>
      </c>
      <c r="E80" s="3" t="s">
        <v>8</v>
      </c>
      <c r="F80" s="3">
        <v>84</v>
      </c>
      <c r="G80" s="4">
        <v>2</v>
      </c>
      <c r="H80" s="22">
        <v>45748</v>
      </c>
    </row>
    <row r="81" spans="1:8" x14ac:dyDescent="0.35">
      <c r="A81" s="1">
        <v>45870</v>
      </c>
      <c r="B81" s="2" t="s">
        <v>6</v>
      </c>
      <c r="C81" s="18" t="s">
        <v>16</v>
      </c>
      <c r="D81" s="3">
        <v>67.44</v>
      </c>
      <c r="E81" s="3" t="s">
        <v>8</v>
      </c>
      <c r="F81" s="3">
        <v>5779</v>
      </c>
      <c r="G81" s="4">
        <v>118</v>
      </c>
      <c r="H81" s="22">
        <v>45748</v>
      </c>
    </row>
    <row r="82" spans="1:8" x14ac:dyDescent="0.35">
      <c r="A82" s="1">
        <v>45870</v>
      </c>
      <c r="B82" s="2" t="s">
        <v>6</v>
      </c>
      <c r="C82" s="18" t="s">
        <v>16</v>
      </c>
      <c r="D82" s="3">
        <v>59.29</v>
      </c>
      <c r="E82" s="3" t="s">
        <v>8</v>
      </c>
      <c r="F82" s="3">
        <v>5081</v>
      </c>
      <c r="G82" s="4">
        <v>104</v>
      </c>
      <c r="H82" s="22">
        <v>45748</v>
      </c>
    </row>
    <row r="83" spans="1:8" x14ac:dyDescent="0.35">
      <c r="A83" s="1">
        <v>45870</v>
      </c>
      <c r="B83" s="2" t="s">
        <v>6</v>
      </c>
      <c r="C83" s="18" t="s">
        <v>16</v>
      </c>
      <c r="D83" s="3">
        <v>49</v>
      </c>
      <c r="E83" s="3" t="s">
        <v>8</v>
      </c>
      <c r="F83" s="3">
        <v>4199</v>
      </c>
      <c r="G83" s="4">
        <v>86</v>
      </c>
      <c r="H83" s="22">
        <v>45748</v>
      </c>
    </row>
    <row r="84" spans="1:8" x14ac:dyDescent="0.35">
      <c r="A84" s="1">
        <v>45870</v>
      </c>
      <c r="B84" s="2" t="s">
        <v>6</v>
      </c>
      <c r="C84" s="18" t="s">
        <v>16</v>
      </c>
      <c r="D84" s="3">
        <v>117.6</v>
      </c>
      <c r="E84" s="3" t="s">
        <v>8</v>
      </c>
      <c r="F84" s="3">
        <v>10077</v>
      </c>
      <c r="G84" s="4">
        <v>206</v>
      </c>
      <c r="H84" s="22">
        <v>45748</v>
      </c>
    </row>
    <row r="85" spans="1:8" x14ac:dyDescent="0.35">
      <c r="A85" s="1">
        <v>45870</v>
      </c>
      <c r="B85" s="2" t="s">
        <v>6</v>
      </c>
      <c r="C85" s="19" t="s">
        <v>16</v>
      </c>
      <c r="D85" s="5">
        <v>607.6</v>
      </c>
      <c r="E85" s="5" t="s">
        <v>8</v>
      </c>
      <c r="F85" s="5">
        <v>52814</v>
      </c>
      <c r="G85" s="4">
        <v>1078</v>
      </c>
      <c r="H85" s="22">
        <v>45748</v>
      </c>
    </row>
    <row r="86" spans="1:8" x14ac:dyDescent="0.35">
      <c r="A86" s="1">
        <v>45870</v>
      </c>
      <c r="B86" s="2" t="s">
        <v>6</v>
      </c>
      <c r="C86" s="18" t="s">
        <v>16</v>
      </c>
      <c r="D86" s="3">
        <v>1.72</v>
      </c>
      <c r="E86" s="3" t="s">
        <v>8</v>
      </c>
      <c r="F86" s="3">
        <v>147</v>
      </c>
      <c r="G86" s="4">
        <v>3</v>
      </c>
      <c r="H86" s="22">
        <v>45748</v>
      </c>
    </row>
    <row r="87" spans="1:8" x14ac:dyDescent="0.35">
      <c r="A87" s="1">
        <v>45870</v>
      </c>
      <c r="B87" s="2" t="s">
        <v>6</v>
      </c>
      <c r="C87" s="18" t="s">
        <v>16</v>
      </c>
      <c r="D87" s="3">
        <v>0.98</v>
      </c>
      <c r="E87" s="3" t="s">
        <v>8</v>
      </c>
      <c r="F87" s="3">
        <v>84</v>
      </c>
      <c r="G87" s="4">
        <v>2</v>
      </c>
      <c r="H87" s="22">
        <v>45748</v>
      </c>
    </row>
    <row r="88" spans="1:8" x14ac:dyDescent="0.35">
      <c r="A88" s="1">
        <v>45870</v>
      </c>
      <c r="B88" s="2" t="s">
        <v>6</v>
      </c>
      <c r="C88" s="18" t="s">
        <v>16</v>
      </c>
      <c r="D88" s="3">
        <v>14.7</v>
      </c>
      <c r="E88" s="3" t="s">
        <v>8</v>
      </c>
      <c r="F88" s="3">
        <v>1259</v>
      </c>
      <c r="G88" s="4">
        <v>26</v>
      </c>
      <c r="H88" s="22">
        <v>45748</v>
      </c>
    </row>
    <row r="89" spans="1:8" x14ac:dyDescent="0.35">
      <c r="A89" s="1">
        <v>45870</v>
      </c>
      <c r="B89" s="2" t="s">
        <v>6</v>
      </c>
      <c r="C89" s="18" t="s">
        <v>16</v>
      </c>
      <c r="D89" s="3">
        <v>6.94</v>
      </c>
      <c r="E89" s="3" t="s">
        <v>8</v>
      </c>
      <c r="F89" s="3">
        <v>594</v>
      </c>
      <c r="G89" s="4">
        <v>12</v>
      </c>
      <c r="H89" s="22">
        <v>45748</v>
      </c>
    </row>
    <row r="90" spans="1:8" x14ac:dyDescent="0.35">
      <c r="A90" s="1">
        <v>45870</v>
      </c>
      <c r="B90" s="2" t="s">
        <v>6</v>
      </c>
      <c r="C90" s="18" t="s">
        <v>16</v>
      </c>
      <c r="D90" s="3">
        <v>0.98</v>
      </c>
      <c r="E90" s="3" t="s">
        <v>8</v>
      </c>
      <c r="F90" s="3">
        <v>84</v>
      </c>
      <c r="G90" s="4">
        <v>2</v>
      </c>
      <c r="H90" s="22">
        <v>45748</v>
      </c>
    </row>
    <row r="91" spans="1:8" x14ac:dyDescent="0.35">
      <c r="A91" s="1">
        <v>45870</v>
      </c>
      <c r="B91" s="2" t="s">
        <v>6</v>
      </c>
      <c r="C91" s="18" t="s">
        <v>16</v>
      </c>
      <c r="D91" s="3">
        <v>479.77</v>
      </c>
      <c r="E91" s="3" t="s">
        <v>8</v>
      </c>
      <c r="F91" s="3">
        <v>41567</v>
      </c>
      <c r="G91" s="4">
        <v>848</v>
      </c>
      <c r="H91" s="22">
        <v>45748</v>
      </c>
    </row>
    <row r="92" spans="1:8" x14ac:dyDescent="0.35">
      <c r="A92" s="1">
        <v>45870</v>
      </c>
      <c r="B92" s="2" t="s">
        <v>6</v>
      </c>
      <c r="C92" s="18" t="s">
        <v>16</v>
      </c>
      <c r="D92" s="3">
        <v>12.6</v>
      </c>
      <c r="E92" s="3" t="s">
        <v>8</v>
      </c>
      <c r="F92" s="3">
        <v>1078</v>
      </c>
      <c r="G92" s="4">
        <v>22</v>
      </c>
      <c r="H92" s="22">
        <v>45748</v>
      </c>
    </row>
    <row r="93" spans="1:8" x14ac:dyDescent="0.35">
      <c r="A93" s="1">
        <v>45870</v>
      </c>
      <c r="B93" s="2" t="s">
        <v>6</v>
      </c>
      <c r="C93" s="18" t="s">
        <v>16</v>
      </c>
      <c r="D93" s="3">
        <v>17.39</v>
      </c>
      <c r="E93" s="3" t="s">
        <v>8</v>
      </c>
      <c r="F93" s="3">
        <v>1512</v>
      </c>
      <c r="G93" s="4">
        <v>31</v>
      </c>
      <c r="H93" s="22">
        <v>45748</v>
      </c>
    </row>
    <row r="94" spans="1:8" x14ac:dyDescent="0.35">
      <c r="A94" s="1">
        <v>45870</v>
      </c>
      <c r="B94" s="2" t="s">
        <v>6</v>
      </c>
      <c r="C94" s="18" t="s">
        <v>16</v>
      </c>
      <c r="D94" s="3">
        <v>42.15</v>
      </c>
      <c r="E94" s="3" t="s">
        <v>8</v>
      </c>
      <c r="F94" s="3">
        <v>3664</v>
      </c>
      <c r="G94" s="4">
        <v>75</v>
      </c>
      <c r="H94" s="22">
        <v>45748</v>
      </c>
    </row>
    <row r="95" spans="1:8" x14ac:dyDescent="0.35">
      <c r="A95" s="1">
        <v>45870</v>
      </c>
      <c r="B95" s="2" t="s">
        <v>6</v>
      </c>
      <c r="C95" s="18" t="s">
        <v>16</v>
      </c>
      <c r="D95" s="3">
        <v>5.92</v>
      </c>
      <c r="E95" s="3" t="s">
        <v>8</v>
      </c>
      <c r="F95" s="3">
        <v>515</v>
      </c>
      <c r="G95" s="4">
        <v>11</v>
      </c>
      <c r="H95" s="22">
        <v>45748</v>
      </c>
    </row>
    <row r="96" spans="1:8" x14ac:dyDescent="0.35">
      <c r="A96" s="1">
        <v>45870</v>
      </c>
      <c r="B96" s="2" t="s">
        <v>6</v>
      </c>
      <c r="C96" s="18" t="s">
        <v>16</v>
      </c>
      <c r="D96" s="3">
        <v>185.42</v>
      </c>
      <c r="E96" s="3" t="s">
        <v>8</v>
      </c>
      <c r="F96" s="3">
        <v>16117</v>
      </c>
      <c r="G96" s="4">
        <v>329</v>
      </c>
      <c r="H96" s="22">
        <v>45748</v>
      </c>
    </row>
    <row r="97" spans="1:8" x14ac:dyDescent="0.35">
      <c r="A97" s="1">
        <v>45870</v>
      </c>
      <c r="B97" s="2" t="s">
        <v>6</v>
      </c>
      <c r="C97" s="18" t="s">
        <v>17</v>
      </c>
      <c r="D97" s="3">
        <v>388.85</v>
      </c>
      <c r="E97" s="3" t="s">
        <v>8</v>
      </c>
      <c r="F97" s="3">
        <v>33169</v>
      </c>
      <c r="G97" s="4">
        <v>677</v>
      </c>
      <c r="H97" s="22">
        <v>45778</v>
      </c>
    </row>
    <row r="98" spans="1:8" x14ac:dyDescent="0.35">
      <c r="A98" s="1">
        <v>45870</v>
      </c>
      <c r="B98" s="2" t="s">
        <v>6</v>
      </c>
      <c r="C98" s="19" t="s">
        <v>17</v>
      </c>
      <c r="D98" s="5">
        <v>535.08000000000004</v>
      </c>
      <c r="E98" s="5" t="s">
        <v>8</v>
      </c>
      <c r="F98" s="5">
        <v>46008</v>
      </c>
      <c r="G98" s="4">
        <v>939</v>
      </c>
      <c r="H98" s="22">
        <v>45778</v>
      </c>
    </row>
    <row r="99" spans="1:8" x14ac:dyDescent="0.35">
      <c r="A99" s="1">
        <v>45870</v>
      </c>
      <c r="B99" s="2" t="s">
        <v>6</v>
      </c>
      <c r="C99" s="18" t="s">
        <v>17</v>
      </c>
      <c r="D99" s="3">
        <v>86.97</v>
      </c>
      <c r="E99" s="3" t="s">
        <v>8</v>
      </c>
      <c r="F99" s="3">
        <v>7478</v>
      </c>
      <c r="G99" s="4">
        <v>153</v>
      </c>
      <c r="H99" s="22">
        <v>45778</v>
      </c>
    </row>
    <row r="100" spans="1:8" x14ac:dyDescent="0.35">
      <c r="A100" s="1">
        <v>45870</v>
      </c>
      <c r="B100" s="2" t="s">
        <v>6</v>
      </c>
      <c r="C100" s="18" t="s">
        <v>18</v>
      </c>
      <c r="D100" s="3">
        <v>361.5</v>
      </c>
      <c r="E100" s="3" t="s">
        <v>8</v>
      </c>
      <c r="F100" s="3">
        <v>30905</v>
      </c>
      <c r="G100" s="4">
        <v>631</v>
      </c>
      <c r="H100" s="22">
        <v>45809</v>
      </c>
    </row>
    <row r="101" spans="1:8" x14ac:dyDescent="0.35">
      <c r="A101" s="1">
        <v>45870</v>
      </c>
      <c r="B101" s="2" t="s">
        <v>6</v>
      </c>
      <c r="C101" s="18" t="s">
        <v>18</v>
      </c>
      <c r="D101" s="3">
        <v>186.41</v>
      </c>
      <c r="E101" s="3" t="s">
        <v>8</v>
      </c>
      <c r="F101" s="3">
        <v>15936</v>
      </c>
      <c r="G101" s="4">
        <v>325</v>
      </c>
      <c r="H101" s="22">
        <v>45809</v>
      </c>
    </row>
    <row r="102" spans="1:8" x14ac:dyDescent="0.35">
      <c r="A102" s="1">
        <v>45870</v>
      </c>
      <c r="B102" s="2" t="s">
        <v>6</v>
      </c>
      <c r="C102" s="18" t="s">
        <v>18</v>
      </c>
      <c r="D102" s="3">
        <v>126.73</v>
      </c>
      <c r="E102" s="3" t="s">
        <v>8</v>
      </c>
      <c r="F102" s="3">
        <v>10834</v>
      </c>
      <c r="G102" s="4">
        <v>221</v>
      </c>
      <c r="H102" s="22">
        <v>45809</v>
      </c>
    </row>
    <row r="103" spans="1:8" x14ac:dyDescent="0.35">
      <c r="A103" s="1">
        <v>45870</v>
      </c>
      <c r="B103" s="2" t="s">
        <v>6</v>
      </c>
      <c r="C103" s="18" t="s">
        <v>18</v>
      </c>
      <c r="D103" s="3">
        <v>45.29</v>
      </c>
      <c r="E103" s="3" t="s">
        <v>8</v>
      </c>
      <c r="F103" s="3">
        <v>3872</v>
      </c>
      <c r="G103" s="4">
        <v>79</v>
      </c>
      <c r="H103" s="22">
        <v>45809</v>
      </c>
    </row>
    <row r="104" spans="1:8" x14ac:dyDescent="0.35">
      <c r="A104" s="1">
        <v>45870</v>
      </c>
      <c r="B104" s="2" t="s">
        <v>6</v>
      </c>
      <c r="C104" s="18" t="s">
        <v>18</v>
      </c>
      <c r="D104" s="3">
        <v>6.88</v>
      </c>
      <c r="E104" s="3" t="s">
        <v>8</v>
      </c>
      <c r="F104" s="3">
        <v>588</v>
      </c>
      <c r="G104" s="4">
        <v>12</v>
      </c>
      <c r="H104" s="22">
        <v>45809</v>
      </c>
    </row>
    <row r="105" spans="1:8" x14ac:dyDescent="0.35">
      <c r="A105" s="1">
        <v>45870</v>
      </c>
      <c r="B105" s="2" t="s">
        <v>6</v>
      </c>
      <c r="C105" s="19" t="s">
        <v>18</v>
      </c>
      <c r="D105" s="5">
        <v>599.14</v>
      </c>
      <c r="E105" s="5" t="s">
        <v>8</v>
      </c>
      <c r="F105" s="5">
        <v>51221</v>
      </c>
      <c r="G105" s="4">
        <v>1045</v>
      </c>
      <c r="H105" s="22">
        <v>45809</v>
      </c>
    </row>
    <row r="106" spans="1:8" x14ac:dyDescent="0.35">
      <c r="A106" s="1">
        <v>45870</v>
      </c>
      <c r="B106" s="2" t="s">
        <v>6</v>
      </c>
      <c r="C106" s="18" t="s">
        <v>18</v>
      </c>
      <c r="D106" s="3">
        <v>107.8</v>
      </c>
      <c r="E106" s="3" t="s">
        <v>8</v>
      </c>
      <c r="F106" s="3">
        <v>9282</v>
      </c>
      <c r="G106" s="4">
        <v>189</v>
      </c>
      <c r="H106" s="22">
        <v>45809</v>
      </c>
    </row>
    <row r="107" spans="1:8" x14ac:dyDescent="0.35">
      <c r="A107" s="1">
        <v>45870</v>
      </c>
      <c r="B107" s="2" t="s">
        <v>6</v>
      </c>
      <c r="C107" s="18" t="s">
        <v>18</v>
      </c>
      <c r="D107" s="3">
        <v>282.04000000000002</v>
      </c>
      <c r="E107" s="3" t="s">
        <v>8</v>
      </c>
      <c r="F107" s="3">
        <v>24284</v>
      </c>
      <c r="G107" s="4">
        <v>496</v>
      </c>
      <c r="H107" s="22">
        <v>45809</v>
      </c>
    </row>
    <row r="108" spans="1:8" x14ac:dyDescent="0.35">
      <c r="A108" s="1">
        <v>45871</v>
      </c>
      <c r="B108" s="2" t="s">
        <v>6</v>
      </c>
      <c r="C108" s="18" t="s">
        <v>17</v>
      </c>
      <c r="D108" s="3">
        <v>1620</v>
      </c>
      <c r="E108" s="3" t="s">
        <v>8</v>
      </c>
      <c r="F108" s="3">
        <v>139294</v>
      </c>
      <c r="G108" s="4">
        <v>15477</v>
      </c>
      <c r="H108" s="22">
        <v>45778</v>
      </c>
    </row>
    <row r="109" spans="1:8" x14ac:dyDescent="0.35">
      <c r="A109" s="1">
        <v>45871</v>
      </c>
      <c r="B109" s="2" t="s">
        <v>6</v>
      </c>
      <c r="C109" s="18" t="s">
        <v>18</v>
      </c>
      <c r="D109" s="3">
        <v>1116.3699999999999</v>
      </c>
      <c r="E109" s="3" t="s">
        <v>8</v>
      </c>
      <c r="F109" s="3">
        <v>95439</v>
      </c>
      <c r="G109" s="4">
        <v>10604</v>
      </c>
      <c r="H109" s="22">
        <v>45809</v>
      </c>
    </row>
    <row r="110" spans="1:8" x14ac:dyDescent="0.35">
      <c r="A110" s="1">
        <v>45871</v>
      </c>
      <c r="B110" s="2" t="s">
        <v>6</v>
      </c>
      <c r="C110" s="18" t="s">
        <v>18</v>
      </c>
      <c r="D110" s="3">
        <v>1620</v>
      </c>
      <c r="E110" s="3" t="s">
        <v>8</v>
      </c>
      <c r="F110" s="3">
        <v>138495</v>
      </c>
      <c r="G110" s="4">
        <v>15388</v>
      </c>
      <c r="H110" s="22">
        <v>45809</v>
      </c>
    </row>
    <row r="111" spans="1:8" x14ac:dyDescent="0.35">
      <c r="A111" s="1">
        <v>45931</v>
      </c>
      <c r="B111" s="2" t="s">
        <v>6</v>
      </c>
      <c r="C111" s="18" t="s">
        <v>16</v>
      </c>
      <c r="D111" s="3">
        <v>1351.62</v>
      </c>
      <c r="E111" s="3" t="s">
        <v>8</v>
      </c>
      <c r="F111" s="3">
        <v>116217</v>
      </c>
      <c r="G111" s="4">
        <v>12913</v>
      </c>
      <c r="H111" s="22">
        <v>45748</v>
      </c>
    </row>
    <row r="112" spans="1:8" x14ac:dyDescent="0.35">
      <c r="A112" s="1">
        <v>45931</v>
      </c>
      <c r="B112" s="2" t="s">
        <v>6</v>
      </c>
      <c r="C112" s="18" t="s">
        <v>18</v>
      </c>
      <c r="D112" s="3">
        <v>1369.06</v>
      </c>
      <c r="E112" s="3" t="s">
        <v>8</v>
      </c>
      <c r="F112" s="3">
        <v>117740</v>
      </c>
      <c r="G112" s="4">
        <v>13082</v>
      </c>
      <c r="H112" s="22">
        <v>45809</v>
      </c>
    </row>
    <row r="113" spans="1:8" x14ac:dyDescent="0.35">
      <c r="A113" s="1">
        <v>45931</v>
      </c>
      <c r="B113" s="2" t="s">
        <v>6</v>
      </c>
      <c r="C113" s="18" t="s">
        <v>19</v>
      </c>
      <c r="D113" s="3">
        <v>1140.75</v>
      </c>
      <c r="E113" s="3" t="s">
        <v>8</v>
      </c>
      <c r="F113" s="3">
        <v>98139</v>
      </c>
      <c r="G113" s="4">
        <v>10904</v>
      </c>
      <c r="H113" s="22">
        <v>45839</v>
      </c>
    </row>
    <row r="114" spans="1:8" x14ac:dyDescent="0.35">
      <c r="A114" s="1">
        <v>45931</v>
      </c>
      <c r="B114" s="2" t="s">
        <v>6</v>
      </c>
      <c r="C114" s="18" t="s">
        <v>19</v>
      </c>
      <c r="D114" s="3">
        <v>1620</v>
      </c>
      <c r="E114" s="3" t="s">
        <v>8</v>
      </c>
      <c r="F114" s="3">
        <v>139321</v>
      </c>
      <c r="G114" s="4">
        <v>15480</v>
      </c>
      <c r="H114" s="22">
        <v>45839</v>
      </c>
    </row>
    <row r="115" spans="1:8" x14ac:dyDescent="0.35">
      <c r="A115" s="1">
        <v>45931</v>
      </c>
      <c r="B115" s="2" t="s">
        <v>6</v>
      </c>
      <c r="C115" s="18" t="s">
        <v>20</v>
      </c>
      <c r="D115" s="3">
        <v>1620</v>
      </c>
      <c r="E115" s="3" t="s">
        <v>8</v>
      </c>
      <c r="F115" s="3">
        <v>139369</v>
      </c>
      <c r="G115" s="4">
        <v>15485</v>
      </c>
      <c r="H115" s="22">
        <v>45870</v>
      </c>
    </row>
    <row r="116" spans="1:8" x14ac:dyDescent="0.35">
      <c r="A116" s="1">
        <v>45931</v>
      </c>
      <c r="B116" s="2" t="s">
        <v>6</v>
      </c>
      <c r="C116" s="18" t="s">
        <v>17</v>
      </c>
      <c r="D116" s="3">
        <v>418.5</v>
      </c>
      <c r="E116" s="3" t="s">
        <v>8</v>
      </c>
      <c r="F116" s="3">
        <v>35991</v>
      </c>
      <c r="G116" s="4">
        <v>3999</v>
      </c>
      <c r="H116" s="22">
        <v>45778</v>
      </c>
    </row>
    <row r="117" spans="1:8" x14ac:dyDescent="0.35">
      <c r="A117" s="1">
        <v>45932</v>
      </c>
      <c r="B117" s="2" t="s">
        <v>6</v>
      </c>
      <c r="C117" s="18" t="s">
        <v>18</v>
      </c>
      <c r="D117" s="3">
        <v>14.98</v>
      </c>
      <c r="E117" s="3" t="s">
        <v>8</v>
      </c>
      <c r="F117" s="3">
        <v>1288</v>
      </c>
      <c r="G117" s="4">
        <v>26</v>
      </c>
      <c r="H117" s="22">
        <v>45809</v>
      </c>
    </row>
    <row r="118" spans="1:8" x14ac:dyDescent="0.35">
      <c r="A118" s="1">
        <v>45932</v>
      </c>
      <c r="B118" s="2" t="s">
        <v>6</v>
      </c>
      <c r="C118" s="18" t="s">
        <v>18</v>
      </c>
      <c r="D118" s="3">
        <v>65.45</v>
      </c>
      <c r="E118" s="3" t="s">
        <v>8</v>
      </c>
      <c r="F118" s="3">
        <v>5629</v>
      </c>
      <c r="G118" s="4">
        <v>115</v>
      </c>
      <c r="H118" s="22">
        <v>45809</v>
      </c>
    </row>
    <row r="119" spans="1:8" x14ac:dyDescent="0.35">
      <c r="A119" s="1">
        <v>45932</v>
      </c>
      <c r="B119" s="2" t="s">
        <v>6</v>
      </c>
      <c r="C119" s="19" t="s">
        <v>18</v>
      </c>
      <c r="D119" s="5">
        <v>312.25</v>
      </c>
      <c r="E119" s="5" t="s">
        <v>8</v>
      </c>
      <c r="F119" s="5">
        <v>26854</v>
      </c>
      <c r="G119" s="4">
        <v>548</v>
      </c>
      <c r="H119" s="22">
        <v>45809</v>
      </c>
    </row>
    <row r="120" spans="1:8" x14ac:dyDescent="0.35">
      <c r="A120" s="1">
        <v>45932</v>
      </c>
      <c r="B120" s="2" t="s">
        <v>6</v>
      </c>
      <c r="C120" s="18" t="s">
        <v>18</v>
      </c>
      <c r="D120" s="3">
        <v>51.17</v>
      </c>
      <c r="E120" s="3" t="s">
        <v>8</v>
      </c>
      <c r="F120" s="3">
        <v>4401</v>
      </c>
      <c r="G120" s="4">
        <v>90</v>
      </c>
      <c r="H120" s="22">
        <v>45809</v>
      </c>
    </row>
    <row r="121" spans="1:8" x14ac:dyDescent="0.35">
      <c r="A121" s="1">
        <v>45932</v>
      </c>
      <c r="B121" s="2" t="s">
        <v>6</v>
      </c>
      <c r="C121" s="18" t="s">
        <v>18</v>
      </c>
      <c r="D121" s="3">
        <v>161.44</v>
      </c>
      <c r="E121" s="3" t="s">
        <v>8</v>
      </c>
      <c r="F121" s="3">
        <v>13884</v>
      </c>
      <c r="G121" s="4">
        <v>283</v>
      </c>
      <c r="H121" s="22">
        <v>45809</v>
      </c>
    </row>
    <row r="122" spans="1:8" x14ac:dyDescent="0.35">
      <c r="A122" s="1">
        <v>45932</v>
      </c>
      <c r="B122" s="2" t="s">
        <v>6</v>
      </c>
      <c r="C122" s="18" t="s">
        <v>18</v>
      </c>
      <c r="D122" s="3">
        <v>171.88</v>
      </c>
      <c r="E122" s="3" t="s">
        <v>8</v>
      </c>
      <c r="F122" s="3">
        <v>14782</v>
      </c>
      <c r="G122" s="4">
        <v>302</v>
      </c>
      <c r="H122" s="22">
        <v>45809</v>
      </c>
    </row>
    <row r="123" spans="1:8" x14ac:dyDescent="0.35">
      <c r="A123" s="1">
        <v>45932</v>
      </c>
      <c r="B123" s="2" t="s">
        <v>6</v>
      </c>
      <c r="C123" s="18" t="s">
        <v>18</v>
      </c>
      <c r="D123" s="3">
        <v>108.73</v>
      </c>
      <c r="E123" s="3" t="s">
        <v>8</v>
      </c>
      <c r="F123" s="3">
        <v>9351</v>
      </c>
      <c r="G123" s="4">
        <v>191</v>
      </c>
      <c r="H123" s="22">
        <v>45809</v>
      </c>
    </row>
    <row r="124" spans="1:8" x14ac:dyDescent="0.35">
      <c r="A124" s="1">
        <v>45932</v>
      </c>
      <c r="B124" s="2" t="s">
        <v>6</v>
      </c>
      <c r="C124" s="19" t="s">
        <v>19</v>
      </c>
      <c r="D124" s="5">
        <v>196</v>
      </c>
      <c r="E124" s="5" t="s">
        <v>8</v>
      </c>
      <c r="F124" s="5">
        <v>16856</v>
      </c>
      <c r="G124" s="4">
        <v>344</v>
      </c>
      <c r="H124" s="22">
        <v>45839</v>
      </c>
    </row>
    <row r="125" spans="1:8" x14ac:dyDescent="0.35">
      <c r="A125" s="1">
        <v>45932</v>
      </c>
      <c r="B125" s="2" t="s">
        <v>6</v>
      </c>
      <c r="C125" s="18" t="s">
        <v>19</v>
      </c>
      <c r="D125" s="3">
        <v>25.57</v>
      </c>
      <c r="E125" s="3" t="s">
        <v>8</v>
      </c>
      <c r="F125" s="3">
        <v>2199</v>
      </c>
      <c r="G125" s="4">
        <v>45</v>
      </c>
      <c r="H125" s="22">
        <v>45839</v>
      </c>
    </row>
    <row r="126" spans="1:8" x14ac:dyDescent="0.35">
      <c r="A126" s="1">
        <v>45932</v>
      </c>
      <c r="B126" s="2" t="s">
        <v>6</v>
      </c>
      <c r="C126" s="18" t="s">
        <v>19</v>
      </c>
      <c r="D126" s="3">
        <v>72.27</v>
      </c>
      <c r="E126" s="3" t="s">
        <v>8</v>
      </c>
      <c r="F126" s="3">
        <v>6215</v>
      </c>
      <c r="G126" s="4">
        <v>127</v>
      </c>
      <c r="H126" s="22">
        <v>45839</v>
      </c>
    </row>
    <row r="127" spans="1:8" x14ac:dyDescent="0.35">
      <c r="A127" s="1">
        <v>45932</v>
      </c>
      <c r="B127" s="2" t="s">
        <v>6</v>
      </c>
      <c r="C127" s="19" t="s">
        <v>19</v>
      </c>
      <c r="D127" s="5">
        <v>234.41</v>
      </c>
      <c r="E127" s="5" t="s">
        <v>8</v>
      </c>
      <c r="F127" s="5">
        <v>20159</v>
      </c>
      <c r="G127" s="4">
        <v>411</v>
      </c>
      <c r="H127" s="22">
        <v>45839</v>
      </c>
    </row>
    <row r="128" spans="1:8" x14ac:dyDescent="0.35">
      <c r="A128" s="1">
        <v>45932</v>
      </c>
      <c r="B128" s="2" t="s">
        <v>6</v>
      </c>
      <c r="C128" s="18" t="s">
        <v>19</v>
      </c>
      <c r="D128" s="3">
        <v>2.7</v>
      </c>
      <c r="E128" s="3" t="s">
        <v>8</v>
      </c>
      <c r="F128" s="3">
        <v>232</v>
      </c>
      <c r="G128" s="4">
        <v>5</v>
      </c>
      <c r="H128" s="22">
        <v>45839</v>
      </c>
    </row>
    <row r="129" spans="1:8" x14ac:dyDescent="0.35">
      <c r="A129" s="1">
        <v>45932</v>
      </c>
      <c r="B129" s="2" t="s">
        <v>6</v>
      </c>
      <c r="C129" s="18" t="s">
        <v>17</v>
      </c>
      <c r="D129" s="3">
        <v>28.67</v>
      </c>
      <c r="E129" s="3" t="s">
        <v>8</v>
      </c>
      <c r="F129" s="3">
        <v>2466</v>
      </c>
      <c r="G129" s="4">
        <v>50</v>
      </c>
      <c r="H129" s="22">
        <v>45778</v>
      </c>
    </row>
    <row r="130" spans="1:8" x14ac:dyDescent="0.35">
      <c r="A130" s="1">
        <v>45932</v>
      </c>
      <c r="B130" s="2" t="s">
        <v>6</v>
      </c>
      <c r="C130" s="18" t="s">
        <v>17</v>
      </c>
      <c r="D130" s="3">
        <v>148.55000000000001</v>
      </c>
      <c r="E130" s="3" t="s">
        <v>8</v>
      </c>
      <c r="F130" s="3">
        <v>12698</v>
      </c>
      <c r="G130" s="4">
        <v>259</v>
      </c>
      <c r="H130" s="22">
        <v>45778</v>
      </c>
    </row>
    <row r="131" spans="1:8" x14ac:dyDescent="0.35">
      <c r="A131" s="1">
        <v>45932</v>
      </c>
      <c r="B131" s="2" t="s">
        <v>6</v>
      </c>
      <c r="C131" s="18" t="s">
        <v>19</v>
      </c>
      <c r="D131" s="3">
        <v>25.75</v>
      </c>
      <c r="E131" s="3" t="s">
        <v>8</v>
      </c>
      <c r="F131" s="3">
        <v>2215</v>
      </c>
      <c r="G131" s="4">
        <v>45</v>
      </c>
      <c r="H131" s="22">
        <v>45839</v>
      </c>
    </row>
    <row r="132" spans="1:8" x14ac:dyDescent="0.35">
      <c r="A132" s="1">
        <v>45932</v>
      </c>
      <c r="B132" s="2" t="s">
        <v>6</v>
      </c>
      <c r="C132" s="18" t="s">
        <v>19</v>
      </c>
      <c r="D132" s="3">
        <v>100.28</v>
      </c>
      <c r="E132" s="3" t="s">
        <v>8</v>
      </c>
      <c r="F132" s="3">
        <v>8627</v>
      </c>
      <c r="G132" s="4">
        <v>176</v>
      </c>
      <c r="H132" s="22">
        <v>45839</v>
      </c>
    </row>
    <row r="133" spans="1:8" x14ac:dyDescent="0.35">
      <c r="A133" s="1">
        <v>45932</v>
      </c>
      <c r="B133" s="2" t="s">
        <v>6</v>
      </c>
      <c r="C133" s="18" t="s">
        <v>19</v>
      </c>
      <c r="D133" s="3">
        <v>22.25</v>
      </c>
      <c r="E133" s="3" t="s">
        <v>8</v>
      </c>
      <c r="F133" s="3">
        <v>1914</v>
      </c>
      <c r="G133" s="4">
        <v>39</v>
      </c>
      <c r="H133" s="22">
        <v>45839</v>
      </c>
    </row>
    <row r="134" spans="1:8" x14ac:dyDescent="0.35">
      <c r="A134" s="1">
        <v>45932</v>
      </c>
      <c r="B134" s="2" t="s">
        <v>6</v>
      </c>
      <c r="C134" s="18" t="s">
        <v>19</v>
      </c>
      <c r="D134" s="3">
        <v>351.14</v>
      </c>
      <c r="E134" s="3" t="s">
        <v>8</v>
      </c>
      <c r="F134" s="3">
        <v>30209</v>
      </c>
      <c r="G134" s="4">
        <v>617</v>
      </c>
      <c r="H134" s="22">
        <v>45839</v>
      </c>
    </row>
    <row r="135" spans="1:8" x14ac:dyDescent="0.35">
      <c r="A135" s="1">
        <v>45932</v>
      </c>
      <c r="B135" s="2" t="s">
        <v>6</v>
      </c>
      <c r="C135" s="18" t="s">
        <v>19</v>
      </c>
      <c r="D135" s="3">
        <v>13.43</v>
      </c>
      <c r="E135" s="3" t="s">
        <v>8</v>
      </c>
      <c r="F135" s="3">
        <v>1155</v>
      </c>
      <c r="G135" s="4">
        <v>24</v>
      </c>
      <c r="H135" s="22">
        <v>45839</v>
      </c>
    </row>
    <row r="136" spans="1:8" x14ac:dyDescent="0.35">
      <c r="A136" s="1">
        <v>45932</v>
      </c>
      <c r="B136" s="2" t="s">
        <v>6</v>
      </c>
      <c r="C136" s="18" t="s">
        <v>19</v>
      </c>
      <c r="D136" s="3">
        <v>55.2</v>
      </c>
      <c r="E136" s="3" t="s">
        <v>8</v>
      </c>
      <c r="F136" s="3">
        <v>4749</v>
      </c>
      <c r="G136" s="4">
        <v>97</v>
      </c>
      <c r="H136" s="22">
        <v>45839</v>
      </c>
    </row>
    <row r="137" spans="1:8" x14ac:dyDescent="0.35">
      <c r="A137" s="1">
        <v>45932</v>
      </c>
      <c r="B137" s="2" t="s">
        <v>6</v>
      </c>
      <c r="C137" s="18" t="s">
        <v>20</v>
      </c>
      <c r="D137" s="3">
        <v>17.39</v>
      </c>
      <c r="E137" s="3" t="s">
        <v>8</v>
      </c>
      <c r="F137" s="3">
        <v>1496</v>
      </c>
      <c r="G137" s="4">
        <v>31</v>
      </c>
      <c r="H137" s="22">
        <v>45870</v>
      </c>
    </row>
    <row r="138" spans="1:8" x14ac:dyDescent="0.35">
      <c r="A138" s="1">
        <v>45932</v>
      </c>
      <c r="B138" s="2" t="s">
        <v>6</v>
      </c>
      <c r="C138" s="18" t="s">
        <v>20</v>
      </c>
      <c r="D138" s="3">
        <v>49.05</v>
      </c>
      <c r="E138" s="3" t="s">
        <v>8</v>
      </c>
      <c r="F138" s="3">
        <v>4220</v>
      </c>
      <c r="G138" s="4">
        <v>86</v>
      </c>
      <c r="H138" s="22">
        <v>45870</v>
      </c>
    </row>
    <row r="139" spans="1:8" x14ac:dyDescent="0.35">
      <c r="A139" s="1">
        <v>45962</v>
      </c>
      <c r="B139" s="2" t="s">
        <v>6</v>
      </c>
      <c r="C139" s="18" t="s">
        <v>20</v>
      </c>
      <c r="D139" s="3">
        <v>73.63</v>
      </c>
      <c r="E139" s="3" t="s">
        <v>8</v>
      </c>
      <c r="F139" s="3">
        <v>6444</v>
      </c>
      <c r="G139" s="4">
        <v>131</v>
      </c>
      <c r="H139" s="22">
        <v>45870</v>
      </c>
    </row>
    <row r="140" spans="1:8" x14ac:dyDescent="0.35">
      <c r="A140" s="1">
        <v>45962</v>
      </c>
      <c r="B140" s="2" t="s">
        <v>6</v>
      </c>
      <c r="C140" s="19" t="s">
        <v>20</v>
      </c>
      <c r="D140" s="5">
        <v>137.19999999999999</v>
      </c>
      <c r="E140" s="5" t="s">
        <v>8</v>
      </c>
      <c r="F140" s="5">
        <v>12007</v>
      </c>
      <c r="G140" s="4">
        <v>245</v>
      </c>
      <c r="H140" s="22">
        <v>45870</v>
      </c>
    </row>
    <row r="141" spans="1:8" x14ac:dyDescent="0.35">
      <c r="A141" s="1">
        <v>45962</v>
      </c>
      <c r="B141" s="2" t="s">
        <v>6</v>
      </c>
      <c r="C141" s="18" t="s">
        <v>20</v>
      </c>
      <c r="D141" s="3">
        <v>105.96</v>
      </c>
      <c r="E141" s="3" t="s">
        <v>8</v>
      </c>
      <c r="F141" s="3">
        <v>9273</v>
      </c>
      <c r="G141" s="4">
        <v>189</v>
      </c>
      <c r="H141" s="22">
        <v>45870</v>
      </c>
    </row>
    <row r="142" spans="1:8" x14ac:dyDescent="0.35">
      <c r="A142" s="1">
        <v>45962</v>
      </c>
      <c r="B142" s="2" t="s">
        <v>6</v>
      </c>
      <c r="C142" s="19" t="s">
        <v>20</v>
      </c>
      <c r="D142" s="5">
        <v>566.83000000000004</v>
      </c>
      <c r="E142" s="5" t="s">
        <v>8</v>
      </c>
      <c r="F142" s="5">
        <v>49606</v>
      </c>
      <c r="G142" s="4">
        <v>1012</v>
      </c>
      <c r="H142" s="22">
        <v>45870</v>
      </c>
    </row>
    <row r="143" spans="1:8" x14ac:dyDescent="0.35">
      <c r="A143" s="1">
        <v>45962</v>
      </c>
      <c r="B143" s="2" t="s">
        <v>6</v>
      </c>
      <c r="C143" s="18" t="s">
        <v>20</v>
      </c>
      <c r="D143" s="3">
        <v>13.24</v>
      </c>
      <c r="E143" s="3" t="s">
        <v>8</v>
      </c>
      <c r="F143" s="3">
        <v>1159</v>
      </c>
      <c r="G143" s="4">
        <v>24</v>
      </c>
      <c r="H143" s="22">
        <v>45870</v>
      </c>
    </row>
    <row r="144" spans="1:8" x14ac:dyDescent="0.35">
      <c r="A144" s="1">
        <v>45962</v>
      </c>
      <c r="B144" s="2" t="s">
        <v>6</v>
      </c>
      <c r="C144" s="18" t="s">
        <v>21</v>
      </c>
      <c r="D144" s="3">
        <v>1299.67</v>
      </c>
      <c r="E144" s="3" t="s">
        <v>8</v>
      </c>
      <c r="F144" s="3">
        <v>113740</v>
      </c>
      <c r="G144" s="4">
        <v>2321</v>
      </c>
      <c r="H144" s="22">
        <v>45901</v>
      </c>
    </row>
    <row r="145" spans="1:8" x14ac:dyDescent="0.35">
      <c r="A145" s="1">
        <v>45962</v>
      </c>
      <c r="B145" s="2" t="s">
        <v>6</v>
      </c>
      <c r="C145" s="18" t="s">
        <v>21</v>
      </c>
      <c r="D145" s="3">
        <v>40.47</v>
      </c>
      <c r="E145" s="3" t="s">
        <v>8</v>
      </c>
      <c r="F145" s="3">
        <v>3542</v>
      </c>
      <c r="G145" s="4">
        <v>72</v>
      </c>
      <c r="H145" s="22">
        <v>45901</v>
      </c>
    </row>
    <row r="146" spans="1:8" x14ac:dyDescent="0.35">
      <c r="A146" s="1">
        <v>45962</v>
      </c>
      <c r="B146" s="2" t="s">
        <v>6</v>
      </c>
      <c r="C146" s="18" t="s">
        <v>21</v>
      </c>
      <c r="D146" s="3">
        <v>153.69999999999999</v>
      </c>
      <c r="E146" s="3" t="s">
        <v>8</v>
      </c>
      <c r="F146" s="3">
        <v>13451</v>
      </c>
      <c r="G146" s="4">
        <v>275</v>
      </c>
      <c r="H146" s="22">
        <v>45901</v>
      </c>
    </row>
    <row r="147" spans="1:8" x14ac:dyDescent="0.35">
      <c r="A147" s="1">
        <v>45962</v>
      </c>
      <c r="B147" s="2" t="s">
        <v>6</v>
      </c>
      <c r="C147" s="18" t="s">
        <v>21</v>
      </c>
      <c r="D147" s="3">
        <v>29.3</v>
      </c>
      <c r="E147" s="3" t="s">
        <v>8</v>
      </c>
      <c r="F147" s="3">
        <v>2584</v>
      </c>
      <c r="G147" s="4">
        <v>53</v>
      </c>
      <c r="H147" s="22">
        <v>45901</v>
      </c>
    </row>
    <row r="148" spans="1:8" x14ac:dyDescent="0.35">
      <c r="A148" s="1">
        <v>45962</v>
      </c>
      <c r="B148" s="2" t="s">
        <v>6</v>
      </c>
      <c r="C148" s="18" t="s">
        <v>21</v>
      </c>
      <c r="D148" s="3">
        <v>152.96</v>
      </c>
      <c r="E148" s="3" t="s">
        <v>8</v>
      </c>
      <c r="F148" s="3">
        <v>13490</v>
      </c>
      <c r="G148" s="4">
        <v>275</v>
      </c>
      <c r="H148" s="22">
        <v>45901</v>
      </c>
    </row>
    <row r="149" spans="1:8" x14ac:dyDescent="0.35">
      <c r="A149" s="1">
        <v>45962</v>
      </c>
      <c r="B149" s="2" t="s">
        <v>6</v>
      </c>
      <c r="C149" s="18" t="s">
        <v>21</v>
      </c>
      <c r="D149" s="3">
        <v>548.79</v>
      </c>
      <c r="E149" s="3" t="s">
        <v>8</v>
      </c>
      <c r="F149" s="3">
        <v>48398</v>
      </c>
      <c r="G149" s="4">
        <v>988</v>
      </c>
      <c r="H149" s="22">
        <v>45901</v>
      </c>
    </row>
    <row r="150" spans="1:8" x14ac:dyDescent="0.35">
      <c r="A150" s="1">
        <v>45962</v>
      </c>
      <c r="B150" s="2" t="s">
        <v>6</v>
      </c>
      <c r="C150" s="18" t="s">
        <v>21</v>
      </c>
      <c r="D150" s="3">
        <v>50.31</v>
      </c>
      <c r="E150" s="3" t="s">
        <v>8</v>
      </c>
      <c r="F150" s="3">
        <v>4437</v>
      </c>
      <c r="G150" s="4">
        <v>91</v>
      </c>
      <c r="H150" s="22">
        <v>45901</v>
      </c>
    </row>
    <row r="151" spans="1:8" x14ac:dyDescent="0.35">
      <c r="A151" s="1">
        <v>45962</v>
      </c>
      <c r="B151" s="2" t="s">
        <v>6</v>
      </c>
      <c r="C151" s="18" t="s">
        <v>22</v>
      </c>
      <c r="D151" s="3">
        <v>45.98</v>
      </c>
      <c r="E151" s="3" t="s">
        <v>8</v>
      </c>
      <c r="F151" s="3">
        <v>4055</v>
      </c>
      <c r="G151" s="4">
        <v>83</v>
      </c>
      <c r="H151" s="22">
        <v>45931</v>
      </c>
    </row>
    <row r="152" spans="1:8" x14ac:dyDescent="0.35">
      <c r="A152" s="1">
        <v>45962</v>
      </c>
      <c r="B152" s="2" t="s">
        <v>6</v>
      </c>
      <c r="C152" s="18" t="s">
        <v>22</v>
      </c>
      <c r="D152" s="3">
        <v>13.32</v>
      </c>
      <c r="E152" s="3" t="s">
        <v>8</v>
      </c>
      <c r="F152" s="3">
        <v>1175</v>
      </c>
      <c r="G152" s="4">
        <v>24</v>
      </c>
      <c r="H152" s="22">
        <v>45931</v>
      </c>
    </row>
    <row r="153" spans="1:8" x14ac:dyDescent="0.35">
      <c r="A153" s="1">
        <v>45962</v>
      </c>
      <c r="B153" s="2" t="s">
        <v>6</v>
      </c>
      <c r="C153" s="19" t="s">
        <v>22</v>
      </c>
      <c r="D153" s="5">
        <v>230.31</v>
      </c>
      <c r="E153" s="5" t="s">
        <v>8</v>
      </c>
      <c r="F153" s="5">
        <v>20311</v>
      </c>
      <c r="G153" s="4">
        <v>414</v>
      </c>
      <c r="H153" s="22">
        <v>45931</v>
      </c>
    </row>
    <row r="154" spans="1:8" x14ac:dyDescent="0.35">
      <c r="A154" s="1">
        <v>45962</v>
      </c>
      <c r="B154" s="2" t="s">
        <v>6</v>
      </c>
      <c r="C154" s="18" t="s">
        <v>22</v>
      </c>
      <c r="D154" s="3">
        <v>53.25</v>
      </c>
      <c r="E154" s="3" t="s">
        <v>8</v>
      </c>
      <c r="F154" s="3">
        <v>4696</v>
      </c>
      <c r="G154" s="4">
        <v>96</v>
      </c>
      <c r="H154" s="22">
        <v>45931</v>
      </c>
    </row>
    <row r="155" spans="1:8" x14ac:dyDescent="0.35">
      <c r="A155" s="1">
        <v>45962</v>
      </c>
      <c r="B155" s="2" t="s">
        <v>6</v>
      </c>
      <c r="C155" s="19" t="s">
        <v>21</v>
      </c>
      <c r="D155" s="5">
        <v>265.42</v>
      </c>
      <c r="E155" s="5" t="s">
        <v>8</v>
      </c>
      <c r="F155" s="5">
        <v>23408</v>
      </c>
      <c r="G155" s="4">
        <v>478</v>
      </c>
      <c r="H155" s="22">
        <v>45901</v>
      </c>
    </row>
    <row r="156" spans="1:8" x14ac:dyDescent="0.35">
      <c r="A156" s="1">
        <v>45962</v>
      </c>
      <c r="B156" s="2" t="s">
        <v>6</v>
      </c>
      <c r="C156" s="19" t="s">
        <v>22</v>
      </c>
      <c r="D156" s="5">
        <v>241.98</v>
      </c>
      <c r="E156" s="5" t="s">
        <v>8</v>
      </c>
      <c r="F156" s="5">
        <v>21340</v>
      </c>
      <c r="G156" s="4">
        <v>436</v>
      </c>
      <c r="H156" s="22">
        <v>45931</v>
      </c>
    </row>
    <row r="157" spans="1:8" x14ac:dyDescent="0.35">
      <c r="A157" s="1">
        <v>45964</v>
      </c>
      <c r="B157" s="2" t="s">
        <v>6</v>
      </c>
      <c r="C157" s="19" t="s">
        <v>22</v>
      </c>
      <c r="D157" s="5">
        <v>450.69</v>
      </c>
      <c r="E157" s="5" t="s">
        <v>8</v>
      </c>
      <c r="F157" s="5">
        <v>39662</v>
      </c>
      <c r="G157" s="4">
        <v>809</v>
      </c>
      <c r="H157" s="22">
        <v>45931</v>
      </c>
    </row>
    <row r="158" spans="1:8" x14ac:dyDescent="0.35">
      <c r="A158" s="1">
        <v>45966</v>
      </c>
      <c r="B158" s="2" t="s">
        <v>6</v>
      </c>
      <c r="C158" s="18" t="s">
        <v>22</v>
      </c>
      <c r="D158" s="3">
        <v>13.26</v>
      </c>
      <c r="E158" s="3" t="s">
        <v>8</v>
      </c>
      <c r="F158" s="3">
        <v>1167</v>
      </c>
      <c r="G158" s="4">
        <v>24</v>
      </c>
      <c r="H158" s="22">
        <v>45931</v>
      </c>
    </row>
    <row r="159" spans="1:8" x14ac:dyDescent="0.35">
      <c r="A159" s="1">
        <v>45966</v>
      </c>
      <c r="B159" s="2" t="s">
        <v>6</v>
      </c>
      <c r="C159" s="19" t="s">
        <v>22</v>
      </c>
      <c r="D159" s="5">
        <v>137.19999999999999</v>
      </c>
      <c r="E159" s="5" t="s">
        <v>8</v>
      </c>
      <c r="F159" s="5">
        <v>12074</v>
      </c>
      <c r="G159" s="4">
        <v>246</v>
      </c>
      <c r="H159" s="22">
        <v>45931</v>
      </c>
    </row>
    <row r="160" spans="1:8" x14ac:dyDescent="0.35">
      <c r="A160" s="1">
        <v>45966</v>
      </c>
      <c r="B160" s="2" t="s">
        <v>6</v>
      </c>
      <c r="C160" s="18" t="s">
        <v>22</v>
      </c>
      <c r="D160" s="3">
        <v>34.29</v>
      </c>
      <c r="E160" s="3" t="s">
        <v>8</v>
      </c>
      <c r="F160" s="3">
        <v>3018</v>
      </c>
      <c r="G160" s="4">
        <v>62</v>
      </c>
      <c r="H160" s="22">
        <v>45931</v>
      </c>
    </row>
    <row r="161" spans="1:8" x14ac:dyDescent="0.35">
      <c r="A161" s="1">
        <v>45966</v>
      </c>
      <c r="B161" s="2" t="s">
        <v>6</v>
      </c>
      <c r="C161" s="19" t="s">
        <v>22</v>
      </c>
      <c r="D161" s="5">
        <v>316.18</v>
      </c>
      <c r="E161" s="5" t="s">
        <v>8</v>
      </c>
      <c r="F161" s="5">
        <v>27825</v>
      </c>
      <c r="G161" s="4">
        <v>568</v>
      </c>
      <c r="H161" s="22">
        <v>45931</v>
      </c>
    </row>
    <row r="162" spans="1:8" x14ac:dyDescent="0.35">
      <c r="A162" s="1">
        <v>45966</v>
      </c>
      <c r="B162" s="2" t="s">
        <v>6</v>
      </c>
      <c r="C162" s="18" t="s">
        <v>22</v>
      </c>
      <c r="D162" s="3">
        <v>13.03</v>
      </c>
      <c r="E162" s="3" t="s">
        <v>8</v>
      </c>
      <c r="F162" s="3">
        <v>1147</v>
      </c>
      <c r="G162" s="4">
        <v>23</v>
      </c>
      <c r="H162" s="22">
        <v>45931</v>
      </c>
    </row>
    <row r="163" spans="1:8" x14ac:dyDescent="0.35">
      <c r="A163" s="1">
        <v>45966</v>
      </c>
      <c r="B163" s="2" t="s">
        <v>6</v>
      </c>
      <c r="C163" s="18" t="s">
        <v>22</v>
      </c>
      <c r="D163" s="3">
        <v>193.29</v>
      </c>
      <c r="E163" s="3" t="s">
        <v>8</v>
      </c>
      <c r="F163" s="3">
        <v>17010</v>
      </c>
      <c r="G163" s="4">
        <v>347</v>
      </c>
      <c r="H163" s="22">
        <v>45931</v>
      </c>
    </row>
    <row r="164" spans="1:8" x14ac:dyDescent="0.35">
      <c r="A164" s="1">
        <v>45966</v>
      </c>
      <c r="B164" s="2" t="s">
        <v>6</v>
      </c>
      <c r="C164" s="18" t="s">
        <v>22</v>
      </c>
      <c r="D164" s="3">
        <v>143.27000000000001</v>
      </c>
      <c r="E164" s="3" t="s">
        <v>8</v>
      </c>
      <c r="F164" s="3">
        <v>12608</v>
      </c>
      <c r="G164" s="4">
        <v>257</v>
      </c>
      <c r="H164" s="22">
        <v>45931</v>
      </c>
    </row>
    <row r="165" spans="1:8" x14ac:dyDescent="0.35">
      <c r="A165" s="1">
        <v>45967</v>
      </c>
      <c r="B165" s="2" t="s">
        <v>6</v>
      </c>
      <c r="C165" s="18" t="s">
        <v>21</v>
      </c>
      <c r="D165" s="3">
        <v>1620</v>
      </c>
      <c r="E165" s="3" t="s">
        <v>8</v>
      </c>
      <c r="F165" s="3">
        <v>141773</v>
      </c>
      <c r="G165" s="4">
        <v>15753</v>
      </c>
      <c r="H165" s="22">
        <v>45901</v>
      </c>
    </row>
    <row r="166" spans="1:8" x14ac:dyDescent="0.35">
      <c r="A166" s="1">
        <v>45967</v>
      </c>
      <c r="B166" s="2" t="s">
        <v>6</v>
      </c>
      <c r="C166" s="18" t="s">
        <v>20</v>
      </c>
      <c r="D166" s="3">
        <v>989.12</v>
      </c>
      <c r="E166" s="3" t="s">
        <v>8</v>
      </c>
      <c r="F166" s="3">
        <v>86562</v>
      </c>
      <c r="G166" s="4">
        <v>9618</v>
      </c>
      <c r="H166" s="22">
        <v>45870</v>
      </c>
    </row>
    <row r="167" spans="1:8" x14ac:dyDescent="0.35">
      <c r="A167" s="1">
        <v>45967</v>
      </c>
      <c r="B167" s="2" t="s">
        <v>6</v>
      </c>
      <c r="C167" s="18" t="s">
        <v>21</v>
      </c>
      <c r="D167" s="3">
        <v>1196.96</v>
      </c>
      <c r="E167" s="3" t="s">
        <v>8</v>
      </c>
      <c r="F167" s="3">
        <v>105561</v>
      </c>
      <c r="G167" s="4">
        <v>11729</v>
      </c>
      <c r="H167" s="22">
        <v>45901</v>
      </c>
    </row>
    <row r="168" spans="1:8" x14ac:dyDescent="0.35">
      <c r="A168" s="1">
        <v>45992</v>
      </c>
      <c r="B168" s="2" t="s">
        <v>6</v>
      </c>
      <c r="C168" s="18" t="s">
        <v>22</v>
      </c>
      <c r="D168" s="3">
        <v>1620</v>
      </c>
      <c r="E168" s="3" t="s">
        <v>8</v>
      </c>
      <c r="F168" s="3">
        <v>142869</v>
      </c>
      <c r="G168" s="4">
        <v>15874</v>
      </c>
      <c r="H168" s="22">
        <v>45931</v>
      </c>
    </row>
    <row r="169" spans="1:8" x14ac:dyDescent="0.35">
      <c r="A169" s="1">
        <v>45992</v>
      </c>
      <c r="B169" s="2" t="s">
        <v>6</v>
      </c>
      <c r="C169" s="18" t="s">
        <v>23</v>
      </c>
      <c r="D169" s="3">
        <v>1619.99</v>
      </c>
      <c r="E169" s="3" t="s">
        <v>8</v>
      </c>
      <c r="F169" s="3">
        <v>142565</v>
      </c>
      <c r="G169" s="4">
        <v>15841</v>
      </c>
      <c r="H169" s="22">
        <v>45962</v>
      </c>
    </row>
    <row r="170" spans="1:8" x14ac:dyDescent="0.35">
      <c r="A170" s="1">
        <v>45992</v>
      </c>
      <c r="B170" s="2" t="s">
        <v>6</v>
      </c>
      <c r="C170" s="18" t="s">
        <v>22</v>
      </c>
      <c r="D170" s="3">
        <v>961.68</v>
      </c>
      <c r="E170" s="3" t="s">
        <v>8</v>
      </c>
      <c r="F170" s="3">
        <v>84631</v>
      </c>
      <c r="G170" s="4">
        <v>9404</v>
      </c>
      <c r="H170" s="22">
        <v>45931</v>
      </c>
    </row>
  </sheetData>
  <autoFilter ref="A1:I1" xr:uid="{FBAB5F95-D90B-451C-B12A-45F96A7135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</vt:lpstr>
      <vt:lpstr>ASCENDUS</vt:lpstr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2026-02-02T12:09:37Z</dcterms:created>
  <dcterms:modified xsi:type="dcterms:W3CDTF">2026-02-02T13:09:37Z</dcterms:modified>
</cp:coreProperties>
</file>