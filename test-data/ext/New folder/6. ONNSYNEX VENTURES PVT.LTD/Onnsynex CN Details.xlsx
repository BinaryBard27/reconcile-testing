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6. ONNSYNEX VENTURES PVT.LTD\"/>
    </mc:Choice>
  </mc:AlternateContent>
  <xr:revisionPtr revIDLastSave="0" documentId="13_ncr:1_{44AFCD81-755C-49DA-A1C7-7797A5ECBDFD}" xr6:coauthVersionLast="47" xr6:coauthVersionMax="47" xr10:uidLastSave="{00000000-0000-0000-0000-000000000000}"/>
  <bookViews>
    <workbookView xWindow="-110" yWindow="-110" windowWidth="21820" windowHeight="14020" activeTab="1" xr2:uid="{4F4224CA-42A0-40B8-95F7-B0189B0E679F}"/>
  </bookViews>
  <sheets>
    <sheet name="Summary" sheetId="5" r:id="rId1"/>
    <sheet name="IBC Storage" sheetId="2" r:id="rId2"/>
    <sheet name="IBC LCL" sheetId="3" r:id="rId3"/>
    <sheet name="Oct CY Storage" sheetId="4" r:id="rId4"/>
  </sheets>
  <definedNames>
    <definedName name="_xlnm._FilterDatabase" localSheetId="1" hidden="1">'IBC Storage'!$B$1:$N$289</definedName>
    <definedName name="_xlnm._FilterDatabase" localSheetId="3" hidden="1">'Oct CY Storage'!$A$2:$AG$2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9" i="2" l="1"/>
  <c r="K290" i="2"/>
  <c r="K288" i="2"/>
  <c r="K289" i="2"/>
  <c r="K287" i="2"/>
  <c r="G2" i="2"/>
  <c r="C5" i="5"/>
  <c r="AG26" i="4"/>
  <c r="AF8" i="4"/>
  <c r="AG8" i="4" s="1"/>
  <c r="AF10" i="4"/>
  <c r="AG10" i="4" s="1"/>
  <c r="AF18" i="4"/>
  <c r="AG18" i="4" s="1"/>
  <c r="AB24" i="4"/>
  <c r="AE24" i="4"/>
  <c r="A29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AC23" i="4"/>
  <c r="AF23" i="4" s="1"/>
  <c r="AG23" i="4" s="1"/>
  <c r="AC22" i="4"/>
  <c r="AF22" i="4" s="1"/>
  <c r="AG22" i="4" s="1"/>
  <c r="AC21" i="4"/>
  <c r="AF21" i="4" s="1"/>
  <c r="AG21" i="4" s="1"/>
  <c r="AC20" i="4"/>
  <c r="AF20" i="4" s="1"/>
  <c r="AG20" i="4" s="1"/>
  <c r="AC19" i="4"/>
  <c r="AF19" i="4" s="1"/>
  <c r="AG19" i="4" s="1"/>
  <c r="AC18" i="4"/>
  <c r="AC17" i="4"/>
  <c r="AF17" i="4" s="1"/>
  <c r="AG17" i="4" s="1"/>
  <c r="AC16" i="4"/>
  <c r="AF16" i="4" s="1"/>
  <c r="AG16" i="4" s="1"/>
  <c r="AC15" i="4"/>
  <c r="AF15" i="4" s="1"/>
  <c r="AG15" i="4" s="1"/>
  <c r="AC14" i="4"/>
  <c r="AF14" i="4" s="1"/>
  <c r="AG14" i="4" s="1"/>
  <c r="AC13" i="4"/>
  <c r="AF13" i="4" s="1"/>
  <c r="AG13" i="4" s="1"/>
  <c r="AC12" i="4"/>
  <c r="AF12" i="4" s="1"/>
  <c r="AG12" i="4" s="1"/>
  <c r="AC11" i="4"/>
  <c r="AF11" i="4" s="1"/>
  <c r="AG11" i="4" s="1"/>
  <c r="AC10" i="4"/>
  <c r="AC9" i="4"/>
  <c r="AF9" i="4" s="1"/>
  <c r="AG9" i="4" s="1"/>
  <c r="AC8" i="4"/>
  <c r="AC7" i="4"/>
  <c r="AF7" i="4" s="1"/>
  <c r="AG7" i="4" s="1"/>
  <c r="AC6" i="4"/>
  <c r="AF6" i="4" s="1"/>
  <c r="AG6" i="4" s="1"/>
  <c r="AC5" i="4"/>
  <c r="AF5" i="4" s="1"/>
  <c r="AG5" i="4" s="1"/>
  <c r="AC4" i="4"/>
  <c r="AF4" i="4" s="1"/>
  <c r="AG4" i="4" s="1"/>
  <c r="AC3" i="4"/>
  <c r="AC24" i="4" s="1"/>
  <c r="AF3" i="4" l="1"/>
  <c r="AG3" i="4" s="1"/>
  <c r="AG24" i="4" s="1"/>
  <c r="V26" i="3"/>
  <c r="X25" i="3"/>
  <c r="K25" i="3"/>
  <c r="AA25" i="3" s="1"/>
  <c r="X24" i="3"/>
  <c r="K24" i="3"/>
  <c r="W24" i="3" s="1"/>
  <c r="Y24" i="3" s="1"/>
  <c r="X23" i="3"/>
  <c r="K23" i="3"/>
  <c r="AA23" i="3" s="1"/>
  <c r="X22" i="3"/>
  <c r="K22" i="3"/>
  <c r="AA22" i="3" s="1"/>
  <c r="X21" i="3"/>
  <c r="K21" i="3"/>
  <c r="W21" i="3" s="1"/>
  <c r="X20" i="3"/>
  <c r="K20" i="3"/>
  <c r="W20" i="3" s="1"/>
  <c r="X19" i="3"/>
  <c r="K19" i="3"/>
  <c r="AA19" i="3" s="1"/>
  <c r="X18" i="3"/>
  <c r="K18" i="3"/>
  <c r="AA18" i="3" s="1"/>
  <c r="X17" i="3"/>
  <c r="K17" i="3"/>
  <c r="W17" i="3" s="1"/>
  <c r="X16" i="3"/>
  <c r="K16" i="3"/>
  <c r="AA16" i="3" s="1"/>
  <c r="X15" i="3"/>
  <c r="K15" i="3"/>
  <c r="AA15" i="3" s="1"/>
  <c r="X14" i="3"/>
  <c r="K14" i="3"/>
  <c r="AA14" i="3" s="1"/>
  <c r="X13" i="3"/>
  <c r="K13" i="3"/>
  <c r="W13" i="3" s="1"/>
  <c r="X12" i="3"/>
  <c r="K12" i="3"/>
  <c r="W12" i="3" s="1"/>
  <c r="X11" i="3"/>
  <c r="K11" i="3"/>
  <c r="AA11" i="3" s="1"/>
  <c r="X10" i="3"/>
  <c r="K10" i="3"/>
  <c r="AA10" i="3" s="1"/>
  <c r="X9" i="3"/>
  <c r="K9" i="3"/>
  <c r="AA9" i="3" s="1"/>
  <c r="X8" i="3"/>
  <c r="K8" i="3"/>
  <c r="AA8" i="3" s="1"/>
  <c r="X7" i="3"/>
  <c r="K7" i="3"/>
  <c r="W7" i="3" s="1"/>
  <c r="X6" i="3"/>
  <c r="K6" i="3"/>
  <c r="AA6" i="3" s="1"/>
  <c r="X5" i="3"/>
  <c r="K5" i="3"/>
  <c r="W5" i="3" s="1"/>
  <c r="X4" i="3"/>
  <c r="K4" i="3"/>
  <c r="W4" i="3" s="1"/>
  <c r="Y4" i="3" s="1"/>
  <c r="X3" i="3"/>
  <c r="K3" i="3"/>
  <c r="AA3" i="3" s="1"/>
  <c r="X2" i="3"/>
  <c r="K2" i="3"/>
  <c r="W2" i="3" s="1"/>
  <c r="G16" i="2"/>
  <c r="Y5" i="3" l="1"/>
  <c r="Y13" i="3"/>
  <c r="AA21" i="3"/>
  <c r="AA13" i="3"/>
  <c r="AA7" i="3"/>
  <c r="AA2" i="3"/>
  <c r="AA4" i="3"/>
  <c r="AB4" i="3" s="1"/>
  <c r="AA24" i="3"/>
  <c r="AB24" i="3" s="1"/>
  <c r="AA12" i="3"/>
  <c r="Y21" i="3"/>
  <c r="AA20" i="3"/>
  <c r="AA17" i="3"/>
  <c r="AA5" i="3"/>
  <c r="Y2" i="3"/>
  <c r="Y20" i="3"/>
  <c r="W22" i="3"/>
  <c r="W19" i="3"/>
  <c r="Y7" i="3"/>
  <c r="W14" i="3"/>
  <c r="Y12" i="3"/>
  <c r="AB12" i="3" s="1"/>
  <c r="Y19" i="3"/>
  <c r="AB19" i="3" s="1"/>
  <c r="Y17" i="3"/>
  <c r="W6" i="3"/>
  <c r="W18" i="3"/>
  <c r="W8" i="3"/>
  <c r="W15" i="3"/>
  <c r="W9" i="3"/>
  <c r="W16" i="3"/>
  <c r="W11" i="3"/>
  <c r="W23" i="3"/>
  <c r="W25" i="3"/>
  <c r="W3" i="3"/>
  <c r="W26" i="3" s="1"/>
  <c r="W10" i="3"/>
  <c r="AB5" i="3" l="1"/>
  <c r="AB7" i="3"/>
  <c r="AB13" i="3"/>
  <c r="AB20" i="3"/>
  <c r="AB21" i="3"/>
  <c r="AB17" i="3"/>
  <c r="AB2" i="3"/>
  <c r="AA26" i="3"/>
  <c r="Y3" i="3"/>
  <c r="AB3" i="3" s="1"/>
  <c r="Y18" i="3"/>
  <c r="AB18" i="3" s="1"/>
  <c r="Y25" i="3"/>
  <c r="AB25" i="3" s="1"/>
  <c r="Y23" i="3"/>
  <c r="AB23" i="3" s="1"/>
  <c r="Y11" i="3"/>
  <c r="AB11" i="3" s="1"/>
  <c r="Y10" i="3"/>
  <c r="AB10" i="3" s="1"/>
  <c r="Y14" i="3"/>
  <c r="AB14" i="3" s="1"/>
  <c r="Y22" i="3"/>
  <c r="AB22" i="3" s="1"/>
  <c r="Y15" i="3"/>
  <c r="AB15" i="3" s="1"/>
  <c r="Y6" i="3"/>
  <c r="AB6" i="3" s="1"/>
  <c r="Y16" i="3"/>
  <c r="AB16" i="3" s="1"/>
  <c r="Y9" i="3"/>
  <c r="AB9" i="3" s="1"/>
  <c r="Y8" i="3"/>
  <c r="AB8" i="3" s="1"/>
  <c r="Y26" i="3" l="1"/>
  <c r="AB26" i="3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89" i="2"/>
  <c r="G288" i="2"/>
  <c r="G287" i="2"/>
  <c r="G286" i="2"/>
  <c r="G285" i="2"/>
  <c r="G284" i="2"/>
  <c r="G283" i="2"/>
  <c r="G282" i="2"/>
  <c r="G281" i="2"/>
  <c r="K281" i="2" s="1"/>
  <c r="G280" i="2"/>
  <c r="G279" i="2"/>
  <c r="G278" i="2"/>
  <c r="G277" i="2"/>
  <c r="G276" i="2"/>
  <c r="G275" i="2"/>
  <c r="G274" i="2"/>
  <c r="G273" i="2"/>
  <c r="K273" i="2" s="1"/>
  <c r="G272" i="2"/>
  <c r="G271" i="2"/>
  <c r="G270" i="2"/>
  <c r="G269" i="2"/>
  <c r="G268" i="2"/>
  <c r="G267" i="2"/>
  <c r="G266" i="2"/>
  <c r="G265" i="2"/>
  <c r="K265" i="2" s="1"/>
  <c r="G264" i="2"/>
  <c r="G263" i="2"/>
  <c r="G262" i="2"/>
  <c r="G261" i="2"/>
  <c r="G260" i="2"/>
  <c r="G259" i="2"/>
  <c r="G258" i="2"/>
  <c r="G257" i="2"/>
  <c r="K257" i="2" s="1"/>
  <c r="G256" i="2"/>
  <c r="G255" i="2"/>
  <c r="G254" i="2"/>
  <c r="G253" i="2"/>
  <c r="G252" i="2"/>
  <c r="G251" i="2"/>
  <c r="G250" i="2"/>
  <c r="G249" i="2"/>
  <c r="K249" i="2" s="1"/>
  <c r="G248" i="2"/>
  <c r="G247" i="2"/>
  <c r="G246" i="2"/>
  <c r="G245" i="2"/>
  <c r="G244" i="2"/>
  <c r="G243" i="2"/>
  <c r="G242" i="2"/>
  <c r="G241" i="2"/>
  <c r="K241" i="2" s="1"/>
  <c r="G240" i="2"/>
  <c r="G239" i="2"/>
  <c r="G238" i="2"/>
  <c r="G237" i="2"/>
  <c r="G236" i="2"/>
  <c r="G235" i="2"/>
  <c r="G234" i="2"/>
  <c r="G233" i="2"/>
  <c r="K233" i="2" s="1"/>
  <c r="G232" i="2"/>
  <c r="G231" i="2"/>
  <c r="G230" i="2"/>
  <c r="G229" i="2"/>
  <c r="G228" i="2"/>
  <c r="G227" i="2"/>
  <c r="G226" i="2"/>
  <c r="G225" i="2"/>
  <c r="K225" i="2" s="1"/>
  <c r="G224" i="2"/>
  <c r="G223" i="2"/>
  <c r="G222" i="2"/>
  <c r="G221" i="2"/>
  <c r="G220" i="2"/>
  <c r="G219" i="2"/>
  <c r="G218" i="2"/>
  <c r="G217" i="2"/>
  <c r="K217" i="2" s="1"/>
  <c r="G216" i="2"/>
  <c r="G215" i="2"/>
  <c r="G214" i="2"/>
  <c r="G213" i="2"/>
  <c r="G212" i="2"/>
  <c r="G211" i="2"/>
  <c r="G210" i="2"/>
  <c r="G209" i="2"/>
  <c r="K209" i="2" s="1"/>
  <c r="G208" i="2"/>
  <c r="G207" i="2"/>
  <c r="G206" i="2"/>
  <c r="G205" i="2"/>
  <c r="G204" i="2"/>
  <c r="G203" i="2"/>
  <c r="G202" i="2"/>
  <c r="G201" i="2"/>
  <c r="K201" i="2" s="1"/>
  <c r="G200" i="2"/>
  <c r="G199" i="2"/>
  <c r="G198" i="2"/>
  <c r="G197" i="2"/>
  <c r="G196" i="2"/>
  <c r="G195" i="2"/>
  <c r="G194" i="2"/>
  <c r="G193" i="2"/>
  <c r="K193" i="2" s="1"/>
  <c r="G192" i="2"/>
  <c r="G191" i="2"/>
  <c r="G190" i="2"/>
  <c r="G189" i="2"/>
  <c r="G188" i="2"/>
  <c r="G187" i="2"/>
  <c r="G186" i="2"/>
  <c r="G185" i="2"/>
  <c r="K185" i="2" s="1"/>
  <c r="G184" i="2"/>
  <c r="G183" i="2"/>
  <c r="G182" i="2"/>
  <c r="G181" i="2"/>
  <c r="G180" i="2"/>
  <c r="G179" i="2"/>
  <c r="G178" i="2"/>
  <c r="G177" i="2"/>
  <c r="K177" i="2" s="1"/>
  <c r="G176" i="2"/>
  <c r="G175" i="2"/>
  <c r="G174" i="2"/>
  <c r="G173" i="2"/>
  <c r="G172" i="2"/>
  <c r="G171" i="2"/>
  <c r="G170" i="2"/>
  <c r="G169" i="2"/>
  <c r="K169" i="2" s="1"/>
  <c r="G168" i="2"/>
  <c r="G167" i="2"/>
  <c r="G166" i="2"/>
  <c r="G165" i="2"/>
  <c r="G164" i="2"/>
  <c r="G163" i="2"/>
  <c r="G162" i="2"/>
  <c r="G161" i="2"/>
  <c r="K161" i="2" s="1"/>
  <c r="G160" i="2"/>
  <c r="G159" i="2"/>
  <c r="G158" i="2"/>
  <c r="G157" i="2"/>
  <c r="G156" i="2"/>
  <c r="G155" i="2"/>
  <c r="G154" i="2"/>
  <c r="G153" i="2"/>
  <c r="K153" i="2" s="1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K157" i="2" l="1"/>
  <c r="K165" i="2"/>
  <c r="K173" i="2"/>
  <c r="K181" i="2"/>
  <c r="K189" i="2"/>
  <c r="K197" i="2"/>
  <c r="K205" i="2"/>
  <c r="K213" i="2"/>
  <c r="K221" i="2"/>
  <c r="K229" i="2"/>
  <c r="K237" i="2"/>
  <c r="K186" i="2"/>
  <c r="K202" i="2"/>
  <c r="K210" i="2"/>
  <c r="K226" i="2"/>
  <c r="K282" i="2"/>
  <c r="K155" i="2"/>
  <c r="K163" i="2"/>
  <c r="K171" i="2"/>
  <c r="K179" i="2"/>
  <c r="K187" i="2"/>
  <c r="K195" i="2"/>
  <c r="K203" i="2"/>
  <c r="K211" i="2"/>
  <c r="K219" i="2"/>
  <c r="K227" i="2"/>
  <c r="K235" i="2"/>
  <c r="K243" i="2"/>
  <c r="K251" i="2"/>
  <c r="K259" i="2"/>
  <c r="K267" i="2"/>
  <c r="K275" i="2"/>
  <c r="K283" i="2"/>
  <c r="K178" i="2"/>
  <c r="K194" i="2"/>
  <c r="K218" i="2"/>
  <c r="K242" i="2"/>
  <c r="K274" i="2"/>
  <c r="K156" i="2"/>
  <c r="K164" i="2"/>
  <c r="K172" i="2"/>
  <c r="K180" i="2"/>
  <c r="K188" i="2"/>
  <c r="K196" i="2"/>
  <c r="K204" i="2"/>
  <c r="K212" i="2"/>
  <c r="K220" i="2"/>
  <c r="K228" i="2"/>
  <c r="K236" i="2"/>
  <c r="K244" i="2"/>
  <c r="K252" i="2"/>
  <c r="K260" i="2"/>
  <c r="K268" i="2"/>
  <c r="K276" i="2"/>
  <c r="K284" i="2"/>
  <c r="K154" i="2"/>
  <c r="K266" i="2"/>
  <c r="K245" i="2"/>
  <c r="K253" i="2"/>
  <c r="K261" i="2"/>
  <c r="K269" i="2"/>
  <c r="K277" i="2"/>
  <c r="K285" i="2"/>
  <c r="K250" i="2"/>
  <c r="K158" i="2"/>
  <c r="K166" i="2"/>
  <c r="K174" i="2"/>
  <c r="K182" i="2"/>
  <c r="K190" i="2"/>
  <c r="K198" i="2"/>
  <c r="K206" i="2"/>
  <c r="K214" i="2"/>
  <c r="K222" i="2"/>
  <c r="K230" i="2"/>
  <c r="K238" i="2"/>
  <c r="K246" i="2"/>
  <c r="K254" i="2"/>
  <c r="K262" i="2"/>
  <c r="K270" i="2"/>
  <c r="K278" i="2"/>
  <c r="K286" i="2"/>
  <c r="K162" i="2"/>
  <c r="K258" i="2"/>
  <c r="K159" i="2"/>
  <c r="K167" i="2"/>
  <c r="K175" i="2"/>
  <c r="K183" i="2"/>
  <c r="K191" i="2"/>
  <c r="K199" i="2"/>
  <c r="K207" i="2"/>
  <c r="K215" i="2"/>
  <c r="K223" i="2"/>
  <c r="K231" i="2"/>
  <c r="K239" i="2"/>
  <c r="K247" i="2"/>
  <c r="K255" i="2"/>
  <c r="K263" i="2"/>
  <c r="K271" i="2"/>
  <c r="K279" i="2"/>
  <c r="K170" i="2"/>
  <c r="K23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248" i="2"/>
  <c r="K256" i="2"/>
  <c r="K264" i="2"/>
  <c r="K272" i="2"/>
  <c r="K280" i="2"/>
  <c r="G290" i="2"/>
  <c r="I290" i="2"/>
</calcChain>
</file>

<file path=xl/sharedStrings.xml><?xml version="1.0" encoding="utf-8"?>
<sst xmlns="http://schemas.openxmlformats.org/spreadsheetml/2006/main" count="712" uniqueCount="242">
  <si>
    <t>USD</t>
  </si>
  <si>
    <t>INR</t>
  </si>
  <si>
    <t xml:space="preserve"> </t>
  </si>
  <si>
    <t>Date</t>
  </si>
  <si>
    <t xml:space="preserve">Total </t>
  </si>
  <si>
    <t>DVR DATE</t>
  </si>
  <si>
    <t>JOB CARD NUMBER</t>
  </si>
  <si>
    <t>TU - Number</t>
  </si>
  <si>
    <t>Client Name</t>
  </si>
  <si>
    <t>Container Size</t>
  </si>
  <si>
    <t>Cargo Type</t>
  </si>
  <si>
    <t>BOE NO.</t>
  </si>
  <si>
    <t>PALLETS</t>
  </si>
  <si>
    <t xml:space="preserve">WT </t>
  </si>
  <si>
    <t>UOM</t>
  </si>
  <si>
    <t>WT DVR</t>
  </si>
  <si>
    <t>CBM Details</t>
  </si>
  <si>
    <t>CBM DVR</t>
  </si>
  <si>
    <t>Storage Location</t>
  </si>
  <si>
    <t>WH Transaction Remark</t>
  </si>
  <si>
    <t>Loose CBM</t>
  </si>
  <si>
    <t>Loose Weight</t>
  </si>
  <si>
    <t>Loose Pallet</t>
  </si>
  <si>
    <t xml:space="preserve">TRANSPORTAION </t>
  </si>
  <si>
    <t xml:space="preserve">CY - WH DESTUFF </t>
  </si>
  <si>
    <t>LCL</t>
  </si>
  <si>
    <t xml:space="preserve">INBOUND HANDLING </t>
  </si>
  <si>
    <t xml:space="preserve">LOOSE HANDLING </t>
  </si>
  <si>
    <t>invoice No</t>
  </si>
  <si>
    <t>Revise Handling Calculation</t>
  </si>
  <si>
    <t>ONNSYNEX</t>
  </si>
  <si>
    <t>KG</t>
  </si>
  <si>
    <t>M3</t>
  </si>
  <si>
    <t>WH03</t>
  </si>
  <si>
    <t>246788410109 / 246788410110</t>
  </si>
  <si>
    <t>INPL/2024/WH03/1374</t>
  </si>
  <si>
    <t>GJ16AY0107</t>
  </si>
  <si>
    <t>HAZ</t>
  </si>
  <si>
    <t>BOE5000651</t>
  </si>
  <si>
    <t>PALLETISED Handle18plt</t>
  </si>
  <si>
    <t>INPL/2024/WH03/1371</t>
  </si>
  <si>
    <t>MH46BM2107</t>
  </si>
  <si>
    <t>BOE5000650</t>
  </si>
  <si>
    <t>INPL/2024/WH03/1377</t>
  </si>
  <si>
    <t>MH46BM3757</t>
  </si>
  <si>
    <t>BOE5000653</t>
  </si>
  <si>
    <t>INPL/2024/WH03/1379</t>
  </si>
  <si>
    <t>GJ16AY0109</t>
  </si>
  <si>
    <t>BOE5000656</t>
  </si>
  <si>
    <t>INPL/2024/WH03/1370</t>
  </si>
  <si>
    <t>GJ16AW9167</t>
  </si>
  <si>
    <t>BOE5000652</t>
  </si>
  <si>
    <t>INPL/2024/WH03/1378</t>
  </si>
  <si>
    <t>MH46BM6321</t>
  </si>
  <si>
    <t>BOE5000654</t>
  </si>
  <si>
    <t>INPL/2024/WH03/1382</t>
  </si>
  <si>
    <t>GJ16AY0101</t>
  </si>
  <si>
    <t>BOE5000660</t>
  </si>
  <si>
    <t>INPL/2024/WH03/1381</t>
  </si>
  <si>
    <t>GJ16AY0104</t>
  </si>
  <si>
    <t>BOE5000658</t>
  </si>
  <si>
    <t>INPL/2024/WH03/1384</t>
  </si>
  <si>
    <t>MH46BM1247</t>
  </si>
  <si>
    <t>BOE5000659</t>
  </si>
  <si>
    <t>INPL/2024/WH03/1383</t>
  </si>
  <si>
    <t>MH46BM1249</t>
  </si>
  <si>
    <t>BOE5000661</t>
  </si>
  <si>
    <t>INPL/2024/WH03/1447</t>
  </si>
  <si>
    <t>MH46BM2110</t>
  </si>
  <si>
    <t>BOE5000663</t>
  </si>
  <si>
    <t>INPL/2024/WH03/1385</t>
  </si>
  <si>
    <t>MH46BM3756</t>
  </si>
  <si>
    <t>BOE5000662</t>
  </si>
  <si>
    <t>INPL/2024/WH03/1450</t>
  </si>
  <si>
    <t>MH46BM2105</t>
  </si>
  <si>
    <t>BOE5000666</t>
  </si>
  <si>
    <t>INPL/2024/WH03/1451</t>
  </si>
  <si>
    <t>MH16BM3755</t>
  </si>
  <si>
    <t>BOE5000665</t>
  </si>
  <si>
    <t>INPL/2024/WH03/1449</t>
  </si>
  <si>
    <t>GJ16AW9170</t>
  </si>
  <si>
    <t>BOE5000664</t>
  </si>
  <si>
    <t>INPL/2024/WH03/1456</t>
  </si>
  <si>
    <t>BOEX5000672</t>
  </si>
  <si>
    <t>INPL/2024/WH03/1459</t>
  </si>
  <si>
    <t>GJ16AY0103</t>
  </si>
  <si>
    <t>BOEX5000680</t>
  </si>
  <si>
    <t>INPL/2024/WH03/1461</t>
  </si>
  <si>
    <t>BOEX5000675</t>
  </si>
  <si>
    <t>INPL/2024/WH03/1460</t>
  </si>
  <si>
    <t>BOEX5000679</t>
  </si>
  <si>
    <t>INPL/2024/WH03/1462</t>
  </si>
  <si>
    <t>BOEX5000677</t>
  </si>
  <si>
    <t>INPL/2024/WH03/1458</t>
  </si>
  <si>
    <t>BOEX5000676</t>
  </si>
  <si>
    <t>INPL/2024/WH03/1457</t>
  </si>
  <si>
    <t>MH46BB4786</t>
  </si>
  <si>
    <t>BOEX5000673</t>
  </si>
  <si>
    <t>INPL/2024/WH03/1466</t>
  </si>
  <si>
    <t>BOEX5000685</t>
  </si>
  <si>
    <t>INPL/2024/WH03/1467</t>
  </si>
  <si>
    <t>BOEX5000684</t>
  </si>
  <si>
    <t>Ground Rent</t>
  </si>
  <si>
    <t>Type</t>
  </si>
  <si>
    <t>Sr.no.</t>
  </si>
  <si>
    <t>IN DATE</t>
  </si>
  <si>
    <t>CLIENT</t>
  </si>
  <si>
    <t>BOE- JOB ORDER NO.</t>
  </si>
  <si>
    <t>MOVEMENT TYPE</t>
  </si>
  <si>
    <t>FROM PORT</t>
  </si>
  <si>
    <t>VEHICLE NO.</t>
  </si>
  <si>
    <t>Container No.</t>
  </si>
  <si>
    <t>SIZE</t>
  </si>
  <si>
    <t>TYPE</t>
  </si>
  <si>
    <t>SEAL NO.</t>
  </si>
  <si>
    <t>PKGS</t>
  </si>
  <si>
    <t>WEIGHT</t>
  </si>
  <si>
    <t>IN DATE  &amp; TIME</t>
  </si>
  <si>
    <t>GATE PASS NO.</t>
  </si>
  <si>
    <t>LOCATION</t>
  </si>
  <si>
    <t>CY - In Date</t>
  </si>
  <si>
    <t>CY - Status</t>
  </si>
  <si>
    <t>CY - Location</t>
  </si>
  <si>
    <t>CY - Out Date</t>
  </si>
  <si>
    <t>CY - Out Time</t>
  </si>
  <si>
    <t>Location Moved to</t>
  </si>
  <si>
    <t>No of Days</t>
  </si>
  <si>
    <t>Invoice No</t>
  </si>
  <si>
    <t>DTA TO FTWZ</t>
  </si>
  <si>
    <t>Onnsynex Ventures Private Limited</t>
  </si>
  <si>
    <t>BOEX5000590</t>
  </si>
  <si>
    <t>DTA to FTWZ</t>
  </si>
  <si>
    <t>DTA</t>
  </si>
  <si>
    <t>MH46AF8529</t>
  </si>
  <si>
    <t>PDQU1502034</t>
  </si>
  <si>
    <t>Tank</t>
  </si>
  <si>
    <t>FCL</t>
  </si>
  <si>
    <t>PYRD</t>
  </si>
  <si>
    <t>LDD</t>
  </si>
  <si>
    <t>CY</t>
  </si>
  <si>
    <t>CY TO DTA OUT</t>
  </si>
  <si>
    <t>BOEX5000607</t>
  </si>
  <si>
    <t>MH46BM1243</t>
  </si>
  <si>
    <t>PDQU2504730</t>
  </si>
  <si>
    <t>PCOD</t>
  </si>
  <si>
    <t>BOEX5000631</t>
  </si>
  <si>
    <t>MH46BM9580</t>
  </si>
  <si>
    <t>PDQU2501731</t>
  </si>
  <si>
    <t>-</t>
  </si>
  <si>
    <t>BOEX5000650</t>
  </si>
  <si>
    <t>MH46BF7649</t>
  </si>
  <si>
    <t>PDQU2504181</t>
  </si>
  <si>
    <t>BOE5000701</t>
  </si>
  <si>
    <t>MH46AR7865</t>
  </si>
  <si>
    <t>EXFU4413152</t>
  </si>
  <si>
    <t>BOEX5000718</t>
  </si>
  <si>
    <t>MH46BU1006</t>
  </si>
  <si>
    <t>EURU1441612</t>
  </si>
  <si>
    <t>BOEX5000742</t>
  </si>
  <si>
    <t>MH46AF3731</t>
  </si>
  <si>
    <t>PDQU7500044</t>
  </si>
  <si>
    <t>BOEX5000784</t>
  </si>
  <si>
    <t>MH46AR7861</t>
  </si>
  <si>
    <t>PDQU2504140</t>
  </si>
  <si>
    <t>BOEX5000802</t>
  </si>
  <si>
    <t>MH46BM8833</t>
  </si>
  <si>
    <t>PDQU7500105</t>
  </si>
  <si>
    <t>BOEX5000820</t>
  </si>
  <si>
    <t>MH46BM1236</t>
  </si>
  <si>
    <t>PDQU6500543</t>
  </si>
  <si>
    <t>BOEX5000848</t>
  </si>
  <si>
    <t>GJ16AW7890</t>
  </si>
  <si>
    <t>PDQU2405790</t>
  </si>
  <si>
    <t>BOEX5000921</t>
  </si>
  <si>
    <t>MH46CL0044</t>
  </si>
  <si>
    <t>PDQU2512593</t>
  </si>
  <si>
    <t>BOEX5000932</t>
  </si>
  <si>
    <t>GJ16AW7891</t>
  </si>
  <si>
    <t>PDQU2512588</t>
  </si>
  <si>
    <t>BOEX5000947</t>
  </si>
  <si>
    <t>MH46BF7655</t>
  </si>
  <si>
    <t>PDQU2504242</t>
  </si>
  <si>
    <t>BOEX5000952</t>
  </si>
  <si>
    <t>MH46AF0789</t>
  </si>
  <si>
    <t>PDQU1507102</t>
  </si>
  <si>
    <t>BOEX5000954</t>
  </si>
  <si>
    <t>MH46BM8831</t>
  </si>
  <si>
    <t>PDQU2512628</t>
  </si>
  <si>
    <t>BOEX5001144</t>
  </si>
  <si>
    <t>MH46AR7862</t>
  </si>
  <si>
    <t>RMCU2502456</t>
  </si>
  <si>
    <t>BOEX5001149</t>
  </si>
  <si>
    <t>MH46BF7647</t>
  </si>
  <si>
    <t>RMCU6442083</t>
  </si>
  <si>
    <t>BOEX5001145</t>
  </si>
  <si>
    <t>MH46CL0040</t>
  </si>
  <si>
    <t>RMCU7940727</t>
  </si>
  <si>
    <t>BOEX5001147</t>
  </si>
  <si>
    <t>MH46BM1239</t>
  </si>
  <si>
    <t>RMCU6441446</t>
  </si>
  <si>
    <t>BOEX5001151</t>
  </si>
  <si>
    <t>MH46BM6312</t>
  </si>
  <si>
    <t>RMCU0109985</t>
  </si>
  <si>
    <t>Rate per sq ft</t>
  </si>
  <si>
    <t>Rate per pallet</t>
  </si>
  <si>
    <t>Sq ft for Billing</t>
  </si>
  <si>
    <t>Billed Amt</t>
  </si>
  <si>
    <t>To be Billed Amt (Corrected)</t>
  </si>
  <si>
    <t>Difference</t>
  </si>
  <si>
    <t>Billed 
in  USD</t>
  </si>
  <si>
    <t>Credit Note Amt</t>
  </si>
  <si>
    <t>No. of IBCs</t>
  </si>
  <si>
    <t>sqft per IBC</t>
  </si>
  <si>
    <t>Dear Vijay,</t>
  </si>
  <si>
    <t>In December 2024 (between 18-31 Dec), OSV brought in 432 IBCs of Haz cargo. These were stored at the lower level in WH-03.</t>
  </si>
  <si>
    <t>We started billing them for storage of these IBCs at:</t>
  </si>
  <si>
    <t>16 sqft/IBC x 0.045/sqft/day (0.03 + 50% premium for Haz)</t>
  </si>
  <si>
    <t>In May-25, the Customs Dept raised an objection on the storage of Haz material in WH-03. So, of 16-May-25, the entire lot of 432 IBCs was shifted from WH-03 lower level to WH-11 and then stored on pallets in the racks.</t>
  </si>
  <si>
    <t>We have separate storage rates agreed with OSV per sq ft &amp; per pallet.</t>
  </si>
  <si>
    <t>USD 0.03 per sqft per day</t>
  </si>
  <si>
    <t>USD 0.25 per pallet per day</t>
  </si>
  <si>
    <t>50% extra for Haz</t>
  </si>
  <si>
    <t>For the tenure that the cargo was at WH-03, we needed to bill them per sq ft. Thereafter, we needed to bill them per pallet.</t>
  </si>
  <si>
    <t>But we continued to bill them per sq ft for the entire tenure</t>
  </si>
  <si>
    <t>0.72/IBC/day at WH-03</t>
  </si>
  <si>
    <t xml:space="preserve">0.325/IBC/day at WH-11 (0.25 x 1.3 for Haz) </t>
  </si>
  <si>
    <t>0.395/IBC/day = difference in rates</t>
  </si>
  <si>
    <t>This was noticed in the last week of October. the net reduction in billing is USD 23,548.32. We need to issue a CN for the same.</t>
  </si>
  <si>
    <t>LCL Gate-in charges not applicable. To be reversed in full.</t>
  </si>
  <si>
    <t>LCL Handling charges corrected as per the contract</t>
  </si>
  <si>
    <t>Total LCL Charges to be reversed</t>
  </si>
  <si>
    <t>We charged Ground rent for the ISO tanks for the entire month, instead of the actual days stored with us.</t>
  </si>
  <si>
    <t>i.e. the customer was billed for 651 container-days instead of 131 container-days actually consumed.</t>
  </si>
  <si>
    <t>Contracted Rate (INR) per ISO Tank per month</t>
  </si>
  <si>
    <t>Pro-rata rate per day</t>
  </si>
  <si>
    <t>No. days</t>
  </si>
  <si>
    <t>Hence, Billing was done for INR 90720 instead of INR 18255</t>
  </si>
  <si>
    <t>CN needs to be issued for 90720 - 18255 = INR 72465</t>
  </si>
  <si>
    <t>IBC Storage</t>
  </si>
  <si>
    <t>IBC LCL Charges (Gate-in &amp; Handling)</t>
  </si>
  <si>
    <t>ISO Tank CY Storage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</si>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</sst>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"/>
    <numFmt numFmtId="168" formatCode="_(* #,##0.000_);_(* \(#,##0.000\);_(* &quot;-&quot;??_);_(@_)"/>
    <numFmt numFmtId="169" formatCode="[$-409]d\-mmm\-yy;@"/>
  </numFmts>
  <fonts count="16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0" fontId="10" fillId="5" borderId="4" applyNumberFormat="0" applyAlignment="0" applyProtection="0"/>
    <xf numFmtId="0" fontId="11" fillId="5" borderId="3" applyNumberFormat="0" applyAlignment="0" applyProtection="0"/>
    <xf numFmtId="0" fontId="12" fillId="0" borderId="5" applyNumberFormat="0" applyFill="0" applyAlignment="0" applyProtection="0"/>
    <xf numFmtId="0" fontId="2" fillId="0" borderId="0"/>
    <xf numFmtId="0" fontId="13" fillId="6" borderId="0" applyNumberFormat="0" applyBorder="0" applyAlignment="0" applyProtection="0"/>
    <xf numFmtId="164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5">
    <xf numFmtId="0" fontId="0" fillId="0" borderId="0" xfId="0"/>
    <xf numFmtId="164" fontId="0" fillId="0" borderId="0" xfId="1" applyFont="1"/>
    <xf numFmtId="0" fontId="7" fillId="0" borderId="0" xfId="0" applyFont="1"/>
    <xf numFmtId="1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5" applyBorder="1"/>
    <xf numFmtId="0" fontId="4" fillId="2" borderId="1" xfId="5" applyFont="1" applyFill="1" applyBorder="1"/>
    <xf numFmtId="0" fontId="2" fillId="0" borderId="0" xfId="5"/>
    <xf numFmtId="1" fontId="14" fillId="7" borderId="1" xfId="4" applyNumberFormat="1" applyFont="1" applyFill="1" applyBorder="1" applyAlignment="1">
      <alignment horizontal="center" vertical="center" wrapText="1"/>
    </xf>
    <xf numFmtId="14" fontId="14" fillId="7" borderId="1" xfId="4" applyNumberFormat="1" applyFont="1" applyFill="1" applyBorder="1" applyAlignment="1">
      <alignment horizontal="center" vertical="center" wrapText="1"/>
    </xf>
    <xf numFmtId="0" fontId="14" fillId="7" borderId="1" xfId="4" applyFont="1" applyFill="1" applyBorder="1" applyAlignment="1">
      <alignment horizontal="center" vertical="center" wrapText="1"/>
    </xf>
    <xf numFmtId="49" fontId="14" fillId="7" borderId="1" xfId="4" applyNumberFormat="1" applyFont="1" applyFill="1" applyBorder="1" applyAlignment="1">
      <alignment horizontal="center" vertical="center" wrapText="1"/>
    </xf>
    <xf numFmtId="22" fontId="14" fillId="7" borderId="1" xfId="4" applyNumberFormat="1" applyFont="1" applyFill="1" applyBorder="1" applyAlignment="1">
      <alignment horizontal="center" vertical="center" wrapText="1"/>
    </xf>
    <xf numFmtId="0" fontId="14" fillId="7" borderId="1" xfId="3" applyFont="1" applyFill="1" applyBorder="1" applyAlignment="1">
      <alignment horizontal="center" vertical="center" wrapText="1"/>
    </xf>
    <xf numFmtId="0" fontId="14" fillId="2" borderId="1" xfId="3" applyFont="1" applyFill="1" applyBorder="1" applyAlignment="1">
      <alignment horizontal="center" vertical="center" wrapText="1"/>
    </xf>
    <xf numFmtId="0" fontId="15" fillId="0" borderId="1" xfId="5" applyFont="1" applyBorder="1" applyAlignment="1">
      <alignment horizontal="center"/>
    </xf>
    <xf numFmtId="1" fontId="2" fillId="0" borderId="1" xfId="5" applyNumberFormat="1" applyBorder="1" applyAlignment="1">
      <alignment horizontal="center"/>
    </xf>
    <xf numFmtId="169" fontId="2" fillId="0" borderId="1" xfId="5" applyNumberFormat="1" applyBorder="1" applyAlignment="1">
      <alignment horizontal="center"/>
    </xf>
    <xf numFmtId="0" fontId="14" fillId="0" borderId="1" xfId="5" applyFont="1" applyBorder="1" applyAlignment="1">
      <alignment horizontal="center"/>
    </xf>
    <xf numFmtId="0" fontId="2" fillId="8" borderId="1" xfId="5" applyFill="1" applyBorder="1" applyAlignment="1">
      <alignment horizontal="center"/>
    </xf>
    <xf numFmtId="0" fontId="9" fillId="0" borderId="1" xfId="5" applyFont="1" applyBorder="1" applyAlignment="1">
      <alignment horizontal="center"/>
    </xf>
    <xf numFmtId="0" fontId="10" fillId="5" borderId="1" xfId="2" applyBorder="1" applyAlignment="1">
      <alignment horizontal="center"/>
    </xf>
    <xf numFmtId="22" fontId="10" fillId="5" borderId="1" xfId="2" applyNumberFormat="1" applyBorder="1" applyAlignment="1">
      <alignment horizontal="center"/>
    </xf>
    <xf numFmtId="1" fontId="10" fillId="5" borderId="1" xfId="2" applyNumberFormat="1" applyBorder="1" applyAlignment="1">
      <alignment horizontal="center" vertical="center" wrapText="1"/>
    </xf>
    <xf numFmtId="0" fontId="13" fillId="6" borderId="1" xfId="6" applyBorder="1" applyAlignment="1" applyProtection="1">
      <alignment horizontal="center" vertical="center" wrapText="1"/>
    </xf>
    <xf numFmtId="169" fontId="10" fillId="5" borderId="1" xfId="2" applyNumberFormat="1" applyBorder="1" applyAlignment="1">
      <alignment horizontal="center"/>
    </xf>
    <xf numFmtId="0" fontId="2" fillId="0" borderId="1" xfId="5" applyBorder="1" applyAlignment="1">
      <alignment horizontal="center"/>
    </xf>
    <xf numFmtId="0" fontId="2" fillId="0" borderId="0" xfId="5" applyAlignment="1">
      <alignment horizontal="center"/>
    </xf>
    <xf numFmtId="0" fontId="4" fillId="0" borderId="0" xfId="5" applyFont="1"/>
    <xf numFmtId="0" fontId="8" fillId="0" borderId="0" xfId="0" applyFont="1"/>
    <xf numFmtId="0" fontId="8" fillId="0" borderId="0" xfId="0" applyFont="1" applyAlignment="1">
      <alignment horizontal="right" vertical="top" wrapText="1"/>
    </xf>
    <xf numFmtId="14" fontId="0" fillId="0" borderId="0" xfId="0" applyNumberFormat="1" applyAlignment="1">
      <alignment vertical="top"/>
    </xf>
    <xf numFmtId="165" fontId="0" fillId="0" borderId="0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164" fontId="0" fillId="0" borderId="0" xfId="1" applyFont="1" applyAlignment="1">
      <alignment vertical="top"/>
    </xf>
    <xf numFmtId="165" fontId="0" fillId="0" borderId="0" xfId="0" applyNumberFormat="1" applyAlignment="1">
      <alignment vertical="top"/>
    </xf>
    <xf numFmtId="0" fontId="6" fillId="0" borderId="0" xfId="0" applyFont="1" applyAlignment="1">
      <alignment vertical="top"/>
    </xf>
    <xf numFmtId="0" fontId="8" fillId="9" borderId="0" xfId="0" applyFont="1" applyFill="1" applyAlignment="1">
      <alignment horizontal="right" vertical="top" wrapText="1"/>
    </xf>
    <xf numFmtId="0" fontId="8" fillId="9" borderId="0" xfId="0" applyFont="1" applyFill="1" applyAlignment="1">
      <alignment horizontal="center" vertical="top" wrapText="1"/>
    </xf>
    <xf numFmtId="0" fontId="0" fillId="9" borderId="0" xfId="0" applyFill="1" applyAlignment="1">
      <alignment vertical="top"/>
    </xf>
    <xf numFmtId="0" fontId="0" fillId="9" borderId="0" xfId="0" applyFill="1" applyAlignment="1">
      <alignment horizontal="center" vertical="top"/>
    </xf>
    <xf numFmtId="164" fontId="8" fillId="0" borderId="0" xfId="1" applyFont="1" applyAlignment="1">
      <alignment horizontal="right" vertical="top" wrapText="1"/>
    </xf>
    <xf numFmtId="165" fontId="8" fillId="0" borderId="0" xfId="1" applyNumberFormat="1" applyFont="1" applyAlignment="1">
      <alignment horizontal="right" vertical="top" wrapText="1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horizontal="right" vertical="top"/>
    </xf>
    <xf numFmtId="164" fontId="0" fillId="0" borderId="0" xfId="1" applyFont="1" applyAlignment="1">
      <alignment horizontal="right" vertical="top"/>
    </xf>
    <xf numFmtId="164" fontId="0" fillId="9" borderId="0" xfId="1" applyFont="1" applyFill="1" applyAlignment="1">
      <alignment vertical="top"/>
    </xf>
    <xf numFmtId="0" fontId="8" fillId="0" borderId="0" xfId="0" applyFont="1" applyAlignment="1">
      <alignment vertical="top" wrapText="1"/>
    </xf>
    <xf numFmtId="168" fontId="7" fillId="0" borderId="0" xfId="0" applyNumberFormat="1" applyFont="1" applyAlignment="1">
      <alignment horizontal="right" vertical="top"/>
    </xf>
    <xf numFmtId="0" fontId="0" fillId="0" borderId="6" xfId="0" applyBorder="1" applyAlignment="1">
      <alignment vertical="top"/>
    </xf>
    <xf numFmtId="165" fontId="0" fillId="0" borderId="6" xfId="1" applyNumberFormat="1" applyFont="1" applyBorder="1" applyAlignment="1">
      <alignment vertical="top"/>
    </xf>
    <xf numFmtId="0" fontId="0" fillId="0" borderId="6" xfId="0" applyBorder="1" applyAlignment="1">
      <alignment horizontal="right" vertical="top"/>
    </xf>
    <xf numFmtId="164" fontId="8" fillId="0" borderId="6" xfId="1" applyFont="1" applyBorder="1" applyAlignment="1">
      <alignment vertical="top"/>
    </xf>
    <xf numFmtId="0" fontId="0" fillId="0" borderId="6" xfId="0" applyBorder="1" applyAlignment="1">
      <alignment horizontal="center" vertical="top"/>
    </xf>
    <xf numFmtId="164" fontId="8" fillId="0" borderId="6" xfId="1" applyFont="1" applyBorder="1" applyAlignment="1">
      <alignment horizontal="right" vertical="top"/>
    </xf>
    <xf numFmtId="0" fontId="0" fillId="0" borderId="0" xfId="8" applyNumberFormat="1" applyFont="1" applyAlignment="1">
      <alignment vertical="top"/>
    </xf>
    <xf numFmtId="0" fontId="7" fillId="0" borderId="0" xfId="0" applyFont="1" applyAlignment="1">
      <alignment horizontal="right" vertical="top" wrapText="1"/>
    </xf>
    <xf numFmtId="165" fontId="7" fillId="0" borderId="0" xfId="1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166" fontId="4" fillId="3" borderId="1" xfId="0" applyNumberFormat="1" applyFont="1" applyFill="1" applyBorder="1" applyAlignment="1">
      <alignment horizontal="center" vertical="top" wrapText="1"/>
    </xf>
    <xf numFmtId="166" fontId="4" fillId="2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4" fillId="0" borderId="1" xfId="0" applyFont="1" applyBorder="1" applyAlignment="1">
      <alignment horizontal="right" vertical="top" wrapText="1"/>
    </xf>
    <xf numFmtId="0" fontId="9" fillId="0" borderId="0" xfId="0" applyFont="1" applyAlignment="1">
      <alignment vertical="top" wrapText="1"/>
    </xf>
    <xf numFmtId="2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vertical="top"/>
    </xf>
    <xf numFmtId="2" fontId="9" fillId="0" borderId="1" xfId="0" applyNumberFormat="1" applyFont="1" applyBorder="1"/>
    <xf numFmtId="0" fontId="9" fillId="0" borderId="0" xfId="0" applyFont="1"/>
    <xf numFmtId="164" fontId="0" fillId="0" borderId="0" xfId="0" applyNumberFormat="1" applyAlignment="1">
      <alignment vertical="top"/>
    </xf>
    <xf numFmtId="14" fontId="8" fillId="0" borderId="0" xfId="0" applyNumberFormat="1" applyFont="1" applyAlignment="1">
      <alignment vertical="top"/>
    </xf>
    <xf numFmtId="167" fontId="9" fillId="0" borderId="0" xfId="0" applyNumberFormat="1" applyFont="1"/>
    <xf numFmtId="164" fontId="9" fillId="0" borderId="0" xfId="1" applyFont="1"/>
    <xf numFmtId="164" fontId="14" fillId="0" borderId="0" xfId="0" applyNumberFormat="1" applyFont="1"/>
    <xf numFmtId="0" fontId="14" fillId="0" borderId="0" xfId="0" applyFont="1"/>
    <xf numFmtId="0" fontId="14" fillId="2" borderId="0" xfId="0" applyFont="1" applyFill="1"/>
    <xf numFmtId="0" fontId="14" fillId="0" borderId="2" xfId="0" applyFont="1" applyBorder="1" applyAlignment="1">
      <alignment horizontal="center" vertical="center"/>
    </xf>
    <xf numFmtId="167" fontId="14" fillId="0" borderId="2" xfId="0" applyNumberFormat="1" applyFont="1" applyBorder="1" applyAlignment="1">
      <alignment horizontal="center" vertical="center"/>
    </xf>
    <xf numFmtId="2" fontId="14" fillId="0" borderId="0" xfId="0" applyNumberFormat="1" applyFont="1"/>
    <xf numFmtId="0" fontId="1" fillId="0" borderId="0" xfId="5" applyFont="1"/>
    <xf numFmtId="0" fontId="4" fillId="0" borderId="0" xfId="5" applyFont="1" applyAlignment="1">
      <alignment horizontal="center"/>
    </xf>
    <xf numFmtId="0" fontId="4" fillId="2" borderId="1" xfId="5" applyFont="1" applyFill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164" fontId="2" fillId="0" borderId="0" xfId="1" applyFont="1"/>
    <xf numFmtId="164" fontId="4" fillId="0" borderId="1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/>
    </xf>
    <xf numFmtId="164" fontId="4" fillId="0" borderId="0" xfId="1" applyFont="1"/>
    <xf numFmtId="164" fontId="4" fillId="2" borderId="0" xfId="1" applyFont="1" applyFill="1"/>
    <xf numFmtId="0" fontId="4" fillId="2" borderId="1" xfId="5" applyFont="1" applyFill="1" applyBorder="1" applyAlignment="1">
      <alignment horizontal="left"/>
    </xf>
    <xf numFmtId="0" fontId="4" fillId="0" borderId="1" xfId="5" applyFont="1" applyBorder="1" applyAlignment="1">
      <alignment horizontal="left" vertical="center" wrapText="1"/>
    </xf>
    <xf numFmtId="1" fontId="2" fillId="0" borderId="1" xfId="5" applyNumberFormat="1" applyBorder="1" applyAlignment="1">
      <alignment horizontal="left" vertical="top"/>
    </xf>
    <xf numFmtId="164" fontId="4" fillId="0" borderId="0" xfId="7" applyFont="1" applyAlignment="1">
      <alignment horizontal="left"/>
    </xf>
    <xf numFmtId="0" fontId="2" fillId="0" borderId="0" xfId="5" applyAlignment="1">
      <alignment horizontal="left"/>
    </xf>
    <xf numFmtId="0" fontId="8" fillId="0" borderId="6" xfId="0" applyFont="1" applyBorder="1"/>
    <xf numFmtId="164" fontId="8" fillId="0" borderId="6" xfId="1" applyFont="1" applyBorder="1"/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vertical="top"/>
    </xf>
    <xf numFmtId="164" fontId="8" fillId="0" borderId="0" xfId="0" applyNumberFormat="1" applyFont="1" applyAlignment="1">
      <alignment vertical="top"/>
    </xf>
  </cellXfs>
  <cellStyles count="9">
    <cellStyle name="60% - Accent1 2" xfId="6" xr:uid="{03F22277-F0A4-4CBC-8BEE-83C8C643122E}"/>
    <cellStyle name="Calculation" xfId="3" builtinId="22"/>
    <cellStyle name="Comma" xfId="1" builtinId="3"/>
    <cellStyle name="Comma 2" xfId="7" xr:uid="{1874528B-1D4C-4425-80BE-BE0F8B36A076}"/>
    <cellStyle name="Linked Cell" xfId="4" builtinId="24"/>
    <cellStyle name="Normal" xfId="0" builtinId="0"/>
    <cellStyle name="Normal 2" xfId="5" xr:uid="{BDB075D1-E089-46B3-B742-5CD5ACD3FE9E}"/>
    <cellStyle name="Output" xfId="2" builtinId="21"/>
    <cellStyle name="Percent" xfId="8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F8F6-110D-435E-A80E-89B1BF6019B1}">
  <dimension ref="B3:D7"/>
  <sheetViews>
    <sheetView workbookViewId="0">
      <selection activeCell="C5" sqref="A5:XFD5"/>
    </sheetView>
  </sheetViews>
  <sheetFormatPr defaultRowHeight="12.5"/>
  <cols>
    <col min="2" max="2" width="32.08984375" bestFit="1" customWidth="1"/>
    <col min="3" max="3" width="10.1796875" style="1" bestFit="1" customWidth="1"/>
    <col min="4" max="4" width="6.1796875" style="102" customWidth="1"/>
  </cols>
  <sheetData>
    <row r="3" spans="2:4">
      <c r="B3" s="2" t="s">
        <v>238</v>
      </c>
      <c r="C3" s="1">
        <v>23548.32</v>
      </c>
      <c r="D3" s="100" t="s">
        <v>0</v>
      </c>
    </row>
    <row r="4" spans="2:4">
      <c r="B4" s="2" t="s">
        <v>239</v>
      </c>
      <c r="C4" s="1">
        <v>1577.58</v>
      </c>
      <c r="D4" s="100" t="s">
        <v>0</v>
      </c>
    </row>
    <row r="5" spans="2:4" ht="13">
      <c r="B5" s="98" t="s">
        <v>241</v>
      </c>
      <c r="C5" s="99">
        <f>SUM(C3:C4)</f>
        <v>25125.9</v>
      </c>
      <c r="D5" s="101" t="s">
        <v>0</v>
      </c>
    </row>
    <row r="7" spans="2:4" ht="13">
      <c r="B7" s="29" t="s">
        <v>240</v>
      </c>
      <c r="C7" s="1">
        <v>72465</v>
      </c>
      <c r="D7" s="10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898D-0668-45B1-A22F-B8879D8BA90D}">
  <dimension ref="B1:N320"/>
  <sheetViews>
    <sheetView tabSelected="1" zoomScale="85" zoomScaleNormal="85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J294" sqref="J294"/>
    </sheetView>
  </sheetViews>
  <sheetFormatPr defaultColWidth="9" defaultRowHeight="12.5"/>
  <cols>
    <col min="1" max="1" width="9" style="33"/>
    <col min="2" max="2" width="10.453125" style="33" bestFit="1" customWidth="1"/>
    <col min="3" max="3" width="4" style="33" bestFit="1" customWidth="1"/>
    <col min="4" max="4" width="2.90625" style="33" bestFit="1" customWidth="1"/>
    <col min="5" max="5" width="6.81640625" style="44" bestFit="1" customWidth="1"/>
    <col min="6" max="6" width="6.08984375" style="45" bestFit="1" customWidth="1"/>
    <col min="7" max="7" width="10.453125" style="35" bestFit="1" customWidth="1"/>
    <col min="8" max="8" width="6.08984375" style="33" bestFit="1" customWidth="1"/>
    <col min="9" max="9" width="10.453125" style="33" bestFit="1" customWidth="1"/>
    <col min="10" max="10" width="9" style="33"/>
    <col min="11" max="11" width="15.90625" style="46" customWidth="1"/>
    <col min="12" max="12" width="10.1796875" style="33" bestFit="1" customWidth="1"/>
    <col min="13" max="13" width="10" style="33" bestFit="1" customWidth="1"/>
    <col min="14" max="14" width="12.54296875" style="33" bestFit="1" customWidth="1"/>
    <col min="15" max="16384" width="9" style="33"/>
  </cols>
  <sheetData>
    <row r="1" spans="2:14" s="48" customFormat="1" ht="78">
      <c r="B1" s="48" t="s">
        <v>3</v>
      </c>
      <c r="C1" s="38" t="s">
        <v>211</v>
      </c>
      <c r="D1" s="38" t="s">
        <v>212</v>
      </c>
      <c r="E1" s="43" t="s">
        <v>205</v>
      </c>
      <c r="F1" s="30" t="s">
        <v>203</v>
      </c>
      <c r="G1" s="42" t="s">
        <v>206</v>
      </c>
      <c r="H1" s="39" t="s">
        <v>204</v>
      </c>
      <c r="I1" s="38" t="s">
        <v>207</v>
      </c>
      <c r="K1" s="42" t="s">
        <v>208</v>
      </c>
    </row>
    <row r="2" spans="2:14">
      <c r="B2" s="31">
        <v>45644</v>
      </c>
      <c r="C2" s="40">
        <v>108</v>
      </c>
      <c r="D2" s="40">
        <v>15.5</v>
      </c>
      <c r="E2" s="32">
        <f>C2*D2</f>
        <v>1674</v>
      </c>
      <c r="F2" s="45">
        <v>4.4999999999999998E-2</v>
      </c>
      <c r="G2" s="35">
        <f>E2*F2</f>
        <v>75.33</v>
      </c>
      <c r="H2" s="41"/>
      <c r="I2" s="47"/>
      <c r="K2" s="46">
        <v>0</v>
      </c>
      <c r="L2" s="73"/>
      <c r="N2" s="34" t="s">
        <v>2</v>
      </c>
    </row>
    <row r="3" spans="2:14">
      <c r="B3" s="31">
        <v>45645</v>
      </c>
      <c r="C3" s="40">
        <v>162</v>
      </c>
      <c r="D3" s="40">
        <v>15.5</v>
      </c>
      <c r="E3" s="32">
        <f t="shared" ref="E3:E66" si="0">C3*D3</f>
        <v>2511</v>
      </c>
      <c r="F3" s="45">
        <v>4.4999999999999998E-2</v>
      </c>
      <c r="G3" s="35">
        <f t="shared" ref="G3:G15" si="1">E3*F3</f>
        <v>112.99499999999999</v>
      </c>
      <c r="H3" s="41"/>
      <c r="I3" s="47"/>
      <c r="K3" s="46">
        <v>0</v>
      </c>
      <c r="L3" s="73"/>
      <c r="N3" s="34" t="s">
        <v>2</v>
      </c>
    </row>
    <row r="4" spans="2:14">
      <c r="B4" s="31">
        <v>45646</v>
      </c>
      <c r="C4" s="40">
        <v>270</v>
      </c>
      <c r="D4" s="40">
        <v>15.5</v>
      </c>
      <c r="E4" s="32">
        <f t="shared" si="0"/>
        <v>4185</v>
      </c>
      <c r="F4" s="45">
        <v>4.4999999999999998E-2</v>
      </c>
      <c r="G4" s="35">
        <f t="shared" si="1"/>
        <v>188.32499999999999</v>
      </c>
      <c r="H4" s="41"/>
      <c r="I4" s="47"/>
      <c r="K4" s="46">
        <v>0</v>
      </c>
      <c r="L4" s="73"/>
    </row>
    <row r="5" spans="2:14">
      <c r="B5" s="31">
        <v>45647</v>
      </c>
      <c r="C5" s="40">
        <v>270</v>
      </c>
      <c r="D5" s="40">
        <v>15.5</v>
      </c>
      <c r="E5" s="32">
        <f t="shared" si="0"/>
        <v>4185</v>
      </c>
      <c r="F5" s="45">
        <v>4.4999999999999998E-2</v>
      </c>
      <c r="G5" s="35">
        <f t="shared" si="1"/>
        <v>188.32499999999999</v>
      </c>
      <c r="H5" s="41"/>
      <c r="I5" s="47"/>
      <c r="K5" s="46">
        <v>0</v>
      </c>
      <c r="L5" s="73"/>
    </row>
    <row r="6" spans="2:14">
      <c r="B6" s="31">
        <v>45648</v>
      </c>
      <c r="C6" s="40">
        <v>270</v>
      </c>
      <c r="D6" s="40">
        <v>15.5</v>
      </c>
      <c r="E6" s="32">
        <f t="shared" si="0"/>
        <v>4185</v>
      </c>
      <c r="F6" s="45">
        <v>4.4999999999999998E-2</v>
      </c>
      <c r="G6" s="35">
        <f t="shared" si="1"/>
        <v>188.32499999999999</v>
      </c>
      <c r="H6" s="41"/>
      <c r="I6" s="47"/>
      <c r="K6" s="46">
        <v>0</v>
      </c>
      <c r="L6" s="73"/>
    </row>
    <row r="7" spans="2:14">
      <c r="B7" s="31">
        <v>45649</v>
      </c>
      <c r="C7" s="40">
        <v>270</v>
      </c>
      <c r="D7" s="40">
        <v>15.5</v>
      </c>
      <c r="E7" s="32">
        <f t="shared" si="0"/>
        <v>4185</v>
      </c>
      <c r="F7" s="45">
        <v>4.4999999999999998E-2</v>
      </c>
      <c r="G7" s="35">
        <f t="shared" si="1"/>
        <v>188.32499999999999</v>
      </c>
      <c r="H7" s="41"/>
      <c r="I7" s="47"/>
      <c r="K7" s="46">
        <v>0</v>
      </c>
      <c r="L7" s="73"/>
    </row>
    <row r="8" spans="2:14">
      <c r="B8" s="31">
        <v>45650</v>
      </c>
      <c r="C8" s="40">
        <v>270</v>
      </c>
      <c r="D8" s="40">
        <v>15.5</v>
      </c>
      <c r="E8" s="32">
        <f t="shared" si="0"/>
        <v>4185</v>
      </c>
      <c r="F8" s="45">
        <v>4.4999999999999998E-2</v>
      </c>
      <c r="G8" s="35">
        <f t="shared" si="1"/>
        <v>188.32499999999999</v>
      </c>
      <c r="H8" s="41"/>
      <c r="I8" s="47"/>
      <c r="K8" s="46">
        <v>0</v>
      </c>
      <c r="L8" s="73"/>
    </row>
    <row r="9" spans="2:14">
      <c r="B9" s="31">
        <v>45651</v>
      </c>
      <c r="C9" s="40">
        <v>270</v>
      </c>
      <c r="D9" s="40">
        <v>15.5</v>
      </c>
      <c r="E9" s="32">
        <f t="shared" si="0"/>
        <v>4185</v>
      </c>
      <c r="F9" s="45">
        <v>4.4999999999999998E-2</v>
      </c>
      <c r="G9" s="35">
        <f t="shared" si="1"/>
        <v>188.32499999999999</v>
      </c>
      <c r="H9" s="41"/>
      <c r="I9" s="47"/>
      <c r="K9" s="46">
        <v>0</v>
      </c>
      <c r="L9" s="73"/>
    </row>
    <row r="10" spans="2:14">
      <c r="B10" s="31">
        <v>45652</v>
      </c>
      <c r="C10" s="40">
        <v>378</v>
      </c>
      <c r="D10" s="40">
        <v>15.5</v>
      </c>
      <c r="E10" s="32">
        <f t="shared" si="0"/>
        <v>5859</v>
      </c>
      <c r="F10" s="45">
        <v>4.4999999999999998E-2</v>
      </c>
      <c r="G10" s="35">
        <f t="shared" si="1"/>
        <v>263.65499999999997</v>
      </c>
      <c r="H10" s="41"/>
      <c r="I10" s="47"/>
      <c r="K10" s="46">
        <v>0</v>
      </c>
      <c r="L10" s="73"/>
    </row>
    <row r="11" spans="2:14">
      <c r="B11" s="31">
        <v>45653</v>
      </c>
      <c r="C11" s="40">
        <v>396</v>
      </c>
      <c r="D11" s="40">
        <v>15.5</v>
      </c>
      <c r="E11" s="32">
        <f t="shared" si="0"/>
        <v>6138</v>
      </c>
      <c r="F11" s="45">
        <v>4.4999999999999998E-2</v>
      </c>
      <c r="G11" s="35">
        <f t="shared" si="1"/>
        <v>276.20999999999998</v>
      </c>
      <c r="H11" s="41"/>
      <c r="I11" s="47"/>
      <c r="K11" s="46">
        <v>0</v>
      </c>
      <c r="L11" s="73"/>
    </row>
    <row r="12" spans="2:14">
      <c r="B12" s="31">
        <v>45654</v>
      </c>
      <c r="C12" s="40">
        <v>396</v>
      </c>
      <c r="D12" s="40">
        <v>15.5</v>
      </c>
      <c r="E12" s="32">
        <f t="shared" si="0"/>
        <v>6138</v>
      </c>
      <c r="F12" s="45">
        <v>4.4999999999999998E-2</v>
      </c>
      <c r="G12" s="35">
        <f t="shared" si="1"/>
        <v>276.20999999999998</v>
      </c>
      <c r="H12" s="41"/>
      <c r="I12" s="47"/>
      <c r="K12" s="46">
        <v>0</v>
      </c>
      <c r="L12" s="73"/>
    </row>
    <row r="13" spans="2:14">
      <c r="B13" s="31">
        <v>45655</v>
      </c>
      <c r="C13" s="40">
        <v>396</v>
      </c>
      <c r="D13" s="40">
        <v>15.5</v>
      </c>
      <c r="E13" s="32">
        <f t="shared" si="0"/>
        <v>6138</v>
      </c>
      <c r="F13" s="45">
        <v>4.4999999999999998E-2</v>
      </c>
      <c r="G13" s="35">
        <f t="shared" si="1"/>
        <v>276.20999999999998</v>
      </c>
      <c r="H13" s="41"/>
      <c r="I13" s="47"/>
      <c r="K13" s="46">
        <v>0</v>
      </c>
      <c r="L13" s="73"/>
    </row>
    <row r="14" spans="2:14">
      <c r="B14" s="31">
        <v>45656</v>
      </c>
      <c r="C14" s="40">
        <v>414</v>
      </c>
      <c r="D14" s="40">
        <v>15.5</v>
      </c>
      <c r="E14" s="32">
        <f t="shared" si="0"/>
        <v>6417</v>
      </c>
      <c r="F14" s="45">
        <v>4.4999999999999998E-2</v>
      </c>
      <c r="G14" s="35">
        <f t="shared" si="1"/>
        <v>288.76499999999999</v>
      </c>
      <c r="H14" s="41"/>
      <c r="I14" s="47"/>
      <c r="K14" s="46">
        <v>0</v>
      </c>
      <c r="L14" s="73"/>
    </row>
    <row r="15" spans="2:14">
      <c r="B15" s="31">
        <v>45657</v>
      </c>
      <c r="C15" s="40">
        <v>432</v>
      </c>
      <c r="D15" s="40">
        <v>15.5</v>
      </c>
      <c r="E15" s="32">
        <f t="shared" si="0"/>
        <v>6696</v>
      </c>
      <c r="F15" s="45">
        <v>4.4999999999999998E-2</v>
      </c>
      <c r="G15" s="35">
        <f t="shared" si="1"/>
        <v>301.32</v>
      </c>
      <c r="H15" s="41"/>
      <c r="I15" s="47"/>
      <c r="K15" s="46">
        <v>0</v>
      </c>
      <c r="L15" s="73"/>
    </row>
    <row r="16" spans="2:14">
      <c r="B16" s="31">
        <v>45658</v>
      </c>
      <c r="C16" s="40">
        <v>432</v>
      </c>
      <c r="D16" s="40">
        <v>16</v>
      </c>
      <c r="E16" s="32">
        <f t="shared" si="0"/>
        <v>6912</v>
      </c>
      <c r="F16" s="45">
        <v>4.4999999999999998E-2</v>
      </c>
      <c r="G16" s="35">
        <f>E16*F16</f>
        <v>311.03999999999996</v>
      </c>
      <c r="H16" s="41"/>
      <c r="I16" s="47"/>
      <c r="K16" s="46">
        <v>0</v>
      </c>
      <c r="L16" s="73"/>
    </row>
    <row r="17" spans="2:12">
      <c r="B17" s="31">
        <v>45659</v>
      </c>
      <c r="C17" s="40">
        <v>432</v>
      </c>
      <c r="D17" s="40">
        <v>16</v>
      </c>
      <c r="E17" s="32">
        <f t="shared" si="0"/>
        <v>6912</v>
      </c>
      <c r="F17" s="45">
        <v>4.4999999999999998E-2</v>
      </c>
      <c r="G17" s="35">
        <f t="shared" ref="G17:G80" si="2">E17*F17</f>
        <v>311.03999999999996</v>
      </c>
      <c r="H17" s="41"/>
      <c r="I17" s="47"/>
      <c r="K17" s="46">
        <v>0</v>
      </c>
      <c r="L17" s="73"/>
    </row>
    <row r="18" spans="2:12">
      <c r="B18" s="31">
        <v>45660</v>
      </c>
      <c r="C18" s="40">
        <v>432</v>
      </c>
      <c r="D18" s="40">
        <v>16</v>
      </c>
      <c r="E18" s="32">
        <f t="shared" si="0"/>
        <v>6912</v>
      </c>
      <c r="F18" s="45">
        <v>4.4999999999999998E-2</v>
      </c>
      <c r="G18" s="35">
        <f t="shared" si="2"/>
        <v>311.03999999999996</v>
      </c>
      <c r="H18" s="41"/>
      <c r="I18" s="47"/>
      <c r="K18" s="46">
        <v>0</v>
      </c>
      <c r="L18" s="73"/>
    </row>
    <row r="19" spans="2:12">
      <c r="B19" s="31">
        <v>45661</v>
      </c>
      <c r="C19" s="40">
        <v>432</v>
      </c>
      <c r="D19" s="40">
        <v>16</v>
      </c>
      <c r="E19" s="32">
        <f t="shared" si="0"/>
        <v>6912</v>
      </c>
      <c r="F19" s="45">
        <v>4.4999999999999998E-2</v>
      </c>
      <c r="G19" s="35">
        <f t="shared" si="2"/>
        <v>311.03999999999996</v>
      </c>
      <c r="H19" s="41"/>
      <c r="I19" s="47"/>
      <c r="K19" s="46">
        <v>0</v>
      </c>
      <c r="L19" s="73"/>
    </row>
    <row r="20" spans="2:12">
      <c r="B20" s="31">
        <v>45662</v>
      </c>
      <c r="C20" s="40">
        <v>432</v>
      </c>
      <c r="D20" s="40">
        <v>16</v>
      </c>
      <c r="E20" s="32">
        <f t="shared" si="0"/>
        <v>6912</v>
      </c>
      <c r="F20" s="45">
        <v>4.4999999999999998E-2</v>
      </c>
      <c r="G20" s="35">
        <f t="shared" si="2"/>
        <v>311.03999999999996</v>
      </c>
      <c r="H20" s="41"/>
      <c r="I20" s="47"/>
      <c r="K20" s="46">
        <v>0</v>
      </c>
      <c r="L20" s="73"/>
    </row>
    <row r="21" spans="2:12">
      <c r="B21" s="31">
        <v>45663</v>
      </c>
      <c r="C21" s="40">
        <v>432</v>
      </c>
      <c r="D21" s="40">
        <v>16</v>
      </c>
      <c r="E21" s="32">
        <f t="shared" si="0"/>
        <v>6912</v>
      </c>
      <c r="F21" s="45">
        <v>4.4999999999999998E-2</v>
      </c>
      <c r="G21" s="35">
        <f t="shared" si="2"/>
        <v>311.03999999999996</v>
      </c>
      <c r="H21" s="41"/>
      <c r="I21" s="47"/>
      <c r="K21" s="46">
        <v>0</v>
      </c>
      <c r="L21" s="73"/>
    </row>
    <row r="22" spans="2:12">
      <c r="B22" s="31">
        <v>45664</v>
      </c>
      <c r="C22" s="40">
        <v>432</v>
      </c>
      <c r="D22" s="40">
        <v>16</v>
      </c>
      <c r="E22" s="32">
        <f t="shared" si="0"/>
        <v>6912</v>
      </c>
      <c r="F22" s="45">
        <v>4.4999999999999998E-2</v>
      </c>
      <c r="G22" s="35">
        <f t="shared" si="2"/>
        <v>311.03999999999996</v>
      </c>
      <c r="H22" s="41"/>
      <c r="I22" s="47"/>
      <c r="K22" s="46">
        <v>0</v>
      </c>
      <c r="L22" s="73"/>
    </row>
    <row r="23" spans="2:12">
      <c r="B23" s="31">
        <v>45665</v>
      </c>
      <c r="C23" s="40">
        <v>432</v>
      </c>
      <c r="D23" s="40">
        <v>16</v>
      </c>
      <c r="E23" s="32">
        <f t="shared" si="0"/>
        <v>6912</v>
      </c>
      <c r="F23" s="45">
        <v>4.4999999999999998E-2</v>
      </c>
      <c r="G23" s="35">
        <f t="shared" si="2"/>
        <v>311.03999999999996</v>
      </c>
      <c r="H23" s="41"/>
      <c r="I23" s="47"/>
      <c r="K23" s="46">
        <v>0</v>
      </c>
      <c r="L23" s="73"/>
    </row>
    <row r="24" spans="2:12">
      <c r="B24" s="31">
        <v>45666</v>
      </c>
      <c r="C24" s="40">
        <v>432</v>
      </c>
      <c r="D24" s="40">
        <v>16</v>
      </c>
      <c r="E24" s="32">
        <f t="shared" si="0"/>
        <v>6912</v>
      </c>
      <c r="F24" s="45">
        <v>4.4999999999999998E-2</v>
      </c>
      <c r="G24" s="35">
        <f t="shared" si="2"/>
        <v>311.03999999999996</v>
      </c>
      <c r="H24" s="41"/>
      <c r="I24" s="47"/>
      <c r="K24" s="46">
        <v>0</v>
      </c>
      <c r="L24" s="73"/>
    </row>
    <row r="25" spans="2:12">
      <c r="B25" s="31">
        <v>45667</v>
      </c>
      <c r="C25" s="40">
        <v>432</v>
      </c>
      <c r="D25" s="40">
        <v>16</v>
      </c>
      <c r="E25" s="32">
        <f t="shared" si="0"/>
        <v>6912</v>
      </c>
      <c r="F25" s="45">
        <v>4.4999999999999998E-2</v>
      </c>
      <c r="G25" s="35">
        <f t="shared" si="2"/>
        <v>311.03999999999996</v>
      </c>
      <c r="H25" s="41"/>
      <c r="I25" s="47"/>
      <c r="K25" s="46">
        <v>0</v>
      </c>
      <c r="L25" s="73"/>
    </row>
    <row r="26" spans="2:12">
      <c r="B26" s="31">
        <v>45668</v>
      </c>
      <c r="C26" s="40">
        <v>432</v>
      </c>
      <c r="D26" s="40">
        <v>16</v>
      </c>
      <c r="E26" s="32">
        <f t="shared" si="0"/>
        <v>6912</v>
      </c>
      <c r="F26" s="45">
        <v>4.4999999999999998E-2</v>
      </c>
      <c r="G26" s="35">
        <f t="shared" si="2"/>
        <v>311.03999999999996</v>
      </c>
      <c r="H26" s="41"/>
      <c r="I26" s="47"/>
      <c r="K26" s="46">
        <v>0</v>
      </c>
      <c r="L26" s="73"/>
    </row>
    <row r="27" spans="2:12">
      <c r="B27" s="31">
        <v>45669</v>
      </c>
      <c r="C27" s="40">
        <v>432</v>
      </c>
      <c r="D27" s="40">
        <v>16</v>
      </c>
      <c r="E27" s="32">
        <f t="shared" si="0"/>
        <v>6912</v>
      </c>
      <c r="F27" s="45">
        <v>4.4999999999999998E-2</v>
      </c>
      <c r="G27" s="35">
        <f t="shared" si="2"/>
        <v>311.03999999999996</v>
      </c>
      <c r="H27" s="41"/>
      <c r="I27" s="47"/>
      <c r="K27" s="46">
        <v>0</v>
      </c>
      <c r="L27" s="73"/>
    </row>
    <row r="28" spans="2:12">
      <c r="B28" s="31">
        <v>45670</v>
      </c>
      <c r="C28" s="40">
        <v>432</v>
      </c>
      <c r="D28" s="40">
        <v>16</v>
      </c>
      <c r="E28" s="32">
        <f t="shared" si="0"/>
        <v>6912</v>
      </c>
      <c r="F28" s="45">
        <v>4.4999999999999998E-2</v>
      </c>
      <c r="G28" s="35">
        <f t="shared" si="2"/>
        <v>311.03999999999996</v>
      </c>
      <c r="H28" s="41"/>
      <c r="I28" s="47"/>
      <c r="K28" s="46">
        <v>0</v>
      </c>
      <c r="L28" s="73"/>
    </row>
    <row r="29" spans="2:12">
      <c r="B29" s="31">
        <v>45671</v>
      </c>
      <c r="C29" s="40">
        <v>432</v>
      </c>
      <c r="D29" s="40">
        <v>16</v>
      </c>
      <c r="E29" s="32">
        <f t="shared" si="0"/>
        <v>6912</v>
      </c>
      <c r="F29" s="45">
        <v>4.4999999999999998E-2</v>
      </c>
      <c r="G29" s="35">
        <f t="shared" si="2"/>
        <v>311.03999999999996</v>
      </c>
      <c r="H29" s="41"/>
      <c r="I29" s="47"/>
      <c r="K29" s="46">
        <v>0</v>
      </c>
      <c r="L29" s="73"/>
    </row>
    <row r="30" spans="2:12">
      <c r="B30" s="31">
        <v>45672</v>
      </c>
      <c r="C30" s="40">
        <v>432</v>
      </c>
      <c r="D30" s="40">
        <v>16</v>
      </c>
      <c r="E30" s="32">
        <f t="shared" si="0"/>
        <v>6912</v>
      </c>
      <c r="F30" s="45">
        <v>4.4999999999999998E-2</v>
      </c>
      <c r="G30" s="35">
        <f t="shared" si="2"/>
        <v>311.03999999999996</v>
      </c>
      <c r="H30" s="41"/>
      <c r="I30" s="47"/>
      <c r="K30" s="46">
        <v>0</v>
      </c>
      <c r="L30" s="73"/>
    </row>
    <row r="31" spans="2:12">
      <c r="B31" s="31">
        <v>45673</v>
      </c>
      <c r="C31" s="40">
        <v>432</v>
      </c>
      <c r="D31" s="40">
        <v>16</v>
      </c>
      <c r="E31" s="32">
        <f t="shared" si="0"/>
        <v>6912</v>
      </c>
      <c r="F31" s="45">
        <v>4.4999999999999998E-2</v>
      </c>
      <c r="G31" s="35">
        <f t="shared" si="2"/>
        <v>311.03999999999996</v>
      </c>
      <c r="H31" s="41"/>
      <c r="I31" s="47"/>
      <c r="K31" s="46">
        <v>0</v>
      </c>
      <c r="L31" s="73"/>
    </row>
    <row r="32" spans="2:12">
      <c r="B32" s="31">
        <v>45674</v>
      </c>
      <c r="C32" s="40">
        <v>432</v>
      </c>
      <c r="D32" s="40">
        <v>16</v>
      </c>
      <c r="E32" s="32">
        <f t="shared" si="0"/>
        <v>6912</v>
      </c>
      <c r="F32" s="45">
        <v>4.4999999999999998E-2</v>
      </c>
      <c r="G32" s="35">
        <f t="shared" si="2"/>
        <v>311.03999999999996</v>
      </c>
      <c r="H32" s="41"/>
      <c r="I32" s="47"/>
      <c r="K32" s="46">
        <v>0</v>
      </c>
      <c r="L32" s="73"/>
    </row>
    <row r="33" spans="2:12">
      <c r="B33" s="31">
        <v>45675</v>
      </c>
      <c r="C33" s="40">
        <v>432</v>
      </c>
      <c r="D33" s="40">
        <v>16</v>
      </c>
      <c r="E33" s="32">
        <f t="shared" si="0"/>
        <v>6912</v>
      </c>
      <c r="F33" s="45">
        <v>4.4999999999999998E-2</v>
      </c>
      <c r="G33" s="35">
        <f t="shared" si="2"/>
        <v>311.03999999999996</v>
      </c>
      <c r="H33" s="41"/>
      <c r="I33" s="47"/>
      <c r="K33" s="46">
        <v>0</v>
      </c>
      <c r="L33" s="73"/>
    </row>
    <row r="34" spans="2:12">
      <c r="B34" s="31">
        <v>45676</v>
      </c>
      <c r="C34" s="40">
        <v>432</v>
      </c>
      <c r="D34" s="40">
        <v>16</v>
      </c>
      <c r="E34" s="32">
        <f t="shared" si="0"/>
        <v>6912</v>
      </c>
      <c r="F34" s="45">
        <v>4.4999999999999998E-2</v>
      </c>
      <c r="G34" s="35">
        <f t="shared" si="2"/>
        <v>311.03999999999996</v>
      </c>
      <c r="H34" s="41"/>
      <c r="I34" s="47"/>
      <c r="K34" s="46">
        <v>0</v>
      </c>
      <c r="L34" s="73"/>
    </row>
    <row r="35" spans="2:12">
      <c r="B35" s="31">
        <v>45677</v>
      </c>
      <c r="C35" s="40">
        <v>432</v>
      </c>
      <c r="D35" s="40">
        <v>16</v>
      </c>
      <c r="E35" s="32">
        <f t="shared" si="0"/>
        <v>6912</v>
      </c>
      <c r="F35" s="45">
        <v>4.4999999999999998E-2</v>
      </c>
      <c r="G35" s="35">
        <f t="shared" si="2"/>
        <v>311.03999999999996</v>
      </c>
      <c r="H35" s="41"/>
      <c r="I35" s="47"/>
      <c r="K35" s="46">
        <v>0</v>
      </c>
      <c r="L35" s="73"/>
    </row>
    <row r="36" spans="2:12">
      <c r="B36" s="31">
        <v>45678</v>
      </c>
      <c r="C36" s="40">
        <v>432</v>
      </c>
      <c r="D36" s="40">
        <v>16</v>
      </c>
      <c r="E36" s="32">
        <f t="shared" si="0"/>
        <v>6912</v>
      </c>
      <c r="F36" s="45">
        <v>4.4999999999999998E-2</v>
      </c>
      <c r="G36" s="35">
        <f t="shared" si="2"/>
        <v>311.03999999999996</v>
      </c>
      <c r="H36" s="41"/>
      <c r="I36" s="47"/>
      <c r="K36" s="46">
        <v>0</v>
      </c>
      <c r="L36" s="73"/>
    </row>
    <row r="37" spans="2:12">
      <c r="B37" s="31">
        <v>45679</v>
      </c>
      <c r="C37" s="40">
        <v>432</v>
      </c>
      <c r="D37" s="40">
        <v>16</v>
      </c>
      <c r="E37" s="32">
        <f t="shared" si="0"/>
        <v>6912</v>
      </c>
      <c r="F37" s="45">
        <v>4.4999999999999998E-2</v>
      </c>
      <c r="G37" s="35">
        <f t="shared" si="2"/>
        <v>311.03999999999996</v>
      </c>
      <c r="H37" s="41"/>
      <c r="I37" s="47"/>
      <c r="K37" s="46">
        <v>0</v>
      </c>
      <c r="L37" s="73"/>
    </row>
    <row r="38" spans="2:12">
      <c r="B38" s="31">
        <v>45680</v>
      </c>
      <c r="C38" s="40">
        <v>432</v>
      </c>
      <c r="D38" s="40">
        <v>16</v>
      </c>
      <c r="E38" s="32">
        <f t="shared" si="0"/>
        <v>6912</v>
      </c>
      <c r="F38" s="45">
        <v>4.4999999999999998E-2</v>
      </c>
      <c r="G38" s="35">
        <f t="shared" si="2"/>
        <v>311.03999999999996</v>
      </c>
      <c r="H38" s="41"/>
      <c r="I38" s="47"/>
      <c r="K38" s="46">
        <v>0</v>
      </c>
      <c r="L38" s="73"/>
    </row>
    <row r="39" spans="2:12">
      <c r="B39" s="31">
        <v>45681</v>
      </c>
      <c r="C39" s="40">
        <v>432</v>
      </c>
      <c r="D39" s="40">
        <v>16</v>
      </c>
      <c r="E39" s="32">
        <f t="shared" si="0"/>
        <v>6912</v>
      </c>
      <c r="F39" s="45">
        <v>4.4999999999999998E-2</v>
      </c>
      <c r="G39" s="35">
        <f t="shared" si="2"/>
        <v>311.03999999999996</v>
      </c>
      <c r="H39" s="41"/>
      <c r="I39" s="47"/>
      <c r="K39" s="46">
        <v>0</v>
      </c>
      <c r="L39" s="73"/>
    </row>
    <row r="40" spans="2:12">
      <c r="B40" s="31">
        <v>45682</v>
      </c>
      <c r="C40" s="40">
        <v>432</v>
      </c>
      <c r="D40" s="40">
        <v>16</v>
      </c>
      <c r="E40" s="32">
        <f t="shared" si="0"/>
        <v>6912</v>
      </c>
      <c r="F40" s="45">
        <v>4.4999999999999998E-2</v>
      </c>
      <c r="G40" s="35">
        <f t="shared" si="2"/>
        <v>311.03999999999996</v>
      </c>
      <c r="H40" s="41"/>
      <c r="I40" s="47"/>
      <c r="K40" s="46">
        <v>0</v>
      </c>
      <c r="L40" s="73"/>
    </row>
    <row r="41" spans="2:12">
      <c r="B41" s="31">
        <v>45683</v>
      </c>
      <c r="C41" s="40">
        <v>432</v>
      </c>
      <c r="D41" s="40">
        <v>16</v>
      </c>
      <c r="E41" s="32">
        <f t="shared" si="0"/>
        <v>6912</v>
      </c>
      <c r="F41" s="45">
        <v>4.4999999999999998E-2</v>
      </c>
      <c r="G41" s="35">
        <f t="shared" si="2"/>
        <v>311.03999999999996</v>
      </c>
      <c r="H41" s="41"/>
      <c r="I41" s="47"/>
      <c r="K41" s="46">
        <v>0</v>
      </c>
      <c r="L41" s="73"/>
    </row>
    <row r="42" spans="2:12">
      <c r="B42" s="31">
        <v>45684</v>
      </c>
      <c r="C42" s="40">
        <v>432</v>
      </c>
      <c r="D42" s="40">
        <v>16</v>
      </c>
      <c r="E42" s="32">
        <f t="shared" si="0"/>
        <v>6912</v>
      </c>
      <c r="F42" s="45">
        <v>4.4999999999999998E-2</v>
      </c>
      <c r="G42" s="35">
        <f t="shared" si="2"/>
        <v>311.03999999999996</v>
      </c>
      <c r="H42" s="41"/>
      <c r="I42" s="47"/>
      <c r="K42" s="46">
        <v>0</v>
      </c>
      <c r="L42" s="73"/>
    </row>
    <row r="43" spans="2:12">
      <c r="B43" s="31">
        <v>45685</v>
      </c>
      <c r="C43" s="40">
        <v>432</v>
      </c>
      <c r="D43" s="40">
        <v>16</v>
      </c>
      <c r="E43" s="32">
        <f t="shared" si="0"/>
        <v>6912</v>
      </c>
      <c r="F43" s="45">
        <v>4.4999999999999998E-2</v>
      </c>
      <c r="G43" s="35">
        <f t="shared" si="2"/>
        <v>311.03999999999996</v>
      </c>
      <c r="H43" s="41"/>
      <c r="I43" s="47"/>
      <c r="K43" s="46">
        <v>0</v>
      </c>
      <c r="L43" s="73"/>
    </row>
    <row r="44" spans="2:12">
      <c r="B44" s="31">
        <v>45686</v>
      </c>
      <c r="C44" s="40">
        <v>432</v>
      </c>
      <c r="D44" s="40">
        <v>16</v>
      </c>
      <c r="E44" s="32">
        <f t="shared" si="0"/>
        <v>6912</v>
      </c>
      <c r="F44" s="45">
        <v>4.4999999999999998E-2</v>
      </c>
      <c r="G44" s="35">
        <f t="shared" si="2"/>
        <v>311.03999999999996</v>
      </c>
      <c r="H44" s="41"/>
      <c r="I44" s="47"/>
      <c r="K44" s="46">
        <v>0</v>
      </c>
      <c r="L44" s="73"/>
    </row>
    <row r="45" spans="2:12">
      <c r="B45" s="31">
        <v>45687</v>
      </c>
      <c r="C45" s="40">
        <v>432</v>
      </c>
      <c r="D45" s="40">
        <v>16</v>
      </c>
      <c r="E45" s="32">
        <f t="shared" si="0"/>
        <v>6912</v>
      </c>
      <c r="F45" s="45">
        <v>4.4999999999999998E-2</v>
      </c>
      <c r="G45" s="35">
        <f t="shared" si="2"/>
        <v>311.03999999999996</v>
      </c>
      <c r="H45" s="41"/>
      <c r="I45" s="47"/>
      <c r="K45" s="46">
        <v>0</v>
      </c>
      <c r="L45" s="73"/>
    </row>
    <row r="46" spans="2:12">
      <c r="B46" s="31">
        <v>45688</v>
      </c>
      <c r="C46" s="40">
        <v>432</v>
      </c>
      <c r="D46" s="40">
        <v>16</v>
      </c>
      <c r="E46" s="32">
        <f t="shared" si="0"/>
        <v>6912</v>
      </c>
      <c r="F46" s="45">
        <v>4.4999999999999998E-2</v>
      </c>
      <c r="G46" s="35">
        <f t="shared" si="2"/>
        <v>311.03999999999996</v>
      </c>
      <c r="H46" s="41"/>
      <c r="I46" s="47"/>
      <c r="K46" s="46">
        <v>0</v>
      </c>
      <c r="L46" s="73"/>
    </row>
    <row r="47" spans="2:12">
      <c r="B47" s="31">
        <v>45689</v>
      </c>
      <c r="C47" s="40">
        <v>432</v>
      </c>
      <c r="D47" s="40">
        <v>16</v>
      </c>
      <c r="E47" s="32">
        <f t="shared" si="0"/>
        <v>6912</v>
      </c>
      <c r="F47" s="45">
        <v>4.4999999999999998E-2</v>
      </c>
      <c r="G47" s="35">
        <f t="shared" si="2"/>
        <v>311.03999999999996</v>
      </c>
      <c r="H47" s="41"/>
      <c r="I47" s="47"/>
      <c r="K47" s="46">
        <v>0</v>
      </c>
      <c r="L47" s="73"/>
    </row>
    <row r="48" spans="2:12">
      <c r="B48" s="31">
        <v>45690</v>
      </c>
      <c r="C48" s="40">
        <v>432</v>
      </c>
      <c r="D48" s="40">
        <v>16</v>
      </c>
      <c r="E48" s="32">
        <f t="shared" si="0"/>
        <v>6912</v>
      </c>
      <c r="F48" s="45">
        <v>4.4999999999999998E-2</v>
      </c>
      <c r="G48" s="35">
        <f t="shared" si="2"/>
        <v>311.03999999999996</v>
      </c>
      <c r="H48" s="41"/>
      <c r="I48" s="47"/>
      <c r="K48" s="46">
        <v>0</v>
      </c>
      <c r="L48" s="73"/>
    </row>
    <row r="49" spans="2:12">
      <c r="B49" s="31">
        <v>45691</v>
      </c>
      <c r="C49" s="40">
        <v>432</v>
      </c>
      <c r="D49" s="40">
        <v>16</v>
      </c>
      <c r="E49" s="32">
        <f t="shared" si="0"/>
        <v>6912</v>
      </c>
      <c r="F49" s="45">
        <v>4.4999999999999998E-2</v>
      </c>
      <c r="G49" s="35">
        <f t="shared" si="2"/>
        <v>311.03999999999996</v>
      </c>
      <c r="H49" s="41"/>
      <c r="I49" s="47"/>
      <c r="K49" s="46">
        <v>0</v>
      </c>
      <c r="L49" s="73"/>
    </row>
    <row r="50" spans="2:12">
      <c r="B50" s="31">
        <v>45692</v>
      </c>
      <c r="C50" s="40">
        <v>432</v>
      </c>
      <c r="D50" s="40">
        <v>16</v>
      </c>
      <c r="E50" s="32">
        <f t="shared" si="0"/>
        <v>6912</v>
      </c>
      <c r="F50" s="45">
        <v>4.4999999999999998E-2</v>
      </c>
      <c r="G50" s="35">
        <f t="shared" si="2"/>
        <v>311.03999999999996</v>
      </c>
      <c r="H50" s="41"/>
      <c r="I50" s="47"/>
      <c r="K50" s="46">
        <v>0</v>
      </c>
      <c r="L50" s="73"/>
    </row>
    <row r="51" spans="2:12">
      <c r="B51" s="31">
        <v>45693</v>
      </c>
      <c r="C51" s="40">
        <v>432</v>
      </c>
      <c r="D51" s="40">
        <v>16</v>
      </c>
      <c r="E51" s="32">
        <f t="shared" si="0"/>
        <v>6912</v>
      </c>
      <c r="F51" s="45">
        <v>4.4999999999999998E-2</v>
      </c>
      <c r="G51" s="35">
        <f t="shared" si="2"/>
        <v>311.03999999999996</v>
      </c>
      <c r="H51" s="41"/>
      <c r="I51" s="47"/>
      <c r="K51" s="46">
        <v>0</v>
      </c>
      <c r="L51" s="73"/>
    </row>
    <row r="52" spans="2:12">
      <c r="B52" s="31">
        <v>45694</v>
      </c>
      <c r="C52" s="40">
        <v>432</v>
      </c>
      <c r="D52" s="40">
        <v>16</v>
      </c>
      <c r="E52" s="32">
        <f t="shared" si="0"/>
        <v>6912</v>
      </c>
      <c r="F52" s="45">
        <v>4.4999999999999998E-2</v>
      </c>
      <c r="G52" s="35">
        <f t="shared" si="2"/>
        <v>311.03999999999996</v>
      </c>
      <c r="H52" s="41"/>
      <c r="I52" s="47"/>
      <c r="K52" s="46">
        <v>0</v>
      </c>
      <c r="L52" s="73"/>
    </row>
    <row r="53" spans="2:12">
      <c r="B53" s="31">
        <v>45695</v>
      </c>
      <c r="C53" s="40">
        <v>432</v>
      </c>
      <c r="D53" s="40">
        <v>16</v>
      </c>
      <c r="E53" s="32">
        <f t="shared" si="0"/>
        <v>6912</v>
      </c>
      <c r="F53" s="45">
        <v>4.4999999999999998E-2</v>
      </c>
      <c r="G53" s="35">
        <f t="shared" si="2"/>
        <v>311.03999999999996</v>
      </c>
      <c r="H53" s="41"/>
      <c r="I53" s="47"/>
      <c r="K53" s="46">
        <v>0</v>
      </c>
      <c r="L53" s="73"/>
    </row>
    <row r="54" spans="2:12">
      <c r="B54" s="31">
        <v>45696</v>
      </c>
      <c r="C54" s="40">
        <v>432</v>
      </c>
      <c r="D54" s="40">
        <v>16</v>
      </c>
      <c r="E54" s="32">
        <f t="shared" si="0"/>
        <v>6912</v>
      </c>
      <c r="F54" s="45">
        <v>4.4999999999999998E-2</v>
      </c>
      <c r="G54" s="35">
        <f t="shared" si="2"/>
        <v>311.03999999999996</v>
      </c>
      <c r="H54" s="41"/>
      <c r="I54" s="47"/>
      <c r="K54" s="46">
        <v>0</v>
      </c>
      <c r="L54" s="73"/>
    </row>
    <row r="55" spans="2:12">
      <c r="B55" s="31">
        <v>45697</v>
      </c>
      <c r="C55" s="40">
        <v>432</v>
      </c>
      <c r="D55" s="40">
        <v>16</v>
      </c>
      <c r="E55" s="32">
        <f t="shared" si="0"/>
        <v>6912</v>
      </c>
      <c r="F55" s="45">
        <v>4.4999999999999998E-2</v>
      </c>
      <c r="G55" s="35">
        <f t="shared" si="2"/>
        <v>311.03999999999996</v>
      </c>
      <c r="H55" s="41"/>
      <c r="I55" s="47"/>
      <c r="K55" s="46">
        <v>0</v>
      </c>
      <c r="L55" s="73"/>
    </row>
    <row r="56" spans="2:12">
      <c r="B56" s="31">
        <v>45698</v>
      </c>
      <c r="C56" s="40">
        <v>432</v>
      </c>
      <c r="D56" s="40">
        <v>16</v>
      </c>
      <c r="E56" s="32">
        <f t="shared" si="0"/>
        <v>6912</v>
      </c>
      <c r="F56" s="45">
        <v>4.4999999999999998E-2</v>
      </c>
      <c r="G56" s="35">
        <f t="shared" si="2"/>
        <v>311.03999999999996</v>
      </c>
      <c r="H56" s="41"/>
      <c r="I56" s="47"/>
      <c r="K56" s="46">
        <v>0</v>
      </c>
      <c r="L56" s="73"/>
    </row>
    <row r="57" spans="2:12">
      <c r="B57" s="31">
        <v>45699</v>
      </c>
      <c r="C57" s="40">
        <v>432</v>
      </c>
      <c r="D57" s="40">
        <v>16</v>
      </c>
      <c r="E57" s="32">
        <f t="shared" si="0"/>
        <v>6912</v>
      </c>
      <c r="F57" s="45">
        <v>4.4999999999999998E-2</v>
      </c>
      <c r="G57" s="35">
        <f t="shared" si="2"/>
        <v>311.03999999999996</v>
      </c>
      <c r="H57" s="41"/>
      <c r="I57" s="47"/>
      <c r="K57" s="46">
        <v>0</v>
      </c>
      <c r="L57" s="73"/>
    </row>
    <row r="58" spans="2:12">
      <c r="B58" s="31">
        <v>45700</v>
      </c>
      <c r="C58" s="40">
        <v>432</v>
      </c>
      <c r="D58" s="40">
        <v>16</v>
      </c>
      <c r="E58" s="32">
        <f t="shared" si="0"/>
        <v>6912</v>
      </c>
      <c r="F58" s="45">
        <v>4.4999999999999998E-2</v>
      </c>
      <c r="G58" s="35">
        <f t="shared" si="2"/>
        <v>311.03999999999996</v>
      </c>
      <c r="H58" s="41"/>
      <c r="I58" s="47"/>
      <c r="K58" s="46">
        <v>0</v>
      </c>
      <c r="L58" s="73"/>
    </row>
    <row r="59" spans="2:12">
      <c r="B59" s="31">
        <v>45701</v>
      </c>
      <c r="C59" s="40">
        <v>432</v>
      </c>
      <c r="D59" s="40">
        <v>16</v>
      </c>
      <c r="E59" s="32">
        <f t="shared" si="0"/>
        <v>6912</v>
      </c>
      <c r="F59" s="45">
        <v>4.4999999999999998E-2</v>
      </c>
      <c r="G59" s="35">
        <f t="shared" si="2"/>
        <v>311.03999999999996</v>
      </c>
      <c r="H59" s="41"/>
      <c r="I59" s="47"/>
      <c r="K59" s="46">
        <v>0</v>
      </c>
      <c r="L59" s="73"/>
    </row>
    <row r="60" spans="2:12">
      <c r="B60" s="31">
        <v>45702</v>
      </c>
      <c r="C60" s="40">
        <v>432</v>
      </c>
      <c r="D60" s="40">
        <v>16</v>
      </c>
      <c r="E60" s="32">
        <f t="shared" si="0"/>
        <v>6912</v>
      </c>
      <c r="F60" s="45">
        <v>4.4999999999999998E-2</v>
      </c>
      <c r="G60" s="35">
        <f t="shared" si="2"/>
        <v>311.03999999999996</v>
      </c>
      <c r="H60" s="41"/>
      <c r="I60" s="47"/>
      <c r="K60" s="46">
        <v>0</v>
      </c>
      <c r="L60" s="73"/>
    </row>
    <row r="61" spans="2:12">
      <c r="B61" s="31">
        <v>45703</v>
      </c>
      <c r="C61" s="40">
        <v>432</v>
      </c>
      <c r="D61" s="40">
        <v>16</v>
      </c>
      <c r="E61" s="32">
        <f t="shared" si="0"/>
        <v>6912</v>
      </c>
      <c r="F61" s="45">
        <v>4.4999999999999998E-2</v>
      </c>
      <c r="G61" s="35">
        <f t="shared" si="2"/>
        <v>311.03999999999996</v>
      </c>
      <c r="H61" s="41"/>
      <c r="I61" s="47"/>
      <c r="K61" s="46">
        <v>0</v>
      </c>
      <c r="L61" s="73"/>
    </row>
    <row r="62" spans="2:12">
      <c r="B62" s="31">
        <v>45704</v>
      </c>
      <c r="C62" s="40">
        <v>432</v>
      </c>
      <c r="D62" s="40">
        <v>16</v>
      </c>
      <c r="E62" s="32">
        <f t="shared" si="0"/>
        <v>6912</v>
      </c>
      <c r="F62" s="45">
        <v>4.4999999999999998E-2</v>
      </c>
      <c r="G62" s="35">
        <f t="shared" si="2"/>
        <v>311.03999999999996</v>
      </c>
      <c r="H62" s="41"/>
      <c r="I62" s="47"/>
      <c r="K62" s="46">
        <v>0</v>
      </c>
      <c r="L62" s="73"/>
    </row>
    <row r="63" spans="2:12">
      <c r="B63" s="31">
        <v>45705</v>
      </c>
      <c r="C63" s="40">
        <v>432</v>
      </c>
      <c r="D63" s="40">
        <v>16</v>
      </c>
      <c r="E63" s="32">
        <f t="shared" si="0"/>
        <v>6912</v>
      </c>
      <c r="F63" s="45">
        <v>4.4999999999999998E-2</v>
      </c>
      <c r="G63" s="35">
        <f t="shared" si="2"/>
        <v>311.03999999999996</v>
      </c>
      <c r="H63" s="41"/>
      <c r="I63" s="47"/>
      <c r="K63" s="46">
        <v>0</v>
      </c>
      <c r="L63" s="73"/>
    </row>
    <row r="64" spans="2:12">
      <c r="B64" s="31">
        <v>45706</v>
      </c>
      <c r="C64" s="40">
        <v>432</v>
      </c>
      <c r="D64" s="40">
        <v>16</v>
      </c>
      <c r="E64" s="32">
        <f t="shared" si="0"/>
        <v>6912</v>
      </c>
      <c r="F64" s="45">
        <v>4.4999999999999998E-2</v>
      </c>
      <c r="G64" s="35">
        <f t="shared" si="2"/>
        <v>311.03999999999996</v>
      </c>
      <c r="H64" s="41"/>
      <c r="I64" s="47"/>
      <c r="K64" s="46">
        <v>0</v>
      </c>
      <c r="L64" s="73"/>
    </row>
    <row r="65" spans="2:12">
      <c r="B65" s="31">
        <v>45707</v>
      </c>
      <c r="C65" s="40">
        <v>432</v>
      </c>
      <c r="D65" s="40">
        <v>16</v>
      </c>
      <c r="E65" s="32">
        <f t="shared" si="0"/>
        <v>6912</v>
      </c>
      <c r="F65" s="45">
        <v>4.4999999999999998E-2</v>
      </c>
      <c r="G65" s="35">
        <f t="shared" si="2"/>
        <v>311.03999999999996</v>
      </c>
      <c r="H65" s="41"/>
      <c r="I65" s="47"/>
      <c r="K65" s="46">
        <v>0</v>
      </c>
      <c r="L65" s="73"/>
    </row>
    <row r="66" spans="2:12">
      <c r="B66" s="31">
        <v>45708</v>
      </c>
      <c r="C66" s="40">
        <v>432</v>
      </c>
      <c r="D66" s="40">
        <v>16</v>
      </c>
      <c r="E66" s="32">
        <f t="shared" si="0"/>
        <v>6912</v>
      </c>
      <c r="F66" s="45">
        <v>4.4999999999999998E-2</v>
      </c>
      <c r="G66" s="35">
        <f t="shared" si="2"/>
        <v>311.03999999999996</v>
      </c>
      <c r="H66" s="41"/>
      <c r="I66" s="47"/>
      <c r="K66" s="46">
        <v>0</v>
      </c>
      <c r="L66" s="73"/>
    </row>
    <row r="67" spans="2:12">
      <c r="B67" s="31">
        <v>45709</v>
      </c>
      <c r="C67" s="40">
        <v>432</v>
      </c>
      <c r="D67" s="40">
        <v>16</v>
      </c>
      <c r="E67" s="32">
        <f t="shared" ref="E67:E130" si="3">C67*D67</f>
        <v>6912</v>
      </c>
      <c r="F67" s="45">
        <v>4.4999999999999998E-2</v>
      </c>
      <c r="G67" s="35">
        <f t="shared" si="2"/>
        <v>311.03999999999996</v>
      </c>
      <c r="H67" s="41"/>
      <c r="I67" s="47"/>
      <c r="K67" s="46">
        <v>0</v>
      </c>
      <c r="L67" s="73"/>
    </row>
    <row r="68" spans="2:12">
      <c r="B68" s="31">
        <v>45710</v>
      </c>
      <c r="C68" s="40">
        <v>432</v>
      </c>
      <c r="D68" s="40">
        <v>16</v>
      </c>
      <c r="E68" s="32">
        <f t="shared" si="3"/>
        <v>6912</v>
      </c>
      <c r="F68" s="45">
        <v>4.4999999999999998E-2</v>
      </c>
      <c r="G68" s="35">
        <f t="shared" si="2"/>
        <v>311.03999999999996</v>
      </c>
      <c r="H68" s="41"/>
      <c r="I68" s="47"/>
      <c r="K68" s="46">
        <v>0</v>
      </c>
      <c r="L68" s="73"/>
    </row>
    <row r="69" spans="2:12">
      <c r="B69" s="31">
        <v>45711</v>
      </c>
      <c r="C69" s="40">
        <v>432</v>
      </c>
      <c r="D69" s="40">
        <v>16</v>
      </c>
      <c r="E69" s="32">
        <f t="shared" si="3"/>
        <v>6912</v>
      </c>
      <c r="F69" s="45">
        <v>4.4999999999999998E-2</v>
      </c>
      <c r="G69" s="35">
        <f t="shared" si="2"/>
        <v>311.03999999999996</v>
      </c>
      <c r="H69" s="41"/>
      <c r="I69" s="47"/>
      <c r="K69" s="46">
        <v>0</v>
      </c>
      <c r="L69" s="73"/>
    </row>
    <row r="70" spans="2:12">
      <c r="B70" s="31">
        <v>45712</v>
      </c>
      <c r="C70" s="40">
        <v>432</v>
      </c>
      <c r="D70" s="40">
        <v>16</v>
      </c>
      <c r="E70" s="32">
        <f t="shared" si="3"/>
        <v>6912</v>
      </c>
      <c r="F70" s="45">
        <v>4.4999999999999998E-2</v>
      </c>
      <c r="G70" s="35">
        <f t="shared" si="2"/>
        <v>311.03999999999996</v>
      </c>
      <c r="H70" s="41"/>
      <c r="I70" s="47"/>
      <c r="K70" s="46">
        <v>0</v>
      </c>
      <c r="L70" s="73"/>
    </row>
    <row r="71" spans="2:12">
      <c r="B71" s="31">
        <v>45713</v>
      </c>
      <c r="C71" s="40">
        <v>432</v>
      </c>
      <c r="D71" s="40">
        <v>16</v>
      </c>
      <c r="E71" s="32">
        <f t="shared" si="3"/>
        <v>6912</v>
      </c>
      <c r="F71" s="45">
        <v>4.4999999999999998E-2</v>
      </c>
      <c r="G71" s="35">
        <f t="shared" si="2"/>
        <v>311.03999999999996</v>
      </c>
      <c r="H71" s="41"/>
      <c r="I71" s="47"/>
      <c r="K71" s="46">
        <v>0</v>
      </c>
      <c r="L71" s="73"/>
    </row>
    <row r="72" spans="2:12">
      <c r="B72" s="31">
        <v>45714</v>
      </c>
      <c r="C72" s="40">
        <v>432</v>
      </c>
      <c r="D72" s="40">
        <v>16</v>
      </c>
      <c r="E72" s="32">
        <f t="shared" si="3"/>
        <v>6912</v>
      </c>
      <c r="F72" s="45">
        <v>4.4999999999999998E-2</v>
      </c>
      <c r="G72" s="35">
        <f t="shared" si="2"/>
        <v>311.03999999999996</v>
      </c>
      <c r="H72" s="41"/>
      <c r="I72" s="47"/>
      <c r="K72" s="46">
        <v>0</v>
      </c>
      <c r="L72" s="73"/>
    </row>
    <row r="73" spans="2:12">
      <c r="B73" s="31">
        <v>45715</v>
      </c>
      <c r="C73" s="40">
        <v>432</v>
      </c>
      <c r="D73" s="40">
        <v>16</v>
      </c>
      <c r="E73" s="32">
        <f t="shared" si="3"/>
        <v>6912</v>
      </c>
      <c r="F73" s="45">
        <v>4.4999999999999998E-2</v>
      </c>
      <c r="G73" s="35">
        <f t="shared" si="2"/>
        <v>311.03999999999996</v>
      </c>
      <c r="H73" s="41"/>
      <c r="I73" s="47"/>
      <c r="K73" s="46">
        <v>0</v>
      </c>
      <c r="L73" s="73"/>
    </row>
    <row r="74" spans="2:12">
      <c r="B74" s="31">
        <v>45716</v>
      </c>
      <c r="C74" s="40">
        <v>432</v>
      </c>
      <c r="D74" s="40">
        <v>16</v>
      </c>
      <c r="E74" s="32">
        <f t="shared" si="3"/>
        <v>6912</v>
      </c>
      <c r="F74" s="45">
        <v>4.4999999999999998E-2</v>
      </c>
      <c r="G74" s="35">
        <f t="shared" si="2"/>
        <v>311.03999999999996</v>
      </c>
      <c r="H74" s="41"/>
      <c r="I74" s="47"/>
      <c r="K74" s="46">
        <v>0</v>
      </c>
      <c r="L74" s="73"/>
    </row>
    <row r="75" spans="2:12">
      <c r="B75" s="31">
        <v>45717</v>
      </c>
      <c r="C75" s="40">
        <v>432</v>
      </c>
      <c r="D75" s="40">
        <v>16</v>
      </c>
      <c r="E75" s="32">
        <f t="shared" si="3"/>
        <v>6912</v>
      </c>
      <c r="F75" s="45">
        <v>4.4999999999999998E-2</v>
      </c>
      <c r="G75" s="35">
        <f t="shared" si="2"/>
        <v>311.03999999999996</v>
      </c>
      <c r="H75" s="41"/>
      <c r="I75" s="47"/>
      <c r="K75" s="46">
        <v>0</v>
      </c>
      <c r="L75" s="73"/>
    </row>
    <row r="76" spans="2:12">
      <c r="B76" s="31">
        <v>45718</v>
      </c>
      <c r="C76" s="40">
        <v>432</v>
      </c>
      <c r="D76" s="40">
        <v>16</v>
      </c>
      <c r="E76" s="32">
        <f t="shared" si="3"/>
        <v>6912</v>
      </c>
      <c r="F76" s="45">
        <v>4.4999999999999998E-2</v>
      </c>
      <c r="G76" s="35">
        <f t="shared" si="2"/>
        <v>311.03999999999996</v>
      </c>
      <c r="H76" s="41"/>
      <c r="I76" s="47"/>
      <c r="K76" s="46">
        <v>0</v>
      </c>
      <c r="L76" s="73"/>
    </row>
    <row r="77" spans="2:12">
      <c r="B77" s="31">
        <v>45719</v>
      </c>
      <c r="C77" s="40">
        <v>432</v>
      </c>
      <c r="D77" s="40">
        <v>16</v>
      </c>
      <c r="E77" s="32">
        <f t="shared" si="3"/>
        <v>6912</v>
      </c>
      <c r="F77" s="45">
        <v>4.4999999999999998E-2</v>
      </c>
      <c r="G77" s="35">
        <f t="shared" si="2"/>
        <v>311.03999999999996</v>
      </c>
      <c r="H77" s="41"/>
      <c r="I77" s="47"/>
      <c r="K77" s="46">
        <v>0</v>
      </c>
      <c r="L77" s="73"/>
    </row>
    <row r="78" spans="2:12">
      <c r="B78" s="31">
        <v>45720</v>
      </c>
      <c r="C78" s="40">
        <v>432</v>
      </c>
      <c r="D78" s="40">
        <v>16</v>
      </c>
      <c r="E78" s="32">
        <f t="shared" si="3"/>
        <v>6912</v>
      </c>
      <c r="F78" s="45">
        <v>4.4999999999999998E-2</v>
      </c>
      <c r="G78" s="35">
        <f t="shared" si="2"/>
        <v>311.03999999999996</v>
      </c>
      <c r="H78" s="41"/>
      <c r="I78" s="47"/>
      <c r="K78" s="46">
        <v>0</v>
      </c>
      <c r="L78" s="73"/>
    </row>
    <row r="79" spans="2:12">
      <c r="B79" s="31">
        <v>45721</v>
      </c>
      <c r="C79" s="40">
        <v>432</v>
      </c>
      <c r="D79" s="40">
        <v>16</v>
      </c>
      <c r="E79" s="32">
        <f t="shared" si="3"/>
        <v>6912</v>
      </c>
      <c r="F79" s="45">
        <v>4.4999999999999998E-2</v>
      </c>
      <c r="G79" s="35">
        <f t="shared" si="2"/>
        <v>311.03999999999996</v>
      </c>
      <c r="H79" s="41"/>
      <c r="I79" s="47"/>
      <c r="K79" s="46">
        <v>0</v>
      </c>
      <c r="L79" s="73"/>
    </row>
    <row r="80" spans="2:12">
      <c r="B80" s="31">
        <v>45722</v>
      </c>
      <c r="C80" s="40">
        <v>432</v>
      </c>
      <c r="D80" s="40">
        <v>16</v>
      </c>
      <c r="E80" s="32">
        <f t="shared" si="3"/>
        <v>6912</v>
      </c>
      <c r="F80" s="45">
        <v>4.4999999999999998E-2</v>
      </c>
      <c r="G80" s="35">
        <f t="shared" si="2"/>
        <v>311.03999999999996</v>
      </c>
      <c r="H80" s="41"/>
      <c r="I80" s="47"/>
      <c r="K80" s="46">
        <v>0</v>
      </c>
      <c r="L80" s="73"/>
    </row>
    <row r="81" spans="2:12">
      <c r="B81" s="31">
        <v>45723</v>
      </c>
      <c r="C81" s="40">
        <v>432</v>
      </c>
      <c r="D81" s="40">
        <v>16</v>
      </c>
      <c r="E81" s="32">
        <f t="shared" si="3"/>
        <v>6912</v>
      </c>
      <c r="F81" s="45">
        <v>4.4999999999999998E-2</v>
      </c>
      <c r="G81" s="35">
        <f t="shared" ref="G81:G144" si="4">E81*F81</f>
        <v>311.03999999999996</v>
      </c>
      <c r="H81" s="41"/>
      <c r="I81" s="47"/>
      <c r="K81" s="46">
        <v>0</v>
      </c>
      <c r="L81" s="73"/>
    </row>
    <row r="82" spans="2:12">
      <c r="B82" s="31">
        <v>45724</v>
      </c>
      <c r="C82" s="40">
        <v>432</v>
      </c>
      <c r="D82" s="40">
        <v>16</v>
      </c>
      <c r="E82" s="32">
        <f t="shared" si="3"/>
        <v>6912</v>
      </c>
      <c r="F82" s="45">
        <v>4.4999999999999998E-2</v>
      </c>
      <c r="G82" s="35">
        <f t="shared" si="4"/>
        <v>311.03999999999996</v>
      </c>
      <c r="H82" s="41"/>
      <c r="I82" s="47"/>
      <c r="K82" s="46">
        <v>0</v>
      </c>
      <c r="L82" s="73"/>
    </row>
    <row r="83" spans="2:12">
      <c r="B83" s="31">
        <v>45725</v>
      </c>
      <c r="C83" s="40">
        <v>432</v>
      </c>
      <c r="D83" s="40">
        <v>16</v>
      </c>
      <c r="E83" s="32">
        <f t="shared" si="3"/>
        <v>6912</v>
      </c>
      <c r="F83" s="45">
        <v>4.4999999999999998E-2</v>
      </c>
      <c r="G83" s="35">
        <f t="shared" si="4"/>
        <v>311.03999999999996</v>
      </c>
      <c r="H83" s="41"/>
      <c r="I83" s="47"/>
      <c r="K83" s="46">
        <v>0</v>
      </c>
      <c r="L83" s="73"/>
    </row>
    <row r="84" spans="2:12">
      <c r="B84" s="31">
        <v>45726</v>
      </c>
      <c r="C84" s="40">
        <v>432</v>
      </c>
      <c r="D84" s="40">
        <v>16</v>
      </c>
      <c r="E84" s="32">
        <f t="shared" si="3"/>
        <v>6912</v>
      </c>
      <c r="F84" s="45">
        <v>4.4999999999999998E-2</v>
      </c>
      <c r="G84" s="35">
        <f t="shared" si="4"/>
        <v>311.03999999999996</v>
      </c>
      <c r="H84" s="41"/>
      <c r="I84" s="47"/>
      <c r="K84" s="46">
        <v>0</v>
      </c>
      <c r="L84" s="73"/>
    </row>
    <row r="85" spans="2:12">
      <c r="B85" s="31">
        <v>45727</v>
      </c>
      <c r="C85" s="40">
        <v>432</v>
      </c>
      <c r="D85" s="40">
        <v>16</v>
      </c>
      <c r="E85" s="32">
        <f t="shared" si="3"/>
        <v>6912</v>
      </c>
      <c r="F85" s="45">
        <v>4.4999999999999998E-2</v>
      </c>
      <c r="G85" s="35">
        <f t="shared" si="4"/>
        <v>311.03999999999996</v>
      </c>
      <c r="H85" s="41"/>
      <c r="I85" s="47"/>
      <c r="K85" s="46">
        <v>0</v>
      </c>
      <c r="L85" s="73"/>
    </row>
    <row r="86" spans="2:12">
      <c r="B86" s="31">
        <v>45728</v>
      </c>
      <c r="C86" s="40">
        <v>432</v>
      </c>
      <c r="D86" s="40">
        <v>16</v>
      </c>
      <c r="E86" s="32">
        <f t="shared" si="3"/>
        <v>6912</v>
      </c>
      <c r="F86" s="45">
        <v>4.4999999999999998E-2</v>
      </c>
      <c r="G86" s="35">
        <f t="shared" si="4"/>
        <v>311.03999999999996</v>
      </c>
      <c r="H86" s="41"/>
      <c r="I86" s="47"/>
      <c r="K86" s="46">
        <v>0</v>
      </c>
      <c r="L86" s="73"/>
    </row>
    <row r="87" spans="2:12">
      <c r="B87" s="31">
        <v>45729</v>
      </c>
      <c r="C87" s="40">
        <v>432</v>
      </c>
      <c r="D87" s="40">
        <v>16</v>
      </c>
      <c r="E87" s="32">
        <f t="shared" si="3"/>
        <v>6912</v>
      </c>
      <c r="F87" s="45">
        <v>4.4999999999999998E-2</v>
      </c>
      <c r="G87" s="35">
        <f t="shared" si="4"/>
        <v>311.03999999999996</v>
      </c>
      <c r="H87" s="41"/>
      <c r="I87" s="47"/>
      <c r="K87" s="46">
        <v>0</v>
      </c>
      <c r="L87" s="73"/>
    </row>
    <row r="88" spans="2:12">
      <c r="B88" s="31">
        <v>45730</v>
      </c>
      <c r="C88" s="40">
        <v>432</v>
      </c>
      <c r="D88" s="40">
        <v>16</v>
      </c>
      <c r="E88" s="32">
        <f t="shared" si="3"/>
        <v>6912</v>
      </c>
      <c r="F88" s="45">
        <v>4.4999999999999998E-2</v>
      </c>
      <c r="G88" s="35">
        <f t="shared" si="4"/>
        <v>311.03999999999996</v>
      </c>
      <c r="H88" s="41"/>
      <c r="I88" s="47"/>
      <c r="K88" s="46">
        <v>0</v>
      </c>
      <c r="L88" s="73"/>
    </row>
    <row r="89" spans="2:12">
      <c r="B89" s="31">
        <v>45731</v>
      </c>
      <c r="C89" s="40">
        <v>432</v>
      </c>
      <c r="D89" s="40">
        <v>16</v>
      </c>
      <c r="E89" s="32">
        <f t="shared" si="3"/>
        <v>6912</v>
      </c>
      <c r="F89" s="45">
        <v>4.4999999999999998E-2</v>
      </c>
      <c r="G89" s="35">
        <f>E89*F89</f>
        <v>311.03999999999996</v>
      </c>
      <c r="H89" s="41"/>
      <c r="I89" s="47"/>
      <c r="K89" s="46">
        <v>0</v>
      </c>
      <c r="L89" s="73"/>
    </row>
    <row r="90" spans="2:12">
      <c r="B90" s="31">
        <v>45732</v>
      </c>
      <c r="C90" s="40">
        <v>432</v>
      </c>
      <c r="D90" s="40">
        <v>16</v>
      </c>
      <c r="E90" s="32">
        <f t="shared" si="3"/>
        <v>6912</v>
      </c>
      <c r="F90" s="45">
        <v>4.4999999999999998E-2</v>
      </c>
      <c r="G90" s="35">
        <f t="shared" si="4"/>
        <v>311.03999999999996</v>
      </c>
      <c r="H90" s="41"/>
      <c r="I90" s="47"/>
      <c r="K90" s="46">
        <v>0</v>
      </c>
      <c r="L90" s="73"/>
    </row>
    <row r="91" spans="2:12">
      <c r="B91" s="31">
        <v>45733</v>
      </c>
      <c r="C91" s="40">
        <v>432</v>
      </c>
      <c r="D91" s="40">
        <v>16</v>
      </c>
      <c r="E91" s="32">
        <f t="shared" si="3"/>
        <v>6912</v>
      </c>
      <c r="F91" s="45">
        <v>4.4999999999999998E-2</v>
      </c>
      <c r="G91" s="35">
        <f t="shared" si="4"/>
        <v>311.03999999999996</v>
      </c>
      <c r="H91" s="41"/>
      <c r="I91" s="47"/>
      <c r="K91" s="46">
        <v>0</v>
      </c>
      <c r="L91" s="73"/>
    </row>
    <row r="92" spans="2:12">
      <c r="B92" s="31">
        <v>45734</v>
      </c>
      <c r="C92" s="40">
        <v>432</v>
      </c>
      <c r="D92" s="40">
        <v>16</v>
      </c>
      <c r="E92" s="32">
        <f t="shared" si="3"/>
        <v>6912</v>
      </c>
      <c r="F92" s="45">
        <v>4.4999999999999998E-2</v>
      </c>
      <c r="G92" s="35">
        <f t="shared" si="4"/>
        <v>311.03999999999996</v>
      </c>
      <c r="H92" s="41"/>
      <c r="I92" s="47"/>
      <c r="K92" s="46">
        <v>0</v>
      </c>
      <c r="L92" s="73"/>
    </row>
    <row r="93" spans="2:12">
      <c r="B93" s="31">
        <v>45735</v>
      </c>
      <c r="C93" s="40">
        <v>432</v>
      </c>
      <c r="D93" s="40">
        <v>16</v>
      </c>
      <c r="E93" s="32">
        <f t="shared" si="3"/>
        <v>6912</v>
      </c>
      <c r="F93" s="45">
        <v>4.4999999999999998E-2</v>
      </c>
      <c r="G93" s="35">
        <f t="shared" si="4"/>
        <v>311.03999999999996</v>
      </c>
      <c r="H93" s="41"/>
      <c r="I93" s="47"/>
      <c r="K93" s="46">
        <v>0</v>
      </c>
      <c r="L93" s="73"/>
    </row>
    <row r="94" spans="2:12">
      <c r="B94" s="31">
        <v>45736</v>
      </c>
      <c r="C94" s="40">
        <v>432</v>
      </c>
      <c r="D94" s="40">
        <v>16</v>
      </c>
      <c r="E94" s="32">
        <f t="shared" si="3"/>
        <v>6912</v>
      </c>
      <c r="F94" s="45">
        <v>4.4999999999999998E-2</v>
      </c>
      <c r="G94" s="35">
        <f t="shared" si="4"/>
        <v>311.03999999999996</v>
      </c>
      <c r="H94" s="41"/>
      <c r="I94" s="47"/>
      <c r="K94" s="46">
        <v>0</v>
      </c>
      <c r="L94" s="73"/>
    </row>
    <row r="95" spans="2:12">
      <c r="B95" s="31">
        <v>45737</v>
      </c>
      <c r="C95" s="40">
        <v>432</v>
      </c>
      <c r="D95" s="40">
        <v>16</v>
      </c>
      <c r="E95" s="32">
        <f t="shared" si="3"/>
        <v>6912</v>
      </c>
      <c r="F95" s="45">
        <v>4.4999999999999998E-2</v>
      </c>
      <c r="G95" s="35">
        <f t="shared" si="4"/>
        <v>311.03999999999996</v>
      </c>
      <c r="H95" s="41"/>
      <c r="I95" s="47"/>
      <c r="K95" s="46">
        <v>0</v>
      </c>
      <c r="L95" s="73"/>
    </row>
    <row r="96" spans="2:12">
      <c r="B96" s="31">
        <v>45738</v>
      </c>
      <c r="C96" s="40">
        <v>432</v>
      </c>
      <c r="D96" s="40">
        <v>16</v>
      </c>
      <c r="E96" s="32">
        <f t="shared" si="3"/>
        <v>6912</v>
      </c>
      <c r="F96" s="45">
        <v>4.4999999999999998E-2</v>
      </c>
      <c r="G96" s="35">
        <f t="shared" si="4"/>
        <v>311.03999999999996</v>
      </c>
      <c r="H96" s="41"/>
      <c r="I96" s="47"/>
      <c r="K96" s="46">
        <v>0</v>
      </c>
      <c r="L96" s="73"/>
    </row>
    <row r="97" spans="2:12">
      <c r="B97" s="31">
        <v>45739</v>
      </c>
      <c r="C97" s="40">
        <v>432</v>
      </c>
      <c r="D97" s="40">
        <v>16</v>
      </c>
      <c r="E97" s="32">
        <f t="shared" si="3"/>
        <v>6912</v>
      </c>
      <c r="F97" s="45">
        <v>4.4999999999999998E-2</v>
      </c>
      <c r="G97" s="35">
        <f t="shared" si="4"/>
        <v>311.03999999999996</v>
      </c>
      <c r="H97" s="41"/>
      <c r="I97" s="47"/>
      <c r="K97" s="46">
        <v>0</v>
      </c>
      <c r="L97" s="73"/>
    </row>
    <row r="98" spans="2:12">
      <c r="B98" s="31">
        <v>45740</v>
      </c>
      <c r="C98" s="40">
        <v>432</v>
      </c>
      <c r="D98" s="40">
        <v>16</v>
      </c>
      <c r="E98" s="32">
        <f t="shared" si="3"/>
        <v>6912</v>
      </c>
      <c r="F98" s="45">
        <v>4.4999999999999998E-2</v>
      </c>
      <c r="G98" s="35">
        <f t="shared" si="4"/>
        <v>311.03999999999996</v>
      </c>
      <c r="H98" s="41"/>
      <c r="I98" s="47"/>
      <c r="K98" s="46">
        <v>0</v>
      </c>
      <c r="L98" s="73"/>
    </row>
    <row r="99" spans="2:12">
      <c r="B99" s="31">
        <v>45741</v>
      </c>
      <c r="C99" s="40">
        <v>432</v>
      </c>
      <c r="D99" s="40">
        <v>16</v>
      </c>
      <c r="E99" s="32">
        <f t="shared" si="3"/>
        <v>6912</v>
      </c>
      <c r="F99" s="45">
        <v>4.4999999999999998E-2</v>
      </c>
      <c r="G99" s="35">
        <f t="shared" si="4"/>
        <v>311.03999999999996</v>
      </c>
      <c r="H99" s="41"/>
      <c r="I99" s="47"/>
      <c r="K99" s="46">
        <v>0</v>
      </c>
      <c r="L99" s="73"/>
    </row>
    <row r="100" spans="2:12">
      <c r="B100" s="31">
        <v>45742</v>
      </c>
      <c r="C100" s="40">
        <v>432</v>
      </c>
      <c r="D100" s="40">
        <v>16</v>
      </c>
      <c r="E100" s="32">
        <f t="shared" si="3"/>
        <v>6912</v>
      </c>
      <c r="F100" s="45">
        <v>4.4999999999999998E-2</v>
      </c>
      <c r="G100" s="35">
        <f t="shared" si="4"/>
        <v>311.03999999999996</v>
      </c>
      <c r="H100" s="41"/>
      <c r="I100" s="47"/>
      <c r="K100" s="46">
        <v>0</v>
      </c>
      <c r="L100" s="73"/>
    </row>
    <row r="101" spans="2:12">
      <c r="B101" s="31">
        <v>45743</v>
      </c>
      <c r="C101" s="40">
        <v>432</v>
      </c>
      <c r="D101" s="40">
        <v>16</v>
      </c>
      <c r="E101" s="32">
        <f t="shared" si="3"/>
        <v>6912</v>
      </c>
      <c r="F101" s="45">
        <v>4.4999999999999998E-2</v>
      </c>
      <c r="G101" s="35">
        <f t="shared" si="4"/>
        <v>311.03999999999996</v>
      </c>
      <c r="H101" s="41"/>
      <c r="I101" s="47"/>
      <c r="K101" s="46">
        <v>0</v>
      </c>
      <c r="L101" s="73"/>
    </row>
    <row r="102" spans="2:12">
      <c r="B102" s="31">
        <v>45744</v>
      </c>
      <c r="C102" s="40">
        <v>432</v>
      </c>
      <c r="D102" s="40">
        <v>16</v>
      </c>
      <c r="E102" s="32">
        <f t="shared" si="3"/>
        <v>6912</v>
      </c>
      <c r="F102" s="45">
        <v>4.4999999999999998E-2</v>
      </c>
      <c r="G102" s="35">
        <f t="shared" si="4"/>
        <v>311.03999999999996</v>
      </c>
      <c r="H102" s="41"/>
      <c r="I102" s="47"/>
      <c r="K102" s="46">
        <v>0</v>
      </c>
      <c r="L102" s="73"/>
    </row>
    <row r="103" spans="2:12">
      <c r="B103" s="31">
        <v>45745</v>
      </c>
      <c r="C103" s="40">
        <v>432</v>
      </c>
      <c r="D103" s="40">
        <v>16</v>
      </c>
      <c r="E103" s="32">
        <f t="shared" si="3"/>
        <v>6912</v>
      </c>
      <c r="F103" s="45">
        <v>4.4999999999999998E-2</v>
      </c>
      <c r="G103" s="35">
        <f t="shared" si="4"/>
        <v>311.03999999999996</v>
      </c>
      <c r="H103" s="41"/>
      <c r="I103" s="47"/>
      <c r="K103" s="46">
        <v>0</v>
      </c>
      <c r="L103" s="73"/>
    </row>
    <row r="104" spans="2:12">
      <c r="B104" s="31">
        <v>45746</v>
      </c>
      <c r="C104" s="40">
        <v>432</v>
      </c>
      <c r="D104" s="40">
        <v>16</v>
      </c>
      <c r="E104" s="32">
        <f t="shared" si="3"/>
        <v>6912</v>
      </c>
      <c r="F104" s="45">
        <v>4.4999999999999998E-2</v>
      </c>
      <c r="G104" s="35">
        <f t="shared" si="4"/>
        <v>311.03999999999996</v>
      </c>
      <c r="H104" s="41"/>
      <c r="I104" s="47"/>
      <c r="K104" s="46">
        <v>0</v>
      </c>
      <c r="L104" s="73"/>
    </row>
    <row r="105" spans="2:12">
      <c r="B105" s="31">
        <v>45747</v>
      </c>
      <c r="C105" s="40">
        <v>432</v>
      </c>
      <c r="D105" s="40">
        <v>16</v>
      </c>
      <c r="E105" s="32">
        <f t="shared" si="3"/>
        <v>6912</v>
      </c>
      <c r="F105" s="45">
        <v>4.4999999999999998E-2</v>
      </c>
      <c r="G105" s="35">
        <f t="shared" si="4"/>
        <v>311.03999999999996</v>
      </c>
      <c r="H105" s="41"/>
      <c r="I105" s="47"/>
      <c r="K105" s="46">
        <v>0</v>
      </c>
      <c r="L105" s="73"/>
    </row>
    <row r="106" spans="2:12">
      <c r="B106" s="31">
        <v>45748</v>
      </c>
      <c r="C106" s="40">
        <v>432</v>
      </c>
      <c r="D106" s="40">
        <v>16</v>
      </c>
      <c r="E106" s="32">
        <f t="shared" si="3"/>
        <v>6912</v>
      </c>
      <c r="F106" s="45">
        <v>4.4999999999999998E-2</v>
      </c>
      <c r="G106" s="35">
        <f t="shared" si="4"/>
        <v>311.03999999999996</v>
      </c>
      <c r="H106" s="41"/>
      <c r="I106" s="47"/>
      <c r="K106" s="46">
        <v>0</v>
      </c>
      <c r="L106" s="73"/>
    </row>
    <row r="107" spans="2:12">
      <c r="B107" s="31">
        <v>45749</v>
      </c>
      <c r="C107" s="40">
        <v>432</v>
      </c>
      <c r="D107" s="40">
        <v>16</v>
      </c>
      <c r="E107" s="32">
        <f t="shared" si="3"/>
        <v>6912</v>
      </c>
      <c r="F107" s="45">
        <v>4.4999999999999998E-2</v>
      </c>
      <c r="G107" s="35">
        <f t="shared" si="4"/>
        <v>311.03999999999996</v>
      </c>
      <c r="H107" s="41"/>
      <c r="I107" s="47"/>
      <c r="K107" s="46">
        <v>0</v>
      </c>
      <c r="L107" s="73"/>
    </row>
    <row r="108" spans="2:12">
      <c r="B108" s="31">
        <v>45750</v>
      </c>
      <c r="C108" s="40">
        <v>432</v>
      </c>
      <c r="D108" s="40">
        <v>16</v>
      </c>
      <c r="E108" s="32">
        <f t="shared" si="3"/>
        <v>6912</v>
      </c>
      <c r="F108" s="45">
        <v>4.4999999999999998E-2</v>
      </c>
      <c r="G108" s="35">
        <f t="shared" si="4"/>
        <v>311.03999999999996</v>
      </c>
      <c r="H108" s="41"/>
      <c r="I108" s="47"/>
      <c r="K108" s="46">
        <v>0</v>
      </c>
      <c r="L108" s="73"/>
    </row>
    <row r="109" spans="2:12">
      <c r="B109" s="31">
        <v>45751</v>
      </c>
      <c r="C109" s="40">
        <v>432</v>
      </c>
      <c r="D109" s="40">
        <v>16</v>
      </c>
      <c r="E109" s="32">
        <f t="shared" si="3"/>
        <v>6912</v>
      </c>
      <c r="F109" s="45">
        <v>4.4999999999999998E-2</v>
      </c>
      <c r="G109" s="35">
        <f t="shared" si="4"/>
        <v>311.03999999999996</v>
      </c>
      <c r="H109" s="41"/>
      <c r="I109" s="47"/>
      <c r="K109" s="46">
        <v>0</v>
      </c>
      <c r="L109" s="73"/>
    </row>
    <row r="110" spans="2:12">
      <c r="B110" s="31">
        <v>45752</v>
      </c>
      <c r="C110" s="40">
        <v>432</v>
      </c>
      <c r="D110" s="40">
        <v>16</v>
      </c>
      <c r="E110" s="32">
        <f t="shared" si="3"/>
        <v>6912</v>
      </c>
      <c r="F110" s="45">
        <v>4.4999999999999998E-2</v>
      </c>
      <c r="G110" s="35">
        <f t="shared" si="4"/>
        <v>311.03999999999996</v>
      </c>
      <c r="H110" s="41"/>
      <c r="I110" s="47"/>
      <c r="K110" s="46">
        <v>0</v>
      </c>
      <c r="L110" s="73"/>
    </row>
    <row r="111" spans="2:12">
      <c r="B111" s="31">
        <v>45753</v>
      </c>
      <c r="C111" s="40">
        <v>432</v>
      </c>
      <c r="D111" s="40">
        <v>16</v>
      </c>
      <c r="E111" s="32">
        <f t="shared" si="3"/>
        <v>6912</v>
      </c>
      <c r="F111" s="45">
        <v>4.4999999999999998E-2</v>
      </c>
      <c r="G111" s="35">
        <f t="shared" si="4"/>
        <v>311.03999999999996</v>
      </c>
      <c r="H111" s="41"/>
      <c r="I111" s="47"/>
      <c r="K111" s="46">
        <v>0</v>
      </c>
      <c r="L111" s="73"/>
    </row>
    <row r="112" spans="2:12">
      <c r="B112" s="31">
        <v>45754</v>
      </c>
      <c r="C112" s="40">
        <v>432</v>
      </c>
      <c r="D112" s="40">
        <v>16</v>
      </c>
      <c r="E112" s="32">
        <f t="shared" si="3"/>
        <v>6912</v>
      </c>
      <c r="F112" s="45">
        <v>4.4999999999999998E-2</v>
      </c>
      <c r="G112" s="35">
        <f t="shared" si="4"/>
        <v>311.03999999999996</v>
      </c>
      <c r="H112" s="41"/>
      <c r="I112" s="47"/>
      <c r="K112" s="46">
        <v>0</v>
      </c>
      <c r="L112" s="73"/>
    </row>
    <row r="113" spans="2:12">
      <c r="B113" s="31">
        <v>45755</v>
      </c>
      <c r="C113" s="40">
        <v>432</v>
      </c>
      <c r="D113" s="40">
        <v>16</v>
      </c>
      <c r="E113" s="32">
        <f t="shared" si="3"/>
        <v>6912</v>
      </c>
      <c r="F113" s="45">
        <v>4.4999999999999998E-2</v>
      </c>
      <c r="G113" s="35">
        <f t="shared" si="4"/>
        <v>311.03999999999996</v>
      </c>
      <c r="H113" s="41"/>
      <c r="I113" s="47"/>
      <c r="K113" s="46">
        <v>0</v>
      </c>
      <c r="L113" s="73"/>
    </row>
    <row r="114" spans="2:12">
      <c r="B114" s="31">
        <v>45756</v>
      </c>
      <c r="C114" s="40">
        <v>432</v>
      </c>
      <c r="D114" s="40">
        <v>16</v>
      </c>
      <c r="E114" s="32">
        <f t="shared" si="3"/>
        <v>6912</v>
      </c>
      <c r="F114" s="45">
        <v>4.4999999999999998E-2</v>
      </c>
      <c r="G114" s="35">
        <f t="shared" si="4"/>
        <v>311.03999999999996</v>
      </c>
      <c r="H114" s="41"/>
      <c r="I114" s="47"/>
      <c r="K114" s="46">
        <v>0</v>
      </c>
      <c r="L114" s="73"/>
    </row>
    <row r="115" spans="2:12">
      <c r="B115" s="31">
        <v>45757</v>
      </c>
      <c r="C115" s="40">
        <v>432</v>
      </c>
      <c r="D115" s="40">
        <v>16</v>
      </c>
      <c r="E115" s="32">
        <f t="shared" si="3"/>
        <v>6912</v>
      </c>
      <c r="F115" s="45">
        <v>4.4999999999999998E-2</v>
      </c>
      <c r="G115" s="35">
        <f t="shared" si="4"/>
        <v>311.03999999999996</v>
      </c>
      <c r="H115" s="41"/>
      <c r="I115" s="47"/>
      <c r="K115" s="46">
        <v>0</v>
      </c>
      <c r="L115" s="73"/>
    </row>
    <row r="116" spans="2:12">
      <c r="B116" s="31">
        <v>45758</v>
      </c>
      <c r="C116" s="40">
        <v>432</v>
      </c>
      <c r="D116" s="40">
        <v>16</v>
      </c>
      <c r="E116" s="32">
        <f t="shared" si="3"/>
        <v>6912</v>
      </c>
      <c r="F116" s="45">
        <v>4.4999999999999998E-2</v>
      </c>
      <c r="G116" s="35">
        <f t="shared" si="4"/>
        <v>311.03999999999996</v>
      </c>
      <c r="H116" s="41"/>
      <c r="I116" s="47"/>
      <c r="K116" s="46">
        <v>0</v>
      </c>
      <c r="L116" s="73"/>
    </row>
    <row r="117" spans="2:12">
      <c r="B117" s="31">
        <v>45759</v>
      </c>
      <c r="C117" s="40">
        <v>432</v>
      </c>
      <c r="D117" s="40">
        <v>16</v>
      </c>
      <c r="E117" s="32">
        <f t="shared" si="3"/>
        <v>6912</v>
      </c>
      <c r="F117" s="45">
        <v>4.4999999999999998E-2</v>
      </c>
      <c r="G117" s="35">
        <f t="shared" si="4"/>
        <v>311.03999999999996</v>
      </c>
      <c r="H117" s="41"/>
      <c r="I117" s="47"/>
      <c r="K117" s="46">
        <v>0</v>
      </c>
      <c r="L117" s="73"/>
    </row>
    <row r="118" spans="2:12">
      <c r="B118" s="31">
        <v>45760</v>
      </c>
      <c r="C118" s="40">
        <v>432</v>
      </c>
      <c r="D118" s="40">
        <v>16</v>
      </c>
      <c r="E118" s="32">
        <f t="shared" si="3"/>
        <v>6912</v>
      </c>
      <c r="F118" s="45">
        <v>4.4999999999999998E-2</v>
      </c>
      <c r="G118" s="35">
        <f t="shared" si="4"/>
        <v>311.03999999999996</v>
      </c>
      <c r="H118" s="41"/>
      <c r="I118" s="47"/>
      <c r="K118" s="46">
        <v>0</v>
      </c>
      <c r="L118" s="73"/>
    </row>
    <row r="119" spans="2:12">
      <c r="B119" s="31">
        <v>45761</v>
      </c>
      <c r="C119" s="40">
        <v>432</v>
      </c>
      <c r="D119" s="40">
        <v>16</v>
      </c>
      <c r="E119" s="32">
        <f t="shared" si="3"/>
        <v>6912</v>
      </c>
      <c r="F119" s="45">
        <v>4.4999999999999998E-2</v>
      </c>
      <c r="G119" s="35">
        <f t="shared" si="4"/>
        <v>311.03999999999996</v>
      </c>
      <c r="H119" s="41"/>
      <c r="I119" s="47"/>
      <c r="K119" s="46">
        <v>0</v>
      </c>
      <c r="L119" s="73"/>
    </row>
    <row r="120" spans="2:12">
      <c r="B120" s="31">
        <v>45762</v>
      </c>
      <c r="C120" s="40">
        <v>432</v>
      </c>
      <c r="D120" s="40">
        <v>16</v>
      </c>
      <c r="E120" s="32">
        <f t="shared" si="3"/>
        <v>6912</v>
      </c>
      <c r="F120" s="45">
        <v>4.4999999999999998E-2</v>
      </c>
      <c r="G120" s="35">
        <f t="shared" si="4"/>
        <v>311.03999999999996</v>
      </c>
      <c r="H120" s="41"/>
      <c r="I120" s="47"/>
      <c r="K120" s="46">
        <v>0</v>
      </c>
      <c r="L120" s="73"/>
    </row>
    <row r="121" spans="2:12">
      <c r="B121" s="31">
        <v>45763</v>
      </c>
      <c r="C121" s="40">
        <v>432</v>
      </c>
      <c r="D121" s="40">
        <v>16</v>
      </c>
      <c r="E121" s="32">
        <f t="shared" si="3"/>
        <v>6912</v>
      </c>
      <c r="F121" s="45">
        <v>4.4999999999999998E-2</v>
      </c>
      <c r="G121" s="35">
        <f t="shared" si="4"/>
        <v>311.03999999999996</v>
      </c>
      <c r="H121" s="41"/>
      <c r="I121" s="47"/>
      <c r="K121" s="46">
        <v>0</v>
      </c>
      <c r="L121" s="73"/>
    </row>
    <row r="122" spans="2:12">
      <c r="B122" s="31">
        <v>45764</v>
      </c>
      <c r="C122" s="40">
        <v>432</v>
      </c>
      <c r="D122" s="40">
        <v>16</v>
      </c>
      <c r="E122" s="32">
        <f t="shared" si="3"/>
        <v>6912</v>
      </c>
      <c r="F122" s="45">
        <v>4.4999999999999998E-2</v>
      </c>
      <c r="G122" s="35">
        <f t="shared" si="4"/>
        <v>311.03999999999996</v>
      </c>
      <c r="H122" s="41"/>
      <c r="I122" s="47"/>
      <c r="K122" s="46">
        <v>0</v>
      </c>
      <c r="L122" s="73"/>
    </row>
    <row r="123" spans="2:12">
      <c r="B123" s="31">
        <v>45765</v>
      </c>
      <c r="C123" s="40">
        <v>432</v>
      </c>
      <c r="D123" s="40">
        <v>16</v>
      </c>
      <c r="E123" s="32">
        <f t="shared" si="3"/>
        <v>6912</v>
      </c>
      <c r="F123" s="45">
        <v>4.4999999999999998E-2</v>
      </c>
      <c r="G123" s="35">
        <f t="shared" si="4"/>
        <v>311.03999999999996</v>
      </c>
      <c r="H123" s="41"/>
      <c r="I123" s="47"/>
      <c r="K123" s="46">
        <v>0</v>
      </c>
      <c r="L123" s="73"/>
    </row>
    <row r="124" spans="2:12">
      <c r="B124" s="31">
        <v>45766</v>
      </c>
      <c r="C124" s="40">
        <v>432</v>
      </c>
      <c r="D124" s="40">
        <v>16</v>
      </c>
      <c r="E124" s="32">
        <f t="shared" si="3"/>
        <v>6912</v>
      </c>
      <c r="F124" s="45">
        <v>4.4999999999999998E-2</v>
      </c>
      <c r="G124" s="35">
        <f t="shared" si="4"/>
        <v>311.03999999999996</v>
      </c>
      <c r="H124" s="41"/>
      <c r="I124" s="47"/>
      <c r="K124" s="46">
        <v>0</v>
      </c>
      <c r="L124" s="73"/>
    </row>
    <row r="125" spans="2:12">
      <c r="B125" s="31">
        <v>45767</v>
      </c>
      <c r="C125" s="40">
        <v>432</v>
      </c>
      <c r="D125" s="40">
        <v>16</v>
      </c>
      <c r="E125" s="32">
        <f t="shared" si="3"/>
        <v>6912</v>
      </c>
      <c r="F125" s="45">
        <v>4.4999999999999998E-2</v>
      </c>
      <c r="G125" s="35">
        <f t="shared" si="4"/>
        <v>311.03999999999996</v>
      </c>
      <c r="H125" s="41"/>
      <c r="I125" s="47"/>
      <c r="K125" s="46">
        <v>0</v>
      </c>
      <c r="L125" s="73"/>
    </row>
    <row r="126" spans="2:12">
      <c r="B126" s="31">
        <v>45768</v>
      </c>
      <c r="C126" s="40">
        <v>432</v>
      </c>
      <c r="D126" s="40">
        <v>16</v>
      </c>
      <c r="E126" s="32">
        <f t="shared" si="3"/>
        <v>6912</v>
      </c>
      <c r="F126" s="45">
        <v>4.4999999999999998E-2</v>
      </c>
      <c r="G126" s="35">
        <f t="shared" si="4"/>
        <v>311.03999999999996</v>
      </c>
      <c r="H126" s="41"/>
      <c r="I126" s="47"/>
      <c r="K126" s="46">
        <v>0</v>
      </c>
      <c r="L126" s="73"/>
    </row>
    <row r="127" spans="2:12">
      <c r="B127" s="31">
        <v>45769</v>
      </c>
      <c r="C127" s="40">
        <v>432</v>
      </c>
      <c r="D127" s="40">
        <v>16</v>
      </c>
      <c r="E127" s="32">
        <f t="shared" si="3"/>
        <v>6912</v>
      </c>
      <c r="F127" s="45">
        <v>4.4999999999999998E-2</v>
      </c>
      <c r="G127" s="35">
        <f t="shared" si="4"/>
        <v>311.03999999999996</v>
      </c>
      <c r="H127" s="41"/>
      <c r="I127" s="47"/>
      <c r="K127" s="46">
        <v>0</v>
      </c>
      <c r="L127" s="73"/>
    </row>
    <row r="128" spans="2:12">
      <c r="B128" s="31">
        <v>45770</v>
      </c>
      <c r="C128" s="40">
        <v>432</v>
      </c>
      <c r="D128" s="40">
        <v>16</v>
      </c>
      <c r="E128" s="32">
        <f t="shared" si="3"/>
        <v>6912</v>
      </c>
      <c r="F128" s="45">
        <v>4.4999999999999998E-2</v>
      </c>
      <c r="G128" s="35">
        <f t="shared" si="4"/>
        <v>311.03999999999996</v>
      </c>
      <c r="H128" s="41"/>
      <c r="I128" s="47"/>
      <c r="K128" s="46">
        <v>0</v>
      </c>
      <c r="L128" s="73"/>
    </row>
    <row r="129" spans="2:12">
      <c r="B129" s="31">
        <v>45771</v>
      </c>
      <c r="C129" s="40">
        <v>432</v>
      </c>
      <c r="D129" s="40">
        <v>16</v>
      </c>
      <c r="E129" s="32">
        <f t="shared" si="3"/>
        <v>6912</v>
      </c>
      <c r="F129" s="45">
        <v>4.4999999999999998E-2</v>
      </c>
      <c r="G129" s="35">
        <f t="shared" si="4"/>
        <v>311.03999999999996</v>
      </c>
      <c r="H129" s="41"/>
      <c r="I129" s="47"/>
      <c r="K129" s="46">
        <v>0</v>
      </c>
      <c r="L129" s="73"/>
    </row>
    <row r="130" spans="2:12">
      <c r="B130" s="31">
        <v>45772</v>
      </c>
      <c r="C130" s="40">
        <v>432</v>
      </c>
      <c r="D130" s="40">
        <v>16</v>
      </c>
      <c r="E130" s="32">
        <f t="shared" si="3"/>
        <v>6912</v>
      </c>
      <c r="F130" s="45">
        <v>4.4999999999999998E-2</v>
      </c>
      <c r="G130" s="35">
        <f t="shared" si="4"/>
        <v>311.03999999999996</v>
      </c>
      <c r="H130" s="41"/>
      <c r="I130" s="47"/>
      <c r="K130" s="46">
        <v>0</v>
      </c>
      <c r="L130" s="73"/>
    </row>
    <row r="131" spans="2:12">
      <c r="B131" s="31">
        <v>45773</v>
      </c>
      <c r="C131" s="40">
        <v>432</v>
      </c>
      <c r="D131" s="40">
        <v>16</v>
      </c>
      <c r="E131" s="32">
        <f t="shared" ref="E131:E195" si="5">C131*D131</f>
        <v>6912</v>
      </c>
      <c r="F131" s="45">
        <v>4.4999999999999998E-2</v>
      </c>
      <c r="G131" s="35">
        <f t="shared" si="4"/>
        <v>311.03999999999996</v>
      </c>
      <c r="H131" s="41"/>
      <c r="I131" s="47"/>
      <c r="K131" s="46">
        <v>0</v>
      </c>
      <c r="L131" s="73"/>
    </row>
    <row r="132" spans="2:12">
      <c r="B132" s="31">
        <v>45774</v>
      </c>
      <c r="C132" s="40">
        <v>432</v>
      </c>
      <c r="D132" s="40">
        <v>16</v>
      </c>
      <c r="E132" s="32">
        <f t="shared" si="5"/>
        <v>6912</v>
      </c>
      <c r="F132" s="45">
        <v>4.4999999999999998E-2</v>
      </c>
      <c r="G132" s="35">
        <f t="shared" si="4"/>
        <v>311.03999999999996</v>
      </c>
      <c r="H132" s="41"/>
      <c r="I132" s="47"/>
      <c r="K132" s="46">
        <v>0</v>
      </c>
      <c r="L132" s="73"/>
    </row>
    <row r="133" spans="2:12">
      <c r="B133" s="31">
        <v>45775</v>
      </c>
      <c r="C133" s="40">
        <v>432</v>
      </c>
      <c r="D133" s="40">
        <v>16</v>
      </c>
      <c r="E133" s="32">
        <f t="shared" si="5"/>
        <v>6912</v>
      </c>
      <c r="F133" s="45">
        <v>4.4999999999999998E-2</v>
      </c>
      <c r="G133" s="35">
        <f t="shared" si="4"/>
        <v>311.03999999999996</v>
      </c>
      <c r="H133" s="41"/>
      <c r="I133" s="47"/>
      <c r="K133" s="46">
        <v>0</v>
      </c>
      <c r="L133" s="73"/>
    </row>
    <row r="134" spans="2:12">
      <c r="B134" s="31">
        <v>45776</v>
      </c>
      <c r="C134" s="40">
        <v>432</v>
      </c>
      <c r="D134" s="40">
        <v>16</v>
      </c>
      <c r="E134" s="32">
        <f t="shared" si="5"/>
        <v>6912</v>
      </c>
      <c r="F134" s="45">
        <v>4.4999999999999998E-2</v>
      </c>
      <c r="G134" s="35">
        <f t="shared" si="4"/>
        <v>311.03999999999996</v>
      </c>
      <c r="H134" s="41"/>
      <c r="I134" s="47"/>
      <c r="K134" s="46">
        <v>0</v>
      </c>
      <c r="L134" s="73"/>
    </row>
    <row r="135" spans="2:12">
      <c r="B135" s="31">
        <v>45777</v>
      </c>
      <c r="C135" s="40">
        <v>432</v>
      </c>
      <c r="D135" s="40">
        <v>16</v>
      </c>
      <c r="E135" s="32">
        <f t="shared" si="5"/>
        <v>6912</v>
      </c>
      <c r="F135" s="45">
        <v>4.4999999999999998E-2</v>
      </c>
      <c r="G135" s="35">
        <f t="shared" si="4"/>
        <v>311.03999999999996</v>
      </c>
      <c r="H135" s="41"/>
      <c r="I135" s="47"/>
      <c r="K135" s="46">
        <v>0</v>
      </c>
      <c r="L135" s="73"/>
    </row>
    <row r="136" spans="2:12">
      <c r="B136" s="31">
        <v>45778</v>
      </c>
      <c r="C136" s="40">
        <v>432</v>
      </c>
      <c r="D136" s="40">
        <v>16</v>
      </c>
      <c r="E136" s="32">
        <f t="shared" si="5"/>
        <v>6912</v>
      </c>
      <c r="F136" s="45">
        <v>4.4999999999999998E-2</v>
      </c>
      <c r="G136" s="35">
        <f t="shared" si="4"/>
        <v>311.03999999999996</v>
      </c>
      <c r="H136" s="41"/>
      <c r="I136" s="47"/>
      <c r="K136" s="46">
        <v>0</v>
      </c>
      <c r="L136" s="73"/>
    </row>
    <row r="137" spans="2:12">
      <c r="B137" s="31">
        <v>45779</v>
      </c>
      <c r="C137" s="40">
        <v>432</v>
      </c>
      <c r="D137" s="40">
        <v>16</v>
      </c>
      <c r="E137" s="32">
        <f t="shared" si="5"/>
        <v>6912</v>
      </c>
      <c r="F137" s="45">
        <v>4.4999999999999998E-2</v>
      </c>
      <c r="G137" s="35">
        <f t="shared" si="4"/>
        <v>311.03999999999996</v>
      </c>
      <c r="H137" s="41"/>
      <c r="I137" s="47"/>
      <c r="K137" s="46">
        <v>0</v>
      </c>
      <c r="L137" s="73"/>
    </row>
    <row r="138" spans="2:12">
      <c r="B138" s="31">
        <v>45780</v>
      </c>
      <c r="C138" s="40">
        <v>432</v>
      </c>
      <c r="D138" s="40">
        <v>16</v>
      </c>
      <c r="E138" s="32">
        <f t="shared" si="5"/>
        <v>6912</v>
      </c>
      <c r="F138" s="45">
        <v>4.4999999999999998E-2</v>
      </c>
      <c r="G138" s="35">
        <f t="shared" si="4"/>
        <v>311.03999999999996</v>
      </c>
      <c r="H138" s="41"/>
      <c r="I138" s="47"/>
      <c r="K138" s="46">
        <v>0</v>
      </c>
      <c r="L138" s="73"/>
    </row>
    <row r="139" spans="2:12">
      <c r="B139" s="31">
        <v>45781</v>
      </c>
      <c r="C139" s="40">
        <v>432</v>
      </c>
      <c r="D139" s="40">
        <v>16</v>
      </c>
      <c r="E139" s="32">
        <f t="shared" si="5"/>
        <v>6912</v>
      </c>
      <c r="F139" s="45">
        <v>4.4999999999999998E-2</v>
      </c>
      <c r="G139" s="35">
        <f t="shared" si="4"/>
        <v>311.03999999999996</v>
      </c>
      <c r="H139" s="41"/>
      <c r="I139" s="47"/>
      <c r="K139" s="46">
        <v>0</v>
      </c>
      <c r="L139" s="73"/>
    </row>
    <row r="140" spans="2:12">
      <c r="B140" s="31">
        <v>45782</v>
      </c>
      <c r="C140" s="40">
        <v>432</v>
      </c>
      <c r="D140" s="40">
        <v>16</v>
      </c>
      <c r="E140" s="32">
        <f t="shared" si="5"/>
        <v>6912</v>
      </c>
      <c r="F140" s="45">
        <v>4.4999999999999998E-2</v>
      </c>
      <c r="G140" s="35">
        <f t="shared" si="4"/>
        <v>311.03999999999996</v>
      </c>
      <c r="H140" s="41"/>
      <c r="I140" s="47"/>
      <c r="K140" s="46">
        <v>0</v>
      </c>
      <c r="L140" s="73"/>
    </row>
    <row r="141" spans="2:12">
      <c r="B141" s="31">
        <v>45783</v>
      </c>
      <c r="C141" s="40">
        <v>432</v>
      </c>
      <c r="D141" s="40">
        <v>16</v>
      </c>
      <c r="E141" s="32">
        <f t="shared" si="5"/>
        <v>6912</v>
      </c>
      <c r="F141" s="45">
        <v>4.4999999999999998E-2</v>
      </c>
      <c r="G141" s="35">
        <f t="shared" si="4"/>
        <v>311.03999999999996</v>
      </c>
      <c r="H141" s="41"/>
      <c r="I141" s="47"/>
      <c r="K141" s="46">
        <v>0</v>
      </c>
      <c r="L141" s="73"/>
    </row>
    <row r="142" spans="2:12">
      <c r="B142" s="31">
        <v>45784</v>
      </c>
      <c r="C142" s="40">
        <v>432</v>
      </c>
      <c r="D142" s="40">
        <v>16</v>
      </c>
      <c r="E142" s="32">
        <f t="shared" si="5"/>
        <v>6912</v>
      </c>
      <c r="F142" s="45">
        <v>4.4999999999999998E-2</v>
      </c>
      <c r="G142" s="35">
        <f t="shared" si="4"/>
        <v>311.03999999999996</v>
      </c>
      <c r="H142" s="41"/>
      <c r="I142" s="47"/>
      <c r="K142" s="46">
        <v>0</v>
      </c>
      <c r="L142" s="73"/>
    </row>
    <row r="143" spans="2:12">
      <c r="B143" s="31">
        <v>45785</v>
      </c>
      <c r="C143" s="40">
        <v>432</v>
      </c>
      <c r="D143" s="40">
        <v>16</v>
      </c>
      <c r="E143" s="32">
        <f t="shared" si="5"/>
        <v>6912</v>
      </c>
      <c r="F143" s="45">
        <v>4.4999999999999998E-2</v>
      </c>
      <c r="G143" s="35">
        <f t="shared" si="4"/>
        <v>311.03999999999996</v>
      </c>
      <c r="H143" s="41"/>
      <c r="I143" s="47"/>
      <c r="K143" s="46">
        <v>0</v>
      </c>
      <c r="L143" s="73"/>
    </row>
    <row r="144" spans="2:12">
      <c r="B144" s="31">
        <v>45786</v>
      </c>
      <c r="C144" s="40">
        <v>432</v>
      </c>
      <c r="D144" s="40">
        <v>16</v>
      </c>
      <c r="E144" s="32">
        <f t="shared" si="5"/>
        <v>6912</v>
      </c>
      <c r="F144" s="45">
        <v>4.4999999999999998E-2</v>
      </c>
      <c r="G144" s="35">
        <f t="shared" si="4"/>
        <v>311.03999999999996</v>
      </c>
      <c r="H144" s="41"/>
      <c r="I144" s="47"/>
      <c r="K144" s="46">
        <v>0</v>
      </c>
      <c r="L144" s="73"/>
    </row>
    <row r="145" spans="2:12">
      <c r="B145" s="31">
        <v>45787</v>
      </c>
      <c r="C145" s="40">
        <v>432</v>
      </c>
      <c r="D145" s="40">
        <v>16</v>
      </c>
      <c r="E145" s="32">
        <f t="shared" si="5"/>
        <v>6912</v>
      </c>
      <c r="F145" s="45">
        <v>4.4999999999999998E-2</v>
      </c>
      <c r="G145" s="35">
        <f t="shared" ref="G145:G209" si="6">E145*F145</f>
        <v>311.03999999999996</v>
      </c>
      <c r="H145" s="41"/>
      <c r="I145" s="47"/>
      <c r="K145" s="46">
        <v>0</v>
      </c>
      <c r="L145" s="73"/>
    </row>
    <row r="146" spans="2:12">
      <c r="B146" s="31">
        <v>45788</v>
      </c>
      <c r="C146" s="40">
        <v>432</v>
      </c>
      <c r="D146" s="40">
        <v>16</v>
      </c>
      <c r="E146" s="32">
        <f t="shared" si="5"/>
        <v>6912</v>
      </c>
      <c r="F146" s="45">
        <v>4.4999999999999998E-2</v>
      </c>
      <c r="G146" s="35">
        <f t="shared" si="6"/>
        <v>311.03999999999996</v>
      </c>
      <c r="H146" s="41"/>
      <c r="I146" s="47"/>
      <c r="K146" s="46">
        <v>0</v>
      </c>
      <c r="L146" s="73"/>
    </row>
    <row r="147" spans="2:12">
      <c r="B147" s="31">
        <v>45789</v>
      </c>
      <c r="C147" s="40">
        <v>432</v>
      </c>
      <c r="D147" s="40">
        <v>16</v>
      </c>
      <c r="E147" s="32">
        <f t="shared" si="5"/>
        <v>6912</v>
      </c>
      <c r="F147" s="45">
        <v>4.4999999999999998E-2</v>
      </c>
      <c r="G147" s="35">
        <f t="shared" si="6"/>
        <v>311.03999999999996</v>
      </c>
      <c r="H147" s="41"/>
      <c r="I147" s="47"/>
      <c r="K147" s="46">
        <v>0</v>
      </c>
      <c r="L147" s="73"/>
    </row>
    <row r="148" spans="2:12">
      <c r="B148" s="31">
        <v>45790</v>
      </c>
      <c r="C148" s="40">
        <v>432</v>
      </c>
      <c r="D148" s="40">
        <v>16</v>
      </c>
      <c r="E148" s="32">
        <f t="shared" si="5"/>
        <v>6912</v>
      </c>
      <c r="F148" s="45">
        <v>4.4999999999999998E-2</v>
      </c>
      <c r="G148" s="35">
        <f t="shared" si="6"/>
        <v>311.03999999999996</v>
      </c>
      <c r="H148" s="41"/>
      <c r="I148" s="47"/>
      <c r="K148" s="46">
        <v>0</v>
      </c>
      <c r="L148" s="73"/>
    </row>
    <row r="149" spans="2:12">
      <c r="B149" s="31">
        <v>45791</v>
      </c>
      <c r="C149" s="40">
        <v>432</v>
      </c>
      <c r="D149" s="40">
        <v>16</v>
      </c>
      <c r="E149" s="32">
        <f t="shared" si="5"/>
        <v>6912</v>
      </c>
      <c r="F149" s="45">
        <v>4.4999999999999998E-2</v>
      </c>
      <c r="G149" s="35">
        <f t="shared" si="6"/>
        <v>311.03999999999996</v>
      </c>
      <c r="H149" s="41"/>
      <c r="I149" s="47"/>
      <c r="K149" s="46">
        <v>0</v>
      </c>
      <c r="L149" s="73"/>
    </row>
    <row r="150" spans="2:12">
      <c r="B150" s="31">
        <v>45792</v>
      </c>
      <c r="C150" s="40">
        <v>432</v>
      </c>
      <c r="D150" s="40">
        <v>16</v>
      </c>
      <c r="E150" s="32">
        <f t="shared" si="5"/>
        <v>6912</v>
      </c>
      <c r="F150" s="45">
        <v>4.4999999999999998E-2</v>
      </c>
      <c r="G150" s="35">
        <f t="shared" si="6"/>
        <v>311.03999999999996</v>
      </c>
      <c r="H150" s="41"/>
      <c r="I150" s="47"/>
      <c r="K150" s="46">
        <v>0</v>
      </c>
      <c r="L150" s="73"/>
    </row>
    <row r="151" spans="2:12" ht="13">
      <c r="B151" s="31"/>
      <c r="C151" s="40"/>
      <c r="D151" s="40"/>
      <c r="E151" s="32"/>
      <c r="H151" s="41"/>
      <c r="I151" s="47"/>
      <c r="L151" s="104"/>
    </row>
    <row r="152" spans="2:12" ht="13">
      <c r="B152" s="74">
        <v>45793</v>
      </c>
      <c r="C152" s="40">
        <v>432</v>
      </c>
      <c r="D152" s="40">
        <v>16</v>
      </c>
      <c r="E152" s="32">
        <f t="shared" si="5"/>
        <v>6912</v>
      </c>
      <c r="F152" s="45">
        <v>4.4999999999999998E-2</v>
      </c>
      <c r="G152" s="35">
        <f t="shared" si="6"/>
        <v>311.03999999999996</v>
      </c>
      <c r="H152" s="41">
        <v>0.32500000000000001</v>
      </c>
      <c r="I152" s="47">
        <f t="shared" ref="I131:I195" si="7">C152*H152</f>
        <v>140.4</v>
      </c>
      <c r="K152" s="46">
        <f t="shared" ref="K152:K183" si="8">I152-G152</f>
        <v>-170.63999999999996</v>
      </c>
      <c r="L152" s="73"/>
    </row>
    <row r="153" spans="2:12">
      <c r="B153" s="31">
        <v>45794</v>
      </c>
      <c r="C153" s="40">
        <v>432</v>
      </c>
      <c r="D153" s="40">
        <v>16</v>
      </c>
      <c r="E153" s="32">
        <f t="shared" si="5"/>
        <v>6912</v>
      </c>
      <c r="F153" s="45">
        <v>4.4999999999999998E-2</v>
      </c>
      <c r="G153" s="35">
        <f t="shared" si="6"/>
        <v>311.03999999999996</v>
      </c>
      <c r="H153" s="41">
        <v>0.32500000000000001</v>
      </c>
      <c r="I153" s="47">
        <f t="shared" si="7"/>
        <v>140.4</v>
      </c>
      <c r="K153" s="46">
        <f t="shared" si="8"/>
        <v>-170.63999999999996</v>
      </c>
      <c r="L153" s="73"/>
    </row>
    <row r="154" spans="2:12">
      <c r="B154" s="31">
        <v>45795</v>
      </c>
      <c r="C154" s="40">
        <v>432</v>
      </c>
      <c r="D154" s="40">
        <v>16</v>
      </c>
      <c r="E154" s="32">
        <f t="shared" si="5"/>
        <v>6912</v>
      </c>
      <c r="F154" s="45">
        <v>4.4999999999999998E-2</v>
      </c>
      <c r="G154" s="35">
        <f t="shared" si="6"/>
        <v>311.03999999999996</v>
      </c>
      <c r="H154" s="41">
        <v>0.32500000000000001</v>
      </c>
      <c r="I154" s="47">
        <f t="shared" si="7"/>
        <v>140.4</v>
      </c>
      <c r="K154" s="46">
        <f t="shared" si="8"/>
        <v>-170.63999999999996</v>
      </c>
    </row>
    <row r="155" spans="2:12">
      <c r="B155" s="31">
        <v>45796</v>
      </c>
      <c r="C155" s="40">
        <v>432</v>
      </c>
      <c r="D155" s="40">
        <v>16</v>
      </c>
      <c r="E155" s="32">
        <f t="shared" si="5"/>
        <v>6912</v>
      </c>
      <c r="F155" s="45">
        <v>4.4999999999999998E-2</v>
      </c>
      <c r="G155" s="35">
        <f t="shared" si="6"/>
        <v>311.03999999999996</v>
      </c>
      <c r="H155" s="41">
        <v>0.32500000000000001</v>
      </c>
      <c r="I155" s="47">
        <f t="shared" si="7"/>
        <v>140.4</v>
      </c>
      <c r="K155" s="46">
        <f t="shared" si="8"/>
        <v>-170.63999999999996</v>
      </c>
    </row>
    <row r="156" spans="2:12">
      <c r="B156" s="31">
        <v>45797</v>
      </c>
      <c r="C156" s="40">
        <v>432</v>
      </c>
      <c r="D156" s="40">
        <v>16</v>
      </c>
      <c r="E156" s="32">
        <f t="shared" si="5"/>
        <v>6912</v>
      </c>
      <c r="F156" s="45">
        <v>4.4999999999999998E-2</v>
      </c>
      <c r="G156" s="35">
        <f t="shared" si="6"/>
        <v>311.03999999999996</v>
      </c>
      <c r="H156" s="41">
        <v>0.32500000000000001</v>
      </c>
      <c r="I156" s="47">
        <f t="shared" si="7"/>
        <v>140.4</v>
      </c>
      <c r="K156" s="46">
        <f t="shared" si="8"/>
        <v>-170.63999999999996</v>
      </c>
    </row>
    <row r="157" spans="2:12">
      <c r="B157" s="31">
        <v>45798</v>
      </c>
      <c r="C157" s="40">
        <v>432</v>
      </c>
      <c r="D157" s="40">
        <v>16</v>
      </c>
      <c r="E157" s="32">
        <f t="shared" si="5"/>
        <v>6912</v>
      </c>
      <c r="F157" s="45">
        <v>4.4999999999999998E-2</v>
      </c>
      <c r="G157" s="35">
        <f t="shared" si="6"/>
        <v>311.03999999999996</v>
      </c>
      <c r="H157" s="41">
        <v>0.32500000000000001</v>
      </c>
      <c r="I157" s="47">
        <f t="shared" si="7"/>
        <v>140.4</v>
      </c>
      <c r="K157" s="46">
        <f t="shared" si="8"/>
        <v>-170.63999999999996</v>
      </c>
    </row>
    <row r="158" spans="2:12">
      <c r="B158" s="31">
        <v>45799</v>
      </c>
      <c r="C158" s="40">
        <v>432</v>
      </c>
      <c r="D158" s="40">
        <v>16</v>
      </c>
      <c r="E158" s="32">
        <f t="shared" si="5"/>
        <v>6912</v>
      </c>
      <c r="F158" s="45">
        <v>4.4999999999999998E-2</v>
      </c>
      <c r="G158" s="35">
        <f t="shared" si="6"/>
        <v>311.03999999999996</v>
      </c>
      <c r="H158" s="41">
        <v>0.32500000000000001</v>
      </c>
      <c r="I158" s="47">
        <f t="shared" si="7"/>
        <v>140.4</v>
      </c>
      <c r="K158" s="46">
        <f t="shared" si="8"/>
        <v>-170.63999999999996</v>
      </c>
    </row>
    <row r="159" spans="2:12">
      <c r="B159" s="31">
        <v>45800</v>
      </c>
      <c r="C159" s="40">
        <v>432</v>
      </c>
      <c r="D159" s="40">
        <v>16</v>
      </c>
      <c r="E159" s="32">
        <f t="shared" si="5"/>
        <v>6912</v>
      </c>
      <c r="F159" s="45">
        <v>4.4999999999999998E-2</v>
      </c>
      <c r="G159" s="35">
        <f t="shared" si="6"/>
        <v>311.03999999999996</v>
      </c>
      <c r="H159" s="41">
        <v>0.32500000000000001</v>
      </c>
      <c r="I159" s="47">
        <f t="shared" si="7"/>
        <v>140.4</v>
      </c>
      <c r="K159" s="46">
        <f t="shared" si="8"/>
        <v>-170.63999999999996</v>
      </c>
    </row>
    <row r="160" spans="2:12">
      <c r="B160" s="31">
        <v>45801</v>
      </c>
      <c r="C160" s="40">
        <v>432</v>
      </c>
      <c r="D160" s="40">
        <v>16</v>
      </c>
      <c r="E160" s="32">
        <f t="shared" si="5"/>
        <v>6912</v>
      </c>
      <c r="F160" s="45">
        <v>4.4999999999999998E-2</v>
      </c>
      <c r="G160" s="35">
        <f t="shared" si="6"/>
        <v>311.03999999999996</v>
      </c>
      <c r="H160" s="41">
        <v>0.32500000000000001</v>
      </c>
      <c r="I160" s="47">
        <f t="shared" si="7"/>
        <v>140.4</v>
      </c>
      <c r="K160" s="46">
        <f t="shared" si="8"/>
        <v>-170.63999999999996</v>
      </c>
    </row>
    <row r="161" spans="2:11">
      <c r="B161" s="31">
        <v>45802</v>
      </c>
      <c r="C161" s="40">
        <v>432</v>
      </c>
      <c r="D161" s="40">
        <v>16</v>
      </c>
      <c r="E161" s="32">
        <f t="shared" si="5"/>
        <v>6912</v>
      </c>
      <c r="F161" s="45">
        <v>4.4999999999999998E-2</v>
      </c>
      <c r="G161" s="35">
        <f t="shared" si="6"/>
        <v>311.03999999999996</v>
      </c>
      <c r="H161" s="41">
        <v>0.32500000000000001</v>
      </c>
      <c r="I161" s="47">
        <f t="shared" si="7"/>
        <v>140.4</v>
      </c>
      <c r="K161" s="46">
        <f t="shared" si="8"/>
        <v>-170.63999999999996</v>
      </c>
    </row>
    <row r="162" spans="2:11">
      <c r="B162" s="31">
        <v>45803</v>
      </c>
      <c r="C162" s="40">
        <v>432</v>
      </c>
      <c r="D162" s="40">
        <v>16</v>
      </c>
      <c r="E162" s="32">
        <f t="shared" si="5"/>
        <v>6912</v>
      </c>
      <c r="F162" s="45">
        <v>4.4999999999999998E-2</v>
      </c>
      <c r="G162" s="35">
        <f t="shared" si="6"/>
        <v>311.03999999999996</v>
      </c>
      <c r="H162" s="41">
        <v>0.32500000000000001</v>
      </c>
      <c r="I162" s="47">
        <f t="shared" si="7"/>
        <v>140.4</v>
      </c>
      <c r="K162" s="46">
        <f t="shared" si="8"/>
        <v>-170.63999999999996</v>
      </c>
    </row>
    <row r="163" spans="2:11">
      <c r="B163" s="31">
        <v>45804</v>
      </c>
      <c r="C163" s="40">
        <v>432</v>
      </c>
      <c r="D163" s="40">
        <v>16</v>
      </c>
      <c r="E163" s="32">
        <f t="shared" si="5"/>
        <v>6912</v>
      </c>
      <c r="F163" s="45">
        <v>4.4999999999999998E-2</v>
      </c>
      <c r="G163" s="35">
        <f t="shared" si="6"/>
        <v>311.03999999999996</v>
      </c>
      <c r="H163" s="41">
        <v>0.32500000000000001</v>
      </c>
      <c r="I163" s="47">
        <f t="shared" si="7"/>
        <v>140.4</v>
      </c>
      <c r="K163" s="46">
        <f t="shared" si="8"/>
        <v>-170.63999999999996</v>
      </c>
    </row>
    <row r="164" spans="2:11">
      <c r="B164" s="31">
        <v>45805</v>
      </c>
      <c r="C164" s="40">
        <v>432</v>
      </c>
      <c r="D164" s="40">
        <v>16</v>
      </c>
      <c r="E164" s="32">
        <f t="shared" si="5"/>
        <v>6912</v>
      </c>
      <c r="F164" s="45">
        <v>4.4999999999999998E-2</v>
      </c>
      <c r="G164" s="35">
        <f t="shared" si="6"/>
        <v>311.03999999999996</v>
      </c>
      <c r="H164" s="41">
        <v>0.32500000000000001</v>
      </c>
      <c r="I164" s="47">
        <f t="shared" si="7"/>
        <v>140.4</v>
      </c>
      <c r="K164" s="46">
        <f t="shared" si="8"/>
        <v>-170.63999999999996</v>
      </c>
    </row>
    <row r="165" spans="2:11">
      <c r="B165" s="31">
        <v>45806</v>
      </c>
      <c r="C165" s="40">
        <v>432</v>
      </c>
      <c r="D165" s="40">
        <v>16</v>
      </c>
      <c r="E165" s="32">
        <f t="shared" si="5"/>
        <v>6912</v>
      </c>
      <c r="F165" s="45">
        <v>4.4999999999999998E-2</v>
      </c>
      <c r="G165" s="35">
        <f t="shared" si="6"/>
        <v>311.03999999999996</v>
      </c>
      <c r="H165" s="41">
        <v>0.32500000000000001</v>
      </c>
      <c r="I165" s="47">
        <f t="shared" si="7"/>
        <v>140.4</v>
      </c>
      <c r="K165" s="46">
        <f t="shared" si="8"/>
        <v>-170.63999999999996</v>
      </c>
    </row>
    <row r="166" spans="2:11">
      <c r="B166" s="31">
        <v>45807</v>
      </c>
      <c r="C166" s="40">
        <v>432</v>
      </c>
      <c r="D166" s="40">
        <v>16</v>
      </c>
      <c r="E166" s="32">
        <f t="shared" si="5"/>
        <v>6912</v>
      </c>
      <c r="F166" s="45">
        <v>4.4999999999999998E-2</v>
      </c>
      <c r="G166" s="35">
        <f t="shared" si="6"/>
        <v>311.03999999999996</v>
      </c>
      <c r="H166" s="41">
        <v>0.32500000000000001</v>
      </c>
      <c r="I166" s="47">
        <f t="shared" si="7"/>
        <v>140.4</v>
      </c>
      <c r="K166" s="46">
        <f t="shared" si="8"/>
        <v>-170.63999999999996</v>
      </c>
    </row>
    <row r="167" spans="2:11">
      <c r="B167" s="31">
        <v>45808</v>
      </c>
      <c r="C167" s="40">
        <v>432</v>
      </c>
      <c r="D167" s="40">
        <v>16</v>
      </c>
      <c r="E167" s="32">
        <f t="shared" si="5"/>
        <v>6912</v>
      </c>
      <c r="F167" s="45">
        <v>4.4999999999999998E-2</v>
      </c>
      <c r="G167" s="35">
        <f t="shared" si="6"/>
        <v>311.03999999999996</v>
      </c>
      <c r="H167" s="41">
        <v>0.32500000000000001</v>
      </c>
      <c r="I167" s="47">
        <f t="shared" si="7"/>
        <v>140.4</v>
      </c>
      <c r="K167" s="46">
        <f t="shared" si="8"/>
        <v>-170.63999999999996</v>
      </c>
    </row>
    <row r="168" spans="2:11">
      <c r="B168" s="31">
        <v>45809</v>
      </c>
      <c r="C168" s="40">
        <v>432</v>
      </c>
      <c r="D168" s="40">
        <v>16</v>
      </c>
      <c r="E168" s="32">
        <f t="shared" si="5"/>
        <v>6912</v>
      </c>
      <c r="F168" s="45">
        <v>4.4999999999999998E-2</v>
      </c>
      <c r="G168" s="35">
        <f t="shared" si="6"/>
        <v>311.03999999999996</v>
      </c>
      <c r="H168" s="41">
        <v>0.32500000000000001</v>
      </c>
      <c r="I168" s="47">
        <f t="shared" si="7"/>
        <v>140.4</v>
      </c>
      <c r="K168" s="46">
        <f t="shared" si="8"/>
        <v>-170.63999999999996</v>
      </c>
    </row>
    <row r="169" spans="2:11">
      <c r="B169" s="31">
        <v>45810</v>
      </c>
      <c r="C169" s="40">
        <v>432</v>
      </c>
      <c r="D169" s="40">
        <v>16</v>
      </c>
      <c r="E169" s="32">
        <f t="shared" si="5"/>
        <v>6912</v>
      </c>
      <c r="F169" s="45">
        <v>4.4999999999999998E-2</v>
      </c>
      <c r="G169" s="35">
        <f t="shared" si="6"/>
        <v>311.03999999999996</v>
      </c>
      <c r="H169" s="41">
        <v>0.32500000000000001</v>
      </c>
      <c r="I169" s="47">
        <f t="shared" si="7"/>
        <v>140.4</v>
      </c>
      <c r="K169" s="46">
        <f t="shared" si="8"/>
        <v>-170.63999999999996</v>
      </c>
    </row>
    <row r="170" spans="2:11">
      <c r="B170" s="31">
        <v>45811</v>
      </c>
      <c r="C170" s="40">
        <v>432</v>
      </c>
      <c r="D170" s="40">
        <v>16</v>
      </c>
      <c r="E170" s="32">
        <f t="shared" si="5"/>
        <v>6912</v>
      </c>
      <c r="F170" s="45">
        <v>4.4999999999999998E-2</v>
      </c>
      <c r="G170" s="35">
        <f t="shared" si="6"/>
        <v>311.03999999999996</v>
      </c>
      <c r="H170" s="41">
        <v>0.32500000000000001</v>
      </c>
      <c r="I170" s="47">
        <f t="shared" si="7"/>
        <v>140.4</v>
      </c>
      <c r="K170" s="46">
        <f t="shared" si="8"/>
        <v>-170.63999999999996</v>
      </c>
    </row>
    <row r="171" spans="2:11">
      <c r="B171" s="31">
        <v>45812</v>
      </c>
      <c r="C171" s="40">
        <v>432</v>
      </c>
      <c r="D171" s="40">
        <v>16</v>
      </c>
      <c r="E171" s="32">
        <f t="shared" si="5"/>
        <v>6912</v>
      </c>
      <c r="F171" s="45">
        <v>4.4999999999999998E-2</v>
      </c>
      <c r="G171" s="35">
        <f t="shared" si="6"/>
        <v>311.03999999999996</v>
      </c>
      <c r="H171" s="41">
        <v>0.32500000000000001</v>
      </c>
      <c r="I171" s="47">
        <f t="shared" si="7"/>
        <v>140.4</v>
      </c>
      <c r="K171" s="46">
        <f t="shared" si="8"/>
        <v>-170.63999999999996</v>
      </c>
    </row>
    <row r="172" spans="2:11">
      <c r="B172" s="31">
        <v>45813</v>
      </c>
      <c r="C172" s="40">
        <v>432</v>
      </c>
      <c r="D172" s="40">
        <v>16</v>
      </c>
      <c r="E172" s="32">
        <f t="shared" si="5"/>
        <v>6912</v>
      </c>
      <c r="F172" s="45">
        <v>4.4999999999999998E-2</v>
      </c>
      <c r="G172" s="35">
        <f t="shared" si="6"/>
        <v>311.03999999999996</v>
      </c>
      <c r="H172" s="41">
        <v>0.32500000000000001</v>
      </c>
      <c r="I172" s="47">
        <f t="shared" si="7"/>
        <v>140.4</v>
      </c>
      <c r="K172" s="46">
        <f t="shared" si="8"/>
        <v>-170.63999999999996</v>
      </c>
    </row>
    <row r="173" spans="2:11">
      <c r="B173" s="31">
        <v>45814</v>
      </c>
      <c r="C173" s="40">
        <v>432</v>
      </c>
      <c r="D173" s="40">
        <v>16</v>
      </c>
      <c r="E173" s="32">
        <f t="shared" si="5"/>
        <v>6912</v>
      </c>
      <c r="F173" s="45">
        <v>4.4999999999999998E-2</v>
      </c>
      <c r="G173" s="35">
        <f t="shared" si="6"/>
        <v>311.03999999999996</v>
      </c>
      <c r="H173" s="41">
        <v>0.32500000000000001</v>
      </c>
      <c r="I173" s="47">
        <f t="shared" si="7"/>
        <v>140.4</v>
      </c>
      <c r="K173" s="46">
        <f t="shared" si="8"/>
        <v>-170.63999999999996</v>
      </c>
    </row>
    <row r="174" spans="2:11">
      <c r="B174" s="31">
        <v>45815</v>
      </c>
      <c r="C174" s="40">
        <v>432</v>
      </c>
      <c r="D174" s="40">
        <v>16</v>
      </c>
      <c r="E174" s="32">
        <f t="shared" si="5"/>
        <v>6912</v>
      </c>
      <c r="F174" s="45">
        <v>4.4999999999999998E-2</v>
      </c>
      <c r="G174" s="35">
        <f t="shared" si="6"/>
        <v>311.03999999999996</v>
      </c>
      <c r="H174" s="41">
        <v>0.32500000000000001</v>
      </c>
      <c r="I174" s="47">
        <f t="shared" si="7"/>
        <v>140.4</v>
      </c>
      <c r="K174" s="46">
        <f t="shared" si="8"/>
        <v>-170.63999999999996</v>
      </c>
    </row>
    <row r="175" spans="2:11">
      <c r="B175" s="31">
        <v>45816</v>
      </c>
      <c r="C175" s="40">
        <v>432</v>
      </c>
      <c r="D175" s="40">
        <v>16</v>
      </c>
      <c r="E175" s="32">
        <f t="shared" si="5"/>
        <v>6912</v>
      </c>
      <c r="F175" s="45">
        <v>4.4999999999999998E-2</v>
      </c>
      <c r="G175" s="35">
        <f t="shared" si="6"/>
        <v>311.03999999999996</v>
      </c>
      <c r="H175" s="41">
        <v>0.32500000000000001</v>
      </c>
      <c r="I175" s="47">
        <f t="shared" si="7"/>
        <v>140.4</v>
      </c>
      <c r="K175" s="46">
        <f t="shared" si="8"/>
        <v>-170.63999999999996</v>
      </c>
    </row>
    <row r="176" spans="2:11">
      <c r="B176" s="31">
        <v>45817</v>
      </c>
      <c r="C176" s="40">
        <v>432</v>
      </c>
      <c r="D176" s="40">
        <v>16</v>
      </c>
      <c r="E176" s="32">
        <f t="shared" si="5"/>
        <v>6912</v>
      </c>
      <c r="F176" s="45">
        <v>4.4999999999999998E-2</v>
      </c>
      <c r="G176" s="35">
        <f t="shared" si="6"/>
        <v>311.03999999999996</v>
      </c>
      <c r="H176" s="41">
        <v>0.32500000000000001</v>
      </c>
      <c r="I176" s="47">
        <f t="shared" si="7"/>
        <v>140.4</v>
      </c>
      <c r="K176" s="46">
        <f t="shared" si="8"/>
        <v>-170.63999999999996</v>
      </c>
    </row>
    <row r="177" spans="2:11">
      <c r="B177" s="31">
        <v>45818</v>
      </c>
      <c r="C177" s="40">
        <v>432</v>
      </c>
      <c r="D177" s="40">
        <v>16</v>
      </c>
      <c r="E177" s="32">
        <f t="shared" si="5"/>
        <v>6912</v>
      </c>
      <c r="F177" s="45">
        <v>4.4999999999999998E-2</v>
      </c>
      <c r="G177" s="35">
        <f t="shared" si="6"/>
        <v>311.03999999999996</v>
      </c>
      <c r="H177" s="41">
        <v>0.32500000000000001</v>
      </c>
      <c r="I177" s="47">
        <f t="shared" si="7"/>
        <v>140.4</v>
      </c>
      <c r="K177" s="46">
        <f t="shared" si="8"/>
        <v>-170.63999999999996</v>
      </c>
    </row>
    <row r="178" spans="2:11">
      <c r="B178" s="31">
        <v>45819</v>
      </c>
      <c r="C178" s="40">
        <v>432</v>
      </c>
      <c r="D178" s="40">
        <v>16</v>
      </c>
      <c r="E178" s="32">
        <f t="shared" si="5"/>
        <v>6912</v>
      </c>
      <c r="F178" s="45">
        <v>4.4999999999999998E-2</v>
      </c>
      <c r="G178" s="35">
        <f t="shared" si="6"/>
        <v>311.03999999999996</v>
      </c>
      <c r="H178" s="41">
        <v>0.32500000000000001</v>
      </c>
      <c r="I178" s="47">
        <f t="shared" si="7"/>
        <v>140.4</v>
      </c>
      <c r="K178" s="46">
        <f t="shared" si="8"/>
        <v>-170.63999999999996</v>
      </c>
    </row>
    <row r="179" spans="2:11">
      <c r="B179" s="31">
        <v>45820</v>
      </c>
      <c r="C179" s="40">
        <v>432</v>
      </c>
      <c r="D179" s="40">
        <v>16</v>
      </c>
      <c r="E179" s="32">
        <f t="shared" si="5"/>
        <v>6912</v>
      </c>
      <c r="F179" s="45">
        <v>4.4999999999999998E-2</v>
      </c>
      <c r="G179" s="35">
        <f t="shared" si="6"/>
        <v>311.03999999999996</v>
      </c>
      <c r="H179" s="41">
        <v>0.32500000000000001</v>
      </c>
      <c r="I179" s="47">
        <f t="shared" si="7"/>
        <v>140.4</v>
      </c>
      <c r="K179" s="46">
        <f t="shared" si="8"/>
        <v>-170.63999999999996</v>
      </c>
    </row>
    <row r="180" spans="2:11">
      <c r="B180" s="31">
        <v>45821</v>
      </c>
      <c r="C180" s="40">
        <v>432</v>
      </c>
      <c r="D180" s="40">
        <v>16</v>
      </c>
      <c r="E180" s="32">
        <f t="shared" si="5"/>
        <v>6912</v>
      </c>
      <c r="F180" s="45">
        <v>4.4999999999999998E-2</v>
      </c>
      <c r="G180" s="35">
        <f t="shared" si="6"/>
        <v>311.03999999999996</v>
      </c>
      <c r="H180" s="41">
        <v>0.32500000000000001</v>
      </c>
      <c r="I180" s="47">
        <f t="shared" si="7"/>
        <v>140.4</v>
      </c>
      <c r="K180" s="46">
        <f t="shared" si="8"/>
        <v>-170.63999999999996</v>
      </c>
    </row>
    <row r="181" spans="2:11">
      <c r="B181" s="31">
        <v>45822</v>
      </c>
      <c r="C181" s="40">
        <v>432</v>
      </c>
      <c r="D181" s="40">
        <v>16</v>
      </c>
      <c r="E181" s="32">
        <f t="shared" si="5"/>
        <v>6912</v>
      </c>
      <c r="F181" s="45">
        <v>4.4999999999999998E-2</v>
      </c>
      <c r="G181" s="35">
        <f t="shared" si="6"/>
        <v>311.03999999999996</v>
      </c>
      <c r="H181" s="41">
        <v>0.32500000000000001</v>
      </c>
      <c r="I181" s="47">
        <f t="shared" si="7"/>
        <v>140.4</v>
      </c>
      <c r="K181" s="46">
        <f t="shared" si="8"/>
        <v>-170.63999999999996</v>
      </c>
    </row>
    <row r="182" spans="2:11">
      <c r="B182" s="31">
        <v>45823</v>
      </c>
      <c r="C182" s="40">
        <v>432</v>
      </c>
      <c r="D182" s="40">
        <v>16</v>
      </c>
      <c r="E182" s="32">
        <f t="shared" si="5"/>
        <v>6912</v>
      </c>
      <c r="F182" s="45">
        <v>4.4999999999999998E-2</v>
      </c>
      <c r="G182" s="35">
        <f t="shared" si="6"/>
        <v>311.03999999999996</v>
      </c>
      <c r="H182" s="41">
        <v>0.32500000000000001</v>
      </c>
      <c r="I182" s="47">
        <f t="shared" si="7"/>
        <v>140.4</v>
      </c>
      <c r="K182" s="46">
        <f t="shared" si="8"/>
        <v>-170.63999999999996</v>
      </c>
    </row>
    <row r="183" spans="2:11">
      <c r="B183" s="31">
        <v>45824</v>
      </c>
      <c r="C183" s="40">
        <v>432</v>
      </c>
      <c r="D183" s="40">
        <v>16</v>
      </c>
      <c r="E183" s="32">
        <f t="shared" si="5"/>
        <v>6912</v>
      </c>
      <c r="F183" s="45">
        <v>4.4999999999999998E-2</v>
      </c>
      <c r="G183" s="35">
        <f t="shared" si="6"/>
        <v>311.03999999999996</v>
      </c>
      <c r="H183" s="41">
        <v>0.32500000000000001</v>
      </c>
      <c r="I183" s="47">
        <f t="shared" si="7"/>
        <v>140.4</v>
      </c>
      <c r="K183" s="46">
        <f t="shared" si="8"/>
        <v>-170.63999999999996</v>
      </c>
    </row>
    <row r="184" spans="2:11">
      <c r="B184" s="31">
        <v>45825</v>
      </c>
      <c r="C184" s="40">
        <v>432</v>
      </c>
      <c r="D184" s="40">
        <v>16</v>
      </c>
      <c r="E184" s="32">
        <f t="shared" si="5"/>
        <v>6912</v>
      </c>
      <c r="F184" s="45">
        <v>4.4999999999999998E-2</v>
      </c>
      <c r="G184" s="35">
        <f t="shared" si="6"/>
        <v>311.03999999999996</v>
      </c>
      <c r="H184" s="41">
        <v>0.32500000000000001</v>
      </c>
      <c r="I184" s="47">
        <f t="shared" si="7"/>
        <v>140.4</v>
      </c>
      <c r="K184" s="46">
        <f t="shared" ref="K184:K215" si="9">I184-G184</f>
        <v>-170.63999999999996</v>
      </c>
    </row>
    <row r="185" spans="2:11">
      <c r="B185" s="31">
        <v>45826</v>
      </c>
      <c r="C185" s="40">
        <v>432</v>
      </c>
      <c r="D185" s="40">
        <v>16</v>
      </c>
      <c r="E185" s="32">
        <f t="shared" si="5"/>
        <v>6912</v>
      </c>
      <c r="F185" s="45">
        <v>4.4999999999999998E-2</v>
      </c>
      <c r="G185" s="35">
        <f t="shared" si="6"/>
        <v>311.03999999999996</v>
      </c>
      <c r="H185" s="41">
        <v>0.32500000000000001</v>
      </c>
      <c r="I185" s="47">
        <f t="shared" si="7"/>
        <v>140.4</v>
      </c>
      <c r="K185" s="46">
        <f t="shared" si="9"/>
        <v>-170.63999999999996</v>
      </c>
    </row>
    <row r="186" spans="2:11">
      <c r="B186" s="31">
        <v>45827</v>
      </c>
      <c r="C186" s="40">
        <v>432</v>
      </c>
      <c r="D186" s="40">
        <v>16</v>
      </c>
      <c r="E186" s="32">
        <f t="shared" si="5"/>
        <v>6912</v>
      </c>
      <c r="F186" s="45">
        <v>4.4999999999999998E-2</v>
      </c>
      <c r="G186" s="35">
        <f t="shared" si="6"/>
        <v>311.03999999999996</v>
      </c>
      <c r="H186" s="41">
        <v>0.32500000000000001</v>
      </c>
      <c r="I186" s="47">
        <f t="shared" si="7"/>
        <v>140.4</v>
      </c>
      <c r="K186" s="46">
        <f t="shared" si="9"/>
        <v>-170.63999999999996</v>
      </c>
    </row>
    <row r="187" spans="2:11">
      <c r="B187" s="31">
        <v>45828</v>
      </c>
      <c r="C187" s="40">
        <v>432</v>
      </c>
      <c r="D187" s="40">
        <v>16</v>
      </c>
      <c r="E187" s="32">
        <f t="shared" si="5"/>
        <v>6912</v>
      </c>
      <c r="F187" s="45">
        <v>4.4999999999999998E-2</v>
      </c>
      <c r="G187" s="35">
        <f t="shared" si="6"/>
        <v>311.03999999999996</v>
      </c>
      <c r="H187" s="41">
        <v>0.32500000000000001</v>
      </c>
      <c r="I187" s="47">
        <f t="shared" si="7"/>
        <v>140.4</v>
      </c>
      <c r="K187" s="46">
        <f t="shared" si="9"/>
        <v>-170.63999999999996</v>
      </c>
    </row>
    <row r="188" spans="2:11">
      <c r="B188" s="31">
        <v>45829</v>
      </c>
      <c r="C188" s="40">
        <v>432</v>
      </c>
      <c r="D188" s="40">
        <v>16</v>
      </c>
      <c r="E188" s="32">
        <f t="shared" si="5"/>
        <v>6912</v>
      </c>
      <c r="F188" s="45">
        <v>4.4999999999999998E-2</v>
      </c>
      <c r="G188" s="35">
        <f t="shared" si="6"/>
        <v>311.03999999999996</v>
      </c>
      <c r="H188" s="41">
        <v>0.32500000000000001</v>
      </c>
      <c r="I188" s="47">
        <f t="shared" si="7"/>
        <v>140.4</v>
      </c>
      <c r="K188" s="46">
        <f t="shared" si="9"/>
        <v>-170.63999999999996</v>
      </c>
    </row>
    <row r="189" spans="2:11">
      <c r="B189" s="31">
        <v>45830</v>
      </c>
      <c r="C189" s="40">
        <v>432</v>
      </c>
      <c r="D189" s="40">
        <v>16</v>
      </c>
      <c r="E189" s="32">
        <f t="shared" si="5"/>
        <v>6912</v>
      </c>
      <c r="F189" s="45">
        <v>4.4999999999999998E-2</v>
      </c>
      <c r="G189" s="35">
        <f t="shared" si="6"/>
        <v>311.03999999999996</v>
      </c>
      <c r="H189" s="41">
        <v>0.32500000000000001</v>
      </c>
      <c r="I189" s="47">
        <f t="shared" si="7"/>
        <v>140.4</v>
      </c>
      <c r="K189" s="46">
        <f t="shared" si="9"/>
        <v>-170.63999999999996</v>
      </c>
    </row>
    <row r="190" spans="2:11">
      <c r="B190" s="31">
        <v>45831</v>
      </c>
      <c r="C190" s="40">
        <v>432</v>
      </c>
      <c r="D190" s="40">
        <v>16</v>
      </c>
      <c r="E190" s="32">
        <f t="shared" si="5"/>
        <v>6912</v>
      </c>
      <c r="F190" s="45">
        <v>4.4999999999999998E-2</v>
      </c>
      <c r="G190" s="35">
        <f t="shared" si="6"/>
        <v>311.03999999999996</v>
      </c>
      <c r="H190" s="41">
        <v>0.32500000000000001</v>
      </c>
      <c r="I190" s="47">
        <f t="shared" si="7"/>
        <v>140.4</v>
      </c>
      <c r="K190" s="46">
        <f t="shared" si="9"/>
        <v>-170.63999999999996</v>
      </c>
    </row>
    <row r="191" spans="2:11">
      <c r="B191" s="31">
        <v>45832</v>
      </c>
      <c r="C191" s="40">
        <v>432</v>
      </c>
      <c r="D191" s="40">
        <v>16</v>
      </c>
      <c r="E191" s="32">
        <f t="shared" si="5"/>
        <v>6912</v>
      </c>
      <c r="F191" s="45">
        <v>4.4999999999999998E-2</v>
      </c>
      <c r="G191" s="35">
        <f t="shared" si="6"/>
        <v>311.03999999999996</v>
      </c>
      <c r="H191" s="41">
        <v>0.32500000000000001</v>
      </c>
      <c r="I191" s="47">
        <f t="shared" si="7"/>
        <v>140.4</v>
      </c>
      <c r="K191" s="46">
        <f t="shared" si="9"/>
        <v>-170.63999999999996</v>
      </c>
    </row>
    <row r="192" spans="2:11">
      <c r="B192" s="31">
        <v>45833</v>
      </c>
      <c r="C192" s="40">
        <v>432</v>
      </c>
      <c r="D192" s="40">
        <v>16</v>
      </c>
      <c r="E192" s="32">
        <f t="shared" si="5"/>
        <v>6912</v>
      </c>
      <c r="F192" s="45">
        <v>4.4999999999999998E-2</v>
      </c>
      <c r="G192" s="35">
        <f t="shared" si="6"/>
        <v>311.03999999999996</v>
      </c>
      <c r="H192" s="41">
        <v>0.32500000000000001</v>
      </c>
      <c r="I192" s="47">
        <f t="shared" si="7"/>
        <v>140.4</v>
      </c>
      <c r="K192" s="46">
        <f t="shared" si="9"/>
        <v>-170.63999999999996</v>
      </c>
    </row>
    <row r="193" spans="2:11">
      <c r="B193" s="31">
        <v>45834</v>
      </c>
      <c r="C193" s="40">
        <v>432</v>
      </c>
      <c r="D193" s="40">
        <v>16</v>
      </c>
      <c r="E193" s="32">
        <f t="shared" si="5"/>
        <v>6912</v>
      </c>
      <c r="F193" s="45">
        <v>4.4999999999999998E-2</v>
      </c>
      <c r="G193" s="35">
        <f t="shared" si="6"/>
        <v>311.03999999999996</v>
      </c>
      <c r="H193" s="41">
        <v>0.32500000000000001</v>
      </c>
      <c r="I193" s="47">
        <f t="shared" si="7"/>
        <v>140.4</v>
      </c>
      <c r="K193" s="46">
        <f t="shared" si="9"/>
        <v>-170.63999999999996</v>
      </c>
    </row>
    <row r="194" spans="2:11">
      <c r="B194" s="31">
        <v>45835</v>
      </c>
      <c r="C194" s="40">
        <v>432</v>
      </c>
      <c r="D194" s="40">
        <v>16</v>
      </c>
      <c r="E194" s="32">
        <f t="shared" si="5"/>
        <v>6912</v>
      </c>
      <c r="F194" s="45">
        <v>4.4999999999999998E-2</v>
      </c>
      <c r="G194" s="35">
        <f t="shared" si="6"/>
        <v>311.03999999999996</v>
      </c>
      <c r="H194" s="41">
        <v>0.32500000000000001</v>
      </c>
      <c r="I194" s="47">
        <f t="shared" si="7"/>
        <v>140.4</v>
      </c>
      <c r="K194" s="46">
        <f t="shared" si="9"/>
        <v>-170.63999999999996</v>
      </c>
    </row>
    <row r="195" spans="2:11">
      <c r="B195" s="31">
        <v>45836</v>
      </c>
      <c r="C195" s="40">
        <v>432</v>
      </c>
      <c r="D195" s="40">
        <v>16</v>
      </c>
      <c r="E195" s="32">
        <f t="shared" si="5"/>
        <v>6912</v>
      </c>
      <c r="F195" s="45">
        <v>4.4999999999999998E-2</v>
      </c>
      <c r="G195" s="35">
        <f t="shared" si="6"/>
        <v>311.03999999999996</v>
      </c>
      <c r="H195" s="41">
        <v>0.32500000000000001</v>
      </c>
      <c r="I195" s="47">
        <f t="shared" si="7"/>
        <v>140.4</v>
      </c>
      <c r="K195" s="46">
        <f t="shared" si="9"/>
        <v>-170.63999999999996</v>
      </c>
    </row>
    <row r="196" spans="2:11">
      <c r="B196" s="31">
        <v>45837</v>
      </c>
      <c r="C196" s="40">
        <v>432</v>
      </c>
      <c r="D196" s="40">
        <v>16</v>
      </c>
      <c r="E196" s="32">
        <f t="shared" ref="E196:E259" si="10">C196*D196</f>
        <v>6912</v>
      </c>
      <c r="F196" s="45">
        <v>4.4999999999999998E-2</v>
      </c>
      <c r="G196" s="35">
        <f t="shared" si="6"/>
        <v>311.03999999999996</v>
      </c>
      <c r="H196" s="41">
        <v>0.32500000000000001</v>
      </c>
      <c r="I196" s="47">
        <f t="shared" ref="I196:I259" si="11">C196*H196</f>
        <v>140.4</v>
      </c>
      <c r="K196" s="46">
        <f t="shared" si="9"/>
        <v>-170.63999999999996</v>
      </c>
    </row>
    <row r="197" spans="2:11">
      <c r="B197" s="31">
        <v>45838</v>
      </c>
      <c r="C197" s="40">
        <v>432</v>
      </c>
      <c r="D197" s="40">
        <v>16</v>
      </c>
      <c r="E197" s="32">
        <f t="shared" si="10"/>
        <v>6912</v>
      </c>
      <c r="F197" s="45">
        <v>4.4999999999999998E-2</v>
      </c>
      <c r="G197" s="35">
        <f t="shared" si="6"/>
        <v>311.03999999999996</v>
      </c>
      <c r="H197" s="41">
        <v>0.32500000000000001</v>
      </c>
      <c r="I197" s="47">
        <f t="shared" si="11"/>
        <v>140.4</v>
      </c>
      <c r="K197" s="46">
        <f t="shared" si="9"/>
        <v>-170.63999999999996</v>
      </c>
    </row>
    <row r="198" spans="2:11">
      <c r="B198" s="31">
        <v>45839</v>
      </c>
      <c r="C198" s="40">
        <v>432</v>
      </c>
      <c r="D198" s="40">
        <v>16</v>
      </c>
      <c r="E198" s="32">
        <f t="shared" si="10"/>
        <v>6912</v>
      </c>
      <c r="F198" s="45">
        <v>4.4999999999999998E-2</v>
      </c>
      <c r="G198" s="35">
        <f t="shared" si="6"/>
        <v>311.03999999999996</v>
      </c>
      <c r="H198" s="41">
        <v>0.32500000000000001</v>
      </c>
      <c r="I198" s="47">
        <f t="shared" si="11"/>
        <v>140.4</v>
      </c>
      <c r="K198" s="46">
        <f t="shared" si="9"/>
        <v>-170.63999999999996</v>
      </c>
    </row>
    <row r="199" spans="2:11">
      <c r="B199" s="31">
        <v>45840</v>
      </c>
      <c r="C199" s="40">
        <v>432</v>
      </c>
      <c r="D199" s="40">
        <v>16</v>
      </c>
      <c r="E199" s="32">
        <f t="shared" si="10"/>
        <v>6912</v>
      </c>
      <c r="F199" s="45">
        <v>4.4999999999999998E-2</v>
      </c>
      <c r="G199" s="35">
        <f t="shared" si="6"/>
        <v>311.03999999999996</v>
      </c>
      <c r="H199" s="41">
        <v>0.32500000000000001</v>
      </c>
      <c r="I199" s="47">
        <f t="shared" si="11"/>
        <v>140.4</v>
      </c>
      <c r="K199" s="46">
        <f t="shared" si="9"/>
        <v>-170.63999999999996</v>
      </c>
    </row>
    <row r="200" spans="2:11">
      <c r="B200" s="31">
        <v>45841</v>
      </c>
      <c r="C200" s="40">
        <v>432</v>
      </c>
      <c r="D200" s="40">
        <v>16</v>
      </c>
      <c r="E200" s="32">
        <f t="shared" si="10"/>
        <v>6912</v>
      </c>
      <c r="F200" s="45">
        <v>4.4999999999999998E-2</v>
      </c>
      <c r="G200" s="35">
        <f t="shared" si="6"/>
        <v>311.03999999999996</v>
      </c>
      <c r="H200" s="41">
        <v>0.32500000000000001</v>
      </c>
      <c r="I200" s="47">
        <f t="shared" si="11"/>
        <v>140.4</v>
      </c>
      <c r="K200" s="46">
        <f t="shared" si="9"/>
        <v>-170.63999999999996</v>
      </c>
    </row>
    <row r="201" spans="2:11">
      <c r="B201" s="31">
        <v>45842</v>
      </c>
      <c r="C201" s="40">
        <v>432</v>
      </c>
      <c r="D201" s="40">
        <v>16</v>
      </c>
      <c r="E201" s="32">
        <f t="shared" si="10"/>
        <v>6912</v>
      </c>
      <c r="F201" s="45">
        <v>4.4999999999999998E-2</v>
      </c>
      <c r="G201" s="35">
        <f t="shared" si="6"/>
        <v>311.03999999999996</v>
      </c>
      <c r="H201" s="41">
        <v>0.32500000000000001</v>
      </c>
      <c r="I201" s="47">
        <f t="shared" si="11"/>
        <v>140.4</v>
      </c>
      <c r="K201" s="46">
        <f t="shared" si="9"/>
        <v>-170.63999999999996</v>
      </c>
    </row>
    <row r="202" spans="2:11">
      <c r="B202" s="31">
        <v>45843</v>
      </c>
      <c r="C202" s="40">
        <v>432</v>
      </c>
      <c r="D202" s="40">
        <v>16</v>
      </c>
      <c r="E202" s="32">
        <f t="shared" si="10"/>
        <v>6912</v>
      </c>
      <c r="F202" s="45">
        <v>4.4999999999999998E-2</v>
      </c>
      <c r="G202" s="35">
        <f t="shared" si="6"/>
        <v>311.03999999999996</v>
      </c>
      <c r="H202" s="41">
        <v>0.32500000000000001</v>
      </c>
      <c r="I202" s="47">
        <f t="shared" si="11"/>
        <v>140.4</v>
      </c>
      <c r="K202" s="46">
        <f t="shared" si="9"/>
        <v>-170.63999999999996</v>
      </c>
    </row>
    <row r="203" spans="2:11">
      <c r="B203" s="31">
        <v>45844</v>
      </c>
      <c r="C203" s="40">
        <v>432</v>
      </c>
      <c r="D203" s="40">
        <v>16</v>
      </c>
      <c r="E203" s="32">
        <f t="shared" si="10"/>
        <v>6912</v>
      </c>
      <c r="F203" s="45">
        <v>4.4999999999999998E-2</v>
      </c>
      <c r="G203" s="35">
        <f t="shared" si="6"/>
        <v>311.03999999999996</v>
      </c>
      <c r="H203" s="41">
        <v>0.32500000000000001</v>
      </c>
      <c r="I203" s="47">
        <f t="shared" si="11"/>
        <v>140.4</v>
      </c>
      <c r="K203" s="46">
        <f t="shared" si="9"/>
        <v>-170.63999999999996</v>
      </c>
    </row>
    <row r="204" spans="2:11">
      <c r="B204" s="31">
        <v>45845</v>
      </c>
      <c r="C204" s="40">
        <v>432</v>
      </c>
      <c r="D204" s="40">
        <v>16</v>
      </c>
      <c r="E204" s="32">
        <f t="shared" si="10"/>
        <v>6912</v>
      </c>
      <c r="F204" s="45">
        <v>4.4999999999999998E-2</v>
      </c>
      <c r="G204" s="35">
        <f t="shared" si="6"/>
        <v>311.03999999999996</v>
      </c>
      <c r="H204" s="41">
        <v>0.32500000000000001</v>
      </c>
      <c r="I204" s="47">
        <f t="shared" si="11"/>
        <v>140.4</v>
      </c>
      <c r="K204" s="46">
        <f t="shared" si="9"/>
        <v>-170.63999999999996</v>
      </c>
    </row>
    <row r="205" spans="2:11">
      <c r="B205" s="31">
        <v>45846</v>
      </c>
      <c r="C205" s="40">
        <v>432</v>
      </c>
      <c r="D205" s="40">
        <v>16</v>
      </c>
      <c r="E205" s="32">
        <f t="shared" si="10"/>
        <v>6912</v>
      </c>
      <c r="F205" s="45">
        <v>4.4999999999999998E-2</v>
      </c>
      <c r="G205" s="35">
        <f t="shared" si="6"/>
        <v>311.03999999999996</v>
      </c>
      <c r="H205" s="41">
        <v>0.32500000000000001</v>
      </c>
      <c r="I205" s="47">
        <f t="shared" si="11"/>
        <v>140.4</v>
      </c>
      <c r="K205" s="46">
        <f t="shared" si="9"/>
        <v>-170.63999999999996</v>
      </c>
    </row>
    <row r="206" spans="2:11">
      <c r="B206" s="31">
        <v>45847</v>
      </c>
      <c r="C206" s="40">
        <v>432</v>
      </c>
      <c r="D206" s="40">
        <v>16</v>
      </c>
      <c r="E206" s="32">
        <f t="shared" si="10"/>
        <v>6912</v>
      </c>
      <c r="F206" s="45">
        <v>4.4999999999999998E-2</v>
      </c>
      <c r="G206" s="35">
        <f t="shared" si="6"/>
        <v>311.03999999999996</v>
      </c>
      <c r="H206" s="41">
        <v>0.32500000000000001</v>
      </c>
      <c r="I206" s="47">
        <f t="shared" si="11"/>
        <v>140.4</v>
      </c>
      <c r="K206" s="46">
        <f t="shared" si="9"/>
        <v>-170.63999999999996</v>
      </c>
    </row>
    <row r="207" spans="2:11">
      <c r="B207" s="31">
        <v>45848</v>
      </c>
      <c r="C207" s="40">
        <v>432</v>
      </c>
      <c r="D207" s="40">
        <v>16</v>
      </c>
      <c r="E207" s="32">
        <f t="shared" si="10"/>
        <v>6912</v>
      </c>
      <c r="F207" s="45">
        <v>4.4999999999999998E-2</v>
      </c>
      <c r="G207" s="35">
        <f t="shared" si="6"/>
        <v>311.03999999999996</v>
      </c>
      <c r="H207" s="41">
        <v>0.32500000000000001</v>
      </c>
      <c r="I207" s="47">
        <f t="shared" si="11"/>
        <v>140.4</v>
      </c>
      <c r="K207" s="46">
        <f t="shared" si="9"/>
        <v>-170.63999999999996</v>
      </c>
    </row>
    <row r="208" spans="2:11">
      <c r="B208" s="31">
        <v>45849</v>
      </c>
      <c r="C208" s="40">
        <v>432</v>
      </c>
      <c r="D208" s="40">
        <v>16</v>
      </c>
      <c r="E208" s="32">
        <f t="shared" si="10"/>
        <v>6912</v>
      </c>
      <c r="F208" s="45">
        <v>4.4999999999999998E-2</v>
      </c>
      <c r="G208" s="35">
        <f t="shared" si="6"/>
        <v>311.03999999999996</v>
      </c>
      <c r="H208" s="41">
        <v>0.32500000000000001</v>
      </c>
      <c r="I208" s="47">
        <f t="shared" si="11"/>
        <v>140.4</v>
      </c>
      <c r="K208" s="46">
        <f t="shared" si="9"/>
        <v>-170.63999999999996</v>
      </c>
    </row>
    <row r="209" spans="2:11">
      <c r="B209" s="31">
        <v>45850</v>
      </c>
      <c r="C209" s="40">
        <v>432</v>
      </c>
      <c r="D209" s="40">
        <v>16</v>
      </c>
      <c r="E209" s="32">
        <f t="shared" si="10"/>
        <v>6912</v>
      </c>
      <c r="F209" s="45">
        <v>4.4999999999999998E-2</v>
      </c>
      <c r="G209" s="35">
        <f t="shared" si="6"/>
        <v>311.03999999999996</v>
      </c>
      <c r="H209" s="41">
        <v>0.32500000000000001</v>
      </c>
      <c r="I209" s="47">
        <f t="shared" si="11"/>
        <v>140.4</v>
      </c>
      <c r="K209" s="46">
        <f t="shared" si="9"/>
        <v>-170.63999999999996</v>
      </c>
    </row>
    <row r="210" spans="2:11">
      <c r="B210" s="31">
        <v>45851</v>
      </c>
      <c r="C210" s="40">
        <v>432</v>
      </c>
      <c r="D210" s="40">
        <v>16</v>
      </c>
      <c r="E210" s="32">
        <f t="shared" si="10"/>
        <v>6912</v>
      </c>
      <c r="F210" s="45">
        <v>4.4999999999999998E-2</v>
      </c>
      <c r="G210" s="35">
        <f t="shared" ref="G210:G273" si="12">E210*F210</f>
        <v>311.03999999999996</v>
      </c>
      <c r="H210" s="41">
        <v>0.32500000000000001</v>
      </c>
      <c r="I210" s="47">
        <f t="shared" si="11"/>
        <v>140.4</v>
      </c>
      <c r="K210" s="46">
        <f t="shared" si="9"/>
        <v>-170.63999999999996</v>
      </c>
    </row>
    <row r="211" spans="2:11">
      <c r="B211" s="31">
        <v>45852</v>
      </c>
      <c r="C211" s="40">
        <v>432</v>
      </c>
      <c r="D211" s="40">
        <v>16</v>
      </c>
      <c r="E211" s="32">
        <f t="shared" si="10"/>
        <v>6912</v>
      </c>
      <c r="F211" s="45">
        <v>4.4999999999999998E-2</v>
      </c>
      <c r="G211" s="35">
        <f t="shared" si="12"/>
        <v>311.03999999999996</v>
      </c>
      <c r="H211" s="41">
        <v>0.32500000000000001</v>
      </c>
      <c r="I211" s="47">
        <f t="shared" si="11"/>
        <v>140.4</v>
      </c>
      <c r="K211" s="46">
        <f t="shared" si="9"/>
        <v>-170.63999999999996</v>
      </c>
    </row>
    <row r="212" spans="2:11">
      <c r="B212" s="31">
        <v>45853</v>
      </c>
      <c r="C212" s="40">
        <v>432</v>
      </c>
      <c r="D212" s="40">
        <v>16</v>
      </c>
      <c r="E212" s="32">
        <f t="shared" si="10"/>
        <v>6912</v>
      </c>
      <c r="F212" s="45">
        <v>4.4999999999999998E-2</v>
      </c>
      <c r="G212" s="35">
        <f t="shared" si="12"/>
        <v>311.03999999999996</v>
      </c>
      <c r="H212" s="41">
        <v>0.32500000000000001</v>
      </c>
      <c r="I212" s="47">
        <f t="shared" si="11"/>
        <v>140.4</v>
      </c>
      <c r="K212" s="46">
        <f t="shared" si="9"/>
        <v>-170.63999999999996</v>
      </c>
    </row>
    <row r="213" spans="2:11">
      <c r="B213" s="31">
        <v>45854</v>
      </c>
      <c r="C213" s="40">
        <v>432</v>
      </c>
      <c r="D213" s="40">
        <v>16</v>
      </c>
      <c r="E213" s="32">
        <f t="shared" si="10"/>
        <v>6912</v>
      </c>
      <c r="F213" s="45">
        <v>4.4999999999999998E-2</v>
      </c>
      <c r="G213" s="35">
        <f t="shared" si="12"/>
        <v>311.03999999999996</v>
      </c>
      <c r="H213" s="41">
        <v>0.32500000000000001</v>
      </c>
      <c r="I213" s="47">
        <f t="shared" si="11"/>
        <v>140.4</v>
      </c>
      <c r="K213" s="46">
        <f t="shared" si="9"/>
        <v>-170.63999999999996</v>
      </c>
    </row>
    <row r="214" spans="2:11">
      <c r="B214" s="31">
        <v>45855</v>
      </c>
      <c r="C214" s="40">
        <v>432</v>
      </c>
      <c r="D214" s="40">
        <v>16</v>
      </c>
      <c r="E214" s="32">
        <f t="shared" si="10"/>
        <v>6912</v>
      </c>
      <c r="F214" s="45">
        <v>4.4999999999999998E-2</v>
      </c>
      <c r="G214" s="35">
        <f t="shared" si="12"/>
        <v>311.03999999999996</v>
      </c>
      <c r="H214" s="41">
        <v>0.32500000000000001</v>
      </c>
      <c r="I214" s="47">
        <f t="shared" si="11"/>
        <v>140.4</v>
      </c>
      <c r="K214" s="46">
        <f t="shared" si="9"/>
        <v>-170.63999999999996</v>
      </c>
    </row>
    <row r="215" spans="2:11">
      <c r="B215" s="31">
        <v>45856</v>
      </c>
      <c r="C215" s="40">
        <v>432</v>
      </c>
      <c r="D215" s="40">
        <v>16</v>
      </c>
      <c r="E215" s="32">
        <f t="shared" si="10"/>
        <v>6912</v>
      </c>
      <c r="F215" s="45">
        <v>4.4999999999999998E-2</v>
      </c>
      <c r="G215" s="35">
        <f t="shared" si="12"/>
        <v>311.03999999999996</v>
      </c>
      <c r="H215" s="41">
        <v>0.32500000000000001</v>
      </c>
      <c r="I215" s="47">
        <f t="shared" si="11"/>
        <v>140.4</v>
      </c>
      <c r="K215" s="46">
        <f t="shared" si="9"/>
        <v>-170.63999999999996</v>
      </c>
    </row>
    <row r="216" spans="2:11">
      <c r="B216" s="31">
        <v>45857</v>
      </c>
      <c r="C216" s="40">
        <v>432</v>
      </c>
      <c r="D216" s="40">
        <v>16</v>
      </c>
      <c r="E216" s="32">
        <f t="shared" si="10"/>
        <v>6912</v>
      </c>
      <c r="F216" s="45">
        <v>4.4999999999999998E-2</v>
      </c>
      <c r="G216" s="35">
        <f t="shared" si="12"/>
        <v>311.03999999999996</v>
      </c>
      <c r="H216" s="41">
        <v>0.32500000000000001</v>
      </c>
      <c r="I216" s="47">
        <f t="shared" si="11"/>
        <v>140.4</v>
      </c>
      <c r="K216" s="46">
        <f t="shared" ref="K216:K247" si="13">I216-G216</f>
        <v>-170.63999999999996</v>
      </c>
    </row>
    <row r="217" spans="2:11">
      <c r="B217" s="31">
        <v>45858</v>
      </c>
      <c r="C217" s="40">
        <v>432</v>
      </c>
      <c r="D217" s="40">
        <v>16</v>
      </c>
      <c r="E217" s="32">
        <f t="shared" si="10"/>
        <v>6912</v>
      </c>
      <c r="F217" s="45">
        <v>4.4999999999999998E-2</v>
      </c>
      <c r="G217" s="35">
        <f t="shared" si="12"/>
        <v>311.03999999999996</v>
      </c>
      <c r="H217" s="41">
        <v>0.32500000000000001</v>
      </c>
      <c r="I217" s="47">
        <f t="shared" si="11"/>
        <v>140.4</v>
      </c>
      <c r="K217" s="46">
        <f t="shared" si="13"/>
        <v>-170.63999999999996</v>
      </c>
    </row>
    <row r="218" spans="2:11">
      <c r="B218" s="31">
        <v>45859</v>
      </c>
      <c r="C218" s="40">
        <v>432</v>
      </c>
      <c r="D218" s="40">
        <v>16</v>
      </c>
      <c r="E218" s="32">
        <f t="shared" si="10"/>
        <v>6912</v>
      </c>
      <c r="F218" s="45">
        <v>4.4999999999999998E-2</v>
      </c>
      <c r="G218" s="35">
        <f t="shared" si="12"/>
        <v>311.03999999999996</v>
      </c>
      <c r="H218" s="41">
        <v>0.32500000000000001</v>
      </c>
      <c r="I218" s="47">
        <f t="shared" si="11"/>
        <v>140.4</v>
      </c>
      <c r="K218" s="46">
        <f t="shared" si="13"/>
        <v>-170.63999999999996</v>
      </c>
    </row>
    <row r="219" spans="2:11">
      <c r="B219" s="31">
        <v>45860</v>
      </c>
      <c r="C219" s="40">
        <v>432</v>
      </c>
      <c r="D219" s="40">
        <v>16</v>
      </c>
      <c r="E219" s="32">
        <f t="shared" si="10"/>
        <v>6912</v>
      </c>
      <c r="F219" s="45">
        <v>4.4999999999999998E-2</v>
      </c>
      <c r="G219" s="35">
        <f t="shared" si="12"/>
        <v>311.03999999999996</v>
      </c>
      <c r="H219" s="41">
        <v>0.32500000000000001</v>
      </c>
      <c r="I219" s="47">
        <f t="shared" si="11"/>
        <v>140.4</v>
      </c>
      <c r="K219" s="46">
        <f t="shared" si="13"/>
        <v>-170.63999999999996</v>
      </c>
    </row>
    <row r="220" spans="2:11">
      <c r="B220" s="31">
        <v>45861</v>
      </c>
      <c r="C220" s="40">
        <v>432</v>
      </c>
      <c r="D220" s="40">
        <v>16</v>
      </c>
      <c r="E220" s="32">
        <f t="shared" si="10"/>
        <v>6912</v>
      </c>
      <c r="F220" s="45">
        <v>4.4999999999999998E-2</v>
      </c>
      <c r="G220" s="35">
        <f t="shared" si="12"/>
        <v>311.03999999999996</v>
      </c>
      <c r="H220" s="41">
        <v>0.32500000000000001</v>
      </c>
      <c r="I220" s="47">
        <f t="shared" si="11"/>
        <v>140.4</v>
      </c>
      <c r="K220" s="46">
        <f t="shared" si="13"/>
        <v>-170.63999999999996</v>
      </c>
    </row>
    <row r="221" spans="2:11">
      <c r="B221" s="31">
        <v>45862</v>
      </c>
      <c r="C221" s="40">
        <v>432</v>
      </c>
      <c r="D221" s="40">
        <v>16</v>
      </c>
      <c r="E221" s="32">
        <f t="shared" si="10"/>
        <v>6912</v>
      </c>
      <c r="F221" s="45">
        <v>4.4999999999999998E-2</v>
      </c>
      <c r="G221" s="35">
        <f t="shared" si="12"/>
        <v>311.03999999999996</v>
      </c>
      <c r="H221" s="41">
        <v>0.32500000000000001</v>
      </c>
      <c r="I221" s="47">
        <f t="shared" si="11"/>
        <v>140.4</v>
      </c>
      <c r="K221" s="46">
        <f t="shared" si="13"/>
        <v>-170.63999999999996</v>
      </c>
    </row>
    <row r="222" spans="2:11">
      <c r="B222" s="31">
        <v>45863</v>
      </c>
      <c r="C222" s="40">
        <v>432</v>
      </c>
      <c r="D222" s="40">
        <v>16</v>
      </c>
      <c r="E222" s="32">
        <f t="shared" si="10"/>
        <v>6912</v>
      </c>
      <c r="F222" s="45">
        <v>4.4999999999999998E-2</v>
      </c>
      <c r="G222" s="35">
        <f t="shared" si="12"/>
        <v>311.03999999999996</v>
      </c>
      <c r="H222" s="41">
        <v>0.32500000000000001</v>
      </c>
      <c r="I222" s="47">
        <f t="shared" si="11"/>
        <v>140.4</v>
      </c>
      <c r="K222" s="46">
        <f t="shared" si="13"/>
        <v>-170.63999999999996</v>
      </c>
    </row>
    <row r="223" spans="2:11">
      <c r="B223" s="31">
        <v>45864</v>
      </c>
      <c r="C223" s="40">
        <v>432</v>
      </c>
      <c r="D223" s="40">
        <v>16</v>
      </c>
      <c r="E223" s="32">
        <f t="shared" si="10"/>
        <v>6912</v>
      </c>
      <c r="F223" s="45">
        <v>4.4999999999999998E-2</v>
      </c>
      <c r="G223" s="35">
        <f t="shared" si="12"/>
        <v>311.03999999999996</v>
      </c>
      <c r="H223" s="41">
        <v>0.32500000000000001</v>
      </c>
      <c r="I223" s="47">
        <f t="shared" si="11"/>
        <v>140.4</v>
      </c>
      <c r="K223" s="46">
        <f t="shared" si="13"/>
        <v>-170.63999999999996</v>
      </c>
    </row>
    <row r="224" spans="2:11">
      <c r="B224" s="31">
        <v>45865</v>
      </c>
      <c r="C224" s="40">
        <v>432</v>
      </c>
      <c r="D224" s="40">
        <v>16</v>
      </c>
      <c r="E224" s="32">
        <f t="shared" si="10"/>
        <v>6912</v>
      </c>
      <c r="F224" s="45">
        <v>4.4999999999999998E-2</v>
      </c>
      <c r="G224" s="35">
        <f t="shared" si="12"/>
        <v>311.03999999999996</v>
      </c>
      <c r="H224" s="41">
        <v>0.32500000000000001</v>
      </c>
      <c r="I224" s="47">
        <f t="shared" si="11"/>
        <v>140.4</v>
      </c>
      <c r="K224" s="46">
        <f t="shared" si="13"/>
        <v>-170.63999999999996</v>
      </c>
    </row>
    <row r="225" spans="2:11">
      <c r="B225" s="31">
        <v>45866</v>
      </c>
      <c r="C225" s="40">
        <v>432</v>
      </c>
      <c r="D225" s="40">
        <v>16</v>
      </c>
      <c r="E225" s="32">
        <f t="shared" si="10"/>
        <v>6912</v>
      </c>
      <c r="F225" s="45">
        <v>4.4999999999999998E-2</v>
      </c>
      <c r="G225" s="35">
        <f t="shared" si="12"/>
        <v>311.03999999999996</v>
      </c>
      <c r="H225" s="41">
        <v>0.32500000000000001</v>
      </c>
      <c r="I225" s="47">
        <f t="shared" si="11"/>
        <v>140.4</v>
      </c>
      <c r="K225" s="46">
        <f t="shared" si="13"/>
        <v>-170.63999999999996</v>
      </c>
    </row>
    <row r="226" spans="2:11">
      <c r="B226" s="31">
        <v>45867</v>
      </c>
      <c r="C226" s="40">
        <v>432</v>
      </c>
      <c r="D226" s="40">
        <v>16</v>
      </c>
      <c r="E226" s="32">
        <f t="shared" si="10"/>
        <v>6912</v>
      </c>
      <c r="F226" s="45">
        <v>4.4999999999999998E-2</v>
      </c>
      <c r="G226" s="35">
        <f t="shared" si="12"/>
        <v>311.03999999999996</v>
      </c>
      <c r="H226" s="41">
        <v>0.32500000000000001</v>
      </c>
      <c r="I226" s="47">
        <f t="shared" si="11"/>
        <v>140.4</v>
      </c>
      <c r="K226" s="46">
        <f t="shared" si="13"/>
        <v>-170.63999999999996</v>
      </c>
    </row>
    <row r="227" spans="2:11">
      <c r="B227" s="31">
        <v>45868</v>
      </c>
      <c r="C227" s="40">
        <v>432</v>
      </c>
      <c r="D227" s="40">
        <v>16</v>
      </c>
      <c r="E227" s="32">
        <f t="shared" si="10"/>
        <v>6912</v>
      </c>
      <c r="F227" s="45">
        <v>4.4999999999999998E-2</v>
      </c>
      <c r="G227" s="35">
        <f t="shared" si="12"/>
        <v>311.03999999999996</v>
      </c>
      <c r="H227" s="41">
        <v>0.32500000000000001</v>
      </c>
      <c r="I227" s="47">
        <f t="shared" si="11"/>
        <v>140.4</v>
      </c>
      <c r="K227" s="46">
        <f t="shared" si="13"/>
        <v>-170.63999999999996</v>
      </c>
    </row>
    <row r="228" spans="2:11">
      <c r="B228" s="31">
        <v>45869</v>
      </c>
      <c r="C228" s="40">
        <v>432</v>
      </c>
      <c r="D228" s="40">
        <v>16</v>
      </c>
      <c r="E228" s="32">
        <f t="shared" si="10"/>
        <v>6912</v>
      </c>
      <c r="F228" s="45">
        <v>4.4999999999999998E-2</v>
      </c>
      <c r="G228" s="35">
        <f t="shared" si="12"/>
        <v>311.03999999999996</v>
      </c>
      <c r="H228" s="41">
        <v>0.32500000000000001</v>
      </c>
      <c r="I228" s="47">
        <f t="shared" si="11"/>
        <v>140.4</v>
      </c>
      <c r="K228" s="46">
        <f t="shared" si="13"/>
        <v>-170.63999999999996</v>
      </c>
    </row>
    <row r="229" spans="2:11">
      <c r="B229" s="31">
        <v>45870</v>
      </c>
      <c r="C229" s="40">
        <v>432</v>
      </c>
      <c r="D229" s="40">
        <v>16</v>
      </c>
      <c r="E229" s="32">
        <f t="shared" si="10"/>
        <v>6912</v>
      </c>
      <c r="F229" s="45">
        <v>4.4999999999999998E-2</v>
      </c>
      <c r="G229" s="35">
        <f t="shared" si="12"/>
        <v>311.03999999999996</v>
      </c>
      <c r="H229" s="41">
        <v>0.32500000000000001</v>
      </c>
      <c r="I229" s="47">
        <f t="shared" si="11"/>
        <v>140.4</v>
      </c>
      <c r="K229" s="46">
        <f t="shared" si="13"/>
        <v>-170.63999999999996</v>
      </c>
    </row>
    <row r="230" spans="2:11">
      <c r="B230" s="31">
        <v>45871</v>
      </c>
      <c r="C230" s="40">
        <v>432</v>
      </c>
      <c r="D230" s="40">
        <v>16</v>
      </c>
      <c r="E230" s="32">
        <f t="shared" si="10"/>
        <v>6912</v>
      </c>
      <c r="F230" s="45">
        <v>4.4999999999999998E-2</v>
      </c>
      <c r="G230" s="35">
        <f t="shared" si="12"/>
        <v>311.03999999999996</v>
      </c>
      <c r="H230" s="41">
        <v>0.32500000000000001</v>
      </c>
      <c r="I230" s="47">
        <f t="shared" si="11"/>
        <v>140.4</v>
      </c>
      <c r="K230" s="46">
        <f t="shared" si="13"/>
        <v>-170.63999999999996</v>
      </c>
    </row>
    <row r="231" spans="2:11">
      <c r="B231" s="31">
        <v>45872</v>
      </c>
      <c r="C231" s="40">
        <v>432</v>
      </c>
      <c r="D231" s="40">
        <v>16</v>
      </c>
      <c r="E231" s="32">
        <f t="shared" si="10"/>
        <v>6912</v>
      </c>
      <c r="F231" s="45">
        <v>4.4999999999999998E-2</v>
      </c>
      <c r="G231" s="35">
        <f t="shared" si="12"/>
        <v>311.03999999999996</v>
      </c>
      <c r="H231" s="41">
        <v>0.32500000000000001</v>
      </c>
      <c r="I231" s="47">
        <f t="shared" si="11"/>
        <v>140.4</v>
      </c>
      <c r="K231" s="46">
        <f t="shared" si="13"/>
        <v>-170.63999999999996</v>
      </c>
    </row>
    <row r="232" spans="2:11">
      <c r="B232" s="31">
        <v>45873</v>
      </c>
      <c r="C232" s="40">
        <v>432</v>
      </c>
      <c r="D232" s="40">
        <v>16</v>
      </c>
      <c r="E232" s="32">
        <f t="shared" si="10"/>
        <v>6912</v>
      </c>
      <c r="F232" s="45">
        <v>4.4999999999999998E-2</v>
      </c>
      <c r="G232" s="35">
        <f t="shared" si="12"/>
        <v>311.03999999999996</v>
      </c>
      <c r="H232" s="41">
        <v>0.32500000000000001</v>
      </c>
      <c r="I232" s="47">
        <f t="shared" si="11"/>
        <v>140.4</v>
      </c>
      <c r="K232" s="46">
        <f t="shared" si="13"/>
        <v>-170.63999999999996</v>
      </c>
    </row>
    <row r="233" spans="2:11">
      <c r="B233" s="31">
        <v>45874</v>
      </c>
      <c r="C233" s="40">
        <v>432</v>
      </c>
      <c r="D233" s="40">
        <v>16</v>
      </c>
      <c r="E233" s="32">
        <f t="shared" si="10"/>
        <v>6912</v>
      </c>
      <c r="F233" s="45">
        <v>4.4999999999999998E-2</v>
      </c>
      <c r="G233" s="35">
        <f t="shared" si="12"/>
        <v>311.03999999999996</v>
      </c>
      <c r="H233" s="41">
        <v>0.32500000000000001</v>
      </c>
      <c r="I233" s="47">
        <f t="shared" si="11"/>
        <v>140.4</v>
      </c>
      <c r="K233" s="46">
        <f t="shared" si="13"/>
        <v>-170.63999999999996</v>
      </c>
    </row>
    <row r="234" spans="2:11">
      <c r="B234" s="31">
        <v>45875</v>
      </c>
      <c r="C234" s="40">
        <v>432</v>
      </c>
      <c r="D234" s="40">
        <v>16</v>
      </c>
      <c r="E234" s="32">
        <f t="shared" si="10"/>
        <v>6912</v>
      </c>
      <c r="F234" s="45">
        <v>4.4999999999999998E-2</v>
      </c>
      <c r="G234" s="35">
        <f t="shared" si="12"/>
        <v>311.03999999999996</v>
      </c>
      <c r="H234" s="41">
        <v>0.32500000000000001</v>
      </c>
      <c r="I234" s="47">
        <f t="shared" si="11"/>
        <v>140.4</v>
      </c>
      <c r="K234" s="46">
        <f t="shared" si="13"/>
        <v>-170.63999999999996</v>
      </c>
    </row>
    <row r="235" spans="2:11">
      <c r="B235" s="31">
        <v>45876</v>
      </c>
      <c r="C235" s="40">
        <v>432</v>
      </c>
      <c r="D235" s="40">
        <v>16</v>
      </c>
      <c r="E235" s="32">
        <f t="shared" si="10"/>
        <v>6912</v>
      </c>
      <c r="F235" s="45">
        <v>4.4999999999999998E-2</v>
      </c>
      <c r="G235" s="35">
        <f t="shared" si="12"/>
        <v>311.03999999999996</v>
      </c>
      <c r="H235" s="41">
        <v>0.32500000000000001</v>
      </c>
      <c r="I235" s="47">
        <f t="shared" si="11"/>
        <v>140.4</v>
      </c>
      <c r="K235" s="46">
        <f t="shared" si="13"/>
        <v>-170.63999999999996</v>
      </c>
    </row>
    <row r="236" spans="2:11">
      <c r="B236" s="31">
        <v>45877</v>
      </c>
      <c r="C236" s="40">
        <v>432</v>
      </c>
      <c r="D236" s="40">
        <v>16</v>
      </c>
      <c r="E236" s="32">
        <f t="shared" si="10"/>
        <v>6912</v>
      </c>
      <c r="F236" s="45">
        <v>4.4999999999999998E-2</v>
      </c>
      <c r="G236" s="35">
        <f t="shared" si="12"/>
        <v>311.03999999999996</v>
      </c>
      <c r="H236" s="41">
        <v>0.32500000000000001</v>
      </c>
      <c r="I236" s="47">
        <f t="shared" si="11"/>
        <v>140.4</v>
      </c>
      <c r="K236" s="46">
        <f t="shared" si="13"/>
        <v>-170.63999999999996</v>
      </c>
    </row>
    <row r="237" spans="2:11">
      <c r="B237" s="31">
        <v>45878</v>
      </c>
      <c r="C237" s="40">
        <v>432</v>
      </c>
      <c r="D237" s="40">
        <v>16</v>
      </c>
      <c r="E237" s="32">
        <f t="shared" si="10"/>
        <v>6912</v>
      </c>
      <c r="F237" s="45">
        <v>4.4999999999999998E-2</v>
      </c>
      <c r="G237" s="35">
        <f t="shared" si="12"/>
        <v>311.03999999999996</v>
      </c>
      <c r="H237" s="41">
        <v>0.32500000000000001</v>
      </c>
      <c r="I237" s="47">
        <f t="shared" si="11"/>
        <v>140.4</v>
      </c>
      <c r="K237" s="46">
        <f t="shared" si="13"/>
        <v>-170.63999999999996</v>
      </c>
    </row>
    <row r="238" spans="2:11">
      <c r="B238" s="31">
        <v>45879</v>
      </c>
      <c r="C238" s="40">
        <v>432</v>
      </c>
      <c r="D238" s="40">
        <v>16</v>
      </c>
      <c r="E238" s="32">
        <f t="shared" si="10"/>
        <v>6912</v>
      </c>
      <c r="F238" s="45">
        <v>4.4999999999999998E-2</v>
      </c>
      <c r="G238" s="35">
        <f t="shared" si="12"/>
        <v>311.03999999999996</v>
      </c>
      <c r="H238" s="41">
        <v>0.32500000000000001</v>
      </c>
      <c r="I238" s="47">
        <f t="shared" si="11"/>
        <v>140.4</v>
      </c>
      <c r="K238" s="46">
        <f t="shared" si="13"/>
        <v>-170.63999999999996</v>
      </c>
    </row>
    <row r="239" spans="2:11">
      <c r="B239" s="31">
        <v>45880</v>
      </c>
      <c r="C239" s="40">
        <v>432</v>
      </c>
      <c r="D239" s="40">
        <v>16</v>
      </c>
      <c r="E239" s="32">
        <f t="shared" si="10"/>
        <v>6912</v>
      </c>
      <c r="F239" s="45">
        <v>4.4999999999999998E-2</v>
      </c>
      <c r="G239" s="35">
        <f t="shared" si="12"/>
        <v>311.03999999999996</v>
      </c>
      <c r="H239" s="41">
        <v>0.32500000000000001</v>
      </c>
      <c r="I239" s="47">
        <f t="shared" si="11"/>
        <v>140.4</v>
      </c>
      <c r="K239" s="46">
        <f t="shared" si="13"/>
        <v>-170.63999999999996</v>
      </c>
    </row>
    <row r="240" spans="2:11">
      <c r="B240" s="31">
        <v>45881</v>
      </c>
      <c r="C240" s="40">
        <v>432</v>
      </c>
      <c r="D240" s="40">
        <v>16</v>
      </c>
      <c r="E240" s="32">
        <f t="shared" si="10"/>
        <v>6912</v>
      </c>
      <c r="F240" s="45">
        <v>4.4999999999999998E-2</v>
      </c>
      <c r="G240" s="35">
        <f t="shared" si="12"/>
        <v>311.03999999999996</v>
      </c>
      <c r="H240" s="41">
        <v>0.32500000000000001</v>
      </c>
      <c r="I240" s="47">
        <f t="shared" si="11"/>
        <v>140.4</v>
      </c>
      <c r="K240" s="46">
        <f t="shared" si="13"/>
        <v>-170.63999999999996</v>
      </c>
    </row>
    <row r="241" spans="2:11">
      <c r="B241" s="31">
        <v>45882</v>
      </c>
      <c r="C241" s="40">
        <v>432</v>
      </c>
      <c r="D241" s="40">
        <v>16</v>
      </c>
      <c r="E241" s="32">
        <f t="shared" si="10"/>
        <v>6912</v>
      </c>
      <c r="F241" s="45">
        <v>4.4999999999999998E-2</v>
      </c>
      <c r="G241" s="35">
        <f t="shared" si="12"/>
        <v>311.03999999999996</v>
      </c>
      <c r="H241" s="41">
        <v>0.32500000000000001</v>
      </c>
      <c r="I241" s="47">
        <f t="shared" si="11"/>
        <v>140.4</v>
      </c>
      <c r="K241" s="46">
        <f t="shared" si="13"/>
        <v>-170.63999999999996</v>
      </c>
    </row>
    <row r="242" spans="2:11">
      <c r="B242" s="31">
        <v>45883</v>
      </c>
      <c r="C242" s="40">
        <v>432</v>
      </c>
      <c r="D242" s="40">
        <v>16</v>
      </c>
      <c r="E242" s="32">
        <f t="shared" si="10"/>
        <v>6912</v>
      </c>
      <c r="F242" s="45">
        <v>4.4999999999999998E-2</v>
      </c>
      <c r="G242" s="35">
        <f t="shared" si="12"/>
        <v>311.03999999999996</v>
      </c>
      <c r="H242" s="41">
        <v>0.32500000000000001</v>
      </c>
      <c r="I242" s="47">
        <f t="shared" si="11"/>
        <v>140.4</v>
      </c>
      <c r="K242" s="46">
        <f t="shared" si="13"/>
        <v>-170.63999999999996</v>
      </c>
    </row>
    <row r="243" spans="2:11">
      <c r="B243" s="31">
        <v>45884</v>
      </c>
      <c r="C243" s="40">
        <v>432</v>
      </c>
      <c r="D243" s="40">
        <v>16</v>
      </c>
      <c r="E243" s="32">
        <f t="shared" si="10"/>
        <v>6912</v>
      </c>
      <c r="F243" s="45">
        <v>4.4999999999999998E-2</v>
      </c>
      <c r="G243" s="35">
        <f t="shared" si="12"/>
        <v>311.03999999999996</v>
      </c>
      <c r="H243" s="41">
        <v>0.32500000000000001</v>
      </c>
      <c r="I243" s="47">
        <f t="shared" si="11"/>
        <v>140.4</v>
      </c>
      <c r="K243" s="46">
        <f t="shared" si="13"/>
        <v>-170.63999999999996</v>
      </c>
    </row>
    <row r="244" spans="2:11">
      <c r="B244" s="31">
        <v>45885</v>
      </c>
      <c r="C244" s="40">
        <v>432</v>
      </c>
      <c r="D244" s="40">
        <v>16</v>
      </c>
      <c r="E244" s="32">
        <f t="shared" si="10"/>
        <v>6912</v>
      </c>
      <c r="F244" s="45">
        <v>4.4999999999999998E-2</v>
      </c>
      <c r="G244" s="35">
        <f t="shared" si="12"/>
        <v>311.03999999999996</v>
      </c>
      <c r="H244" s="41">
        <v>0.32500000000000001</v>
      </c>
      <c r="I244" s="47">
        <f t="shared" si="11"/>
        <v>140.4</v>
      </c>
      <c r="K244" s="46">
        <f t="shared" si="13"/>
        <v>-170.63999999999996</v>
      </c>
    </row>
    <row r="245" spans="2:11">
      <c r="B245" s="31">
        <v>45886</v>
      </c>
      <c r="C245" s="40">
        <v>432</v>
      </c>
      <c r="D245" s="40">
        <v>16</v>
      </c>
      <c r="E245" s="32">
        <f t="shared" si="10"/>
        <v>6912</v>
      </c>
      <c r="F245" s="45">
        <v>4.4999999999999998E-2</v>
      </c>
      <c r="G245" s="35">
        <f t="shared" si="12"/>
        <v>311.03999999999996</v>
      </c>
      <c r="H245" s="41">
        <v>0.32500000000000001</v>
      </c>
      <c r="I245" s="47">
        <f t="shared" si="11"/>
        <v>140.4</v>
      </c>
      <c r="K245" s="46">
        <f t="shared" si="13"/>
        <v>-170.63999999999996</v>
      </c>
    </row>
    <row r="246" spans="2:11">
      <c r="B246" s="31">
        <v>45887</v>
      </c>
      <c r="C246" s="40">
        <v>432</v>
      </c>
      <c r="D246" s="40">
        <v>16</v>
      </c>
      <c r="E246" s="32">
        <f t="shared" si="10"/>
        <v>6912</v>
      </c>
      <c r="F246" s="45">
        <v>4.4999999999999998E-2</v>
      </c>
      <c r="G246" s="35">
        <f t="shared" si="12"/>
        <v>311.03999999999996</v>
      </c>
      <c r="H246" s="41">
        <v>0.32500000000000001</v>
      </c>
      <c r="I246" s="47">
        <f t="shared" si="11"/>
        <v>140.4</v>
      </c>
      <c r="K246" s="46">
        <f t="shared" si="13"/>
        <v>-170.63999999999996</v>
      </c>
    </row>
    <row r="247" spans="2:11">
      <c r="B247" s="31">
        <v>45888</v>
      </c>
      <c r="C247" s="40">
        <v>432</v>
      </c>
      <c r="D247" s="40">
        <v>16</v>
      </c>
      <c r="E247" s="32">
        <f t="shared" si="10"/>
        <v>6912</v>
      </c>
      <c r="F247" s="45">
        <v>4.4999999999999998E-2</v>
      </c>
      <c r="G247" s="35">
        <f t="shared" si="12"/>
        <v>311.03999999999996</v>
      </c>
      <c r="H247" s="41">
        <v>0.32500000000000001</v>
      </c>
      <c r="I247" s="47">
        <f t="shared" si="11"/>
        <v>140.4</v>
      </c>
      <c r="K247" s="46">
        <f t="shared" si="13"/>
        <v>-170.63999999999996</v>
      </c>
    </row>
    <row r="248" spans="2:11">
      <c r="B248" s="31">
        <v>45889</v>
      </c>
      <c r="C248" s="40">
        <v>432</v>
      </c>
      <c r="D248" s="40">
        <v>16</v>
      </c>
      <c r="E248" s="32">
        <f t="shared" si="10"/>
        <v>6912</v>
      </c>
      <c r="F248" s="45">
        <v>4.4999999999999998E-2</v>
      </c>
      <c r="G248" s="35">
        <f t="shared" si="12"/>
        <v>311.03999999999996</v>
      </c>
      <c r="H248" s="41">
        <v>0.32500000000000001</v>
      </c>
      <c r="I248" s="47">
        <f t="shared" si="11"/>
        <v>140.4</v>
      </c>
      <c r="K248" s="46">
        <f t="shared" ref="K248:K279" si="14">I248-G248</f>
        <v>-170.63999999999996</v>
      </c>
    </row>
    <row r="249" spans="2:11">
      <c r="B249" s="31">
        <v>45890</v>
      </c>
      <c r="C249" s="40">
        <v>432</v>
      </c>
      <c r="D249" s="40">
        <v>16</v>
      </c>
      <c r="E249" s="32">
        <f t="shared" si="10"/>
        <v>6912</v>
      </c>
      <c r="F249" s="45">
        <v>4.4999999999999998E-2</v>
      </c>
      <c r="G249" s="35">
        <f t="shared" si="12"/>
        <v>311.03999999999996</v>
      </c>
      <c r="H249" s="41">
        <v>0.32500000000000001</v>
      </c>
      <c r="I249" s="47">
        <f t="shared" si="11"/>
        <v>140.4</v>
      </c>
      <c r="K249" s="46">
        <f t="shared" si="14"/>
        <v>-170.63999999999996</v>
      </c>
    </row>
    <row r="250" spans="2:11">
      <c r="B250" s="31">
        <v>45891</v>
      </c>
      <c r="C250" s="40">
        <v>432</v>
      </c>
      <c r="D250" s="40">
        <v>16</v>
      </c>
      <c r="E250" s="32">
        <f t="shared" si="10"/>
        <v>6912</v>
      </c>
      <c r="F250" s="45">
        <v>4.4999999999999998E-2</v>
      </c>
      <c r="G250" s="35">
        <f t="shared" si="12"/>
        <v>311.03999999999996</v>
      </c>
      <c r="H250" s="41">
        <v>0.32500000000000001</v>
      </c>
      <c r="I250" s="47">
        <f t="shared" si="11"/>
        <v>140.4</v>
      </c>
      <c r="K250" s="46">
        <f t="shared" si="14"/>
        <v>-170.63999999999996</v>
      </c>
    </row>
    <row r="251" spans="2:11">
      <c r="B251" s="31">
        <v>45892</v>
      </c>
      <c r="C251" s="40">
        <v>432</v>
      </c>
      <c r="D251" s="40">
        <v>16</v>
      </c>
      <c r="E251" s="32">
        <f t="shared" si="10"/>
        <v>6912</v>
      </c>
      <c r="F251" s="45">
        <v>4.4999999999999998E-2</v>
      </c>
      <c r="G251" s="35">
        <f t="shared" si="12"/>
        <v>311.03999999999996</v>
      </c>
      <c r="H251" s="41">
        <v>0.32500000000000001</v>
      </c>
      <c r="I251" s="47">
        <f t="shared" si="11"/>
        <v>140.4</v>
      </c>
      <c r="K251" s="46">
        <f t="shared" si="14"/>
        <v>-170.63999999999996</v>
      </c>
    </row>
    <row r="252" spans="2:11">
      <c r="B252" s="31">
        <v>45893</v>
      </c>
      <c r="C252" s="40">
        <v>432</v>
      </c>
      <c r="D252" s="40">
        <v>16</v>
      </c>
      <c r="E252" s="32">
        <f t="shared" si="10"/>
        <v>6912</v>
      </c>
      <c r="F252" s="45">
        <v>4.4999999999999998E-2</v>
      </c>
      <c r="G252" s="35">
        <f t="shared" si="12"/>
        <v>311.03999999999996</v>
      </c>
      <c r="H252" s="41">
        <v>0.32500000000000001</v>
      </c>
      <c r="I252" s="47">
        <f t="shared" si="11"/>
        <v>140.4</v>
      </c>
      <c r="K252" s="46">
        <f t="shared" si="14"/>
        <v>-170.63999999999996</v>
      </c>
    </row>
    <row r="253" spans="2:11">
      <c r="B253" s="31">
        <v>45894</v>
      </c>
      <c r="C253" s="40">
        <v>432</v>
      </c>
      <c r="D253" s="40">
        <v>16</v>
      </c>
      <c r="E253" s="32">
        <f t="shared" si="10"/>
        <v>6912</v>
      </c>
      <c r="F253" s="45">
        <v>4.4999999999999998E-2</v>
      </c>
      <c r="G253" s="35">
        <f t="shared" si="12"/>
        <v>311.03999999999996</v>
      </c>
      <c r="H253" s="41">
        <v>0.32500000000000001</v>
      </c>
      <c r="I253" s="47">
        <f t="shared" si="11"/>
        <v>140.4</v>
      </c>
      <c r="K253" s="46">
        <f t="shared" si="14"/>
        <v>-170.63999999999996</v>
      </c>
    </row>
    <row r="254" spans="2:11">
      <c r="B254" s="31">
        <v>45895</v>
      </c>
      <c r="C254" s="40">
        <v>432</v>
      </c>
      <c r="D254" s="40">
        <v>16</v>
      </c>
      <c r="E254" s="32">
        <f t="shared" si="10"/>
        <v>6912</v>
      </c>
      <c r="F254" s="45">
        <v>4.4999999999999998E-2</v>
      </c>
      <c r="G254" s="35">
        <f t="shared" si="12"/>
        <v>311.03999999999996</v>
      </c>
      <c r="H254" s="41">
        <v>0.32500000000000001</v>
      </c>
      <c r="I254" s="47">
        <f t="shared" si="11"/>
        <v>140.4</v>
      </c>
      <c r="K254" s="46">
        <f t="shared" si="14"/>
        <v>-170.63999999999996</v>
      </c>
    </row>
    <row r="255" spans="2:11">
      <c r="B255" s="31">
        <v>45896</v>
      </c>
      <c r="C255" s="40">
        <v>432</v>
      </c>
      <c r="D255" s="40">
        <v>16</v>
      </c>
      <c r="E255" s="32">
        <f t="shared" si="10"/>
        <v>6912</v>
      </c>
      <c r="F255" s="45">
        <v>4.4999999999999998E-2</v>
      </c>
      <c r="G255" s="35">
        <f t="shared" si="12"/>
        <v>311.03999999999996</v>
      </c>
      <c r="H255" s="41">
        <v>0.32500000000000001</v>
      </c>
      <c r="I255" s="47">
        <f t="shared" si="11"/>
        <v>140.4</v>
      </c>
      <c r="K255" s="46">
        <f t="shared" si="14"/>
        <v>-170.63999999999996</v>
      </c>
    </row>
    <row r="256" spans="2:11">
      <c r="B256" s="31">
        <v>45897</v>
      </c>
      <c r="C256" s="40">
        <v>432</v>
      </c>
      <c r="D256" s="40">
        <v>16</v>
      </c>
      <c r="E256" s="32">
        <f t="shared" si="10"/>
        <v>6912</v>
      </c>
      <c r="F256" s="45">
        <v>4.4999999999999998E-2</v>
      </c>
      <c r="G256" s="35">
        <f t="shared" si="12"/>
        <v>311.03999999999996</v>
      </c>
      <c r="H256" s="41">
        <v>0.32500000000000001</v>
      </c>
      <c r="I256" s="47">
        <f t="shared" si="11"/>
        <v>140.4</v>
      </c>
      <c r="K256" s="46">
        <f t="shared" si="14"/>
        <v>-170.63999999999996</v>
      </c>
    </row>
    <row r="257" spans="2:11">
      <c r="B257" s="31">
        <v>45898</v>
      </c>
      <c r="C257" s="40">
        <v>432</v>
      </c>
      <c r="D257" s="40">
        <v>16</v>
      </c>
      <c r="E257" s="32">
        <f t="shared" si="10"/>
        <v>6912</v>
      </c>
      <c r="F257" s="45">
        <v>4.4999999999999998E-2</v>
      </c>
      <c r="G257" s="35">
        <f t="shared" si="12"/>
        <v>311.03999999999996</v>
      </c>
      <c r="H257" s="41">
        <v>0.32500000000000001</v>
      </c>
      <c r="I257" s="47">
        <f t="shared" si="11"/>
        <v>140.4</v>
      </c>
      <c r="K257" s="46">
        <f t="shared" si="14"/>
        <v>-170.63999999999996</v>
      </c>
    </row>
    <row r="258" spans="2:11">
      <c r="B258" s="31">
        <v>45899</v>
      </c>
      <c r="C258" s="40">
        <v>432</v>
      </c>
      <c r="D258" s="40">
        <v>16</v>
      </c>
      <c r="E258" s="32">
        <f t="shared" si="10"/>
        <v>6912</v>
      </c>
      <c r="F258" s="45">
        <v>4.4999999999999998E-2</v>
      </c>
      <c r="G258" s="35">
        <f t="shared" si="12"/>
        <v>311.03999999999996</v>
      </c>
      <c r="H258" s="41">
        <v>0.32500000000000001</v>
      </c>
      <c r="I258" s="47">
        <f t="shared" si="11"/>
        <v>140.4</v>
      </c>
      <c r="K258" s="46">
        <f t="shared" si="14"/>
        <v>-170.63999999999996</v>
      </c>
    </row>
    <row r="259" spans="2:11">
      <c r="B259" s="31">
        <v>45900</v>
      </c>
      <c r="C259" s="40">
        <v>432</v>
      </c>
      <c r="D259" s="40">
        <v>16</v>
      </c>
      <c r="E259" s="32">
        <f t="shared" si="10"/>
        <v>6912</v>
      </c>
      <c r="F259" s="45">
        <v>4.4999999999999998E-2</v>
      </c>
      <c r="G259" s="35">
        <f t="shared" si="12"/>
        <v>311.03999999999996</v>
      </c>
      <c r="H259" s="41">
        <v>0.32500000000000001</v>
      </c>
      <c r="I259" s="47">
        <f t="shared" si="11"/>
        <v>140.4</v>
      </c>
      <c r="K259" s="46">
        <f t="shared" si="14"/>
        <v>-170.63999999999996</v>
      </c>
    </row>
    <row r="260" spans="2:11">
      <c r="B260" s="31">
        <v>45901</v>
      </c>
      <c r="C260" s="40">
        <v>432</v>
      </c>
      <c r="D260" s="40">
        <v>16</v>
      </c>
      <c r="E260" s="32">
        <f t="shared" ref="E260:E289" si="15">C260*D260</f>
        <v>6912</v>
      </c>
      <c r="F260" s="45">
        <v>4.4999999999999998E-2</v>
      </c>
      <c r="G260" s="35">
        <f t="shared" si="12"/>
        <v>311.03999999999996</v>
      </c>
      <c r="H260" s="41">
        <v>0.32500000000000001</v>
      </c>
      <c r="I260" s="47">
        <f t="shared" ref="I260:I289" si="16">C260*H260</f>
        <v>140.4</v>
      </c>
      <c r="K260" s="46">
        <f t="shared" si="14"/>
        <v>-170.63999999999996</v>
      </c>
    </row>
    <row r="261" spans="2:11">
      <c r="B261" s="31">
        <v>45902</v>
      </c>
      <c r="C261" s="40">
        <v>432</v>
      </c>
      <c r="D261" s="40">
        <v>16</v>
      </c>
      <c r="E261" s="32">
        <f t="shared" si="15"/>
        <v>6912</v>
      </c>
      <c r="F261" s="45">
        <v>4.4999999999999998E-2</v>
      </c>
      <c r="G261" s="35">
        <f t="shared" si="12"/>
        <v>311.03999999999996</v>
      </c>
      <c r="H261" s="41">
        <v>0.32500000000000001</v>
      </c>
      <c r="I261" s="47">
        <f t="shared" si="16"/>
        <v>140.4</v>
      </c>
      <c r="K261" s="46">
        <f t="shared" si="14"/>
        <v>-170.63999999999996</v>
      </c>
    </row>
    <row r="262" spans="2:11">
      <c r="B262" s="31">
        <v>45903</v>
      </c>
      <c r="C262" s="40">
        <v>432</v>
      </c>
      <c r="D262" s="40">
        <v>16</v>
      </c>
      <c r="E262" s="32">
        <f t="shared" si="15"/>
        <v>6912</v>
      </c>
      <c r="F262" s="45">
        <v>4.4999999999999998E-2</v>
      </c>
      <c r="G262" s="35">
        <f t="shared" si="12"/>
        <v>311.03999999999996</v>
      </c>
      <c r="H262" s="41">
        <v>0.32500000000000001</v>
      </c>
      <c r="I262" s="47">
        <f t="shared" si="16"/>
        <v>140.4</v>
      </c>
      <c r="K262" s="46">
        <f t="shared" si="14"/>
        <v>-170.63999999999996</v>
      </c>
    </row>
    <row r="263" spans="2:11">
      <c r="B263" s="31">
        <v>45904</v>
      </c>
      <c r="C263" s="40">
        <v>432</v>
      </c>
      <c r="D263" s="40">
        <v>16</v>
      </c>
      <c r="E263" s="32">
        <f t="shared" si="15"/>
        <v>6912</v>
      </c>
      <c r="F263" s="45">
        <v>4.4999999999999998E-2</v>
      </c>
      <c r="G263" s="35">
        <f t="shared" si="12"/>
        <v>311.03999999999996</v>
      </c>
      <c r="H263" s="41">
        <v>0.32500000000000001</v>
      </c>
      <c r="I263" s="47">
        <f t="shared" si="16"/>
        <v>140.4</v>
      </c>
      <c r="K263" s="46">
        <f t="shared" si="14"/>
        <v>-170.63999999999996</v>
      </c>
    </row>
    <row r="264" spans="2:11">
      <c r="B264" s="31">
        <v>45905</v>
      </c>
      <c r="C264" s="40">
        <v>432</v>
      </c>
      <c r="D264" s="40">
        <v>16</v>
      </c>
      <c r="E264" s="32">
        <f t="shared" si="15"/>
        <v>6912</v>
      </c>
      <c r="F264" s="45">
        <v>4.4999999999999998E-2</v>
      </c>
      <c r="G264" s="35">
        <f t="shared" si="12"/>
        <v>311.03999999999996</v>
      </c>
      <c r="H264" s="41">
        <v>0.32500000000000001</v>
      </c>
      <c r="I264" s="47">
        <f t="shared" si="16"/>
        <v>140.4</v>
      </c>
      <c r="K264" s="46">
        <f t="shared" si="14"/>
        <v>-170.63999999999996</v>
      </c>
    </row>
    <row r="265" spans="2:11">
      <c r="B265" s="31">
        <v>45906</v>
      </c>
      <c r="C265" s="40">
        <v>432</v>
      </c>
      <c r="D265" s="40">
        <v>16</v>
      </c>
      <c r="E265" s="32">
        <f t="shared" si="15"/>
        <v>6912</v>
      </c>
      <c r="F265" s="45">
        <v>4.4999999999999998E-2</v>
      </c>
      <c r="G265" s="35">
        <f t="shared" si="12"/>
        <v>311.03999999999996</v>
      </c>
      <c r="H265" s="41">
        <v>0.32500000000000001</v>
      </c>
      <c r="I265" s="47">
        <f t="shared" si="16"/>
        <v>140.4</v>
      </c>
      <c r="K265" s="46">
        <f t="shared" si="14"/>
        <v>-170.63999999999996</v>
      </c>
    </row>
    <row r="266" spans="2:11">
      <c r="B266" s="31">
        <v>45907</v>
      </c>
      <c r="C266" s="40">
        <v>432</v>
      </c>
      <c r="D266" s="40">
        <v>16</v>
      </c>
      <c r="E266" s="32">
        <f t="shared" si="15"/>
        <v>6912</v>
      </c>
      <c r="F266" s="45">
        <v>4.4999999999999998E-2</v>
      </c>
      <c r="G266" s="35">
        <f t="shared" si="12"/>
        <v>311.03999999999996</v>
      </c>
      <c r="H266" s="41">
        <v>0.32500000000000001</v>
      </c>
      <c r="I266" s="47">
        <f t="shared" si="16"/>
        <v>140.4</v>
      </c>
      <c r="K266" s="46">
        <f t="shared" si="14"/>
        <v>-170.63999999999996</v>
      </c>
    </row>
    <row r="267" spans="2:11">
      <c r="B267" s="31">
        <v>45908</v>
      </c>
      <c r="C267" s="40">
        <v>432</v>
      </c>
      <c r="D267" s="40">
        <v>16</v>
      </c>
      <c r="E267" s="32">
        <f t="shared" si="15"/>
        <v>6912</v>
      </c>
      <c r="F267" s="45">
        <v>4.4999999999999998E-2</v>
      </c>
      <c r="G267" s="35">
        <f t="shared" si="12"/>
        <v>311.03999999999996</v>
      </c>
      <c r="H267" s="41">
        <v>0.32500000000000001</v>
      </c>
      <c r="I267" s="47">
        <f t="shared" si="16"/>
        <v>140.4</v>
      </c>
      <c r="K267" s="46">
        <f t="shared" si="14"/>
        <v>-170.63999999999996</v>
      </c>
    </row>
    <row r="268" spans="2:11">
      <c r="B268" s="31">
        <v>45909</v>
      </c>
      <c r="C268" s="40">
        <v>432</v>
      </c>
      <c r="D268" s="40">
        <v>16</v>
      </c>
      <c r="E268" s="32">
        <f t="shared" si="15"/>
        <v>6912</v>
      </c>
      <c r="F268" s="45">
        <v>4.4999999999999998E-2</v>
      </c>
      <c r="G268" s="35">
        <f t="shared" si="12"/>
        <v>311.03999999999996</v>
      </c>
      <c r="H268" s="41">
        <v>0.32500000000000001</v>
      </c>
      <c r="I268" s="47">
        <f t="shared" si="16"/>
        <v>140.4</v>
      </c>
      <c r="K268" s="46">
        <f t="shared" si="14"/>
        <v>-170.63999999999996</v>
      </c>
    </row>
    <row r="269" spans="2:11">
      <c r="B269" s="31">
        <v>45910</v>
      </c>
      <c r="C269" s="40">
        <v>432</v>
      </c>
      <c r="D269" s="40">
        <v>16</v>
      </c>
      <c r="E269" s="32">
        <f t="shared" si="15"/>
        <v>6912</v>
      </c>
      <c r="F269" s="45">
        <v>4.4999999999999998E-2</v>
      </c>
      <c r="G269" s="35">
        <f t="shared" si="12"/>
        <v>311.03999999999996</v>
      </c>
      <c r="H269" s="41">
        <v>0.32500000000000001</v>
      </c>
      <c r="I269" s="47">
        <f t="shared" si="16"/>
        <v>140.4</v>
      </c>
      <c r="K269" s="46">
        <f t="shared" si="14"/>
        <v>-170.63999999999996</v>
      </c>
    </row>
    <row r="270" spans="2:11">
      <c r="B270" s="31">
        <v>45911</v>
      </c>
      <c r="C270" s="40">
        <v>432</v>
      </c>
      <c r="D270" s="40">
        <v>16</v>
      </c>
      <c r="E270" s="32">
        <f t="shared" si="15"/>
        <v>6912</v>
      </c>
      <c r="F270" s="45">
        <v>4.4999999999999998E-2</v>
      </c>
      <c r="G270" s="35">
        <f t="shared" si="12"/>
        <v>311.03999999999996</v>
      </c>
      <c r="H270" s="41">
        <v>0.32500000000000001</v>
      </c>
      <c r="I270" s="47">
        <f t="shared" si="16"/>
        <v>140.4</v>
      </c>
      <c r="K270" s="46">
        <f t="shared" si="14"/>
        <v>-170.63999999999996</v>
      </c>
    </row>
    <row r="271" spans="2:11">
      <c r="B271" s="31">
        <v>45912</v>
      </c>
      <c r="C271" s="40">
        <v>432</v>
      </c>
      <c r="D271" s="40">
        <v>16</v>
      </c>
      <c r="E271" s="32">
        <f t="shared" si="15"/>
        <v>6912</v>
      </c>
      <c r="F271" s="45">
        <v>4.4999999999999998E-2</v>
      </c>
      <c r="G271" s="35">
        <f t="shared" si="12"/>
        <v>311.03999999999996</v>
      </c>
      <c r="H271" s="41">
        <v>0.32500000000000001</v>
      </c>
      <c r="I271" s="47">
        <f t="shared" si="16"/>
        <v>140.4</v>
      </c>
      <c r="K271" s="46">
        <f t="shared" si="14"/>
        <v>-170.63999999999996</v>
      </c>
    </row>
    <row r="272" spans="2:11">
      <c r="B272" s="31">
        <v>45913</v>
      </c>
      <c r="C272" s="40">
        <v>432</v>
      </c>
      <c r="D272" s="40">
        <v>16</v>
      </c>
      <c r="E272" s="32">
        <f t="shared" si="15"/>
        <v>6912</v>
      </c>
      <c r="F272" s="45">
        <v>4.4999999999999998E-2</v>
      </c>
      <c r="G272" s="35">
        <f t="shared" si="12"/>
        <v>311.03999999999996</v>
      </c>
      <c r="H272" s="41">
        <v>0.32500000000000001</v>
      </c>
      <c r="I272" s="47">
        <f t="shared" si="16"/>
        <v>140.4</v>
      </c>
      <c r="K272" s="46">
        <f t="shared" si="14"/>
        <v>-170.63999999999996</v>
      </c>
    </row>
    <row r="273" spans="2:11">
      <c r="B273" s="31">
        <v>45914</v>
      </c>
      <c r="C273" s="40">
        <v>432</v>
      </c>
      <c r="D273" s="40">
        <v>16</v>
      </c>
      <c r="E273" s="32">
        <f t="shared" si="15"/>
        <v>6912</v>
      </c>
      <c r="F273" s="45">
        <v>4.4999999999999998E-2</v>
      </c>
      <c r="G273" s="35">
        <f t="shared" si="12"/>
        <v>311.03999999999996</v>
      </c>
      <c r="H273" s="41">
        <v>0.32500000000000001</v>
      </c>
      <c r="I273" s="47">
        <f t="shared" si="16"/>
        <v>140.4</v>
      </c>
      <c r="K273" s="46">
        <f t="shared" si="14"/>
        <v>-170.63999999999996</v>
      </c>
    </row>
    <row r="274" spans="2:11">
      <c r="B274" s="31">
        <v>45915</v>
      </c>
      <c r="C274" s="40">
        <v>432</v>
      </c>
      <c r="D274" s="40">
        <v>16</v>
      </c>
      <c r="E274" s="32">
        <f t="shared" si="15"/>
        <v>6912</v>
      </c>
      <c r="F274" s="45">
        <v>4.4999999999999998E-2</v>
      </c>
      <c r="G274" s="35">
        <f t="shared" ref="G274:G289" si="17">E274*F274</f>
        <v>311.03999999999996</v>
      </c>
      <c r="H274" s="41">
        <v>0.32500000000000001</v>
      </c>
      <c r="I274" s="47">
        <f t="shared" si="16"/>
        <v>140.4</v>
      </c>
      <c r="K274" s="46">
        <f t="shared" si="14"/>
        <v>-170.63999999999996</v>
      </c>
    </row>
    <row r="275" spans="2:11">
      <c r="B275" s="31">
        <v>45916</v>
      </c>
      <c r="C275" s="40">
        <v>432</v>
      </c>
      <c r="D275" s="40">
        <v>16</v>
      </c>
      <c r="E275" s="32">
        <f t="shared" si="15"/>
        <v>6912</v>
      </c>
      <c r="F275" s="45">
        <v>4.4999999999999998E-2</v>
      </c>
      <c r="G275" s="35">
        <f t="shared" si="17"/>
        <v>311.03999999999996</v>
      </c>
      <c r="H275" s="41">
        <v>0.32500000000000001</v>
      </c>
      <c r="I275" s="47">
        <f t="shared" si="16"/>
        <v>140.4</v>
      </c>
      <c r="K275" s="46">
        <f t="shared" si="14"/>
        <v>-170.63999999999996</v>
      </c>
    </row>
    <row r="276" spans="2:11">
      <c r="B276" s="31">
        <v>45917</v>
      </c>
      <c r="C276" s="40">
        <v>432</v>
      </c>
      <c r="D276" s="40">
        <v>16</v>
      </c>
      <c r="E276" s="32">
        <f t="shared" si="15"/>
        <v>6912</v>
      </c>
      <c r="F276" s="45">
        <v>4.4999999999999998E-2</v>
      </c>
      <c r="G276" s="35">
        <f t="shared" si="17"/>
        <v>311.03999999999996</v>
      </c>
      <c r="H276" s="41">
        <v>0.32500000000000001</v>
      </c>
      <c r="I276" s="47">
        <f t="shared" si="16"/>
        <v>140.4</v>
      </c>
      <c r="K276" s="46">
        <f t="shared" si="14"/>
        <v>-170.63999999999996</v>
      </c>
    </row>
    <row r="277" spans="2:11">
      <c r="B277" s="31">
        <v>45918</v>
      </c>
      <c r="C277" s="40">
        <v>432</v>
      </c>
      <c r="D277" s="40">
        <v>16</v>
      </c>
      <c r="E277" s="32">
        <f t="shared" si="15"/>
        <v>6912</v>
      </c>
      <c r="F277" s="45">
        <v>4.4999999999999998E-2</v>
      </c>
      <c r="G277" s="35">
        <f t="shared" si="17"/>
        <v>311.03999999999996</v>
      </c>
      <c r="H277" s="41">
        <v>0.32500000000000001</v>
      </c>
      <c r="I277" s="47">
        <f t="shared" si="16"/>
        <v>140.4</v>
      </c>
      <c r="K277" s="46">
        <f t="shared" si="14"/>
        <v>-170.63999999999996</v>
      </c>
    </row>
    <row r="278" spans="2:11">
      <c r="B278" s="31">
        <v>45919</v>
      </c>
      <c r="C278" s="40">
        <v>432</v>
      </c>
      <c r="D278" s="40">
        <v>16</v>
      </c>
      <c r="E278" s="32">
        <f t="shared" si="15"/>
        <v>6912</v>
      </c>
      <c r="F278" s="45">
        <v>4.4999999999999998E-2</v>
      </c>
      <c r="G278" s="35">
        <f t="shared" si="17"/>
        <v>311.03999999999996</v>
      </c>
      <c r="H278" s="41">
        <v>0.32500000000000001</v>
      </c>
      <c r="I278" s="47">
        <f t="shared" si="16"/>
        <v>140.4</v>
      </c>
      <c r="K278" s="46">
        <f t="shared" si="14"/>
        <v>-170.63999999999996</v>
      </c>
    </row>
    <row r="279" spans="2:11">
      <c r="B279" s="31">
        <v>45920</v>
      </c>
      <c r="C279" s="40">
        <v>432</v>
      </c>
      <c r="D279" s="40">
        <v>16</v>
      </c>
      <c r="E279" s="32">
        <f t="shared" si="15"/>
        <v>6912</v>
      </c>
      <c r="F279" s="45">
        <v>4.4999999999999998E-2</v>
      </c>
      <c r="G279" s="35">
        <f t="shared" si="17"/>
        <v>311.03999999999996</v>
      </c>
      <c r="H279" s="41">
        <v>0.32500000000000001</v>
      </c>
      <c r="I279" s="47">
        <f t="shared" si="16"/>
        <v>140.4</v>
      </c>
      <c r="K279" s="46">
        <f t="shared" si="14"/>
        <v>-170.63999999999996</v>
      </c>
    </row>
    <row r="280" spans="2:11">
      <c r="B280" s="31">
        <v>45921</v>
      </c>
      <c r="C280" s="40">
        <v>432</v>
      </c>
      <c r="D280" s="40">
        <v>16</v>
      </c>
      <c r="E280" s="32">
        <f t="shared" si="15"/>
        <v>6912</v>
      </c>
      <c r="F280" s="45">
        <v>4.4999999999999998E-2</v>
      </c>
      <c r="G280" s="35">
        <f t="shared" si="17"/>
        <v>311.03999999999996</v>
      </c>
      <c r="H280" s="41">
        <v>0.32500000000000001</v>
      </c>
      <c r="I280" s="47">
        <f t="shared" si="16"/>
        <v>140.4</v>
      </c>
      <c r="K280" s="46">
        <f t="shared" ref="K280:K286" si="18">I280-G280</f>
        <v>-170.63999999999996</v>
      </c>
    </row>
    <row r="281" spans="2:11">
      <c r="B281" s="31">
        <v>45922</v>
      </c>
      <c r="C281" s="40">
        <v>432</v>
      </c>
      <c r="D281" s="40">
        <v>16</v>
      </c>
      <c r="E281" s="32">
        <f t="shared" si="15"/>
        <v>6912</v>
      </c>
      <c r="F281" s="45">
        <v>4.4999999999999998E-2</v>
      </c>
      <c r="G281" s="35">
        <f t="shared" si="17"/>
        <v>311.03999999999996</v>
      </c>
      <c r="H281" s="41">
        <v>0.32500000000000001</v>
      </c>
      <c r="I281" s="47">
        <f t="shared" si="16"/>
        <v>140.4</v>
      </c>
      <c r="K281" s="46">
        <f t="shared" si="18"/>
        <v>-170.63999999999996</v>
      </c>
    </row>
    <row r="282" spans="2:11">
      <c r="B282" s="31">
        <v>45923</v>
      </c>
      <c r="C282" s="40">
        <v>432</v>
      </c>
      <c r="D282" s="40">
        <v>16</v>
      </c>
      <c r="E282" s="32">
        <f t="shared" si="15"/>
        <v>6912</v>
      </c>
      <c r="F282" s="45">
        <v>4.4999999999999998E-2</v>
      </c>
      <c r="G282" s="35">
        <f t="shared" si="17"/>
        <v>311.03999999999996</v>
      </c>
      <c r="H282" s="41">
        <v>0.32500000000000001</v>
      </c>
      <c r="I282" s="47">
        <f t="shared" si="16"/>
        <v>140.4</v>
      </c>
      <c r="K282" s="46">
        <f t="shared" si="18"/>
        <v>-170.63999999999996</v>
      </c>
    </row>
    <row r="283" spans="2:11">
      <c r="B283" s="31">
        <v>45924</v>
      </c>
      <c r="C283" s="40">
        <v>432</v>
      </c>
      <c r="D283" s="40">
        <v>16</v>
      </c>
      <c r="E283" s="32">
        <f t="shared" si="15"/>
        <v>6912</v>
      </c>
      <c r="F283" s="45">
        <v>4.4999999999999998E-2</v>
      </c>
      <c r="G283" s="35">
        <f t="shared" si="17"/>
        <v>311.03999999999996</v>
      </c>
      <c r="H283" s="41">
        <v>0.32500000000000001</v>
      </c>
      <c r="I283" s="47">
        <f t="shared" si="16"/>
        <v>140.4</v>
      </c>
      <c r="K283" s="46">
        <f t="shared" si="18"/>
        <v>-170.63999999999996</v>
      </c>
    </row>
    <row r="284" spans="2:11">
      <c r="B284" s="31">
        <v>45925</v>
      </c>
      <c r="C284" s="40">
        <v>432</v>
      </c>
      <c r="D284" s="40">
        <v>16</v>
      </c>
      <c r="E284" s="32">
        <f t="shared" si="15"/>
        <v>6912</v>
      </c>
      <c r="F284" s="45">
        <v>4.4999999999999998E-2</v>
      </c>
      <c r="G284" s="35">
        <f t="shared" si="17"/>
        <v>311.03999999999996</v>
      </c>
      <c r="H284" s="41">
        <v>0.32500000000000001</v>
      </c>
      <c r="I284" s="47">
        <f t="shared" si="16"/>
        <v>140.4</v>
      </c>
      <c r="K284" s="46">
        <f t="shared" si="18"/>
        <v>-170.63999999999996</v>
      </c>
    </row>
    <row r="285" spans="2:11">
      <c r="B285" s="31">
        <v>45926</v>
      </c>
      <c r="C285" s="40">
        <v>432</v>
      </c>
      <c r="D285" s="40">
        <v>16</v>
      </c>
      <c r="E285" s="32">
        <f t="shared" si="15"/>
        <v>6912</v>
      </c>
      <c r="F285" s="45">
        <v>4.4999999999999998E-2</v>
      </c>
      <c r="G285" s="35">
        <f t="shared" si="17"/>
        <v>311.03999999999996</v>
      </c>
      <c r="H285" s="41">
        <v>0.32500000000000001</v>
      </c>
      <c r="I285" s="47">
        <f t="shared" si="16"/>
        <v>140.4</v>
      </c>
      <c r="K285" s="46">
        <f t="shared" si="18"/>
        <v>-170.63999999999996</v>
      </c>
    </row>
    <row r="286" spans="2:11">
      <c r="B286" s="31">
        <v>45927</v>
      </c>
      <c r="C286" s="40">
        <v>432</v>
      </c>
      <c r="D286" s="40">
        <v>16</v>
      </c>
      <c r="E286" s="32">
        <f t="shared" si="15"/>
        <v>6912</v>
      </c>
      <c r="F286" s="45">
        <v>4.4999999999999998E-2</v>
      </c>
      <c r="G286" s="35">
        <f t="shared" si="17"/>
        <v>311.03999999999996</v>
      </c>
      <c r="H286" s="41">
        <v>0.32500000000000001</v>
      </c>
      <c r="I286" s="47">
        <f t="shared" si="16"/>
        <v>140.4</v>
      </c>
      <c r="K286" s="46">
        <f t="shared" si="18"/>
        <v>-170.63999999999996</v>
      </c>
    </row>
    <row r="287" spans="2:11">
      <c r="B287" s="31">
        <v>45928</v>
      </c>
      <c r="C287" s="40">
        <v>432</v>
      </c>
      <c r="D287" s="40">
        <v>16</v>
      </c>
      <c r="E287" s="32">
        <f t="shared" si="15"/>
        <v>6912</v>
      </c>
      <c r="F287" s="45">
        <v>4.4999999999999998E-2</v>
      </c>
      <c r="G287" s="35">
        <f t="shared" si="17"/>
        <v>311.03999999999996</v>
      </c>
      <c r="H287" s="41">
        <v>0.32500000000000001</v>
      </c>
      <c r="I287" s="47">
        <f t="shared" si="16"/>
        <v>140.4</v>
      </c>
      <c r="K287" s="46">
        <f>I287-G287</f>
        <v>-170.63999999999996</v>
      </c>
    </row>
    <row r="288" spans="2:11">
      <c r="B288" s="31">
        <v>45929</v>
      </c>
      <c r="C288" s="40">
        <v>432</v>
      </c>
      <c r="D288" s="40">
        <v>16</v>
      </c>
      <c r="E288" s="32">
        <f t="shared" si="15"/>
        <v>6912</v>
      </c>
      <c r="F288" s="45">
        <v>4.4999999999999998E-2</v>
      </c>
      <c r="G288" s="35">
        <f t="shared" si="17"/>
        <v>311.03999999999996</v>
      </c>
      <c r="H288" s="41">
        <v>0.32500000000000001</v>
      </c>
      <c r="I288" s="47">
        <f t="shared" si="16"/>
        <v>140.4</v>
      </c>
      <c r="K288" s="46">
        <f>I288-G288</f>
        <v>-170.63999999999996</v>
      </c>
    </row>
    <row r="289" spans="2:14">
      <c r="B289" s="31">
        <v>45930</v>
      </c>
      <c r="C289" s="40">
        <v>432</v>
      </c>
      <c r="D289" s="40">
        <v>16</v>
      </c>
      <c r="E289" s="32">
        <f t="shared" si="15"/>
        <v>6912</v>
      </c>
      <c r="F289" s="45">
        <v>4.4999999999999998E-2</v>
      </c>
      <c r="G289" s="35">
        <f t="shared" si="17"/>
        <v>311.03999999999996</v>
      </c>
      <c r="H289" s="41">
        <v>0.32500000000000001</v>
      </c>
      <c r="I289" s="47">
        <f t="shared" si="16"/>
        <v>140.4</v>
      </c>
      <c r="K289" s="46">
        <f>I289-G289</f>
        <v>-170.63999999999996</v>
      </c>
    </row>
    <row r="290" spans="2:14" ht="13">
      <c r="B290" s="50"/>
      <c r="C290" s="50"/>
      <c r="D290" s="50"/>
      <c r="E290" s="51"/>
      <c r="F290" s="52"/>
      <c r="G290" s="53">
        <f>SUBTOTAL(9,G2:G289)</f>
        <v>87914.564999999697</v>
      </c>
      <c r="H290" s="54"/>
      <c r="I290" s="53">
        <f>SUBTOTAL(9,I2:I289)</f>
        <v>19375.2</v>
      </c>
      <c r="J290" s="50"/>
      <c r="K290" s="55">
        <f>SUM(K2:K289)</f>
        <v>-23548.319999999956</v>
      </c>
      <c r="L290" s="103"/>
      <c r="M290" s="103"/>
      <c r="N290" s="103"/>
    </row>
    <row r="292" spans="2:14">
      <c r="C292" s="36"/>
      <c r="D292" s="36"/>
    </row>
    <row r="293" spans="2:14" ht="14.5">
      <c r="C293" s="46"/>
      <c r="D293" s="46"/>
      <c r="E293" s="56"/>
      <c r="F293" s="49"/>
      <c r="H293" s="37"/>
    </row>
    <row r="294" spans="2:14" s="59" customFormat="1">
      <c r="B294" s="57" t="s">
        <v>213</v>
      </c>
      <c r="C294" s="57"/>
      <c r="D294" s="57"/>
      <c r="E294" s="58"/>
      <c r="F294" s="57"/>
      <c r="H294" s="58"/>
      <c r="I294" s="57"/>
    </row>
    <row r="297" spans="2:14">
      <c r="B297" s="33" t="s">
        <v>214</v>
      </c>
    </row>
    <row r="299" spans="2:14">
      <c r="B299" s="33" t="s">
        <v>215</v>
      </c>
    </row>
    <row r="301" spans="2:14">
      <c r="B301" s="33" t="s">
        <v>216</v>
      </c>
    </row>
    <row r="304" spans="2:14">
      <c r="B304" s="33" t="s">
        <v>217</v>
      </c>
    </row>
    <row r="306" spans="2:2">
      <c r="B306" s="33" t="s">
        <v>218</v>
      </c>
    </row>
    <row r="308" spans="2:2">
      <c r="B308" s="33" t="s">
        <v>219</v>
      </c>
    </row>
    <row r="309" spans="2:2">
      <c r="B309" s="33" t="s">
        <v>220</v>
      </c>
    </row>
    <row r="310" spans="2:2">
      <c r="B310" s="33" t="s">
        <v>221</v>
      </c>
    </row>
    <row r="312" spans="2:2">
      <c r="B312" s="33" t="s">
        <v>222</v>
      </c>
    </row>
    <row r="314" spans="2:2">
      <c r="B314" s="33" t="s">
        <v>223</v>
      </c>
    </row>
    <row r="316" spans="2:2">
      <c r="B316" s="33" t="s">
        <v>224</v>
      </c>
    </row>
    <row r="317" spans="2:2">
      <c r="B317" s="33" t="s">
        <v>225</v>
      </c>
    </row>
    <row r="318" spans="2:2">
      <c r="B318" s="33" t="s">
        <v>226</v>
      </c>
    </row>
    <row r="320" spans="2:2">
      <c r="B320" s="33" t="s">
        <v>227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0113-E373-4F8B-AD64-25DEF8DF636B}">
  <dimension ref="A1:AB2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:B25"/>
    </sheetView>
  </sheetViews>
  <sheetFormatPr defaultRowHeight="14"/>
  <cols>
    <col min="1" max="1" width="12.26953125" style="72" customWidth="1"/>
    <col min="2" max="2" width="52.1796875" style="72" bestFit="1" customWidth="1"/>
    <col min="3" max="3" width="16.453125" style="72" customWidth="1"/>
    <col min="4" max="4" width="15.54296875" style="72" customWidth="1"/>
    <col min="5" max="5" width="12.81640625" style="72" customWidth="1"/>
    <col min="6" max="6" width="10.08984375" style="72" customWidth="1"/>
    <col min="7" max="7" width="12.90625" style="72" bestFit="1" customWidth="1"/>
    <col min="8" max="9" width="7.81640625" style="72" bestFit="1" customWidth="1"/>
    <col min="10" max="10" width="4.81640625" style="72" bestFit="1" customWidth="1"/>
    <col min="11" max="11" width="7.26953125" style="72" bestFit="1" customWidth="1"/>
    <col min="12" max="12" width="6.7265625" style="72" bestFit="1" customWidth="1"/>
    <col min="13" max="13" width="8.54296875" style="72" bestFit="1" customWidth="1"/>
    <col min="14" max="14" width="4.81640625" style="72" bestFit="1" customWidth="1"/>
    <col min="15" max="15" width="8" style="72" bestFit="1" customWidth="1"/>
    <col min="16" max="16" width="21.81640625" style="72" bestFit="1" customWidth="1"/>
    <col min="17" max="17" width="5.6328125" style="72" bestFit="1" customWidth="1"/>
    <col min="18" max="18" width="6.6328125" style="72" bestFit="1" customWidth="1"/>
    <col min="19" max="19" width="5.6328125" style="72" bestFit="1" customWidth="1"/>
    <col min="20" max="20" width="8.7265625" style="72"/>
    <col min="21" max="21" width="20" style="72" customWidth="1"/>
    <col min="22" max="22" width="6.453125" style="72" customWidth="1"/>
    <col min="23" max="23" width="12.1796875" style="72" customWidth="1"/>
    <col min="24" max="24" width="12.6328125" style="72" customWidth="1"/>
    <col min="25" max="25" width="9.90625" style="72" bestFit="1" customWidth="1"/>
    <col min="26" max="26" width="29" style="72" bestFit="1" customWidth="1"/>
    <col min="27" max="27" width="10.54296875" style="72" bestFit="1" customWidth="1"/>
    <col min="28" max="28" width="7.90625" style="72" bestFit="1" customWidth="1"/>
    <col min="29" max="16384" width="8.7265625" style="72"/>
  </cols>
  <sheetData>
    <row r="1" spans="1:28" s="67" customFormat="1" ht="56">
      <c r="A1" s="60" t="s">
        <v>5</v>
      </c>
      <c r="B1" s="60" t="s">
        <v>6</v>
      </c>
      <c r="C1" s="60" t="s">
        <v>7</v>
      </c>
      <c r="D1" s="60" t="s">
        <v>8</v>
      </c>
      <c r="E1" s="60" t="s">
        <v>9</v>
      </c>
      <c r="F1" s="61" t="s">
        <v>10</v>
      </c>
      <c r="G1" s="61" t="s">
        <v>11</v>
      </c>
      <c r="H1" s="60" t="s">
        <v>12</v>
      </c>
      <c r="I1" s="60" t="s">
        <v>13</v>
      </c>
      <c r="J1" s="60" t="s">
        <v>14</v>
      </c>
      <c r="K1" s="61" t="s">
        <v>15</v>
      </c>
      <c r="L1" s="62" t="s">
        <v>16</v>
      </c>
      <c r="M1" s="63" t="s">
        <v>17</v>
      </c>
      <c r="N1" s="60" t="s">
        <v>14</v>
      </c>
      <c r="O1" s="60" t="s">
        <v>18</v>
      </c>
      <c r="P1" s="60" t="s">
        <v>19</v>
      </c>
      <c r="Q1" s="60" t="s">
        <v>20</v>
      </c>
      <c r="R1" s="60" t="s">
        <v>21</v>
      </c>
      <c r="S1" s="60" t="s">
        <v>22</v>
      </c>
      <c r="T1" s="64" t="s">
        <v>23</v>
      </c>
      <c r="U1" s="64" t="s">
        <v>24</v>
      </c>
      <c r="V1" s="64" t="s">
        <v>25</v>
      </c>
      <c r="W1" s="64" t="s">
        <v>26</v>
      </c>
      <c r="X1" s="64" t="s">
        <v>27</v>
      </c>
      <c r="Y1" s="61" t="s">
        <v>209</v>
      </c>
      <c r="Z1" s="61" t="s">
        <v>28</v>
      </c>
      <c r="AA1" s="65" t="s">
        <v>29</v>
      </c>
      <c r="AB1" s="66" t="s">
        <v>210</v>
      </c>
    </row>
    <row r="2" spans="1:28">
      <c r="A2" s="3">
        <v>45644</v>
      </c>
      <c r="B2" s="4" t="s">
        <v>35</v>
      </c>
      <c r="C2" s="4" t="s">
        <v>36</v>
      </c>
      <c r="D2" s="4" t="s">
        <v>30</v>
      </c>
      <c r="E2" s="4" t="s">
        <v>25</v>
      </c>
      <c r="F2" s="4" t="s">
        <v>37</v>
      </c>
      <c r="G2" s="4" t="s">
        <v>38</v>
      </c>
      <c r="H2" s="4">
        <v>18</v>
      </c>
      <c r="I2" s="4">
        <v>19026</v>
      </c>
      <c r="J2" s="4" t="s">
        <v>31</v>
      </c>
      <c r="K2" s="68">
        <f t="shared" ref="K2:K25" si="0">I2/1000</f>
        <v>19.026</v>
      </c>
      <c r="L2" s="69"/>
      <c r="M2" s="69">
        <v>32.4</v>
      </c>
      <c r="N2" s="4" t="s">
        <v>32</v>
      </c>
      <c r="O2" s="4" t="s">
        <v>33</v>
      </c>
      <c r="P2" s="4" t="s">
        <v>39</v>
      </c>
      <c r="Q2" s="4"/>
      <c r="R2" s="4"/>
      <c r="S2" s="4"/>
      <c r="T2" s="4"/>
      <c r="U2" s="4"/>
      <c r="V2" s="4">
        <v>18</v>
      </c>
      <c r="W2" s="4">
        <f t="shared" ref="W2:W25" si="1">MAX(H2,K2,M2)*3</f>
        <v>97.199999999999989</v>
      </c>
      <c r="X2" s="4">
        <f t="shared" ref="X2:X25" si="2">MAX(Q2,R2)*0.5</f>
        <v>0</v>
      </c>
      <c r="Y2" s="4">
        <f t="shared" ref="Y2:Y25" si="3">SUM(T2:X2)</f>
        <v>115.19999999999999</v>
      </c>
      <c r="Z2" s="70" t="s">
        <v>34</v>
      </c>
      <c r="AA2" s="71">
        <f t="shared" ref="AA2:AA25" si="4">MAX(H2,K2)*2.6</f>
        <v>49.467600000000004</v>
      </c>
      <c r="AB2" s="71">
        <f t="shared" ref="AB2:AB25" si="5">Y2-AA2</f>
        <v>65.732399999999984</v>
      </c>
    </row>
    <row r="3" spans="1:28">
      <c r="A3" s="3">
        <v>45644</v>
      </c>
      <c r="B3" s="4" t="s">
        <v>40</v>
      </c>
      <c r="C3" s="4" t="s">
        <v>41</v>
      </c>
      <c r="D3" s="4" t="s">
        <v>30</v>
      </c>
      <c r="E3" s="4" t="s">
        <v>25</v>
      </c>
      <c r="F3" s="4" t="s">
        <v>37</v>
      </c>
      <c r="G3" s="4" t="s">
        <v>42</v>
      </c>
      <c r="H3" s="4">
        <v>18</v>
      </c>
      <c r="I3" s="4">
        <v>19026</v>
      </c>
      <c r="J3" s="4" t="s">
        <v>31</v>
      </c>
      <c r="K3" s="68">
        <f t="shared" si="0"/>
        <v>19.026</v>
      </c>
      <c r="L3" s="69"/>
      <c r="M3" s="69">
        <v>32.4</v>
      </c>
      <c r="N3" s="4" t="s">
        <v>32</v>
      </c>
      <c r="O3" s="4" t="s">
        <v>33</v>
      </c>
      <c r="P3" s="4" t="s">
        <v>39</v>
      </c>
      <c r="Q3" s="4"/>
      <c r="R3" s="4"/>
      <c r="S3" s="4"/>
      <c r="T3" s="4"/>
      <c r="U3" s="4"/>
      <c r="V3" s="4">
        <v>18</v>
      </c>
      <c r="W3" s="4">
        <f t="shared" si="1"/>
        <v>97.199999999999989</v>
      </c>
      <c r="X3" s="4">
        <f t="shared" si="2"/>
        <v>0</v>
      </c>
      <c r="Y3" s="4">
        <f t="shared" si="3"/>
        <v>115.19999999999999</v>
      </c>
      <c r="Z3" s="70" t="s">
        <v>34</v>
      </c>
      <c r="AA3" s="71">
        <f t="shared" si="4"/>
        <v>49.467600000000004</v>
      </c>
      <c r="AB3" s="71">
        <f t="shared" si="5"/>
        <v>65.732399999999984</v>
      </c>
    </row>
    <row r="4" spans="1:28">
      <c r="A4" s="3">
        <v>45644</v>
      </c>
      <c r="B4" s="4" t="s">
        <v>43</v>
      </c>
      <c r="C4" s="4" t="s">
        <v>44</v>
      </c>
      <c r="D4" s="4" t="s">
        <v>30</v>
      </c>
      <c r="E4" s="4" t="s">
        <v>25</v>
      </c>
      <c r="F4" s="4" t="s">
        <v>37</v>
      </c>
      <c r="G4" s="4" t="s">
        <v>45</v>
      </c>
      <c r="H4" s="4">
        <v>18</v>
      </c>
      <c r="I4" s="4">
        <v>19026</v>
      </c>
      <c r="J4" s="4" t="s">
        <v>31</v>
      </c>
      <c r="K4" s="68">
        <f t="shared" si="0"/>
        <v>19.026</v>
      </c>
      <c r="L4" s="69"/>
      <c r="M4" s="69">
        <v>32.4</v>
      </c>
      <c r="N4" s="4" t="s">
        <v>32</v>
      </c>
      <c r="O4" s="4" t="s">
        <v>33</v>
      </c>
      <c r="P4" s="4" t="s">
        <v>39</v>
      </c>
      <c r="Q4" s="4"/>
      <c r="R4" s="4"/>
      <c r="S4" s="4"/>
      <c r="T4" s="4"/>
      <c r="U4" s="4"/>
      <c r="V4" s="4">
        <v>18</v>
      </c>
      <c r="W4" s="4">
        <f t="shared" si="1"/>
        <v>97.199999999999989</v>
      </c>
      <c r="X4" s="4">
        <f t="shared" si="2"/>
        <v>0</v>
      </c>
      <c r="Y4" s="4">
        <f t="shared" si="3"/>
        <v>115.19999999999999</v>
      </c>
      <c r="Z4" s="70" t="s">
        <v>34</v>
      </c>
      <c r="AA4" s="71">
        <f t="shared" si="4"/>
        <v>49.467600000000004</v>
      </c>
      <c r="AB4" s="71">
        <f t="shared" si="5"/>
        <v>65.732399999999984</v>
      </c>
    </row>
    <row r="5" spans="1:28">
      <c r="A5" s="3">
        <v>45644</v>
      </c>
      <c r="B5" s="4" t="s">
        <v>46</v>
      </c>
      <c r="C5" s="4" t="s">
        <v>47</v>
      </c>
      <c r="D5" s="4" t="s">
        <v>30</v>
      </c>
      <c r="E5" s="4" t="s">
        <v>25</v>
      </c>
      <c r="F5" s="4" t="s">
        <v>37</v>
      </c>
      <c r="G5" s="4" t="s">
        <v>48</v>
      </c>
      <c r="H5" s="4">
        <v>18</v>
      </c>
      <c r="I5" s="4">
        <v>19026</v>
      </c>
      <c r="J5" s="4" t="s">
        <v>31</v>
      </c>
      <c r="K5" s="68">
        <f t="shared" si="0"/>
        <v>19.026</v>
      </c>
      <c r="L5" s="69"/>
      <c r="M5" s="69">
        <v>32.4</v>
      </c>
      <c r="N5" s="4" t="s">
        <v>32</v>
      </c>
      <c r="O5" s="4" t="s">
        <v>33</v>
      </c>
      <c r="P5" s="4" t="s">
        <v>39</v>
      </c>
      <c r="Q5" s="4"/>
      <c r="R5" s="4"/>
      <c r="S5" s="4"/>
      <c r="T5" s="4"/>
      <c r="U5" s="4"/>
      <c r="V5" s="4">
        <v>18</v>
      </c>
      <c r="W5" s="4">
        <f t="shared" si="1"/>
        <v>97.199999999999989</v>
      </c>
      <c r="X5" s="4">
        <f t="shared" si="2"/>
        <v>0</v>
      </c>
      <c r="Y5" s="4">
        <f t="shared" si="3"/>
        <v>115.19999999999999</v>
      </c>
      <c r="Z5" s="70" t="s">
        <v>34</v>
      </c>
      <c r="AA5" s="71">
        <f t="shared" si="4"/>
        <v>49.467600000000004</v>
      </c>
      <c r="AB5" s="71">
        <f t="shared" si="5"/>
        <v>65.732399999999984</v>
      </c>
    </row>
    <row r="6" spans="1:28">
      <c r="A6" s="3">
        <v>45644</v>
      </c>
      <c r="B6" s="4" t="s">
        <v>49</v>
      </c>
      <c r="C6" s="4" t="s">
        <v>50</v>
      </c>
      <c r="D6" s="4" t="s">
        <v>30</v>
      </c>
      <c r="E6" s="4" t="s">
        <v>25</v>
      </c>
      <c r="F6" s="4" t="s">
        <v>37</v>
      </c>
      <c r="G6" s="4" t="s">
        <v>51</v>
      </c>
      <c r="H6" s="4">
        <v>18</v>
      </c>
      <c r="I6" s="4">
        <v>19026</v>
      </c>
      <c r="J6" s="4" t="s">
        <v>31</v>
      </c>
      <c r="K6" s="68">
        <f t="shared" si="0"/>
        <v>19.026</v>
      </c>
      <c r="L6" s="69"/>
      <c r="M6" s="69">
        <v>32.4</v>
      </c>
      <c r="N6" s="4" t="s">
        <v>32</v>
      </c>
      <c r="O6" s="4" t="s">
        <v>33</v>
      </c>
      <c r="P6" s="4" t="s">
        <v>39</v>
      </c>
      <c r="Q6" s="4"/>
      <c r="R6" s="4"/>
      <c r="S6" s="4"/>
      <c r="T6" s="4"/>
      <c r="U6" s="4"/>
      <c r="V6" s="4">
        <v>18</v>
      </c>
      <c r="W6" s="4">
        <f t="shared" si="1"/>
        <v>97.199999999999989</v>
      </c>
      <c r="X6" s="4">
        <f t="shared" si="2"/>
        <v>0</v>
      </c>
      <c r="Y6" s="4">
        <f t="shared" si="3"/>
        <v>115.19999999999999</v>
      </c>
      <c r="Z6" s="70" t="s">
        <v>34</v>
      </c>
      <c r="AA6" s="71">
        <f t="shared" si="4"/>
        <v>49.467600000000004</v>
      </c>
      <c r="AB6" s="71">
        <f t="shared" si="5"/>
        <v>65.732399999999984</v>
      </c>
    </row>
    <row r="7" spans="1:28">
      <c r="A7" s="3">
        <v>45644</v>
      </c>
      <c r="B7" s="4" t="s">
        <v>52</v>
      </c>
      <c r="C7" s="4" t="s">
        <v>53</v>
      </c>
      <c r="D7" s="4" t="s">
        <v>30</v>
      </c>
      <c r="E7" s="4" t="s">
        <v>25</v>
      </c>
      <c r="F7" s="4" t="s">
        <v>37</v>
      </c>
      <c r="G7" s="4" t="s">
        <v>54</v>
      </c>
      <c r="H7" s="4">
        <v>18</v>
      </c>
      <c r="I7" s="4">
        <v>19026</v>
      </c>
      <c r="J7" s="4" t="s">
        <v>31</v>
      </c>
      <c r="K7" s="68">
        <f t="shared" si="0"/>
        <v>19.026</v>
      </c>
      <c r="L7" s="69"/>
      <c r="M7" s="69">
        <v>32.4</v>
      </c>
      <c r="N7" s="4" t="s">
        <v>32</v>
      </c>
      <c r="O7" s="4" t="s">
        <v>33</v>
      </c>
      <c r="P7" s="4" t="s">
        <v>39</v>
      </c>
      <c r="Q7" s="4"/>
      <c r="R7" s="4"/>
      <c r="S7" s="4"/>
      <c r="T7" s="4"/>
      <c r="U7" s="4"/>
      <c r="V7" s="4">
        <v>18</v>
      </c>
      <c r="W7" s="4">
        <f t="shared" si="1"/>
        <v>97.199999999999989</v>
      </c>
      <c r="X7" s="4">
        <f t="shared" si="2"/>
        <v>0</v>
      </c>
      <c r="Y7" s="4">
        <f t="shared" si="3"/>
        <v>115.19999999999999</v>
      </c>
      <c r="Z7" s="70" t="s">
        <v>34</v>
      </c>
      <c r="AA7" s="71">
        <f t="shared" si="4"/>
        <v>49.467600000000004</v>
      </c>
      <c r="AB7" s="71">
        <f t="shared" si="5"/>
        <v>65.732399999999984</v>
      </c>
    </row>
    <row r="8" spans="1:28">
      <c r="A8" s="3">
        <v>45645</v>
      </c>
      <c r="B8" s="4" t="s">
        <v>55</v>
      </c>
      <c r="C8" s="4" t="s">
        <v>56</v>
      </c>
      <c r="D8" s="4" t="s">
        <v>30</v>
      </c>
      <c r="E8" s="4" t="s">
        <v>25</v>
      </c>
      <c r="F8" s="4" t="s">
        <v>37</v>
      </c>
      <c r="G8" s="4" t="s">
        <v>57</v>
      </c>
      <c r="H8" s="4">
        <v>18</v>
      </c>
      <c r="I8" s="4">
        <v>19026</v>
      </c>
      <c r="J8" s="4" t="s">
        <v>31</v>
      </c>
      <c r="K8" s="68">
        <f t="shared" si="0"/>
        <v>19.026</v>
      </c>
      <c r="L8" s="69"/>
      <c r="M8" s="69">
        <v>32.4</v>
      </c>
      <c r="N8" s="4" t="s">
        <v>32</v>
      </c>
      <c r="O8" s="4" t="s">
        <v>33</v>
      </c>
      <c r="P8" s="4" t="s">
        <v>39</v>
      </c>
      <c r="Q8" s="4"/>
      <c r="R8" s="4"/>
      <c r="S8" s="4"/>
      <c r="T8" s="4"/>
      <c r="U8" s="4"/>
      <c r="V8" s="4">
        <v>18</v>
      </c>
      <c r="W8" s="4">
        <f t="shared" si="1"/>
        <v>97.199999999999989</v>
      </c>
      <c r="X8" s="4">
        <f t="shared" si="2"/>
        <v>0</v>
      </c>
      <c r="Y8" s="4">
        <f t="shared" si="3"/>
        <v>115.19999999999999</v>
      </c>
      <c r="Z8" s="70" t="s">
        <v>34</v>
      </c>
      <c r="AA8" s="71">
        <f t="shared" si="4"/>
        <v>49.467600000000004</v>
      </c>
      <c r="AB8" s="71">
        <f t="shared" si="5"/>
        <v>65.732399999999984</v>
      </c>
    </row>
    <row r="9" spans="1:28">
      <c r="A9" s="3">
        <v>45645</v>
      </c>
      <c r="B9" s="4" t="s">
        <v>58</v>
      </c>
      <c r="C9" s="4" t="s">
        <v>59</v>
      </c>
      <c r="D9" s="4" t="s">
        <v>30</v>
      </c>
      <c r="E9" s="4" t="s">
        <v>25</v>
      </c>
      <c r="F9" s="4" t="s">
        <v>37</v>
      </c>
      <c r="G9" s="4" t="s">
        <v>60</v>
      </c>
      <c r="H9" s="4">
        <v>18</v>
      </c>
      <c r="I9" s="4">
        <v>19026</v>
      </c>
      <c r="J9" s="4" t="s">
        <v>31</v>
      </c>
      <c r="K9" s="68">
        <f t="shared" si="0"/>
        <v>19.026</v>
      </c>
      <c r="L9" s="69"/>
      <c r="M9" s="69">
        <v>32.4</v>
      </c>
      <c r="N9" s="4" t="s">
        <v>32</v>
      </c>
      <c r="O9" s="4" t="s">
        <v>33</v>
      </c>
      <c r="P9" s="4" t="s">
        <v>39</v>
      </c>
      <c r="Q9" s="4"/>
      <c r="R9" s="4"/>
      <c r="S9" s="4"/>
      <c r="T9" s="4"/>
      <c r="U9" s="4"/>
      <c r="V9" s="4">
        <v>18</v>
      </c>
      <c r="W9" s="4">
        <f t="shared" si="1"/>
        <v>97.199999999999989</v>
      </c>
      <c r="X9" s="4">
        <f t="shared" si="2"/>
        <v>0</v>
      </c>
      <c r="Y9" s="4">
        <f t="shared" si="3"/>
        <v>115.19999999999999</v>
      </c>
      <c r="Z9" s="70" t="s">
        <v>34</v>
      </c>
      <c r="AA9" s="71">
        <f t="shared" si="4"/>
        <v>49.467600000000004</v>
      </c>
      <c r="AB9" s="71">
        <f t="shared" si="5"/>
        <v>65.732399999999984</v>
      </c>
    </row>
    <row r="10" spans="1:28">
      <c r="A10" s="3">
        <v>45645</v>
      </c>
      <c r="B10" s="4" t="s">
        <v>61</v>
      </c>
      <c r="C10" s="4" t="s">
        <v>62</v>
      </c>
      <c r="D10" s="4" t="s">
        <v>30</v>
      </c>
      <c r="E10" s="4" t="s">
        <v>25</v>
      </c>
      <c r="F10" s="4" t="s">
        <v>37</v>
      </c>
      <c r="G10" s="4" t="s">
        <v>63</v>
      </c>
      <c r="H10" s="4">
        <v>18</v>
      </c>
      <c r="I10" s="4">
        <v>19026</v>
      </c>
      <c r="J10" s="4" t="s">
        <v>31</v>
      </c>
      <c r="K10" s="68">
        <f t="shared" si="0"/>
        <v>19.026</v>
      </c>
      <c r="L10" s="69"/>
      <c r="M10" s="69">
        <v>32.4</v>
      </c>
      <c r="N10" s="4" t="s">
        <v>32</v>
      </c>
      <c r="O10" s="4" t="s">
        <v>33</v>
      </c>
      <c r="P10" s="4" t="s">
        <v>39</v>
      </c>
      <c r="Q10" s="4"/>
      <c r="R10" s="4"/>
      <c r="S10" s="4"/>
      <c r="T10" s="4"/>
      <c r="U10" s="4"/>
      <c r="V10" s="4">
        <v>18</v>
      </c>
      <c r="W10" s="4">
        <f t="shared" si="1"/>
        <v>97.199999999999989</v>
      </c>
      <c r="X10" s="4">
        <f t="shared" si="2"/>
        <v>0</v>
      </c>
      <c r="Y10" s="4">
        <f t="shared" si="3"/>
        <v>115.19999999999999</v>
      </c>
      <c r="Z10" s="70" t="s">
        <v>34</v>
      </c>
      <c r="AA10" s="71">
        <f t="shared" si="4"/>
        <v>49.467600000000004</v>
      </c>
      <c r="AB10" s="71">
        <f t="shared" si="5"/>
        <v>65.732399999999984</v>
      </c>
    </row>
    <row r="11" spans="1:28">
      <c r="A11" s="3">
        <v>45646</v>
      </c>
      <c r="B11" s="4" t="s">
        <v>64</v>
      </c>
      <c r="C11" s="4" t="s">
        <v>65</v>
      </c>
      <c r="D11" s="4" t="s">
        <v>30</v>
      </c>
      <c r="E11" s="4" t="s">
        <v>25</v>
      </c>
      <c r="F11" s="4" t="s">
        <v>37</v>
      </c>
      <c r="G11" s="4" t="s">
        <v>66</v>
      </c>
      <c r="H11" s="4">
        <v>18</v>
      </c>
      <c r="I11" s="4">
        <v>19026</v>
      </c>
      <c r="J11" s="4" t="s">
        <v>31</v>
      </c>
      <c r="K11" s="68">
        <f t="shared" si="0"/>
        <v>19.026</v>
      </c>
      <c r="L11" s="69"/>
      <c r="M11" s="69">
        <v>32.4</v>
      </c>
      <c r="N11" s="4" t="s">
        <v>32</v>
      </c>
      <c r="O11" s="4" t="s">
        <v>33</v>
      </c>
      <c r="P11" s="4" t="s">
        <v>39</v>
      </c>
      <c r="Q11" s="4"/>
      <c r="R11" s="4"/>
      <c r="S11" s="4"/>
      <c r="T11" s="4"/>
      <c r="U11" s="4"/>
      <c r="V11" s="4">
        <v>18</v>
      </c>
      <c r="W11" s="4">
        <f t="shared" si="1"/>
        <v>97.199999999999989</v>
      </c>
      <c r="X11" s="4">
        <f t="shared" si="2"/>
        <v>0</v>
      </c>
      <c r="Y11" s="4">
        <f t="shared" si="3"/>
        <v>115.19999999999999</v>
      </c>
      <c r="Z11" s="70" t="s">
        <v>34</v>
      </c>
      <c r="AA11" s="71">
        <f t="shared" si="4"/>
        <v>49.467600000000004</v>
      </c>
      <c r="AB11" s="71">
        <f t="shared" si="5"/>
        <v>65.732399999999984</v>
      </c>
    </row>
    <row r="12" spans="1:28">
      <c r="A12" s="3">
        <v>45646</v>
      </c>
      <c r="B12" s="4" t="s">
        <v>67</v>
      </c>
      <c r="C12" s="4" t="s">
        <v>68</v>
      </c>
      <c r="D12" s="4" t="s">
        <v>30</v>
      </c>
      <c r="E12" s="4" t="s">
        <v>25</v>
      </c>
      <c r="F12" s="4" t="s">
        <v>37</v>
      </c>
      <c r="G12" s="4" t="s">
        <v>69</v>
      </c>
      <c r="H12" s="4">
        <v>18</v>
      </c>
      <c r="I12" s="4">
        <v>19026</v>
      </c>
      <c r="J12" s="4" t="s">
        <v>31</v>
      </c>
      <c r="K12" s="68">
        <f t="shared" si="0"/>
        <v>19.026</v>
      </c>
      <c r="L12" s="69"/>
      <c r="M12" s="69">
        <v>32.4</v>
      </c>
      <c r="N12" s="4" t="s">
        <v>32</v>
      </c>
      <c r="O12" s="4" t="s">
        <v>33</v>
      </c>
      <c r="P12" s="4" t="s">
        <v>39</v>
      </c>
      <c r="Q12" s="4"/>
      <c r="R12" s="4"/>
      <c r="S12" s="4"/>
      <c r="T12" s="4"/>
      <c r="U12" s="4"/>
      <c r="V12" s="4">
        <v>18</v>
      </c>
      <c r="W12" s="4">
        <f t="shared" si="1"/>
        <v>97.199999999999989</v>
      </c>
      <c r="X12" s="4">
        <f t="shared" si="2"/>
        <v>0</v>
      </c>
      <c r="Y12" s="4">
        <f t="shared" si="3"/>
        <v>115.19999999999999</v>
      </c>
      <c r="Z12" s="70" t="s">
        <v>34</v>
      </c>
      <c r="AA12" s="71">
        <f t="shared" si="4"/>
        <v>49.467600000000004</v>
      </c>
      <c r="AB12" s="71">
        <f t="shared" si="5"/>
        <v>65.732399999999984</v>
      </c>
    </row>
    <row r="13" spans="1:28">
      <c r="A13" s="3">
        <v>45646</v>
      </c>
      <c r="B13" s="4" t="s">
        <v>70</v>
      </c>
      <c r="C13" s="4" t="s">
        <v>71</v>
      </c>
      <c r="D13" s="4" t="s">
        <v>30</v>
      </c>
      <c r="E13" s="4" t="s">
        <v>25</v>
      </c>
      <c r="F13" s="4" t="s">
        <v>37</v>
      </c>
      <c r="G13" s="4" t="s">
        <v>72</v>
      </c>
      <c r="H13" s="4">
        <v>18</v>
      </c>
      <c r="I13" s="4">
        <v>19026</v>
      </c>
      <c r="J13" s="4" t="s">
        <v>31</v>
      </c>
      <c r="K13" s="68">
        <f t="shared" si="0"/>
        <v>19.026</v>
      </c>
      <c r="L13" s="69"/>
      <c r="M13" s="69">
        <v>32.4</v>
      </c>
      <c r="N13" s="4" t="s">
        <v>32</v>
      </c>
      <c r="O13" s="4" t="s">
        <v>33</v>
      </c>
      <c r="P13" s="4" t="s">
        <v>39</v>
      </c>
      <c r="Q13" s="4"/>
      <c r="R13" s="4"/>
      <c r="S13" s="4"/>
      <c r="T13" s="4"/>
      <c r="U13" s="4"/>
      <c r="V13" s="4">
        <v>18</v>
      </c>
      <c r="W13" s="4">
        <f t="shared" si="1"/>
        <v>97.199999999999989</v>
      </c>
      <c r="X13" s="4">
        <f t="shared" si="2"/>
        <v>0</v>
      </c>
      <c r="Y13" s="4">
        <f t="shared" si="3"/>
        <v>115.19999999999999</v>
      </c>
      <c r="Z13" s="70" t="s">
        <v>34</v>
      </c>
      <c r="AA13" s="71">
        <f t="shared" si="4"/>
        <v>49.467600000000004</v>
      </c>
      <c r="AB13" s="71">
        <f t="shared" si="5"/>
        <v>65.732399999999984</v>
      </c>
    </row>
    <row r="14" spans="1:28">
      <c r="A14" s="3">
        <v>45646</v>
      </c>
      <c r="B14" s="4" t="s">
        <v>73</v>
      </c>
      <c r="C14" s="4" t="s">
        <v>74</v>
      </c>
      <c r="D14" s="4" t="s">
        <v>30</v>
      </c>
      <c r="E14" s="4" t="s">
        <v>25</v>
      </c>
      <c r="F14" s="4" t="s">
        <v>37</v>
      </c>
      <c r="G14" s="4" t="s">
        <v>75</v>
      </c>
      <c r="H14" s="4">
        <v>18</v>
      </c>
      <c r="I14" s="4">
        <v>19026</v>
      </c>
      <c r="J14" s="4" t="s">
        <v>31</v>
      </c>
      <c r="K14" s="68">
        <f t="shared" si="0"/>
        <v>19.026</v>
      </c>
      <c r="L14" s="69"/>
      <c r="M14" s="69">
        <v>32.4</v>
      </c>
      <c r="N14" s="4" t="s">
        <v>32</v>
      </c>
      <c r="O14" s="4" t="s">
        <v>33</v>
      </c>
      <c r="P14" s="4" t="s">
        <v>39</v>
      </c>
      <c r="Q14" s="4"/>
      <c r="R14" s="4"/>
      <c r="S14" s="4"/>
      <c r="T14" s="4"/>
      <c r="U14" s="4"/>
      <c r="V14" s="4">
        <v>18</v>
      </c>
      <c r="W14" s="4">
        <f t="shared" si="1"/>
        <v>97.199999999999989</v>
      </c>
      <c r="X14" s="4">
        <f t="shared" si="2"/>
        <v>0</v>
      </c>
      <c r="Y14" s="4">
        <f t="shared" si="3"/>
        <v>115.19999999999999</v>
      </c>
      <c r="Z14" s="70" t="s">
        <v>34</v>
      </c>
      <c r="AA14" s="71">
        <f t="shared" si="4"/>
        <v>49.467600000000004</v>
      </c>
      <c r="AB14" s="71">
        <f t="shared" si="5"/>
        <v>65.732399999999984</v>
      </c>
    </row>
    <row r="15" spans="1:28">
      <c r="A15" s="3">
        <v>45646</v>
      </c>
      <c r="B15" s="4" t="s">
        <v>76</v>
      </c>
      <c r="C15" s="4" t="s">
        <v>77</v>
      </c>
      <c r="D15" s="4" t="s">
        <v>30</v>
      </c>
      <c r="E15" s="4" t="s">
        <v>25</v>
      </c>
      <c r="F15" s="4" t="s">
        <v>37</v>
      </c>
      <c r="G15" s="4" t="s">
        <v>78</v>
      </c>
      <c r="H15" s="4">
        <v>18</v>
      </c>
      <c r="I15" s="4">
        <v>19026</v>
      </c>
      <c r="J15" s="4" t="s">
        <v>31</v>
      </c>
      <c r="K15" s="68">
        <f t="shared" si="0"/>
        <v>19.026</v>
      </c>
      <c r="L15" s="69"/>
      <c r="M15" s="69">
        <v>32.4</v>
      </c>
      <c r="N15" s="4" t="s">
        <v>32</v>
      </c>
      <c r="O15" s="4" t="s">
        <v>33</v>
      </c>
      <c r="P15" s="4" t="s">
        <v>39</v>
      </c>
      <c r="Q15" s="4"/>
      <c r="R15" s="4"/>
      <c r="S15" s="4"/>
      <c r="T15" s="4"/>
      <c r="U15" s="4"/>
      <c r="V15" s="4">
        <v>18</v>
      </c>
      <c r="W15" s="4">
        <f t="shared" si="1"/>
        <v>97.199999999999989</v>
      </c>
      <c r="X15" s="4">
        <f t="shared" si="2"/>
        <v>0</v>
      </c>
      <c r="Y15" s="4">
        <f t="shared" si="3"/>
        <v>115.19999999999999</v>
      </c>
      <c r="Z15" s="70" t="s">
        <v>34</v>
      </c>
      <c r="AA15" s="71">
        <f t="shared" si="4"/>
        <v>49.467600000000004</v>
      </c>
      <c r="AB15" s="71">
        <f t="shared" si="5"/>
        <v>65.732399999999984</v>
      </c>
    </row>
    <row r="16" spans="1:28">
      <c r="A16" s="3">
        <v>45646</v>
      </c>
      <c r="B16" s="4" t="s">
        <v>79</v>
      </c>
      <c r="C16" s="4" t="s">
        <v>80</v>
      </c>
      <c r="D16" s="4" t="s">
        <v>30</v>
      </c>
      <c r="E16" s="4" t="s">
        <v>25</v>
      </c>
      <c r="F16" s="4" t="s">
        <v>37</v>
      </c>
      <c r="G16" s="4" t="s">
        <v>81</v>
      </c>
      <c r="H16" s="4">
        <v>18</v>
      </c>
      <c r="I16" s="4">
        <v>19026</v>
      </c>
      <c r="J16" s="4" t="s">
        <v>31</v>
      </c>
      <c r="K16" s="68">
        <f t="shared" si="0"/>
        <v>19.026</v>
      </c>
      <c r="L16" s="69"/>
      <c r="M16" s="69">
        <v>32.4</v>
      </c>
      <c r="N16" s="4" t="s">
        <v>32</v>
      </c>
      <c r="O16" s="4" t="s">
        <v>33</v>
      </c>
      <c r="P16" s="4" t="s">
        <v>39</v>
      </c>
      <c r="Q16" s="4"/>
      <c r="R16" s="4"/>
      <c r="S16" s="4"/>
      <c r="T16" s="4"/>
      <c r="U16" s="4"/>
      <c r="V16" s="4">
        <v>18</v>
      </c>
      <c r="W16" s="4">
        <f t="shared" si="1"/>
        <v>97.199999999999989</v>
      </c>
      <c r="X16" s="4">
        <f t="shared" si="2"/>
        <v>0</v>
      </c>
      <c r="Y16" s="4">
        <f t="shared" si="3"/>
        <v>115.19999999999999</v>
      </c>
      <c r="Z16" s="70" t="s">
        <v>34</v>
      </c>
      <c r="AA16" s="71">
        <f t="shared" si="4"/>
        <v>49.467600000000004</v>
      </c>
      <c r="AB16" s="71">
        <f t="shared" si="5"/>
        <v>65.732399999999984</v>
      </c>
    </row>
    <row r="17" spans="1:28">
      <c r="A17" s="3">
        <v>45652</v>
      </c>
      <c r="B17" s="4" t="s">
        <v>82</v>
      </c>
      <c r="C17" s="4" t="s">
        <v>62</v>
      </c>
      <c r="D17" s="4" t="s">
        <v>30</v>
      </c>
      <c r="E17" s="4" t="s">
        <v>25</v>
      </c>
      <c r="F17" s="4" t="s">
        <v>37</v>
      </c>
      <c r="G17" s="4" t="s">
        <v>83</v>
      </c>
      <c r="H17" s="4">
        <v>18</v>
      </c>
      <c r="I17" s="4">
        <v>19026</v>
      </c>
      <c r="J17" s="4" t="s">
        <v>31</v>
      </c>
      <c r="K17" s="68">
        <f t="shared" si="0"/>
        <v>19.026</v>
      </c>
      <c r="L17" s="69"/>
      <c r="M17" s="69">
        <v>32.4</v>
      </c>
      <c r="N17" s="4" t="s">
        <v>32</v>
      </c>
      <c r="O17" s="4" t="s">
        <v>33</v>
      </c>
      <c r="P17" s="4" t="s">
        <v>39</v>
      </c>
      <c r="Q17" s="4"/>
      <c r="R17" s="4"/>
      <c r="S17" s="4"/>
      <c r="T17" s="4"/>
      <c r="U17" s="4"/>
      <c r="V17" s="4">
        <v>18</v>
      </c>
      <c r="W17" s="4">
        <f t="shared" si="1"/>
        <v>97.199999999999989</v>
      </c>
      <c r="X17" s="4">
        <f t="shared" si="2"/>
        <v>0</v>
      </c>
      <c r="Y17" s="4">
        <f t="shared" si="3"/>
        <v>115.19999999999999</v>
      </c>
      <c r="Z17" s="70" t="s">
        <v>34</v>
      </c>
      <c r="AA17" s="71">
        <f t="shared" si="4"/>
        <v>49.467600000000004</v>
      </c>
      <c r="AB17" s="71">
        <f t="shared" si="5"/>
        <v>65.732399999999984</v>
      </c>
    </row>
    <row r="18" spans="1:28">
      <c r="A18" s="3">
        <v>45652</v>
      </c>
      <c r="B18" s="4" t="s">
        <v>84</v>
      </c>
      <c r="C18" s="4" t="s">
        <v>85</v>
      </c>
      <c r="D18" s="4" t="s">
        <v>30</v>
      </c>
      <c r="E18" s="4" t="s">
        <v>25</v>
      </c>
      <c r="F18" s="4" t="s">
        <v>37</v>
      </c>
      <c r="G18" s="4" t="s">
        <v>86</v>
      </c>
      <c r="H18" s="4">
        <v>18</v>
      </c>
      <c r="I18" s="4">
        <v>19026</v>
      </c>
      <c r="J18" s="4" t="s">
        <v>31</v>
      </c>
      <c r="K18" s="68">
        <f t="shared" si="0"/>
        <v>19.026</v>
      </c>
      <c r="L18" s="69"/>
      <c r="M18" s="69">
        <v>32.4</v>
      </c>
      <c r="N18" s="4" t="s">
        <v>32</v>
      </c>
      <c r="O18" s="4" t="s">
        <v>33</v>
      </c>
      <c r="P18" s="4" t="s">
        <v>39</v>
      </c>
      <c r="Q18" s="4"/>
      <c r="R18" s="4"/>
      <c r="S18" s="4"/>
      <c r="T18" s="4"/>
      <c r="U18" s="4"/>
      <c r="V18" s="4">
        <v>18</v>
      </c>
      <c r="W18" s="4">
        <f t="shared" si="1"/>
        <v>97.199999999999989</v>
      </c>
      <c r="X18" s="4">
        <f t="shared" si="2"/>
        <v>0</v>
      </c>
      <c r="Y18" s="4">
        <f t="shared" si="3"/>
        <v>115.19999999999999</v>
      </c>
      <c r="Z18" s="70" t="s">
        <v>34</v>
      </c>
      <c r="AA18" s="71">
        <f t="shared" si="4"/>
        <v>49.467600000000004</v>
      </c>
      <c r="AB18" s="71">
        <f t="shared" si="5"/>
        <v>65.732399999999984</v>
      </c>
    </row>
    <row r="19" spans="1:28">
      <c r="A19" s="3">
        <v>45652</v>
      </c>
      <c r="B19" s="4" t="s">
        <v>87</v>
      </c>
      <c r="C19" s="4" t="s">
        <v>59</v>
      </c>
      <c r="D19" s="4" t="s">
        <v>30</v>
      </c>
      <c r="E19" s="4" t="s">
        <v>25</v>
      </c>
      <c r="F19" s="4" t="s">
        <v>37</v>
      </c>
      <c r="G19" s="4" t="s">
        <v>88</v>
      </c>
      <c r="H19" s="4">
        <v>18</v>
      </c>
      <c r="I19" s="4">
        <v>19026</v>
      </c>
      <c r="J19" s="4" t="s">
        <v>31</v>
      </c>
      <c r="K19" s="68">
        <f t="shared" si="0"/>
        <v>19.026</v>
      </c>
      <c r="L19" s="69"/>
      <c r="M19" s="69">
        <v>32.4</v>
      </c>
      <c r="N19" s="4" t="s">
        <v>32</v>
      </c>
      <c r="O19" s="4" t="s">
        <v>33</v>
      </c>
      <c r="P19" s="4" t="s">
        <v>39</v>
      </c>
      <c r="Q19" s="4"/>
      <c r="R19" s="4"/>
      <c r="S19" s="4"/>
      <c r="T19" s="4"/>
      <c r="U19" s="4"/>
      <c r="V19" s="4">
        <v>18</v>
      </c>
      <c r="W19" s="4">
        <f t="shared" si="1"/>
        <v>97.199999999999989</v>
      </c>
      <c r="X19" s="4">
        <f t="shared" si="2"/>
        <v>0</v>
      </c>
      <c r="Y19" s="4">
        <f t="shared" si="3"/>
        <v>115.19999999999999</v>
      </c>
      <c r="Z19" s="70" t="s">
        <v>34</v>
      </c>
      <c r="AA19" s="71">
        <f t="shared" si="4"/>
        <v>49.467600000000004</v>
      </c>
      <c r="AB19" s="71">
        <f t="shared" si="5"/>
        <v>65.732399999999984</v>
      </c>
    </row>
    <row r="20" spans="1:28">
      <c r="A20" s="3">
        <v>45652</v>
      </c>
      <c r="B20" s="4" t="s">
        <v>89</v>
      </c>
      <c r="C20" s="4" t="s">
        <v>56</v>
      </c>
      <c r="D20" s="4" t="s">
        <v>30</v>
      </c>
      <c r="E20" s="4" t="s">
        <v>25</v>
      </c>
      <c r="F20" s="4" t="s">
        <v>37</v>
      </c>
      <c r="G20" s="4" t="s">
        <v>90</v>
      </c>
      <c r="H20" s="4">
        <v>18</v>
      </c>
      <c r="I20" s="4">
        <v>19026</v>
      </c>
      <c r="J20" s="4" t="s">
        <v>31</v>
      </c>
      <c r="K20" s="68">
        <f t="shared" si="0"/>
        <v>19.026</v>
      </c>
      <c r="L20" s="69"/>
      <c r="M20" s="69">
        <v>32.4</v>
      </c>
      <c r="N20" s="4" t="s">
        <v>32</v>
      </c>
      <c r="O20" s="4" t="s">
        <v>33</v>
      </c>
      <c r="P20" s="4" t="s">
        <v>39</v>
      </c>
      <c r="Q20" s="4"/>
      <c r="R20" s="4"/>
      <c r="S20" s="4"/>
      <c r="T20" s="4"/>
      <c r="U20" s="4"/>
      <c r="V20" s="4">
        <v>18</v>
      </c>
      <c r="W20" s="4">
        <f t="shared" si="1"/>
        <v>97.199999999999989</v>
      </c>
      <c r="X20" s="4">
        <f t="shared" si="2"/>
        <v>0</v>
      </c>
      <c r="Y20" s="4">
        <f t="shared" si="3"/>
        <v>115.19999999999999</v>
      </c>
      <c r="Z20" s="70" t="s">
        <v>34</v>
      </c>
      <c r="AA20" s="71">
        <f t="shared" si="4"/>
        <v>49.467600000000004</v>
      </c>
      <c r="AB20" s="71">
        <f t="shared" si="5"/>
        <v>65.732399999999984</v>
      </c>
    </row>
    <row r="21" spans="1:28">
      <c r="A21" s="3">
        <v>45652</v>
      </c>
      <c r="B21" s="4" t="s">
        <v>91</v>
      </c>
      <c r="C21" s="4" t="s">
        <v>36</v>
      </c>
      <c r="D21" s="4" t="s">
        <v>30</v>
      </c>
      <c r="E21" s="4" t="s">
        <v>25</v>
      </c>
      <c r="F21" s="4" t="s">
        <v>37</v>
      </c>
      <c r="G21" s="4" t="s">
        <v>92</v>
      </c>
      <c r="H21" s="4">
        <v>18</v>
      </c>
      <c r="I21" s="4">
        <v>19026</v>
      </c>
      <c r="J21" s="4" t="s">
        <v>31</v>
      </c>
      <c r="K21" s="68">
        <f t="shared" si="0"/>
        <v>19.026</v>
      </c>
      <c r="L21" s="69"/>
      <c r="M21" s="69">
        <v>32.4</v>
      </c>
      <c r="N21" s="4" t="s">
        <v>32</v>
      </c>
      <c r="O21" s="4" t="s">
        <v>33</v>
      </c>
      <c r="P21" s="4" t="s">
        <v>39</v>
      </c>
      <c r="Q21" s="4"/>
      <c r="R21" s="4"/>
      <c r="S21" s="4"/>
      <c r="T21" s="4"/>
      <c r="U21" s="4"/>
      <c r="V21" s="4">
        <v>18</v>
      </c>
      <c r="W21" s="4">
        <f t="shared" si="1"/>
        <v>97.199999999999989</v>
      </c>
      <c r="X21" s="4">
        <f t="shared" si="2"/>
        <v>0</v>
      </c>
      <c r="Y21" s="4">
        <f t="shared" si="3"/>
        <v>115.19999999999999</v>
      </c>
      <c r="Z21" s="70" t="s">
        <v>34</v>
      </c>
      <c r="AA21" s="71">
        <f t="shared" si="4"/>
        <v>49.467600000000004</v>
      </c>
      <c r="AB21" s="71">
        <f t="shared" si="5"/>
        <v>65.732399999999984</v>
      </c>
    </row>
    <row r="22" spans="1:28">
      <c r="A22" s="3">
        <v>45652</v>
      </c>
      <c r="B22" s="4" t="s">
        <v>93</v>
      </c>
      <c r="C22" s="4" t="s">
        <v>47</v>
      </c>
      <c r="D22" s="4" t="s">
        <v>30</v>
      </c>
      <c r="E22" s="4" t="s">
        <v>25</v>
      </c>
      <c r="F22" s="4" t="s">
        <v>37</v>
      </c>
      <c r="G22" s="4" t="s">
        <v>94</v>
      </c>
      <c r="H22" s="4">
        <v>18</v>
      </c>
      <c r="I22" s="4">
        <v>19026</v>
      </c>
      <c r="J22" s="4" t="s">
        <v>31</v>
      </c>
      <c r="K22" s="68">
        <f t="shared" si="0"/>
        <v>19.026</v>
      </c>
      <c r="L22" s="69"/>
      <c r="M22" s="69">
        <v>32.4</v>
      </c>
      <c r="N22" s="4" t="s">
        <v>32</v>
      </c>
      <c r="O22" s="4" t="s">
        <v>33</v>
      </c>
      <c r="P22" s="4" t="s">
        <v>39</v>
      </c>
      <c r="Q22" s="4"/>
      <c r="R22" s="4"/>
      <c r="S22" s="4"/>
      <c r="T22" s="4"/>
      <c r="U22" s="4"/>
      <c r="V22" s="4">
        <v>18</v>
      </c>
      <c r="W22" s="4">
        <f t="shared" si="1"/>
        <v>97.199999999999989</v>
      </c>
      <c r="X22" s="4">
        <f t="shared" si="2"/>
        <v>0</v>
      </c>
      <c r="Y22" s="4">
        <f t="shared" si="3"/>
        <v>115.19999999999999</v>
      </c>
      <c r="Z22" s="70" t="s">
        <v>34</v>
      </c>
      <c r="AA22" s="71">
        <f t="shared" si="4"/>
        <v>49.467600000000004</v>
      </c>
      <c r="AB22" s="71">
        <f t="shared" si="5"/>
        <v>65.732399999999984</v>
      </c>
    </row>
    <row r="23" spans="1:28">
      <c r="A23" s="3">
        <v>45653</v>
      </c>
      <c r="B23" s="4" t="s">
        <v>95</v>
      </c>
      <c r="C23" s="4" t="s">
        <v>96</v>
      </c>
      <c r="D23" s="4" t="s">
        <v>30</v>
      </c>
      <c r="E23" s="4" t="s">
        <v>25</v>
      </c>
      <c r="F23" s="4" t="s">
        <v>37</v>
      </c>
      <c r="G23" s="4" t="s">
        <v>97</v>
      </c>
      <c r="H23" s="4">
        <v>18</v>
      </c>
      <c r="I23" s="4">
        <v>19026</v>
      </c>
      <c r="J23" s="4" t="s">
        <v>31</v>
      </c>
      <c r="K23" s="68">
        <f t="shared" si="0"/>
        <v>19.026</v>
      </c>
      <c r="L23" s="69"/>
      <c r="M23" s="69">
        <v>32.4</v>
      </c>
      <c r="N23" s="4" t="s">
        <v>32</v>
      </c>
      <c r="O23" s="4" t="s">
        <v>33</v>
      </c>
      <c r="P23" s="4" t="s">
        <v>39</v>
      </c>
      <c r="Q23" s="4"/>
      <c r="R23" s="4"/>
      <c r="S23" s="4"/>
      <c r="T23" s="4"/>
      <c r="U23" s="4"/>
      <c r="V23" s="4">
        <v>18</v>
      </c>
      <c r="W23" s="4">
        <f t="shared" si="1"/>
        <v>97.199999999999989</v>
      </c>
      <c r="X23" s="4">
        <f t="shared" si="2"/>
        <v>0</v>
      </c>
      <c r="Y23" s="4">
        <f t="shared" si="3"/>
        <v>115.19999999999999</v>
      </c>
      <c r="Z23" s="70" t="s">
        <v>34</v>
      </c>
      <c r="AA23" s="71">
        <f t="shared" si="4"/>
        <v>49.467600000000004</v>
      </c>
      <c r="AB23" s="71">
        <f t="shared" si="5"/>
        <v>65.732399999999984</v>
      </c>
    </row>
    <row r="24" spans="1:28">
      <c r="A24" s="3">
        <v>45656</v>
      </c>
      <c r="B24" s="4" t="s">
        <v>98</v>
      </c>
      <c r="C24" s="4" t="s">
        <v>50</v>
      </c>
      <c r="D24" s="4" t="s">
        <v>30</v>
      </c>
      <c r="E24" s="4" t="s">
        <v>25</v>
      </c>
      <c r="F24" s="4" t="s">
        <v>37</v>
      </c>
      <c r="G24" s="4" t="s">
        <v>99</v>
      </c>
      <c r="H24" s="4">
        <v>18</v>
      </c>
      <c r="I24" s="4">
        <v>19026</v>
      </c>
      <c r="J24" s="4" t="s">
        <v>31</v>
      </c>
      <c r="K24" s="68">
        <f t="shared" si="0"/>
        <v>19.026</v>
      </c>
      <c r="L24" s="69"/>
      <c r="M24" s="69">
        <v>32.4</v>
      </c>
      <c r="N24" s="4" t="s">
        <v>32</v>
      </c>
      <c r="O24" s="4" t="s">
        <v>33</v>
      </c>
      <c r="P24" s="4" t="s">
        <v>39</v>
      </c>
      <c r="Q24" s="4"/>
      <c r="R24" s="4"/>
      <c r="S24" s="4"/>
      <c r="T24" s="4"/>
      <c r="U24" s="4"/>
      <c r="V24" s="4">
        <v>18</v>
      </c>
      <c r="W24" s="4">
        <f t="shared" si="1"/>
        <v>97.199999999999989</v>
      </c>
      <c r="X24" s="4">
        <f t="shared" si="2"/>
        <v>0</v>
      </c>
      <c r="Y24" s="4">
        <f t="shared" si="3"/>
        <v>115.19999999999999</v>
      </c>
      <c r="Z24" s="70" t="s">
        <v>34</v>
      </c>
      <c r="AA24" s="71">
        <f t="shared" si="4"/>
        <v>49.467600000000004</v>
      </c>
      <c r="AB24" s="71">
        <f t="shared" si="5"/>
        <v>65.732399999999984</v>
      </c>
    </row>
    <row r="25" spans="1:28">
      <c r="A25" s="3">
        <v>45657</v>
      </c>
      <c r="B25" s="4" t="s">
        <v>100</v>
      </c>
      <c r="C25" s="4" t="s">
        <v>53</v>
      </c>
      <c r="D25" s="4" t="s">
        <v>30</v>
      </c>
      <c r="E25" s="4" t="s">
        <v>25</v>
      </c>
      <c r="F25" s="4" t="s">
        <v>37</v>
      </c>
      <c r="G25" s="4" t="s">
        <v>101</v>
      </c>
      <c r="H25" s="4">
        <v>18</v>
      </c>
      <c r="I25" s="4">
        <v>19026</v>
      </c>
      <c r="J25" s="4" t="s">
        <v>31</v>
      </c>
      <c r="K25" s="68">
        <f t="shared" si="0"/>
        <v>19.026</v>
      </c>
      <c r="L25" s="69"/>
      <c r="M25" s="69">
        <v>32.4</v>
      </c>
      <c r="N25" s="4" t="s">
        <v>32</v>
      </c>
      <c r="O25" s="4" t="s">
        <v>33</v>
      </c>
      <c r="P25" s="4" t="s">
        <v>39</v>
      </c>
      <c r="Q25" s="4"/>
      <c r="R25" s="4"/>
      <c r="S25" s="4"/>
      <c r="T25" s="4"/>
      <c r="U25" s="4"/>
      <c r="V25" s="4">
        <v>18</v>
      </c>
      <c r="W25" s="4">
        <f t="shared" si="1"/>
        <v>97.199999999999989</v>
      </c>
      <c r="X25" s="4">
        <f t="shared" si="2"/>
        <v>0</v>
      </c>
      <c r="Y25" s="4">
        <f t="shared" si="3"/>
        <v>115.19999999999999</v>
      </c>
      <c r="Z25" s="70" t="s">
        <v>34</v>
      </c>
      <c r="AA25" s="71">
        <f t="shared" si="4"/>
        <v>49.467600000000004</v>
      </c>
      <c r="AB25" s="71">
        <f t="shared" si="5"/>
        <v>65.732399999999984</v>
      </c>
    </row>
    <row r="26" spans="1:28">
      <c r="U26" s="78"/>
      <c r="V26" s="79">
        <f>SUM(V2:V25)</f>
        <v>432</v>
      </c>
      <c r="W26" s="80">
        <f>SUM(W2:W25)</f>
        <v>2332.8000000000002</v>
      </c>
      <c r="X26" s="78"/>
      <c r="Y26" s="80">
        <f>SUM(Y2:Y25)</f>
        <v>2764.7999999999993</v>
      </c>
      <c r="Z26" s="78"/>
      <c r="AA26" s="81">
        <f>SUM(AA2:AA25)</f>
        <v>1187.2223999999994</v>
      </c>
      <c r="AB26" s="82">
        <f>SUM(AB2:AB25)</f>
        <v>1577.5775999999987</v>
      </c>
    </row>
    <row r="27" spans="1:28">
      <c r="A27" s="76">
        <v>432</v>
      </c>
      <c r="B27" s="72" t="s">
        <v>228</v>
      </c>
      <c r="W27" s="75"/>
      <c r="Z27" s="75"/>
    </row>
    <row r="28" spans="1:28">
      <c r="A28" s="76">
        <v>1145.58</v>
      </c>
      <c r="B28" s="72" t="s">
        <v>229</v>
      </c>
    </row>
    <row r="29" spans="1:28">
      <c r="A29" s="77">
        <f>SUM(A27:A28)</f>
        <v>1577.58</v>
      </c>
      <c r="B29" s="78" t="s">
        <v>230</v>
      </c>
    </row>
  </sheetData>
  <conditionalFormatting sqref="B1">
    <cfRule type="duplicateValues" dxfId="28" priority="1"/>
    <cfRule type="duplicateValues" dxfId="27" priority="2"/>
    <cfRule type="duplicateValues" dxfId="26" priority="3"/>
  </conditionalFormatting>
  <conditionalFormatting sqref="B2:B25">
    <cfRule type="duplicateValues" dxfId="25" priority="25"/>
    <cfRule type="duplicateValues" dxfId="24" priority="26"/>
    <cfRule type="duplicateValues" dxfId="23" priority="27"/>
    <cfRule type="duplicateValues" dxfId="22" priority="28"/>
    <cfRule type="duplicateValues" dxfId="21" priority="29"/>
    <cfRule type="duplicateValues" dxfId="20" priority="30"/>
    <cfRule type="duplicateValues" dxfId="19" priority="31"/>
    <cfRule type="duplicateValues" dxfId="18" priority="32"/>
    <cfRule type="duplicateValues" dxfId="17" priority="33"/>
    <cfRule type="duplicateValues" dxfId="16" priority="34"/>
    <cfRule type="duplicateValues" dxfId="15" priority="35"/>
    <cfRule type="duplicateValues" dxfId="14" priority="36"/>
    <cfRule type="duplicateValues" dxfId="13" priority="37"/>
    <cfRule type="duplicateValues" dxfId="12" priority="38"/>
    <cfRule type="duplicateValues" dxfId="11" priority="39"/>
    <cfRule type="duplicateValues" dxfId="10" priority="40"/>
    <cfRule type="duplicateValues" dxfId="9" priority="41"/>
    <cfRule type="duplicateValues" dxfId="8" priority="42"/>
    <cfRule type="duplicateValues" dxfId="7" priority="43"/>
    <cfRule type="duplicateValues" dxfId="6" priority="44"/>
    <cfRule type="duplicateValues" dxfId="5" priority="4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4F9F-938F-424F-AD1E-8BC781894361}">
  <dimension ref="A1:AG29"/>
  <sheetViews>
    <sheetView zoomScale="115" zoomScaleNormal="115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D27" sqref="D27"/>
    </sheetView>
  </sheetViews>
  <sheetFormatPr defaultRowHeight="14"/>
  <cols>
    <col min="1" max="1" width="13.26953125" style="7" bestFit="1" customWidth="1"/>
    <col min="2" max="2" width="10.36328125" style="7" bestFit="1" customWidth="1"/>
    <col min="3" max="3" width="13.36328125" style="7" bestFit="1" customWidth="1"/>
    <col min="4" max="4" width="95" style="7" bestFit="1" customWidth="1"/>
    <col min="5" max="5" width="23" style="7" bestFit="1" customWidth="1"/>
    <col min="6" max="6" width="15.54296875" style="7" bestFit="1" customWidth="1"/>
    <col min="7" max="7" width="17.453125" style="7" bestFit="1" customWidth="1"/>
    <col min="8" max="9" width="18.1796875" style="7" bestFit="1" customWidth="1"/>
    <col min="10" max="10" width="9.6328125" style="7" bestFit="1" customWidth="1"/>
    <col min="11" max="11" width="10.81640625" style="7" bestFit="1" customWidth="1"/>
    <col min="12" max="12" width="9.453125" style="7" bestFit="1" customWidth="1"/>
    <col min="13" max="13" width="11.08984375" style="7" bestFit="1" customWidth="1"/>
    <col min="14" max="14" width="13.453125" style="7" bestFit="1" customWidth="1"/>
    <col min="15" max="15" width="9.90625" style="7" bestFit="1" customWidth="1"/>
    <col min="16" max="16" width="16.453125" style="7" bestFit="1" customWidth="1"/>
    <col min="17" max="17" width="21.1796875" style="7" bestFit="1" customWidth="1"/>
    <col min="18" max="18" width="15.7265625" style="7" bestFit="1" customWidth="1"/>
    <col min="19" max="19" width="11.54296875" style="7" bestFit="1" customWidth="1"/>
    <col min="20" max="20" width="15.90625" style="7" bestFit="1" customWidth="1"/>
    <col min="21" max="21" width="13.36328125" style="7" bestFit="1" customWidth="1"/>
    <col min="22" max="22" width="13.26953125" style="7" bestFit="1" customWidth="1"/>
    <col min="23" max="23" width="18.54296875" style="7" bestFit="1" customWidth="1"/>
    <col min="24" max="24" width="22.6328125" style="7" bestFit="1" customWidth="1"/>
    <col min="25" max="25" width="15.90625" style="7" bestFit="1" customWidth="1"/>
    <col min="26" max="26" width="13.36328125" style="7" bestFit="1" customWidth="1"/>
    <col min="27" max="27" width="13.26953125" style="7" bestFit="1" customWidth="1"/>
    <col min="28" max="28" width="15.54296875" style="7" bestFit="1" customWidth="1"/>
    <col min="29" max="29" width="15.6328125" style="7" bestFit="1" customWidth="1"/>
    <col min="30" max="30" width="14" style="97" bestFit="1" customWidth="1"/>
    <col min="31" max="31" width="9.7265625" style="7" bestFit="1" customWidth="1"/>
    <col min="32" max="32" width="13.36328125" style="88" bestFit="1" customWidth="1"/>
    <col min="33" max="33" width="10.81640625" style="88" bestFit="1" customWidth="1"/>
    <col min="34" max="16384" width="8.7265625" style="7"/>
  </cols>
  <sheetData>
    <row r="1" spans="1:3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 t="s">
        <v>102</v>
      </c>
      <c r="AC1" s="6"/>
      <c r="AD1" s="93"/>
    </row>
    <row r="2" spans="1:33" s="87" customFormat="1" ht="56">
      <c r="A2" s="8" t="s">
        <v>103</v>
      </c>
      <c r="B2" s="8" t="s">
        <v>104</v>
      </c>
      <c r="C2" s="9" t="s">
        <v>105</v>
      </c>
      <c r="D2" s="10" t="s">
        <v>106</v>
      </c>
      <c r="E2" s="8" t="s">
        <v>107</v>
      </c>
      <c r="F2" s="10" t="s">
        <v>108</v>
      </c>
      <c r="G2" s="10" t="s">
        <v>109</v>
      </c>
      <c r="H2" s="10" t="s">
        <v>110</v>
      </c>
      <c r="I2" s="10" t="s">
        <v>111</v>
      </c>
      <c r="J2" s="8" t="s">
        <v>112</v>
      </c>
      <c r="K2" s="10" t="s">
        <v>113</v>
      </c>
      <c r="L2" s="11" t="s">
        <v>114</v>
      </c>
      <c r="M2" s="10" t="s">
        <v>115</v>
      </c>
      <c r="N2" s="10" t="s">
        <v>116</v>
      </c>
      <c r="O2" s="10" t="s">
        <v>14</v>
      </c>
      <c r="P2" s="12" t="s">
        <v>117</v>
      </c>
      <c r="Q2" s="10" t="s">
        <v>118</v>
      </c>
      <c r="R2" s="10" t="s">
        <v>119</v>
      </c>
      <c r="S2" s="13" t="s">
        <v>120</v>
      </c>
      <c r="T2" s="13" t="s">
        <v>121</v>
      </c>
      <c r="U2" s="13" t="s">
        <v>122</v>
      </c>
      <c r="V2" s="13" t="s">
        <v>123</v>
      </c>
      <c r="W2" s="13" t="s">
        <v>124</v>
      </c>
      <c r="X2" s="14" t="s">
        <v>125</v>
      </c>
      <c r="Y2" s="13" t="s">
        <v>121</v>
      </c>
      <c r="Z2" s="13" t="s">
        <v>122</v>
      </c>
      <c r="AA2" s="13" t="s">
        <v>123</v>
      </c>
      <c r="AB2" s="85" t="s">
        <v>126</v>
      </c>
      <c r="AC2" s="85" t="s">
        <v>233</v>
      </c>
      <c r="AD2" s="94" t="s">
        <v>127</v>
      </c>
      <c r="AE2" s="86" t="s">
        <v>235</v>
      </c>
      <c r="AF2" s="89" t="s">
        <v>234</v>
      </c>
      <c r="AG2" s="89" t="s">
        <v>4</v>
      </c>
    </row>
    <row r="3" spans="1:33" s="27" customFormat="1" ht="15" customHeight="1">
      <c r="A3" s="15" t="s">
        <v>128</v>
      </c>
      <c r="B3" s="16">
        <v>1</v>
      </c>
      <c r="C3" s="17">
        <v>45089</v>
      </c>
      <c r="D3" s="18" t="s">
        <v>129</v>
      </c>
      <c r="E3" s="16" t="s">
        <v>130</v>
      </c>
      <c r="F3" s="19" t="s">
        <v>131</v>
      </c>
      <c r="G3" s="19" t="s">
        <v>132</v>
      </c>
      <c r="H3" s="19" t="s">
        <v>133</v>
      </c>
      <c r="I3" s="20" t="s">
        <v>134</v>
      </c>
      <c r="J3" s="20">
        <v>20</v>
      </c>
      <c r="K3" s="21" t="s">
        <v>135</v>
      </c>
      <c r="L3" s="21"/>
      <c r="M3" s="21" t="s">
        <v>136</v>
      </c>
      <c r="N3" s="21">
        <v>29914</v>
      </c>
      <c r="O3" s="22" t="s">
        <v>31</v>
      </c>
      <c r="P3" s="22">
        <v>45089</v>
      </c>
      <c r="Q3" s="23">
        <v>10010461603</v>
      </c>
      <c r="R3" s="21" t="s">
        <v>137</v>
      </c>
      <c r="S3" s="17">
        <v>45089</v>
      </c>
      <c r="T3" s="21" t="s">
        <v>138</v>
      </c>
      <c r="U3" s="21" t="s">
        <v>139</v>
      </c>
      <c r="V3" s="17">
        <v>45570</v>
      </c>
      <c r="W3" s="21"/>
      <c r="X3" s="24" t="s">
        <v>140</v>
      </c>
      <c r="Y3" s="25" t="s">
        <v>138</v>
      </c>
      <c r="Z3" s="25" t="s">
        <v>139</v>
      </c>
      <c r="AA3" s="17">
        <v>45570</v>
      </c>
      <c r="AB3" s="26">
        <v>31</v>
      </c>
      <c r="AC3" s="26">
        <f>4320</f>
        <v>4320</v>
      </c>
      <c r="AD3" s="95">
        <v>246788410039</v>
      </c>
      <c r="AE3" s="26">
        <v>5</v>
      </c>
      <c r="AF3" s="90">
        <f>AC3/AB3</f>
        <v>139.35483870967741</v>
      </c>
      <c r="AG3" s="90">
        <f>AE3*AF3</f>
        <v>696.77419354838707</v>
      </c>
    </row>
    <row r="4" spans="1:33" s="27" customFormat="1" ht="15" customHeight="1">
      <c r="A4" s="15" t="s">
        <v>128</v>
      </c>
      <c r="B4" s="16">
        <v>2</v>
      </c>
      <c r="C4" s="17">
        <v>45090</v>
      </c>
      <c r="D4" s="18" t="s">
        <v>129</v>
      </c>
      <c r="E4" s="16" t="s">
        <v>141</v>
      </c>
      <c r="F4" s="19" t="s">
        <v>131</v>
      </c>
      <c r="G4" s="19" t="s">
        <v>132</v>
      </c>
      <c r="H4" s="19" t="s">
        <v>142</v>
      </c>
      <c r="I4" s="20" t="s">
        <v>143</v>
      </c>
      <c r="J4" s="20">
        <v>20</v>
      </c>
      <c r="K4" s="21" t="s">
        <v>135</v>
      </c>
      <c r="L4" s="21"/>
      <c r="M4" s="21" t="s">
        <v>136</v>
      </c>
      <c r="N4" s="21">
        <v>29730</v>
      </c>
      <c r="O4" s="22" t="s">
        <v>31</v>
      </c>
      <c r="P4" s="22">
        <v>45090</v>
      </c>
      <c r="Q4" s="23">
        <v>10010461708</v>
      </c>
      <c r="R4" s="21" t="s">
        <v>144</v>
      </c>
      <c r="S4" s="17">
        <v>45090</v>
      </c>
      <c r="T4" s="21" t="s">
        <v>138</v>
      </c>
      <c r="U4" s="21" t="s">
        <v>139</v>
      </c>
      <c r="V4" s="17">
        <v>45570</v>
      </c>
      <c r="W4" s="21"/>
      <c r="X4" s="24" t="s">
        <v>140</v>
      </c>
      <c r="Y4" s="25" t="s">
        <v>138</v>
      </c>
      <c r="Z4" s="25" t="s">
        <v>139</v>
      </c>
      <c r="AA4" s="17">
        <v>45570</v>
      </c>
      <c r="AB4" s="26">
        <v>31</v>
      </c>
      <c r="AC4" s="26">
        <f>4320</f>
        <v>4320</v>
      </c>
      <c r="AD4" s="95">
        <v>246788410039</v>
      </c>
      <c r="AE4" s="26">
        <v>5</v>
      </c>
      <c r="AF4" s="90">
        <f t="shared" ref="AF4:AF23" si="0">AC4/AB4</f>
        <v>139.35483870967741</v>
      </c>
      <c r="AG4" s="90">
        <f t="shared" ref="AG4:AG23" si="1">AE4*AF4</f>
        <v>696.77419354838707</v>
      </c>
    </row>
    <row r="5" spans="1:33" s="27" customFormat="1" ht="15" customHeight="1">
      <c r="A5" s="15" t="s">
        <v>128</v>
      </c>
      <c r="B5" s="16">
        <v>3</v>
      </c>
      <c r="C5" s="17">
        <v>45094</v>
      </c>
      <c r="D5" s="18" t="s">
        <v>129</v>
      </c>
      <c r="E5" s="16" t="s">
        <v>145</v>
      </c>
      <c r="F5" s="19" t="s">
        <v>131</v>
      </c>
      <c r="G5" s="19" t="s">
        <v>132</v>
      </c>
      <c r="H5" s="19" t="s">
        <v>146</v>
      </c>
      <c r="I5" s="20" t="s">
        <v>147</v>
      </c>
      <c r="J5" s="20">
        <v>20</v>
      </c>
      <c r="K5" s="21" t="s">
        <v>135</v>
      </c>
      <c r="L5" s="21" t="s">
        <v>148</v>
      </c>
      <c r="M5" s="21" t="s">
        <v>136</v>
      </c>
      <c r="N5" s="21">
        <v>29660</v>
      </c>
      <c r="O5" s="22" t="s">
        <v>31</v>
      </c>
      <c r="P5" s="22">
        <v>45094</v>
      </c>
      <c r="Q5" s="23">
        <v>10010462222</v>
      </c>
      <c r="R5" s="21" t="s">
        <v>137</v>
      </c>
      <c r="S5" s="17">
        <v>45094</v>
      </c>
      <c r="T5" s="21" t="s">
        <v>138</v>
      </c>
      <c r="U5" s="21" t="s">
        <v>139</v>
      </c>
      <c r="V5" s="17">
        <v>45570</v>
      </c>
      <c r="W5" s="21"/>
      <c r="X5" s="24" t="s">
        <v>140</v>
      </c>
      <c r="Y5" s="25" t="s">
        <v>138</v>
      </c>
      <c r="Z5" s="25" t="s">
        <v>139</v>
      </c>
      <c r="AA5" s="17">
        <v>45570</v>
      </c>
      <c r="AB5" s="26">
        <v>31</v>
      </c>
      <c r="AC5" s="26">
        <f>4320</f>
        <v>4320</v>
      </c>
      <c r="AD5" s="95">
        <v>246788410039</v>
      </c>
      <c r="AE5" s="26">
        <v>5</v>
      </c>
      <c r="AF5" s="90">
        <f t="shared" si="0"/>
        <v>139.35483870967741</v>
      </c>
      <c r="AG5" s="90">
        <f t="shared" si="1"/>
        <v>696.77419354838707</v>
      </c>
    </row>
    <row r="6" spans="1:33" s="27" customFormat="1" ht="15" customHeight="1">
      <c r="A6" s="15" t="s">
        <v>128</v>
      </c>
      <c r="B6" s="16">
        <v>4</v>
      </c>
      <c r="C6" s="17">
        <v>45100</v>
      </c>
      <c r="D6" s="18" t="s">
        <v>129</v>
      </c>
      <c r="E6" s="16" t="s">
        <v>149</v>
      </c>
      <c r="F6" s="19" t="s">
        <v>131</v>
      </c>
      <c r="G6" s="19" t="s">
        <v>132</v>
      </c>
      <c r="H6" s="19" t="s">
        <v>150</v>
      </c>
      <c r="I6" s="20" t="s">
        <v>151</v>
      </c>
      <c r="J6" s="20">
        <v>20</v>
      </c>
      <c r="K6" s="21" t="s">
        <v>135</v>
      </c>
      <c r="L6" s="21"/>
      <c r="M6" s="21" t="s">
        <v>136</v>
      </c>
      <c r="N6" s="21">
        <v>29750</v>
      </c>
      <c r="O6" s="22" t="s">
        <v>31</v>
      </c>
      <c r="P6" s="22">
        <v>45100</v>
      </c>
      <c r="Q6" s="23">
        <v>10010462823</v>
      </c>
      <c r="R6" s="21" t="s">
        <v>137</v>
      </c>
      <c r="S6" s="17">
        <v>45100</v>
      </c>
      <c r="T6" s="21" t="s">
        <v>138</v>
      </c>
      <c r="U6" s="21" t="s">
        <v>139</v>
      </c>
      <c r="V6" s="17">
        <v>45570</v>
      </c>
      <c r="W6" s="21"/>
      <c r="X6" s="24" t="s">
        <v>140</v>
      </c>
      <c r="Y6" s="25" t="s">
        <v>138</v>
      </c>
      <c r="Z6" s="25" t="s">
        <v>139</v>
      </c>
      <c r="AA6" s="17">
        <v>45570</v>
      </c>
      <c r="AB6" s="26">
        <v>31</v>
      </c>
      <c r="AC6" s="26">
        <f>4320</f>
        <v>4320</v>
      </c>
      <c r="AD6" s="95">
        <v>246788410039</v>
      </c>
      <c r="AE6" s="26">
        <v>5</v>
      </c>
      <c r="AF6" s="90">
        <f t="shared" si="0"/>
        <v>139.35483870967741</v>
      </c>
      <c r="AG6" s="90">
        <f t="shared" si="1"/>
        <v>696.77419354838707</v>
      </c>
    </row>
    <row r="7" spans="1:33" s="27" customFormat="1" ht="15" customHeight="1">
      <c r="A7" s="15" t="s">
        <v>128</v>
      </c>
      <c r="B7" s="16">
        <v>5</v>
      </c>
      <c r="C7" s="17">
        <v>45108</v>
      </c>
      <c r="D7" s="18" t="s">
        <v>129</v>
      </c>
      <c r="E7" s="16" t="s">
        <v>152</v>
      </c>
      <c r="F7" s="19" t="s">
        <v>131</v>
      </c>
      <c r="G7" s="19" t="s">
        <v>132</v>
      </c>
      <c r="H7" s="19" t="s">
        <v>153</v>
      </c>
      <c r="I7" s="20" t="s">
        <v>154</v>
      </c>
      <c r="J7" s="20">
        <v>20</v>
      </c>
      <c r="K7" s="21" t="s">
        <v>135</v>
      </c>
      <c r="L7" s="21"/>
      <c r="M7" s="21" t="s">
        <v>136</v>
      </c>
      <c r="N7" s="21">
        <v>29720</v>
      </c>
      <c r="O7" s="22" t="s">
        <v>31</v>
      </c>
      <c r="P7" s="22">
        <v>45108</v>
      </c>
      <c r="Q7" s="23">
        <v>10010463523</v>
      </c>
      <c r="R7" s="21" t="s">
        <v>137</v>
      </c>
      <c r="S7" s="17">
        <v>45108</v>
      </c>
      <c r="T7" s="21" t="s">
        <v>138</v>
      </c>
      <c r="U7" s="21" t="s">
        <v>139</v>
      </c>
      <c r="V7" s="17">
        <v>45570</v>
      </c>
      <c r="W7" s="21"/>
      <c r="X7" s="24" t="s">
        <v>140</v>
      </c>
      <c r="Y7" s="25" t="s">
        <v>138</v>
      </c>
      <c r="Z7" s="25" t="s">
        <v>139</v>
      </c>
      <c r="AA7" s="17">
        <v>45570</v>
      </c>
      <c r="AB7" s="26">
        <v>31</v>
      </c>
      <c r="AC7" s="26">
        <f>4320</f>
        <v>4320</v>
      </c>
      <c r="AD7" s="95">
        <v>246788410039</v>
      </c>
      <c r="AE7" s="26">
        <v>5</v>
      </c>
      <c r="AF7" s="90">
        <f t="shared" si="0"/>
        <v>139.35483870967741</v>
      </c>
      <c r="AG7" s="90">
        <f t="shared" si="1"/>
        <v>696.77419354838707</v>
      </c>
    </row>
    <row r="8" spans="1:33" s="27" customFormat="1" ht="15" customHeight="1">
      <c r="A8" s="15" t="s">
        <v>131</v>
      </c>
      <c r="B8" s="16">
        <v>6</v>
      </c>
      <c r="C8" s="17">
        <v>45112</v>
      </c>
      <c r="D8" s="18" t="s">
        <v>129</v>
      </c>
      <c r="E8" s="16" t="s">
        <v>155</v>
      </c>
      <c r="F8" s="19" t="s">
        <v>131</v>
      </c>
      <c r="G8" s="19" t="s">
        <v>132</v>
      </c>
      <c r="H8" s="19" t="s">
        <v>156</v>
      </c>
      <c r="I8" s="20" t="s">
        <v>157</v>
      </c>
      <c r="J8" s="20">
        <v>20</v>
      </c>
      <c r="K8" s="21" t="s">
        <v>135</v>
      </c>
      <c r="L8" s="21"/>
      <c r="M8" s="21" t="s">
        <v>136</v>
      </c>
      <c r="N8" s="21">
        <v>29700</v>
      </c>
      <c r="O8" s="22" t="s">
        <v>31</v>
      </c>
      <c r="P8" s="22">
        <v>45112</v>
      </c>
      <c r="Q8" s="23">
        <v>10010463897</v>
      </c>
      <c r="R8" s="21" t="s">
        <v>137</v>
      </c>
      <c r="S8" s="17">
        <v>45112</v>
      </c>
      <c r="T8" s="21" t="s">
        <v>138</v>
      </c>
      <c r="U8" s="21" t="s">
        <v>139</v>
      </c>
      <c r="V8" s="17">
        <v>45570</v>
      </c>
      <c r="W8" s="21"/>
      <c r="X8" s="24" t="s">
        <v>140</v>
      </c>
      <c r="Y8" s="25" t="s">
        <v>138</v>
      </c>
      <c r="Z8" s="25" t="s">
        <v>139</v>
      </c>
      <c r="AA8" s="17">
        <v>45570</v>
      </c>
      <c r="AB8" s="26">
        <v>31</v>
      </c>
      <c r="AC8" s="26">
        <f>4320</f>
        <v>4320</v>
      </c>
      <c r="AD8" s="95">
        <v>246788410039</v>
      </c>
      <c r="AE8" s="26">
        <v>5</v>
      </c>
      <c r="AF8" s="90">
        <f t="shared" si="0"/>
        <v>139.35483870967741</v>
      </c>
      <c r="AG8" s="90">
        <f t="shared" si="1"/>
        <v>696.77419354838707</v>
      </c>
    </row>
    <row r="9" spans="1:33" s="27" customFormat="1" ht="15" customHeight="1">
      <c r="A9" s="15" t="s">
        <v>131</v>
      </c>
      <c r="B9" s="16">
        <v>7</v>
      </c>
      <c r="C9" s="17">
        <v>45118</v>
      </c>
      <c r="D9" s="18" t="s">
        <v>129</v>
      </c>
      <c r="E9" s="16" t="s">
        <v>158</v>
      </c>
      <c r="F9" s="19" t="s">
        <v>131</v>
      </c>
      <c r="G9" s="19" t="s">
        <v>132</v>
      </c>
      <c r="H9" s="19" t="s">
        <v>159</v>
      </c>
      <c r="I9" s="20" t="s">
        <v>160</v>
      </c>
      <c r="J9" s="20">
        <v>20</v>
      </c>
      <c r="K9" s="21" t="s">
        <v>135</v>
      </c>
      <c r="L9" s="21"/>
      <c r="M9" s="21" t="s">
        <v>136</v>
      </c>
      <c r="N9" s="21">
        <v>29560</v>
      </c>
      <c r="O9" s="22" t="s">
        <v>31</v>
      </c>
      <c r="P9" s="22">
        <v>45118</v>
      </c>
      <c r="Q9" s="23">
        <v>10010464732</v>
      </c>
      <c r="R9" s="21" t="s">
        <v>137</v>
      </c>
      <c r="S9" s="17">
        <v>45118</v>
      </c>
      <c r="T9" s="21" t="s">
        <v>138</v>
      </c>
      <c r="U9" s="21" t="s">
        <v>139</v>
      </c>
      <c r="V9" s="17">
        <v>45570</v>
      </c>
      <c r="W9" s="21"/>
      <c r="X9" s="24" t="s">
        <v>140</v>
      </c>
      <c r="Y9" s="25" t="s">
        <v>138</v>
      </c>
      <c r="Z9" s="25" t="s">
        <v>139</v>
      </c>
      <c r="AA9" s="17">
        <v>45570</v>
      </c>
      <c r="AB9" s="26">
        <v>31</v>
      </c>
      <c r="AC9" s="26">
        <f>4320</f>
        <v>4320</v>
      </c>
      <c r="AD9" s="95">
        <v>246788410039</v>
      </c>
      <c r="AE9" s="26">
        <v>5</v>
      </c>
      <c r="AF9" s="90">
        <f t="shared" si="0"/>
        <v>139.35483870967741</v>
      </c>
      <c r="AG9" s="90">
        <f t="shared" si="1"/>
        <v>696.77419354838707</v>
      </c>
    </row>
    <row r="10" spans="1:33" s="27" customFormat="1" ht="15" customHeight="1">
      <c r="A10" s="15" t="s">
        <v>131</v>
      </c>
      <c r="B10" s="16">
        <v>8</v>
      </c>
      <c r="C10" s="17">
        <v>45124</v>
      </c>
      <c r="D10" s="18" t="s">
        <v>129</v>
      </c>
      <c r="E10" s="16" t="s">
        <v>161</v>
      </c>
      <c r="F10" s="19" t="s">
        <v>131</v>
      </c>
      <c r="G10" s="19" t="s">
        <v>132</v>
      </c>
      <c r="H10" s="19" t="s">
        <v>162</v>
      </c>
      <c r="I10" s="20" t="s">
        <v>163</v>
      </c>
      <c r="J10" s="20">
        <v>20</v>
      </c>
      <c r="K10" s="21" t="s">
        <v>135</v>
      </c>
      <c r="L10" s="21"/>
      <c r="M10" s="21" t="s">
        <v>136</v>
      </c>
      <c r="N10" s="21">
        <v>29750</v>
      </c>
      <c r="O10" s="22" t="s">
        <v>31</v>
      </c>
      <c r="P10" s="22">
        <v>45124</v>
      </c>
      <c r="Q10" s="23">
        <v>10010465429</v>
      </c>
      <c r="R10" s="21" t="s">
        <v>137</v>
      </c>
      <c r="S10" s="17">
        <v>45124</v>
      </c>
      <c r="T10" s="21" t="s">
        <v>138</v>
      </c>
      <c r="U10" s="21" t="s">
        <v>139</v>
      </c>
      <c r="V10" s="17">
        <v>45571</v>
      </c>
      <c r="W10" s="21"/>
      <c r="X10" s="24" t="s">
        <v>140</v>
      </c>
      <c r="Y10" s="25" t="s">
        <v>138</v>
      </c>
      <c r="Z10" s="25" t="s">
        <v>139</v>
      </c>
      <c r="AA10" s="17">
        <v>45571</v>
      </c>
      <c r="AB10" s="26">
        <v>31</v>
      </c>
      <c r="AC10" s="26">
        <f>4320</f>
        <v>4320</v>
      </c>
      <c r="AD10" s="95">
        <v>246788410039</v>
      </c>
      <c r="AE10" s="26">
        <v>6</v>
      </c>
      <c r="AF10" s="90">
        <f t="shared" si="0"/>
        <v>139.35483870967741</v>
      </c>
      <c r="AG10" s="90">
        <f t="shared" si="1"/>
        <v>836.1290322580644</v>
      </c>
    </row>
    <row r="11" spans="1:33" s="27" customFormat="1" ht="15" customHeight="1">
      <c r="A11" s="15" t="s">
        <v>131</v>
      </c>
      <c r="B11" s="16">
        <v>9</v>
      </c>
      <c r="C11" s="17">
        <v>45131</v>
      </c>
      <c r="D11" s="18" t="s">
        <v>129</v>
      </c>
      <c r="E11" s="16" t="s">
        <v>164</v>
      </c>
      <c r="F11" s="19" t="s">
        <v>131</v>
      </c>
      <c r="G11" s="19" t="s">
        <v>132</v>
      </c>
      <c r="H11" s="19" t="s">
        <v>165</v>
      </c>
      <c r="I11" s="20" t="s">
        <v>166</v>
      </c>
      <c r="J11" s="20">
        <v>20</v>
      </c>
      <c r="K11" s="21" t="s">
        <v>135</v>
      </c>
      <c r="L11" s="21"/>
      <c r="M11" s="21" t="s">
        <v>136</v>
      </c>
      <c r="N11" s="21">
        <v>29560</v>
      </c>
      <c r="O11" s="22" t="s">
        <v>31</v>
      </c>
      <c r="P11" s="22">
        <v>45131</v>
      </c>
      <c r="Q11" s="23">
        <v>10010466147</v>
      </c>
      <c r="R11" s="21" t="s">
        <v>137</v>
      </c>
      <c r="S11" s="17">
        <v>45131</v>
      </c>
      <c r="T11" s="21" t="s">
        <v>138</v>
      </c>
      <c r="U11" s="21" t="s">
        <v>139</v>
      </c>
      <c r="V11" s="17">
        <v>45571</v>
      </c>
      <c r="W11" s="21"/>
      <c r="X11" s="24" t="s">
        <v>140</v>
      </c>
      <c r="Y11" s="25" t="s">
        <v>138</v>
      </c>
      <c r="Z11" s="25" t="s">
        <v>139</v>
      </c>
      <c r="AA11" s="17">
        <v>45571</v>
      </c>
      <c r="AB11" s="26">
        <v>31</v>
      </c>
      <c r="AC11" s="26">
        <f>4320</f>
        <v>4320</v>
      </c>
      <c r="AD11" s="95">
        <v>246788410039</v>
      </c>
      <c r="AE11" s="26">
        <v>6</v>
      </c>
      <c r="AF11" s="90">
        <f t="shared" si="0"/>
        <v>139.35483870967741</v>
      </c>
      <c r="AG11" s="90">
        <f t="shared" si="1"/>
        <v>836.1290322580644</v>
      </c>
    </row>
    <row r="12" spans="1:33" s="27" customFormat="1" ht="15" customHeight="1">
      <c r="A12" s="15" t="s">
        <v>128</v>
      </c>
      <c r="B12" s="16">
        <v>10</v>
      </c>
      <c r="C12" s="17">
        <v>45139</v>
      </c>
      <c r="D12" s="18" t="s">
        <v>129</v>
      </c>
      <c r="E12" s="16" t="s">
        <v>167</v>
      </c>
      <c r="F12" s="19" t="s">
        <v>131</v>
      </c>
      <c r="G12" s="19" t="s">
        <v>132</v>
      </c>
      <c r="H12" s="19" t="s">
        <v>168</v>
      </c>
      <c r="I12" s="20" t="s">
        <v>169</v>
      </c>
      <c r="J12" s="20">
        <v>20</v>
      </c>
      <c r="K12" s="21" t="s">
        <v>135</v>
      </c>
      <c r="L12" s="21"/>
      <c r="M12" s="21" t="s">
        <v>136</v>
      </c>
      <c r="N12" s="21">
        <v>29600</v>
      </c>
      <c r="O12" s="22" t="s">
        <v>31</v>
      </c>
      <c r="P12" s="22">
        <v>45139</v>
      </c>
      <c r="Q12" s="23">
        <v>10010466962</v>
      </c>
      <c r="R12" s="21" t="s">
        <v>137</v>
      </c>
      <c r="S12" s="17">
        <v>45139</v>
      </c>
      <c r="T12" s="21" t="s">
        <v>138</v>
      </c>
      <c r="U12" s="21" t="s">
        <v>139</v>
      </c>
      <c r="V12" s="17">
        <v>45572</v>
      </c>
      <c r="W12" s="21"/>
      <c r="X12" s="24" t="s">
        <v>140</v>
      </c>
      <c r="Y12" s="25" t="s">
        <v>138</v>
      </c>
      <c r="Z12" s="25" t="s">
        <v>139</v>
      </c>
      <c r="AA12" s="17">
        <v>45572</v>
      </c>
      <c r="AB12" s="26">
        <v>31</v>
      </c>
      <c r="AC12" s="26">
        <f>4320</f>
        <v>4320</v>
      </c>
      <c r="AD12" s="95">
        <v>246788410039</v>
      </c>
      <c r="AE12" s="26">
        <v>7</v>
      </c>
      <c r="AF12" s="90">
        <f t="shared" si="0"/>
        <v>139.35483870967741</v>
      </c>
      <c r="AG12" s="90">
        <f t="shared" si="1"/>
        <v>975.48387096774184</v>
      </c>
    </row>
    <row r="13" spans="1:33" s="27" customFormat="1" ht="15" customHeight="1">
      <c r="A13" s="15" t="s">
        <v>131</v>
      </c>
      <c r="B13" s="16">
        <v>11</v>
      </c>
      <c r="C13" s="17">
        <v>45148</v>
      </c>
      <c r="D13" s="18" t="s">
        <v>129</v>
      </c>
      <c r="E13" s="16" t="s">
        <v>170</v>
      </c>
      <c r="F13" s="19" t="s">
        <v>131</v>
      </c>
      <c r="G13" s="19" t="s">
        <v>132</v>
      </c>
      <c r="H13" s="19" t="s">
        <v>171</v>
      </c>
      <c r="I13" s="20" t="s">
        <v>172</v>
      </c>
      <c r="J13" s="20">
        <v>20</v>
      </c>
      <c r="K13" s="21" t="s">
        <v>135</v>
      </c>
      <c r="L13" s="21"/>
      <c r="M13" s="21" t="s">
        <v>136</v>
      </c>
      <c r="N13" s="21">
        <v>29750</v>
      </c>
      <c r="O13" s="22" t="s">
        <v>31</v>
      </c>
      <c r="P13" s="22">
        <v>45148</v>
      </c>
      <c r="Q13" s="23">
        <v>10010468049</v>
      </c>
      <c r="R13" s="21" t="s">
        <v>137</v>
      </c>
      <c r="S13" s="17">
        <v>45148</v>
      </c>
      <c r="T13" s="21" t="s">
        <v>138</v>
      </c>
      <c r="U13" s="21" t="s">
        <v>139</v>
      </c>
      <c r="V13" s="17">
        <v>45570</v>
      </c>
      <c r="W13" s="21"/>
      <c r="X13" s="24" t="s">
        <v>140</v>
      </c>
      <c r="Y13" s="25" t="s">
        <v>138</v>
      </c>
      <c r="Z13" s="25" t="s">
        <v>139</v>
      </c>
      <c r="AA13" s="17">
        <v>45570</v>
      </c>
      <c r="AB13" s="26">
        <v>31</v>
      </c>
      <c r="AC13" s="26">
        <f>4320</f>
        <v>4320</v>
      </c>
      <c r="AD13" s="95">
        <v>246788410039</v>
      </c>
      <c r="AE13" s="26">
        <v>5</v>
      </c>
      <c r="AF13" s="90">
        <f t="shared" si="0"/>
        <v>139.35483870967741</v>
      </c>
      <c r="AG13" s="90">
        <f t="shared" si="1"/>
        <v>696.77419354838707</v>
      </c>
    </row>
    <row r="14" spans="1:33" s="27" customFormat="1" ht="15" customHeight="1">
      <c r="A14" s="15" t="s">
        <v>131</v>
      </c>
      <c r="B14" s="16">
        <v>12</v>
      </c>
      <c r="C14" s="17">
        <v>45171</v>
      </c>
      <c r="D14" s="18" t="s">
        <v>129</v>
      </c>
      <c r="E14" s="16" t="s">
        <v>173</v>
      </c>
      <c r="F14" s="19" t="s">
        <v>131</v>
      </c>
      <c r="G14" s="19" t="s">
        <v>132</v>
      </c>
      <c r="H14" s="19" t="s">
        <v>174</v>
      </c>
      <c r="I14" s="20" t="s">
        <v>175</v>
      </c>
      <c r="J14" s="20">
        <v>20</v>
      </c>
      <c r="K14" s="21" t="s">
        <v>135</v>
      </c>
      <c r="L14" s="21"/>
      <c r="M14" s="21" t="s">
        <v>136</v>
      </c>
      <c r="N14" s="21">
        <v>29790</v>
      </c>
      <c r="O14" s="22" t="s">
        <v>31</v>
      </c>
      <c r="P14" s="22">
        <v>45171</v>
      </c>
      <c r="Q14" s="23">
        <v>10010470547</v>
      </c>
      <c r="R14" s="21" t="s">
        <v>137</v>
      </c>
      <c r="S14" s="17">
        <v>45171</v>
      </c>
      <c r="T14" s="21" t="s">
        <v>138</v>
      </c>
      <c r="U14" s="21" t="s">
        <v>139</v>
      </c>
      <c r="V14" s="17">
        <v>45572</v>
      </c>
      <c r="W14" s="21"/>
      <c r="X14" s="24" t="s">
        <v>140</v>
      </c>
      <c r="Y14" s="25" t="s">
        <v>138</v>
      </c>
      <c r="Z14" s="25" t="s">
        <v>139</v>
      </c>
      <c r="AA14" s="17">
        <v>45572</v>
      </c>
      <c r="AB14" s="26">
        <v>31</v>
      </c>
      <c r="AC14" s="26">
        <f>4320</f>
        <v>4320</v>
      </c>
      <c r="AD14" s="95">
        <v>246788410039</v>
      </c>
      <c r="AE14" s="26">
        <v>7</v>
      </c>
      <c r="AF14" s="90">
        <f t="shared" si="0"/>
        <v>139.35483870967741</v>
      </c>
      <c r="AG14" s="90">
        <f t="shared" si="1"/>
        <v>975.48387096774184</v>
      </c>
    </row>
    <row r="15" spans="1:33" s="27" customFormat="1" ht="15" customHeight="1">
      <c r="A15" s="15" t="s">
        <v>131</v>
      </c>
      <c r="B15" s="16">
        <v>13</v>
      </c>
      <c r="C15" s="17">
        <v>45175</v>
      </c>
      <c r="D15" s="18" t="s">
        <v>129</v>
      </c>
      <c r="E15" s="16" t="s">
        <v>176</v>
      </c>
      <c r="F15" s="19" t="s">
        <v>131</v>
      </c>
      <c r="G15" s="19" t="s">
        <v>132</v>
      </c>
      <c r="H15" s="19" t="s">
        <v>177</v>
      </c>
      <c r="I15" s="20" t="s">
        <v>178</v>
      </c>
      <c r="J15" s="20">
        <v>20</v>
      </c>
      <c r="K15" s="21" t="s">
        <v>135</v>
      </c>
      <c r="L15" s="21"/>
      <c r="M15" s="21" t="s">
        <v>136</v>
      </c>
      <c r="N15" s="21">
        <v>29790</v>
      </c>
      <c r="O15" s="22" t="s">
        <v>31</v>
      </c>
      <c r="P15" s="22">
        <v>45175</v>
      </c>
      <c r="Q15" s="23">
        <v>10010470872</v>
      </c>
      <c r="R15" s="21" t="s">
        <v>137</v>
      </c>
      <c r="S15" s="17">
        <v>45175</v>
      </c>
      <c r="T15" s="21" t="s">
        <v>138</v>
      </c>
      <c r="U15" s="21" t="s">
        <v>139</v>
      </c>
      <c r="V15" s="17">
        <v>45572</v>
      </c>
      <c r="W15" s="21"/>
      <c r="X15" s="24" t="s">
        <v>140</v>
      </c>
      <c r="Y15" s="25" t="s">
        <v>138</v>
      </c>
      <c r="Z15" s="25" t="s">
        <v>139</v>
      </c>
      <c r="AA15" s="17">
        <v>45572</v>
      </c>
      <c r="AB15" s="26">
        <v>31</v>
      </c>
      <c r="AC15" s="26">
        <f>4320</f>
        <v>4320</v>
      </c>
      <c r="AD15" s="95">
        <v>246788410039</v>
      </c>
      <c r="AE15" s="26">
        <v>7</v>
      </c>
      <c r="AF15" s="90">
        <f t="shared" si="0"/>
        <v>139.35483870967741</v>
      </c>
      <c r="AG15" s="90">
        <f t="shared" si="1"/>
        <v>975.48387096774184</v>
      </c>
    </row>
    <row r="16" spans="1:33" s="27" customFormat="1" ht="15" customHeight="1">
      <c r="A16" s="15" t="s">
        <v>131</v>
      </c>
      <c r="B16" s="16">
        <v>14</v>
      </c>
      <c r="C16" s="17">
        <v>45181</v>
      </c>
      <c r="D16" s="18" t="s">
        <v>129</v>
      </c>
      <c r="E16" s="16" t="s">
        <v>179</v>
      </c>
      <c r="F16" s="19" t="s">
        <v>131</v>
      </c>
      <c r="G16" s="19" t="s">
        <v>132</v>
      </c>
      <c r="H16" s="19" t="s">
        <v>180</v>
      </c>
      <c r="I16" s="20" t="s">
        <v>181</v>
      </c>
      <c r="J16" s="20">
        <v>20</v>
      </c>
      <c r="K16" s="21" t="s">
        <v>135</v>
      </c>
      <c r="L16" s="21" t="s">
        <v>148</v>
      </c>
      <c r="M16" s="21" t="s">
        <v>136</v>
      </c>
      <c r="N16" s="21">
        <v>29750</v>
      </c>
      <c r="O16" s="22" t="s">
        <v>31</v>
      </c>
      <c r="P16" s="22">
        <v>45181</v>
      </c>
      <c r="Q16" s="23">
        <v>10010471484</v>
      </c>
      <c r="R16" s="21" t="s">
        <v>137</v>
      </c>
      <c r="S16" s="17">
        <v>45181</v>
      </c>
      <c r="T16" s="21" t="s">
        <v>138</v>
      </c>
      <c r="U16" s="21" t="s">
        <v>139</v>
      </c>
      <c r="V16" s="17">
        <v>45572</v>
      </c>
      <c r="W16" s="21"/>
      <c r="X16" s="24" t="s">
        <v>140</v>
      </c>
      <c r="Y16" s="25" t="s">
        <v>138</v>
      </c>
      <c r="Z16" s="25" t="s">
        <v>139</v>
      </c>
      <c r="AA16" s="17">
        <v>45572</v>
      </c>
      <c r="AB16" s="26">
        <v>31</v>
      </c>
      <c r="AC16" s="26">
        <f>4320</f>
        <v>4320</v>
      </c>
      <c r="AD16" s="95">
        <v>246788410039</v>
      </c>
      <c r="AE16" s="26">
        <v>7</v>
      </c>
      <c r="AF16" s="90">
        <f t="shared" si="0"/>
        <v>139.35483870967741</v>
      </c>
      <c r="AG16" s="90">
        <f t="shared" si="1"/>
        <v>975.48387096774184</v>
      </c>
    </row>
    <row r="17" spans="1:33" s="27" customFormat="1" ht="15" customHeight="1">
      <c r="A17" s="15" t="s">
        <v>131</v>
      </c>
      <c r="B17" s="16">
        <v>15</v>
      </c>
      <c r="C17" s="17">
        <v>45187</v>
      </c>
      <c r="D17" s="18" t="s">
        <v>129</v>
      </c>
      <c r="E17" s="16" t="s">
        <v>182</v>
      </c>
      <c r="F17" s="19" t="s">
        <v>131</v>
      </c>
      <c r="G17" s="19" t="s">
        <v>132</v>
      </c>
      <c r="H17" s="19" t="s">
        <v>183</v>
      </c>
      <c r="I17" s="20" t="s">
        <v>184</v>
      </c>
      <c r="J17" s="20">
        <v>20</v>
      </c>
      <c r="K17" s="21" t="s">
        <v>135</v>
      </c>
      <c r="L17" s="21" t="s">
        <v>148</v>
      </c>
      <c r="M17" s="21" t="s">
        <v>136</v>
      </c>
      <c r="N17" s="21">
        <v>29760</v>
      </c>
      <c r="O17" s="22" t="s">
        <v>31</v>
      </c>
      <c r="P17" s="22">
        <v>45187</v>
      </c>
      <c r="Q17" s="23">
        <v>10010472062</v>
      </c>
      <c r="R17" s="21" t="s">
        <v>137</v>
      </c>
      <c r="S17" s="17">
        <v>45187</v>
      </c>
      <c r="T17" s="21" t="s">
        <v>138</v>
      </c>
      <c r="U17" s="21" t="s">
        <v>139</v>
      </c>
      <c r="V17" s="17">
        <v>45572</v>
      </c>
      <c r="W17" s="21"/>
      <c r="X17" s="24" t="s">
        <v>140</v>
      </c>
      <c r="Y17" s="25" t="s">
        <v>138</v>
      </c>
      <c r="Z17" s="25" t="s">
        <v>139</v>
      </c>
      <c r="AA17" s="17">
        <v>45572</v>
      </c>
      <c r="AB17" s="26">
        <v>31</v>
      </c>
      <c r="AC17" s="26">
        <f>4320</f>
        <v>4320</v>
      </c>
      <c r="AD17" s="95">
        <v>246788410039</v>
      </c>
      <c r="AE17" s="26">
        <v>7</v>
      </c>
      <c r="AF17" s="90">
        <f t="shared" si="0"/>
        <v>139.35483870967741</v>
      </c>
      <c r="AG17" s="90">
        <f t="shared" si="1"/>
        <v>975.48387096774184</v>
      </c>
    </row>
    <row r="18" spans="1:33" s="27" customFormat="1" ht="15" customHeight="1">
      <c r="A18" s="15" t="s">
        <v>131</v>
      </c>
      <c r="B18" s="16">
        <v>16</v>
      </c>
      <c r="C18" s="17">
        <v>45191</v>
      </c>
      <c r="D18" s="18" t="s">
        <v>129</v>
      </c>
      <c r="E18" s="16" t="s">
        <v>185</v>
      </c>
      <c r="F18" s="19" t="s">
        <v>131</v>
      </c>
      <c r="G18" s="19" t="s">
        <v>132</v>
      </c>
      <c r="H18" s="19" t="s">
        <v>186</v>
      </c>
      <c r="I18" s="20" t="s">
        <v>187</v>
      </c>
      <c r="J18" s="20">
        <v>20</v>
      </c>
      <c r="K18" s="21" t="s">
        <v>135</v>
      </c>
      <c r="L18" s="21"/>
      <c r="M18" s="21" t="s">
        <v>136</v>
      </c>
      <c r="N18" s="21">
        <v>29790</v>
      </c>
      <c r="O18" s="22" t="s">
        <v>31</v>
      </c>
      <c r="P18" s="22">
        <v>45191</v>
      </c>
      <c r="Q18" s="23">
        <v>10010472461</v>
      </c>
      <c r="R18" s="21" t="s">
        <v>137</v>
      </c>
      <c r="S18" s="17">
        <v>45191</v>
      </c>
      <c r="T18" s="21" t="s">
        <v>138</v>
      </c>
      <c r="U18" s="21" t="s">
        <v>139</v>
      </c>
      <c r="V18" s="17">
        <v>45572</v>
      </c>
      <c r="W18" s="21"/>
      <c r="X18" s="24" t="s">
        <v>140</v>
      </c>
      <c r="Y18" s="25" t="s">
        <v>138</v>
      </c>
      <c r="Z18" s="25" t="s">
        <v>139</v>
      </c>
      <c r="AA18" s="17">
        <v>45572</v>
      </c>
      <c r="AB18" s="26">
        <v>31</v>
      </c>
      <c r="AC18" s="26">
        <f>4320</f>
        <v>4320</v>
      </c>
      <c r="AD18" s="95">
        <v>246788410039</v>
      </c>
      <c r="AE18" s="26">
        <v>7</v>
      </c>
      <c r="AF18" s="90">
        <f t="shared" si="0"/>
        <v>139.35483870967741</v>
      </c>
      <c r="AG18" s="90">
        <f t="shared" si="1"/>
        <v>975.48387096774184</v>
      </c>
    </row>
    <row r="19" spans="1:33" s="27" customFormat="1" ht="15" customHeight="1">
      <c r="A19" s="15" t="s">
        <v>131</v>
      </c>
      <c r="B19" s="16">
        <v>17</v>
      </c>
      <c r="C19" s="17">
        <v>45258</v>
      </c>
      <c r="D19" s="18" t="s">
        <v>129</v>
      </c>
      <c r="E19" s="16" t="s">
        <v>188</v>
      </c>
      <c r="F19" s="19" t="s">
        <v>131</v>
      </c>
      <c r="G19" s="19" t="s">
        <v>132</v>
      </c>
      <c r="H19" s="19" t="s">
        <v>189</v>
      </c>
      <c r="I19" s="20" t="s">
        <v>190</v>
      </c>
      <c r="J19" s="20">
        <v>20</v>
      </c>
      <c r="K19" s="21" t="s">
        <v>135</v>
      </c>
      <c r="L19" s="21" t="s">
        <v>148</v>
      </c>
      <c r="M19" s="21" t="s">
        <v>136</v>
      </c>
      <c r="N19" s="21">
        <v>23640</v>
      </c>
      <c r="O19" s="22" t="s">
        <v>31</v>
      </c>
      <c r="P19" s="22">
        <v>45258</v>
      </c>
      <c r="Q19" s="23">
        <v>10010478525</v>
      </c>
      <c r="R19" s="21" t="s">
        <v>137</v>
      </c>
      <c r="S19" s="17">
        <v>45258</v>
      </c>
      <c r="T19" s="21" t="s">
        <v>138</v>
      </c>
      <c r="U19" s="21" t="s">
        <v>139</v>
      </c>
      <c r="V19" s="17">
        <v>45572</v>
      </c>
      <c r="W19" s="21"/>
      <c r="X19" s="24" t="s">
        <v>140</v>
      </c>
      <c r="Y19" s="25" t="s">
        <v>138</v>
      </c>
      <c r="Z19" s="25" t="s">
        <v>139</v>
      </c>
      <c r="AA19" s="17">
        <v>45572</v>
      </c>
      <c r="AB19" s="26">
        <v>31</v>
      </c>
      <c r="AC19" s="26">
        <f>4320</f>
        <v>4320</v>
      </c>
      <c r="AD19" s="95">
        <v>246788410039</v>
      </c>
      <c r="AE19" s="26">
        <v>7</v>
      </c>
      <c r="AF19" s="90">
        <f t="shared" si="0"/>
        <v>139.35483870967741</v>
      </c>
      <c r="AG19" s="90">
        <f t="shared" si="1"/>
        <v>975.48387096774184</v>
      </c>
    </row>
    <row r="20" spans="1:33" s="27" customFormat="1" ht="15" customHeight="1">
      <c r="A20" s="15" t="s">
        <v>131</v>
      </c>
      <c r="B20" s="16">
        <v>18</v>
      </c>
      <c r="C20" s="17">
        <v>45258</v>
      </c>
      <c r="D20" s="18" t="s">
        <v>129</v>
      </c>
      <c r="E20" s="16" t="s">
        <v>191</v>
      </c>
      <c r="F20" s="19" t="s">
        <v>131</v>
      </c>
      <c r="G20" s="19" t="s">
        <v>132</v>
      </c>
      <c r="H20" s="19" t="s">
        <v>192</v>
      </c>
      <c r="I20" s="20" t="s">
        <v>193</v>
      </c>
      <c r="J20" s="20">
        <v>20</v>
      </c>
      <c r="K20" s="21" t="s">
        <v>135</v>
      </c>
      <c r="L20" s="21" t="s">
        <v>148</v>
      </c>
      <c r="M20" s="21" t="s">
        <v>136</v>
      </c>
      <c r="N20" s="21">
        <v>23900</v>
      </c>
      <c r="O20" s="22" t="s">
        <v>31</v>
      </c>
      <c r="P20" s="22">
        <v>45258</v>
      </c>
      <c r="Q20" s="23">
        <v>10010478527</v>
      </c>
      <c r="R20" s="21" t="s">
        <v>137</v>
      </c>
      <c r="S20" s="17">
        <v>45258</v>
      </c>
      <c r="T20" s="21" t="s">
        <v>138</v>
      </c>
      <c r="U20" s="21" t="s">
        <v>139</v>
      </c>
      <c r="V20" s="17">
        <v>45573</v>
      </c>
      <c r="W20" s="21"/>
      <c r="X20" s="24" t="s">
        <v>140</v>
      </c>
      <c r="Y20" s="25" t="s">
        <v>138</v>
      </c>
      <c r="Z20" s="25" t="s">
        <v>139</v>
      </c>
      <c r="AA20" s="17">
        <v>45573</v>
      </c>
      <c r="AB20" s="26">
        <v>31</v>
      </c>
      <c r="AC20" s="26">
        <f>4320</f>
        <v>4320</v>
      </c>
      <c r="AD20" s="95">
        <v>246788410039</v>
      </c>
      <c r="AE20" s="26">
        <v>8</v>
      </c>
      <c r="AF20" s="90">
        <f t="shared" si="0"/>
        <v>139.35483870967741</v>
      </c>
      <c r="AG20" s="90">
        <f t="shared" si="1"/>
        <v>1114.8387096774193</v>
      </c>
    </row>
    <row r="21" spans="1:33" s="27" customFormat="1" ht="15" customHeight="1">
      <c r="A21" s="15" t="s">
        <v>131</v>
      </c>
      <c r="B21" s="16">
        <v>19</v>
      </c>
      <c r="C21" s="17">
        <v>45258</v>
      </c>
      <c r="D21" s="18" t="s">
        <v>129</v>
      </c>
      <c r="E21" s="16" t="s">
        <v>194</v>
      </c>
      <c r="F21" s="19" t="s">
        <v>131</v>
      </c>
      <c r="G21" s="19" t="s">
        <v>132</v>
      </c>
      <c r="H21" s="19" t="s">
        <v>195</v>
      </c>
      <c r="I21" s="20" t="s">
        <v>196</v>
      </c>
      <c r="J21" s="20">
        <v>20</v>
      </c>
      <c r="K21" s="21" t="s">
        <v>135</v>
      </c>
      <c r="L21" s="21" t="s">
        <v>148</v>
      </c>
      <c r="M21" s="21" t="s">
        <v>136</v>
      </c>
      <c r="N21" s="21">
        <v>23880</v>
      </c>
      <c r="O21" s="22" t="s">
        <v>31</v>
      </c>
      <c r="P21" s="22">
        <v>45258</v>
      </c>
      <c r="Q21" s="23">
        <v>10010478539</v>
      </c>
      <c r="R21" s="21" t="s">
        <v>137</v>
      </c>
      <c r="S21" s="17">
        <v>45258</v>
      </c>
      <c r="T21" s="21" t="s">
        <v>138</v>
      </c>
      <c r="U21" s="21" t="s">
        <v>139</v>
      </c>
      <c r="V21" s="17">
        <v>45572</v>
      </c>
      <c r="W21" s="21"/>
      <c r="X21" s="24" t="s">
        <v>140</v>
      </c>
      <c r="Y21" s="25" t="s">
        <v>138</v>
      </c>
      <c r="Z21" s="25" t="s">
        <v>139</v>
      </c>
      <c r="AA21" s="17">
        <v>45572</v>
      </c>
      <c r="AB21" s="26">
        <v>31</v>
      </c>
      <c r="AC21" s="26">
        <f>4320</f>
        <v>4320</v>
      </c>
      <c r="AD21" s="95">
        <v>246788410039</v>
      </c>
      <c r="AE21" s="26">
        <v>7</v>
      </c>
      <c r="AF21" s="90">
        <f t="shared" si="0"/>
        <v>139.35483870967741</v>
      </c>
      <c r="AG21" s="90">
        <f t="shared" si="1"/>
        <v>975.48387096774184</v>
      </c>
    </row>
    <row r="22" spans="1:33" s="27" customFormat="1" ht="15" customHeight="1">
      <c r="A22" s="15" t="s">
        <v>131</v>
      </c>
      <c r="B22" s="16">
        <v>20</v>
      </c>
      <c r="C22" s="17">
        <v>45258</v>
      </c>
      <c r="D22" s="18" t="s">
        <v>129</v>
      </c>
      <c r="E22" s="16" t="s">
        <v>197</v>
      </c>
      <c r="F22" s="19" t="s">
        <v>131</v>
      </c>
      <c r="G22" s="19" t="s">
        <v>132</v>
      </c>
      <c r="H22" s="19" t="s">
        <v>198</v>
      </c>
      <c r="I22" s="20" t="s">
        <v>199</v>
      </c>
      <c r="J22" s="20">
        <v>20</v>
      </c>
      <c r="K22" s="21" t="s">
        <v>135</v>
      </c>
      <c r="L22" s="21" t="s">
        <v>148</v>
      </c>
      <c r="M22" s="21" t="s">
        <v>136</v>
      </c>
      <c r="N22" s="21">
        <v>23900</v>
      </c>
      <c r="O22" s="22" t="s">
        <v>31</v>
      </c>
      <c r="P22" s="22">
        <v>45258</v>
      </c>
      <c r="Q22" s="23">
        <v>10010478542</v>
      </c>
      <c r="R22" s="21" t="s">
        <v>137</v>
      </c>
      <c r="S22" s="17">
        <v>45258</v>
      </c>
      <c r="T22" s="21" t="s">
        <v>138</v>
      </c>
      <c r="U22" s="21" t="s">
        <v>139</v>
      </c>
      <c r="V22" s="17">
        <v>45573</v>
      </c>
      <c r="W22" s="21"/>
      <c r="X22" s="24" t="s">
        <v>140</v>
      </c>
      <c r="Y22" s="25" t="s">
        <v>138</v>
      </c>
      <c r="Z22" s="25" t="s">
        <v>139</v>
      </c>
      <c r="AA22" s="17">
        <v>45573</v>
      </c>
      <c r="AB22" s="26">
        <v>31</v>
      </c>
      <c r="AC22" s="26">
        <f>4320</f>
        <v>4320</v>
      </c>
      <c r="AD22" s="95">
        <v>246788410039</v>
      </c>
      <c r="AE22" s="26">
        <v>8</v>
      </c>
      <c r="AF22" s="90">
        <f t="shared" si="0"/>
        <v>139.35483870967741</v>
      </c>
      <c r="AG22" s="90">
        <f t="shared" si="1"/>
        <v>1114.8387096774193</v>
      </c>
    </row>
    <row r="23" spans="1:33" s="27" customFormat="1" ht="15" customHeight="1">
      <c r="A23" s="15" t="s">
        <v>131</v>
      </c>
      <c r="B23" s="16">
        <v>21</v>
      </c>
      <c r="C23" s="17">
        <v>45258</v>
      </c>
      <c r="D23" s="18" t="s">
        <v>129</v>
      </c>
      <c r="E23" s="16" t="s">
        <v>200</v>
      </c>
      <c r="F23" s="19" t="s">
        <v>131</v>
      </c>
      <c r="G23" s="19" t="s">
        <v>132</v>
      </c>
      <c r="H23" s="19" t="s">
        <v>201</v>
      </c>
      <c r="I23" s="20" t="s">
        <v>202</v>
      </c>
      <c r="J23" s="20">
        <v>20</v>
      </c>
      <c r="K23" s="21" t="s">
        <v>135</v>
      </c>
      <c r="L23" s="21" t="s">
        <v>148</v>
      </c>
      <c r="M23" s="21" t="s">
        <v>136</v>
      </c>
      <c r="N23" s="21">
        <v>23730</v>
      </c>
      <c r="O23" s="22" t="s">
        <v>31</v>
      </c>
      <c r="P23" s="22">
        <v>45258</v>
      </c>
      <c r="Q23" s="23">
        <v>10010478570</v>
      </c>
      <c r="R23" s="21" t="s">
        <v>137</v>
      </c>
      <c r="S23" s="17">
        <v>45258</v>
      </c>
      <c r="T23" s="21" t="s">
        <v>138</v>
      </c>
      <c r="U23" s="21" t="s">
        <v>139</v>
      </c>
      <c r="V23" s="17">
        <v>45572</v>
      </c>
      <c r="W23" s="21"/>
      <c r="X23" s="24" t="s">
        <v>140</v>
      </c>
      <c r="Y23" s="25" t="s">
        <v>138</v>
      </c>
      <c r="Z23" s="25" t="s">
        <v>139</v>
      </c>
      <c r="AA23" s="17">
        <v>45572</v>
      </c>
      <c r="AB23" s="26">
        <v>31</v>
      </c>
      <c r="AC23" s="26">
        <f>4320</f>
        <v>4320</v>
      </c>
      <c r="AD23" s="95">
        <v>246788410039</v>
      </c>
      <c r="AE23" s="26">
        <v>7</v>
      </c>
      <c r="AF23" s="90">
        <f t="shared" si="0"/>
        <v>139.35483870967741</v>
      </c>
      <c r="AG23" s="90">
        <f t="shared" si="1"/>
        <v>975.48387096774184</v>
      </c>
    </row>
    <row r="24" spans="1:33" s="28" customFormat="1">
      <c r="AB24" s="84">
        <f>SUM(AB3:AB23)</f>
        <v>651</v>
      </c>
      <c r="AC24" s="84">
        <f>SUM(AC3:AC23)</f>
        <v>90720</v>
      </c>
      <c r="AD24" s="96" t="s">
        <v>2</v>
      </c>
      <c r="AE24" s="84">
        <f>SUM(AE3:AE23)</f>
        <v>131</v>
      </c>
      <c r="AF24" s="91"/>
      <c r="AG24" s="91">
        <f>SUM(AG3:AG23)</f>
        <v>18255.483870967746</v>
      </c>
    </row>
    <row r="26" spans="1:33">
      <c r="D26" s="83" t="s">
        <v>231</v>
      </c>
      <c r="AG26" s="92">
        <f>AC24-AG24</f>
        <v>72464.516129032258</v>
      </c>
    </row>
    <row r="27" spans="1:33">
      <c r="D27" s="28" t="s">
        <v>232</v>
      </c>
      <c r="AB27" s="27"/>
    </row>
    <row r="28" spans="1:33">
      <c r="D28" s="83" t="s">
        <v>236</v>
      </c>
    </row>
    <row r="29" spans="1:33">
      <c r="D29" s="28" t="s">
        <v>237</v>
      </c>
    </row>
  </sheetData>
  <autoFilter ref="A2:AG2" xr:uid="{2C624F9F-938F-424F-AD1E-8BC781894361}"/>
  <conditionalFormatting sqref="I2">
    <cfRule type="duplicateValues" dxfId="4" priority="4"/>
  </conditionalFormatting>
  <conditionalFormatting sqref="I2:I23">
    <cfRule type="duplicateValues" dxfId="3" priority="5"/>
  </conditionalFormatting>
  <conditionalFormatting sqref="I3:I23">
    <cfRule type="duplicateValues" dxfId="2" priority="1" stopIfTrue="1"/>
    <cfRule type="duplicateValues" dxfId="1" priority="2"/>
  </conditionalFormatting>
  <conditionalFormatting sqref="Q3:Q23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IBC Storage</vt:lpstr>
      <vt:lpstr>IBC LCL</vt:lpstr>
      <vt:lpstr>Oct CY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Dalvi Sandip/Sr. Executive-Admin - PUN/CL/IN</dc:creator>
  <cp:lastModifiedBy>Neuroy Gonsalves</cp:lastModifiedBy>
  <dcterms:created xsi:type="dcterms:W3CDTF">2025-10-25T06:10:32Z</dcterms:created>
  <dcterms:modified xsi:type="dcterms:W3CDTF">2026-02-12T11:38:10Z</dcterms:modified>
</cp:coreProperties>
</file>