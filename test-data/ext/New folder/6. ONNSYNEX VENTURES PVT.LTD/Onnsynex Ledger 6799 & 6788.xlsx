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6. Onnsynex\"/>
    </mc:Choice>
  </mc:AlternateContent>
  <xr:revisionPtr revIDLastSave="0" documentId="13_ncr:1_{50842783-CC1A-4730-805E-D266054DE5E3}" xr6:coauthVersionLast="47" xr6:coauthVersionMax="47" xr10:uidLastSave="{00000000-0000-0000-0000-000000000000}"/>
  <bookViews>
    <workbookView xWindow="-110" yWindow="-110" windowWidth="21820" windowHeight="14020" firstSheet="2" activeTab="3" xr2:uid="{00000000-000D-0000-FFFF-FFFF00000000}"/>
  </bookViews>
  <sheets>
    <sheet name="Sheet3" sheetId="3" state="hidden" r:id="rId1"/>
    <sheet name="Sheet2" sheetId="2" state="hidden" r:id="rId2"/>
    <sheet name="Sheet5" sheetId="12" r:id="rId3"/>
    <sheet name="Sheet7" sheetId="13" r:id="rId4"/>
    <sheet name="Sheet1" sheetId="1" r:id="rId5"/>
    <sheet name="Sheet4" sheetId="4" r:id="rId6"/>
    <sheet name="Storage" sheetId="9" r:id="rId7"/>
    <sheet name="Detail1" sheetId="8" state="hidden" r:id="rId8"/>
    <sheet name="CY" sheetId="11" r:id="rId9"/>
    <sheet name="Detail2" sheetId="10" r:id="rId10"/>
    <sheet name="Sheet6" sheetId="6" r:id="rId11"/>
    <sheet name="Sales" sheetId="5" r:id="rId12"/>
  </sheets>
  <externalReferences>
    <externalReference r:id="rId13"/>
  </externalReferences>
  <definedNames>
    <definedName name="_xlnm._FilterDatabase" localSheetId="8" hidden="1">CY!$A$1:$D$1</definedName>
    <definedName name="_xlnm._FilterDatabase" localSheetId="11" hidden="1">Sales!$A$1:$S$193</definedName>
    <definedName name="_xlnm._FilterDatabase" localSheetId="4" hidden="1">Sheet1!$A$1:$AG$224</definedName>
    <definedName name="_xlnm._FilterDatabase" localSheetId="0" hidden="1">Sheet3!$A$2:$B$2</definedName>
    <definedName name="_xlnm._FilterDatabase" localSheetId="5" hidden="1">Sheet4!$A$1:$S$224</definedName>
    <definedName name="_xlnm._FilterDatabase" localSheetId="6" hidden="1">Storage!$A$1:$E$41</definedName>
  </definedNames>
  <calcPr calcId="191029"/>
  <pivotCaches>
    <pivotCache cacheId="12" r:id="rId14"/>
    <pivotCache cacheId="5" r:id="rId15"/>
    <pivotCache cacheId="6" r:id="rId16"/>
    <pivotCache cacheId="7" r:id="rId17"/>
    <pivotCache cacheId="1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13" l="1"/>
  <c r="F34" i="13"/>
  <c r="E34" i="13"/>
  <c r="D34" i="13"/>
  <c r="M9" i="11" l="1"/>
  <c r="M5" i="11"/>
  <c r="M19" i="11"/>
  <c r="M18" i="11"/>
  <c r="M17" i="11"/>
  <c r="M16" i="11"/>
  <c r="M15" i="11"/>
  <c r="M14" i="11"/>
  <c r="M13" i="11"/>
  <c r="M12" i="11"/>
  <c r="M11" i="11"/>
  <c r="M10" i="11"/>
  <c r="M8" i="11"/>
  <c r="M7" i="11"/>
  <c r="M6" i="11"/>
  <c r="M4" i="11"/>
  <c r="M3" i="11"/>
  <c r="G16" i="6" l="1"/>
  <c r="G11" i="6"/>
  <c r="G10" i="6"/>
  <c r="G9" i="6"/>
  <c r="G8" i="6"/>
  <c r="G7" i="6"/>
  <c r="G6" i="6"/>
  <c r="G4" i="6"/>
  <c r="F12" i="6"/>
  <c r="G12" i="6" s="1"/>
  <c r="F15" i="6"/>
  <c r="G15" i="6" s="1"/>
  <c r="F14" i="6"/>
  <c r="G14" i="6" s="1"/>
  <c r="F13" i="6"/>
  <c r="G13" i="6" s="1"/>
  <c r="F5" i="6"/>
  <c r="G5" i="6" s="1"/>
  <c r="E14" i="6"/>
  <c r="F17" i="6" l="1"/>
  <c r="G17" i="6" s="1"/>
  <c r="U20" i="9" l="1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5" i="9"/>
  <c r="U4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N18" i="3" l="1"/>
  <c r="N17" i="3"/>
  <c r="N16" i="3"/>
  <c r="N15" i="3"/>
  <c r="N14" i="3"/>
  <c r="N13" i="3"/>
  <c r="N12" i="3"/>
  <c r="N11" i="3"/>
  <c r="N10" i="3"/>
  <c r="I13" i="3"/>
  <c r="H13" i="3"/>
  <c r="J12" i="3"/>
  <c r="J11" i="3"/>
  <c r="J10" i="3"/>
  <c r="J9" i="3"/>
  <c r="J8" i="3"/>
  <c r="J7" i="3"/>
  <c r="J6" i="3"/>
  <c r="J5" i="3"/>
  <c r="J4" i="3"/>
  <c r="J3" i="3"/>
  <c r="J13" i="3" s="1"/>
</calcChain>
</file>

<file path=xl/sharedStrings.xml><?xml version="1.0" encoding="utf-8"?>
<sst xmlns="http://schemas.openxmlformats.org/spreadsheetml/2006/main" count="11088" uniqueCount="373">
  <si>
    <t>Selected</t>
  </si>
  <si>
    <t>100222362</t>
  </si>
  <si>
    <t>ONNSYNEX VENTURES PRIVATE LIMITED</t>
  </si>
  <si>
    <t>2025</t>
  </si>
  <si>
    <t>4</t>
  </si>
  <si>
    <t>1600000012</t>
  </si>
  <si>
    <t>DA</t>
  </si>
  <si>
    <t/>
  </si>
  <si>
    <t>212100</t>
  </si>
  <si>
    <t>Trade Debtors (Ctrl)</t>
  </si>
  <si>
    <t>07</t>
  </si>
  <si>
    <t>INR</t>
  </si>
  <si>
    <t>6788224500</t>
  </si>
  <si>
    <t>1</t>
  </si>
  <si>
    <t>Overpayment</t>
  </si>
  <si>
    <t>17</t>
  </si>
  <si>
    <t>2</t>
  </si>
  <si>
    <t>1400000001</t>
  </si>
  <si>
    <t>DY</t>
  </si>
  <si>
    <t>Na</t>
  </si>
  <si>
    <t>08</t>
  </si>
  <si>
    <t>USD</t>
  </si>
  <si>
    <t>15</t>
  </si>
  <si>
    <t>Not Selected</t>
  </si>
  <si>
    <t>8</t>
  </si>
  <si>
    <t>DZ</t>
  </si>
  <si>
    <t>RBINR52025071152142380</t>
  </si>
  <si>
    <t>6788220000</t>
  </si>
  <si>
    <t>RBINR52025071152144290</t>
  </si>
  <si>
    <t>10</t>
  </si>
  <si>
    <t>HDFCR52025091059694776</t>
  </si>
  <si>
    <t>HDFCR52025091059714564</t>
  </si>
  <si>
    <t>HDFCR52025091059694771</t>
  </si>
  <si>
    <t>RBINR52025091011436663</t>
  </si>
  <si>
    <t>FDX3H9MYLVYP</t>
  </si>
  <si>
    <t>XC</t>
  </si>
  <si>
    <t>6788ZP25000006</t>
  </si>
  <si>
    <t>11</t>
  </si>
  <si>
    <t>3</t>
  </si>
  <si>
    <t>6788ZR25000006</t>
  </si>
  <si>
    <t>01</t>
  </si>
  <si>
    <t>57</t>
  </si>
  <si>
    <t>6788ZP25000117</t>
  </si>
  <si>
    <t>as per SME conformation parked as overpayment</t>
  </si>
  <si>
    <t>1400000084</t>
  </si>
  <si>
    <t>NA</t>
  </si>
  <si>
    <t>KNOCK OFF ENTRY</t>
  </si>
  <si>
    <t>DR</t>
  </si>
  <si>
    <t>O0</t>
  </si>
  <si>
    <t>INTRA 1-15 Aug 25</t>
  </si>
  <si>
    <t>9</t>
  </si>
  <si>
    <t>Intra 16-31 Aug 25</t>
  </si>
  <si>
    <t>Transportation Inbound charges for Jan 25</t>
  </si>
  <si>
    <t>Storage Charges for the month of November 2024</t>
  </si>
  <si>
    <t>Storage Charges for the month of December 2024</t>
  </si>
  <si>
    <t>CY-CY Ground Rent charges for Oct 2024. Exchange c</t>
  </si>
  <si>
    <t>CY-CY Ground Rent charges for Dec 2024. Exchange c</t>
  </si>
  <si>
    <t>Storage Charges for the month of August, 2024</t>
  </si>
  <si>
    <t>Storage Charges for the month of September, 2024</t>
  </si>
  <si>
    <t>Storage Charges for the month of October, 2024</t>
  </si>
  <si>
    <t>Fixed Storage Charges for August 2025</t>
  </si>
  <si>
    <t>6</t>
  </si>
  <si>
    <t>Fixed Storage Charges fo JUNE 2025</t>
  </si>
  <si>
    <t>2103775</t>
  </si>
  <si>
    <t>VAS Activity - Feb 25, Ex Rate. 87.40</t>
  </si>
  <si>
    <t>2102526</t>
  </si>
  <si>
    <t>VAS -1-15 Sept-25</t>
  </si>
  <si>
    <t>5</t>
  </si>
  <si>
    <t>Inbound chgs - 01 - 15 Apr 25</t>
  </si>
  <si>
    <t>Outbound chgs - 01 - 15 Apr 25</t>
  </si>
  <si>
    <t>Outbound chgs - 16 - 30 Apr 25</t>
  </si>
  <si>
    <t>DG</t>
  </si>
  <si>
    <t>2117487</t>
  </si>
  <si>
    <t>Credit note raised against 256788410417</t>
  </si>
  <si>
    <t>Credit note raised against 256788410418</t>
  </si>
  <si>
    <t>Credit note raised against 256788410419</t>
  </si>
  <si>
    <t>6779224500</t>
  </si>
  <si>
    <t>VAS Activity - Jan 25, Ex Rate. 86.64</t>
  </si>
  <si>
    <t>VAS Activity - Mar 25, 16-31, Ex Rate. 85.58</t>
  </si>
  <si>
    <t>7</t>
  </si>
  <si>
    <t>CY - WH Destuff Charges fo MAY 2025</t>
  </si>
  <si>
    <t>Fixed Rental charges for April 2025</t>
  </si>
  <si>
    <t>6779224501</t>
  </si>
  <si>
    <t>CODC Out chgs -16-31 Aug 25</t>
  </si>
  <si>
    <t>VAS -16-31 Aug 25</t>
  </si>
  <si>
    <t>WEIGHMENT -16-31 Aug 25</t>
  </si>
  <si>
    <t>CY Ground rent Chgs - 01 - 31 Aug 25</t>
  </si>
  <si>
    <t>Empty Lolo Chgs Aug 25</t>
  </si>
  <si>
    <t>PORT SSR Chgs Aug 25</t>
  </si>
  <si>
    <t>LCL chgs - 16 - 31 AUG 25</t>
  </si>
  <si>
    <t>Transportation Out chgs - 16 - 31 AUG 25</t>
  </si>
  <si>
    <t>2097259</t>
  </si>
  <si>
    <t>Fixed Storage Charges for September 2025</t>
  </si>
  <si>
    <t>VAS - 16-30 June 25</t>
  </si>
  <si>
    <t>Unit Storage - 1-30 June 25</t>
  </si>
  <si>
    <t>CY Ground rent Chgs - 01 - 30 June 25</t>
  </si>
  <si>
    <t>Fixed Storage Charges fo JULY 2025</t>
  </si>
  <si>
    <t>LCL Chgs - 01 - 15 JUN 25</t>
  </si>
  <si>
    <t>Outbound chgs - 01 - 15 JUN 25</t>
  </si>
  <si>
    <t>Outbound chgs - 16 - 30 JUN 25</t>
  </si>
  <si>
    <t>Outbound chgs - 01 - 15 JUL 25</t>
  </si>
  <si>
    <t>2123155</t>
  </si>
  <si>
    <t>Fixed Storage Charges for November 2025</t>
  </si>
  <si>
    <t>2123383</t>
  </si>
  <si>
    <t>Intra SEZ-Transfer-16 -31 Oct 25</t>
  </si>
  <si>
    <t>VAS-16 -31 Oct 25</t>
  </si>
  <si>
    <t>WEIGHTMENT-16 -31 Oct 25</t>
  </si>
  <si>
    <t>2123386</t>
  </si>
  <si>
    <t>Unit-Storage-1-31 Oct 25</t>
  </si>
  <si>
    <t>2123411</t>
  </si>
  <si>
    <t>Outbound chgs - 16 -31 OCT 25</t>
  </si>
  <si>
    <t>LCL chgs - 16 -31 OCT 25</t>
  </si>
  <si>
    <t>Empty Lolo Chgs Oct 25</t>
  </si>
  <si>
    <t>VAS 16-31 July 25</t>
  </si>
  <si>
    <t>Unit Storage - 1-31 July 25</t>
  </si>
  <si>
    <t>Transportation IN chgs - 16 - 31 JUL 25</t>
  </si>
  <si>
    <t>Scanning  Chgs - 16 - 31 Jul 25</t>
  </si>
  <si>
    <t>Empty Lolo  Chgs - 01 - 31 Jul 25</t>
  </si>
  <si>
    <t>CY Grd Rent Chgs - 01 - 31 Jul 25</t>
  </si>
  <si>
    <t>Outbound chgs - 16 - 31 JUL 25</t>
  </si>
  <si>
    <t>PORT SSR Chgs July 25</t>
  </si>
  <si>
    <t>PORT SSR Chgs - 16 - 31 May 25</t>
  </si>
  <si>
    <t>Transportation In Chgs -16-31 MAY 25</t>
  </si>
  <si>
    <t>Empty Lolo Chgs - 01 - 31 MAY 25</t>
  </si>
  <si>
    <t>Credit note raised agaisnt INV_256788410019</t>
  </si>
  <si>
    <t>Credit note raised agaisnt INV_256788410023</t>
  </si>
  <si>
    <t>Fixed Rental charges for Aug 2024</t>
  </si>
  <si>
    <t>Storage Chgs - 01 - 31 Apr 25</t>
  </si>
  <si>
    <t>CODC Transport Chgs - 01 - 15 July 25</t>
  </si>
  <si>
    <t>VAS Activity Charges for the month of August, 24</t>
  </si>
  <si>
    <t>VAS Activity Charges for the month of September, 2</t>
  </si>
  <si>
    <t>Inbound Handling charges for Feb 2025</t>
  </si>
  <si>
    <t>LCL Movement Charges for Feb 2025</t>
  </si>
  <si>
    <t>Fixed Rental charges for Feb 2025</t>
  </si>
  <si>
    <t>Fixed Rental charges for Jan 2025</t>
  </si>
  <si>
    <t>Weighment-1-15 Aug 25</t>
  </si>
  <si>
    <t>LCL chgs - 01 - 15 AUG 25</t>
  </si>
  <si>
    <t>Outbound chgs - 01- 15 AUG 25</t>
  </si>
  <si>
    <t>Credit note raise against INV#1800000000</t>
  </si>
  <si>
    <t>Fixed Rental charges for Sept 2024</t>
  </si>
  <si>
    <t>Fixed Rental charges for Oct 2024</t>
  </si>
  <si>
    <t>Fixed Rental charges for Nov 2024</t>
  </si>
  <si>
    <t>Fixed Rental charges for Dec 2024</t>
  </si>
  <si>
    <t>2104196</t>
  </si>
  <si>
    <t>Credit note raised against INV_256788410267</t>
  </si>
  <si>
    <t>2125273</t>
  </si>
  <si>
    <t>2125274</t>
  </si>
  <si>
    <t>Credit note against - 256788410454</t>
  </si>
  <si>
    <t>CY Longstanding - March 25,16-31</t>
  </si>
  <si>
    <t>Outbound chgs - 01 - 15 May 25</t>
  </si>
  <si>
    <t>VAS Activity -1 -15 Mar 25, Ex Rate. 87.01</t>
  </si>
  <si>
    <t>2114882</t>
  </si>
  <si>
    <t>LCL chgs - 01 -15 OCT 25</t>
  </si>
  <si>
    <t>2114884</t>
  </si>
  <si>
    <t>Outbound chgs - 01 - 15 OCT 25</t>
  </si>
  <si>
    <t>Storage Charges Jan, 25</t>
  </si>
  <si>
    <t>Storage Charges Feb, 25</t>
  </si>
  <si>
    <t>Outbound Handling charges for Jan 2025</t>
  </si>
  <si>
    <t>CY Longstanding Ground Rent charges for Dec 2024.</t>
  </si>
  <si>
    <t>CY Longstanding Ground Rent charges for Nov 2024.</t>
  </si>
  <si>
    <t>CY Longstanding Ground Rent charges for Oct 2024.</t>
  </si>
  <si>
    <t>CY Longstanding Ground Rent charges for Sept 2024.</t>
  </si>
  <si>
    <t>12</t>
  </si>
  <si>
    <t>2139801</t>
  </si>
  <si>
    <t>Unit-Storage-1-30 Nov 25</t>
  </si>
  <si>
    <t>2139802</t>
  </si>
  <si>
    <t>Fixed Storage Charges for December 2025</t>
  </si>
  <si>
    <t>Fixed Rental charges for March 2025</t>
  </si>
  <si>
    <t>Outbound Handling charges for Feb 2025</t>
  </si>
  <si>
    <t>Outbound Handling charges for Sep 2024</t>
  </si>
  <si>
    <t>Loose Loading Handling charges for Sep 2024</t>
  </si>
  <si>
    <t>Outbound Handling charges for Nov 2024</t>
  </si>
  <si>
    <t>Loose handling Charges for Nov 2024</t>
  </si>
  <si>
    <t>Outbound Handling charges for Oct 2024</t>
  </si>
  <si>
    <t>Loose handling Charges for Oct 2024</t>
  </si>
  <si>
    <t>Outbound Handling charges for Dec 2024</t>
  </si>
  <si>
    <t>Inbound Handling charges for Sep 2024</t>
  </si>
  <si>
    <t>LCL charges for Sep 2024</t>
  </si>
  <si>
    <t>Inbound Handling charges for Oct 2024</t>
  </si>
  <si>
    <t>LCL Movement Charges for Oct 2024</t>
  </si>
  <si>
    <t>LCL Movement Charges for Nov 2024</t>
  </si>
  <si>
    <t>Inbound Handling charges for Nov 2024</t>
  </si>
  <si>
    <t>Inbound Handling charges for Dec 2024</t>
  </si>
  <si>
    <t>LCL Movement Charges for Dec 2024</t>
  </si>
  <si>
    <t>Inbound Handling charges for Jan 2025</t>
  </si>
  <si>
    <t>Loose handling Charges for Dec 2024</t>
  </si>
  <si>
    <t>Port SSR Charges - Shifting for Aug to Dec,24. Exc</t>
  </si>
  <si>
    <t>Ground Rent Jan 25 Exch Rate 86.64</t>
  </si>
  <si>
    <t>Ground Rent Feb 25 Exch Rate 87.40</t>
  </si>
  <si>
    <t>Ground Rent Jan 1-15 Exch Rate 85.62</t>
  </si>
  <si>
    <t>Ground Rent Jan 16-31 Exch Rate 85.62</t>
  </si>
  <si>
    <t>Detention Charges for FEB 2025 Exch. Rate 87.40</t>
  </si>
  <si>
    <t>2105240</t>
  </si>
  <si>
    <t>2130553</t>
  </si>
  <si>
    <t>VAS-Nov 1-15, 2025</t>
  </si>
  <si>
    <t>Weighment-Nov 1-15, 2025</t>
  </si>
  <si>
    <t>Inbound Handling Charges Aug 2024</t>
  </si>
  <si>
    <t>Outbound Handling Charges Aug 24</t>
  </si>
  <si>
    <t>Inbound Handling charges for 31 Mar 2025</t>
  </si>
  <si>
    <t>Outbound Handling charges for 31 Mar 2025</t>
  </si>
  <si>
    <t>Storage Charges March, 25</t>
  </si>
  <si>
    <t>2102481</t>
  </si>
  <si>
    <t>Transportation IN chgs - 01 - 15 SEP 25</t>
  </si>
  <si>
    <t>2102475</t>
  </si>
  <si>
    <t>CY Ground rent Chgs - 01 - 15 Sep 25</t>
  </si>
  <si>
    <t>2102482</t>
  </si>
  <si>
    <t>Transportation Out chgs - 01 - 15 SEP 25</t>
  </si>
  <si>
    <t>2140085</t>
  </si>
  <si>
    <t>Transportation chgs - 16 -30 NOV 25</t>
  </si>
  <si>
    <t>Sacnning chgs - 16 -30 NOV 25</t>
  </si>
  <si>
    <t>Empty Lolo chgs - 16 -30 NOV 25</t>
  </si>
  <si>
    <t>2140089</t>
  </si>
  <si>
    <t>Outbound chgs - 16 -30 NOV 25</t>
  </si>
  <si>
    <t>CY Longstanding Ground Rent charges for Aug 2024</t>
  </si>
  <si>
    <t>2110800</t>
  </si>
  <si>
    <t>VAS-16-30 Sept 25</t>
  </si>
  <si>
    <t>2110862</t>
  </si>
  <si>
    <t>CODC Out chgs -16-30 Sep 25</t>
  </si>
  <si>
    <t>VAS - 1-15 July 25</t>
  </si>
  <si>
    <t>VAS - 16-30 April 25, Ex.Rate-85.05</t>
  </si>
  <si>
    <t>CODC LCL Chgs - 16 - 30 Apr 25</t>
  </si>
  <si>
    <t>Fixed Storage Charges fo MAY 2025</t>
  </si>
  <si>
    <t>CY Ground rent Chgs - 01 - 30 Apr 25</t>
  </si>
  <si>
    <t>2114863</t>
  </si>
  <si>
    <t>VAS  -1-15 Oct 2025</t>
  </si>
  <si>
    <t>Weighment  -1-15 Oct 2025</t>
  </si>
  <si>
    <t>Unit storage -1-31 May 25</t>
  </si>
  <si>
    <t>2110510</t>
  </si>
  <si>
    <t>Unit-Storage-1-30 Sept 25</t>
  </si>
  <si>
    <t>2110501</t>
  </si>
  <si>
    <t>Transportation IN chgs - 16 - 30 SEP 25</t>
  </si>
  <si>
    <t>Scanning chgs - 16 - 30 SEP 25</t>
  </si>
  <si>
    <t>Bond Stamp Paper Chgs 01 - 30 Sep 25</t>
  </si>
  <si>
    <t>2110502</t>
  </si>
  <si>
    <t>Outbound chgs - 16 - 30 SEP 25</t>
  </si>
  <si>
    <t>2110488</t>
  </si>
  <si>
    <t>CY Ground rent Chgs - 16 - 30 Sep 25</t>
  </si>
  <si>
    <t>2110494</t>
  </si>
  <si>
    <t>Empty Lolo Chgs Sep 25</t>
  </si>
  <si>
    <t>2110505</t>
  </si>
  <si>
    <t>Fixed Storage Charges for October 2025</t>
  </si>
  <si>
    <t>2110980</t>
  </si>
  <si>
    <t>PORT SSR Chgs Sep 25</t>
  </si>
  <si>
    <t>2110500</t>
  </si>
  <si>
    <t>Unit-Storage-1-31 Aug 25</t>
  </si>
  <si>
    <t>2026</t>
  </si>
  <si>
    <t>2150026</t>
  </si>
  <si>
    <t>VAS - NOV 25,16-30</t>
  </si>
  <si>
    <t>2150004</t>
  </si>
  <si>
    <t>2156420</t>
  </si>
  <si>
    <t>Outbound chgs - 01 -15 DEC 25</t>
  </si>
  <si>
    <t>2156418</t>
  </si>
  <si>
    <t>LCL chgs - 01 -15 DEC 25</t>
  </si>
  <si>
    <t>2158405</t>
  </si>
  <si>
    <t>Transportation chgs - 16 -31 DEC 25</t>
  </si>
  <si>
    <t>Empty Lolo chgs - 16 -31 DEC 25</t>
  </si>
  <si>
    <t>PORT SSR chgs - 16 -31 DEC 25</t>
  </si>
  <si>
    <t>LCL Gate  chgs - 16 -31 DEC 25</t>
  </si>
  <si>
    <t>2158402</t>
  </si>
  <si>
    <t>CODC Out chgs -16-31 DEC 25</t>
  </si>
  <si>
    <t>2158407</t>
  </si>
  <si>
    <t>Outbound chgs - 16 -31 DEC 25</t>
  </si>
  <si>
    <t>2158409</t>
  </si>
  <si>
    <t>Unit-Storage-1-31 DEC 25</t>
  </si>
  <si>
    <t>2158637</t>
  </si>
  <si>
    <t>VAS-Dec 25 - 16-31</t>
  </si>
  <si>
    <t>2158668</t>
  </si>
  <si>
    <t>Fixed Storage Charges for January 2026</t>
  </si>
  <si>
    <t>2159218</t>
  </si>
  <si>
    <t>2160778</t>
  </si>
  <si>
    <t>CN against IBC Storage &amp; IBC LCL Charges</t>
  </si>
  <si>
    <t>CN against ISO Tank CY Storage Charges</t>
  </si>
  <si>
    <t>2160781</t>
  </si>
  <si>
    <t>CN Against LCL &amp; Inbound chgs - 16 -31 DEC 25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</si>
  <si>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</si>
  <si>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</si>
  <si>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</si>
  <si>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</si>
  <si>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</si>
  <si>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</si>
  <si>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</si>
  <si>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</si>
  <si>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</si>
  <si>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</si>
  <si>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</si>
  <si>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</si>
  <si>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</si>
  <si>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</si>
  <si>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</si>
  <si>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</si>
  <si>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</si>
  <si>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</si>
  <si>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</si>
  <si>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</si>
  <si>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</si>
  <si>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</si>
  <si>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</si>
  <si>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</si>
  <si>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</si>
  <si>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</si>
  <si>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</si>
  <si>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</si>
  <si>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</si>
  <si>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</si>
  <si>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</si>
  <si>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</si>
  <si>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Invoice No</t>
  </si>
  <si>
    <t>Sum of Company Code Currency Value</t>
  </si>
  <si>
    <t xml:space="preserve">DR </t>
  </si>
  <si>
    <t>CR note</t>
  </si>
  <si>
    <t>Invoice</t>
  </si>
  <si>
    <t>Customer payt</t>
  </si>
  <si>
    <t xml:space="preserve">DA </t>
  </si>
  <si>
    <t>Down Payt</t>
  </si>
  <si>
    <t>Date</t>
  </si>
  <si>
    <t>Amount</t>
  </si>
  <si>
    <t>Row Labels</t>
  </si>
  <si>
    <t>Grand Total</t>
  </si>
  <si>
    <t>Sum of Amount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</si>
  <si>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</si>
  <si>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</si>
  <si>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</si>
  <si>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</si>
  <si>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</si>
  <si>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</si>
  <si>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</si>
  <si>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</si>
  <si>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</si>
  <si>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</si>
  <si>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Credit Note</t>
  </si>
  <si>
    <t>Sales</t>
  </si>
  <si>
    <t>Particulars</t>
  </si>
  <si>
    <t>Net sales</t>
  </si>
  <si>
    <t>Tagging</t>
  </si>
  <si>
    <t>Storage</t>
  </si>
  <si>
    <t>Transportation</t>
  </si>
  <si>
    <t>CODC</t>
  </si>
  <si>
    <t>CY Ground Rent</t>
  </si>
  <si>
    <t>Handling</t>
  </si>
  <si>
    <t>VAS</t>
  </si>
  <si>
    <t>LCL</t>
  </si>
  <si>
    <t>LOLO</t>
  </si>
  <si>
    <t>Weightment</t>
  </si>
  <si>
    <t>Scanning</t>
  </si>
  <si>
    <t>SSR</t>
  </si>
  <si>
    <t>Detention</t>
  </si>
  <si>
    <t>Others</t>
  </si>
  <si>
    <t>Details for Sum of Company Code Currency Value - Tagging: Storage</t>
  </si>
  <si>
    <t>Month</t>
  </si>
  <si>
    <t>Sum of USD</t>
  </si>
  <si>
    <t>Sum of INR</t>
  </si>
  <si>
    <t>BILL NO</t>
  </si>
  <si>
    <t>REMARK</t>
  </si>
  <si>
    <t>As per MIS</t>
  </si>
  <si>
    <t>As per Ledger</t>
  </si>
  <si>
    <t>Diffrence</t>
  </si>
  <si>
    <t>Transportation &amp; Handling</t>
  </si>
  <si>
    <t>Differnece</t>
  </si>
  <si>
    <t>Details for Sum of Company Code Currency Value - Tagging: CY Ground Rent</t>
  </si>
  <si>
    <t>DATE</t>
  </si>
  <si>
    <t>As per Mis</t>
  </si>
  <si>
    <t>&lt;13-02-2025</t>
  </si>
  <si>
    <t>Qtr1</t>
  </si>
  <si>
    <t>Qtr2</t>
  </si>
  <si>
    <t>Qtr3</t>
  </si>
  <si>
    <t>Qtr4</t>
  </si>
  <si>
    <t>Dec</t>
  </si>
  <si>
    <t>Jan</t>
  </si>
  <si>
    <t>Years</t>
  </si>
  <si>
    <t>Quarters</t>
  </si>
  <si>
    <t>Total</t>
  </si>
  <si>
    <t>DG-Credit Note</t>
  </si>
  <si>
    <t>DR-Sales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</si>
</sst>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yyyy/mm/dd;@"/>
    <numFmt numFmtId="166" formatCode="[$-F800]dddd\,\ mmmm\ dd\,\ yyyy"/>
  </numFmts>
  <fonts count="4">
    <font>
      <sz val="10"/>
      <name val="Arial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4" borderId="1" xfId="0" applyNumberFormat="1" applyFill="1" applyBorder="1" applyAlignment="1">
      <alignment horizontal="left" vertical="top"/>
    </xf>
    <xf numFmtId="1" fontId="0" fillId="3" borderId="1" xfId="0" applyNumberFormat="1" applyFill="1" applyBorder="1" applyAlignment="1">
      <alignment horizontal="left" vertical="top"/>
    </xf>
    <xf numFmtId="0" fontId="0" fillId="0" borderId="0" xfId="0" pivotButton="1" applyAlignment="1">
      <alignment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1" fillId="0" borderId="1" xfId="0" applyFont="1" applyBorder="1" applyAlignment="1">
      <alignment vertical="top"/>
    </xf>
    <xf numFmtId="164" fontId="1" fillId="0" borderId="1" xfId="1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164" fontId="0" fillId="5" borderId="1" xfId="1" applyNumberFormat="1" applyFont="1" applyFill="1" applyBorder="1" applyAlignment="1">
      <alignment vertical="top"/>
    </xf>
    <xf numFmtId="0" fontId="3" fillId="0" borderId="0" xfId="0" applyFont="1" applyAlignment="1">
      <alignment vertical="top"/>
    </xf>
    <xf numFmtId="165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0" fontId="2" fillId="6" borderId="1" xfId="0" applyFont="1" applyFill="1" applyBorder="1"/>
    <xf numFmtId="165" fontId="0" fillId="0" borderId="1" xfId="0" applyNumberFormat="1" applyBorder="1"/>
    <xf numFmtId="164" fontId="0" fillId="0" borderId="1" xfId="1" applyNumberFormat="1" applyFont="1" applyBorder="1"/>
    <xf numFmtId="165" fontId="1" fillId="0" borderId="1" xfId="0" applyNumberFormat="1" applyFont="1" applyBorder="1"/>
    <xf numFmtId="14" fontId="0" fillId="0" borderId="0" xfId="0" applyNumberFormat="1" applyAlignment="1">
      <alignment horizontal="left" vertical="top"/>
    </xf>
    <xf numFmtId="164" fontId="0" fillId="0" borderId="1" xfId="1" applyNumberFormat="1" applyFont="1" applyFill="1" applyBorder="1"/>
    <xf numFmtId="1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0" fontId="0" fillId="0" borderId="1" xfId="0" applyBorder="1"/>
    <xf numFmtId="43" fontId="0" fillId="0" borderId="0" xfId="0" applyNumberFormat="1" applyAlignment="1">
      <alignment vertical="top"/>
    </xf>
    <xf numFmtId="164" fontId="0" fillId="7" borderId="1" xfId="1" applyNumberFormat="1" applyFont="1" applyFill="1" applyBorder="1" applyAlignment="1">
      <alignment vertical="top"/>
    </xf>
    <xf numFmtId="164" fontId="0" fillId="8" borderId="0" xfId="0" applyNumberFormat="1" applyFill="1" applyAlignment="1">
      <alignment vertical="top"/>
    </xf>
    <xf numFmtId="164" fontId="0" fillId="9" borderId="0" xfId="0" applyNumberFormat="1" applyFill="1" applyAlignment="1">
      <alignment vertical="top"/>
    </xf>
    <xf numFmtId="164" fontId="0" fillId="10" borderId="0" xfId="0" applyNumberFormat="1" applyFill="1" applyAlignment="1">
      <alignment vertical="top"/>
    </xf>
    <xf numFmtId="0" fontId="0" fillId="6" borderId="1" xfId="0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0" xfId="0" applyNumberFormat="1" applyAlignment="1">
      <alignment vertical="top"/>
    </xf>
    <xf numFmtId="0" fontId="1" fillId="11" borderId="1" xfId="0" applyFont="1" applyFill="1" applyBorder="1" applyAlignment="1">
      <alignment vertical="top"/>
    </xf>
    <xf numFmtId="164" fontId="0" fillId="11" borderId="1" xfId="0" applyNumberFormat="1" applyFill="1" applyBorder="1" applyAlignment="1">
      <alignment vertical="top"/>
    </xf>
    <xf numFmtId="164" fontId="0" fillId="11" borderId="1" xfId="1" applyNumberFormat="1" applyFont="1" applyFill="1" applyBorder="1" applyAlignment="1">
      <alignment vertical="top"/>
    </xf>
    <xf numFmtId="164" fontId="0" fillId="6" borderId="1" xfId="1" applyNumberFormat="1" applyFont="1" applyFill="1" applyBorder="1" applyAlignment="1">
      <alignment vertical="top"/>
    </xf>
    <xf numFmtId="164" fontId="1" fillId="11" borderId="1" xfId="1" applyNumberFormat="1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MCA-C-16/Desktop/Working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"/>
      <sheetName val="Mis Reco"/>
      <sheetName val="Bilings from MIS"/>
      <sheetName val="26AS VS Clinet ledger"/>
      <sheetName val="26AS"/>
      <sheetName val="Storage"/>
      <sheetName val="CY"/>
      <sheetName val="Summary sales"/>
      <sheetName val="Sales Tagged"/>
      <sheetName val="Updated Ledger"/>
      <sheetName val="Consolidated ledger"/>
      <sheetName val="Anomolus Ledge"/>
      <sheetName val="Ascendus Ledger"/>
    </sheetNames>
    <sheetDataSet>
      <sheetData sheetId="0"/>
      <sheetData sheetId="1">
        <row r="21">
          <cell r="C21">
            <v>10969385.998570982</v>
          </cell>
          <cell r="I21">
            <v>828114.26799999992</v>
          </cell>
          <cell r="L21">
            <v>327302</v>
          </cell>
          <cell r="P21">
            <v>25258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482909143517" createdVersion="8" refreshedVersion="8" minRefreshableVersion="3" recordCount="219" xr:uid="{FD7FFBAF-C94A-4922-BA21-6EA580148032}">
  <cacheSource type="worksheet">
    <worksheetSource ref="A1:AG220" sheet="Sheet1"/>
  </cacheSource>
  <cacheFields count="38">
    <cacheField name="Cleared Item" numFmtId="0">
      <sharedItems/>
    </cacheField>
    <cacheField name="Company Code" numFmtId="0">
      <sharedItems containsSemiMixedTypes="0" containsString="0" containsNumber="1" containsInteger="1" minValue="6779" maxValue="6788"/>
    </cacheField>
    <cacheField name="Customer" numFmtId="0">
      <sharedItems containsSemiMixedTypes="0" containsString="0" containsNumber="1" containsInteger="1" minValue="100222362" maxValue="100222362"/>
    </cacheField>
    <cacheField name="Customer Account: Name 1" numFmtId="0">
      <sharedItems/>
    </cacheField>
    <cacheField name="Fiscal Year" numFmtId="0">
      <sharedItems/>
    </cacheField>
    <cacheField name="Posting period" numFmtId="0">
      <sharedItems/>
    </cacheField>
    <cacheField name="Posting Date" numFmtId="14">
      <sharedItems containsSemiMixedTypes="0" containsNonDate="0" containsDate="1" containsString="0" minDate="2025-02-13T00:00:00" maxDate="2026-01-20T00:00:00" count="59">
        <d v="2025-04-11T00:00:00"/>
        <d v="2025-02-17T00:00:00"/>
        <d v="2025-08-20T00:00:00"/>
        <d v="2025-10-01T00:00:00"/>
        <d v="2025-10-29T00:00:00"/>
        <d v="2025-02-13T00:00:00"/>
        <d v="2025-03-28T00:00:00"/>
        <d v="2025-04-01T00:00:00"/>
        <d v="2025-11-15T00:00:00"/>
        <d v="2025-09-04T00:00:00"/>
        <d v="2025-04-04T00:00:00"/>
        <d v="2025-03-06T00:00:00"/>
        <d v="2025-03-03T00:00:00"/>
        <d v="2025-08-01T00:00:00"/>
        <d v="2025-06-10T00:00:00"/>
        <d v="2025-09-17T00:00:00"/>
        <d v="2025-05-08T00:00:00"/>
        <d v="2025-10-17T00:00:00"/>
        <d v="2025-04-16T00:00:00"/>
        <d v="2025-07-09T00:00:00"/>
        <d v="2025-07-04T00:00:00"/>
        <d v="2025-11-05T00:00:00"/>
        <d v="2025-08-08T00:00:00"/>
        <d v="2025-06-04T00:00:00"/>
        <d v="2025-05-16T00:00:00"/>
        <d v="2025-05-28T00:00:00"/>
        <d v="2025-07-18T00:00:00"/>
        <d v="2025-03-13T00:00:00"/>
        <d v="2025-03-20T00:00:00"/>
        <d v="2025-02-20T00:00:00"/>
        <d v="2025-02-19T00:00:00"/>
        <d v="2025-09-23T00:00:00"/>
        <d v="2025-11-12T00:00:00"/>
        <d v="2025-06-13T00:00:00"/>
        <d v="2025-05-20T00:00:00"/>
        <d v="2025-04-03T00:00:00"/>
        <d v="2025-10-20T00:00:00"/>
        <d v="2025-04-02T00:00:00"/>
        <d v="2025-12-04T00:00:00"/>
        <d v="2025-03-18T00:00:00"/>
        <d v="2025-03-19T00:00:00"/>
        <d v="2025-09-24T00:00:00"/>
        <d v="2025-11-20T00:00:00"/>
        <d v="2025-04-22T00:00:00"/>
        <d v="2025-09-18T00:00:00"/>
        <d v="2025-12-05T00:00:00"/>
        <d v="2025-02-21T00:00:00"/>
        <d v="2025-10-07T00:00:00"/>
        <d v="2025-07-19T00:00:00"/>
        <d v="2025-05-10T00:00:00"/>
        <d v="2025-10-18T00:00:00"/>
        <d v="2025-06-07T00:00:00"/>
        <d v="2025-10-06T00:00:00"/>
        <d v="2025-10-05T00:00:00"/>
        <d v="2025-09-06T00:00:00"/>
        <d v="2026-01-05T00:00:00"/>
        <d v="2026-01-12T00:00:00"/>
        <d v="2026-01-06T00:00:00"/>
        <d v="2026-01-19T00:00:00"/>
      </sharedItems>
      <fieldGroup par="35"/>
    </cacheField>
    <cacheField name="Document Number" numFmtId="0">
      <sharedItems containsSemiMixedTypes="0" containsString="0" containsNumber="1" containsInteger="1" minValue="1400000001" maxValue="7000000131"/>
    </cacheField>
    <cacheField name="Document Type" numFmtId="0">
      <sharedItems count="6">
        <s v="DA"/>
        <s v="DY"/>
        <s v="DZ"/>
        <s v="XC"/>
        <s v="DR"/>
        <s v="DG"/>
      </sharedItems>
    </cacheField>
    <cacheField name="Document Date" numFmtId="14">
      <sharedItems containsSemiMixedTypes="0" containsNonDate="0" containsDate="1" containsString="0" minDate="2025-02-13T00:00:00" maxDate="2026-01-20T00:00:00" count="58">
        <d v="2025-04-11T00:00:00"/>
        <d v="2025-02-17T00:00:00"/>
        <d v="2025-08-20T00:00:00"/>
        <d v="2025-10-01T00:00:00"/>
        <d v="2025-10-29T00:00:00"/>
        <d v="2025-02-13T00:00:00"/>
        <d v="2025-03-27T00:00:00"/>
        <d v="2025-11-15T00:00:00"/>
        <d v="2025-09-04T00:00:00"/>
        <d v="2025-04-04T00:00:00"/>
        <d v="2025-03-06T00:00:00"/>
        <d v="2025-03-03T00:00:00"/>
        <d v="2025-08-01T00:00:00"/>
        <d v="2025-06-10T00:00:00"/>
        <d v="2025-09-17T00:00:00"/>
        <d v="2025-05-08T00:00:00"/>
        <d v="2025-10-17T00:00:00"/>
        <d v="2025-04-16T00:00:00"/>
        <d v="2025-07-09T00:00:00"/>
        <d v="2025-07-04T00:00:00"/>
        <d v="2025-11-05T00:00:00"/>
        <d v="2025-08-08T00:00:00"/>
        <d v="2025-06-04T00:00:00"/>
        <d v="2025-05-16T00:00:00"/>
        <d v="2025-05-28T00:00:00"/>
        <d v="2025-07-18T00:00:00"/>
        <d v="2025-03-13T00:00:00"/>
        <d v="2025-03-20T00:00:00"/>
        <d v="2025-02-20T00:00:00"/>
        <d v="2025-02-19T00:00:00"/>
        <d v="2025-09-23T00:00:00"/>
        <d v="2025-11-12T00:00:00"/>
        <d v="2025-06-13T00:00:00"/>
        <d v="2025-05-20T00:00:00"/>
        <d v="2025-04-03T00:00:00"/>
        <d v="2025-10-20T00:00:00"/>
        <d v="2025-04-02T00:00:00"/>
        <d v="2025-12-04T00:00:00"/>
        <d v="2025-03-18T00:00:00"/>
        <d v="2025-03-19T00:00:00"/>
        <d v="2025-09-24T00:00:00"/>
        <d v="2025-11-20T00:00:00"/>
        <d v="2025-04-22T00:00:00"/>
        <d v="2025-09-18T00:00:00"/>
        <d v="2025-12-05T00:00:00"/>
        <d v="2025-02-21T00:00:00"/>
        <d v="2025-10-07T00:00:00"/>
        <d v="2025-07-19T00:00:00"/>
        <d v="2025-05-10T00:00:00"/>
        <d v="2025-10-18T00:00:00"/>
        <d v="2025-06-07T00:00:00"/>
        <d v="2025-10-06T00:00:00"/>
        <d v="2025-10-05T00:00:00"/>
        <d v="2025-09-06T00:00:00"/>
        <d v="2026-01-05T00:00:00"/>
        <d v="2026-01-12T00:00:00"/>
        <d v="2026-01-06T00:00:00"/>
        <d v="2026-01-19T00:00:00"/>
      </sharedItems>
      <fieldGroup par="37" base="9">
        <rangePr groupBy="months" startDate="2025-02-13T00:00:00" endDate="2026-01-20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1-2026"/>
        </groupItems>
      </fieldGroup>
    </cacheField>
    <cacheField name="Entry Date" numFmtId="14">
      <sharedItems containsSemiMixedTypes="0" containsNonDate="0" containsDate="1" containsString="0" minDate="2025-02-13T00:00:00" maxDate="2026-01-22T00:00:00"/>
    </cacheField>
    <cacheField name="Document Header Text" numFmtId="0">
      <sharedItems/>
    </cacheField>
    <cacheField name="Invoice No" numFmtId="0">
      <sharedItems containsMixedTypes="1" containsNumber="1" containsInteger="1" minValue="246779414916" maxValue="256788420150"/>
    </cacheField>
    <cacheField name="G/L Account" numFmtId="0">
      <sharedItems/>
    </cacheField>
    <cacheField name="G/L Account: Short Text" numFmtId="0">
      <sharedItems/>
    </cacheField>
    <cacheField name="Special G/L Ind." numFmtId="0">
      <sharedItems/>
    </cacheField>
    <cacheField name="Posting Key" numFmtId="0">
      <sharedItems/>
    </cacheField>
    <cacheField name="Document Currency Key" numFmtId="0">
      <sharedItems/>
    </cacheField>
    <cacheField name="Document Currency Value" numFmtId="4">
      <sharedItems containsSemiMixedTypes="0" containsString="0" containsNumber="1" minValue="-5000000" maxValue="11976.87"/>
    </cacheField>
    <cacheField name="Company Code Currency Key" numFmtId="0">
      <sharedItems/>
    </cacheField>
    <cacheField name="Company Code Currency Value" numFmtId="4">
      <sharedItems containsSemiMixedTypes="0" containsString="0" containsNumber="1" minValue="-5000000" maxValue="1030371.56"/>
    </cacheField>
    <cacheField name="Tax Code" numFmtId="0">
      <sharedItems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Item" numFmtId="0">
      <sharedItems/>
    </cacheField>
    <cacheField name="Text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Baseline Payment Dte" numFmtId="14">
      <sharedItems containsSemiMixedTypes="0" containsNonDate="0" containsDate="1" containsString="0" minDate="2025-02-13T00:00:00" maxDate="2026-01-20T00:00:00"/>
    </cacheField>
    <cacheField name="Clearing Date" numFmtId="14">
      <sharedItems containsNonDate="0" containsDate="1" containsString="0" containsBlank="1" minDate="2025-02-19T00:00:00" maxDate="2025-11-16T00:00:00"/>
    </cacheField>
    <cacheField name="Clearing Document" numFmtId="0">
      <sharedItems/>
    </cacheField>
    <cacheField name="Months (Posting Date)" numFmtId="0" databaseField="0">
      <fieldGroup base="6">
        <rangePr groupBy="months" startDate="2025-02-13T00:00:00" endDate="2026-01-20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1-2026"/>
        </groupItems>
      </fieldGroup>
    </cacheField>
    <cacheField name="Quarters (Posting Date)" numFmtId="0" databaseField="0">
      <fieldGroup base="6">
        <rangePr groupBy="quarters" startDate="2025-02-13T00:00:00" endDate="2026-01-20T00:00:00"/>
        <groupItems count="6">
          <s v="&lt;13-02-2025"/>
          <s v="Qtr1"/>
          <s v="Qtr2"/>
          <s v="Qtr3"/>
          <s v="Qtr4"/>
          <s v="&gt;20-01-2026"/>
        </groupItems>
      </fieldGroup>
    </cacheField>
    <cacheField name="Years (Posting Date)" numFmtId="0" databaseField="0">
      <fieldGroup base="6">
        <rangePr groupBy="years" startDate="2025-02-13T00:00:00" endDate="2026-01-20T00:00:00"/>
        <groupItems count="4">
          <s v="&lt;13-02-2025"/>
          <s v="2025"/>
          <s v="2026"/>
          <s v="&gt;20-01-2026"/>
        </groupItems>
      </fieldGroup>
    </cacheField>
    <cacheField name="Quarters" numFmtId="0" databaseField="0">
      <fieldGroup base="9">
        <rangePr groupBy="quarters" startDate="2025-02-13T00:00:00" endDate="2026-01-20T00:00:00"/>
        <groupItems count="6">
          <s v="&lt;13-02-2025"/>
          <s v="Qtr1"/>
          <s v="Qtr2"/>
          <s v="Qtr3"/>
          <s v="Qtr4"/>
          <s v="&gt;20-01-2026"/>
        </groupItems>
      </fieldGroup>
    </cacheField>
    <cacheField name="Years" numFmtId="0" databaseField="0">
      <fieldGroup base="9">
        <rangePr groupBy="years" startDate="2025-02-13T00:00:00" endDate="2026-01-20T00:00:00"/>
        <groupItems count="4">
          <s v="&lt;13-02-2025"/>
          <s v="2025"/>
          <s v="2026"/>
          <s v="&gt;20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720152083333" createdVersion="8" refreshedVersion="8" minRefreshableVersion="3" recordCount="43" xr:uid="{10D1473D-CF3A-45BC-95B6-63D301B92CA9}">
  <cacheSource type="worksheet">
    <worksheetSource ref="A2:B45" sheet="Sheet3"/>
  </cacheSource>
  <cacheFields count="4">
    <cacheField name="Date" numFmtId="14">
      <sharedItems containsSemiMixedTypes="0" containsNonDate="0" containsDate="1" containsString="0" minDate="2025-02-17T00:00:00" maxDate="2025-11-21T00:00:00" count="43">
        <d v="2025-02-17T00:00:00"/>
        <d v="2025-02-19T00:00:00"/>
        <d v="2025-02-20T00:00:00"/>
        <d v="2025-02-21T00:00:00"/>
        <d v="2025-03-03T00:00:00"/>
        <d v="2025-03-06T00:00:00"/>
        <d v="2025-03-13T00:00:00"/>
        <d v="2025-03-18T00:00:00"/>
        <d v="2025-03-19T00:00:00"/>
        <d v="2025-03-20T00:00:00"/>
        <d v="2025-04-02T00:00:00"/>
        <d v="2025-04-03T00:00:00"/>
        <d v="2025-04-04T00:00:00"/>
        <d v="2025-04-16T00:00:00"/>
        <d v="2025-04-22T00:00:00"/>
        <d v="2025-05-08T00:00:00"/>
        <d v="2025-05-10T00:00:00"/>
        <d v="2025-05-20T00:00:00"/>
        <d v="2025-05-28T00:00:00"/>
        <d v="2025-06-04T00:00:00"/>
        <d v="2025-06-07T00:00:00"/>
        <d v="2025-06-10T00:00:00"/>
        <d v="2025-06-13T00:00:00"/>
        <d v="2025-07-04T00:00:00"/>
        <d v="2025-07-09T00:00:00"/>
        <d v="2025-07-18T00:00:00"/>
        <d v="2025-07-19T00:00:00"/>
        <d v="2025-08-01T00:00:00"/>
        <d v="2025-08-08T00:00:00"/>
        <d v="2025-08-20T00:00:00"/>
        <d v="2025-09-04T00:00:00"/>
        <d v="2025-09-06T00:00:00"/>
        <d v="2025-09-17T00:00:00"/>
        <d v="2025-09-18T00:00:00"/>
        <d v="2025-09-24T00:00:00"/>
        <d v="2025-10-05T00:00:00"/>
        <d v="2025-10-06T00:00:00"/>
        <d v="2025-10-07T00:00:00"/>
        <d v="2025-10-18T00:00:00"/>
        <d v="2025-10-20T00:00:00"/>
        <d v="2025-11-05T00:00:00"/>
        <d v="2025-11-12T00:00:00"/>
        <d v="2025-11-20T00:00:00"/>
      </sharedItems>
      <fieldGroup par="3"/>
    </cacheField>
    <cacheField name="Amount" numFmtId="164">
      <sharedItems containsSemiMixedTypes="0" containsString="0" containsNumber="1" minValue="299.88" maxValue="2921151.2"/>
    </cacheField>
    <cacheField name="Days (Date)" numFmtId="0" databaseField="0">
      <fieldGroup base="0">
        <rangePr groupBy="days" startDate="2025-02-17T00:00:00" endDate="2025-11-21T00:00:00"/>
        <groupItems count="368">
          <s v="&lt;17-02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11-2025"/>
        </groupItems>
      </fieldGroup>
    </cacheField>
    <cacheField name="Months (Date)" numFmtId="0" databaseField="0">
      <fieldGroup base="0">
        <rangePr groupBy="months" startDate="2025-02-17T00:00:00" endDate="2025-11-21T00:00:00"/>
        <groupItems count="14">
          <s v="&lt;17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5.523705671294" createdVersion="8" refreshedVersion="8" minRefreshableVersion="3" recordCount="192" xr:uid="{DBF709C1-F536-4760-A635-466632ECF97D}">
  <cacheSource type="worksheet">
    <worksheetSource ref="A1:S193" sheet="Sales"/>
  </cacheSource>
  <cacheFields count="19">
    <cacheField name="Customer Account: Name 1" numFmtId="0">
      <sharedItems/>
    </cacheField>
    <cacheField name="Fiscal Year" numFmtId="0">
      <sharedItems/>
    </cacheField>
    <cacheField name="Posting period" numFmtId="0">
      <sharedItems/>
    </cacheField>
    <cacheField name="Posting Date" numFmtId="0">
      <sharedItems containsSemiMixedTypes="0" containsString="0" containsNumber="1" containsInteger="1" minValue="45705" maxValue="46034"/>
    </cacheField>
    <cacheField name="Document Number" numFmtId="0">
      <sharedItems containsSemiMixedTypes="0" containsString="0" containsNumber="1" containsInteger="1" minValue="1800000000" maxValue="1800016633"/>
    </cacheField>
    <cacheField name="Document Type" numFmtId="0">
      <sharedItems/>
    </cacheField>
    <cacheField name="Document Date" numFmtId="0">
      <sharedItems containsSemiMixedTypes="0" containsDate="1" containsString="0" containsMixedTypes="1" minDate="1900-01-03T12:51:04" maxDate="1900-01-05T05:51:04"/>
    </cacheField>
    <cacheField name="Entry Date" numFmtId="0">
      <sharedItems containsSemiMixedTypes="0" containsString="0" containsNumber="1" containsInteger="1" minValue="45705" maxValue="46035"/>
    </cacheField>
    <cacheField name="Invoice No" numFmtId="0">
      <sharedItems containsSemiMixedTypes="0" containsString="0" containsNumber="1" containsInteger="1" minValue="246779414916" maxValue="256788410514"/>
    </cacheField>
    <cacheField name="G/L Account" numFmtId="0">
      <sharedItems/>
    </cacheField>
    <cacheField name="Document Currency Key" numFmtId="0">
      <sharedItems/>
    </cacheField>
    <cacheField name="Document Currency Value" numFmtId="0">
      <sharedItems containsSemiMixedTypes="0" containsString="0" containsNumber="1" minValue="0.5" maxValue="11976.87"/>
    </cacheField>
    <cacheField name="Company Code Currency Key" numFmtId="0">
      <sharedItems/>
    </cacheField>
    <cacheField name="Company Code Currency Value" numFmtId="0">
      <sharedItems containsSemiMixedTypes="0" containsString="0" containsNumber="1" minValue="43.35" maxValue="1030371.56"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Text" numFmtId="0">
      <sharedItems/>
    </cacheField>
    <cacheField name="Tagging" numFmtId="0">
      <sharedItems count="13">
        <s v="Transportation"/>
        <s v="Storage"/>
        <s v="CY Ground Rent"/>
        <s v="VAS"/>
        <s v="Handling"/>
        <s v="CODC"/>
        <s v="Weightment"/>
        <s v="LOLO"/>
        <s v="SSR"/>
        <s v="LCL"/>
        <s v="Scanning"/>
        <s v="Detention"/>
        <s v="Oth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5.533680555556" createdVersion="8" refreshedVersion="8" minRefreshableVersion="3" recordCount="40" xr:uid="{82D4D4F9-6887-4ED9-BF3D-D7C2158C0A93}">
  <cacheSource type="worksheet">
    <worksheetSource ref="A1:E41" sheet="Storage"/>
  </cacheSource>
  <cacheFields count="8">
    <cacheField name="USD" numFmtId="0">
      <sharedItems containsSemiMixedTypes="0" containsString="0" containsNumber="1" minValue="75" maxValue="11976.87"/>
    </cacheField>
    <cacheField name="INR" numFmtId="0">
      <sharedItems containsSemiMixedTypes="0" containsString="0" containsNumber="1" minValue="6411.81" maxValue="1030371.56"/>
    </cacheField>
    <cacheField name="BILL NO" numFmtId="0">
      <sharedItems/>
    </cacheField>
    <cacheField name="REMARK" numFmtId="0">
      <sharedItems/>
    </cacheField>
    <cacheField name="Date" numFmtId="0">
      <sharedItems containsSemiMixedTypes="0" containsNonDate="0" containsDate="1" containsString="0" minDate="2024-08-01T00:00:00" maxDate="2026-01-02T00:00:00" count="18">
        <d v="2025-12-01T00:00:00"/>
        <d v="2025-08-01T00:00:00"/>
        <d v="2024-11-01T00:00:00"/>
        <d v="2024-12-01T00:00:00"/>
        <d v="2025-09-01T00:00:00"/>
        <d v="2024-08-01T00:00:00"/>
        <d v="2024-09-01T00:00:00"/>
        <d v="2024-10-01T00:00:00"/>
        <d v="2025-05-01T00:00:00"/>
        <d v="2025-03-01T00:00:00"/>
        <d v="2025-11-01T00:00:00"/>
        <d v="2025-02-01T00:00:00"/>
        <d v="2025-01-01T00:00:00"/>
        <d v="2025-10-01T00:00:00"/>
        <d v="2025-06-01T00:00:00"/>
        <d v="2025-04-01T00:00:00"/>
        <d v="2025-07-01T00:00:00"/>
        <d v="2026-01-01T00:00:00"/>
      </sharedItems>
      <fieldGroup par="7"/>
    </cacheField>
    <cacheField name="Months (Date)" numFmtId="0" databaseField="0">
      <fieldGroup base="4">
        <rangePr groupBy="months" startDate="2024-08-01T00:00:00" endDate="2026-01-02T00:00:00"/>
        <groupItems count="14">
          <s v="&lt;01-08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Date)" numFmtId="0" databaseField="0">
      <fieldGroup base="4">
        <rangePr groupBy="quarters" startDate="2024-08-01T00:00:00" endDate="2026-01-02T00:00:00"/>
        <groupItems count="6">
          <s v="&lt;01-08-2024"/>
          <s v="Qtr1"/>
          <s v="Qtr2"/>
          <s v="Qtr3"/>
          <s v="Qtr4"/>
          <s v="&gt;02-01-2026"/>
        </groupItems>
      </fieldGroup>
    </cacheField>
    <cacheField name="Years (Date)" numFmtId="0" databaseField="0">
      <fieldGroup base="4">
        <rangePr groupBy="years" startDate="2024-08-01T00:00:00" endDate="2026-01-02T00:00:00"/>
        <groupItems count="5">
          <s v="&lt;01-08-2024"/>
          <s v="2024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3.804169560186" createdVersion="7" refreshedVersion="7" minRefreshableVersion="3" recordCount="223" xr:uid="{AEB1920A-109B-4220-B548-F3707DC8311F}">
  <cacheSource type="worksheet">
    <worksheetSource ref="A1:AG224" sheet="Sheet1"/>
  </cacheSource>
  <cacheFields count="35">
    <cacheField name="Cleared Item" numFmtId="0">
      <sharedItems/>
    </cacheField>
    <cacheField name="Company Code" numFmtId="0">
      <sharedItems containsMixedTypes="1" containsNumber="1" containsInteger="1" minValue="6779" maxValue="6788"/>
    </cacheField>
    <cacheField name="Customer" numFmtId="0">
      <sharedItems containsMixedTypes="1" containsNumber="1" containsInteger="1" minValue="100222362" maxValue="100222362"/>
    </cacheField>
    <cacheField name="Customer Account: Name 1" numFmtId="0">
      <sharedItems/>
    </cacheField>
    <cacheField name="Fiscal Year" numFmtId="0">
      <sharedItems/>
    </cacheField>
    <cacheField name="Posting period" numFmtId="0">
      <sharedItems/>
    </cacheField>
    <cacheField name="Posting Date" numFmtId="14">
      <sharedItems containsNonDate="0" containsDate="1" containsString="0" containsBlank="1" minDate="2025-02-13T00:00:00" maxDate="2026-01-20T00:00:00"/>
    </cacheField>
    <cacheField name="Document Number" numFmtId="0">
      <sharedItems containsMixedTypes="1" containsNumber="1" containsInteger="1" minValue="1400000001" maxValue="7000000131"/>
    </cacheField>
    <cacheField name="Document Type" numFmtId="0">
      <sharedItems/>
    </cacheField>
    <cacheField name="Document Date" numFmtId="14">
      <sharedItems containsNonDate="0" containsDate="1" containsString="0" containsBlank="1" minDate="2025-02-13T00:00:00" maxDate="2026-01-20T00:00:00" count="59">
        <d v="2025-04-11T00:00:00"/>
        <d v="2025-02-17T00:00:00"/>
        <d v="2025-08-20T00:00:00"/>
        <d v="2025-10-01T00:00:00"/>
        <d v="2025-10-29T00:00:00"/>
        <d v="2025-02-13T00:00:00"/>
        <d v="2025-03-27T00:00:00"/>
        <d v="2025-11-15T00:00:00"/>
        <d v="2025-09-04T00:00:00"/>
        <d v="2025-04-04T00:00:00"/>
        <d v="2025-03-06T00:00:00"/>
        <d v="2025-03-03T00:00:00"/>
        <d v="2025-08-01T00:00:00"/>
        <d v="2025-06-10T00:00:00"/>
        <d v="2025-09-17T00:00:00"/>
        <d v="2025-05-08T00:00:00"/>
        <d v="2025-10-17T00:00:00"/>
        <d v="2025-04-16T00:00:00"/>
        <d v="2025-07-09T00:00:00"/>
        <d v="2025-07-04T00:00:00"/>
        <d v="2025-11-05T00:00:00"/>
        <d v="2025-08-08T00:00:00"/>
        <d v="2025-06-04T00:00:00"/>
        <d v="2025-05-16T00:00:00"/>
        <d v="2025-05-28T00:00:00"/>
        <d v="2025-07-18T00:00:00"/>
        <d v="2025-03-13T00:00:00"/>
        <d v="2025-03-20T00:00:00"/>
        <d v="2025-02-20T00:00:00"/>
        <d v="2025-02-19T00:00:00"/>
        <d v="2025-09-23T00:00:00"/>
        <d v="2025-11-12T00:00:00"/>
        <d v="2025-06-13T00:00:00"/>
        <d v="2025-05-20T00:00:00"/>
        <d v="2025-04-03T00:00:00"/>
        <d v="2025-10-20T00:00:00"/>
        <d v="2025-04-02T00:00:00"/>
        <d v="2025-12-04T00:00:00"/>
        <d v="2025-03-18T00:00:00"/>
        <d v="2025-03-19T00:00:00"/>
        <d v="2025-09-24T00:00:00"/>
        <d v="2025-11-20T00:00:00"/>
        <d v="2025-04-22T00:00:00"/>
        <d v="2025-09-18T00:00:00"/>
        <d v="2025-12-05T00:00:00"/>
        <d v="2025-02-21T00:00:00"/>
        <d v="2025-10-07T00:00:00"/>
        <d v="2025-07-19T00:00:00"/>
        <d v="2025-05-10T00:00:00"/>
        <d v="2025-10-18T00:00:00"/>
        <d v="2025-06-07T00:00:00"/>
        <d v="2025-10-06T00:00:00"/>
        <d v="2025-10-05T00:00:00"/>
        <d v="2025-09-06T00:00:00"/>
        <d v="2026-01-05T00:00:00"/>
        <d v="2026-01-12T00:00:00"/>
        <d v="2026-01-06T00:00:00"/>
        <d v="2026-01-19T00:00:00"/>
        <m/>
      </sharedItems>
      <fieldGroup par="34" base="9">
        <rangePr groupBy="months" startDate="2025-02-13T00:00:00" endDate="2026-01-20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1-2026"/>
        </groupItems>
      </fieldGroup>
    </cacheField>
    <cacheField name="Entry Date" numFmtId="14">
      <sharedItems containsNonDate="0" containsDate="1" containsString="0" containsBlank="1" minDate="2025-02-13T00:00:00" maxDate="2026-01-22T00:00:00"/>
    </cacheField>
    <cacheField name="Document Header Text" numFmtId="0">
      <sharedItems/>
    </cacheField>
    <cacheField name="Invoice No" numFmtId="0">
      <sharedItems containsMixedTypes="1" containsNumber="1" containsInteger="1" minValue="246779414916" maxValue="256788420150"/>
    </cacheField>
    <cacheField name="G/L Account" numFmtId="0">
      <sharedItems/>
    </cacheField>
    <cacheField name="G/L Account: Short Text" numFmtId="0">
      <sharedItems/>
    </cacheField>
    <cacheField name="Special G/L Ind." numFmtId="0">
      <sharedItems/>
    </cacheField>
    <cacheField name="Posting Key" numFmtId="0">
      <sharedItems/>
    </cacheField>
    <cacheField name="Document Currency Key" numFmtId="0">
      <sharedItems/>
    </cacheField>
    <cacheField name="Document Currency Value" numFmtId="4">
      <sharedItems containsSemiMixedTypes="0" containsString="0" containsNumber="1" minValue="-9572465" maxValue="158148.89000000001"/>
    </cacheField>
    <cacheField name="Company Code Currency Key" numFmtId="0">
      <sharedItems/>
    </cacheField>
    <cacheField name="Company Code Currency Value" numFmtId="0">
      <sharedItems containsString="0" containsBlank="1" containsNumber="1" minValue="-5000000" maxValue="4079553.42"/>
    </cacheField>
    <cacheField name="Tax Code" numFmtId="0">
      <sharedItems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Item" numFmtId="0">
      <sharedItems/>
    </cacheField>
    <cacheField name="Text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Baseline Payment Dte" numFmtId="14">
      <sharedItems containsNonDate="0" containsDate="1" containsString="0" containsBlank="1" minDate="2025-02-13T00:00:00" maxDate="2026-01-20T00:00:00"/>
    </cacheField>
    <cacheField name="Clearing Date" numFmtId="14">
      <sharedItems containsNonDate="0" containsDate="1" containsString="0" containsBlank="1" minDate="2025-02-19T00:00:00" maxDate="2025-11-16T00:00:00"/>
    </cacheField>
    <cacheField name="Clearing Document" numFmtId="0">
      <sharedItems/>
    </cacheField>
    <cacheField name="Quarters" numFmtId="0" databaseField="0">
      <fieldGroup base="9">
        <rangePr groupBy="quarters" startDate="2025-02-13T00:00:00" endDate="2026-01-20T00:00:00"/>
        <groupItems count="6">
          <s v="&lt;13-02-2025"/>
          <s v="Qtr1"/>
          <s v="Qtr2"/>
          <s v="Qtr3"/>
          <s v="Qtr4"/>
          <s v="&gt;20-01-2026"/>
        </groupItems>
      </fieldGroup>
    </cacheField>
    <cacheField name="Years" numFmtId="0" databaseField="0">
      <fieldGroup base="9">
        <rangePr groupBy="years" startDate="2025-02-13T00:00:00" endDate="2026-01-20T00:00:00"/>
        <groupItems count="4">
          <s v="&lt;13-02-2025"/>
          <s v="2025"/>
          <s v="2026"/>
          <s v="&gt;20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s v="Selected"/>
    <n v="6788"/>
    <n v="100222362"/>
    <s v="ONNSYNEX VENTURES PRIVATE LIMITED"/>
    <s v="2025"/>
    <s v="4"/>
    <x v="0"/>
    <n v="1600000012"/>
    <x v="0"/>
    <x v="0"/>
    <d v="2025-04-11T00:00:00"/>
    <s v=""/>
    <s v=""/>
    <s v="212100"/>
    <s v="Trade Debtors (Ctrl)"/>
    <s v=""/>
    <s v="07"/>
    <s v="INR"/>
    <n v="1"/>
    <s v="INR"/>
    <n v="1"/>
    <s v=""/>
    <s v="6788224500"/>
    <s v=""/>
    <s v=""/>
    <s v="1"/>
    <s v="Overpayment"/>
    <s v=""/>
    <s v=""/>
    <s v=""/>
    <d v="2025-04-11T00:00:00"/>
    <d v="2025-04-11T00:00:00"/>
    <s v="1600000012"/>
  </r>
  <r>
    <s v="Selected"/>
    <n v="6788"/>
    <n v="100222362"/>
    <s v="ONNSYNEX VENTURES PRIVATE LIMITED"/>
    <s v="2025"/>
    <s v="4"/>
    <x v="0"/>
    <n v="1600000012"/>
    <x v="0"/>
    <x v="0"/>
    <d v="2025-04-11T00:00:00"/>
    <s v=""/>
    <s v=""/>
    <s v="212100"/>
    <s v="Trade Debtors (Ctrl)"/>
    <s v=""/>
    <s v="17"/>
    <s v="INR"/>
    <n v="-1"/>
    <s v="INR"/>
    <n v="-1"/>
    <s v=""/>
    <s v="6788224500"/>
    <s v=""/>
    <s v=""/>
    <s v="2"/>
    <s v="Overpayment"/>
    <s v=""/>
    <s v=""/>
    <s v=""/>
    <d v="2025-04-11T00:00:00"/>
    <d v="2025-04-11T00:00:00"/>
    <s v="1600000012"/>
  </r>
  <r>
    <s v="Selected"/>
    <n v="6788"/>
    <n v="100222362"/>
    <s v="ONNSYNEX VENTURES PRIVATE LIMITED"/>
    <s v="2025"/>
    <s v="2"/>
    <x v="1"/>
    <n v="1400000001"/>
    <x v="1"/>
    <x v="1"/>
    <d v="2025-02-19T00:00:00"/>
    <s v="Na"/>
    <s v=""/>
    <s v="212100"/>
    <s v="Trade Debtors (Ctrl)"/>
    <s v=""/>
    <s v="08"/>
    <s v="USD"/>
    <n v="75"/>
    <s v="INR"/>
    <n v="6472.77"/>
    <s v=""/>
    <s v="6788224500"/>
    <s v=""/>
    <s v=""/>
    <s v="1"/>
    <s v=""/>
    <s v=""/>
    <s v=""/>
    <s v=""/>
    <d v="2025-02-17T00:00:00"/>
    <d v="2025-02-19T00:00:00"/>
    <s v="1400000001"/>
  </r>
  <r>
    <s v="Selected"/>
    <n v="6788"/>
    <n v="100222362"/>
    <s v="ONNSYNEX VENTURES PRIVATE LIMITED"/>
    <s v="2025"/>
    <s v="2"/>
    <x v="1"/>
    <n v="1400000001"/>
    <x v="1"/>
    <x v="1"/>
    <d v="2025-02-19T00:00:00"/>
    <s v="Na"/>
    <s v=""/>
    <s v="212100"/>
    <s v="Trade Debtors (Ctrl)"/>
    <s v=""/>
    <s v="15"/>
    <s v="USD"/>
    <n v="-75"/>
    <s v="INR"/>
    <n v="-6472.77"/>
    <s v=""/>
    <s v="6788224500"/>
    <s v=""/>
    <s v=""/>
    <s v="2"/>
    <s v=""/>
    <s v=""/>
    <s v=""/>
    <s v=""/>
    <d v="2025-02-17T00:00:00"/>
    <d v="2025-02-19T00:00:00"/>
    <s v="1400000001"/>
  </r>
  <r>
    <s v="Not Selected"/>
    <n v="6788"/>
    <n v="100222362"/>
    <s v="ONNSYNEX VENTURES PRIVATE LIMITED"/>
    <s v="2025"/>
    <s v="8"/>
    <x v="2"/>
    <n v="1400000026"/>
    <x v="2"/>
    <x v="2"/>
    <d v="2025-08-20T00:00:00"/>
    <s v="RBINR52025071152142380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400000027"/>
    <x v="2"/>
    <x v="2"/>
    <d v="2025-08-20T00:00:00"/>
    <s v="RBINR52025071152144290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08-20T00:00:00"/>
    <m/>
    <s v=""/>
  </r>
  <r>
    <s v="Not Selected"/>
    <n v="6788"/>
    <n v="100222362"/>
    <s v="ONNSYNEX VENTURES PRIVATE LIMITED"/>
    <s v="2025"/>
    <s v="10"/>
    <x v="3"/>
    <n v="1400000043"/>
    <x v="2"/>
    <x v="3"/>
    <d v="2025-09-25T00:00:00"/>
    <s v="HDFCR52025091059694776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4"/>
    <x v="2"/>
    <x v="3"/>
    <d v="2025-09-25T00:00:00"/>
    <s v="HDFCR52025091059714564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5"/>
    <x v="2"/>
    <x v="3"/>
    <d v="2025-09-25T00:00:00"/>
    <s v="HDFCR52025091059694771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3"/>
    <n v="1400000046"/>
    <x v="2"/>
    <x v="3"/>
    <d v="2025-09-25T00:00:00"/>
    <s v="RBINR52025091011436663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x v="4"/>
    <n v="1400000055"/>
    <x v="2"/>
    <x v="4"/>
    <d v="2025-10-29T00:00:00"/>
    <s v="FDX3H9MYLVYP"/>
    <s v=""/>
    <s v="212100"/>
    <s v="Trade Debtors (Ctrl)"/>
    <s v=""/>
    <s v="15"/>
    <s v="INR"/>
    <n v="-5000000"/>
    <s v="INR"/>
    <n v="-5000000"/>
    <s v=""/>
    <s v="6788220000"/>
    <s v=""/>
    <s v=""/>
    <s v="2"/>
    <s v=""/>
    <s v=""/>
    <s v=""/>
    <s v=""/>
    <d v="2025-10-29T00:00:00"/>
    <m/>
    <s v=""/>
  </r>
  <r>
    <s v="Selected"/>
    <n v="6788"/>
    <n v="100222362"/>
    <s v="ONNSYNEX VENTURES PRIVATE LIMITED"/>
    <s v="2025"/>
    <s v="2"/>
    <x v="5"/>
    <n v="7000000036"/>
    <x v="3"/>
    <x v="5"/>
    <d v="2025-02-13T00:00:00"/>
    <s v="6788ZP25000006"/>
    <s v="6788ZP25000006"/>
    <s v="212100"/>
    <s v="Trade Debtors (Ctrl)"/>
    <s v=""/>
    <s v="11"/>
    <s v="INR"/>
    <n v="-1"/>
    <s v="INR"/>
    <n v="-1"/>
    <s v=""/>
    <s v="6788224500"/>
    <s v=""/>
    <s v="6788ZP25000006"/>
    <s v="1"/>
    <s v="Overpayment"/>
    <s v="100222362"/>
    <s v=""/>
    <s v="100222362"/>
    <d v="2025-02-13T00:00:00"/>
    <d v="2025-04-11T00:00:00"/>
    <s v="1600000012"/>
  </r>
  <r>
    <s v="Selected"/>
    <n v="6788"/>
    <n v="100222362"/>
    <s v="ONNSYNEX VENTURES PRIVATE LIMITED"/>
    <s v="2025"/>
    <s v="3"/>
    <x v="6"/>
    <n v="7000000128"/>
    <x v="3"/>
    <x v="5"/>
    <d v="2025-03-28T00:00:00"/>
    <s v="6788ZR25000006"/>
    <s v="6788ZR25000006"/>
    <s v="212100"/>
    <s v="Trade Debtors (Ctrl)"/>
    <s v=""/>
    <s v="01"/>
    <s v="INR"/>
    <n v="1"/>
    <s v="INR"/>
    <n v="1"/>
    <s v=""/>
    <s v="6788224500"/>
    <s v=""/>
    <s v="6788ZP25000006"/>
    <s v="57"/>
    <s v="Overpayment"/>
    <s v="100222362"/>
    <s v=""/>
    <s v="100222362"/>
    <d v="2025-02-13T00:00:00"/>
    <d v="2025-04-11T00:00:00"/>
    <s v="1600000012"/>
  </r>
  <r>
    <s v="Not Selected"/>
    <n v="6788"/>
    <n v="100222362"/>
    <s v="ONNSYNEX VENTURES PRIVATE LIMITED"/>
    <s v="2025"/>
    <s v="4"/>
    <x v="7"/>
    <n v="7000000131"/>
    <x v="3"/>
    <x v="6"/>
    <d v="2025-04-02T00:00:00"/>
    <s v="6788ZP25000117"/>
    <s v="6788ZP25000117"/>
    <s v="212100"/>
    <s v="Trade Debtors (Ctrl)"/>
    <s v=""/>
    <s v="11"/>
    <s v="INR"/>
    <n v="-1500000"/>
    <s v="INR"/>
    <n v="-1500000"/>
    <s v=""/>
    <s v="6788220000"/>
    <s v=""/>
    <s v="6788ZP25000117"/>
    <s v="1"/>
    <s v="as per SME conformation parked as overpayment"/>
    <s v="100222362"/>
    <s v=""/>
    <s v="100222362"/>
    <d v="2025-03-27T00:00:00"/>
    <m/>
    <s v=""/>
  </r>
  <r>
    <s v="Selected"/>
    <n v="6788"/>
    <n v="100222362"/>
    <s v="ONNSYNEX VENTURES PRIVATE LIMITED"/>
    <s v="2025"/>
    <s v="11"/>
    <x v="8"/>
    <n v="1400000084"/>
    <x v="1"/>
    <x v="7"/>
    <d v="2025-11-15T00:00:00"/>
    <s v="Na"/>
    <s v="KNOCK OFF ENTRY"/>
    <s v="212100"/>
    <s v="Trade Debtors (Ctrl)"/>
    <s v=""/>
    <s v="08"/>
    <s v="USD"/>
    <n v="150"/>
    <s v="INR"/>
    <n v="12897.56"/>
    <s v=""/>
    <s v="6788224500"/>
    <s v=""/>
    <s v=""/>
    <s v="1"/>
    <s v=""/>
    <s v=""/>
    <s v=""/>
    <s v=""/>
    <d v="2025-11-15T00:00:00"/>
    <d v="2025-11-15T00:00:00"/>
    <s v="1400000084"/>
  </r>
  <r>
    <s v="Selected"/>
    <n v="6788"/>
    <n v="100222362"/>
    <s v="ONNSYNEX VENTURES PRIVATE LIMITED"/>
    <s v="2025"/>
    <s v="11"/>
    <x v="8"/>
    <n v="1400000084"/>
    <x v="1"/>
    <x v="7"/>
    <d v="2025-11-15T00:00:00"/>
    <s v="Na"/>
    <s v="KNOCK OFF ENTRY"/>
    <s v="212100"/>
    <s v="Trade Debtors (Ctrl)"/>
    <s v=""/>
    <s v="15"/>
    <s v="USD"/>
    <n v="-150"/>
    <s v="INR"/>
    <n v="-13038.28"/>
    <s v=""/>
    <s v="6788224500"/>
    <s v=""/>
    <s v=""/>
    <s v="2"/>
    <s v=""/>
    <s v=""/>
    <s v=""/>
    <s v=""/>
    <d v="2025-11-15T00:00:00"/>
    <d v="2025-11-15T00:00:00"/>
    <s v="1400000084"/>
  </r>
  <r>
    <s v="Not Selected"/>
    <n v="6788"/>
    <n v="100222362"/>
    <s v="ONNSYNEX VENTURES PRIVATE LIMITED"/>
    <s v="2025"/>
    <s v="8"/>
    <x v="2"/>
    <n v="1800000477"/>
    <x v="4"/>
    <x v="2"/>
    <d v="2025-08-22T00:00:00"/>
    <s v="Na"/>
    <n v="256788410349"/>
    <s v="212100"/>
    <s v="Trade Debtors (Ctrl)"/>
    <s v=""/>
    <s v="01"/>
    <s v="USD"/>
    <n v="100"/>
    <s v="INR"/>
    <n v="8603.01"/>
    <s v="O0"/>
    <s v="6788224500"/>
    <s v=""/>
    <s v="NA"/>
    <s v="1"/>
    <s v="INTRA 1-15 Aug 25"/>
    <s v=""/>
    <s v=""/>
    <s v=""/>
    <d v="2025-08-20T00:00:00"/>
    <m/>
    <s v=""/>
  </r>
  <r>
    <s v="Not Selected"/>
    <n v="6788"/>
    <n v="100222362"/>
    <s v="ONNSYNEX VENTURES PRIVATE LIMITED"/>
    <s v="2025"/>
    <s v="9"/>
    <x v="9"/>
    <n v="1800000479"/>
    <x v="4"/>
    <x v="8"/>
    <d v="2025-09-09T00:00:00"/>
    <s v="Na"/>
    <n v="256788410353"/>
    <s v="212100"/>
    <s v="Trade Debtors (Ctrl)"/>
    <s v=""/>
    <s v="01"/>
    <s v="USD"/>
    <n v="100"/>
    <s v="INR"/>
    <n v="8751.43"/>
    <s v="O0"/>
    <s v="6788224500"/>
    <s v=""/>
    <s v="NA"/>
    <s v="1"/>
    <s v="Intra 16-31 Aug 25"/>
    <s v=""/>
    <s v=""/>
    <s v=""/>
    <d v="2025-09-04T00:00:00"/>
    <m/>
    <s v=""/>
  </r>
  <r>
    <s v="Not Selected"/>
    <n v="6788"/>
    <n v="100222362"/>
    <s v="ONNSYNEX VENTURES PRIVATE LIMITED"/>
    <s v="2025"/>
    <s v="4"/>
    <x v="10"/>
    <n v="1800000152"/>
    <x v="4"/>
    <x v="9"/>
    <d v="2025-04-09T00:00:00"/>
    <s v="Na"/>
    <n v="256788410027"/>
    <s v="212100"/>
    <s v="Trade Debtors (Ctrl)"/>
    <s v=""/>
    <s v="01"/>
    <s v="USD"/>
    <n v="170"/>
    <s v="INR"/>
    <n v="14776.71"/>
    <s v="O0"/>
    <s v=""/>
    <s v=""/>
    <s v="NA"/>
    <s v="1"/>
    <s v="Transportation Inbound charges for Jan 25"/>
    <s v=""/>
    <s v=""/>
    <s v=""/>
    <d v="2025-04-08T00:00:00"/>
    <m/>
    <s v=""/>
  </r>
  <r>
    <s v="Not Selected"/>
    <n v="6788"/>
    <n v="100222362"/>
    <s v="ONNSYNEX VENTURES PRIVATE LIMITED"/>
    <s v="2025"/>
    <s v="3"/>
    <x v="11"/>
    <n v="1800000050"/>
    <x v="4"/>
    <x v="10"/>
    <d v="2025-03-06T00:00:00"/>
    <s v="Na"/>
    <n v="246788410045"/>
    <s v="212100"/>
    <s v="Trade Debtors (Ctrl)"/>
    <s v=""/>
    <s v="01"/>
    <s v="USD"/>
    <n v="841.24"/>
    <s v="INR"/>
    <n v="72928.160000000003"/>
    <s v="O0"/>
    <s v="6788224500"/>
    <s v=""/>
    <s v="NA"/>
    <s v="1"/>
    <s v="Storage Charges for the month of November 2024"/>
    <s v=""/>
    <s v=""/>
    <s v=""/>
    <d v="2025-03-06T00:00:00"/>
    <m/>
    <s v=""/>
  </r>
  <r>
    <s v="Not Selected"/>
    <n v="6788"/>
    <n v="100222362"/>
    <s v="ONNSYNEX VENTURES PRIVATE LIMITED"/>
    <s v="2025"/>
    <s v="3"/>
    <x v="11"/>
    <n v="1800000051"/>
    <x v="4"/>
    <x v="10"/>
    <d v="2025-03-06T00:00:00"/>
    <s v="Na"/>
    <n v="246788410046"/>
    <s v="212100"/>
    <s v="Trade Debtors (Ctrl)"/>
    <s v=""/>
    <s v="01"/>
    <s v="USD"/>
    <n v="4169.66"/>
    <s v="INR"/>
    <n v="361473.08"/>
    <s v="O0"/>
    <s v="6788224500"/>
    <s v=""/>
    <s v="NA"/>
    <s v="1"/>
    <s v="Storage Charges for the month of December 2024"/>
    <s v=""/>
    <s v=""/>
    <s v=""/>
    <d v="2025-03-06T00:00:00"/>
    <m/>
    <s v=""/>
  </r>
  <r>
    <s v="Not Selected"/>
    <n v="6788"/>
    <n v="100222362"/>
    <s v="ONNSYNEX VENTURES PRIVATE LIMITED"/>
    <s v="2025"/>
    <s v="3"/>
    <x v="12"/>
    <n v="1800000045"/>
    <x v="4"/>
    <x v="11"/>
    <d v="2025-03-03T00:00:00"/>
    <s v="Na"/>
    <n v="246788410039"/>
    <s v="212100"/>
    <s v="Trade Debtors (Ctrl)"/>
    <s v=""/>
    <s v="01"/>
    <s v="USD"/>
    <n v="1044.69"/>
    <s v="INR"/>
    <n v="90565.49"/>
    <s v="O0"/>
    <s v="6788224500"/>
    <s v=""/>
    <s v="NA"/>
    <s v="1"/>
    <s v="CY-CY Ground Rent charges for Oct 2024. Exchange c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6"/>
    <x v="4"/>
    <x v="11"/>
    <d v="2025-03-03T00:00:00"/>
    <s v="Na"/>
    <n v="246788410040"/>
    <s v="212100"/>
    <s v="Trade Debtors (Ctrl)"/>
    <s v=""/>
    <s v="01"/>
    <s v="USD"/>
    <n v="129.97999999999999"/>
    <s v="INR"/>
    <n v="11268.13"/>
    <s v="O0"/>
    <s v="6788224500"/>
    <s v=""/>
    <s v="NA"/>
    <s v="1"/>
    <s v="CY-CY Ground Rent charges for Dec 2024. Exchange c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7"/>
    <x v="4"/>
    <x v="11"/>
    <d v="2025-03-03T00:00:00"/>
    <s v="Na"/>
    <n v="246788410042"/>
    <s v="212100"/>
    <s v="Trade Debtors (Ctrl)"/>
    <s v=""/>
    <s v="01"/>
    <s v="USD"/>
    <n v="4421.13"/>
    <s v="INR"/>
    <n v="383273.33"/>
    <s v="O0"/>
    <s v="6788224500"/>
    <s v=""/>
    <s v="NA"/>
    <s v="1"/>
    <s v="Storage Charges for the month of August, 2024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8"/>
    <x v="4"/>
    <x v="11"/>
    <d v="2025-03-03T00:00:00"/>
    <s v="Na"/>
    <n v="246788410043"/>
    <s v="212100"/>
    <s v="Trade Debtors (Ctrl)"/>
    <s v=""/>
    <s v="01"/>
    <s v="USD"/>
    <n v="2730.01"/>
    <s v="INR"/>
    <n v="236668.01"/>
    <s v="O0"/>
    <s v="6788224500"/>
    <s v=""/>
    <s v="NA"/>
    <s v="1"/>
    <s v="Storage Charges for the month of September, 2024"/>
    <s v=""/>
    <s v=""/>
    <s v=""/>
    <d v="2025-03-03T00:00:00"/>
    <m/>
    <s v=""/>
  </r>
  <r>
    <s v="Not Selected"/>
    <n v="6788"/>
    <n v="100222362"/>
    <s v="ONNSYNEX VENTURES PRIVATE LIMITED"/>
    <s v="2025"/>
    <s v="3"/>
    <x v="12"/>
    <n v="1800000049"/>
    <x v="4"/>
    <x v="11"/>
    <d v="2025-03-03T00:00:00"/>
    <s v="Na"/>
    <n v="246788410044"/>
    <s v="212100"/>
    <s v="Trade Debtors (Ctrl)"/>
    <s v=""/>
    <s v="01"/>
    <s v="USD"/>
    <n v="474.24"/>
    <s v="INR"/>
    <n v="41112.46"/>
    <s v="O0"/>
    <s v="6788224500"/>
    <s v=""/>
    <s v="NA"/>
    <s v="1"/>
    <s v="Storage Charges for the month of October, 2024"/>
    <s v=""/>
    <s v=""/>
    <s v=""/>
    <d v="2025-03-03T00:00:00"/>
    <m/>
    <s v=""/>
  </r>
  <r>
    <s v="Not Selected"/>
    <n v="6788"/>
    <n v="100222362"/>
    <s v="ONNSYNEX VENTURES PRIVATE LIMITED"/>
    <s v="2025"/>
    <s v="8"/>
    <x v="13"/>
    <n v="1800000447"/>
    <x v="4"/>
    <x v="12"/>
    <d v="2025-08-01T00:00:00"/>
    <s v="Na"/>
    <n v="256788410322"/>
    <s v="212100"/>
    <s v="Trade Debtors (Ctrl)"/>
    <s v=""/>
    <s v="01"/>
    <s v="USD"/>
    <n v="75"/>
    <s v="INR"/>
    <n v="6452.26"/>
    <s v="O0"/>
    <s v="6788224500"/>
    <s v=""/>
    <s v="NA"/>
    <s v="1"/>
    <s v="Fixed Storage Charges for August 2025"/>
    <s v=""/>
    <s v=""/>
    <s v=""/>
    <d v="2025-08-01T00:00:00"/>
    <m/>
    <s v=""/>
  </r>
  <r>
    <s v="Not Selected"/>
    <n v="6788"/>
    <n v="100222362"/>
    <s v="ONNSYNEX VENTURES PRIVATE LIMITED"/>
    <s v="2025"/>
    <s v="6"/>
    <x v="14"/>
    <n v="1800000353"/>
    <x v="4"/>
    <x v="13"/>
    <d v="2025-06-17T00:00:00"/>
    <s v="Na"/>
    <n v="256788410228"/>
    <s v="212100"/>
    <s v="Trade Debtors (Ctrl)"/>
    <s v=""/>
    <s v="01"/>
    <s v="USD"/>
    <n v="75"/>
    <s v="INR"/>
    <n v="6411.81"/>
    <s v="O0"/>
    <s v="6788224500"/>
    <s v=""/>
    <s v="NA"/>
    <s v="1"/>
    <s v="Fixed Storage Charges fo JUNE 2025"/>
    <s v=""/>
    <s v=""/>
    <s v=""/>
    <d v="2025-06-10T00:00:00"/>
    <m/>
    <s v=""/>
  </r>
  <r>
    <s v="Not Selected"/>
    <n v="6788"/>
    <n v="100222362"/>
    <s v="ONNSYNEX VENTURES PRIVATE LIMITED"/>
    <s v="2025"/>
    <s v="9"/>
    <x v="15"/>
    <n v="1800000504"/>
    <x v="4"/>
    <x v="14"/>
    <d v="2025-09-24T00:00:00"/>
    <s v="Na"/>
    <n v="256788410379"/>
    <s v="212100"/>
    <s v="Trade Debtors (Ctrl)"/>
    <s v=""/>
    <s v="01"/>
    <s v="USD"/>
    <n v="53.78"/>
    <s v="INR"/>
    <n v="4706.5200000000004"/>
    <s v="O0"/>
    <s v="6788224500"/>
    <s v=""/>
    <s v="2103775"/>
    <s v="1"/>
    <s v="VAS Activity - Feb 25, Ex Rate. 87.40"/>
    <s v=""/>
    <s v=""/>
    <s v=""/>
    <d v="2025-09-17T00:00:00"/>
    <m/>
    <s v=""/>
  </r>
  <r>
    <s v="Not Selected"/>
    <n v="6788"/>
    <n v="100222362"/>
    <s v="ONNSYNEX VENTURES PRIVATE LIMITED"/>
    <s v="2025"/>
    <s v="9"/>
    <x v="15"/>
    <n v="1800000507"/>
    <x v="4"/>
    <x v="14"/>
    <d v="2025-09-24T00:00:00"/>
    <s v="Na"/>
    <n v="256788410382"/>
    <s v="212100"/>
    <s v="Trade Debtors (Ctrl)"/>
    <s v=""/>
    <s v="01"/>
    <s v="USD"/>
    <n v="102.14"/>
    <s v="INR"/>
    <n v="8938.7099999999991"/>
    <s v="O0"/>
    <s v="6788224500"/>
    <s v=""/>
    <s v="2102526"/>
    <s v="1"/>
    <s v="VAS -1-15 Sept-25"/>
    <s v=""/>
    <s v=""/>
    <s v=""/>
    <d v="2025-09-17T00:00:00"/>
    <m/>
    <s v=""/>
  </r>
  <r>
    <s v="Not Selected"/>
    <n v="6788"/>
    <n v="100222362"/>
    <s v="ONNSYNEX VENTURES PRIVATE LIMITED"/>
    <s v="2025"/>
    <s v="5"/>
    <x v="16"/>
    <n v="1800000341"/>
    <x v="4"/>
    <x v="15"/>
    <d v="2025-05-23T00:00:00"/>
    <s v="Na"/>
    <n v="256788410216"/>
    <s v="212100"/>
    <s v="Trade Debtors (Ctrl)"/>
    <s v=""/>
    <s v="01"/>
    <s v="USD"/>
    <n v="8.4499999999999993"/>
    <s v="INR"/>
    <n v="726.56"/>
    <s v="O0"/>
    <s v="6788224500"/>
    <s v=""/>
    <s v="NA"/>
    <s v="1"/>
    <s v="Inbound chgs - 01 - 15 Apr 25"/>
    <s v=""/>
    <s v=""/>
    <s v=""/>
    <d v="2025-05-08T00:00:00"/>
    <m/>
    <s v=""/>
  </r>
  <r>
    <s v="Not Selected"/>
    <n v="6788"/>
    <n v="100222362"/>
    <s v="ONNSYNEX VENTURES PRIVATE LIMITED"/>
    <s v="2025"/>
    <s v="5"/>
    <x v="16"/>
    <n v="1800000342"/>
    <x v="4"/>
    <x v="15"/>
    <d v="2025-05-23T00:00:00"/>
    <s v="Na"/>
    <n v="256788410217"/>
    <s v="212100"/>
    <s v="Trade Debtors (Ctrl)"/>
    <s v=""/>
    <s v="01"/>
    <s v="USD"/>
    <n v="37.659999999999997"/>
    <s v="INR"/>
    <n v="3238.15"/>
    <s v="O0"/>
    <s v="6788224500"/>
    <s v=""/>
    <s v="NA"/>
    <s v="1"/>
    <s v="Outbound chgs - 01 - 15 Apr 25"/>
    <s v=""/>
    <s v=""/>
    <s v=""/>
    <d v="2025-05-08T00:00:00"/>
    <m/>
    <s v=""/>
  </r>
  <r>
    <s v="Not Selected"/>
    <n v="6788"/>
    <n v="100222362"/>
    <s v="ONNSYNEX VENTURES PRIVATE LIMITED"/>
    <s v="2025"/>
    <s v="5"/>
    <x v="16"/>
    <n v="1800000343"/>
    <x v="4"/>
    <x v="15"/>
    <d v="2025-05-23T00:00:00"/>
    <s v="Na"/>
    <n v="256788410218"/>
    <s v="212100"/>
    <s v="Trade Debtors (Ctrl)"/>
    <s v=""/>
    <s v="01"/>
    <s v="USD"/>
    <n v="13.18"/>
    <s v="INR"/>
    <n v="1133.27"/>
    <s v="O0"/>
    <s v="6788224500"/>
    <s v=""/>
    <s v="NA"/>
    <s v="1"/>
    <s v="Outbound chgs - 16 - 30 Apr 25"/>
    <s v=""/>
    <s v=""/>
    <s v=""/>
    <d v="2025-05-08T00:00:00"/>
    <m/>
    <s v=""/>
  </r>
  <r>
    <s v="Selected"/>
    <n v="6788"/>
    <n v="100222362"/>
    <s v="ONNSYNEX VENTURES PRIVATE LIMITED"/>
    <s v="2025"/>
    <s v="10"/>
    <x v="17"/>
    <n v="1600000261"/>
    <x v="5"/>
    <x v="16"/>
    <d v="2025-10-23T00:00:00"/>
    <s v="Na"/>
    <n v="256788420141"/>
    <s v="212100"/>
    <s v="Trade Debtors (Ctrl)"/>
    <s v=""/>
    <s v="11"/>
    <s v="USD"/>
    <n v="-1211.9000000000001"/>
    <s v="INR"/>
    <n v="-106878.39"/>
    <s v="O0"/>
    <s v="6788224500"/>
    <s v=""/>
    <s v="2117487"/>
    <s v="1"/>
    <s v="Credit note raised against 256788410417"/>
    <s v=""/>
    <s v=""/>
    <s v=""/>
    <d v="2025-10-17T00:00:00"/>
    <d v="2025-11-15T00:00:00"/>
    <s v="1400000084"/>
  </r>
  <r>
    <s v="Selected"/>
    <n v="6788"/>
    <n v="100222362"/>
    <s v="ONNSYNEX VENTURES PRIVATE LIMITED"/>
    <s v="2025"/>
    <s v="10"/>
    <x v="17"/>
    <n v="1600000262"/>
    <x v="5"/>
    <x v="16"/>
    <d v="2025-10-23T00:00:00"/>
    <s v="Na"/>
    <n v="256788420142"/>
    <s v="212100"/>
    <s v="Trade Debtors (Ctrl)"/>
    <s v=""/>
    <s v="11"/>
    <s v="USD"/>
    <n v="-40"/>
    <s v="INR"/>
    <n v="-3527.63"/>
    <s v="O0"/>
    <s v="6788224500"/>
    <s v=""/>
    <s v="2117487"/>
    <s v="1"/>
    <s v="Credit note raised against 256788410418"/>
    <s v=""/>
    <s v=""/>
    <s v=""/>
    <d v="2025-10-17T00:00:00"/>
    <d v="2025-11-15T00:00:00"/>
    <s v="1400000084"/>
  </r>
  <r>
    <s v="Selected"/>
    <n v="6788"/>
    <n v="100222362"/>
    <s v="ONNSYNEX VENTURES PRIVATE LIMITED"/>
    <s v="2025"/>
    <s v="10"/>
    <x v="17"/>
    <n v="1600000263"/>
    <x v="5"/>
    <x v="16"/>
    <d v="2025-10-23T00:00:00"/>
    <s v="Na"/>
    <n v="256788420143"/>
    <s v="212100"/>
    <s v="Trade Debtors (Ctrl)"/>
    <s v=""/>
    <s v="11"/>
    <s v="USD"/>
    <n v="-11.26"/>
    <s v="INR"/>
    <n v="-993.03"/>
    <s v="O0"/>
    <s v="6788224500"/>
    <s v=""/>
    <s v="2117487"/>
    <s v="1"/>
    <s v="Credit note raised against 256788410419"/>
    <s v=""/>
    <s v=""/>
    <s v=""/>
    <d v="2025-10-17T00:00:00"/>
    <d v="2025-11-15T00:00:00"/>
    <s v="1400000084"/>
  </r>
  <r>
    <s v="Not Selected"/>
    <n v="6779"/>
    <n v="100222362"/>
    <s v="ONNSYNEX VENTURES PRIVATE LIMITED"/>
    <s v="2025"/>
    <s v="4"/>
    <x v="18"/>
    <n v="1800007124"/>
    <x v="4"/>
    <x v="17"/>
    <d v="2025-04-17T00:00:00"/>
    <s v="Na"/>
    <n v="256779412015"/>
    <s v="212100"/>
    <s v="Trade Debtors (Ctrl)"/>
    <s v=""/>
    <s v="01"/>
    <s v="USD"/>
    <n v="86.56"/>
    <s v="INR"/>
    <n v="7523.95"/>
    <s v="O0"/>
    <s v="6779224500"/>
    <s v=""/>
    <s v="NA"/>
    <s v="1"/>
    <s v="VAS Activity - Jan 25, Ex Rate. 86.64"/>
    <s v=""/>
    <s v=""/>
    <s v=""/>
    <d v="2025-04-16T00:00:00"/>
    <m/>
    <s v=""/>
  </r>
  <r>
    <s v="Not Selected"/>
    <n v="6779"/>
    <n v="100222362"/>
    <s v="ONNSYNEX VENTURES PRIVATE LIMITED"/>
    <s v="2025"/>
    <s v="4"/>
    <x v="18"/>
    <n v="1800007167"/>
    <x v="4"/>
    <x v="17"/>
    <d v="2025-04-17T00:00:00"/>
    <s v="Na"/>
    <n v="256779412058"/>
    <s v="212100"/>
    <s v="Trade Debtors (Ctrl)"/>
    <s v=""/>
    <s v="01"/>
    <s v="USD"/>
    <n v="188.84"/>
    <s v="INR"/>
    <n v="16414.32"/>
    <s v="O0"/>
    <s v="6779224500"/>
    <s v=""/>
    <s v="NA"/>
    <s v="1"/>
    <s v="VAS Activity - Feb 25, Ex Rate. 87.40"/>
    <s v=""/>
    <s v=""/>
    <s v=""/>
    <d v="2025-04-16T00:00:00"/>
    <m/>
    <s v=""/>
  </r>
  <r>
    <s v="Not Selected"/>
    <n v="6779"/>
    <n v="100222362"/>
    <s v="ONNSYNEX VENTURES PRIVATE LIMITED"/>
    <s v="2025"/>
    <s v="4"/>
    <x v="18"/>
    <n v="1800007205"/>
    <x v="4"/>
    <x v="17"/>
    <d v="2025-04-17T00:00:00"/>
    <s v="Na"/>
    <n v="256779412096"/>
    <s v="212100"/>
    <s v="Trade Debtors (Ctrl)"/>
    <s v=""/>
    <s v="01"/>
    <s v="USD"/>
    <n v="16.829999999999998"/>
    <s v="INR"/>
    <n v="1462.89"/>
    <s v="O0"/>
    <s v="6779224500"/>
    <s v=""/>
    <s v="NA"/>
    <s v="1"/>
    <s v="VAS Activity - Mar 25, 16-31, Ex Rate. 85.58"/>
    <s v=""/>
    <s v=""/>
    <s v=""/>
    <d v="2025-04-16T00:00:00"/>
    <m/>
    <s v=""/>
  </r>
  <r>
    <s v="Not Selected"/>
    <n v="6788"/>
    <n v="100222362"/>
    <s v="ONNSYNEX VENTURES PRIVATE LIMITED"/>
    <s v="2025"/>
    <s v="7"/>
    <x v="19"/>
    <n v="1800000368"/>
    <x v="4"/>
    <x v="18"/>
    <d v="2025-07-09T00:00:00"/>
    <s v="Na"/>
    <n v="256788410243"/>
    <s v="212100"/>
    <s v="Trade Debtors (Ctrl)"/>
    <s v=""/>
    <s v="01"/>
    <s v="USD"/>
    <n v="30"/>
    <s v="INR"/>
    <n v="2580.02"/>
    <s v="O0"/>
    <s v="6788224500"/>
    <s v=""/>
    <s v="NA"/>
    <s v="1"/>
    <s v="CY - WH Destuff Charges fo MAY 2025"/>
    <s v=""/>
    <s v=""/>
    <s v=""/>
    <d v="2025-07-09T00:00:00"/>
    <m/>
    <s v=""/>
  </r>
  <r>
    <s v="Not Selected"/>
    <n v="6788"/>
    <n v="100222362"/>
    <s v="ONNSYNEX VENTURES PRIVATE LIMITED"/>
    <s v="2025"/>
    <s v="7"/>
    <x v="19"/>
    <n v="1800000384"/>
    <x v="4"/>
    <x v="18"/>
    <d v="2025-07-09T00:00:00"/>
    <s v="Na"/>
    <n v="256788410259"/>
    <s v="212100"/>
    <s v="Trade Debtors (Ctrl)"/>
    <s v=""/>
    <s v="01"/>
    <s v="USD"/>
    <n v="75"/>
    <s v="INR"/>
    <n v="6450.05"/>
    <s v="O0"/>
    <s v="6788224500"/>
    <s v=""/>
    <s v="NA"/>
    <s v="1"/>
    <s v="Fixed Rental charges for April 2025"/>
    <s v=""/>
    <s v=""/>
    <s v=""/>
    <d v="2025-07-09T00:00:00"/>
    <m/>
    <s v=""/>
  </r>
  <r>
    <s v="Not Selected"/>
    <n v="6779"/>
    <n v="100222362"/>
    <s v="ONNSYNEX VENTURES PRIVATE LIMITED"/>
    <s v="2025"/>
    <s v="9"/>
    <x v="9"/>
    <n v="1800012496"/>
    <x v="4"/>
    <x v="8"/>
    <d v="2025-09-08T00:00:00"/>
    <s v="Na"/>
    <n v="256779416953"/>
    <s v="212100"/>
    <s v="Trade Debtors (Ctrl)"/>
    <s v=""/>
    <s v="01"/>
    <s v="USD"/>
    <n v="2.14"/>
    <s v="INR"/>
    <n v="187.28"/>
    <s v="O0"/>
    <s v="6779224501"/>
    <s v=""/>
    <s v="NA"/>
    <s v="1"/>
    <s v="CODC Out chgs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0"/>
    <x v="4"/>
    <x v="8"/>
    <d v="2025-09-09T00:00:00"/>
    <s v="Na"/>
    <n v="256788410354"/>
    <s v="212100"/>
    <s v="Trade Debtors (Ctrl)"/>
    <s v=""/>
    <s v="01"/>
    <s v="USD"/>
    <n v="12.52"/>
    <s v="INR"/>
    <n v="1095.68"/>
    <s v="O0"/>
    <s v="6788224500"/>
    <s v=""/>
    <s v="NA"/>
    <s v="1"/>
    <s v="VAS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1"/>
    <x v="4"/>
    <x v="8"/>
    <d v="2025-09-09T00:00:00"/>
    <s v="Na"/>
    <n v="256788410355"/>
    <s v="212100"/>
    <s v="Trade Debtors (Ctrl)"/>
    <s v=""/>
    <s v="01"/>
    <s v="USD"/>
    <n v="13.66"/>
    <s v="INR"/>
    <n v="1195.45"/>
    <s v="O0"/>
    <s v="6788224500"/>
    <s v=""/>
    <s v="NA"/>
    <s v="1"/>
    <s v="WEIGHMENT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3"/>
    <x v="4"/>
    <x v="8"/>
    <d v="2025-09-09T00:00:00"/>
    <s v="Na"/>
    <n v="256788410358"/>
    <s v="212100"/>
    <s v="Trade Debtors (Ctrl)"/>
    <s v=""/>
    <s v="01"/>
    <s v="USD"/>
    <n v="2262.04"/>
    <s v="INR"/>
    <n v="197960.92"/>
    <s v="O0"/>
    <s v="6788224500"/>
    <s v=""/>
    <s v="NA"/>
    <s v="1"/>
    <s v="CY Ground rent Chgs - 01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8"/>
    <x v="4"/>
    <x v="8"/>
    <d v="2025-09-09T00:00:00"/>
    <s v="Na"/>
    <n v="256788410359"/>
    <s v="212100"/>
    <s v="Trade Debtors (Ctrl)"/>
    <s v=""/>
    <s v="01"/>
    <s v="USD"/>
    <n v="126.58"/>
    <s v="INR"/>
    <n v="11077.56"/>
    <s v="O0"/>
    <s v="6788224500"/>
    <s v=""/>
    <s v="NA"/>
    <s v="1"/>
    <s v="Empty Lolo Chgs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4"/>
    <x v="4"/>
    <x v="8"/>
    <d v="2025-09-09T00:00:00"/>
    <s v="Na"/>
    <n v="256788410360"/>
    <s v="212100"/>
    <s v="Trade Debtors (Ctrl)"/>
    <s v=""/>
    <s v="01"/>
    <s v="USD"/>
    <n v="348.21"/>
    <s v="INR"/>
    <n v="30473.360000000001"/>
    <s v="O0"/>
    <s v="6788224500"/>
    <s v=""/>
    <s v="NA"/>
    <s v="1"/>
    <s v="PORT SSR Chgs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5"/>
    <x v="4"/>
    <x v="8"/>
    <d v="2025-09-09T00:00:00"/>
    <s v="Na"/>
    <n v="256788410361"/>
    <s v="212100"/>
    <s v="Trade Debtors (Ctrl)"/>
    <s v=""/>
    <s v="01"/>
    <s v="USD"/>
    <n v="26"/>
    <s v="INR"/>
    <n v="2275.37"/>
    <s v="O0"/>
    <s v="6788224500"/>
    <s v=""/>
    <s v="NA"/>
    <s v="1"/>
    <s v="LCL chgs - 16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7"/>
    <x v="4"/>
    <x v="8"/>
    <d v="2025-09-09T00:00:00"/>
    <s v="Na"/>
    <n v="256788410363"/>
    <s v="212100"/>
    <s v="Trade Debtors (Ctrl)"/>
    <s v=""/>
    <s v="01"/>
    <s v="USD"/>
    <n v="227.74"/>
    <s v="INR"/>
    <n v="19930.509999999998"/>
    <s v="O0"/>
    <s v="6788224500"/>
    <s v=""/>
    <s v="NA"/>
    <s v="1"/>
    <s v="Transportation Out chgs - 16 - 31 AUG 25"/>
    <s v=""/>
    <s v=""/>
    <s v=""/>
    <d v="2025-09-04T00:00:00"/>
    <m/>
    <s v=""/>
  </r>
  <r>
    <s v="Not Selected"/>
    <n v="6788"/>
    <n v="100222362"/>
    <s v="ONNSYNEX VENTURES PRIVATE LIMITED"/>
    <s v="2025"/>
    <s v="9"/>
    <x v="9"/>
    <n v="1800000489"/>
    <x v="4"/>
    <x v="8"/>
    <d v="2025-09-09T00:00:00"/>
    <s v="Na"/>
    <n v="256788410364"/>
    <s v="212100"/>
    <s v="Trade Debtors (Ctrl)"/>
    <s v=""/>
    <s v="01"/>
    <s v="USD"/>
    <n v="75"/>
    <s v="INR"/>
    <n v="6563.57"/>
    <s v="O0"/>
    <s v="6788224500"/>
    <s v=""/>
    <s v="2097259"/>
    <s v="1"/>
    <s v="Fixed Storage Charges for September 2025"/>
    <s v=""/>
    <s v=""/>
    <s v=""/>
    <d v="2025-09-04T00:00:00"/>
    <m/>
    <s v=""/>
  </r>
  <r>
    <s v="Not Selected"/>
    <n v="6779"/>
    <n v="100222362"/>
    <s v="ONNSYNEX VENTURES PRIVATE LIMITED"/>
    <s v="2025"/>
    <s v="7"/>
    <x v="20"/>
    <n v="1800010515"/>
    <x v="4"/>
    <x v="19"/>
    <d v="2025-07-09T00:00:00"/>
    <s v="Na"/>
    <n v="256779415275"/>
    <s v="212100"/>
    <s v="Trade Debtors (Ctrl)"/>
    <s v=""/>
    <s v="01"/>
    <s v="USD"/>
    <n v="86.04"/>
    <s v="INR"/>
    <n v="7399.5"/>
    <s v="O0"/>
    <s v="6779224500"/>
    <s v=""/>
    <s v=""/>
    <s v="1"/>
    <s v="VAS - 16-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58"/>
    <x v="4"/>
    <x v="19"/>
    <d v="2025-07-09T00:00:00"/>
    <s v="Na"/>
    <n v="256788410233"/>
    <s v="212100"/>
    <s v="Trade Debtors (Ctrl)"/>
    <s v=""/>
    <s v="01"/>
    <s v="USD"/>
    <n v="10350.540000000001"/>
    <s v="INR"/>
    <n v="890153.37"/>
    <s v="O0"/>
    <s v="6788224500"/>
    <s v=""/>
    <s v="NA"/>
    <s v="1"/>
    <s v="Unit Storage - 1-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60"/>
    <x v="4"/>
    <x v="19"/>
    <d v="2025-07-09T00:00:00"/>
    <s v="Na"/>
    <n v="256788410235"/>
    <s v="212100"/>
    <s v="Trade Debtors (Ctrl)"/>
    <s v=""/>
    <s v="01"/>
    <s v="USD"/>
    <n v="2323.12"/>
    <s v="INR"/>
    <n v="199789.88"/>
    <s v="O0"/>
    <s v="6788224500"/>
    <s v=""/>
    <s v="NA"/>
    <s v="1"/>
    <s v="CY Ground rent Chgs - 01 - 30 June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62"/>
    <x v="4"/>
    <x v="19"/>
    <d v="2025-07-09T00:00:00"/>
    <s v="Na"/>
    <n v="256788410237"/>
    <s v="212100"/>
    <s v="Trade Debtors (Ctrl)"/>
    <s v=""/>
    <s v="01"/>
    <s v="USD"/>
    <n v="75"/>
    <s v="INR"/>
    <n v="6450.05"/>
    <s v="O0"/>
    <s v="6788224500"/>
    <s v=""/>
    <s v="NA"/>
    <s v="1"/>
    <s v="Fixed Storage Charges fo JULY 20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0"/>
    <x v="4"/>
    <x v="19"/>
    <d v="2025-07-09T00:00:00"/>
    <s v="Na"/>
    <n v="256788410255"/>
    <s v="212100"/>
    <s v="Trade Debtors (Ctrl)"/>
    <s v=""/>
    <s v="01"/>
    <s v="USD"/>
    <n v="14"/>
    <s v="INR"/>
    <n v="1204.01"/>
    <s v="O0"/>
    <s v="6788224500"/>
    <s v=""/>
    <s v="NA"/>
    <s v="1"/>
    <s v="LCL Chgs - 01 - 15 JUN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2"/>
    <x v="4"/>
    <x v="19"/>
    <d v="2025-07-09T00:00:00"/>
    <s v="Na"/>
    <n v="256788410257"/>
    <s v="212100"/>
    <s v="Trade Debtors (Ctrl)"/>
    <s v=""/>
    <s v="01"/>
    <s v="USD"/>
    <n v="67.760000000000005"/>
    <s v="INR"/>
    <n v="5827.41"/>
    <s v="O0"/>
    <s v="6788224500"/>
    <s v=""/>
    <s v="NA"/>
    <s v="1"/>
    <s v="Outbound chgs - 01 - 15 JUN 25"/>
    <s v=""/>
    <s v=""/>
    <s v=""/>
    <d v="2025-07-04T00:00:00"/>
    <m/>
    <s v=""/>
  </r>
  <r>
    <s v="Not Selected"/>
    <n v="6788"/>
    <n v="100222362"/>
    <s v="ONNSYNEX VENTURES PRIVATE LIMITED"/>
    <s v="2025"/>
    <s v="7"/>
    <x v="20"/>
    <n v="1800000383"/>
    <x v="4"/>
    <x v="19"/>
    <d v="2025-07-09T00:00:00"/>
    <s v="Na"/>
    <n v="256788410258"/>
    <s v="212100"/>
    <s v="Trade Debtors (Ctrl)"/>
    <s v=""/>
    <s v="01"/>
    <s v="USD"/>
    <n v="17"/>
    <s v="INR"/>
    <n v="1462.01"/>
    <s v="O0"/>
    <s v="6788224500"/>
    <s v=""/>
    <s v="NA"/>
    <s v="1"/>
    <s v="Outbound chgs - 16 - 30 JUN 25"/>
    <s v=""/>
    <s v=""/>
    <s v=""/>
    <d v="2025-07-04T00:00:00"/>
    <m/>
    <s v=""/>
  </r>
  <r>
    <s v="Selected"/>
    <n v="6788"/>
    <n v="100222362"/>
    <s v="ONNSYNEX VENTURES PRIVATE LIMITED"/>
    <s v="2025"/>
    <s v="7"/>
    <x v="20"/>
    <n v="1800000391"/>
    <x v="4"/>
    <x v="19"/>
    <d v="2025-07-25T00:00:00"/>
    <s v="Na"/>
    <n v="256788410267"/>
    <s v="212100"/>
    <s v="Trade Debtors (Ctrl)"/>
    <s v=""/>
    <s v="01"/>
    <s v="USD"/>
    <n v="9"/>
    <s v="INR"/>
    <n v="774.01"/>
    <s v="O0"/>
    <s v="6788224500"/>
    <s v=""/>
    <s v="NA"/>
    <s v="1"/>
    <s v="Outbound chgs - 01 - 15 JUL 25"/>
    <s v=""/>
    <s v=""/>
    <s v=""/>
    <d v="2025-07-04T00:00:00"/>
    <d v="2025-11-15T00:00:00"/>
    <s v="1400000084"/>
  </r>
  <r>
    <s v="Not Selected"/>
    <n v="6788"/>
    <n v="100222362"/>
    <s v="ONNSYNEX VENTURES PRIVATE LIMITED"/>
    <s v="2025"/>
    <s v="11"/>
    <x v="21"/>
    <n v="1800000576"/>
    <x v="4"/>
    <x v="20"/>
    <d v="2025-11-05T00:00:00"/>
    <s v="Na"/>
    <n v="256788410441"/>
    <s v="212100"/>
    <s v="Trade Debtors (Ctrl)"/>
    <s v=""/>
    <s v="01"/>
    <s v="USD"/>
    <n v="75"/>
    <s v="INR"/>
    <n v="6600.25"/>
    <s v="O0"/>
    <s v="6788224500"/>
    <s v=""/>
    <s v="2123155"/>
    <s v="1"/>
    <s v="Fixed Storage Charges for November 20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7"/>
    <x v="4"/>
    <x v="20"/>
    <d v="2025-11-06T00:00:00"/>
    <s v="Na"/>
    <n v="256788410448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8"/>
    <x v="4"/>
    <x v="20"/>
    <d v="2025-11-06T00:00:00"/>
    <s v="Na"/>
    <n v="256788410449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9"/>
    <x v="4"/>
    <x v="20"/>
    <d v="2025-11-06T00:00:00"/>
    <s v="Na"/>
    <n v="256788410450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0"/>
    <x v="4"/>
    <x v="20"/>
    <d v="2025-11-06T00:00:00"/>
    <s v="Na"/>
    <n v="256788410451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1"/>
    <x v="4"/>
    <x v="20"/>
    <d v="2025-11-06T00:00:00"/>
    <s v="Na"/>
    <n v="256788410452"/>
    <s v="212100"/>
    <s v="Trade Debtors (Ctrl)"/>
    <s v=""/>
    <s v="01"/>
    <s v="USD"/>
    <n v="65.31"/>
    <s v="INR"/>
    <n v="5747.5"/>
    <s v="O0"/>
    <s v="6788224500"/>
    <s v=""/>
    <s v="2123383"/>
    <s v="1"/>
    <s v="VAS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2"/>
    <x v="4"/>
    <x v="20"/>
    <d v="2025-11-06T00:00:00"/>
    <s v="Na"/>
    <n v="256788410453"/>
    <s v="212100"/>
    <s v="Trade Debtors (Ctrl)"/>
    <s v=""/>
    <s v="01"/>
    <s v="USD"/>
    <n v="31.56"/>
    <s v="INR"/>
    <n v="2777.39"/>
    <s v="O0"/>
    <s v="6788224500"/>
    <s v=""/>
    <s v="2123383"/>
    <s v="1"/>
    <s v="WEIGHTMENT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5"/>
    <x v="4"/>
    <x v="20"/>
    <d v="2025-11-06T00:00:00"/>
    <s v="Na"/>
    <n v="256788410454"/>
    <s v="212100"/>
    <s v="Trade Debtors (Ctrl)"/>
    <s v=""/>
    <s v="01"/>
    <s v="USD"/>
    <n v="4547.2"/>
    <s v="INR"/>
    <n v="400169.02"/>
    <s v="O0"/>
    <s v="6788224500"/>
    <s v=""/>
    <s v="2123386"/>
    <s v="1"/>
    <s v="Unit-Storage-1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93"/>
    <x v="4"/>
    <x v="20"/>
    <d v="2025-11-06T00:00:00"/>
    <s v="Na"/>
    <n v="256788410455"/>
    <s v="212100"/>
    <s v="Trade Debtors (Ctrl)"/>
    <s v=""/>
    <s v="01"/>
    <s v="USD"/>
    <n v="338"/>
    <s v="INR"/>
    <n v="29745.15"/>
    <s v="O0"/>
    <s v="6788224500"/>
    <s v=""/>
    <s v="2123411"/>
    <s v="1"/>
    <s v="Outbound chgs - 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4"/>
    <x v="4"/>
    <x v="20"/>
    <d v="2025-11-06T00:00:00"/>
    <s v="Na"/>
    <n v="256788410457"/>
    <s v="212100"/>
    <s v="Trade Debtors (Ctrl)"/>
    <s v=""/>
    <s v="01"/>
    <s v="USD"/>
    <n v="93"/>
    <s v="INR"/>
    <n v="8184.32"/>
    <s v="O0"/>
    <s v="6788224500"/>
    <s v=""/>
    <s v="NA"/>
    <s v="1"/>
    <s v="LCL chgs - 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x v="21"/>
    <n v="1800000586"/>
    <x v="4"/>
    <x v="20"/>
    <d v="2025-11-06T00:00:00"/>
    <s v="Na"/>
    <n v="256788410458"/>
    <s v="212100"/>
    <s v="Trade Debtors (Ctrl)"/>
    <s v=""/>
    <s v="01"/>
    <s v="USD"/>
    <n v="103.89"/>
    <s v="INR"/>
    <n v="9142.67"/>
    <s v="O0"/>
    <s v="6788224500"/>
    <s v=""/>
    <s v="NA"/>
    <s v="1"/>
    <s v="Empty Lolo Chgs Oct 25"/>
    <s v=""/>
    <s v=""/>
    <s v=""/>
    <d v="2025-11-05T00:00:00"/>
    <m/>
    <s v=""/>
  </r>
  <r>
    <s v="Not Selected"/>
    <n v="6788"/>
    <n v="100222362"/>
    <s v="ONNSYNEX VENTURES PRIVATE LIMITED"/>
    <s v="2025"/>
    <s v="8"/>
    <x v="22"/>
    <n v="1800000466"/>
    <x v="4"/>
    <x v="21"/>
    <d v="2025-08-08T00:00:00"/>
    <s v="Na"/>
    <n v="256788410332"/>
    <s v="212100"/>
    <s v="Trade Debtors (Ctrl)"/>
    <s v=""/>
    <s v="01"/>
    <s v="USD"/>
    <n v="443.76"/>
    <s v="INR"/>
    <n v="38176.730000000003"/>
    <s v="O0"/>
    <s v="6788224500"/>
    <s v=""/>
    <s v="NA"/>
    <s v="1"/>
    <s v="Unit Storage - 1-30 June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9"/>
    <x v="4"/>
    <x v="21"/>
    <d v="2025-08-08T00:00:00"/>
    <s v="Na"/>
    <n v="256788410335"/>
    <s v="212100"/>
    <s v="Trade Debtors (Ctrl)"/>
    <s v=""/>
    <s v="01"/>
    <s v="USD"/>
    <n v="73.67"/>
    <s v="INR"/>
    <n v="6337.84"/>
    <s v="O0"/>
    <s v="6788224500"/>
    <s v=""/>
    <s v="NA"/>
    <s v="1"/>
    <s v="VAS 16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70"/>
    <x v="4"/>
    <x v="21"/>
    <d v="2025-08-08T00:00:00"/>
    <s v="Na"/>
    <n v="256788410336"/>
    <s v="212100"/>
    <s v="Trade Debtors (Ctrl)"/>
    <s v=""/>
    <s v="01"/>
    <s v="USD"/>
    <n v="11976.87"/>
    <s v="INR"/>
    <n v="1030371.56"/>
    <s v="O0"/>
    <s v="6788224500"/>
    <s v=""/>
    <s v="NA"/>
    <s v="1"/>
    <s v="Unit Storage - 1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7"/>
    <x v="4"/>
    <x v="21"/>
    <d v="2025-08-08T00:00:00"/>
    <s v="Na"/>
    <n v="256788410338"/>
    <s v="212100"/>
    <s v="Trade Debtors (Ctrl)"/>
    <s v=""/>
    <s v="01"/>
    <s v="USD"/>
    <n v="607.84"/>
    <s v="INR"/>
    <n v="52292.55"/>
    <s v="O0"/>
    <s v="6788224500"/>
    <s v=""/>
    <s v="NA"/>
    <s v="1"/>
    <s v="Transportation IN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8"/>
    <x v="4"/>
    <x v="21"/>
    <d v="2025-08-08T00:00:00"/>
    <s v="Na"/>
    <n v="256788410339"/>
    <s v="212100"/>
    <s v="Trade Debtors (Ctrl)"/>
    <s v=""/>
    <s v="01"/>
    <s v="USD"/>
    <n v="400"/>
    <s v="INR"/>
    <n v="34412.050000000003"/>
    <s v="O0"/>
    <s v="6788224500"/>
    <s v=""/>
    <s v="NA"/>
    <s v="1"/>
    <s v="Transportation IN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59"/>
    <x v="4"/>
    <x v="21"/>
    <d v="2025-08-08T00:00:00"/>
    <s v="Na"/>
    <n v="256788410340"/>
    <s v="212100"/>
    <s v="Trade Debtors (Ctrl)"/>
    <s v=""/>
    <s v="01"/>
    <s v="USD"/>
    <n v="90"/>
    <s v="INR"/>
    <n v="7742.71"/>
    <s v="O0"/>
    <s v="6788224500"/>
    <s v=""/>
    <s v="NA"/>
    <s v="1"/>
    <s v="Scanning 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0"/>
    <x v="4"/>
    <x v="21"/>
    <d v="2025-08-08T00:00:00"/>
    <s v="Na"/>
    <n v="256788410341"/>
    <s v="212100"/>
    <s v="Trade Debtors (Ctrl)"/>
    <s v=""/>
    <s v="01"/>
    <s v="USD"/>
    <n v="31.3"/>
    <s v="INR"/>
    <n v="2692.74"/>
    <s v="O0"/>
    <s v="6788224500"/>
    <s v=""/>
    <s v="NA"/>
    <s v="1"/>
    <s v="Empty Lolo  Chgs - 01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1"/>
    <x v="4"/>
    <x v="21"/>
    <d v="2025-08-08T00:00:00"/>
    <s v="Na"/>
    <n v="256788410342"/>
    <s v="212100"/>
    <s v="Trade Debtors (Ctrl)"/>
    <s v=""/>
    <s v="01"/>
    <s v="USD"/>
    <n v="2269.79"/>
    <s v="INR"/>
    <n v="195270.31"/>
    <s v="O0"/>
    <s v="6788224500"/>
    <s v=""/>
    <s v="NA"/>
    <s v="1"/>
    <s v="CY Grd Rent Chgs - 01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2"/>
    <x v="4"/>
    <x v="21"/>
    <d v="2025-08-08T00:00:00"/>
    <s v="Na"/>
    <n v="256788410343"/>
    <s v="212100"/>
    <s v="Trade Debtors (Ctrl)"/>
    <s v=""/>
    <s v="01"/>
    <s v="USD"/>
    <n v="18.52"/>
    <s v="INR"/>
    <n v="1593.28"/>
    <s v="O0"/>
    <s v="6788224500"/>
    <s v=""/>
    <s v="NA"/>
    <s v="1"/>
    <s v="Outbound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65"/>
    <x v="4"/>
    <x v="21"/>
    <d v="2025-08-08T00:00:00"/>
    <s v="Na"/>
    <n v="256788410346"/>
    <s v="212100"/>
    <s v="Trade Debtors (Ctrl)"/>
    <s v=""/>
    <s v="01"/>
    <s v="USD"/>
    <n v="73.67"/>
    <s v="INR"/>
    <n v="6337.84"/>
    <s v="O0"/>
    <s v="6788224500"/>
    <s v=""/>
    <s v="NA"/>
    <s v="1"/>
    <s v="VAS 16-31 July 25"/>
    <s v=""/>
    <s v=""/>
    <s v=""/>
    <d v="2025-08-08T00:00:00"/>
    <m/>
    <s v=""/>
  </r>
  <r>
    <s v="Not Selected"/>
    <n v="6788"/>
    <n v="100222362"/>
    <s v="ONNSYNEX VENTURES PRIVATE LIMITED"/>
    <s v="2025"/>
    <s v="8"/>
    <x v="22"/>
    <n v="1800000472"/>
    <x v="4"/>
    <x v="21"/>
    <d v="2025-08-08T00:00:00"/>
    <s v="Na"/>
    <n v="256788410347"/>
    <s v="212100"/>
    <s v="Trade Debtors (Ctrl)"/>
    <s v=""/>
    <s v="01"/>
    <s v="USD"/>
    <n v="393.73"/>
    <s v="INR"/>
    <n v="33872.639999999999"/>
    <s v="O0"/>
    <s v="6788224500"/>
    <s v=""/>
    <s v="NA"/>
    <s v="1"/>
    <s v="PORT SSR Chgs July 25"/>
    <s v=""/>
    <s v=""/>
    <s v=""/>
    <d v="2025-08-08T00:00:00"/>
    <m/>
    <s v=""/>
  </r>
  <r>
    <s v="Not Selected"/>
    <n v="6788"/>
    <n v="100222362"/>
    <s v="ONNSYNEX VENTURES PRIVATE LIMITED"/>
    <s v="2025"/>
    <s v="6"/>
    <x v="23"/>
    <n v="1800000350"/>
    <x v="4"/>
    <x v="22"/>
    <d v="2025-06-09T00:00:00"/>
    <s v="Na"/>
    <n v="256788410225"/>
    <s v="212100"/>
    <s v="Trade Debtors (Ctrl)"/>
    <s v=""/>
    <s v="01"/>
    <s v="USD"/>
    <n v="111.13"/>
    <s v="INR"/>
    <n v="9500.59"/>
    <s v="O0"/>
    <s v="6788224500"/>
    <s v=""/>
    <s v="NA"/>
    <s v="1"/>
    <s v="PORT SSR Chgs - 16 - 31 May 25"/>
    <s v=""/>
    <s v=""/>
    <s v=""/>
    <d v="2025-06-04T00:00:00"/>
    <m/>
    <s v=""/>
  </r>
  <r>
    <s v="Not Selected"/>
    <n v="6788"/>
    <n v="100222362"/>
    <s v="ONNSYNEX VENTURES PRIVATE LIMITED"/>
    <s v="2025"/>
    <s v="6"/>
    <x v="23"/>
    <n v="1800000351"/>
    <x v="4"/>
    <x v="22"/>
    <d v="2025-06-09T00:00:00"/>
    <s v="Na"/>
    <n v="256788410226"/>
    <s v="212100"/>
    <s v="Trade Debtors (Ctrl)"/>
    <s v=""/>
    <s v="01"/>
    <s v="USD"/>
    <n v="223.31"/>
    <s v="INR"/>
    <n v="19090.95"/>
    <s v="O0"/>
    <s v="6788224500"/>
    <s v=""/>
    <s v="NA"/>
    <s v="1"/>
    <s v="Transportation In Chgs -16-31 MAY 25"/>
    <s v=""/>
    <s v=""/>
    <s v=""/>
    <d v="2025-06-04T00:00:00"/>
    <m/>
    <s v=""/>
  </r>
  <r>
    <s v="Not Selected"/>
    <n v="6788"/>
    <n v="100222362"/>
    <s v="ONNSYNEX VENTURES PRIVATE LIMITED"/>
    <s v="2025"/>
    <s v="6"/>
    <x v="23"/>
    <n v="1800000352"/>
    <x v="4"/>
    <x v="22"/>
    <d v="2025-06-13T00:00:00"/>
    <s v="Na"/>
    <n v="256788410227"/>
    <s v="212100"/>
    <s v="Trade Debtors (Ctrl)"/>
    <s v=""/>
    <s v="01"/>
    <s v="USD"/>
    <n v="27.61"/>
    <s v="INR"/>
    <n v="2360.4"/>
    <s v="O0"/>
    <s v="6788224500"/>
    <s v=""/>
    <s v="NA"/>
    <s v="1"/>
    <s v="Empty Lolo Chgs - 01 - 31 MAY 25"/>
    <s v=""/>
    <s v=""/>
    <s v=""/>
    <d v="2025-06-04T00:00:00"/>
    <m/>
    <s v=""/>
  </r>
  <r>
    <s v="Selected"/>
    <n v="6788"/>
    <n v="100222362"/>
    <s v="ONNSYNEX VENTURES PRIVATE LIMITED"/>
    <s v="2025"/>
    <s v="5"/>
    <x v="24"/>
    <n v="1600000113"/>
    <x v="5"/>
    <x v="23"/>
    <d v="2025-05-23T00:00:00"/>
    <s v="Na"/>
    <n v="256788420001"/>
    <s v="212100"/>
    <s v="Trade Debtors (Ctrl)"/>
    <s v=""/>
    <s v="11"/>
    <s v="USD"/>
    <n v="-75"/>
    <s v="INR"/>
    <n v="-6448.78"/>
    <s v="O0"/>
    <s v="6788224500"/>
    <s v=""/>
    <s v="NA"/>
    <s v="1"/>
    <s v="Credit note raised agaisnt INV_256788410019"/>
    <s v=""/>
    <s v=""/>
    <s v=""/>
    <d v="2025-05-16T00:00:00"/>
    <d v="2025-11-15T00:00:00"/>
    <s v="1400000084"/>
  </r>
  <r>
    <s v="Selected"/>
    <n v="6788"/>
    <n v="100222362"/>
    <s v="ONNSYNEX VENTURES PRIVATE LIMITED"/>
    <s v="2025"/>
    <s v="5"/>
    <x v="24"/>
    <n v="1600000117"/>
    <x v="5"/>
    <x v="23"/>
    <d v="2025-05-23T00:00:00"/>
    <s v="Na"/>
    <n v="256788420005"/>
    <s v="212100"/>
    <s v="Trade Debtors (Ctrl)"/>
    <s v=""/>
    <s v="11"/>
    <s v="USD"/>
    <n v="-75"/>
    <s v="INR"/>
    <n v="-6448.78"/>
    <s v="O0"/>
    <s v="6788224500"/>
    <s v=""/>
    <s v="NA"/>
    <s v="1"/>
    <s v="Credit note raised agaisnt INV_256788410023"/>
    <s v=""/>
    <s v=""/>
    <s v=""/>
    <d v="2025-05-16T00:00:00"/>
    <d v="2025-11-15T00:00:00"/>
    <s v="1400000084"/>
  </r>
  <r>
    <s v="Selected"/>
    <n v="6788"/>
    <n v="100222362"/>
    <s v="ONNSYNEX VENTURES PRIVATE LIMITED"/>
    <s v="2025"/>
    <s v="2"/>
    <x v="1"/>
    <n v="1800000000"/>
    <x v="4"/>
    <x v="1"/>
    <d v="2025-02-17T00:00:00"/>
    <s v="Na"/>
    <n v="246788410001"/>
    <s v="212100"/>
    <s v="Trade Debtors (Ctrl)"/>
    <s v=""/>
    <s v="01"/>
    <s v="USD"/>
    <n v="75"/>
    <s v="INR"/>
    <n v="6472.77"/>
    <s v="O0"/>
    <s v="6788224500"/>
    <s v=""/>
    <s v="NA"/>
    <s v="1"/>
    <s v="Fixed Rental charges for Aug 2024"/>
    <s v=""/>
    <s v=""/>
    <s v=""/>
    <d v="2025-02-17T00:00:00"/>
    <d v="2025-02-19T00:00:00"/>
    <s v="1400000001"/>
  </r>
  <r>
    <s v="Not Selected"/>
    <n v="6788"/>
    <n v="100222362"/>
    <s v="ONNSYNEX VENTURES PRIVATE LIMITED"/>
    <s v="2025"/>
    <s v="5"/>
    <x v="25"/>
    <n v="1800000346"/>
    <x v="4"/>
    <x v="24"/>
    <d v="2025-05-28T00:00:00"/>
    <s v="Na"/>
    <n v="256788410221"/>
    <s v="212100"/>
    <s v="Trade Debtors (Ctrl)"/>
    <s v=""/>
    <s v="01"/>
    <s v="USD"/>
    <n v="10364.719999999999"/>
    <s v="INR"/>
    <n v="891196.98"/>
    <s v="O0"/>
    <s v="6788224500"/>
    <s v=""/>
    <s v="NA"/>
    <s v="1"/>
    <s v="Storage Chgs - 01 - 31 Apr 25"/>
    <s v=""/>
    <s v=""/>
    <s v=""/>
    <d v="2025-05-28T00:00:00"/>
    <m/>
    <s v=""/>
  </r>
  <r>
    <s v="Not Selected"/>
    <n v="6788"/>
    <n v="100222362"/>
    <s v="ONNSYNEX VENTURES PRIVATE LIMITED"/>
    <s v="2025"/>
    <s v="7"/>
    <x v="26"/>
    <n v="1800000389"/>
    <x v="4"/>
    <x v="25"/>
    <d v="2025-07-25T00:00:00"/>
    <s v="Na"/>
    <n v="256788410265"/>
    <s v="212100"/>
    <s v="Trade Debtors (Ctrl)"/>
    <s v=""/>
    <s v="01"/>
    <s v="USD"/>
    <n v="1510.02"/>
    <s v="INR"/>
    <n v="129862.73"/>
    <s v="O0"/>
    <s v="6788224500"/>
    <s v=""/>
    <s v="NA"/>
    <s v="1"/>
    <s v="CODC Transport Chgs - 01 - 15 July 25"/>
    <s v=""/>
    <s v=""/>
    <s v=""/>
    <d v="2025-07-18T00:00:00"/>
    <m/>
    <s v=""/>
  </r>
  <r>
    <s v="Not Selected"/>
    <n v="6788"/>
    <n v="100222362"/>
    <s v="ONNSYNEX VENTURES PRIVATE LIMITED"/>
    <s v="2025"/>
    <s v="3"/>
    <x v="27"/>
    <n v="1800000064"/>
    <x v="4"/>
    <x v="26"/>
    <d v="2025-03-14T00:00:00"/>
    <s v="Na"/>
    <n v="246788410059"/>
    <s v="212100"/>
    <s v="Trade Debtors (Ctrl)"/>
    <s v=""/>
    <s v="01"/>
    <s v="USD"/>
    <n v="25.75"/>
    <s v="INR"/>
    <n v="2232.3000000000002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5"/>
    <x v="4"/>
    <x v="26"/>
    <d v="2025-03-14T00:00:00"/>
    <s v="Na"/>
    <n v="246788410060"/>
    <s v="212100"/>
    <s v="Trade Debtors (Ctrl)"/>
    <s v=""/>
    <s v="01"/>
    <s v="USD"/>
    <n v="37.200000000000003"/>
    <s v="INR"/>
    <n v="3224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6"/>
    <x v="4"/>
    <x v="26"/>
    <d v="2025-03-14T00:00:00"/>
    <s v="Na"/>
    <n v="246788410061"/>
    <s v="212100"/>
    <s v="Trade Debtors (Ctrl)"/>
    <s v=""/>
    <s v="01"/>
    <s v="USD"/>
    <n v="26.23"/>
    <s v="INR"/>
    <n v="2273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7"/>
    <x v="4"/>
    <x v="26"/>
    <d v="2025-03-14T00:00:00"/>
    <s v="Na"/>
    <n v="246788410062"/>
    <s v="212100"/>
    <s v="Trade Debtors (Ctrl)"/>
    <s v=""/>
    <s v="01"/>
    <s v="USD"/>
    <n v="26.23"/>
    <s v="INR"/>
    <n v="2273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8"/>
    <x v="4"/>
    <x v="26"/>
    <d v="2025-03-14T00:00:00"/>
    <s v="Na"/>
    <n v="246788410063"/>
    <s v="212100"/>
    <s v="Trade Debtors (Ctrl)"/>
    <s v=""/>
    <s v="01"/>
    <s v="USD"/>
    <n v="23.85"/>
    <s v="INR"/>
    <n v="2067.59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69"/>
    <x v="4"/>
    <x v="26"/>
    <d v="2025-03-14T00:00:00"/>
    <s v="Na"/>
    <n v="246788410064"/>
    <s v="212100"/>
    <s v="Trade Debtors (Ctrl)"/>
    <s v=""/>
    <s v="01"/>
    <s v="USD"/>
    <n v="23.87"/>
    <s v="INR"/>
    <n v="2069.3200000000002"/>
    <s v="O0"/>
    <s v="6788224500"/>
    <s v=""/>
    <s v="NA"/>
    <s v="1"/>
    <s v="VAS Activity Charges for the month of September, 2"/>
    <s v=""/>
    <s v=""/>
    <s v=""/>
    <d v="2025-03-13T00:00:00"/>
    <m/>
    <s v=""/>
  </r>
  <r>
    <s v="Not Selected"/>
    <n v="6788"/>
    <n v="100222362"/>
    <s v="ONNSYNEX VENTURES PRIVATE LIMITED"/>
    <s v="2025"/>
    <s v="3"/>
    <x v="27"/>
    <n v="1800000070"/>
    <x v="4"/>
    <x v="26"/>
    <d v="2025-03-14T00:00:00"/>
    <s v="Na"/>
    <n v="246788410065"/>
    <s v="212100"/>
    <s v="Trade Debtors (Ctrl)"/>
    <s v=""/>
    <s v="01"/>
    <s v="USD"/>
    <n v="23.63"/>
    <s v="INR"/>
    <n v="2048.5100000000002"/>
    <s v="O0"/>
    <s v="6788224500"/>
    <s v=""/>
    <s v="NA"/>
    <s v="1"/>
    <s v="VAS Activity Charges for the month of September, 2"/>
    <s v=""/>
    <s v=""/>
    <s v=""/>
    <d v="2025-03-13T00:00:00"/>
    <m/>
    <s v=""/>
  </r>
  <r>
    <s v="Not Selected"/>
    <n v="6779"/>
    <n v="100222362"/>
    <s v="ONNSYNEX VENTURES PRIVATE LIMITED"/>
    <s v="2025"/>
    <s v="3"/>
    <x v="28"/>
    <n v="1800005048"/>
    <x v="4"/>
    <x v="27"/>
    <d v="2025-03-21T00:00:00"/>
    <s v="Na"/>
    <n v="246779414916"/>
    <s v="212100"/>
    <s v="Trade Debtors (Ctrl)"/>
    <s v=""/>
    <s v="01"/>
    <s v="USD"/>
    <n v="7.26"/>
    <s v="INR"/>
    <n v="629.38"/>
    <s v="O0"/>
    <s v="6779224500"/>
    <s v=""/>
    <s v="NA"/>
    <s v="1"/>
    <s v="Inbound Handling charges for Feb 2025"/>
    <s v=""/>
    <s v=""/>
    <s v=""/>
    <d v="2025-03-20T00:00:00"/>
    <m/>
    <s v=""/>
  </r>
  <r>
    <s v="Not Selected"/>
    <n v="6779"/>
    <n v="100222362"/>
    <s v="ONNSYNEX VENTURES PRIVATE LIMITED"/>
    <s v="2025"/>
    <s v="3"/>
    <x v="28"/>
    <n v="1800005049"/>
    <x v="4"/>
    <x v="27"/>
    <d v="2025-03-21T00:00:00"/>
    <s v="Na"/>
    <n v="246779414917"/>
    <s v="212100"/>
    <s v="Trade Debtors (Ctrl)"/>
    <s v=""/>
    <s v="01"/>
    <s v="USD"/>
    <n v="12"/>
    <s v="INR"/>
    <n v="1040.3"/>
    <s v="O0"/>
    <s v="6779224500"/>
    <s v=""/>
    <s v="NA"/>
    <s v="1"/>
    <s v="LCL Movement Charges for Feb 2025"/>
    <s v=""/>
    <s v=""/>
    <s v=""/>
    <d v="2025-03-20T00:00:00"/>
    <m/>
    <s v=""/>
  </r>
  <r>
    <s v="Not Selected"/>
    <n v="6788"/>
    <n v="100222362"/>
    <s v="ONNSYNEX VENTURES PRIVATE LIMITED"/>
    <s v="2025"/>
    <s v="2"/>
    <x v="29"/>
    <n v="1800000029"/>
    <x v="4"/>
    <x v="28"/>
    <d v="2025-02-20T00:00:00"/>
    <s v="Na"/>
    <n v="246788410019"/>
    <s v="212100"/>
    <s v="Trade Debtors (Ctrl)"/>
    <s v=""/>
    <s v="01"/>
    <s v="USD"/>
    <n v="75"/>
    <s v="INR"/>
    <n v="6472.77"/>
    <s v="O0"/>
    <s v="6788224500"/>
    <s v=""/>
    <s v="NA"/>
    <s v="1"/>
    <s v="Fixed Rental charges for Feb 2025"/>
    <s v=""/>
    <s v=""/>
    <s v=""/>
    <d v="2025-02-20T00:00:00"/>
    <m/>
    <s v=""/>
  </r>
  <r>
    <s v="Not Selected"/>
    <n v="6788"/>
    <n v="100222362"/>
    <s v="ONNSYNEX VENTURES PRIVATE LIMITED"/>
    <s v="2025"/>
    <s v="2"/>
    <x v="29"/>
    <n v="1800000033"/>
    <x v="4"/>
    <x v="28"/>
    <d v="2025-02-20T00:00:00"/>
    <s v="Na"/>
    <n v="246788410021"/>
    <s v="212100"/>
    <s v="Trade Debtors (Ctrl)"/>
    <s v=""/>
    <s v="01"/>
    <s v="USD"/>
    <n v="75"/>
    <s v="INR"/>
    <n v="6472.77"/>
    <s v="O0"/>
    <s v="6788224500"/>
    <s v=""/>
    <s v="NA"/>
    <s v="1"/>
    <s v="Fixed Rental charges for Jan 2025"/>
    <s v=""/>
    <s v=""/>
    <s v=""/>
    <d v="2025-02-20T00:00:00"/>
    <m/>
    <s v=""/>
  </r>
  <r>
    <s v="Not Selected"/>
    <n v="6788"/>
    <n v="100222362"/>
    <s v="ONNSYNEX VENTURES PRIVATE LIMITED"/>
    <s v="2025"/>
    <s v="8"/>
    <x v="2"/>
    <n v="1800000476"/>
    <x v="4"/>
    <x v="2"/>
    <d v="2025-08-22T00:00:00"/>
    <s v="Na"/>
    <n v="256788410348"/>
    <s v="212100"/>
    <s v="Trade Debtors (Ctrl)"/>
    <s v=""/>
    <s v="01"/>
    <s v="USD"/>
    <n v="20.57"/>
    <s v="INR"/>
    <n v="1769.64"/>
    <s v="O0"/>
    <s v="6788224500"/>
    <s v=""/>
    <s v="NA"/>
    <s v="1"/>
    <s v="Weighment-1-15 Aug 25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800000473"/>
    <x v="4"/>
    <x v="2"/>
    <d v="2025-08-22T00:00:00"/>
    <s v="Na"/>
    <n v="256788410350"/>
    <s v="212100"/>
    <s v="Trade Debtors (Ctrl)"/>
    <s v=""/>
    <s v="01"/>
    <s v="USD"/>
    <n v="141.91"/>
    <s v="INR"/>
    <n v="12208.53"/>
    <s v="O0"/>
    <s v="6788224500"/>
    <s v=""/>
    <s v="NA"/>
    <s v="1"/>
    <s v="LCL chgs - 01 - 15 AUG 25"/>
    <s v=""/>
    <s v=""/>
    <s v=""/>
    <d v="2025-08-20T00:00:00"/>
    <m/>
    <s v=""/>
  </r>
  <r>
    <s v="Not Selected"/>
    <n v="6788"/>
    <n v="100222362"/>
    <s v="ONNSYNEX VENTURES PRIVATE LIMITED"/>
    <s v="2025"/>
    <s v="8"/>
    <x v="2"/>
    <n v="1800000475"/>
    <x v="4"/>
    <x v="2"/>
    <d v="2025-08-22T00:00:00"/>
    <s v="Na"/>
    <n v="256788410352"/>
    <s v="212100"/>
    <s v="Trade Debtors (Ctrl)"/>
    <s v=""/>
    <s v="01"/>
    <s v="USD"/>
    <n v="342.84"/>
    <s v="INR"/>
    <n v="29494.57"/>
    <s v="O0"/>
    <s v="6788224500"/>
    <s v=""/>
    <s v="NA"/>
    <s v="1"/>
    <s v="Outbound chgs - 01- 15 AUG 25"/>
    <s v=""/>
    <s v=""/>
    <s v=""/>
    <d v="2025-08-20T00:00:00"/>
    <m/>
    <s v=""/>
  </r>
  <r>
    <s v="Selected"/>
    <n v="6788"/>
    <n v="100222362"/>
    <s v="ONNSYNEX VENTURES PRIVATE LIMITED"/>
    <s v="2025"/>
    <s v="2"/>
    <x v="30"/>
    <n v="1600000004"/>
    <x v="5"/>
    <x v="29"/>
    <d v="2025-02-19T00:00:00"/>
    <s v="Na"/>
    <n v="246788420003"/>
    <s v="212100"/>
    <s v="Trade Debtors (Ctrl)"/>
    <s v=""/>
    <s v="11"/>
    <s v="USD"/>
    <n v="-75"/>
    <s v="INR"/>
    <n v="-6472.77"/>
    <s v="O0"/>
    <s v="6788224500"/>
    <s v=""/>
    <s v="NA"/>
    <s v="1"/>
    <s v="Credit note raise against INV#1800000000"/>
    <s v=""/>
    <s v=""/>
    <s v=""/>
    <d v="2025-02-19T00:00:00"/>
    <d v="2025-02-19T00:00:00"/>
    <s v="1400000001"/>
  </r>
  <r>
    <s v="Not Selected"/>
    <n v="6788"/>
    <n v="100222362"/>
    <s v="ONNSYNEX VENTURES PRIVATE LIMITED"/>
    <s v="2025"/>
    <s v="2"/>
    <x v="30"/>
    <n v="1800000006"/>
    <x v="4"/>
    <x v="29"/>
    <d v="2025-02-19T00:00:00"/>
    <s v="Na"/>
    <n v="246788410005"/>
    <s v="212100"/>
    <s v="Trade Debtors (Ctrl)"/>
    <s v=""/>
    <s v="01"/>
    <s v="USD"/>
    <n v="75"/>
    <s v="INR"/>
    <n v="6472.77"/>
    <s v="O0"/>
    <s v="6788224500"/>
    <s v=""/>
    <s v="NA"/>
    <s v="1"/>
    <s v="Fixed Rental charges for Aug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22"/>
    <x v="4"/>
    <x v="29"/>
    <d v="2025-02-19T00:00:00"/>
    <s v="Na"/>
    <n v="246788410009"/>
    <s v="212100"/>
    <s v="Trade Debtors (Ctrl)"/>
    <s v=""/>
    <s v="01"/>
    <s v="USD"/>
    <n v="75"/>
    <s v="INR"/>
    <n v="6472.77"/>
    <s v="O0"/>
    <s v="6788224500"/>
    <s v=""/>
    <s v="NA"/>
    <s v="1"/>
    <s v="Fixed Rental charges for Sept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8"/>
    <x v="4"/>
    <x v="29"/>
    <d v="2025-02-19T00:00:00"/>
    <s v="Na"/>
    <n v="246788410013"/>
    <s v="212100"/>
    <s v="Trade Debtors (Ctrl)"/>
    <s v=""/>
    <s v="01"/>
    <s v="USD"/>
    <n v="75"/>
    <s v="INR"/>
    <n v="6472.77"/>
    <s v="O0"/>
    <s v="6788224500"/>
    <s v=""/>
    <s v="NA"/>
    <s v="1"/>
    <s v="Fixed Rental charges for Oct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0"/>
    <x v="4"/>
    <x v="29"/>
    <d v="2025-02-19T00:00:00"/>
    <s v="Na"/>
    <n v="246788410015"/>
    <s v="212100"/>
    <s v="Trade Debtors (Ctrl)"/>
    <s v=""/>
    <s v="01"/>
    <s v="USD"/>
    <n v="75"/>
    <s v="INR"/>
    <n v="6472.77"/>
    <s v="O0"/>
    <s v="6788224500"/>
    <s v=""/>
    <s v="NA"/>
    <s v="1"/>
    <s v="Fixed Rental charges for Nov 2024"/>
    <s v=""/>
    <s v=""/>
    <s v=""/>
    <d v="2025-02-19T00:00:00"/>
    <m/>
    <s v=""/>
  </r>
  <r>
    <s v="Not Selected"/>
    <n v="6788"/>
    <n v="100222362"/>
    <s v="ONNSYNEX VENTURES PRIVATE LIMITED"/>
    <s v="2025"/>
    <s v="2"/>
    <x v="30"/>
    <n v="1800000012"/>
    <x v="4"/>
    <x v="29"/>
    <d v="2025-02-19T00:00:00"/>
    <s v="Na"/>
    <n v="246788410017"/>
    <s v="212100"/>
    <s v="Trade Debtors (Ctrl)"/>
    <s v=""/>
    <s v="01"/>
    <s v="USD"/>
    <n v="75"/>
    <s v="INR"/>
    <n v="6472.77"/>
    <s v="O0"/>
    <s v="6788224500"/>
    <s v=""/>
    <s v="NA"/>
    <s v="1"/>
    <s v="Fixed Rental charges for Dec 2024"/>
    <s v=""/>
    <s v=""/>
    <s v=""/>
    <d v="2025-02-19T00:00:00"/>
    <m/>
    <s v=""/>
  </r>
  <r>
    <s v="Selected"/>
    <n v="6788"/>
    <n v="100222362"/>
    <s v="ONNSYNEX VENTURES PRIVATE LIMITED"/>
    <s v="2025"/>
    <s v="9"/>
    <x v="31"/>
    <n v="1600000242"/>
    <x v="5"/>
    <x v="30"/>
    <d v="2025-09-24T00:00:00"/>
    <s v="Na"/>
    <n v="256788420122"/>
    <s v="212100"/>
    <s v="Trade Debtors (Ctrl)"/>
    <s v=""/>
    <s v="11"/>
    <s v="USD"/>
    <n v="-9"/>
    <s v="INR"/>
    <n v="-774.01"/>
    <s v="O0"/>
    <s v="6788224500"/>
    <s v=""/>
    <s v="2104196"/>
    <s v="1"/>
    <s v="Credit note raised against INV_256788410267"/>
    <s v=""/>
    <s v=""/>
    <s v=""/>
    <d v="2025-09-23T00:00:00"/>
    <d v="2025-11-15T00:00:00"/>
    <s v="1400000084"/>
  </r>
  <r>
    <s v="Not Selected"/>
    <n v="6788"/>
    <n v="100222362"/>
    <s v="ONNSYNEX VENTURES PRIVATE LIMITED"/>
    <s v="2025"/>
    <s v="11"/>
    <x v="32"/>
    <n v="1800000594"/>
    <x v="4"/>
    <x v="31"/>
    <d v="2025-11-12T00:00:00"/>
    <s v="Na"/>
    <n v="256788410459"/>
    <s v="212100"/>
    <s v="Trade Debtors (Ctrl)"/>
    <s v=""/>
    <s v="01"/>
    <s v="USD"/>
    <n v="8006.66"/>
    <s v="INR"/>
    <n v="704613.22"/>
    <s v="O0"/>
    <s v="6788224500"/>
    <s v=""/>
    <s v="2125273"/>
    <s v="1"/>
    <s v="Unit-Storage-1-31 Oct 25"/>
    <s v=""/>
    <s v=""/>
    <s v=""/>
    <d v="2025-11-12T00:00:00"/>
    <m/>
    <s v=""/>
  </r>
  <r>
    <s v="Not Selected"/>
    <n v="6788"/>
    <n v="100222362"/>
    <s v="ONNSYNEX VENTURES PRIVATE LIMITED"/>
    <s v="2025"/>
    <s v="11"/>
    <x v="32"/>
    <n v="1600000270"/>
    <x v="5"/>
    <x v="31"/>
    <d v="2025-11-13T00:00:00"/>
    <s v="Na"/>
    <n v="256788420147"/>
    <s v="212100"/>
    <s v="Trade Debtors (Ctrl)"/>
    <s v=""/>
    <s v="11"/>
    <s v="USD"/>
    <n v="-4547.2"/>
    <s v="INR"/>
    <n v="-400169.02"/>
    <s v="O0"/>
    <s v="6788224500"/>
    <s v=""/>
    <s v="2125274"/>
    <s v="1"/>
    <s v="Credit note against - 256788410454"/>
    <s v=""/>
    <s v=""/>
    <s v=""/>
    <d v="2025-11-12T00:00:00"/>
    <m/>
    <s v=""/>
  </r>
  <r>
    <s v="Not Selected"/>
    <n v="6779"/>
    <n v="100222362"/>
    <s v="ONNSYNEX VENTURES PRIVATE LIMITED"/>
    <s v="2025"/>
    <s v="6"/>
    <x v="33"/>
    <n v="1800009582"/>
    <x v="4"/>
    <x v="32"/>
    <d v="2025-06-17T00:00:00"/>
    <s v="Na"/>
    <n v="256779414346"/>
    <s v="212100"/>
    <s v="Trade Debtors (Ctrl)"/>
    <s v=""/>
    <s v="01"/>
    <s v="USD"/>
    <n v="2322.04"/>
    <s v="INR"/>
    <n v="198513.01"/>
    <s v="O0"/>
    <s v="6779224500"/>
    <s v=""/>
    <s v="NA"/>
    <s v="1"/>
    <s v="CY Longstanding - March 25,16-31"/>
    <s v=""/>
    <s v=""/>
    <s v=""/>
    <d v="2025-06-13T00:00:00"/>
    <m/>
    <s v=""/>
  </r>
  <r>
    <s v="Not Selected"/>
    <n v="6788"/>
    <n v="100222362"/>
    <s v="ONNSYNEX VENTURES PRIVATE LIMITED"/>
    <s v="2025"/>
    <s v="5"/>
    <x v="34"/>
    <n v="1800000345"/>
    <x v="4"/>
    <x v="33"/>
    <d v="2025-05-23T00:00:00"/>
    <s v="Na"/>
    <n v="256788410220"/>
    <s v="212100"/>
    <s v="Trade Debtors (Ctrl)"/>
    <s v=""/>
    <s v="01"/>
    <s v="USD"/>
    <n v="67.2"/>
    <s v="INR"/>
    <n v="5778.1"/>
    <s v="O0"/>
    <s v="6788224500"/>
    <s v=""/>
    <s v="NA"/>
    <s v="1"/>
    <s v="Outbound chgs - 01 - 15 May 25"/>
    <s v=""/>
    <s v=""/>
    <s v=""/>
    <d v="2025-05-20T00:00:00"/>
    <m/>
    <s v=""/>
  </r>
  <r>
    <s v="Not Selected"/>
    <n v="6779"/>
    <n v="100222362"/>
    <s v="ONNSYNEX VENTURES PRIVATE LIMITED"/>
    <s v="2025"/>
    <s v="4"/>
    <x v="35"/>
    <n v="1800005306"/>
    <x v="4"/>
    <x v="34"/>
    <d v="2025-04-05T00:00:00"/>
    <s v="Na"/>
    <n v="256779410198"/>
    <s v="212100"/>
    <s v="Trade Debtors (Ctrl)"/>
    <s v=""/>
    <s v="01"/>
    <s v="USD"/>
    <n v="3.45"/>
    <s v="INR"/>
    <n v="299.88"/>
    <s v="O0"/>
    <s v=""/>
    <s v=""/>
    <s v="NA"/>
    <s v="1"/>
    <s v="VAS Activity -1 -15 Mar 25, Ex Rate. 87.01"/>
    <s v=""/>
    <s v=""/>
    <s v=""/>
    <d v="2025-04-03T00:00:00"/>
    <m/>
    <s v=""/>
  </r>
  <r>
    <s v="Not Selected"/>
    <n v="6788"/>
    <n v="100222362"/>
    <s v="ONNSYNEX VENTURES PRIVATE LIMITED"/>
    <s v="2025"/>
    <s v="10"/>
    <x v="36"/>
    <n v="1800000558"/>
    <x v="4"/>
    <x v="35"/>
    <d v="2025-10-21T00:00:00"/>
    <s v="Na"/>
    <n v="256788410435"/>
    <s v="212100"/>
    <s v="Trade Debtors (Ctrl)"/>
    <s v=""/>
    <s v="01"/>
    <s v="USD"/>
    <n v="38"/>
    <s v="INR"/>
    <n v="3351.25"/>
    <s v="O0"/>
    <s v="6788224500"/>
    <s v=""/>
    <s v="2114882"/>
    <s v="1"/>
    <s v="LCL chgs - 01 -15 OCT 25"/>
    <s v=""/>
    <s v=""/>
    <s v=""/>
    <d v="2025-10-20T00:00:00"/>
    <m/>
    <s v=""/>
  </r>
  <r>
    <s v="Not Selected"/>
    <n v="6788"/>
    <n v="100222362"/>
    <s v="ONNSYNEX VENTURES PRIVATE LIMITED"/>
    <s v="2025"/>
    <s v="10"/>
    <x v="36"/>
    <n v="1800000560"/>
    <x v="4"/>
    <x v="35"/>
    <d v="2025-10-21T00:00:00"/>
    <s v="Na"/>
    <n v="256788410437"/>
    <s v="212100"/>
    <s v="Trade Debtors (Ctrl)"/>
    <s v=""/>
    <s v="01"/>
    <s v="USD"/>
    <n v="346.14"/>
    <s v="INR"/>
    <n v="30526.35"/>
    <s v="O0"/>
    <s v="6788224500"/>
    <s v=""/>
    <s v="2114884"/>
    <s v="1"/>
    <s v="Outbound chgs - 01 - 15 OCT 25"/>
    <s v=""/>
    <s v=""/>
    <s v=""/>
    <d v="2025-10-20T00:00:00"/>
    <m/>
    <s v=""/>
  </r>
  <r>
    <s v="Not Selected"/>
    <n v="6788"/>
    <n v="100222362"/>
    <s v="ONNSYNEX VENTURES PRIVATE LIMITED"/>
    <s v="2025"/>
    <s v="4"/>
    <x v="37"/>
    <n v="1800000126"/>
    <x v="4"/>
    <x v="36"/>
    <d v="2025-04-05T00:00:00"/>
    <s v="Na"/>
    <n v="256788410001"/>
    <s v="212100"/>
    <s v="Trade Debtors (Ctrl)"/>
    <s v=""/>
    <s v="01"/>
    <s v="USD"/>
    <n v="10887.57"/>
    <s v="INR"/>
    <n v="946367.4"/>
    <s v="O0"/>
    <s v=""/>
    <s v=""/>
    <s v="NA"/>
    <s v="1"/>
    <s v="Storage Charges Jan, 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7"/>
    <x v="4"/>
    <x v="36"/>
    <d v="2025-04-05T00:00:00"/>
    <s v="Na"/>
    <n v="256788410002"/>
    <s v="212100"/>
    <s v="Trade Debtors (Ctrl)"/>
    <s v=""/>
    <s v="01"/>
    <s v="USD"/>
    <n v="9928.89"/>
    <s v="INR"/>
    <n v="863037.19"/>
    <s v="O0"/>
    <s v=""/>
    <s v=""/>
    <s v="NA"/>
    <s v="1"/>
    <s v="Storage Charges Feb, 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8"/>
    <x v="4"/>
    <x v="36"/>
    <d v="2025-04-05T00:00:00"/>
    <s v="Na"/>
    <n v="256788410003"/>
    <s v="212100"/>
    <s v="Trade Debtors (Ctrl)"/>
    <s v=""/>
    <s v="01"/>
    <s v="USD"/>
    <n v="4.5"/>
    <s v="INR"/>
    <n v="391.15"/>
    <s v="O0"/>
    <s v=""/>
    <s v=""/>
    <s v="NA"/>
    <s v="1"/>
    <s v="Outbound Handling charges for Jan 2025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29"/>
    <x v="4"/>
    <x v="36"/>
    <d v="2025-04-05T00:00:00"/>
    <s v="Na"/>
    <n v="256788410004"/>
    <s v="212100"/>
    <s v="Trade Debtors (Ctrl)"/>
    <s v=""/>
    <s v="01"/>
    <s v="USD"/>
    <n v="2786.28"/>
    <s v="INR"/>
    <n v="242188.53"/>
    <s v="O0"/>
    <s v=""/>
    <s v=""/>
    <s v="NA"/>
    <s v="1"/>
    <s v="CY Longstanding Ground Rent charges for Dec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34"/>
    <x v="4"/>
    <x v="36"/>
    <d v="2025-04-05T00:00:00"/>
    <s v="Na"/>
    <n v="256788410009"/>
    <s v="212100"/>
    <s v="Trade Debtors (Ctrl)"/>
    <s v=""/>
    <s v="01"/>
    <s v="USD"/>
    <n v="2934.66"/>
    <s v="INR"/>
    <n v="255085.99"/>
    <s v="O0"/>
    <s v=""/>
    <s v=""/>
    <s v="NA"/>
    <s v="1"/>
    <s v="CY Longstanding Ground Rent charges for Nov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38"/>
    <x v="4"/>
    <x v="36"/>
    <d v="2025-04-05T00:00:00"/>
    <s v="Na"/>
    <n v="256788410013"/>
    <s v="212100"/>
    <s v="Trade Debtors (Ctrl)"/>
    <s v=""/>
    <s v="01"/>
    <s v="USD"/>
    <n v="2935.55"/>
    <s v="INR"/>
    <n v="255163.35"/>
    <s v="O0"/>
    <s v=""/>
    <s v=""/>
    <s v="NA"/>
    <s v="1"/>
    <s v="CY Longstanding Ground Rent charges for Oct 2024."/>
    <s v=""/>
    <s v=""/>
    <s v=""/>
    <d v="2025-04-02T00:00:00"/>
    <m/>
    <s v=""/>
  </r>
  <r>
    <s v="Not Selected"/>
    <n v="6788"/>
    <n v="100222362"/>
    <s v="ONNSYNEX VENTURES PRIVATE LIMITED"/>
    <s v="2025"/>
    <s v="4"/>
    <x v="37"/>
    <n v="1800000141"/>
    <x v="4"/>
    <x v="36"/>
    <d v="2025-04-05T00:00:00"/>
    <s v="Na"/>
    <n v="256788410016"/>
    <s v="212100"/>
    <s v="Trade Debtors (Ctrl)"/>
    <s v=""/>
    <s v="01"/>
    <s v="USD"/>
    <n v="3979.2"/>
    <s v="INR"/>
    <n v="345879.31"/>
    <s v="O0"/>
    <s v=""/>
    <s v=""/>
    <s v="NA"/>
    <s v="1"/>
    <s v="CY Longstanding Ground Rent charges for Sept 2024."/>
    <s v=""/>
    <s v=""/>
    <s v=""/>
    <d v="2025-04-02T00:00:00"/>
    <m/>
    <s v=""/>
  </r>
  <r>
    <s v="Selected"/>
    <n v="6788"/>
    <n v="100222362"/>
    <s v="ONNSYNEX VENTURES PRIVATE LIMITED"/>
    <s v="2025"/>
    <s v="4"/>
    <x v="37"/>
    <n v="1800000144"/>
    <x v="4"/>
    <x v="36"/>
    <d v="2025-04-05T00:00:00"/>
    <s v="Na"/>
    <n v="256788410019"/>
    <s v="212100"/>
    <s v="Trade Debtors (Ctrl)"/>
    <s v=""/>
    <s v="01"/>
    <s v="USD"/>
    <n v="75"/>
    <s v="INR"/>
    <n v="6519.14"/>
    <s v="O0"/>
    <s v=""/>
    <s v=""/>
    <s v="NA"/>
    <s v="1"/>
    <s v="Fixed Rental charges for Feb 2025"/>
    <s v=""/>
    <s v=""/>
    <s v=""/>
    <d v="2025-04-02T00:00:00"/>
    <d v="2025-11-15T00:00:00"/>
    <s v="1400000084"/>
  </r>
  <r>
    <s v="Selected"/>
    <n v="6788"/>
    <n v="100222362"/>
    <s v="ONNSYNEX VENTURES PRIVATE LIMITED"/>
    <s v="2025"/>
    <s v="4"/>
    <x v="37"/>
    <n v="1800000148"/>
    <x v="4"/>
    <x v="36"/>
    <d v="2025-04-05T00:00:00"/>
    <s v="Na"/>
    <n v="256788410023"/>
    <s v="212100"/>
    <s v="Trade Debtors (Ctrl)"/>
    <s v=""/>
    <s v="01"/>
    <s v="USD"/>
    <n v="75"/>
    <s v="INR"/>
    <n v="6519.14"/>
    <s v="O0"/>
    <s v=""/>
    <s v=""/>
    <s v="NA"/>
    <s v="1"/>
    <s v="Fixed Rental charges for Jan 2025"/>
    <s v=""/>
    <s v=""/>
    <s v=""/>
    <d v="2025-04-02T00:00:00"/>
    <d v="2025-11-15T00:00:00"/>
    <s v="1400000084"/>
  </r>
  <r>
    <s v="Not Selected"/>
    <n v="6788"/>
    <n v="100222362"/>
    <s v="ONNSYNEX VENTURES PRIVATE LIMITED"/>
    <s v="2025"/>
    <s v="12"/>
    <x v="38"/>
    <n v="1800000608"/>
    <x v="4"/>
    <x v="37"/>
    <d v="2025-12-09T00:00:00"/>
    <s v="Na"/>
    <n v="256788410465"/>
    <s v="212100"/>
    <s v="Trade Debtors (Ctrl)"/>
    <s v=""/>
    <s v="01"/>
    <s v="USD"/>
    <n v="3385.09"/>
    <s v="INR"/>
    <n v="300257.96000000002"/>
    <s v="O0"/>
    <s v="6788224500"/>
    <s v=""/>
    <s v="2139801"/>
    <s v="1"/>
    <s v="Unit-Storage-1-30 Nov 25"/>
    <s v=""/>
    <s v=""/>
    <s v=""/>
    <d v="2025-12-04T00:00:00"/>
    <m/>
    <s v=""/>
  </r>
  <r>
    <s v="Not Selected"/>
    <n v="6788"/>
    <n v="100222362"/>
    <s v="ONNSYNEX VENTURES PRIVATE LIMITED"/>
    <s v="2025"/>
    <s v="12"/>
    <x v="38"/>
    <n v="1800000609"/>
    <x v="4"/>
    <x v="37"/>
    <d v="2025-12-09T00:00:00"/>
    <s v="Na"/>
    <n v="256788410466"/>
    <s v="212100"/>
    <s v="Trade Debtors (Ctrl)"/>
    <s v=""/>
    <s v="01"/>
    <s v="USD"/>
    <n v="75"/>
    <s v="INR"/>
    <n v="6652.51"/>
    <s v="O0"/>
    <s v="6788224500"/>
    <s v=""/>
    <s v="2139802"/>
    <s v="1"/>
    <s v="Fixed Storage Charges for December 2025"/>
    <s v=""/>
    <s v=""/>
    <s v=""/>
    <d v="2025-12-04T00:00:00"/>
    <m/>
    <s v=""/>
  </r>
  <r>
    <s v="Not Selected"/>
    <n v="6788"/>
    <n v="100222362"/>
    <s v="ONNSYNEX VENTURES PRIVATE LIMITED"/>
    <s v="2025"/>
    <s v="3"/>
    <x v="39"/>
    <n v="1800000084"/>
    <x v="4"/>
    <x v="38"/>
    <d v="2025-03-19T00:00:00"/>
    <s v="Na"/>
    <n v="246788410079"/>
    <s v="212100"/>
    <s v="Trade Debtors (Ctrl)"/>
    <s v=""/>
    <s v="01"/>
    <s v="USD"/>
    <n v="75"/>
    <s v="INR"/>
    <n v="6501.84"/>
    <s v="O0"/>
    <s v="6788224500"/>
    <s v=""/>
    <s v="NA"/>
    <s v="1"/>
    <s v="Fixed Rental charges for March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86"/>
    <x v="4"/>
    <x v="38"/>
    <d v="2025-03-19T00:00:00"/>
    <s v="Na"/>
    <n v="246788410081"/>
    <s v="212100"/>
    <s v="Trade Debtors (Ctrl)"/>
    <s v=""/>
    <s v="01"/>
    <s v="USD"/>
    <n v="2"/>
    <s v="INR"/>
    <n v="173.38"/>
    <s v="O0"/>
    <s v="6788224500"/>
    <s v=""/>
    <s v="NA"/>
    <s v="1"/>
    <s v="Outbound Handling charges for Feb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87"/>
    <x v="4"/>
    <x v="38"/>
    <d v="2025-03-19T00:00:00"/>
    <s v="Na"/>
    <n v="246788410082"/>
    <s v="212100"/>
    <s v="Trade Debtors (Ctrl)"/>
    <s v=""/>
    <s v="01"/>
    <s v="USD"/>
    <n v="40"/>
    <s v="INR"/>
    <n v="3467.65"/>
    <s v="O0"/>
    <s v="6788224500"/>
    <s v=""/>
    <s v="NA"/>
    <s v="1"/>
    <s v="Outbound Handling charges for Feb 2025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0"/>
    <x v="4"/>
    <x v="38"/>
    <d v="2025-03-19T00:00:00"/>
    <s v="Na"/>
    <n v="246788410085"/>
    <s v="212100"/>
    <s v="Trade Debtors (Ctrl)"/>
    <s v=""/>
    <s v="01"/>
    <s v="USD"/>
    <n v="1324"/>
    <s v="INR"/>
    <n v="114779.23"/>
    <s v="O0"/>
    <s v="6788224500"/>
    <s v=""/>
    <s v="NA"/>
    <s v="1"/>
    <s v="Outbound Handling charges for Sep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1"/>
    <x v="4"/>
    <x v="38"/>
    <d v="2025-03-19T00:00:00"/>
    <s v="Na"/>
    <n v="246788410086"/>
    <s v="212100"/>
    <s v="Trade Debtors (Ctrl)"/>
    <s v=""/>
    <s v="01"/>
    <s v="USD"/>
    <n v="0.5"/>
    <s v="INR"/>
    <n v="43.35"/>
    <s v="O0"/>
    <s v="6788224500"/>
    <s v=""/>
    <s v="NA"/>
    <s v="1"/>
    <s v="Loose Loading Handling charges for Sep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6"/>
    <x v="4"/>
    <x v="38"/>
    <d v="2025-03-19T00:00:00"/>
    <s v="Na"/>
    <n v="246788410088"/>
    <s v="212100"/>
    <s v="Trade Debtors (Ctrl)"/>
    <s v=""/>
    <s v="01"/>
    <s v="USD"/>
    <n v="10"/>
    <s v="INR"/>
    <n v="866.91"/>
    <s v="O0"/>
    <s v="6788224500"/>
    <s v=""/>
    <s v="NA"/>
    <s v="1"/>
    <s v="Outbound Handling charges for Nov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7"/>
    <x v="4"/>
    <x v="38"/>
    <d v="2025-03-19T00:00:00"/>
    <s v="Na"/>
    <n v="246788410089"/>
    <s v="212100"/>
    <s v="Trade Debtors (Ctrl)"/>
    <s v=""/>
    <s v="01"/>
    <s v="USD"/>
    <n v="0.63"/>
    <s v="INR"/>
    <n v="54.62"/>
    <s v="O0"/>
    <s v="6788224500"/>
    <s v=""/>
    <s v="NA"/>
    <s v="1"/>
    <s v="Loose handling Charges for Nov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3"/>
    <x v="4"/>
    <x v="38"/>
    <d v="2025-03-19T00:00:00"/>
    <s v="Na"/>
    <n v="246788410091"/>
    <s v="212100"/>
    <s v="Trade Debtors (Ctrl)"/>
    <s v=""/>
    <s v="01"/>
    <s v="USD"/>
    <n v="31.2"/>
    <s v="INR"/>
    <n v="2704.77"/>
    <s v="O0"/>
    <s v="6788224500"/>
    <s v=""/>
    <s v="NA"/>
    <s v="1"/>
    <s v="Outbound Handling charges for Oct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4"/>
    <x v="4"/>
    <x v="38"/>
    <d v="2025-03-19T00:00:00"/>
    <s v="Na"/>
    <n v="246788410092"/>
    <s v="212100"/>
    <s v="Trade Debtors (Ctrl)"/>
    <s v=""/>
    <s v="01"/>
    <s v="USD"/>
    <n v="1.9"/>
    <s v="INR"/>
    <n v="164.71"/>
    <s v="O0"/>
    <s v="6788224500"/>
    <s v=""/>
    <s v="NA"/>
    <s v="1"/>
    <s v="Loose handling Charges for Oct 2024"/>
    <s v=""/>
    <s v=""/>
    <s v=""/>
    <d v="2025-03-18T00:00:00"/>
    <m/>
    <s v=""/>
  </r>
  <r>
    <s v="Not Selected"/>
    <n v="6788"/>
    <n v="100222362"/>
    <s v="ONNSYNEX VENTURES PRIVATE LIMITED"/>
    <s v="2025"/>
    <s v="3"/>
    <x v="39"/>
    <n v="1800000098"/>
    <x v="4"/>
    <x v="38"/>
    <d v="2025-03-19T00:00:00"/>
    <s v="Na"/>
    <n v="246788410093"/>
    <s v="212100"/>
    <s v="Trade Debtors (Ctrl)"/>
    <s v=""/>
    <s v="01"/>
    <s v="USD"/>
    <n v="14"/>
    <s v="INR"/>
    <n v="1213.68"/>
    <s v="O0"/>
    <s v="6788224500"/>
    <s v=""/>
    <s v="NA"/>
    <s v="1"/>
    <s v="Outbound Handling charges for Dec 2024"/>
    <s v=""/>
    <s v=""/>
    <s v=""/>
    <d v="2025-03-18T00:00:00"/>
    <m/>
    <s v=""/>
  </r>
  <r>
    <s v="Not Selected"/>
    <n v="6788"/>
    <n v="100222362"/>
    <s v="ONNSYNEX VENTURES PRIVATE LIMITED"/>
    <s v="2025"/>
    <s v="3"/>
    <x v="40"/>
    <n v="1800000103"/>
    <x v="4"/>
    <x v="39"/>
    <d v="2025-03-19T00:00:00"/>
    <s v="Na"/>
    <n v="246788410097"/>
    <s v="212100"/>
    <s v="Trade Debtors (Ctrl)"/>
    <s v=""/>
    <s v="01"/>
    <s v="USD"/>
    <n v="12"/>
    <s v="INR"/>
    <n v="1040.3"/>
    <s v="O0"/>
    <s v="6788224500"/>
    <s v=""/>
    <s v="NA"/>
    <s v="1"/>
    <s v="Inbound Handling charges for Sep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4"/>
    <x v="4"/>
    <x v="39"/>
    <d v="2025-03-19T00:00:00"/>
    <s v="Na"/>
    <n v="246788410098"/>
    <s v="212100"/>
    <s v="Trade Debtors (Ctrl)"/>
    <s v=""/>
    <s v="01"/>
    <s v="USD"/>
    <n v="5.2"/>
    <s v="INR"/>
    <n v="450.79"/>
    <s v="O0"/>
    <s v="6788224500"/>
    <s v=""/>
    <s v="NA"/>
    <s v="1"/>
    <s v="LCL charges for Sep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7"/>
    <x v="4"/>
    <x v="39"/>
    <d v="2025-03-19T00:00:00"/>
    <s v="Na"/>
    <n v="246788410101"/>
    <s v="212100"/>
    <s v="Trade Debtors (Ctrl)"/>
    <s v=""/>
    <s v="01"/>
    <s v="USD"/>
    <n v="1.1200000000000001"/>
    <s v="INR"/>
    <n v="97.09"/>
    <s v="O0"/>
    <s v="6788224500"/>
    <s v=""/>
    <s v="NA"/>
    <s v="1"/>
    <s v="Loose handling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8"/>
    <x v="4"/>
    <x v="39"/>
    <d v="2025-03-19T00:00:00"/>
    <s v="Na"/>
    <n v="246788410102"/>
    <s v="212100"/>
    <s v="Trade Debtors (Ctrl)"/>
    <s v=""/>
    <s v="01"/>
    <s v="USD"/>
    <n v="56"/>
    <s v="INR"/>
    <n v="4854.71"/>
    <s v="O0"/>
    <s v="6788224500"/>
    <s v=""/>
    <s v="NA"/>
    <s v="1"/>
    <s v="Inbound Handling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09"/>
    <x v="4"/>
    <x v="39"/>
    <d v="2025-03-19T00:00:00"/>
    <s v="Na"/>
    <n v="246788410103"/>
    <s v="212100"/>
    <s v="Trade Debtors (Ctrl)"/>
    <s v=""/>
    <s v="01"/>
    <s v="USD"/>
    <n v="24"/>
    <s v="INR"/>
    <n v="2080.59"/>
    <s v="O0"/>
    <s v="6788224500"/>
    <s v=""/>
    <s v="NA"/>
    <s v="1"/>
    <s v="LCL Movement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2"/>
    <x v="4"/>
    <x v="39"/>
    <d v="2025-03-19T00:00:00"/>
    <s v="Na"/>
    <n v="246788410106"/>
    <s v="212100"/>
    <s v="Trade Debtors (Ctrl)"/>
    <s v=""/>
    <s v="01"/>
    <s v="USD"/>
    <n v="24"/>
    <s v="INR"/>
    <n v="2080.59"/>
    <s v="O0"/>
    <s v="6788224500"/>
    <s v=""/>
    <s v="NA"/>
    <s v="1"/>
    <s v="LCL Movement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3"/>
    <x v="4"/>
    <x v="39"/>
    <d v="2025-03-19T00:00:00"/>
    <s v="Na"/>
    <n v="246788410107"/>
    <s v="212100"/>
    <s v="Trade Debtors (Ctrl)"/>
    <s v=""/>
    <s v="01"/>
    <s v="USD"/>
    <n v="68.22"/>
    <s v="INR"/>
    <n v="5914.08"/>
    <s v="O0"/>
    <s v="6788224500"/>
    <s v=""/>
    <s v="NA"/>
    <s v="1"/>
    <s v="Inbound Handling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4"/>
    <x v="4"/>
    <x v="39"/>
    <d v="2025-03-19T00:00:00"/>
    <s v="Na"/>
    <n v="246788410108"/>
    <s v="212100"/>
    <s v="Trade Debtors (Ctrl)"/>
    <s v=""/>
    <s v="01"/>
    <s v="USD"/>
    <n v="0.5"/>
    <s v="INR"/>
    <n v="43.35"/>
    <s v="O0"/>
    <s v="6788224500"/>
    <s v=""/>
    <s v="NA"/>
    <s v="1"/>
    <s v="Loose handling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5"/>
    <x v="4"/>
    <x v="39"/>
    <d v="2025-03-19T00:00:00"/>
    <s v="Na"/>
    <n v="246788410109"/>
    <s v="212100"/>
    <s v="Trade Debtors (Ctrl)"/>
    <s v=""/>
    <s v="01"/>
    <s v="USD"/>
    <n v="2342.8000000000002"/>
    <s v="INR"/>
    <n v="203100.28"/>
    <s v="O0"/>
    <s v="6788224500"/>
    <s v=""/>
    <s v="NA"/>
    <s v="1"/>
    <s v="Inbound Handling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6"/>
    <x v="4"/>
    <x v="39"/>
    <d v="2025-03-19T00:00:00"/>
    <s v="Na"/>
    <n v="246788410110"/>
    <s v="212100"/>
    <s v="Trade Debtors (Ctrl)"/>
    <s v=""/>
    <s v="01"/>
    <s v="USD"/>
    <n v="456"/>
    <s v="INR"/>
    <n v="39531.21"/>
    <s v="O0"/>
    <s v="6788224500"/>
    <s v=""/>
    <s v="NA"/>
    <s v="1"/>
    <s v="LCL Movement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7"/>
    <x v="4"/>
    <x v="39"/>
    <d v="2025-03-19T00:00:00"/>
    <s v="Na"/>
    <n v="246788410111"/>
    <s v="212100"/>
    <s v="Trade Debtors (Ctrl)"/>
    <s v=""/>
    <s v="01"/>
    <s v="USD"/>
    <n v="14"/>
    <s v="INR"/>
    <n v="1213.68"/>
    <s v="O0"/>
    <s v="6788224500"/>
    <s v=""/>
    <s v="NA"/>
    <s v="1"/>
    <s v="Inbound Handling charges for Jan 2025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18"/>
    <x v="4"/>
    <x v="39"/>
    <d v="2025-03-19T00:00:00"/>
    <s v="Na"/>
    <n v="246788410112"/>
    <s v="212100"/>
    <s v="Trade Debtors (Ctrl)"/>
    <s v=""/>
    <s v="01"/>
    <s v="USD"/>
    <n v="1"/>
    <s v="INR"/>
    <n v="86.69"/>
    <s v="O0"/>
    <s v="6788224500"/>
    <s v=""/>
    <s v="NA"/>
    <s v="1"/>
    <s v="Loose handling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0"/>
    <x v="4"/>
    <x v="39"/>
    <d v="2025-03-19T00:00:00"/>
    <s v="Na"/>
    <n v="246788410114"/>
    <s v="212100"/>
    <s v="Trade Debtors (Ctrl)"/>
    <s v=""/>
    <s v="01"/>
    <s v="USD"/>
    <n v="52.7"/>
    <s v="INR"/>
    <n v="4568.63"/>
    <s v="O0"/>
    <s v="6788224500"/>
    <s v=""/>
    <s v="NA"/>
    <s v="1"/>
    <s v="Port SSR Charges - Shifting for Aug to Dec,24. Exc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1"/>
    <x v="4"/>
    <x v="39"/>
    <d v="2025-03-19T00:00:00"/>
    <s v="Na"/>
    <n v="246788410115"/>
    <s v="212100"/>
    <s v="Trade Debtors (Ctrl)"/>
    <s v=""/>
    <s v="01"/>
    <s v="USD"/>
    <n v="2293.63"/>
    <s v="INR"/>
    <n v="198837.67"/>
    <s v="O0"/>
    <s v="6788224500"/>
    <s v=""/>
    <s v="NA"/>
    <s v="1"/>
    <s v="Ground Rent Jan 25 Exch Rate 86.64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2"/>
    <x v="4"/>
    <x v="39"/>
    <d v="2025-03-19T00:00:00"/>
    <s v="Na"/>
    <n v="246788410116"/>
    <s v="212100"/>
    <s v="Trade Debtors (Ctrl)"/>
    <s v=""/>
    <s v="01"/>
    <s v="USD"/>
    <n v="2273.6799999999998"/>
    <s v="INR"/>
    <n v="197108.18"/>
    <s v="O0"/>
    <s v="6788224500"/>
    <s v=""/>
    <s v="NA"/>
    <s v="1"/>
    <s v="Ground Rent Feb 25 Exch Rate 87.40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3"/>
    <x v="4"/>
    <x v="39"/>
    <d v="2025-03-19T00:00:00"/>
    <s v="Na"/>
    <n v="246788410117"/>
    <s v="212100"/>
    <s v="Trade Debtors (Ctrl)"/>
    <s v=""/>
    <s v="01"/>
    <s v="USD"/>
    <n v="66.73"/>
    <s v="INR"/>
    <n v="5784.91"/>
    <s v="O0"/>
    <s v="6788224500"/>
    <s v=""/>
    <s v="NA"/>
    <s v="1"/>
    <s v="Ground Rent Jan 1-15 Exch Rate 85.62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4"/>
    <x v="4"/>
    <x v="39"/>
    <d v="2025-03-19T00:00:00"/>
    <s v="Na"/>
    <n v="246788410118"/>
    <s v="212100"/>
    <s v="Trade Debtors (Ctrl)"/>
    <s v=""/>
    <s v="01"/>
    <s v="USD"/>
    <n v="149.72999999999999"/>
    <s v="INR"/>
    <n v="12980.28"/>
    <s v="O0"/>
    <s v="6788224500"/>
    <s v=""/>
    <s v="NA"/>
    <s v="1"/>
    <s v="Ground Rent Jan 16-31 Exch Rate 85.62"/>
    <s v=""/>
    <s v=""/>
    <s v=""/>
    <d v="2025-03-19T00:00:00"/>
    <m/>
    <s v=""/>
  </r>
  <r>
    <s v="Not Selected"/>
    <n v="6788"/>
    <n v="100222362"/>
    <s v="ONNSYNEX VENTURES PRIVATE LIMITED"/>
    <s v="2025"/>
    <s v="3"/>
    <x v="40"/>
    <n v="1800000125"/>
    <x v="4"/>
    <x v="39"/>
    <d v="2025-03-19T00:00:00"/>
    <s v="Na"/>
    <n v="246788410119"/>
    <s v="212100"/>
    <s v="Trade Debtors (Ctrl)"/>
    <s v=""/>
    <s v="01"/>
    <s v="USD"/>
    <n v="102.97"/>
    <s v="INR"/>
    <n v="8926.6"/>
    <s v="O0"/>
    <s v="6788224500"/>
    <s v=""/>
    <s v="NA"/>
    <s v="1"/>
    <s v="Detention Charges for FEB 2025 Exch. Rate 87.40"/>
    <s v=""/>
    <s v=""/>
    <s v=""/>
    <d v="2025-03-19T00:00:00"/>
    <m/>
    <s v=""/>
  </r>
  <r>
    <s v="Not Selected"/>
    <n v="6788"/>
    <n v="100222362"/>
    <s v="ONNSYNEX VENTURES PRIVATE LIMITED"/>
    <s v="2025"/>
    <s v="9"/>
    <x v="41"/>
    <n v="1800000516"/>
    <x v="4"/>
    <x v="40"/>
    <d v="2025-09-26T00:00:00"/>
    <s v="Na"/>
    <n v="256788410391"/>
    <s v="212100"/>
    <s v="Trade Debtors (Ctrl)"/>
    <s v=""/>
    <s v="01"/>
    <s v="USD"/>
    <n v="9"/>
    <s v="INR"/>
    <n v="774.01"/>
    <s v="O0"/>
    <s v="6788224500"/>
    <s v=""/>
    <s v="2105240"/>
    <s v="1"/>
    <s v="Outbound chgs - 01 - 15 JUL 25"/>
    <s v=""/>
    <s v=""/>
    <s v=""/>
    <d v="2025-09-24T00:00:00"/>
    <m/>
    <s v=""/>
  </r>
  <r>
    <s v="Not Selected"/>
    <n v="6788"/>
    <n v="100222362"/>
    <s v="ONNSYNEX VENTURES PRIVATE LIMITED"/>
    <s v="2025"/>
    <s v="11"/>
    <x v="42"/>
    <n v="1800000595"/>
    <x v="4"/>
    <x v="41"/>
    <d v="2025-11-21T00:00:00"/>
    <s v="Na"/>
    <n v="256788410460"/>
    <s v="212100"/>
    <s v="Trade Debtors (Ctrl)"/>
    <s v=""/>
    <s v="01"/>
    <s v="USD"/>
    <n v="78.319999999999993"/>
    <s v="INR"/>
    <n v="6892.43"/>
    <s v="O0"/>
    <s v="6788224500"/>
    <s v=""/>
    <s v="2130553"/>
    <s v="1"/>
    <s v="VAS-Nov 1-15, 2025"/>
    <s v=""/>
    <s v=""/>
    <s v=""/>
    <d v="2025-11-20T00:00:00"/>
    <m/>
    <s v=""/>
  </r>
  <r>
    <s v="Not Selected"/>
    <n v="6788"/>
    <n v="100222362"/>
    <s v="ONNSYNEX VENTURES PRIVATE LIMITED"/>
    <s v="2025"/>
    <s v="11"/>
    <x v="42"/>
    <n v="1800000597"/>
    <x v="4"/>
    <x v="41"/>
    <d v="2025-11-21T00:00:00"/>
    <s v="Na"/>
    <n v="256788410462"/>
    <s v="212100"/>
    <s v="Trade Debtors (Ctrl)"/>
    <s v=""/>
    <s v="01"/>
    <s v="USD"/>
    <n v="13.52"/>
    <s v="INR"/>
    <n v="1189.81"/>
    <s v="O0"/>
    <s v="6788224500"/>
    <s v=""/>
    <s v="2130553"/>
    <s v="1"/>
    <s v="Weighment-Nov 1-15, 2025"/>
    <s v=""/>
    <s v=""/>
    <s v=""/>
    <d v="2025-11-20T00:00:00"/>
    <m/>
    <s v=""/>
  </r>
  <r>
    <s v="Not Selected"/>
    <n v="6779"/>
    <n v="100222362"/>
    <s v="ONNSYNEX VENTURES PRIVATE LIMITED"/>
    <s v="2025"/>
    <s v="4"/>
    <x v="43"/>
    <n v="1800007591"/>
    <x v="4"/>
    <x v="42"/>
    <d v="2025-04-23T00:00:00"/>
    <s v="Na"/>
    <n v="256779412482"/>
    <s v="212100"/>
    <s v="Trade Debtors (Ctrl)"/>
    <s v=""/>
    <s v="01"/>
    <s v="USD"/>
    <n v="94.08"/>
    <s v="INR"/>
    <n v="8177.6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n v="6779"/>
    <n v="100222362"/>
    <s v="ONNSYNEX VENTURES PRIVATE LIMITED"/>
    <s v="2025"/>
    <s v="4"/>
    <x v="43"/>
    <n v="1800007607"/>
    <x v="4"/>
    <x v="42"/>
    <d v="2025-04-23T00:00:00"/>
    <s v="Na"/>
    <n v="256779412498"/>
    <s v="212100"/>
    <s v="Trade Debtors (Ctrl)"/>
    <s v=""/>
    <s v="01"/>
    <s v="USD"/>
    <n v="25.32"/>
    <s v="INR"/>
    <n v="2200.86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190"/>
    <x v="4"/>
    <x v="42"/>
    <d v="2025-04-24T00:00:00"/>
    <s v="Na"/>
    <n v="256788410065"/>
    <s v="212100"/>
    <s v="Trade Debtors (Ctrl)"/>
    <s v=""/>
    <s v="01"/>
    <s v="USD"/>
    <n v="24.38"/>
    <s v="INR"/>
    <n v="2119.15"/>
    <s v="O0"/>
    <s v="6788224500"/>
    <s v=""/>
    <s v="NA"/>
    <s v="1"/>
    <s v="Inbound Handling Charges Aug 20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7"/>
    <x v="4"/>
    <x v="42"/>
    <d v="2025-04-24T00:00:00"/>
    <s v="Na"/>
    <n v="256788410162"/>
    <s v="212100"/>
    <s v="Trade Debtors (Ctrl)"/>
    <s v=""/>
    <s v="01"/>
    <s v="USD"/>
    <n v="5.46"/>
    <s v="INR"/>
    <n v="474.59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8"/>
    <x v="4"/>
    <x v="42"/>
    <d v="2025-04-24T00:00:00"/>
    <s v="Na"/>
    <n v="256788410163"/>
    <s v="212100"/>
    <s v="Trade Debtors (Ctrl)"/>
    <s v=""/>
    <s v="01"/>
    <s v="USD"/>
    <n v="3.5"/>
    <s v="INR"/>
    <n v="304.23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89"/>
    <x v="4"/>
    <x v="42"/>
    <d v="2025-04-24T00:00:00"/>
    <s v="Na"/>
    <n v="256788410164"/>
    <s v="212100"/>
    <s v="Trade Debtors (Ctrl)"/>
    <s v=""/>
    <s v="01"/>
    <s v="USD"/>
    <n v="5.6"/>
    <s v="INR"/>
    <n v="486.76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90"/>
    <x v="4"/>
    <x v="42"/>
    <d v="2025-04-24T00:00:00"/>
    <s v="Na"/>
    <n v="256788410165"/>
    <s v="212100"/>
    <s v="Trade Debtors (Ctrl)"/>
    <s v=""/>
    <s v="01"/>
    <s v="USD"/>
    <n v="5.6"/>
    <s v="INR"/>
    <n v="486.76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291"/>
    <x v="4"/>
    <x v="42"/>
    <d v="2025-04-24T00:00:00"/>
    <s v="Na"/>
    <n v="256788410166"/>
    <s v="212100"/>
    <s v="Trade Debtors (Ctrl)"/>
    <s v=""/>
    <s v="01"/>
    <s v="USD"/>
    <n v="11.6"/>
    <s v="INR"/>
    <n v="1008.29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28"/>
    <x v="4"/>
    <x v="42"/>
    <d v="2025-04-24T00:00:00"/>
    <s v="Na"/>
    <n v="256788410203"/>
    <s v="212100"/>
    <s v="Trade Debtors (Ctrl)"/>
    <s v=""/>
    <s v="01"/>
    <s v="USD"/>
    <n v="80.67"/>
    <s v="INR"/>
    <n v="7011.98"/>
    <s v="O0"/>
    <s v="6788224500"/>
    <s v=""/>
    <s v="NA"/>
    <s v="1"/>
    <s v="Inbound Handling charges for 31 Mar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30"/>
    <x v="4"/>
    <x v="42"/>
    <d v="2025-04-24T00:00:00"/>
    <s v="Na"/>
    <n v="256788410205"/>
    <s v="212100"/>
    <s v="Trade Debtors (Ctrl)"/>
    <s v=""/>
    <s v="01"/>
    <s v="USD"/>
    <n v="99.12"/>
    <s v="INR"/>
    <n v="8615.69"/>
    <s v="O0"/>
    <s v="6788224500"/>
    <s v=""/>
    <s v="NA"/>
    <s v="1"/>
    <s v="Outbound Handling charges for 31 Mar 2025"/>
    <s v=""/>
    <s v=""/>
    <s v=""/>
    <d v="2025-04-22T00:00:00"/>
    <m/>
    <s v=""/>
  </r>
  <r>
    <s v="Not Selected"/>
    <n v="6788"/>
    <n v="100222362"/>
    <s v="ONNSYNEX VENTURES PRIVATE LIMITED"/>
    <s v="2025"/>
    <s v="4"/>
    <x v="43"/>
    <n v="1800000331"/>
    <x v="4"/>
    <x v="42"/>
    <d v="2025-04-24T00:00:00"/>
    <s v="Na"/>
    <n v="256788410206"/>
    <s v="212100"/>
    <s v="Trade Debtors (Ctrl)"/>
    <s v=""/>
    <s v="01"/>
    <s v="USD"/>
    <n v="10803.4"/>
    <s v="INR"/>
    <n v="939051.19"/>
    <s v="O0"/>
    <s v="6788224500"/>
    <s v=""/>
    <s v="NA"/>
    <s v="1"/>
    <s v="Storage Charges March, 25"/>
    <s v=""/>
    <s v=""/>
    <s v=""/>
    <d v="2025-04-22T00:00:00"/>
    <m/>
    <s v=""/>
  </r>
  <r>
    <s v="Not Selected"/>
    <n v="6788"/>
    <n v="100222362"/>
    <s v="ONNSYNEX VENTURES PRIVATE LIMITED"/>
    <s v="2025"/>
    <s v="9"/>
    <x v="44"/>
    <n v="1800000498"/>
    <x v="4"/>
    <x v="43"/>
    <d v="2025-09-22T00:00:00"/>
    <s v="Na"/>
    <n v="256788410373"/>
    <s v="212100"/>
    <s v="Trade Debtors (Ctrl)"/>
    <s v=""/>
    <s v="01"/>
    <s v="USD"/>
    <n v="472"/>
    <s v="INR"/>
    <n v="41306.76"/>
    <s v="O0"/>
    <s v="6788224500"/>
    <s v=""/>
    <s v="2102481"/>
    <s v="1"/>
    <s v="Transportation IN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0"/>
    <x v="4"/>
    <x v="43"/>
    <d v="2025-09-22T00:00:00"/>
    <s v="Na"/>
    <n v="256788410375"/>
    <s v="212100"/>
    <s v="Trade Debtors (Ctrl)"/>
    <s v=""/>
    <s v="01"/>
    <s v="USD"/>
    <n v="200"/>
    <s v="INR"/>
    <n v="17502.87"/>
    <s v="O0"/>
    <s v="6788224500"/>
    <s v=""/>
    <s v="2102481"/>
    <s v="1"/>
    <s v="Transportation IN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1"/>
    <x v="4"/>
    <x v="43"/>
    <d v="2025-09-22T00:00:00"/>
    <s v="Na"/>
    <n v="256788410376"/>
    <s v="212100"/>
    <s v="Trade Debtors (Ctrl)"/>
    <s v=""/>
    <s v="01"/>
    <s v="USD"/>
    <n v="1125.6400000000001"/>
    <s v="INR"/>
    <n v="98509.63"/>
    <s v="O0"/>
    <s v="6788224500"/>
    <s v=""/>
    <s v="2102475"/>
    <s v="1"/>
    <s v="CY Ground rent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x v="44"/>
    <n v="1800000503"/>
    <x v="4"/>
    <x v="43"/>
    <d v="2025-09-22T00:00:00"/>
    <s v="Na"/>
    <n v="256788410378"/>
    <s v="212100"/>
    <s v="Trade Debtors (Ctrl)"/>
    <s v=""/>
    <s v="01"/>
    <s v="USD"/>
    <n v="46"/>
    <s v="INR"/>
    <n v="4025.66"/>
    <s v="O0"/>
    <s v="6788224500"/>
    <s v=""/>
    <s v="2102482"/>
    <s v="1"/>
    <s v="Transportation Out chgs - 01 - 15 SEP 25"/>
    <s v=""/>
    <s v=""/>
    <s v=""/>
    <d v="2025-09-18T00:00:00"/>
    <m/>
    <s v=""/>
  </r>
  <r>
    <s v="Not Selected"/>
    <n v="6788"/>
    <n v="100222362"/>
    <s v="ONNSYNEX VENTURES PRIVATE LIMITED"/>
    <s v="2025"/>
    <s v="12"/>
    <x v="45"/>
    <n v="1800000601"/>
    <x v="4"/>
    <x v="44"/>
    <d v="2025-12-09T00:00:00"/>
    <s v="Na"/>
    <n v="256788410474"/>
    <s v="212100"/>
    <s v="Trade Debtors (Ctrl)"/>
    <s v=""/>
    <s v="01"/>
    <s v="USD"/>
    <n v="238"/>
    <s v="INR"/>
    <n v="21110.63"/>
    <s v="O0"/>
    <s v="6788224500"/>
    <s v=""/>
    <s v="2140085"/>
    <s v="1"/>
    <s v="Transportation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2"/>
    <x v="4"/>
    <x v="44"/>
    <d v="2025-12-09T00:00:00"/>
    <s v="Na"/>
    <n v="256788410475"/>
    <s v="212100"/>
    <s v="Trade Debtors (Ctrl)"/>
    <s v=""/>
    <s v="01"/>
    <s v="USD"/>
    <n v="40"/>
    <s v="INR"/>
    <n v="3548.01"/>
    <s v="O0"/>
    <s v="6788224500"/>
    <s v=""/>
    <s v="2140085"/>
    <s v="1"/>
    <s v="Sacnning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3"/>
    <x v="4"/>
    <x v="44"/>
    <d v="2025-12-09T00:00:00"/>
    <s v="Na"/>
    <n v="256788410476"/>
    <s v="212100"/>
    <s v="Trade Debtors (Ctrl)"/>
    <s v=""/>
    <s v="01"/>
    <s v="USD"/>
    <n v="200"/>
    <s v="INR"/>
    <n v="17740.03"/>
    <s v="O0"/>
    <s v="6788224500"/>
    <s v=""/>
    <s v="2140085"/>
    <s v="1"/>
    <s v="Transportation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4"/>
    <x v="4"/>
    <x v="44"/>
    <d v="2025-12-09T00:00:00"/>
    <s v="Na"/>
    <n v="256788410477"/>
    <s v="212100"/>
    <s v="Trade Debtors (Ctrl)"/>
    <s v=""/>
    <s v="01"/>
    <s v="USD"/>
    <n v="6.6"/>
    <s v="INR"/>
    <n v="585.41999999999996"/>
    <s v="O0"/>
    <s v="6788224500"/>
    <s v=""/>
    <s v="2140085"/>
    <s v="1"/>
    <s v="Empty Lolo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x v="45"/>
    <n v="1800000606"/>
    <x v="4"/>
    <x v="44"/>
    <d v="2025-12-09T00:00:00"/>
    <s v="Na"/>
    <n v="256788410479"/>
    <s v="212100"/>
    <s v="Trade Debtors (Ctrl)"/>
    <s v=""/>
    <s v="01"/>
    <s v="USD"/>
    <n v="250.24"/>
    <s v="INR"/>
    <n v="22196.32"/>
    <s v="O0"/>
    <s v="6788224500"/>
    <s v=""/>
    <s v="2140089"/>
    <s v="1"/>
    <s v="Outbound chgs - 16 -30 NOV 25"/>
    <s v=""/>
    <s v=""/>
    <s v=""/>
    <d v="2025-12-05T00:00:00"/>
    <m/>
    <s v=""/>
  </r>
  <r>
    <s v="Not Selected"/>
    <n v="6788"/>
    <n v="100222362"/>
    <s v="ONNSYNEX VENTURES PRIVATE LIMITED"/>
    <s v="2025"/>
    <s v="2"/>
    <x v="46"/>
    <n v="1800000041"/>
    <x v="4"/>
    <x v="45"/>
    <d v="2025-02-25T00:00:00"/>
    <s v="Na"/>
    <n v="246788410024"/>
    <s v="212100"/>
    <s v="Trade Debtors (Ctrl)"/>
    <s v=""/>
    <s v="01"/>
    <s v="USD"/>
    <n v="3980.4"/>
    <s v="INR"/>
    <n v="343523.09"/>
    <s v="O0"/>
    <s v="6788224500"/>
    <s v=""/>
    <s v="NA"/>
    <s v="1"/>
    <s v="CY Longstanding Ground Rent charges for Aug 2024"/>
    <s v=""/>
    <s v=""/>
    <s v=""/>
    <d v="2025-02-21T00:00:00"/>
    <m/>
    <s v=""/>
  </r>
  <r>
    <s v="Not Selected"/>
    <n v="6788"/>
    <n v="100222362"/>
    <s v="ONNSYNEX VENTURES PRIVATE LIMITED"/>
    <s v="2025"/>
    <s v="10"/>
    <x v="47"/>
    <n v="1800000554"/>
    <x v="4"/>
    <x v="46"/>
    <d v="2025-10-09T00:00:00"/>
    <s v="Na"/>
    <n v="256788410429"/>
    <s v="212100"/>
    <s v="Trade Debtors (Ctrl)"/>
    <s v=""/>
    <s v="01"/>
    <s v="USD"/>
    <n v="2.25"/>
    <s v="INR"/>
    <n v="198.43"/>
    <s v="O0"/>
    <s v="6788224500"/>
    <s v=""/>
    <s v="2110800"/>
    <s v="1"/>
    <s v="VAS-16-30 Sept 25"/>
    <s v=""/>
    <s v=""/>
    <s v=""/>
    <d v="2025-10-07T00:00:00"/>
    <m/>
    <s v=""/>
  </r>
  <r>
    <s v="Not Selected"/>
    <n v="6788"/>
    <n v="100222362"/>
    <s v="ONNSYNEX VENTURES PRIVATE LIMITED"/>
    <s v="2025"/>
    <s v="10"/>
    <x v="47"/>
    <n v="1800000555"/>
    <x v="4"/>
    <x v="46"/>
    <d v="2025-10-10T00:00:00"/>
    <s v="Na"/>
    <n v="256788410430"/>
    <s v="212100"/>
    <s v="Trade Debtors (Ctrl)"/>
    <s v=""/>
    <s v="01"/>
    <s v="USD"/>
    <n v="2"/>
    <s v="INR"/>
    <n v="176.38"/>
    <s v="O0"/>
    <s v="6788224500"/>
    <s v=""/>
    <s v="2110862"/>
    <s v="1"/>
    <s v="CODC Out chgs -16-30 Sep 25"/>
    <s v=""/>
    <s v=""/>
    <s v=""/>
    <d v="2025-10-07T00:00:00"/>
    <m/>
    <s v=""/>
  </r>
  <r>
    <s v="Not Selected"/>
    <n v="6788"/>
    <n v="100222362"/>
    <s v="ONNSYNEX VENTURES PRIVATE LIMITED"/>
    <s v="2025"/>
    <s v="7"/>
    <x v="48"/>
    <n v="1800000388"/>
    <x v="4"/>
    <x v="47"/>
    <d v="2025-07-25T00:00:00"/>
    <s v="Na"/>
    <n v="256788410264"/>
    <s v="212100"/>
    <s v="Trade Debtors (Ctrl)"/>
    <s v=""/>
    <s v="01"/>
    <s v="USD"/>
    <n v="4.6399999999999997"/>
    <s v="INR"/>
    <n v="399.04"/>
    <s v="O0"/>
    <s v="6788224500"/>
    <s v=""/>
    <s v="NA"/>
    <s v="1"/>
    <s v="VAS - 1-15 July 25"/>
    <s v=""/>
    <s v=""/>
    <s v=""/>
    <d v="2025-07-19T00:00:00"/>
    <m/>
    <s v=""/>
  </r>
  <r>
    <s v="Not Selected"/>
    <n v="6779"/>
    <n v="100222362"/>
    <s v="ONNSYNEX VENTURES PRIVATE LIMITED"/>
    <s v="2025"/>
    <s v="5"/>
    <x v="49"/>
    <n v="1800008358"/>
    <x v="4"/>
    <x v="48"/>
    <d v="2025-05-15T00:00:00"/>
    <s v="Na"/>
    <n v="256779413241"/>
    <s v="212100"/>
    <s v="Trade Debtors (Ctrl)"/>
    <s v=""/>
    <s v="01"/>
    <s v="USD"/>
    <n v="1054.79"/>
    <s v="INR"/>
    <n v="90694.75"/>
    <s v="O0"/>
    <s v="6779224500"/>
    <s v=""/>
    <s v="NA"/>
    <s v="1"/>
    <s v="VAS - 16-30 April 25, Ex.Rate-85.0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32"/>
    <x v="4"/>
    <x v="48"/>
    <d v="2025-05-23T00:00:00"/>
    <s v="Na"/>
    <n v="256788410207"/>
    <s v="212100"/>
    <s v="Trade Debtors (Ctrl)"/>
    <s v=""/>
    <s v="01"/>
    <s v="USD"/>
    <n v="96.66"/>
    <s v="INR"/>
    <n v="8311.18"/>
    <s v="O0"/>
    <s v="6788224500"/>
    <s v=""/>
    <s v="NA"/>
    <s v="1"/>
    <s v="CODC LCL Chgs - 16 - 30 Apr 2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33"/>
    <x v="4"/>
    <x v="48"/>
    <d v="2025-05-23T00:00:00"/>
    <s v="Na"/>
    <n v="256788410208"/>
    <s v="212100"/>
    <s v="Trade Debtors (Ctrl)"/>
    <s v=""/>
    <s v="01"/>
    <s v="USD"/>
    <n v="75"/>
    <s v="INR"/>
    <n v="6448.78"/>
    <s v="O0"/>
    <s v="6788224500"/>
    <s v=""/>
    <s v="NA"/>
    <s v="1"/>
    <s v="Fixed Storage Charges fo MAY 2025"/>
    <s v=""/>
    <s v=""/>
    <s v=""/>
    <d v="2025-05-10T00:00:00"/>
    <m/>
    <s v=""/>
  </r>
  <r>
    <s v="Not Selected"/>
    <n v="6788"/>
    <n v="100222362"/>
    <s v="ONNSYNEX VENTURES PRIVATE LIMITED"/>
    <s v="2025"/>
    <s v="5"/>
    <x v="49"/>
    <n v="1800000340"/>
    <x v="4"/>
    <x v="48"/>
    <d v="2025-05-23T00:00:00"/>
    <s v="Na"/>
    <n v="256788410215"/>
    <s v="212100"/>
    <s v="Trade Debtors (Ctrl)"/>
    <s v=""/>
    <s v="01"/>
    <s v="USD"/>
    <n v="2336.5100000000002"/>
    <s v="INR"/>
    <n v="200901.77"/>
    <s v="O0"/>
    <s v="6788224500"/>
    <s v=""/>
    <s v="NA"/>
    <s v="1"/>
    <s v="CY Ground rent Chgs - 01 - 30 Apr 25"/>
    <s v=""/>
    <s v=""/>
    <s v=""/>
    <d v="2025-05-10T00:00:00"/>
    <m/>
    <s v=""/>
  </r>
  <r>
    <s v="Not Selected"/>
    <n v="6788"/>
    <n v="100222362"/>
    <s v="ONNSYNEX VENTURES PRIVATE LIMITED"/>
    <s v="2025"/>
    <s v="10"/>
    <x v="50"/>
    <n v="1800000561"/>
    <x v="4"/>
    <x v="49"/>
    <d v="2025-10-21T00:00:00"/>
    <s v="Na"/>
    <n v="256788410432"/>
    <s v="212100"/>
    <s v="Trade Debtors (Ctrl)"/>
    <s v=""/>
    <s v="01"/>
    <s v="USD"/>
    <n v="393.41"/>
    <s v="INR"/>
    <n v="34695.129999999997"/>
    <s v="O0"/>
    <s v="6788224500"/>
    <s v=""/>
    <s v="2114863"/>
    <s v="1"/>
    <s v="VAS  -1-15 Oct 2025"/>
    <s v=""/>
    <s v=""/>
    <s v=""/>
    <d v="2025-10-18T00:00:00"/>
    <m/>
    <s v=""/>
  </r>
  <r>
    <s v="Not Selected"/>
    <n v="6788"/>
    <n v="100222362"/>
    <s v="ONNSYNEX VENTURES PRIVATE LIMITED"/>
    <s v="2025"/>
    <s v="10"/>
    <x v="50"/>
    <n v="1800000562"/>
    <x v="4"/>
    <x v="49"/>
    <d v="2025-10-21T00:00:00"/>
    <s v="Na"/>
    <n v="256788410433"/>
    <s v="212100"/>
    <s v="Trade Debtors (Ctrl)"/>
    <s v=""/>
    <s v="01"/>
    <s v="USD"/>
    <n v="20.39"/>
    <s v="INR"/>
    <n v="1798.21"/>
    <s v="O0"/>
    <s v="6788224500"/>
    <s v=""/>
    <s v="2114863"/>
    <s v="1"/>
    <s v="Weighment  -1-15 Oct 2025"/>
    <s v=""/>
    <s v=""/>
    <s v=""/>
    <d v="2025-10-18T00:00:00"/>
    <m/>
    <s v=""/>
  </r>
  <r>
    <s v="Not Selected"/>
    <n v="6779"/>
    <n v="100222362"/>
    <s v="ONNSYNEX VENTURES PRIVATE LIMITED"/>
    <s v="2025"/>
    <s v="6"/>
    <x v="51"/>
    <n v="1800009486"/>
    <x v="4"/>
    <x v="50"/>
    <d v="2025-06-09T00:00:00"/>
    <s v="Na"/>
    <n v="256779414250"/>
    <s v="212100"/>
    <s v="Trade Debtors (Ctrl)"/>
    <s v=""/>
    <s v="01"/>
    <s v="USD"/>
    <n v="10597.07"/>
    <s v="INR"/>
    <n v="905951.78"/>
    <s v="O0"/>
    <s v="6779224500"/>
    <s v=""/>
    <s v="NA"/>
    <s v="1"/>
    <s v="Unit storage -1-31 May 25"/>
    <s v=""/>
    <s v=""/>
    <s v=""/>
    <d v="2025-06-07T00:00:00"/>
    <m/>
    <s v=""/>
  </r>
  <r>
    <s v="Not Selected"/>
    <n v="6788"/>
    <n v="100222362"/>
    <s v="ONNSYNEX VENTURES PRIVATE LIMITED"/>
    <s v="2025"/>
    <s v="10"/>
    <x v="52"/>
    <n v="1800000552"/>
    <x v="4"/>
    <x v="51"/>
    <d v="2025-10-07T00:00:00"/>
    <s v="Na"/>
    <n v="256788410427"/>
    <s v="212100"/>
    <s v="Trade Debtors (Ctrl)"/>
    <s v=""/>
    <s v="01"/>
    <s v="USD"/>
    <n v="11372.78"/>
    <s v="INR"/>
    <n v="1002974.23"/>
    <s v="O0"/>
    <s v="6788224500"/>
    <s v=""/>
    <s v="2110510"/>
    <s v="1"/>
    <s v="Unit-Storage-1-30 Sept 25"/>
    <s v=""/>
    <s v=""/>
    <s v=""/>
    <d v="2025-10-06T00:00:00"/>
    <m/>
    <s v=""/>
  </r>
  <r>
    <s v="Not Selected"/>
    <n v="6788"/>
    <n v="100222362"/>
    <s v="ONNSYNEX VENTURES PRIVATE LIMITED"/>
    <s v="2025"/>
    <s v="10"/>
    <x v="53"/>
    <n v="1800000536"/>
    <x v="4"/>
    <x v="52"/>
    <d v="2025-10-07T00:00:00"/>
    <s v="Na"/>
    <n v="256788410409"/>
    <s v="212100"/>
    <s v="Trade Debtors (Ctrl)"/>
    <s v=""/>
    <s v="01"/>
    <s v="USD"/>
    <n v="1211.9000000000001"/>
    <s v="INR"/>
    <n v="106878.39"/>
    <s v="O0"/>
    <s v="6788224500"/>
    <s v=""/>
    <s v="2110501"/>
    <s v="1"/>
    <s v="Transportation IN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7"/>
    <x v="4"/>
    <x v="52"/>
    <d v="2025-10-07T00:00:00"/>
    <s v="Na"/>
    <n v="256788410410"/>
    <s v="212100"/>
    <s v="Trade Debtors (Ctrl)"/>
    <s v=""/>
    <s v="01"/>
    <s v="USD"/>
    <n v="40"/>
    <s v="INR"/>
    <n v="3527.63"/>
    <s v="O0"/>
    <s v="6788224500"/>
    <s v=""/>
    <s v="2110501"/>
    <s v="1"/>
    <s v="Scanning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8"/>
    <x v="4"/>
    <x v="52"/>
    <d v="2025-10-07T00:00:00"/>
    <s v="Na"/>
    <n v="256788410411"/>
    <s v="212100"/>
    <s v="Trade Debtors (Ctrl)"/>
    <s v=""/>
    <s v="01"/>
    <s v="USD"/>
    <n v="11.26"/>
    <s v="INR"/>
    <n v="993.03"/>
    <s v="O0"/>
    <s v="6788224500"/>
    <s v=""/>
    <s v="2110501"/>
    <s v="1"/>
    <s v="Bond Stamp Paper Chgs 01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4"/>
    <x v="4"/>
    <x v="52"/>
    <d v="2025-10-07T00:00:00"/>
    <s v="Na"/>
    <n v="256788410413"/>
    <s v="212100"/>
    <s v="Trade Debtors (Ctrl)"/>
    <s v=""/>
    <s v="01"/>
    <s v="USD"/>
    <n v="8"/>
    <s v="INR"/>
    <n v="705.53"/>
    <s v="O0"/>
    <s v="6788224500"/>
    <s v=""/>
    <s v="2110502"/>
    <s v="1"/>
    <s v="Outbound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39"/>
    <x v="4"/>
    <x v="52"/>
    <d v="2025-10-07T00:00:00"/>
    <s v="Na"/>
    <n v="256788410414"/>
    <s v="212100"/>
    <s v="Trade Debtors (Ctrl)"/>
    <s v=""/>
    <s v="01"/>
    <s v="USD"/>
    <n v="1119.04"/>
    <s v="INR"/>
    <n v="98689"/>
    <s v="O0"/>
    <s v="6788224500"/>
    <s v=""/>
    <s v="2110488"/>
    <s v="1"/>
    <s v="CY Ground rent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40"/>
    <x v="4"/>
    <x v="52"/>
    <d v="2025-10-07T00:00:00"/>
    <s v="Na"/>
    <n v="256788410415"/>
    <s v="212100"/>
    <s v="Trade Debtors (Ctrl)"/>
    <s v=""/>
    <s v="01"/>
    <s v="USD"/>
    <n v="47.84"/>
    <s v="INR"/>
    <n v="4219.05"/>
    <s v="O0"/>
    <s v="6788224500"/>
    <s v=""/>
    <s v="2110494"/>
    <s v="1"/>
    <s v="Empty Lolo Chgs Sep 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45"/>
    <x v="4"/>
    <x v="52"/>
    <d v="2025-10-07T00:00:00"/>
    <s v="Na"/>
    <n v="256788410420"/>
    <s v="212100"/>
    <s v="Trade Debtors (Ctrl)"/>
    <s v=""/>
    <s v="01"/>
    <s v="USD"/>
    <n v="75"/>
    <s v="INR"/>
    <n v="6614.31"/>
    <s v="O0"/>
    <s v="6788224500"/>
    <s v=""/>
    <s v="2110505"/>
    <s v="1"/>
    <s v="Fixed Storage Charges for October 2025"/>
    <s v=""/>
    <s v=""/>
    <s v=""/>
    <d v="2025-10-05T00:00:00"/>
    <m/>
    <s v=""/>
  </r>
  <r>
    <s v="Not Selected"/>
    <n v="6788"/>
    <n v="100222362"/>
    <s v="ONNSYNEX VENTURES PRIVATE LIMITED"/>
    <s v="2025"/>
    <s v="10"/>
    <x v="53"/>
    <n v="1800000556"/>
    <x v="4"/>
    <x v="52"/>
    <d v="2025-10-10T00:00:00"/>
    <s v="Na"/>
    <n v="256788410431"/>
    <s v="212100"/>
    <s v="Trade Debtors (Ctrl)"/>
    <s v=""/>
    <s v="01"/>
    <s v="USD"/>
    <n v="250.08"/>
    <s v="INR"/>
    <n v="22054.75"/>
    <s v="O0"/>
    <s v="6788224500"/>
    <s v=""/>
    <s v="2110980"/>
    <s v="1"/>
    <s v="PORT SSR Chgs Sep 25"/>
    <s v=""/>
    <s v=""/>
    <s v=""/>
    <d v="2025-10-05T00:00:00"/>
    <m/>
    <s v=""/>
  </r>
  <r>
    <s v="Selected"/>
    <n v="6788"/>
    <n v="100222362"/>
    <s v="ONNSYNEX VENTURES PRIVATE LIMITED"/>
    <s v="2025"/>
    <s v="10"/>
    <x v="53"/>
    <n v="1800000542"/>
    <x v="4"/>
    <x v="52"/>
    <d v="2025-10-07T00:00:00"/>
    <s v="Na"/>
    <n v="256788410417"/>
    <s v="212100"/>
    <s v="Trade Debtors (Ctrl)"/>
    <s v=""/>
    <s v="01"/>
    <s v="USD"/>
    <n v="1211.9000000000001"/>
    <s v="INR"/>
    <n v="106878.39"/>
    <s v="O0"/>
    <s v="6788224500"/>
    <s v=""/>
    <s v="2110500"/>
    <s v="1"/>
    <s v="Transportation IN chgs - 16 - 30 SEP 25"/>
    <s v=""/>
    <s v=""/>
    <s v=""/>
    <d v="2025-10-05T00:00:00"/>
    <d v="2025-11-15T00:00:00"/>
    <s v="1400000084"/>
  </r>
  <r>
    <s v="Selected"/>
    <n v="6788"/>
    <n v="100222362"/>
    <s v="ONNSYNEX VENTURES PRIVATE LIMITED"/>
    <s v="2025"/>
    <s v="10"/>
    <x v="53"/>
    <n v="1800000543"/>
    <x v="4"/>
    <x v="52"/>
    <d v="2025-10-07T00:00:00"/>
    <s v="Na"/>
    <n v="256788410418"/>
    <s v="212100"/>
    <s v="Trade Debtors (Ctrl)"/>
    <s v=""/>
    <s v="01"/>
    <s v="USD"/>
    <n v="40"/>
    <s v="INR"/>
    <n v="3527.63"/>
    <s v="O0"/>
    <s v="6788224500"/>
    <s v=""/>
    <s v="2110500"/>
    <s v="1"/>
    <s v="Scanning chgs - 16 - 30 SEP 25"/>
    <s v=""/>
    <s v=""/>
    <s v=""/>
    <d v="2025-10-05T00:00:00"/>
    <d v="2025-11-15T00:00:00"/>
    <s v="1400000084"/>
  </r>
  <r>
    <s v="Selected"/>
    <n v="6788"/>
    <n v="100222362"/>
    <s v="ONNSYNEX VENTURES PRIVATE LIMITED"/>
    <s v="2025"/>
    <s v="10"/>
    <x v="53"/>
    <n v="1800000544"/>
    <x v="4"/>
    <x v="52"/>
    <d v="2025-10-07T00:00:00"/>
    <s v="Na"/>
    <n v="256788410419"/>
    <s v="212100"/>
    <s v="Trade Debtors (Ctrl)"/>
    <s v=""/>
    <s v="01"/>
    <s v="USD"/>
    <n v="11.26"/>
    <s v="INR"/>
    <n v="993.03"/>
    <s v="O0"/>
    <s v="6788224500"/>
    <s v=""/>
    <s v="2110500"/>
    <s v="1"/>
    <s v="Bond Stamp Paper Chgs 01 - 30 Sep 25"/>
    <s v=""/>
    <s v=""/>
    <s v=""/>
    <d v="2025-10-05T00:00:00"/>
    <d v="2025-11-15T00:00:00"/>
    <s v="1400000084"/>
  </r>
  <r>
    <s v="Not Selected"/>
    <n v="6788"/>
    <n v="100222362"/>
    <s v="ONNSYNEX VENTURES PRIVATE LIMITED"/>
    <s v="2025"/>
    <s v="9"/>
    <x v="54"/>
    <n v="1800000478"/>
    <x v="4"/>
    <x v="53"/>
    <d v="2025-09-09T00:00:00"/>
    <s v="Na"/>
    <n v="256788410357"/>
    <s v="212100"/>
    <s v="Trade Debtors (Ctrl)"/>
    <s v=""/>
    <s v="01"/>
    <s v="USD"/>
    <n v="11371.82"/>
    <s v="INR"/>
    <n v="995197.21"/>
    <s v="O0"/>
    <s v="6788224500"/>
    <s v=""/>
    <s v="NA"/>
    <s v="1"/>
    <s v="Unit-Storage-1-31 Aug 25"/>
    <s v=""/>
    <s v=""/>
    <s v=""/>
    <d v="2025-09-06T00:00:00"/>
    <m/>
    <s v=""/>
  </r>
  <r>
    <s v="Not Selected"/>
    <n v="6788"/>
    <n v="100222362"/>
    <s v="ONNSYNEX VENTURES PRIVATE LIMITED"/>
    <s v="2026"/>
    <s v="1"/>
    <x v="55"/>
    <n v="1800000621"/>
    <x v="4"/>
    <x v="54"/>
    <d v="2026-01-05T00:00:00"/>
    <s v="Na"/>
    <n v="256788410483"/>
    <s v="212100"/>
    <s v="Trade Debtors (Ctrl)"/>
    <s v=""/>
    <s v="01"/>
    <s v="USD"/>
    <n v="63.04"/>
    <s v="INR"/>
    <n v="5720.45"/>
    <s v="O0"/>
    <s v="6788224500"/>
    <s v=""/>
    <s v="2150026"/>
    <s v="1"/>
    <s v="VAS - NOV 25,16-30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23"/>
    <x v="4"/>
    <x v="54"/>
    <d v="2026-01-05T00:00:00"/>
    <s v="2150004"/>
    <n v="256788410485"/>
    <s v="212100"/>
    <s v="Trade Debtors (Ctrl)"/>
    <s v=""/>
    <s v="01"/>
    <s v="USD"/>
    <n v="348.86"/>
    <s v="INR"/>
    <n v="31656.65"/>
    <s v="O0"/>
    <s v="6788224500"/>
    <s v=""/>
    <s v="NA"/>
    <s v="1"/>
    <s v="VAS - NOV 25,16-30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19"/>
    <x v="4"/>
    <x v="54"/>
    <d v="2026-01-05T00:00:00"/>
    <s v="Na"/>
    <n v="256788410487"/>
    <s v="212100"/>
    <s v="Trade Debtors (Ctrl)"/>
    <s v=""/>
    <s v="01"/>
    <s v="USD"/>
    <n v="52"/>
    <s v="INR"/>
    <n v="4718.6400000000003"/>
    <s v="O0"/>
    <s v="6788224500"/>
    <s v=""/>
    <s v="2156420"/>
    <s v="1"/>
    <s v="Outbound chgs - 01 -15 DEC 25"/>
    <s v=""/>
    <s v=""/>
    <s v=""/>
    <d v="2026-01-05T00:00:00"/>
    <m/>
    <s v=""/>
  </r>
  <r>
    <s v="Not Selected"/>
    <n v="6788"/>
    <n v="100222362"/>
    <s v="ONNSYNEX VENTURES PRIVATE LIMITED"/>
    <s v="2026"/>
    <s v="1"/>
    <x v="55"/>
    <n v="1800000625"/>
    <x v="4"/>
    <x v="54"/>
    <d v="2026-01-05T00:00:00"/>
    <s v="Na"/>
    <n v="256788410490"/>
    <s v="212100"/>
    <s v="Trade Debtors (Ctrl)"/>
    <s v=""/>
    <s v="01"/>
    <s v="USD"/>
    <n v="94"/>
    <s v="INR"/>
    <n v="8529.86"/>
    <s v="O0"/>
    <s v="6788224500"/>
    <s v=""/>
    <s v="2156418"/>
    <s v="1"/>
    <s v="LCL chgs - 01 -15 DEC 25"/>
    <s v=""/>
    <s v=""/>
    <s v=""/>
    <d v="2026-01-05T00:00:00"/>
    <m/>
    <s v=""/>
  </r>
  <r>
    <s v="Not Selected"/>
    <n v="6788"/>
    <n v="100222362"/>
    <s v="ONNSYNEX VENTURES PRIVATE LIMITED"/>
    <s v="2026"/>
    <s v="1"/>
    <x v="56"/>
    <n v="1800000635"/>
    <x v="4"/>
    <x v="55"/>
    <d v="2026-01-13T00:00:00"/>
    <s v="Na"/>
    <n v="256788410492"/>
    <s v="212100"/>
    <s v="Trade Debtors (Ctrl)"/>
    <s v=""/>
    <s v="01"/>
    <s v="USD"/>
    <n v="476"/>
    <s v="INR"/>
    <n v="43193.73"/>
    <s v="O0"/>
    <s v="6788224500"/>
    <s v=""/>
    <s v="2158405"/>
    <s v="1"/>
    <s v="Transportation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38"/>
    <x v="4"/>
    <x v="55"/>
    <d v="2026-01-13T00:00:00"/>
    <s v="Na"/>
    <n v="256788410495"/>
    <s v="212100"/>
    <s v="Trade Debtors (Ctrl)"/>
    <s v=""/>
    <s v="01"/>
    <s v="USD"/>
    <n v="49.49"/>
    <s v="INR"/>
    <n v="4490.88"/>
    <s v="O0"/>
    <s v="6788224500"/>
    <s v=""/>
    <s v="2158405"/>
    <s v="1"/>
    <s v="Empty Lolo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1"/>
    <x v="4"/>
    <x v="55"/>
    <d v="2026-01-13T00:00:00"/>
    <s v="Na"/>
    <n v="256788410498"/>
    <s v="212100"/>
    <s v="Trade Debtors (Ctrl)"/>
    <s v=""/>
    <s v="01"/>
    <s v="USD"/>
    <n v="181.44"/>
    <s v="INR"/>
    <n v="16464.439999999999"/>
    <s v="O0"/>
    <s v="6788224500"/>
    <s v=""/>
    <s v="2158405"/>
    <s v="1"/>
    <s v="PORT SSR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2"/>
    <x v="4"/>
    <x v="55"/>
    <d v="2026-01-13T00:00:00"/>
    <s v="Na"/>
    <n v="256788410499"/>
    <s v="212100"/>
    <s v="Trade Debtors (Ctrl)"/>
    <s v=""/>
    <s v="01"/>
    <s v="USD"/>
    <n v="53"/>
    <s v="INR"/>
    <n v="4809.3900000000003"/>
    <s v="O0"/>
    <s v="6788224500"/>
    <s v=""/>
    <s v="2158405"/>
    <s v="1"/>
    <s v="LCL Gate  chgs - 16 -31 DEC 25"/>
    <s v=""/>
    <s v=""/>
    <s v=""/>
    <d v="2026-01-12T00:00:00"/>
    <m/>
    <s v=""/>
  </r>
  <r>
    <s v="Not Selected"/>
    <n v="6779"/>
    <n v="100222362"/>
    <s v="ONNSYNEX VENTURES PRIVATE LIMITED"/>
    <s v="2026"/>
    <s v="1"/>
    <x v="57"/>
    <n v="1800016633"/>
    <x v="4"/>
    <x v="56"/>
    <d v="2026-01-13T00:00:00"/>
    <s v="2158402"/>
    <n v="256779440254"/>
    <s v="212100"/>
    <s v="Trade Debtors (Ctrl)"/>
    <s v=""/>
    <s v="01"/>
    <s v="USD"/>
    <n v="2.0299999999999998"/>
    <s v="INR"/>
    <n v="184.21"/>
    <s v="O0"/>
    <s v="6779224500"/>
    <s v=""/>
    <s v="NA"/>
    <s v="1"/>
    <s v="CODC Out chgs -16-31 DEC 25"/>
    <s v=""/>
    <s v=""/>
    <s v=""/>
    <d v="2026-01-06T00:00:00"/>
    <m/>
    <s v=""/>
  </r>
  <r>
    <s v="Not Selected"/>
    <n v="6788"/>
    <n v="100222362"/>
    <s v="ONNSYNEX VENTURES PRIVATE LIMITED"/>
    <s v="2026"/>
    <s v="1"/>
    <x v="56"/>
    <n v="1800000647"/>
    <x v="4"/>
    <x v="55"/>
    <d v="2026-01-13T00:00:00"/>
    <s v="2158407"/>
    <n v="256788410500"/>
    <s v="212100"/>
    <s v="Trade Debtors (Ctrl)"/>
    <s v=""/>
    <s v="01"/>
    <s v="USD"/>
    <n v="32"/>
    <s v="INR"/>
    <n v="2903.78"/>
    <s v="O0"/>
    <s v="6788224500"/>
    <s v=""/>
    <s v="NA"/>
    <s v="1"/>
    <s v="Outbound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26"/>
    <x v="4"/>
    <x v="55"/>
    <d v="2026-01-13T00:00:00"/>
    <s v="2158409"/>
    <n v="256788410502"/>
    <s v="212100"/>
    <s v="Trade Debtors (Ctrl)"/>
    <s v=""/>
    <s v="01"/>
    <s v="USD"/>
    <n v="3980.5"/>
    <s v="INR"/>
    <n v="361203.07"/>
    <s v="O0"/>
    <s v="6788224500"/>
    <s v=""/>
    <s v="NA"/>
    <s v="1"/>
    <s v="Unit-Storage-1-31 DEC 25"/>
    <s v=""/>
    <s v=""/>
    <s v=""/>
    <d v="2026-01-12T00:00:00"/>
    <m/>
    <s v=""/>
  </r>
  <r>
    <s v="Not Selected"/>
    <n v="6788"/>
    <n v="100222362"/>
    <s v="ONNSYNEX VENTURES PRIVATE LIMITED"/>
    <s v="2026"/>
    <s v="1"/>
    <x v="57"/>
    <n v="1800000643"/>
    <x v="4"/>
    <x v="56"/>
    <d v="2026-01-13T00:00:00"/>
    <s v="Na"/>
    <n v="256788410503"/>
    <s v="212100"/>
    <s v="Trade Debtors (Ctrl)"/>
    <s v=""/>
    <s v="01"/>
    <s v="USD"/>
    <n v="994.98"/>
    <s v="INR"/>
    <n v="90287.61"/>
    <s v="O0"/>
    <s v="6788224500"/>
    <s v=""/>
    <s v="2158637"/>
    <s v="1"/>
    <s v="VAS-Dec 25 - 16-31"/>
    <s v=""/>
    <s v=""/>
    <s v=""/>
    <d v="2026-01-06T00:00:00"/>
    <m/>
    <s v=""/>
  </r>
  <r>
    <s v="Not Selected"/>
    <n v="6788"/>
    <n v="100222362"/>
    <s v="ONNSYNEX VENTURES PRIVATE LIMITED"/>
    <s v="2026"/>
    <s v="1"/>
    <x v="56"/>
    <n v="1800000627"/>
    <x v="4"/>
    <x v="55"/>
    <d v="2026-01-13T00:00:00"/>
    <s v="2158668"/>
    <n v="256788410507"/>
    <s v="212100"/>
    <s v="Trade Debtors (Ctrl)"/>
    <s v=""/>
    <s v="01"/>
    <s v="USD"/>
    <n v="75"/>
    <s v="INR"/>
    <n v="6805.74"/>
    <s v="O0"/>
    <s v="6788224500"/>
    <s v=""/>
    <s v="NA"/>
    <s v="1"/>
    <s v="Fixed Storage Charges for January 2026"/>
    <s v=""/>
    <s v=""/>
    <s v=""/>
    <d v="2026-01-12T00:00:00"/>
    <m/>
    <s v=""/>
  </r>
  <r>
    <s v="Not Selected"/>
    <n v="6788"/>
    <n v="100222362"/>
    <s v="ONNSYNEX VENTURES PRIVATE LIMITED"/>
    <s v="2026"/>
    <s v="1"/>
    <x v="56"/>
    <n v="1800000649"/>
    <x v="4"/>
    <x v="55"/>
    <d v="2026-01-13T00:00:00"/>
    <s v="2159218"/>
    <n v="256788410514"/>
    <s v="212100"/>
    <s v="Trade Debtors (Ctrl)"/>
    <s v=""/>
    <s v="01"/>
    <s v="USD"/>
    <n v="63.04"/>
    <s v="INR"/>
    <n v="5720.45"/>
    <s v="O0"/>
    <s v="6788224500"/>
    <s v=""/>
    <s v="NA"/>
    <s v="1"/>
    <s v="VAS - NOV 25,16-30"/>
    <s v=""/>
    <s v=""/>
    <s v=""/>
    <d v="2026-01-12T00:00:00"/>
    <m/>
    <s v=""/>
  </r>
  <r>
    <s v="Not Selected"/>
    <n v="6788"/>
    <n v="100222362"/>
    <s v="ONNSYNEX VENTURES PRIVATE LIMITED"/>
    <s v="2026"/>
    <s v="1"/>
    <x v="58"/>
    <n v="1600000272"/>
    <x v="5"/>
    <x v="57"/>
    <d v="2026-01-19T00:00:00"/>
    <s v="2160778"/>
    <n v="256788420148"/>
    <s v="212100"/>
    <s v="Trade Debtors (Ctrl)"/>
    <s v=""/>
    <s v="11"/>
    <s v="USD"/>
    <n v="-25125.9"/>
    <s v="INR"/>
    <n v="-2280003.06"/>
    <s v="O0"/>
    <s v="6788224500"/>
    <s v=""/>
    <s v="NA"/>
    <s v="1"/>
    <s v="CN against IBC Storage &amp; IBC LCL Charges"/>
    <s v=""/>
    <s v=""/>
    <s v=""/>
    <d v="2026-01-19T00:00:00"/>
    <m/>
    <s v=""/>
  </r>
  <r>
    <s v="Not Selected"/>
    <n v="6788"/>
    <n v="100222362"/>
    <s v="ONNSYNEX VENTURES PRIVATE LIMITED"/>
    <s v="2026"/>
    <s v="1"/>
    <x v="58"/>
    <n v="1600000273"/>
    <x v="5"/>
    <x v="57"/>
    <d v="2026-01-19T00:00:00"/>
    <s v="2160778"/>
    <n v="256788420149"/>
    <s v="212100"/>
    <s v="Trade Debtors (Ctrl)"/>
    <s v=""/>
    <s v="11"/>
    <s v="INR"/>
    <n v="-72465"/>
    <s v="INR"/>
    <n v="-72465"/>
    <s v="O0"/>
    <s v="6788224500"/>
    <s v=""/>
    <s v="NA"/>
    <s v="1"/>
    <s v="CN against ISO Tank CY Storage Charges"/>
    <s v=""/>
    <s v=""/>
    <s v=""/>
    <d v="2026-01-19T00:00:00"/>
    <m/>
    <s v=""/>
  </r>
  <r>
    <s v="Not Selected"/>
    <n v="6788"/>
    <n v="100222362"/>
    <s v="ONNSYNEX VENTURES PRIVATE LIMITED"/>
    <s v="2026"/>
    <s v="1"/>
    <x v="57"/>
    <n v="1600000274"/>
    <x v="5"/>
    <x v="56"/>
    <d v="2026-01-21T00:00:00"/>
    <s v="2160781"/>
    <n v="256788420150"/>
    <s v="212100"/>
    <s v="Trade Debtors (Ctrl)"/>
    <s v=""/>
    <s v="11"/>
    <s v="USD"/>
    <n v="-53"/>
    <s v="INR"/>
    <n v="-4809.3900000000003"/>
    <s v="O0"/>
    <s v="6788224500"/>
    <s v=""/>
    <s v="NA"/>
    <s v="1"/>
    <s v="CN Against LCL &amp; Inbound chgs - 16 -31 DEC 25"/>
    <s v=""/>
    <s v=""/>
    <s v=""/>
    <d v="2026-01-06T00:00:00"/>
    <m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6472.77"/>
  </r>
  <r>
    <x v="1"/>
    <n v="32363.850000000002"/>
  </r>
  <r>
    <x v="2"/>
    <n v="12945.54"/>
  </r>
  <r>
    <x v="3"/>
    <n v="343523.09"/>
  </r>
  <r>
    <x v="4"/>
    <n v="762887.41999999993"/>
  </r>
  <r>
    <x v="5"/>
    <n v="434401.24"/>
  </r>
  <r>
    <x v="6"/>
    <n v="16190.449999999999"/>
  </r>
  <r>
    <x v="7"/>
    <n v="129970.14"/>
  </r>
  <r>
    <x v="8"/>
    <n v="688699.63000000012"/>
  </r>
  <r>
    <x v="9"/>
    <n v="1669.6799999999998"/>
  </r>
  <r>
    <x v="10"/>
    <n v="2921151.2"/>
  </r>
  <r>
    <x v="11"/>
    <n v="299.88"/>
  </r>
  <r>
    <x v="12"/>
    <n v="14776.71"/>
  </r>
  <r>
    <x v="13"/>
    <n v="25401.16"/>
  </r>
  <r>
    <x v="14"/>
    <n v="969937.1"/>
  </r>
  <r>
    <x v="15"/>
    <n v="5097.9799999999996"/>
  </r>
  <r>
    <x v="16"/>
    <n v="306356.47999999998"/>
  </r>
  <r>
    <x v="17"/>
    <n v="5778.1"/>
  </r>
  <r>
    <x v="18"/>
    <n v="891196.98"/>
  </r>
  <r>
    <x v="19"/>
    <n v="30951.940000000002"/>
  </r>
  <r>
    <x v="20"/>
    <n v="905951.78"/>
  </r>
  <r>
    <x v="21"/>
    <n v="6411.81"/>
  </r>
  <r>
    <x v="22"/>
    <n v="198513.01"/>
  </r>
  <r>
    <x v="23"/>
    <n v="1113060.24"/>
  </r>
  <r>
    <x v="24"/>
    <n v="9030.07"/>
  </r>
  <r>
    <x v="25"/>
    <n v="129862.73"/>
  </r>
  <r>
    <x v="26"/>
    <n v="399.04"/>
  </r>
  <r>
    <x v="27"/>
    <n v="6452.26"/>
  </r>
  <r>
    <x v="28"/>
    <n v="1409100.2500000002"/>
  </r>
  <r>
    <x v="29"/>
    <n v="52075.75"/>
  </r>
  <r>
    <x v="30"/>
    <n v="279511.13"/>
  </r>
  <r>
    <x v="31"/>
    <n v="995197.21"/>
  </r>
  <r>
    <x v="32"/>
    <n v="13645.23"/>
  </r>
  <r>
    <x v="33"/>
    <n v="161344.92000000001"/>
  </r>
  <r>
    <x v="34"/>
    <n v="774.01"/>
  </r>
  <r>
    <x v="35"/>
    <n v="355080.74000000005"/>
  </r>
  <r>
    <x v="36"/>
    <n v="1002974.23"/>
  </r>
  <r>
    <x v="37"/>
    <n v="374.81"/>
  </r>
  <r>
    <x v="38"/>
    <n v="36493.339999999997"/>
  </r>
  <r>
    <x v="39"/>
    <n v="33877.599999999999"/>
  </r>
  <r>
    <x v="40"/>
    <n v="487007.26"/>
  </r>
  <r>
    <x v="41"/>
    <n v="704613.22"/>
  </r>
  <r>
    <x v="42"/>
    <n v="8082.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s v="ONNSYNEX VENTURES PRIVATE LIMITED"/>
    <s v="2025"/>
    <s v="8"/>
    <n v="45889"/>
    <n v="1800000477"/>
    <s v="DR"/>
    <n v="45889"/>
    <n v="45891"/>
    <n v="256788410349"/>
    <s v="212100"/>
    <s v="USD"/>
    <n v="100"/>
    <s v="INR"/>
    <n v="8603.01"/>
    <s v="6788224500"/>
    <s v=""/>
    <s v="NA"/>
    <s v="INTRA 1-15 Aug 25"/>
    <x v="0"/>
  </r>
  <r>
    <s v="ONNSYNEX VENTURES PRIVATE LIMITED"/>
    <s v="2025"/>
    <s v="9"/>
    <n v="45904"/>
    <n v="1800000479"/>
    <s v="DR"/>
    <n v="45904"/>
    <n v="45909"/>
    <n v="256788410353"/>
    <s v="212100"/>
    <s v="USD"/>
    <n v="100"/>
    <s v="INR"/>
    <n v="8751.43"/>
    <s v="6788224500"/>
    <s v=""/>
    <s v="NA"/>
    <s v="Intra 16-31 Aug 25"/>
    <x v="0"/>
  </r>
  <r>
    <s v="ONNSYNEX VENTURES PRIVATE LIMITED"/>
    <s v="2025"/>
    <s v="4"/>
    <n v="45751"/>
    <n v="1800000152"/>
    <s v="DR"/>
    <n v="45751"/>
    <n v="45756"/>
    <n v="256788410027"/>
    <s v="212100"/>
    <s v="USD"/>
    <n v="170"/>
    <s v="INR"/>
    <n v="14776.71"/>
    <s v=""/>
    <s v=""/>
    <s v="NA"/>
    <s v="Transportation Inbound charges for Jan 25"/>
    <x v="0"/>
  </r>
  <r>
    <s v="ONNSYNEX VENTURES PRIVATE LIMITED"/>
    <s v="2025"/>
    <s v="3"/>
    <n v="45722"/>
    <n v="1800000050"/>
    <s v="DR"/>
    <n v="45722"/>
    <n v="45722"/>
    <n v="246788410045"/>
    <s v="212100"/>
    <s v="USD"/>
    <n v="841.24"/>
    <s v="INR"/>
    <n v="72928.160000000003"/>
    <s v="6788224500"/>
    <s v=""/>
    <s v="NA"/>
    <s v="Storage Charges for the month of November 2024"/>
    <x v="1"/>
  </r>
  <r>
    <s v="ONNSYNEX VENTURES PRIVATE LIMITED"/>
    <s v="2025"/>
    <s v="3"/>
    <n v="45722"/>
    <n v="1800000051"/>
    <s v="DR"/>
    <n v="45722"/>
    <n v="45722"/>
    <n v="246788410046"/>
    <s v="212100"/>
    <s v="USD"/>
    <n v="4169.66"/>
    <s v="INR"/>
    <n v="361473.08"/>
    <s v="6788224500"/>
    <s v=""/>
    <s v="NA"/>
    <s v="Storage Charges for the month of December 2024"/>
    <x v="1"/>
  </r>
  <r>
    <s v="ONNSYNEX VENTURES PRIVATE LIMITED"/>
    <s v="2025"/>
    <s v="3"/>
    <n v="45719"/>
    <n v="1800000045"/>
    <s v="DR"/>
    <n v="45719"/>
    <n v="45719"/>
    <n v="246788410039"/>
    <s v="212100"/>
    <s v="USD"/>
    <n v="1044.69"/>
    <s v="INR"/>
    <n v="90565.49"/>
    <s v="6788224500"/>
    <s v=""/>
    <s v="NA"/>
    <s v="CY-CY Ground Rent charges for Oct 2024. Exchange c"/>
    <x v="2"/>
  </r>
  <r>
    <s v="ONNSYNEX VENTURES PRIVATE LIMITED"/>
    <s v="2025"/>
    <s v="3"/>
    <n v="45719"/>
    <n v="1800000046"/>
    <s v="DR"/>
    <n v="45719"/>
    <n v="45719"/>
    <n v="246788410040"/>
    <s v="212100"/>
    <s v="USD"/>
    <n v="129.97999999999999"/>
    <s v="INR"/>
    <n v="11268.13"/>
    <s v="6788224500"/>
    <s v=""/>
    <s v="NA"/>
    <s v="CY-CY Ground Rent charges for Dec 2024. Exchange c"/>
    <x v="2"/>
  </r>
  <r>
    <s v="ONNSYNEX VENTURES PRIVATE LIMITED"/>
    <s v="2025"/>
    <s v="3"/>
    <n v="45719"/>
    <n v="1800000047"/>
    <s v="DR"/>
    <n v="45719"/>
    <n v="45719"/>
    <n v="246788410042"/>
    <s v="212100"/>
    <s v="USD"/>
    <n v="4421.13"/>
    <s v="INR"/>
    <n v="383273.33"/>
    <s v="6788224500"/>
    <s v=""/>
    <s v="NA"/>
    <s v="Storage Charges for the month of August, 2024"/>
    <x v="1"/>
  </r>
  <r>
    <s v="ONNSYNEX VENTURES PRIVATE LIMITED"/>
    <s v="2025"/>
    <s v="3"/>
    <n v="45719"/>
    <n v="1800000048"/>
    <s v="DR"/>
    <n v="45719"/>
    <n v="45719"/>
    <n v="246788410043"/>
    <s v="212100"/>
    <s v="USD"/>
    <n v="2730.01"/>
    <s v="INR"/>
    <n v="236668.01"/>
    <s v="6788224500"/>
    <s v=""/>
    <s v="NA"/>
    <s v="Storage Charges for the month of September, 2024"/>
    <x v="1"/>
  </r>
  <r>
    <s v="ONNSYNEX VENTURES PRIVATE LIMITED"/>
    <s v="2025"/>
    <s v="3"/>
    <n v="45719"/>
    <n v="1800000049"/>
    <s v="DR"/>
    <n v="45719"/>
    <n v="45719"/>
    <n v="246788410044"/>
    <s v="212100"/>
    <s v="USD"/>
    <n v="474.24"/>
    <s v="INR"/>
    <n v="41112.46"/>
    <s v="6788224500"/>
    <s v=""/>
    <s v="NA"/>
    <s v="Storage Charges for the month of October, 2024"/>
    <x v="1"/>
  </r>
  <r>
    <s v="ONNSYNEX VENTURES PRIVATE LIMITED"/>
    <s v="2025"/>
    <s v="8"/>
    <n v="45870"/>
    <n v="1800000447"/>
    <s v="DR"/>
    <n v="45870"/>
    <n v="45870"/>
    <n v="256788410322"/>
    <s v="212100"/>
    <s v="USD"/>
    <n v="75"/>
    <s v="INR"/>
    <n v="6452.26"/>
    <s v="6788224500"/>
    <s v=""/>
    <s v="NA"/>
    <s v="Fixed Storage Charges for August 2025"/>
    <x v="1"/>
  </r>
  <r>
    <s v="ONNSYNEX VENTURES PRIVATE LIMITED"/>
    <s v="2025"/>
    <s v="6"/>
    <n v="45818"/>
    <n v="1800000353"/>
    <s v="DR"/>
    <n v="45818"/>
    <n v="45825"/>
    <n v="256788410228"/>
    <s v="212100"/>
    <s v="USD"/>
    <n v="75"/>
    <s v="INR"/>
    <n v="6411.81"/>
    <s v="6788224500"/>
    <s v=""/>
    <s v="NA"/>
    <s v="Fixed Storage Charges fo JUNE 2025"/>
    <x v="1"/>
  </r>
  <r>
    <s v="ONNSYNEX VENTURES PRIVATE LIMITED"/>
    <s v="2025"/>
    <s v="9"/>
    <n v="45917"/>
    <n v="1800000504"/>
    <s v="DR"/>
    <n v="45917"/>
    <n v="45924"/>
    <n v="256788410379"/>
    <s v="212100"/>
    <s v="USD"/>
    <n v="53.78"/>
    <s v="INR"/>
    <n v="4706.5200000000004"/>
    <s v="6788224500"/>
    <s v=""/>
    <s v="2103775"/>
    <s v="VAS Activity - Feb 25, Ex Rate. 87.40"/>
    <x v="3"/>
  </r>
  <r>
    <s v="ONNSYNEX VENTURES PRIVATE LIMITED"/>
    <s v="2025"/>
    <s v="9"/>
    <n v="45917"/>
    <n v="1800000507"/>
    <s v="DR"/>
    <n v="45917"/>
    <n v="45924"/>
    <n v="256788410382"/>
    <s v="212100"/>
    <s v="USD"/>
    <n v="102.14"/>
    <s v="INR"/>
    <n v="8938.7099999999991"/>
    <s v="6788224500"/>
    <s v=""/>
    <s v="2102526"/>
    <s v="VAS -1-15 Sept-25"/>
    <x v="3"/>
  </r>
  <r>
    <s v="ONNSYNEX VENTURES PRIVATE LIMITED"/>
    <s v="2025"/>
    <s v="5"/>
    <n v="45785"/>
    <n v="1800000341"/>
    <s v="DR"/>
    <n v="45785"/>
    <n v="45800"/>
    <n v="256788410216"/>
    <s v="212100"/>
    <s v="USD"/>
    <n v="8.4499999999999993"/>
    <s v="INR"/>
    <n v="726.56"/>
    <s v="6788224500"/>
    <s v=""/>
    <s v="NA"/>
    <s v="Inbound chgs - 01 - 15 Apr 25"/>
    <x v="4"/>
  </r>
  <r>
    <s v="ONNSYNEX VENTURES PRIVATE LIMITED"/>
    <s v="2025"/>
    <s v="5"/>
    <n v="45785"/>
    <n v="1800000342"/>
    <s v="DR"/>
    <n v="45785"/>
    <n v="45800"/>
    <n v="256788410217"/>
    <s v="212100"/>
    <s v="USD"/>
    <n v="37.659999999999997"/>
    <s v="INR"/>
    <n v="3238.15"/>
    <s v="6788224500"/>
    <s v=""/>
    <s v="NA"/>
    <s v="Outbound chgs - 01 - 15 Apr 25"/>
    <x v="4"/>
  </r>
  <r>
    <s v="ONNSYNEX VENTURES PRIVATE LIMITED"/>
    <s v="2025"/>
    <s v="5"/>
    <n v="45785"/>
    <n v="1800000343"/>
    <s v="DR"/>
    <n v="45785"/>
    <n v="45800"/>
    <n v="256788410218"/>
    <s v="212100"/>
    <s v="USD"/>
    <n v="13.18"/>
    <s v="INR"/>
    <n v="1133.27"/>
    <s v="6788224500"/>
    <s v=""/>
    <s v="NA"/>
    <s v="Outbound chgs - 16 - 30 Apr 25"/>
    <x v="4"/>
  </r>
  <r>
    <s v="ONNSYNEX VENTURES PRIVATE LIMITED"/>
    <s v="2025"/>
    <s v="4"/>
    <n v="45763"/>
    <n v="1800007124"/>
    <s v="DR"/>
    <n v="45763"/>
    <n v="45764"/>
    <n v="256779412015"/>
    <s v="212100"/>
    <s v="USD"/>
    <n v="86.56"/>
    <s v="INR"/>
    <n v="7523.95"/>
    <s v="6779224500"/>
    <s v=""/>
    <s v="NA"/>
    <s v="VAS Activity - Jan 25, Ex Rate. 86.64"/>
    <x v="3"/>
  </r>
  <r>
    <s v="ONNSYNEX VENTURES PRIVATE LIMITED"/>
    <s v="2025"/>
    <s v="4"/>
    <n v="45763"/>
    <n v="1800007167"/>
    <s v="DR"/>
    <n v="45763"/>
    <n v="45764"/>
    <n v="256779412058"/>
    <s v="212100"/>
    <s v="USD"/>
    <n v="188.84"/>
    <s v="INR"/>
    <n v="16414.32"/>
    <s v="6779224500"/>
    <s v=""/>
    <s v="NA"/>
    <s v="VAS Activity - Feb 25, Ex Rate. 87.40"/>
    <x v="3"/>
  </r>
  <r>
    <s v="ONNSYNEX VENTURES PRIVATE LIMITED"/>
    <s v="2025"/>
    <s v="4"/>
    <n v="45763"/>
    <n v="1800007205"/>
    <s v="DR"/>
    <n v="45763"/>
    <n v="45764"/>
    <n v="256779412096"/>
    <s v="212100"/>
    <s v="USD"/>
    <n v="16.829999999999998"/>
    <s v="INR"/>
    <n v="1462.89"/>
    <s v="6779224500"/>
    <s v=""/>
    <s v="NA"/>
    <s v="VAS Activity - Mar 25, 16-31, Ex Rate. 85.58"/>
    <x v="3"/>
  </r>
  <r>
    <s v="ONNSYNEX VENTURES PRIVATE LIMITED"/>
    <s v="2025"/>
    <s v="7"/>
    <n v="45847"/>
    <n v="1800000368"/>
    <s v="DR"/>
    <n v="45847"/>
    <n v="45847"/>
    <n v="256788410243"/>
    <s v="212100"/>
    <s v="USD"/>
    <n v="30"/>
    <s v="INR"/>
    <n v="2580.02"/>
    <s v="6788224500"/>
    <s v=""/>
    <s v="NA"/>
    <s v="CY - WH Destuff Charges fo MAY 2025"/>
    <x v="2"/>
  </r>
  <r>
    <s v="ONNSYNEX VENTURES PRIVATE LIMITED"/>
    <s v="2025"/>
    <s v="7"/>
    <n v="45847"/>
    <n v="1800000384"/>
    <s v="DR"/>
    <n v="45847"/>
    <n v="45847"/>
    <n v="256788410259"/>
    <s v="212100"/>
    <s v="USD"/>
    <n v="75"/>
    <s v="INR"/>
    <n v="6450.05"/>
    <s v="6788224500"/>
    <s v=""/>
    <s v="NA"/>
    <s v="Fixed Rental charges for April 2025"/>
    <x v="1"/>
  </r>
  <r>
    <s v="ONNSYNEX VENTURES PRIVATE LIMITED"/>
    <s v="2025"/>
    <s v="9"/>
    <n v="45904"/>
    <n v="1800012496"/>
    <s v="DR"/>
    <n v="45904"/>
    <n v="45908"/>
    <n v="256779416953"/>
    <s v="212100"/>
    <s v="USD"/>
    <n v="2.14"/>
    <s v="INR"/>
    <n v="187.28"/>
    <s v="6779224501"/>
    <s v=""/>
    <s v="NA"/>
    <s v="CODC Out chgs -16-31 Aug 25"/>
    <x v="5"/>
  </r>
  <r>
    <s v="ONNSYNEX VENTURES PRIVATE LIMITED"/>
    <s v="2025"/>
    <s v="9"/>
    <n v="45904"/>
    <n v="1800000480"/>
    <s v="DR"/>
    <n v="45904"/>
    <n v="45909"/>
    <n v="256788410354"/>
    <s v="212100"/>
    <s v="USD"/>
    <n v="12.52"/>
    <s v="INR"/>
    <n v="1095.68"/>
    <s v="6788224500"/>
    <s v=""/>
    <s v="NA"/>
    <s v="VAS -16-31 Aug 25"/>
    <x v="3"/>
  </r>
  <r>
    <s v="ONNSYNEX VENTURES PRIVATE LIMITED"/>
    <s v="2025"/>
    <s v="9"/>
    <n v="45904"/>
    <n v="1800000481"/>
    <s v="DR"/>
    <n v="45904"/>
    <n v="45909"/>
    <n v="256788410355"/>
    <s v="212100"/>
    <s v="USD"/>
    <n v="13.66"/>
    <s v="INR"/>
    <n v="1195.45"/>
    <s v="6788224500"/>
    <s v=""/>
    <s v="NA"/>
    <s v="WEIGHMENT -16-31 Aug 25"/>
    <x v="6"/>
  </r>
  <r>
    <s v="ONNSYNEX VENTURES PRIVATE LIMITED"/>
    <s v="2025"/>
    <s v="9"/>
    <n v="45904"/>
    <n v="1800000483"/>
    <s v="DR"/>
    <n v="45904"/>
    <n v="45909"/>
    <n v="256788410358"/>
    <s v="212100"/>
    <s v="USD"/>
    <n v="2262.04"/>
    <s v="INR"/>
    <n v="197960.92"/>
    <s v="6788224500"/>
    <s v=""/>
    <s v="NA"/>
    <s v="CY Ground rent Chgs - 01 - 31 Aug 25"/>
    <x v="2"/>
  </r>
  <r>
    <s v="ONNSYNEX VENTURES PRIVATE LIMITED"/>
    <s v="2025"/>
    <s v="9"/>
    <n v="45904"/>
    <n v="1800000488"/>
    <s v="DR"/>
    <n v="45904"/>
    <n v="45909"/>
    <n v="256788410359"/>
    <s v="212100"/>
    <s v="USD"/>
    <n v="126.58"/>
    <s v="INR"/>
    <n v="11077.56"/>
    <s v="6788224500"/>
    <s v=""/>
    <s v="NA"/>
    <s v="Empty Lolo Chgs Aug 25"/>
    <x v="7"/>
  </r>
  <r>
    <s v="ONNSYNEX VENTURES PRIVATE LIMITED"/>
    <s v="2025"/>
    <s v="9"/>
    <n v="45904"/>
    <n v="1800000484"/>
    <s v="DR"/>
    <n v="45904"/>
    <n v="45909"/>
    <n v="256788410360"/>
    <s v="212100"/>
    <s v="USD"/>
    <n v="348.21"/>
    <s v="INR"/>
    <n v="30473.360000000001"/>
    <s v="6788224500"/>
    <s v=""/>
    <s v="NA"/>
    <s v="PORT SSR Chgs Aug 25"/>
    <x v="8"/>
  </r>
  <r>
    <s v="ONNSYNEX VENTURES PRIVATE LIMITED"/>
    <s v="2025"/>
    <s v="9"/>
    <n v="45904"/>
    <n v="1800000485"/>
    <s v="DR"/>
    <n v="45904"/>
    <n v="45909"/>
    <n v="256788410361"/>
    <s v="212100"/>
    <s v="USD"/>
    <n v="26"/>
    <s v="INR"/>
    <n v="2275.37"/>
    <s v="6788224500"/>
    <s v=""/>
    <s v="NA"/>
    <s v="LCL chgs - 16 - 31 AUG 25"/>
    <x v="9"/>
  </r>
  <r>
    <s v="ONNSYNEX VENTURES PRIVATE LIMITED"/>
    <s v="2025"/>
    <s v="9"/>
    <n v="45904"/>
    <n v="1800000487"/>
    <s v="DR"/>
    <n v="45904"/>
    <n v="45909"/>
    <n v="256788410363"/>
    <s v="212100"/>
    <s v="USD"/>
    <n v="227.74"/>
    <s v="INR"/>
    <n v="19930.509999999998"/>
    <s v="6788224500"/>
    <s v=""/>
    <s v="NA"/>
    <s v="Transportation Out chgs - 16 - 31 AUG 25"/>
    <x v="0"/>
  </r>
  <r>
    <s v="ONNSYNEX VENTURES PRIVATE LIMITED"/>
    <s v="2025"/>
    <s v="9"/>
    <n v="45904"/>
    <n v="1800000489"/>
    <s v="DR"/>
    <n v="45904"/>
    <n v="45909"/>
    <n v="256788410364"/>
    <s v="212100"/>
    <s v="USD"/>
    <n v="75"/>
    <s v="INR"/>
    <n v="6563.57"/>
    <s v="6788224500"/>
    <s v=""/>
    <s v="2097259"/>
    <s v="Fixed Storage Charges for September 2025"/>
    <x v="1"/>
  </r>
  <r>
    <s v="ONNSYNEX VENTURES PRIVATE LIMITED"/>
    <s v="2025"/>
    <s v="7"/>
    <n v="45842"/>
    <n v="1800010515"/>
    <s v="DR"/>
    <n v="45842"/>
    <n v="45847"/>
    <n v="256779415275"/>
    <s v="212100"/>
    <s v="USD"/>
    <n v="86.04"/>
    <s v="INR"/>
    <n v="7399.5"/>
    <s v="6779224500"/>
    <s v=""/>
    <s v=""/>
    <s v="VAS - 16-30 June 25"/>
    <x v="3"/>
  </r>
  <r>
    <s v="ONNSYNEX VENTURES PRIVATE LIMITED"/>
    <s v="2025"/>
    <s v="7"/>
    <n v="45842"/>
    <n v="1800000358"/>
    <s v="DR"/>
    <n v="45842"/>
    <n v="45847"/>
    <n v="256788410233"/>
    <s v="212100"/>
    <s v="USD"/>
    <n v="10350.540000000001"/>
    <s v="INR"/>
    <n v="890153.37"/>
    <s v="6788224500"/>
    <s v=""/>
    <s v="NA"/>
    <s v="Unit Storage - 1-30 June 25"/>
    <x v="1"/>
  </r>
  <r>
    <s v="ONNSYNEX VENTURES PRIVATE LIMITED"/>
    <s v="2025"/>
    <s v="7"/>
    <n v="45842"/>
    <n v="1800000360"/>
    <s v="DR"/>
    <n v="45842"/>
    <n v="45847"/>
    <n v="256788410235"/>
    <s v="212100"/>
    <s v="USD"/>
    <n v="2323.12"/>
    <s v="INR"/>
    <n v="199789.88"/>
    <s v="6788224500"/>
    <s v=""/>
    <s v="NA"/>
    <s v="CY Ground rent Chgs - 01 - 30 June 25"/>
    <x v="2"/>
  </r>
  <r>
    <s v="ONNSYNEX VENTURES PRIVATE LIMITED"/>
    <s v="2025"/>
    <s v="7"/>
    <n v="45842"/>
    <n v="1800000362"/>
    <s v="DR"/>
    <n v="45842"/>
    <n v="45847"/>
    <n v="256788410237"/>
    <s v="212100"/>
    <s v="USD"/>
    <n v="75"/>
    <s v="INR"/>
    <n v="6450.05"/>
    <s v="6788224500"/>
    <s v=""/>
    <s v="NA"/>
    <s v="Fixed Storage Charges fo JULY 2025"/>
    <x v="1"/>
  </r>
  <r>
    <s v="ONNSYNEX VENTURES PRIVATE LIMITED"/>
    <s v="2025"/>
    <s v="7"/>
    <n v="45842"/>
    <n v="1800000380"/>
    <s v="DR"/>
    <n v="45842"/>
    <n v="45847"/>
    <n v="256788410255"/>
    <s v="212100"/>
    <s v="USD"/>
    <n v="14"/>
    <s v="INR"/>
    <n v="1204.01"/>
    <s v="6788224500"/>
    <s v=""/>
    <s v="NA"/>
    <s v="LCL Chgs - 01 - 15 JUN 25"/>
    <x v="9"/>
  </r>
  <r>
    <s v="ONNSYNEX VENTURES PRIVATE LIMITED"/>
    <s v="2025"/>
    <s v="7"/>
    <n v="45842"/>
    <n v="1800000382"/>
    <s v="DR"/>
    <n v="45842"/>
    <n v="45847"/>
    <n v="256788410257"/>
    <s v="212100"/>
    <s v="USD"/>
    <n v="67.760000000000005"/>
    <s v="INR"/>
    <n v="5827.41"/>
    <s v="6788224500"/>
    <s v=""/>
    <s v="NA"/>
    <s v="Outbound chgs - 01 - 15 JUN 25"/>
    <x v="4"/>
  </r>
  <r>
    <s v="ONNSYNEX VENTURES PRIVATE LIMITED"/>
    <s v="2025"/>
    <s v="7"/>
    <n v="45842"/>
    <n v="1800000383"/>
    <s v="DR"/>
    <n v="45842"/>
    <n v="45847"/>
    <n v="256788410258"/>
    <s v="212100"/>
    <s v="USD"/>
    <n v="17"/>
    <s v="INR"/>
    <n v="1462.01"/>
    <s v="6788224500"/>
    <s v=""/>
    <s v="NA"/>
    <s v="Outbound chgs - 16 - 30 JUN 25"/>
    <x v="4"/>
  </r>
  <r>
    <s v="ONNSYNEX VENTURES PRIVATE LIMITED"/>
    <s v="2025"/>
    <s v="7"/>
    <n v="45842"/>
    <n v="1800000391"/>
    <s v="DR"/>
    <n v="45842"/>
    <n v="45863"/>
    <n v="256788410267"/>
    <s v="212100"/>
    <s v="USD"/>
    <n v="9"/>
    <s v="INR"/>
    <n v="774.01"/>
    <s v="6788224500"/>
    <s v=""/>
    <s v="NA"/>
    <s v="Outbound chgs - 01 - 15 JUL 25"/>
    <x v="4"/>
  </r>
  <r>
    <s v="ONNSYNEX VENTURES PRIVATE LIMITED"/>
    <s v="2025"/>
    <s v="11"/>
    <n v="45966"/>
    <n v="1800000576"/>
    <s v="DR"/>
    <n v="45966"/>
    <n v="45966"/>
    <n v="256788410441"/>
    <s v="212100"/>
    <s v="USD"/>
    <n v="75"/>
    <s v="INR"/>
    <n v="6600.25"/>
    <s v="6788224500"/>
    <s v=""/>
    <s v="2123155"/>
    <s v="Fixed Storage Charges for November 2025"/>
    <x v="1"/>
  </r>
  <r>
    <s v="ONNSYNEX VENTURES PRIVATE LIMITED"/>
    <s v="2025"/>
    <s v="11"/>
    <n v="45966"/>
    <n v="1800000587"/>
    <s v="DR"/>
    <n v="45966"/>
    <n v="45967"/>
    <n v="256788410448"/>
    <s v="212100"/>
    <s v="USD"/>
    <n v="70"/>
    <s v="INR"/>
    <n v="6160.24"/>
    <s v="6788224500"/>
    <s v=""/>
    <s v="2123383"/>
    <s v="Intra SEZ-Transfer-16 -31 Oct 25"/>
    <x v="0"/>
  </r>
  <r>
    <s v="ONNSYNEX VENTURES PRIVATE LIMITED"/>
    <s v="2025"/>
    <s v="11"/>
    <n v="45966"/>
    <n v="1800000588"/>
    <s v="DR"/>
    <n v="45966"/>
    <n v="45967"/>
    <n v="256788410449"/>
    <s v="212100"/>
    <s v="USD"/>
    <n v="70"/>
    <s v="INR"/>
    <n v="6160.24"/>
    <s v="6788224500"/>
    <s v=""/>
    <s v="2123383"/>
    <s v="Intra SEZ-Transfer-16 -31 Oct 25"/>
    <x v="0"/>
  </r>
  <r>
    <s v="ONNSYNEX VENTURES PRIVATE LIMITED"/>
    <s v="2025"/>
    <s v="11"/>
    <n v="45966"/>
    <n v="1800000589"/>
    <s v="DR"/>
    <n v="45966"/>
    <n v="45967"/>
    <n v="256788410450"/>
    <s v="212100"/>
    <s v="USD"/>
    <n v="70"/>
    <s v="INR"/>
    <n v="6160.24"/>
    <s v="6788224500"/>
    <s v=""/>
    <s v="2123383"/>
    <s v="Intra SEZ-Transfer-16 -31 Oct 25"/>
    <x v="0"/>
  </r>
  <r>
    <s v="ONNSYNEX VENTURES PRIVATE LIMITED"/>
    <s v="2025"/>
    <s v="11"/>
    <n v="45966"/>
    <n v="1800000590"/>
    <s v="DR"/>
    <n v="45966"/>
    <n v="45967"/>
    <n v="256788410451"/>
    <s v="212100"/>
    <s v="USD"/>
    <n v="70"/>
    <s v="INR"/>
    <n v="6160.24"/>
    <s v="6788224500"/>
    <s v=""/>
    <s v="2123383"/>
    <s v="Intra SEZ-Transfer-16 -31 Oct 25"/>
    <x v="0"/>
  </r>
  <r>
    <s v="ONNSYNEX VENTURES PRIVATE LIMITED"/>
    <s v="2025"/>
    <s v="11"/>
    <n v="45966"/>
    <n v="1800000591"/>
    <s v="DR"/>
    <n v="45966"/>
    <n v="45967"/>
    <n v="256788410452"/>
    <s v="212100"/>
    <s v="USD"/>
    <n v="65.31"/>
    <s v="INR"/>
    <n v="5747.5"/>
    <s v="6788224500"/>
    <s v=""/>
    <s v="2123383"/>
    <s v="VAS-16 -31 Oct 25"/>
    <x v="3"/>
  </r>
  <r>
    <s v="ONNSYNEX VENTURES PRIVATE LIMITED"/>
    <s v="2025"/>
    <s v="11"/>
    <n v="45966"/>
    <n v="1800000592"/>
    <s v="DR"/>
    <n v="45966"/>
    <n v="45967"/>
    <n v="256788410453"/>
    <s v="212100"/>
    <s v="USD"/>
    <n v="31.56"/>
    <s v="INR"/>
    <n v="2777.39"/>
    <s v="6788224500"/>
    <s v=""/>
    <s v="2123383"/>
    <s v="WEIGHTMENT-16 -31 Oct 25"/>
    <x v="6"/>
  </r>
  <r>
    <s v="ONNSYNEX VENTURES PRIVATE LIMITED"/>
    <s v="2025"/>
    <s v="11"/>
    <n v="45966"/>
    <n v="1800000585"/>
    <s v="DR"/>
    <n v="45966"/>
    <n v="45967"/>
    <n v="256788410454"/>
    <s v="212100"/>
    <s v="USD"/>
    <n v="4547.2"/>
    <s v="INR"/>
    <n v="400169.02"/>
    <s v="6788224500"/>
    <s v=""/>
    <s v="2123386"/>
    <s v="Unit-Storage-1-31 Oct 25"/>
    <x v="1"/>
  </r>
  <r>
    <s v="ONNSYNEX VENTURES PRIVATE LIMITED"/>
    <s v="2025"/>
    <s v="11"/>
    <n v="45966"/>
    <n v="1800000593"/>
    <s v="DR"/>
    <n v="45966"/>
    <n v="45967"/>
    <n v="256788410455"/>
    <s v="212100"/>
    <s v="USD"/>
    <n v="338"/>
    <s v="INR"/>
    <n v="29745.15"/>
    <s v="6788224500"/>
    <s v=""/>
    <s v="2123411"/>
    <s v="Outbound chgs - 16 -31 OCT 25"/>
    <x v="4"/>
  </r>
  <r>
    <s v="ONNSYNEX VENTURES PRIVATE LIMITED"/>
    <s v="2025"/>
    <s v="11"/>
    <n v="45966"/>
    <n v="1800000584"/>
    <s v="DR"/>
    <n v="45966"/>
    <n v="45967"/>
    <n v="256788410457"/>
    <s v="212100"/>
    <s v="USD"/>
    <n v="93"/>
    <s v="INR"/>
    <n v="8184.32"/>
    <s v="6788224500"/>
    <s v=""/>
    <s v="NA"/>
    <s v="LCL chgs - 16 -31 OCT 25"/>
    <x v="9"/>
  </r>
  <r>
    <s v="ONNSYNEX VENTURES PRIVATE LIMITED"/>
    <s v="2025"/>
    <s v="11"/>
    <n v="45966"/>
    <n v="1800000586"/>
    <s v="DR"/>
    <n v="45966"/>
    <n v="45967"/>
    <n v="256788410458"/>
    <s v="212100"/>
    <s v="USD"/>
    <n v="103.89"/>
    <s v="INR"/>
    <n v="9142.67"/>
    <s v="6788224500"/>
    <s v=""/>
    <s v="NA"/>
    <s v="Empty Lolo Chgs Oct 25"/>
    <x v="7"/>
  </r>
  <r>
    <s v="ONNSYNEX VENTURES PRIVATE LIMITED"/>
    <s v="2025"/>
    <s v="8"/>
    <n v="45877"/>
    <n v="1800000466"/>
    <s v="DR"/>
    <n v="45877"/>
    <n v="45877"/>
    <n v="256788410332"/>
    <s v="212100"/>
    <s v="USD"/>
    <n v="443.76"/>
    <s v="INR"/>
    <n v="38176.730000000003"/>
    <s v="6788224500"/>
    <s v=""/>
    <s v="NA"/>
    <s v="Unit Storage - 1-30 June 25"/>
    <x v="1"/>
  </r>
  <r>
    <s v="ONNSYNEX VENTURES PRIVATE LIMITED"/>
    <s v="2025"/>
    <s v="8"/>
    <n v="45877"/>
    <n v="1800000469"/>
    <s v="DR"/>
    <n v="45877"/>
    <n v="45877"/>
    <n v="256788410335"/>
    <s v="212100"/>
    <s v="USD"/>
    <n v="73.67"/>
    <s v="INR"/>
    <n v="6337.84"/>
    <s v="6788224500"/>
    <s v=""/>
    <s v="NA"/>
    <s v="VAS 16-31 July 25"/>
    <x v="3"/>
  </r>
  <r>
    <s v="ONNSYNEX VENTURES PRIVATE LIMITED"/>
    <s v="2025"/>
    <s v="8"/>
    <n v="45877"/>
    <n v="1800000470"/>
    <s v="DR"/>
    <n v="45877"/>
    <n v="45877"/>
    <n v="256788410336"/>
    <s v="212100"/>
    <s v="USD"/>
    <n v="11976.87"/>
    <s v="INR"/>
    <n v="1030371.56"/>
    <s v="6788224500"/>
    <s v=""/>
    <s v="NA"/>
    <s v="Unit Storage - 1-31 July 25"/>
    <x v="1"/>
  </r>
  <r>
    <s v="ONNSYNEX VENTURES PRIVATE LIMITED"/>
    <s v="2025"/>
    <s v="8"/>
    <n v="45877"/>
    <n v="1800000457"/>
    <s v="DR"/>
    <n v="45877"/>
    <n v="45877"/>
    <n v="256788410338"/>
    <s v="212100"/>
    <s v="USD"/>
    <n v="607.84"/>
    <s v="INR"/>
    <n v="52292.55"/>
    <s v="6788224500"/>
    <s v=""/>
    <s v="NA"/>
    <s v="Transportation IN chgs - 16 - 31 JUL 25"/>
    <x v="0"/>
  </r>
  <r>
    <s v="ONNSYNEX VENTURES PRIVATE LIMITED"/>
    <s v="2025"/>
    <s v="8"/>
    <n v="45877"/>
    <n v="1800000458"/>
    <s v="DR"/>
    <n v="45877"/>
    <n v="45877"/>
    <n v="256788410339"/>
    <s v="212100"/>
    <s v="USD"/>
    <n v="400"/>
    <s v="INR"/>
    <n v="34412.050000000003"/>
    <s v="6788224500"/>
    <s v=""/>
    <s v="NA"/>
    <s v="Transportation IN chgs - 16 - 31 JUL 25"/>
    <x v="0"/>
  </r>
  <r>
    <s v="ONNSYNEX VENTURES PRIVATE LIMITED"/>
    <s v="2025"/>
    <s v="8"/>
    <n v="45877"/>
    <n v="1800000459"/>
    <s v="DR"/>
    <n v="45877"/>
    <n v="45877"/>
    <n v="256788410340"/>
    <s v="212100"/>
    <s v="USD"/>
    <n v="90"/>
    <s v="INR"/>
    <n v="7742.71"/>
    <s v="6788224500"/>
    <s v=""/>
    <s v="NA"/>
    <s v="Scanning  Chgs - 16 - 31 Jul 25"/>
    <x v="10"/>
  </r>
  <r>
    <s v="ONNSYNEX VENTURES PRIVATE LIMITED"/>
    <s v="2025"/>
    <s v="8"/>
    <n v="45877"/>
    <n v="1800000460"/>
    <s v="DR"/>
    <n v="45877"/>
    <n v="45877"/>
    <n v="256788410341"/>
    <s v="212100"/>
    <s v="USD"/>
    <n v="31.3"/>
    <s v="INR"/>
    <n v="2692.74"/>
    <s v="6788224500"/>
    <s v=""/>
    <s v="NA"/>
    <s v="Empty Lolo  Chgs - 01 - 31 Jul 25"/>
    <x v="7"/>
  </r>
  <r>
    <s v="ONNSYNEX VENTURES PRIVATE LIMITED"/>
    <s v="2025"/>
    <s v="8"/>
    <n v="45877"/>
    <n v="1800000461"/>
    <s v="DR"/>
    <n v="45877"/>
    <n v="45877"/>
    <n v="256788410342"/>
    <s v="212100"/>
    <s v="USD"/>
    <n v="2269.79"/>
    <s v="INR"/>
    <n v="195270.31"/>
    <s v="6788224500"/>
    <s v=""/>
    <s v="NA"/>
    <s v="CY Grd Rent Chgs - 01 - 31 Jul 25"/>
    <x v="2"/>
  </r>
  <r>
    <s v="ONNSYNEX VENTURES PRIVATE LIMITED"/>
    <s v="2025"/>
    <s v="8"/>
    <n v="45877"/>
    <n v="1800000462"/>
    <s v="DR"/>
    <n v="45877"/>
    <n v="45877"/>
    <n v="256788410343"/>
    <s v="212100"/>
    <s v="USD"/>
    <n v="18.52"/>
    <s v="INR"/>
    <n v="1593.28"/>
    <s v="6788224500"/>
    <s v=""/>
    <s v="NA"/>
    <s v="Outbound chgs - 16 - 31 JUL 25"/>
    <x v="4"/>
  </r>
  <r>
    <s v="ONNSYNEX VENTURES PRIVATE LIMITED"/>
    <s v="2025"/>
    <s v="8"/>
    <n v="45877"/>
    <n v="1800000465"/>
    <s v="DR"/>
    <n v="45877"/>
    <n v="45877"/>
    <n v="256788410346"/>
    <s v="212100"/>
    <s v="USD"/>
    <n v="73.67"/>
    <s v="INR"/>
    <n v="6337.84"/>
    <s v="6788224500"/>
    <s v=""/>
    <s v="NA"/>
    <s v="VAS 16-31 July 25"/>
    <x v="3"/>
  </r>
  <r>
    <s v="ONNSYNEX VENTURES PRIVATE LIMITED"/>
    <s v="2025"/>
    <s v="8"/>
    <n v="45877"/>
    <n v="1800000472"/>
    <s v="DR"/>
    <n v="45877"/>
    <n v="45877"/>
    <n v="256788410347"/>
    <s v="212100"/>
    <s v="USD"/>
    <n v="393.73"/>
    <s v="INR"/>
    <n v="33872.639999999999"/>
    <s v="6788224500"/>
    <s v=""/>
    <s v="NA"/>
    <s v="PORT SSR Chgs July 25"/>
    <x v="8"/>
  </r>
  <r>
    <s v="ONNSYNEX VENTURES PRIVATE LIMITED"/>
    <s v="2025"/>
    <s v="6"/>
    <n v="45812"/>
    <n v="1800000350"/>
    <s v="DR"/>
    <n v="45812"/>
    <n v="45817"/>
    <n v="256788410225"/>
    <s v="212100"/>
    <s v="USD"/>
    <n v="111.13"/>
    <s v="INR"/>
    <n v="9500.59"/>
    <s v="6788224500"/>
    <s v=""/>
    <s v="NA"/>
    <s v="PORT SSR Chgs - 16 - 31 May 25"/>
    <x v="8"/>
  </r>
  <r>
    <s v="ONNSYNEX VENTURES PRIVATE LIMITED"/>
    <s v="2025"/>
    <s v="6"/>
    <n v="45812"/>
    <n v="1800000351"/>
    <s v="DR"/>
    <n v="45812"/>
    <n v="45817"/>
    <n v="256788410226"/>
    <s v="212100"/>
    <s v="USD"/>
    <n v="223.31"/>
    <s v="INR"/>
    <n v="19090.95"/>
    <s v="6788224500"/>
    <s v=""/>
    <s v="NA"/>
    <s v="Transportation In Chgs -16-31 MAY 25"/>
    <x v="0"/>
  </r>
  <r>
    <s v="ONNSYNEX VENTURES PRIVATE LIMITED"/>
    <s v="2025"/>
    <s v="6"/>
    <n v="45812"/>
    <n v="1800000352"/>
    <s v="DR"/>
    <n v="45812"/>
    <n v="45821"/>
    <n v="256788410227"/>
    <s v="212100"/>
    <s v="USD"/>
    <n v="27.61"/>
    <s v="INR"/>
    <n v="2360.4"/>
    <s v="6788224500"/>
    <s v=""/>
    <s v="NA"/>
    <s v="Empty Lolo Chgs - 01 - 31 MAY 25"/>
    <x v="7"/>
  </r>
  <r>
    <s v="ONNSYNEX VENTURES PRIVATE LIMITED"/>
    <s v="2025"/>
    <s v="2"/>
    <n v="45705"/>
    <n v="1800000000"/>
    <s v="DR"/>
    <n v="45705"/>
    <n v="45705"/>
    <n v="246788410001"/>
    <s v="212100"/>
    <s v="USD"/>
    <n v="75"/>
    <s v="INR"/>
    <n v="6472.77"/>
    <s v="6788224500"/>
    <s v=""/>
    <s v="NA"/>
    <s v="Fixed Rental charges for Aug 2024"/>
    <x v="1"/>
  </r>
  <r>
    <s v="ONNSYNEX VENTURES PRIVATE LIMITED"/>
    <s v="2025"/>
    <s v="5"/>
    <n v="45805"/>
    <n v="1800000346"/>
    <s v="DR"/>
    <n v="45805"/>
    <n v="45805"/>
    <n v="256788410221"/>
    <s v="212100"/>
    <s v="USD"/>
    <n v="10364.719999999999"/>
    <s v="INR"/>
    <n v="891196.98"/>
    <s v="6788224500"/>
    <s v=""/>
    <s v="NA"/>
    <s v="Storage Chgs - 01 - 31 Apr 25"/>
    <x v="1"/>
  </r>
  <r>
    <s v="ONNSYNEX VENTURES PRIVATE LIMITED"/>
    <s v="2025"/>
    <s v="7"/>
    <n v="45856"/>
    <n v="1800000389"/>
    <s v="DR"/>
    <n v="45856"/>
    <n v="45863"/>
    <n v="256788410265"/>
    <s v="212100"/>
    <s v="USD"/>
    <n v="1510.02"/>
    <s v="INR"/>
    <n v="129862.73"/>
    <s v="6788224500"/>
    <s v=""/>
    <s v="NA"/>
    <s v="CODC Transport Chgs - 01 - 15 July 25"/>
    <x v="0"/>
  </r>
  <r>
    <s v="ONNSYNEX VENTURES PRIVATE LIMITED"/>
    <s v="2025"/>
    <s v="3"/>
    <n v="45729"/>
    <n v="1800000064"/>
    <s v="DR"/>
    <n v="45729"/>
    <n v="45730"/>
    <n v="246788410059"/>
    <s v="212100"/>
    <s v="USD"/>
    <n v="25.75"/>
    <s v="INR"/>
    <n v="2232.3000000000002"/>
    <s v="6788224500"/>
    <s v=""/>
    <s v="NA"/>
    <s v="VAS Activity Charges for the month of August, 24"/>
    <x v="3"/>
  </r>
  <r>
    <s v="ONNSYNEX VENTURES PRIVATE LIMITED"/>
    <s v="2025"/>
    <s v="3"/>
    <n v="45729"/>
    <n v="1800000065"/>
    <s v="DR"/>
    <n v="45729"/>
    <n v="45730"/>
    <n v="246788410060"/>
    <s v="212100"/>
    <s v="USD"/>
    <n v="37.200000000000003"/>
    <s v="INR"/>
    <n v="3224.91"/>
    <s v="6788224500"/>
    <s v=""/>
    <s v="NA"/>
    <s v="VAS Activity Charges for the month of August, 24"/>
    <x v="3"/>
  </r>
  <r>
    <s v="ONNSYNEX VENTURES PRIVATE LIMITED"/>
    <s v="2025"/>
    <s v="3"/>
    <n v="45729"/>
    <n v="1800000066"/>
    <s v="DR"/>
    <n v="45729"/>
    <n v="45730"/>
    <n v="246788410061"/>
    <s v="212100"/>
    <s v="USD"/>
    <n v="26.23"/>
    <s v="INR"/>
    <n v="2273.91"/>
    <s v="6788224500"/>
    <s v=""/>
    <s v="NA"/>
    <s v="VAS Activity Charges for the month of August, 24"/>
    <x v="3"/>
  </r>
  <r>
    <s v="ONNSYNEX VENTURES PRIVATE LIMITED"/>
    <s v="2025"/>
    <s v="3"/>
    <n v="45729"/>
    <n v="1800000067"/>
    <s v="DR"/>
    <n v="45729"/>
    <n v="45730"/>
    <n v="246788410062"/>
    <s v="212100"/>
    <s v="USD"/>
    <n v="26.23"/>
    <s v="INR"/>
    <n v="2273.91"/>
    <s v="6788224500"/>
    <s v=""/>
    <s v="NA"/>
    <s v="VAS Activity Charges for the month of August, 24"/>
    <x v="3"/>
  </r>
  <r>
    <s v="ONNSYNEX VENTURES PRIVATE LIMITED"/>
    <s v="2025"/>
    <s v="3"/>
    <n v="45729"/>
    <n v="1800000068"/>
    <s v="DR"/>
    <n v="45729"/>
    <n v="45730"/>
    <n v="246788410063"/>
    <s v="212100"/>
    <s v="USD"/>
    <n v="23.85"/>
    <s v="INR"/>
    <n v="2067.59"/>
    <s v="6788224500"/>
    <s v=""/>
    <s v="NA"/>
    <s v="VAS Activity Charges for the month of August, 24"/>
    <x v="3"/>
  </r>
  <r>
    <s v="ONNSYNEX VENTURES PRIVATE LIMITED"/>
    <s v="2025"/>
    <s v="3"/>
    <n v="45729"/>
    <n v="1800000069"/>
    <s v="DR"/>
    <n v="45729"/>
    <n v="45730"/>
    <n v="246788410064"/>
    <s v="212100"/>
    <s v="USD"/>
    <n v="23.87"/>
    <s v="INR"/>
    <n v="2069.3200000000002"/>
    <s v="6788224500"/>
    <s v=""/>
    <s v="NA"/>
    <s v="VAS Activity Charges for the month of September, 2"/>
    <x v="3"/>
  </r>
  <r>
    <s v="ONNSYNEX VENTURES PRIVATE LIMITED"/>
    <s v="2025"/>
    <s v="3"/>
    <n v="45729"/>
    <n v="1800000070"/>
    <s v="DR"/>
    <n v="45729"/>
    <n v="45730"/>
    <n v="246788410065"/>
    <s v="212100"/>
    <s v="USD"/>
    <n v="23.63"/>
    <s v="INR"/>
    <n v="2048.5100000000002"/>
    <s v="6788224500"/>
    <s v=""/>
    <s v="NA"/>
    <s v="VAS Activity Charges for the month of September, 2"/>
    <x v="3"/>
  </r>
  <r>
    <s v="ONNSYNEX VENTURES PRIVATE LIMITED"/>
    <s v="2025"/>
    <s v="3"/>
    <n v="45736"/>
    <n v="1800005048"/>
    <s v="DR"/>
    <n v="45736"/>
    <n v="45737"/>
    <n v="246779414916"/>
    <s v="212100"/>
    <s v="USD"/>
    <n v="7.26"/>
    <s v="INR"/>
    <n v="629.38"/>
    <s v="6779224500"/>
    <s v=""/>
    <s v="NA"/>
    <s v="Inbound Handling charges for Feb 2025"/>
    <x v="4"/>
  </r>
  <r>
    <s v="ONNSYNEX VENTURES PRIVATE LIMITED"/>
    <s v="2025"/>
    <s v="3"/>
    <n v="45736"/>
    <n v="1800005049"/>
    <s v="DR"/>
    <n v="45736"/>
    <n v="45737"/>
    <n v="246779414917"/>
    <s v="212100"/>
    <s v="USD"/>
    <n v="12"/>
    <s v="INR"/>
    <n v="1040.3"/>
    <s v="6779224500"/>
    <s v=""/>
    <s v="NA"/>
    <s v="LCL Movement Charges for Feb 2025"/>
    <x v="9"/>
  </r>
  <r>
    <s v="ONNSYNEX VENTURES PRIVATE LIMITED"/>
    <s v="2025"/>
    <s v="2"/>
    <n v="45708"/>
    <n v="1800000029"/>
    <s v="DR"/>
    <n v="45708"/>
    <n v="45708"/>
    <n v="246788410019"/>
    <s v="212100"/>
    <s v="USD"/>
    <n v="75"/>
    <s v="INR"/>
    <n v="6472.77"/>
    <s v="6788224500"/>
    <s v=""/>
    <s v="NA"/>
    <s v="Fixed Rental charges for Feb 2025"/>
    <x v="1"/>
  </r>
  <r>
    <s v="ONNSYNEX VENTURES PRIVATE LIMITED"/>
    <s v="2025"/>
    <s v="2"/>
    <n v="45708"/>
    <n v="1800000033"/>
    <s v="DR"/>
    <n v="45708"/>
    <n v="45708"/>
    <n v="246788410021"/>
    <s v="212100"/>
    <s v="USD"/>
    <n v="75"/>
    <s v="INR"/>
    <n v="6472.77"/>
    <s v="6788224500"/>
    <s v=""/>
    <s v="NA"/>
    <s v="Fixed Rental charges for Jan 2025"/>
    <x v="1"/>
  </r>
  <r>
    <s v="ONNSYNEX VENTURES PRIVATE LIMITED"/>
    <s v="2025"/>
    <s v="8"/>
    <n v="45889"/>
    <n v="1800000476"/>
    <s v="DR"/>
    <n v="45889"/>
    <n v="45891"/>
    <n v="256788410348"/>
    <s v="212100"/>
    <s v="USD"/>
    <n v="20.57"/>
    <s v="INR"/>
    <n v="1769.64"/>
    <s v="6788224500"/>
    <s v=""/>
    <s v="NA"/>
    <s v="Weighment-1-15 Aug 25"/>
    <x v="6"/>
  </r>
  <r>
    <s v="ONNSYNEX VENTURES PRIVATE LIMITED"/>
    <s v="2025"/>
    <s v="8"/>
    <n v="45889"/>
    <n v="1800000473"/>
    <s v="DR"/>
    <n v="45889"/>
    <n v="45891"/>
    <n v="256788410350"/>
    <s v="212100"/>
    <s v="USD"/>
    <n v="141.91"/>
    <s v="INR"/>
    <n v="12208.53"/>
    <s v="6788224500"/>
    <s v=""/>
    <s v="NA"/>
    <s v="LCL chgs - 01 - 15 AUG 25"/>
    <x v="9"/>
  </r>
  <r>
    <s v="ONNSYNEX VENTURES PRIVATE LIMITED"/>
    <s v="2025"/>
    <s v="8"/>
    <n v="45889"/>
    <n v="1800000475"/>
    <s v="DR"/>
    <n v="45889"/>
    <n v="45891"/>
    <n v="256788410352"/>
    <s v="212100"/>
    <s v="USD"/>
    <n v="342.84"/>
    <s v="INR"/>
    <n v="29494.57"/>
    <s v="6788224500"/>
    <s v=""/>
    <s v="NA"/>
    <s v="Outbound chgs - 01- 15 AUG 25"/>
    <x v="4"/>
  </r>
  <r>
    <s v="ONNSYNEX VENTURES PRIVATE LIMITED"/>
    <s v="2025"/>
    <s v="2"/>
    <n v="45707"/>
    <n v="1800000006"/>
    <s v="DR"/>
    <n v="45707"/>
    <n v="45707"/>
    <n v="246788410005"/>
    <s v="212100"/>
    <s v="USD"/>
    <n v="75"/>
    <s v="INR"/>
    <n v="6472.77"/>
    <s v="6788224500"/>
    <s v=""/>
    <s v="NA"/>
    <s v="Fixed Rental charges for Aug 2024"/>
    <x v="1"/>
  </r>
  <r>
    <s v="ONNSYNEX VENTURES PRIVATE LIMITED"/>
    <s v="2025"/>
    <s v="2"/>
    <n v="45707"/>
    <n v="1800000022"/>
    <s v="DR"/>
    <n v="45707"/>
    <n v="45707"/>
    <n v="246788410009"/>
    <s v="212100"/>
    <s v="USD"/>
    <n v="75"/>
    <s v="INR"/>
    <n v="6472.77"/>
    <s v="6788224500"/>
    <s v=""/>
    <s v="NA"/>
    <s v="Fixed Rental charges for Sept 2024"/>
    <x v="1"/>
  </r>
  <r>
    <s v="ONNSYNEX VENTURES PRIVATE LIMITED"/>
    <s v="2025"/>
    <s v="2"/>
    <n v="45707"/>
    <n v="1800000018"/>
    <s v="DR"/>
    <n v="45707"/>
    <n v="45707"/>
    <n v="246788410013"/>
    <s v="212100"/>
    <s v="USD"/>
    <n v="75"/>
    <s v="INR"/>
    <n v="6472.77"/>
    <s v="6788224500"/>
    <s v=""/>
    <s v="NA"/>
    <s v="Fixed Rental charges for Oct 2024"/>
    <x v="1"/>
  </r>
  <r>
    <s v="ONNSYNEX VENTURES PRIVATE LIMITED"/>
    <s v="2025"/>
    <s v="2"/>
    <n v="45707"/>
    <n v="1800000010"/>
    <s v="DR"/>
    <n v="45707"/>
    <n v="45707"/>
    <n v="246788410015"/>
    <s v="212100"/>
    <s v="USD"/>
    <n v="75"/>
    <s v="INR"/>
    <n v="6472.77"/>
    <s v="6788224500"/>
    <s v=""/>
    <s v="NA"/>
    <s v="Fixed Rental charges for Nov 2024"/>
    <x v="1"/>
  </r>
  <r>
    <s v="ONNSYNEX VENTURES PRIVATE LIMITED"/>
    <s v="2025"/>
    <s v="2"/>
    <n v="45707"/>
    <n v="1800000012"/>
    <s v="DR"/>
    <n v="45707"/>
    <n v="45707"/>
    <n v="246788410017"/>
    <s v="212100"/>
    <s v="USD"/>
    <n v="75"/>
    <s v="INR"/>
    <n v="6472.77"/>
    <s v="6788224500"/>
    <s v=""/>
    <s v="NA"/>
    <s v="Fixed Rental charges for Dec 2024"/>
    <x v="1"/>
  </r>
  <r>
    <s v="ONNSYNEX VENTURES PRIVATE LIMITED"/>
    <s v="2025"/>
    <s v="11"/>
    <n v="45973"/>
    <n v="1800000594"/>
    <s v="DR"/>
    <n v="45973"/>
    <n v="45973"/>
    <n v="256788410459"/>
    <s v="212100"/>
    <s v="USD"/>
    <n v="8006.66"/>
    <s v="INR"/>
    <n v="704613.22"/>
    <s v="6788224500"/>
    <s v=""/>
    <s v="2125273"/>
    <s v="Unit-Storage-1-31 Oct 25"/>
    <x v="1"/>
  </r>
  <r>
    <s v="ONNSYNEX VENTURES PRIVATE LIMITED"/>
    <s v="2025"/>
    <s v="6"/>
    <n v="45821"/>
    <n v="1800009582"/>
    <s v="DR"/>
    <n v="45821"/>
    <n v="45825"/>
    <n v="256779414346"/>
    <s v="212100"/>
    <s v="USD"/>
    <n v="2322.04"/>
    <s v="INR"/>
    <n v="198513.01"/>
    <s v="6779224500"/>
    <s v=""/>
    <s v="NA"/>
    <s v="CY Longstanding - March 25,16-31"/>
    <x v="2"/>
  </r>
  <r>
    <s v="ONNSYNEX VENTURES PRIVATE LIMITED"/>
    <s v="2025"/>
    <s v="5"/>
    <n v="45797"/>
    <n v="1800000345"/>
    <s v="DR"/>
    <n v="45797"/>
    <n v="45800"/>
    <n v="256788410220"/>
    <s v="212100"/>
    <s v="USD"/>
    <n v="67.2"/>
    <s v="INR"/>
    <n v="5778.1"/>
    <s v="6788224500"/>
    <s v=""/>
    <s v="NA"/>
    <s v="Outbound chgs - 01 - 15 May 25"/>
    <x v="4"/>
  </r>
  <r>
    <s v="ONNSYNEX VENTURES PRIVATE LIMITED"/>
    <s v="2025"/>
    <s v="4"/>
    <n v="45750"/>
    <n v="1800005306"/>
    <s v="DR"/>
    <n v="45750"/>
    <n v="45752"/>
    <n v="256779410198"/>
    <s v="212100"/>
    <s v="USD"/>
    <n v="3.45"/>
    <s v="INR"/>
    <n v="299.88"/>
    <s v=""/>
    <s v=""/>
    <s v="NA"/>
    <s v="VAS Activity -1 -15 Mar 25, Ex Rate. 87.01"/>
    <x v="3"/>
  </r>
  <r>
    <s v="ONNSYNEX VENTURES PRIVATE LIMITED"/>
    <s v="2025"/>
    <s v="10"/>
    <n v="45950"/>
    <n v="1800000558"/>
    <s v="DR"/>
    <n v="45950"/>
    <n v="45951"/>
    <n v="256788410435"/>
    <s v="212100"/>
    <s v="USD"/>
    <n v="38"/>
    <s v="INR"/>
    <n v="3351.25"/>
    <s v="6788224500"/>
    <s v=""/>
    <s v="2114882"/>
    <s v="LCL chgs - 01 -15 OCT 25"/>
    <x v="9"/>
  </r>
  <r>
    <s v="ONNSYNEX VENTURES PRIVATE LIMITED"/>
    <s v="2025"/>
    <s v="10"/>
    <n v="45950"/>
    <n v="1800000560"/>
    <s v="DR"/>
    <n v="45950"/>
    <n v="45951"/>
    <n v="256788410437"/>
    <s v="212100"/>
    <s v="USD"/>
    <n v="346.14"/>
    <s v="INR"/>
    <n v="30526.35"/>
    <s v="6788224500"/>
    <s v=""/>
    <s v="2114884"/>
    <s v="Outbound chgs - 01 - 15 OCT 25"/>
    <x v="4"/>
  </r>
  <r>
    <s v="ONNSYNEX VENTURES PRIVATE LIMITED"/>
    <s v="2025"/>
    <s v="4"/>
    <n v="45749"/>
    <n v="1800000126"/>
    <s v="DR"/>
    <n v="45749"/>
    <n v="45752"/>
    <n v="256788410001"/>
    <s v="212100"/>
    <s v="USD"/>
    <n v="10887.57"/>
    <s v="INR"/>
    <n v="946367.4"/>
    <s v=""/>
    <s v=""/>
    <s v="NA"/>
    <s v="Storage Charges Jan, 25"/>
    <x v="1"/>
  </r>
  <r>
    <s v="ONNSYNEX VENTURES PRIVATE LIMITED"/>
    <s v="2025"/>
    <s v="4"/>
    <n v="45749"/>
    <n v="1800000127"/>
    <s v="DR"/>
    <n v="45749"/>
    <n v="45752"/>
    <n v="256788410002"/>
    <s v="212100"/>
    <s v="USD"/>
    <n v="9928.89"/>
    <s v="INR"/>
    <n v="863037.19"/>
    <s v=""/>
    <s v=""/>
    <s v="NA"/>
    <s v="Storage Charges Feb, 25"/>
    <x v="1"/>
  </r>
  <r>
    <s v="ONNSYNEX VENTURES PRIVATE LIMITED"/>
    <s v="2025"/>
    <s v="4"/>
    <n v="45749"/>
    <n v="1800000128"/>
    <s v="DR"/>
    <n v="45749"/>
    <n v="45752"/>
    <n v="256788410003"/>
    <s v="212100"/>
    <s v="USD"/>
    <n v="4.5"/>
    <s v="INR"/>
    <n v="391.15"/>
    <s v=""/>
    <s v=""/>
    <s v="NA"/>
    <s v="Outbound Handling charges for Jan 2025"/>
    <x v="4"/>
  </r>
  <r>
    <s v="ONNSYNEX VENTURES PRIVATE LIMITED"/>
    <s v="2025"/>
    <s v="4"/>
    <n v="45749"/>
    <n v="1800000129"/>
    <s v="DR"/>
    <n v="45749"/>
    <n v="45752"/>
    <n v="256788410004"/>
    <s v="212100"/>
    <s v="USD"/>
    <n v="2786.28"/>
    <s v="INR"/>
    <n v="242188.53"/>
    <s v=""/>
    <s v=""/>
    <s v="NA"/>
    <s v="CY Longstanding Ground Rent charges for Dec 2024."/>
    <x v="2"/>
  </r>
  <r>
    <s v="ONNSYNEX VENTURES PRIVATE LIMITED"/>
    <s v="2025"/>
    <s v="4"/>
    <n v="45749"/>
    <n v="1800000134"/>
    <s v="DR"/>
    <n v="45749"/>
    <n v="45752"/>
    <n v="256788410009"/>
    <s v="212100"/>
    <s v="USD"/>
    <n v="2934.66"/>
    <s v="INR"/>
    <n v="255085.99"/>
    <s v=""/>
    <s v=""/>
    <s v="NA"/>
    <s v="CY Longstanding Ground Rent charges for Nov 2024."/>
    <x v="2"/>
  </r>
  <r>
    <s v="ONNSYNEX VENTURES PRIVATE LIMITED"/>
    <s v="2025"/>
    <s v="4"/>
    <n v="45749"/>
    <n v="1800000138"/>
    <s v="DR"/>
    <n v="45749"/>
    <n v="45752"/>
    <n v="256788410013"/>
    <s v="212100"/>
    <s v="USD"/>
    <n v="2935.55"/>
    <s v="INR"/>
    <n v="255163.35"/>
    <s v=""/>
    <s v=""/>
    <s v="NA"/>
    <s v="CY Longstanding Ground Rent charges for Oct 2024."/>
    <x v="2"/>
  </r>
  <r>
    <s v="ONNSYNEX VENTURES PRIVATE LIMITED"/>
    <s v="2025"/>
    <s v="4"/>
    <n v="45749"/>
    <n v="1800000141"/>
    <s v="DR"/>
    <n v="45749"/>
    <n v="45752"/>
    <n v="256788410016"/>
    <s v="212100"/>
    <s v="USD"/>
    <n v="3979.2"/>
    <s v="INR"/>
    <n v="345879.31"/>
    <s v=""/>
    <s v=""/>
    <s v="NA"/>
    <s v="CY Longstanding Ground Rent charges for Sept 2024."/>
    <x v="2"/>
  </r>
  <r>
    <s v="ONNSYNEX VENTURES PRIVATE LIMITED"/>
    <s v="2025"/>
    <s v="4"/>
    <n v="45749"/>
    <n v="1800000144"/>
    <s v="DR"/>
    <n v="45749"/>
    <n v="45752"/>
    <n v="256788410019"/>
    <s v="212100"/>
    <s v="USD"/>
    <n v="75"/>
    <s v="INR"/>
    <n v="6519.14"/>
    <s v=""/>
    <s v=""/>
    <s v="NA"/>
    <s v="Fixed Rental charges for Feb 2025"/>
    <x v="1"/>
  </r>
  <r>
    <s v="ONNSYNEX VENTURES PRIVATE LIMITED"/>
    <s v="2025"/>
    <s v="4"/>
    <n v="45749"/>
    <n v="1800000148"/>
    <s v="DR"/>
    <n v="45749"/>
    <n v="45752"/>
    <n v="256788410023"/>
    <s v="212100"/>
    <s v="USD"/>
    <n v="75"/>
    <s v="INR"/>
    <n v="6519.14"/>
    <s v=""/>
    <s v=""/>
    <s v="NA"/>
    <s v="Fixed Rental charges for Jan 2025"/>
    <x v="1"/>
  </r>
  <r>
    <s v="ONNSYNEX VENTURES PRIVATE LIMITED"/>
    <s v="2025"/>
    <s v="12"/>
    <n v="45995"/>
    <n v="1800000608"/>
    <s v="DR"/>
    <n v="45995"/>
    <n v="46000"/>
    <n v="256788410465"/>
    <s v="212100"/>
    <s v="USD"/>
    <n v="3385.09"/>
    <s v="INR"/>
    <n v="300257.96000000002"/>
    <s v="6788224500"/>
    <s v=""/>
    <s v="2139801"/>
    <s v="Unit-Storage-1-30 Nov 25"/>
    <x v="1"/>
  </r>
  <r>
    <s v="ONNSYNEX VENTURES PRIVATE LIMITED"/>
    <s v="2025"/>
    <s v="12"/>
    <n v="45995"/>
    <n v="1800000609"/>
    <s v="DR"/>
    <n v="45995"/>
    <n v="46000"/>
    <n v="256788410466"/>
    <s v="212100"/>
    <s v="USD"/>
    <n v="75"/>
    <s v="INR"/>
    <n v="6652.51"/>
    <s v="6788224500"/>
    <s v=""/>
    <s v="2139802"/>
    <s v="Fixed Storage Charges for December 2025"/>
    <x v="1"/>
  </r>
  <r>
    <s v="ONNSYNEX VENTURES PRIVATE LIMITED"/>
    <s v="2025"/>
    <s v="3"/>
    <n v="45734"/>
    <n v="1800000084"/>
    <s v="DR"/>
    <n v="45734"/>
    <n v="45735"/>
    <n v="246788410079"/>
    <s v="212100"/>
    <s v="USD"/>
    <n v="75"/>
    <s v="INR"/>
    <n v="6501.84"/>
    <s v="6788224500"/>
    <s v=""/>
    <s v="NA"/>
    <s v="Fixed Rental charges for March 2025"/>
    <x v="1"/>
  </r>
  <r>
    <s v="ONNSYNEX VENTURES PRIVATE LIMITED"/>
    <s v="2025"/>
    <s v="3"/>
    <n v="45734"/>
    <n v="1800000086"/>
    <s v="DR"/>
    <n v="45734"/>
    <n v="45735"/>
    <n v="246788410081"/>
    <s v="212100"/>
    <s v="USD"/>
    <n v="2"/>
    <s v="INR"/>
    <n v="173.38"/>
    <s v="6788224500"/>
    <s v=""/>
    <s v="NA"/>
    <s v="Outbound Handling charges for Feb 2025"/>
    <x v="4"/>
  </r>
  <r>
    <s v="ONNSYNEX VENTURES PRIVATE LIMITED"/>
    <s v="2025"/>
    <s v="3"/>
    <n v="45734"/>
    <n v="1800000087"/>
    <s v="DR"/>
    <n v="45734"/>
    <n v="45735"/>
    <n v="246788410082"/>
    <s v="212100"/>
    <s v="USD"/>
    <n v="40"/>
    <s v="INR"/>
    <n v="3467.65"/>
    <s v="6788224500"/>
    <s v=""/>
    <s v="NA"/>
    <s v="Outbound Handling charges for Feb 2025"/>
    <x v="4"/>
  </r>
  <r>
    <s v="ONNSYNEX VENTURES PRIVATE LIMITED"/>
    <s v="2025"/>
    <s v="3"/>
    <n v="45734"/>
    <n v="1800000090"/>
    <s v="DR"/>
    <n v="45734"/>
    <n v="45735"/>
    <n v="246788410085"/>
    <s v="212100"/>
    <s v="USD"/>
    <n v="1324"/>
    <s v="INR"/>
    <n v="114779.23"/>
    <s v="6788224500"/>
    <s v=""/>
    <s v="NA"/>
    <s v="Outbound Handling charges for Sep 2024"/>
    <x v="4"/>
  </r>
  <r>
    <s v="ONNSYNEX VENTURES PRIVATE LIMITED"/>
    <s v="2025"/>
    <s v="3"/>
    <n v="45734"/>
    <n v="1800000091"/>
    <s v="DR"/>
    <n v="45734"/>
    <n v="45735"/>
    <n v="246788410086"/>
    <s v="212100"/>
    <s v="USD"/>
    <n v="0.5"/>
    <s v="INR"/>
    <n v="43.35"/>
    <s v="6788224500"/>
    <s v=""/>
    <s v="NA"/>
    <s v="Loose Loading Handling charges for Sep 2024"/>
    <x v="4"/>
  </r>
  <r>
    <s v="ONNSYNEX VENTURES PRIVATE LIMITED"/>
    <s v="2025"/>
    <s v="3"/>
    <n v="45734"/>
    <n v="1800000096"/>
    <s v="DR"/>
    <n v="45734"/>
    <n v="45735"/>
    <n v="246788410088"/>
    <s v="212100"/>
    <s v="USD"/>
    <n v="10"/>
    <s v="INR"/>
    <n v="866.91"/>
    <s v="6788224500"/>
    <s v=""/>
    <s v="NA"/>
    <s v="Outbound Handling charges for Nov 2024"/>
    <x v="4"/>
  </r>
  <r>
    <s v="ONNSYNEX VENTURES PRIVATE LIMITED"/>
    <s v="2025"/>
    <s v="3"/>
    <n v="45734"/>
    <n v="1800000097"/>
    <s v="DR"/>
    <n v="45734"/>
    <n v="45735"/>
    <n v="246788410089"/>
    <s v="212100"/>
    <s v="USD"/>
    <n v="0.63"/>
    <s v="INR"/>
    <n v="54.62"/>
    <s v="6788224500"/>
    <s v=""/>
    <s v="NA"/>
    <s v="Loose handling Charges for Nov 2024"/>
    <x v="4"/>
  </r>
  <r>
    <s v="ONNSYNEX VENTURES PRIVATE LIMITED"/>
    <s v="2025"/>
    <s v="3"/>
    <n v="45734"/>
    <n v="1800000093"/>
    <s v="DR"/>
    <n v="45734"/>
    <n v="45735"/>
    <n v="246788410091"/>
    <s v="212100"/>
    <s v="USD"/>
    <n v="31.2"/>
    <s v="INR"/>
    <n v="2704.77"/>
    <s v="6788224500"/>
    <s v=""/>
    <s v="NA"/>
    <s v="Outbound Handling charges for Oct 2024"/>
    <x v="4"/>
  </r>
  <r>
    <s v="ONNSYNEX VENTURES PRIVATE LIMITED"/>
    <s v="2025"/>
    <s v="3"/>
    <n v="45734"/>
    <n v="1800000094"/>
    <s v="DR"/>
    <n v="45734"/>
    <n v="45735"/>
    <n v="246788410092"/>
    <s v="212100"/>
    <s v="USD"/>
    <n v="1.9"/>
    <s v="INR"/>
    <n v="164.71"/>
    <s v="6788224500"/>
    <s v=""/>
    <s v="NA"/>
    <s v="Loose handling Charges for Oct 2024"/>
    <x v="4"/>
  </r>
  <r>
    <s v="ONNSYNEX VENTURES PRIVATE LIMITED"/>
    <s v="2025"/>
    <s v="3"/>
    <n v="45734"/>
    <n v="1800000098"/>
    <s v="DR"/>
    <n v="45734"/>
    <n v="45735"/>
    <n v="246788410093"/>
    <s v="212100"/>
    <s v="USD"/>
    <n v="14"/>
    <s v="INR"/>
    <n v="1213.68"/>
    <s v="6788224500"/>
    <s v=""/>
    <s v="NA"/>
    <s v="Outbound Handling charges for Dec 2024"/>
    <x v="4"/>
  </r>
  <r>
    <s v="ONNSYNEX VENTURES PRIVATE LIMITED"/>
    <s v="2025"/>
    <s v="3"/>
    <n v="45735"/>
    <n v="1800000103"/>
    <s v="DR"/>
    <n v="45735"/>
    <n v="45735"/>
    <n v="246788410097"/>
    <s v="212100"/>
    <s v="USD"/>
    <n v="12"/>
    <s v="INR"/>
    <n v="1040.3"/>
    <s v="6788224500"/>
    <s v=""/>
    <s v="NA"/>
    <s v="Inbound Handling charges for Sep 2024"/>
    <x v="4"/>
  </r>
  <r>
    <s v="ONNSYNEX VENTURES PRIVATE LIMITED"/>
    <s v="2025"/>
    <s v="3"/>
    <n v="45735"/>
    <n v="1800000104"/>
    <s v="DR"/>
    <n v="45735"/>
    <n v="45735"/>
    <n v="246788410098"/>
    <s v="212100"/>
    <s v="USD"/>
    <n v="5.2"/>
    <s v="INR"/>
    <n v="450.79"/>
    <s v="6788224500"/>
    <s v=""/>
    <s v="NA"/>
    <s v="LCL charges for Sep 2024"/>
    <x v="9"/>
  </r>
  <r>
    <s v="ONNSYNEX VENTURES PRIVATE LIMITED"/>
    <s v="2025"/>
    <s v="3"/>
    <n v="45735"/>
    <n v="1800000107"/>
    <s v="DR"/>
    <n v="45735"/>
    <n v="45735"/>
    <n v="246788410101"/>
    <s v="212100"/>
    <s v="USD"/>
    <n v="1.1200000000000001"/>
    <s v="INR"/>
    <n v="97.09"/>
    <s v="6788224500"/>
    <s v=""/>
    <s v="NA"/>
    <s v="Loose handling Charges for Oct 2024"/>
    <x v="4"/>
  </r>
  <r>
    <s v="ONNSYNEX VENTURES PRIVATE LIMITED"/>
    <s v="2025"/>
    <s v="3"/>
    <n v="45735"/>
    <n v="1800000108"/>
    <s v="DR"/>
    <n v="45735"/>
    <n v="45735"/>
    <n v="246788410102"/>
    <s v="212100"/>
    <s v="USD"/>
    <n v="56"/>
    <s v="INR"/>
    <n v="4854.71"/>
    <s v="6788224500"/>
    <s v=""/>
    <s v="NA"/>
    <s v="Inbound Handling charges for Oct 2024"/>
    <x v="4"/>
  </r>
  <r>
    <s v="ONNSYNEX VENTURES PRIVATE LIMITED"/>
    <s v="2025"/>
    <s v="3"/>
    <n v="45735"/>
    <n v="1800000109"/>
    <s v="DR"/>
    <n v="45735"/>
    <n v="45735"/>
    <n v="246788410103"/>
    <s v="212100"/>
    <s v="USD"/>
    <n v="24"/>
    <s v="INR"/>
    <n v="2080.59"/>
    <s v="6788224500"/>
    <s v=""/>
    <s v="NA"/>
    <s v="LCL Movement Charges for Oct 2024"/>
    <x v="9"/>
  </r>
  <r>
    <s v="ONNSYNEX VENTURES PRIVATE LIMITED"/>
    <s v="2025"/>
    <s v="3"/>
    <n v="45735"/>
    <n v="1800000112"/>
    <s v="DR"/>
    <n v="45735"/>
    <n v="45735"/>
    <n v="246788410106"/>
    <s v="212100"/>
    <s v="USD"/>
    <n v="24"/>
    <s v="INR"/>
    <n v="2080.59"/>
    <s v="6788224500"/>
    <s v=""/>
    <s v="NA"/>
    <s v="LCL Movement Charges for Nov 2024"/>
    <x v="9"/>
  </r>
  <r>
    <s v="ONNSYNEX VENTURES PRIVATE LIMITED"/>
    <s v="2025"/>
    <s v="3"/>
    <n v="45735"/>
    <n v="1800000113"/>
    <s v="DR"/>
    <n v="45735"/>
    <n v="45735"/>
    <n v="246788410107"/>
    <s v="212100"/>
    <s v="USD"/>
    <n v="68.22"/>
    <s v="INR"/>
    <n v="5914.08"/>
    <s v="6788224500"/>
    <s v=""/>
    <s v="NA"/>
    <s v="Inbound Handling charges for Nov 2024"/>
    <x v="4"/>
  </r>
  <r>
    <s v="ONNSYNEX VENTURES PRIVATE LIMITED"/>
    <s v="2025"/>
    <s v="3"/>
    <n v="45735"/>
    <n v="1800000114"/>
    <s v="DR"/>
    <n v="45735"/>
    <n v="45735"/>
    <n v="246788410108"/>
    <s v="212100"/>
    <s v="USD"/>
    <n v="0.5"/>
    <s v="INR"/>
    <n v="43.35"/>
    <s v="6788224500"/>
    <s v=""/>
    <s v="NA"/>
    <s v="Loose handling Charges for Nov 2024"/>
    <x v="4"/>
  </r>
  <r>
    <s v="ONNSYNEX VENTURES PRIVATE LIMITED"/>
    <s v="2025"/>
    <s v="3"/>
    <n v="45735"/>
    <n v="1800000115"/>
    <s v="DR"/>
    <n v="45735"/>
    <n v="45735"/>
    <n v="246788410109"/>
    <s v="212100"/>
    <s v="USD"/>
    <n v="2342.8000000000002"/>
    <s v="INR"/>
    <n v="203100.28"/>
    <s v="6788224500"/>
    <s v=""/>
    <s v="NA"/>
    <s v="Inbound Handling charges for Dec 2024"/>
    <x v="4"/>
  </r>
  <r>
    <s v="ONNSYNEX VENTURES PRIVATE LIMITED"/>
    <s v="2025"/>
    <s v="3"/>
    <n v="45735"/>
    <n v="1800000116"/>
    <s v="DR"/>
    <n v="45735"/>
    <n v="45735"/>
    <n v="246788410110"/>
    <s v="212100"/>
    <s v="USD"/>
    <n v="456"/>
    <s v="INR"/>
    <n v="39531.21"/>
    <s v="6788224500"/>
    <s v=""/>
    <s v="NA"/>
    <s v="LCL Movement Charges for Dec 2024"/>
    <x v="9"/>
  </r>
  <r>
    <s v="ONNSYNEX VENTURES PRIVATE LIMITED"/>
    <s v="2025"/>
    <s v="3"/>
    <n v="45735"/>
    <n v="1800000117"/>
    <s v="DR"/>
    <n v="45735"/>
    <n v="45735"/>
    <n v="246788410111"/>
    <s v="212100"/>
    <s v="USD"/>
    <n v="14"/>
    <s v="INR"/>
    <n v="1213.68"/>
    <s v="6788224500"/>
    <s v=""/>
    <s v="NA"/>
    <s v="Inbound Handling charges for Jan 2025"/>
    <x v="4"/>
  </r>
  <r>
    <s v="ONNSYNEX VENTURES PRIVATE LIMITED"/>
    <s v="2025"/>
    <s v="3"/>
    <n v="45735"/>
    <n v="1800000118"/>
    <s v="DR"/>
    <n v="45735"/>
    <n v="45735"/>
    <n v="246788410112"/>
    <s v="212100"/>
    <s v="USD"/>
    <n v="1"/>
    <s v="INR"/>
    <n v="86.69"/>
    <s v="6788224500"/>
    <s v=""/>
    <s v="NA"/>
    <s v="Loose handling Charges for Dec 2024"/>
    <x v="4"/>
  </r>
  <r>
    <s v="ONNSYNEX VENTURES PRIVATE LIMITED"/>
    <s v="2025"/>
    <s v="3"/>
    <n v="45735"/>
    <n v="1800000120"/>
    <s v="DR"/>
    <d v="2025-03-19T00:00:00"/>
    <n v="45735"/>
    <n v="246788410114"/>
    <s v="212100"/>
    <s v="USD"/>
    <n v="52.7"/>
    <s v="INR"/>
    <n v="4568.63"/>
    <s v="6788224500"/>
    <s v=""/>
    <s v="NA"/>
    <s v="Port SSR Charges - Shifting for Aug to Dec,24. Exc"/>
    <x v="8"/>
  </r>
  <r>
    <s v="ONNSYNEX VENTURES PRIVATE LIMITED"/>
    <s v="2025"/>
    <s v="3"/>
    <n v="45735"/>
    <n v="1800000121"/>
    <s v="DR"/>
    <n v="45735"/>
    <n v="45735"/>
    <n v="246788410115"/>
    <s v="212100"/>
    <s v="USD"/>
    <n v="2293.63"/>
    <s v="INR"/>
    <n v="198837.67"/>
    <s v="6788224500"/>
    <s v=""/>
    <s v="NA"/>
    <s v="Ground Rent Jan 25 Exch Rate 86.64"/>
    <x v="2"/>
  </r>
  <r>
    <s v="ONNSYNEX VENTURES PRIVATE LIMITED"/>
    <s v="2025"/>
    <s v="3"/>
    <n v="45735"/>
    <n v="1800000122"/>
    <s v="DR"/>
    <n v="45735"/>
    <n v="45735"/>
    <n v="246788410116"/>
    <s v="212100"/>
    <s v="USD"/>
    <n v="2273.6799999999998"/>
    <s v="INR"/>
    <n v="197108.18"/>
    <s v="6788224500"/>
    <s v=""/>
    <s v="NA"/>
    <s v="Ground Rent Feb 25 Exch Rate 87.40"/>
    <x v="2"/>
  </r>
  <r>
    <s v="ONNSYNEX VENTURES PRIVATE LIMITED"/>
    <s v="2025"/>
    <s v="3"/>
    <n v="45735"/>
    <n v="1800000123"/>
    <s v="DR"/>
    <n v="45735"/>
    <n v="45735"/>
    <n v="246788410117"/>
    <s v="212100"/>
    <s v="USD"/>
    <n v="66.73"/>
    <s v="INR"/>
    <n v="5784.91"/>
    <s v="6788224500"/>
    <s v=""/>
    <s v="NA"/>
    <s v="Ground Rent Jan 1-15 Exch Rate 85.62"/>
    <x v="2"/>
  </r>
  <r>
    <s v="ONNSYNEX VENTURES PRIVATE LIMITED"/>
    <s v="2025"/>
    <s v="3"/>
    <n v="45735"/>
    <n v="1800000124"/>
    <s v="DR"/>
    <n v="45735"/>
    <n v="45735"/>
    <n v="246788410118"/>
    <s v="212100"/>
    <s v="USD"/>
    <n v="149.72999999999999"/>
    <s v="INR"/>
    <n v="12980.28"/>
    <s v="6788224500"/>
    <s v=""/>
    <s v="NA"/>
    <s v="Ground Rent Jan 16-31 Exch Rate 85.62"/>
    <x v="2"/>
  </r>
  <r>
    <s v="ONNSYNEX VENTURES PRIVATE LIMITED"/>
    <s v="2025"/>
    <s v="3"/>
    <n v="45735"/>
    <n v="1800000125"/>
    <s v="DR"/>
    <n v="45735"/>
    <n v="45735"/>
    <n v="246788410119"/>
    <s v="212100"/>
    <s v="USD"/>
    <n v="102.97"/>
    <s v="INR"/>
    <n v="8926.6"/>
    <s v="6788224500"/>
    <s v=""/>
    <s v="NA"/>
    <s v="Detention Charges for FEB 2025 Exch. Rate 87.40"/>
    <x v="11"/>
  </r>
  <r>
    <s v="ONNSYNEX VENTURES PRIVATE LIMITED"/>
    <s v="2025"/>
    <s v="9"/>
    <n v="45924"/>
    <n v="1800000516"/>
    <s v="DR"/>
    <n v="45924"/>
    <n v="45926"/>
    <n v="256788410391"/>
    <s v="212100"/>
    <s v="USD"/>
    <n v="9"/>
    <s v="INR"/>
    <n v="774.01"/>
    <s v="6788224500"/>
    <s v=""/>
    <s v="2105240"/>
    <s v="Outbound chgs - 01 - 15 JUL 25"/>
    <x v="4"/>
  </r>
  <r>
    <s v="ONNSYNEX VENTURES PRIVATE LIMITED"/>
    <s v="2025"/>
    <s v="11"/>
    <n v="45981"/>
    <n v="1800000595"/>
    <s v="DR"/>
    <n v="45981"/>
    <n v="45982"/>
    <n v="256788410460"/>
    <s v="212100"/>
    <s v="USD"/>
    <n v="78.319999999999993"/>
    <s v="INR"/>
    <n v="6892.43"/>
    <s v="6788224500"/>
    <s v=""/>
    <s v="2130553"/>
    <s v="VAS-Nov 1-15, 2025"/>
    <x v="3"/>
  </r>
  <r>
    <s v="ONNSYNEX VENTURES PRIVATE LIMITED"/>
    <s v="2025"/>
    <s v="11"/>
    <n v="45981"/>
    <n v="1800000597"/>
    <s v="DR"/>
    <n v="45981"/>
    <n v="45982"/>
    <n v="256788410462"/>
    <s v="212100"/>
    <s v="USD"/>
    <n v="13.52"/>
    <s v="INR"/>
    <n v="1189.81"/>
    <s v="6788224500"/>
    <s v=""/>
    <s v="2130553"/>
    <s v="Weighment-Nov 1-15, 2025"/>
    <x v="6"/>
  </r>
  <r>
    <s v="ONNSYNEX VENTURES PRIVATE LIMITED"/>
    <s v="2025"/>
    <s v="4"/>
    <n v="45769"/>
    <n v="1800007591"/>
    <s v="DR"/>
    <n v="45769"/>
    <n v="45770"/>
    <n v="256779412482"/>
    <s v="212100"/>
    <s v="USD"/>
    <n v="94.08"/>
    <s v="INR"/>
    <n v="8177.6"/>
    <s v="6779224500"/>
    <s v=""/>
    <s v="NA"/>
    <s v="Inbound Handling charges for Feb 2025"/>
    <x v="4"/>
  </r>
  <r>
    <s v="ONNSYNEX VENTURES PRIVATE LIMITED"/>
    <s v="2025"/>
    <s v="4"/>
    <n v="45769"/>
    <n v="1800007607"/>
    <s v="DR"/>
    <n v="45769"/>
    <n v="45770"/>
    <n v="256779412498"/>
    <s v="212100"/>
    <s v="USD"/>
    <n v="25.32"/>
    <s v="INR"/>
    <n v="2200.86"/>
    <s v="6779224500"/>
    <s v=""/>
    <s v="NA"/>
    <s v="Inbound Handling charges for Feb 2025"/>
    <x v="4"/>
  </r>
  <r>
    <s v="ONNSYNEX VENTURES PRIVATE LIMITED"/>
    <s v="2025"/>
    <s v="4"/>
    <n v="45769"/>
    <n v="1800000190"/>
    <s v="DR"/>
    <n v="45769"/>
    <n v="45771"/>
    <n v="256788410065"/>
    <s v="212100"/>
    <s v="USD"/>
    <n v="24.38"/>
    <s v="INR"/>
    <n v="2119.15"/>
    <s v="6788224500"/>
    <s v=""/>
    <s v="NA"/>
    <s v="Inbound Handling Charges Aug 2024"/>
    <x v="4"/>
  </r>
  <r>
    <s v="ONNSYNEX VENTURES PRIVATE LIMITED"/>
    <s v="2025"/>
    <s v="4"/>
    <n v="45769"/>
    <n v="1800000287"/>
    <s v="DR"/>
    <n v="45769"/>
    <n v="45771"/>
    <n v="256788410162"/>
    <s v="212100"/>
    <s v="USD"/>
    <n v="5.46"/>
    <s v="INR"/>
    <n v="474.59"/>
    <s v="6788224500"/>
    <s v=""/>
    <s v="NA"/>
    <s v="Outbound Handling Charges Aug 24"/>
    <x v="4"/>
  </r>
  <r>
    <s v="ONNSYNEX VENTURES PRIVATE LIMITED"/>
    <s v="2025"/>
    <s v="4"/>
    <n v="45769"/>
    <n v="1800000288"/>
    <s v="DR"/>
    <n v="45769"/>
    <n v="45771"/>
    <n v="256788410163"/>
    <s v="212100"/>
    <s v="USD"/>
    <n v="3.5"/>
    <s v="INR"/>
    <n v="304.23"/>
    <s v="6788224500"/>
    <s v=""/>
    <s v="NA"/>
    <s v="Outbound Handling Charges Aug 24"/>
    <x v="4"/>
  </r>
  <r>
    <s v="ONNSYNEX VENTURES PRIVATE LIMITED"/>
    <s v="2025"/>
    <s v="4"/>
    <n v="45769"/>
    <n v="1800000289"/>
    <s v="DR"/>
    <n v="45769"/>
    <n v="45771"/>
    <n v="256788410164"/>
    <s v="212100"/>
    <s v="USD"/>
    <n v="5.6"/>
    <s v="INR"/>
    <n v="486.76"/>
    <s v="6788224500"/>
    <s v=""/>
    <s v="NA"/>
    <s v="Outbound Handling Charges Aug 24"/>
    <x v="4"/>
  </r>
  <r>
    <s v="ONNSYNEX VENTURES PRIVATE LIMITED"/>
    <s v="2025"/>
    <s v="4"/>
    <n v="45769"/>
    <n v="1800000290"/>
    <s v="DR"/>
    <n v="45769"/>
    <n v="45771"/>
    <n v="256788410165"/>
    <s v="212100"/>
    <s v="USD"/>
    <n v="5.6"/>
    <s v="INR"/>
    <n v="486.76"/>
    <s v="6788224500"/>
    <s v=""/>
    <s v="NA"/>
    <s v="Outbound Handling Charges Aug 24"/>
    <x v="4"/>
  </r>
  <r>
    <s v="ONNSYNEX VENTURES PRIVATE LIMITED"/>
    <s v="2025"/>
    <s v="4"/>
    <n v="45769"/>
    <n v="1800000291"/>
    <s v="DR"/>
    <n v="45769"/>
    <n v="45771"/>
    <n v="256788410166"/>
    <s v="212100"/>
    <s v="USD"/>
    <n v="11.6"/>
    <s v="INR"/>
    <n v="1008.29"/>
    <s v="6788224500"/>
    <s v=""/>
    <s v="NA"/>
    <s v="Outbound Handling Charges Aug 24"/>
    <x v="4"/>
  </r>
  <r>
    <s v="ONNSYNEX VENTURES PRIVATE LIMITED"/>
    <s v="2025"/>
    <s v="4"/>
    <n v="45769"/>
    <n v="1800000328"/>
    <s v="DR"/>
    <n v="45769"/>
    <n v="45771"/>
    <n v="256788410203"/>
    <s v="212100"/>
    <s v="USD"/>
    <n v="80.67"/>
    <s v="INR"/>
    <n v="7011.98"/>
    <s v="6788224500"/>
    <s v=""/>
    <s v="NA"/>
    <s v="Inbound Handling charges for 31 Mar 2025"/>
    <x v="4"/>
  </r>
  <r>
    <s v="ONNSYNEX VENTURES PRIVATE LIMITED"/>
    <s v="2025"/>
    <s v="4"/>
    <n v="45769"/>
    <n v="1800000330"/>
    <s v="DR"/>
    <n v="45769"/>
    <n v="45771"/>
    <n v="256788410205"/>
    <s v="212100"/>
    <s v="USD"/>
    <n v="99.12"/>
    <s v="INR"/>
    <n v="8615.69"/>
    <s v="6788224500"/>
    <s v=""/>
    <s v="NA"/>
    <s v="Outbound Handling charges for 31 Mar 2025"/>
    <x v="4"/>
  </r>
  <r>
    <s v="ONNSYNEX VENTURES PRIVATE LIMITED"/>
    <s v="2025"/>
    <s v="4"/>
    <n v="45769"/>
    <n v="1800000331"/>
    <s v="DR"/>
    <n v="45769"/>
    <n v="45771"/>
    <n v="256788410206"/>
    <s v="212100"/>
    <s v="USD"/>
    <n v="10803.4"/>
    <s v="INR"/>
    <n v="939051.19"/>
    <s v="6788224500"/>
    <s v=""/>
    <s v="NA"/>
    <s v="Storage Charges March, 25"/>
    <x v="1"/>
  </r>
  <r>
    <s v="ONNSYNEX VENTURES PRIVATE LIMITED"/>
    <s v="2025"/>
    <s v="9"/>
    <n v="45918"/>
    <n v="1800000498"/>
    <s v="DR"/>
    <n v="45918"/>
    <n v="45922"/>
    <n v="256788410373"/>
    <s v="212100"/>
    <s v="USD"/>
    <n v="472"/>
    <s v="INR"/>
    <n v="41306.76"/>
    <s v="6788224500"/>
    <s v=""/>
    <s v="2102481"/>
    <s v="Transportation IN chgs - 01 - 15 SEP 25"/>
    <x v="0"/>
  </r>
  <r>
    <s v="ONNSYNEX VENTURES PRIVATE LIMITED"/>
    <s v="2025"/>
    <s v="9"/>
    <n v="45918"/>
    <n v="1800000500"/>
    <s v="DR"/>
    <n v="45918"/>
    <n v="45922"/>
    <n v="256788410375"/>
    <s v="212100"/>
    <s v="USD"/>
    <n v="200"/>
    <s v="INR"/>
    <n v="17502.87"/>
    <s v="6788224500"/>
    <s v=""/>
    <s v="2102481"/>
    <s v="Transportation IN chgs - 01 - 15 SEP 25"/>
    <x v="0"/>
  </r>
  <r>
    <s v="ONNSYNEX VENTURES PRIVATE LIMITED"/>
    <s v="2025"/>
    <s v="9"/>
    <n v="45918"/>
    <n v="1800000501"/>
    <s v="DR"/>
    <n v="45918"/>
    <n v="45922"/>
    <n v="256788410376"/>
    <s v="212100"/>
    <s v="USD"/>
    <n v="1125.6400000000001"/>
    <s v="INR"/>
    <n v="98509.63"/>
    <s v="6788224500"/>
    <s v=""/>
    <s v="2102475"/>
    <s v="CY Ground rent Chgs - 01 - 15 Sep 25"/>
    <x v="2"/>
  </r>
  <r>
    <s v="ONNSYNEX VENTURES PRIVATE LIMITED"/>
    <s v="2025"/>
    <s v="9"/>
    <n v="45918"/>
    <n v="1800000503"/>
    <s v="DR"/>
    <n v="45918"/>
    <n v="45922"/>
    <n v="256788410378"/>
    <s v="212100"/>
    <s v="USD"/>
    <n v="46"/>
    <s v="INR"/>
    <n v="4025.66"/>
    <s v="6788224500"/>
    <s v=""/>
    <s v="2102482"/>
    <s v="Transportation Out chgs - 01 - 15 SEP 25"/>
    <x v="0"/>
  </r>
  <r>
    <s v="ONNSYNEX VENTURES PRIVATE LIMITED"/>
    <s v="2025"/>
    <s v="12"/>
    <n v="45996"/>
    <n v="1800000601"/>
    <s v="DR"/>
    <n v="45996"/>
    <n v="46000"/>
    <n v="256788410474"/>
    <s v="212100"/>
    <s v="USD"/>
    <n v="238"/>
    <s v="INR"/>
    <n v="21110.63"/>
    <s v="6788224500"/>
    <s v=""/>
    <s v="2140085"/>
    <s v="Transportation chgs - 16 -30 NOV 25"/>
    <x v="0"/>
  </r>
  <r>
    <s v="ONNSYNEX VENTURES PRIVATE LIMITED"/>
    <s v="2025"/>
    <s v="12"/>
    <n v="45996"/>
    <n v="1800000602"/>
    <s v="DR"/>
    <n v="45996"/>
    <n v="46000"/>
    <n v="256788410475"/>
    <s v="212100"/>
    <s v="USD"/>
    <n v="40"/>
    <s v="INR"/>
    <n v="3548.01"/>
    <s v="6788224500"/>
    <s v=""/>
    <s v="2140085"/>
    <s v="Sacnning chgs - 16 -30 NOV 25"/>
    <x v="10"/>
  </r>
  <r>
    <s v="ONNSYNEX VENTURES PRIVATE LIMITED"/>
    <s v="2025"/>
    <s v="12"/>
    <n v="45996"/>
    <n v="1800000603"/>
    <s v="DR"/>
    <n v="45996"/>
    <n v="46000"/>
    <n v="256788410476"/>
    <s v="212100"/>
    <s v="USD"/>
    <n v="200"/>
    <s v="INR"/>
    <n v="17740.03"/>
    <s v="6788224500"/>
    <s v=""/>
    <s v="2140085"/>
    <s v="Transportation chgs - 16 -30 NOV 25"/>
    <x v="0"/>
  </r>
  <r>
    <s v="ONNSYNEX VENTURES PRIVATE LIMITED"/>
    <s v="2025"/>
    <s v="12"/>
    <n v="45996"/>
    <n v="1800000604"/>
    <s v="DR"/>
    <n v="45996"/>
    <n v="46000"/>
    <n v="256788410477"/>
    <s v="212100"/>
    <s v="USD"/>
    <n v="6.6"/>
    <s v="INR"/>
    <n v="585.41999999999996"/>
    <s v="6788224500"/>
    <s v=""/>
    <s v="2140085"/>
    <s v="Empty Lolo chgs - 16 -30 NOV 25"/>
    <x v="7"/>
  </r>
  <r>
    <s v="ONNSYNEX VENTURES PRIVATE LIMITED"/>
    <s v="2025"/>
    <s v="12"/>
    <n v="45996"/>
    <n v="1800000606"/>
    <s v="DR"/>
    <n v="45996"/>
    <n v="46000"/>
    <n v="256788410479"/>
    <s v="212100"/>
    <s v="USD"/>
    <n v="250.24"/>
    <s v="INR"/>
    <n v="22196.32"/>
    <s v="6788224500"/>
    <s v=""/>
    <s v="2140089"/>
    <s v="Outbound chgs - 16 -30 NOV 25"/>
    <x v="4"/>
  </r>
  <r>
    <s v="ONNSYNEX VENTURES PRIVATE LIMITED"/>
    <s v="2025"/>
    <s v="2"/>
    <n v="45709"/>
    <n v="1800000041"/>
    <s v="DR"/>
    <n v="45709"/>
    <n v="45713"/>
    <n v="246788410024"/>
    <s v="212100"/>
    <s v="USD"/>
    <n v="3980.4"/>
    <s v="INR"/>
    <n v="343523.09"/>
    <s v="6788224500"/>
    <s v=""/>
    <s v="NA"/>
    <s v="CY Longstanding Ground Rent charges for Aug 2024"/>
    <x v="2"/>
  </r>
  <r>
    <s v="ONNSYNEX VENTURES PRIVATE LIMITED"/>
    <s v="2025"/>
    <s v="10"/>
    <n v="45937"/>
    <n v="1800000554"/>
    <s v="DR"/>
    <n v="45937"/>
    <n v="45939"/>
    <n v="256788410429"/>
    <s v="212100"/>
    <s v="USD"/>
    <n v="2.25"/>
    <s v="INR"/>
    <n v="198.43"/>
    <s v="6788224500"/>
    <s v=""/>
    <s v="2110800"/>
    <s v="VAS-16-30 Sept 25"/>
    <x v="3"/>
  </r>
  <r>
    <s v="ONNSYNEX VENTURES PRIVATE LIMITED"/>
    <s v="2025"/>
    <s v="10"/>
    <n v="45937"/>
    <n v="1800000555"/>
    <s v="DR"/>
    <n v="45937"/>
    <n v="45940"/>
    <n v="256788410430"/>
    <s v="212100"/>
    <s v="USD"/>
    <n v="2"/>
    <s v="INR"/>
    <n v="176.38"/>
    <s v="6788224500"/>
    <s v=""/>
    <s v="2110862"/>
    <s v="CODC Out chgs -16-30 Sep 25"/>
    <x v="5"/>
  </r>
  <r>
    <s v="ONNSYNEX VENTURES PRIVATE LIMITED"/>
    <s v="2025"/>
    <s v="7"/>
    <n v="45857"/>
    <n v="1800000388"/>
    <s v="DR"/>
    <n v="45857"/>
    <n v="45863"/>
    <n v="256788410264"/>
    <s v="212100"/>
    <s v="USD"/>
    <n v="4.6399999999999997"/>
    <s v="INR"/>
    <n v="399.04"/>
    <s v="6788224500"/>
    <s v=""/>
    <s v="NA"/>
    <s v="VAS - 1-15 July 25"/>
    <x v="3"/>
  </r>
  <r>
    <s v="ONNSYNEX VENTURES PRIVATE LIMITED"/>
    <s v="2025"/>
    <s v="5"/>
    <n v="45787"/>
    <n v="1800008358"/>
    <s v="DR"/>
    <n v="45787"/>
    <n v="45792"/>
    <n v="256779413241"/>
    <s v="212100"/>
    <s v="USD"/>
    <n v="1054.79"/>
    <s v="INR"/>
    <n v="90694.75"/>
    <s v="6779224500"/>
    <s v=""/>
    <s v="NA"/>
    <s v="VAS - 16-30 April 25, Ex.Rate-85.05"/>
    <x v="3"/>
  </r>
  <r>
    <s v="ONNSYNEX VENTURES PRIVATE LIMITED"/>
    <s v="2025"/>
    <s v="5"/>
    <n v="45787"/>
    <n v="1800000332"/>
    <s v="DR"/>
    <n v="45787"/>
    <n v="45800"/>
    <n v="256788410207"/>
    <s v="212100"/>
    <s v="USD"/>
    <n v="96.66"/>
    <s v="INR"/>
    <n v="8311.18"/>
    <s v="6788224500"/>
    <s v=""/>
    <s v="NA"/>
    <s v="CODC LCL Chgs - 16 - 30 Apr 25"/>
    <x v="9"/>
  </r>
  <r>
    <s v="ONNSYNEX VENTURES PRIVATE LIMITED"/>
    <s v="2025"/>
    <s v="5"/>
    <n v="45787"/>
    <n v="1800000333"/>
    <s v="DR"/>
    <n v="45787"/>
    <n v="45800"/>
    <n v="256788410208"/>
    <s v="212100"/>
    <s v="USD"/>
    <n v="75"/>
    <s v="INR"/>
    <n v="6448.78"/>
    <s v="6788224500"/>
    <s v=""/>
    <s v="NA"/>
    <s v="Fixed Storage Charges fo MAY 2025"/>
    <x v="1"/>
  </r>
  <r>
    <s v="ONNSYNEX VENTURES PRIVATE LIMITED"/>
    <s v="2025"/>
    <s v="5"/>
    <n v="45787"/>
    <n v="1800000340"/>
    <s v="DR"/>
    <n v="45787"/>
    <n v="45800"/>
    <n v="256788410215"/>
    <s v="212100"/>
    <s v="USD"/>
    <n v="2336.5100000000002"/>
    <s v="INR"/>
    <n v="200901.77"/>
    <s v="6788224500"/>
    <s v=""/>
    <s v="NA"/>
    <s v="CY Ground rent Chgs - 01 - 30 Apr 25"/>
    <x v="2"/>
  </r>
  <r>
    <s v="ONNSYNEX VENTURES PRIVATE LIMITED"/>
    <s v="2025"/>
    <s v="10"/>
    <n v="45948"/>
    <n v="1800000561"/>
    <s v="DR"/>
    <n v="45948"/>
    <n v="45951"/>
    <n v="256788410432"/>
    <s v="212100"/>
    <s v="USD"/>
    <n v="393.41"/>
    <s v="INR"/>
    <n v="34695.129999999997"/>
    <s v="6788224500"/>
    <s v=""/>
    <s v="2114863"/>
    <s v="VAS  -1-15 Oct 2025"/>
    <x v="3"/>
  </r>
  <r>
    <s v="ONNSYNEX VENTURES PRIVATE LIMITED"/>
    <s v="2025"/>
    <s v="10"/>
    <n v="45948"/>
    <n v="1800000562"/>
    <s v="DR"/>
    <n v="45948"/>
    <n v="45951"/>
    <n v="256788410433"/>
    <s v="212100"/>
    <s v="USD"/>
    <n v="20.39"/>
    <s v="INR"/>
    <n v="1798.21"/>
    <s v="6788224500"/>
    <s v=""/>
    <s v="2114863"/>
    <s v="Weighment  -1-15 Oct 2025"/>
    <x v="6"/>
  </r>
  <r>
    <s v="ONNSYNEX VENTURES PRIVATE LIMITED"/>
    <s v="2025"/>
    <s v="6"/>
    <n v="45815"/>
    <n v="1800009486"/>
    <s v="DR"/>
    <n v="45815"/>
    <n v="45817"/>
    <n v="256779414250"/>
    <s v="212100"/>
    <s v="USD"/>
    <n v="10597.07"/>
    <s v="INR"/>
    <n v="905951.78"/>
    <s v="6779224500"/>
    <s v=""/>
    <s v="NA"/>
    <s v="Unit storage -1-31 May 25"/>
    <x v="1"/>
  </r>
  <r>
    <s v="ONNSYNEX VENTURES PRIVATE LIMITED"/>
    <s v="2025"/>
    <s v="10"/>
    <n v="45936"/>
    <n v="1800000552"/>
    <s v="DR"/>
    <n v="45936"/>
    <n v="45937"/>
    <n v="256788410427"/>
    <s v="212100"/>
    <s v="USD"/>
    <n v="11372.78"/>
    <s v="INR"/>
    <n v="1002974.23"/>
    <s v="6788224500"/>
    <s v=""/>
    <s v="2110510"/>
    <s v="Unit-Storage-1-30 Sept 25"/>
    <x v="1"/>
  </r>
  <r>
    <s v="ONNSYNEX VENTURES PRIVATE LIMITED"/>
    <s v="2025"/>
    <s v="10"/>
    <n v="45935"/>
    <n v="1800000536"/>
    <s v="DR"/>
    <n v="45935"/>
    <n v="45937"/>
    <n v="256788410409"/>
    <s v="212100"/>
    <s v="USD"/>
    <n v="1211.9000000000001"/>
    <s v="INR"/>
    <n v="106878.39"/>
    <s v="6788224500"/>
    <s v=""/>
    <s v="2110501"/>
    <s v="Transportation IN chgs - 16 - 30 SEP 25"/>
    <x v="0"/>
  </r>
  <r>
    <s v="ONNSYNEX VENTURES PRIVATE LIMITED"/>
    <s v="2025"/>
    <s v="10"/>
    <n v="45935"/>
    <n v="1800000537"/>
    <s v="DR"/>
    <n v="45935"/>
    <n v="45937"/>
    <n v="256788410410"/>
    <s v="212100"/>
    <s v="USD"/>
    <n v="40"/>
    <s v="INR"/>
    <n v="3527.63"/>
    <s v="6788224500"/>
    <s v=""/>
    <s v="2110501"/>
    <s v="Scanning chgs - 16 - 30 SEP 25"/>
    <x v="10"/>
  </r>
  <r>
    <s v="ONNSYNEX VENTURES PRIVATE LIMITED"/>
    <s v="2025"/>
    <s v="10"/>
    <n v="45935"/>
    <n v="1800000538"/>
    <s v="DR"/>
    <n v="45935"/>
    <n v="45937"/>
    <n v="256788410411"/>
    <s v="212100"/>
    <s v="USD"/>
    <n v="11.26"/>
    <s v="INR"/>
    <n v="993.03"/>
    <s v="6788224500"/>
    <s v=""/>
    <s v="2110501"/>
    <s v="Bond Stamp Paper Chgs 01 - 30 Sep 25"/>
    <x v="12"/>
  </r>
  <r>
    <s v="ONNSYNEX VENTURES PRIVATE LIMITED"/>
    <s v="2025"/>
    <s v="10"/>
    <n v="45935"/>
    <n v="1800000534"/>
    <s v="DR"/>
    <n v="45935"/>
    <n v="45937"/>
    <n v="256788410413"/>
    <s v="212100"/>
    <s v="USD"/>
    <n v="8"/>
    <s v="INR"/>
    <n v="705.53"/>
    <s v="6788224500"/>
    <s v=""/>
    <s v="2110502"/>
    <s v="Outbound chgs - 16 - 30 SEP 25"/>
    <x v="4"/>
  </r>
  <r>
    <s v="ONNSYNEX VENTURES PRIVATE LIMITED"/>
    <s v="2025"/>
    <s v="10"/>
    <n v="45935"/>
    <n v="1800000539"/>
    <s v="DR"/>
    <n v="45935"/>
    <n v="45937"/>
    <n v="256788410414"/>
    <s v="212100"/>
    <s v="USD"/>
    <n v="1119.04"/>
    <s v="INR"/>
    <n v="98689"/>
    <s v="6788224500"/>
    <s v=""/>
    <s v="2110488"/>
    <s v="CY Ground rent Chgs - 16 - 30 Sep 25"/>
    <x v="2"/>
  </r>
  <r>
    <s v="ONNSYNEX VENTURES PRIVATE LIMITED"/>
    <s v="2025"/>
    <s v="10"/>
    <n v="45935"/>
    <n v="1800000540"/>
    <s v="DR"/>
    <n v="45935"/>
    <n v="45937"/>
    <n v="256788410415"/>
    <s v="212100"/>
    <s v="USD"/>
    <n v="47.84"/>
    <s v="INR"/>
    <n v="4219.05"/>
    <s v="6788224500"/>
    <s v=""/>
    <s v="2110494"/>
    <s v="Empty Lolo Chgs Sep 25"/>
    <x v="7"/>
  </r>
  <r>
    <s v="ONNSYNEX VENTURES PRIVATE LIMITED"/>
    <s v="2025"/>
    <s v="10"/>
    <n v="45935"/>
    <n v="1800000545"/>
    <s v="DR"/>
    <n v="45935"/>
    <n v="45937"/>
    <n v="256788410420"/>
    <s v="212100"/>
    <s v="USD"/>
    <n v="75"/>
    <s v="INR"/>
    <n v="6614.31"/>
    <s v="6788224500"/>
    <s v=""/>
    <s v="2110505"/>
    <s v="Fixed Storage Charges for October 2025"/>
    <x v="1"/>
  </r>
  <r>
    <s v="ONNSYNEX VENTURES PRIVATE LIMITED"/>
    <s v="2025"/>
    <s v="10"/>
    <n v="45935"/>
    <n v="1800000556"/>
    <s v="DR"/>
    <n v="45935"/>
    <n v="45940"/>
    <n v="256788410431"/>
    <s v="212100"/>
    <s v="USD"/>
    <n v="250.08"/>
    <s v="INR"/>
    <n v="22054.75"/>
    <s v="6788224500"/>
    <s v=""/>
    <s v="2110980"/>
    <s v="PORT SSR Chgs Sep 25"/>
    <x v="8"/>
  </r>
  <r>
    <s v="ONNSYNEX VENTURES PRIVATE LIMITED"/>
    <s v="2025"/>
    <s v="10"/>
    <n v="45935"/>
    <n v="1800000542"/>
    <s v="DR"/>
    <n v="45935"/>
    <n v="45937"/>
    <n v="256788410417"/>
    <s v="212100"/>
    <s v="USD"/>
    <n v="1211.9000000000001"/>
    <s v="INR"/>
    <n v="106878.39"/>
    <s v="6788224500"/>
    <s v=""/>
    <s v="2110500"/>
    <s v="Transportation IN chgs - 16 - 30 SEP 25"/>
    <x v="0"/>
  </r>
  <r>
    <s v="ONNSYNEX VENTURES PRIVATE LIMITED"/>
    <s v="2025"/>
    <s v="10"/>
    <n v="45935"/>
    <n v="1800000543"/>
    <s v="DR"/>
    <n v="45935"/>
    <n v="45937"/>
    <n v="256788410418"/>
    <s v="212100"/>
    <s v="USD"/>
    <n v="40"/>
    <s v="INR"/>
    <n v="3527.63"/>
    <s v="6788224500"/>
    <s v=""/>
    <s v="2110500"/>
    <s v="Scanning chgs - 16 - 30 SEP 25"/>
    <x v="10"/>
  </r>
  <r>
    <s v="ONNSYNEX VENTURES PRIVATE LIMITED"/>
    <s v="2025"/>
    <s v="10"/>
    <n v="45935"/>
    <n v="1800000544"/>
    <s v="DR"/>
    <n v="45935"/>
    <n v="45937"/>
    <n v="256788410419"/>
    <s v="212100"/>
    <s v="USD"/>
    <n v="11.26"/>
    <s v="INR"/>
    <n v="993.03"/>
    <s v="6788224500"/>
    <s v=""/>
    <s v="2110500"/>
    <s v="Bond Stamp Paper Chgs 01 - 30 Sep 25"/>
    <x v="12"/>
  </r>
  <r>
    <s v="ONNSYNEX VENTURES PRIVATE LIMITED"/>
    <s v="2025"/>
    <s v="9"/>
    <n v="45906"/>
    <n v="1800000478"/>
    <s v="DR"/>
    <n v="45906"/>
    <n v="45909"/>
    <n v="256788410357"/>
    <s v="212100"/>
    <s v="USD"/>
    <n v="11371.82"/>
    <s v="INR"/>
    <n v="995197.21"/>
    <s v="6788224500"/>
    <s v=""/>
    <s v="NA"/>
    <s v="Unit-Storage-1-31 Aug 25"/>
    <x v="1"/>
  </r>
  <r>
    <s v="ONNSYNEX VENTURES PRIVATE LIMITED"/>
    <s v="2026"/>
    <s v="1"/>
    <n v="46027"/>
    <n v="1800000621"/>
    <s v="DR"/>
    <n v="46027"/>
    <n v="46027"/>
    <n v="256788410483"/>
    <s v="212100"/>
    <s v="USD"/>
    <n v="63.04"/>
    <s v="INR"/>
    <n v="5720.45"/>
    <s v="6788224500"/>
    <s v=""/>
    <s v="2150026"/>
    <s v="VAS - NOV 25,16-30"/>
    <x v="3"/>
  </r>
  <r>
    <s v="ONNSYNEX VENTURES PRIVATE LIMITED"/>
    <s v="2026"/>
    <s v="1"/>
    <n v="46027"/>
    <n v="1800000623"/>
    <s v="DR"/>
    <n v="46027"/>
    <n v="46027"/>
    <n v="256788410485"/>
    <s v="212100"/>
    <s v="USD"/>
    <n v="348.86"/>
    <s v="INR"/>
    <n v="31656.65"/>
    <s v="6788224500"/>
    <s v=""/>
    <s v="NA"/>
    <s v="VAS - NOV 25,16-30"/>
    <x v="3"/>
  </r>
  <r>
    <s v="ONNSYNEX VENTURES PRIVATE LIMITED"/>
    <s v="2026"/>
    <s v="1"/>
    <n v="46027"/>
    <n v="1800000619"/>
    <s v="DR"/>
    <n v="46027"/>
    <n v="46027"/>
    <n v="256788410487"/>
    <s v="212100"/>
    <s v="USD"/>
    <n v="52"/>
    <s v="INR"/>
    <n v="4718.6400000000003"/>
    <s v="6788224500"/>
    <s v=""/>
    <s v="2156420"/>
    <s v="Outbound chgs - 01 -15 DEC 25"/>
    <x v="4"/>
  </r>
  <r>
    <s v="ONNSYNEX VENTURES PRIVATE LIMITED"/>
    <s v="2026"/>
    <s v="1"/>
    <n v="46027"/>
    <n v="1800000625"/>
    <s v="DR"/>
    <n v="46027"/>
    <n v="46027"/>
    <n v="256788410490"/>
    <s v="212100"/>
    <s v="USD"/>
    <n v="94"/>
    <s v="INR"/>
    <n v="8529.86"/>
    <s v="6788224500"/>
    <s v=""/>
    <s v="2156418"/>
    <s v="LCL chgs - 01 -15 DEC 25"/>
    <x v="9"/>
  </r>
  <r>
    <s v="ONNSYNEX VENTURES PRIVATE LIMITED"/>
    <s v="2026"/>
    <s v="1"/>
    <n v="46034"/>
    <n v="1800000635"/>
    <s v="DR"/>
    <n v="46034"/>
    <n v="46035"/>
    <n v="256788410492"/>
    <s v="212100"/>
    <s v="USD"/>
    <n v="476"/>
    <s v="INR"/>
    <n v="43193.73"/>
    <s v="6788224500"/>
    <s v=""/>
    <s v="2158405"/>
    <s v="Transportation chgs - 16 -31 DEC 25"/>
    <x v="0"/>
  </r>
  <r>
    <s v="ONNSYNEX VENTURES PRIVATE LIMITED"/>
    <s v="2026"/>
    <s v="1"/>
    <n v="46034"/>
    <n v="1800000638"/>
    <s v="DR"/>
    <n v="46034"/>
    <n v="46035"/>
    <n v="256788410495"/>
    <s v="212100"/>
    <s v="USD"/>
    <n v="49.49"/>
    <s v="INR"/>
    <n v="4490.88"/>
    <s v="6788224500"/>
    <s v=""/>
    <s v="2158405"/>
    <s v="Empty Lolo chgs - 16 -31 DEC 25"/>
    <x v="7"/>
  </r>
  <r>
    <s v="ONNSYNEX VENTURES PRIVATE LIMITED"/>
    <s v="2026"/>
    <s v="1"/>
    <n v="46034"/>
    <n v="1800000641"/>
    <s v="DR"/>
    <n v="46034"/>
    <n v="46035"/>
    <n v="256788410498"/>
    <s v="212100"/>
    <s v="USD"/>
    <n v="181.44"/>
    <s v="INR"/>
    <n v="16464.439999999999"/>
    <s v="6788224500"/>
    <s v=""/>
    <s v="2158405"/>
    <s v="PORT SSR chgs - 16 -31 DEC 25"/>
    <x v="8"/>
  </r>
  <r>
    <s v="ONNSYNEX VENTURES PRIVATE LIMITED"/>
    <s v="2026"/>
    <s v="1"/>
    <n v="46034"/>
    <n v="1800000642"/>
    <s v="DR"/>
    <n v="46034"/>
    <n v="46035"/>
    <n v="256788410499"/>
    <s v="212100"/>
    <s v="USD"/>
    <n v="53"/>
    <s v="INR"/>
    <n v="4809.3900000000003"/>
    <s v="6788224500"/>
    <s v=""/>
    <s v="2158405"/>
    <s v="LCL Gate  chgs - 16 -31 DEC 25"/>
    <x v="9"/>
  </r>
  <r>
    <s v="ONNSYNEX VENTURES PRIVATE LIMITED"/>
    <s v="2026"/>
    <s v="1"/>
    <n v="46028"/>
    <n v="1800016633"/>
    <s v="DR"/>
    <n v="46028"/>
    <n v="46035"/>
    <n v="256779440254"/>
    <s v="212100"/>
    <s v="USD"/>
    <n v="2.0299999999999998"/>
    <s v="INR"/>
    <n v="184.21"/>
    <s v="6779224500"/>
    <s v=""/>
    <s v="NA"/>
    <s v="CODC Out chgs -16-31 DEC 25"/>
    <x v="5"/>
  </r>
  <r>
    <s v="ONNSYNEX VENTURES PRIVATE LIMITED"/>
    <s v="2026"/>
    <s v="1"/>
    <n v="46034"/>
    <n v="1800000647"/>
    <s v="DR"/>
    <n v="46034"/>
    <n v="46035"/>
    <n v="256788410500"/>
    <s v="212100"/>
    <s v="USD"/>
    <n v="32"/>
    <s v="INR"/>
    <n v="2903.78"/>
    <s v="6788224500"/>
    <s v=""/>
    <s v="NA"/>
    <s v="Outbound chgs - 16 -31 DEC 25"/>
    <x v="4"/>
  </r>
  <r>
    <s v="ONNSYNEX VENTURES PRIVATE LIMITED"/>
    <s v="2026"/>
    <s v="1"/>
    <n v="46034"/>
    <n v="1800000626"/>
    <s v="DR"/>
    <n v="46034"/>
    <n v="46035"/>
    <n v="256788410502"/>
    <s v="212100"/>
    <s v="USD"/>
    <n v="3980.5"/>
    <s v="INR"/>
    <n v="361203.07"/>
    <s v="6788224500"/>
    <s v=""/>
    <s v="NA"/>
    <s v="Unit-Storage-1-31 DEC 25"/>
    <x v="1"/>
  </r>
  <r>
    <s v="ONNSYNEX VENTURES PRIVATE LIMITED"/>
    <s v="2026"/>
    <s v="1"/>
    <n v="46028"/>
    <n v="1800000643"/>
    <s v="DR"/>
    <n v="46028"/>
    <n v="46035"/>
    <n v="256788410503"/>
    <s v="212100"/>
    <s v="USD"/>
    <n v="994.98"/>
    <s v="INR"/>
    <n v="90287.61"/>
    <s v="6788224500"/>
    <s v=""/>
    <s v="2158637"/>
    <s v="VAS-Dec 25 - 16-31"/>
    <x v="3"/>
  </r>
  <r>
    <s v="ONNSYNEX VENTURES PRIVATE LIMITED"/>
    <s v="2026"/>
    <s v="1"/>
    <n v="46034"/>
    <n v="1800000627"/>
    <s v="DR"/>
    <n v="46034"/>
    <n v="46035"/>
    <n v="256788410507"/>
    <s v="212100"/>
    <s v="USD"/>
    <n v="75"/>
    <s v="INR"/>
    <n v="6805.74"/>
    <s v="6788224500"/>
    <s v=""/>
    <s v="NA"/>
    <s v="Fixed Storage Charges for January 2026"/>
    <x v="1"/>
  </r>
  <r>
    <s v="ONNSYNEX VENTURES PRIVATE LIMITED"/>
    <s v="2026"/>
    <s v="1"/>
    <n v="46034"/>
    <n v="1800000649"/>
    <s v="DR"/>
    <n v="46034"/>
    <n v="46035"/>
    <n v="256788410514"/>
    <s v="212100"/>
    <s v="USD"/>
    <n v="63.04"/>
    <s v="INR"/>
    <n v="5720.45"/>
    <s v="6788224500"/>
    <s v=""/>
    <s v="NA"/>
    <s v="VAS - NOV 25,16-30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3980.5"/>
    <n v="361203.07"/>
    <s v="6788224500"/>
    <s v="Unit-Storage-1-31 DEC 25"/>
    <x v="0"/>
  </r>
  <r>
    <n v="11371.82"/>
    <n v="995197.21"/>
    <s v="6788224500"/>
    <s v="Unit-Storage-1-31 Aug 25"/>
    <x v="1"/>
  </r>
  <r>
    <n v="841.24"/>
    <n v="72928.160000000003"/>
    <s v="6788224500"/>
    <s v="Storage Charges for the month of November 2024"/>
    <x v="2"/>
  </r>
  <r>
    <n v="4169.66"/>
    <n v="361473.08"/>
    <s v="6788224500"/>
    <s v="Storage Charges for the month of December 2024"/>
    <x v="3"/>
  </r>
  <r>
    <n v="11372.78"/>
    <n v="1002974.23"/>
    <s v="6788224500"/>
    <s v="Unit-Storage-1-30 Sept 25"/>
    <x v="4"/>
  </r>
  <r>
    <n v="4421.13"/>
    <n v="383273.33"/>
    <s v="6788224500"/>
    <s v="Storage Charges for the month of August, 2024"/>
    <x v="5"/>
  </r>
  <r>
    <n v="2730.01"/>
    <n v="236668.01"/>
    <s v="6788224500"/>
    <s v="Storage Charges for the month of September, 2024"/>
    <x v="6"/>
  </r>
  <r>
    <n v="474.24"/>
    <n v="41112.46"/>
    <s v="6788224500"/>
    <s v="Storage Charges for the month of October, 2024"/>
    <x v="7"/>
  </r>
  <r>
    <n v="10597.07"/>
    <n v="905951.78"/>
    <s v="6779224500"/>
    <s v="Unit storage -1-31 May 25"/>
    <x v="8"/>
  </r>
  <r>
    <n v="10803.4"/>
    <n v="939051.19"/>
    <s v="6788224500"/>
    <s v="Storage Charges March, 25"/>
    <x v="9"/>
  </r>
  <r>
    <n v="3385.09"/>
    <n v="300257.96000000002"/>
    <s v="6788224500"/>
    <s v="Unit-Storage-1-30 Nov 25"/>
    <x v="10"/>
  </r>
  <r>
    <n v="9928.89"/>
    <n v="863037.19"/>
    <s v=""/>
    <s v="Storage Charges Feb, 25"/>
    <x v="11"/>
  </r>
  <r>
    <n v="10887.57"/>
    <n v="946367.4"/>
    <s v=""/>
    <s v="Storage Charges Jan, 25"/>
    <x v="12"/>
  </r>
  <r>
    <n v="8006.66"/>
    <n v="704613.22"/>
    <s v="6788224500"/>
    <s v="Unit-Storage-1-31 Oct 25"/>
    <x v="13"/>
  </r>
  <r>
    <n v="10350.540000000001"/>
    <n v="890153.37"/>
    <s v="6788224500"/>
    <s v="Unit Storage - 1-30 June 25"/>
    <x v="14"/>
  </r>
  <r>
    <n v="10364.719999999999"/>
    <n v="891196.98"/>
    <s v="6788224500"/>
    <s v="Storage Chgs - 01 - 31 Apr 25"/>
    <x v="15"/>
  </r>
  <r>
    <n v="11976.87"/>
    <n v="1030371.56"/>
    <s v="6788224500"/>
    <s v="Unit Storage - 1-31 July 25"/>
    <x v="16"/>
  </r>
  <r>
    <n v="443.76"/>
    <n v="38176.730000000003"/>
    <s v="6788224500"/>
    <s v="Unit Storage - 1-30 June 25"/>
    <x v="14"/>
  </r>
  <r>
    <n v="4547.2"/>
    <n v="400169.02"/>
    <s v="6788224500"/>
    <s v="Unit-Storage-1-31 Oct 25"/>
    <x v="13"/>
  </r>
  <r>
    <n v="75"/>
    <n v="6805.74"/>
    <s v="6788224500"/>
    <s v="Fixed Storage Charges for January 2026"/>
    <x v="17"/>
  </r>
  <r>
    <n v="75"/>
    <n v="6614.31"/>
    <s v="6788224500"/>
    <s v="Fixed Storage Charges for October 2025"/>
    <x v="13"/>
  </r>
  <r>
    <n v="75"/>
    <n v="6452.26"/>
    <s v="6788224500"/>
    <s v="Fixed Storage Charges for August 2025"/>
    <x v="1"/>
  </r>
  <r>
    <n v="75"/>
    <n v="6411.81"/>
    <s v="6788224500"/>
    <s v="Fixed Storage Charges fo JUNE 2025"/>
    <x v="14"/>
  </r>
  <r>
    <n v="75"/>
    <n v="6448.78"/>
    <s v="6788224500"/>
    <s v="Fixed Storage Charges fo MAY 2025"/>
    <x v="8"/>
  </r>
  <r>
    <n v="75"/>
    <n v="6501.84"/>
    <s v="6788224500"/>
    <s v="Fixed Rental charges for March 2025"/>
    <x v="9"/>
  </r>
  <r>
    <n v="75"/>
    <n v="6652.51"/>
    <s v="6788224500"/>
    <s v="Fixed Storage Charges for December 2025"/>
    <x v="13"/>
  </r>
  <r>
    <n v="75"/>
    <n v="6450.05"/>
    <s v="6788224500"/>
    <s v="Fixed Rental charges for April 2025"/>
    <x v="15"/>
  </r>
  <r>
    <n v="75"/>
    <n v="6519.14"/>
    <s v=""/>
    <s v="Fixed Rental charges for Jan 2025"/>
    <x v="12"/>
  </r>
  <r>
    <n v="75"/>
    <n v="6519.14"/>
    <s v=""/>
    <s v="Fixed Rental charges for Feb 2025"/>
    <x v="11"/>
  </r>
  <r>
    <n v="75"/>
    <n v="6472.77"/>
    <s v="6788224500"/>
    <s v="Fixed Rental charges for Dec 2024"/>
    <x v="0"/>
  </r>
  <r>
    <n v="75"/>
    <n v="6472.77"/>
    <s v="6788224500"/>
    <s v="Fixed Rental charges for Nov 2024"/>
    <x v="10"/>
  </r>
  <r>
    <n v="75"/>
    <n v="6563.57"/>
    <s v="6788224500"/>
    <s v="Fixed Storage Charges for September 2025"/>
    <x v="4"/>
  </r>
  <r>
    <n v="75"/>
    <n v="6472.77"/>
    <s v="6788224500"/>
    <s v="Fixed Rental charges for Oct 2024"/>
    <x v="7"/>
  </r>
  <r>
    <n v="75"/>
    <n v="6472.77"/>
    <s v="6788224500"/>
    <s v="Fixed Rental charges for Sept 2024"/>
    <x v="6"/>
  </r>
  <r>
    <n v="75"/>
    <n v="6450.05"/>
    <s v="6788224500"/>
    <s v="Fixed Storage Charges fo JULY 2025"/>
    <x v="16"/>
  </r>
  <r>
    <n v="75"/>
    <n v="6472.77"/>
    <s v="6788224500"/>
    <s v="Fixed Rental charges for Aug 2024"/>
    <x v="1"/>
  </r>
  <r>
    <n v="75"/>
    <n v="6472.77"/>
    <s v="6788224500"/>
    <s v="Fixed Rental charges for Jan 2025"/>
    <x v="12"/>
  </r>
  <r>
    <n v="75"/>
    <n v="6472.77"/>
    <s v="6788224500"/>
    <s v="Fixed Rental charges for Feb 2025"/>
    <x v="11"/>
  </r>
  <r>
    <n v="75"/>
    <n v="6600.25"/>
    <s v="6788224500"/>
    <s v="Fixed Storage Charges for November 2025"/>
    <x v="10"/>
  </r>
  <r>
    <n v="75"/>
    <n v="6472.77"/>
    <s v="6788224500"/>
    <s v="Fixed Rental charges for Aug 2024"/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s v="Selected"/>
    <n v="6788"/>
    <n v="100222362"/>
    <s v="ONNSYNEX VENTURES PRIVATE LIMITED"/>
    <s v="2025"/>
    <s v="4"/>
    <d v="2025-04-11T00:00:00"/>
    <n v="1600000012"/>
    <s v="DA"/>
    <x v="0"/>
    <d v="2025-04-11T00:00:00"/>
    <s v=""/>
    <s v=""/>
    <s v="212100"/>
    <s v="Trade Debtors (Ctrl)"/>
    <s v=""/>
    <s v="07"/>
    <s v="INR"/>
    <n v="1"/>
    <s v="INR"/>
    <n v="1"/>
    <s v=""/>
    <s v="6788224500"/>
    <s v=""/>
    <s v=""/>
    <s v="1"/>
    <s v="Overpayment"/>
    <s v=""/>
    <s v=""/>
    <s v=""/>
    <d v="2025-04-11T00:00:00"/>
    <d v="2025-04-11T00:00:00"/>
    <s v="1600000012"/>
  </r>
  <r>
    <s v="Selected"/>
    <n v="6788"/>
    <n v="100222362"/>
    <s v="ONNSYNEX VENTURES PRIVATE LIMITED"/>
    <s v="2025"/>
    <s v="4"/>
    <d v="2025-04-11T00:00:00"/>
    <n v="1600000012"/>
    <s v="DA"/>
    <x v="0"/>
    <d v="2025-04-11T00:00:00"/>
    <s v=""/>
    <s v=""/>
    <s v="212100"/>
    <s v="Trade Debtors (Ctrl)"/>
    <s v=""/>
    <s v="17"/>
    <s v="INR"/>
    <n v="-1"/>
    <s v="INR"/>
    <n v="-1"/>
    <s v=""/>
    <s v="6788224500"/>
    <s v=""/>
    <s v=""/>
    <s v="2"/>
    <s v="Overpayment"/>
    <s v=""/>
    <s v=""/>
    <s v=""/>
    <d v="2025-04-11T00:00:00"/>
    <d v="2025-04-11T00:00:00"/>
    <s v="1600000012"/>
  </r>
  <r>
    <s v="Selected"/>
    <n v="6788"/>
    <n v="100222362"/>
    <s v="ONNSYNEX VENTURES PRIVATE LIMITED"/>
    <s v="2025"/>
    <s v="2"/>
    <d v="2025-02-17T00:00:00"/>
    <n v="1400000001"/>
    <s v="DY"/>
    <x v="1"/>
    <d v="2025-02-19T00:00:00"/>
    <s v="Na"/>
    <s v=""/>
    <s v="212100"/>
    <s v="Trade Debtors (Ctrl)"/>
    <s v=""/>
    <s v="08"/>
    <s v="USD"/>
    <n v="75"/>
    <s v="INR"/>
    <n v="6472.77"/>
    <s v=""/>
    <s v="6788224500"/>
    <s v=""/>
    <s v=""/>
    <s v="1"/>
    <s v=""/>
    <s v=""/>
    <s v=""/>
    <s v=""/>
    <d v="2025-02-17T00:00:00"/>
    <d v="2025-02-19T00:00:00"/>
    <s v="1400000001"/>
  </r>
  <r>
    <s v="Selected"/>
    <n v="6788"/>
    <n v="100222362"/>
    <s v="ONNSYNEX VENTURES PRIVATE LIMITED"/>
    <s v="2025"/>
    <s v="2"/>
    <d v="2025-02-17T00:00:00"/>
    <n v="1400000001"/>
    <s v="DY"/>
    <x v="1"/>
    <d v="2025-02-19T00:00:00"/>
    <s v="Na"/>
    <s v=""/>
    <s v="212100"/>
    <s v="Trade Debtors (Ctrl)"/>
    <s v=""/>
    <s v="15"/>
    <s v="USD"/>
    <n v="-75"/>
    <s v="INR"/>
    <n v="-6472.77"/>
    <s v=""/>
    <s v="6788224500"/>
    <s v=""/>
    <s v=""/>
    <s v="2"/>
    <s v=""/>
    <s v=""/>
    <s v=""/>
    <s v=""/>
    <d v="2025-02-17T00:00:00"/>
    <d v="2025-02-19T00:00:00"/>
    <s v="1400000001"/>
  </r>
  <r>
    <s v="Not Selected"/>
    <n v="6788"/>
    <n v="100222362"/>
    <s v="ONNSYNEX VENTURES PRIVATE LIMITED"/>
    <s v="2025"/>
    <s v="8"/>
    <d v="2025-08-20T00:00:00"/>
    <n v="1400000026"/>
    <s v="DZ"/>
    <x v="2"/>
    <d v="2025-08-20T00:00:00"/>
    <s v="RBINR52025071152142380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08-20T00:00:00"/>
    <m/>
    <s v=""/>
  </r>
  <r>
    <s v="Not Selected"/>
    <n v="6788"/>
    <n v="100222362"/>
    <s v="ONNSYNEX VENTURES PRIVATE LIMITED"/>
    <s v="2025"/>
    <s v="8"/>
    <d v="2025-08-20T00:00:00"/>
    <n v="1400000027"/>
    <s v="DZ"/>
    <x v="2"/>
    <d v="2025-08-20T00:00:00"/>
    <s v="RBINR52025071152144290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08-20T00:00:00"/>
    <m/>
    <s v=""/>
  </r>
  <r>
    <s v="Not Selected"/>
    <n v="6788"/>
    <n v="100222362"/>
    <s v="ONNSYNEX VENTURES PRIVATE LIMITED"/>
    <s v="2025"/>
    <s v="10"/>
    <d v="2025-10-01T00:00:00"/>
    <n v="1400000043"/>
    <s v="DZ"/>
    <x v="3"/>
    <d v="2025-09-25T00:00:00"/>
    <s v="HDFCR52025091059694776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d v="2025-10-01T00:00:00"/>
    <n v="1400000044"/>
    <s v="DZ"/>
    <x v="3"/>
    <d v="2025-09-25T00:00:00"/>
    <s v="HDFCR52025091059714564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d v="2025-10-01T00:00:00"/>
    <n v="1400000045"/>
    <s v="DZ"/>
    <x v="3"/>
    <d v="2025-09-25T00:00:00"/>
    <s v="HDFCR52025091059694771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d v="2025-10-01T00:00:00"/>
    <n v="1400000046"/>
    <s v="DZ"/>
    <x v="3"/>
    <d v="2025-09-25T00:00:00"/>
    <s v="RBINR52025091011436663"/>
    <s v=""/>
    <s v="212100"/>
    <s v="Trade Debtors (Ctrl)"/>
    <s v=""/>
    <s v="15"/>
    <s v="INR"/>
    <n v="-500000"/>
    <s v="INR"/>
    <n v="-500000"/>
    <s v=""/>
    <s v="6788220000"/>
    <s v=""/>
    <s v=""/>
    <s v="2"/>
    <s v=""/>
    <s v=""/>
    <s v=""/>
    <s v=""/>
    <d v="2025-10-01T00:00:00"/>
    <m/>
    <s v=""/>
  </r>
  <r>
    <s v="Not Selected"/>
    <n v="6788"/>
    <n v="100222362"/>
    <s v="ONNSYNEX VENTURES PRIVATE LIMITED"/>
    <s v="2025"/>
    <s v="10"/>
    <d v="2025-10-29T00:00:00"/>
    <n v="1400000055"/>
    <s v="DZ"/>
    <x v="4"/>
    <d v="2025-10-29T00:00:00"/>
    <s v="FDX3H9MYLVYP"/>
    <s v=""/>
    <s v="212100"/>
    <s v="Trade Debtors (Ctrl)"/>
    <s v=""/>
    <s v="15"/>
    <s v="INR"/>
    <n v="-5000000"/>
    <s v="INR"/>
    <n v="-5000000"/>
    <s v=""/>
    <s v="6788220000"/>
    <s v=""/>
    <s v=""/>
    <s v="2"/>
    <s v=""/>
    <s v=""/>
    <s v=""/>
    <s v=""/>
    <d v="2025-10-29T00:00:00"/>
    <m/>
    <s v=""/>
  </r>
  <r>
    <s v="Selected"/>
    <n v="6788"/>
    <n v="100222362"/>
    <s v="ONNSYNEX VENTURES PRIVATE LIMITED"/>
    <s v="2025"/>
    <s v="2"/>
    <d v="2025-02-13T00:00:00"/>
    <n v="7000000036"/>
    <s v="XC"/>
    <x v="5"/>
    <d v="2025-02-13T00:00:00"/>
    <s v="6788ZP25000006"/>
    <s v="6788ZP25000006"/>
    <s v="212100"/>
    <s v="Trade Debtors (Ctrl)"/>
    <s v=""/>
    <s v="11"/>
    <s v="INR"/>
    <n v="-1"/>
    <s v="INR"/>
    <n v="-1"/>
    <s v=""/>
    <s v="6788224500"/>
    <s v=""/>
    <s v="6788ZP25000006"/>
    <s v="1"/>
    <s v="Overpayment"/>
    <s v="100222362"/>
    <s v=""/>
    <s v="100222362"/>
    <d v="2025-02-13T00:00:00"/>
    <d v="2025-04-11T00:00:00"/>
    <s v="1600000012"/>
  </r>
  <r>
    <s v="Selected"/>
    <n v="6788"/>
    <n v="100222362"/>
    <s v="ONNSYNEX VENTURES PRIVATE LIMITED"/>
    <s v="2025"/>
    <s v="3"/>
    <d v="2025-03-28T00:00:00"/>
    <n v="7000000128"/>
    <s v="XC"/>
    <x v="5"/>
    <d v="2025-03-28T00:00:00"/>
    <s v="6788ZR25000006"/>
    <s v="6788ZR25000006"/>
    <s v="212100"/>
    <s v="Trade Debtors (Ctrl)"/>
    <s v=""/>
    <s v="01"/>
    <s v="INR"/>
    <n v="1"/>
    <s v="INR"/>
    <n v="1"/>
    <s v=""/>
    <s v="6788224500"/>
    <s v=""/>
    <s v="6788ZP25000006"/>
    <s v="57"/>
    <s v="Overpayment"/>
    <s v="100222362"/>
    <s v=""/>
    <s v="100222362"/>
    <d v="2025-02-13T00:00:00"/>
    <d v="2025-04-11T00:00:00"/>
    <s v="1600000012"/>
  </r>
  <r>
    <s v="Not Selected"/>
    <n v="6788"/>
    <n v="100222362"/>
    <s v="ONNSYNEX VENTURES PRIVATE LIMITED"/>
    <s v="2025"/>
    <s v="4"/>
    <d v="2025-04-01T00:00:00"/>
    <n v="7000000131"/>
    <s v="XC"/>
    <x v="6"/>
    <d v="2025-04-02T00:00:00"/>
    <s v="6788ZP25000117"/>
    <s v="6788ZP25000117"/>
    <s v="212100"/>
    <s v="Trade Debtors (Ctrl)"/>
    <s v=""/>
    <s v="11"/>
    <s v="INR"/>
    <n v="-1500000"/>
    <s v="INR"/>
    <n v="-1500000"/>
    <s v=""/>
    <s v="6788220000"/>
    <s v=""/>
    <s v="6788ZP25000117"/>
    <s v="1"/>
    <s v="as per SME conformation parked as overpayment"/>
    <s v="100222362"/>
    <s v=""/>
    <s v="100222362"/>
    <d v="2025-03-27T00:00:00"/>
    <m/>
    <s v=""/>
  </r>
  <r>
    <s v="Selected"/>
    <n v="6788"/>
    <n v="100222362"/>
    <s v="ONNSYNEX VENTURES PRIVATE LIMITED"/>
    <s v="2025"/>
    <s v="11"/>
    <d v="2025-11-15T00:00:00"/>
    <n v="1400000084"/>
    <s v="DY"/>
    <x v="7"/>
    <d v="2025-11-15T00:00:00"/>
    <s v="Na"/>
    <s v="KNOCK OFF ENTRY"/>
    <s v="212100"/>
    <s v="Trade Debtors (Ctrl)"/>
    <s v=""/>
    <s v="08"/>
    <s v="USD"/>
    <n v="150"/>
    <s v="INR"/>
    <n v="12897.56"/>
    <s v=""/>
    <s v="6788224500"/>
    <s v=""/>
    <s v=""/>
    <s v="1"/>
    <s v=""/>
    <s v=""/>
    <s v=""/>
    <s v=""/>
    <d v="2025-11-15T00:00:00"/>
    <d v="2025-11-15T00:00:00"/>
    <s v="1400000084"/>
  </r>
  <r>
    <s v="Selected"/>
    <n v="6788"/>
    <n v="100222362"/>
    <s v="ONNSYNEX VENTURES PRIVATE LIMITED"/>
    <s v="2025"/>
    <s v="11"/>
    <d v="2025-11-15T00:00:00"/>
    <n v="1400000084"/>
    <s v="DY"/>
    <x v="7"/>
    <d v="2025-11-15T00:00:00"/>
    <s v="Na"/>
    <s v="KNOCK OFF ENTRY"/>
    <s v="212100"/>
    <s v="Trade Debtors (Ctrl)"/>
    <s v=""/>
    <s v="15"/>
    <s v="USD"/>
    <n v="-150"/>
    <s v="INR"/>
    <n v="-13038.28"/>
    <s v=""/>
    <s v="6788224500"/>
    <s v=""/>
    <s v=""/>
    <s v="2"/>
    <s v=""/>
    <s v=""/>
    <s v=""/>
    <s v=""/>
    <d v="2025-11-15T00:00:00"/>
    <d v="2025-11-15T00:00:00"/>
    <s v="1400000084"/>
  </r>
  <r>
    <s v="Not Selected"/>
    <n v="6788"/>
    <n v="100222362"/>
    <s v="ONNSYNEX VENTURES PRIVATE LIMITED"/>
    <s v="2025"/>
    <s v="8"/>
    <d v="2025-08-20T00:00:00"/>
    <n v="1800000477"/>
    <s v="DR"/>
    <x v="2"/>
    <d v="2025-08-22T00:00:00"/>
    <s v="Na"/>
    <n v="256788410349"/>
    <s v="212100"/>
    <s v="Trade Debtors (Ctrl)"/>
    <s v=""/>
    <s v="01"/>
    <s v="USD"/>
    <n v="100"/>
    <s v="INR"/>
    <n v="8603.01"/>
    <s v="O0"/>
    <s v="6788224500"/>
    <s v=""/>
    <s v="NA"/>
    <s v="1"/>
    <s v="INTRA 1-15 Aug 25"/>
    <s v=""/>
    <s v=""/>
    <s v=""/>
    <d v="2025-08-20T00:00:00"/>
    <m/>
    <s v=""/>
  </r>
  <r>
    <s v="Not Selected"/>
    <n v="6788"/>
    <n v="100222362"/>
    <s v="ONNSYNEX VENTURES PRIVATE LIMITED"/>
    <s v="2025"/>
    <s v="9"/>
    <d v="2025-09-04T00:00:00"/>
    <n v="1800000479"/>
    <s v="DR"/>
    <x v="8"/>
    <d v="2025-09-09T00:00:00"/>
    <s v="Na"/>
    <n v="256788410353"/>
    <s v="212100"/>
    <s v="Trade Debtors (Ctrl)"/>
    <s v=""/>
    <s v="01"/>
    <s v="USD"/>
    <n v="100"/>
    <s v="INR"/>
    <n v="8751.43"/>
    <s v="O0"/>
    <s v="6788224500"/>
    <s v=""/>
    <s v="NA"/>
    <s v="1"/>
    <s v="Intra 16-31 Aug 25"/>
    <s v=""/>
    <s v=""/>
    <s v=""/>
    <d v="2025-09-04T00:00:00"/>
    <m/>
    <s v=""/>
  </r>
  <r>
    <s v="Not Selected"/>
    <n v="6788"/>
    <n v="100222362"/>
    <s v="ONNSYNEX VENTURES PRIVATE LIMITED"/>
    <s v="2025"/>
    <s v="4"/>
    <d v="2025-04-04T00:00:00"/>
    <n v="1800000152"/>
    <s v="DR"/>
    <x v="9"/>
    <d v="2025-04-09T00:00:00"/>
    <s v="Na"/>
    <n v="256788410027"/>
    <s v="212100"/>
    <s v="Trade Debtors (Ctrl)"/>
    <s v=""/>
    <s v="01"/>
    <s v="USD"/>
    <n v="170"/>
    <s v="INR"/>
    <n v="14776.71"/>
    <s v="O0"/>
    <s v=""/>
    <s v=""/>
    <s v="NA"/>
    <s v="1"/>
    <s v="Transportation Inbound charges for Jan 25"/>
    <s v=""/>
    <s v=""/>
    <s v=""/>
    <d v="2025-04-08T00:00:00"/>
    <m/>
    <s v=""/>
  </r>
  <r>
    <s v="Not Selected"/>
    <n v="6788"/>
    <n v="100222362"/>
    <s v="ONNSYNEX VENTURES PRIVATE LIMITED"/>
    <s v="2025"/>
    <s v="3"/>
    <d v="2025-03-06T00:00:00"/>
    <n v="1800000050"/>
    <s v="DR"/>
    <x v="10"/>
    <d v="2025-03-06T00:00:00"/>
    <s v="Na"/>
    <n v="246788410045"/>
    <s v="212100"/>
    <s v="Trade Debtors (Ctrl)"/>
    <s v=""/>
    <s v="01"/>
    <s v="USD"/>
    <n v="841.24"/>
    <s v="INR"/>
    <n v="72928.160000000003"/>
    <s v="O0"/>
    <s v="6788224500"/>
    <s v=""/>
    <s v="NA"/>
    <s v="1"/>
    <s v="Storage Charges for the month of November 2024"/>
    <s v=""/>
    <s v=""/>
    <s v=""/>
    <d v="2025-03-06T00:00:00"/>
    <m/>
    <s v=""/>
  </r>
  <r>
    <s v="Not Selected"/>
    <n v="6788"/>
    <n v="100222362"/>
    <s v="ONNSYNEX VENTURES PRIVATE LIMITED"/>
    <s v="2025"/>
    <s v="3"/>
    <d v="2025-03-06T00:00:00"/>
    <n v="1800000051"/>
    <s v="DR"/>
    <x v="10"/>
    <d v="2025-03-06T00:00:00"/>
    <s v="Na"/>
    <n v="246788410046"/>
    <s v="212100"/>
    <s v="Trade Debtors (Ctrl)"/>
    <s v=""/>
    <s v="01"/>
    <s v="USD"/>
    <n v="4169.66"/>
    <s v="INR"/>
    <n v="361473.08"/>
    <s v="O0"/>
    <s v="6788224500"/>
    <s v=""/>
    <s v="NA"/>
    <s v="1"/>
    <s v="Storage Charges for the month of December 2024"/>
    <s v=""/>
    <s v=""/>
    <s v=""/>
    <d v="2025-03-06T00:00:00"/>
    <m/>
    <s v=""/>
  </r>
  <r>
    <s v="Not Selected"/>
    <n v="6788"/>
    <n v="100222362"/>
    <s v="ONNSYNEX VENTURES PRIVATE LIMITED"/>
    <s v="2025"/>
    <s v="3"/>
    <d v="2025-03-03T00:00:00"/>
    <n v="1800000045"/>
    <s v="DR"/>
    <x v="11"/>
    <d v="2025-03-03T00:00:00"/>
    <s v="Na"/>
    <n v="246788410039"/>
    <s v="212100"/>
    <s v="Trade Debtors (Ctrl)"/>
    <s v=""/>
    <s v="01"/>
    <s v="USD"/>
    <n v="1044.69"/>
    <s v="INR"/>
    <n v="90565.49"/>
    <s v="O0"/>
    <s v="6788224500"/>
    <s v=""/>
    <s v="NA"/>
    <s v="1"/>
    <s v="CY-CY Ground Rent charges for Oct 2024. Exchange c"/>
    <s v=""/>
    <s v=""/>
    <s v=""/>
    <d v="2025-03-03T00:00:00"/>
    <m/>
    <s v=""/>
  </r>
  <r>
    <s v="Not Selected"/>
    <n v="6788"/>
    <n v="100222362"/>
    <s v="ONNSYNEX VENTURES PRIVATE LIMITED"/>
    <s v="2025"/>
    <s v="3"/>
    <d v="2025-03-03T00:00:00"/>
    <n v="1800000046"/>
    <s v="DR"/>
    <x v="11"/>
    <d v="2025-03-03T00:00:00"/>
    <s v="Na"/>
    <n v="246788410040"/>
    <s v="212100"/>
    <s v="Trade Debtors (Ctrl)"/>
    <s v=""/>
    <s v="01"/>
    <s v="USD"/>
    <n v="129.97999999999999"/>
    <s v="INR"/>
    <n v="11268.13"/>
    <s v="O0"/>
    <s v="6788224500"/>
    <s v=""/>
    <s v="NA"/>
    <s v="1"/>
    <s v="CY-CY Ground Rent charges for Dec 2024. Exchange c"/>
    <s v=""/>
    <s v=""/>
    <s v=""/>
    <d v="2025-03-03T00:00:00"/>
    <m/>
    <s v=""/>
  </r>
  <r>
    <s v="Not Selected"/>
    <n v="6788"/>
    <n v="100222362"/>
    <s v="ONNSYNEX VENTURES PRIVATE LIMITED"/>
    <s v="2025"/>
    <s v="3"/>
    <d v="2025-03-03T00:00:00"/>
    <n v="1800000047"/>
    <s v="DR"/>
    <x v="11"/>
    <d v="2025-03-03T00:00:00"/>
    <s v="Na"/>
    <n v="246788410042"/>
    <s v="212100"/>
    <s v="Trade Debtors (Ctrl)"/>
    <s v=""/>
    <s v="01"/>
    <s v="USD"/>
    <n v="4421.13"/>
    <s v="INR"/>
    <n v="383273.33"/>
    <s v="O0"/>
    <s v="6788224500"/>
    <s v=""/>
    <s v="NA"/>
    <s v="1"/>
    <s v="Storage Charges for the month of August, 2024"/>
    <s v=""/>
    <s v=""/>
    <s v=""/>
    <d v="2025-03-03T00:00:00"/>
    <m/>
    <s v=""/>
  </r>
  <r>
    <s v="Not Selected"/>
    <n v="6788"/>
    <n v="100222362"/>
    <s v="ONNSYNEX VENTURES PRIVATE LIMITED"/>
    <s v="2025"/>
    <s v="3"/>
    <d v="2025-03-03T00:00:00"/>
    <n v="1800000048"/>
    <s v="DR"/>
    <x v="11"/>
    <d v="2025-03-03T00:00:00"/>
    <s v="Na"/>
    <n v="246788410043"/>
    <s v="212100"/>
    <s v="Trade Debtors (Ctrl)"/>
    <s v=""/>
    <s v="01"/>
    <s v="USD"/>
    <n v="2730.01"/>
    <s v="INR"/>
    <n v="236668.01"/>
    <s v="O0"/>
    <s v="6788224500"/>
    <s v=""/>
    <s v="NA"/>
    <s v="1"/>
    <s v="Storage Charges for the month of September, 2024"/>
    <s v=""/>
    <s v=""/>
    <s v=""/>
    <d v="2025-03-03T00:00:00"/>
    <m/>
    <s v=""/>
  </r>
  <r>
    <s v="Not Selected"/>
    <n v="6788"/>
    <n v="100222362"/>
    <s v="ONNSYNEX VENTURES PRIVATE LIMITED"/>
    <s v="2025"/>
    <s v="3"/>
    <d v="2025-03-03T00:00:00"/>
    <n v="1800000049"/>
    <s v="DR"/>
    <x v="11"/>
    <d v="2025-03-03T00:00:00"/>
    <s v="Na"/>
    <n v="246788410044"/>
    <s v="212100"/>
    <s v="Trade Debtors (Ctrl)"/>
    <s v=""/>
    <s v="01"/>
    <s v="USD"/>
    <n v="474.24"/>
    <s v="INR"/>
    <n v="41112.46"/>
    <s v="O0"/>
    <s v="6788224500"/>
    <s v=""/>
    <s v="NA"/>
    <s v="1"/>
    <s v="Storage Charges for the month of October, 2024"/>
    <s v=""/>
    <s v=""/>
    <s v=""/>
    <d v="2025-03-03T00:00:00"/>
    <m/>
    <s v=""/>
  </r>
  <r>
    <s v="Not Selected"/>
    <n v="6788"/>
    <n v="100222362"/>
    <s v="ONNSYNEX VENTURES PRIVATE LIMITED"/>
    <s v="2025"/>
    <s v="8"/>
    <d v="2025-08-01T00:00:00"/>
    <n v="1800000447"/>
    <s v="DR"/>
    <x v="12"/>
    <d v="2025-08-01T00:00:00"/>
    <s v="Na"/>
    <n v="256788410322"/>
    <s v="212100"/>
    <s v="Trade Debtors (Ctrl)"/>
    <s v=""/>
    <s v="01"/>
    <s v="USD"/>
    <n v="75"/>
    <s v="INR"/>
    <n v="6452.26"/>
    <s v="O0"/>
    <s v="6788224500"/>
    <s v=""/>
    <s v="NA"/>
    <s v="1"/>
    <s v="Fixed Storage Charges for August 2025"/>
    <s v=""/>
    <s v=""/>
    <s v=""/>
    <d v="2025-08-01T00:00:00"/>
    <m/>
    <s v=""/>
  </r>
  <r>
    <s v="Not Selected"/>
    <n v="6788"/>
    <n v="100222362"/>
    <s v="ONNSYNEX VENTURES PRIVATE LIMITED"/>
    <s v="2025"/>
    <s v="6"/>
    <d v="2025-06-10T00:00:00"/>
    <n v="1800000353"/>
    <s v="DR"/>
    <x v="13"/>
    <d v="2025-06-17T00:00:00"/>
    <s v="Na"/>
    <n v="256788410228"/>
    <s v="212100"/>
    <s v="Trade Debtors (Ctrl)"/>
    <s v=""/>
    <s v="01"/>
    <s v="USD"/>
    <n v="75"/>
    <s v="INR"/>
    <n v="6411.81"/>
    <s v="O0"/>
    <s v="6788224500"/>
    <s v=""/>
    <s v="NA"/>
    <s v="1"/>
    <s v="Fixed Storage Charges fo JUNE 2025"/>
    <s v=""/>
    <s v=""/>
    <s v=""/>
    <d v="2025-06-10T00:00:00"/>
    <m/>
    <s v=""/>
  </r>
  <r>
    <s v="Not Selected"/>
    <n v="6788"/>
    <n v="100222362"/>
    <s v="ONNSYNEX VENTURES PRIVATE LIMITED"/>
    <s v="2025"/>
    <s v="9"/>
    <d v="2025-09-17T00:00:00"/>
    <n v="1800000504"/>
    <s v="DR"/>
    <x v="14"/>
    <d v="2025-09-24T00:00:00"/>
    <s v="Na"/>
    <n v="256788410379"/>
    <s v="212100"/>
    <s v="Trade Debtors (Ctrl)"/>
    <s v=""/>
    <s v="01"/>
    <s v="USD"/>
    <n v="53.78"/>
    <s v="INR"/>
    <n v="4706.5200000000004"/>
    <s v="O0"/>
    <s v="6788224500"/>
    <s v=""/>
    <s v="2103775"/>
    <s v="1"/>
    <s v="VAS Activity - Feb 25, Ex Rate. 87.40"/>
    <s v=""/>
    <s v=""/>
    <s v=""/>
    <d v="2025-09-17T00:00:00"/>
    <m/>
    <s v=""/>
  </r>
  <r>
    <s v="Not Selected"/>
    <n v="6788"/>
    <n v="100222362"/>
    <s v="ONNSYNEX VENTURES PRIVATE LIMITED"/>
    <s v="2025"/>
    <s v="9"/>
    <d v="2025-09-17T00:00:00"/>
    <n v="1800000507"/>
    <s v="DR"/>
    <x v="14"/>
    <d v="2025-09-24T00:00:00"/>
    <s v="Na"/>
    <n v="256788410382"/>
    <s v="212100"/>
    <s v="Trade Debtors (Ctrl)"/>
    <s v=""/>
    <s v="01"/>
    <s v="USD"/>
    <n v="102.14"/>
    <s v="INR"/>
    <n v="8938.7099999999991"/>
    <s v="O0"/>
    <s v="6788224500"/>
    <s v=""/>
    <s v="2102526"/>
    <s v="1"/>
    <s v="VAS -1-15 Sept-25"/>
    <s v=""/>
    <s v=""/>
    <s v=""/>
    <d v="2025-09-17T00:00:00"/>
    <m/>
    <s v=""/>
  </r>
  <r>
    <s v="Not Selected"/>
    <n v="6788"/>
    <n v="100222362"/>
    <s v="ONNSYNEX VENTURES PRIVATE LIMITED"/>
    <s v="2025"/>
    <s v="5"/>
    <d v="2025-05-08T00:00:00"/>
    <n v="1800000341"/>
    <s v="DR"/>
    <x v="15"/>
    <d v="2025-05-23T00:00:00"/>
    <s v="Na"/>
    <n v="256788410216"/>
    <s v="212100"/>
    <s v="Trade Debtors (Ctrl)"/>
    <s v=""/>
    <s v="01"/>
    <s v="USD"/>
    <n v="8.4499999999999993"/>
    <s v="INR"/>
    <n v="726.56"/>
    <s v="O0"/>
    <s v="6788224500"/>
    <s v=""/>
    <s v="NA"/>
    <s v="1"/>
    <s v="Inbound chgs - 01 - 15 Apr 25"/>
    <s v=""/>
    <s v=""/>
    <s v=""/>
    <d v="2025-05-08T00:00:00"/>
    <m/>
    <s v=""/>
  </r>
  <r>
    <s v="Not Selected"/>
    <n v="6788"/>
    <n v="100222362"/>
    <s v="ONNSYNEX VENTURES PRIVATE LIMITED"/>
    <s v="2025"/>
    <s v="5"/>
    <d v="2025-05-08T00:00:00"/>
    <n v="1800000342"/>
    <s v="DR"/>
    <x v="15"/>
    <d v="2025-05-23T00:00:00"/>
    <s v="Na"/>
    <n v="256788410217"/>
    <s v="212100"/>
    <s v="Trade Debtors (Ctrl)"/>
    <s v=""/>
    <s v="01"/>
    <s v="USD"/>
    <n v="37.659999999999997"/>
    <s v="INR"/>
    <n v="3238.15"/>
    <s v="O0"/>
    <s v="6788224500"/>
    <s v=""/>
    <s v="NA"/>
    <s v="1"/>
    <s v="Outbound chgs - 01 - 15 Apr 25"/>
    <s v=""/>
    <s v=""/>
    <s v=""/>
    <d v="2025-05-08T00:00:00"/>
    <m/>
    <s v=""/>
  </r>
  <r>
    <s v="Not Selected"/>
    <n v="6788"/>
    <n v="100222362"/>
    <s v="ONNSYNEX VENTURES PRIVATE LIMITED"/>
    <s v="2025"/>
    <s v="5"/>
    <d v="2025-05-08T00:00:00"/>
    <n v="1800000343"/>
    <s v="DR"/>
    <x v="15"/>
    <d v="2025-05-23T00:00:00"/>
    <s v="Na"/>
    <n v="256788410218"/>
    <s v="212100"/>
    <s v="Trade Debtors (Ctrl)"/>
    <s v=""/>
    <s v="01"/>
    <s v="USD"/>
    <n v="13.18"/>
    <s v="INR"/>
    <n v="1133.27"/>
    <s v="O0"/>
    <s v="6788224500"/>
    <s v=""/>
    <s v="NA"/>
    <s v="1"/>
    <s v="Outbound chgs - 16 - 30 Apr 25"/>
    <s v=""/>
    <s v=""/>
    <s v=""/>
    <d v="2025-05-08T00:00:00"/>
    <m/>
    <s v=""/>
  </r>
  <r>
    <s v="Selected"/>
    <n v="6788"/>
    <n v="100222362"/>
    <s v="ONNSYNEX VENTURES PRIVATE LIMITED"/>
    <s v="2025"/>
    <s v="10"/>
    <d v="2025-10-17T00:00:00"/>
    <n v="1600000261"/>
    <s v="DG"/>
    <x v="16"/>
    <d v="2025-10-23T00:00:00"/>
    <s v="Na"/>
    <n v="256788420141"/>
    <s v="212100"/>
    <s v="Trade Debtors (Ctrl)"/>
    <s v=""/>
    <s v="11"/>
    <s v="USD"/>
    <n v="-1211.9000000000001"/>
    <s v="INR"/>
    <n v="-106878.39"/>
    <s v="O0"/>
    <s v="6788224500"/>
    <s v=""/>
    <s v="2117487"/>
    <s v="1"/>
    <s v="Credit note raised against 256788410417"/>
    <s v=""/>
    <s v=""/>
    <s v=""/>
    <d v="2025-10-17T00:00:00"/>
    <d v="2025-11-15T00:00:00"/>
    <s v="1400000084"/>
  </r>
  <r>
    <s v="Selected"/>
    <n v="6788"/>
    <n v="100222362"/>
    <s v="ONNSYNEX VENTURES PRIVATE LIMITED"/>
    <s v="2025"/>
    <s v="10"/>
    <d v="2025-10-17T00:00:00"/>
    <n v="1600000262"/>
    <s v="DG"/>
    <x v="16"/>
    <d v="2025-10-23T00:00:00"/>
    <s v="Na"/>
    <n v="256788420142"/>
    <s v="212100"/>
    <s v="Trade Debtors (Ctrl)"/>
    <s v=""/>
    <s v="11"/>
    <s v="USD"/>
    <n v="-40"/>
    <s v="INR"/>
    <n v="-3527.63"/>
    <s v="O0"/>
    <s v="6788224500"/>
    <s v=""/>
    <s v="2117487"/>
    <s v="1"/>
    <s v="Credit note raised against 256788410418"/>
    <s v=""/>
    <s v=""/>
    <s v=""/>
    <d v="2025-10-17T00:00:00"/>
    <d v="2025-11-15T00:00:00"/>
    <s v="1400000084"/>
  </r>
  <r>
    <s v="Selected"/>
    <n v="6788"/>
    <n v="100222362"/>
    <s v="ONNSYNEX VENTURES PRIVATE LIMITED"/>
    <s v="2025"/>
    <s v="10"/>
    <d v="2025-10-17T00:00:00"/>
    <n v="1600000263"/>
    <s v="DG"/>
    <x v="16"/>
    <d v="2025-10-23T00:00:00"/>
    <s v="Na"/>
    <n v="256788420143"/>
    <s v="212100"/>
    <s v="Trade Debtors (Ctrl)"/>
    <s v=""/>
    <s v="11"/>
    <s v="USD"/>
    <n v="-11.26"/>
    <s v="INR"/>
    <n v="-993.03"/>
    <s v="O0"/>
    <s v="6788224500"/>
    <s v=""/>
    <s v="2117487"/>
    <s v="1"/>
    <s v="Credit note raised against 256788410419"/>
    <s v=""/>
    <s v=""/>
    <s v=""/>
    <d v="2025-10-17T00:00:00"/>
    <d v="2025-11-15T00:00:00"/>
    <s v="1400000084"/>
  </r>
  <r>
    <s v="Not Selected"/>
    <n v="6779"/>
    <n v="100222362"/>
    <s v="ONNSYNEX VENTURES PRIVATE LIMITED"/>
    <s v="2025"/>
    <s v="4"/>
    <d v="2025-04-16T00:00:00"/>
    <n v="1800007124"/>
    <s v="DR"/>
    <x v="17"/>
    <d v="2025-04-17T00:00:00"/>
    <s v="Na"/>
    <n v="256779412015"/>
    <s v="212100"/>
    <s v="Trade Debtors (Ctrl)"/>
    <s v=""/>
    <s v="01"/>
    <s v="USD"/>
    <n v="86.56"/>
    <s v="INR"/>
    <n v="7523.95"/>
    <s v="O0"/>
    <s v="6779224500"/>
    <s v=""/>
    <s v="NA"/>
    <s v="1"/>
    <s v="VAS Activity - Jan 25, Ex Rate. 86.64"/>
    <s v=""/>
    <s v=""/>
    <s v=""/>
    <d v="2025-04-16T00:00:00"/>
    <m/>
    <s v=""/>
  </r>
  <r>
    <s v="Not Selected"/>
    <n v="6779"/>
    <n v="100222362"/>
    <s v="ONNSYNEX VENTURES PRIVATE LIMITED"/>
    <s v="2025"/>
    <s v="4"/>
    <d v="2025-04-16T00:00:00"/>
    <n v="1800007167"/>
    <s v="DR"/>
    <x v="17"/>
    <d v="2025-04-17T00:00:00"/>
    <s v="Na"/>
    <n v="256779412058"/>
    <s v="212100"/>
    <s v="Trade Debtors (Ctrl)"/>
    <s v=""/>
    <s v="01"/>
    <s v="USD"/>
    <n v="188.84"/>
    <s v="INR"/>
    <n v="16414.32"/>
    <s v="O0"/>
    <s v="6779224500"/>
    <s v=""/>
    <s v="NA"/>
    <s v="1"/>
    <s v="VAS Activity - Feb 25, Ex Rate. 87.40"/>
    <s v=""/>
    <s v=""/>
    <s v=""/>
    <d v="2025-04-16T00:00:00"/>
    <m/>
    <s v=""/>
  </r>
  <r>
    <s v="Not Selected"/>
    <n v="6779"/>
    <n v="100222362"/>
    <s v="ONNSYNEX VENTURES PRIVATE LIMITED"/>
    <s v="2025"/>
    <s v="4"/>
    <d v="2025-04-16T00:00:00"/>
    <n v="1800007205"/>
    <s v="DR"/>
    <x v="17"/>
    <d v="2025-04-17T00:00:00"/>
    <s v="Na"/>
    <n v="256779412096"/>
    <s v="212100"/>
    <s v="Trade Debtors (Ctrl)"/>
    <s v=""/>
    <s v="01"/>
    <s v="USD"/>
    <n v="16.829999999999998"/>
    <s v="INR"/>
    <n v="1462.89"/>
    <s v="O0"/>
    <s v="6779224500"/>
    <s v=""/>
    <s v="NA"/>
    <s v="1"/>
    <s v="VAS Activity - Mar 25, 16-31, Ex Rate. 85.58"/>
    <s v=""/>
    <s v=""/>
    <s v=""/>
    <d v="2025-04-16T00:00:00"/>
    <m/>
    <s v=""/>
  </r>
  <r>
    <s v="Not Selected"/>
    <n v="6788"/>
    <n v="100222362"/>
    <s v="ONNSYNEX VENTURES PRIVATE LIMITED"/>
    <s v="2025"/>
    <s v="7"/>
    <d v="2025-07-09T00:00:00"/>
    <n v="1800000368"/>
    <s v="DR"/>
    <x v="18"/>
    <d v="2025-07-09T00:00:00"/>
    <s v="Na"/>
    <n v="256788410243"/>
    <s v="212100"/>
    <s v="Trade Debtors (Ctrl)"/>
    <s v=""/>
    <s v="01"/>
    <s v="USD"/>
    <n v="30"/>
    <s v="INR"/>
    <n v="2580.02"/>
    <s v="O0"/>
    <s v="6788224500"/>
    <s v=""/>
    <s v="NA"/>
    <s v="1"/>
    <s v="CY - WH Destuff Charges fo MAY 2025"/>
    <s v=""/>
    <s v=""/>
    <s v=""/>
    <d v="2025-07-09T00:00:00"/>
    <m/>
    <s v=""/>
  </r>
  <r>
    <s v="Not Selected"/>
    <n v="6788"/>
    <n v="100222362"/>
    <s v="ONNSYNEX VENTURES PRIVATE LIMITED"/>
    <s v="2025"/>
    <s v="7"/>
    <d v="2025-07-09T00:00:00"/>
    <n v="1800000384"/>
    <s v="DR"/>
    <x v="18"/>
    <d v="2025-07-09T00:00:00"/>
    <s v="Na"/>
    <n v="256788410259"/>
    <s v="212100"/>
    <s v="Trade Debtors (Ctrl)"/>
    <s v=""/>
    <s v="01"/>
    <s v="USD"/>
    <n v="75"/>
    <s v="INR"/>
    <n v="6450.05"/>
    <s v="O0"/>
    <s v="6788224500"/>
    <s v=""/>
    <s v="NA"/>
    <s v="1"/>
    <s v="Fixed Rental charges for April 2025"/>
    <s v=""/>
    <s v=""/>
    <s v=""/>
    <d v="2025-07-09T00:00:00"/>
    <m/>
    <s v=""/>
  </r>
  <r>
    <s v="Not Selected"/>
    <n v="6779"/>
    <n v="100222362"/>
    <s v="ONNSYNEX VENTURES PRIVATE LIMITED"/>
    <s v="2025"/>
    <s v="9"/>
    <d v="2025-09-04T00:00:00"/>
    <n v="1800012496"/>
    <s v="DR"/>
    <x v="8"/>
    <d v="2025-09-08T00:00:00"/>
    <s v="Na"/>
    <n v="256779416953"/>
    <s v="212100"/>
    <s v="Trade Debtors (Ctrl)"/>
    <s v=""/>
    <s v="01"/>
    <s v="USD"/>
    <n v="2.14"/>
    <s v="INR"/>
    <n v="187.28"/>
    <s v="O0"/>
    <s v="6779224501"/>
    <s v=""/>
    <s v="NA"/>
    <s v="1"/>
    <s v="CODC Out chgs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d v="2025-09-04T00:00:00"/>
    <n v="1800000480"/>
    <s v="DR"/>
    <x v="8"/>
    <d v="2025-09-09T00:00:00"/>
    <s v="Na"/>
    <n v="256788410354"/>
    <s v="212100"/>
    <s v="Trade Debtors (Ctrl)"/>
    <s v=""/>
    <s v="01"/>
    <s v="USD"/>
    <n v="12.52"/>
    <s v="INR"/>
    <n v="1095.68"/>
    <s v="O0"/>
    <s v="6788224500"/>
    <s v=""/>
    <s v="NA"/>
    <s v="1"/>
    <s v="VAS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d v="2025-09-04T00:00:00"/>
    <n v="1800000481"/>
    <s v="DR"/>
    <x v="8"/>
    <d v="2025-09-09T00:00:00"/>
    <s v="Na"/>
    <n v="256788410355"/>
    <s v="212100"/>
    <s v="Trade Debtors (Ctrl)"/>
    <s v=""/>
    <s v="01"/>
    <s v="USD"/>
    <n v="13.66"/>
    <s v="INR"/>
    <n v="1195.45"/>
    <s v="O0"/>
    <s v="6788224500"/>
    <s v=""/>
    <s v="NA"/>
    <s v="1"/>
    <s v="WEIGHMENT -16-31 Aug 25"/>
    <s v=""/>
    <s v=""/>
    <s v=""/>
    <d v="2025-09-04T00:00:00"/>
    <m/>
    <s v=""/>
  </r>
  <r>
    <s v="Not Selected"/>
    <n v="6788"/>
    <n v="100222362"/>
    <s v="ONNSYNEX VENTURES PRIVATE LIMITED"/>
    <s v="2025"/>
    <s v="9"/>
    <d v="2025-09-04T00:00:00"/>
    <n v="1800000483"/>
    <s v="DR"/>
    <x v="8"/>
    <d v="2025-09-09T00:00:00"/>
    <s v="Na"/>
    <n v="256788410358"/>
    <s v="212100"/>
    <s v="Trade Debtors (Ctrl)"/>
    <s v=""/>
    <s v="01"/>
    <s v="USD"/>
    <n v="2262.04"/>
    <s v="INR"/>
    <n v="197960.92"/>
    <s v="O0"/>
    <s v="6788224500"/>
    <s v=""/>
    <s v="NA"/>
    <s v="1"/>
    <s v="CY Ground rent Chgs - 01 - 31 Aug 25"/>
    <s v=""/>
    <s v=""/>
    <s v=""/>
    <d v="2025-09-04T00:00:00"/>
    <m/>
    <s v=""/>
  </r>
  <r>
    <s v="Not Selected"/>
    <n v="6788"/>
    <n v="100222362"/>
    <s v="ONNSYNEX VENTURES PRIVATE LIMITED"/>
    <s v="2025"/>
    <s v="9"/>
    <d v="2025-09-04T00:00:00"/>
    <n v="1800000488"/>
    <s v="DR"/>
    <x v="8"/>
    <d v="2025-09-09T00:00:00"/>
    <s v="Na"/>
    <n v="256788410359"/>
    <s v="212100"/>
    <s v="Trade Debtors (Ctrl)"/>
    <s v=""/>
    <s v="01"/>
    <s v="USD"/>
    <n v="126.58"/>
    <s v="INR"/>
    <n v="11077.56"/>
    <s v="O0"/>
    <s v="6788224500"/>
    <s v=""/>
    <s v="NA"/>
    <s v="1"/>
    <s v="Empty Lolo Chgs Aug 25"/>
    <s v=""/>
    <s v=""/>
    <s v=""/>
    <d v="2025-09-04T00:00:00"/>
    <m/>
    <s v=""/>
  </r>
  <r>
    <s v="Not Selected"/>
    <n v="6788"/>
    <n v="100222362"/>
    <s v="ONNSYNEX VENTURES PRIVATE LIMITED"/>
    <s v="2025"/>
    <s v="9"/>
    <d v="2025-09-04T00:00:00"/>
    <n v="1800000484"/>
    <s v="DR"/>
    <x v="8"/>
    <d v="2025-09-09T00:00:00"/>
    <s v="Na"/>
    <n v="256788410360"/>
    <s v="212100"/>
    <s v="Trade Debtors (Ctrl)"/>
    <s v=""/>
    <s v="01"/>
    <s v="USD"/>
    <n v="348.21"/>
    <s v="INR"/>
    <n v="30473.360000000001"/>
    <s v="O0"/>
    <s v="6788224500"/>
    <s v=""/>
    <s v="NA"/>
    <s v="1"/>
    <s v="PORT SSR Chgs Aug 25"/>
    <s v=""/>
    <s v=""/>
    <s v=""/>
    <d v="2025-09-04T00:00:00"/>
    <m/>
    <s v=""/>
  </r>
  <r>
    <s v="Not Selected"/>
    <n v="6788"/>
    <n v="100222362"/>
    <s v="ONNSYNEX VENTURES PRIVATE LIMITED"/>
    <s v="2025"/>
    <s v="9"/>
    <d v="2025-09-04T00:00:00"/>
    <n v="1800000485"/>
    <s v="DR"/>
    <x v="8"/>
    <d v="2025-09-09T00:00:00"/>
    <s v="Na"/>
    <n v="256788410361"/>
    <s v="212100"/>
    <s v="Trade Debtors (Ctrl)"/>
    <s v=""/>
    <s v="01"/>
    <s v="USD"/>
    <n v="26"/>
    <s v="INR"/>
    <n v="2275.37"/>
    <s v="O0"/>
    <s v="6788224500"/>
    <s v=""/>
    <s v="NA"/>
    <s v="1"/>
    <s v="LCL chgs - 16 - 31 AUG 25"/>
    <s v=""/>
    <s v=""/>
    <s v=""/>
    <d v="2025-09-04T00:00:00"/>
    <m/>
    <s v=""/>
  </r>
  <r>
    <s v="Not Selected"/>
    <n v="6788"/>
    <n v="100222362"/>
    <s v="ONNSYNEX VENTURES PRIVATE LIMITED"/>
    <s v="2025"/>
    <s v="9"/>
    <d v="2025-09-04T00:00:00"/>
    <n v="1800000487"/>
    <s v="DR"/>
    <x v="8"/>
    <d v="2025-09-09T00:00:00"/>
    <s v="Na"/>
    <n v="256788410363"/>
    <s v="212100"/>
    <s v="Trade Debtors (Ctrl)"/>
    <s v=""/>
    <s v="01"/>
    <s v="USD"/>
    <n v="227.74"/>
    <s v="INR"/>
    <n v="19930.509999999998"/>
    <s v="O0"/>
    <s v="6788224500"/>
    <s v=""/>
    <s v="NA"/>
    <s v="1"/>
    <s v="Transportation Out chgs - 16 - 31 AUG 25"/>
    <s v=""/>
    <s v=""/>
    <s v=""/>
    <d v="2025-09-04T00:00:00"/>
    <m/>
    <s v=""/>
  </r>
  <r>
    <s v="Not Selected"/>
    <n v="6788"/>
    <n v="100222362"/>
    <s v="ONNSYNEX VENTURES PRIVATE LIMITED"/>
    <s v="2025"/>
    <s v="9"/>
    <d v="2025-09-04T00:00:00"/>
    <n v="1800000489"/>
    <s v="DR"/>
    <x v="8"/>
    <d v="2025-09-09T00:00:00"/>
    <s v="Na"/>
    <n v="256788410364"/>
    <s v="212100"/>
    <s v="Trade Debtors (Ctrl)"/>
    <s v=""/>
    <s v="01"/>
    <s v="USD"/>
    <n v="75"/>
    <s v="INR"/>
    <n v="6563.57"/>
    <s v="O0"/>
    <s v="6788224500"/>
    <s v=""/>
    <s v="2097259"/>
    <s v="1"/>
    <s v="Fixed Storage Charges for September 2025"/>
    <s v=""/>
    <s v=""/>
    <s v=""/>
    <d v="2025-09-04T00:00:00"/>
    <m/>
    <s v=""/>
  </r>
  <r>
    <s v="Not Selected"/>
    <n v="6779"/>
    <n v="100222362"/>
    <s v="ONNSYNEX VENTURES PRIVATE LIMITED"/>
    <s v="2025"/>
    <s v="7"/>
    <d v="2025-07-04T00:00:00"/>
    <n v="1800010515"/>
    <s v="DR"/>
    <x v="19"/>
    <d v="2025-07-09T00:00:00"/>
    <s v="Na"/>
    <n v="256779415275"/>
    <s v="212100"/>
    <s v="Trade Debtors (Ctrl)"/>
    <s v=""/>
    <s v="01"/>
    <s v="USD"/>
    <n v="86.04"/>
    <s v="INR"/>
    <n v="7399.5"/>
    <s v="O0"/>
    <s v="6779224500"/>
    <s v=""/>
    <s v=""/>
    <s v="1"/>
    <s v="VAS - 16-30 June 25"/>
    <s v=""/>
    <s v=""/>
    <s v=""/>
    <d v="2025-07-04T00:00:00"/>
    <m/>
    <s v=""/>
  </r>
  <r>
    <s v="Not Selected"/>
    <n v="6788"/>
    <n v="100222362"/>
    <s v="ONNSYNEX VENTURES PRIVATE LIMITED"/>
    <s v="2025"/>
    <s v="7"/>
    <d v="2025-07-04T00:00:00"/>
    <n v="1800000358"/>
    <s v="DR"/>
    <x v="19"/>
    <d v="2025-07-09T00:00:00"/>
    <s v="Na"/>
    <n v="256788410233"/>
    <s v="212100"/>
    <s v="Trade Debtors (Ctrl)"/>
    <s v=""/>
    <s v="01"/>
    <s v="USD"/>
    <n v="10350.540000000001"/>
    <s v="INR"/>
    <n v="890153.37"/>
    <s v="O0"/>
    <s v="6788224500"/>
    <s v=""/>
    <s v="NA"/>
    <s v="1"/>
    <s v="Unit Storage - 1-30 June 25"/>
    <s v=""/>
    <s v=""/>
    <s v=""/>
    <d v="2025-07-04T00:00:00"/>
    <m/>
    <s v=""/>
  </r>
  <r>
    <s v="Not Selected"/>
    <n v="6788"/>
    <n v="100222362"/>
    <s v="ONNSYNEX VENTURES PRIVATE LIMITED"/>
    <s v="2025"/>
    <s v="7"/>
    <d v="2025-07-04T00:00:00"/>
    <n v="1800000360"/>
    <s v="DR"/>
    <x v="19"/>
    <d v="2025-07-09T00:00:00"/>
    <s v="Na"/>
    <n v="256788410235"/>
    <s v="212100"/>
    <s v="Trade Debtors (Ctrl)"/>
    <s v=""/>
    <s v="01"/>
    <s v="USD"/>
    <n v="2323.12"/>
    <s v="INR"/>
    <n v="199789.88"/>
    <s v="O0"/>
    <s v="6788224500"/>
    <s v=""/>
    <s v="NA"/>
    <s v="1"/>
    <s v="CY Ground rent Chgs - 01 - 30 June 25"/>
    <s v=""/>
    <s v=""/>
    <s v=""/>
    <d v="2025-07-04T00:00:00"/>
    <m/>
    <s v=""/>
  </r>
  <r>
    <s v="Not Selected"/>
    <n v="6788"/>
    <n v="100222362"/>
    <s v="ONNSYNEX VENTURES PRIVATE LIMITED"/>
    <s v="2025"/>
    <s v="7"/>
    <d v="2025-07-04T00:00:00"/>
    <n v="1800000362"/>
    <s v="DR"/>
    <x v="19"/>
    <d v="2025-07-09T00:00:00"/>
    <s v="Na"/>
    <n v="256788410237"/>
    <s v="212100"/>
    <s v="Trade Debtors (Ctrl)"/>
    <s v=""/>
    <s v="01"/>
    <s v="USD"/>
    <n v="75"/>
    <s v="INR"/>
    <n v="6450.05"/>
    <s v="O0"/>
    <s v="6788224500"/>
    <s v=""/>
    <s v="NA"/>
    <s v="1"/>
    <s v="Fixed Storage Charges fo JULY 2025"/>
    <s v=""/>
    <s v=""/>
    <s v=""/>
    <d v="2025-07-04T00:00:00"/>
    <m/>
    <s v=""/>
  </r>
  <r>
    <s v="Not Selected"/>
    <n v="6788"/>
    <n v="100222362"/>
    <s v="ONNSYNEX VENTURES PRIVATE LIMITED"/>
    <s v="2025"/>
    <s v="7"/>
    <d v="2025-07-04T00:00:00"/>
    <n v="1800000380"/>
    <s v="DR"/>
    <x v="19"/>
    <d v="2025-07-09T00:00:00"/>
    <s v="Na"/>
    <n v="256788410255"/>
    <s v="212100"/>
    <s v="Trade Debtors (Ctrl)"/>
    <s v=""/>
    <s v="01"/>
    <s v="USD"/>
    <n v="14"/>
    <s v="INR"/>
    <n v="1204.01"/>
    <s v="O0"/>
    <s v="6788224500"/>
    <s v=""/>
    <s v="NA"/>
    <s v="1"/>
    <s v="LCL Chgs - 01 - 15 JUN 25"/>
    <s v=""/>
    <s v=""/>
    <s v=""/>
    <d v="2025-07-04T00:00:00"/>
    <m/>
    <s v=""/>
  </r>
  <r>
    <s v="Not Selected"/>
    <n v="6788"/>
    <n v="100222362"/>
    <s v="ONNSYNEX VENTURES PRIVATE LIMITED"/>
    <s v="2025"/>
    <s v="7"/>
    <d v="2025-07-04T00:00:00"/>
    <n v="1800000382"/>
    <s v="DR"/>
    <x v="19"/>
    <d v="2025-07-09T00:00:00"/>
    <s v="Na"/>
    <n v="256788410257"/>
    <s v="212100"/>
    <s v="Trade Debtors (Ctrl)"/>
    <s v=""/>
    <s v="01"/>
    <s v="USD"/>
    <n v="67.760000000000005"/>
    <s v="INR"/>
    <n v="5827.41"/>
    <s v="O0"/>
    <s v="6788224500"/>
    <s v=""/>
    <s v="NA"/>
    <s v="1"/>
    <s v="Outbound chgs - 01 - 15 JUN 25"/>
    <s v=""/>
    <s v=""/>
    <s v=""/>
    <d v="2025-07-04T00:00:00"/>
    <m/>
    <s v=""/>
  </r>
  <r>
    <s v="Not Selected"/>
    <n v="6788"/>
    <n v="100222362"/>
    <s v="ONNSYNEX VENTURES PRIVATE LIMITED"/>
    <s v="2025"/>
    <s v="7"/>
    <d v="2025-07-04T00:00:00"/>
    <n v="1800000383"/>
    <s v="DR"/>
    <x v="19"/>
    <d v="2025-07-09T00:00:00"/>
    <s v="Na"/>
    <n v="256788410258"/>
    <s v="212100"/>
    <s v="Trade Debtors (Ctrl)"/>
    <s v=""/>
    <s v="01"/>
    <s v="USD"/>
    <n v="17"/>
    <s v="INR"/>
    <n v="1462.01"/>
    <s v="O0"/>
    <s v="6788224500"/>
    <s v=""/>
    <s v="NA"/>
    <s v="1"/>
    <s v="Outbound chgs - 16 - 30 JUN 25"/>
    <s v=""/>
    <s v=""/>
    <s v=""/>
    <d v="2025-07-04T00:00:00"/>
    <m/>
    <s v=""/>
  </r>
  <r>
    <s v="Selected"/>
    <n v="6788"/>
    <n v="100222362"/>
    <s v="ONNSYNEX VENTURES PRIVATE LIMITED"/>
    <s v="2025"/>
    <s v="7"/>
    <d v="2025-07-04T00:00:00"/>
    <n v="1800000391"/>
    <s v="DR"/>
    <x v="19"/>
    <d v="2025-07-25T00:00:00"/>
    <s v="Na"/>
    <n v="256788410267"/>
    <s v="212100"/>
    <s v="Trade Debtors (Ctrl)"/>
    <s v=""/>
    <s v="01"/>
    <s v="USD"/>
    <n v="9"/>
    <s v="INR"/>
    <n v="774.01"/>
    <s v="O0"/>
    <s v="6788224500"/>
    <s v=""/>
    <s v="NA"/>
    <s v="1"/>
    <s v="Outbound chgs - 01 - 15 JUL 25"/>
    <s v=""/>
    <s v=""/>
    <s v=""/>
    <d v="2025-07-04T00:00:00"/>
    <d v="2025-11-15T00:00:00"/>
    <s v="1400000084"/>
  </r>
  <r>
    <s v="Not Selected"/>
    <n v="6788"/>
    <n v="100222362"/>
    <s v="ONNSYNEX VENTURES PRIVATE LIMITED"/>
    <s v="2025"/>
    <s v="11"/>
    <d v="2025-11-05T00:00:00"/>
    <n v="1800000576"/>
    <s v="DR"/>
    <x v="20"/>
    <d v="2025-11-05T00:00:00"/>
    <s v="Na"/>
    <n v="256788410441"/>
    <s v="212100"/>
    <s v="Trade Debtors (Ctrl)"/>
    <s v=""/>
    <s v="01"/>
    <s v="USD"/>
    <n v="75"/>
    <s v="INR"/>
    <n v="6600.25"/>
    <s v="O0"/>
    <s v="6788224500"/>
    <s v=""/>
    <s v="2123155"/>
    <s v="1"/>
    <s v="Fixed Storage Charges for November 20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87"/>
    <s v="DR"/>
    <x v="20"/>
    <d v="2025-11-06T00:00:00"/>
    <s v="Na"/>
    <n v="256788410448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88"/>
    <s v="DR"/>
    <x v="20"/>
    <d v="2025-11-06T00:00:00"/>
    <s v="Na"/>
    <n v="256788410449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89"/>
    <s v="DR"/>
    <x v="20"/>
    <d v="2025-11-06T00:00:00"/>
    <s v="Na"/>
    <n v="256788410450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90"/>
    <s v="DR"/>
    <x v="20"/>
    <d v="2025-11-06T00:00:00"/>
    <s v="Na"/>
    <n v="256788410451"/>
    <s v="212100"/>
    <s v="Trade Debtors (Ctrl)"/>
    <s v=""/>
    <s v="01"/>
    <s v="USD"/>
    <n v="70"/>
    <s v="INR"/>
    <n v="6160.24"/>
    <s v="O0"/>
    <s v="6788224500"/>
    <s v=""/>
    <s v="2123383"/>
    <s v="1"/>
    <s v="Intra SEZ-Transfer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91"/>
    <s v="DR"/>
    <x v="20"/>
    <d v="2025-11-06T00:00:00"/>
    <s v="Na"/>
    <n v="256788410452"/>
    <s v="212100"/>
    <s v="Trade Debtors (Ctrl)"/>
    <s v=""/>
    <s v="01"/>
    <s v="USD"/>
    <n v="65.31"/>
    <s v="INR"/>
    <n v="5747.5"/>
    <s v="O0"/>
    <s v="6788224500"/>
    <s v=""/>
    <s v="2123383"/>
    <s v="1"/>
    <s v="VAS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92"/>
    <s v="DR"/>
    <x v="20"/>
    <d v="2025-11-06T00:00:00"/>
    <s v="Na"/>
    <n v="256788410453"/>
    <s v="212100"/>
    <s v="Trade Debtors (Ctrl)"/>
    <s v=""/>
    <s v="01"/>
    <s v="USD"/>
    <n v="31.56"/>
    <s v="INR"/>
    <n v="2777.39"/>
    <s v="O0"/>
    <s v="6788224500"/>
    <s v=""/>
    <s v="2123383"/>
    <s v="1"/>
    <s v="WEIGHTMENT-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85"/>
    <s v="DR"/>
    <x v="20"/>
    <d v="2025-11-06T00:00:00"/>
    <s v="Na"/>
    <n v="256788410454"/>
    <s v="212100"/>
    <s v="Trade Debtors (Ctrl)"/>
    <s v=""/>
    <s v="01"/>
    <s v="USD"/>
    <n v="4547.2"/>
    <s v="INR"/>
    <n v="400169.02"/>
    <s v="O0"/>
    <s v="6788224500"/>
    <s v=""/>
    <s v="2123386"/>
    <s v="1"/>
    <s v="Unit-Storage-1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93"/>
    <s v="DR"/>
    <x v="20"/>
    <d v="2025-11-06T00:00:00"/>
    <s v="Na"/>
    <n v="256788410455"/>
    <s v="212100"/>
    <s v="Trade Debtors (Ctrl)"/>
    <s v=""/>
    <s v="01"/>
    <s v="USD"/>
    <n v="338"/>
    <s v="INR"/>
    <n v="29745.15"/>
    <s v="O0"/>
    <s v="6788224500"/>
    <s v=""/>
    <s v="2123411"/>
    <s v="1"/>
    <s v="Outbound chgs - 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84"/>
    <s v="DR"/>
    <x v="20"/>
    <d v="2025-11-06T00:00:00"/>
    <s v="Na"/>
    <n v="256788410457"/>
    <s v="212100"/>
    <s v="Trade Debtors (Ctrl)"/>
    <s v=""/>
    <s v="01"/>
    <s v="USD"/>
    <n v="93"/>
    <s v="INR"/>
    <n v="8184.32"/>
    <s v="O0"/>
    <s v="6788224500"/>
    <s v=""/>
    <s v="NA"/>
    <s v="1"/>
    <s v="LCL chgs - 16 -31 OCT 25"/>
    <s v=""/>
    <s v=""/>
    <s v=""/>
    <d v="2025-11-05T00:00:00"/>
    <m/>
    <s v=""/>
  </r>
  <r>
    <s v="Not Selected"/>
    <n v="6788"/>
    <n v="100222362"/>
    <s v="ONNSYNEX VENTURES PRIVATE LIMITED"/>
    <s v="2025"/>
    <s v="11"/>
    <d v="2025-11-05T00:00:00"/>
    <n v="1800000586"/>
    <s v="DR"/>
    <x v="20"/>
    <d v="2025-11-06T00:00:00"/>
    <s v="Na"/>
    <n v="256788410458"/>
    <s v="212100"/>
    <s v="Trade Debtors (Ctrl)"/>
    <s v=""/>
    <s v="01"/>
    <s v="USD"/>
    <n v="103.89"/>
    <s v="INR"/>
    <n v="9142.67"/>
    <s v="O0"/>
    <s v="6788224500"/>
    <s v=""/>
    <s v="NA"/>
    <s v="1"/>
    <s v="Empty Lolo Chgs Oct 25"/>
    <s v=""/>
    <s v=""/>
    <s v=""/>
    <d v="2025-11-05T00:00:00"/>
    <m/>
    <s v=""/>
  </r>
  <r>
    <s v="Not Selected"/>
    <n v="6788"/>
    <n v="100222362"/>
    <s v="ONNSYNEX VENTURES PRIVATE LIMITED"/>
    <s v="2025"/>
    <s v="8"/>
    <d v="2025-08-08T00:00:00"/>
    <n v="1800000466"/>
    <s v="DR"/>
    <x v="21"/>
    <d v="2025-08-08T00:00:00"/>
    <s v="Na"/>
    <n v="256788410332"/>
    <s v="212100"/>
    <s v="Trade Debtors (Ctrl)"/>
    <s v=""/>
    <s v="01"/>
    <s v="USD"/>
    <n v="443.76"/>
    <s v="INR"/>
    <n v="38176.730000000003"/>
    <s v="O0"/>
    <s v="6788224500"/>
    <s v=""/>
    <s v="NA"/>
    <s v="1"/>
    <s v="Unit Storage - 1-30 June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69"/>
    <s v="DR"/>
    <x v="21"/>
    <d v="2025-08-08T00:00:00"/>
    <s v="Na"/>
    <n v="256788410335"/>
    <s v="212100"/>
    <s v="Trade Debtors (Ctrl)"/>
    <s v=""/>
    <s v="01"/>
    <s v="USD"/>
    <n v="73.67"/>
    <s v="INR"/>
    <n v="6337.84"/>
    <s v="O0"/>
    <s v="6788224500"/>
    <s v=""/>
    <s v="NA"/>
    <s v="1"/>
    <s v="VAS 16-31 July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70"/>
    <s v="DR"/>
    <x v="21"/>
    <d v="2025-08-08T00:00:00"/>
    <s v="Na"/>
    <n v="256788410336"/>
    <s v="212100"/>
    <s v="Trade Debtors (Ctrl)"/>
    <s v=""/>
    <s v="01"/>
    <s v="USD"/>
    <n v="11976.87"/>
    <s v="INR"/>
    <n v="1030371.56"/>
    <s v="O0"/>
    <s v="6788224500"/>
    <s v=""/>
    <s v="NA"/>
    <s v="1"/>
    <s v="Unit Storage - 1-31 July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57"/>
    <s v="DR"/>
    <x v="21"/>
    <d v="2025-08-08T00:00:00"/>
    <s v="Na"/>
    <n v="256788410338"/>
    <s v="212100"/>
    <s v="Trade Debtors (Ctrl)"/>
    <s v=""/>
    <s v="01"/>
    <s v="USD"/>
    <n v="607.84"/>
    <s v="INR"/>
    <n v="52292.55"/>
    <s v="O0"/>
    <s v="6788224500"/>
    <s v=""/>
    <s v="NA"/>
    <s v="1"/>
    <s v="Transportation IN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58"/>
    <s v="DR"/>
    <x v="21"/>
    <d v="2025-08-08T00:00:00"/>
    <s v="Na"/>
    <n v="256788410339"/>
    <s v="212100"/>
    <s v="Trade Debtors (Ctrl)"/>
    <s v=""/>
    <s v="01"/>
    <s v="USD"/>
    <n v="400"/>
    <s v="INR"/>
    <n v="34412.050000000003"/>
    <s v="O0"/>
    <s v="6788224500"/>
    <s v=""/>
    <s v="NA"/>
    <s v="1"/>
    <s v="Transportation IN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59"/>
    <s v="DR"/>
    <x v="21"/>
    <d v="2025-08-08T00:00:00"/>
    <s v="Na"/>
    <n v="256788410340"/>
    <s v="212100"/>
    <s v="Trade Debtors (Ctrl)"/>
    <s v=""/>
    <s v="01"/>
    <s v="USD"/>
    <n v="90"/>
    <s v="INR"/>
    <n v="7742.71"/>
    <s v="O0"/>
    <s v="6788224500"/>
    <s v=""/>
    <s v="NA"/>
    <s v="1"/>
    <s v="Scanning 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60"/>
    <s v="DR"/>
    <x v="21"/>
    <d v="2025-08-08T00:00:00"/>
    <s v="Na"/>
    <n v="256788410341"/>
    <s v="212100"/>
    <s v="Trade Debtors (Ctrl)"/>
    <s v=""/>
    <s v="01"/>
    <s v="USD"/>
    <n v="31.3"/>
    <s v="INR"/>
    <n v="2692.74"/>
    <s v="O0"/>
    <s v="6788224500"/>
    <s v=""/>
    <s v="NA"/>
    <s v="1"/>
    <s v="Empty Lolo  Chgs - 01 - 31 Jul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61"/>
    <s v="DR"/>
    <x v="21"/>
    <d v="2025-08-08T00:00:00"/>
    <s v="Na"/>
    <n v="256788410342"/>
    <s v="212100"/>
    <s v="Trade Debtors (Ctrl)"/>
    <s v=""/>
    <s v="01"/>
    <s v="USD"/>
    <n v="2269.79"/>
    <s v="INR"/>
    <n v="195270.31"/>
    <s v="O0"/>
    <s v="6788224500"/>
    <s v=""/>
    <s v="NA"/>
    <s v="1"/>
    <s v="CY Grd Rent Chgs - 01 - 31 Jul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62"/>
    <s v="DR"/>
    <x v="21"/>
    <d v="2025-08-08T00:00:00"/>
    <s v="Na"/>
    <n v="256788410343"/>
    <s v="212100"/>
    <s v="Trade Debtors (Ctrl)"/>
    <s v=""/>
    <s v="01"/>
    <s v="USD"/>
    <n v="18.52"/>
    <s v="INR"/>
    <n v="1593.28"/>
    <s v="O0"/>
    <s v="6788224500"/>
    <s v=""/>
    <s v="NA"/>
    <s v="1"/>
    <s v="Outbound chgs - 16 - 31 JUL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65"/>
    <s v="DR"/>
    <x v="21"/>
    <d v="2025-08-08T00:00:00"/>
    <s v="Na"/>
    <n v="256788410346"/>
    <s v="212100"/>
    <s v="Trade Debtors (Ctrl)"/>
    <s v=""/>
    <s v="01"/>
    <s v="USD"/>
    <n v="73.67"/>
    <s v="INR"/>
    <n v="6337.84"/>
    <s v="O0"/>
    <s v="6788224500"/>
    <s v=""/>
    <s v="NA"/>
    <s v="1"/>
    <s v="VAS 16-31 July 25"/>
    <s v=""/>
    <s v=""/>
    <s v=""/>
    <d v="2025-08-08T00:00:00"/>
    <m/>
    <s v=""/>
  </r>
  <r>
    <s v="Not Selected"/>
    <n v="6788"/>
    <n v="100222362"/>
    <s v="ONNSYNEX VENTURES PRIVATE LIMITED"/>
    <s v="2025"/>
    <s v="8"/>
    <d v="2025-08-08T00:00:00"/>
    <n v="1800000472"/>
    <s v="DR"/>
    <x v="21"/>
    <d v="2025-08-08T00:00:00"/>
    <s v="Na"/>
    <n v="256788410347"/>
    <s v="212100"/>
    <s v="Trade Debtors (Ctrl)"/>
    <s v=""/>
    <s v="01"/>
    <s v="USD"/>
    <n v="393.73"/>
    <s v="INR"/>
    <n v="33872.639999999999"/>
    <s v="O0"/>
    <s v="6788224500"/>
    <s v=""/>
    <s v="NA"/>
    <s v="1"/>
    <s v="PORT SSR Chgs July 25"/>
    <s v=""/>
    <s v=""/>
    <s v=""/>
    <d v="2025-08-08T00:00:00"/>
    <m/>
    <s v=""/>
  </r>
  <r>
    <s v="Not Selected"/>
    <n v="6788"/>
    <n v="100222362"/>
    <s v="ONNSYNEX VENTURES PRIVATE LIMITED"/>
    <s v="2025"/>
    <s v="6"/>
    <d v="2025-06-04T00:00:00"/>
    <n v="1800000350"/>
    <s v="DR"/>
    <x v="22"/>
    <d v="2025-06-09T00:00:00"/>
    <s v="Na"/>
    <n v="256788410225"/>
    <s v="212100"/>
    <s v="Trade Debtors (Ctrl)"/>
    <s v=""/>
    <s v="01"/>
    <s v="USD"/>
    <n v="111.13"/>
    <s v="INR"/>
    <n v="9500.59"/>
    <s v="O0"/>
    <s v="6788224500"/>
    <s v=""/>
    <s v="NA"/>
    <s v="1"/>
    <s v="PORT SSR Chgs - 16 - 31 May 25"/>
    <s v=""/>
    <s v=""/>
    <s v=""/>
    <d v="2025-06-04T00:00:00"/>
    <m/>
    <s v=""/>
  </r>
  <r>
    <s v="Not Selected"/>
    <n v="6788"/>
    <n v="100222362"/>
    <s v="ONNSYNEX VENTURES PRIVATE LIMITED"/>
    <s v="2025"/>
    <s v="6"/>
    <d v="2025-06-04T00:00:00"/>
    <n v="1800000351"/>
    <s v="DR"/>
    <x v="22"/>
    <d v="2025-06-09T00:00:00"/>
    <s v="Na"/>
    <n v="256788410226"/>
    <s v="212100"/>
    <s v="Trade Debtors (Ctrl)"/>
    <s v=""/>
    <s v="01"/>
    <s v="USD"/>
    <n v="223.31"/>
    <s v="INR"/>
    <n v="19090.95"/>
    <s v="O0"/>
    <s v="6788224500"/>
    <s v=""/>
    <s v="NA"/>
    <s v="1"/>
    <s v="Transportation In Chgs -16-31 MAY 25"/>
    <s v=""/>
    <s v=""/>
    <s v=""/>
    <d v="2025-06-04T00:00:00"/>
    <m/>
    <s v=""/>
  </r>
  <r>
    <s v="Not Selected"/>
    <n v="6788"/>
    <n v="100222362"/>
    <s v="ONNSYNEX VENTURES PRIVATE LIMITED"/>
    <s v="2025"/>
    <s v="6"/>
    <d v="2025-06-04T00:00:00"/>
    <n v="1800000352"/>
    <s v="DR"/>
    <x v="22"/>
    <d v="2025-06-13T00:00:00"/>
    <s v="Na"/>
    <n v="256788410227"/>
    <s v="212100"/>
    <s v="Trade Debtors (Ctrl)"/>
    <s v=""/>
    <s v="01"/>
    <s v="USD"/>
    <n v="27.61"/>
    <s v="INR"/>
    <n v="2360.4"/>
    <s v="O0"/>
    <s v="6788224500"/>
    <s v=""/>
    <s v="NA"/>
    <s v="1"/>
    <s v="Empty Lolo Chgs - 01 - 31 MAY 25"/>
    <s v=""/>
    <s v=""/>
    <s v=""/>
    <d v="2025-06-04T00:00:00"/>
    <m/>
    <s v=""/>
  </r>
  <r>
    <s v="Selected"/>
    <n v="6788"/>
    <n v="100222362"/>
    <s v="ONNSYNEX VENTURES PRIVATE LIMITED"/>
    <s v="2025"/>
    <s v="5"/>
    <d v="2025-05-16T00:00:00"/>
    <n v="1600000113"/>
    <s v="DG"/>
    <x v="23"/>
    <d v="2025-05-23T00:00:00"/>
    <s v="Na"/>
    <n v="256788420001"/>
    <s v="212100"/>
    <s v="Trade Debtors (Ctrl)"/>
    <s v=""/>
    <s v="11"/>
    <s v="USD"/>
    <n v="-75"/>
    <s v="INR"/>
    <n v="-6448.78"/>
    <s v="O0"/>
    <s v="6788224500"/>
    <s v=""/>
    <s v="NA"/>
    <s v="1"/>
    <s v="Credit note raised agaisnt INV_256788410019"/>
    <s v=""/>
    <s v=""/>
    <s v=""/>
    <d v="2025-05-16T00:00:00"/>
    <d v="2025-11-15T00:00:00"/>
    <s v="1400000084"/>
  </r>
  <r>
    <s v="Selected"/>
    <n v="6788"/>
    <n v="100222362"/>
    <s v="ONNSYNEX VENTURES PRIVATE LIMITED"/>
    <s v="2025"/>
    <s v="5"/>
    <d v="2025-05-16T00:00:00"/>
    <n v="1600000117"/>
    <s v="DG"/>
    <x v="23"/>
    <d v="2025-05-23T00:00:00"/>
    <s v="Na"/>
    <n v="256788420005"/>
    <s v="212100"/>
    <s v="Trade Debtors (Ctrl)"/>
    <s v=""/>
    <s v="11"/>
    <s v="USD"/>
    <n v="-75"/>
    <s v="INR"/>
    <n v="-6448.78"/>
    <s v="O0"/>
    <s v="6788224500"/>
    <s v=""/>
    <s v="NA"/>
    <s v="1"/>
    <s v="Credit note raised agaisnt INV_256788410023"/>
    <s v=""/>
    <s v=""/>
    <s v=""/>
    <d v="2025-05-16T00:00:00"/>
    <d v="2025-11-15T00:00:00"/>
    <s v="1400000084"/>
  </r>
  <r>
    <s v="Selected"/>
    <n v="6788"/>
    <n v="100222362"/>
    <s v="ONNSYNEX VENTURES PRIVATE LIMITED"/>
    <s v="2025"/>
    <s v="2"/>
    <d v="2025-02-17T00:00:00"/>
    <n v="1800000000"/>
    <s v="DR"/>
    <x v="1"/>
    <d v="2025-02-17T00:00:00"/>
    <s v="Na"/>
    <n v="246788410001"/>
    <s v="212100"/>
    <s v="Trade Debtors (Ctrl)"/>
    <s v=""/>
    <s v="01"/>
    <s v="USD"/>
    <n v="75"/>
    <s v="INR"/>
    <n v="6472.77"/>
    <s v="O0"/>
    <s v="6788224500"/>
    <s v=""/>
    <s v="NA"/>
    <s v="1"/>
    <s v="Fixed Rental charges for Aug 2024"/>
    <s v=""/>
    <s v=""/>
    <s v=""/>
    <d v="2025-02-17T00:00:00"/>
    <d v="2025-02-19T00:00:00"/>
    <s v="1400000001"/>
  </r>
  <r>
    <s v="Not Selected"/>
    <n v="6788"/>
    <n v="100222362"/>
    <s v="ONNSYNEX VENTURES PRIVATE LIMITED"/>
    <s v="2025"/>
    <s v="5"/>
    <d v="2025-05-28T00:00:00"/>
    <n v="1800000346"/>
    <s v="DR"/>
    <x v="24"/>
    <d v="2025-05-28T00:00:00"/>
    <s v="Na"/>
    <n v="256788410221"/>
    <s v="212100"/>
    <s v="Trade Debtors (Ctrl)"/>
    <s v=""/>
    <s v="01"/>
    <s v="USD"/>
    <n v="10364.719999999999"/>
    <s v="INR"/>
    <n v="891196.98"/>
    <s v="O0"/>
    <s v="6788224500"/>
    <s v=""/>
    <s v="NA"/>
    <s v="1"/>
    <s v="Storage Chgs - 01 - 31 Apr 25"/>
    <s v=""/>
    <s v=""/>
    <s v=""/>
    <d v="2025-05-28T00:00:00"/>
    <m/>
    <s v=""/>
  </r>
  <r>
    <s v="Not Selected"/>
    <n v="6788"/>
    <n v="100222362"/>
    <s v="ONNSYNEX VENTURES PRIVATE LIMITED"/>
    <s v="2025"/>
    <s v="7"/>
    <d v="2025-07-18T00:00:00"/>
    <n v="1800000389"/>
    <s v="DR"/>
    <x v="25"/>
    <d v="2025-07-25T00:00:00"/>
    <s v="Na"/>
    <n v="256788410265"/>
    <s v="212100"/>
    <s v="Trade Debtors (Ctrl)"/>
    <s v=""/>
    <s v="01"/>
    <s v="USD"/>
    <n v="1510.02"/>
    <s v="INR"/>
    <n v="129862.73"/>
    <s v="O0"/>
    <s v="6788224500"/>
    <s v=""/>
    <s v="NA"/>
    <s v="1"/>
    <s v="CODC Transport Chgs - 01 - 15 July 25"/>
    <s v=""/>
    <s v=""/>
    <s v=""/>
    <d v="2025-07-18T00:00:00"/>
    <m/>
    <s v=""/>
  </r>
  <r>
    <s v="Not Selected"/>
    <n v="6788"/>
    <n v="100222362"/>
    <s v="ONNSYNEX VENTURES PRIVATE LIMITED"/>
    <s v="2025"/>
    <s v="3"/>
    <d v="2025-03-13T00:00:00"/>
    <n v="1800000064"/>
    <s v="DR"/>
    <x v="26"/>
    <d v="2025-03-14T00:00:00"/>
    <s v="Na"/>
    <n v="246788410059"/>
    <s v="212100"/>
    <s v="Trade Debtors (Ctrl)"/>
    <s v=""/>
    <s v="01"/>
    <s v="USD"/>
    <n v="25.75"/>
    <s v="INR"/>
    <n v="2232.3000000000002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d v="2025-03-13T00:00:00"/>
    <n v="1800000065"/>
    <s v="DR"/>
    <x v="26"/>
    <d v="2025-03-14T00:00:00"/>
    <s v="Na"/>
    <n v="246788410060"/>
    <s v="212100"/>
    <s v="Trade Debtors (Ctrl)"/>
    <s v=""/>
    <s v="01"/>
    <s v="USD"/>
    <n v="37.200000000000003"/>
    <s v="INR"/>
    <n v="3224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d v="2025-03-13T00:00:00"/>
    <n v="1800000066"/>
    <s v="DR"/>
    <x v="26"/>
    <d v="2025-03-14T00:00:00"/>
    <s v="Na"/>
    <n v="246788410061"/>
    <s v="212100"/>
    <s v="Trade Debtors (Ctrl)"/>
    <s v=""/>
    <s v="01"/>
    <s v="USD"/>
    <n v="26.23"/>
    <s v="INR"/>
    <n v="2273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d v="2025-03-13T00:00:00"/>
    <n v="1800000067"/>
    <s v="DR"/>
    <x v="26"/>
    <d v="2025-03-14T00:00:00"/>
    <s v="Na"/>
    <n v="246788410062"/>
    <s v="212100"/>
    <s v="Trade Debtors (Ctrl)"/>
    <s v=""/>
    <s v="01"/>
    <s v="USD"/>
    <n v="26.23"/>
    <s v="INR"/>
    <n v="2273.91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d v="2025-03-13T00:00:00"/>
    <n v="1800000068"/>
    <s v="DR"/>
    <x v="26"/>
    <d v="2025-03-14T00:00:00"/>
    <s v="Na"/>
    <n v="246788410063"/>
    <s v="212100"/>
    <s v="Trade Debtors (Ctrl)"/>
    <s v=""/>
    <s v="01"/>
    <s v="USD"/>
    <n v="23.85"/>
    <s v="INR"/>
    <n v="2067.59"/>
    <s v="O0"/>
    <s v="6788224500"/>
    <s v=""/>
    <s v="NA"/>
    <s v="1"/>
    <s v="VAS Activity Charges for the month of August, 24"/>
    <s v=""/>
    <s v=""/>
    <s v=""/>
    <d v="2025-03-13T00:00:00"/>
    <m/>
    <s v=""/>
  </r>
  <r>
    <s v="Not Selected"/>
    <n v="6788"/>
    <n v="100222362"/>
    <s v="ONNSYNEX VENTURES PRIVATE LIMITED"/>
    <s v="2025"/>
    <s v="3"/>
    <d v="2025-03-13T00:00:00"/>
    <n v="1800000069"/>
    <s v="DR"/>
    <x v="26"/>
    <d v="2025-03-14T00:00:00"/>
    <s v="Na"/>
    <n v="246788410064"/>
    <s v="212100"/>
    <s v="Trade Debtors (Ctrl)"/>
    <s v=""/>
    <s v="01"/>
    <s v="USD"/>
    <n v="23.87"/>
    <s v="INR"/>
    <n v="2069.3200000000002"/>
    <s v="O0"/>
    <s v="6788224500"/>
    <s v=""/>
    <s v="NA"/>
    <s v="1"/>
    <s v="VAS Activity Charges for the month of September, 2"/>
    <s v=""/>
    <s v=""/>
    <s v=""/>
    <d v="2025-03-13T00:00:00"/>
    <m/>
    <s v=""/>
  </r>
  <r>
    <s v="Not Selected"/>
    <n v="6788"/>
    <n v="100222362"/>
    <s v="ONNSYNEX VENTURES PRIVATE LIMITED"/>
    <s v="2025"/>
    <s v="3"/>
    <d v="2025-03-13T00:00:00"/>
    <n v="1800000070"/>
    <s v="DR"/>
    <x v="26"/>
    <d v="2025-03-14T00:00:00"/>
    <s v="Na"/>
    <n v="246788410065"/>
    <s v="212100"/>
    <s v="Trade Debtors (Ctrl)"/>
    <s v=""/>
    <s v="01"/>
    <s v="USD"/>
    <n v="23.63"/>
    <s v="INR"/>
    <n v="2048.5100000000002"/>
    <s v="O0"/>
    <s v="6788224500"/>
    <s v=""/>
    <s v="NA"/>
    <s v="1"/>
    <s v="VAS Activity Charges for the month of September, 2"/>
    <s v=""/>
    <s v=""/>
    <s v=""/>
    <d v="2025-03-13T00:00:00"/>
    <m/>
    <s v=""/>
  </r>
  <r>
    <s v="Not Selected"/>
    <n v="6779"/>
    <n v="100222362"/>
    <s v="ONNSYNEX VENTURES PRIVATE LIMITED"/>
    <s v="2025"/>
    <s v="3"/>
    <d v="2025-03-20T00:00:00"/>
    <n v="1800005048"/>
    <s v="DR"/>
    <x v="27"/>
    <d v="2025-03-21T00:00:00"/>
    <s v="Na"/>
    <n v="246779414916"/>
    <s v="212100"/>
    <s v="Trade Debtors (Ctrl)"/>
    <s v=""/>
    <s v="01"/>
    <s v="USD"/>
    <n v="7.26"/>
    <s v="INR"/>
    <n v="629.38"/>
    <s v="O0"/>
    <s v="6779224500"/>
    <s v=""/>
    <s v="NA"/>
    <s v="1"/>
    <s v="Inbound Handling charges for Feb 2025"/>
    <s v=""/>
    <s v=""/>
    <s v=""/>
    <d v="2025-03-20T00:00:00"/>
    <m/>
    <s v=""/>
  </r>
  <r>
    <s v="Not Selected"/>
    <n v="6779"/>
    <n v="100222362"/>
    <s v="ONNSYNEX VENTURES PRIVATE LIMITED"/>
    <s v="2025"/>
    <s v="3"/>
    <d v="2025-03-20T00:00:00"/>
    <n v="1800005049"/>
    <s v="DR"/>
    <x v="27"/>
    <d v="2025-03-21T00:00:00"/>
    <s v="Na"/>
    <n v="246779414917"/>
    <s v="212100"/>
    <s v="Trade Debtors (Ctrl)"/>
    <s v=""/>
    <s v="01"/>
    <s v="USD"/>
    <n v="12"/>
    <s v="INR"/>
    <n v="1040.3"/>
    <s v="O0"/>
    <s v="6779224500"/>
    <s v=""/>
    <s v="NA"/>
    <s v="1"/>
    <s v="LCL Movement Charges for Feb 2025"/>
    <s v=""/>
    <s v=""/>
    <s v=""/>
    <d v="2025-03-20T00:00:00"/>
    <m/>
    <s v=""/>
  </r>
  <r>
    <s v="Not Selected"/>
    <n v="6788"/>
    <n v="100222362"/>
    <s v="ONNSYNEX VENTURES PRIVATE LIMITED"/>
    <s v="2025"/>
    <s v="2"/>
    <d v="2025-02-20T00:00:00"/>
    <n v="1800000029"/>
    <s v="DR"/>
    <x v="28"/>
    <d v="2025-02-20T00:00:00"/>
    <s v="Na"/>
    <n v="246788410019"/>
    <s v="212100"/>
    <s v="Trade Debtors (Ctrl)"/>
    <s v=""/>
    <s v="01"/>
    <s v="USD"/>
    <n v="75"/>
    <s v="INR"/>
    <n v="6472.77"/>
    <s v="O0"/>
    <s v="6788224500"/>
    <s v=""/>
    <s v="NA"/>
    <s v="1"/>
    <s v="Fixed Rental charges for Feb 2025"/>
    <s v=""/>
    <s v=""/>
    <s v=""/>
    <d v="2025-02-20T00:00:00"/>
    <m/>
    <s v=""/>
  </r>
  <r>
    <s v="Not Selected"/>
    <n v="6788"/>
    <n v="100222362"/>
    <s v="ONNSYNEX VENTURES PRIVATE LIMITED"/>
    <s v="2025"/>
    <s v="2"/>
    <d v="2025-02-20T00:00:00"/>
    <n v="1800000033"/>
    <s v="DR"/>
    <x v="28"/>
    <d v="2025-02-20T00:00:00"/>
    <s v="Na"/>
    <n v="246788410021"/>
    <s v="212100"/>
    <s v="Trade Debtors (Ctrl)"/>
    <s v=""/>
    <s v="01"/>
    <s v="USD"/>
    <n v="75"/>
    <s v="INR"/>
    <n v="6472.77"/>
    <s v="O0"/>
    <s v="6788224500"/>
    <s v=""/>
    <s v="NA"/>
    <s v="1"/>
    <s v="Fixed Rental charges for Jan 2025"/>
    <s v=""/>
    <s v=""/>
    <s v=""/>
    <d v="2025-02-20T00:00:00"/>
    <m/>
    <s v=""/>
  </r>
  <r>
    <s v="Not Selected"/>
    <n v="6788"/>
    <n v="100222362"/>
    <s v="ONNSYNEX VENTURES PRIVATE LIMITED"/>
    <s v="2025"/>
    <s v="8"/>
    <d v="2025-08-20T00:00:00"/>
    <n v="1800000476"/>
    <s v="DR"/>
    <x v="2"/>
    <d v="2025-08-22T00:00:00"/>
    <s v="Na"/>
    <n v="256788410348"/>
    <s v="212100"/>
    <s v="Trade Debtors (Ctrl)"/>
    <s v=""/>
    <s v="01"/>
    <s v="USD"/>
    <n v="20.57"/>
    <s v="INR"/>
    <n v="1769.64"/>
    <s v="O0"/>
    <s v="6788224500"/>
    <s v=""/>
    <s v="NA"/>
    <s v="1"/>
    <s v="Weighment-1-15 Aug 25"/>
    <s v=""/>
    <s v=""/>
    <s v=""/>
    <d v="2025-08-20T00:00:00"/>
    <m/>
    <s v=""/>
  </r>
  <r>
    <s v="Not Selected"/>
    <n v="6788"/>
    <n v="100222362"/>
    <s v="ONNSYNEX VENTURES PRIVATE LIMITED"/>
    <s v="2025"/>
    <s v="8"/>
    <d v="2025-08-20T00:00:00"/>
    <n v="1800000473"/>
    <s v="DR"/>
    <x v="2"/>
    <d v="2025-08-22T00:00:00"/>
    <s v="Na"/>
    <n v="256788410350"/>
    <s v="212100"/>
    <s v="Trade Debtors (Ctrl)"/>
    <s v=""/>
    <s v="01"/>
    <s v="USD"/>
    <n v="141.91"/>
    <s v="INR"/>
    <n v="12208.53"/>
    <s v="O0"/>
    <s v="6788224500"/>
    <s v=""/>
    <s v="NA"/>
    <s v="1"/>
    <s v="LCL chgs - 01 - 15 AUG 25"/>
    <s v=""/>
    <s v=""/>
    <s v=""/>
    <d v="2025-08-20T00:00:00"/>
    <m/>
    <s v=""/>
  </r>
  <r>
    <s v="Not Selected"/>
    <n v="6788"/>
    <n v="100222362"/>
    <s v="ONNSYNEX VENTURES PRIVATE LIMITED"/>
    <s v="2025"/>
    <s v="8"/>
    <d v="2025-08-20T00:00:00"/>
    <n v="1800000475"/>
    <s v="DR"/>
    <x v="2"/>
    <d v="2025-08-22T00:00:00"/>
    <s v="Na"/>
    <n v="256788410352"/>
    <s v="212100"/>
    <s v="Trade Debtors (Ctrl)"/>
    <s v=""/>
    <s v="01"/>
    <s v="USD"/>
    <n v="342.84"/>
    <s v="INR"/>
    <n v="29494.57"/>
    <s v="O0"/>
    <s v="6788224500"/>
    <s v=""/>
    <s v="NA"/>
    <s v="1"/>
    <s v="Outbound chgs - 01- 15 AUG 25"/>
    <s v=""/>
    <s v=""/>
    <s v=""/>
    <d v="2025-08-20T00:00:00"/>
    <m/>
    <s v=""/>
  </r>
  <r>
    <s v="Selected"/>
    <n v="6788"/>
    <n v="100222362"/>
    <s v="ONNSYNEX VENTURES PRIVATE LIMITED"/>
    <s v="2025"/>
    <s v="2"/>
    <d v="2025-02-19T00:00:00"/>
    <n v="1600000004"/>
    <s v="DG"/>
    <x v="29"/>
    <d v="2025-02-19T00:00:00"/>
    <s v="Na"/>
    <n v="246788420003"/>
    <s v="212100"/>
    <s v="Trade Debtors (Ctrl)"/>
    <s v=""/>
    <s v="11"/>
    <s v="USD"/>
    <n v="-75"/>
    <s v="INR"/>
    <n v="-6472.77"/>
    <s v="O0"/>
    <s v="6788224500"/>
    <s v=""/>
    <s v="NA"/>
    <s v="1"/>
    <s v="Credit note raise against INV#1800000000"/>
    <s v=""/>
    <s v=""/>
    <s v=""/>
    <d v="2025-02-19T00:00:00"/>
    <d v="2025-02-19T00:00:00"/>
    <s v="1400000001"/>
  </r>
  <r>
    <s v="Not Selected"/>
    <n v="6788"/>
    <n v="100222362"/>
    <s v="ONNSYNEX VENTURES PRIVATE LIMITED"/>
    <s v="2025"/>
    <s v="2"/>
    <d v="2025-02-19T00:00:00"/>
    <n v="1800000006"/>
    <s v="DR"/>
    <x v="29"/>
    <d v="2025-02-19T00:00:00"/>
    <s v="Na"/>
    <n v="246788410005"/>
    <s v="212100"/>
    <s v="Trade Debtors (Ctrl)"/>
    <s v=""/>
    <s v="01"/>
    <s v="USD"/>
    <n v="75"/>
    <s v="INR"/>
    <n v="6472.77"/>
    <s v="O0"/>
    <s v="6788224500"/>
    <s v=""/>
    <s v="NA"/>
    <s v="1"/>
    <s v="Fixed Rental charges for Aug 2024"/>
    <s v=""/>
    <s v=""/>
    <s v=""/>
    <d v="2025-02-19T00:00:00"/>
    <m/>
    <s v=""/>
  </r>
  <r>
    <s v="Not Selected"/>
    <n v="6788"/>
    <n v="100222362"/>
    <s v="ONNSYNEX VENTURES PRIVATE LIMITED"/>
    <s v="2025"/>
    <s v="2"/>
    <d v="2025-02-19T00:00:00"/>
    <n v="1800000022"/>
    <s v="DR"/>
    <x v="29"/>
    <d v="2025-02-19T00:00:00"/>
    <s v="Na"/>
    <n v="246788410009"/>
    <s v="212100"/>
    <s v="Trade Debtors (Ctrl)"/>
    <s v=""/>
    <s v="01"/>
    <s v="USD"/>
    <n v="75"/>
    <s v="INR"/>
    <n v="6472.77"/>
    <s v="O0"/>
    <s v="6788224500"/>
    <s v=""/>
    <s v="NA"/>
    <s v="1"/>
    <s v="Fixed Rental charges for Sept 2024"/>
    <s v=""/>
    <s v=""/>
    <s v=""/>
    <d v="2025-02-19T00:00:00"/>
    <m/>
    <s v=""/>
  </r>
  <r>
    <s v="Not Selected"/>
    <n v="6788"/>
    <n v="100222362"/>
    <s v="ONNSYNEX VENTURES PRIVATE LIMITED"/>
    <s v="2025"/>
    <s v="2"/>
    <d v="2025-02-19T00:00:00"/>
    <n v="1800000018"/>
    <s v="DR"/>
    <x v="29"/>
    <d v="2025-02-19T00:00:00"/>
    <s v="Na"/>
    <n v="246788410013"/>
    <s v="212100"/>
    <s v="Trade Debtors (Ctrl)"/>
    <s v=""/>
    <s v="01"/>
    <s v="USD"/>
    <n v="75"/>
    <s v="INR"/>
    <n v="6472.77"/>
    <s v="O0"/>
    <s v="6788224500"/>
    <s v=""/>
    <s v="NA"/>
    <s v="1"/>
    <s v="Fixed Rental charges for Oct 2024"/>
    <s v=""/>
    <s v=""/>
    <s v=""/>
    <d v="2025-02-19T00:00:00"/>
    <m/>
    <s v=""/>
  </r>
  <r>
    <s v="Not Selected"/>
    <n v="6788"/>
    <n v="100222362"/>
    <s v="ONNSYNEX VENTURES PRIVATE LIMITED"/>
    <s v="2025"/>
    <s v="2"/>
    <d v="2025-02-19T00:00:00"/>
    <n v="1800000010"/>
    <s v="DR"/>
    <x v="29"/>
    <d v="2025-02-19T00:00:00"/>
    <s v="Na"/>
    <n v="246788410015"/>
    <s v="212100"/>
    <s v="Trade Debtors (Ctrl)"/>
    <s v=""/>
    <s v="01"/>
    <s v="USD"/>
    <n v="75"/>
    <s v="INR"/>
    <n v="6472.77"/>
    <s v="O0"/>
    <s v="6788224500"/>
    <s v=""/>
    <s v="NA"/>
    <s v="1"/>
    <s v="Fixed Rental charges for Nov 2024"/>
    <s v=""/>
    <s v=""/>
    <s v=""/>
    <d v="2025-02-19T00:00:00"/>
    <m/>
    <s v=""/>
  </r>
  <r>
    <s v="Not Selected"/>
    <n v="6788"/>
    <n v="100222362"/>
    <s v="ONNSYNEX VENTURES PRIVATE LIMITED"/>
    <s v="2025"/>
    <s v="2"/>
    <d v="2025-02-19T00:00:00"/>
    <n v="1800000012"/>
    <s v="DR"/>
    <x v="29"/>
    <d v="2025-02-19T00:00:00"/>
    <s v="Na"/>
    <n v="246788410017"/>
    <s v="212100"/>
    <s v="Trade Debtors (Ctrl)"/>
    <s v=""/>
    <s v="01"/>
    <s v="USD"/>
    <n v="75"/>
    <s v="INR"/>
    <n v="6472.77"/>
    <s v="O0"/>
    <s v="6788224500"/>
    <s v=""/>
    <s v="NA"/>
    <s v="1"/>
    <s v="Fixed Rental charges for Dec 2024"/>
    <s v=""/>
    <s v=""/>
    <s v=""/>
    <d v="2025-02-19T00:00:00"/>
    <m/>
    <s v=""/>
  </r>
  <r>
    <s v="Selected"/>
    <n v="6788"/>
    <n v="100222362"/>
    <s v="ONNSYNEX VENTURES PRIVATE LIMITED"/>
    <s v="2025"/>
    <s v="9"/>
    <d v="2025-09-23T00:00:00"/>
    <n v="1600000242"/>
    <s v="DG"/>
    <x v="30"/>
    <d v="2025-09-24T00:00:00"/>
    <s v="Na"/>
    <n v="256788420122"/>
    <s v="212100"/>
    <s v="Trade Debtors (Ctrl)"/>
    <s v=""/>
    <s v="11"/>
    <s v="USD"/>
    <n v="-9"/>
    <s v="INR"/>
    <n v="-774.01"/>
    <s v="O0"/>
    <s v="6788224500"/>
    <s v=""/>
    <s v="2104196"/>
    <s v="1"/>
    <s v="Credit note raised against INV_256788410267"/>
    <s v=""/>
    <s v=""/>
    <s v=""/>
    <d v="2025-09-23T00:00:00"/>
    <d v="2025-11-15T00:00:00"/>
    <s v="1400000084"/>
  </r>
  <r>
    <s v="Not Selected"/>
    <n v="6788"/>
    <n v="100222362"/>
    <s v="ONNSYNEX VENTURES PRIVATE LIMITED"/>
    <s v="2025"/>
    <s v="11"/>
    <d v="2025-11-12T00:00:00"/>
    <n v="1800000594"/>
    <s v="DR"/>
    <x v="31"/>
    <d v="2025-11-12T00:00:00"/>
    <s v="Na"/>
    <n v="256788410459"/>
    <s v="212100"/>
    <s v="Trade Debtors (Ctrl)"/>
    <s v=""/>
    <s v="01"/>
    <s v="USD"/>
    <n v="8006.66"/>
    <s v="INR"/>
    <n v="704613.22"/>
    <s v="O0"/>
    <s v="6788224500"/>
    <s v=""/>
    <s v="2125273"/>
    <s v="1"/>
    <s v="Unit-Storage-1-31 Oct 25"/>
    <s v=""/>
    <s v=""/>
    <s v=""/>
    <d v="2025-11-12T00:00:00"/>
    <m/>
    <s v=""/>
  </r>
  <r>
    <s v="Not Selected"/>
    <n v="6788"/>
    <n v="100222362"/>
    <s v="ONNSYNEX VENTURES PRIVATE LIMITED"/>
    <s v="2025"/>
    <s v="11"/>
    <d v="2025-11-12T00:00:00"/>
    <n v="1600000270"/>
    <s v="DG"/>
    <x v="31"/>
    <d v="2025-11-13T00:00:00"/>
    <s v="Na"/>
    <n v="256788420147"/>
    <s v="212100"/>
    <s v="Trade Debtors (Ctrl)"/>
    <s v=""/>
    <s v="11"/>
    <s v="USD"/>
    <n v="-4547.2"/>
    <s v="INR"/>
    <n v="-400169.02"/>
    <s v="O0"/>
    <s v="6788224500"/>
    <s v=""/>
    <s v="2125274"/>
    <s v="1"/>
    <s v="Credit note against - 256788410454"/>
    <s v=""/>
    <s v=""/>
    <s v=""/>
    <d v="2025-11-12T00:00:00"/>
    <m/>
    <s v=""/>
  </r>
  <r>
    <s v="Not Selected"/>
    <n v="6779"/>
    <n v="100222362"/>
    <s v="ONNSYNEX VENTURES PRIVATE LIMITED"/>
    <s v="2025"/>
    <s v="6"/>
    <d v="2025-06-13T00:00:00"/>
    <n v="1800009582"/>
    <s v="DR"/>
    <x v="32"/>
    <d v="2025-06-17T00:00:00"/>
    <s v="Na"/>
    <n v="256779414346"/>
    <s v="212100"/>
    <s v="Trade Debtors (Ctrl)"/>
    <s v=""/>
    <s v="01"/>
    <s v="USD"/>
    <n v="2322.04"/>
    <s v="INR"/>
    <n v="198513.01"/>
    <s v="O0"/>
    <s v="6779224500"/>
    <s v=""/>
    <s v="NA"/>
    <s v="1"/>
    <s v="CY Longstanding - March 25,16-31"/>
    <s v=""/>
    <s v=""/>
    <s v=""/>
    <d v="2025-06-13T00:00:00"/>
    <m/>
    <s v=""/>
  </r>
  <r>
    <s v="Not Selected"/>
    <n v="6788"/>
    <n v="100222362"/>
    <s v="ONNSYNEX VENTURES PRIVATE LIMITED"/>
    <s v="2025"/>
    <s v="5"/>
    <d v="2025-05-20T00:00:00"/>
    <n v="1800000345"/>
    <s v="DR"/>
    <x v="33"/>
    <d v="2025-05-23T00:00:00"/>
    <s v="Na"/>
    <n v="256788410220"/>
    <s v="212100"/>
    <s v="Trade Debtors (Ctrl)"/>
    <s v=""/>
    <s v="01"/>
    <s v="USD"/>
    <n v="67.2"/>
    <s v="INR"/>
    <n v="5778.1"/>
    <s v="O0"/>
    <s v="6788224500"/>
    <s v=""/>
    <s v="NA"/>
    <s v="1"/>
    <s v="Outbound chgs - 01 - 15 May 25"/>
    <s v=""/>
    <s v=""/>
    <s v=""/>
    <d v="2025-05-20T00:00:00"/>
    <m/>
    <s v=""/>
  </r>
  <r>
    <s v="Not Selected"/>
    <n v="6779"/>
    <n v="100222362"/>
    <s v="ONNSYNEX VENTURES PRIVATE LIMITED"/>
    <s v="2025"/>
    <s v="4"/>
    <d v="2025-04-03T00:00:00"/>
    <n v="1800005306"/>
    <s v="DR"/>
    <x v="34"/>
    <d v="2025-04-05T00:00:00"/>
    <s v="Na"/>
    <n v="256779410198"/>
    <s v="212100"/>
    <s v="Trade Debtors (Ctrl)"/>
    <s v=""/>
    <s v="01"/>
    <s v="USD"/>
    <n v="3.45"/>
    <s v="INR"/>
    <n v="299.88"/>
    <s v="O0"/>
    <s v=""/>
    <s v=""/>
    <s v="NA"/>
    <s v="1"/>
    <s v="VAS Activity -1 -15 Mar 25, Ex Rate. 87.01"/>
    <s v=""/>
    <s v=""/>
    <s v=""/>
    <d v="2025-04-03T00:00:00"/>
    <m/>
    <s v=""/>
  </r>
  <r>
    <s v="Not Selected"/>
    <n v="6788"/>
    <n v="100222362"/>
    <s v="ONNSYNEX VENTURES PRIVATE LIMITED"/>
    <s v="2025"/>
    <s v="10"/>
    <d v="2025-10-20T00:00:00"/>
    <n v="1800000558"/>
    <s v="DR"/>
    <x v="35"/>
    <d v="2025-10-21T00:00:00"/>
    <s v="Na"/>
    <n v="256788410435"/>
    <s v="212100"/>
    <s v="Trade Debtors (Ctrl)"/>
    <s v=""/>
    <s v="01"/>
    <s v="USD"/>
    <n v="38"/>
    <s v="INR"/>
    <n v="3351.25"/>
    <s v="O0"/>
    <s v="6788224500"/>
    <s v=""/>
    <s v="2114882"/>
    <s v="1"/>
    <s v="LCL chgs - 01 -15 OCT 25"/>
    <s v=""/>
    <s v=""/>
    <s v=""/>
    <d v="2025-10-20T00:00:00"/>
    <m/>
    <s v=""/>
  </r>
  <r>
    <s v="Not Selected"/>
    <n v="6788"/>
    <n v="100222362"/>
    <s v="ONNSYNEX VENTURES PRIVATE LIMITED"/>
    <s v="2025"/>
    <s v="10"/>
    <d v="2025-10-20T00:00:00"/>
    <n v="1800000560"/>
    <s v="DR"/>
    <x v="35"/>
    <d v="2025-10-21T00:00:00"/>
    <s v="Na"/>
    <n v="256788410437"/>
    <s v="212100"/>
    <s v="Trade Debtors (Ctrl)"/>
    <s v=""/>
    <s v="01"/>
    <s v="USD"/>
    <n v="346.14"/>
    <s v="INR"/>
    <n v="30526.35"/>
    <s v="O0"/>
    <s v="6788224500"/>
    <s v=""/>
    <s v="2114884"/>
    <s v="1"/>
    <s v="Outbound chgs - 01 - 15 OCT 25"/>
    <s v=""/>
    <s v=""/>
    <s v=""/>
    <d v="2025-10-20T00:00:00"/>
    <m/>
    <s v=""/>
  </r>
  <r>
    <s v="Not Selected"/>
    <n v="6788"/>
    <n v="100222362"/>
    <s v="ONNSYNEX VENTURES PRIVATE LIMITED"/>
    <s v="2025"/>
    <s v="4"/>
    <d v="2025-04-02T00:00:00"/>
    <n v="1800000126"/>
    <s v="DR"/>
    <x v="36"/>
    <d v="2025-04-05T00:00:00"/>
    <s v="Na"/>
    <n v="256788410001"/>
    <s v="212100"/>
    <s v="Trade Debtors (Ctrl)"/>
    <s v=""/>
    <s v="01"/>
    <s v="USD"/>
    <n v="10887.57"/>
    <s v="INR"/>
    <n v="946367.4"/>
    <s v="O0"/>
    <s v=""/>
    <s v=""/>
    <s v="NA"/>
    <s v="1"/>
    <s v="Storage Charges Jan, 25"/>
    <s v=""/>
    <s v=""/>
    <s v=""/>
    <d v="2025-04-02T00:00:00"/>
    <m/>
    <s v=""/>
  </r>
  <r>
    <s v="Not Selected"/>
    <n v="6788"/>
    <n v="100222362"/>
    <s v="ONNSYNEX VENTURES PRIVATE LIMITED"/>
    <s v="2025"/>
    <s v="4"/>
    <d v="2025-04-02T00:00:00"/>
    <n v="1800000127"/>
    <s v="DR"/>
    <x v="36"/>
    <d v="2025-04-05T00:00:00"/>
    <s v="Na"/>
    <n v="256788410002"/>
    <s v="212100"/>
    <s v="Trade Debtors (Ctrl)"/>
    <s v=""/>
    <s v="01"/>
    <s v="USD"/>
    <n v="9928.89"/>
    <s v="INR"/>
    <n v="863037.19"/>
    <s v="O0"/>
    <s v=""/>
    <s v=""/>
    <s v="NA"/>
    <s v="1"/>
    <s v="Storage Charges Feb, 25"/>
    <s v=""/>
    <s v=""/>
    <s v=""/>
    <d v="2025-04-02T00:00:00"/>
    <m/>
    <s v=""/>
  </r>
  <r>
    <s v="Not Selected"/>
    <n v="6788"/>
    <n v="100222362"/>
    <s v="ONNSYNEX VENTURES PRIVATE LIMITED"/>
    <s v="2025"/>
    <s v="4"/>
    <d v="2025-04-02T00:00:00"/>
    <n v="1800000128"/>
    <s v="DR"/>
    <x v="36"/>
    <d v="2025-04-05T00:00:00"/>
    <s v="Na"/>
    <n v="256788410003"/>
    <s v="212100"/>
    <s v="Trade Debtors (Ctrl)"/>
    <s v=""/>
    <s v="01"/>
    <s v="USD"/>
    <n v="4.5"/>
    <s v="INR"/>
    <n v="391.15"/>
    <s v="O0"/>
    <s v=""/>
    <s v=""/>
    <s v="NA"/>
    <s v="1"/>
    <s v="Outbound Handling charges for Jan 2025"/>
    <s v=""/>
    <s v=""/>
    <s v=""/>
    <d v="2025-04-02T00:00:00"/>
    <m/>
    <s v=""/>
  </r>
  <r>
    <s v="Not Selected"/>
    <n v="6788"/>
    <n v="100222362"/>
    <s v="ONNSYNEX VENTURES PRIVATE LIMITED"/>
    <s v="2025"/>
    <s v="4"/>
    <d v="2025-04-02T00:00:00"/>
    <n v="1800000129"/>
    <s v="DR"/>
    <x v="36"/>
    <d v="2025-04-05T00:00:00"/>
    <s v="Na"/>
    <n v="256788410004"/>
    <s v="212100"/>
    <s v="Trade Debtors (Ctrl)"/>
    <s v=""/>
    <s v="01"/>
    <s v="USD"/>
    <n v="2786.28"/>
    <s v="INR"/>
    <n v="242188.53"/>
    <s v="O0"/>
    <s v=""/>
    <s v=""/>
    <s v="NA"/>
    <s v="1"/>
    <s v="CY Longstanding Ground Rent charges for Dec 2024."/>
    <s v=""/>
    <s v=""/>
    <s v=""/>
    <d v="2025-04-02T00:00:00"/>
    <m/>
    <s v=""/>
  </r>
  <r>
    <s v="Not Selected"/>
    <n v="6788"/>
    <n v="100222362"/>
    <s v="ONNSYNEX VENTURES PRIVATE LIMITED"/>
    <s v="2025"/>
    <s v="4"/>
    <d v="2025-04-02T00:00:00"/>
    <n v="1800000134"/>
    <s v="DR"/>
    <x v="36"/>
    <d v="2025-04-05T00:00:00"/>
    <s v="Na"/>
    <n v="256788410009"/>
    <s v="212100"/>
    <s v="Trade Debtors (Ctrl)"/>
    <s v=""/>
    <s v="01"/>
    <s v="USD"/>
    <n v="2934.66"/>
    <s v="INR"/>
    <n v="255085.99"/>
    <s v="O0"/>
    <s v=""/>
    <s v=""/>
    <s v="NA"/>
    <s v="1"/>
    <s v="CY Longstanding Ground Rent charges for Nov 2024."/>
    <s v=""/>
    <s v=""/>
    <s v=""/>
    <d v="2025-04-02T00:00:00"/>
    <m/>
    <s v=""/>
  </r>
  <r>
    <s v="Not Selected"/>
    <n v="6788"/>
    <n v="100222362"/>
    <s v="ONNSYNEX VENTURES PRIVATE LIMITED"/>
    <s v="2025"/>
    <s v="4"/>
    <d v="2025-04-02T00:00:00"/>
    <n v="1800000138"/>
    <s v="DR"/>
    <x v="36"/>
    <d v="2025-04-05T00:00:00"/>
    <s v="Na"/>
    <n v="256788410013"/>
    <s v="212100"/>
    <s v="Trade Debtors (Ctrl)"/>
    <s v=""/>
    <s v="01"/>
    <s v="USD"/>
    <n v="2935.55"/>
    <s v="INR"/>
    <n v="255163.35"/>
    <s v="O0"/>
    <s v=""/>
    <s v=""/>
    <s v="NA"/>
    <s v="1"/>
    <s v="CY Longstanding Ground Rent charges for Oct 2024."/>
    <s v=""/>
    <s v=""/>
    <s v=""/>
    <d v="2025-04-02T00:00:00"/>
    <m/>
    <s v=""/>
  </r>
  <r>
    <s v="Not Selected"/>
    <n v="6788"/>
    <n v="100222362"/>
    <s v="ONNSYNEX VENTURES PRIVATE LIMITED"/>
    <s v="2025"/>
    <s v="4"/>
    <d v="2025-04-02T00:00:00"/>
    <n v="1800000141"/>
    <s v="DR"/>
    <x v="36"/>
    <d v="2025-04-05T00:00:00"/>
    <s v="Na"/>
    <n v="256788410016"/>
    <s v="212100"/>
    <s v="Trade Debtors (Ctrl)"/>
    <s v=""/>
    <s v="01"/>
    <s v="USD"/>
    <n v="3979.2"/>
    <s v="INR"/>
    <n v="345879.31"/>
    <s v="O0"/>
    <s v=""/>
    <s v=""/>
    <s v="NA"/>
    <s v="1"/>
    <s v="CY Longstanding Ground Rent charges for Sept 2024."/>
    <s v=""/>
    <s v=""/>
    <s v=""/>
    <d v="2025-04-02T00:00:00"/>
    <m/>
    <s v=""/>
  </r>
  <r>
    <s v="Selected"/>
    <n v="6788"/>
    <n v="100222362"/>
    <s v="ONNSYNEX VENTURES PRIVATE LIMITED"/>
    <s v="2025"/>
    <s v="4"/>
    <d v="2025-04-02T00:00:00"/>
    <n v="1800000144"/>
    <s v="DR"/>
    <x v="36"/>
    <d v="2025-04-05T00:00:00"/>
    <s v="Na"/>
    <n v="256788410019"/>
    <s v="212100"/>
    <s v="Trade Debtors (Ctrl)"/>
    <s v=""/>
    <s v="01"/>
    <s v="USD"/>
    <n v="75"/>
    <s v="INR"/>
    <n v="6519.14"/>
    <s v="O0"/>
    <s v=""/>
    <s v=""/>
    <s v="NA"/>
    <s v="1"/>
    <s v="Fixed Rental charges for Feb 2025"/>
    <s v=""/>
    <s v=""/>
    <s v=""/>
    <d v="2025-04-02T00:00:00"/>
    <d v="2025-11-15T00:00:00"/>
    <s v="1400000084"/>
  </r>
  <r>
    <s v="Selected"/>
    <n v="6788"/>
    <n v="100222362"/>
    <s v="ONNSYNEX VENTURES PRIVATE LIMITED"/>
    <s v="2025"/>
    <s v="4"/>
    <d v="2025-04-02T00:00:00"/>
    <n v="1800000148"/>
    <s v="DR"/>
    <x v="36"/>
    <d v="2025-04-05T00:00:00"/>
    <s v="Na"/>
    <n v="256788410023"/>
    <s v="212100"/>
    <s v="Trade Debtors (Ctrl)"/>
    <s v=""/>
    <s v="01"/>
    <s v="USD"/>
    <n v="75"/>
    <s v="INR"/>
    <n v="6519.14"/>
    <s v="O0"/>
    <s v=""/>
    <s v=""/>
    <s v="NA"/>
    <s v="1"/>
    <s v="Fixed Rental charges for Jan 2025"/>
    <s v=""/>
    <s v=""/>
    <s v=""/>
    <d v="2025-04-02T00:00:00"/>
    <d v="2025-11-15T00:00:00"/>
    <s v="1400000084"/>
  </r>
  <r>
    <s v="Not Selected"/>
    <n v="6788"/>
    <n v="100222362"/>
    <s v="ONNSYNEX VENTURES PRIVATE LIMITED"/>
    <s v="2025"/>
    <s v="12"/>
    <d v="2025-12-04T00:00:00"/>
    <n v="1800000608"/>
    <s v="DR"/>
    <x v="37"/>
    <d v="2025-12-09T00:00:00"/>
    <s v="Na"/>
    <n v="256788410465"/>
    <s v="212100"/>
    <s v="Trade Debtors (Ctrl)"/>
    <s v=""/>
    <s v="01"/>
    <s v="USD"/>
    <n v="3385.09"/>
    <s v="INR"/>
    <n v="300257.96000000002"/>
    <s v="O0"/>
    <s v="6788224500"/>
    <s v=""/>
    <s v="2139801"/>
    <s v="1"/>
    <s v="Unit-Storage-1-30 Nov 25"/>
    <s v=""/>
    <s v=""/>
    <s v=""/>
    <d v="2025-12-04T00:00:00"/>
    <m/>
    <s v=""/>
  </r>
  <r>
    <s v="Not Selected"/>
    <n v="6788"/>
    <n v="100222362"/>
    <s v="ONNSYNEX VENTURES PRIVATE LIMITED"/>
    <s v="2025"/>
    <s v="12"/>
    <d v="2025-12-04T00:00:00"/>
    <n v="1800000609"/>
    <s v="DR"/>
    <x v="37"/>
    <d v="2025-12-09T00:00:00"/>
    <s v="Na"/>
    <n v="256788410466"/>
    <s v="212100"/>
    <s v="Trade Debtors (Ctrl)"/>
    <s v=""/>
    <s v="01"/>
    <s v="USD"/>
    <n v="75"/>
    <s v="INR"/>
    <n v="6652.51"/>
    <s v="O0"/>
    <s v="6788224500"/>
    <s v=""/>
    <s v="2139802"/>
    <s v="1"/>
    <s v="Fixed Storage Charges for December 2025"/>
    <s v=""/>
    <s v=""/>
    <s v=""/>
    <d v="2025-12-04T00:00:00"/>
    <m/>
    <s v=""/>
  </r>
  <r>
    <s v="Not Selected"/>
    <n v="6788"/>
    <n v="100222362"/>
    <s v="ONNSYNEX VENTURES PRIVATE LIMITED"/>
    <s v="2025"/>
    <s v="3"/>
    <d v="2025-03-18T00:00:00"/>
    <n v="1800000084"/>
    <s v="DR"/>
    <x v="38"/>
    <d v="2025-03-19T00:00:00"/>
    <s v="Na"/>
    <n v="246788410079"/>
    <s v="212100"/>
    <s v="Trade Debtors (Ctrl)"/>
    <s v=""/>
    <s v="01"/>
    <s v="USD"/>
    <n v="75"/>
    <s v="INR"/>
    <n v="6501.84"/>
    <s v="O0"/>
    <s v="6788224500"/>
    <s v=""/>
    <s v="NA"/>
    <s v="1"/>
    <s v="Fixed Rental charges for March 2025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86"/>
    <s v="DR"/>
    <x v="38"/>
    <d v="2025-03-19T00:00:00"/>
    <s v="Na"/>
    <n v="246788410081"/>
    <s v="212100"/>
    <s v="Trade Debtors (Ctrl)"/>
    <s v=""/>
    <s v="01"/>
    <s v="USD"/>
    <n v="2"/>
    <s v="INR"/>
    <n v="173.38"/>
    <s v="O0"/>
    <s v="6788224500"/>
    <s v=""/>
    <s v="NA"/>
    <s v="1"/>
    <s v="Outbound Handling charges for Feb 2025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87"/>
    <s v="DR"/>
    <x v="38"/>
    <d v="2025-03-19T00:00:00"/>
    <s v="Na"/>
    <n v="246788410082"/>
    <s v="212100"/>
    <s v="Trade Debtors (Ctrl)"/>
    <s v=""/>
    <s v="01"/>
    <s v="USD"/>
    <n v="40"/>
    <s v="INR"/>
    <n v="3467.65"/>
    <s v="O0"/>
    <s v="6788224500"/>
    <s v=""/>
    <s v="NA"/>
    <s v="1"/>
    <s v="Outbound Handling charges for Feb 2025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90"/>
    <s v="DR"/>
    <x v="38"/>
    <d v="2025-03-19T00:00:00"/>
    <s v="Na"/>
    <n v="246788410085"/>
    <s v="212100"/>
    <s v="Trade Debtors (Ctrl)"/>
    <s v=""/>
    <s v="01"/>
    <s v="USD"/>
    <n v="1324"/>
    <s v="INR"/>
    <n v="114779.23"/>
    <s v="O0"/>
    <s v="6788224500"/>
    <s v=""/>
    <s v="NA"/>
    <s v="1"/>
    <s v="Outbound Handling charges for Sep 2024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91"/>
    <s v="DR"/>
    <x v="38"/>
    <d v="2025-03-19T00:00:00"/>
    <s v="Na"/>
    <n v="246788410086"/>
    <s v="212100"/>
    <s v="Trade Debtors (Ctrl)"/>
    <s v=""/>
    <s v="01"/>
    <s v="USD"/>
    <n v="0.5"/>
    <s v="INR"/>
    <n v="43.35"/>
    <s v="O0"/>
    <s v="6788224500"/>
    <s v=""/>
    <s v="NA"/>
    <s v="1"/>
    <s v="Loose Loading Handling charges for Sep 2024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96"/>
    <s v="DR"/>
    <x v="38"/>
    <d v="2025-03-19T00:00:00"/>
    <s v="Na"/>
    <n v="246788410088"/>
    <s v="212100"/>
    <s v="Trade Debtors (Ctrl)"/>
    <s v=""/>
    <s v="01"/>
    <s v="USD"/>
    <n v="10"/>
    <s v="INR"/>
    <n v="866.91"/>
    <s v="O0"/>
    <s v="6788224500"/>
    <s v=""/>
    <s v="NA"/>
    <s v="1"/>
    <s v="Outbound Handling charges for Nov 2024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97"/>
    <s v="DR"/>
    <x v="38"/>
    <d v="2025-03-19T00:00:00"/>
    <s v="Na"/>
    <n v="246788410089"/>
    <s v="212100"/>
    <s v="Trade Debtors (Ctrl)"/>
    <s v=""/>
    <s v="01"/>
    <s v="USD"/>
    <n v="0.63"/>
    <s v="INR"/>
    <n v="54.62"/>
    <s v="O0"/>
    <s v="6788224500"/>
    <s v=""/>
    <s v="NA"/>
    <s v="1"/>
    <s v="Loose handling Charges for Nov 2024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93"/>
    <s v="DR"/>
    <x v="38"/>
    <d v="2025-03-19T00:00:00"/>
    <s v="Na"/>
    <n v="246788410091"/>
    <s v="212100"/>
    <s v="Trade Debtors (Ctrl)"/>
    <s v=""/>
    <s v="01"/>
    <s v="USD"/>
    <n v="31.2"/>
    <s v="INR"/>
    <n v="2704.77"/>
    <s v="O0"/>
    <s v="6788224500"/>
    <s v=""/>
    <s v="NA"/>
    <s v="1"/>
    <s v="Outbound Handling charges for Oct 2024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94"/>
    <s v="DR"/>
    <x v="38"/>
    <d v="2025-03-19T00:00:00"/>
    <s v="Na"/>
    <n v="246788410092"/>
    <s v="212100"/>
    <s v="Trade Debtors (Ctrl)"/>
    <s v=""/>
    <s v="01"/>
    <s v="USD"/>
    <n v="1.9"/>
    <s v="INR"/>
    <n v="164.71"/>
    <s v="O0"/>
    <s v="6788224500"/>
    <s v=""/>
    <s v="NA"/>
    <s v="1"/>
    <s v="Loose handling Charges for Oct 2024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8T00:00:00"/>
    <n v="1800000098"/>
    <s v="DR"/>
    <x v="38"/>
    <d v="2025-03-19T00:00:00"/>
    <s v="Na"/>
    <n v="246788410093"/>
    <s v="212100"/>
    <s v="Trade Debtors (Ctrl)"/>
    <s v=""/>
    <s v="01"/>
    <s v="USD"/>
    <n v="14"/>
    <s v="INR"/>
    <n v="1213.68"/>
    <s v="O0"/>
    <s v="6788224500"/>
    <s v=""/>
    <s v="NA"/>
    <s v="1"/>
    <s v="Outbound Handling charges for Dec 2024"/>
    <s v=""/>
    <s v=""/>
    <s v=""/>
    <d v="2025-03-18T00:00:00"/>
    <m/>
    <s v=""/>
  </r>
  <r>
    <s v="Not Selected"/>
    <n v="6788"/>
    <n v="100222362"/>
    <s v="ONNSYNEX VENTURES PRIVATE LIMITED"/>
    <s v="2025"/>
    <s v="3"/>
    <d v="2025-03-19T00:00:00"/>
    <n v="1800000103"/>
    <s v="DR"/>
    <x v="39"/>
    <d v="2025-03-19T00:00:00"/>
    <s v="Na"/>
    <n v="246788410097"/>
    <s v="212100"/>
    <s v="Trade Debtors (Ctrl)"/>
    <s v=""/>
    <s v="01"/>
    <s v="USD"/>
    <n v="12"/>
    <s v="INR"/>
    <n v="1040.3"/>
    <s v="O0"/>
    <s v="6788224500"/>
    <s v=""/>
    <s v="NA"/>
    <s v="1"/>
    <s v="Inbound Handling charges for Sep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04"/>
    <s v="DR"/>
    <x v="39"/>
    <d v="2025-03-19T00:00:00"/>
    <s v="Na"/>
    <n v="246788410098"/>
    <s v="212100"/>
    <s v="Trade Debtors (Ctrl)"/>
    <s v=""/>
    <s v="01"/>
    <s v="USD"/>
    <n v="5.2"/>
    <s v="INR"/>
    <n v="450.79"/>
    <s v="O0"/>
    <s v="6788224500"/>
    <s v=""/>
    <s v="NA"/>
    <s v="1"/>
    <s v="LCL charges for Sep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07"/>
    <s v="DR"/>
    <x v="39"/>
    <d v="2025-03-19T00:00:00"/>
    <s v="Na"/>
    <n v="246788410101"/>
    <s v="212100"/>
    <s v="Trade Debtors (Ctrl)"/>
    <s v=""/>
    <s v="01"/>
    <s v="USD"/>
    <n v="1.1200000000000001"/>
    <s v="INR"/>
    <n v="97.09"/>
    <s v="O0"/>
    <s v="6788224500"/>
    <s v=""/>
    <s v="NA"/>
    <s v="1"/>
    <s v="Loose handling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08"/>
    <s v="DR"/>
    <x v="39"/>
    <d v="2025-03-19T00:00:00"/>
    <s v="Na"/>
    <n v="246788410102"/>
    <s v="212100"/>
    <s v="Trade Debtors (Ctrl)"/>
    <s v=""/>
    <s v="01"/>
    <s v="USD"/>
    <n v="56"/>
    <s v="INR"/>
    <n v="4854.71"/>
    <s v="O0"/>
    <s v="6788224500"/>
    <s v=""/>
    <s v="NA"/>
    <s v="1"/>
    <s v="Inbound Handling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09"/>
    <s v="DR"/>
    <x v="39"/>
    <d v="2025-03-19T00:00:00"/>
    <s v="Na"/>
    <n v="246788410103"/>
    <s v="212100"/>
    <s v="Trade Debtors (Ctrl)"/>
    <s v=""/>
    <s v="01"/>
    <s v="USD"/>
    <n v="24"/>
    <s v="INR"/>
    <n v="2080.59"/>
    <s v="O0"/>
    <s v="6788224500"/>
    <s v=""/>
    <s v="NA"/>
    <s v="1"/>
    <s v="LCL Movement Charges for Oct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12"/>
    <s v="DR"/>
    <x v="39"/>
    <d v="2025-03-19T00:00:00"/>
    <s v="Na"/>
    <n v="246788410106"/>
    <s v="212100"/>
    <s v="Trade Debtors (Ctrl)"/>
    <s v=""/>
    <s v="01"/>
    <s v="USD"/>
    <n v="24"/>
    <s v="INR"/>
    <n v="2080.59"/>
    <s v="O0"/>
    <s v="6788224500"/>
    <s v=""/>
    <s v="NA"/>
    <s v="1"/>
    <s v="LCL Movement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13"/>
    <s v="DR"/>
    <x v="39"/>
    <d v="2025-03-19T00:00:00"/>
    <s v="Na"/>
    <n v="246788410107"/>
    <s v="212100"/>
    <s v="Trade Debtors (Ctrl)"/>
    <s v=""/>
    <s v="01"/>
    <s v="USD"/>
    <n v="68.22"/>
    <s v="INR"/>
    <n v="5914.08"/>
    <s v="O0"/>
    <s v="6788224500"/>
    <s v=""/>
    <s v="NA"/>
    <s v="1"/>
    <s v="Inbound Handling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14"/>
    <s v="DR"/>
    <x v="39"/>
    <d v="2025-03-19T00:00:00"/>
    <s v="Na"/>
    <n v="246788410108"/>
    <s v="212100"/>
    <s v="Trade Debtors (Ctrl)"/>
    <s v=""/>
    <s v="01"/>
    <s v="USD"/>
    <n v="0.5"/>
    <s v="INR"/>
    <n v="43.35"/>
    <s v="O0"/>
    <s v="6788224500"/>
    <s v=""/>
    <s v="NA"/>
    <s v="1"/>
    <s v="Loose handling Charges for Nov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15"/>
    <s v="DR"/>
    <x v="39"/>
    <d v="2025-03-19T00:00:00"/>
    <s v="Na"/>
    <n v="246788410109"/>
    <s v="212100"/>
    <s v="Trade Debtors (Ctrl)"/>
    <s v=""/>
    <s v="01"/>
    <s v="USD"/>
    <n v="2342.8000000000002"/>
    <s v="INR"/>
    <n v="203100.28"/>
    <s v="O0"/>
    <s v="6788224500"/>
    <s v=""/>
    <s v="NA"/>
    <s v="1"/>
    <s v="Inbound Handling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16"/>
    <s v="DR"/>
    <x v="39"/>
    <d v="2025-03-19T00:00:00"/>
    <s v="Na"/>
    <n v="246788410110"/>
    <s v="212100"/>
    <s v="Trade Debtors (Ctrl)"/>
    <s v=""/>
    <s v="01"/>
    <s v="USD"/>
    <n v="456"/>
    <s v="INR"/>
    <n v="39531.21"/>
    <s v="O0"/>
    <s v="6788224500"/>
    <s v=""/>
    <s v="NA"/>
    <s v="1"/>
    <s v="LCL Movement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17"/>
    <s v="DR"/>
    <x v="39"/>
    <d v="2025-03-19T00:00:00"/>
    <s v="Na"/>
    <n v="246788410111"/>
    <s v="212100"/>
    <s v="Trade Debtors (Ctrl)"/>
    <s v=""/>
    <s v="01"/>
    <s v="USD"/>
    <n v="14"/>
    <s v="INR"/>
    <n v="1213.68"/>
    <s v="O0"/>
    <s v="6788224500"/>
    <s v=""/>
    <s v="NA"/>
    <s v="1"/>
    <s v="Inbound Handling charges for Jan 2025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18"/>
    <s v="DR"/>
    <x v="39"/>
    <d v="2025-03-19T00:00:00"/>
    <s v="Na"/>
    <n v="246788410112"/>
    <s v="212100"/>
    <s v="Trade Debtors (Ctrl)"/>
    <s v=""/>
    <s v="01"/>
    <s v="USD"/>
    <n v="1"/>
    <s v="INR"/>
    <n v="86.69"/>
    <s v="O0"/>
    <s v="6788224500"/>
    <s v=""/>
    <s v="NA"/>
    <s v="1"/>
    <s v="Loose handling Charges for Dec 202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20"/>
    <s v="DR"/>
    <x v="39"/>
    <d v="2025-03-19T00:00:00"/>
    <s v="Na"/>
    <n v="246788410114"/>
    <s v="212100"/>
    <s v="Trade Debtors (Ctrl)"/>
    <s v=""/>
    <s v="01"/>
    <s v="USD"/>
    <n v="52.7"/>
    <s v="INR"/>
    <n v="4568.63"/>
    <s v="O0"/>
    <s v="6788224500"/>
    <s v=""/>
    <s v="NA"/>
    <s v="1"/>
    <s v="Port SSR Charges - Shifting for Aug to Dec,24. Exc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21"/>
    <s v="DR"/>
    <x v="39"/>
    <d v="2025-03-19T00:00:00"/>
    <s v="Na"/>
    <n v="246788410115"/>
    <s v="212100"/>
    <s v="Trade Debtors (Ctrl)"/>
    <s v=""/>
    <s v="01"/>
    <s v="USD"/>
    <n v="2293.63"/>
    <s v="INR"/>
    <n v="198837.67"/>
    <s v="O0"/>
    <s v="6788224500"/>
    <s v=""/>
    <s v="NA"/>
    <s v="1"/>
    <s v="Ground Rent Jan 25 Exch Rate 86.64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22"/>
    <s v="DR"/>
    <x v="39"/>
    <d v="2025-03-19T00:00:00"/>
    <s v="Na"/>
    <n v="246788410116"/>
    <s v="212100"/>
    <s v="Trade Debtors (Ctrl)"/>
    <s v=""/>
    <s v="01"/>
    <s v="USD"/>
    <n v="2273.6799999999998"/>
    <s v="INR"/>
    <n v="197108.18"/>
    <s v="O0"/>
    <s v="6788224500"/>
    <s v=""/>
    <s v="NA"/>
    <s v="1"/>
    <s v="Ground Rent Feb 25 Exch Rate 87.40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23"/>
    <s v="DR"/>
    <x v="39"/>
    <d v="2025-03-19T00:00:00"/>
    <s v="Na"/>
    <n v="246788410117"/>
    <s v="212100"/>
    <s v="Trade Debtors (Ctrl)"/>
    <s v=""/>
    <s v="01"/>
    <s v="USD"/>
    <n v="66.73"/>
    <s v="INR"/>
    <n v="5784.91"/>
    <s v="O0"/>
    <s v="6788224500"/>
    <s v=""/>
    <s v="NA"/>
    <s v="1"/>
    <s v="Ground Rent Jan 1-15 Exch Rate 85.62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24"/>
    <s v="DR"/>
    <x v="39"/>
    <d v="2025-03-19T00:00:00"/>
    <s v="Na"/>
    <n v="246788410118"/>
    <s v="212100"/>
    <s v="Trade Debtors (Ctrl)"/>
    <s v=""/>
    <s v="01"/>
    <s v="USD"/>
    <n v="149.72999999999999"/>
    <s v="INR"/>
    <n v="12980.28"/>
    <s v="O0"/>
    <s v="6788224500"/>
    <s v=""/>
    <s v="NA"/>
    <s v="1"/>
    <s v="Ground Rent Jan 16-31 Exch Rate 85.62"/>
    <s v=""/>
    <s v=""/>
    <s v=""/>
    <d v="2025-03-19T00:00:00"/>
    <m/>
    <s v=""/>
  </r>
  <r>
    <s v="Not Selected"/>
    <n v="6788"/>
    <n v="100222362"/>
    <s v="ONNSYNEX VENTURES PRIVATE LIMITED"/>
    <s v="2025"/>
    <s v="3"/>
    <d v="2025-03-19T00:00:00"/>
    <n v="1800000125"/>
    <s v="DR"/>
    <x v="39"/>
    <d v="2025-03-19T00:00:00"/>
    <s v="Na"/>
    <n v="246788410119"/>
    <s v="212100"/>
    <s v="Trade Debtors (Ctrl)"/>
    <s v=""/>
    <s v="01"/>
    <s v="USD"/>
    <n v="102.97"/>
    <s v="INR"/>
    <n v="8926.6"/>
    <s v="O0"/>
    <s v="6788224500"/>
    <s v=""/>
    <s v="NA"/>
    <s v="1"/>
    <s v="Detention Charges for FEB 2025 Exch. Rate 87.40"/>
    <s v=""/>
    <s v=""/>
    <s v=""/>
    <d v="2025-03-19T00:00:00"/>
    <m/>
    <s v=""/>
  </r>
  <r>
    <s v="Not Selected"/>
    <n v="6788"/>
    <n v="100222362"/>
    <s v="ONNSYNEX VENTURES PRIVATE LIMITED"/>
    <s v="2025"/>
    <s v="9"/>
    <d v="2025-09-24T00:00:00"/>
    <n v="1800000516"/>
    <s v="DR"/>
    <x v="40"/>
    <d v="2025-09-26T00:00:00"/>
    <s v="Na"/>
    <n v="256788410391"/>
    <s v="212100"/>
    <s v="Trade Debtors (Ctrl)"/>
    <s v=""/>
    <s v="01"/>
    <s v="USD"/>
    <n v="9"/>
    <s v="INR"/>
    <n v="774.01"/>
    <s v="O0"/>
    <s v="6788224500"/>
    <s v=""/>
    <s v="2105240"/>
    <s v="1"/>
    <s v="Outbound chgs - 01 - 15 JUL 25"/>
    <s v=""/>
    <s v=""/>
    <s v=""/>
    <d v="2025-09-24T00:00:00"/>
    <m/>
    <s v=""/>
  </r>
  <r>
    <s v="Not Selected"/>
    <n v="6788"/>
    <n v="100222362"/>
    <s v="ONNSYNEX VENTURES PRIVATE LIMITED"/>
    <s v="2025"/>
    <s v="11"/>
    <d v="2025-11-20T00:00:00"/>
    <n v="1800000595"/>
    <s v="DR"/>
    <x v="41"/>
    <d v="2025-11-21T00:00:00"/>
    <s v="Na"/>
    <n v="256788410460"/>
    <s v="212100"/>
    <s v="Trade Debtors (Ctrl)"/>
    <s v=""/>
    <s v="01"/>
    <s v="USD"/>
    <n v="78.319999999999993"/>
    <s v="INR"/>
    <n v="6892.43"/>
    <s v="O0"/>
    <s v="6788224500"/>
    <s v=""/>
    <s v="2130553"/>
    <s v="1"/>
    <s v="VAS-Nov 1-15, 2025"/>
    <s v=""/>
    <s v=""/>
    <s v=""/>
    <d v="2025-11-20T00:00:00"/>
    <m/>
    <s v=""/>
  </r>
  <r>
    <s v="Not Selected"/>
    <n v="6788"/>
    <n v="100222362"/>
    <s v="ONNSYNEX VENTURES PRIVATE LIMITED"/>
    <s v="2025"/>
    <s v="11"/>
    <d v="2025-11-20T00:00:00"/>
    <n v="1800000597"/>
    <s v="DR"/>
    <x v="41"/>
    <d v="2025-11-21T00:00:00"/>
    <s v="Na"/>
    <n v="256788410462"/>
    <s v="212100"/>
    <s v="Trade Debtors (Ctrl)"/>
    <s v=""/>
    <s v="01"/>
    <s v="USD"/>
    <n v="13.52"/>
    <s v="INR"/>
    <n v="1189.81"/>
    <s v="O0"/>
    <s v="6788224500"/>
    <s v=""/>
    <s v="2130553"/>
    <s v="1"/>
    <s v="Weighment-Nov 1-15, 2025"/>
    <s v=""/>
    <s v=""/>
    <s v=""/>
    <d v="2025-11-20T00:00:00"/>
    <m/>
    <s v=""/>
  </r>
  <r>
    <s v="Not Selected"/>
    <n v="6779"/>
    <n v="100222362"/>
    <s v="ONNSYNEX VENTURES PRIVATE LIMITED"/>
    <s v="2025"/>
    <s v="4"/>
    <d v="2025-04-22T00:00:00"/>
    <n v="1800007591"/>
    <s v="DR"/>
    <x v="42"/>
    <d v="2025-04-23T00:00:00"/>
    <s v="Na"/>
    <n v="256779412482"/>
    <s v="212100"/>
    <s v="Trade Debtors (Ctrl)"/>
    <s v=""/>
    <s v="01"/>
    <s v="USD"/>
    <n v="94.08"/>
    <s v="INR"/>
    <n v="8177.6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n v="6779"/>
    <n v="100222362"/>
    <s v="ONNSYNEX VENTURES PRIVATE LIMITED"/>
    <s v="2025"/>
    <s v="4"/>
    <d v="2025-04-22T00:00:00"/>
    <n v="1800007607"/>
    <s v="DR"/>
    <x v="42"/>
    <d v="2025-04-23T00:00:00"/>
    <s v="Na"/>
    <n v="256779412498"/>
    <s v="212100"/>
    <s v="Trade Debtors (Ctrl)"/>
    <s v=""/>
    <s v="01"/>
    <s v="USD"/>
    <n v="25.32"/>
    <s v="INR"/>
    <n v="2200.86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190"/>
    <s v="DR"/>
    <x v="42"/>
    <d v="2025-04-24T00:00:00"/>
    <s v="Na"/>
    <n v="256788410065"/>
    <s v="212100"/>
    <s v="Trade Debtors (Ctrl)"/>
    <s v=""/>
    <s v="01"/>
    <s v="USD"/>
    <n v="24.38"/>
    <s v="INR"/>
    <n v="2119.15"/>
    <s v="O0"/>
    <s v="6788224500"/>
    <s v=""/>
    <s v="NA"/>
    <s v="1"/>
    <s v="Inbound Handling Charges Aug 2024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287"/>
    <s v="DR"/>
    <x v="42"/>
    <d v="2025-04-24T00:00:00"/>
    <s v="Na"/>
    <n v="256788410162"/>
    <s v="212100"/>
    <s v="Trade Debtors (Ctrl)"/>
    <s v=""/>
    <s v="01"/>
    <s v="USD"/>
    <n v="5.46"/>
    <s v="INR"/>
    <n v="474.59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288"/>
    <s v="DR"/>
    <x v="42"/>
    <d v="2025-04-24T00:00:00"/>
    <s v="Na"/>
    <n v="256788410163"/>
    <s v="212100"/>
    <s v="Trade Debtors (Ctrl)"/>
    <s v=""/>
    <s v="01"/>
    <s v="USD"/>
    <n v="3.5"/>
    <s v="INR"/>
    <n v="304.23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289"/>
    <s v="DR"/>
    <x v="42"/>
    <d v="2025-04-24T00:00:00"/>
    <s v="Na"/>
    <n v="256788410164"/>
    <s v="212100"/>
    <s v="Trade Debtors (Ctrl)"/>
    <s v=""/>
    <s v="01"/>
    <s v="USD"/>
    <n v="5.6"/>
    <s v="INR"/>
    <n v="486.76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290"/>
    <s v="DR"/>
    <x v="42"/>
    <d v="2025-04-24T00:00:00"/>
    <s v="Na"/>
    <n v="256788410165"/>
    <s v="212100"/>
    <s v="Trade Debtors (Ctrl)"/>
    <s v=""/>
    <s v="01"/>
    <s v="USD"/>
    <n v="5.6"/>
    <s v="INR"/>
    <n v="486.76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291"/>
    <s v="DR"/>
    <x v="42"/>
    <d v="2025-04-24T00:00:00"/>
    <s v="Na"/>
    <n v="256788410166"/>
    <s v="212100"/>
    <s v="Trade Debtors (Ctrl)"/>
    <s v=""/>
    <s v="01"/>
    <s v="USD"/>
    <n v="11.6"/>
    <s v="INR"/>
    <n v="1008.29"/>
    <s v="O0"/>
    <s v="6788224500"/>
    <s v=""/>
    <s v="NA"/>
    <s v="1"/>
    <s v="Outbound Handling Charges Aug 24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328"/>
    <s v="DR"/>
    <x v="42"/>
    <d v="2025-04-24T00:00:00"/>
    <s v="Na"/>
    <n v="256788410203"/>
    <s v="212100"/>
    <s v="Trade Debtors (Ctrl)"/>
    <s v=""/>
    <s v="01"/>
    <s v="USD"/>
    <n v="80.67"/>
    <s v="INR"/>
    <n v="7011.98"/>
    <s v="O0"/>
    <s v="6788224500"/>
    <s v=""/>
    <s v="NA"/>
    <s v="1"/>
    <s v="Inbound Handling charges for 31 Mar 2025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330"/>
    <s v="DR"/>
    <x v="42"/>
    <d v="2025-04-24T00:00:00"/>
    <s v="Na"/>
    <n v="256788410205"/>
    <s v="212100"/>
    <s v="Trade Debtors (Ctrl)"/>
    <s v=""/>
    <s v="01"/>
    <s v="USD"/>
    <n v="99.12"/>
    <s v="INR"/>
    <n v="8615.69"/>
    <s v="O0"/>
    <s v="6788224500"/>
    <s v=""/>
    <s v="NA"/>
    <s v="1"/>
    <s v="Outbound Handling charges for 31 Mar 2025"/>
    <s v=""/>
    <s v=""/>
    <s v=""/>
    <d v="2025-04-22T00:00:00"/>
    <m/>
    <s v=""/>
  </r>
  <r>
    <s v="Not Selected"/>
    <n v="6788"/>
    <n v="100222362"/>
    <s v="ONNSYNEX VENTURES PRIVATE LIMITED"/>
    <s v="2025"/>
    <s v="4"/>
    <d v="2025-04-22T00:00:00"/>
    <n v="1800000331"/>
    <s v="DR"/>
    <x v="42"/>
    <d v="2025-04-24T00:00:00"/>
    <s v="Na"/>
    <n v="256788410206"/>
    <s v="212100"/>
    <s v="Trade Debtors (Ctrl)"/>
    <s v=""/>
    <s v="01"/>
    <s v="USD"/>
    <n v="10803.4"/>
    <s v="INR"/>
    <n v="939051.19"/>
    <s v="O0"/>
    <s v="6788224500"/>
    <s v=""/>
    <s v="NA"/>
    <s v="1"/>
    <s v="Storage Charges March, 25"/>
    <s v=""/>
    <s v=""/>
    <s v=""/>
    <d v="2025-04-22T00:00:00"/>
    <m/>
    <s v=""/>
  </r>
  <r>
    <s v="Not Selected"/>
    <n v="6788"/>
    <n v="100222362"/>
    <s v="ONNSYNEX VENTURES PRIVATE LIMITED"/>
    <s v="2025"/>
    <s v="9"/>
    <d v="2025-09-18T00:00:00"/>
    <n v="1800000498"/>
    <s v="DR"/>
    <x v="43"/>
    <d v="2025-09-22T00:00:00"/>
    <s v="Na"/>
    <n v="256788410373"/>
    <s v="212100"/>
    <s v="Trade Debtors (Ctrl)"/>
    <s v=""/>
    <s v="01"/>
    <s v="USD"/>
    <n v="472"/>
    <s v="INR"/>
    <n v="41306.76"/>
    <s v="O0"/>
    <s v="6788224500"/>
    <s v=""/>
    <s v="2102481"/>
    <s v="1"/>
    <s v="Transportation IN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d v="2025-09-18T00:00:00"/>
    <n v="1800000500"/>
    <s v="DR"/>
    <x v="43"/>
    <d v="2025-09-22T00:00:00"/>
    <s v="Na"/>
    <n v="256788410375"/>
    <s v="212100"/>
    <s v="Trade Debtors (Ctrl)"/>
    <s v=""/>
    <s v="01"/>
    <s v="USD"/>
    <n v="200"/>
    <s v="INR"/>
    <n v="17502.87"/>
    <s v="O0"/>
    <s v="6788224500"/>
    <s v=""/>
    <s v="2102481"/>
    <s v="1"/>
    <s v="Transportation IN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d v="2025-09-18T00:00:00"/>
    <n v="1800000501"/>
    <s v="DR"/>
    <x v="43"/>
    <d v="2025-09-22T00:00:00"/>
    <s v="Na"/>
    <n v="256788410376"/>
    <s v="212100"/>
    <s v="Trade Debtors (Ctrl)"/>
    <s v=""/>
    <s v="01"/>
    <s v="USD"/>
    <n v="1125.6400000000001"/>
    <s v="INR"/>
    <n v="98509.63"/>
    <s v="O0"/>
    <s v="6788224500"/>
    <s v=""/>
    <s v="2102475"/>
    <s v="1"/>
    <s v="CY Ground rent Chgs - 01 - 15 Sep 25"/>
    <s v=""/>
    <s v=""/>
    <s v=""/>
    <d v="2025-09-18T00:00:00"/>
    <m/>
    <s v=""/>
  </r>
  <r>
    <s v="Not Selected"/>
    <n v="6788"/>
    <n v="100222362"/>
    <s v="ONNSYNEX VENTURES PRIVATE LIMITED"/>
    <s v="2025"/>
    <s v="9"/>
    <d v="2025-09-18T00:00:00"/>
    <n v="1800000503"/>
    <s v="DR"/>
    <x v="43"/>
    <d v="2025-09-22T00:00:00"/>
    <s v="Na"/>
    <n v="256788410378"/>
    <s v="212100"/>
    <s v="Trade Debtors (Ctrl)"/>
    <s v=""/>
    <s v="01"/>
    <s v="USD"/>
    <n v="46"/>
    <s v="INR"/>
    <n v="4025.66"/>
    <s v="O0"/>
    <s v="6788224500"/>
    <s v=""/>
    <s v="2102482"/>
    <s v="1"/>
    <s v="Transportation Out chgs - 01 - 15 SEP 25"/>
    <s v=""/>
    <s v=""/>
    <s v=""/>
    <d v="2025-09-18T00:00:00"/>
    <m/>
    <s v=""/>
  </r>
  <r>
    <s v="Not Selected"/>
    <n v="6788"/>
    <n v="100222362"/>
    <s v="ONNSYNEX VENTURES PRIVATE LIMITED"/>
    <s v="2025"/>
    <s v="12"/>
    <d v="2025-12-05T00:00:00"/>
    <n v="1800000601"/>
    <s v="DR"/>
    <x v="44"/>
    <d v="2025-12-09T00:00:00"/>
    <s v="Na"/>
    <n v="256788410474"/>
    <s v="212100"/>
    <s v="Trade Debtors (Ctrl)"/>
    <s v=""/>
    <s v="01"/>
    <s v="USD"/>
    <n v="238"/>
    <s v="INR"/>
    <n v="21110.63"/>
    <s v="O0"/>
    <s v="6788224500"/>
    <s v=""/>
    <s v="2140085"/>
    <s v="1"/>
    <s v="Transportation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d v="2025-12-05T00:00:00"/>
    <n v="1800000602"/>
    <s v="DR"/>
    <x v="44"/>
    <d v="2025-12-09T00:00:00"/>
    <s v="Na"/>
    <n v="256788410475"/>
    <s v="212100"/>
    <s v="Trade Debtors (Ctrl)"/>
    <s v=""/>
    <s v="01"/>
    <s v="USD"/>
    <n v="40"/>
    <s v="INR"/>
    <n v="3548.01"/>
    <s v="O0"/>
    <s v="6788224500"/>
    <s v=""/>
    <s v="2140085"/>
    <s v="1"/>
    <s v="Sacnning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d v="2025-12-05T00:00:00"/>
    <n v="1800000603"/>
    <s v="DR"/>
    <x v="44"/>
    <d v="2025-12-09T00:00:00"/>
    <s v="Na"/>
    <n v="256788410476"/>
    <s v="212100"/>
    <s v="Trade Debtors (Ctrl)"/>
    <s v=""/>
    <s v="01"/>
    <s v="USD"/>
    <n v="200"/>
    <s v="INR"/>
    <n v="17740.03"/>
    <s v="O0"/>
    <s v="6788224500"/>
    <s v=""/>
    <s v="2140085"/>
    <s v="1"/>
    <s v="Transportation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d v="2025-12-05T00:00:00"/>
    <n v="1800000604"/>
    <s v="DR"/>
    <x v="44"/>
    <d v="2025-12-09T00:00:00"/>
    <s v="Na"/>
    <n v="256788410477"/>
    <s v="212100"/>
    <s v="Trade Debtors (Ctrl)"/>
    <s v=""/>
    <s v="01"/>
    <s v="USD"/>
    <n v="6.6"/>
    <s v="INR"/>
    <n v="585.41999999999996"/>
    <s v="O0"/>
    <s v="6788224500"/>
    <s v=""/>
    <s v="2140085"/>
    <s v="1"/>
    <s v="Empty Lolo chgs - 16 -30 NOV 25"/>
    <s v=""/>
    <s v=""/>
    <s v=""/>
    <d v="2025-12-05T00:00:00"/>
    <m/>
    <s v=""/>
  </r>
  <r>
    <s v="Not Selected"/>
    <n v="6788"/>
    <n v="100222362"/>
    <s v="ONNSYNEX VENTURES PRIVATE LIMITED"/>
    <s v="2025"/>
    <s v="12"/>
    <d v="2025-12-05T00:00:00"/>
    <n v="1800000606"/>
    <s v="DR"/>
    <x v="44"/>
    <d v="2025-12-09T00:00:00"/>
    <s v="Na"/>
    <n v="256788410479"/>
    <s v="212100"/>
    <s v="Trade Debtors (Ctrl)"/>
    <s v=""/>
    <s v="01"/>
    <s v="USD"/>
    <n v="250.24"/>
    <s v="INR"/>
    <n v="22196.32"/>
    <s v="O0"/>
    <s v="6788224500"/>
    <s v=""/>
    <s v="2140089"/>
    <s v="1"/>
    <s v="Outbound chgs - 16 -30 NOV 25"/>
    <s v=""/>
    <s v=""/>
    <s v=""/>
    <d v="2025-12-05T00:00:00"/>
    <m/>
    <s v=""/>
  </r>
  <r>
    <s v="Not Selected"/>
    <n v="6788"/>
    <n v="100222362"/>
    <s v="ONNSYNEX VENTURES PRIVATE LIMITED"/>
    <s v="2025"/>
    <s v="2"/>
    <d v="2025-02-21T00:00:00"/>
    <n v="1800000041"/>
    <s v="DR"/>
    <x v="45"/>
    <d v="2025-02-25T00:00:00"/>
    <s v="Na"/>
    <n v="246788410024"/>
    <s v="212100"/>
    <s v="Trade Debtors (Ctrl)"/>
    <s v=""/>
    <s v="01"/>
    <s v="USD"/>
    <n v="3980.4"/>
    <s v="INR"/>
    <n v="343523.09"/>
    <s v="O0"/>
    <s v="6788224500"/>
    <s v=""/>
    <s v="NA"/>
    <s v="1"/>
    <s v="CY Longstanding Ground Rent charges for Aug 2024"/>
    <s v=""/>
    <s v=""/>
    <s v=""/>
    <d v="2025-02-21T00:00:00"/>
    <m/>
    <s v=""/>
  </r>
  <r>
    <s v="Not Selected"/>
    <n v="6788"/>
    <n v="100222362"/>
    <s v="ONNSYNEX VENTURES PRIVATE LIMITED"/>
    <s v="2025"/>
    <s v="10"/>
    <d v="2025-10-07T00:00:00"/>
    <n v="1800000554"/>
    <s v="DR"/>
    <x v="46"/>
    <d v="2025-10-09T00:00:00"/>
    <s v="Na"/>
    <n v="256788410429"/>
    <s v="212100"/>
    <s v="Trade Debtors (Ctrl)"/>
    <s v=""/>
    <s v="01"/>
    <s v="USD"/>
    <n v="2.25"/>
    <s v="INR"/>
    <n v="198.43"/>
    <s v="O0"/>
    <s v="6788224500"/>
    <s v=""/>
    <s v="2110800"/>
    <s v="1"/>
    <s v="VAS-16-30 Sept 25"/>
    <s v=""/>
    <s v=""/>
    <s v=""/>
    <d v="2025-10-07T00:00:00"/>
    <m/>
    <s v=""/>
  </r>
  <r>
    <s v="Not Selected"/>
    <n v="6788"/>
    <n v="100222362"/>
    <s v="ONNSYNEX VENTURES PRIVATE LIMITED"/>
    <s v="2025"/>
    <s v="10"/>
    <d v="2025-10-07T00:00:00"/>
    <n v="1800000555"/>
    <s v="DR"/>
    <x v="46"/>
    <d v="2025-10-10T00:00:00"/>
    <s v="Na"/>
    <n v="256788410430"/>
    <s v="212100"/>
    <s v="Trade Debtors (Ctrl)"/>
    <s v=""/>
    <s v="01"/>
    <s v="USD"/>
    <n v="2"/>
    <s v="INR"/>
    <n v="176.38"/>
    <s v="O0"/>
    <s v="6788224500"/>
    <s v=""/>
    <s v="2110862"/>
    <s v="1"/>
    <s v="CODC Out chgs -16-30 Sep 25"/>
    <s v=""/>
    <s v=""/>
    <s v=""/>
    <d v="2025-10-07T00:00:00"/>
    <m/>
    <s v=""/>
  </r>
  <r>
    <s v="Not Selected"/>
    <n v="6788"/>
    <n v="100222362"/>
    <s v="ONNSYNEX VENTURES PRIVATE LIMITED"/>
    <s v="2025"/>
    <s v="7"/>
    <d v="2025-07-19T00:00:00"/>
    <n v="1800000388"/>
    <s v="DR"/>
    <x v="47"/>
    <d v="2025-07-25T00:00:00"/>
    <s v="Na"/>
    <n v="256788410264"/>
    <s v="212100"/>
    <s v="Trade Debtors (Ctrl)"/>
    <s v=""/>
    <s v="01"/>
    <s v="USD"/>
    <n v="4.6399999999999997"/>
    <s v="INR"/>
    <n v="399.04"/>
    <s v="O0"/>
    <s v="6788224500"/>
    <s v=""/>
    <s v="NA"/>
    <s v="1"/>
    <s v="VAS - 1-15 July 25"/>
    <s v=""/>
    <s v=""/>
    <s v=""/>
    <d v="2025-07-19T00:00:00"/>
    <m/>
    <s v=""/>
  </r>
  <r>
    <s v="Not Selected"/>
    <n v="6779"/>
    <n v="100222362"/>
    <s v="ONNSYNEX VENTURES PRIVATE LIMITED"/>
    <s v="2025"/>
    <s v="5"/>
    <d v="2025-05-10T00:00:00"/>
    <n v="1800008358"/>
    <s v="DR"/>
    <x v="48"/>
    <d v="2025-05-15T00:00:00"/>
    <s v="Na"/>
    <n v="256779413241"/>
    <s v="212100"/>
    <s v="Trade Debtors (Ctrl)"/>
    <s v=""/>
    <s v="01"/>
    <s v="USD"/>
    <n v="1054.79"/>
    <s v="INR"/>
    <n v="90694.75"/>
    <s v="O0"/>
    <s v="6779224500"/>
    <s v=""/>
    <s v="NA"/>
    <s v="1"/>
    <s v="VAS - 16-30 April 25, Ex.Rate-85.05"/>
    <s v=""/>
    <s v=""/>
    <s v=""/>
    <d v="2025-05-10T00:00:00"/>
    <m/>
    <s v=""/>
  </r>
  <r>
    <s v="Not Selected"/>
    <n v="6788"/>
    <n v="100222362"/>
    <s v="ONNSYNEX VENTURES PRIVATE LIMITED"/>
    <s v="2025"/>
    <s v="5"/>
    <d v="2025-05-10T00:00:00"/>
    <n v="1800000332"/>
    <s v="DR"/>
    <x v="48"/>
    <d v="2025-05-23T00:00:00"/>
    <s v="Na"/>
    <n v="256788410207"/>
    <s v="212100"/>
    <s v="Trade Debtors (Ctrl)"/>
    <s v=""/>
    <s v="01"/>
    <s v="USD"/>
    <n v="96.66"/>
    <s v="INR"/>
    <n v="8311.18"/>
    <s v="O0"/>
    <s v="6788224500"/>
    <s v=""/>
    <s v="NA"/>
    <s v="1"/>
    <s v="CODC LCL Chgs - 16 - 30 Apr 25"/>
    <s v=""/>
    <s v=""/>
    <s v=""/>
    <d v="2025-05-10T00:00:00"/>
    <m/>
    <s v=""/>
  </r>
  <r>
    <s v="Not Selected"/>
    <n v="6788"/>
    <n v="100222362"/>
    <s v="ONNSYNEX VENTURES PRIVATE LIMITED"/>
    <s v="2025"/>
    <s v="5"/>
    <d v="2025-05-10T00:00:00"/>
    <n v="1800000333"/>
    <s v="DR"/>
    <x v="48"/>
    <d v="2025-05-23T00:00:00"/>
    <s v="Na"/>
    <n v="256788410208"/>
    <s v="212100"/>
    <s v="Trade Debtors (Ctrl)"/>
    <s v=""/>
    <s v="01"/>
    <s v="USD"/>
    <n v="75"/>
    <s v="INR"/>
    <n v="6448.78"/>
    <s v="O0"/>
    <s v="6788224500"/>
    <s v=""/>
    <s v="NA"/>
    <s v="1"/>
    <s v="Fixed Storage Charges fo MAY 2025"/>
    <s v=""/>
    <s v=""/>
    <s v=""/>
    <d v="2025-05-10T00:00:00"/>
    <m/>
    <s v=""/>
  </r>
  <r>
    <s v="Not Selected"/>
    <n v="6788"/>
    <n v="100222362"/>
    <s v="ONNSYNEX VENTURES PRIVATE LIMITED"/>
    <s v="2025"/>
    <s v="5"/>
    <d v="2025-05-10T00:00:00"/>
    <n v="1800000340"/>
    <s v="DR"/>
    <x v="48"/>
    <d v="2025-05-23T00:00:00"/>
    <s v="Na"/>
    <n v="256788410215"/>
    <s v="212100"/>
    <s v="Trade Debtors (Ctrl)"/>
    <s v=""/>
    <s v="01"/>
    <s v="USD"/>
    <n v="2336.5100000000002"/>
    <s v="INR"/>
    <n v="200901.77"/>
    <s v="O0"/>
    <s v="6788224500"/>
    <s v=""/>
    <s v="NA"/>
    <s v="1"/>
    <s v="CY Ground rent Chgs - 01 - 30 Apr 25"/>
    <s v=""/>
    <s v=""/>
    <s v=""/>
    <d v="2025-05-10T00:00:00"/>
    <m/>
    <s v=""/>
  </r>
  <r>
    <s v="Not Selected"/>
    <n v="6788"/>
    <n v="100222362"/>
    <s v="ONNSYNEX VENTURES PRIVATE LIMITED"/>
    <s v="2025"/>
    <s v="10"/>
    <d v="2025-10-18T00:00:00"/>
    <n v="1800000561"/>
    <s v="DR"/>
    <x v="49"/>
    <d v="2025-10-21T00:00:00"/>
    <s v="Na"/>
    <n v="256788410432"/>
    <s v="212100"/>
    <s v="Trade Debtors (Ctrl)"/>
    <s v=""/>
    <s v="01"/>
    <s v="USD"/>
    <n v="393.41"/>
    <s v="INR"/>
    <n v="34695.129999999997"/>
    <s v="O0"/>
    <s v="6788224500"/>
    <s v=""/>
    <s v="2114863"/>
    <s v="1"/>
    <s v="VAS  -1-15 Oct 2025"/>
    <s v=""/>
    <s v=""/>
    <s v=""/>
    <d v="2025-10-18T00:00:00"/>
    <m/>
    <s v=""/>
  </r>
  <r>
    <s v="Not Selected"/>
    <n v="6788"/>
    <n v="100222362"/>
    <s v="ONNSYNEX VENTURES PRIVATE LIMITED"/>
    <s v="2025"/>
    <s v="10"/>
    <d v="2025-10-18T00:00:00"/>
    <n v="1800000562"/>
    <s v="DR"/>
    <x v="49"/>
    <d v="2025-10-21T00:00:00"/>
    <s v="Na"/>
    <n v="256788410433"/>
    <s v="212100"/>
    <s v="Trade Debtors (Ctrl)"/>
    <s v=""/>
    <s v="01"/>
    <s v="USD"/>
    <n v="20.39"/>
    <s v="INR"/>
    <n v="1798.21"/>
    <s v="O0"/>
    <s v="6788224500"/>
    <s v=""/>
    <s v="2114863"/>
    <s v="1"/>
    <s v="Weighment  -1-15 Oct 2025"/>
    <s v=""/>
    <s v=""/>
    <s v=""/>
    <d v="2025-10-18T00:00:00"/>
    <m/>
    <s v=""/>
  </r>
  <r>
    <s v="Not Selected"/>
    <n v="6779"/>
    <n v="100222362"/>
    <s v="ONNSYNEX VENTURES PRIVATE LIMITED"/>
    <s v="2025"/>
    <s v="6"/>
    <d v="2025-06-07T00:00:00"/>
    <n v="1800009486"/>
    <s v="DR"/>
    <x v="50"/>
    <d v="2025-06-09T00:00:00"/>
    <s v="Na"/>
    <n v="256779414250"/>
    <s v="212100"/>
    <s v="Trade Debtors (Ctrl)"/>
    <s v=""/>
    <s v="01"/>
    <s v="USD"/>
    <n v="10597.07"/>
    <s v="INR"/>
    <n v="905951.78"/>
    <s v="O0"/>
    <s v="6779224500"/>
    <s v=""/>
    <s v="NA"/>
    <s v="1"/>
    <s v="Unit storage -1-31 May 25"/>
    <s v=""/>
    <s v=""/>
    <s v=""/>
    <d v="2025-06-07T00:00:00"/>
    <m/>
    <s v=""/>
  </r>
  <r>
    <s v="Not Selected"/>
    <n v="6788"/>
    <n v="100222362"/>
    <s v="ONNSYNEX VENTURES PRIVATE LIMITED"/>
    <s v="2025"/>
    <s v="10"/>
    <d v="2025-10-06T00:00:00"/>
    <n v="1800000552"/>
    <s v="DR"/>
    <x v="51"/>
    <d v="2025-10-07T00:00:00"/>
    <s v="Na"/>
    <n v="256788410427"/>
    <s v="212100"/>
    <s v="Trade Debtors (Ctrl)"/>
    <s v=""/>
    <s v="01"/>
    <s v="USD"/>
    <n v="11372.78"/>
    <s v="INR"/>
    <n v="1002974.23"/>
    <s v="O0"/>
    <s v="6788224500"/>
    <s v=""/>
    <s v="2110510"/>
    <s v="1"/>
    <s v="Unit-Storage-1-30 Sept 25"/>
    <s v=""/>
    <s v=""/>
    <s v=""/>
    <d v="2025-10-06T00:00:00"/>
    <m/>
    <s v=""/>
  </r>
  <r>
    <s v="Not Selected"/>
    <n v="6788"/>
    <n v="100222362"/>
    <s v="ONNSYNEX VENTURES PRIVATE LIMITED"/>
    <s v="2025"/>
    <s v="10"/>
    <d v="2025-10-05T00:00:00"/>
    <n v="1800000536"/>
    <s v="DR"/>
    <x v="52"/>
    <d v="2025-10-07T00:00:00"/>
    <s v="Na"/>
    <n v="256788410409"/>
    <s v="212100"/>
    <s v="Trade Debtors (Ctrl)"/>
    <s v=""/>
    <s v="01"/>
    <s v="USD"/>
    <n v="1211.9000000000001"/>
    <s v="INR"/>
    <n v="106878.39"/>
    <s v="O0"/>
    <s v="6788224500"/>
    <s v=""/>
    <s v="2110501"/>
    <s v="1"/>
    <s v="Transportation IN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d v="2025-10-05T00:00:00"/>
    <n v="1800000537"/>
    <s v="DR"/>
    <x v="52"/>
    <d v="2025-10-07T00:00:00"/>
    <s v="Na"/>
    <n v="256788410410"/>
    <s v="212100"/>
    <s v="Trade Debtors (Ctrl)"/>
    <s v=""/>
    <s v="01"/>
    <s v="USD"/>
    <n v="40"/>
    <s v="INR"/>
    <n v="3527.63"/>
    <s v="O0"/>
    <s v="6788224500"/>
    <s v=""/>
    <s v="2110501"/>
    <s v="1"/>
    <s v="Scanning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d v="2025-10-05T00:00:00"/>
    <n v="1800000538"/>
    <s v="DR"/>
    <x v="52"/>
    <d v="2025-10-07T00:00:00"/>
    <s v="Na"/>
    <n v="256788410411"/>
    <s v="212100"/>
    <s v="Trade Debtors (Ctrl)"/>
    <s v=""/>
    <s v="01"/>
    <s v="USD"/>
    <n v="11.26"/>
    <s v="INR"/>
    <n v="993.03"/>
    <s v="O0"/>
    <s v="6788224500"/>
    <s v=""/>
    <s v="2110501"/>
    <s v="1"/>
    <s v="Bond Stamp Paper Chgs 01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d v="2025-10-05T00:00:00"/>
    <n v="1800000534"/>
    <s v="DR"/>
    <x v="52"/>
    <d v="2025-10-07T00:00:00"/>
    <s v="Na"/>
    <n v="256788410413"/>
    <s v="212100"/>
    <s v="Trade Debtors (Ctrl)"/>
    <s v=""/>
    <s v="01"/>
    <s v="USD"/>
    <n v="8"/>
    <s v="INR"/>
    <n v="705.53"/>
    <s v="O0"/>
    <s v="6788224500"/>
    <s v=""/>
    <s v="2110502"/>
    <s v="1"/>
    <s v="Outbound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d v="2025-10-05T00:00:00"/>
    <n v="1800000539"/>
    <s v="DR"/>
    <x v="52"/>
    <d v="2025-10-07T00:00:00"/>
    <s v="Na"/>
    <n v="256788410414"/>
    <s v="212100"/>
    <s v="Trade Debtors (Ctrl)"/>
    <s v=""/>
    <s v="01"/>
    <s v="USD"/>
    <n v="1119.04"/>
    <s v="INR"/>
    <n v="98689"/>
    <s v="O0"/>
    <s v="6788224500"/>
    <s v=""/>
    <s v="2110488"/>
    <s v="1"/>
    <s v="CY Ground rent Chgs - 16 - 30 Sep 25"/>
    <s v=""/>
    <s v=""/>
    <s v=""/>
    <d v="2025-10-05T00:00:00"/>
    <m/>
    <s v=""/>
  </r>
  <r>
    <s v="Not Selected"/>
    <n v="6788"/>
    <n v="100222362"/>
    <s v="ONNSYNEX VENTURES PRIVATE LIMITED"/>
    <s v="2025"/>
    <s v="10"/>
    <d v="2025-10-05T00:00:00"/>
    <n v="1800000540"/>
    <s v="DR"/>
    <x v="52"/>
    <d v="2025-10-07T00:00:00"/>
    <s v="Na"/>
    <n v="256788410415"/>
    <s v="212100"/>
    <s v="Trade Debtors (Ctrl)"/>
    <s v=""/>
    <s v="01"/>
    <s v="USD"/>
    <n v="47.84"/>
    <s v="INR"/>
    <n v="4219.05"/>
    <s v="O0"/>
    <s v="6788224500"/>
    <s v=""/>
    <s v="2110494"/>
    <s v="1"/>
    <s v="Empty Lolo Chgs Sep 25"/>
    <s v=""/>
    <s v=""/>
    <s v=""/>
    <d v="2025-10-05T00:00:00"/>
    <m/>
    <s v=""/>
  </r>
  <r>
    <s v="Not Selected"/>
    <n v="6788"/>
    <n v="100222362"/>
    <s v="ONNSYNEX VENTURES PRIVATE LIMITED"/>
    <s v="2025"/>
    <s v="10"/>
    <d v="2025-10-05T00:00:00"/>
    <n v="1800000545"/>
    <s v="DR"/>
    <x v="52"/>
    <d v="2025-10-07T00:00:00"/>
    <s v="Na"/>
    <n v="256788410420"/>
    <s v="212100"/>
    <s v="Trade Debtors (Ctrl)"/>
    <s v=""/>
    <s v="01"/>
    <s v="USD"/>
    <n v="75"/>
    <s v="INR"/>
    <n v="6614.31"/>
    <s v="O0"/>
    <s v="6788224500"/>
    <s v=""/>
    <s v="2110505"/>
    <s v="1"/>
    <s v="Fixed Storage Charges for October 2025"/>
    <s v=""/>
    <s v=""/>
    <s v=""/>
    <d v="2025-10-05T00:00:00"/>
    <m/>
    <s v=""/>
  </r>
  <r>
    <s v="Not Selected"/>
    <n v="6788"/>
    <n v="100222362"/>
    <s v="ONNSYNEX VENTURES PRIVATE LIMITED"/>
    <s v="2025"/>
    <s v="10"/>
    <d v="2025-10-05T00:00:00"/>
    <n v="1800000556"/>
    <s v="DR"/>
    <x v="52"/>
    <d v="2025-10-10T00:00:00"/>
    <s v="Na"/>
    <n v="256788410431"/>
    <s v="212100"/>
    <s v="Trade Debtors (Ctrl)"/>
    <s v=""/>
    <s v="01"/>
    <s v="USD"/>
    <n v="250.08"/>
    <s v="INR"/>
    <n v="22054.75"/>
    <s v="O0"/>
    <s v="6788224500"/>
    <s v=""/>
    <s v="2110980"/>
    <s v="1"/>
    <s v="PORT SSR Chgs Sep 25"/>
    <s v=""/>
    <s v=""/>
    <s v=""/>
    <d v="2025-10-05T00:00:00"/>
    <m/>
    <s v=""/>
  </r>
  <r>
    <s v="Selected"/>
    <n v="6788"/>
    <n v="100222362"/>
    <s v="ONNSYNEX VENTURES PRIVATE LIMITED"/>
    <s v="2025"/>
    <s v="10"/>
    <d v="2025-10-05T00:00:00"/>
    <n v="1800000542"/>
    <s v="DR"/>
    <x v="52"/>
    <d v="2025-10-07T00:00:00"/>
    <s v="Na"/>
    <n v="256788410417"/>
    <s v="212100"/>
    <s v="Trade Debtors (Ctrl)"/>
    <s v=""/>
    <s v="01"/>
    <s v="USD"/>
    <n v="1211.9000000000001"/>
    <s v="INR"/>
    <n v="106878.39"/>
    <s v="O0"/>
    <s v="6788224500"/>
    <s v=""/>
    <s v="2110500"/>
    <s v="1"/>
    <s v="Transportation IN chgs - 16 - 30 SEP 25"/>
    <s v=""/>
    <s v=""/>
    <s v=""/>
    <d v="2025-10-05T00:00:00"/>
    <d v="2025-11-15T00:00:00"/>
    <s v="1400000084"/>
  </r>
  <r>
    <s v="Selected"/>
    <n v="6788"/>
    <n v="100222362"/>
    <s v="ONNSYNEX VENTURES PRIVATE LIMITED"/>
    <s v="2025"/>
    <s v="10"/>
    <d v="2025-10-05T00:00:00"/>
    <n v="1800000543"/>
    <s v="DR"/>
    <x v="52"/>
    <d v="2025-10-07T00:00:00"/>
    <s v="Na"/>
    <n v="256788410418"/>
    <s v="212100"/>
    <s v="Trade Debtors (Ctrl)"/>
    <s v=""/>
    <s v="01"/>
    <s v="USD"/>
    <n v="40"/>
    <s v="INR"/>
    <n v="3527.63"/>
    <s v="O0"/>
    <s v="6788224500"/>
    <s v=""/>
    <s v="2110500"/>
    <s v="1"/>
    <s v="Scanning chgs - 16 - 30 SEP 25"/>
    <s v=""/>
    <s v=""/>
    <s v=""/>
    <d v="2025-10-05T00:00:00"/>
    <d v="2025-11-15T00:00:00"/>
    <s v="1400000084"/>
  </r>
  <r>
    <s v="Selected"/>
    <n v="6788"/>
    <n v="100222362"/>
    <s v="ONNSYNEX VENTURES PRIVATE LIMITED"/>
    <s v="2025"/>
    <s v="10"/>
    <d v="2025-10-05T00:00:00"/>
    <n v="1800000544"/>
    <s v="DR"/>
    <x v="52"/>
    <d v="2025-10-07T00:00:00"/>
    <s v="Na"/>
    <n v="256788410419"/>
    <s v="212100"/>
    <s v="Trade Debtors (Ctrl)"/>
    <s v=""/>
    <s v="01"/>
    <s v="USD"/>
    <n v="11.26"/>
    <s v="INR"/>
    <n v="993.03"/>
    <s v="O0"/>
    <s v="6788224500"/>
    <s v=""/>
    <s v="2110500"/>
    <s v="1"/>
    <s v="Bond Stamp Paper Chgs 01 - 30 Sep 25"/>
    <s v=""/>
    <s v=""/>
    <s v=""/>
    <d v="2025-10-05T00:00:00"/>
    <d v="2025-11-15T00:00:00"/>
    <s v="1400000084"/>
  </r>
  <r>
    <s v="Not Selected"/>
    <n v="6788"/>
    <n v="100222362"/>
    <s v="ONNSYNEX VENTURES PRIVATE LIMITED"/>
    <s v="2025"/>
    <s v="9"/>
    <d v="2025-09-06T00:00:00"/>
    <n v="1800000478"/>
    <s v="DR"/>
    <x v="53"/>
    <d v="2025-09-09T00:00:00"/>
    <s v="Na"/>
    <n v="256788410357"/>
    <s v="212100"/>
    <s v="Trade Debtors (Ctrl)"/>
    <s v=""/>
    <s v="01"/>
    <s v="USD"/>
    <n v="11371.82"/>
    <s v="INR"/>
    <n v="995197.21"/>
    <s v="O0"/>
    <s v="6788224500"/>
    <s v=""/>
    <s v="NA"/>
    <s v="1"/>
    <s v="Unit-Storage-1-31 Aug 25"/>
    <s v=""/>
    <s v=""/>
    <s v=""/>
    <d v="2025-09-06T00:00:00"/>
    <m/>
    <s v=""/>
  </r>
  <r>
    <s v="Not Selected"/>
    <n v="6788"/>
    <n v="100222362"/>
    <s v="ONNSYNEX VENTURES PRIVATE LIMITED"/>
    <s v="2026"/>
    <s v="1"/>
    <d v="2026-01-05T00:00:00"/>
    <n v="1800000621"/>
    <s v="DR"/>
    <x v="54"/>
    <d v="2026-01-05T00:00:00"/>
    <s v="Na"/>
    <n v="256788410483"/>
    <s v="212100"/>
    <s v="Trade Debtors (Ctrl)"/>
    <s v=""/>
    <s v="01"/>
    <s v="USD"/>
    <n v="63.04"/>
    <s v="INR"/>
    <n v="5720.45"/>
    <s v="O0"/>
    <s v="6788224500"/>
    <s v=""/>
    <s v="2150026"/>
    <s v="1"/>
    <s v="VAS - NOV 25,16-30"/>
    <s v=""/>
    <s v=""/>
    <s v=""/>
    <d v="2026-01-05T00:00:00"/>
    <m/>
    <s v=""/>
  </r>
  <r>
    <s v="Not Selected"/>
    <n v="6788"/>
    <n v="100222362"/>
    <s v="ONNSYNEX VENTURES PRIVATE LIMITED"/>
    <s v="2026"/>
    <s v="1"/>
    <d v="2026-01-05T00:00:00"/>
    <n v="1800000623"/>
    <s v="DR"/>
    <x v="54"/>
    <d v="2026-01-05T00:00:00"/>
    <s v="2150004"/>
    <n v="256788410485"/>
    <s v="212100"/>
    <s v="Trade Debtors (Ctrl)"/>
    <s v=""/>
    <s v="01"/>
    <s v="USD"/>
    <n v="348.86"/>
    <s v="INR"/>
    <n v="31656.65"/>
    <s v="O0"/>
    <s v="6788224500"/>
    <s v=""/>
    <s v="NA"/>
    <s v="1"/>
    <s v="VAS - NOV 25,16-30"/>
    <s v=""/>
    <s v=""/>
    <s v=""/>
    <d v="2026-01-05T00:00:00"/>
    <m/>
    <s v=""/>
  </r>
  <r>
    <s v="Not Selected"/>
    <n v="6788"/>
    <n v="100222362"/>
    <s v="ONNSYNEX VENTURES PRIVATE LIMITED"/>
    <s v="2026"/>
    <s v="1"/>
    <d v="2026-01-05T00:00:00"/>
    <n v="1800000619"/>
    <s v="DR"/>
    <x v="54"/>
    <d v="2026-01-05T00:00:00"/>
    <s v="Na"/>
    <n v="256788410487"/>
    <s v="212100"/>
    <s v="Trade Debtors (Ctrl)"/>
    <s v=""/>
    <s v="01"/>
    <s v="USD"/>
    <n v="52"/>
    <s v="INR"/>
    <n v="4718.6400000000003"/>
    <s v="O0"/>
    <s v="6788224500"/>
    <s v=""/>
    <s v="2156420"/>
    <s v="1"/>
    <s v="Outbound chgs - 01 -15 DEC 25"/>
    <s v=""/>
    <s v=""/>
    <s v=""/>
    <d v="2026-01-05T00:00:00"/>
    <m/>
    <s v=""/>
  </r>
  <r>
    <s v="Not Selected"/>
    <n v="6788"/>
    <n v="100222362"/>
    <s v="ONNSYNEX VENTURES PRIVATE LIMITED"/>
    <s v="2026"/>
    <s v="1"/>
    <d v="2026-01-05T00:00:00"/>
    <n v="1800000625"/>
    <s v="DR"/>
    <x v="54"/>
    <d v="2026-01-05T00:00:00"/>
    <s v="Na"/>
    <n v="256788410490"/>
    <s v="212100"/>
    <s v="Trade Debtors (Ctrl)"/>
    <s v=""/>
    <s v="01"/>
    <s v="USD"/>
    <n v="94"/>
    <s v="INR"/>
    <n v="8529.86"/>
    <s v="O0"/>
    <s v="6788224500"/>
    <s v=""/>
    <s v="2156418"/>
    <s v="1"/>
    <s v="LCL chgs - 01 -15 DEC 25"/>
    <s v=""/>
    <s v=""/>
    <s v=""/>
    <d v="2026-01-05T00:00:00"/>
    <m/>
    <s v=""/>
  </r>
  <r>
    <s v="Not Selected"/>
    <n v="6788"/>
    <n v="100222362"/>
    <s v="ONNSYNEX VENTURES PRIVATE LIMITED"/>
    <s v="2026"/>
    <s v="1"/>
    <d v="2026-01-12T00:00:00"/>
    <n v="1800000635"/>
    <s v="DR"/>
    <x v="55"/>
    <d v="2026-01-13T00:00:00"/>
    <s v="Na"/>
    <n v="256788410492"/>
    <s v="212100"/>
    <s v="Trade Debtors (Ctrl)"/>
    <s v=""/>
    <s v="01"/>
    <s v="USD"/>
    <n v="476"/>
    <s v="INR"/>
    <n v="43193.73"/>
    <s v="O0"/>
    <s v="6788224500"/>
    <s v=""/>
    <s v="2158405"/>
    <s v="1"/>
    <s v="Transportation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d v="2026-01-12T00:00:00"/>
    <n v="1800000638"/>
    <s v="DR"/>
    <x v="55"/>
    <d v="2026-01-13T00:00:00"/>
    <s v="Na"/>
    <n v="256788410495"/>
    <s v="212100"/>
    <s v="Trade Debtors (Ctrl)"/>
    <s v=""/>
    <s v="01"/>
    <s v="USD"/>
    <n v="49.49"/>
    <s v="INR"/>
    <n v="4490.88"/>
    <s v="O0"/>
    <s v="6788224500"/>
    <s v=""/>
    <s v="2158405"/>
    <s v="1"/>
    <s v="Empty Lolo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d v="2026-01-12T00:00:00"/>
    <n v="1800000641"/>
    <s v="DR"/>
    <x v="55"/>
    <d v="2026-01-13T00:00:00"/>
    <s v="Na"/>
    <n v="256788410498"/>
    <s v="212100"/>
    <s v="Trade Debtors (Ctrl)"/>
    <s v=""/>
    <s v="01"/>
    <s v="USD"/>
    <n v="181.44"/>
    <s v="INR"/>
    <n v="16464.439999999999"/>
    <s v="O0"/>
    <s v="6788224500"/>
    <s v=""/>
    <s v="2158405"/>
    <s v="1"/>
    <s v="PORT SSR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d v="2026-01-12T00:00:00"/>
    <n v="1800000642"/>
    <s v="DR"/>
    <x v="55"/>
    <d v="2026-01-13T00:00:00"/>
    <s v="Na"/>
    <n v="256788410499"/>
    <s v="212100"/>
    <s v="Trade Debtors (Ctrl)"/>
    <s v=""/>
    <s v="01"/>
    <s v="USD"/>
    <n v="53"/>
    <s v="INR"/>
    <n v="4809.3900000000003"/>
    <s v="O0"/>
    <s v="6788224500"/>
    <s v=""/>
    <s v="2158405"/>
    <s v="1"/>
    <s v="LCL Gate  chgs - 16 -31 DEC 25"/>
    <s v=""/>
    <s v=""/>
    <s v=""/>
    <d v="2026-01-12T00:00:00"/>
    <m/>
    <s v=""/>
  </r>
  <r>
    <s v="Not Selected"/>
    <n v="6779"/>
    <n v="100222362"/>
    <s v="ONNSYNEX VENTURES PRIVATE LIMITED"/>
    <s v="2026"/>
    <s v="1"/>
    <d v="2026-01-06T00:00:00"/>
    <n v="1800016633"/>
    <s v="DR"/>
    <x v="56"/>
    <d v="2026-01-13T00:00:00"/>
    <s v="2158402"/>
    <n v="256779440254"/>
    <s v="212100"/>
    <s v="Trade Debtors (Ctrl)"/>
    <s v=""/>
    <s v="01"/>
    <s v="USD"/>
    <n v="2.0299999999999998"/>
    <s v="INR"/>
    <n v="184.21"/>
    <s v="O0"/>
    <s v="6779224500"/>
    <s v=""/>
    <s v="NA"/>
    <s v="1"/>
    <s v="CODC Out chgs -16-31 DEC 25"/>
    <s v=""/>
    <s v=""/>
    <s v=""/>
    <d v="2026-01-06T00:00:00"/>
    <m/>
    <s v=""/>
  </r>
  <r>
    <s v="Not Selected"/>
    <n v="6788"/>
    <n v="100222362"/>
    <s v="ONNSYNEX VENTURES PRIVATE LIMITED"/>
    <s v="2026"/>
    <s v="1"/>
    <d v="2026-01-12T00:00:00"/>
    <n v="1800000647"/>
    <s v="DR"/>
    <x v="55"/>
    <d v="2026-01-13T00:00:00"/>
    <s v="2158407"/>
    <n v="256788410500"/>
    <s v="212100"/>
    <s v="Trade Debtors (Ctrl)"/>
    <s v=""/>
    <s v="01"/>
    <s v="USD"/>
    <n v="32"/>
    <s v="INR"/>
    <n v="2903.78"/>
    <s v="O0"/>
    <s v="6788224500"/>
    <s v=""/>
    <s v="NA"/>
    <s v="1"/>
    <s v="Outbound chgs - 16 -31 DEC 25"/>
    <s v=""/>
    <s v=""/>
    <s v=""/>
    <d v="2026-01-12T00:00:00"/>
    <m/>
    <s v=""/>
  </r>
  <r>
    <s v="Not Selected"/>
    <n v="6788"/>
    <n v="100222362"/>
    <s v="ONNSYNEX VENTURES PRIVATE LIMITED"/>
    <s v="2026"/>
    <s v="1"/>
    <d v="2026-01-12T00:00:00"/>
    <n v="1800000626"/>
    <s v="DR"/>
    <x v="55"/>
    <d v="2026-01-13T00:00:00"/>
    <s v="2158409"/>
    <n v="256788410502"/>
    <s v="212100"/>
    <s v="Trade Debtors (Ctrl)"/>
    <s v=""/>
    <s v="01"/>
    <s v="USD"/>
    <n v="3980.5"/>
    <s v="INR"/>
    <n v="361203.07"/>
    <s v="O0"/>
    <s v="6788224500"/>
    <s v=""/>
    <s v="NA"/>
    <s v="1"/>
    <s v="Unit-Storage-1-31 DEC 25"/>
    <s v=""/>
    <s v=""/>
    <s v=""/>
    <d v="2026-01-12T00:00:00"/>
    <m/>
    <s v=""/>
  </r>
  <r>
    <s v="Not Selected"/>
    <n v="6788"/>
    <n v="100222362"/>
    <s v="ONNSYNEX VENTURES PRIVATE LIMITED"/>
    <s v="2026"/>
    <s v="1"/>
    <d v="2026-01-06T00:00:00"/>
    <n v="1800000643"/>
    <s v="DR"/>
    <x v="56"/>
    <d v="2026-01-13T00:00:00"/>
    <s v="Na"/>
    <n v="256788410503"/>
    <s v="212100"/>
    <s v="Trade Debtors (Ctrl)"/>
    <s v=""/>
    <s v="01"/>
    <s v="USD"/>
    <n v="994.98"/>
    <s v="INR"/>
    <n v="90287.61"/>
    <s v="O0"/>
    <s v="6788224500"/>
    <s v=""/>
    <s v="2158637"/>
    <s v="1"/>
    <s v="VAS-Dec 25 - 16-31"/>
    <s v=""/>
    <s v=""/>
    <s v=""/>
    <d v="2026-01-06T00:00:00"/>
    <m/>
    <s v=""/>
  </r>
  <r>
    <s v="Not Selected"/>
    <n v="6788"/>
    <n v="100222362"/>
    <s v="ONNSYNEX VENTURES PRIVATE LIMITED"/>
    <s v="2026"/>
    <s v="1"/>
    <d v="2026-01-12T00:00:00"/>
    <n v="1800000627"/>
    <s v="DR"/>
    <x v="55"/>
    <d v="2026-01-13T00:00:00"/>
    <s v="2158668"/>
    <n v="256788410507"/>
    <s v="212100"/>
    <s v="Trade Debtors (Ctrl)"/>
    <s v=""/>
    <s v="01"/>
    <s v="USD"/>
    <n v="75"/>
    <s v="INR"/>
    <n v="6805.74"/>
    <s v="O0"/>
    <s v="6788224500"/>
    <s v=""/>
    <s v="NA"/>
    <s v="1"/>
    <s v="Fixed Storage Charges for January 2026"/>
    <s v=""/>
    <s v=""/>
    <s v=""/>
    <d v="2026-01-12T00:00:00"/>
    <m/>
    <s v=""/>
  </r>
  <r>
    <s v="Not Selected"/>
    <n v="6788"/>
    <n v="100222362"/>
    <s v="ONNSYNEX VENTURES PRIVATE LIMITED"/>
    <s v="2026"/>
    <s v="1"/>
    <d v="2026-01-12T00:00:00"/>
    <n v="1800000649"/>
    <s v="DR"/>
    <x v="55"/>
    <d v="2026-01-13T00:00:00"/>
    <s v="2159218"/>
    <n v="256788410514"/>
    <s v="212100"/>
    <s v="Trade Debtors (Ctrl)"/>
    <s v=""/>
    <s v="01"/>
    <s v="USD"/>
    <n v="63.04"/>
    <s v="INR"/>
    <n v="5720.45"/>
    <s v="O0"/>
    <s v="6788224500"/>
    <s v=""/>
    <s v="NA"/>
    <s v="1"/>
    <s v="VAS - NOV 25,16-30"/>
    <s v=""/>
    <s v=""/>
    <s v=""/>
    <d v="2026-01-12T00:00:00"/>
    <m/>
    <s v=""/>
  </r>
  <r>
    <s v="Not Selected"/>
    <n v="6788"/>
    <n v="100222362"/>
    <s v="ONNSYNEX VENTURES PRIVATE LIMITED"/>
    <s v="2026"/>
    <s v="1"/>
    <d v="2026-01-19T00:00:00"/>
    <n v="1600000272"/>
    <s v="DG"/>
    <x v="57"/>
    <d v="2026-01-19T00:00:00"/>
    <s v="2160778"/>
    <n v="256788420148"/>
    <s v="212100"/>
    <s v="Trade Debtors (Ctrl)"/>
    <s v=""/>
    <s v="11"/>
    <s v="USD"/>
    <n v="-25125.9"/>
    <s v="INR"/>
    <n v="-2280003.06"/>
    <s v="O0"/>
    <s v="6788224500"/>
    <s v=""/>
    <s v="NA"/>
    <s v="1"/>
    <s v="CN against IBC Storage &amp; IBC LCL Charges"/>
    <s v=""/>
    <s v=""/>
    <s v=""/>
    <d v="2026-01-19T00:00:00"/>
    <m/>
    <s v=""/>
  </r>
  <r>
    <s v="Not Selected"/>
    <n v="6788"/>
    <n v="100222362"/>
    <s v="ONNSYNEX VENTURES PRIVATE LIMITED"/>
    <s v="2026"/>
    <s v="1"/>
    <d v="2026-01-19T00:00:00"/>
    <n v="1600000273"/>
    <s v="DG"/>
    <x v="57"/>
    <d v="2026-01-19T00:00:00"/>
    <s v="2160778"/>
    <n v="256788420149"/>
    <s v="212100"/>
    <s v="Trade Debtors (Ctrl)"/>
    <s v=""/>
    <s v="11"/>
    <s v="INR"/>
    <n v="-72465"/>
    <s v="INR"/>
    <n v="-72465"/>
    <s v="O0"/>
    <s v="6788224500"/>
    <s v=""/>
    <s v="NA"/>
    <s v="1"/>
    <s v="CN against ISO Tank CY Storage Charges"/>
    <s v=""/>
    <s v=""/>
    <s v=""/>
    <d v="2026-01-19T00:00:00"/>
    <m/>
    <s v=""/>
  </r>
  <r>
    <s v="Not Selected"/>
    <n v="6788"/>
    <n v="100222362"/>
    <s v="ONNSYNEX VENTURES PRIVATE LIMITED"/>
    <s v="2026"/>
    <s v="1"/>
    <d v="2026-01-06T00:00:00"/>
    <n v="1600000274"/>
    <s v="DG"/>
    <x v="56"/>
    <d v="2026-01-21T00:00:00"/>
    <s v="2160781"/>
    <n v="256788420150"/>
    <s v="212100"/>
    <s v="Trade Debtors (Ctrl)"/>
    <s v=""/>
    <s v="11"/>
    <s v="USD"/>
    <n v="-53"/>
    <s v="INR"/>
    <n v="-4809.3900000000003"/>
    <s v="O0"/>
    <s v="6788224500"/>
    <s v=""/>
    <s v="NA"/>
    <s v="1"/>
    <s v="CN Against LCL &amp; Inbound chgs - 16 -31 DEC 25"/>
    <s v=""/>
    <s v=""/>
    <s v=""/>
    <d v="2026-01-06T00:00:00"/>
    <m/>
    <s v=""/>
  </r>
  <r>
    <s v=""/>
    <s v=""/>
    <s v=""/>
    <s v=""/>
    <s v=""/>
    <s v=""/>
    <m/>
    <s v=""/>
    <s v=""/>
    <x v="58"/>
    <m/>
    <s v=""/>
    <s v=""/>
    <s v="212100"/>
    <s v=""/>
    <s v=""/>
    <s v=""/>
    <s v="INR"/>
    <n v="-9572465"/>
    <s v="INR"/>
    <n v="4079553.42"/>
    <s v=""/>
    <s v=""/>
    <s v=""/>
    <s v=""/>
    <s v=""/>
    <s v=""/>
    <s v=""/>
    <s v=""/>
    <s v=""/>
    <m/>
    <m/>
    <s v=""/>
  </r>
  <r>
    <s v=""/>
    <s v=""/>
    <s v=""/>
    <s v=""/>
    <s v=""/>
    <s v=""/>
    <m/>
    <s v=""/>
    <s v=""/>
    <x v="58"/>
    <m/>
    <s v=""/>
    <s v=""/>
    <s v=""/>
    <s v=""/>
    <s v=""/>
    <s v=""/>
    <s v="USD"/>
    <n v="158148.89000000001"/>
    <s v=""/>
    <m/>
    <s v=""/>
    <s v=""/>
    <s v=""/>
    <s v=""/>
    <s v=""/>
    <s v=""/>
    <s v=""/>
    <s v=""/>
    <s v=""/>
    <m/>
    <m/>
    <s v=""/>
  </r>
  <r>
    <s v=""/>
    <s v=""/>
    <s v=""/>
    <s v=""/>
    <s v=""/>
    <s v=""/>
    <m/>
    <s v=""/>
    <s v=""/>
    <x v="58"/>
    <m/>
    <s v=""/>
    <s v=""/>
    <s v=""/>
    <s v=""/>
    <s v=""/>
    <s v=""/>
    <s v="INR"/>
    <n v="-9572465"/>
    <s v="INR"/>
    <n v="4079553.42"/>
    <s v=""/>
    <s v=""/>
    <s v=""/>
    <s v=""/>
    <s v=""/>
    <s v=""/>
    <s v=""/>
    <s v=""/>
    <s v=""/>
    <m/>
    <m/>
    <s v=""/>
  </r>
  <r>
    <s v=""/>
    <s v=""/>
    <s v=""/>
    <s v=""/>
    <s v=""/>
    <s v=""/>
    <m/>
    <s v=""/>
    <s v=""/>
    <x v="58"/>
    <m/>
    <s v=""/>
    <s v=""/>
    <s v=""/>
    <s v=""/>
    <s v=""/>
    <s v=""/>
    <s v="USD"/>
    <n v="158148.89000000001"/>
    <s v=""/>
    <m/>
    <s v=""/>
    <s v=""/>
    <s v=""/>
    <s v=""/>
    <s v=""/>
    <s v=""/>
    <s v=""/>
    <s v=""/>
    <s v=""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27151-486E-4920-93CA-8C316CE54A6D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13" firstHeaderRow="1" firstDataRow="1" firstDataCol="1"/>
  <pivotFields count="4">
    <pivotField axis="axisRow" numFmtId="14" showAll="0" defaultSubtota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numFmtId="164" showAll="0" defaultSubtota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3"/>
    <field x="2"/>
    <field x="0"/>
  </rowFields>
  <rowItems count="1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22028-D2BF-4026-9721-6D7E100D834E}" name="PivotTable1" cacheId="1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8" indent="0" compact="0" compactData="0" multipleFieldFilters="0">
  <location ref="A3:E28" firstHeaderRow="1" firstDataRow="1" firstDataCol="4"/>
  <pivotFields count="38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59">
        <item x="5"/>
        <item x="1"/>
        <item x="30"/>
        <item x="29"/>
        <item x="46"/>
        <item x="12"/>
        <item x="11"/>
        <item x="27"/>
        <item x="39"/>
        <item x="40"/>
        <item x="28"/>
        <item x="6"/>
        <item x="7"/>
        <item x="37"/>
        <item x="35"/>
        <item x="10"/>
        <item x="0"/>
        <item x="18"/>
        <item x="43"/>
        <item x="16"/>
        <item x="49"/>
        <item x="24"/>
        <item x="34"/>
        <item x="25"/>
        <item x="23"/>
        <item x="51"/>
        <item x="14"/>
        <item x="33"/>
        <item x="20"/>
        <item x="19"/>
        <item x="26"/>
        <item x="48"/>
        <item x="13"/>
        <item x="22"/>
        <item x="2"/>
        <item x="9"/>
        <item x="54"/>
        <item x="15"/>
        <item x="44"/>
        <item x="31"/>
        <item x="41"/>
        <item x="3"/>
        <item x="53"/>
        <item x="52"/>
        <item x="47"/>
        <item x="17"/>
        <item x="50"/>
        <item x="36"/>
        <item x="4"/>
        <item x="21"/>
        <item x="32"/>
        <item x="8"/>
        <item x="42"/>
        <item x="38"/>
        <item x="45"/>
        <item x="55"/>
        <item x="57"/>
        <item x="56"/>
        <item x="58"/>
      </items>
    </pivotField>
    <pivotField compact="0" outline="0" showAll="0" defaultSubtotal="0"/>
    <pivotField axis="axisRow" compact="0" outline="0" showAll="0" defaultSubtotal="0">
      <items count="6">
        <item x="0"/>
        <item x="5"/>
        <item x="4"/>
        <item x="1"/>
        <item x="2"/>
        <item x="3"/>
      </items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  <pivotField axis="axisRow" compact="0" outline="0" subtotalTop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</pivotFields>
  <rowFields count="4">
    <field x="8"/>
    <field x="37"/>
    <field x="36"/>
    <field x="9"/>
  </rowFields>
  <rowItems count="25">
    <i>
      <x/>
      <x v="1"/>
      <x v="2"/>
      <x v="4"/>
    </i>
    <i>
      <x v="1"/>
      <x v="1"/>
      <x v="1"/>
      <x v="2"/>
    </i>
    <i r="2">
      <x v="2"/>
      <x v="5"/>
    </i>
    <i r="2">
      <x v="3"/>
      <x v="9"/>
    </i>
    <i r="2">
      <x v="4"/>
      <x v="10"/>
    </i>
    <i r="3">
      <x v="11"/>
    </i>
    <i r="1">
      <x v="2"/>
      <x v="1"/>
      <x v="1"/>
    </i>
    <i>
      <x v="2"/>
      <x v="1"/>
      <x v="1"/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1"/>
      <x v="1"/>
    </i>
    <i>
      <x v="3"/>
      <x v="1"/>
      <x v="1"/>
      <x v="2"/>
    </i>
    <i r="2">
      <x v="4"/>
      <x v="11"/>
    </i>
    <i>
      <x v="4"/>
      <x v="1"/>
      <x v="3"/>
      <x v="8"/>
    </i>
    <i r="2">
      <x v="4"/>
      <x v="10"/>
    </i>
    <i>
      <x v="5"/>
      <x v="1"/>
      <x v="1"/>
      <x v="2"/>
    </i>
    <i r="3">
      <x v="3"/>
    </i>
  </rowItems>
  <colItems count="1">
    <i/>
  </colItems>
  <dataFields count="1">
    <dataField name="Sum of Company Code Currency Value" fld="2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AEF0F-0495-4EF4-889C-C0D462030383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7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34"/>
    <field x="33"/>
    <field x="9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D8B29-0EAB-486B-B560-1CBBB0D9DECA}" name="PivotTable2" cacheId="1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I16" firstHeaderRow="1" firstDataRow="2" firstDataCol="3"/>
  <pivotFields count="38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59">
        <item x="5"/>
        <item x="1"/>
        <item x="30"/>
        <item x="29"/>
        <item x="46"/>
        <item x="12"/>
        <item x="11"/>
        <item x="27"/>
        <item x="39"/>
        <item x="40"/>
        <item x="28"/>
        <item x="6"/>
        <item x="7"/>
        <item x="37"/>
        <item x="35"/>
        <item x="10"/>
        <item x="0"/>
        <item x="18"/>
        <item x="43"/>
        <item x="16"/>
        <item x="49"/>
        <item x="24"/>
        <item x="34"/>
        <item x="25"/>
        <item x="23"/>
        <item x="51"/>
        <item x="14"/>
        <item x="33"/>
        <item x="20"/>
        <item x="19"/>
        <item x="26"/>
        <item x="48"/>
        <item x="13"/>
        <item x="22"/>
        <item x="2"/>
        <item x="9"/>
        <item x="54"/>
        <item x="15"/>
        <item x="44"/>
        <item x="31"/>
        <item x="41"/>
        <item x="3"/>
        <item x="53"/>
        <item x="52"/>
        <item x="47"/>
        <item x="17"/>
        <item x="50"/>
        <item x="36"/>
        <item x="4"/>
        <item x="21"/>
        <item x="32"/>
        <item x="8"/>
        <item x="42"/>
        <item x="38"/>
        <item x="45"/>
        <item x="55"/>
        <item x="57"/>
        <item x="56"/>
        <item x="58"/>
      </items>
    </pivotField>
    <pivotField compact="0" outline="0" showAll="0" defaultSubtotal="0"/>
    <pivotField axis="axisCol" compact="0" outline="0" showAll="0" defaultSubtotal="0">
      <items count="6">
        <item x="0"/>
        <item x="5"/>
        <item x="4"/>
        <item x="1"/>
        <item x="2"/>
        <item x="3"/>
      </items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37"/>
    <field x="36"/>
    <field x="9"/>
  </rowFields>
  <rowItems count="12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Company Code Currency Val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49E71-F6F2-45A4-A8F0-6736CE0D90B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I20" firstHeaderRow="0" firstDataRow="1" firstDataCol="1"/>
  <pivotFields count="8">
    <pivotField dataField="1" showAll="0"/>
    <pivotField dataField="1" showAll="0"/>
    <pivotField showAll="0"/>
    <pivotField showAll="0"/>
    <pivotField axis="axisRow" showAll="0">
      <items count="19">
        <item x="5"/>
        <item x="6"/>
        <item x="7"/>
        <item x="2"/>
        <item x="3"/>
        <item x="12"/>
        <item x="11"/>
        <item x="9"/>
        <item x="15"/>
        <item x="8"/>
        <item x="14"/>
        <item x="16"/>
        <item x="1"/>
        <item x="4"/>
        <item x="13"/>
        <item x="10"/>
        <item x="0"/>
        <item x="1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D" fld="0" baseField="0" baseItem="0"/>
    <dataField name="Sum of INR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38159-6EC4-46CD-8D6D-F89C6C6FC31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5"/>
        <item x="2"/>
        <item x="11"/>
        <item x="4"/>
        <item x="9"/>
        <item x="7"/>
        <item x="12"/>
        <item x="10"/>
        <item x="8"/>
        <item x="1"/>
        <item x="0"/>
        <item x="3"/>
        <item x="6"/>
        <item t="default"/>
      </items>
    </pivotField>
  </pivotFields>
  <rowFields count="1">
    <field x="1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mpany Code Currency Val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A3C292-82C0-40FB-91C8-DDD1017E4AE7}" name="Table2" displayName="Table2" ref="A3:S47" totalsRowShown="0">
  <autoFilter ref="A3:S47" xr:uid="{A0A3C292-82C0-40FB-91C8-DDD1017E4AE7}"/>
  <sortState xmlns:xlrd2="http://schemas.microsoft.com/office/spreadsheetml/2017/richdata2" ref="A4:S47">
    <sortCondition ref="H3:H47"/>
  </sortState>
  <tableColumns count="19">
    <tableColumn id="1" xr3:uid="{0B0FE205-1B9B-42D0-8359-FB945350AA18}" name="Customer Account: Name 1"/>
    <tableColumn id="2" xr3:uid="{96E706C8-0453-4C76-9D8E-A5A4A0F28B85}" name="Fiscal Year"/>
    <tableColumn id="3" xr3:uid="{5B2984A3-359F-4930-9FB9-53DCC49B81BE}" name="Posting period"/>
    <tableColumn id="4" xr3:uid="{C768DC1B-D0D6-4681-90FF-201D66B47E74}" name="Posting Date"/>
    <tableColumn id="5" xr3:uid="{F6FA226D-DBDB-44B4-AA2E-E8177ABE53B4}" name="Document Number"/>
    <tableColumn id="6" xr3:uid="{FD8DC9E1-6BAC-4B5C-9AF6-4DA2261AF82F}" name="Document Type"/>
    <tableColumn id="7" xr3:uid="{8CED6192-8193-41A9-9B51-2E67CBBBE30D}" name="Document Date"/>
    <tableColumn id="8" xr3:uid="{B589E199-E444-4ACA-9290-BCC830C83FCE}" name="Entry Date"/>
    <tableColumn id="9" xr3:uid="{77AC6209-7A4D-46D2-AD0F-54E6CF352B33}" name="Invoice No"/>
    <tableColumn id="10" xr3:uid="{4FE00092-7B19-442E-9F96-6DB499280597}" name="G/L Account"/>
    <tableColumn id="11" xr3:uid="{DC884A83-AB1C-4963-9FB0-320495AC1347}" name="Document Currency Key"/>
    <tableColumn id="12" xr3:uid="{861F4873-920B-4AB2-B13A-5E9736F314AF}" name="Document Currency Value"/>
    <tableColumn id="13" xr3:uid="{51BCB301-6F08-4CC1-9038-1556E0FA3C91}" name="Company Code Currency Key"/>
    <tableColumn id="14" xr3:uid="{41BD8C23-9787-4B0A-A6F7-65010253180E}" name="Company Code Currency Value"/>
    <tableColumn id="15" xr3:uid="{29C58AB0-FD59-4C71-BCB1-11384325017F}" name="Profit Center"/>
    <tableColumn id="16" xr3:uid="{84F56F7B-56E7-4CE4-B203-3FC918A537BB}" name="Trading Partner No."/>
    <tableColumn id="17" xr3:uid="{0F9F561E-BC1E-4A58-9B75-43BA588BFFE1}" name="Assignment"/>
    <tableColumn id="18" xr3:uid="{6E4529F8-5332-46C3-BE8E-015B21DF7C6D}" name="Text"/>
    <tableColumn id="19" xr3:uid="{9AEEAD87-6389-4002-8368-75E9FA7ACEA4}" name="Tagg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3AE9CD-8F44-41DC-ABEF-292A5E575DC5}" name="Table3" displayName="Table3" ref="A3:S22" totalsRowShown="0">
  <autoFilter ref="A3:S22" xr:uid="{453AE9CD-8F44-41DC-ABEF-292A5E575DC5}"/>
  <tableColumns count="19">
    <tableColumn id="1" xr3:uid="{79B5F83D-BF44-4EF9-B8C5-71B93D716171}" name="Customer Account: Name 1"/>
    <tableColumn id="2" xr3:uid="{79325E3E-8F80-44A6-9963-ADB339A7DF02}" name="Fiscal Year"/>
    <tableColumn id="3" xr3:uid="{922B97A7-6D28-4523-A521-D5CCA8D34897}" name="Posting period"/>
    <tableColumn id="4" xr3:uid="{5E273C16-32F1-4D23-A1E1-4B09494E8007}" name="Posting Date"/>
    <tableColumn id="5" xr3:uid="{7C1EC2F1-5242-4D2F-A964-18A1E3E1B5EC}" name="Document Number"/>
    <tableColumn id="6" xr3:uid="{DA990FE9-3424-44A2-9B05-A7AAB4BA8315}" name="Document Type"/>
    <tableColumn id="7" xr3:uid="{ED47DF15-F7A2-4BC4-AF7A-4DC2BC98539F}" name="Document Date"/>
    <tableColumn id="8" xr3:uid="{2CDE5C13-585D-4A59-BB7D-539E8CA89CFB}" name="Entry Date"/>
    <tableColumn id="9" xr3:uid="{57A9401F-87F6-47A7-B2A7-D709667178B4}" name="Invoice No"/>
    <tableColumn id="10" xr3:uid="{D4E97B80-7DAC-45CA-914D-28FBEB35610B}" name="G/L Account"/>
    <tableColumn id="11" xr3:uid="{48AB31D2-8AE4-4CDC-9E1C-FA35EEBA62BA}" name="Document Currency Key"/>
    <tableColumn id="12" xr3:uid="{31D45975-B33E-4F22-8BC8-68A3A5D16FDA}" name="Document Currency Value"/>
    <tableColumn id="13" xr3:uid="{7943F21F-9316-461B-AB3C-3E076772502B}" name="Company Code Currency Key"/>
    <tableColumn id="14" xr3:uid="{5CC77E0A-9162-4BBB-B38D-3B608DCE2E86}" name="Company Code Currency Value"/>
    <tableColumn id="15" xr3:uid="{D13548E7-068E-4623-930C-72C5D1C04728}" name="Profit Center"/>
    <tableColumn id="16" xr3:uid="{795D01C7-749A-4CE5-A4F9-950B08D09BB9}" name="Trading Partner No."/>
    <tableColumn id="17" xr3:uid="{2C010181-9620-4B7C-88C3-6D1762001712}" name="Assignment"/>
    <tableColumn id="18" xr3:uid="{B2DF7A5C-9611-4640-8447-0A14E8464B1B}" name="Text"/>
    <tableColumn id="19" xr3:uid="{AC751B9F-7F92-4771-9950-5D7F8B80E891}" name="Tagg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C6FD-4B02-4B1A-9232-4EEC92A0D6E2}">
  <dimension ref="A2:N50"/>
  <sheetViews>
    <sheetView workbookViewId="0">
      <selection activeCell="F21" sqref="F21"/>
    </sheetView>
  </sheetViews>
  <sheetFormatPr defaultRowHeight="12.5"/>
  <cols>
    <col min="1" max="1" width="10.08984375" style="21" bestFit="1" customWidth="1"/>
    <col min="2" max="2" width="12.54296875" bestFit="1" customWidth="1"/>
    <col min="4" max="4" width="13" bestFit="1" customWidth="1"/>
    <col min="5" max="5" width="14.1796875" bestFit="1" customWidth="1"/>
    <col min="6" max="7" width="14.1796875" customWidth="1"/>
    <col min="8" max="8" width="13.08984375" style="21" bestFit="1" customWidth="1"/>
    <col min="9" max="9" width="13.08984375" style="21" customWidth="1"/>
    <col min="10" max="10" width="12.54296875" bestFit="1" customWidth="1"/>
    <col min="11" max="11" width="11.08984375" bestFit="1" customWidth="1"/>
    <col min="12" max="12" width="10.08984375" bestFit="1" customWidth="1"/>
    <col min="14" max="14" width="12.54296875" bestFit="1" customWidth="1"/>
  </cols>
  <sheetData>
    <row r="2" spans="1:14">
      <c r="A2" s="22" t="s">
        <v>314</v>
      </c>
      <c r="B2" s="23" t="s">
        <v>315</v>
      </c>
      <c r="D2" s="19" t="s">
        <v>316</v>
      </c>
      <c r="E2" t="s">
        <v>318</v>
      </c>
      <c r="G2" s="26" t="s">
        <v>331</v>
      </c>
      <c r="H2" s="27" t="s">
        <v>330</v>
      </c>
      <c r="I2" s="27" t="s">
        <v>329</v>
      </c>
      <c r="J2" s="30" t="s">
        <v>332</v>
      </c>
      <c r="K2" s="21"/>
    </row>
    <row r="3" spans="1:14">
      <c r="A3" s="21">
        <v>45705</v>
      </c>
      <c r="B3" s="24">
        <v>6472.77</v>
      </c>
      <c r="D3" s="13" t="s">
        <v>319</v>
      </c>
      <c r="E3" s="25">
        <v>395305.25</v>
      </c>
      <c r="F3" s="25"/>
      <c r="G3" s="28" t="s">
        <v>319</v>
      </c>
      <c r="H3" s="29">
        <v>395305.25</v>
      </c>
      <c r="I3" s="29">
        <v>-6472.77</v>
      </c>
      <c r="J3" s="29">
        <f>SUM(H3:I3)</f>
        <v>388832.48</v>
      </c>
      <c r="L3" s="21">
        <v>45505</v>
      </c>
      <c r="M3">
        <v>730577.77249999996</v>
      </c>
    </row>
    <row r="4" spans="1:14">
      <c r="A4" s="21">
        <v>45707</v>
      </c>
      <c r="B4" s="24">
        <v>32363.850000000002</v>
      </c>
      <c r="D4" s="13" t="s">
        <v>320</v>
      </c>
      <c r="E4" s="25">
        <v>2033818.5599999998</v>
      </c>
      <c r="F4" s="25"/>
      <c r="G4" s="28" t="s">
        <v>320</v>
      </c>
      <c r="H4" s="29">
        <v>2033818.5599999998</v>
      </c>
      <c r="I4" s="29"/>
      <c r="J4" s="29">
        <f t="shared" ref="J4:J12" si="0">SUM(H4:I4)</f>
        <v>2033818.5599999998</v>
      </c>
      <c r="L4" s="21">
        <v>45536</v>
      </c>
      <c r="M4">
        <v>694425.36</v>
      </c>
    </row>
    <row r="5" spans="1:14">
      <c r="A5" s="21">
        <v>45708</v>
      </c>
      <c r="B5" s="24">
        <v>12945.54</v>
      </c>
      <c r="D5" s="13" t="s">
        <v>321</v>
      </c>
      <c r="E5" s="25">
        <v>3931566.0500000003</v>
      </c>
      <c r="F5" s="25"/>
      <c r="G5" s="28" t="s">
        <v>321</v>
      </c>
      <c r="H5" s="29">
        <v>3931566.0500000003</v>
      </c>
      <c r="I5" s="29"/>
      <c r="J5" s="29">
        <f t="shared" si="0"/>
        <v>3931566.0500000003</v>
      </c>
      <c r="L5" s="21">
        <v>45566</v>
      </c>
      <c r="M5">
        <v>402581.97739999997</v>
      </c>
    </row>
    <row r="6" spans="1:14">
      <c r="A6" s="21">
        <v>45709</v>
      </c>
      <c r="B6" s="24">
        <v>343523.09</v>
      </c>
      <c r="D6" s="13" t="s">
        <v>322</v>
      </c>
      <c r="E6" s="25">
        <v>1208429.54</v>
      </c>
      <c r="F6" s="25"/>
      <c r="G6" s="28" t="s">
        <v>322</v>
      </c>
      <c r="H6" s="29">
        <v>1208429.54</v>
      </c>
      <c r="I6" s="29">
        <v>-12897.56</v>
      </c>
      <c r="J6" s="29">
        <f t="shared" si="0"/>
        <v>1195531.98</v>
      </c>
      <c r="L6" s="21">
        <v>45597</v>
      </c>
      <c r="M6">
        <v>353310.09824079997</v>
      </c>
    </row>
    <row r="7" spans="1:14">
      <c r="A7" s="21">
        <v>45719</v>
      </c>
      <c r="B7" s="24">
        <v>762887.41999999993</v>
      </c>
      <c r="D7" s="13" t="s">
        <v>323</v>
      </c>
      <c r="E7" s="25">
        <v>1141828.54</v>
      </c>
      <c r="F7" s="25"/>
      <c r="G7" s="28" t="s">
        <v>323</v>
      </c>
      <c r="H7" s="29">
        <v>1141828.54</v>
      </c>
      <c r="I7" s="29"/>
      <c r="J7" s="29">
        <f t="shared" si="0"/>
        <v>1141828.54</v>
      </c>
      <c r="L7" s="21">
        <v>45627</v>
      </c>
      <c r="M7">
        <v>842839.18731219997</v>
      </c>
    </row>
    <row r="8" spans="1:14">
      <c r="A8" s="21">
        <v>45722</v>
      </c>
      <c r="B8" s="24">
        <v>434401.24</v>
      </c>
      <c r="D8" s="13" t="s">
        <v>324</v>
      </c>
      <c r="E8" s="25">
        <v>1252352.08</v>
      </c>
      <c r="F8" s="25"/>
      <c r="G8" s="28" t="s">
        <v>324</v>
      </c>
      <c r="H8" s="29">
        <v>1252352.08</v>
      </c>
      <c r="I8" s="29"/>
      <c r="J8" s="29">
        <f t="shared" si="0"/>
        <v>1252352.08</v>
      </c>
      <c r="L8" s="21">
        <v>45658</v>
      </c>
      <c r="M8">
        <v>1173545.6214700001</v>
      </c>
    </row>
    <row r="9" spans="1:14">
      <c r="A9" s="21">
        <v>45729</v>
      </c>
      <c r="B9" s="24">
        <v>16190.449999999999</v>
      </c>
      <c r="D9" s="13" t="s">
        <v>325</v>
      </c>
      <c r="E9" s="25">
        <v>1467628.2600000002</v>
      </c>
      <c r="F9" s="25"/>
      <c r="G9" s="28" t="s">
        <v>325</v>
      </c>
      <c r="H9" s="29">
        <v>1467628.2600000002</v>
      </c>
      <c r="I9" s="29"/>
      <c r="J9" s="29">
        <f t="shared" si="0"/>
        <v>1467628.2600000002</v>
      </c>
      <c r="L9" s="21">
        <v>45689</v>
      </c>
      <c r="M9">
        <v>882704.18527199992</v>
      </c>
    </row>
    <row r="10" spans="1:14">
      <c r="A10" s="21">
        <v>45734</v>
      </c>
      <c r="B10" s="24">
        <v>129970.14</v>
      </c>
      <c r="D10" s="13" t="s">
        <v>326</v>
      </c>
      <c r="E10" s="25">
        <v>1450472.4999999998</v>
      </c>
      <c r="F10" s="25"/>
      <c r="G10" s="28" t="s">
        <v>326</v>
      </c>
      <c r="H10" s="29">
        <v>1450472.4999999998</v>
      </c>
      <c r="I10" s="29">
        <v>-774.01</v>
      </c>
      <c r="J10" s="29">
        <f t="shared" si="0"/>
        <v>1449698.4899999998</v>
      </c>
      <c r="L10" s="21">
        <v>45717</v>
      </c>
      <c r="M10">
        <v>1157955.56</v>
      </c>
      <c r="N10" s="24">
        <f>SUM(M3:M10)</f>
        <v>6237939.7621949986</v>
      </c>
    </row>
    <row r="11" spans="1:14">
      <c r="A11" s="21">
        <v>45735</v>
      </c>
      <c r="B11" s="24">
        <v>688699.63000000012</v>
      </c>
      <c r="D11" s="13" t="s">
        <v>327</v>
      </c>
      <c r="E11" s="25">
        <v>1428800.7200000002</v>
      </c>
      <c r="F11" s="25"/>
      <c r="G11" s="28" t="s">
        <v>327</v>
      </c>
      <c r="H11" s="29">
        <v>1428800.7200000002</v>
      </c>
      <c r="I11" s="29">
        <v>-111399.05</v>
      </c>
      <c r="J11" s="29">
        <f t="shared" si="0"/>
        <v>1317401.6700000002</v>
      </c>
      <c r="L11" s="21">
        <v>45748</v>
      </c>
      <c r="M11">
        <v>1186181.8725999999</v>
      </c>
      <c r="N11" s="24">
        <f>M11</f>
        <v>1186181.8725999999</v>
      </c>
    </row>
    <row r="12" spans="1:14">
      <c r="A12" s="21">
        <v>45736</v>
      </c>
      <c r="B12" s="24">
        <v>1669.6799999999998</v>
      </c>
      <c r="D12" s="13" t="s">
        <v>328</v>
      </c>
      <c r="E12" s="25">
        <v>1199702.72</v>
      </c>
      <c r="F12" s="25"/>
      <c r="G12" s="28" t="s">
        <v>328</v>
      </c>
      <c r="H12" s="29">
        <v>1199702.72</v>
      </c>
      <c r="I12" s="29">
        <v>-400169.02</v>
      </c>
      <c r="J12" s="29">
        <f t="shared" si="0"/>
        <v>799533.7</v>
      </c>
      <c r="L12" s="21">
        <v>45778</v>
      </c>
      <c r="M12">
        <v>1145968.1467999998</v>
      </c>
      <c r="N12" s="24">
        <f t="shared" ref="N12:N18" si="1">M12</f>
        <v>1145968.1467999998</v>
      </c>
    </row>
    <row r="13" spans="1:14">
      <c r="A13" s="21">
        <v>45749</v>
      </c>
      <c r="B13" s="24">
        <v>2921151.2</v>
      </c>
      <c r="D13" s="13" t="s">
        <v>317</v>
      </c>
      <c r="E13" s="25">
        <v>15509904.220000001</v>
      </c>
      <c r="F13" s="25"/>
      <c r="G13" s="28"/>
      <c r="H13" s="28">
        <f>SUM(H3:H12)</f>
        <v>15509904.220000001</v>
      </c>
      <c r="I13" s="28">
        <f>SUM(I3:I12)</f>
        <v>-531712.41</v>
      </c>
      <c r="J13" s="28">
        <f>SUM(J3:J12)</f>
        <v>14978191.809999999</v>
      </c>
      <c r="L13" s="21">
        <v>45809</v>
      </c>
      <c r="M13">
        <v>1105085.4391298001</v>
      </c>
      <c r="N13" s="24">
        <f t="shared" si="1"/>
        <v>1105085.4391298001</v>
      </c>
    </row>
    <row r="14" spans="1:14">
      <c r="A14" s="21">
        <v>45750</v>
      </c>
      <c r="B14" s="24">
        <v>299.88</v>
      </c>
      <c r="H14"/>
      <c r="I14"/>
      <c r="L14" s="21">
        <v>45839</v>
      </c>
      <c r="M14">
        <v>1115597.031</v>
      </c>
      <c r="N14" s="24">
        <f t="shared" si="1"/>
        <v>1115597.031</v>
      </c>
    </row>
    <row r="15" spans="1:14">
      <c r="A15" s="21">
        <v>45751</v>
      </c>
      <c r="B15" s="24">
        <v>14776.71</v>
      </c>
      <c r="H15"/>
      <c r="I15"/>
      <c r="L15" s="21">
        <v>45870</v>
      </c>
      <c r="M15">
        <v>1249629.2042999999</v>
      </c>
      <c r="N15" s="24">
        <f t="shared" si="1"/>
        <v>1249629.2042999999</v>
      </c>
    </row>
    <row r="16" spans="1:14">
      <c r="A16" s="21">
        <v>45763</v>
      </c>
      <c r="B16" s="24">
        <v>25401.16</v>
      </c>
      <c r="H16"/>
      <c r="I16"/>
      <c r="L16" s="21">
        <v>45901</v>
      </c>
      <c r="M16">
        <v>1268836.0227592804</v>
      </c>
      <c r="N16" s="24">
        <f t="shared" si="1"/>
        <v>1268836.0227592804</v>
      </c>
    </row>
    <row r="17" spans="1:14">
      <c r="A17" s="21">
        <v>45769</v>
      </c>
      <c r="B17" s="24">
        <v>969937.1</v>
      </c>
      <c r="H17"/>
      <c r="I17"/>
      <c r="L17" s="21">
        <v>45931</v>
      </c>
      <c r="M17">
        <v>784214.96412770113</v>
      </c>
      <c r="N17" s="24">
        <f t="shared" si="1"/>
        <v>784214.96412770113</v>
      </c>
    </row>
    <row r="18" spans="1:14">
      <c r="A18" s="21">
        <v>45785</v>
      </c>
      <c r="B18" s="24">
        <v>5097.9799999999996</v>
      </c>
      <c r="H18"/>
      <c r="I18"/>
      <c r="L18" s="21">
        <v>45962</v>
      </c>
      <c r="M18">
        <v>389431.38679360005</v>
      </c>
      <c r="N18" s="24">
        <f t="shared" si="1"/>
        <v>389431.38679360005</v>
      </c>
    </row>
    <row r="19" spans="1:14">
      <c r="A19" s="21">
        <v>45787</v>
      </c>
      <c r="B19" s="24">
        <v>306356.47999999998</v>
      </c>
      <c r="H19"/>
      <c r="I19"/>
    </row>
    <row r="20" spans="1:14">
      <c r="A20" s="21">
        <v>45797</v>
      </c>
      <c r="B20" s="24">
        <v>5778.1</v>
      </c>
    </row>
    <row r="21" spans="1:14">
      <c r="A21" s="21">
        <v>45805</v>
      </c>
      <c r="B21" s="24">
        <v>891196.98</v>
      </c>
    </row>
    <row r="22" spans="1:14">
      <c r="A22" s="21">
        <v>45812</v>
      </c>
      <c r="B22" s="24">
        <v>30951.940000000002</v>
      </c>
    </row>
    <row r="23" spans="1:14">
      <c r="A23" s="21">
        <v>45815</v>
      </c>
      <c r="B23" s="24">
        <v>905951.78</v>
      </c>
    </row>
    <row r="24" spans="1:14">
      <c r="A24" s="21">
        <v>45818</v>
      </c>
      <c r="B24" s="24">
        <v>6411.81</v>
      </c>
    </row>
    <row r="25" spans="1:14">
      <c r="A25" s="21">
        <v>45821</v>
      </c>
      <c r="B25" s="24">
        <v>198513.01</v>
      </c>
    </row>
    <row r="26" spans="1:14">
      <c r="A26" s="21">
        <v>45842</v>
      </c>
      <c r="B26" s="24">
        <v>1113060.24</v>
      </c>
    </row>
    <row r="27" spans="1:14">
      <c r="A27" s="21">
        <v>45847</v>
      </c>
      <c r="B27" s="24">
        <v>9030.07</v>
      </c>
    </row>
    <row r="28" spans="1:14">
      <c r="A28" s="21">
        <v>45856</v>
      </c>
      <c r="B28" s="24">
        <v>129862.73</v>
      </c>
    </row>
    <row r="29" spans="1:14">
      <c r="A29" s="21">
        <v>45857</v>
      </c>
      <c r="B29" s="24">
        <v>399.04</v>
      </c>
    </row>
    <row r="30" spans="1:14">
      <c r="A30" s="21">
        <v>45870</v>
      </c>
      <c r="B30" s="24">
        <v>6452.26</v>
      </c>
    </row>
    <row r="31" spans="1:14">
      <c r="A31" s="21">
        <v>45877</v>
      </c>
      <c r="B31" s="24">
        <v>1409100.2500000002</v>
      </c>
    </row>
    <row r="32" spans="1:14">
      <c r="A32" s="21">
        <v>45889</v>
      </c>
      <c r="B32" s="24">
        <v>52075.75</v>
      </c>
      <c r="H32"/>
      <c r="I32"/>
    </row>
    <row r="33" spans="1:2">
      <c r="A33" s="21">
        <v>45904</v>
      </c>
      <c r="B33" s="24">
        <v>279511.13</v>
      </c>
    </row>
    <row r="34" spans="1:2">
      <c r="A34" s="21">
        <v>45906</v>
      </c>
      <c r="B34" s="24">
        <v>995197.21</v>
      </c>
    </row>
    <row r="35" spans="1:2">
      <c r="A35" s="21">
        <v>45917</v>
      </c>
      <c r="B35" s="24">
        <v>13645.23</v>
      </c>
    </row>
    <row r="36" spans="1:2">
      <c r="A36" s="21">
        <v>45918</v>
      </c>
      <c r="B36" s="24">
        <v>161344.92000000001</v>
      </c>
    </row>
    <row r="37" spans="1:2">
      <c r="A37" s="21">
        <v>45924</v>
      </c>
      <c r="B37" s="24">
        <v>774.01</v>
      </c>
    </row>
    <row r="38" spans="1:2">
      <c r="A38" s="21">
        <v>45935</v>
      </c>
      <c r="B38" s="24">
        <v>355080.74000000005</v>
      </c>
    </row>
    <row r="39" spans="1:2">
      <c r="A39" s="21">
        <v>45936</v>
      </c>
      <c r="B39" s="24">
        <v>1002974.23</v>
      </c>
    </row>
    <row r="40" spans="1:2">
      <c r="A40" s="21">
        <v>45937</v>
      </c>
      <c r="B40" s="24">
        <v>374.81</v>
      </c>
    </row>
    <row r="41" spans="1:2">
      <c r="A41" s="21">
        <v>45948</v>
      </c>
      <c r="B41" s="24">
        <v>36493.339999999997</v>
      </c>
    </row>
    <row r="42" spans="1:2">
      <c r="A42" s="21">
        <v>45950</v>
      </c>
      <c r="B42" s="24">
        <v>33877.599999999999</v>
      </c>
    </row>
    <row r="43" spans="1:2">
      <c r="A43" s="21">
        <v>45966</v>
      </c>
      <c r="B43" s="24">
        <v>487007.26</v>
      </c>
    </row>
    <row r="44" spans="1:2">
      <c r="A44" s="21">
        <v>45973</v>
      </c>
      <c r="B44" s="24">
        <v>704613.22</v>
      </c>
    </row>
    <row r="45" spans="1:2">
      <c r="A45" s="21">
        <v>45981</v>
      </c>
      <c r="B45" s="24">
        <v>8082.24</v>
      </c>
    </row>
    <row r="46" spans="1:2">
      <c r="B46" s="24"/>
    </row>
    <row r="47" spans="1:2">
      <c r="B47" s="24"/>
    </row>
    <row r="48" spans="1:2">
      <c r="B48" s="24"/>
    </row>
    <row r="49" spans="2:2">
      <c r="B49" s="24"/>
    </row>
    <row r="50" spans="2:2">
      <c r="B50" s="24"/>
    </row>
  </sheetData>
  <autoFilter ref="A2:B2" xr:uid="{B121C6FD-4B02-4B1A-9232-4EEC92A0D6E2}">
    <sortState xmlns:xlrd2="http://schemas.microsoft.com/office/spreadsheetml/2017/richdata2" ref="A3:B50">
      <sortCondition ref="A2"/>
    </sortState>
  </autoFilter>
  <pageMargins left="0.7" right="0.7" top="0.75" bottom="0.75" header="0.3" footer="0.3"/>
  <ignoredErrors>
    <ignoredError sqref="N10:N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62D5-5F92-4F7F-8CC5-1A592C33FFBD}">
  <dimension ref="A3:N28"/>
  <sheetViews>
    <sheetView topLeftCell="A8" workbookViewId="0">
      <selection activeCell="F21" sqref="F21"/>
    </sheetView>
  </sheetViews>
  <sheetFormatPr defaultRowHeight="12.5"/>
  <cols>
    <col min="1" max="1" width="13" bestFit="1" customWidth="1"/>
    <col min="2" max="2" width="16.36328125" bestFit="1" customWidth="1"/>
    <col min="3" max="3" width="34.81640625" customWidth="1"/>
    <col min="4" max="4" width="16.36328125" bestFit="1" customWidth="1"/>
    <col min="5" max="5" width="34.81640625" bestFit="1" customWidth="1"/>
    <col min="6" max="6" width="8.7265625" customWidth="1"/>
    <col min="7" max="7" width="0.1796875" customWidth="1"/>
    <col min="8" max="14" width="8.7265625" hidden="1" customWidth="1"/>
  </cols>
  <sheetData>
    <row r="3" spans="1:7">
      <c r="A3" s="19" t="s">
        <v>282</v>
      </c>
      <c r="B3" s="19" t="s">
        <v>368</v>
      </c>
      <c r="C3" s="19" t="s">
        <v>369</v>
      </c>
      <c r="D3" s="19" t="s">
        <v>283</v>
      </c>
      <c r="E3" t="s">
        <v>307</v>
      </c>
    </row>
    <row r="4" spans="1:7">
      <c r="A4" t="s">
        <v>6</v>
      </c>
      <c r="B4" t="s">
        <v>3</v>
      </c>
      <c r="C4" t="s">
        <v>363</v>
      </c>
      <c r="D4" s="21" t="s">
        <v>321</v>
      </c>
      <c r="E4" s="20">
        <v>0</v>
      </c>
      <c r="F4" t="s">
        <v>308</v>
      </c>
      <c r="G4" t="s">
        <v>310</v>
      </c>
    </row>
    <row r="5" spans="1:7">
      <c r="A5" t="s">
        <v>71</v>
      </c>
      <c r="B5" t="s">
        <v>3</v>
      </c>
      <c r="C5" t="s">
        <v>362</v>
      </c>
      <c r="D5" s="21" t="s">
        <v>319</v>
      </c>
      <c r="E5" s="20">
        <v>-6472.77</v>
      </c>
      <c r="F5" t="s">
        <v>71</v>
      </c>
      <c r="G5" t="s">
        <v>309</v>
      </c>
    </row>
    <row r="6" spans="1:7">
      <c r="C6" t="s">
        <v>363</v>
      </c>
      <c r="D6" s="21" t="s">
        <v>322</v>
      </c>
      <c r="E6" s="20">
        <v>-12897.56</v>
      </c>
      <c r="F6" t="s">
        <v>25</v>
      </c>
      <c r="G6" t="s">
        <v>311</v>
      </c>
    </row>
    <row r="7" spans="1:7">
      <c r="C7" t="s">
        <v>364</v>
      </c>
      <c r="D7" s="21" t="s">
        <v>326</v>
      </c>
      <c r="E7" s="20">
        <v>-774.01</v>
      </c>
      <c r="F7" t="s">
        <v>312</v>
      </c>
      <c r="G7" t="s">
        <v>313</v>
      </c>
    </row>
    <row r="8" spans="1:7">
      <c r="C8" t="s">
        <v>365</v>
      </c>
      <c r="D8" s="21" t="s">
        <v>327</v>
      </c>
      <c r="E8" s="20">
        <v>-111399.05</v>
      </c>
    </row>
    <row r="9" spans="1:7">
      <c r="D9" s="21" t="s">
        <v>328</v>
      </c>
      <c r="E9" s="20">
        <v>-400169.02</v>
      </c>
    </row>
    <row r="10" spans="1:7">
      <c r="B10" t="s">
        <v>245</v>
      </c>
      <c r="C10" t="s">
        <v>362</v>
      </c>
      <c r="D10" s="21" t="s">
        <v>367</v>
      </c>
      <c r="E10" s="20">
        <v>-2357277.4500000002</v>
      </c>
    </row>
    <row r="11" spans="1:7">
      <c r="A11" t="s">
        <v>47</v>
      </c>
      <c r="B11" t="s">
        <v>3</v>
      </c>
      <c r="C11" t="s">
        <v>362</v>
      </c>
      <c r="D11" s="21" t="s">
        <v>319</v>
      </c>
      <c r="E11" s="20">
        <v>395305.25</v>
      </c>
    </row>
    <row r="12" spans="1:7">
      <c r="D12" s="21" t="s">
        <v>320</v>
      </c>
      <c r="E12" s="20">
        <v>2033818.5599999998</v>
      </c>
    </row>
    <row r="13" spans="1:7">
      <c r="C13" t="s">
        <v>363</v>
      </c>
      <c r="D13" s="21" t="s">
        <v>321</v>
      </c>
      <c r="E13" s="20">
        <v>3931566.0499999993</v>
      </c>
    </row>
    <row r="14" spans="1:7">
      <c r="D14" s="21" t="s">
        <v>322</v>
      </c>
      <c r="E14" s="20">
        <v>1208429.54</v>
      </c>
    </row>
    <row r="15" spans="1:7">
      <c r="D15" s="21" t="s">
        <v>323</v>
      </c>
      <c r="E15" s="20">
        <v>1141828.54</v>
      </c>
    </row>
    <row r="16" spans="1:7">
      <c r="C16" t="s">
        <v>364</v>
      </c>
      <c r="D16" s="21" t="s">
        <v>324</v>
      </c>
      <c r="E16" s="20">
        <v>1252352.0799999998</v>
      </c>
    </row>
    <row r="17" spans="1:5">
      <c r="D17" s="21" t="s">
        <v>325</v>
      </c>
      <c r="E17" s="20">
        <v>1467628.2600000002</v>
      </c>
    </row>
    <row r="18" spans="1:5">
      <c r="D18" s="21" t="s">
        <v>326</v>
      </c>
      <c r="E18" s="20">
        <v>1450472.5</v>
      </c>
    </row>
    <row r="19" spans="1:5">
      <c r="C19" t="s">
        <v>365</v>
      </c>
      <c r="D19" s="21" t="s">
        <v>327</v>
      </c>
      <c r="E19" s="20">
        <v>1428800.7199999997</v>
      </c>
    </row>
    <row r="20" spans="1:5">
      <c r="D20" s="21" t="s">
        <v>328</v>
      </c>
      <c r="E20" s="20">
        <v>1199702.72</v>
      </c>
    </row>
    <row r="21" spans="1:5">
      <c r="D21" s="21" t="s">
        <v>366</v>
      </c>
      <c r="E21" s="20">
        <v>372090.88</v>
      </c>
    </row>
    <row r="22" spans="1:5">
      <c r="B22" t="s">
        <v>245</v>
      </c>
      <c r="C22" t="s">
        <v>362</v>
      </c>
      <c r="D22" s="21" t="s">
        <v>367</v>
      </c>
      <c r="E22" s="20">
        <v>586688.9</v>
      </c>
    </row>
    <row r="23" spans="1:5">
      <c r="A23" t="s">
        <v>18</v>
      </c>
      <c r="B23" t="s">
        <v>3</v>
      </c>
      <c r="C23" t="s">
        <v>362</v>
      </c>
      <c r="D23" s="21" t="s">
        <v>319</v>
      </c>
      <c r="E23" s="20">
        <v>0</v>
      </c>
    </row>
    <row r="24" spans="1:5">
      <c r="C24" t="s">
        <v>365</v>
      </c>
      <c r="D24" s="21" t="s">
        <v>328</v>
      </c>
      <c r="E24" s="20">
        <v>-140.72000000000116</v>
      </c>
    </row>
    <row r="25" spans="1:5">
      <c r="A25" t="s">
        <v>25</v>
      </c>
      <c r="B25" t="s">
        <v>3</v>
      </c>
      <c r="C25" t="s">
        <v>364</v>
      </c>
      <c r="D25" s="21" t="s">
        <v>325</v>
      </c>
      <c r="E25" s="20">
        <v>-1000000</v>
      </c>
    </row>
    <row r="26" spans="1:5">
      <c r="C26" t="s">
        <v>365</v>
      </c>
      <c r="D26" s="21" t="s">
        <v>327</v>
      </c>
      <c r="E26" s="20">
        <v>-7000000</v>
      </c>
    </row>
    <row r="27" spans="1:5">
      <c r="A27" t="s">
        <v>35</v>
      </c>
      <c r="B27" t="s">
        <v>3</v>
      </c>
      <c r="C27" t="s">
        <v>362</v>
      </c>
      <c r="D27" s="21" t="s">
        <v>319</v>
      </c>
      <c r="E27" s="20">
        <v>0</v>
      </c>
    </row>
    <row r="28" spans="1:5">
      <c r="D28" s="21" t="s">
        <v>320</v>
      </c>
      <c r="E28" s="20">
        <v>-1500000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11D0-9C48-43B1-AFCB-DA53FDA3D302}">
  <dimension ref="A3:A7"/>
  <sheetViews>
    <sheetView workbookViewId="0">
      <selection activeCell="G24" sqref="G24"/>
    </sheetView>
  </sheetViews>
  <sheetFormatPr defaultRowHeight="12.5"/>
  <cols>
    <col min="1" max="1" width="13" bestFit="1" customWidth="1"/>
  </cols>
  <sheetData>
    <row r="3" spans="1:1">
      <c r="A3" s="19" t="s">
        <v>316</v>
      </c>
    </row>
    <row r="4" spans="1:1">
      <c r="A4" s="13" t="s">
        <v>361</v>
      </c>
    </row>
    <row r="5" spans="1:1">
      <c r="A5" s="13" t="s">
        <v>3</v>
      </c>
    </row>
    <row r="6" spans="1:1">
      <c r="A6" s="13" t="s">
        <v>245</v>
      </c>
    </row>
    <row r="7" spans="1:1">
      <c r="A7" s="13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7F68-2188-4ABF-9637-8BF0BDF6731C}">
  <dimension ref="A3:I34"/>
  <sheetViews>
    <sheetView tabSelected="1" topLeftCell="A17" workbookViewId="0">
      <selection activeCell="C21" sqref="C21:G34"/>
    </sheetView>
  </sheetViews>
  <sheetFormatPr defaultRowHeight="12.5"/>
  <cols>
    <col min="1" max="1" width="34.81640625" bestFit="1" customWidth="1"/>
    <col min="2" max="2" width="15.90625" bestFit="1" customWidth="1"/>
    <col min="3" max="4" width="13.26953125" bestFit="1" customWidth="1"/>
    <col min="5" max="5" width="12.54296875" bestFit="1" customWidth="1"/>
    <col min="6" max="6" width="10.81640625" bestFit="1" customWidth="1"/>
    <col min="7" max="8" width="13.26953125" bestFit="1" customWidth="1"/>
    <col min="9" max="9" width="8.453125" bestFit="1" customWidth="1"/>
  </cols>
  <sheetData>
    <row r="3" spans="1:9">
      <c r="A3" s="19" t="s">
        <v>307</v>
      </c>
      <c r="D3" s="19" t="s">
        <v>282</v>
      </c>
    </row>
    <row r="4" spans="1:9">
      <c r="A4" s="19" t="s">
        <v>368</v>
      </c>
      <c r="B4" s="19" t="s">
        <v>369</v>
      </c>
      <c r="C4" s="19" t="s">
        <v>283</v>
      </c>
      <c r="D4" t="s">
        <v>6</v>
      </c>
      <c r="E4" t="s">
        <v>71</v>
      </c>
      <c r="F4" t="s">
        <v>47</v>
      </c>
      <c r="G4" t="s">
        <v>18</v>
      </c>
      <c r="H4" t="s">
        <v>25</v>
      </c>
      <c r="I4" t="s">
        <v>35</v>
      </c>
    </row>
    <row r="5" spans="1:9">
      <c r="A5" t="s">
        <v>3</v>
      </c>
      <c r="B5" t="s">
        <v>362</v>
      </c>
      <c r="C5" s="21" t="s">
        <v>319</v>
      </c>
      <c r="D5" s="58"/>
      <c r="E5" s="58">
        <v>-6472.77</v>
      </c>
      <c r="F5" s="58">
        <v>395305.25</v>
      </c>
      <c r="G5" s="58">
        <v>0</v>
      </c>
      <c r="H5" s="58"/>
      <c r="I5" s="58">
        <v>0</v>
      </c>
    </row>
    <row r="6" spans="1:9">
      <c r="C6" s="21" t="s">
        <v>320</v>
      </c>
      <c r="D6" s="58"/>
      <c r="E6" s="58"/>
      <c r="F6" s="58">
        <v>2033818.5599999998</v>
      </c>
      <c r="G6" s="58"/>
      <c r="H6" s="58"/>
      <c r="I6" s="58">
        <v>-1500000</v>
      </c>
    </row>
    <row r="7" spans="1:9">
      <c r="B7" t="s">
        <v>363</v>
      </c>
      <c r="C7" s="21" t="s">
        <v>321</v>
      </c>
      <c r="D7" s="58">
        <v>0</v>
      </c>
      <c r="E7" s="58"/>
      <c r="F7" s="58">
        <v>3931566.0499999993</v>
      </c>
      <c r="G7" s="58"/>
      <c r="H7" s="58"/>
      <c r="I7" s="58"/>
    </row>
    <row r="8" spans="1:9">
      <c r="C8" s="21" t="s">
        <v>322</v>
      </c>
      <c r="D8" s="58"/>
      <c r="E8" s="58">
        <v>-12897.56</v>
      </c>
      <c r="F8" s="58">
        <v>1208429.54</v>
      </c>
      <c r="G8" s="58"/>
      <c r="H8" s="58"/>
      <c r="I8" s="58"/>
    </row>
    <row r="9" spans="1:9">
      <c r="C9" s="21" t="s">
        <v>323</v>
      </c>
      <c r="D9" s="58"/>
      <c r="E9" s="58"/>
      <c r="F9" s="58">
        <v>1141828.54</v>
      </c>
      <c r="G9" s="58"/>
      <c r="H9" s="58"/>
      <c r="I9" s="58"/>
    </row>
    <row r="10" spans="1:9">
      <c r="B10" t="s">
        <v>364</v>
      </c>
      <c r="C10" s="21" t="s">
        <v>324</v>
      </c>
      <c r="D10" s="58"/>
      <c r="E10" s="58"/>
      <c r="F10" s="58">
        <v>1252352.0799999998</v>
      </c>
      <c r="G10" s="58"/>
      <c r="H10" s="58"/>
      <c r="I10" s="58"/>
    </row>
    <row r="11" spans="1:9">
      <c r="C11" s="21" t="s">
        <v>325</v>
      </c>
      <c r="D11" s="58"/>
      <c r="E11" s="58"/>
      <c r="F11" s="58">
        <v>1467628.2600000002</v>
      </c>
      <c r="G11" s="58"/>
      <c r="H11" s="58">
        <v>-1000000</v>
      </c>
      <c r="I11" s="58"/>
    </row>
    <row r="12" spans="1:9">
      <c r="C12" s="21" t="s">
        <v>326</v>
      </c>
      <c r="D12" s="58"/>
      <c r="E12" s="58">
        <v>-774.01</v>
      </c>
      <c r="F12" s="58">
        <v>1450472.5</v>
      </c>
      <c r="G12" s="58"/>
      <c r="H12" s="58"/>
      <c r="I12" s="58"/>
    </row>
    <row r="13" spans="1:9">
      <c r="B13" t="s">
        <v>365</v>
      </c>
      <c r="C13" s="21" t="s">
        <v>327</v>
      </c>
      <c r="D13" s="58"/>
      <c r="E13" s="58">
        <v>-111399.05</v>
      </c>
      <c r="F13" s="58">
        <v>1428800.7199999997</v>
      </c>
      <c r="G13" s="58"/>
      <c r="H13" s="58">
        <v>-7000000</v>
      </c>
      <c r="I13" s="58"/>
    </row>
    <row r="14" spans="1:9">
      <c r="C14" s="21" t="s">
        <v>328</v>
      </c>
      <c r="D14" s="58"/>
      <c r="E14" s="58">
        <v>-400169.02</v>
      </c>
      <c r="F14" s="58">
        <v>1199702.72</v>
      </c>
      <c r="G14" s="58">
        <v>-140.72000000000116</v>
      </c>
      <c r="H14" s="58"/>
      <c r="I14" s="58"/>
    </row>
    <row r="15" spans="1:9">
      <c r="C15" s="21" t="s">
        <v>366</v>
      </c>
      <c r="D15" s="58"/>
      <c r="E15" s="58"/>
      <c r="F15" s="58">
        <v>372090.88</v>
      </c>
      <c r="G15" s="58"/>
      <c r="H15" s="58"/>
      <c r="I15" s="58"/>
    </row>
    <row r="16" spans="1:9">
      <c r="A16" t="s">
        <v>245</v>
      </c>
      <c r="B16" t="s">
        <v>362</v>
      </c>
      <c r="C16" s="21" t="s">
        <v>367</v>
      </c>
      <c r="D16" s="58"/>
      <c r="E16" s="58">
        <v>-2357277.4500000002</v>
      </c>
      <c r="F16" s="58">
        <v>586688.9</v>
      </c>
      <c r="G16" s="58"/>
      <c r="H16" s="58"/>
      <c r="I16" s="58"/>
    </row>
    <row r="21" spans="3:7">
      <c r="C21" s="63" t="s">
        <v>348</v>
      </c>
      <c r="D21" s="63" t="s">
        <v>371</v>
      </c>
      <c r="E21" s="63" t="s">
        <v>372</v>
      </c>
      <c r="F21" s="61" t="s">
        <v>25</v>
      </c>
      <c r="G21" s="61" t="s">
        <v>35</v>
      </c>
    </row>
    <row r="22" spans="3:7">
      <c r="C22" s="62" t="s">
        <v>319</v>
      </c>
      <c r="D22" s="62">
        <v>-6472.77</v>
      </c>
      <c r="E22" s="62">
        <v>395305.25</v>
      </c>
      <c r="F22" s="62"/>
      <c r="G22" s="62">
        <v>0</v>
      </c>
    </row>
    <row r="23" spans="3:7">
      <c r="C23" s="62" t="s">
        <v>320</v>
      </c>
      <c r="D23" s="62"/>
      <c r="E23" s="62">
        <v>2033818.5599999998</v>
      </c>
      <c r="F23" s="62"/>
      <c r="G23" s="62">
        <v>-1500000</v>
      </c>
    </row>
    <row r="24" spans="3:7">
      <c r="C24" s="62" t="s">
        <v>321</v>
      </c>
      <c r="D24" s="62"/>
      <c r="E24" s="62">
        <v>3931566.0499999993</v>
      </c>
      <c r="F24" s="62"/>
      <c r="G24" s="62"/>
    </row>
    <row r="25" spans="3:7">
      <c r="C25" s="62" t="s">
        <v>322</v>
      </c>
      <c r="D25" s="62">
        <v>-12897.56</v>
      </c>
      <c r="E25" s="62">
        <v>1208429.54</v>
      </c>
      <c r="F25" s="62"/>
      <c r="G25" s="62"/>
    </row>
    <row r="26" spans="3:7">
      <c r="C26" s="62" t="s">
        <v>323</v>
      </c>
      <c r="D26" s="62"/>
      <c r="E26" s="62">
        <v>1141828.54</v>
      </c>
      <c r="F26" s="62"/>
      <c r="G26" s="62"/>
    </row>
    <row r="27" spans="3:7">
      <c r="C27" s="62" t="s">
        <v>324</v>
      </c>
      <c r="D27" s="62"/>
      <c r="E27" s="62">
        <v>1252352.0799999998</v>
      </c>
      <c r="F27" s="62"/>
      <c r="G27" s="62"/>
    </row>
    <row r="28" spans="3:7">
      <c r="C28" s="62" t="s">
        <v>325</v>
      </c>
      <c r="D28" s="62"/>
      <c r="E28" s="62">
        <v>1467628.2600000002</v>
      </c>
      <c r="F28" s="62">
        <v>-1000000</v>
      </c>
      <c r="G28" s="62"/>
    </row>
    <row r="29" spans="3:7">
      <c r="C29" s="62" t="s">
        <v>326</v>
      </c>
      <c r="D29" s="62">
        <v>-774.01</v>
      </c>
      <c r="E29" s="62">
        <v>1450472.5</v>
      </c>
      <c r="F29" s="62"/>
      <c r="G29" s="62"/>
    </row>
    <row r="30" spans="3:7">
      <c r="C30" s="62" t="s">
        <v>327</v>
      </c>
      <c r="D30" s="62">
        <v>-111399.05</v>
      </c>
      <c r="E30" s="62">
        <v>1428800.7199999997</v>
      </c>
      <c r="F30" s="62">
        <v>-7000000</v>
      </c>
      <c r="G30" s="62"/>
    </row>
    <row r="31" spans="3:7">
      <c r="C31" s="62" t="s">
        <v>328</v>
      </c>
      <c r="D31" s="62">
        <v>-400169.02</v>
      </c>
      <c r="E31" s="62">
        <v>1199702.72</v>
      </c>
      <c r="F31" s="62"/>
      <c r="G31" s="62"/>
    </row>
    <row r="32" spans="3:7">
      <c r="C32" s="62" t="s">
        <v>366</v>
      </c>
      <c r="D32" s="62"/>
      <c r="E32" s="62">
        <v>372090.88</v>
      </c>
      <c r="F32" s="62"/>
      <c r="G32" s="62"/>
    </row>
    <row r="33" spans="3:7">
      <c r="C33" s="62" t="s">
        <v>367</v>
      </c>
      <c r="D33" s="62">
        <v>-2357277.4500000002</v>
      </c>
      <c r="E33" s="62">
        <v>586688.9</v>
      </c>
      <c r="F33" s="62"/>
      <c r="G33" s="62"/>
    </row>
    <row r="34" spans="3:7">
      <c r="C34" s="59" t="s">
        <v>370</v>
      </c>
      <c r="D34" s="60">
        <f>SUM(D22:D33)</f>
        <v>-2888989.8600000003</v>
      </c>
      <c r="E34" s="60">
        <f t="shared" ref="E34:G34" si="0">SUM(E22:E33)</f>
        <v>16468684.000000002</v>
      </c>
      <c r="F34" s="60">
        <f t="shared" si="0"/>
        <v>-8000000</v>
      </c>
      <c r="G34" s="60">
        <f t="shared" si="0"/>
        <v>-1500000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4"/>
  <sheetViews>
    <sheetView workbookViewId="0">
      <selection sqref="A1:AG220"/>
    </sheetView>
  </sheetViews>
  <sheetFormatPr defaultRowHeight="12.5" outlineLevelRow="2"/>
  <cols>
    <col min="1" max="1" width="13.453125" bestFit="1" customWidth="1"/>
    <col min="2" max="2" width="15.54296875" bestFit="1" customWidth="1"/>
    <col min="3" max="3" width="10.81640625" bestFit="1" customWidth="1"/>
    <col min="4" max="4" width="37.08984375" bestFit="1" customWidth="1"/>
    <col min="5" max="5" width="12.1796875" bestFit="1" customWidth="1"/>
    <col min="6" max="6" width="9" bestFit="1" customWidth="1"/>
    <col min="7" max="7" width="13.36328125" bestFit="1" customWidth="1"/>
    <col min="8" max="8" width="17.90625" bestFit="1" customWidth="1"/>
    <col min="9" max="9" width="11.08984375" bestFit="1" customWidth="1"/>
    <col min="10" max="10" width="15.54296875" bestFit="1" customWidth="1"/>
    <col min="11" max="11" width="11.6328125" bestFit="1" customWidth="1"/>
    <col min="12" max="12" width="24.1796875" bestFit="1" customWidth="1"/>
    <col min="13" max="13" width="18" bestFit="1" customWidth="1"/>
    <col min="14" max="14" width="13" bestFit="1" customWidth="1"/>
    <col min="15" max="15" width="22.54296875" bestFit="1" customWidth="1"/>
    <col min="16" max="16" width="16.08984375" bestFit="1" customWidth="1"/>
    <col min="17" max="17" width="12.6328125" bestFit="1" customWidth="1"/>
    <col min="18" max="18" width="13.90625" bestFit="1" customWidth="1"/>
    <col min="19" max="19" width="12.08984375" bestFit="1" customWidth="1"/>
    <col min="20" max="20" width="15.54296875" bestFit="1" customWidth="1"/>
    <col min="21" max="21" width="15.1796875" bestFit="1" customWidth="1"/>
    <col min="22" max="22" width="10.81640625" bestFit="1" customWidth="1"/>
    <col min="23" max="23" width="13.26953125" bestFit="1" customWidth="1"/>
    <col min="24" max="24" width="18.90625" bestFit="1" customWidth="1"/>
    <col min="25" max="25" width="15.1796875" bestFit="1" customWidth="1"/>
    <col min="26" max="26" width="6.6328125" bestFit="1" customWidth="1"/>
    <col min="27" max="27" width="46.26953125" bestFit="1" customWidth="1"/>
    <col min="28" max="30" width="16.6328125" bestFit="1" customWidth="1"/>
    <col min="31" max="31" width="20.90625" bestFit="1" customWidth="1"/>
    <col min="32" max="32" width="14" bestFit="1" customWidth="1"/>
    <col min="33" max="33" width="18.26953125" bestFit="1" customWidth="1"/>
  </cols>
  <sheetData>
    <row r="1" spans="1:33" ht="37.5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2" t="s">
        <v>279</v>
      </c>
      <c r="G1" s="1" t="s">
        <v>280</v>
      </c>
      <c r="H1" s="1" t="s">
        <v>281</v>
      </c>
      <c r="I1" s="12" t="s">
        <v>282</v>
      </c>
      <c r="J1" s="1" t="s">
        <v>283</v>
      </c>
      <c r="K1" s="1" t="s">
        <v>284</v>
      </c>
      <c r="L1" s="1" t="s">
        <v>285</v>
      </c>
      <c r="M1" s="1" t="s">
        <v>306</v>
      </c>
      <c r="N1" s="1" t="s">
        <v>286</v>
      </c>
      <c r="O1" s="1" t="s">
        <v>287</v>
      </c>
      <c r="P1" s="1" t="s">
        <v>288</v>
      </c>
      <c r="Q1" s="1" t="s">
        <v>289</v>
      </c>
      <c r="R1" s="12" t="s">
        <v>290</v>
      </c>
      <c r="S1" s="12" t="s">
        <v>291</v>
      </c>
      <c r="T1" s="12" t="s">
        <v>292</v>
      </c>
      <c r="U1" s="12" t="s">
        <v>293</v>
      </c>
      <c r="V1" s="1" t="s">
        <v>294</v>
      </c>
      <c r="W1" s="1" t="s">
        <v>295</v>
      </c>
      <c r="X1" s="1" t="s">
        <v>296</v>
      </c>
      <c r="Y1" s="1" t="s">
        <v>297</v>
      </c>
      <c r="Z1" s="1" t="s">
        <v>298</v>
      </c>
      <c r="AA1" s="1" t="s">
        <v>299</v>
      </c>
      <c r="AB1" s="1" t="s">
        <v>300</v>
      </c>
      <c r="AC1" s="1" t="s">
        <v>301</v>
      </c>
      <c r="AD1" s="1" t="s">
        <v>302</v>
      </c>
      <c r="AE1" s="1" t="s">
        <v>303</v>
      </c>
      <c r="AF1" s="1" t="s">
        <v>304</v>
      </c>
      <c r="AG1" s="1" t="s">
        <v>305</v>
      </c>
    </row>
    <row r="2" spans="1:33" outlineLevel="2">
      <c r="A2" t="s">
        <v>0</v>
      </c>
      <c r="B2" s="13">
        <v>6788</v>
      </c>
      <c r="C2" s="13">
        <v>100222362</v>
      </c>
      <c r="D2" t="s">
        <v>2</v>
      </c>
      <c r="E2" t="s">
        <v>3</v>
      </c>
      <c r="F2" t="s">
        <v>4</v>
      </c>
      <c r="G2" s="2">
        <v>45758</v>
      </c>
      <c r="H2" s="13">
        <v>1600000012</v>
      </c>
      <c r="I2" t="s">
        <v>6</v>
      </c>
      <c r="J2" s="2">
        <v>45758</v>
      </c>
      <c r="K2" s="2">
        <v>45758</v>
      </c>
      <c r="L2" t="s">
        <v>7</v>
      </c>
      <c r="M2" t="s">
        <v>7</v>
      </c>
      <c r="N2" t="s">
        <v>8</v>
      </c>
      <c r="O2" t="s">
        <v>9</v>
      </c>
      <c r="P2" t="s">
        <v>7</v>
      </c>
      <c r="Q2" t="s">
        <v>10</v>
      </c>
      <c r="R2" t="s">
        <v>11</v>
      </c>
      <c r="S2" s="3">
        <v>1</v>
      </c>
      <c r="T2" t="s">
        <v>11</v>
      </c>
      <c r="U2" s="3">
        <v>1</v>
      </c>
      <c r="V2" t="s">
        <v>7</v>
      </c>
      <c r="W2" t="s">
        <v>12</v>
      </c>
      <c r="X2" t="s">
        <v>7</v>
      </c>
      <c r="Y2" t="s">
        <v>7</v>
      </c>
      <c r="Z2" t="s">
        <v>13</v>
      </c>
      <c r="AA2" t="s">
        <v>14</v>
      </c>
      <c r="AB2" t="s">
        <v>7</v>
      </c>
      <c r="AC2" t="s">
        <v>7</v>
      </c>
      <c r="AD2" t="s">
        <v>7</v>
      </c>
      <c r="AE2" s="2">
        <v>45758</v>
      </c>
      <c r="AF2" s="2">
        <v>45758</v>
      </c>
      <c r="AG2" t="s">
        <v>5</v>
      </c>
    </row>
    <row r="3" spans="1:33" outlineLevel="2">
      <c r="A3" t="s">
        <v>0</v>
      </c>
      <c r="B3" s="13">
        <v>6788</v>
      </c>
      <c r="C3" s="13">
        <v>100222362</v>
      </c>
      <c r="D3" t="s">
        <v>2</v>
      </c>
      <c r="E3" t="s">
        <v>3</v>
      </c>
      <c r="F3" t="s">
        <v>4</v>
      </c>
      <c r="G3" s="2">
        <v>45758</v>
      </c>
      <c r="H3" s="13">
        <v>1600000012</v>
      </c>
      <c r="I3" t="s">
        <v>6</v>
      </c>
      <c r="J3" s="2">
        <v>45758</v>
      </c>
      <c r="K3" s="2">
        <v>45758</v>
      </c>
      <c r="L3" t="s">
        <v>7</v>
      </c>
      <c r="M3" t="s">
        <v>7</v>
      </c>
      <c r="N3" t="s">
        <v>8</v>
      </c>
      <c r="O3" t="s">
        <v>9</v>
      </c>
      <c r="P3" t="s">
        <v>7</v>
      </c>
      <c r="Q3" t="s">
        <v>15</v>
      </c>
      <c r="R3" t="s">
        <v>11</v>
      </c>
      <c r="S3" s="3">
        <v>-1</v>
      </c>
      <c r="T3" t="s">
        <v>11</v>
      </c>
      <c r="U3" s="3">
        <v>-1</v>
      </c>
      <c r="V3" t="s">
        <v>7</v>
      </c>
      <c r="W3" t="s">
        <v>12</v>
      </c>
      <c r="X3" t="s">
        <v>7</v>
      </c>
      <c r="Y3" t="s">
        <v>7</v>
      </c>
      <c r="Z3" t="s">
        <v>16</v>
      </c>
      <c r="AA3" t="s">
        <v>14</v>
      </c>
      <c r="AB3" t="s">
        <v>7</v>
      </c>
      <c r="AC3" t="s">
        <v>7</v>
      </c>
      <c r="AD3" t="s">
        <v>7</v>
      </c>
      <c r="AE3" s="2">
        <v>45758</v>
      </c>
      <c r="AF3" s="2">
        <v>45758</v>
      </c>
      <c r="AG3" t="s">
        <v>5</v>
      </c>
    </row>
    <row r="4" spans="1:33" outlineLevel="2">
      <c r="A4" t="s">
        <v>0</v>
      </c>
      <c r="B4" s="13">
        <v>6788</v>
      </c>
      <c r="C4" s="13">
        <v>100222362</v>
      </c>
      <c r="D4" t="s">
        <v>2</v>
      </c>
      <c r="E4" t="s">
        <v>3</v>
      </c>
      <c r="F4" t="s">
        <v>16</v>
      </c>
      <c r="G4" s="2">
        <v>45705</v>
      </c>
      <c r="H4" s="13">
        <v>1400000001</v>
      </c>
      <c r="I4" t="s">
        <v>18</v>
      </c>
      <c r="J4" s="2">
        <v>45705</v>
      </c>
      <c r="K4" s="2">
        <v>45707</v>
      </c>
      <c r="L4" t="s">
        <v>19</v>
      </c>
      <c r="M4" t="s">
        <v>7</v>
      </c>
      <c r="N4" t="s">
        <v>8</v>
      </c>
      <c r="O4" t="s">
        <v>9</v>
      </c>
      <c r="P4" t="s">
        <v>7</v>
      </c>
      <c r="Q4" t="s">
        <v>20</v>
      </c>
      <c r="R4" t="s">
        <v>21</v>
      </c>
      <c r="S4" s="3">
        <v>75</v>
      </c>
      <c r="T4" t="s">
        <v>11</v>
      </c>
      <c r="U4" s="3">
        <v>6472.77</v>
      </c>
      <c r="V4" t="s">
        <v>7</v>
      </c>
      <c r="W4" t="s">
        <v>12</v>
      </c>
      <c r="X4" t="s">
        <v>7</v>
      </c>
      <c r="Y4" t="s">
        <v>7</v>
      </c>
      <c r="Z4" t="s">
        <v>13</v>
      </c>
      <c r="AA4" t="s">
        <v>7</v>
      </c>
      <c r="AB4" t="s">
        <v>7</v>
      </c>
      <c r="AC4" t="s">
        <v>7</v>
      </c>
      <c r="AD4" t="s">
        <v>7</v>
      </c>
      <c r="AE4" s="2">
        <v>45705</v>
      </c>
      <c r="AF4" s="2">
        <v>45707</v>
      </c>
      <c r="AG4" t="s">
        <v>17</v>
      </c>
    </row>
    <row r="5" spans="1:33" outlineLevel="2">
      <c r="A5" t="s">
        <v>0</v>
      </c>
      <c r="B5" s="13">
        <v>6788</v>
      </c>
      <c r="C5" s="13">
        <v>100222362</v>
      </c>
      <c r="D5" t="s">
        <v>2</v>
      </c>
      <c r="E5" t="s">
        <v>3</v>
      </c>
      <c r="F5" t="s">
        <v>16</v>
      </c>
      <c r="G5" s="2">
        <v>45705</v>
      </c>
      <c r="H5" s="13">
        <v>1400000001</v>
      </c>
      <c r="I5" t="s">
        <v>18</v>
      </c>
      <c r="J5" s="2">
        <v>45705</v>
      </c>
      <c r="K5" s="2">
        <v>45707</v>
      </c>
      <c r="L5" t="s">
        <v>19</v>
      </c>
      <c r="M5" t="s">
        <v>7</v>
      </c>
      <c r="N5" t="s">
        <v>8</v>
      </c>
      <c r="O5" t="s">
        <v>9</v>
      </c>
      <c r="P5" t="s">
        <v>7</v>
      </c>
      <c r="Q5" t="s">
        <v>22</v>
      </c>
      <c r="R5" t="s">
        <v>21</v>
      </c>
      <c r="S5" s="3">
        <v>-75</v>
      </c>
      <c r="T5" t="s">
        <v>11</v>
      </c>
      <c r="U5" s="3">
        <v>-6472.77</v>
      </c>
      <c r="V5" t="s">
        <v>7</v>
      </c>
      <c r="W5" t="s">
        <v>12</v>
      </c>
      <c r="X5" t="s">
        <v>7</v>
      </c>
      <c r="Y5" t="s">
        <v>7</v>
      </c>
      <c r="Z5" t="s">
        <v>16</v>
      </c>
      <c r="AA5" t="s">
        <v>7</v>
      </c>
      <c r="AB5" t="s">
        <v>7</v>
      </c>
      <c r="AC5" t="s">
        <v>7</v>
      </c>
      <c r="AD5" t="s">
        <v>7</v>
      </c>
      <c r="AE5" s="2">
        <v>45705</v>
      </c>
      <c r="AF5" s="2">
        <v>45707</v>
      </c>
      <c r="AG5" t="s">
        <v>17</v>
      </c>
    </row>
    <row r="6" spans="1:33" outlineLevel="2">
      <c r="A6" t="s">
        <v>23</v>
      </c>
      <c r="B6" s="13">
        <v>6788</v>
      </c>
      <c r="C6" s="13">
        <v>100222362</v>
      </c>
      <c r="D6" t="s">
        <v>2</v>
      </c>
      <c r="E6" t="s">
        <v>3</v>
      </c>
      <c r="F6" t="s">
        <v>24</v>
      </c>
      <c r="G6" s="2">
        <v>45889</v>
      </c>
      <c r="H6" s="13">
        <v>1400000026</v>
      </c>
      <c r="I6" t="s">
        <v>25</v>
      </c>
      <c r="J6" s="2">
        <v>45889</v>
      </c>
      <c r="K6" s="2">
        <v>45889</v>
      </c>
      <c r="L6" t="s">
        <v>26</v>
      </c>
      <c r="M6" t="s">
        <v>7</v>
      </c>
      <c r="N6" t="s">
        <v>8</v>
      </c>
      <c r="O6" t="s">
        <v>9</v>
      </c>
      <c r="P6" t="s">
        <v>7</v>
      </c>
      <c r="Q6" t="s">
        <v>22</v>
      </c>
      <c r="R6" t="s">
        <v>11</v>
      </c>
      <c r="S6" s="3">
        <v>-500000</v>
      </c>
      <c r="T6" t="s">
        <v>11</v>
      </c>
      <c r="U6" s="3">
        <v>-500000</v>
      </c>
      <c r="V6" t="s">
        <v>7</v>
      </c>
      <c r="W6" t="s">
        <v>27</v>
      </c>
      <c r="X6" t="s">
        <v>7</v>
      </c>
      <c r="Y6" t="s">
        <v>7</v>
      </c>
      <c r="Z6" t="s">
        <v>16</v>
      </c>
      <c r="AA6" t="s">
        <v>7</v>
      </c>
      <c r="AB6" t="s">
        <v>7</v>
      </c>
      <c r="AC6" t="s">
        <v>7</v>
      </c>
      <c r="AD6" t="s">
        <v>7</v>
      </c>
      <c r="AE6" s="2">
        <v>45889</v>
      </c>
      <c r="AF6" s="2"/>
      <c r="AG6" t="s">
        <v>7</v>
      </c>
    </row>
    <row r="7" spans="1:33" outlineLevel="2">
      <c r="A7" t="s">
        <v>23</v>
      </c>
      <c r="B7" s="13">
        <v>6788</v>
      </c>
      <c r="C7" s="13">
        <v>100222362</v>
      </c>
      <c r="D7" t="s">
        <v>2</v>
      </c>
      <c r="E7" t="s">
        <v>3</v>
      </c>
      <c r="F7" t="s">
        <v>24</v>
      </c>
      <c r="G7" s="2">
        <v>45889</v>
      </c>
      <c r="H7" s="13">
        <v>1400000027</v>
      </c>
      <c r="I7" t="s">
        <v>25</v>
      </c>
      <c r="J7" s="2">
        <v>45889</v>
      </c>
      <c r="K7" s="2">
        <v>45889</v>
      </c>
      <c r="L7" t="s">
        <v>28</v>
      </c>
      <c r="M7" t="s">
        <v>7</v>
      </c>
      <c r="N7" t="s">
        <v>8</v>
      </c>
      <c r="O7" t="s">
        <v>9</v>
      </c>
      <c r="P7" t="s">
        <v>7</v>
      </c>
      <c r="Q7" t="s">
        <v>22</v>
      </c>
      <c r="R7" t="s">
        <v>11</v>
      </c>
      <c r="S7" s="3">
        <v>-500000</v>
      </c>
      <c r="T7" t="s">
        <v>11</v>
      </c>
      <c r="U7" s="3">
        <v>-500000</v>
      </c>
      <c r="V7" t="s">
        <v>7</v>
      </c>
      <c r="W7" t="s">
        <v>27</v>
      </c>
      <c r="X7" t="s">
        <v>7</v>
      </c>
      <c r="Y7" t="s">
        <v>7</v>
      </c>
      <c r="Z7" t="s">
        <v>16</v>
      </c>
      <c r="AA7" t="s">
        <v>7</v>
      </c>
      <c r="AB7" t="s">
        <v>7</v>
      </c>
      <c r="AC7" t="s">
        <v>7</v>
      </c>
      <c r="AD7" t="s">
        <v>7</v>
      </c>
      <c r="AE7" s="2">
        <v>45889</v>
      </c>
      <c r="AF7" s="2"/>
      <c r="AG7" t="s">
        <v>7</v>
      </c>
    </row>
    <row r="8" spans="1:33" outlineLevel="2">
      <c r="A8" t="s">
        <v>23</v>
      </c>
      <c r="B8" s="13">
        <v>6788</v>
      </c>
      <c r="C8" s="13">
        <v>100222362</v>
      </c>
      <c r="D8" t="s">
        <v>2</v>
      </c>
      <c r="E8" t="s">
        <v>3</v>
      </c>
      <c r="F8" t="s">
        <v>29</v>
      </c>
      <c r="G8" s="2">
        <v>45931</v>
      </c>
      <c r="H8" s="13">
        <v>1400000043</v>
      </c>
      <c r="I8" t="s">
        <v>25</v>
      </c>
      <c r="J8" s="2">
        <v>45931</v>
      </c>
      <c r="K8" s="2">
        <v>45925</v>
      </c>
      <c r="L8" t="s">
        <v>30</v>
      </c>
      <c r="M8" t="s">
        <v>7</v>
      </c>
      <c r="N8" t="s">
        <v>8</v>
      </c>
      <c r="O8" t="s">
        <v>9</v>
      </c>
      <c r="P8" t="s">
        <v>7</v>
      </c>
      <c r="Q8" t="s">
        <v>22</v>
      </c>
      <c r="R8" t="s">
        <v>11</v>
      </c>
      <c r="S8" s="3">
        <v>-500000</v>
      </c>
      <c r="T8" t="s">
        <v>11</v>
      </c>
      <c r="U8" s="3">
        <v>-500000</v>
      </c>
      <c r="V8" t="s">
        <v>7</v>
      </c>
      <c r="W8" t="s">
        <v>27</v>
      </c>
      <c r="X8" t="s">
        <v>7</v>
      </c>
      <c r="Y8" t="s">
        <v>7</v>
      </c>
      <c r="Z8" t="s">
        <v>16</v>
      </c>
      <c r="AA8" t="s">
        <v>7</v>
      </c>
      <c r="AB8" t="s">
        <v>7</v>
      </c>
      <c r="AC8" t="s">
        <v>7</v>
      </c>
      <c r="AD8" t="s">
        <v>7</v>
      </c>
      <c r="AE8" s="2">
        <v>45931</v>
      </c>
      <c r="AF8" s="2"/>
      <c r="AG8" t="s">
        <v>7</v>
      </c>
    </row>
    <row r="9" spans="1:33" outlineLevel="2">
      <c r="A9" t="s">
        <v>23</v>
      </c>
      <c r="B9" s="13">
        <v>6788</v>
      </c>
      <c r="C9" s="13">
        <v>100222362</v>
      </c>
      <c r="D9" t="s">
        <v>2</v>
      </c>
      <c r="E9" t="s">
        <v>3</v>
      </c>
      <c r="F9" t="s">
        <v>29</v>
      </c>
      <c r="G9" s="2">
        <v>45931</v>
      </c>
      <c r="H9" s="13">
        <v>1400000044</v>
      </c>
      <c r="I9" t="s">
        <v>25</v>
      </c>
      <c r="J9" s="2">
        <v>45931</v>
      </c>
      <c r="K9" s="2">
        <v>45925</v>
      </c>
      <c r="L9" t="s">
        <v>31</v>
      </c>
      <c r="M9" t="s">
        <v>7</v>
      </c>
      <c r="N9" t="s">
        <v>8</v>
      </c>
      <c r="O9" t="s">
        <v>9</v>
      </c>
      <c r="P9" t="s">
        <v>7</v>
      </c>
      <c r="Q9" t="s">
        <v>22</v>
      </c>
      <c r="R9" t="s">
        <v>11</v>
      </c>
      <c r="S9" s="3">
        <v>-500000</v>
      </c>
      <c r="T9" t="s">
        <v>11</v>
      </c>
      <c r="U9" s="3">
        <v>-500000</v>
      </c>
      <c r="V9" t="s">
        <v>7</v>
      </c>
      <c r="W9" t="s">
        <v>27</v>
      </c>
      <c r="X9" t="s">
        <v>7</v>
      </c>
      <c r="Y9" t="s">
        <v>7</v>
      </c>
      <c r="Z9" t="s">
        <v>16</v>
      </c>
      <c r="AA9" t="s">
        <v>7</v>
      </c>
      <c r="AB9" t="s">
        <v>7</v>
      </c>
      <c r="AC9" t="s">
        <v>7</v>
      </c>
      <c r="AD9" t="s">
        <v>7</v>
      </c>
      <c r="AE9" s="2">
        <v>45931</v>
      </c>
      <c r="AF9" s="2"/>
      <c r="AG9" t="s">
        <v>7</v>
      </c>
    </row>
    <row r="10" spans="1:33" outlineLevel="2">
      <c r="A10" t="s">
        <v>23</v>
      </c>
      <c r="B10" s="13">
        <v>6788</v>
      </c>
      <c r="C10" s="13">
        <v>100222362</v>
      </c>
      <c r="D10" t="s">
        <v>2</v>
      </c>
      <c r="E10" t="s">
        <v>3</v>
      </c>
      <c r="F10" t="s">
        <v>29</v>
      </c>
      <c r="G10" s="2">
        <v>45931</v>
      </c>
      <c r="H10" s="13">
        <v>1400000045</v>
      </c>
      <c r="I10" t="s">
        <v>25</v>
      </c>
      <c r="J10" s="2">
        <v>45931</v>
      </c>
      <c r="K10" s="2">
        <v>45925</v>
      </c>
      <c r="L10" t="s">
        <v>32</v>
      </c>
      <c r="M10" t="s">
        <v>7</v>
      </c>
      <c r="N10" t="s">
        <v>8</v>
      </c>
      <c r="O10" t="s">
        <v>9</v>
      </c>
      <c r="P10" t="s">
        <v>7</v>
      </c>
      <c r="Q10" t="s">
        <v>22</v>
      </c>
      <c r="R10" t="s">
        <v>11</v>
      </c>
      <c r="S10" s="3">
        <v>-500000</v>
      </c>
      <c r="T10" t="s">
        <v>11</v>
      </c>
      <c r="U10" s="3">
        <v>-500000</v>
      </c>
      <c r="V10" t="s">
        <v>7</v>
      </c>
      <c r="W10" t="s">
        <v>27</v>
      </c>
      <c r="X10" t="s">
        <v>7</v>
      </c>
      <c r="Y10" t="s">
        <v>7</v>
      </c>
      <c r="Z10" t="s">
        <v>16</v>
      </c>
      <c r="AA10" t="s">
        <v>7</v>
      </c>
      <c r="AB10" t="s">
        <v>7</v>
      </c>
      <c r="AC10" t="s">
        <v>7</v>
      </c>
      <c r="AD10" t="s">
        <v>7</v>
      </c>
      <c r="AE10" s="2">
        <v>45931</v>
      </c>
      <c r="AF10" s="2"/>
      <c r="AG10" t="s">
        <v>7</v>
      </c>
    </row>
    <row r="11" spans="1:33" outlineLevel="2">
      <c r="A11" t="s">
        <v>23</v>
      </c>
      <c r="B11" s="13">
        <v>6788</v>
      </c>
      <c r="C11" s="13">
        <v>100222362</v>
      </c>
      <c r="D11" t="s">
        <v>2</v>
      </c>
      <c r="E11" t="s">
        <v>3</v>
      </c>
      <c r="F11" t="s">
        <v>29</v>
      </c>
      <c r="G11" s="2">
        <v>45931</v>
      </c>
      <c r="H11" s="13">
        <v>1400000046</v>
      </c>
      <c r="I11" t="s">
        <v>25</v>
      </c>
      <c r="J11" s="2">
        <v>45931</v>
      </c>
      <c r="K11" s="2">
        <v>45925</v>
      </c>
      <c r="L11" t="s">
        <v>33</v>
      </c>
      <c r="M11" t="s">
        <v>7</v>
      </c>
      <c r="N11" t="s">
        <v>8</v>
      </c>
      <c r="O11" t="s">
        <v>9</v>
      </c>
      <c r="P11" t="s">
        <v>7</v>
      </c>
      <c r="Q11" t="s">
        <v>22</v>
      </c>
      <c r="R11" t="s">
        <v>11</v>
      </c>
      <c r="S11" s="3">
        <v>-500000</v>
      </c>
      <c r="T11" t="s">
        <v>11</v>
      </c>
      <c r="U11" s="3">
        <v>-500000</v>
      </c>
      <c r="V11" t="s">
        <v>7</v>
      </c>
      <c r="W11" t="s">
        <v>27</v>
      </c>
      <c r="X11" t="s">
        <v>7</v>
      </c>
      <c r="Y11" t="s">
        <v>7</v>
      </c>
      <c r="Z11" t="s">
        <v>16</v>
      </c>
      <c r="AA11" t="s">
        <v>7</v>
      </c>
      <c r="AB11" t="s">
        <v>7</v>
      </c>
      <c r="AC11" t="s">
        <v>7</v>
      </c>
      <c r="AD11" t="s">
        <v>7</v>
      </c>
      <c r="AE11" s="2">
        <v>45931</v>
      </c>
      <c r="AF11" s="2"/>
      <c r="AG11" t="s">
        <v>7</v>
      </c>
    </row>
    <row r="12" spans="1:33" outlineLevel="2">
      <c r="A12" t="s">
        <v>23</v>
      </c>
      <c r="B12" s="13">
        <v>6788</v>
      </c>
      <c r="C12" s="13">
        <v>100222362</v>
      </c>
      <c r="D12" t="s">
        <v>2</v>
      </c>
      <c r="E12" t="s">
        <v>3</v>
      </c>
      <c r="F12" t="s">
        <v>29</v>
      </c>
      <c r="G12" s="2">
        <v>45959</v>
      </c>
      <c r="H12" s="13">
        <v>1400000055</v>
      </c>
      <c r="I12" t="s">
        <v>25</v>
      </c>
      <c r="J12" s="2">
        <v>45959</v>
      </c>
      <c r="K12" s="2">
        <v>45959</v>
      </c>
      <c r="L12" t="s">
        <v>34</v>
      </c>
      <c r="M12" t="s">
        <v>7</v>
      </c>
      <c r="N12" t="s">
        <v>8</v>
      </c>
      <c r="O12" t="s">
        <v>9</v>
      </c>
      <c r="P12" t="s">
        <v>7</v>
      </c>
      <c r="Q12" t="s">
        <v>22</v>
      </c>
      <c r="R12" t="s">
        <v>11</v>
      </c>
      <c r="S12" s="3">
        <v>-5000000</v>
      </c>
      <c r="T12" t="s">
        <v>11</v>
      </c>
      <c r="U12" s="3">
        <v>-5000000</v>
      </c>
      <c r="V12" t="s">
        <v>7</v>
      </c>
      <c r="W12" t="s">
        <v>27</v>
      </c>
      <c r="X12" t="s">
        <v>7</v>
      </c>
      <c r="Y12" t="s">
        <v>7</v>
      </c>
      <c r="Z12" t="s">
        <v>16</v>
      </c>
      <c r="AA12" t="s">
        <v>7</v>
      </c>
      <c r="AB12" t="s">
        <v>7</v>
      </c>
      <c r="AC12" t="s">
        <v>7</v>
      </c>
      <c r="AD12" t="s">
        <v>7</v>
      </c>
      <c r="AE12" s="2">
        <v>45959</v>
      </c>
      <c r="AF12" s="2"/>
      <c r="AG12" t="s">
        <v>7</v>
      </c>
    </row>
    <row r="13" spans="1:33" outlineLevel="2">
      <c r="A13" t="s">
        <v>0</v>
      </c>
      <c r="B13" s="13">
        <v>6788</v>
      </c>
      <c r="C13" s="13">
        <v>100222362</v>
      </c>
      <c r="D13" t="s">
        <v>2</v>
      </c>
      <c r="E13" t="s">
        <v>3</v>
      </c>
      <c r="F13" t="s">
        <v>16</v>
      </c>
      <c r="G13" s="2">
        <v>45701</v>
      </c>
      <c r="H13" s="13">
        <v>7000000036</v>
      </c>
      <c r="I13" t="s">
        <v>35</v>
      </c>
      <c r="J13" s="2">
        <v>45701</v>
      </c>
      <c r="K13" s="2">
        <v>45701</v>
      </c>
      <c r="L13" t="s">
        <v>36</v>
      </c>
      <c r="M13" t="s">
        <v>36</v>
      </c>
      <c r="N13" t="s">
        <v>8</v>
      </c>
      <c r="O13" t="s">
        <v>9</v>
      </c>
      <c r="P13" t="s">
        <v>7</v>
      </c>
      <c r="Q13" t="s">
        <v>37</v>
      </c>
      <c r="R13" t="s">
        <v>11</v>
      </c>
      <c r="S13" s="3">
        <v>-1</v>
      </c>
      <c r="T13" t="s">
        <v>11</v>
      </c>
      <c r="U13" s="3">
        <v>-1</v>
      </c>
      <c r="V13" t="s">
        <v>7</v>
      </c>
      <c r="W13" t="s">
        <v>12</v>
      </c>
      <c r="X13" t="s">
        <v>7</v>
      </c>
      <c r="Y13" t="s">
        <v>36</v>
      </c>
      <c r="Z13" t="s">
        <v>13</v>
      </c>
      <c r="AA13" t="s">
        <v>14</v>
      </c>
      <c r="AB13" t="s">
        <v>1</v>
      </c>
      <c r="AC13" t="s">
        <v>7</v>
      </c>
      <c r="AD13" t="s">
        <v>1</v>
      </c>
      <c r="AE13" s="2">
        <v>45701</v>
      </c>
      <c r="AF13" s="2">
        <v>45758</v>
      </c>
      <c r="AG13" t="s">
        <v>5</v>
      </c>
    </row>
    <row r="14" spans="1:33" outlineLevel="2">
      <c r="A14" t="s">
        <v>0</v>
      </c>
      <c r="B14" s="13">
        <v>6788</v>
      </c>
      <c r="C14" s="13">
        <v>100222362</v>
      </c>
      <c r="D14" t="s">
        <v>2</v>
      </c>
      <c r="E14" t="s">
        <v>3</v>
      </c>
      <c r="F14" t="s">
        <v>38</v>
      </c>
      <c r="G14" s="2">
        <v>45744</v>
      </c>
      <c r="H14" s="13">
        <v>7000000128</v>
      </c>
      <c r="I14" t="s">
        <v>35</v>
      </c>
      <c r="J14" s="2">
        <v>45701</v>
      </c>
      <c r="K14" s="2">
        <v>45744</v>
      </c>
      <c r="L14" t="s">
        <v>39</v>
      </c>
      <c r="M14" t="s">
        <v>39</v>
      </c>
      <c r="N14" t="s">
        <v>8</v>
      </c>
      <c r="O14" t="s">
        <v>9</v>
      </c>
      <c r="P14" t="s">
        <v>7</v>
      </c>
      <c r="Q14" t="s">
        <v>40</v>
      </c>
      <c r="R14" t="s">
        <v>11</v>
      </c>
      <c r="S14" s="3">
        <v>1</v>
      </c>
      <c r="T14" t="s">
        <v>11</v>
      </c>
      <c r="U14" s="3">
        <v>1</v>
      </c>
      <c r="V14" t="s">
        <v>7</v>
      </c>
      <c r="W14" t="s">
        <v>12</v>
      </c>
      <c r="X14" t="s">
        <v>7</v>
      </c>
      <c r="Y14" t="s">
        <v>36</v>
      </c>
      <c r="Z14" t="s">
        <v>41</v>
      </c>
      <c r="AA14" t="s">
        <v>14</v>
      </c>
      <c r="AB14" t="s">
        <v>1</v>
      </c>
      <c r="AC14" t="s">
        <v>7</v>
      </c>
      <c r="AD14" t="s">
        <v>1</v>
      </c>
      <c r="AE14" s="2">
        <v>45701</v>
      </c>
      <c r="AF14" s="2">
        <v>45758</v>
      </c>
      <c r="AG14" t="s">
        <v>5</v>
      </c>
    </row>
    <row r="15" spans="1:33" outlineLevel="2">
      <c r="A15" t="s">
        <v>23</v>
      </c>
      <c r="B15" s="13">
        <v>6788</v>
      </c>
      <c r="C15" s="13">
        <v>100222362</v>
      </c>
      <c r="D15" t="s">
        <v>2</v>
      </c>
      <c r="E15" t="s">
        <v>3</v>
      </c>
      <c r="F15" t="s">
        <v>4</v>
      </c>
      <c r="G15" s="2">
        <v>45748</v>
      </c>
      <c r="H15" s="13">
        <v>7000000131</v>
      </c>
      <c r="I15" t="s">
        <v>35</v>
      </c>
      <c r="J15" s="2">
        <v>45743</v>
      </c>
      <c r="K15" s="2">
        <v>45749</v>
      </c>
      <c r="L15" t="s">
        <v>42</v>
      </c>
      <c r="M15" t="s">
        <v>42</v>
      </c>
      <c r="N15" t="s">
        <v>8</v>
      </c>
      <c r="O15" t="s">
        <v>9</v>
      </c>
      <c r="P15" t="s">
        <v>7</v>
      </c>
      <c r="Q15" t="s">
        <v>37</v>
      </c>
      <c r="R15" t="s">
        <v>11</v>
      </c>
      <c r="S15" s="3">
        <v>-1500000</v>
      </c>
      <c r="T15" t="s">
        <v>11</v>
      </c>
      <c r="U15" s="3">
        <v>-1500000</v>
      </c>
      <c r="V15" t="s">
        <v>7</v>
      </c>
      <c r="W15" t="s">
        <v>27</v>
      </c>
      <c r="X15" t="s">
        <v>7</v>
      </c>
      <c r="Y15" t="s">
        <v>42</v>
      </c>
      <c r="Z15" t="s">
        <v>13</v>
      </c>
      <c r="AA15" t="s">
        <v>43</v>
      </c>
      <c r="AB15" t="s">
        <v>1</v>
      </c>
      <c r="AC15" t="s">
        <v>7</v>
      </c>
      <c r="AD15" t="s">
        <v>1</v>
      </c>
      <c r="AE15" s="2">
        <v>45743</v>
      </c>
      <c r="AF15" s="2"/>
      <c r="AG15" t="s">
        <v>7</v>
      </c>
    </row>
    <row r="16" spans="1:33" outlineLevel="2">
      <c r="A16" t="s">
        <v>0</v>
      </c>
      <c r="B16" s="13">
        <v>6788</v>
      </c>
      <c r="C16" s="13">
        <v>100222362</v>
      </c>
      <c r="D16" t="s">
        <v>2</v>
      </c>
      <c r="E16" t="s">
        <v>3</v>
      </c>
      <c r="F16" t="s">
        <v>37</v>
      </c>
      <c r="G16" s="2">
        <v>45976</v>
      </c>
      <c r="H16" s="13">
        <v>1400000084</v>
      </c>
      <c r="I16" t="s">
        <v>18</v>
      </c>
      <c r="J16" s="2">
        <v>45976</v>
      </c>
      <c r="K16" s="2">
        <v>45976</v>
      </c>
      <c r="L16" t="s">
        <v>45</v>
      </c>
      <c r="M16" t="s">
        <v>46</v>
      </c>
      <c r="N16" t="s">
        <v>8</v>
      </c>
      <c r="O16" t="s">
        <v>9</v>
      </c>
      <c r="P16" t="s">
        <v>7</v>
      </c>
      <c r="Q16" t="s">
        <v>20</v>
      </c>
      <c r="R16" t="s">
        <v>21</v>
      </c>
      <c r="S16" s="3">
        <v>150</v>
      </c>
      <c r="T16" t="s">
        <v>11</v>
      </c>
      <c r="U16" s="3">
        <v>12897.56</v>
      </c>
      <c r="V16" t="s">
        <v>7</v>
      </c>
      <c r="W16" t="s">
        <v>12</v>
      </c>
      <c r="X16" t="s">
        <v>7</v>
      </c>
      <c r="Y16" t="s">
        <v>7</v>
      </c>
      <c r="Z16" t="s">
        <v>13</v>
      </c>
      <c r="AA16" t="s">
        <v>7</v>
      </c>
      <c r="AB16" t="s">
        <v>7</v>
      </c>
      <c r="AC16" t="s">
        <v>7</v>
      </c>
      <c r="AD16" t="s">
        <v>7</v>
      </c>
      <c r="AE16" s="2">
        <v>45976</v>
      </c>
      <c r="AF16" s="2">
        <v>45976</v>
      </c>
      <c r="AG16" t="s">
        <v>44</v>
      </c>
    </row>
    <row r="17" spans="1:33" outlineLevel="2">
      <c r="A17" t="s">
        <v>0</v>
      </c>
      <c r="B17" s="13">
        <v>6788</v>
      </c>
      <c r="C17" s="13">
        <v>100222362</v>
      </c>
      <c r="D17" t="s">
        <v>2</v>
      </c>
      <c r="E17" t="s">
        <v>3</v>
      </c>
      <c r="F17" t="s">
        <v>37</v>
      </c>
      <c r="G17" s="2">
        <v>45976</v>
      </c>
      <c r="H17" s="13">
        <v>1400000084</v>
      </c>
      <c r="I17" t="s">
        <v>18</v>
      </c>
      <c r="J17" s="2">
        <v>45976</v>
      </c>
      <c r="K17" s="2">
        <v>45976</v>
      </c>
      <c r="L17" t="s">
        <v>45</v>
      </c>
      <c r="M17" t="s">
        <v>46</v>
      </c>
      <c r="N17" t="s">
        <v>8</v>
      </c>
      <c r="O17" t="s">
        <v>9</v>
      </c>
      <c r="P17" t="s">
        <v>7</v>
      </c>
      <c r="Q17" t="s">
        <v>22</v>
      </c>
      <c r="R17" t="s">
        <v>21</v>
      </c>
      <c r="S17" s="3">
        <v>-150</v>
      </c>
      <c r="T17" t="s">
        <v>11</v>
      </c>
      <c r="U17" s="3">
        <v>-13038.28</v>
      </c>
      <c r="V17" t="s">
        <v>7</v>
      </c>
      <c r="W17" t="s">
        <v>12</v>
      </c>
      <c r="X17" t="s">
        <v>7</v>
      </c>
      <c r="Y17" t="s">
        <v>7</v>
      </c>
      <c r="Z17" t="s">
        <v>16</v>
      </c>
      <c r="AA17" t="s">
        <v>7</v>
      </c>
      <c r="AB17" t="s">
        <v>7</v>
      </c>
      <c r="AC17" t="s">
        <v>7</v>
      </c>
      <c r="AD17" t="s">
        <v>7</v>
      </c>
      <c r="AE17" s="2">
        <v>45976</v>
      </c>
      <c r="AF17" s="2">
        <v>45976</v>
      </c>
      <c r="AG17" t="s">
        <v>44</v>
      </c>
    </row>
    <row r="18" spans="1:33" outlineLevel="2">
      <c r="A18" t="s">
        <v>23</v>
      </c>
      <c r="B18" s="13">
        <v>6788</v>
      </c>
      <c r="C18" s="13">
        <v>100222362</v>
      </c>
      <c r="D18" t="s">
        <v>2</v>
      </c>
      <c r="E18" t="s">
        <v>3</v>
      </c>
      <c r="F18" t="s">
        <v>24</v>
      </c>
      <c r="G18" s="2">
        <v>45889</v>
      </c>
      <c r="H18" s="13">
        <v>1800000477</v>
      </c>
      <c r="I18" t="s">
        <v>47</v>
      </c>
      <c r="J18" s="2">
        <v>45889</v>
      </c>
      <c r="K18" s="2">
        <v>45891</v>
      </c>
      <c r="L18" t="s">
        <v>45</v>
      </c>
      <c r="M18" s="16">
        <v>256788410349</v>
      </c>
      <c r="N18" t="s">
        <v>8</v>
      </c>
      <c r="O18" t="s">
        <v>9</v>
      </c>
      <c r="P18" t="s">
        <v>7</v>
      </c>
      <c r="Q18" t="s">
        <v>40</v>
      </c>
      <c r="R18" t="s">
        <v>21</v>
      </c>
      <c r="S18" s="3">
        <v>100</v>
      </c>
      <c r="T18" t="s">
        <v>11</v>
      </c>
      <c r="U18" s="3">
        <v>8603.01</v>
      </c>
      <c r="V18" t="s">
        <v>48</v>
      </c>
      <c r="W18" t="s">
        <v>12</v>
      </c>
      <c r="X18" t="s">
        <v>7</v>
      </c>
      <c r="Y18" t="s">
        <v>45</v>
      </c>
      <c r="Z18" t="s">
        <v>13</v>
      </c>
      <c r="AA18" t="s">
        <v>49</v>
      </c>
      <c r="AB18" t="s">
        <v>7</v>
      </c>
      <c r="AC18" t="s">
        <v>7</v>
      </c>
      <c r="AD18" t="s">
        <v>7</v>
      </c>
      <c r="AE18" s="2">
        <v>45889</v>
      </c>
      <c r="AF18" s="2"/>
      <c r="AG18" t="s">
        <v>7</v>
      </c>
    </row>
    <row r="19" spans="1:33" outlineLevel="2">
      <c r="A19" t="s">
        <v>23</v>
      </c>
      <c r="B19" s="13">
        <v>6788</v>
      </c>
      <c r="C19" s="13">
        <v>100222362</v>
      </c>
      <c r="D19" t="s">
        <v>2</v>
      </c>
      <c r="E19" t="s">
        <v>3</v>
      </c>
      <c r="F19" t="s">
        <v>50</v>
      </c>
      <c r="G19" s="2">
        <v>45904</v>
      </c>
      <c r="H19" s="13">
        <v>1800000479</v>
      </c>
      <c r="I19" t="s">
        <v>47</v>
      </c>
      <c r="J19" s="2">
        <v>45904</v>
      </c>
      <c r="K19" s="2">
        <v>45909</v>
      </c>
      <c r="L19" t="s">
        <v>45</v>
      </c>
      <c r="M19" s="16">
        <v>256788410353</v>
      </c>
      <c r="N19" t="s">
        <v>8</v>
      </c>
      <c r="O19" t="s">
        <v>9</v>
      </c>
      <c r="P19" t="s">
        <v>7</v>
      </c>
      <c r="Q19" t="s">
        <v>40</v>
      </c>
      <c r="R19" t="s">
        <v>21</v>
      </c>
      <c r="S19" s="3">
        <v>100</v>
      </c>
      <c r="T19" t="s">
        <v>11</v>
      </c>
      <c r="U19" s="3">
        <v>8751.43</v>
      </c>
      <c r="V19" t="s">
        <v>48</v>
      </c>
      <c r="W19" t="s">
        <v>12</v>
      </c>
      <c r="X19" t="s">
        <v>7</v>
      </c>
      <c r="Y19" t="s">
        <v>45</v>
      </c>
      <c r="Z19" t="s">
        <v>13</v>
      </c>
      <c r="AA19" t="s">
        <v>51</v>
      </c>
      <c r="AB19" t="s">
        <v>7</v>
      </c>
      <c r="AC19" t="s">
        <v>7</v>
      </c>
      <c r="AD19" t="s">
        <v>7</v>
      </c>
      <c r="AE19" s="2">
        <v>45904</v>
      </c>
      <c r="AF19" s="2"/>
      <c r="AG19" t="s">
        <v>7</v>
      </c>
    </row>
    <row r="20" spans="1:33" outlineLevel="2">
      <c r="A20" t="s">
        <v>23</v>
      </c>
      <c r="B20" s="13">
        <v>6788</v>
      </c>
      <c r="C20" s="13">
        <v>100222362</v>
      </c>
      <c r="D20" t="s">
        <v>2</v>
      </c>
      <c r="E20" t="s">
        <v>3</v>
      </c>
      <c r="F20" t="s">
        <v>4</v>
      </c>
      <c r="G20" s="2">
        <v>45751</v>
      </c>
      <c r="H20" s="13">
        <v>1800000152</v>
      </c>
      <c r="I20" t="s">
        <v>47</v>
      </c>
      <c r="J20" s="2">
        <v>45751</v>
      </c>
      <c r="K20" s="2">
        <v>45756</v>
      </c>
      <c r="L20" t="s">
        <v>45</v>
      </c>
      <c r="M20" s="16">
        <v>256788410027</v>
      </c>
      <c r="N20" t="s">
        <v>8</v>
      </c>
      <c r="O20" t="s">
        <v>9</v>
      </c>
      <c r="P20" t="s">
        <v>7</v>
      </c>
      <c r="Q20" t="s">
        <v>40</v>
      </c>
      <c r="R20" t="s">
        <v>21</v>
      </c>
      <c r="S20" s="3">
        <v>170</v>
      </c>
      <c r="T20" t="s">
        <v>11</v>
      </c>
      <c r="U20" s="3">
        <v>14776.71</v>
      </c>
      <c r="V20" t="s">
        <v>48</v>
      </c>
      <c r="W20" t="s">
        <v>7</v>
      </c>
      <c r="X20" t="s">
        <v>7</v>
      </c>
      <c r="Y20" t="s">
        <v>45</v>
      </c>
      <c r="Z20" t="s">
        <v>13</v>
      </c>
      <c r="AA20" t="s">
        <v>52</v>
      </c>
      <c r="AB20" t="s">
        <v>7</v>
      </c>
      <c r="AC20" t="s">
        <v>7</v>
      </c>
      <c r="AD20" t="s">
        <v>7</v>
      </c>
      <c r="AE20" s="2">
        <v>45755</v>
      </c>
      <c r="AF20" s="2"/>
      <c r="AG20" t="s">
        <v>7</v>
      </c>
    </row>
    <row r="21" spans="1:33" outlineLevel="2">
      <c r="A21" t="s">
        <v>23</v>
      </c>
      <c r="B21" s="13">
        <v>6788</v>
      </c>
      <c r="C21" s="13">
        <v>100222362</v>
      </c>
      <c r="D21" t="s">
        <v>2</v>
      </c>
      <c r="E21" t="s">
        <v>3</v>
      </c>
      <c r="F21" t="s">
        <v>38</v>
      </c>
      <c r="G21" s="2">
        <v>45722</v>
      </c>
      <c r="H21" s="13">
        <v>1800000050</v>
      </c>
      <c r="I21" t="s">
        <v>47</v>
      </c>
      <c r="J21" s="2">
        <v>45722</v>
      </c>
      <c r="K21" s="2">
        <v>45722</v>
      </c>
      <c r="L21" t="s">
        <v>45</v>
      </c>
      <c r="M21" s="16">
        <v>246788410045</v>
      </c>
      <c r="N21" t="s">
        <v>8</v>
      </c>
      <c r="O21" t="s">
        <v>9</v>
      </c>
      <c r="P21" t="s">
        <v>7</v>
      </c>
      <c r="Q21" t="s">
        <v>40</v>
      </c>
      <c r="R21" t="s">
        <v>21</v>
      </c>
      <c r="S21" s="3">
        <v>841.24</v>
      </c>
      <c r="T21" t="s">
        <v>11</v>
      </c>
      <c r="U21" s="3">
        <v>72928.160000000003</v>
      </c>
      <c r="V21" t="s">
        <v>48</v>
      </c>
      <c r="W21" t="s">
        <v>12</v>
      </c>
      <c r="X21" t="s">
        <v>7</v>
      </c>
      <c r="Y21" t="s">
        <v>45</v>
      </c>
      <c r="Z21" t="s">
        <v>13</v>
      </c>
      <c r="AA21" t="s">
        <v>53</v>
      </c>
      <c r="AB21" t="s">
        <v>7</v>
      </c>
      <c r="AC21" t="s">
        <v>7</v>
      </c>
      <c r="AD21" t="s">
        <v>7</v>
      </c>
      <c r="AE21" s="2">
        <v>45722</v>
      </c>
      <c r="AF21" s="2"/>
      <c r="AG21" t="s">
        <v>7</v>
      </c>
    </row>
    <row r="22" spans="1:33" outlineLevel="2">
      <c r="A22" t="s">
        <v>23</v>
      </c>
      <c r="B22" s="13">
        <v>6788</v>
      </c>
      <c r="C22" s="13">
        <v>100222362</v>
      </c>
      <c r="D22" t="s">
        <v>2</v>
      </c>
      <c r="E22" t="s">
        <v>3</v>
      </c>
      <c r="F22" t="s">
        <v>38</v>
      </c>
      <c r="G22" s="2">
        <v>45722</v>
      </c>
      <c r="H22" s="13">
        <v>1800000051</v>
      </c>
      <c r="I22" t="s">
        <v>47</v>
      </c>
      <c r="J22" s="2">
        <v>45722</v>
      </c>
      <c r="K22" s="2">
        <v>45722</v>
      </c>
      <c r="L22" t="s">
        <v>45</v>
      </c>
      <c r="M22" s="16">
        <v>246788410046</v>
      </c>
      <c r="N22" t="s">
        <v>8</v>
      </c>
      <c r="O22" t="s">
        <v>9</v>
      </c>
      <c r="P22" t="s">
        <v>7</v>
      </c>
      <c r="Q22" t="s">
        <v>40</v>
      </c>
      <c r="R22" t="s">
        <v>21</v>
      </c>
      <c r="S22" s="3">
        <v>4169.66</v>
      </c>
      <c r="T22" t="s">
        <v>11</v>
      </c>
      <c r="U22" s="3">
        <v>361473.08</v>
      </c>
      <c r="V22" t="s">
        <v>48</v>
      </c>
      <c r="W22" t="s">
        <v>12</v>
      </c>
      <c r="X22" t="s">
        <v>7</v>
      </c>
      <c r="Y22" t="s">
        <v>45</v>
      </c>
      <c r="Z22" t="s">
        <v>13</v>
      </c>
      <c r="AA22" t="s">
        <v>54</v>
      </c>
      <c r="AB22" t="s">
        <v>7</v>
      </c>
      <c r="AC22" t="s">
        <v>7</v>
      </c>
      <c r="AD22" t="s">
        <v>7</v>
      </c>
      <c r="AE22" s="2">
        <v>45722</v>
      </c>
      <c r="AF22" s="2"/>
      <c r="AG22" t="s">
        <v>7</v>
      </c>
    </row>
    <row r="23" spans="1:33" outlineLevel="2">
      <c r="A23" t="s">
        <v>23</v>
      </c>
      <c r="B23" s="13">
        <v>6788</v>
      </c>
      <c r="C23" s="13">
        <v>100222362</v>
      </c>
      <c r="D23" t="s">
        <v>2</v>
      </c>
      <c r="E23" t="s">
        <v>3</v>
      </c>
      <c r="F23" t="s">
        <v>38</v>
      </c>
      <c r="G23" s="2">
        <v>45719</v>
      </c>
      <c r="H23" s="13">
        <v>1800000045</v>
      </c>
      <c r="I23" t="s">
        <v>47</v>
      </c>
      <c r="J23" s="2">
        <v>45719</v>
      </c>
      <c r="K23" s="2">
        <v>45719</v>
      </c>
      <c r="L23" t="s">
        <v>45</v>
      </c>
      <c r="M23" s="16">
        <v>246788410039</v>
      </c>
      <c r="N23" t="s">
        <v>8</v>
      </c>
      <c r="O23" t="s">
        <v>9</v>
      </c>
      <c r="P23" t="s">
        <v>7</v>
      </c>
      <c r="Q23" t="s">
        <v>40</v>
      </c>
      <c r="R23" t="s">
        <v>21</v>
      </c>
      <c r="S23" s="3">
        <v>1044.69</v>
      </c>
      <c r="T23" t="s">
        <v>11</v>
      </c>
      <c r="U23" s="3">
        <v>90565.49</v>
      </c>
      <c r="V23" t="s">
        <v>48</v>
      </c>
      <c r="W23" t="s">
        <v>12</v>
      </c>
      <c r="X23" t="s">
        <v>7</v>
      </c>
      <c r="Y23" t="s">
        <v>45</v>
      </c>
      <c r="Z23" t="s">
        <v>13</v>
      </c>
      <c r="AA23" t="s">
        <v>55</v>
      </c>
      <c r="AB23" t="s">
        <v>7</v>
      </c>
      <c r="AC23" t="s">
        <v>7</v>
      </c>
      <c r="AD23" t="s">
        <v>7</v>
      </c>
      <c r="AE23" s="2">
        <v>45719</v>
      </c>
      <c r="AF23" s="2"/>
      <c r="AG23" t="s">
        <v>7</v>
      </c>
    </row>
    <row r="24" spans="1:33" outlineLevel="2">
      <c r="A24" t="s">
        <v>23</v>
      </c>
      <c r="B24" s="13">
        <v>6788</v>
      </c>
      <c r="C24" s="13">
        <v>100222362</v>
      </c>
      <c r="D24" t="s">
        <v>2</v>
      </c>
      <c r="E24" t="s">
        <v>3</v>
      </c>
      <c r="F24" t="s">
        <v>38</v>
      </c>
      <c r="G24" s="2">
        <v>45719</v>
      </c>
      <c r="H24" s="13">
        <v>1800000046</v>
      </c>
      <c r="I24" t="s">
        <v>47</v>
      </c>
      <c r="J24" s="2">
        <v>45719</v>
      </c>
      <c r="K24" s="2">
        <v>45719</v>
      </c>
      <c r="L24" t="s">
        <v>45</v>
      </c>
      <c r="M24" s="16">
        <v>246788410040</v>
      </c>
      <c r="N24" t="s">
        <v>8</v>
      </c>
      <c r="O24" t="s">
        <v>9</v>
      </c>
      <c r="P24" t="s">
        <v>7</v>
      </c>
      <c r="Q24" t="s">
        <v>40</v>
      </c>
      <c r="R24" t="s">
        <v>21</v>
      </c>
      <c r="S24" s="3">
        <v>129.97999999999999</v>
      </c>
      <c r="T24" t="s">
        <v>11</v>
      </c>
      <c r="U24" s="3">
        <v>11268.13</v>
      </c>
      <c r="V24" t="s">
        <v>48</v>
      </c>
      <c r="W24" t="s">
        <v>12</v>
      </c>
      <c r="X24" t="s">
        <v>7</v>
      </c>
      <c r="Y24" t="s">
        <v>45</v>
      </c>
      <c r="Z24" t="s">
        <v>13</v>
      </c>
      <c r="AA24" t="s">
        <v>56</v>
      </c>
      <c r="AB24" t="s">
        <v>7</v>
      </c>
      <c r="AC24" t="s">
        <v>7</v>
      </c>
      <c r="AD24" t="s">
        <v>7</v>
      </c>
      <c r="AE24" s="2">
        <v>45719</v>
      </c>
      <c r="AF24" s="2"/>
      <c r="AG24" t="s">
        <v>7</v>
      </c>
    </row>
    <row r="25" spans="1:33" outlineLevel="2">
      <c r="A25" t="s">
        <v>23</v>
      </c>
      <c r="B25" s="13">
        <v>6788</v>
      </c>
      <c r="C25" s="13">
        <v>100222362</v>
      </c>
      <c r="D25" t="s">
        <v>2</v>
      </c>
      <c r="E25" t="s">
        <v>3</v>
      </c>
      <c r="F25" t="s">
        <v>38</v>
      </c>
      <c r="G25" s="2">
        <v>45719</v>
      </c>
      <c r="H25" s="13">
        <v>1800000047</v>
      </c>
      <c r="I25" t="s">
        <v>47</v>
      </c>
      <c r="J25" s="2">
        <v>45719</v>
      </c>
      <c r="K25" s="2">
        <v>45719</v>
      </c>
      <c r="L25" t="s">
        <v>45</v>
      </c>
      <c r="M25" s="16">
        <v>246788410042</v>
      </c>
      <c r="N25" t="s">
        <v>8</v>
      </c>
      <c r="O25" t="s">
        <v>9</v>
      </c>
      <c r="P25" t="s">
        <v>7</v>
      </c>
      <c r="Q25" t="s">
        <v>40</v>
      </c>
      <c r="R25" t="s">
        <v>21</v>
      </c>
      <c r="S25" s="3">
        <v>4421.13</v>
      </c>
      <c r="T25" t="s">
        <v>11</v>
      </c>
      <c r="U25" s="3">
        <v>383273.33</v>
      </c>
      <c r="V25" t="s">
        <v>48</v>
      </c>
      <c r="W25" t="s">
        <v>12</v>
      </c>
      <c r="X25" t="s">
        <v>7</v>
      </c>
      <c r="Y25" t="s">
        <v>45</v>
      </c>
      <c r="Z25" t="s">
        <v>13</v>
      </c>
      <c r="AA25" t="s">
        <v>57</v>
      </c>
      <c r="AB25" t="s">
        <v>7</v>
      </c>
      <c r="AC25" t="s">
        <v>7</v>
      </c>
      <c r="AD25" t="s">
        <v>7</v>
      </c>
      <c r="AE25" s="2">
        <v>45719</v>
      </c>
      <c r="AF25" s="2"/>
      <c r="AG25" t="s">
        <v>7</v>
      </c>
    </row>
    <row r="26" spans="1:33" outlineLevel="2">
      <c r="A26" t="s">
        <v>23</v>
      </c>
      <c r="B26" s="13">
        <v>6788</v>
      </c>
      <c r="C26" s="13">
        <v>100222362</v>
      </c>
      <c r="D26" t="s">
        <v>2</v>
      </c>
      <c r="E26" t="s">
        <v>3</v>
      </c>
      <c r="F26" t="s">
        <v>38</v>
      </c>
      <c r="G26" s="2">
        <v>45719</v>
      </c>
      <c r="H26" s="13">
        <v>1800000048</v>
      </c>
      <c r="I26" t="s">
        <v>47</v>
      </c>
      <c r="J26" s="2">
        <v>45719</v>
      </c>
      <c r="K26" s="2">
        <v>45719</v>
      </c>
      <c r="L26" t="s">
        <v>45</v>
      </c>
      <c r="M26" s="16">
        <v>246788410043</v>
      </c>
      <c r="N26" t="s">
        <v>8</v>
      </c>
      <c r="O26" t="s">
        <v>9</v>
      </c>
      <c r="P26" t="s">
        <v>7</v>
      </c>
      <c r="Q26" t="s">
        <v>40</v>
      </c>
      <c r="R26" t="s">
        <v>21</v>
      </c>
      <c r="S26" s="3">
        <v>2730.01</v>
      </c>
      <c r="T26" t="s">
        <v>11</v>
      </c>
      <c r="U26" s="3">
        <v>236668.01</v>
      </c>
      <c r="V26" t="s">
        <v>48</v>
      </c>
      <c r="W26" t="s">
        <v>12</v>
      </c>
      <c r="X26" t="s">
        <v>7</v>
      </c>
      <c r="Y26" t="s">
        <v>45</v>
      </c>
      <c r="Z26" t="s">
        <v>13</v>
      </c>
      <c r="AA26" t="s">
        <v>58</v>
      </c>
      <c r="AB26" t="s">
        <v>7</v>
      </c>
      <c r="AC26" t="s">
        <v>7</v>
      </c>
      <c r="AD26" t="s">
        <v>7</v>
      </c>
      <c r="AE26" s="2">
        <v>45719</v>
      </c>
      <c r="AF26" s="2"/>
      <c r="AG26" t="s">
        <v>7</v>
      </c>
    </row>
    <row r="27" spans="1:33" outlineLevel="2">
      <c r="A27" t="s">
        <v>23</v>
      </c>
      <c r="B27" s="13">
        <v>6788</v>
      </c>
      <c r="C27" s="13">
        <v>100222362</v>
      </c>
      <c r="D27" t="s">
        <v>2</v>
      </c>
      <c r="E27" t="s">
        <v>3</v>
      </c>
      <c r="F27" t="s">
        <v>38</v>
      </c>
      <c r="G27" s="2">
        <v>45719</v>
      </c>
      <c r="H27" s="13">
        <v>1800000049</v>
      </c>
      <c r="I27" t="s">
        <v>47</v>
      </c>
      <c r="J27" s="2">
        <v>45719</v>
      </c>
      <c r="K27" s="2">
        <v>45719</v>
      </c>
      <c r="L27" t="s">
        <v>45</v>
      </c>
      <c r="M27" s="16">
        <v>246788410044</v>
      </c>
      <c r="N27" t="s">
        <v>8</v>
      </c>
      <c r="O27" t="s">
        <v>9</v>
      </c>
      <c r="P27" t="s">
        <v>7</v>
      </c>
      <c r="Q27" t="s">
        <v>40</v>
      </c>
      <c r="R27" t="s">
        <v>21</v>
      </c>
      <c r="S27" s="3">
        <v>474.24</v>
      </c>
      <c r="T27" t="s">
        <v>11</v>
      </c>
      <c r="U27" s="3">
        <v>41112.46</v>
      </c>
      <c r="V27" t="s">
        <v>48</v>
      </c>
      <c r="W27" t="s">
        <v>12</v>
      </c>
      <c r="X27" t="s">
        <v>7</v>
      </c>
      <c r="Y27" t="s">
        <v>45</v>
      </c>
      <c r="Z27" t="s">
        <v>13</v>
      </c>
      <c r="AA27" t="s">
        <v>59</v>
      </c>
      <c r="AB27" t="s">
        <v>7</v>
      </c>
      <c r="AC27" t="s">
        <v>7</v>
      </c>
      <c r="AD27" t="s">
        <v>7</v>
      </c>
      <c r="AE27" s="2">
        <v>45719</v>
      </c>
      <c r="AF27" s="2"/>
      <c r="AG27" t="s">
        <v>7</v>
      </c>
    </row>
    <row r="28" spans="1:33" outlineLevel="2">
      <c r="A28" t="s">
        <v>23</v>
      </c>
      <c r="B28" s="13">
        <v>6788</v>
      </c>
      <c r="C28" s="13">
        <v>100222362</v>
      </c>
      <c r="D28" t="s">
        <v>2</v>
      </c>
      <c r="E28" t="s">
        <v>3</v>
      </c>
      <c r="F28" t="s">
        <v>24</v>
      </c>
      <c r="G28" s="2">
        <v>45870</v>
      </c>
      <c r="H28" s="13">
        <v>1800000447</v>
      </c>
      <c r="I28" t="s">
        <v>47</v>
      </c>
      <c r="J28" s="2">
        <v>45870</v>
      </c>
      <c r="K28" s="2">
        <v>45870</v>
      </c>
      <c r="L28" t="s">
        <v>45</v>
      </c>
      <c r="M28" s="16">
        <v>256788410322</v>
      </c>
      <c r="N28" t="s">
        <v>8</v>
      </c>
      <c r="O28" t="s">
        <v>9</v>
      </c>
      <c r="P28" t="s">
        <v>7</v>
      </c>
      <c r="Q28" t="s">
        <v>40</v>
      </c>
      <c r="R28" t="s">
        <v>21</v>
      </c>
      <c r="S28" s="3">
        <v>75</v>
      </c>
      <c r="T28" t="s">
        <v>11</v>
      </c>
      <c r="U28" s="3">
        <v>6452.26</v>
      </c>
      <c r="V28" t="s">
        <v>48</v>
      </c>
      <c r="W28" t="s">
        <v>12</v>
      </c>
      <c r="X28" t="s">
        <v>7</v>
      </c>
      <c r="Y28" t="s">
        <v>45</v>
      </c>
      <c r="Z28" t="s">
        <v>13</v>
      </c>
      <c r="AA28" t="s">
        <v>60</v>
      </c>
      <c r="AB28" t="s">
        <v>7</v>
      </c>
      <c r="AC28" t="s">
        <v>7</v>
      </c>
      <c r="AD28" t="s">
        <v>7</v>
      </c>
      <c r="AE28" s="2">
        <v>45870</v>
      </c>
      <c r="AF28" s="2"/>
      <c r="AG28" t="s">
        <v>7</v>
      </c>
    </row>
    <row r="29" spans="1:33" outlineLevel="2">
      <c r="A29" t="s">
        <v>23</v>
      </c>
      <c r="B29" s="13">
        <v>6788</v>
      </c>
      <c r="C29" s="13">
        <v>100222362</v>
      </c>
      <c r="D29" t="s">
        <v>2</v>
      </c>
      <c r="E29" t="s">
        <v>3</v>
      </c>
      <c r="F29" t="s">
        <v>61</v>
      </c>
      <c r="G29" s="2">
        <v>45818</v>
      </c>
      <c r="H29" s="13">
        <v>1800000353</v>
      </c>
      <c r="I29" t="s">
        <v>47</v>
      </c>
      <c r="J29" s="2">
        <v>45818</v>
      </c>
      <c r="K29" s="2">
        <v>45825</v>
      </c>
      <c r="L29" t="s">
        <v>45</v>
      </c>
      <c r="M29" s="16">
        <v>256788410228</v>
      </c>
      <c r="N29" t="s">
        <v>8</v>
      </c>
      <c r="O29" t="s">
        <v>9</v>
      </c>
      <c r="P29" t="s">
        <v>7</v>
      </c>
      <c r="Q29" t="s">
        <v>40</v>
      </c>
      <c r="R29" t="s">
        <v>21</v>
      </c>
      <c r="S29" s="3">
        <v>75</v>
      </c>
      <c r="T29" t="s">
        <v>11</v>
      </c>
      <c r="U29" s="3">
        <v>6411.81</v>
      </c>
      <c r="V29" t="s">
        <v>48</v>
      </c>
      <c r="W29" t="s">
        <v>12</v>
      </c>
      <c r="X29" t="s">
        <v>7</v>
      </c>
      <c r="Y29" t="s">
        <v>45</v>
      </c>
      <c r="Z29" t="s">
        <v>13</v>
      </c>
      <c r="AA29" t="s">
        <v>62</v>
      </c>
      <c r="AB29" t="s">
        <v>7</v>
      </c>
      <c r="AC29" t="s">
        <v>7</v>
      </c>
      <c r="AD29" t="s">
        <v>7</v>
      </c>
      <c r="AE29" s="2">
        <v>45818</v>
      </c>
      <c r="AF29" s="2"/>
      <c r="AG29" t="s">
        <v>7</v>
      </c>
    </row>
    <row r="30" spans="1:33" outlineLevel="2">
      <c r="A30" t="s">
        <v>23</v>
      </c>
      <c r="B30" s="13">
        <v>6788</v>
      </c>
      <c r="C30" s="13">
        <v>100222362</v>
      </c>
      <c r="D30" t="s">
        <v>2</v>
      </c>
      <c r="E30" t="s">
        <v>3</v>
      </c>
      <c r="F30" t="s">
        <v>50</v>
      </c>
      <c r="G30" s="2">
        <v>45917</v>
      </c>
      <c r="H30" s="13">
        <v>1800000504</v>
      </c>
      <c r="I30" t="s">
        <v>47</v>
      </c>
      <c r="J30" s="2">
        <v>45917</v>
      </c>
      <c r="K30" s="2">
        <v>45924</v>
      </c>
      <c r="L30" t="s">
        <v>45</v>
      </c>
      <c r="M30" s="16">
        <v>256788410379</v>
      </c>
      <c r="N30" t="s">
        <v>8</v>
      </c>
      <c r="O30" t="s">
        <v>9</v>
      </c>
      <c r="P30" t="s">
        <v>7</v>
      </c>
      <c r="Q30" t="s">
        <v>40</v>
      </c>
      <c r="R30" t="s">
        <v>21</v>
      </c>
      <c r="S30" s="3">
        <v>53.78</v>
      </c>
      <c r="T30" t="s">
        <v>11</v>
      </c>
      <c r="U30" s="3">
        <v>4706.5200000000004</v>
      </c>
      <c r="V30" t="s">
        <v>48</v>
      </c>
      <c r="W30" t="s">
        <v>12</v>
      </c>
      <c r="X30" t="s">
        <v>7</v>
      </c>
      <c r="Y30" t="s">
        <v>63</v>
      </c>
      <c r="Z30" t="s">
        <v>13</v>
      </c>
      <c r="AA30" t="s">
        <v>64</v>
      </c>
      <c r="AB30" t="s">
        <v>7</v>
      </c>
      <c r="AC30" t="s">
        <v>7</v>
      </c>
      <c r="AD30" t="s">
        <v>7</v>
      </c>
      <c r="AE30" s="2">
        <v>45917</v>
      </c>
      <c r="AF30" s="2"/>
      <c r="AG30" t="s">
        <v>7</v>
      </c>
    </row>
    <row r="31" spans="1:33" outlineLevel="2">
      <c r="A31" t="s">
        <v>23</v>
      </c>
      <c r="B31" s="13">
        <v>6788</v>
      </c>
      <c r="C31" s="13">
        <v>100222362</v>
      </c>
      <c r="D31" t="s">
        <v>2</v>
      </c>
      <c r="E31" t="s">
        <v>3</v>
      </c>
      <c r="F31" t="s">
        <v>50</v>
      </c>
      <c r="G31" s="2">
        <v>45917</v>
      </c>
      <c r="H31" s="13">
        <v>1800000507</v>
      </c>
      <c r="I31" t="s">
        <v>47</v>
      </c>
      <c r="J31" s="2">
        <v>45917</v>
      </c>
      <c r="K31" s="2">
        <v>45924</v>
      </c>
      <c r="L31" t="s">
        <v>45</v>
      </c>
      <c r="M31" s="16">
        <v>256788410382</v>
      </c>
      <c r="N31" t="s">
        <v>8</v>
      </c>
      <c r="O31" t="s">
        <v>9</v>
      </c>
      <c r="P31" t="s">
        <v>7</v>
      </c>
      <c r="Q31" t="s">
        <v>40</v>
      </c>
      <c r="R31" t="s">
        <v>21</v>
      </c>
      <c r="S31" s="3">
        <v>102.14</v>
      </c>
      <c r="T31" t="s">
        <v>11</v>
      </c>
      <c r="U31" s="3">
        <v>8938.7099999999991</v>
      </c>
      <c r="V31" t="s">
        <v>48</v>
      </c>
      <c r="W31" t="s">
        <v>12</v>
      </c>
      <c r="X31" t="s">
        <v>7</v>
      </c>
      <c r="Y31" t="s">
        <v>65</v>
      </c>
      <c r="Z31" t="s">
        <v>13</v>
      </c>
      <c r="AA31" t="s">
        <v>66</v>
      </c>
      <c r="AB31" t="s">
        <v>7</v>
      </c>
      <c r="AC31" t="s">
        <v>7</v>
      </c>
      <c r="AD31" t="s">
        <v>7</v>
      </c>
      <c r="AE31" s="2">
        <v>45917</v>
      </c>
      <c r="AF31" s="2"/>
      <c r="AG31" t="s">
        <v>7</v>
      </c>
    </row>
    <row r="32" spans="1:33" outlineLevel="2">
      <c r="A32" t="s">
        <v>23</v>
      </c>
      <c r="B32" s="13">
        <v>6788</v>
      </c>
      <c r="C32" s="13">
        <v>100222362</v>
      </c>
      <c r="D32" t="s">
        <v>2</v>
      </c>
      <c r="E32" t="s">
        <v>3</v>
      </c>
      <c r="F32" t="s">
        <v>67</v>
      </c>
      <c r="G32" s="2">
        <v>45785</v>
      </c>
      <c r="H32" s="13">
        <v>1800000341</v>
      </c>
      <c r="I32" t="s">
        <v>47</v>
      </c>
      <c r="J32" s="2">
        <v>45785</v>
      </c>
      <c r="K32" s="2">
        <v>45800</v>
      </c>
      <c r="L32" t="s">
        <v>45</v>
      </c>
      <c r="M32" s="16">
        <v>256788410216</v>
      </c>
      <c r="N32" t="s">
        <v>8</v>
      </c>
      <c r="O32" t="s">
        <v>9</v>
      </c>
      <c r="P32" t="s">
        <v>7</v>
      </c>
      <c r="Q32" t="s">
        <v>40</v>
      </c>
      <c r="R32" t="s">
        <v>21</v>
      </c>
      <c r="S32" s="3">
        <v>8.4499999999999993</v>
      </c>
      <c r="T32" t="s">
        <v>11</v>
      </c>
      <c r="U32" s="3">
        <v>726.56</v>
      </c>
      <c r="V32" t="s">
        <v>48</v>
      </c>
      <c r="W32" t="s">
        <v>12</v>
      </c>
      <c r="X32" t="s">
        <v>7</v>
      </c>
      <c r="Y32" t="s">
        <v>45</v>
      </c>
      <c r="Z32" t="s">
        <v>13</v>
      </c>
      <c r="AA32" t="s">
        <v>68</v>
      </c>
      <c r="AB32" t="s">
        <v>7</v>
      </c>
      <c r="AC32" t="s">
        <v>7</v>
      </c>
      <c r="AD32" t="s">
        <v>7</v>
      </c>
      <c r="AE32" s="2">
        <v>45785</v>
      </c>
      <c r="AF32" s="2"/>
      <c r="AG32" t="s">
        <v>7</v>
      </c>
    </row>
    <row r="33" spans="1:33" outlineLevel="2">
      <c r="A33" t="s">
        <v>23</v>
      </c>
      <c r="B33" s="13">
        <v>6788</v>
      </c>
      <c r="C33" s="13">
        <v>100222362</v>
      </c>
      <c r="D33" t="s">
        <v>2</v>
      </c>
      <c r="E33" t="s">
        <v>3</v>
      </c>
      <c r="F33" t="s">
        <v>67</v>
      </c>
      <c r="G33" s="2">
        <v>45785</v>
      </c>
      <c r="H33" s="13">
        <v>1800000342</v>
      </c>
      <c r="I33" t="s">
        <v>47</v>
      </c>
      <c r="J33" s="2">
        <v>45785</v>
      </c>
      <c r="K33" s="2">
        <v>45800</v>
      </c>
      <c r="L33" t="s">
        <v>45</v>
      </c>
      <c r="M33" s="16">
        <v>256788410217</v>
      </c>
      <c r="N33" t="s">
        <v>8</v>
      </c>
      <c r="O33" t="s">
        <v>9</v>
      </c>
      <c r="P33" t="s">
        <v>7</v>
      </c>
      <c r="Q33" t="s">
        <v>40</v>
      </c>
      <c r="R33" t="s">
        <v>21</v>
      </c>
      <c r="S33" s="3">
        <v>37.659999999999997</v>
      </c>
      <c r="T33" t="s">
        <v>11</v>
      </c>
      <c r="U33" s="3">
        <v>3238.15</v>
      </c>
      <c r="V33" t="s">
        <v>48</v>
      </c>
      <c r="W33" t="s">
        <v>12</v>
      </c>
      <c r="X33" t="s">
        <v>7</v>
      </c>
      <c r="Y33" t="s">
        <v>45</v>
      </c>
      <c r="Z33" t="s">
        <v>13</v>
      </c>
      <c r="AA33" t="s">
        <v>69</v>
      </c>
      <c r="AB33" t="s">
        <v>7</v>
      </c>
      <c r="AC33" t="s">
        <v>7</v>
      </c>
      <c r="AD33" t="s">
        <v>7</v>
      </c>
      <c r="AE33" s="2">
        <v>45785</v>
      </c>
      <c r="AF33" s="2"/>
      <c r="AG33" t="s">
        <v>7</v>
      </c>
    </row>
    <row r="34" spans="1:33" outlineLevel="2">
      <c r="A34" t="s">
        <v>23</v>
      </c>
      <c r="B34" s="13">
        <v>6788</v>
      </c>
      <c r="C34" s="13">
        <v>100222362</v>
      </c>
      <c r="D34" t="s">
        <v>2</v>
      </c>
      <c r="E34" t="s">
        <v>3</v>
      </c>
      <c r="F34" t="s">
        <v>67</v>
      </c>
      <c r="G34" s="2">
        <v>45785</v>
      </c>
      <c r="H34" s="13">
        <v>1800000343</v>
      </c>
      <c r="I34" t="s">
        <v>47</v>
      </c>
      <c r="J34" s="2">
        <v>45785</v>
      </c>
      <c r="K34" s="2">
        <v>45800</v>
      </c>
      <c r="L34" t="s">
        <v>45</v>
      </c>
      <c r="M34" s="16">
        <v>256788410218</v>
      </c>
      <c r="N34" t="s">
        <v>8</v>
      </c>
      <c r="O34" t="s">
        <v>9</v>
      </c>
      <c r="P34" t="s">
        <v>7</v>
      </c>
      <c r="Q34" t="s">
        <v>40</v>
      </c>
      <c r="R34" t="s">
        <v>21</v>
      </c>
      <c r="S34" s="3">
        <v>13.18</v>
      </c>
      <c r="T34" t="s">
        <v>11</v>
      </c>
      <c r="U34" s="3">
        <v>1133.27</v>
      </c>
      <c r="V34" t="s">
        <v>48</v>
      </c>
      <c r="W34" t="s">
        <v>12</v>
      </c>
      <c r="X34" t="s">
        <v>7</v>
      </c>
      <c r="Y34" t="s">
        <v>45</v>
      </c>
      <c r="Z34" t="s">
        <v>13</v>
      </c>
      <c r="AA34" t="s">
        <v>70</v>
      </c>
      <c r="AB34" t="s">
        <v>7</v>
      </c>
      <c r="AC34" t="s">
        <v>7</v>
      </c>
      <c r="AD34" t="s">
        <v>7</v>
      </c>
      <c r="AE34" s="2">
        <v>45785</v>
      </c>
      <c r="AF34" s="2"/>
      <c r="AG34" t="s">
        <v>7</v>
      </c>
    </row>
    <row r="35" spans="1:33" outlineLevel="2">
      <c r="A35" t="s">
        <v>0</v>
      </c>
      <c r="B35" s="13">
        <v>6788</v>
      </c>
      <c r="C35" s="13">
        <v>100222362</v>
      </c>
      <c r="D35" t="s">
        <v>2</v>
      </c>
      <c r="E35" t="s">
        <v>3</v>
      </c>
      <c r="F35" t="s">
        <v>29</v>
      </c>
      <c r="G35" s="2">
        <v>45947</v>
      </c>
      <c r="H35" s="13">
        <v>1600000261</v>
      </c>
      <c r="I35" t="s">
        <v>71</v>
      </c>
      <c r="J35" s="2">
        <v>45947</v>
      </c>
      <c r="K35" s="2">
        <v>45953</v>
      </c>
      <c r="L35" t="s">
        <v>45</v>
      </c>
      <c r="M35" s="16">
        <v>256788420141</v>
      </c>
      <c r="N35" t="s">
        <v>8</v>
      </c>
      <c r="O35" t="s">
        <v>9</v>
      </c>
      <c r="P35" t="s">
        <v>7</v>
      </c>
      <c r="Q35" t="s">
        <v>37</v>
      </c>
      <c r="R35" t="s">
        <v>21</v>
      </c>
      <c r="S35" s="3">
        <v>-1211.9000000000001</v>
      </c>
      <c r="T35" t="s">
        <v>11</v>
      </c>
      <c r="U35" s="3">
        <v>-106878.39</v>
      </c>
      <c r="V35" t="s">
        <v>48</v>
      </c>
      <c r="W35" t="s">
        <v>12</v>
      </c>
      <c r="X35" t="s">
        <v>7</v>
      </c>
      <c r="Y35" t="s">
        <v>72</v>
      </c>
      <c r="Z35" t="s">
        <v>13</v>
      </c>
      <c r="AA35" t="s">
        <v>73</v>
      </c>
      <c r="AB35" t="s">
        <v>7</v>
      </c>
      <c r="AC35" t="s">
        <v>7</v>
      </c>
      <c r="AD35" t="s">
        <v>7</v>
      </c>
      <c r="AE35" s="2">
        <v>45947</v>
      </c>
      <c r="AF35" s="2">
        <v>45976</v>
      </c>
      <c r="AG35" t="s">
        <v>44</v>
      </c>
    </row>
    <row r="36" spans="1:33" outlineLevel="2">
      <c r="A36" t="s">
        <v>0</v>
      </c>
      <c r="B36" s="13">
        <v>6788</v>
      </c>
      <c r="C36" s="13">
        <v>100222362</v>
      </c>
      <c r="D36" t="s">
        <v>2</v>
      </c>
      <c r="E36" t="s">
        <v>3</v>
      </c>
      <c r="F36" t="s">
        <v>29</v>
      </c>
      <c r="G36" s="2">
        <v>45947</v>
      </c>
      <c r="H36" s="13">
        <v>1600000262</v>
      </c>
      <c r="I36" t="s">
        <v>71</v>
      </c>
      <c r="J36" s="2">
        <v>45947</v>
      </c>
      <c r="K36" s="2">
        <v>45953</v>
      </c>
      <c r="L36" t="s">
        <v>45</v>
      </c>
      <c r="M36" s="16">
        <v>256788420142</v>
      </c>
      <c r="N36" t="s">
        <v>8</v>
      </c>
      <c r="O36" t="s">
        <v>9</v>
      </c>
      <c r="P36" t="s">
        <v>7</v>
      </c>
      <c r="Q36" t="s">
        <v>37</v>
      </c>
      <c r="R36" t="s">
        <v>21</v>
      </c>
      <c r="S36" s="3">
        <v>-40</v>
      </c>
      <c r="T36" t="s">
        <v>11</v>
      </c>
      <c r="U36" s="3">
        <v>-3527.63</v>
      </c>
      <c r="V36" t="s">
        <v>48</v>
      </c>
      <c r="W36" t="s">
        <v>12</v>
      </c>
      <c r="X36" t="s">
        <v>7</v>
      </c>
      <c r="Y36" t="s">
        <v>72</v>
      </c>
      <c r="Z36" t="s">
        <v>13</v>
      </c>
      <c r="AA36" t="s">
        <v>74</v>
      </c>
      <c r="AB36" t="s">
        <v>7</v>
      </c>
      <c r="AC36" t="s">
        <v>7</v>
      </c>
      <c r="AD36" t="s">
        <v>7</v>
      </c>
      <c r="AE36" s="2">
        <v>45947</v>
      </c>
      <c r="AF36" s="2">
        <v>45976</v>
      </c>
      <c r="AG36" t="s">
        <v>44</v>
      </c>
    </row>
    <row r="37" spans="1:33" outlineLevel="2">
      <c r="A37" t="s">
        <v>0</v>
      </c>
      <c r="B37" s="13">
        <v>6788</v>
      </c>
      <c r="C37" s="13">
        <v>100222362</v>
      </c>
      <c r="D37" t="s">
        <v>2</v>
      </c>
      <c r="E37" t="s">
        <v>3</v>
      </c>
      <c r="F37" t="s">
        <v>29</v>
      </c>
      <c r="G37" s="2">
        <v>45947</v>
      </c>
      <c r="H37" s="13">
        <v>1600000263</v>
      </c>
      <c r="I37" t="s">
        <v>71</v>
      </c>
      <c r="J37" s="2">
        <v>45947</v>
      </c>
      <c r="K37" s="2">
        <v>45953</v>
      </c>
      <c r="L37" t="s">
        <v>45</v>
      </c>
      <c r="M37" s="16">
        <v>256788420143</v>
      </c>
      <c r="N37" t="s">
        <v>8</v>
      </c>
      <c r="O37" t="s">
        <v>9</v>
      </c>
      <c r="P37" t="s">
        <v>7</v>
      </c>
      <c r="Q37" t="s">
        <v>37</v>
      </c>
      <c r="R37" t="s">
        <v>21</v>
      </c>
      <c r="S37" s="3">
        <v>-11.26</v>
      </c>
      <c r="T37" t="s">
        <v>11</v>
      </c>
      <c r="U37" s="3">
        <v>-993.03</v>
      </c>
      <c r="V37" t="s">
        <v>48</v>
      </c>
      <c r="W37" t="s">
        <v>12</v>
      </c>
      <c r="X37" t="s">
        <v>7</v>
      </c>
      <c r="Y37" t="s">
        <v>72</v>
      </c>
      <c r="Z37" t="s">
        <v>13</v>
      </c>
      <c r="AA37" t="s">
        <v>75</v>
      </c>
      <c r="AB37" t="s">
        <v>7</v>
      </c>
      <c r="AC37" t="s">
        <v>7</v>
      </c>
      <c r="AD37" t="s">
        <v>7</v>
      </c>
      <c r="AE37" s="2">
        <v>45947</v>
      </c>
      <c r="AF37" s="2">
        <v>45976</v>
      </c>
      <c r="AG37" t="s">
        <v>44</v>
      </c>
    </row>
    <row r="38" spans="1:33" outlineLevel="2">
      <c r="A38" t="s">
        <v>23</v>
      </c>
      <c r="B38" s="13">
        <v>6779</v>
      </c>
      <c r="C38" s="13">
        <v>100222362</v>
      </c>
      <c r="D38" t="s">
        <v>2</v>
      </c>
      <c r="E38" t="s">
        <v>3</v>
      </c>
      <c r="F38" t="s">
        <v>4</v>
      </c>
      <c r="G38" s="2">
        <v>45763</v>
      </c>
      <c r="H38" s="13">
        <v>1800007124</v>
      </c>
      <c r="I38" t="s">
        <v>47</v>
      </c>
      <c r="J38" s="2">
        <v>45763</v>
      </c>
      <c r="K38" s="2">
        <v>45764</v>
      </c>
      <c r="L38" t="s">
        <v>45</v>
      </c>
      <c r="M38" s="16">
        <v>256779412015</v>
      </c>
      <c r="N38" t="s">
        <v>8</v>
      </c>
      <c r="O38" t="s">
        <v>9</v>
      </c>
      <c r="P38" t="s">
        <v>7</v>
      </c>
      <c r="Q38" t="s">
        <v>40</v>
      </c>
      <c r="R38" t="s">
        <v>21</v>
      </c>
      <c r="S38" s="3">
        <v>86.56</v>
      </c>
      <c r="T38" t="s">
        <v>11</v>
      </c>
      <c r="U38" s="3">
        <v>7523.95</v>
      </c>
      <c r="V38" t="s">
        <v>48</v>
      </c>
      <c r="W38" t="s">
        <v>76</v>
      </c>
      <c r="X38" t="s">
        <v>7</v>
      </c>
      <c r="Y38" t="s">
        <v>45</v>
      </c>
      <c r="Z38" t="s">
        <v>13</v>
      </c>
      <c r="AA38" t="s">
        <v>77</v>
      </c>
      <c r="AB38" t="s">
        <v>7</v>
      </c>
      <c r="AC38" t="s">
        <v>7</v>
      </c>
      <c r="AD38" t="s">
        <v>7</v>
      </c>
      <c r="AE38" s="2">
        <v>45763</v>
      </c>
      <c r="AF38" s="2"/>
      <c r="AG38" t="s">
        <v>7</v>
      </c>
    </row>
    <row r="39" spans="1:33" outlineLevel="2">
      <c r="A39" t="s">
        <v>23</v>
      </c>
      <c r="B39" s="13">
        <v>6779</v>
      </c>
      <c r="C39" s="13">
        <v>100222362</v>
      </c>
      <c r="D39" t="s">
        <v>2</v>
      </c>
      <c r="E39" t="s">
        <v>3</v>
      </c>
      <c r="F39" t="s">
        <v>4</v>
      </c>
      <c r="G39" s="2">
        <v>45763</v>
      </c>
      <c r="H39" s="13">
        <v>1800007167</v>
      </c>
      <c r="I39" t="s">
        <v>47</v>
      </c>
      <c r="J39" s="2">
        <v>45763</v>
      </c>
      <c r="K39" s="2">
        <v>45764</v>
      </c>
      <c r="L39" t="s">
        <v>45</v>
      </c>
      <c r="M39" s="16">
        <v>256779412058</v>
      </c>
      <c r="N39" t="s">
        <v>8</v>
      </c>
      <c r="O39" t="s">
        <v>9</v>
      </c>
      <c r="P39" t="s">
        <v>7</v>
      </c>
      <c r="Q39" t="s">
        <v>40</v>
      </c>
      <c r="R39" t="s">
        <v>21</v>
      </c>
      <c r="S39" s="3">
        <v>188.84</v>
      </c>
      <c r="T39" t="s">
        <v>11</v>
      </c>
      <c r="U39" s="3">
        <v>16414.32</v>
      </c>
      <c r="V39" t="s">
        <v>48</v>
      </c>
      <c r="W39" t="s">
        <v>76</v>
      </c>
      <c r="X39" t="s">
        <v>7</v>
      </c>
      <c r="Y39" t="s">
        <v>45</v>
      </c>
      <c r="Z39" t="s">
        <v>13</v>
      </c>
      <c r="AA39" t="s">
        <v>64</v>
      </c>
      <c r="AB39" t="s">
        <v>7</v>
      </c>
      <c r="AC39" t="s">
        <v>7</v>
      </c>
      <c r="AD39" t="s">
        <v>7</v>
      </c>
      <c r="AE39" s="2">
        <v>45763</v>
      </c>
      <c r="AF39" s="2"/>
      <c r="AG39" t="s">
        <v>7</v>
      </c>
    </row>
    <row r="40" spans="1:33" outlineLevel="2">
      <c r="A40" t="s">
        <v>23</v>
      </c>
      <c r="B40" s="13">
        <v>6779</v>
      </c>
      <c r="C40" s="13">
        <v>100222362</v>
      </c>
      <c r="D40" t="s">
        <v>2</v>
      </c>
      <c r="E40" t="s">
        <v>3</v>
      </c>
      <c r="F40" t="s">
        <v>4</v>
      </c>
      <c r="G40" s="2">
        <v>45763</v>
      </c>
      <c r="H40" s="13">
        <v>1800007205</v>
      </c>
      <c r="I40" t="s">
        <v>47</v>
      </c>
      <c r="J40" s="2">
        <v>45763</v>
      </c>
      <c r="K40" s="2">
        <v>45764</v>
      </c>
      <c r="L40" t="s">
        <v>45</v>
      </c>
      <c r="M40" s="16">
        <v>256779412096</v>
      </c>
      <c r="N40" t="s">
        <v>8</v>
      </c>
      <c r="O40" t="s">
        <v>9</v>
      </c>
      <c r="P40" t="s">
        <v>7</v>
      </c>
      <c r="Q40" t="s">
        <v>40</v>
      </c>
      <c r="R40" t="s">
        <v>21</v>
      </c>
      <c r="S40" s="3">
        <v>16.829999999999998</v>
      </c>
      <c r="T40" t="s">
        <v>11</v>
      </c>
      <c r="U40" s="3">
        <v>1462.89</v>
      </c>
      <c r="V40" t="s">
        <v>48</v>
      </c>
      <c r="W40" t="s">
        <v>76</v>
      </c>
      <c r="X40" t="s">
        <v>7</v>
      </c>
      <c r="Y40" t="s">
        <v>45</v>
      </c>
      <c r="Z40" t="s">
        <v>13</v>
      </c>
      <c r="AA40" t="s">
        <v>78</v>
      </c>
      <c r="AB40" t="s">
        <v>7</v>
      </c>
      <c r="AC40" t="s">
        <v>7</v>
      </c>
      <c r="AD40" t="s">
        <v>7</v>
      </c>
      <c r="AE40" s="2">
        <v>45763</v>
      </c>
      <c r="AF40" s="2"/>
      <c r="AG40" t="s">
        <v>7</v>
      </c>
    </row>
    <row r="41" spans="1:33" outlineLevel="2">
      <c r="A41" t="s">
        <v>23</v>
      </c>
      <c r="B41" s="13">
        <v>6788</v>
      </c>
      <c r="C41" s="13">
        <v>100222362</v>
      </c>
      <c r="D41" t="s">
        <v>2</v>
      </c>
      <c r="E41" t="s">
        <v>3</v>
      </c>
      <c r="F41" t="s">
        <v>79</v>
      </c>
      <c r="G41" s="2">
        <v>45847</v>
      </c>
      <c r="H41" s="13">
        <v>1800000368</v>
      </c>
      <c r="I41" t="s">
        <v>47</v>
      </c>
      <c r="J41" s="2">
        <v>45847</v>
      </c>
      <c r="K41" s="2">
        <v>45847</v>
      </c>
      <c r="L41" t="s">
        <v>45</v>
      </c>
      <c r="M41" s="16">
        <v>256788410243</v>
      </c>
      <c r="N41" t="s">
        <v>8</v>
      </c>
      <c r="O41" t="s">
        <v>9</v>
      </c>
      <c r="P41" t="s">
        <v>7</v>
      </c>
      <c r="Q41" t="s">
        <v>40</v>
      </c>
      <c r="R41" t="s">
        <v>21</v>
      </c>
      <c r="S41" s="3">
        <v>30</v>
      </c>
      <c r="T41" t="s">
        <v>11</v>
      </c>
      <c r="U41" s="3">
        <v>2580.02</v>
      </c>
      <c r="V41" t="s">
        <v>48</v>
      </c>
      <c r="W41" t="s">
        <v>12</v>
      </c>
      <c r="X41" t="s">
        <v>7</v>
      </c>
      <c r="Y41" t="s">
        <v>45</v>
      </c>
      <c r="Z41" t="s">
        <v>13</v>
      </c>
      <c r="AA41" t="s">
        <v>80</v>
      </c>
      <c r="AB41" t="s">
        <v>7</v>
      </c>
      <c r="AC41" t="s">
        <v>7</v>
      </c>
      <c r="AD41" t="s">
        <v>7</v>
      </c>
      <c r="AE41" s="2">
        <v>45847</v>
      </c>
      <c r="AF41" s="2"/>
      <c r="AG41" t="s">
        <v>7</v>
      </c>
    </row>
    <row r="42" spans="1:33" outlineLevel="2">
      <c r="A42" t="s">
        <v>23</v>
      </c>
      <c r="B42" s="13">
        <v>6788</v>
      </c>
      <c r="C42" s="13">
        <v>100222362</v>
      </c>
      <c r="D42" t="s">
        <v>2</v>
      </c>
      <c r="E42" t="s">
        <v>3</v>
      </c>
      <c r="F42" t="s">
        <v>79</v>
      </c>
      <c r="G42" s="2">
        <v>45847</v>
      </c>
      <c r="H42" s="13">
        <v>1800000384</v>
      </c>
      <c r="I42" t="s">
        <v>47</v>
      </c>
      <c r="J42" s="2">
        <v>45847</v>
      </c>
      <c r="K42" s="2">
        <v>45847</v>
      </c>
      <c r="L42" t="s">
        <v>45</v>
      </c>
      <c r="M42" s="16">
        <v>256788410259</v>
      </c>
      <c r="N42" t="s">
        <v>8</v>
      </c>
      <c r="O42" t="s">
        <v>9</v>
      </c>
      <c r="P42" t="s">
        <v>7</v>
      </c>
      <c r="Q42" t="s">
        <v>40</v>
      </c>
      <c r="R42" t="s">
        <v>21</v>
      </c>
      <c r="S42" s="3">
        <v>75</v>
      </c>
      <c r="T42" t="s">
        <v>11</v>
      </c>
      <c r="U42" s="3">
        <v>6450.05</v>
      </c>
      <c r="V42" t="s">
        <v>48</v>
      </c>
      <c r="W42" t="s">
        <v>12</v>
      </c>
      <c r="X42" t="s">
        <v>7</v>
      </c>
      <c r="Y42" t="s">
        <v>45</v>
      </c>
      <c r="Z42" t="s">
        <v>13</v>
      </c>
      <c r="AA42" t="s">
        <v>81</v>
      </c>
      <c r="AB42" t="s">
        <v>7</v>
      </c>
      <c r="AC42" t="s">
        <v>7</v>
      </c>
      <c r="AD42" t="s">
        <v>7</v>
      </c>
      <c r="AE42" s="2">
        <v>45847</v>
      </c>
      <c r="AF42" s="2"/>
      <c r="AG42" t="s">
        <v>7</v>
      </c>
    </row>
    <row r="43" spans="1:33" outlineLevel="2">
      <c r="A43" t="s">
        <v>23</v>
      </c>
      <c r="B43" s="13">
        <v>6779</v>
      </c>
      <c r="C43" s="13">
        <v>100222362</v>
      </c>
      <c r="D43" t="s">
        <v>2</v>
      </c>
      <c r="E43" t="s">
        <v>3</v>
      </c>
      <c r="F43" t="s">
        <v>50</v>
      </c>
      <c r="G43" s="2">
        <v>45904</v>
      </c>
      <c r="H43" s="13">
        <v>1800012496</v>
      </c>
      <c r="I43" t="s">
        <v>47</v>
      </c>
      <c r="J43" s="2">
        <v>45904</v>
      </c>
      <c r="K43" s="2">
        <v>45908</v>
      </c>
      <c r="L43" t="s">
        <v>45</v>
      </c>
      <c r="M43" s="16">
        <v>256779416953</v>
      </c>
      <c r="N43" t="s">
        <v>8</v>
      </c>
      <c r="O43" t="s">
        <v>9</v>
      </c>
      <c r="P43" t="s">
        <v>7</v>
      </c>
      <c r="Q43" t="s">
        <v>40</v>
      </c>
      <c r="R43" t="s">
        <v>21</v>
      </c>
      <c r="S43" s="3">
        <v>2.14</v>
      </c>
      <c r="T43" t="s">
        <v>11</v>
      </c>
      <c r="U43" s="3">
        <v>187.28</v>
      </c>
      <c r="V43" t="s">
        <v>48</v>
      </c>
      <c r="W43" t="s">
        <v>82</v>
      </c>
      <c r="X43" t="s">
        <v>7</v>
      </c>
      <c r="Y43" t="s">
        <v>45</v>
      </c>
      <c r="Z43" t="s">
        <v>13</v>
      </c>
      <c r="AA43" t="s">
        <v>83</v>
      </c>
      <c r="AB43" t="s">
        <v>7</v>
      </c>
      <c r="AC43" t="s">
        <v>7</v>
      </c>
      <c r="AD43" t="s">
        <v>7</v>
      </c>
      <c r="AE43" s="2">
        <v>45904</v>
      </c>
      <c r="AF43" s="2"/>
      <c r="AG43" t="s">
        <v>7</v>
      </c>
    </row>
    <row r="44" spans="1:33" outlineLevel="2">
      <c r="A44" t="s">
        <v>23</v>
      </c>
      <c r="B44" s="13">
        <v>6788</v>
      </c>
      <c r="C44" s="13">
        <v>100222362</v>
      </c>
      <c r="D44" t="s">
        <v>2</v>
      </c>
      <c r="E44" t="s">
        <v>3</v>
      </c>
      <c r="F44" t="s">
        <v>50</v>
      </c>
      <c r="G44" s="2">
        <v>45904</v>
      </c>
      <c r="H44" s="13">
        <v>1800000480</v>
      </c>
      <c r="I44" t="s">
        <v>47</v>
      </c>
      <c r="J44" s="2">
        <v>45904</v>
      </c>
      <c r="K44" s="2">
        <v>45909</v>
      </c>
      <c r="L44" t="s">
        <v>45</v>
      </c>
      <c r="M44" s="16">
        <v>256788410354</v>
      </c>
      <c r="N44" t="s">
        <v>8</v>
      </c>
      <c r="O44" t="s">
        <v>9</v>
      </c>
      <c r="P44" t="s">
        <v>7</v>
      </c>
      <c r="Q44" t="s">
        <v>40</v>
      </c>
      <c r="R44" t="s">
        <v>21</v>
      </c>
      <c r="S44" s="3">
        <v>12.52</v>
      </c>
      <c r="T44" t="s">
        <v>11</v>
      </c>
      <c r="U44" s="3">
        <v>1095.68</v>
      </c>
      <c r="V44" t="s">
        <v>48</v>
      </c>
      <c r="W44" t="s">
        <v>12</v>
      </c>
      <c r="X44" t="s">
        <v>7</v>
      </c>
      <c r="Y44" t="s">
        <v>45</v>
      </c>
      <c r="Z44" t="s">
        <v>13</v>
      </c>
      <c r="AA44" t="s">
        <v>84</v>
      </c>
      <c r="AB44" t="s">
        <v>7</v>
      </c>
      <c r="AC44" t="s">
        <v>7</v>
      </c>
      <c r="AD44" t="s">
        <v>7</v>
      </c>
      <c r="AE44" s="2">
        <v>45904</v>
      </c>
      <c r="AF44" s="2"/>
      <c r="AG44" t="s">
        <v>7</v>
      </c>
    </row>
    <row r="45" spans="1:33" outlineLevel="2">
      <c r="A45" t="s">
        <v>23</v>
      </c>
      <c r="B45" s="13">
        <v>6788</v>
      </c>
      <c r="C45" s="13">
        <v>100222362</v>
      </c>
      <c r="D45" t="s">
        <v>2</v>
      </c>
      <c r="E45" t="s">
        <v>3</v>
      </c>
      <c r="F45" t="s">
        <v>50</v>
      </c>
      <c r="G45" s="2">
        <v>45904</v>
      </c>
      <c r="H45" s="13">
        <v>1800000481</v>
      </c>
      <c r="I45" t="s">
        <v>47</v>
      </c>
      <c r="J45" s="2">
        <v>45904</v>
      </c>
      <c r="K45" s="2">
        <v>45909</v>
      </c>
      <c r="L45" t="s">
        <v>45</v>
      </c>
      <c r="M45" s="16">
        <v>256788410355</v>
      </c>
      <c r="N45" t="s">
        <v>8</v>
      </c>
      <c r="O45" t="s">
        <v>9</v>
      </c>
      <c r="P45" t="s">
        <v>7</v>
      </c>
      <c r="Q45" t="s">
        <v>40</v>
      </c>
      <c r="R45" t="s">
        <v>21</v>
      </c>
      <c r="S45" s="3">
        <v>13.66</v>
      </c>
      <c r="T45" t="s">
        <v>11</v>
      </c>
      <c r="U45" s="3">
        <v>1195.45</v>
      </c>
      <c r="V45" t="s">
        <v>48</v>
      </c>
      <c r="W45" t="s">
        <v>12</v>
      </c>
      <c r="X45" t="s">
        <v>7</v>
      </c>
      <c r="Y45" t="s">
        <v>45</v>
      </c>
      <c r="Z45" t="s">
        <v>13</v>
      </c>
      <c r="AA45" t="s">
        <v>85</v>
      </c>
      <c r="AB45" t="s">
        <v>7</v>
      </c>
      <c r="AC45" t="s">
        <v>7</v>
      </c>
      <c r="AD45" t="s">
        <v>7</v>
      </c>
      <c r="AE45" s="2">
        <v>45904</v>
      </c>
      <c r="AF45" s="2"/>
      <c r="AG45" t="s">
        <v>7</v>
      </c>
    </row>
    <row r="46" spans="1:33" outlineLevel="2">
      <c r="A46" t="s">
        <v>23</v>
      </c>
      <c r="B46" s="13">
        <v>6788</v>
      </c>
      <c r="C46" s="13">
        <v>100222362</v>
      </c>
      <c r="D46" t="s">
        <v>2</v>
      </c>
      <c r="E46" t="s">
        <v>3</v>
      </c>
      <c r="F46" t="s">
        <v>50</v>
      </c>
      <c r="G46" s="2">
        <v>45904</v>
      </c>
      <c r="H46" s="13">
        <v>1800000483</v>
      </c>
      <c r="I46" t="s">
        <v>47</v>
      </c>
      <c r="J46" s="2">
        <v>45904</v>
      </c>
      <c r="K46" s="2">
        <v>45909</v>
      </c>
      <c r="L46" t="s">
        <v>45</v>
      </c>
      <c r="M46" s="16">
        <v>256788410358</v>
      </c>
      <c r="N46" t="s">
        <v>8</v>
      </c>
      <c r="O46" t="s">
        <v>9</v>
      </c>
      <c r="P46" t="s">
        <v>7</v>
      </c>
      <c r="Q46" t="s">
        <v>40</v>
      </c>
      <c r="R46" t="s">
        <v>21</v>
      </c>
      <c r="S46" s="3">
        <v>2262.04</v>
      </c>
      <c r="T46" t="s">
        <v>11</v>
      </c>
      <c r="U46" s="3">
        <v>197960.92</v>
      </c>
      <c r="V46" t="s">
        <v>48</v>
      </c>
      <c r="W46" t="s">
        <v>12</v>
      </c>
      <c r="X46" t="s">
        <v>7</v>
      </c>
      <c r="Y46" t="s">
        <v>45</v>
      </c>
      <c r="Z46" t="s">
        <v>13</v>
      </c>
      <c r="AA46" t="s">
        <v>86</v>
      </c>
      <c r="AB46" t="s">
        <v>7</v>
      </c>
      <c r="AC46" t="s">
        <v>7</v>
      </c>
      <c r="AD46" t="s">
        <v>7</v>
      </c>
      <c r="AE46" s="2">
        <v>45904</v>
      </c>
      <c r="AF46" s="2"/>
      <c r="AG46" t="s">
        <v>7</v>
      </c>
    </row>
    <row r="47" spans="1:33" outlineLevel="2">
      <c r="A47" t="s">
        <v>23</v>
      </c>
      <c r="B47" s="13">
        <v>6788</v>
      </c>
      <c r="C47" s="13">
        <v>100222362</v>
      </c>
      <c r="D47" t="s">
        <v>2</v>
      </c>
      <c r="E47" t="s">
        <v>3</v>
      </c>
      <c r="F47" t="s">
        <v>50</v>
      </c>
      <c r="G47" s="2">
        <v>45904</v>
      </c>
      <c r="H47" s="13">
        <v>1800000488</v>
      </c>
      <c r="I47" t="s">
        <v>47</v>
      </c>
      <c r="J47" s="2">
        <v>45904</v>
      </c>
      <c r="K47" s="2">
        <v>45909</v>
      </c>
      <c r="L47" t="s">
        <v>45</v>
      </c>
      <c r="M47" s="16">
        <v>256788410359</v>
      </c>
      <c r="N47" t="s">
        <v>8</v>
      </c>
      <c r="O47" t="s">
        <v>9</v>
      </c>
      <c r="P47" t="s">
        <v>7</v>
      </c>
      <c r="Q47" t="s">
        <v>40</v>
      </c>
      <c r="R47" t="s">
        <v>21</v>
      </c>
      <c r="S47" s="3">
        <v>126.58</v>
      </c>
      <c r="T47" t="s">
        <v>11</v>
      </c>
      <c r="U47" s="3">
        <v>11077.56</v>
      </c>
      <c r="V47" t="s">
        <v>48</v>
      </c>
      <c r="W47" t="s">
        <v>12</v>
      </c>
      <c r="X47" t="s">
        <v>7</v>
      </c>
      <c r="Y47" t="s">
        <v>45</v>
      </c>
      <c r="Z47" t="s">
        <v>13</v>
      </c>
      <c r="AA47" t="s">
        <v>87</v>
      </c>
      <c r="AB47" t="s">
        <v>7</v>
      </c>
      <c r="AC47" t="s">
        <v>7</v>
      </c>
      <c r="AD47" t="s">
        <v>7</v>
      </c>
      <c r="AE47" s="2">
        <v>45904</v>
      </c>
      <c r="AF47" s="2"/>
      <c r="AG47" t="s">
        <v>7</v>
      </c>
    </row>
    <row r="48" spans="1:33" outlineLevel="2">
      <c r="A48" t="s">
        <v>23</v>
      </c>
      <c r="B48" s="13">
        <v>6788</v>
      </c>
      <c r="C48" s="13">
        <v>100222362</v>
      </c>
      <c r="D48" t="s">
        <v>2</v>
      </c>
      <c r="E48" t="s">
        <v>3</v>
      </c>
      <c r="F48" t="s">
        <v>50</v>
      </c>
      <c r="G48" s="2">
        <v>45904</v>
      </c>
      <c r="H48" s="13">
        <v>1800000484</v>
      </c>
      <c r="I48" t="s">
        <v>47</v>
      </c>
      <c r="J48" s="2">
        <v>45904</v>
      </c>
      <c r="K48" s="2">
        <v>45909</v>
      </c>
      <c r="L48" t="s">
        <v>45</v>
      </c>
      <c r="M48" s="16">
        <v>256788410360</v>
      </c>
      <c r="N48" t="s">
        <v>8</v>
      </c>
      <c r="O48" t="s">
        <v>9</v>
      </c>
      <c r="P48" t="s">
        <v>7</v>
      </c>
      <c r="Q48" t="s">
        <v>40</v>
      </c>
      <c r="R48" t="s">
        <v>21</v>
      </c>
      <c r="S48" s="3">
        <v>348.21</v>
      </c>
      <c r="T48" t="s">
        <v>11</v>
      </c>
      <c r="U48" s="3">
        <v>30473.360000000001</v>
      </c>
      <c r="V48" t="s">
        <v>48</v>
      </c>
      <c r="W48" t="s">
        <v>12</v>
      </c>
      <c r="X48" t="s">
        <v>7</v>
      </c>
      <c r="Y48" t="s">
        <v>45</v>
      </c>
      <c r="Z48" t="s">
        <v>13</v>
      </c>
      <c r="AA48" t="s">
        <v>88</v>
      </c>
      <c r="AB48" t="s">
        <v>7</v>
      </c>
      <c r="AC48" t="s">
        <v>7</v>
      </c>
      <c r="AD48" t="s">
        <v>7</v>
      </c>
      <c r="AE48" s="2">
        <v>45904</v>
      </c>
      <c r="AF48" s="2"/>
      <c r="AG48" t="s">
        <v>7</v>
      </c>
    </row>
    <row r="49" spans="1:33" outlineLevel="2">
      <c r="A49" t="s">
        <v>23</v>
      </c>
      <c r="B49" s="13">
        <v>6788</v>
      </c>
      <c r="C49" s="13">
        <v>100222362</v>
      </c>
      <c r="D49" t="s">
        <v>2</v>
      </c>
      <c r="E49" t="s">
        <v>3</v>
      </c>
      <c r="F49" t="s">
        <v>50</v>
      </c>
      <c r="G49" s="2">
        <v>45904</v>
      </c>
      <c r="H49" s="13">
        <v>1800000485</v>
      </c>
      <c r="I49" t="s">
        <v>47</v>
      </c>
      <c r="J49" s="2">
        <v>45904</v>
      </c>
      <c r="K49" s="2">
        <v>45909</v>
      </c>
      <c r="L49" t="s">
        <v>45</v>
      </c>
      <c r="M49" s="16">
        <v>256788410361</v>
      </c>
      <c r="N49" t="s">
        <v>8</v>
      </c>
      <c r="O49" t="s">
        <v>9</v>
      </c>
      <c r="P49" t="s">
        <v>7</v>
      </c>
      <c r="Q49" t="s">
        <v>40</v>
      </c>
      <c r="R49" t="s">
        <v>21</v>
      </c>
      <c r="S49" s="3">
        <v>26</v>
      </c>
      <c r="T49" t="s">
        <v>11</v>
      </c>
      <c r="U49" s="3">
        <v>2275.37</v>
      </c>
      <c r="V49" t="s">
        <v>48</v>
      </c>
      <c r="W49" t="s">
        <v>12</v>
      </c>
      <c r="X49" t="s">
        <v>7</v>
      </c>
      <c r="Y49" t="s">
        <v>45</v>
      </c>
      <c r="Z49" t="s">
        <v>13</v>
      </c>
      <c r="AA49" t="s">
        <v>89</v>
      </c>
      <c r="AB49" t="s">
        <v>7</v>
      </c>
      <c r="AC49" t="s">
        <v>7</v>
      </c>
      <c r="AD49" t="s">
        <v>7</v>
      </c>
      <c r="AE49" s="2">
        <v>45904</v>
      </c>
      <c r="AF49" s="2"/>
      <c r="AG49" t="s">
        <v>7</v>
      </c>
    </row>
    <row r="50" spans="1:33" outlineLevel="2">
      <c r="A50" t="s">
        <v>23</v>
      </c>
      <c r="B50" s="13">
        <v>6788</v>
      </c>
      <c r="C50" s="13">
        <v>100222362</v>
      </c>
      <c r="D50" t="s">
        <v>2</v>
      </c>
      <c r="E50" t="s">
        <v>3</v>
      </c>
      <c r="F50" t="s">
        <v>50</v>
      </c>
      <c r="G50" s="2">
        <v>45904</v>
      </c>
      <c r="H50" s="13">
        <v>1800000487</v>
      </c>
      <c r="I50" t="s">
        <v>47</v>
      </c>
      <c r="J50" s="2">
        <v>45904</v>
      </c>
      <c r="K50" s="2">
        <v>45909</v>
      </c>
      <c r="L50" t="s">
        <v>45</v>
      </c>
      <c r="M50" s="16">
        <v>256788410363</v>
      </c>
      <c r="N50" t="s">
        <v>8</v>
      </c>
      <c r="O50" t="s">
        <v>9</v>
      </c>
      <c r="P50" t="s">
        <v>7</v>
      </c>
      <c r="Q50" t="s">
        <v>40</v>
      </c>
      <c r="R50" t="s">
        <v>21</v>
      </c>
      <c r="S50" s="3">
        <v>227.74</v>
      </c>
      <c r="T50" t="s">
        <v>11</v>
      </c>
      <c r="U50" s="3">
        <v>19930.509999999998</v>
      </c>
      <c r="V50" t="s">
        <v>48</v>
      </c>
      <c r="W50" t="s">
        <v>12</v>
      </c>
      <c r="X50" t="s">
        <v>7</v>
      </c>
      <c r="Y50" t="s">
        <v>45</v>
      </c>
      <c r="Z50" t="s">
        <v>13</v>
      </c>
      <c r="AA50" t="s">
        <v>90</v>
      </c>
      <c r="AB50" t="s">
        <v>7</v>
      </c>
      <c r="AC50" t="s">
        <v>7</v>
      </c>
      <c r="AD50" t="s">
        <v>7</v>
      </c>
      <c r="AE50" s="2">
        <v>45904</v>
      </c>
      <c r="AF50" s="2"/>
      <c r="AG50" t="s">
        <v>7</v>
      </c>
    </row>
    <row r="51" spans="1:33" outlineLevel="2">
      <c r="A51" t="s">
        <v>23</v>
      </c>
      <c r="B51" s="13">
        <v>6788</v>
      </c>
      <c r="C51" s="13">
        <v>100222362</v>
      </c>
      <c r="D51" t="s">
        <v>2</v>
      </c>
      <c r="E51" t="s">
        <v>3</v>
      </c>
      <c r="F51" t="s">
        <v>50</v>
      </c>
      <c r="G51" s="2">
        <v>45904</v>
      </c>
      <c r="H51" s="13">
        <v>1800000489</v>
      </c>
      <c r="I51" t="s">
        <v>47</v>
      </c>
      <c r="J51" s="2">
        <v>45904</v>
      </c>
      <c r="K51" s="2">
        <v>45909</v>
      </c>
      <c r="L51" t="s">
        <v>45</v>
      </c>
      <c r="M51" s="16">
        <v>256788410364</v>
      </c>
      <c r="N51" t="s">
        <v>8</v>
      </c>
      <c r="O51" t="s">
        <v>9</v>
      </c>
      <c r="P51" t="s">
        <v>7</v>
      </c>
      <c r="Q51" t="s">
        <v>40</v>
      </c>
      <c r="R51" t="s">
        <v>21</v>
      </c>
      <c r="S51" s="3">
        <v>75</v>
      </c>
      <c r="T51" t="s">
        <v>11</v>
      </c>
      <c r="U51" s="3">
        <v>6563.57</v>
      </c>
      <c r="V51" t="s">
        <v>48</v>
      </c>
      <c r="W51" t="s">
        <v>12</v>
      </c>
      <c r="X51" t="s">
        <v>7</v>
      </c>
      <c r="Y51" t="s">
        <v>91</v>
      </c>
      <c r="Z51" t="s">
        <v>13</v>
      </c>
      <c r="AA51" t="s">
        <v>92</v>
      </c>
      <c r="AB51" t="s">
        <v>7</v>
      </c>
      <c r="AC51" t="s">
        <v>7</v>
      </c>
      <c r="AD51" t="s">
        <v>7</v>
      </c>
      <c r="AE51" s="2">
        <v>45904</v>
      </c>
      <c r="AF51" s="2"/>
      <c r="AG51" t="s">
        <v>7</v>
      </c>
    </row>
    <row r="52" spans="1:33" outlineLevel="2">
      <c r="A52" t="s">
        <v>23</v>
      </c>
      <c r="B52" s="13">
        <v>6779</v>
      </c>
      <c r="C52" s="13">
        <v>100222362</v>
      </c>
      <c r="D52" t="s">
        <v>2</v>
      </c>
      <c r="E52" t="s">
        <v>3</v>
      </c>
      <c r="F52" t="s">
        <v>79</v>
      </c>
      <c r="G52" s="2">
        <v>45842</v>
      </c>
      <c r="H52" s="13">
        <v>1800010515</v>
      </c>
      <c r="I52" t="s">
        <v>47</v>
      </c>
      <c r="J52" s="2">
        <v>45842</v>
      </c>
      <c r="K52" s="2">
        <v>45847</v>
      </c>
      <c r="L52" t="s">
        <v>45</v>
      </c>
      <c r="M52" s="16">
        <v>256779415275</v>
      </c>
      <c r="N52" t="s">
        <v>8</v>
      </c>
      <c r="O52" t="s">
        <v>9</v>
      </c>
      <c r="P52" t="s">
        <v>7</v>
      </c>
      <c r="Q52" t="s">
        <v>40</v>
      </c>
      <c r="R52" t="s">
        <v>21</v>
      </c>
      <c r="S52" s="3">
        <v>86.04</v>
      </c>
      <c r="T52" t="s">
        <v>11</v>
      </c>
      <c r="U52" s="3">
        <v>7399.5</v>
      </c>
      <c r="V52" t="s">
        <v>48</v>
      </c>
      <c r="W52" t="s">
        <v>76</v>
      </c>
      <c r="X52" t="s">
        <v>7</v>
      </c>
      <c r="Y52" t="s">
        <v>7</v>
      </c>
      <c r="Z52" t="s">
        <v>13</v>
      </c>
      <c r="AA52" t="s">
        <v>93</v>
      </c>
      <c r="AB52" t="s">
        <v>7</v>
      </c>
      <c r="AC52" t="s">
        <v>7</v>
      </c>
      <c r="AD52" t="s">
        <v>7</v>
      </c>
      <c r="AE52" s="2">
        <v>45842</v>
      </c>
      <c r="AF52" s="2"/>
      <c r="AG52" t="s">
        <v>7</v>
      </c>
    </row>
    <row r="53" spans="1:33" outlineLevel="2">
      <c r="A53" t="s">
        <v>23</v>
      </c>
      <c r="B53" s="13">
        <v>6788</v>
      </c>
      <c r="C53" s="13">
        <v>100222362</v>
      </c>
      <c r="D53" t="s">
        <v>2</v>
      </c>
      <c r="E53" t="s">
        <v>3</v>
      </c>
      <c r="F53" t="s">
        <v>79</v>
      </c>
      <c r="G53" s="2">
        <v>45842</v>
      </c>
      <c r="H53" s="13">
        <v>1800000358</v>
      </c>
      <c r="I53" t="s">
        <v>47</v>
      </c>
      <c r="J53" s="2">
        <v>45842</v>
      </c>
      <c r="K53" s="2">
        <v>45847</v>
      </c>
      <c r="L53" t="s">
        <v>45</v>
      </c>
      <c r="M53" s="16">
        <v>256788410233</v>
      </c>
      <c r="N53" t="s">
        <v>8</v>
      </c>
      <c r="O53" t="s">
        <v>9</v>
      </c>
      <c r="P53" t="s">
        <v>7</v>
      </c>
      <c r="Q53" t="s">
        <v>40</v>
      </c>
      <c r="R53" t="s">
        <v>21</v>
      </c>
      <c r="S53" s="3">
        <v>10350.540000000001</v>
      </c>
      <c r="T53" t="s">
        <v>11</v>
      </c>
      <c r="U53" s="3">
        <v>890153.37</v>
      </c>
      <c r="V53" t="s">
        <v>48</v>
      </c>
      <c r="W53" t="s">
        <v>12</v>
      </c>
      <c r="X53" t="s">
        <v>7</v>
      </c>
      <c r="Y53" t="s">
        <v>45</v>
      </c>
      <c r="Z53" t="s">
        <v>13</v>
      </c>
      <c r="AA53" t="s">
        <v>94</v>
      </c>
      <c r="AB53" t="s">
        <v>7</v>
      </c>
      <c r="AC53" t="s">
        <v>7</v>
      </c>
      <c r="AD53" t="s">
        <v>7</v>
      </c>
      <c r="AE53" s="2">
        <v>45842</v>
      </c>
      <c r="AF53" s="2"/>
      <c r="AG53" t="s">
        <v>7</v>
      </c>
    </row>
    <row r="54" spans="1:33" outlineLevel="2">
      <c r="A54" t="s">
        <v>23</v>
      </c>
      <c r="B54" s="13">
        <v>6788</v>
      </c>
      <c r="C54" s="13">
        <v>100222362</v>
      </c>
      <c r="D54" t="s">
        <v>2</v>
      </c>
      <c r="E54" t="s">
        <v>3</v>
      </c>
      <c r="F54" t="s">
        <v>79</v>
      </c>
      <c r="G54" s="2">
        <v>45842</v>
      </c>
      <c r="H54" s="13">
        <v>1800000360</v>
      </c>
      <c r="I54" t="s">
        <v>47</v>
      </c>
      <c r="J54" s="2">
        <v>45842</v>
      </c>
      <c r="K54" s="2">
        <v>45847</v>
      </c>
      <c r="L54" t="s">
        <v>45</v>
      </c>
      <c r="M54" s="16">
        <v>256788410235</v>
      </c>
      <c r="N54" t="s">
        <v>8</v>
      </c>
      <c r="O54" t="s">
        <v>9</v>
      </c>
      <c r="P54" t="s">
        <v>7</v>
      </c>
      <c r="Q54" t="s">
        <v>40</v>
      </c>
      <c r="R54" t="s">
        <v>21</v>
      </c>
      <c r="S54" s="3">
        <v>2323.12</v>
      </c>
      <c r="T54" t="s">
        <v>11</v>
      </c>
      <c r="U54" s="3">
        <v>199789.88</v>
      </c>
      <c r="V54" t="s">
        <v>48</v>
      </c>
      <c r="W54" t="s">
        <v>12</v>
      </c>
      <c r="X54" t="s">
        <v>7</v>
      </c>
      <c r="Y54" t="s">
        <v>45</v>
      </c>
      <c r="Z54" t="s">
        <v>13</v>
      </c>
      <c r="AA54" t="s">
        <v>95</v>
      </c>
      <c r="AB54" t="s">
        <v>7</v>
      </c>
      <c r="AC54" t="s">
        <v>7</v>
      </c>
      <c r="AD54" t="s">
        <v>7</v>
      </c>
      <c r="AE54" s="2">
        <v>45842</v>
      </c>
      <c r="AF54" s="2"/>
      <c r="AG54" t="s">
        <v>7</v>
      </c>
    </row>
    <row r="55" spans="1:33" outlineLevel="2">
      <c r="A55" t="s">
        <v>23</v>
      </c>
      <c r="B55" s="13">
        <v>6788</v>
      </c>
      <c r="C55" s="13">
        <v>100222362</v>
      </c>
      <c r="D55" t="s">
        <v>2</v>
      </c>
      <c r="E55" t="s">
        <v>3</v>
      </c>
      <c r="F55" t="s">
        <v>79</v>
      </c>
      <c r="G55" s="2">
        <v>45842</v>
      </c>
      <c r="H55" s="13">
        <v>1800000362</v>
      </c>
      <c r="I55" t="s">
        <v>47</v>
      </c>
      <c r="J55" s="2">
        <v>45842</v>
      </c>
      <c r="K55" s="2">
        <v>45847</v>
      </c>
      <c r="L55" t="s">
        <v>45</v>
      </c>
      <c r="M55" s="16">
        <v>256788410237</v>
      </c>
      <c r="N55" t="s">
        <v>8</v>
      </c>
      <c r="O55" t="s">
        <v>9</v>
      </c>
      <c r="P55" t="s">
        <v>7</v>
      </c>
      <c r="Q55" t="s">
        <v>40</v>
      </c>
      <c r="R55" t="s">
        <v>21</v>
      </c>
      <c r="S55" s="3">
        <v>75</v>
      </c>
      <c r="T55" t="s">
        <v>11</v>
      </c>
      <c r="U55" s="3">
        <v>6450.05</v>
      </c>
      <c r="V55" t="s">
        <v>48</v>
      </c>
      <c r="W55" t="s">
        <v>12</v>
      </c>
      <c r="X55" t="s">
        <v>7</v>
      </c>
      <c r="Y55" t="s">
        <v>45</v>
      </c>
      <c r="Z55" t="s">
        <v>13</v>
      </c>
      <c r="AA55" t="s">
        <v>96</v>
      </c>
      <c r="AB55" t="s">
        <v>7</v>
      </c>
      <c r="AC55" t="s">
        <v>7</v>
      </c>
      <c r="AD55" t="s">
        <v>7</v>
      </c>
      <c r="AE55" s="2">
        <v>45842</v>
      </c>
      <c r="AF55" s="2"/>
      <c r="AG55" t="s">
        <v>7</v>
      </c>
    </row>
    <row r="56" spans="1:33" outlineLevel="2">
      <c r="A56" t="s">
        <v>23</v>
      </c>
      <c r="B56" s="13">
        <v>6788</v>
      </c>
      <c r="C56" s="13">
        <v>100222362</v>
      </c>
      <c r="D56" t="s">
        <v>2</v>
      </c>
      <c r="E56" t="s">
        <v>3</v>
      </c>
      <c r="F56" t="s">
        <v>79</v>
      </c>
      <c r="G56" s="2">
        <v>45842</v>
      </c>
      <c r="H56" s="13">
        <v>1800000380</v>
      </c>
      <c r="I56" t="s">
        <v>47</v>
      </c>
      <c r="J56" s="2">
        <v>45842</v>
      </c>
      <c r="K56" s="2">
        <v>45847</v>
      </c>
      <c r="L56" t="s">
        <v>45</v>
      </c>
      <c r="M56" s="16">
        <v>256788410255</v>
      </c>
      <c r="N56" t="s">
        <v>8</v>
      </c>
      <c r="O56" t="s">
        <v>9</v>
      </c>
      <c r="P56" t="s">
        <v>7</v>
      </c>
      <c r="Q56" t="s">
        <v>40</v>
      </c>
      <c r="R56" t="s">
        <v>21</v>
      </c>
      <c r="S56" s="3">
        <v>14</v>
      </c>
      <c r="T56" t="s">
        <v>11</v>
      </c>
      <c r="U56" s="3">
        <v>1204.01</v>
      </c>
      <c r="V56" t="s">
        <v>48</v>
      </c>
      <c r="W56" t="s">
        <v>12</v>
      </c>
      <c r="X56" t="s">
        <v>7</v>
      </c>
      <c r="Y56" t="s">
        <v>45</v>
      </c>
      <c r="Z56" t="s">
        <v>13</v>
      </c>
      <c r="AA56" t="s">
        <v>97</v>
      </c>
      <c r="AB56" t="s">
        <v>7</v>
      </c>
      <c r="AC56" t="s">
        <v>7</v>
      </c>
      <c r="AD56" t="s">
        <v>7</v>
      </c>
      <c r="AE56" s="2">
        <v>45842</v>
      </c>
      <c r="AF56" s="2"/>
      <c r="AG56" t="s">
        <v>7</v>
      </c>
    </row>
    <row r="57" spans="1:33" outlineLevel="2">
      <c r="A57" t="s">
        <v>23</v>
      </c>
      <c r="B57" s="13">
        <v>6788</v>
      </c>
      <c r="C57" s="13">
        <v>100222362</v>
      </c>
      <c r="D57" t="s">
        <v>2</v>
      </c>
      <c r="E57" t="s">
        <v>3</v>
      </c>
      <c r="F57" t="s">
        <v>79</v>
      </c>
      <c r="G57" s="2">
        <v>45842</v>
      </c>
      <c r="H57" s="13">
        <v>1800000382</v>
      </c>
      <c r="I57" t="s">
        <v>47</v>
      </c>
      <c r="J57" s="2">
        <v>45842</v>
      </c>
      <c r="K57" s="2">
        <v>45847</v>
      </c>
      <c r="L57" t="s">
        <v>45</v>
      </c>
      <c r="M57" s="16">
        <v>256788410257</v>
      </c>
      <c r="N57" t="s">
        <v>8</v>
      </c>
      <c r="O57" t="s">
        <v>9</v>
      </c>
      <c r="P57" t="s">
        <v>7</v>
      </c>
      <c r="Q57" t="s">
        <v>40</v>
      </c>
      <c r="R57" t="s">
        <v>21</v>
      </c>
      <c r="S57" s="3">
        <v>67.760000000000005</v>
      </c>
      <c r="T57" t="s">
        <v>11</v>
      </c>
      <c r="U57" s="3">
        <v>5827.41</v>
      </c>
      <c r="V57" t="s">
        <v>48</v>
      </c>
      <c r="W57" t="s">
        <v>12</v>
      </c>
      <c r="X57" t="s">
        <v>7</v>
      </c>
      <c r="Y57" t="s">
        <v>45</v>
      </c>
      <c r="Z57" t="s">
        <v>13</v>
      </c>
      <c r="AA57" t="s">
        <v>98</v>
      </c>
      <c r="AB57" t="s">
        <v>7</v>
      </c>
      <c r="AC57" t="s">
        <v>7</v>
      </c>
      <c r="AD57" t="s">
        <v>7</v>
      </c>
      <c r="AE57" s="2">
        <v>45842</v>
      </c>
      <c r="AF57" s="2"/>
      <c r="AG57" t="s">
        <v>7</v>
      </c>
    </row>
    <row r="58" spans="1:33" outlineLevel="2">
      <c r="A58" t="s">
        <v>23</v>
      </c>
      <c r="B58" s="13">
        <v>6788</v>
      </c>
      <c r="C58" s="13">
        <v>100222362</v>
      </c>
      <c r="D58" t="s">
        <v>2</v>
      </c>
      <c r="E58" t="s">
        <v>3</v>
      </c>
      <c r="F58" t="s">
        <v>79</v>
      </c>
      <c r="G58" s="2">
        <v>45842</v>
      </c>
      <c r="H58" s="13">
        <v>1800000383</v>
      </c>
      <c r="I58" t="s">
        <v>47</v>
      </c>
      <c r="J58" s="2">
        <v>45842</v>
      </c>
      <c r="K58" s="2">
        <v>45847</v>
      </c>
      <c r="L58" t="s">
        <v>45</v>
      </c>
      <c r="M58" s="16">
        <v>256788410258</v>
      </c>
      <c r="N58" t="s">
        <v>8</v>
      </c>
      <c r="O58" t="s">
        <v>9</v>
      </c>
      <c r="P58" t="s">
        <v>7</v>
      </c>
      <c r="Q58" t="s">
        <v>40</v>
      </c>
      <c r="R58" t="s">
        <v>21</v>
      </c>
      <c r="S58" s="3">
        <v>17</v>
      </c>
      <c r="T58" t="s">
        <v>11</v>
      </c>
      <c r="U58" s="3">
        <v>1462.01</v>
      </c>
      <c r="V58" t="s">
        <v>48</v>
      </c>
      <c r="W58" t="s">
        <v>12</v>
      </c>
      <c r="X58" t="s">
        <v>7</v>
      </c>
      <c r="Y58" t="s">
        <v>45</v>
      </c>
      <c r="Z58" t="s">
        <v>13</v>
      </c>
      <c r="AA58" t="s">
        <v>99</v>
      </c>
      <c r="AB58" t="s">
        <v>7</v>
      </c>
      <c r="AC58" t="s">
        <v>7</v>
      </c>
      <c r="AD58" t="s">
        <v>7</v>
      </c>
      <c r="AE58" s="2">
        <v>45842</v>
      </c>
      <c r="AF58" s="2"/>
      <c r="AG58" t="s">
        <v>7</v>
      </c>
    </row>
    <row r="59" spans="1:33" outlineLevel="2">
      <c r="A59" t="s">
        <v>0</v>
      </c>
      <c r="B59" s="13">
        <v>6788</v>
      </c>
      <c r="C59" s="13">
        <v>100222362</v>
      </c>
      <c r="D59" t="s">
        <v>2</v>
      </c>
      <c r="E59" t="s">
        <v>3</v>
      </c>
      <c r="F59" t="s">
        <v>79</v>
      </c>
      <c r="G59" s="2">
        <v>45842</v>
      </c>
      <c r="H59" s="13">
        <v>1800000391</v>
      </c>
      <c r="I59" t="s">
        <v>47</v>
      </c>
      <c r="J59" s="2">
        <v>45842</v>
      </c>
      <c r="K59" s="2">
        <v>45863</v>
      </c>
      <c r="L59" t="s">
        <v>45</v>
      </c>
      <c r="M59" s="16">
        <v>256788410267</v>
      </c>
      <c r="N59" t="s">
        <v>8</v>
      </c>
      <c r="O59" t="s">
        <v>9</v>
      </c>
      <c r="P59" t="s">
        <v>7</v>
      </c>
      <c r="Q59" t="s">
        <v>40</v>
      </c>
      <c r="R59" t="s">
        <v>21</v>
      </c>
      <c r="S59" s="3">
        <v>9</v>
      </c>
      <c r="T59" t="s">
        <v>11</v>
      </c>
      <c r="U59" s="3">
        <v>774.01</v>
      </c>
      <c r="V59" t="s">
        <v>48</v>
      </c>
      <c r="W59" t="s">
        <v>12</v>
      </c>
      <c r="X59" t="s">
        <v>7</v>
      </c>
      <c r="Y59" t="s">
        <v>45</v>
      </c>
      <c r="Z59" t="s">
        <v>13</v>
      </c>
      <c r="AA59" t="s">
        <v>100</v>
      </c>
      <c r="AB59" t="s">
        <v>7</v>
      </c>
      <c r="AC59" t="s">
        <v>7</v>
      </c>
      <c r="AD59" t="s">
        <v>7</v>
      </c>
      <c r="AE59" s="2">
        <v>45842</v>
      </c>
      <c r="AF59" s="2">
        <v>45976</v>
      </c>
      <c r="AG59" t="s">
        <v>44</v>
      </c>
    </row>
    <row r="60" spans="1:33" outlineLevel="2">
      <c r="A60" t="s">
        <v>23</v>
      </c>
      <c r="B60" s="13">
        <v>6788</v>
      </c>
      <c r="C60" s="13">
        <v>100222362</v>
      </c>
      <c r="D60" t="s">
        <v>2</v>
      </c>
      <c r="E60" t="s">
        <v>3</v>
      </c>
      <c r="F60" t="s">
        <v>37</v>
      </c>
      <c r="G60" s="2">
        <v>45966</v>
      </c>
      <c r="H60" s="13">
        <v>1800000576</v>
      </c>
      <c r="I60" t="s">
        <v>47</v>
      </c>
      <c r="J60" s="2">
        <v>45966</v>
      </c>
      <c r="K60" s="2">
        <v>45966</v>
      </c>
      <c r="L60" t="s">
        <v>45</v>
      </c>
      <c r="M60" s="16">
        <v>256788410441</v>
      </c>
      <c r="N60" t="s">
        <v>8</v>
      </c>
      <c r="O60" t="s">
        <v>9</v>
      </c>
      <c r="P60" t="s">
        <v>7</v>
      </c>
      <c r="Q60" t="s">
        <v>40</v>
      </c>
      <c r="R60" t="s">
        <v>21</v>
      </c>
      <c r="S60" s="3">
        <v>75</v>
      </c>
      <c r="T60" t="s">
        <v>11</v>
      </c>
      <c r="U60" s="3">
        <v>6600.25</v>
      </c>
      <c r="V60" t="s">
        <v>48</v>
      </c>
      <c r="W60" t="s">
        <v>12</v>
      </c>
      <c r="X60" t="s">
        <v>7</v>
      </c>
      <c r="Y60" t="s">
        <v>101</v>
      </c>
      <c r="Z60" t="s">
        <v>13</v>
      </c>
      <c r="AA60" t="s">
        <v>102</v>
      </c>
      <c r="AB60" t="s">
        <v>7</v>
      </c>
      <c r="AC60" t="s">
        <v>7</v>
      </c>
      <c r="AD60" t="s">
        <v>7</v>
      </c>
      <c r="AE60" s="2">
        <v>45966</v>
      </c>
      <c r="AF60" s="2"/>
      <c r="AG60" t="s">
        <v>7</v>
      </c>
    </row>
    <row r="61" spans="1:33" outlineLevel="2">
      <c r="A61" t="s">
        <v>23</v>
      </c>
      <c r="B61" s="13">
        <v>6788</v>
      </c>
      <c r="C61" s="13">
        <v>100222362</v>
      </c>
      <c r="D61" t="s">
        <v>2</v>
      </c>
      <c r="E61" t="s">
        <v>3</v>
      </c>
      <c r="F61" t="s">
        <v>37</v>
      </c>
      <c r="G61" s="2">
        <v>45966</v>
      </c>
      <c r="H61" s="13">
        <v>1800000587</v>
      </c>
      <c r="I61" t="s">
        <v>47</v>
      </c>
      <c r="J61" s="2">
        <v>45966</v>
      </c>
      <c r="K61" s="2">
        <v>45967</v>
      </c>
      <c r="L61" t="s">
        <v>45</v>
      </c>
      <c r="M61" s="16">
        <v>256788410448</v>
      </c>
      <c r="N61" t="s">
        <v>8</v>
      </c>
      <c r="O61" t="s">
        <v>9</v>
      </c>
      <c r="P61" t="s">
        <v>7</v>
      </c>
      <c r="Q61" t="s">
        <v>40</v>
      </c>
      <c r="R61" t="s">
        <v>21</v>
      </c>
      <c r="S61" s="3">
        <v>70</v>
      </c>
      <c r="T61" t="s">
        <v>11</v>
      </c>
      <c r="U61" s="3">
        <v>6160.24</v>
      </c>
      <c r="V61" t="s">
        <v>48</v>
      </c>
      <c r="W61" t="s">
        <v>12</v>
      </c>
      <c r="X61" t="s">
        <v>7</v>
      </c>
      <c r="Y61" t="s">
        <v>103</v>
      </c>
      <c r="Z61" t="s">
        <v>13</v>
      </c>
      <c r="AA61" t="s">
        <v>104</v>
      </c>
      <c r="AB61" t="s">
        <v>7</v>
      </c>
      <c r="AC61" t="s">
        <v>7</v>
      </c>
      <c r="AD61" t="s">
        <v>7</v>
      </c>
      <c r="AE61" s="2">
        <v>45966</v>
      </c>
      <c r="AF61" s="2"/>
      <c r="AG61" t="s">
        <v>7</v>
      </c>
    </row>
    <row r="62" spans="1:33" outlineLevel="2">
      <c r="A62" t="s">
        <v>23</v>
      </c>
      <c r="B62" s="13">
        <v>6788</v>
      </c>
      <c r="C62" s="13">
        <v>100222362</v>
      </c>
      <c r="D62" t="s">
        <v>2</v>
      </c>
      <c r="E62" t="s">
        <v>3</v>
      </c>
      <c r="F62" t="s">
        <v>37</v>
      </c>
      <c r="G62" s="2">
        <v>45966</v>
      </c>
      <c r="H62" s="13">
        <v>1800000588</v>
      </c>
      <c r="I62" t="s">
        <v>47</v>
      </c>
      <c r="J62" s="2">
        <v>45966</v>
      </c>
      <c r="K62" s="2">
        <v>45967</v>
      </c>
      <c r="L62" t="s">
        <v>45</v>
      </c>
      <c r="M62" s="16">
        <v>256788410449</v>
      </c>
      <c r="N62" t="s">
        <v>8</v>
      </c>
      <c r="O62" t="s">
        <v>9</v>
      </c>
      <c r="P62" t="s">
        <v>7</v>
      </c>
      <c r="Q62" t="s">
        <v>40</v>
      </c>
      <c r="R62" t="s">
        <v>21</v>
      </c>
      <c r="S62" s="3">
        <v>70</v>
      </c>
      <c r="T62" t="s">
        <v>11</v>
      </c>
      <c r="U62" s="3">
        <v>6160.24</v>
      </c>
      <c r="V62" t="s">
        <v>48</v>
      </c>
      <c r="W62" t="s">
        <v>12</v>
      </c>
      <c r="X62" t="s">
        <v>7</v>
      </c>
      <c r="Y62" t="s">
        <v>103</v>
      </c>
      <c r="Z62" t="s">
        <v>13</v>
      </c>
      <c r="AA62" t="s">
        <v>104</v>
      </c>
      <c r="AB62" t="s">
        <v>7</v>
      </c>
      <c r="AC62" t="s">
        <v>7</v>
      </c>
      <c r="AD62" t="s">
        <v>7</v>
      </c>
      <c r="AE62" s="2">
        <v>45966</v>
      </c>
      <c r="AF62" s="2"/>
      <c r="AG62" t="s">
        <v>7</v>
      </c>
    </row>
    <row r="63" spans="1:33" outlineLevel="2">
      <c r="A63" t="s">
        <v>23</v>
      </c>
      <c r="B63" s="13">
        <v>6788</v>
      </c>
      <c r="C63" s="13">
        <v>100222362</v>
      </c>
      <c r="D63" t="s">
        <v>2</v>
      </c>
      <c r="E63" t="s">
        <v>3</v>
      </c>
      <c r="F63" t="s">
        <v>37</v>
      </c>
      <c r="G63" s="2">
        <v>45966</v>
      </c>
      <c r="H63" s="13">
        <v>1800000589</v>
      </c>
      <c r="I63" t="s">
        <v>47</v>
      </c>
      <c r="J63" s="2">
        <v>45966</v>
      </c>
      <c r="K63" s="2">
        <v>45967</v>
      </c>
      <c r="L63" t="s">
        <v>45</v>
      </c>
      <c r="M63" s="16">
        <v>256788410450</v>
      </c>
      <c r="N63" t="s">
        <v>8</v>
      </c>
      <c r="O63" t="s">
        <v>9</v>
      </c>
      <c r="P63" t="s">
        <v>7</v>
      </c>
      <c r="Q63" t="s">
        <v>40</v>
      </c>
      <c r="R63" t="s">
        <v>21</v>
      </c>
      <c r="S63" s="3">
        <v>70</v>
      </c>
      <c r="T63" t="s">
        <v>11</v>
      </c>
      <c r="U63" s="3">
        <v>6160.24</v>
      </c>
      <c r="V63" t="s">
        <v>48</v>
      </c>
      <c r="W63" t="s">
        <v>12</v>
      </c>
      <c r="X63" t="s">
        <v>7</v>
      </c>
      <c r="Y63" t="s">
        <v>103</v>
      </c>
      <c r="Z63" t="s">
        <v>13</v>
      </c>
      <c r="AA63" t="s">
        <v>104</v>
      </c>
      <c r="AB63" t="s">
        <v>7</v>
      </c>
      <c r="AC63" t="s">
        <v>7</v>
      </c>
      <c r="AD63" t="s">
        <v>7</v>
      </c>
      <c r="AE63" s="2">
        <v>45966</v>
      </c>
      <c r="AF63" s="2"/>
      <c r="AG63" t="s">
        <v>7</v>
      </c>
    </row>
    <row r="64" spans="1:33" outlineLevel="2">
      <c r="A64" t="s">
        <v>23</v>
      </c>
      <c r="B64" s="13">
        <v>6788</v>
      </c>
      <c r="C64" s="13">
        <v>100222362</v>
      </c>
      <c r="D64" t="s">
        <v>2</v>
      </c>
      <c r="E64" t="s">
        <v>3</v>
      </c>
      <c r="F64" t="s">
        <v>37</v>
      </c>
      <c r="G64" s="2">
        <v>45966</v>
      </c>
      <c r="H64" s="13">
        <v>1800000590</v>
      </c>
      <c r="I64" t="s">
        <v>47</v>
      </c>
      <c r="J64" s="2">
        <v>45966</v>
      </c>
      <c r="K64" s="2">
        <v>45967</v>
      </c>
      <c r="L64" t="s">
        <v>45</v>
      </c>
      <c r="M64" s="16">
        <v>256788410451</v>
      </c>
      <c r="N64" t="s">
        <v>8</v>
      </c>
      <c r="O64" t="s">
        <v>9</v>
      </c>
      <c r="P64" t="s">
        <v>7</v>
      </c>
      <c r="Q64" t="s">
        <v>40</v>
      </c>
      <c r="R64" t="s">
        <v>21</v>
      </c>
      <c r="S64" s="3">
        <v>70</v>
      </c>
      <c r="T64" t="s">
        <v>11</v>
      </c>
      <c r="U64" s="3">
        <v>6160.24</v>
      </c>
      <c r="V64" t="s">
        <v>48</v>
      </c>
      <c r="W64" t="s">
        <v>12</v>
      </c>
      <c r="X64" t="s">
        <v>7</v>
      </c>
      <c r="Y64" t="s">
        <v>103</v>
      </c>
      <c r="Z64" t="s">
        <v>13</v>
      </c>
      <c r="AA64" t="s">
        <v>104</v>
      </c>
      <c r="AB64" t="s">
        <v>7</v>
      </c>
      <c r="AC64" t="s">
        <v>7</v>
      </c>
      <c r="AD64" t="s">
        <v>7</v>
      </c>
      <c r="AE64" s="2">
        <v>45966</v>
      </c>
      <c r="AF64" s="2"/>
      <c r="AG64" t="s">
        <v>7</v>
      </c>
    </row>
    <row r="65" spans="1:33" outlineLevel="2">
      <c r="A65" t="s">
        <v>23</v>
      </c>
      <c r="B65" s="13">
        <v>6788</v>
      </c>
      <c r="C65" s="13">
        <v>100222362</v>
      </c>
      <c r="D65" t="s">
        <v>2</v>
      </c>
      <c r="E65" t="s">
        <v>3</v>
      </c>
      <c r="F65" t="s">
        <v>37</v>
      </c>
      <c r="G65" s="2">
        <v>45966</v>
      </c>
      <c r="H65" s="13">
        <v>1800000591</v>
      </c>
      <c r="I65" t="s">
        <v>47</v>
      </c>
      <c r="J65" s="2">
        <v>45966</v>
      </c>
      <c r="K65" s="2">
        <v>45967</v>
      </c>
      <c r="L65" t="s">
        <v>45</v>
      </c>
      <c r="M65" s="16">
        <v>256788410452</v>
      </c>
      <c r="N65" t="s">
        <v>8</v>
      </c>
      <c r="O65" t="s">
        <v>9</v>
      </c>
      <c r="P65" t="s">
        <v>7</v>
      </c>
      <c r="Q65" t="s">
        <v>40</v>
      </c>
      <c r="R65" t="s">
        <v>21</v>
      </c>
      <c r="S65" s="3">
        <v>65.31</v>
      </c>
      <c r="T65" t="s">
        <v>11</v>
      </c>
      <c r="U65" s="3">
        <v>5747.5</v>
      </c>
      <c r="V65" t="s">
        <v>48</v>
      </c>
      <c r="W65" t="s">
        <v>12</v>
      </c>
      <c r="X65" t="s">
        <v>7</v>
      </c>
      <c r="Y65" t="s">
        <v>103</v>
      </c>
      <c r="Z65" t="s">
        <v>13</v>
      </c>
      <c r="AA65" t="s">
        <v>105</v>
      </c>
      <c r="AB65" t="s">
        <v>7</v>
      </c>
      <c r="AC65" t="s">
        <v>7</v>
      </c>
      <c r="AD65" t="s">
        <v>7</v>
      </c>
      <c r="AE65" s="2">
        <v>45966</v>
      </c>
      <c r="AF65" s="2"/>
      <c r="AG65" t="s">
        <v>7</v>
      </c>
    </row>
    <row r="66" spans="1:33" outlineLevel="2">
      <c r="A66" t="s">
        <v>23</v>
      </c>
      <c r="B66" s="13">
        <v>6788</v>
      </c>
      <c r="C66" s="13">
        <v>100222362</v>
      </c>
      <c r="D66" t="s">
        <v>2</v>
      </c>
      <c r="E66" t="s">
        <v>3</v>
      </c>
      <c r="F66" t="s">
        <v>37</v>
      </c>
      <c r="G66" s="2">
        <v>45966</v>
      </c>
      <c r="H66" s="13">
        <v>1800000592</v>
      </c>
      <c r="I66" t="s">
        <v>47</v>
      </c>
      <c r="J66" s="2">
        <v>45966</v>
      </c>
      <c r="K66" s="2">
        <v>45967</v>
      </c>
      <c r="L66" t="s">
        <v>45</v>
      </c>
      <c r="M66" s="16">
        <v>256788410453</v>
      </c>
      <c r="N66" t="s">
        <v>8</v>
      </c>
      <c r="O66" t="s">
        <v>9</v>
      </c>
      <c r="P66" t="s">
        <v>7</v>
      </c>
      <c r="Q66" t="s">
        <v>40</v>
      </c>
      <c r="R66" t="s">
        <v>21</v>
      </c>
      <c r="S66" s="3">
        <v>31.56</v>
      </c>
      <c r="T66" t="s">
        <v>11</v>
      </c>
      <c r="U66" s="3">
        <v>2777.39</v>
      </c>
      <c r="V66" t="s">
        <v>48</v>
      </c>
      <c r="W66" t="s">
        <v>12</v>
      </c>
      <c r="X66" t="s">
        <v>7</v>
      </c>
      <c r="Y66" t="s">
        <v>103</v>
      </c>
      <c r="Z66" t="s">
        <v>13</v>
      </c>
      <c r="AA66" t="s">
        <v>106</v>
      </c>
      <c r="AB66" t="s">
        <v>7</v>
      </c>
      <c r="AC66" t="s">
        <v>7</v>
      </c>
      <c r="AD66" t="s">
        <v>7</v>
      </c>
      <c r="AE66" s="2">
        <v>45966</v>
      </c>
      <c r="AF66" s="2"/>
      <c r="AG66" t="s">
        <v>7</v>
      </c>
    </row>
    <row r="67" spans="1:33" outlineLevel="2">
      <c r="A67" t="s">
        <v>23</v>
      </c>
      <c r="B67" s="13">
        <v>6788</v>
      </c>
      <c r="C67" s="13">
        <v>100222362</v>
      </c>
      <c r="D67" t="s">
        <v>2</v>
      </c>
      <c r="E67" t="s">
        <v>3</v>
      </c>
      <c r="F67" t="s">
        <v>37</v>
      </c>
      <c r="G67" s="2">
        <v>45966</v>
      </c>
      <c r="H67" s="13">
        <v>1800000585</v>
      </c>
      <c r="I67" t="s">
        <v>47</v>
      </c>
      <c r="J67" s="2">
        <v>45966</v>
      </c>
      <c r="K67" s="2">
        <v>45967</v>
      </c>
      <c r="L67" t="s">
        <v>45</v>
      </c>
      <c r="M67" s="16">
        <v>256788410454</v>
      </c>
      <c r="N67" t="s">
        <v>8</v>
      </c>
      <c r="O67" t="s">
        <v>9</v>
      </c>
      <c r="P67" t="s">
        <v>7</v>
      </c>
      <c r="Q67" t="s">
        <v>40</v>
      </c>
      <c r="R67" t="s">
        <v>21</v>
      </c>
      <c r="S67" s="3">
        <v>4547.2</v>
      </c>
      <c r="T67" t="s">
        <v>11</v>
      </c>
      <c r="U67" s="3">
        <v>400169.02</v>
      </c>
      <c r="V67" t="s">
        <v>48</v>
      </c>
      <c r="W67" t="s">
        <v>12</v>
      </c>
      <c r="X67" t="s">
        <v>7</v>
      </c>
      <c r="Y67" t="s">
        <v>107</v>
      </c>
      <c r="Z67" t="s">
        <v>13</v>
      </c>
      <c r="AA67" t="s">
        <v>108</v>
      </c>
      <c r="AB67" t="s">
        <v>7</v>
      </c>
      <c r="AC67" t="s">
        <v>7</v>
      </c>
      <c r="AD67" t="s">
        <v>7</v>
      </c>
      <c r="AE67" s="2">
        <v>45966</v>
      </c>
      <c r="AF67" s="2"/>
      <c r="AG67" t="s">
        <v>7</v>
      </c>
    </row>
    <row r="68" spans="1:33" outlineLevel="2">
      <c r="A68" t="s">
        <v>23</v>
      </c>
      <c r="B68" s="13">
        <v>6788</v>
      </c>
      <c r="C68" s="13">
        <v>100222362</v>
      </c>
      <c r="D68" t="s">
        <v>2</v>
      </c>
      <c r="E68" t="s">
        <v>3</v>
      </c>
      <c r="F68" t="s">
        <v>37</v>
      </c>
      <c r="G68" s="2">
        <v>45966</v>
      </c>
      <c r="H68" s="13">
        <v>1800000593</v>
      </c>
      <c r="I68" t="s">
        <v>47</v>
      </c>
      <c r="J68" s="2">
        <v>45966</v>
      </c>
      <c r="K68" s="2">
        <v>45967</v>
      </c>
      <c r="L68" t="s">
        <v>45</v>
      </c>
      <c r="M68" s="16">
        <v>256788410455</v>
      </c>
      <c r="N68" t="s">
        <v>8</v>
      </c>
      <c r="O68" t="s">
        <v>9</v>
      </c>
      <c r="P68" t="s">
        <v>7</v>
      </c>
      <c r="Q68" t="s">
        <v>40</v>
      </c>
      <c r="R68" t="s">
        <v>21</v>
      </c>
      <c r="S68" s="3">
        <v>338</v>
      </c>
      <c r="T68" t="s">
        <v>11</v>
      </c>
      <c r="U68" s="3">
        <v>29745.15</v>
      </c>
      <c r="V68" t="s">
        <v>48</v>
      </c>
      <c r="W68" t="s">
        <v>12</v>
      </c>
      <c r="X68" t="s">
        <v>7</v>
      </c>
      <c r="Y68" t="s">
        <v>109</v>
      </c>
      <c r="Z68" t="s">
        <v>13</v>
      </c>
      <c r="AA68" t="s">
        <v>110</v>
      </c>
      <c r="AB68" t="s">
        <v>7</v>
      </c>
      <c r="AC68" t="s">
        <v>7</v>
      </c>
      <c r="AD68" t="s">
        <v>7</v>
      </c>
      <c r="AE68" s="2">
        <v>45966</v>
      </c>
      <c r="AF68" s="2"/>
      <c r="AG68" t="s">
        <v>7</v>
      </c>
    </row>
    <row r="69" spans="1:33" outlineLevel="2">
      <c r="A69" t="s">
        <v>23</v>
      </c>
      <c r="B69" s="13">
        <v>6788</v>
      </c>
      <c r="C69" s="13">
        <v>100222362</v>
      </c>
      <c r="D69" t="s">
        <v>2</v>
      </c>
      <c r="E69" t="s">
        <v>3</v>
      </c>
      <c r="F69" t="s">
        <v>37</v>
      </c>
      <c r="G69" s="2">
        <v>45966</v>
      </c>
      <c r="H69" s="13">
        <v>1800000584</v>
      </c>
      <c r="I69" t="s">
        <v>47</v>
      </c>
      <c r="J69" s="2">
        <v>45966</v>
      </c>
      <c r="K69" s="2">
        <v>45967</v>
      </c>
      <c r="L69" t="s">
        <v>45</v>
      </c>
      <c r="M69" s="16">
        <v>256788410457</v>
      </c>
      <c r="N69" t="s">
        <v>8</v>
      </c>
      <c r="O69" t="s">
        <v>9</v>
      </c>
      <c r="P69" t="s">
        <v>7</v>
      </c>
      <c r="Q69" t="s">
        <v>40</v>
      </c>
      <c r="R69" t="s">
        <v>21</v>
      </c>
      <c r="S69" s="3">
        <v>93</v>
      </c>
      <c r="T69" t="s">
        <v>11</v>
      </c>
      <c r="U69" s="3">
        <v>8184.32</v>
      </c>
      <c r="V69" t="s">
        <v>48</v>
      </c>
      <c r="W69" t="s">
        <v>12</v>
      </c>
      <c r="X69" t="s">
        <v>7</v>
      </c>
      <c r="Y69" t="s">
        <v>45</v>
      </c>
      <c r="Z69" t="s">
        <v>13</v>
      </c>
      <c r="AA69" t="s">
        <v>111</v>
      </c>
      <c r="AB69" t="s">
        <v>7</v>
      </c>
      <c r="AC69" t="s">
        <v>7</v>
      </c>
      <c r="AD69" t="s">
        <v>7</v>
      </c>
      <c r="AE69" s="2">
        <v>45966</v>
      </c>
      <c r="AF69" s="2"/>
      <c r="AG69" t="s">
        <v>7</v>
      </c>
    </row>
    <row r="70" spans="1:33" outlineLevel="2">
      <c r="A70" t="s">
        <v>23</v>
      </c>
      <c r="B70" s="13">
        <v>6788</v>
      </c>
      <c r="C70" s="13">
        <v>100222362</v>
      </c>
      <c r="D70" t="s">
        <v>2</v>
      </c>
      <c r="E70" t="s">
        <v>3</v>
      </c>
      <c r="F70" t="s">
        <v>37</v>
      </c>
      <c r="G70" s="2">
        <v>45966</v>
      </c>
      <c r="H70" s="13">
        <v>1800000586</v>
      </c>
      <c r="I70" t="s">
        <v>47</v>
      </c>
      <c r="J70" s="2">
        <v>45966</v>
      </c>
      <c r="K70" s="2">
        <v>45967</v>
      </c>
      <c r="L70" t="s">
        <v>45</v>
      </c>
      <c r="M70" s="16">
        <v>256788410458</v>
      </c>
      <c r="N70" t="s">
        <v>8</v>
      </c>
      <c r="O70" t="s">
        <v>9</v>
      </c>
      <c r="P70" t="s">
        <v>7</v>
      </c>
      <c r="Q70" t="s">
        <v>40</v>
      </c>
      <c r="R70" t="s">
        <v>21</v>
      </c>
      <c r="S70" s="3">
        <v>103.89</v>
      </c>
      <c r="T70" t="s">
        <v>11</v>
      </c>
      <c r="U70" s="3">
        <v>9142.67</v>
      </c>
      <c r="V70" t="s">
        <v>48</v>
      </c>
      <c r="W70" t="s">
        <v>12</v>
      </c>
      <c r="X70" t="s">
        <v>7</v>
      </c>
      <c r="Y70" t="s">
        <v>45</v>
      </c>
      <c r="Z70" t="s">
        <v>13</v>
      </c>
      <c r="AA70" t="s">
        <v>112</v>
      </c>
      <c r="AB70" t="s">
        <v>7</v>
      </c>
      <c r="AC70" t="s">
        <v>7</v>
      </c>
      <c r="AD70" t="s">
        <v>7</v>
      </c>
      <c r="AE70" s="2">
        <v>45966</v>
      </c>
      <c r="AF70" s="2"/>
      <c r="AG70" t="s">
        <v>7</v>
      </c>
    </row>
    <row r="71" spans="1:33" outlineLevel="2">
      <c r="A71" t="s">
        <v>23</v>
      </c>
      <c r="B71" s="13">
        <v>6788</v>
      </c>
      <c r="C71" s="13">
        <v>100222362</v>
      </c>
      <c r="D71" t="s">
        <v>2</v>
      </c>
      <c r="E71" t="s">
        <v>3</v>
      </c>
      <c r="F71" t="s">
        <v>24</v>
      </c>
      <c r="G71" s="2">
        <v>45877</v>
      </c>
      <c r="H71" s="13">
        <v>1800000466</v>
      </c>
      <c r="I71" t="s">
        <v>47</v>
      </c>
      <c r="J71" s="2">
        <v>45877</v>
      </c>
      <c r="K71" s="2">
        <v>45877</v>
      </c>
      <c r="L71" t="s">
        <v>45</v>
      </c>
      <c r="M71" s="16">
        <v>256788410332</v>
      </c>
      <c r="N71" t="s">
        <v>8</v>
      </c>
      <c r="O71" t="s">
        <v>9</v>
      </c>
      <c r="P71" t="s">
        <v>7</v>
      </c>
      <c r="Q71" t="s">
        <v>40</v>
      </c>
      <c r="R71" t="s">
        <v>21</v>
      </c>
      <c r="S71" s="3">
        <v>443.76</v>
      </c>
      <c r="T71" t="s">
        <v>11</v>
      </c>
      <c r="U71" s="3">
        <v>38176.730000000003</v>
      </c>
      <c r="V71" t="s">
        <v>48</v>
      </c>
      <c r="W71" t="s">
        <v>12</v>
      </c>
      <c r="X71" t="s">
        <v>7</v>
      </c>
      <c r="Y71" t="s">
        <v>45</v>
      </c>
      <c r="Z71" t="s">
        <v>13</v>
      </c>
      <c r="AA71" t="s">
        <v>94</v>
      </c>
      <c r="AB71" t="s">
        <v>7</v>
      </c>
      <c r="AC71" t="s">
        <v>7</v>
      </c>
      <c r="AD71" t="s">
        <v>7</v>
      </c>
      <c r="AE71" s="2">
        <v>45877</v>
      </c>
      <c r="AF71" s="2"/>
      <c r="AG71" t="s">
        <v>7</v>
      </c>
    </row>
    <row r="72" spans="1:33" outlineLevel="2">
      <c r="A72" t="s">
        <v>23</v>
      </c>
      <c r="B72" s="13">
        <v>6788</v>
      </c>
      <c r="C72" s="13">
        <v>100222362</v>
      </c>
      <c r="D72" t="s">
        <v>2</v>
      </c>
      <c r="E72" t="s">
        <v>3</v>
      </c>
      <c r="F72" t="s">
        <v>24</v>
      </c>
      <c r="G72" s="2">
        <v>45877</v>
      </c>
      <c r="H72" s="13">
        <v>1800000469</v>
      </c>
      <c r="I72" t="s">
        <v>47</v>
      </c>
      <c r="J72" s="2">
        <v>45877</v>
      </c>
      <c r="K72" s="2">
        <v>45877</v>
      </c>
      <c r="L72" t="s">
        <v>45</v>
      </c>
      <c r="M72" s="16">
        <v>256788410335</v>
      </c>
      <c r="N72" t="s">
        <v>8</v>
      </c>
      <c r="O72" t="s">
        <v>9</v>
      </c>
      <c r="P72" t="s">
        <v>7</v>
      </c>
      <c r="Q72" t="s">
        <v>40</v>
      </c>
      <c r="R72" t="s">
        <v>21</v>
      </c>
      <c r="S72" s="3">
        <v>73.67</v>
      </c>
      <c r="T72" t="s">
        <v>11</v>
      </c>
      <c r="U72" s="3">
        <v>6337.84</v>
      </c>
      <c r="V72" t="s">
        <v>48</v>
      </c>
      <c r="W72" t="s">
        <v>12</v>
      </c>
      <c r="X72" t="s">
        <v>7</v>
      </c>
      <c r="Y72" t="s">
        <v>45</v>
      </c>
      <c r="Z72" t="s">
        <v>13</v>
      </c>
      <c r="AA72" t="s">
        <v>113</v>
      </c>
      <c r="AB72" t="s">
        <v>7</v>
      </c>
      <c r="AC72" t="s">
        <v>7</v>
      </c>
      <c r="AD72" t="s">
        <v>7</v>
      </c>
      <c r="AE72" s="2">
        <v>45877</v>
      </c>
      <c r="AF72" s="2"/>
      <c r="AG72" t="s">
        <v>7</v>
      </c>
    </row>
    <row r="73" spans="1:33" outlineLevel="2">
      <c r="A73" t="s">
        <v>23</v>
      </c>
      <c r="B73" s="13">
        <v>6788</v>
      </c>
      <c r="C73" s="13">
        <v>100222362</v>
      </c>
      <c r="D73" t="s">
        <v>2</v>
      </c>
      <c r="E73" t="s">
        <v>3</v>
      </c>
      <c r="F73" t="s">
        <v>24</v>
      </c>
      <c r="G73" s="2">
        <v>45877</v>
      </c>
      <c r="H73" s="13">
        <v>1800000470</v>
      </c>
      <c r="I73" t="s">
        <v>47</v>
      </c>
      <c r="J73" s="2">
        <v>45877</v>
      </c>
      <c r="K73" s="2">
        <v>45877</v>
      </c>
      <c r="L73" t="s">
        <v>45</v>
      </c>
      <c r="M73" s="16">
        <v>256788410336</v>
      </c>
      <c r="N73" t="s">
        <v>8</v>
      </c>
      <c r="O73" t="s">
        <v>9</v>
      </c>
      <c r="P73" t="s">
        <v>7</v>
      </c>
      <c r="Q73" t="s">
        <v>40</v>
      </c>
      <c r="R73" t="s">
        <v>21</v>
      </c>
      <c r="S73" s="3">
        <v>11976.87</v>
      </c>
      <c r="T73" t="s">
        <v>11</v>
      </c>
      <c r="U73" s="3">
        <v>1030371.56</v>
      </c>
      <c r="V73" t="s">
        <v>48</v>
      </c>
      <c r="W73" t="s">
        <v>12</v>
      </c>
      <c r="X73" t="s">
        <v>7</v>
      </c>
      <c r="Y73" t="s">
        <v>45</v>
      </c>
      <c r="Z73" t="s">
        <v>13</v>
      </c>
      <c r="AA73" t="s">
        <v>114</v>
      </c>
      <c r="AB73" t="s">
        <v>7</v>
      </c>
      <c r="AC73" t="s">
        <v>7</v>
      </c>
      <c r="AD73" t="s">
        <v>7</v>
      </c>
      <c r="AE73" s="2">
        <v>45877</v>
      </c>
      <c r="AF73" s="2"/>
      <c r="AG73" t="s">
        <v>7</v>
      </c>
    </row>
    <row r="74" spans="1:33" outlineLevel="2">
      <c r="A74" t="s">
        <v>23</v>
      </c>
      <c r="B74" s="13">
        <v>6788</v>
      </c>
      <c r="C74" s="13">
        <v>100222362</v>
      </c>
      <c r="D74" t="s">
        <v>2</v>
      </c>
      <c r="E74" t="s">
        <v>3</v>
      </c>
      <c r="F74" t="s">
        <v>24</v>
      </c>
      <c r="G74" s="2">
        <v>45877</v>
      </c>
      <c r="H74" s="13">
        <v>1800000457</v>
      </c>
      <c r="I74" t="s">
        <v>47</v>
      </c>
      <c r="J74" s="2">
        <v>45877</v>
      </c>
      <c r="K74" s="2">
        <v>45877</v>
      </c>
      <c r="L74" t="s">
        <v>45</v>
      </c>
      <c r="M74" s="16">
        <v>256788410338</v>
      </c>
      <c r="N74" t="s">
        <v>8</v>
      </c>
      <c r="O74" t="s">
        <v>9</v>
      </c>
      <c r="P74" t="s">
        <v>7</v>
      </c>
      <c r="Q74" t="s">
        <v>40</v>
      </c>
      <c r="R74" t="s">
        <v>21</v>
      </c>
      <c r="S74" s="3">
        <v>607.84</v>
      </c>
      <c r="T74" t="s">
        <v>11</v>
      </c>
      <c r="U74" s="3">
        <v>52292.55</v>
      </c>
      <c r="V74" t="s">
        <v>48</v>
      </c>
      <c r="W74" t="s">
        <v>12</v>
      </c>
      <c r="X74" t="s">
        <v>7</v>
      </c>
      <c r="Y74" t="s">
        <v>45</v>
      </c>
      <c r="Z74" t="s">
        <v>13</v>
      </c>
      <c r="AA74" t="s">
        <v>115</v>
      </c>
      <c r="AB74" t="s">
        <v>7</v>
      </c>
      <c r="AC74" t="s">
        <v>7</v>
      </c>
      <c r="AD74" t="s">
        <v>7</v>
      </c>
      <c r="AE74" s="2">
        <v>45877</v>
      </c>
      <c r="AF74" s="2"/>
      <c r="AG74" t="s">
        <v>7</v>
      </c>
    </row>
    <row r="75" spans="1:33" outlineLevel="2">
      <c r="A75" t="s">
        <v>23</v>
      </c>
      <c r="B75" s="13">
        <v>6788</v>
      </c>
      <c r="C75" s="13">
        <v>100222362</v>
      </c>
      <c r="D75" t="s">
        <v>2</v>
      </c>
      <c r="E75" t="s">
        <v>3</v>
      </c>
      <c r="F75" t="s">
        <v>24</v>
      </c>
      <c r="G75" s="2">
        <v>45877</v>
      </c>
      <c r="H75" s="13">
        <v>1800000458</v>
      </c>
      <c r="I75" t="s">
        <v>47</v>
      </c>
      <c r="J75" s="2">
        <v>45877</v>
      </c>
      <c r="K75" s="2">
        <v>45877</v>
      </c>
      <c r="L75" t="s">
        <v>45</v>
      </c>
      <c r="M75" s="16">
        <v>256788410339</v>
      </c>
      <c r="N75" t="s">
        <v>8</v>
      </c>
      <c r="O75" t="s">
        <v>9</v>
      </c>
      <c r="P75" t="s">
        <v>7</v>
      </c>
      <c r="Q75" t="s">
        <v>40</v>
      </c>
      <c r="R75" t="s">
        <v>21</v>
      </c>
      <c r="S75" s="3">
        <v>400</v>
      </c>
      <c r="T75" t="s">
        <v>11</v>
      </c>
      <c r="U75" s="3">
        <v>34412.050000000003</v>
      </c>
      <c r="V75" t="s">
        <v>48</v>
      </c>
      <c r="W75" t="s">
        <v>12</v>
      </c>
      <c r="X75" t="s">
        <v>7</v>
      </c>
      <c r="Y75" t="s">
        <v>45</v>
      </c>
      <c r="Z75" t="s">
        <v>13</v>
      </c>
      <c r="AA75" t="s">
        <v>115</v>
      </c>
      <c r="AB75" t="s">
        <v>7</v>
      </c>
      <c r="AC75" t="s">
        <v>7</v>
      </c>
      <c r="AD75" t="s">
        <v>7</v>
      </c>
      <c r="AE75" s="2">
        <v>45877</v>
      </c>
      <c r="AF75" s="2"/>
      <c r="AG75" t="s">
        <v>7</v>
      </c>
    </row>
    <row r="76" spans="1:33" outlineLevel="2">
      <c r="A76" t="s">
        <v>23</v>
      </c>
      <c r="B76" s="13">
        <v>6788</v>
      </c>
      <c r="C76" s="13">
        <v>100222362</v>
      </c>
      <c r="D76" t="s">
        <v>2</v>
      </c>
      <c r="E76" t="s">
        <v>3</v>
      </c>
      <c r="F76" t="s">
        <v>24</v>
      </c>
      <c r="G76" s="2">
        <v>45877</v>
      </c>
      <c r="H76" s="13">
        <v>1800000459</v>
      </c>
      <c r="I76" t="s">
        <v>47</v>
      </c>
      <c r="J76" s="2">
        <v>45877</v>
      </c>
      <c r="K76" s="2">
        <v>45877</v>
      </c>
      <c r="L76" t="s">
        <v>45</v>
      </c>
      <c r="M76" s="16">
        <v>256788410340</v>
      </c>
      <c r="N76" t="s">
        <v>8</v>
      </c>
      <c r="O76" t="s">
        <v>9</v>
      </c>
      <c r="P76" t="s">
        <v>7</v>
      </c>
      <c r="Q76" t="s">
        <v>40</v>
      </c>
      <c r="R76" t="s">
        <v>21</v>
      </c>
      <c r="S76" s="3">
        <v>90</v>
      </c>
      <c r="T76" t="s">
        <v>11</v>
      </c>
      <c r="U76" s="3">
        <v>7742.71</v>
      </c>
      <c r="V76" t="s">
        <v>48</v>
      </c>
      <c r="W76" t="s">
        <v>12</v>
      </c>
      <c r="X76" t="s">
        <v>7</v>
      </c>
      <c r="Y76" t="s">
        <v>45</v>
      </c>
      <c r="Z76" t="s">
        <v>13</v>
      </c>
      <c r="AA76" t="s">
        <v>116</v>
      </c>
      <c r="AB76" t="s">
        <v>7</v>
      </c>
      <c r="AC76" t="s">
        <v>7</v>
      </c>
      <c r="AD76" t="s">
        <v>7</v>
      </c>
      <c r="AE76" s="2">
        <v>45877</v>
      </c>
      <c r="AF76" s="2"/>
      <c r="AG76" t="s">
        <v>7</v>
      </c>
    </row>
    <row r="77" spans="1:33" outlineLevel="2">
      <c r="A77" t="s">
        <v>23</v>
      </c>
      <c r="B77" s="13">
        <v>6788</v>
      </c>
      <c r="C77" s="13">
        <v>100222362</v>
      </c>
      <c r="D77" t="s">
        <v>2</v>
      </c>
      <c r="E77" t="s">
        <v>3</v>
      </c>
      <c r="F77" t="s">
        <v>24</v>
      </c>
      <c r="G77" s="2">
        <v>45877</v>
      </c>
      <c r="H77" s="13">
        <v>1800000460</v>
      </c>
      <c r="I77" t="s">
        <v>47</v>
      </c>
      <c r="J77" s="2">
        <v>45877</v>
      </c>
      <c r="K77" s="2">
        <v>45877</v>
      </c>
      <c r="L77" t="s">
        <v>45</v>
      </c>
      <c r="M77" s="16">
        <v>256788410341</v>
      </c>
      <c r="N77" t="s">
        <v>8</v>
      </c>
      <c r="O77" t="s">
        <v>9</v>
      </c>
      <c r="P77" t="s">
        <v>7</v>
      </c>
      <c r="Q77" t="s">
        <v>40</v>
      </c>
      <c r="R77" t="s">
        <v>21</v>
      </c>
      <c r="S77" s="3">
        <v>31.3</v>
      </c>
      <c r="T77" t="s">
        <v>11</v>
      </c>
      <c r="U77" s="3">
        <v>2692.74</v>
      </c>
      <c r="V77" t="s">
        <v>48</v>
      </c>
      <c r="W77" t="s">
        <v>12</v>
      </c>
      <c r="X77" t="s">
        <v>7</v>
      </c>
      <c r="Y77" t="s">
        <v>45</v>
      </c>
      <c r="Z77" t="s">
        <v>13</v>
      </c>
      <c r="AA77" t="s">
        <v>117</v>
      </c>
      <c r="AB77" t="s">
        <v>7</v>
      </c>
      <c r="AC77" t="s">
        <v>7</v>
      </c>
      <c r="AD77" t="s">
        <v>7</v>
      </c>
      <c r="AE77" s="2">
        <v>45877</v>
      </c>
      <c r="AF77" s="2"/>
      <c r="AG77" t="s">
        <v>7</v>
      </c>
    </row>
    <row r="78" spans="1:33" outlineLevel="2">
      <c r="A78" t="s">
        <v>23</v>
      </c>
      <c r="B78" s="13">
        <v>6788</v>
      </c>
      <c r="C78" s="13">
        <v>100222362</v>
      </c>
      <c r="D78" t="s">
        <v>2</v>
      </c>
      <c r="E78" t="s">
        <v>3</v>
      </c>
      <c r="F78" t="s">
        <v>24</v>
      </c>
      <c r="G78" s="2">
        <v>45877</v>
      </c>
      <c r="H78" s="13">
        <v>1800000461</v>
      </c>
      <c r="I78" t="s">
        <v>47</v>
      </c>
      <c r="J78" s="2">
        <v>45877</v>
      </c>
      <c r="K78" s="2">
        <v>45877</v>
      </c>
      <c r="L78" t="s">
        <v>45</v>
      </c>
      <c r="M78" s="16">
        <v>256788410342</v>
      </c>
      <c r="N78" t="s">
        <v>8</v>
      </c>
      <c r="O78" t="s">
        <v>9</v>
      </c>
      <c r="P78" t="s">
        <v>7</v>
      </c>
      <c r="Q78" t="s">
        <v>40</v>
      </c>
      <c r="R78" t="s">
        <v>21</v>
      </c>
      <c r="S78" s="3">
        <v>2269.79</v>
      </c>
      <c r="T78" t="s">
        <v>11</v>
      </c>
      <c r="U78" s="3">
        <v>195270.31</v>
      </c>
      <c r="V78" t="s">
        <v>48</v>
      </c>
      <c r="W78" t="s">
        <v>12</v>
      </c>
      <c r="X78" t="s">
        <v>7</v>
      </c>
      <c r="Y78" t="s">
        <v>45</v>
      </c>
      <c r="Z78" t="s">
        <v>13</v>
      </c>
      <c r="AA78" t="s">
        <v>118</v>
      </c>
      <c r="AB78" t="s">
        <v>7</v>
      </c>
      <c r="AC78" t="s">
        <v>7</v>
      </c>
      <c r="AD78" t="s">
        <v>7</v>
      </c>
      <c r="AE78" s="2">
        <v>45877</v>
      </c>
      <c r="AF78" s="2"/>
      <c r="AG78" t="s">
        <v>7</v>
      </c>
    </row>
    <row r="79" spans="1:33" outlineLevel="2">
      <c r="A79" t="s">
        <v>23</v>
      </c>
      <c r="B79" s="13">
        <v>6788</v>
      </c>
      <c r="C79" s="13">
        <v>100222362</v>
      </c>
      <c r="D79" t="s">
        <v>2</v>
      </c>
      <c r="E79" t="s">
        <v>3</v>
      </c>
      <c r="F79" t="s">
        <v>24</v>
      </c>
      <c r="G79" s="2">
        <v>45877</v>
      </c>
      <c r="H79" s="13">
        <v>1800000462</v>
      </c>
      <c r="I79" t="s">
        <v>47</v>
      </c>
      <c r="J79" s="2">
        <v>45877</v>
      </c>
      <c r="K79" s="2">
        <v>45877</v>
      </c>
      <c r="L79" t="s">
        <v>45</v>
      </c>
      <c r="M79" s="16">
        <v>256788410343</v>
      </c>
      <c r="N79" t="s">
        <v>8</v>
      </c>
      <c r="O79" t="s">
        <v>9</v>
      </c>
      <c r="P79" t="s">
        <v>7</v>
      </c>
      <c r="Q79" t="s">
        <v>40</v>
      </c>
      <c r="R79" t="s">
        <v>21</v>
      </c>
      <c r="S79" s="3">
        <v>18.52</v>
      </c>
      <c r="T79" t="s">
        <v>11</v>
      </c>
      <c r="U79" s="3">
        <v>1593.28</v>
      </c>
      <c r="V79" t="s">
        <v>48</v>
      </c>
      <c r="W79" t="s">
        <v>12</v>
      </c>
      <c r="X79" t="s">
        <v>7</v>
      </c>
      <c r="Y79" t="s">
        <v>45</v>
      </c>
      <c r="Z79" t="s">
        <v>13</v>
      </c>
      <c r="AA79" t="s">
        <v>119</v>
      </c>
      <c r="AB79" t="s">
        <v>7</v>
      </c>
      <c r="AC79" t="s">
        <v>7</v>
      </c>
      <c r="AD79" t="s">
        <v>7</v>
      </c>
      <c r="AE79" s="2">
        <v>45877</v>
      </c>
      <c r="AF79" s="2"/>
      <c r="AG79" t="s">
        <v>7</v>
      </c>
    </row>
    <row r="80" spans="1:33" outlineLevel="2">
      <c r="A80" t="s">
        <v>23</v>
      </c>
      <c r="B80" s="13">
        <v>6788</v>
      </c>
      <c r="C80" s="13">
        <v>100222362</v>
      </c>
      <c r="D80" t="s">
        <v>2</v>
      </c>
      <c r="E80" t="s">
        <v>3</v>
      </c>
      <c r="F80" t="s">
        <v>24</v>
      </c>
      <c r="G80" s="2">
        <v>45877</v>
      </c>
      <c r="H80" s="13">
        <v>1800000465</v>
      </c>
      <c r="I80" t="s">
        <v>47</v>
      </c>
      <c r="J80" s="2">
        <v>45877</v>
      </c>
      <c r="K80" s="2">
        <v>45877</v>
      </c>
      <c r="L80" t="s">
        <v>45</v>
      </c>
      <c r="M80" s="16">
        <v>256788410346</v>
      </c>
      <c r="N80" t="s">
        <v>8</v>
      </c>
      <c r="O80" t="s">
        <v>9</v>
      </c>
      <c r="P80" t="s">
        <v>7</v>
      </c>
      <c r="Q80" t="s">
        <v>40</v>
      </c>
      <c r="R80" t="s">
        <v>21</v>
      </c>
      <c r="S80" s="3">
        <v>73.67</v>
      </c>
      <c r="T80" t="s">
        <v>11</v>
      </c>
      <c r="U80" s="3">
        <v>6337.84</v>
      </c>
      <c r="V80" t="s">
        <v>48</v>
      </c>
      <c r="W80" t="s">
        <v>12</v>
      </c>
      <c r="X80" t="s">
        <v>7</v>
      </c>
      <c r="Y80" t="s">
        <v>45</v>
      </c>
      <c r="Z80" t="s">
        <v>13</v>
      </c>
      <c r="AA80" t="s">
        <v>113</v>
      </c>
      <c r="AB80" t="s">
        <v>7</v>
      </c>
      <c r="AC80" t="s">
        <v>7</v>
      </c>
      <c r="AD80" t="s">
        <v>7</v>
      </c>
      <c r="AE80" s="2">
        <v>45877</v>
      </c>
      <c r="AF80" s="2"/>
      <c r="AG80" t="s">
        <v>7</v>
      </c>
    </row>
    <row r="81" spans="1:33" outlineLevel="2">
      <c r="A81" t="s">
        <v>23</v>
      </c>
      <c r="B81" s="13">
        <v>6788</v>
      </c>
      <c r="C81" s="13">
        <v>100222362</v>
      </c>
      <c r="D81" t="s">
        <v>2</v>
      </c>
      <c r="E81" t="s">
        <v>3</v>
      </c>
      <c r="F81" t="s">
        <v>24</v>
      </c>
      <c r="G81" s="2">
        <v>45877</v>
      </c>
      <c r="H81" s="13">
        <v>1800000472</v>
      </c>
      <c r="I81" t="s">
        <v>47</v>
      </c>
      <c r="J81" s="2">
        <v>45877</v>
      </c>
      <c r="K81" s="2">
        <v>45877</v>
      </c>
      <c r="L81" t="s">
        <v>45</v>
      </c>
      <c r="M81" s="16">
        <v>256788410347</v>
      </c>
      <c r="N81" t="s">
        <v>8</v>
      </c>
      <c r="O81" t="s">
        <v>9</v>
      </c>
      <c r="P81" t="s">
        <v>7</v>
      </c>
      <c r="Q81" t="s">
        <v>40</v>
      </c>
      <c r="R81" t="s">
        <v>21</v>
      </c>
      <c r="S81" s="3">
        <v>393.73</v>
      </c>
      <c r="T81" t="s">
        <v>11</v>
      </c>
      <c r="U81" s="3">
        <v>33872.639999999999</v>
      </c>
      <c r="V81" t="s">
        <v>48</v>
      </c>
      <c r="W81" t="s">
        <v>12</v>
      </c>
      <c r="X81" t="s">
        <v>7</v>
      </c>
      <c r="Y81" t="s">
        <v>45</v>
      </c>
      <c r="Z81" t="s">
        <v>13</v>
      </c>
      <c r="AA81" t="s">
        <v>120</v>
      </c>
      <c r="AB81" t="s">
        <v>7</v>
      </c>
      <c r="AC81" t="s">
        <v>7</v>
      </c>
      <c r="AD81" t="s">
        <v>7</v>
      </c>
      <c r="AE81" s="2">
        <v>45877</v>
      </c>
      <c r="AF81" s="2"/>
      <c r="AG81" t="s">
        <v>7</v>
      </c>
    </row>
    <row r="82" spans="1:33" outlineLevel="2">
      <c r="A82" t="s">
        <v>23</v>
      </c>
      <c r="B82" s="13">
        <v>6788</v>
      </c>
      <c r="C82" s="13">
        <v>100222362</v>
      </c>
      <c r="D82" t="s">
        <v>2</v>
      </c>
      <c r="E82" t="s">
        <v>3</v>
      </c>
      <c r="F82" t="s">
        <v>61</v>
      </c>
      <c r="G82" s="2">
        <v>45812</v>
      </c>
      <c r="H82" s="13">
        <v>1800000350</v>
      </c>
      <c r="I82" t="s">
        <v>47</v>
      </c>
      <c r="J82" s="2">
        <v>45812</v>
      </c>
      <c r="K82" s="2">
        <v>45817</v>
      </c>
      <c r="L82" t="s">
        <v>45</v>
      </c>
      <c r="M82" s="16">
        <v>256788410225</v>
      </c>
      <c r="N82" t="s">
        <v>8</v>
      </c>
      <c r="O82" t="s">
        <v>9</v>
      </c>
      <c r="P82" t="s">
        <v>7</v>
      </c>
      <c r="Q82" t="s">
        <v>40</v>
      </c>
      <c r="R82" t="s">
        <v>21</v>
      </c>
      <c r="S82" s="3">
        <v>111.13</v>
      </c>
      <c r="T82" t="s">
        <v>11</v>
      </c>
      <c r="U82" s="3">
        <v>9500.59</v>
      </c>
      <c r="V82" t="s">
        <v>48</v>
      </c>
      <c r="W82" t="s">
        <v>12</v>
      </c>
      <c r="X82" t="s">
        <v>7</v>
      </c>
      <c r="Y82" t="s">
        <v>45</v>
      </c>
      <c r="Z82" t="s">
        <v>13</v>
      </c>
      <c r="AA82" t="s">
        <v>121</v>
      </c>
      <c r="AB82" t="s">
        <v>7</v>
      </c>
      <c r="AC82" t="s">
        <v>7</v>
      </c>
      <c r="AD82" t="s">
        <v>7</v>
      </c>
      <c r="AE82" s="2">
        <v>45812</v>
      </c>
      <c r="AF82" s="2"/>
      <c r="AG82" t="s">
        <v>7</v>
      </c>
    </row>
    <row r="83" spans="1:33" outlineLevel="2">
      <c r="A83" t="s">
        <v>23</v>
      </c>
      <c r="B83" s="13">
        <v>6788</v>
      </c>
      <c r="C83" s="13">
        <v>100222362</v>
      </c>
      <c r="D83" t="s">
        <v>2</v>
      </c>
      <c r="E83" t="s">
        <v>3</v>
      </c>
      <c r="F83" t="s">
        <v>61</v>
      </c>
      <c r="G83" s="2">
        <v>45812</v>
      </c>
      <c r="H83" s="13">
        <v>1800000351</v>
      </c>
      <c r="I83" t="s">
        <v>47</v>
      </c>
      <c r="J83" s="2">
        <v>45812</v>
      </c>
      <c r="K83" s="2">
        <v>45817</v>
      </c>
      <c r="L83" t="s">
        <v>45</v>
      </c>
      <c r="M83" s="16">
        <v>256788410226</v>
      </c>
      <c r="N83" t="s">
        <v>8</v>
      </c>
      <c r="O83" t="s">
        <v>9</v>
      </c>
      <c r="P83" t="s">
        <v>7</v>
      </c>
      <c r="Q83" t="s">
        <v>40</v>
      </c>
      <c r="R83" t="s">
        <v>21</v>
      </c>
      <c r="S83" s="3">
        <v>223.31</v>
      </c>
      <c r="T83" t="s">
        <v>11</v>
      </c>
      <c r="U83" s="3">
        <v>19090.95</v>
      </c>
      <c r="V83" t="s">
        <v>48</v>
      </c>
      <c r="W83" t="s">
        <v>12</v>
      </c>
      <c r="X83" t="s">
        <v>7</v>
      </c>
      <c r="Y83" t="s">
        <v>45</v>
      </c>
      <c r="Z83" t="s">
        <v>13</v>
      </c>
      <c r="AA83" t="s">
        <v>122</v>
      </c>
      <c r="AB83" t="s">
        <v>7</v>
      </c>
      <c r="AC83" t="s">
        <v>7</v>
      </c>
      <c r="AD83" t="s">
        <v>7</v>
      </c>
      <c r="AE83" s="2">
        <v>45812</v>
      </c>
      <c r="AF83" s="2"/>
      <c r="AG83" t="s">
        <v>7</v>
      </c>
    </row>
    <row r="84" spans="1:33" outlineLevel="2">
      <c r="A84" t="s">
        <v>23</v>
      </c>
      <c r="B84" s="13">
        <v>6788</v>
      </c>
      <c r="C84" s="13">
        <v>100222362</v>
      </c>
      <c r="D84" t="s">
        <v>2</v>
      </c>
      <c r="E84" t="s">
        <v>3</v>
      </c>
      <c r="F84" t="s">
        <v>61</v>
      </c>
      <c r="G84" s="2">
        <v>45812</v>
      </c>
      <c r="H84" s="13">
        <v>1800000352</v>
      </c>
      <c r="I84" t="s">
        <v>47</v>
      </c>
      <c r="J84" s="2">
        <v>45812</v>
      </c>
      <c r="K84" s="2">
        <v>45821</v>
      </c>
      <c r="L84" t="s">
        <v>45</v>
      </c>
      <c r="M84" s="16">
        <v>256788410227</v>
      </c>
      <c r="N84" t="s">
        <v>8</v>
      </c>
      <c r="O84" t="s">
        <v>9</v>
      </c>
      <c r="P84" t="s">
        <v>7</v>
      </c>
      <c r="Q84" t="s">
        <v>40</v>
      </c>
      <c r="R84" t="s">
        <v>21</v>
      </c>
      <c r="S84" s="3">
        <v>27.61</v>
      </c>
      <c r="T84" t="s">
        <v>11</v>
      </c>
      <c r="U84" s="3">
        <v>2360.4</v>
      </c>
      <c r="V84" t="s">
        <v>48</v>
      </c>
      <c r="W84" t="s">
        <v>12</v>
      </c>
      <c r="X84" t="s">
        <v>7</v>
      </c>
      <c r="Y84" t="s">
        <v>45</v>
      </c>
      <c r="Z84" t="s">
        <v>13</v>
      </c>
      <c r="AA84" t="s">
        <v>123</v>
      </c>
      <c r="AB84" t="s">
        <v>7</v>
      </c>
      <c r="AC84" t="s">
        <v>7</v>
      </c>
      <c r="AD84" t="s">
        <v>7</v>
      </c>
      <c r="AE84" s="2">
        <v>45812</v>
      </c>
      <c r="AF84" s="2"/>
      <c r="AG84" t="s">
        <v>7</v>
      </c>
    </row>
    <row r="85" spans="1:33" outlineLevel="2">
      <c r="A85" t="s">
        <v>0</v>
      </c>
      <c r="B85" s="13">
        <v>6788</v>
      </c>
      <c r="C85" s="13">
        <v>100222362</v>
      </c>
      <c r="D85" t="s">
        <v>2</v>
      </c>
      <c r="E85" t="s">
        <v>3</v>
      </c>
      <c r="F85" t="s">
        <v>67</v>
      </c>
      <c r="G85" s="2">
        <v>45793</v>
      </c>
      <c r="H85" s="13">
        <v>1600000113</v>
      </c>
      <c r="I85" t="s">
        <v>71</v>
      </c>
      <c r="J85" s="2">
        <v>45793</v>
      </c>
      <c r="K85" s="2">
        <v>45800</v>
      </c>
      <c r="L85" t="s">
        <v>45</v>
      </c>
      <c r="M85" s="16">
        <v>256788420001</v>
      </c>
      <c r="N85" t="s">
        <v>8</v>
      </c>
      <c r="O85" t="s">
        <v>9</v>
      </c>
      <c r="P85" t="s">
        <v>7</v>
      </c>
      <c r="Q85" t="s">
        <v>37</v>
      </c>
      <c r="R85" t="s">
        <v>21</v>
      </c>
      <c r="S85" s="3">
        <v>-75</v>
      </c>
      <c r="T85" t="s">
        <v>11</v>
      </c>
      <c r="U85" s="3">
        <v>-6448.78</v>
      </c>
      <c r="V85" t="s">
        <v>48</v>
      </c>
      <c r="W85" t="s">
        <v>12</v>
      </c>
      <c r="X85" t="s">
        <v>7</v>
      </c>
      <c r="Y85" t="s">
        <v>45</v>
      </c>
      <c r="Z85" t="s">
        <v>13</v>
      </c>
      <c r="AA85" t="s">
        <v>124</v>
      </c>
      <c r="AB85" t="s">
        <v>7</v>
      </c>
      <c r="AC85" t="s">
        <v>7</v>
      </c>
      <c r="AD85" t="s">
        <v>7</v>
      </c>
      <c r="AE85" s="2">
        <v>45793</v>
      </c>
      <c r="AF85" s="2">
        <v>45976</v>
      </c>
      <c r="AG85" t="s">
        <v>44</v>
      </c>
    </row>
    <row r="86" spans="1:33" outlineLevel="2">
      <c r="A86" t="s">
        <v>0</v>
      </c>
      <c r="B86" s="13">
        <v>6788</v>
      </c>
      <c r="C86" s="13">
        <v>100222362</v>
      </c>
      <c r="D86" t="s">
        <v>2</v>
      </c>
      <c r="E86" t="s">
        <v>3</v>
      </c>
      <c r="F86" t="s">
        <v>67</v>
      </c>
      <c r="G86" s="2">
        <v>45793</v>
      </c>
      <c r="H86" s="13">
        <v>1600000117</v>
      </c>
      <c r="I86" t="s">
        <v>71</v>
      </c>
      <c r="J86" s="2">
        <v>45793</v>
      </c>
      <c r="K86" s="2">
        <v>45800</v>
      </c>
      <c r="L86" t="s">
        <v>45</v>
      </c>
      <c r="M86" s="16">
        <v>256788420005</v>
      </c>
      <c r="N86" t="s">
        <v>8</v>
      </c>
      <c r="O86" t="s">
        <v>9</v>
      </c>
      <c r="P86" t="s">
        <v>7</v>
      </c>
      <c r="Q86" t="s">
        <v>37</v>
      </c>
      <c r="R86" t="s">
        <v>21</v>
      </c>
      <c r="S86" s="3">
        <v>-75</v>
      </c>
      <c r="T86" t="s">
        <v>11</v>
      </c>
      <c r="U86" s="3">
        <v>-6448.78</v>
      </c>
      <c r="V86" t="s">
        <v>48</v>
      </c>
      <c r="W86" t="s">
        <v>12</v>
      </c>
      <c r="X86" t="s">
        <v>7</v>
      </c>
      <c r="Y86" t="s">
        <v>45</v>
      </c>
      <c r="Z86" t="s">
        <v>13</v>
      </c>
      <c r="AA86" t="s">
        <v>125</v>
      </c>
      <c r="AB86" t="s">
        <v>7</v>
      </c>
      <c r="AC86" t="s">
        <v>7</v>
      </c>
      <c r="AD86" t="s">
        <v>7</v>
      </c>
      <c r="AE86" s="2">
        <v>45793</v>
      </c>
      <c r="AF86" s="2">
        <v>45976</v>
      </c>
      <c r="AG86" t="s">
        <v>44</v>
      </c>
    </row>
    <row r="87" spans="1:33" outlineLevel="2">
      <c r="A87" t="s">
        <v>0</v>
      </c>
      <c r="B87" s="13">
        <v>6788</v>
      </c>
      <c r="C87" s="13">
        <v>100222362</v>
      </c>
      <c r="D87" t="s">
        <v>2</v>
      </c>
      <c r="E87" t="s">
        <v>3</v>
      </c>
      <c r="F87" t="s">
        <v>16</v>
      </c>
      <c r="G87" s="2">
        <v>45705</v>
      </c>
      <c r="H87" s="13">
        <v>1800000000</v>
      </c>
      <c r="I87" t="s">
        <v>47</v>
      </c>
      <c r="J87" s="2">
        <v>45705</v>
      </c>
      <c r="K87" s="2">
        <v>45705</v>
      </c>
      <c r="L87" t="s">
        <v>19</v>
      </c>
      <c r="M87" s="16">
        <v>246788410001</v>
      </c>
      <c r="N87" t="s">
        <v>8</v>
      </c>
      <c r="O87" t="s">
        <v>9</v>
      </c>
      <c r="P87" t="s">
        <v>7</v>
      </c>
      <c r="Q87" t="s">
        <v>40</v>
      </c>
      <c r="R87" t="s">
        <v>21</v>
      </c>
      <c r="S87" s="3">
        <v>75</v>
      </c>
      <c r="T87" t="s">
        <v>11</v>
      </c>
      <c r="U87" s="3">
        <v>6472.77</v>
      </c>
      <c r="V87" t="s">
        <v>48</v>
      </c>
      <c r="W87" t="s">
        <v>12</v>
      </c>
      <c r="X87" t="s">
        <v>7</v>
      </c>
      <c r="Y87" t="s">
        <v>19</v>
      </c>
      <c r="Z87" t="s">
        <v>13</v>
      </c>
      <c r="AA87" t="s">
        <v>126</v>
      </c>
      <c r="AB87" t="s">
        <v>7</v>
      </c>
      <c r="AC87" t="s">
        <v>7</v>
      </c>
      <c r="AD87" t="s">
        <v>7</v>
      </c>
      <c r="AE87" s="2">
        <v>45705</v>
      </c>
      <c r="AF87" s="2">
        <v>45707</v>
      </c>
      <c r="AG87" t="s">
        <v>17</v>
      </c>
    </row>
    <row r="88" spans="1:33" outlineLevel="2">
      <c r="A88" t="s">
        <v>23</v>
      </c>
      <c r="B88" s="13">
        <v>6788</v>
      </c>
      <c r="C88" s="13">
        <v>100222362</v>
      </c>
      <c r="D88" t="s">
        <v>2</v>
      </c>
      <c r="E88" t="s">
        <v>3</v>
      </c>
      <c r="F88" t="s">
        <v>67</v>
      </c>
      <c r="G88" s="2">
        <v>45805</v>
      </c>
      <c r="H88" s="13">
        <v>1800000346</v>
      </c>
      <c r="I88" t="s">
        <v>47</v>
      </c>
      <c r="J88" s="2">
        <v>45805</v>
      </c>
      <c r="K88" s="2">
        <v>45805</v>
      </c>
      <c r="L88" t="s">
        <v>45</v>
      </c>
      <c r="M88" s="16">
        <v>256788410221</v>
      </c>
      <c r="N88" t="s">
        <v>8</v>
      </c>
      <c r="O88" t="s">
        <v>9</v>
      </c>
      <c r="P88" t="s">
        <v>7</v>
      </c>
      <c r="Q88" t="s">
        <v>40</v>
      </c>
      <c r="R88" t="s">
        <v>21</v>
      </c>
      <c r="S88" s="3">
        <v>10364.719999999999</v>
      </c>
      <c r="T88" t="s">
        <v>11</v>
      </c>
      <c r="U88" s="3">
        <v>891196.98</v>
      </c>
      <c r="V88" t="s">
        <v>48</v>
      </c>
      <c r="W88" t="s">
        <v>12</v>
      </c>
      <c r="X88" t="s">
        <v>7</v>
      </c>
      <c r="Y88" t="s">
        <v>45</v>
      </c>
      <c r="Z88" t="s">
        <v>13</v>
      </c>
      <c r="AA88" t="s">
        <v>127</v>
      </c>
      <c r="AB88" t="s">
        <v>7</v>
      </c>
      <c r="AC88" t="s">
        <v>7</v>
      </c>
      <c r="AD88" t="s">
        <v>7</v>
      </c>
      <c r="AE88" s="2">
        <v>45805</v>
      </c>
      <c r="AF88" s="2"/>
      <c r="AG88" t="s">
        <v>7</v>
      </c>
    </row>
    <row r="89" spans="1:33" outlineLevel="2">
      <c r="A89" t="s">
        <v>23</v>
      </c>
      <c r="B89" s="13">
        <v>6788</v>
      </c>
      <c r="C89" s="13">
        <v>100222362</v>
      </c>
      <c r="D89" t="s">
        <v>2</v>
      </c>
      <c r="E89" t="s">
        <v>3</v>
      </c>
      <c r="F89" t="s">
        <v>79</v>
      </c>
      <c r="G89" s="2">
        <v>45856</v>
      </c>
      <c r="H89" s="13">
        <v>1800000389</v>
      </c>
      <c r="I89" t="s">
        <v>47</v>
      </c>
      <c r="J89" s="2">
        <v>45856</v>
      </c>
      <c r="K89" s="2">
        <v>45863</v>
      </c>
      <c r="L89" t="s">
        <v>45</v>
      </c>
      <c r="M89" s="16">
        <v>256788410265</v>
      </c>
      <c r="N89" t="s">
        <v>8</v>
      </c>
      <c r="O89" t="s">
        <v>9</v>
      </c>
      <c r="P89" t="s">
        <v>7</v>
      </c>
      <c r="Q89" t="s">
        <v>40</v>
      </c>
      <c r="R89" t="s">
        <v>21</v>
      </c>
      <c r="S89" s="3">
        <v>1510.02</v>
      </c>
      <c r="T89" t="s">
        <v>11</v>
      </c>
      <c r="U89" s="3">
        <v>129862.73</v>
      </c>
      <c r="V89" t="s">
        <v>48</v>
      </c>
      <c r="W89" t="s">
        <v>12</v>
      </c>
      <c r="X89" t="s">
        <v>7</v>
      </c>
      <c r="Y89" t="s">
        <v>45</v>
      </c>
      <c r="Z89" t="s">
        <v>13</v>
      </c>
      <c r="AA89" t="s">
        <v>128</v>
      </c>
      <c r="AB89" t="s">
        <v>7</v>
      </c>
      <c r="AC89" t="s">
        <v>7</v>
      </c>
      <c r="AD89" t="s">
        <v>7</v>
      </c>
      <c r="AE89" s="2">
        <v>45856</v>
      </c>
      <c r="AF89" s="2"/>
      <c r="AG89" t="s">
        <v>7</v>
      </c>
    </row>
    <row r="90" spans="1:33" outlineLevel="2">
      <c r="A90" t="s">
        <v>23</v>
      </c>
      <c r="B90" s="13">
        <v>6788</v>
      </c>
      <c r="C90" s="13">
        <v>100222362</v>
      </c>
      <c r="D90" t="s">
        <v>2</v>
      </c>
      <c r="E90" t="s">
        <v>3</v>
      </c>
      <c r="F90" t="s">
        <v>38</v>
      </c>
      <c r="G90" s="2">
        <v>45729</v>
      </c>
      <c r="H90" s="13">
        <v>1800000064</v>
      </c>
      <c r="I90" t="s">
        <v>47</v>
      </c>
      <c r="J90" s="2">
        <v>45729</v>
      </c>
      <c r="K90" s="2">
        <v>45730</v>
      </c>
      <c r="L90" t="s">
        <v>45</v>
      </c>
      <c r="M90" s="16">
        <v>246788410059</v>
      </c>
      <c r="N90" t="s">
        <v>8</v>
      </c>
      <c r="O90" t="s">
        <v>9</v>
      </c>
      <c r="P90" t="s">
        <v>7</v>
      </c>
      <c r="Q90" t="s">
        <v>40</v>
      </c>
      <c r="R90" t="s">
        <v>21</v>
      </c>
      <c r="S90" s="3">
        <v>25.75</v>
      </c>
      <c r="T90" t="s">
        <v>11</v>
      </c>
      <c r="U90" s="3">
        <v>2232.3000000000002</v>
      </c>
      <c r="V90" t="s">
        <v>48</v>
      </c>
      <c r="W90" t="s">
        <v>12</v>
      </c>
      <c r="X90" t="s">
        <v>7</v>
      </c>
      <c r="Y90" t="s">
        <v>45</v>
      </c>
      <c r="Z90" t="s">
        <v>13</v>
      </c>
      <c r="AA90" t="s">
        <v>129</v>
      </c>
      <c r="AB90" t="s">
        <v>7</v>
      </c>
      <c r="AC90" t="s">
        <v>7</v>
      </c>
      <c r="AD90" t="s">
        <v>7</v>
      </c>
      <c r="AE90" s="2">
        <v>45729</v>
      </c>
      <c r="AF90" s="2"/>
      <c r="AG90" t="s">
        <v>7</v>
      </c>
    </row>
    <row r="91" spans="1:33" outlineLevel="2">
      <c r="A91" t="s">
        <v>23</v>
      </c>
      <c r="B91" s="13">
        <v>6788</v>
      </c>
      <c r="C91" s="13">
        <v>100222362</v>
      </c>
      <c r="D91" t="s">
        <v>2</v>
      </c>
      <c r="E91" t="s">
        <v>3</v>
      </c>
      <c r="F91" t="s">
        <v>38</v>
      </c>
      <c r="G91" s="2">
        <v>45729</v>
      </c>
      <c r="H91" s="13">
        <v>1800000065</v>
      </c>
      <c r="I91" t="s">
        <v>47</v>
      </c>
      <c r="J91" s="2">
        <v>45729</v>
      </c>
      <c r="K91" s="2">
        <v>45730</v>
      </c>
      <c r="L91" t="s">
        <v>45</v>
      </c>
      <c r="M91" s="16">
        <v>246788410060</v>
      </c>
      <c r="N91" t="s">
        <v>8</v>
      </c>
      <c r="O91" t="s">
        <v>9</v>
      </c>
      <c r="P91" t="s">
        <v>7</v>
      </c>
      <c r="Q91" t="s">
        <v>40</v>
      </c>
      <c r="R91" t="s">
        <v>21</v>
      </c>
      <c r="S91" s="3">
        <v>37.200000000000003</v>
      </c>
      <c r="T91" t="s">
        <v>11</v>
      </c>
      <c r="U91" s="3">
        <v>3224.91</v>
      </c>
      <c r="V91" t="s">
        <v>48</v>
      </c>
      <c r="W91" t="s">
        <v>12</v>
      </c>
      <c r="X91" t="s">
        <v>7</v>
      </c>
      <c r="Y91" t="s">
        <v>45</v>
      </c>
      <c r="Z91" t="s">
        <v>13</v>
      </c>
      <c r="AA91" t="s">
        <v>129</v>
      </c>
      <c r="AB91" t="s">
        <v>7</v>
      </c>
      <c r="AC91" t="s">
        <v>7</v>
      </c>
      <c r="AD91" t="s">
        <v>7</v>
      </c>
      <c r="AE91" s="2">
        <v>45729</v>
      </c>
      <c r="AF91" s="2"/>
      <c r="AG91" t="s">
        <v>7</v>
      </c>
    </row>
    <row r="92" spans="1:33" outlineLevel="2">
      <c r="A92" t="s">
        <v>23</v>
      </c>
      <c r="B92" s="13">
        <v>6788</v>
      </c>
      <c r="C92" s="13">
        <v>100222362</v>
      </c>
      <c r="D92" t="s">
        <v>2</v>
      </c>
      <c r="E92" t="s">
        <v>3</v>
      </c>
      <c r="F92" t="s">
        <v>38</v>
      </c>
      <c r="G92" s="2">
        <v>45729</v>
      </c>
      <c r="H92" s="13">
        <v>1800000066</v>
      </c>
      <c r="I92" t="s">
        <v>47</v>
      </c>
      <c r="J92" s="2">
        <v>45729</v>
      </c>
      <c r="K92" s="2">
        <v>45730</v>
      </c>
      <c r="L92" t="s">
        <v>45</v>
      </c>
      <c r="M92" s="16">
        <v>246788410061</v>
      </c>
      <c r="N92" t="s">
        <v>8</v>
      </c>
      <c r="O92" t="s">
        <v>9</v>
      </c>
      <c r="P92" t="s">
        <v>7</v>
      </c>
      <c r="Q92" t="s">
        <v>40</v>
      </c>
      <c r="R92" t="s">
        <v>21</v>
      </c>
      <c r="S92" s="3">
        <v>26.23</v>
      </c>
      <c r="T92" t="s">
        <v>11</v>
      </c>
      <c r="U92" s="3">
        <v>2273.91</v>
      </c>
      <c r="V92" t="s">
        <v>48</v>
      </c>
      <c r="W92" t="s">
        <v>12</v>
      </c>
      <c r="X92" t="s">
        <v>7</v>
      </c>
      <c r="Y92" t="s">
        <v>45</v>
      </c>
      <c r="Z92" t="s">
        <v>13</v>
      </c>
      <c r="AA92" t="s">
        <v>129</v>
      </c>
      <c r="AB92" t="s">
        <v>7</v>
      </c>
      <c r="AC92" t="s">
        <v>7</v>
      </c>
      <c r="AD92" t="s">
        <v>7</v>
      </c>
      <c r="AE92" s="2">
        <v>45729</v>
      </c>
      <c r="AF92" s="2"/>
      <c r="AG92" t="s">
        <v>7</v>
      </c>
    </row>
    <row r="93" spans="1:33" outlineLevel="2">
      <c r="A93" t="s">
        <v>23</v>
      </c>
      <c r="B93" s="13">
        <v>6788</v>
      </c>
      <c r="C93" s="13">
        <v>100222362</v>
      </c>
      <c r="D93" t="s">
        <v>2</v>
      </c>
      <c r="E93" t="s">
        <v>3</v>
      </c>
      <c r="F93" t="s">
        <v>38</v>
      </c>
      <c r="G93" s="2">
        <v>45729</v>
      </c>
      <c r="H93" s="13">
        <v>1800000067</v>
      </c>
      <c r="I93" t="s">
        <v>47</v>
      </c>
      <c r="J93" s="2">
        <v>45729</v>
      </c>
      <c r="K93" s="2">
        <v>45730</v>
      </c>
      <c r="L93" t="s">
        <v>45</v>
      </c>
      <c r="M93" s="16">
        <v>246788410062</v>
      </c>
      <c r="N93" t="s">
        <v>8</v>
      </c>
      <c r="O93" t="s">
        <v>9</v>
      </c>
      <c r="P93" t="s">
        <v>7</v>
      </c>
      <c r="Q93" t="s">
        <v>40</v>
      </c>
      <c r="R93" t="s">
        <v>21</v>
      </c>
      <c r="S93" s="3">
        <v>26.23</v>
      </c>
      <c r="T93" t="s">
        <v>11</v>
      </c>
      <c r="U93" s="3">
        <v>2273.91</v>
      </c>
      <c r="V93" t="s">
        <v>48</v>
      </c>
      <c r="W93" t="s">
        <v>12</v>
      </c>
      <c r="X93" t="s">
        <v>7</v>
      </c>
      <c r="Y93" t="s">
        <v>45</v>
      </c>
      <c r="Z93" t="s">
        <v>13</v>
      </c>
      <c r="AA93" t="s">
        <v>129</v>
      </c>
      <c r="AB93" t="s">
        <v>7</v>
      </c>
      <c r="AC93" t="s">
        <v>7</v>
      </c>
      <c r="AD93" t="s">
        <v>7</v>
      </c>
      <c r="AE93" s="2">
        <v>45729</v>
      </c>
      <c r="AF93" s="2"/>
      <c r="AG93" t="s">
        <v>7</v>
      </c>
    </row>
    <row r="94" spans="1:33" outlineLevel="2">
      <c r="A94" t="s">
        <v>23</v>
      </c>
      <c r="B94" s="13">
        <v>6788</v>
      </c>
      <c r="C94" s="13">
        <v>100222362</v>
      </c>
      <c r="D94" t="s">
        <v>2</v>
      </c>
      <c r="E94" t="s">
        <v>3</v>
      </c>
      <c r="F94" t="s">
        <v>38</v>
      </c>
      <c r="G94" s="2">
        <v>45729</v>
      </c>
      <c r="H94" s="13">
        <v>1800000068</v>
      </c>
      <c r="I94" t="s">
        <v>47</v>
      </c>
      <c r="J94" s="2">
        <v>45729</v>
      </c>
      <c r="K94" s="2">
        <v>45730</v>
      </c>
      <c r="L94" t="s">
        <v>45</v>
      </c>
      <c r="M94" s="16">
        <v>246788410063</v>
      </c>
      <c r="N94" t="s">
        <v>8</v>
      </c>
      <c r="O94" t="s">
        <v>9</v>
      </c>
      <c r="P94" t="s">
        <v>7</v>
      </c>
      <c r="Q94" t="s">
        <v>40</v>
      </c>
      <c r="R94" t="s">
        <v>21</v>
      </c>
      <c r="S94" s="3">
        <v>23.85</v>
      </c>
      <c r="T94" t="s">
        <v>11</v>
      </c>
      <c r="U94" s="3">
        <v>2067.59</v>
      </c>
      <c r="V94" t="s">
        <v>48</v>
      </c>
      <c r="W94" t="s">
        <v>12</v>
      </c>
      <c r="X94" t="s">
        <v>7</v>
      </c>
      <c r="Y94" t="s">
        <v>45</v>
      </c>
      <c r="Z94" t="s">
        <v>13</v>
      </c>
      <c r="AA94" t="s">
        <v>129</v>
      </c>
      <c r="AB94" t="s">
        <v>7</v>
      </c>
      <c r="AC94" t="s">
        <v>7</v>
      </c>
      <c r="AD94" t="s">
        <v>7</v>
      </c>
      <c r="AE94" s="2">
        <v>45729</v>
      </c>
      <c r="AF94" s="2"/>
      <c r="AG94" t="s">
        <v>7</v>
      </c>
    </row>
    <row r="95" spans="1:33" outlineLevel="2">
      <c r="A95" t="s">
        <v>23</v>
      </c>
      <c r="B95" s="13">
        <v>6788</v>
      </c>
      <c r="C95" s="13">
        <v>100222362</v>
      </c>
      <c r="D95" t="s">
        <v>2</v>
      </c>
      <c r="E95" t="s">
        <v>3</v>
      </c>
      <c r="F95" t="s">
        <v>38</v>
      </c>
      <c r="G95" s="2">
        <v>45729</v>
      </c>
      <c r="H95" s="13">
        <v>1800000069</v>
      </c>
      <c r="I95" t="s">
        <v>47</v>
      </c>
      <c r="J95" s="2">
        <v>45729</v>
      </c>
      <c r="K95" s="2">
        <v>45730</v>
      </c>
      <c r="L95" t="s">
        <v>45</v>
      </c>
      <c r="M95" s="16">
        <v>246788410064</v>
      </c>
      <c r="N95" t="s">
        <v>8</v>
      </c>
      <c r="O95" t="s">
        <v>9</v>
      </c>
      <c r="P95" t="s">
        <v>7</v>
      </c>
      <c r="Q95" t="s">
        <v>40</v>
      </c>
      <c r="R95" t="s">
        <v>21</v>
      </c>
      <c r="S95" s="3">
        <v>23.87</v>
      </c>
      <c r="T95" t="s">
        <v>11</v>
      </c>
      <c r="U95" s="3">
        <v>2069.3200000000002</v>
      </c>
      <c r="V95" t="s">
        <v>48</v>
      </c>
      <c r="W95" t="s">
        <v>12</v>
      </c>
      <c r="X95" t="s">
        <v>7</v>
      </c>
      <c r="Y95" t="s">
        <v>45</v>
      </c>
      <c r="Z95" t="s">
        <v>13</v>
      </c>
      <c r="AA95" t="s">
        <v>130</v>
      </c>
      <c r="AB95" t="s">
        <v>7</v>
      </c>
      <c r="AC95" t="s">
        <v>7</v>
      </c>
      <c r="AD95" t="s">
        <v>7</v>
      </c>
      <c r="AE95" s="2">
        <v>45729</v>
      </c>
      <c r="AF95" s="2"/>
      <c r="AG95" t="s">
        <v>7</v>
      </c>
    </row>
    <row r="96" spans="1:33" outlineLevel="2">
      <c r="A96" t="s">
        <v>23</v>
      </c>
      <c r="B96" s="13">
        <v>6788</v>
      </c>
      <c r="C96" s="13">
        <v>100222362</v>
      </c>
      <c r="D96" t="s">
        <v>2</v>
      </c>
      <c r="E96" t="s">
        <v>3</v>
      </c>
      <c r="F96" t="s">
        <v>38</v>
      </c>
      <c r="G96" s="2">
        <v>45729</v>
      </c>
      <c r="H96" s="13">
        <v>1800000070</v>
      </c>
      <c r="I96" t="s">
        <v>47</v>
      </c>
      <c r="J96" s="2">
        <v>45729</v>
      </c>
      <c r="K96" s="2">
        <v>45730</v>
      </c>
      <c r="L96" t="s">
        <v>45</v>
      </c>
      <c r="M96" s="16">
        <v>246788410065</v>
      </c>
      <c r="N96" t="s">
        <v>8</v>
      </c>
      <c r="O96" t="s">
        <v>9</v>
      </c>
      <c r="P96" t="s">
        <v>7</v>
      </c>
      <c r="Q96" t="s">
        <v>40</v>
      </c>
      <c r="R96" t="s">
        <v>21</v>
      </c>
      <c r="S96" s="3">
        <v>23.63</v>
      </c>
      <c r="T96" t="s">
        <v>11</v>
      </c>
      <c r="U96" s="3">
        <v>2048.5100000000002</v>
      </c>
      <c r="V96" t="s">
        <v>48</v>
      </c>
      <c r="W96" t="s">
        <v>12</v>
      </c>
      <c r="X96" t="s">
        <v>7</v>
      </c>
      <c r="Y96" t="s">
        <v>45</v>
      </c>
      <c r="Z96" t="s">
        <v>13</v>
      </c>
      <c r="AA96" t="s">
        <v>130</v>
      </c>
      <c r="AB96" t="s">
        <v>7</v>
      </c>
      <c r="AC96" t="s">
        <v>7</v>
      </c>
      <c r="AD96" t="s">
        <v>7</v>
      </c>
      <c r="AE96" s="2">
        <v>45729</v>
      </c>
      <c r="AF96" s="2"/>
      <c r="AG96" t="s">
        <v>7</v>
      </c>
    </row>
    <row r="97" spans="1:33" outlineLevel="2">
      <c r="A97" t="s">
        <v>23</v>
      </c>
      <c r="B97" s="13">
        <v>6779</v>
      </c>
      <c r="C97" s="13">
        <v>100222362</v>
      </c>
      <c r="D97" t="s">
        <v>2</v>
      </c>
      <c r="E97" t="s">
        <v>3</v>
      </c>
      <c r="F97" t="s">
        <v>38</v>
      </c>
      <c r="G97" s="2">
        <v>45736</v>
      </c>
      <c r="H97" s="13">
        <v>1800005048</v>
      </c>
      <c r="I97" t="s">
        <v>47</v>
      </c>
      <c r="J97" s="2">
        <v>45736</v>
      </c>
      <c r="K97" s="2">
        <v>45737</v>
      </c>
      <c r="L97" t="s">
        <v>45</v>
      </c>
      <c r="M97" s="16">
        <v>246779414916</v>
      </c>
      <c r="N97" t="s">
        <v>8</v>
      </c>
      <c r="O97" t="s">
        <v>9</v>
      </c>
      <c r="P97" t="s">
        <v>7</v>
      </c>
      <c r="Q97" t="s">
        <v>40</v>
      </c>
      <c r="R97" t="s">
        <v>21</v>
      </c>
      <c r="S97" s="3">
        <v>7.26</v>
      </c>
      <c r="T97" t="s">
        <v>11</v>
      </c>
      <c r="U97" s="3">
        <v>629.38</v>
      </c>
      <c r="V97" t="s">
        <v>48</v>
      </c>
      <c r="W97" t="s">
        <v>76</v>
      </c>
      <c r="X97" t="s">
        <v>7</v>
      </c>
      <c r="Y97" t="s">
        <v>45</v>
      </c>
      <c r="Z97" t="s">
        <v>13</v>
      </c>
      <c r="AA97" t="s">
        <v>131</v>
      </c>
      <c r="AB97" t="s">
        <v>7</v>
      </c>
      <c r="AC97" t="s">
        <v>7</v>
      </c>
      <c r="AD97" t="s">
        <v>7</v>
      </c>
      <c r="AE97" s="2">
        <v>45736</v>
      </c>
      <c r="AF97" s="2"/>
      <c r="AG97" t="s">
        <v>7</v>
      </c>
    </row>
    <row r="98" spans="1:33" outlineLevel="2">
      <c r="A98" t="s">
        <v>23</v>
      </c>
      <c r="B98" s="13">
        <v>6779</v>
      </c>
      <c r="C98" s="13">
        <v>100222362</v>
      </c>
      <c r="D98" t="s">
        <v>2</v>
      </c>
      <c r="E98" t="s">
        <v>3</v>
      </c>
      <c r="F98" t="s">
        <v>38</v>
      </c>
      <c r="G98" s="2">
        <v>45736</v>
      </c>
      <c r="H98" s="13">
        <v>1800005049</v>
      </c>
      <c r="I98" t="s">
        <v>47</v>
      </c>
      <c r="J98" s="2">
        <v>45736</v>
      </c>
      <c r="K98" s="2">
        <v>45737</v>
      </c>
      <c r="L98" t="s">
        <v>45</v>
      </c>
      <c r="M98" s="16">
        <v>246779414917</v>
      </c>
      <c r="N98" t="s">
        <v>8</v>
      </c>
      <c r="O98" t="s">
        <v>9</v>
      </c>
      <c r="P98" t="s">
        <v>7</v>
      </c>
      <c r="Q98" t="s">
        <v>40</v>
      </c>
      <c r="R98" t="s">
        <v>21</v>
      </c>
      <c r="S98" s="3">
        <v>12</v>
      </c>
      <c r="T98" t="s">
        <v>11</v>
      </c>
      <c r="U98" s="3">
        <v>1040.3</v>
      </c>
      <c r="V98" t="s">
        <v>48</v>
      </c>
      <c r="W98" t="s">
        <v>76</v>
      </c>
      <c r="X98" t="s">
        <v>7</v>
      </c>
      <c r="Y98" t="s">
        <v>45</v>
      </c>
      <c r="Z98" t="s">
        <v>13</v>
      </c>
      <c r="AA98" t="s">
        <v>132</v>
      </c>
      <c r="AB98" t="s">
        <v>7</v>
      </c>
      <c r="AC98" t="s">
        <v>7</v>
      </c>
      <c r="AD98" t="s">
        <v>7</v>
      </c>
      <c r="AE98" s="2">
        <v>45736</v>
      </c>
      <c r="AF98" s="2"/>
      <c r="AG98" t="s">
        <v>7</v>
      </c>
    </row>
    <row r="99" spans="1:33" outlineLevel="2">
      <c r="A99" t="s">
        <v>23</v>
      </c>
      <c r="B99" s="13">
        <v>6788</v>
      </c>
      <c r="C99" s="13">
        <v>100222362</v>
      </c>
      <c r="D99" t="s">
        <v>2</v>
      </c>
      <c r="E99" t="s">
        <v>3</v>
      </c>
      <c r="F99" t="s">
        <v>16</v>
      </c>
      <c r="G99" s="2">
        <v>45708</v>
      </c>
      <c r="H99" s="13">
        <v>1800000029</v>
      </c>
      <c r="I99" t="s">
        <v>47</v>
      </c>
      <c r="J99" s="2">
        <v>45708</v>
      </c>
      <c r="K99" s="2">
        <v>45708</v>
      </c>
      <c r="L99" t="s">
        <v>45</v>
      </c>
      <c r="M99" s="16">
        <v>246788410019</v>
      </c>
      <c r="N99" t="s">
        <v>8</v>
      </c>
      <c r="O99" t="s">
        <v>9</v>
      </c>
      <c r="P99" t="s">
        <v>7</v>
      </c>
      <c r="Q99" t="s">
        <v>40</v>
      </c>
      <c r="R99" t="s">
        <v>21</v>
      </c>
      <c r="S99" s="3">
        <v>75</v>
      </c>
      <c r="T99" t="s">
        <v>11</v>
      </c>
      <c r="U99" s="3">
        <v>6472.77</v>
      </c>
      <c r="V99" t="s">
        <v>48</v>
      </c>
      <c r="W99" t="s">
        <v>12</v>
      </c>
      <c r="X99" t="s">
        <v>7</v>
      </c>
      <c r="Y99" t="s">
        <v>45</v>
      </c>
      <c r="Z99" t="s">
        <v>13</v>
      </c>
      <c r="AA99" t="s">
        <v>133</v>
      </c>
      <c r="AB99" t="s">
        <v>7</v>
      </c>
      <c r="AC99" t="s">
        <v>7</v>
      </c>
      <c r="AD99" t="s">
        <v>7</v>
      </c>
      <c r="AE99" s="2">
        <v>45708</v>
      </c>
      <c r="AF99" s="2"/>
      <c r="AG99" t="s">
        <v>7</v>
      </c>
    </row>
    <row r="100" spans="1:33" outlineLevel="2">
      <c r="A100" t="s">
        <v>23</v>
      </c>
      <c r="B100" s="13">
        <v>6788</v>
      </c>
      <c r="C100" s="13">
        <v>100222362</v>
      </c>
      <c r="D100" t="s">
        <v>2</v>
      </c>
      <c r="E100" t="s">
        <v>3</v>
      </c>
      <c r="F100" t="s">
        <v>16</v>
      </c>
      <c r="G100" s="2">
        <v>45708</v>
      </c>
      <c r="H100" s="13">
        <v>1800000033</v>
      </c>
      <c r="I100" t="s">
        <v>47</v>
      </c>
      <c r="J100" s="2">
        <v>45708</v>
      </c>
      <c r="K100" s="2">
        <v>45708</v>
      </c>
      <c r="L100" t="s">
        <v>45</v>
      </c>
      <c r="M100" s="16">
        <v>246788410021</v>
      </c>
      <c r="N100" t="s">
        <v>8</v>
      </c>
      <c r="O100" t="s">
        <v>9</v>
      </c>
      <c r="P100" t="s">
        <v>7</v>
      </c>
      <c r="Q100" t="s">
        <v>40</v>
      </c>
      <c r="R100" t="s">
        <v>21</v>
      </c>
      <c r="S100" s="3">
        <v>75</v>
      </c>
      <c r="T100" t="s">
        <v>11</v>
      </c>
      <c r="U100" s="3">
        <v>6472.77</v>
      </c>
      <c r="V100" t="s">
        <v>48</v>
      </c>
      <c r="W100" t="s">
        <v>12</v>
      </c>
      <c r="X100" t="s">
        <v>7</v>
      </c>
      <c r="Y100" t="s">
        <v>45</v>
      </c>
      <c r="Z100" t="s">
        <v>13</v>
      </c>
      <c r="AA100" t="s">
        <v>134</v>
      </c>
      <c r="AB100" t="s">
        <v>7</v>
      </c>
      <c r="AC100" t="s">
        <v>7</v>
      </c>
      <c r="AD100" t="s">
        <v>7</v>
      </c>
      <c r="AE100" s="2">
        <v>45708</v>
      </c>
      <c r="AF100" s="2"/>
      <c r="AG100" t="s">
        <v>7</v>
      </c>
    </row>
    <row r="101" spans="1:33" outlineLevel="2">
      <c r="A101" t="s">
        <v>23</v>
      </c>
      <c r="B101" s="13">
        <v>6788</v>
      </c>
      <c r="C101" s="13">
        <v>100222362</v>
      </c>
      <c r="D101" t="s">
        <v>2</v>
      </c>
      <c r="E101" t="s">
        <v>3</v>
      </c>
      <c r="F101" t="s">
        <v>24</v>
      </c>
      <c r="G101" s="2">
        <v>45889</v>
      </c>
      <c r="H101" s="13">
        <v>1800000476</v>
      </c>
      <c r="I101" t="s">
        <v>47</v>
      </c>
      <c r="J101" s="2">
        <v>45889</v>
      </c>
      <c r="K101" s="2">
        <v>45891</v>
      </c>
      <c r="L101" t="s">
        <v>45</v>
      </c>
      <c r="M101" s="16">
        <v>256788410348</v>
      </c>
      <c r="N101" t="s">
        <v>8</v>
      </c>
      <c r="O101" t="s">
        <v>9</v>
      </c>
      <c r="P101" t="s">
        <v>7</v>
      </c>
      <c r="Q101" t="s">
        <v>40</v>
      </c>
      <c r="R101" t="s">
        <v>21</v>
      </c>
      <c r="S101" s="3">
        <v>20.57</v>
      </c>
      <c r="T101" t="s">
        <v>11</v>
      </c>
      <c r="U101" s="3">
        <v>1769.64</v>
      </c>
      <c r="V101" t="s">
        <v>48</v>
      </c>
      <c r="W101" t="s">
        <v>12</v>
      </c>
      <c r="X101" t="s">
        <v>7</v>
      </c>
      <c r="Y101" t="s">
        <v>45</v>
      </c>
      <c r="Z101" t="s">
        <v>13</v>
      </c>
      <c r="AA101" t="s">
        <v>135</v>
      </c>
      <c r="AB101" t="s">
        <v>7</v>
      </c>
      <c r="AC101" t="s">
        <v>7</v>
      </c>
      <c r="AD101" t="s">
        <v>7</v>
      </c>
      <c r="AE101" s="2">
        <v>45889</v>
      </c>
      <c r="AF101" s="2"/>
      <c r="AG101" t="s">
        <v>7</v>
      </c>
    </row>
    <row r="102" spans="1:33" outlineLevel="2">
      <c r="A102" t="s">
        <v>23</v>
      </c>
      <c r="B102" s="13">
        <v>6788</v>
      </c>
      <c r="C102" s="13">
        <v>100222362</v>
      </c>
      <c r="D102" t="s">
        <v>2</v>
      </c>
      <c r="E102" t="s">
        <v>3</v>
      </c>
      <c r="F102" t="s">
        <v>24</v>
      </c>
      <c r="G102" s="2">
        <v>45889</v>
      </c>
      <c r="H102" s="13">
        <v>1800000473</v>
      </c>
      <c r="I102" t="s">
        <v>47</v>
      </c>
      <c r="J102" s="2">
        <v>45889</v>
      </c>
      <c r="K102" s="2">
        <v>45891</v>
      </c>
      <c r="L102" t="s">
        <v>45</v>
      </c>
      <c r="M102" s="16">
        <v>256788410350</v>
      </c>
      <c r="N102" t="s">
        <v>8</v>
      </c>
      <c r="O102" t="s">
        <v>9</v>
      </c>
      <c r="P102" t="s">
        <v>7</v>
      </c>
      <c r="Q102" t="s">
        <v>40</v>
      </c>
      <c r="R102" t="s">
        <v>21</v>
      </c>
      <c r="S102" s="3">
        <v>141.91</v>
      </c>
      <c r="T102" t="s">
        <v>11</v>
      </c>
      <c r="U102" s="3">
        <v>12208.53</v>
      </c>
      <c r="V102" t="s">
        <v>48</v>
      </c>
      <c r="W102" t="s">
        <v>12</v>
      </c>
      <c r="X102" t="s">
        <v>7</v>
      </c>
      <c r="Y102" t="s">
        <v>45</v>
      </c>
      <c r="Z102" t="s">
        <v>13</v>
      </c>
      <c r="AA102" t="s">
        <v>136</v>
      </c>
      <c r="AB102" t="s">
        <v>7</v>
      </c>
      <c r="AC102" t="s">
        <v>7</v>
      </c>
      <c r="AD102" t="s">
        <v>7</v>
      </c>
      <c r="AE102" s="2">
        <v>45889</v>
      </c>
      <c r="AF102" s="2"/>
      <c r="AG102" t="s">
        <v>7</v>
      </c>
    </row>
    <row r="103" spans="1:33" outlineLevel="2">
      <c r="A103" t="s">
        <v>23</v>
      </c>
      <c r="B103" s="13">
        <v>6788</v>
      </c>
      <c r="C103" s="13">
        <v>100222362</v>
      </c>
      <c r="D103" t="s">
        <v>2</v>
      </c>
      <c r="E103" t="s">
        <v>3</v>
      </c>
      <c r="F103" t="s">
        <v>24</v>
      </c>
      <c r="G103" s="2">
        <v>45889</v>
      </c>
      <c r="H103" s="13">
        <v>1800000475</v>
      </c>
      <c r="I103" t="s">
        <v>47</v>
      </c>
      <c r="J103" s="2">
        <v>45889</v>
      </c>
      <c r="K103" s="2">
        <v>45891</v>
      </c>
      <c r="L103" t="s">
        <v>45</v>
      </c>
      <c r="M103" s="16">
        <v>256788410352</v>
      </c>
      <c r="N103" t="s">
        <v>8</v>
      </c>
      <c r="O103" t="s">
        <v>9</v>
      </c>
      <c r="P103" t="s">
        <v>7</v>
      </c>
      <c r="Q103" t="s">
        <v>40</v>
      </c>
      <c r="R103" t="s">
        <v>21</v>
      </c>
      <c r="S103" s="3">
        <v>342.84</v>
      </c>
      <c r="T103" t="s">
        <v>11</v>
      </c>
      <c r="U103" s="3">
        <v>29494.57</v>
      </c>
      <c r="V103" t="s">
        <v>48</v>
      </c>
      <c r="W103" t="s">
        <v>12</v>
      </c>
      <c r="X103" t="s">
        <v>7</v>
      </c>
      <c r="Y103" t="s">
        <v>45</v>
      </c>
      <c r="Z103" t="s">
        <v>13</v>
      </c>
      <c r="AA103" t="s">
        <v>137</v>
      </c>
      <c r="AB103" t="s">
        <v>7</v>
      </c>
      <c r="AC103" t="s">
        <v>7</v>
      </c>
      <c r="AD103" t="s">
        <v>7</v>
      </c>
      <c r="AE103" s="2">
        <v>45889</v>
      </c>
      <c r="AF103" s="2"/>
      <c r="AG103" t="s">
        <v>7</v>
      </c>
    </row>
    <row r="104" spans="1:33" outlineLevel="2">
      <c r="A104" t="s">
        <v>0</v>
      </c>
      <c r="B104" s="13">
        <v>6788</v>
      </c>
      <c r="C104" s="13">
        <v>100222362</v>
      </c>
      <c r="D104" t="s">
        <v>2</v>
      </c>
      <c r="E104" t="s">
        <v>3</v>
      </c>
      <c r="F104" t="s">
        <v>16</v>
      </c>
      <c r="G104" s="2">
        <v>45707</v>
      </c>
      <c r="H104" s="13">
        <v>1600000004</v>
      </c>
      <c r="I104" t="s">
        <v>71</v>
      </c>
      <c r="J104" s="2">
        <v>45707</v>
      </c>
      <c r="K104" s="2">
        <v>45707</v>
      </c>
      <c r="L104" t="s">
        <v>45</v>
      </c>
      <c r="M104" s="16">
        <v>246788420003</v>
      </c>
      <c r="N104" t="s">
        <v>8</v>
      </c>
      <c r="O104" t="s">
        <v>9</v>
      </c>
      <c r="P104" t="s">
        <v>7</v>
      </c>
      <c r="Q104" t="s">
        <v>37</v>
      </c>
      <c r="R104" t="s">
        <v>21</v>
      </c>
      <c r="S104" s="3">
        <v>-75</v>
      </c>
      <c r="T104" t="s">
        <v>11</v>
      </c>
      <c r="U104" s="3">
        <v>-6472.77</v>
      </c>
      <c r="V104" t="s">
        <v>48</v>
      </c>
      <c r="W104" t="s">
        <v>12</v>
      </c>
      <c r="X104" t="s">
        <v>7</v>
      </c>
      <c r="Y104" t="s">
        <v>45</v>
      </c>
      <c r="Z104" t="s">
        <v>13</v>
      </c>
      <c r="AA104" t="s">
        <v>138</v>
      </c>
      <c r="AB104" t="s">
        <v>7</v>
      </c>
      <c r="AC104" t="s">
        <v>7</v>
      </c>
      <c r="AD104" t="s">
        <v>7</v>
      </c>
      <c r="AE104" s="2">
        <v>45707</v>
      </c>
      <c r="AF104" s="2">
        <v>45707</v>
      </c>
      <c r="AG104" t="s">
        <v>17</v>
      </c>
    </row>
    <row r="105" spans="1:33" outlineLevel="2">
      <c r="A105" t="s">
        <v>23</v>
      </c>
      <c r="B105" s="13">
        <v>6788</v>
      </c>
      <c r="C105" s="13">
        <v>100222362</v>
      </c>
      <c r="D105" t="s">
        <v>2</v>
      </c>
      <c r="E105" t="s">
        <v>3</v>
      </c>
      <c r="F105" t="s">
        <v>16</v>
      </c>
      <c r="G105" s="2">
        <v>45707</v>
      </c>
      <c r="H105" s="13">
        <v>1800000006</v>
      </c>
      <c r="I105" t="s">
        <v>47</v>
      </c>
      <c r="J105" s="2">
        <v>45707</v>
      </c>
      <c r="K105" s="2">
        <v>45707</v>
      </c>
      <c r="L105" t="s">
        <v>45</v>
      </c>
      <c r="M105" s="16">
        <v>246788410005</v>
      </c>
      <c r="N105" t="s">
        <v>8</v>
      </c>
      <c r="O105" t="s">
        <v>9</v>
      </c>
      <c r="P105" t="s">
        <v>7</v>
      </c>
      <c r="Q105" t="s">
        <v>40</v>
      </c>
      <c r="R105" t="s">
        <v>21</v>
      </c>
      <c r="S105" s="3">
        <v>75</v>
      </c>
      <c r="T105" t="s">
        <v>11</v>
      </c>
      <c r="U105" s="3">
        <v>6472.77</v>
      </c>
      <c r="V105" t="s">
        <v>48</v>
      </c>
      <c r="W105" t="s">
        <v>12</v>
      </c>
      <c r="X105" t="s">
        <v>7</v>
      </c>
      <c r="Y105" t="s">
        <v>45</v>
      </c>
      <c r="Z105" t="s">
        <v>13</v>
      </c>
      <c r="AA105" t="s">
        <v>126</v>
      </c>
      <c r="AB105" t="s">
        <v>7</v>
      </c>
      <c r="AC105" t="s">
        <v>7</v>
      </c>
      <c r="AD105" t="s">
        <v>7</v>
      </c>
      <c r="AE105" s="2">
        <v>45707</v>
      </c>
      <c r="AF105" s="2"/>
      <c r="AG105" t="s">
        <v>7</v>
      </c>
    </row>
    <row r="106" spans="1:33" outlineLevel="2">
      <c r="A106" t="s">
        <v>23</v>
      </c>
      <c r="B106" s="13">
        <v>6788</v>
      </c>
      <c r="C106" s="13">
        <v>100222362</v>
      </c>
      <c r="D106" t="s">
        <v>2</v>
      </c>
      <c r="E106" t="s">
        <v>3</v>
      </c>
      <c r="F106" t="s">
        <v>16</v>
      </c>
      <c r="G106" s="2">
        <v>45707</v>
      </c>
      <c r="H106" s="13">
        <v>1800000022</v>
      </c>
      <c r="I106" t="s">
        <v>47</v>
      </c>
      <c r="J106" s="2">
        <v>45707</v>
      </c>
      <c r="K106" s="2">
        <v>45707</v>
      </c>
      <c r="L106" t="s">
        <v>45</v>
      </c>
      <c r="M106" s="16">
        <v>246788410009</v>
      </c>
      <c r="N106" t="s">
        <v>8</v>
      </c>
      <c r="O106" t="s">
        <v>9</v>
      </c>
      <c r="P106" t="s">
        <v>7</v>
      </c>
      <c r="Q106" t="s">
        <v>40</v>
      </c>
      <c r="R106" t="s">
        <v>21</v>
      </c>
      <c r="S106" s="3">
        <v>75</v>
      </c>
      <c r="T106" t="s">
        <v>11</v>
      </c>
      <c r="U106" s="3">
        <v>6472.77</v>
      </c>
      <c r="V106" t="s">
        <v>48</v>
      </c>
      <c r="W106" t="s">
        <v>12</v>
      </c>
      <c r="X106" t="s">
        <v>7</v>
      </c>
      <c r="Y106" t="s">
        <v>45</v>
      </c>
      <c r="Z106" t="s">
        <v>13</v>
      </c>
      <c r="AA106" t="s">
        <v>139</v>
      </c>
      <c r="AB106" t="s">
        <v>7</v>
      </c>
      <c r="AC106" t="s">
        <v>7</v>
      </c>
      <c r="AD106" t="s">
        <v>7</v>
      </c>
      <c r="AE106" s="2">
        <v>45707</v>
      </c>
      <c r="AF106" s="2"/>
      <c r="AG106" t="s">
        <v>7</v>
      </c>
    </row>
    <row r="107" spans="1:33" outlineLevel="2">
      <c r="A107" t="s">
        <v>23</v>
      </c>
      <c r="B107" s="13">
        <v>6788</v>
      </c>
      <c r="C107" s="13">
        <v>100222362</v>
      </c>
      <c r="D107" t="s">
        <v>2</v>
      </c>
      <c r="E107" t="s">
        <v>3</v>
      </c>
      <c r="F107" t="s">
        <v>16</v>
      </c>
      <c r="G107" s="2">
        <v>45707</v>
      </c>
      <c r="H107" s="13">
        <v>1800000018</v>
      </c>
      <c r="I107" t="s">
        <v>47</v>
      </c>
      <c r="J107" s="2">
        <v>45707</v>
      </c>
      <c r="K107" s="2">
        <v>45707</v>
      </c>
      <c r="L107" t="s">
        <v>45</v>
      </c>
      <c r="M107" s="16">
        <v>246788410013</v>
      </c>
      <c r="N107" t="s">
        <v>8</v>
      </c>
      <c r="O107" t="s">
        <v>9</v>
      </c>
      <c r="P107" t="s">
        <v>7</v>
      </c>
      <c r="Q107" t="s">
        <v>40</v>
      </c>
      <c r="R107" t="s">
        <v>21</v>
      </c>
      <c r="S107" s="3">
        <v>75</v>
      </c>
      <c r="T107" t="s">
        <v>11</v>
      </c>
      <c r="U107" s="3">
        <v>6472.77</v>
      </c>
      <c r="V107" t="s">
        <v>48</v>
      </c>
      <c r="W107" t="s">
        <v>12</v>
      </c>
      <c r="X107" t="s">
        <v>7</v>
      </c>
      <c r="Y107" t="s">
        <v>45</v>
      </c>
      <c r="Z107" t="s">
        <v>13</v>
      </c>
      <c r="AA107" t="s">
        <v>140</v>
      </c>
      <c r="AB107" t="s">
        <v>7</v>
      </c>
      <c r="AC107" t="s">
        <v>7</v>
      </c>
      <c r="AD107" t="s">
        <v>7</v>
      </c>
      <c r="AE107" s="2">
        <v>45707</v>
      </c>
      <c r="AF107" s="2"/>
      <c r="AG107" t="s">
        <v>7</v>
      </c>
    </row>
    <row r="108" spans="1:33" outlineLevel="2">
      <c r="A108" t="s">
        <v>23</v>
      </c>
      <c r="B108" s="13">
        <v>6788</v>
      </c>
      <c r="C108" s="13">
        <v>100222362</v>
      </c>
      <c r="D108" t="s">
        <v>2</v>
      </c>
      <c r="E108" t="s">
        <v>3</v>
      </c>
      <c r="F108" t="s">
        <v>16</v>
      </c>
      <c r="G108" s="2">
        <v>45707</v>
      </c>
      <c r="H108" s="13">
        <v>1800000010</v>
      </c>
      <c r="I108" t="s">
        <v>47</v>
      </c>
      <c r="J108" s="2">
        <v>45707</v>
      </c>
      <c r="K108" s="2">
        <v>45707</v>
      </c>
      <c r="L108" t="s">
        <v>45</v>
      </c>
      <c r="M108" s="16">
        <v>246788410015</v>
      </c>
      <c r="N108" t="s">
        <v>8</v>
      </c>
      <c r="O108" t="s">
        <v>9</v>
      </c>
      <c r="P108" t="s">
        <v>7</v>
      </c>
      <c r="Q108" t="s">
        <v>40</v>
      </c>
      <c r="R108" t="s">
        <v>21</v>
      </c>
      <c r="S108" s="3">
        <v>75</v>
      </c>
      <c r="T108" t="s">
        <v>11</v>
      </c>
      <c r="U108" s="3">
        <v>6472.77</v>
      </c>
      <c r="V108" t="s">
        <v>48</v>
      </c>
      <c r="W108" t="s">
        <v>12</v>
      </c>
      <c r="X108" t="s">
        <v>7</v>
      </c>
      <c r="Y108" t="s">
        <v>45</v>
      </c>
      <c r="Z108" t="s">
        <v>13</v>
      </c>
      <c r="AA108" t="s">
        <v>141</v>
      </c>
      <c r="AB108" t="s">
        <v>7</v>
      </c>
      <c r="AC108" t="s">
        <v>7</v>
      </c>
      <c r="AD108" t="s">
        <v>7</v>
      </c>
      <c r="AE108" s="2">
        <v>45707</v>
      </c>
      <c r="AF108" s="2"/>
      <c r="AG108" t="s">
        <v>7</v>
      </c>
    </row>
    <row r="109" spans="1:33" outlineLevel="2">
      <c r="A109" t="s">
        <v>23</v>
      </c>
      <c r="B109" s="13">
        <v>6788</v>
      </c>
      <c r="C109" s="13">
        <v>100222362</v>
      </c>
      <c r="D109" t="s">
        <v>2</v>
      </c>
      <c r="E109" t="s">
        <v>3</v>
      </c>
      <c r="F109" t="s">
        <v>16</v>
      </c>
      <c r="G109" s="2">
        <v>45707</v>
      </c>
      <c r="H109" s="13">
        <v>1800000012</v>
      </c>
      <c r="I109" t="s">
        <v>47</v>
      </c>
      <c r="J109" s="2">
        <v>45707</v>
      </c>
      <c r="K109" s="2">
        <v>45707</v>
      </c>
      <c r="L109" t="s">
        <v>45</v>
      </c>
      <c r="M109" s="16">
        <v>246788410017</v>
      </c>
      <c r="N109" t="s">
        <v>8</v>
      </c>
      <c r="O109" t="s">
        <v>9</v>
      </c>
      <c r="P109" t="s">
        <v>7</v>
      </c>
      <c r="Q109" t="s">
        <v>40</v>
      </c>
      <c r="R109" t="s">
        <v>21</v>
      </c>
      <c r="S109" s="3">
        <v>75</v>
      </c>
      <c r="T109" t="s">
        <v>11</v>
      </c>
      <c r="U109" s="3">
        <v>6472.77</v>
      </c>
      <c r="V109" t="s">
        <v>48</v>
      </c>
      <c r="W109" t="s">
        <v>12</v>
      </c>
      <c r="X109" t="s">
        <v>7</v>
      </c>
      <c r="Y109" t="s">
        <v>45</v>
      </c>
      <c r="Z109" t="s">
        <v>13</v>
      </c>
      <c r="AA109" t="s">
        <v>142</v>
      </c>
      <c r="AB109" t="s">
        <v>7</v>
      </c>
      <c r="AC109" t="s">
        <v>7</v>
      </c>
      <c r="AD109" t="s">
        <v>7</v>
      </c>
      <c r="AE109" s="2">
        <v>45707</v>
      </c>
      <c r="AF109" s="2"/>
      <c r="AG109" t="s">
        <v>7</v>
      </c>
    </row>
    <row r="110" spans="1:33" outlineLevel="2">
      <c r="A110" t="s">
        <v>0</v>
      </c>
      <c r="B110" s="13">
        <v>6788</v>
      </c>
      <c r="C110" s="13">
        <v>100222362</v>
      </c>
      <c r="D110" t="s">
        <v>2</v>
      </c>
      <c r="E110" t="s">
        <v>3</v>
      </c>
      <c r="F110" t="s">
        <v>50</v>
      </c>
      <c r="G110" s="2">
        <v>45923</v>
      </c>
      <c r="H110" s="13">
        <v>1600000242</v>
      </c>
      <c r="I110" t="s">
        <v>71</v>
      </c>
      <c r="J110" s="2">
        <v>45923</v>
      </c>
      <c r="K110" s="2">
        <v>45924</v>
      </c>
      <c r="L110" t="s">
        <v>45</v>
      </c>
      <c r="M110" s="16">
        <v>256788420122</v>
      </c>
      <c r="N110" t="s">
        <v>8</v>
      </c>
      <c r="O110" t="s">
        <v>9</v>
      </c>
      <c r="P110" t="s">
        <v>7</v>
      </c>
      <c r="Q110" t="s">
        <v>37</v>
      </c>
      <c r="R110" t="s">
        <v>21</v>
      </c>
      <c r="S110" s="3">
        <v>-9</v>
      </c>
      <c r="T110" t="s">
        <v>11</v>
      </c>
      <c r="U110" s="3">
        <v>-774.01</v>
      </c>
      <c r="V110" t="s">
        <v>48</v>
      </c>
      <c r="W110" t="s">
        <v>12</v>
      </c>
      <c r="X110" t="s">
        <v>7</v>
      </c>
      <c r="Y110" t="s">
        <v>143</v>
      </c>
      <c r="Z110" t="s">
        <v>13</v>
      </c>
      <c r="AA110" t="s">
        <v>144</v>
      </c>
      <c r="AB110" t="s">
        <v>7</v>
      </c>
      <c r="AC110" t="s">
        <v>7</v>
      </c>
      <c r="AD110" t="s">
        <v>7</v>
      </c>
      <c r="AE110" s="2">
        <v>45923</v>
      </c>
      <c r="AF110" s="2">
        <v>45976</v>
      </c>
      <c r="AG110" t="s">
        <v>44</v>
      </c>
    </row>
    <row r="111" spans="1:33" outlineLevel="2">
      <c r="A111" t="s">
        <v>23</v>
      </c>
      <c r="B111" s="13">
        <v>6788</v>
      </c>
      <c r="C111" s="13">
        <v>100222362</v>
      </c>
      <c r="D111" t="s">
        <v>2</v>
      </c>
      <c r="E111" t="s">
        <v>3</v>
      </c>
      <c r="F111" t="s">
        <v>37</v>
      </c>
      <c r="G111" s="2">
        <v>45973</v>
      </c>
      <c r="H111" s="13">
        <v>1800000594</v>
      </c>
      <c r="I111" t="s">
        <v>47</v>
      </c>
      <c r="J111" s="2">
        <v>45973</v>
      </c>
      <c r="K111" s="2">
        <v>45973</v>
      </c>
      <c r="L111" t="s">
        <v>45</v>
      </c>
      <c r="M111" s="16">
        <v>256788410459</v>
      </c>
      <c r="N111" t="s">
        <v>8</v>
      </c>
      <c r="O111" t="s">
        <v>9</v>
      </c>
      <c r="P111" t="s">
        <v>7</v>
      </c>
      <c r="Q111" t="s">
        <v>40</v>
      </c>
      <c r="R111" t="s">
        <v>21</v>
      </c>
      <c r="S111" s="3">
        <v>8006.66</v>
      </c>
      <c r="T111" t="s">
        <v>11</v>
      </c>
      <c r="U111" s="3">
        <v>704613.22</v>
      </c>
      <c r="V111" t="s">
        <v>48</v>
      </c>
      <c r="W111" t="s">
        <v>12</v>
      </c>
      <c r="X111" t="s">
        <v>7</v>
      </c>
      <c r="Y111" t="s">
        <v>145</v>
      </c>
      <c r="Z111" t="s">
        <v>13</v>
      </c>
      <c r="AA111" t="s">
        <v>108</v>
      </c>
      <c r="AB111" t="s">
        <v>7</v>
      </c>
      <c r="AC111" t="s">
        <v>7</v>
      </c>
      <c r="AD111" t="s">
        <v>7</v>
      </c>
      <c r="AE111" s="2">
        <v>45973</v>
      </c>
      <c r="AF111" s="2"/>
      <c r="AG111" t="s">
        <v>7</v>
      </c>
    </row>
    <row r="112" spans="1:33" outlineLevel="2">
      <c r="A112" t="s">
        <v>23</v>
      </c>
      <c r="B112" s="13">
        <v>6788</v>
      </c>
      <c r="C112" s="13">
        <v>100222362</v>
      </c>
      <c r="D112" t="s">
        <v>2</v>
      </c>
      <c r="E112" t="s">
        <v>3</v>
      </c>
      <c r="F112" t="s">
        <v>37</v>
      </c>
      <c r="G112" s="2">
        <v>45973</v>
      </c>
      <c r="H112" s="13">
        <v>1600000270</v>
      </c>
      <c r="I112" t="s">
        <v>71</v>
      </c>
      <c r="J112" s="2">
        <v>45973</v>
      </c>
      <c r="K112" s="2">
        <v>45974</v>
      </c>
      <c r="L112" t="s">
        <v>45</v>
      </c>
      <c r="M112" s="16">
        <v>256788420147</v>
      </c>
      <c r="N112" t="s">
        <v>8</v>
      </c>
      <c r="O112" t="s">
        <v>9</v>
      </c>
      <c r="P112" t="s">
        <v>7</v>
      </c>
      <c r="Q112" t="s">
        <v>37</v>
      </c>
      <c r="R112" t="s">
        <v>21</v>
      </c>
      <c r="S112" s="3">
        <v>-4547.2</v>
      </c>
      <c r="T112" t="s">
        <v>11</v>
      </c>
      <c r="U112" s="3">
        <v>-400169.02</v>
      </c>
      <c r="V112" t="s">
        <v>48</v>
      </c>
      <c r="W112" t="s">
        <v>12</v>
      </c>
      <c r="X112" t="s">
        <v>7</v>
      </c>
      <c r="Y112" t="s">
        <v>146</v>
      </c>
      <c r="Z112" t="s">
        <v>13</v>
      </c>
      <c r="AA112" t="s">
        <v>147</v>
      </c>
      <c r="AB112" t="s">
        <v>7</v>
      </c>
      <c r="AC112" t="s">
        <v>7</v>
      </c>
      <c r="AD112" t="s">
        <v>7</v>
      </c>
      <c r="AE112" s="2">
        <v>45973</v>
      </c>
      <c r="AF112" s="2"/>
      <c r="AG112" t="s">
        <v>7</v>
      </c>
    </row>
    <row r="113" spans="1:33" outlineLevel="2">
      <c r="A113" t="s">
        <v>23</v>
      </c>
      <c r="B113" s="13">
        <v>6779</v>
      </c>
      <c r="C113" s="13">
        <v>100222362</v>
      </c>
      <c r="D113" t="s">
        <v>2</v>
      </c>
      <c r="E113" t="s">
        <v>3</v>
      </c>
      <c r="F113" t="s">
        <v>61</v>
      </c>
      <c r="G113" s="2">
        <v>45821</v>
      </c>
      <c r="H113" s="13">
        <v>1800009582</v>
      </c>
      <c r="I113" t="s">
        <v>47</v>
      </c>
      <c r="J113" s="2">
        <v>45821</v>
      </c>
      <c r="K113" s="2">
        <v>45825</v>
      </c>
      <c r="L113" t="s">
        <v>45</v>
      </c>
      <c r="M113" s="16">
        <v>256779414346</v>
      </c>
      <c r="N113" t="s">
        <v>8</v>
      </c>
      <c r="O113" t="s">
        <v>9</v>
      </c>
      <c r="P113" t="s">
        <v>7</v>
      </c>
      <c r="Q113" t="s">
        <v>40</v>
      </c>
      <c r="R113" t="s">
        <v>21</v>
      </c>
      <c r="S113" s="3">
        <v>2322.04</v>
      </c>
      <c r="T113" t="s">
        <v>11</v>
      </c>
      <c r="U113" s="3">
        <v>198513.01</v>
      </c>
      <c r="V113" t="s">
        <v>48</v>
      </c>
      <c r="W113" t="s">
        <v>76</v>
      </c>
      <c r="X113" t="s">
        <v>7</v>
      </c>
      <c r="Y113" t="s">
        <v>45</v>
      </c>
      <c r="Z113" t="s">
        <v>13</v>
      </c>
      <c r="AA113" t="s">
        <v>148</v>
      </c>
      <c r="AB113" t="s">
        <v>7</v>
      </c>
      <c r="AC113" t="s">
        <v>7</v>
      </c>
      <c r="AD113" t="s">
        <v>7</v>
      </c>
      <c r="AE113" s="2">
        <v>45821</v>
      </c>
      <c r="AF113" s="2"/>
      <c r="AG113" t="s">
        <v>7</v>
      </c>
    </row>
    <row r="114" spans="1:33" outlineLevel="2">
      <c r="A114" t="s">
        <v>23</v>
      </c>
      <c r="B114" s="13">
        <v>6788</v>
      </c>
      <c r="C114" s="13">
        <v>100222362</v>
      </c>
      <c r="D114" t="s">
        <v>2</v>
      </c>
      <c r="E114" t="s">
        <v>3</v>
      </c>
      <c r="F114" t="s">
        <v>67</v>
      </c>
      <c r="G114" s="2">
        <v>45797</v>
      </c>
      <c r="H114" s="13">
        <v>1800000345</v>
      </c>
      <c r="I114" t="s">
        <v>47</v>
      </c>
      <c r="J114" s="2">
        <v>45797</v>
      </c>
      <c r="K114" s="2">
        <v>45800</v>
      </c>
      <c r="L114" t="s">
        <v>45</v>
      </c>
      <c r="M114" s="16">
        <v>256788410220</v>
      </c>
      <c r="N114" t="s">
        <v>8</v>
      </c>
      <c r="O114" t="s">
        <v>9</v>
      </c>
      <c r="P114" t="s">
        <v>7</v>
      </c>
      <c r="Q114" t="s">
        <v>40</v>
      </c>
      <c r="R114" t="s">
        <v>21</v>
      </c>
      <c r="S114" s="3">
        <v>67.2</v>
      </c>
      <c r="T114" t="s">
        <v>11</v>
      </c>
      <c r="U114" s="3">
        <v>5778.1</v>
      </c>
      <c r="V114" t="s">
        <v>48</v>
      </c>
      <c r="W114" t="s">
        <v>12</v>
      </c>
      <c r="X114" t="s">
        <v>7</v>
      </c>
      <c r="Y114" t="s">
        <v>45</v>
      </c>
      <c r="Z114" t="s">
        <v>13</v>
      </c>
      <c r="AA114" t="s">
        <v>149</v>
      </c>
      <c r="AB114" t="s">
        <v>7</v>
      </c>
      <c r="AC114" t="s">
        <v>7</v>
      </c>
      <c r="AD114" t="s">
        <v>7</v>
      </c>
      <c r="AE114" s="2">
        <v>45797</v>
      </c>
      <c r="AF114" s="2"/>
      <c r="AG114" t="s">
        <v>7</v>
      </c>
    </row>
    <row r="115" spans="1:33" outlineLevel="2">
      <c r="A115" t="s">
        <v>23</v>
      </c>
      <c r="B115" s="13">
        <v>6779</v>
      </c>
      <c r="C115" s="13">
        <v>100222362</v>
      </c>
      <c r="D115" t="s">
        <v>2</v>
      </c>
      <c r="E115" t="s">
        <v>3</v>
      </c>
      <c r="F115" t="s">
        <v>4</v>
      </c>
      <c r="G115" s="2">
        <v>45750</v>
      </c>
      <c r="H115" s="13">
        <v>1800005306</v>
      </c>
      <c r="I115" t="s">
        <v>47</v>
      </c>
      <c r="J115" s="2">
        <v>45750</v>
      </c>
      <c r="K115" s="2">
        <v>45752</v>
      </c>
      <c r="L115" t="s">
        <v>45</v>
      </c>
      <c r="M115" s="16">
        <v>256779410198</v>
      </c>
      <c r="N115" t="s">
        <v>8</v>
      </c>
      <c r="O115" t="s">
        <v>9</v>
      </c>
      <c r="P115" t="s">
        <v>7</v>
      </c>
      <c r="Q115" t="s">
        <v>40</v>
      </c>
      <c r="R115" t="s">
        <v>21</v>
      </c>
      <c r="S115" s="3">
        <v>3.45</v>
      </c>
      <c r="T115" t="s">
        <v>11</v>
      </c>
      <c r="U115" s="3">
        <v>299.88</v>
      </c>
      <c r="V115" t="s">
        <v>48</v>
      </c>
      <c r="W115" t="s">
        <v>7</v>
      </c>
      <c r="X115" t="s">
        <v>7</v>
      </c>
      <c r="Y115" t="s">
        <v>45</v>
      </c>
      <c r="Z115" t="s">
        <v>13</v>
      </c>
      <c r="AA115" t="s">
        <v>150</v>
      </c>
      <c r="AB115" t="s">
        <v>7</v>
      </c>
      <c r="AC115" t="s">
        <v>7</v>
      </c>
      <c r="AD115" t="s">
        <v>7</v>
      </c>
      <c r="AE115" s="2">
        <v>45750</v>
      </c>
      <c r="AF115" s="2"/>
      <c r="AG115" t="s">
        <v>7</v>
      </c>
    </row>
    <row r="116" spans="1:33" outlineLevel="2">
      <c r="A116" t="s">
        <v>23</v>
      </c>
      <c r="B116" s="13">
        <v>6788</v>
      </c>
      <c r="C116" s="13">
        <v>100222362</v>
      </c>
      <c r="D116" t="s">
        <v>2</v>
      </c>
      <c r="E116" t="s">
        <v>3</v>
      </c>
      <c r="F116" t="s">
        <v>29</v>
      </c>
      <c r="G116" s="2">
        <v>45950</v>
      </c>
      <c r="H116" s="13">
        <v>1800000558</v>
      </c>
      <c r="I116" t="s">
        <v>47</v>
      </c>
      <c r="J116" s="2">
        <v>45950</v>
      </c>
      <c r="K116" s="2">
        <v>45951</v>
      </c>
      <c r="L116" t="s">
        <v>45</v>
      </c>
      <c r="M116" s="16">
        <v>256788410435</v>
      </c>
      <c r="N116" t="s">
        <v>8</v>
      </c>
      <c r="O116" t="s">
        <v>9</v>
      </c>
      <c r="P116" t="s">
        <v>7</v>
      </c>
      <c r="Q116" t="s">
        <v>40</v>
      </c>
      <c r="R116" t="s">
        <v>21</v>
      </c>
      <c r="S116" s="3">
        <v>38</v>
      </c>
      <c r="T116" t="s">
        <v>11</v>
      </c>
      <c r="U116" s="3">
        <v>3351.25</v>
      </c>
      <c r="V116" t="s">
        <v>48</v>
      </c>
      <c r="W116" t="s">
        <v>12</v>
      </c>
      <c r="X116" t="s">
        <v>7</v>
      </c>
      <c r="Y116" t="s">
        <v>151</v>
      </c>
      <c r="Z116" t="s">
        <v>13</v>
      </c>
      <c r="AA116" t="s">
        <v>152</v>
      </c>
      <c r="AB116" t="s">
        <v>7</v>
      </c>
      <c r="AC116" t="s">
        <v>7</v>
      </c>
      <c r="AD116" t="s">
        <v>7</v>
      </c>
      <c r="AE116" s="2">
        <v>45950</v>
      </c>
      <c r="AF116" s="2"/>
      <c r="AG116" t="s">
        <v>7</v>
      </c>
    </row>
    <row r="117" spans="1:33" outlineLevel="2">
      <c r="A117" t="s">
        <v>23</v>
      </c>
      <c r="B117" s="13">
        <v>6788</v>
      </c>
      <c r="C117" s="13">
        <v>100222362</v>
      </c>
      <c r="D117" t="s">
        <v>2</v>
      </c>
      <c r="E117" t="s">
        <v>3</v>
      </c>
      <c r="F117" t="s">
        <v>29</v>
      </c>
      <c r="G117" s="2">
        <v>45950</v>
      </c>
      <c r="H117" s="13">
        <v>1800000560</v>
      </c>
      <c r="I117" t="s">
        <v>47</v>
      </c>
      <c r="J117" s="2">
        <v>45950</v>
      </c>
      <c r="K117" s="2">
        <v>45951</v>
      </c>
      <c r="L117" t="s">
        <v>45</v>
      </c>
      <c r="M117" s="16">
        <v>256788410437</v>
      </c>
      <c r="N117" t="s">
        <v>8</v>
      </c>
      <c r="O117" t="s">
        <v>9</v>
      </c>
      <c r="P117" t="s">
        <v>7</v>
      </c>
      <c r="Q117" t="s">
        <v>40</v>
      </c>
      <c r="R117" t="s">
        <v>21</v>
      </c>
      <c r="S117" s="3">
        <v>346.14</v>
      </c>
      <c r="T117" t="s">
        <v>11</v>
      </c>
      <c r="U117" s="3">
        <v>30526.35</v>
      </c>
      <c r="V117" t="s">
        <v>48</v>
      </c>
      <c r="W117" t="s">
        <v>12</v>
      </c>
      <c r="X117" t="s">
        <v>7</v>
      </c>
      <c r="Y117" t="s">
        <v>153</v>
      </c>
      <c r="Z117" t="s">
        <v>13</v>
      </c>
      <c r="AA117" t="s">
        <v>154</v>
      </c>
      <c r="AB117" t="s">
        <v>7</v>
      </c>
      <c r="AC117" t="s">
        <v>7</v>
      </c>
      <c r="AD117" t="s">
        <v>7</v>
      </c>
      <c r="AE117" s="2">
        <v>45950</v>
      </c>
      <c r="AF117" s="2"/>
      <c r="AG117" t="s">
        <v>7</v>
      </c>
    </row>
    <row r="118" spans="1:33" outlineLevel="2">
      <c r="A118" t="s">
        <v>23</v>
      </c>
      <c r="B118" s="13">
        <v>6788</v>
      </c>
      <c r="C118" s="13">
        <v>100222362</v>
      </c>
      <c r="D118" t="s">
        <v>2</v>
      </c>
      <c r="E118" t="s">
        <v>3</v>
      </c>
      <c r="F118" t="s">
        <v>4</v>
      </c>
      <c r="G118" s="2">
        <v>45749</v>
      </c>
      <c r="H118" s="13">
        <v>1800000126</v>
      </c>
      <c r="I118" t="s">
        <v>47</v>
      </c>
      <c r="J118" s="2">
        <v>45749</v>
      </c>
      <c r="K118" s="2">
        <v>45752</v>
      </c>
      <c r="L118" t="s">
        <v>45</v>
      </c>
      <c r="M118" s="16">
        <v>256788410001</v>
      </c>
      <c r="N118" t="s">
        <v>8</v>
      </c>
      <c r="O118" t="s">
        <v>9</v>
      </c>
      <c r="P118" t="s">
        <v>7</v>
      </c>
      <c r="Q118" t="s">
        <v>40</v>
      </c>
      <c r="R118" t="s">
        <v>21</v>
      </c>
      <c r="S118" s="3">
        <v>10887.57</v>
      </c>
      <c r="T118" t="s">
        <v>11</v>
      </c>
      <c r="U118" s="3">
        <v>946367.4</v>
      </c>
      <c r="V118" t="s">
        <v>48</v>
      </c>
      <c r="W118" t="s">
        <v>7</v>
      </c>
      <c r="X118" t="s">
        <v>7</v>
      </c>
      <c r="Y118" t="s">
        <v>45</v>
      </c>
      <c r="Z118" t="s">
        <v>13</v>
      </c>
      <c r="AA118" t="s">
        <v>155</v>
      </c>
      <c r="AB118" t="s">
        <v>7</v>
      </c>
      <c r="AC118" t="s">
        <v>7</v>
      </c>
      <c r="AD118" t="s">
        <v>7</v>
      </c>
      <c r="AE118" s="2">
        <v>45749</v>
      </c>
      <c r="AF118" s="2"/>
      <c r="AG118" t="s">
        <v>7</v>
      </c>
    </row>
    <row r="119" spans="1:33" outlineLevel="2">
      <c r="A119" t="s">
        <v>23</v>
      </c>
      <c r="B119" s="13">
        <v>6788</v>
      </c>
      <c r="C119" s="13">
        <v>100222362</v>
      </c>
      <c r="D119" t="s">
        <v>2</v>
      </c>
      <c r="E119" t="s">
        <v>3</v>
      </c>
      <c r="F119" t="s">
        <v>4</v>
      </c>
      <c r="G119" s="2">
        <v>45749</v>
      </c>
      <c r="H119" s="13">
        <v>1800000127</v>
      </c>
      <c r="I119" t="s">
        <v>47</v>
      </c>
      <c r="J119" s="2">
        <v>45749</v>
      </c>
      <c r="K119" s="2">
        <v>45752</v>
      </c>
      <c r="L119" t="s">
        <v>45</v>
      </c>
      <c r="M119" s="16">
        <v>256788410002</v>
      </c>
      <c r="N119" t="s">
        <v>8</v>
      </c>
      <c r="O119" t="s">
        <v>9</v>
      </c>
      <c r="P119" t="s">
        <v>7</v>
      </c>
      <c r="Q119" t="s">
        <v>40</v>
      </c>
      <c r="R119" t="s">
        <v>21</v>
      </c>
      <c r="S119" s="3">
        <v>9928.89</v>
      </c>
      <c r="T119" t="s">
        <v>11</v>
      </c>
      <c r="U119" s="3">
        <v>863037.19</v>
      </c>
      <c r="V119" t="s">
        <v>48</v>
      </c>
      <c r="W119" t="s">
        <v>7</v>
      </c>
      <c r="X119" t="s">
        <v>7</v>
      </c>
      <c r="Y119" t="s">
        <v>45</v>
      </c>
      <c r="Z119" t="s">
        <v>13</v>
      </c>
      <c r="AA119" t="s">
        <v>156</v>
      </c>
      <c r="AB119" t="s">
        <v>7</v>
      </c>
      <c r="AC119" t="s">
        <v>7</v>
      </c>
      <c r="AD119" t="s">
        <v>7</v>
      </c>
      <c r="AE119" s="2">
        <v>45749</v>
      </c>
      <c r="AF119" s="2"/>
      <c r="AG119" t="s">
        <v>7</v>
      </c>
    </row>
    <row r="120" spans="1:33" outlineLevel="2">
      <c r="A120" t="s">
        <v>23</v>
      </c>
      <c r="B120" s="13">
        <v>6788</v>
      </c>
      <c r="C120" s="13">
        <v>100222362</v>
      </c>
      <c r="D120" t="s">
        <v>2</v>
      </c>
      <c r="E120" t="s">
        <v>3</v>
      </c>
      <c r="F120" t="s">
        <v>4</v>
      </c>
      <c r="G120" s="2">
        <v>45749</v>
      </c>
      <c r="H120" s="13">
        <v>1800000128</v>
      </c>
      <c r="I120" t="s">
        <v>47</v>
      </c>
      <c r="J120" s="2">
        <v>45749</v>
      </c>
      <c r="K120" s="2">
        <v>45752</v>
      </c>
      <c r="L120" t="s">
        <v>45</v>
      </c>
      <c r="M120" s="16">
        <v>256788410003</v>
      </c>
      <c r="N120" t="s">
        <v>8</v>
      </c>
      <c r="O120" t="s">
        <v>9</v>
      </c>
      <c r="P120" t="s">
        <v>7</v>
      </c>
      <c r="Q120" t="s">
        <v>40</v>
      </c>
      <c r="R120" t="s">
        <v>21</v>
      </c>
      <c r="S120" s="3">
        <v>4.5</v>
      </c>
      <c r="T120" t="s">
        <v>11</v>
      </c>
      <c r="U120" s="3">
        <v>391.15</v>
      </c>
      <c r="V120" t="s">
        <v>48</v>
      </c>
      <c r="W120" t="s">
        <v>7</v>
      </c>
      <c r="X120" t="s">
        <v>7</v>
      </c>
      <c r="Y120" t="s">
        <v>45</v>
      </c>
      <c r="Z120" t="s">
        <v>13</v>
      </c>
      <c r="AA120" t="s">
        <v>157</v>
      </c>
      <c r="AB120" t="s">
        <v>7</v>
      </c>
      <c r="AC120" t="s">
        <v>7</v>
      </c>
      <c r="AD120" t="s">
        <v>7</v>
      </c>
      <c r="AE120" s="2">
        <v>45749</v>
      </c>
      <c r="AF120" s="2"/>
      <c r="AG120" t="s">
        <v>7</v>
      </c>
    </row>
    <row r="121" spans="1:33" outlineLevel="2">
      <c r="A121" t="s">
        <v>23</v>
      </c>
      <c r="B121" s="13">
        <v>6788</v>
      </c>
      <c r="C121" s="13">
        <v>100222362</v>
      </c>
      <c r="D121" t="s">
        <v>2</v>
      </c>
      <c r="E121" t="s">
        <v>3</v>
      </c>
      <c r="F121" t="s">
        <v>4</v>
      </c>
      <c r="G121" s="2">
        <v>45749</v>
      </c>
      <c r="H121" s="13">
        <v>1800000129</v>
      </c>
      <c r="I121" t="s">
        <v>47</v>
      </c>
      <c r="J121" s="2">
        <v>45749</v>
      </c>
      <c r="K121" s="2">
        <v>45752</v>
      </c>
      <c r="L121" t="s">
        <v>45</v>
      </c>
      <c r="M121" s="16">
        <v>256788410004</v>
      </c>
      <c r="N121" t="s">
        <v>8</v>
      </c>
      <c r="O121" t="s">
        <v>9</v>
      </c>
      <c r="P121" t="s">
        <v>7</v>
      </c>
      <c r="Q121" t="s">
        <v>40</v>
      </c>
      <c r="R121" t="s">
        <v>21</v>
      </c>
      <c r="S121" s="3">
        <v>2786.28</v>
      </c>
      <c r="T121" t="s">
        <v>11</v>
      </c>
      <c r="U121" s="3">
        <v>242188.53</v>
      </c>
      <c r="V121" t="s">
        <v>48</v>
      </c>
      <c r="W121" t="s">
        <v>7</v>
      </c>
      <c r="X121" t="s">
        <v>7</v>
      </c>
      <c r="Y121" t="s">
        <v>45</v>
      </c>
      <c r="Z121" t="s">
        <v>13</v>
      </c>
      <c r="AA121" t="s">
        <v>158</v>
      </c>
      <c r="AB121" t="s">
        <v>7</v>
      </c>
      <c r="AC121" t="s">
        <v>7</v>
      </c>
      <c r="AD121" t="s">
        <v>7</v>
      </c>
      <c r="AE121" s="2">
        <v>45749</v>
      </c>
      <c r="AF121" s="2"/>
      <c r="AG121" t="s">
        <v>7</v>
      </c>
    </row>
    <row r="122" spans="1:33" outlineLevel="2">
      <c r="A122" t="s">
        <v>23</v>
      </c>
      <c r="B122" s="13">
        <v>6788</v>
      </c>
      <c r="C122" s="13">
        <v>100222362</v>
      </c>
      <c r="D122" t="s">
        <v>2</v>
      </c>
      <c r="E122" t="s">
        <v>3</v>
      </c>
      <c r="F122" t="s">
        <v>4</v>
      </c>
      <c r="G122" s="2">
        <v>45749</v>
      </c>
      <c r="H122" s="13">
        <v>1800000134</v>
      </c>
      <c r="I122" t="s">
        <v>47</v>
      </c>
      <c r="J122" s="2">
        <v>45749</v>
      </c>
      <c r="K122" s="2">
        <v>45752</v>
      </c>
      <c r="L122" t="s">
        <v>45</v>
      </c>
      <c r="M122" s="16">
        <v>256788410009</v>
      </c>
      <c r="N122" t="s">
        <v>8</v>
      </c>
      <c r="O122" t="s">
        <v>9</v>
      </c>
      <c r="P122" t="s">
        <v>7</v>
      </c>
      <c r="Q122" t="s">
        <v>40</v>
      </c>
      <c r="R122" t="s">
        <v>21</v>
      </c>
      <c r="S122" s="3">
        <v>2934.66</v>
      </c>
      <c r="T122" t="s">
        <v>11</v>
      </c>
      <c r="U122" s="3">
        <v>255085.99</v>
      </c>
      <c r="V122" t="s">
        <v>48</v>
      </c>
      <c r="W122" t="s">
        <v>7</v>
      </c>
      <c r="X122" t="s">
        <v>7</v>
      </c>
      <c r="Y122" t="s">
        <v>45</v>
      </c>
      <c r="Z122" t="s">
        <v>13</v>
      </c>
      <c r="AA122" t="s">
        <v>159</v>
      </c>
      <c r="AB122" t="s">
        <v>7</v>
      </c>
      <c r="AC122" t="s">
        <v>7</v>
      </c>
      <c r="AD122" t="s">
        <v>7</v>
      </c>
      <c r="AE122" s="2">
        <v>45749</v>
      </c>
      <c r="AF122" s="2"/>
      <c r="AG122" t="s">
        <v>7</v>
      </c>
    </row>
    <row r="123" spans="1:33" outlineLevel="2">
      <c r="A123" t="s">
        <v>23</v>
      </c>
      <c r="B123" s="13">
        <v>6788</v>
      </c>
      <c r="C123" s="13">
        <v>100222362</v>
      </c>
      <c r="D123" t="s">
        <v>2</v>
      </c>
      <c r="E123" t="s">
        <v>3</v>
      </c>
      <c r="F123" t="s">
        <v>4</v>
      </c>
      <c r="G123" s="2">
        <v>45749</v>
      </c>
      <c r="H123" s="13">
        <v>1800000138</v>
      </c>
      <c r="I123" t="s">
        <v>47</v>
      </c>
      <c r="J123" s="2">
        <v>45749</v>
      </c>
      <c r="K123" s="2">
        <v>45752</v>
      </c>
      <c r="L123" t="s">
        <v>45</v>
      </c>
      <c r="M123" s="16">
        <v>256788410013</v>
      </c>
      <c r="N123" t="s">
        <v>8</v>
      </c>
      <c r="O123" t="s">
        <v>9</v>
      </c>
      <c r="P123" t="s">
        <v>7</v>
      </c>
      <c r="Q123" t="s">
        <v>40</v>
      </c>
      <c r="R123" t="s">
        <v>21</v>
      </c>
      <c r="S123" s="3">
        <v>2935.55</v>
      </c>
      <c r="T123" t="s">
        <v>11</v>
      </c>
      <c r="U123" s="3">
        <v>255163.35</v>
      </c>
      <c r="V123" t="s">
        <v>48</v>
      </c>
      <c r="W123" t="s">
        <v>7</v>
      </c>
      <c r="X123" t="s">
        <v>7</v>
      </c>
      <c r="Y123" t="s">
        <v>45</v>
      </c>
      <c r="Z123" t="s">
        <v>13</v>
      </c>
      <c r="AA123" t="s">
        <v>160</v>
      </c>
      <c r="AB123" t="s">
        <v>7</v>
      </c>
      <c r="AC123" t="s">
        <v>7</v>
      </c>
      <c r="AD123" t="s">
        <v>7</v>
      </c>
      <c r="AE123" s="2">
        <v>45749</v>
      </c>
      <c r="AF123" s="2"/>
      <c r="AG123" t="s">
        <v>7</v>
      </c>
    </row>
    <row r="124" spans="1:33" outlineLevel="2">
      <c r="A124" t="s">
        <v>23</v>
      </c>
      <c r="B124" s="13">
        <v>6788</v>
      </c>
      <c r="C124" s="13">
        <v>100222362</v>
      </c>
      <c r="D124" t="s">
        <v>2</v>
      </c>
      <c r="E124" t="s">
        <v>3</v>
      </c>
      <c r="F124" t="s">
        <v>4</v>
      </c>
      <c r="G124" s="2">
        <v>45749</v>
      </c>
      <c r="H124" s="13">
        <v>1800000141</v>
      </c>
      <c r="I124" t="s">
        <v>47</v>
      </c>
      <c r="J124" s="2">
        <v>45749</v>
      </c>
      <c r="K124" s="2">
        <v>45752</v>
      </c>
      <c r="L124" t="s">
        <v>45</v>
      </c>
      <c r="M124" s="16">
        <v>256788410016</v>
      </c>
      <c r="N124" t="s">
        <v>8</v>
      </c>
      <c r="O124" t="s">
        <v>9</v>
      </c>
      <c r="P124" t="s">
        <v>7</v>
      </c>
      <c r="Q124" t="s">
        <v>40</v>
      </c>
      <c r="R124" t="s">
        <v>21</v>
      </c>
      <c r="S124" s="3">
        <v>3979.2</v>
      </c>
      <c r="T124" t="s">
        <v>11</v>
      </c>
      <c r="U124" s="3">
        <v>345879.31</v>
      </c>
      <c r="V124" t="s">
        <v>48</v>
      </c>
      <c r="W124" t="s">
        <v>7</v>
      </c>
      <c r="X124" t="s">
        <v>7</v>
      </c>
      <c r="Y124" t="s">
        <v>45</v>
      </c>
      <c r="Z124" t="s">
        <v>13</v>
      </c>
      <c r="AA124" t="s">
        <v>161</v>
      </c>
      <c r="AB124" t="s">
        <v>7</v>
      </c>
      <c r="AC124" t="s">
        <v>7</v>
      </c>
      <c r="AD124" t="s">
        <v>7</v>
      </c>
      <c r="AE124" s="2">
        <v>45749</v>
      </c>
      <c r="AF124" s="2"/>
      <c r="AG124" t="s">
        <v>7</v>
      </c>
    </row>
    <row r="125" spans="1:33" outlineLevel="2">
      <c r="A125" t="s">
        <v>0</v>
      </c>
      <c r="B125" s="13">
        <v>6788</v>
      </c>
      <c r="C125" s="13">
        <v>100222362</v>
      </c>
      <c r="D125" t="s">
        <v>2</v>
      </c>
      <c r="E125" t="s">
        <v>3</v>
      </c>
      <c r="F125" t="s">
        <v>4</v>
      </c>
      <c r="G125" s="2">
        <v>45749</v>
      </c>
      <c r="H125" s="13">
        <v>1800000144</v>
      </c>
      <c r="I125" t="s">
        <v>47</v>
      </c>
      <c r="J125" s="2">
        <v>45749</v>
      </c>
      <c r="K125" s="2">
        <v>45752</v>
      </c>
      <c r="L125" t="s">
        <v>45</v>
      </c>
      <c r="M125" s="16">
        <v>256788410019</v>
      </c>
      <c r="N125" t="s">
        <v>8</v>
      </c>
      <c r="O125" t="s">
        <v>9</v>
      </c>
      <c r="P125" t="s">
        <v>7</v>
      </c>
      <c r="Q125" t="s">
        <v>40</v>
      </c>
      <c r="R125" t="s">
        <v>21</v>
      </c>
      <c r="S125" s="3">
        <v>75</v>
      </c>
      <c r="T125" t="s">
        <v>11</v>
      </c>
      <c r="U125" s="3">
        <v>6519.14</v>
      </c>
      <c r="V125" t="s">
        <v>48</v>
      </c>
      <c r="W125" t="s">
        <v>7</v>
      </c>
      <c r="X125" t="s">
        <v>7</v>
      </c>
      <c r="Y125" t="s">
        <v>45</v>
      </c>
      <c r="Z125" t="s">
        <v>13</v>
      </c>
      <c r="AA125" t="s">
        <v>133</v>
      </c>
      <c r="AB125" t="s">
        <v>7</v>
      </c>
      <c r="AC125" t="s">
        <v>7</v>
      </c>
      <c r="AD125" t="s">
        <v>7</v>
      </c>
      <c r="AE125" s="2">
        <v>45749</v>
      </c>
      <c r="AF125" s="2">
        <v>45976</v>
      </c>
      <c r="AG125" t="s">
        <v>44</v>
      </c>
    </row>
    <row r="126" spans="1:33" outlineLevel="2">
      <c r="A126" t="s">
        <v>0</v>
      </c>
      <c r="B126" s="13">
        <v>6788</v>
      </c>
      <c r="C126" s="13">
        <v>100222362</v>
      </c>
      <c r="D126" t="s">
        <v>2</v>
      </c>
      <c r="E126" t="s">
        <v>3</v>
      </c>
      <c r="F126" t="s">
        <v>4</v>
      </c>
      <c r="G126" s="2">
        <v>45749</v>
      </c>
      <c r="H126" s="13">
        <v>1800000148</v>
      </c>
      <c r="I126" t="s">
        <v>47</v>
      </c>
      <c r="J126" s="2">
        <v>45749</v>
      </c>
      <c r="K126" s="2">
        <v>45752</v>
      </c>
      <c r="L126" t="s">
        <v>45</v>
      </c>
      <c r="M126" s="16">
        <v>256788410023</v>
      </c>
      <c r="N126" t="s">
        <v>8</v>
      </c>
      <c r="O126" t="s">
        <v>9</v>
      </c>
      <c r="P126" t="s">
        <v>7</v>
      </c>
      <c r="Q126" t="s">
        <v>40</v>
      </c>
      <c r="R126" t="s">
        <v>21</v>
      </c>
      <c r="S126" s="3">
        <v>75</v>
      </c>
      <c r="T126" t="s">
        <v>11</v>
      </c>
      <c r="U126" s="3">
        <v>6519.14</v>
      </c>
      <c r="V126" t="s">
        <v>48</v>
      </c>
      <c r="W126" t="s">
        <v>7</v>
      </c>
      <c r="X126" t="s">
        <v>7</v>
      </c>
      <c r="Y126" t="s">
        <v>45</v>
      </c>
      <c r="Z126" t="s">
        <v>13</v>
      </c>
      <c r="AA126" t="s">
        <v>134</v>
      </c>
      <c r="AB126" t="s">
        <v>7</v>
      </c>
      <c r="AC126" t="s">
        <v>7</v>
      </c>
      <c r="AD126" t="s">
        <v>7</v>
      </c>
      <c r="AE126" s="2">
        <v>45749</v>
      </c>
      <c r="AF126" s="2">
        <v>45976</v>
      </c>
      <c r="AG126" t="s">
        <v>44</v>
      </c>
    </row>
    <row r="127" spans="1:33" outlineLevel="2">
      <c r="A127" t="s">
        <v>23</v>
      </c>
      <c r="B127" s="13">
        <v>6788</v>
      </c>
      <c r="C127" s="13">
        <v>100222362</v>
      </c>
      <c r="D127" t="s">
        <v>2</v>
      </c>
      <c r="E127" t="s">
        <v>3</v>
      </c>
      <c r="F127" t="s">
        <v>162</v>
      </c>
      <c r="G127" s="2">
        <v>45995</v>
      </c>
      <c r="H127" s="13">
        <v>1800000608</v>
      </c>
      <c r="I127" t="s">
        <v>47</v>
      </c>
      <c r="J127" s="2">
        <v>45995</v>
      </c>
      <c r="K127" s="2">
        <v>46000</v>
      </c>
      <c r="L127" t="s">
        <v>45</v>
      </c>
      <c r="M127" s="16">
        <v>256788410465</v>
      </c>
      <c r="N127" t="s">
        <v>8</v>
      </c>
      <c r="O127" t="s">
        <v>9</v>
      </c>
      <c r="P127" t="s">
        <v>7</v>
      </c>
      <c r="Q127" t="s">
        <v>40</v>
      </c>
      <c r="R127" t="s">
        <v>21</v>
      </c>
      <c r="S127" s="3">
        <v>3385.09</v>
      </c>
      <c r="T127" t="s">
        <v>11</v>
      </c>
      <c r="U127" s="3">
        <v>300257.96000000002</v>
      </c>
      <c r="V127" t="s">
        <v>48</v>
      </c>
      <c r="W127" t="s">
        <v>12</v>
      </c>
      <c r="X127" t="s">
        <v>7</v>
      </c>
      <c r="Y127" t="s">
        <v>163</v>
      </c>
      <c r="Z127" t="s">
        <v>13</v>
      </c>
      <c r="AA127" t="s">
        <v>164</v>
      </c>
      <c r="AB127" t="s">
        <v>7</v>
      </c>
      <c r="AC127" t="s">
        <v>7</v>
      </c>
      <c r="AD127" t="s">
        <v>7</v>
      </c>
      <c r="AE127" s="2">
        <v>45995</v>
      </c>
      <c r="AF127" s="2"/>
      <c r="AG127" t="s">
        <v>7</v>
      </c>
    </row>
    <row r="128" spans="1:33" outlineLevel="2">
      <c r="A128" t="s">
        <v>23</v>
      </c>
      <c r="B128" s="13">
        <v>6788</v>
      </c>
      <c r="C128" s="13">
        <v>100222362</v>
      </c>
      <c r="D128" t="s">
        <v>2</v>
      </c>
      <c r="E128" t="s">
        <v>3</v>
      </c>
      <c r="F128" t="s">
        <v>162</v>
      </c>
      <c r="G128" s="2">
        <v>45995</v>
      </c>
      <c r="H128" s="13">
        <v>1800000609</v>
      </c>
      <c r="I128" t="s">
        <v>47</v>
      </c>
      <c r="J128" s="2">
        <v>45995</v>
      </c>
      <c r="K128" s="2">
        <v>46000</v>
      </c>
      <c r="L128" t="s">
        <v>45</v>
      </c>
      <c r="M128" s="16">
        <v>256788410466</v>
      </c>
      <c r="N128" t="s">
        <v>8</v>
      </c>
      <c r="O128" t="s">
        <v>9</v>
      </c>
      <c r="P128" t="s">
        <v>7</v>
      </c>
      <c r="Q128" t="s">
        <v>40</v>
      </c>
      <c r="R128" t="s">
        <v>21</v>
      </c>
      <c r="S128" s="3">
        <v>75</v>
      </c>
      <c r="T128" t="s">
        <v>11</v>
      </c>
      <c r="U128" s="3">
        <v>6652.51</v>
      </c>
      <c r="V128" t="s">
        <v>48</v>
      </c>
      <c r="W128" t="s">
        <v>12</v>
      </c>
      <c r="X128" t="s">
        <v>7</v>
      </c>
      <c r="Y128" t="s">
        <v>165</v>
      </c>
      <c r="Z128" t="s">
        <v>13</v>
      </c>
      <c r="AA128" t="s">
        <v>166</v>
      </c>
      <c r="AB128" t="s">
        <v>7</v>
      </c>
      <c r="AC128" t="s">
        <v>7</v>
      </c>
      <c r="AD128" t="s">
        <v>7</v>
      </c>
      <c r="AE128" s="2">
        <v>45995</v>
      </c>
      <c r="AF128" s="2"/>
      <c r="AG128" t="s">
        <v>7</v>
      </c>
    </row>
    <row r="129" spans="1:33" outlineLevel="2">
      <c r="A129" t="s">
        <v>23</v>
      </c>
      <c r="B129" s="13">
        <v>6788</v>
      </c>
      <c r="C129" s="13">
        <v>100222362</v>
      </c>
      <c r="D129" t="s">
        <v>2</v>
      </c>
      <c r="E129" t="s">
        <v>3</v>
      </c>
      <c r="F129" t="s">
        <v>38</v>
      </c>
      <c r="G129" s="2">
        <v>45734</v>
      </c>
      <c r="H129" s="13">
        <v>1800000084</v>
      </c>
      <c r="I129" t="s">
        <v>47</v>
      </c>
      <c r="J129" s="2">
        <v>45734</v>
      </c>
      <c r="K129" s="2">
        <v>45735</v>
      </c>
      <c r="L129" t="s">
        <v>45</v>
      </c>
      <c r="M129" s="16">
        <v>246788410079</v>
      </c>
      <c r="N129" t="s">
        <v>8</v>
      </c>
      <c r="O129" t="s">
        <v>9</v>
      </c>
      <c r="P129" t="s">
        <v>7</v>
      </c>
      <c r="Q129" t="s">
        <v>40</v>
      </c>
      <c r="R129" t="s">
        <v>21</v>
      </c>
      <c r="S129" s="3">
        <v>75</v>
      </c>
      <c r="T129" t="s">
        <v>11</v>
      </c>
      <c r="U129" s="3">
        <v>6501.84</v>
      </c>
      <c r="V129" t="s">
        <v>48</v>
      </c>
      <c r="W129" t="s">
        <v>12</v>
      </c>
      <c r="X129" t="s">
        <v>7</v>
      </c>
      <c r="Y129" t="s">
        <v>45</v>
      </c>
      <c r="Z129" t="s">
        <v>13</v>
      </c>
      <c r="AA129" t="s">
        <v>167</v>
      </c>
      <c r="AB129" t="s">
        <v>7</v>
      </c>
      <c r="AC129" t="s">
        <v>7</v>
      </c>
      <c r="AD129" t="s">
        <v>7</v>
      </c>
      <c r="AE129" s="2">
        <v>45734</v>
      </c>
      <c r="AF129" s="2"/>
      <c r="AG129" t="s">
        <v>7</v>
      </c>
    </row>
    <row r="130" spans="1:33" outlineLevel="2">
      <c r="A130" t="s">
        <v>23</v>
      </c>
      <c r="B130" s="13">
        <v>6788</v>
      </c>
      <c r="C130" s="13">
        <v>100222362</v>
      </c>
      <c r="D130" t="s">
        <v>2</v>
      </c>
      <c r="E130" t="s">
        <v>3</v>
      </c>
      <c r="F130" t="s">
        <v>38</v>
      </c>
      <c r="G130" s="2">
        <v>45734</v>
      </c>
      <c r="H130" s="13">
        <v>1800000086</v>
      </c>
      <c r="I130" t="s">
        <v>47</v>
      </c>
      <c r="J130" s="2">
        <v>45734</v>
      </c>
      <c r="K130" s="2">
        <v>45735</v>
      </c>
      <c r="L130" t="s">
        <v>45</v>
      </c>
      <c r="M130" s="16">
        <v>246788410081</v>
      </c>
      <c r="N130" t="s">
        <v>8</v>
      </c>
      <c r="O130" t="s">
        <v>9</v>
      </c>
      <c r="P130" t="s">
        <v>7</v>
      </c>
      <c r="Q130" t="s">
        <v>40</v>
      </c>
      <c r="R130" t="s">
        <v>21</v>
      </c>
      <c r="S130" s="3">
        <v>2</v>
      </c>
      <c r="T130" t="s">
        <v>11</v>
      </c>
      <c r="U130" s="3">
        <v>173.38</v>
      </c>
      <c r="V130" t="s">
        <v>48</v>
      </c>
      <c r="W130" t="s">
        <v>12</v>
      </c>
      <c r="X130" t="s">
        <v>7</v>
      </c>
      <c r="Y130" t="s">
        <v>45</v>
      </c>
      <c r="Z130" t="s">
        <v>13</v>
      </c>
      <c r="AA130" t="s">
        <v>168</v>
      </c>
      <c r="AB130" t="s">
        <v>7</v>
      </c>
      <c r="AC130" t="s">
        <v>7</v>
      </c>
      <c r="AD130" t="s">
        <v>7</v>
      </c>
      <c r="AE130" s="2">
        <v>45734</v>
      </c>
      <c r="AF130" s="2"/>
      <c r="AG130" t="s">
        <v>7</v>
      </c>
    </row>
    <row r="131" spans="1:33" outlineLevel="2">
      <c r="A131" t="s">
        <v>23</v>
      </c>
      <c r="B131" s="13">
        <v>6788</v>
      </c>
      <c r="C131" s="13">
        <v>100222362</v>
      </c>
      <c r="D131" t="s">
        <v>2</v>
      </c>
      <c r="E131" t="s">
        <v>3</v>
      </c>
      <c r="F131" t="s">
        <v>38</v>
      </c>
      <c r="G131" s="2">
        <v>45734</v>
      </c>
      <c r="H131" s="13">
        <v>1800000087</v>
      </c>
      <c r="I131" t="s">
        <v>47</v>
      </c>
      <c r="J131" s="2">
        <v>45734</v>
      </c>
      <c r="K131" s="2">
        <v>45735</v>
      </c>
      <c r="L131" t="s">
        <v>45</v>
      </c>
      <c r="M131" s="16">
        <v>246788410082</v>
      </c>
      <c r="N131" t="s">
        <v>8</v>
      </c>
      <c r="O131" t="s">
        <v>9</v>
      </c>
      <c r="P131" t="s">
        <v>7</v>
      </c>
      <c r="Q131" t="s">
        <v>40</v>
      </c>
      <c r="R131" t="s">
        <v>21</v>
      </c>
      <c r="S131" s="3">
        <v>40</v>
      </c>
      <c r="T131" t="s">
        <v>11</v>
      </c>
      <c r="U131" s="3">
        <v>3467.65</v>
      </c>
      <c r="V131" t="s">
        <v>48</v>
      </c>
      <c r="W131" t="s">
        <v>12</v>
      </c>
      <c r="X131" t="s">
        <v>7</v>
      </c>
      <c r="Y131" t="s">
        <v>45</v>
      </c>
      <c r="Z131" t="s">
        <v>13</v>
      </c>
      <c r="AA131" t="s">
        <v>168</v>
      </c>
      <c r="AB131" t="s">
        <v>7</v>
      </c>
      <c r="AC131" t="s">
        <v>7</v>
      </c>
      <c r="AD131" t="s">
        <v>7</v>
      </c>
      <c r="AE131" s="2">
        <v>45734</v>
      </c>
      <c r="AF131" s="2"/>
      <c r="AG131" t="s">
        <v>7</v>
      </c>
    </row>
    <row r="132" spans="1:33" outlineLevel="2">
      <c r="A132" t="s">
        <v>23</v>
      </c>
      <c r="B132" s="13">
        <v>6788</v>
      </c>
      <c r="C132" s="13">
        <v>100222362</v>
      </c>
      <c r="D132" t="s">
        <v>2</v>
      </c>
      <c r="E132" t="s">
        <v>3</v>
      </c>
      <c r="F132" t="s">
        <v>38</v>
      </c>
      <c r="G132" s="2">
        <v>45734</v>
      </c>
      <c r="H132" s="13">
        <v>1800000090</v>
      </c>
      <c r="I132" t="s">
        <v>47</v>
      </c>
      <c r="J132" s="2">
        <v>45734</v>
      </c>
      <c r="K132" s="2">
        <v>45735</v>
      </c>
      <c r="L132" t="s">
        <v>45</v>
      </c>
      <c r="M132" s="16">
        <v>246788410085</v>
      </c>
      <c r="N132" t="s">
        <v>8</v>
      </c>
      <c r="O132" t="s">
        <v>9</v>
      </c>
      <c r="P132" t="s">
        <v>7</v>
      </c>
      <c r="Q132" t="s">
        <v>40</v>
      </c>
      <c r="R132" t="s">
        <v>21</v>
      </c>
      <c r="S132" s="3">
        <v>1324</v>
      </c>
      <c r="T132" t="s">
        <v>11</v>
      </c>
      <c r="U132" s="3">
        <v>114779.23</v>
      </c>
      <c r="V132" t="s">
        <v>48</v>
      </c>
      <c r="W132" t="s">
        <v>12</v>
      </c>
      <c r="X132" t="s">
        <v>7</v>
      </c>
      <c r="Y132" t="s">
        <v>45</v>
      </c>
      <c r="Z132" t="s">
        <v>13</v>
      </c>
      <c r="AA132" t="s">
        <v>169</v>
      </c>
      <c r="AB132" t="s">
        <v>7</v>
      </c>
      <c r="AC132" t="s">
        <v>7</v>
      </c>
      <c r="AD132" t="s">
        <v>7</v>
      </c>
      <c r="AE132" s="2">
        <v>45734</v>
      </c>
      <c r="AF132" s="2"/>
      <c r="AG132" t="s">
        <v>7</v>
      </c>
    </row>
    <row r="133" spans="1:33" outlineLevel="2">
      <c r="A133" t="s">
        <v>23</v>
      </c>
      <c r="B133" s="13">
        <v>6788</v>
      </c>
      <c r="C133" s="13">
        <v>100222362</v>
      </c>
      <c r="D133" t="s">
        <v>2</v>
      </c>
      <c r="E133" t="s">
        <v>3</v>
      </c>
      <c r="F133" t="s">
        <v>38</v>
      </c>
      <c r="G133" s="2">
        <v>45734</v>
      </c>
      <c r="H133" s="13">
        <v>1800000091</v>
      </c>
      <c r="I133" t="s">
        <v>47</v>
      </c>
      <c r="J133" s="2">
        <v>45734</v>
      </c>
      <c r="K133" s="2">
        <v>45735</v>
      </c>
      <c r="L133" t="s">
        <v>45</v>
      </c>
      <c r="M133" s="16">
        <v>246788410086</v>
      </c>
      <c r="N133" t="s">
        <v>8</v>
      </c>
      <c r="O133" t="s">
        <v>9</v>
      </c>
      <c r="P133" t="s">
        <v>7</v>
      </c>
      <c r="Q133" t="s">
        <v>40</v>
      </c>
      <c r="R133" t="s">
        <v>21</v>
      </c>
      <c r="S133" s="3">
        <v>0.5</v>
      </c>
      <c r="T133" t="s">
        <v>11</v>
      </c>
      <c r="U133" s="3">
        <v>43.35</v>
      </c>
      <c r="V133" t="s">
        <v>48</v>
      </c>
      <c r="W133" t="s">
        <v>12</v>
      </c>
      <c r="X133" t="s">
        <v>7</v>
      </c>
      <c r="Y133" t="s">
        <v>45</v>
      </c>
      <c r="Z133" t="s">
        <v>13</v>
      </c>
      <c r="AA133" t="s">
        <v>170</v>
      </c>
      <c r="AB133" t="s">
        <v>7</v>
      </c>
      <c r="AC133" t="s">
        <v>7</v>
      </c>
      <c r="AD133" t="s">
        <v>7</v>
      </c>
      <c r="AE133" s="2">
        <v>45734</v>
      </c>
      <c r="AF133" s="2"/>
      <c r="AG133" t="s">
        <v>7</v>
      </c>
    </row>
    <row r="134" spans="1:33" outlineLevel="2">
      <c r="A134" t="s">
        <v>23</v>
      </c>
      <c r="B134" s="13">
        <v>6788</v>
      </c>
      <c r="C134" s="13">
        <v>100222362</v>
      </c>
      <c r="D134" t="s">
        <v>2</v>
      </c>
      <c r="E134" t="s">
        <v>3</v>
      </c>
      <c r="F134" t="s">
        <v>38</v>
      </c>
      <c r="G134" s="2">
        <v>45734</v>
      </c>
      <c r="H134" s="13">
        <v>1800000096</v>
      </c>
      <c r="I134" t="s">
        <v>47</v>
      </c>
      <c r="J134" s="2">
        <v>45734</v>
      </c>
      <c r="K134" s="2">
        <v>45735</v>
      </c>
      <c r="L134" t="s">
        <v>45</v>
      </c>
      <c r="M134" s="16">
        <v>246788410088</v>
      </c>
      <c r="N134" t="s">
        <v>8</v>
      </c>
      <c r="O134" t="s">
        <v>9</v>
      </c>
      <c r="P134" t="s">
        <v>7</v>
      </c>
      <c r="Q134" t="s">
        <v>40</v>
      </c>
      <c r="R134" t="s">
        <v>21</v>
      </c>
      <c r="S134" s="3">
        <v>10</v>
      </c>
      <c r="T134" t="s">
        <v>11</v>
      </c>
      <c r="U134" s="3">
        <v>866.91</v>
      </c>
      <c r="V134" t="s">
        <v>48</v>
      </c>
      <c r="W134" t="s">
        <v>12</v>
      </c>
      <c r="X134" t="s">
        <v>7</v>
      </c>
      <c r="Y134" t="s">
        <v>45</v>
      </c>
      <c r="Z134" t="s">
        <v>13</v>
      </c>
      <c r="AA134" t="s">
        <v>171</v>
      </c>
      <c r="AB134" t="s">
        <v>7</v>
      </c>
      <c r="AC134" t="s">
        <v>7</v>
      </c>
      <c r="AD134" t="s">
        <v>7</v>
      </c>
      <c r="AE134" s="2">
        <v>45734</v>
      </c>
      <c r="AF134" s="2"/>
      <c r="AG134" t="s">
        <v>7</v>
      </c>
    </row>
    <row r="135" spans="1:33" outlineLevel="2">
      <c r="A135" t="s">
        <v>23</v>
      </c>
      <c r="B135" s="13">
        <v>6788</v>
      </c>
      <c r="C135" s="13">
        <v>100222362</v>
      </c>
      <c r="D135" t="s">
        <v>2</v>
      </c>
      <c r="E135" t="s">
        <v>3</v>
      </c>
      <c r="F135" t="s">
        <v>38</v>
      </c>
      <c r="G135" s="2">
        <v>45734</v>
      </c>
      <c r="H135" s="13">
        <v>1800000097</v>
      </c>
      <c r="I135" t="s">
        <v>47</v>
      </c>
      <c r="J135" s="2">
        <v>45734</v>
      </c>
      <c r="K135" s="2">
        <v>45735</v>
      </c>
      <c r="L135" t="s">
        <v>45</v>
      </c>
      <c r="M135" s="16">
        <v>246788410089</v>
      </c>
      <c r="N135" t="s">
        <v>8</v>
      </c>
      <c r="O135" t="s">
        <v>9</v>
      </c>
      <c r="P135" t="s">
        <v>7</v>
      </c>
      <c r="Q135" t="s">
        <v>40</v>
      </c>
      <c r="R135" t="s">
        <v>21</v>
      </c>
      <c r="S135" s="3">
        <v>0.63</v>
      </c>
      <c r="T135" t="s">
        <v>11</v>
      </c>
      <c r="U135" s="3">
        <v>54.62</v>
      </c>
      <c r="V135" t="s">
        <v>48</v>
      </c>
      <c r="W135" t="s">
        <v>12</v>
      </c>
      <c r="X135" t="s">
        <v>7</v>
      </c>
      <c r="Y135" t="s">
        <v>45</v>
      </c>
      <c r="Z135" t="s">
        <v>13</v>
      </c>
      <c r="AA135" t="s">
        <v>172</v>
      </c>
      <c r="AB135" t="s">
        <v>7</v>
      </c>
      <c r="AC135" t="s">
        <v>7</v>
      </c>
      <c r="AD135" t="s">
        <v>7</v>
      </c>
      <c r="AE135" s="2">
        <v>45734</v>
      </c>
      <c r="AF135" s="2"/>
      <c r="AG135" t="s">
        <v>7</v>
      </c>
    </row>
    <row r="136" spans="1:33" outlineLevel="2">
      <c r="A136" t="s">
        <v>23</v>
      </c>
      <c r="B136" s="13">
        <v>6788</v>
      </c>
      <c r="C136" s="13">
        <v>100222362</v>
      </c>
      <c r="D136" t="s">
        <v>2</v>
      </c>
      <c r="E136" t="s">
        <v>3</v>
      </c>
      <c r="F136" t="s">
        <v>38</v>
      </c>
      <c r="G136" s="2">
        <v>45734</v>
      </c>
      <c r="H136" s="13">
        <v>1800000093</v>
      </c>
      <c r="I136" t="s">
        <v>47</v>
      </c>
      <c r="J136" s="2">
        <v>45734</v>
      </c>
      <c r="K136" s="2">
        <v>45735</v>
      </c>
      <c r="L136" t="s">
        <v>45</v>
      </c>
      <c r="M136" s="16">
        <v>246788410091</v>
      </c>
      <c r="N136" t="s">
        <v>8</v>
      </c>
      <c r="O136" t="s">
        <v>9</v>
      </c>
      <c r="P136" t="s">
        <v>7</v>
      </c>
      <c r="Q136" t="s">
        <v>40</v>
      </c>
      <c r="R136" t="s">
        <v>21</v>
      </c>
      <c r="S136" s="3">
        <v>31.2</v>
      </c>
      <c r="T136" t="s">
        <v>11</v>
      </c>
      <c r="U136" s="3">
        <v>2704.77</v>
      </c>
      <c r="V136" t="s">
        <v>48</v>
      </c>
      <c r="W136" t="s">
        <v>12</v>
      </c>
      <c r="X136" t="s">
        <v>7</v>
      </c>
      <c r="Y136" t="s">
        <v>45</v>
      </c>
      <c r="Z136" t="s">
        <v>13</v>
      </c>
      <c r="AA136" t="s">
        <v>173</v>
      </c>
      <c r="AB136" t="s">
        <v>7</v>
      </c>
      <c r="AC136" t="s">
        <v>7</v>
      </c>
      <c r="AD136" t="s">
        <v>7</v>
      </c>
      <c r="AE136" s="2">
        <v>45734</v>
      </c>
      <c r="AF136" s="2"/>
      <c r="AG136" t="s">
        <v>7</v>
      </c>
    </row>
    <row r="137" spans="1:33" outlineLevel="2">
      <c r="A137" t="s">
        <v>23</v>
      </c>
      <c r="B137" s="13">
        <v>6788</v>
      </c>
      <c r="C137" s="13">
        <v>100222362</v>
      </c>
      <c r="D137" t="s">
        <v>2</v>
      </c>
      <c r="E137" t="s">
        <v>3</v>
      </c>
      <c r="F137" t="s">
        <v>38</v>
      </c>
      <c r="G137" s="2">
        <v>45734</v>
      </c>
      <c r="H137" s="13">
        <v>1800000094</v>
      </c>
      <c r="I137" t="s">
        <v>47</v>
      </c>
      <c r="J137" s="2">
        <v>45734</v>
      </c>
      <c r="K137" s="2">
        <v>45735</v>
      </c>
      <c r="L137" t="s">
        <v>45</v>
      </c>
      <c r="M137" s="16">
        <v>246788410092</v>
      </c>
      <c r="N137" t="s">
        <v>8</v>
      </c>
      <c r="O137" t="s">
        <v>9</v>
      </c>
      <c r="P137" t="s">
        <v>7</v>
      </c>
      <c r="Q137" t="s">
        <v>40</v>
      </c>
      <c r="R137" t="s">
        <v>21</v>
      </c>
      <c r="S137" s="3">
        <v>1.9</v>
      </c>
      <c r="T137" t="s">
        <v>11</v>
      </c>
      <c r="U137" s="3">
        <v>164.71</v>
      </c>
      <c r="V137" t="s">
        <v>48</v>
      </c>
      <c r="W137" t="s">
        <v>12</v>
      </c>
      <c r="X137" t="s">
        <v>7</v>
      </c>
      <c r="Y137" t="s">
        <v>45</v>
      </c>
      <c r="Z137" t="s">
        <v>13</v>
      </c>
      <c r="AA137" t="s">
        <v>174</v>
      </c>
      <c r="AB137" t="s">
        <v>7</v>
      </c>
      <c r="AC137" t="s">
        <v>7</v>
      </c>
      <c r="AD137" t="s">
        <v>7</v>
      </c>
      <c r="AE137" s="2">
        <v>45734</v>
      </c>
      <c r="AF137" s="2"/>
      <c r="AG137" t="s">
        <v>7</v>
      </c>
    </row>
    <row r="138" spans="1:33" outlineLevel="2">
      <c r="A138" t="s">
        <v>23</v>
      </c>
      <c r="B138" s="13">
        <v>6788</v>
      </c>
      <c r="C138" s="13">
        <v>100222362</v>
      </c>
      <c r="D138" t="s">
        <v>2</v>
      </c>
      <c r="E138" t="s">
        <v>3</v>
      </c>
      <c r="F138" t="s">
        <v>38</v>
      </c>
      <c r="G138" s="2">
        <v>45734</v>
      </c>
      <c r="H138" s="13">
        <v>1800000098</v>
      </c>
      <c r="I138" t="s">
        <v>47</v>
      </c>
      <c r="J138" s="2">
        <v>45734</v>
      </c>
      <c r="K138" s="2">
        <v>45735</v>
      </c>
      <c r="L138" t="s">
        <v>45</v>
      </c>
      <c r="M138" s="16">
        <v>246788410093</v>
      </c>
      <c r="N138" t="s">
        <v>8</v>
      </c>
      <c r="O138" t="s">
        <v>9</v>
      </c>
      <c r="P138" t="s">
        <v>7</v>
      </c>
      <c r="Q138" t="s">
        <v>40</v>
      </c>
      <c r="R138" t="s">
        <v>21</v>
      </c>
      <c r="S138" s="3">
        <v>14</v>
      </c>
      <c r="T138" t="s">
        <v>11</v>
      </c>
      <c r="U138" s="3">
        <v>1213.68</v>
      </c>
      <c r="V138" t="s">
        <v>48</v>
      </c>
      <c r="W138" t="s">
        <v>12</v>
      </c>
      <c r="X138" t="s">
        <v>7</v>
      </c>
      <c r="Y138" t="s">
        <v>45</v>
      </c>
      <c r="Z138" t="s">
        <v>13</v>
      </c>
      <c r="AA138" t="s">
        <v>175</v>
      </c>
      <c r="AB138" t="s">
        <v>7</v>
      </c>
      <c r="AC138" t="s">
        <v>7</v>
      </c>
      <c r="AD138" t="s">
        <v>7</v>
      </c>
      <c r="AE138" s="2">
        <v>45734</v>
      </c>
      <c r="AF138" s="2"/>
      <c r="AG138" t="s">
        <v>7</v>
      </c>
    </row>
    <row r="139" spans="1:33" outlineLevel="2">
      <c r="A139" t="s">
        <v>23</v>
      </c>
      <c r="B139" s="13">
        <v>6788</v>
      </c>
      <c r="C139" s="13">
        <v>100222362</v>
      </c>
      <c r="D139" t="s">
        <v>2</v>
      </c>
      <c r="E139" t="s">
        <v>3</v>
      </c>
      <c r="F139" t="s">
        <v>38</v>
      </c>
      <c r="G139" s="2">
        <v>45735</v>
      </c>
      <c r="H139" s="13">
        <v>1800000103</v>
      </c>
      <c r="I139" t="s">
        <v>47</v>
      </c>
      <c r="J139" s="2">
        <v>45735</v>
      </c>
      <c r="K139" s="2">
        <v>45735</v>
      </c>
      <c r="L139" t="s">
        <v>45</v>
      </c>
      <c r="M139" s="16">
        <v>246788410097</v>
      </c>
      <c r="N139" t="s">
        <v>8</v>
      </c>
      <c r="O139" t="s">
        <v>9</v>
      </c>
      <c r="P139" t="s">
        <v>7</v>
      </c>
      <c r="Q139" t="s">
        <v>40</v>
      </c>
      <c r="R139" t="s">
        <v>21</v>
      </c>
      <c r="S139" s="3">
        <v>12</v>
      </c>
      <c r="T139" t="s">
        <v>11</v>
      </c>
      <c r="U139" s="3">
        <v>1040.3</v>
      </c>
      <c r="V139" t="s">
        <v>48</v>
      </c>
      <c r="W139" t="s">
        <v>12</v>
      </c>
      <c r="X139" t="s">
        <v>7</v>
      </c>
      <c r="Y139" t="s">
        <v>45</v>
      </c>
      <c r="Z139" t="s">
        <v>13</v>
      </c>
      <c r="AA139" t="s">
        <v>176</v>
      </c>
      <c r="AB139" t="s">
        <v>7</v>
      </c>
      <c r="AC139" t="s">
        <v>7</v>
      </c>
      <c r="AD139" t="s">
        <v>7</v>
      </c>
      <c r="AE139" s="2">
        <v>45735</v>
      </c>
      <c r="AF139" s="2"/>
      <c r="AG139" t="s">
        <v>7</v>
      </c>
    </row>
    <row r="140" spans="1:33" outlineLevel="2">
      <c r="A140" t="s">
        <v>23</v>
      </c>
      <c r="B140" s="13">
        <v>6788</v>
      </c>
      <c r="C140" s="13">
        <v>100222362</v>
      </c>
      <c r="D140" t="s">
        <v>2</v>
      </c>
      <c r="E140" t="s">
        <v>3</v>
      </c>
      <c r="F140" t="s">
        <v>38</v>
      </c>
      <c r="G140" s="2">
        <v>45735</v>
      </c>
      <c r="H140" s="13">
        <v>1800000104</v>
      </c>
      <c r="I140" t="s">
        <v>47</v>
      </c>
      <c r="J140" s="2">
        <v>45735</v>
      </c>
      <c r="K140" s="2">
        <v>45735</v>
      </c>
      <c r="L140" t="s">
        <v>45</v>
      </c>
      <c r="M140" s="16">
        <v>246788410098</v>
      </c>
      <c r="N140" t="s">
        <v>8</v>
      </c>
      <c r="O140" t="s">
        <v>9</v>
      </c>
      <c r="P140" t="s">
        <v>7</v>
      </c>
      <c r="Q140" t="s">
        <v>40</v>
      </c>
      <c r="R140" t="s">
        <v>21</v>
      </c>
      <c r="S140" s="3">
        <v>5.2</v>
      </c>
      <c r="T140" t="s">
        <v>11</v>
      </c>
      <c r="U140" s="3">
        <v>450.79</v>
      </c>
      <c r="V140" t="s">
        <v>48</v>
      </c>
      <c r="W140" t="s">
        <v>12</v>
      </c>
      <c r="X140" t="s">
        <v>7</v>
      </c>
      <c r="Y140" t="s">
        <v>45</v>
      </c>
      <c r="Z140" t="s">
        <v>13</v>
      </c>
      <c r="AA140" t="s">
        <v>177</v>
      </c>
      <c r="AB140" t="s">
        <v>7</v>
      </c>
      <c r="AC140" t="s">
        <v>7</v>
      </c>
      <c r="AD140" t="s">
        <v>7</v>
      </c>
      <c r="AE140" s="2">
        <v>45735</v>
      </c>
      <c r="AF140" s="2"/>
      <c r="AG140" t="s">
        <v>7</v>
      </c>
    </row>
    <row r="141" spans="1:33" outlineLevel="2">
      <c r="A141" t="s">
        <v>23</v>
      </c>
      <c r="B141" s="13">
        <v>6788</v>
      </c>
      <c r="C141" s="13">
        <v>100222362</v>
      </c>
      <c r="D141" t="s">
        <v>2</v>
      </c>
      <c r="E141" t="s">
        <v>3</v>
      </c>
      <c r="F141" t="s">
        <v>38</v>
      </c>
      <c r="G141" s="2">
        <v>45735</v>
      </c>
      <c r="H141" s="13">
        <v>1800000107</v>
      </c>
      <c r="I141" t="s">
        <v>47</v>
      </c>
      <c r="J141" s="2">
        <v>45735</v>
      </c>
      <c r="K141" s="2">
        <v>45735</v>
      </c>
      <c r="L141" t="s">
        <v>45</v>
      </c>
      <c r="M141" s="16">
        <v>246788410101</v>
      </c>
      <c r="N141" t="s">
        <v>8</v>
      </c>
      <c r="O141" t="s">
        <v>9</v>
      </c>
      <c r="P141" t="s">
        <v>7</v>
      </c>
      <c r="Q141" t="s">
        <v>40</v>
      </c>
      <c r="R141" t="s">
        <v>21</v>
      </c>
      <c r="S141" s="3">
        <v>1.1200000000000001</v>
      </c>
      <c r="T141" t="s">
        <v>11</v>
      </c>
      <c r="U141" s="3">
        <v>97.09</v>
      </c>
      <c r="V141" t="s">
        <v>48</v>
      </c>
      <c r="W141" t="s">
        <v>12</v>
      </c>
      <c r="X141" t="s">
        <v>7</v>
      </c>
      <c r="Y141" t="s">
        <v>45</v>
      </c>
      <c r="Z141" t="s">
        <v>13</v>
      </c>
      <c r="AA141" t="s">
        <v>174</v>
      </c>
      <c r="AB141" t="s">
        <v>7</v>
      </c>
      <c r="AC141" t="s">
        <v>7</v>
      </c>
      <c r="AD141" t="s">
        <v>7</v>
      </c>
      <c r="AE141" s="2">
        <v>45735</v>
      </c>
      <c r="AF141" s="2"/>
      <c r="AG141" t="s">
        <v>7</v>
      </c>
    </row>
    <row r="142" spans="1:33" outlineLevel="2">
      <c r="A142" t="s">
        <v>23</v>
      </c>
      <c r="B142" s="13">
        <v>6788</v>
      </c>
      <c r="C142" s="13">
        <v>100222362</v>
      </c>
      <c r="D142" t="s">
        <v>2</v>
      </c>
      <c r="E142" t="s">
        <v>3</v>
      </c>
      <c r="F142" t="s">
        <v>38</v>
      </c>
      <c r="G142" s="2">
        <v>45735</v>
      </c>
      <c r="H142" s="13">
        <v>1800000108</v>
      </c>
      <c r="I142" t="s">
        <v>47</v>
      </c>
      <c r="J142" s="2">
        <v>45735</v>
      </c>
      <c r="K142" s="2">
        <v>45735</v>
      </c>
      <c r="L142" t="s">
        <v>45</v>
      </c>
      <c r="M142" s="16">
        <v>246788410102</v>
      </c>
      <c r="N142" t="s">
        <v>8</v>
      </c>
      <c r="O142" t="s">
        <v>9</v>
      </c>
      <c r="P142" t="s">
        <v>7</v>
      </c>
      <c r="Q142" t="s">
        <v>40</v>
      </c>
      <c r="R142" t="s">
        <v>21</v>
      </c>
      <c r="S142" s="3">
        <v>56</v>
      </c>
      <c r="T142" t="s">
        <v>11</v>
      </c>
      <c r="U142" s="3">
        <v>4854.71</v>
      </c>
      <c r="V142" t="s">
        <v>48</v>
      </c>
      <c r="W142" t="s">
        <v>12</v>
      </c>
      <c r="X142" t="s">
        <v>7</v>
      </c>
      <c r="Y142" t="s">
        <v>45</v>
      </c>
      <c r="Z142" t="s">
        <v>13</v>
      </c>
      <c r="AA142" t="s">
        <v>178</v>
      </c>
      <c r="AB142" t="s">
        <v>7</v>
      </c>
      <c r="AC142" t="s">
        <v>7</v>
      </c>
      <c r="AD142" t="s">
        <v>7</v>
      </c>
      <c r="AE142" s="2">
        <v>45735</v>
      </c>
      <c r="AF142" s="2"/>
      <c r="AG142" t="s">
        <v>7</v>
      </c>
    </row>
    <row r="143" spans="1:33" outlineLevel="2">
      <c r="A143" t="s">
        <v>23</v>
      </c>
      <c r="B143" s="13">
        <v>6788</v>
      </c>
      <c r="C143" s="13">
        <v>100222362</v>
      </c>
      <c r="D143" t="s">
        <v>2</v>
      </c>
      <c r="E143" t="s">
        <v>3</v>
      </c>
      <c r="F143" t="s">
        <v>38</v>
      </c>
      <c r="G143" s="2">
        <v>45735</v>
      </c>
      <c r="H143" s="13">
        <v>1800000109</v>
      </c>
      <c r="I143" t="s">
        <v>47</v>
      </c>
      <c r="J143" s="2">
        <v>45735</v>
      </c>
      <c r="K143" s="2">
        <v>45735</v>
      </c>
      <c r="L143" t="s">
        <v>45</v>
      </c>
      <c r="M143" s="16">
        <v>246788410103</v>
      </c>
      <c r="N143" t="s">
        <v>8</v>
      </c>
      <c r="O143" t="s">
        <v>9</v>
      </c>
      <c r="P143" t="s">
        <v>7</v>
      </c>
      <c r="Q143" t="s">
        <v>40</v>
      </c>
      <c r="R143" t="s">
        <v>21</v>
      </c>
      <c r="S143" s="3">
        <v>24</v>
      </c>
      <c r="T143" t="s">
        <v>11</v>
      </c>
      <c r="U143" s="3">
        <v>2080.59</v>
      </c>
      <c r="V143" t="s">
        <v>48</v>
      </c>
      <c r="W143" t="s">
        <v>12</v>
      </c>
      <c r="X143" t="s">
        <v>7</v>
      </c>
      <c r="Y143" t="s">
        <v>45</v>
      </c>
      <c r="Z143" t="s">
        <v>13</v>
      </c>
      <c r="AA143" t="s">
        <v>179</v>
      </c>
      <c r="AB143" t="s">
        <v>7</v>
      </c>
      <c r="AC143" t="s">
        <v>7</v>
      </c>
      <c r="AD143" t="s">
        <v>7</v>
      </c>
      <c r="AE143" s="2">
        <v>45735</v>
      </c>
      <c r="AF143" s="2"/>
      <c r="AG143" t="s">
        <v>7</v>
      </c>
    </row>
    <row r="144" spans="1:33" outlineLevel="2">
      <c r="A144" t="s">
        <v>23</v>
      </c>
      <c r="B144" s="13">
        <v>6788</v>
      </c>
      <c r="C144" s="13">
        <v>100222362</v>
      </c>
      <c r="D144" t="s">
        <v>2</v>
      </c>
      <c r="E144" t="s">
        <v>3</v>
      </c>
      <c r="F144" t="s">
        <v>38</v>
      </c>
      <c r="G144" s="2">
        <v>45735</v>
      </c>
      <c r="H144" s="13">
        <v>1800000112</v>
      </c>
      <c r="I144" t="s">
        <v>47</v>
      </c>
      <c r="J144" s="2">
        <v>45735</v>
      </c>
      <c r="K144" s="2">
        <v>45735</v>
      </c>
      <c r="L144" t="s">
        <v>45</v>
      </c>
      <c r="M144" s="16">
        <v>246788410106</v>
      </c>
      <c r="N144" t="s">
        <v>8</v>
      </c>
      <c r="O144" t="s">
        <v>9</v>
      </c>
      <c r="P144" t="s">
        <v>7</v>
      </c>
      <c r="Q144" t="s">
        <v>40</v>
      </c>
      <c r="R144" t="s">
        <v>21</v>
      </c>
      <c r="S144" s="3">
        <v>24</v>
      </c>
      <c r="T144" t="s">
        <v>11</v>
      </c>
      <c r="U144" s="3">
        <v>2080.59</v>
      </c>
      <c r="V144" t="s">
        <v>48</v>
      </c>
      <c r="W144" t="s">
        <v>12</v>
      </c>
      <c r="X144" t="s">
        <v>7</v>
      </c>
      <c r="Y144" t="s">
        <v>45</v>
      </c>
      <c r="Z144" t="s">
        <v>13</v>
      </c>
      <c r="AA144" t="s">
        <v>180</v>
      </c>
      <c r="AB144" t="s">
        <v>7</v>
      </c>
      <c r="AC144" t="s">
        <v>7</v>
      </c>
      <c r="AD144" t="s">
        <v>7</v>
      </c>
      <c r="AE144" s="2">
        <v>45735</v>
      </c>
      <c r="AF144" s="2"/>
      <c r="AG144" t="s">
        <v>7</v>
      </c>
    </row>
    <row r="145" spans="1:33" outlineLevel="2">
      <c r="A145" t="s">
        <v>23</v>
      </c>
      <c r="B145" s="13">
        <v>6788</v>
      </c>
      <c r="C145" s="13">
        <v>100222362</v>
      </c>
      <c r="D145" t="s">
        <v>2</v>
      </c>
      <c r="E145" t="s">
        <v>3</v>
      </c>
      <c r="F145" t="s">
        <v>38</v>
      </c>
      <c r="G145" s="2">
        <v>45735</v>
      </c>
      <c r="H145" s="13">
        <v>1800000113</v>
      </c>
      <c r="I145" t="s">
        <v>47</v>
      </c>
      <c r="J145" s="2">
        <v>45735</v>
      </c>
      <c r="K145" s="2">
        <v>45735</v>
      </c>
      <c r="L145" t="s">
        <v>45</v>
      </c>
      <c r="M145" s="16">
        <v>246788410107</v>
      </c>
      <c r="N145" t="s">
        <v>8</v>
      </c>
      <c r="O145" t="s">
        <v>9</v>
      </c>
      <c r="P145" t="s">
        <v>7</v>
      </c>
      <c r="Q145" t="s">
        <v>40</v>
      </c>
      <c r="R145" t="s">
        <v>21</v>
      </c>
      <c r="S145" s="3">
        <v>68.22</v>
      </c>
      <c r="T145" t="s">
        <v>11</v>
      </c>
      <c r="U145" s="3">
        <v>5914.08</v>
      </c>
      <c r="V145" t="s">
        <v>48</v>
      </c>
      <c r="W145" t="s">
        <v>12</v>
      </c>
      <c r="X145" t="s">
        <v>7</v>
      </c>
      <c r="Y145" t="s">
        <v>45</v>
      </c>
      <c r="Z145" t="s">
        <v>13</v>
      </c>
      <c r="AA145" t="s">
        <v>181</v>
      </c>
      <c r="AB145" t="s">
        <v>7</v>
      </c>
      <c r="AC145" t="s">
        <v>7</v>
      </c>
      <c r="AD145" t="s">
        <v>7</v>
      </c>
      <c r="AE145" s="2">
        <v>45735</v>
      </c>
      <c r="AF145" s="2"/>
      <c r="AG145" t="s">
        <v>7</v>
      </c>
    </row>
    <row r="146" spans="1:33" outlineLevel="2">
      <c r="A146" t="s">
        <v>23</v>
      </c>
      <c r="B146" s="13">
        <v>6788</v>
      </c>
      <c r="C146" s="13">
        <v>100222362</v>
      </c>
      <c r="D146" t="s">
        <v>2</v>
      </c>
      <c r="E146" t="s">
        <v>3</v>
      </c>
      <c r="F146" t="s">
        <v>38</v>
      </c>
      <c r="G146" s="2">
        <v>45735</v>
      </c>
      <c r="H146" s="13">
        <v>1800000114</v>
      </c>
      <c r="I146" t="s">
        <v>47</v>
      </c>
      <c r="J146" s="2">
        <v>45735</v>
      </c>
      <c r="K146" s="2">
        <v>45735</v>
      </c>
      <c r="L146" t="s">
        <v>45</v>
      </c>
      <c r="M146" s="16">
        <v>246788410108</v>
      </c>
      <c r="N146" t="s">
        <v>8</v>
      </c>
      <c r="O146" t="s">
        <v>9</v>
      </c>
      <c r="P146" t="s">
        <v>7</v>
      </c>
      <c r="Q146" t="s">
        <v>40</v>
      </c>
      <c r="R146" t="s">
        <v>21</v>
      </c>
      <c r="S146" s="3">
        <v>0.5</v>
      </c>
      <c r="T146" t="s">
        <v>11</v>
      </c>
      <c r="U146" s="3">
        <v>43.35</v>
      </c>
      <c r="V146" t="s">
        <v>48</v>
      </c>
      <c r="W146" t="s">
        <v>12</v>
      </c>
      <c r="X146" t="s">
        <v>7</v>
      </c>
      <c r="Y146" t="s">
        <v>45</v>
      </c>
      <c r="Z146" t="s">
        <v>13</v>
      </c>
      <c r="AA146" t="s">
        <v>172</v>
      </c>
      <c r="AB146" t="s">
        <v>7</v>
      </c>
      <c r="AC146" t="s">
        <v>7</v>
      </c>
      <c r="AD146" t="s">
        <v>7</v>
      </c>
      <c r="AE146" s="2">
        <v>45735</v>
      </c>
      <c r="AF146" s="2"/>
      <c r="AG146" t="s">
        <v>7</v>
      </c>
    </row>
    <row r="147" spans="1:33" outlineLevel="2">
      <c r="A147" t="s">
        <v>23</v>
      </c>
      <c r="B147" s="13">
        <v>6788</v>
      </c>
      <c r="C147" s="13">
        <v>100222362</v>
      </c>
      <c r="D147" t="s">
        <v>2</v>
      </c>
      <c r="E147" t="s">
        <v>3</v>
      </c>
      <c r="F147" t="s">
        <v>38</v>
      </c>
      <c r="G147" s="2">
        <v>45735</v>
      </c>
      <c r="H147" s="13">
        <v>1800000115</v>
      </c>
      <c r="I147" t="s">
        <v>47</v>
      </c>
      <c r="J147" s="2">
        <v>45735</v>
      </c>
      <c r="K147" s="2">
        <v>45735</v>
      </c>
      <c r="L147" t="s">
        <v>45</v>
      </c>
      <c r="M147" s="16">
        <v>246788410109</v>
      </c>
      <c r="N147" t="s">
        <v>8</v>
      </c>
      <c r="O147" t="s">
        <v>9</v>
      </c>
      <c r="P147" t="s">
        <v>7</v>
      </c>
      <c r="Q147" t="s">
        <v>40</v>
      </c>
      <c r="R147" t="s">
        <v>21</v>
      </c>
      <c r="S147" s="3">
        <v>2342.8000000000002</v>
      </c>
      <c r="T147" t="s">
        <v>11</v>
      </c>
      <c r="U147" s="3">
        <v>203100.28</v>
      </c>
      <c r="V147" t="s">
        <v>48</v>
      </c>
      <c r="W147" t="s">
        <v>12</v>
      </c>
      <c r="X147" t="s">
        <v>7</v>
      </c>
      <c r="Y147" t="s">
        <v>45</v>
      </c>
      <c r="Z147" t="s">
        <v>13</v>
      </c>
      <c r="AA147" t="s">
        <v>182</v>
      </c>
      <c r="AB147" t="s">
        <v>7</v>
      </c>
      <c r="AC147" t="s">
        <v>7</v>
      </c>
      <c r="AD147" t="s">
        <v>7</v>
      </c>
      <c r="AE147" s="2">
        <v>45735</v>
      </c>
      <c r="AF147" s="2"/>
      <c r="AG147" t="s">
        <v>7</v>
      </c>
    </row>
    <row r="148" spans="1:33" outlineLevel="2">
      <c r="A148" t="s">
        <v>23</v>
      </c>
      <c r="B148" s="13">
        <v>6788</v>
      </c>
      <c r="C148" s="13">
        <v>100222362</v>
      </c>
      <c r="D148" t="s">
        <v>2</v>
      </c>
      <c r="E148" t="s">
        <v>3</v>
      </c>
      <c r="F148" t="s">
        <v>38</v>
      </c>
      <c r="G148" s="2">
        <v>45735</v>
      </c>
      <c r="H148" s="13">
        <v>1800000116</v>
      </c>
      <c r="I148" t="s">
        <v>47</v>
      </c>
      <c r="J148" s="2">
        <v>45735</v>
      </c>
      <c r="K148" s="2">
        <v>45735</v>
      </c>
      <c r="L148" t="s">
        <v>45</v>
      </c>
      <c r="M148" s="16">
        <v>246788410110</v>
      </c>
      <c r="N148" t="s">
        <v>8</v>
      </c>
      <c r="O148" t="s">
        <v>9</v>
      </c>
      <c r="P148" t="s">
        <v>7</v>
      </c>
      <c r="Q148" t="s">
        <v>40</v>
      </c>
      <c r="R148" t="s">
        <v>21</v>
      </c>
      <c r="S148" s="3">
        <v>456</v>
      </c>
      <c r="T148" t="s">
        <v>11</v>
      </c>
      <c r="U148" s="3">
        <v>39531.21</v>
      </c>
      <c r="V148" t="s">
        <v>48</v>
      </c>
      <c r="W148" t="s">
        <v>12</v>
      </c>
      <c r="X148" t="s">
        <v>7</v>
      </c>
      <c r="Y148" t="s">
        <v>45</v>
      </c>
      <c r="Z148" t="s">
        <v>13</v>
      </c>
      <c r="AA148" t="s">
        <v>183</v>
      </c>
      <c r="AB148" t="s">
        <v>7</v>
      </c>
      <c r="AC148" t="s">
        <v>7</v>
      </c>
      <c r="AD148" t="s">
        <v>7</v>
      </c>
      <c r="AE148" s="2">
        <v>45735</v>
      </c>
      <c r="AF148" s="2"/>
      <c r="AG148" t="s">
        <v>7</v>
      </c>
    </row>
    <row r="149" spans="1:33" outlineLevel="2">
      <c r="A149" t="s">
        <v>23</v>
      </c>
      <c r="B149" s="13">
        <v>6788</v>
      </c>
      <c r="C149" s="13">
        <v>100222362</v>
      </c>
      <c r="D149" t="s">
        <v>2</v>
      </c>
      <c r="E149" t="s">
        <v>3</v>
      </c>
      <c r="F149" t="s">
        <v>38</v>
      </c>
      <c r="G149" s="2">
        <v>45735</v>
      </c>
      <c r="H149" s="13">
        <v>1800000117</v>
      </c>
      <c r="I149" t="s">
        <v>47</v>
      </c>
      <c r="J149" s="2">
        <v>45735</v>
      </c>
      <c r="K149" s="2">
        <v>45735</v>
      </c>
      <c r="L149" t="s">
        <v>45</v>
      </c>
      <c r="M149" s="16">
        <v>246788410111</v>
      </c>
      <c r="N149" t="s">
        <v>8</v>
      </c>
      <c r="O149" t="s">
        <v>9</v>
      </c>
      <c r="P149" t="s">
        <v>7</v>
      </c>
      <c r="Q149" t="s">
        <v>40</v>
      </c>
      <c r="R149" t="s">
        <v>21</v>
      </c>
      <c r="S149" s="3">
        <v>14</v>
      </c>
      <c r="T149" t="s">
        <v>11</v>
      </c>
      <c r="U149" s="3">
        <v>1213.68</v>
      </c>
      <c r="V149" t="s">
        <v>48</v>
      </c>
      <c r="W149" t="s">
        <v>12</v>
      </c>
      <c r="X149" t="s">
        <v>7</v>
      </c>
      <c r="Y149" t="s">
        <v>45</v>
      </c>
      <c r="Z149" t="s">
        <v>13</v>
      </c>
      <c r="AA149" t="s">
        <v>184</v>
      </c>
      <c r="AB149" t="s">
        <v>7</v>
      </c>
      <c r="AC149" t="s">
        <v>7</v>
      </c>
      <c r="AD149" t="s">
        <v>7</v>
      </c>
      <c r="AE149" s="2">
        <v>45735</v>
      </c>
      <c r="AF149" s="2"/>
      <c r="AG149" t="s">
        <v>7</v>
      </c>
    </row>
    <row r="150" spans="1:33" outlineLevel="2">
      <c r="A150" t="s">
        <v>23</v>
      </c>
      <c r="B150" s="13">
        <v>6788</v>
      </c>
      <c r="C150" s="13">
        <v>100222362</v>
      </c>
      <c r="D150" t="s">
        <v>2</v>
      </c>
      <c r="E150" t="s">
        <v>3</v>
      </c>
      <c r="F150" t="s">
        <v>38</v>
      </c>
      <c r="G150" s="2">
        <v>45735</v>
      </c>
      <c r="H150" s="13">
        <v>1800000118</v>
      </c>
      <c r="I150" t="s">
        <v>47</v>
      </c>
      <c r="J150" s="2">
        <v>45735</v>
      </c>
      <c r="K150" s="2">
        <v>45735</v>
      </c>
      <c r="L150" t="s">
        <v>45</v>
      </c>
      <c r="M150" s="16">
        <v>246788410112</v>
      </c>
      <c r="N150" t="s">
        <v>8</v>
      </c>
      <c r="O150" t="s">
        <v>9</v>
      </c>
      <c r="P150" t="s">
        <v>7</v>
      </c>
      <c r="Q150" t="s">
        <v>40</v>
      </c>
      <c r="R150" t="s">
        <v>21</v>
      </c>
      <c r="S150" s="3">
        <v>1</v>
      </c>
      <c r="T150" t="s">
        <v>11</v>
      </c>
      <c r="U150" s="3">
        <v>86.69</v>
      </c>
      <c r="V150" t="s">
        <v>48</v>
      </c>
      <c r="W150" t="s">
        <v>12</v>
      </c>
      <c r="X150" t="s">
        <v>7</v>
      </c>
      <c r="Y150" t="s">
        <v>45</v>
      </c>
      <c r="Z150" t="s">
        <v>13</v>
      </c>
      <c r="AA150" t="s">
        <v>185</v>
      </c>
      <c r="AB150" t="s">
        <v>7</v>
      </c>
      <c r="AC150" t="s">
        <v>7</v>
      </c>
      <c r="AD150" t="s">
        <v>7</v>
      </c>
      <c r="AE150" s="2">
        <v>45735</v>
      </c>
      <c r="AF150" s="2"/>
      <c r="AG150" t="s">
        <v>7</v>
      </c>
    </row>
    <row r="151" spans="1:33" outlineLevel="2">
      <c r="A151" t="s">
        <v>23</v>
      </c>
      <c r="B151" s="13">
        <v>6788</v>
      </c>
      <c r="C151" s="13">
        <v>100222362</v>
      </c>
      <c r="D151" t="s">
        <v>2</v>
      </c>
      <c r="E151" t="s">
        <v>3</v>
      </c>
      <c r="F151" t="s">
        <v>38</v>
      </c>
      <c r="G151" s="2">
        <v>45735</v>
      </c>
      <c r="H151" s="13">
        <v>1800000120</v>
      </c>
      <c r="I151" t="s">
        <v>47</v>
      </c>
      <c r="J151" s="2">
        <v>45735</v>
      </c>
      <c r="K151" s="2">
        <v>45735</v>
      </c>
      <c r="L151" t="s">
        <v>45</v>
      </c>
      <c r="M151" s="16">
        <v>246788410114</v>
      </c>
      <c r="N151" t="s">
        <v>8</v>
      </c>
      <c r="O151" t="s">
        <v>9</v>
      </c>
      <c r="P151" t="s">
        <v>7</v>
      </c>
      <c r="Q151" t="s">
        <v>40</v>
      </c>
      <c r="R151" t="s">
        <v>21</v>
      </c>
      <c r="S151" s="3">
        <v>52.7</v>
      </c>
      <c r="T151" t="s">
        <v>11</v>
      </c>
      <c r="U151" s="3">
        <v>4568.63</v>
      </c>
      <c r="V151" t="s">
        <v>48</v>
      </c>
      <c r="W151" t="s">
        <v>12</v>
      </c>
      <c r="X151" t="s">
        <v>7</v>
      </c>
      <c r="Y151" t="s">
        <v>45</v>
      </c>
      <c r="Z151" t="s">
        <v>13</v>
      </c>
      <c r="AA151" t="s">
        <v>186</v>
      </c>
      <c r="AB151" t="s">
        <v>7</v>
      </c>
      <c r="AC151" t="s">
        <v>7</v>
      </c>
      <c r="AD151" t="s">
        <v>7</v>
      </c>
      <c r="AE151" s="2">
        <v>45735</v>
      </c>
      <c r="AF151" s="2"/>
      <c r="AG151" t="s">
        <v>7</v>
      </c>
    </row>
    <row r="152" spans="1:33" outlineLevel="2">
      <c r="A152" t="s">
        <v>23</v>
      </c>
      <c r="B152" s="13">
        <v>6788</v>
      </c>
      <c r="C152" s="13">
        <v>100222362</v>
      </c>
      <c r="D152" t="s">
        <v>2</v>
      </c>
      <c r="E152" t="s">
        <v>3</v>
      </c>
      <c r="F152" t="s">
        <v>38</v>
      </c>
      <c r="G152" s="2">
        <v>45735</v>
      </c>
      <c r="H152" s="13">
        <v>1800000121</v>
      </c>
      <c r="I152" t="s">
        <v>47</v>
      </c>
      <c r="J152" s="2">
        <v>45735</v>
      </c>
      <c r="K152" s="2">
        <v>45735</v>
      </c>
      <c r="L152" t="s">
        <v>45</v>
      </c>
      <c r="M152" s="16">
        <v>246788410115</v>
      </c>
      <c r="N152" t="s">
        <v>8</v>
      </c>
      <c r="O152" t="s">
        <v>9</v>
      </c>
      <c r="P152" t="s">
        <v>7</v>
      </c>
      <c r="Q152" t="s">
        <v>40</v>
      </c>
      <c r="R152" t="s">
        <v>21</v>
      </c>
      <c r="S152" s="3">
        <v>2293.63</v>
      </c>
      <c r="T152" t="s">
        <v>11</v>
      </c>
      <c r="U152" s="3">
        <v>198837.67</v>
      </c>
      <c r="V152" t="s">
        <v>48</v>
      </c>
      <c r="W152" t="s">
        <v>12</v>
      </c>
      <c r="X152" t="s">
        <v>7</v>
      </c>
      <c r="Y152" t="s">
        <v>45</v>
      </c>
      <c r="Z152" t="s">
        <v>13</v>
      </c>
      <c r="AA152" t="s">
        <v>187</v>
      </c>
      <c r="AB152" t="s">
        <v>7</v>
      </c>
      <c r="AC152" t="s">
        <v>7</v>
      </c>
      <c r="AD152" t="s">
        <v>7</v>
      </c>
      <c r="AE152" s="2">
        <v>45735</v>
      </c>
      <c r="AF152" s="2"/>
      <c r="AG152" t="s">
        <v>7</v>
      </c>
    </row>
    <row r="153" spans="1:33" outlineLevel="2">
      <c r="A153" t="s">
        <v>23</v>
      </c>
      <c r="B153" s="13">
        <v>6788</v>
      </c>
      <c r="C153" s="13">
        <v>100222362</v>
      </c>
      <c r="D153" t="s">
        <v>2</v>
      </c>
      <c r="E153" t="s">
        <v>3</v>
      </c>
      <c r="F153" t="s">
        <v>38</v>
      </c>
      <c r="G153" s="2">
        <v>45735</v>
      </c>
      <c r="H153" s="13">
        <v>1800000122</v>
      </c>
      <c r="I153" t="s">
        <v>47</v>
      </c>
      <c r="J153" s="2">
        <v>45735</v>
      </c>
      <c r="K153" s="2">
        <v>45735</v>
      </c>
      <c r="L153" t="s">
        <v>45</v>
      </c>
      <c r="M153" s="16">
        <v>246788410116</v>
      </c>
      <c r="N153" t="s">
        <v>8</v>
      </c>
      <c r="O153" t="s">
        <v>9</v>
      </c>
      <c r="P153" t="s">
        <v>7</v>
      </c>
      <c r="Q153" t="s">
        <v>40</v>
      </c>
      <c r="R153" t="s">
        <v>21</v>
      </c>
      <c r="S153" s="3">
        <v>2273.6799999999998</v>
      </c>
      <c r="T153" t="s">
        <v>11</v>
      </c>
      <c r="U153" s="3">
        <v>197108.18</v>
      </c>
      <c r="V153" t="s">
        <v>48</v>
      </c>
      <c r="W153" t="s">
        <v>12</v>
      </c>
      <c r="X153" t="s">
        <v>7</v>
      </c>
      <c r="Y153" t="s">
        <v>45</v>
      </c>
      <c r="Z153" t="s">
        <v>13</v>
      </c>
      <c r="AA153" t="s">
        <v>188</v>
      </c>
      <c r="AB153" t="s">
        <v>7</v>
      </c>
      <c r="AC153" t="s">
        <v>7</v>
      </c>
      <c r="AD153" t="s">
        <v>7</v>
      </c>
      <c r="AE153" s="2">
        <v>45735</v>
      </c>
      <c r="AF153" s="2"/>
      <c r="AG153" t="s">
        <v>7</v>
      </c>
    </row>
    <row r="154" spans="1:33" outlineLevel="2">
      <c r="A154" t="s">
        <v>23</v>
      </c>
      <c r="B154" s="13">
        <v>6788</v>
      </c>
      <c r="C154" s="13">
        <v>100222362</v>
      </c>
      <c r="D154" t="s">
        <v>2</v>
      </c>
      <c r="E154" t="s">
        <v>3</v>
      </c>
      <c r="F154" t="s">
        <v>38</v>
      </c>
      <c r="G154" s="2">
        <v>45735</v>
      </c>
      <c r="H154" s="13">
        <v>1800000123</v>
      </c>
      <c r="I154" t="s">
        <v>47</v>
      </c>
      <c r="J154" s="2">
        <v>45735</v>
      </c>
      <c r="K154" s="2">
        <v>45735</v>
      </c>
      <c r="L154" t="s">
        <v>45</v>
      </c>
      <c r="M154" s="16">
        <v>246788410117</v>
      </c>
      <c r="N154" t="s">
        <v>8</v>
      </c>
      <c r="O154" t="s">
        <v>9</v>
      </c>
      <c r="P154" t="s">
        <v>7</v>
      </c>
      <c r="Q154" t="s">
        <v>40</v>
      </c>
      <c r="R154" t="s">
        <v>21</v>
      </c>
      <c r="S154" s="3">
        <v>66.73</v>
      </c>
      <c r="T154" t="s">
        <v>11</v>
      </c>
      <c r="U154" s="3">
        <v>5784.91</v>
      </c>
      <c r="V154" t="s">
        <v>48</v>
      </c>
      <c r="W154" t="s">
        <v>12</v>
      </c>
      <c r="X154" t="s">
        <v>7</v>
      </c>
      <c r="Y154" t="s">
        <v>45</v>
      </c>
      <c r="Z154" t="s">
        <v>13</v>
      </c>
      <c r="AA154" t="s">
        <v>189</v>
      </c>
      <c r="AB154" t="s">
        <v>7</v>
      </c>
      <c r="AC154" t="s">
        <v>7</v>
      </c>
      <c r="AD154" t="s">
        <v>7</v>
      </c>
      <c r="AE154" s="2">
        <v>45735</v>
      </c>
      <c r="AF154" s="2"/>
      <c r="AG154" t="s">
        <v>7</v>
      </c>
    </row>
    <row r="155" spans="1:33" outlineLevel="2">
      <c r="A155" t="s">
        <v>23</v>
      </c>
      <c r="B155" s="13">
        <v>6788</v>
      </c>
      <c r="C155" s="13">
        <v>100222362</v>
      </c>
      <c r="D155" t="s">
        <v>2</v>
      </c>
      <c r="E155" t="s">
        <v>3</v>
      </c>
      <c r="F155" t="s">
        <v>38</v>
      </c>
      <c r="G155" s="2">
        <v>45735</v>
      </c>
      <c r="H155" s="13">
        <v>1800000124</v>
      </c>
      <c r="I155" t="s">
        <v>47</v>
      </c>
      <c r="J155" s="2">
        <v>45735</v>
      </c>
      <c r="K155" s="2">
        <v>45735</v>
      </c>
      <c r="L155" t="s">
        <v>45</v>
      </c>
      <c r="M155" s="16">
        <v>246788410118</v>
      </c>
      <c r="N155" t="s">
        <v>8</v>
      </c>
      <c r="O155" t="s">
        <v>9</v>
      </c>
      <c r="P155" t="s">
        <v>7</v>
      </c>
      <c r="Q155" t="s">
        <v>40</v>
      </c>
      <c r="R155" t="s">
        <v>21</v>
      </c>
      <c r="S155" s="3">
        <v>149.72999999999999</v>
      </c>
      <c r="T155" t="s">
        <v>11</v>
      </c>
      <c r="U155" s="3">
        <v>12980.28</v>
      </c>
      <c r="V155" t="s">
        <v>48</v>
      </c>
      <c r="W155" t="s">
        <v>12</v>
      </c>
      <c r="X155" t="s">
        <v>7</v>
      </c>
      <c r="Y155" t="s">
        <v>45</v>
      </c>
      <c r="Z155" t="s">
        <v>13</v>
      </c>
      <c r="AA155" t="s">
        <v>190</v>
      </c>
      <c r="AB155" t="s">
        <v>7</v>
      </c>
      <c r="AC155" t="s">
        <v>7</v>
      </c>
      <c r="AD155" t="s">
        <v>7</v>
      </c>
      <c r="AE155" s="2">
        <v>45735</v>
      </c>
      <c r="AF155" s="2"/>
      <c r="AG155" t="s">
        <v>7</v>
      </c>
    </row>
    <row r="156" spans="1:33" outlineLevel="2">
      <c r="A156" t="s">
        <v>23</v>
      </c>
      <c r="B156" s="13">
        <v>6788</v>
      </c>
      <c r="C156" s="13">
        <v>100222362</v>
      </c>
      <c r="D156" t="s">
        <v>2</v>
      </c>
      <c r="E156" t="s">
        <v>3</v>
      </c>
      <c r="F156" t="s">
        <v>38</v>
      </c>
      <c r="G156" s="2">
        <v>45735</v>
      </c>
      <c r="H156" s="13">
        <v>1800000125</v>
      </c>
      <c r="I156" t="s">
        <v>47</v>
      </c>
      <c r="J156" s="2">
        <v>45735</v>
      </c>
      <c r="K156" s="2">
        <v>45735</v>
      </c>
      <c r="L156" t="s">
        <v>45</v>
      </c>
      <c r="M156" s="16">
        <v>246788410119</v>
      </c>
      <c r="N156" t="s">
        <v>8</v>
      </c>
      <c r="O156" t="s">
        <v>9</v>
      </c>
      <c r="P156" t="s">
        <v>7</v>
      </c>
      <c r="Q156" t="s">
        <v>40</v>
      </c>
      <c r="R156" t="s">
        <v>21</v>
      </c>
      <c r="S156" s="3">
        <v>102.97</v>
      </c>
      <c r="T156" t="s">
        <v>11</v>
      </c>
      <c r="U156" s="3">
        <v>8926.6</v>
      </c>
      <c r="V156" t="s">
        <v>48</v>
      </c>
      <c r="W156" t="s">
        <v>12</v>
      </c>
      <c r="X156" t="s">
        <v>7</v>
      </c>
      <c r="Y156" t="s">
        <v>45</v>
      </c>
      <c r="Z156" t="s">
        <v>13</v>
      </c>
      <c r="AA156" t="s">
        <v>191</v>
      </c>
      <c r="AB156" t="s">
        <v>7</v>
      </c>
      <c r="AC156" t="s">
        <v>7</v>
      </c>
      <c r="AD156" t="s">
        <v>7</v>
      </c>
      <c r="AE156" s="2">
        <v>45735</v>
      </c>
      <c r="AF156" s="2"/>
      <c r="AG156" t="s">
        <v>7</v>
      </c>
    </row>
    <row r="157" spans="1:33" outlineLevel="2">
      <c r="A157" t="s">
        <v>23</v>
      </c>
      <c r="B157" s="13">
        <v>6788</v>
      </c>
      <c r="C157" s="13">
        <v>100222362</v>
      </c>
      <c r="D157" t="s">
        <v>2</v>
      </c>
      <c r="E157" t="s">
        <v>3</v>
      </c>
      <c r="F157" t="s">
        <v>50</v>
      </c>
      <c r="G157" s="2">
        <v>45924</v>
      </c>
      <c r="H157" s="13">
        <v>1800000516</v>
      </c>
      <c r="I157" t="s">
        <v>47</v>
      </c>
      <c r="J157" s="2">
        <v>45924</v>
      </c>
      <c r="K157" s="2">
        <v>45926</v>
      </c>
      <c r="L157" t="s">
        <v>45</v>
      </c>
      <c r="M157" s="16">
        <v>256788410391</v>
      </c>
      <c r="N157" t="s">
        <v>8</v>
      </c>
      <c r="O157" t="s">
        <v>9</v>
      </c>
      <c r="P157" t="s">
        <v>7</v>
      </c>
      <c r="Q157" t="s">
        <v>40</v>
      </c>
      <c r="R157" t="s">
        <v>21</v>
      </c>
      <c r="S157" s="3">
        <v>9</v>
      </c>
      <c r="T157" t="s">
        <v>11</v>
      </c>
      <c r="U157" s="3">
        <v>774.01</v>
      </c>
      <c r="V157" t="s">
        <v>48</v>
      </c>
      <c r="W157" t="s">
        <v>12</v>
      </c>
      <c r="X157" t="s">
        <v>7</v>
      </c>
      <c r="Y157" t="s">
        <v>192</v>
      </c>
      <c r="Z157" t="s">
        <v>13</v>
      </c>
      <c r="AA157" t="s">
        <v>100</v>
      </c>
      <c r="AB157" t="s">
        <v>7</v>
      </c>
      <c r="AC157" t="s">
        <v>7</v>
      </c>
      <c r="AD157" t="s">
        <v>7</v>
      </c>
      <c r="AE157" s="2">
        <v>45924</v>
      </c>
      <c r="AF157" s="2"/>
      <c r="AG157" t="s">
        <v>7</v>
      </c>
    </row>
    <row r="158" spans="1:33" outlineLevel="2">
      <c r="A158" t="s">
        <v>23</v>
      </c>
      <c r="B158" s="13">
        <v>6788</v>
      </c>
      <c r="C158" s="13">
        <v>100222362</v>
      </c>
      <c r="D158" t="s">
        <v>2</v>
      </c>
      <c r="E158" t="s">
        <v>3</v>
      </c>
      <c r="F158" t="s">
        <v>37</v>
      </c>
      <c r="G158" s="2">
        <v>45981</v>
      </c>
      <c r="H158" s="13">
        <v>1800000595</v>
      </c>
      <c r="I158" t="s">
        <v>47</v>
      </c>
      <c r="J158" s="2">
        <v>45981</v>
      </c>
      <c r="K158" s="2">
        <v>45982</v>
      </c>
      <c r="L158" t="s">
        <v>45</v>
      </c>
      <c r="M158" s="16">
        <v>256788410460</v>
      </c>
      <c r="N158" t="s">
        <v>8</v>
      </c>
      <c r="O158" t="s">
        <v>9</v>
      </c>
      <c r="P158" t="s">
        <v>7</v>
      </c>
      <c r="Q158" t="s">
        <v>40</v>
      </c>
      <c r="R158" t="s">
        <v>21</v>
      </c>
      <c r="S158" s="3">
        <v>78.319999999999993</v>
      </c>
      <c r="T158" t="s">
        <v>11</v>
      </c>
      <c r="U158" s="3">
        <v>6892.43</v>
      </c>
      <c r="V158" t="s">
        <v>48</v>
      </c>
      <c r="W158" t="s">
        <v>12</v>
      </c>
      <c r="X158" t="s">
        <v>7</v>
      </c>
      <c r="Y158" t="s">
        <v>193</v>
      </c>
      <c r="Z158" t="s">
        <v>13</v>
      </c>
      <c r="AA158" t="s">
        <v>194</v>
      </c>
      <c r="AB158" t="s">
        <v>7</v>
      </c>
      <c r="AC158" t="s">
        <v>7</v>
      </c>
      <c r="AD158" t="s">
        <v>7</v>
      </c>
      <c r="AE158" s="2">
        <v>45981</v>
      </c>
      <c r="AF158" s="2"/>
      <c r="AG158" t="s">
        <v>7</v>
      </c>
    </row>
    <row r="159" spans="1:33" outlineLevel="2">
      <c r="A159" t="s">
        <v>23</v>
      </c>
      <c r="B159" s="13">
        <v>6788</v>
      </c>
      <c r="C159" s="13">
        <v>100222362</v>
      </c>
      <c r="D159" t="s">
        <v>2</v>
      </c>
      <c r="E159" t="s">
        <v>3</v>
      </c>
      <c r="F159" t="s">
        <v>37</v>
      </c>
      <c r="G159" s="2">
        <v>45981</v>
      </c>
      <c r="H159" s="13">
        <v>1800000597</v>
      </c>
      <c r="I159" t="s">
        <v>47</v>
      </c>
      <c r="J159" s="2">
        <v>45981</v>
      </c>
      <c r="K159" s="2">
        <v>45982</v>
      </c>
      <c r="L159" t="s">
        <v>45</v>
      </c>
      <c r="M159" s="16">
        <v>256788410462</v>
      </c>
      <c r="N159" t="s">
        <v>8</v>
      </c>
      <c r="O159" t="s">
        <v>9</v>
      </c>
      <c r="P159" t="s">
        <v>7</v>
      </c>
      <c r="Q159" t="s">
        <v>40</v>
      </c>
      <c r="R159" t="s">
        <v>21</v>
      </c>
      <c r="S159" s="3">
        <v>13.52</v>
      </c>
      <c r="T159" t="s">
        <v>11</v>
      </c>
      <c r="U159" s="3">
        <v>1189.81</v>
      </c>
      <c r="V159" t="s">
        <v>48</v>
      </c>
      <c r="W159" t="s">
        <v>12</v>
      </c>
      <c r="X159" t="s">
        <v>7</v>
      </c>
      <c r="Y159" t="s">
        <v>193</v>
      </c>
      <c r="Z159" t="s">
        <v>13</v>
      </c>
      <c r="AA159" t="s">
        <v>195</v>
      </c>
      <c r="AB159" t="s">
        <v>7</v>
      </c>
      <c r="AC159" t="s">
        <v>7</v>
      </c>
      <c r="AD159" t="s">
        <v>7</v>
      </c>
      <c r="AE159" s="2">
        <v>45981</v>
      </c>
      <c r="AF159" s="2"/>
      <c r="AG159" t="s">
        <v>7</v>
      </c>
    </row>
    <row r="160" spans="1:33" outlineLevel="2">
      <c r="A160" t="s">
        <v>23</v>
      </c>
      <c r="B160" s="13">
        <v>6779</v>
      </c>
      <c r="C160" s="13">
        <v>100222362</v>
      </c>
      <c r="D160" t="s">
        <v>2</v>
      </c>
      <c r="E160" t="s">
        <v>3</v>
      </c>
      <c r="F160" t="s">
        <v>4</v>
      </c>
      <c r="G160" s="2">
        <v>45769</v>
      </c>
      <c r="H160" s="13">
        <v>1800007591</v>
      </c>
      <c r="I160" t="s">
        <v>47</v>
      </c>
      <c r="J160" s="2">
        <v>45769</v>
      </c>
      <c r="K160" s="2">
        <v>45770</v>
      </c>
      <c r="L160" t="s">
        <v>45</v>
      </c>
      <c r="M160" s="16">
        <v>256779412482</v>
      </c>
      <c r="N160" t="s">
        <v>8</v>
      </c>
      <c r="O160" t="s">
        <v>9</v>
      </c>
      <c r="P160" t="s">
        <v>7</v>
      </c>
      <c r="Q160" t="s">
        <v>40</v>
      </c>
      <c r="R160" t="s">
        <v>21</v>
      </c>
      <c r="S160" s="3">
        <v>94.08</v>
      </c>
      <c r="T160" t="s">
        <v>11</v>
      </c>
      <c r="U160" s="3">
        <v>8177.6</v>
      </c>
      <c r="V160" t="s">
        <v>48</v>
      </c>
      <c r="W160" t="s">
        <v>76</v>
      </c>
      <c r="X160" t="s">
        <v>7</v>
      </c>
      <c r="Y160" t="s">
        <v>45</v>
      </c>
      <c r="Z160" t="s">
        <v>13</v>
      </c>
      <c r="AA160" t="s">
        <v>131</v>
      </c>
      <c r="AB160" t="s">
        <v>7</v>
      </c>
      <c r="AC160" t="s">
        <v>7</v>
      </c>
      <c r="AD160" t="s">
        <v>7</v>
      </c>
      <c r="AE160" s="2">
        <v>45769</v>
      </c>
      <c r="AF160" s="2"/>
      <c r="AG160" t="s">
        <v>7</v>
      </c>
    </row>
    <row r="161" spans="1:33" outlineLevel="2">
      <c r="A161" t="s">
        <v>23</v>
      </c>
      <c r="B161" s="13">
        <v>6779</v>
      </c>
      <c r="C161" s="13">
        <v>100222362</v>
      </c>
      <c r="D161" t="s">
        <v>2</v>
      </c>
      <c r="E161" t="s">
        <v>3</v>
      </c>
      <c r="F161" t="s">
        <v>4</v>
      </c>
      <c r="G161" s="2">
        <v>45769</v>
      </c>
      <c r="H161" s="13">
        <v>1800007607</v>
      </c>
      <c r="I161" t="s">
        <v>47</v>
      </c>
      <c r="J161" s="2">
        <v>45769</v>
      </c>
      <c r="K161" s="2">
        <v>45770</v>
      </c>
      <c r="L161" t="s">
        <v>45</v>
      </c>
      <c r="M161" s="16">
        <v>256779412498</v>
      </c>
      <c r="N161" t="s">
        <v>8</v>
      </c>
      <c r="O161" t="s">
        <v>9</v>
      </c>
      <c r="P161" t="s">
        <v>7</v>
      </c>
      <c r="Q161" t="s">
        <v>40</v>
      </c>
      <c r="R161" t="s">
        <v>21</v>
      </c>
      <c r="S161" s="3">
        <v>25.32</v>
      </c>
      <c r="T161" t="s">
        <v>11</v>
      </c>
      <c r="U161" s="3">
        <v>2200.86</v>
      </c>
      <c r="V161" t="s">
        <v>48</v>
      </c>
      <c r="W161" t="s">
        <v>76</v>
      </c>
      <c r="X161" t="s">
        <v>7</v>
      </c>
      <c r="Y161" t="s">
        <v>45</v>
      </c>
      <c r="Z161" t="s">
        <v>13</v>
      </c>
      <c r="AA161" t="s">
        <v>131</v>
      </c>
      <c r="AB161" t="s">
        <v>7</v>
      </c>
      <c r="AC161" t="s">
        <v>7</v>
      </c>
      <c r="AD161" t="s">
        <v>7</v>
      </c>
      <c r="AE161" s="2">
        <v>45769</v>
      </c>
      <c r="AF161" s="2"/>
      <c r="AG161" t="s">
        <v>7</v>
      </c>
    </row>
    <row r="162" spans="1:33" outlineLevel="2">
      <c r="A162" t="s">
        <v>23</v>
      </c>
      <c r="B162" s="13">
        <v>6788</v>
      </c>
      <c r="C162" s="13">
        <v>100222362</v>
      </c>
      <c r="D162" t="s">
        <v>2</v>
      </c>
      <c r="E162" t="s">
        <v>3</v>
      </c>
      <c r="F162" t="s">
        <v>4</v>
      </c>
      <c r="G162" s="2">
        <v>45769</v>
      </c>
      <c r="H162" s="13">
        <v>1800000190</v>
      </c>
      <c r="I162" t="s">
        <v>47</v>
      </c>
      <c r="J162" s="2">
        <v>45769</v>
      </c>
      <c r="K162" s="2">
        <v>45771</v>
      </c>
      <c r="L162" t="s">
        <v>45</v>
      </c>
      <c r="M162" s="16">
        <v>256788410065</v>
      </c>
      <c r="N162" t="s">
        <v>8</v>
      </c>
      <c r="O162" t="s">
        <v>9</v>
      </c>
      <c r="P162" t="s">
        <v>7</v>
      </c>
      <c r="Q162" t="s">
        <v>40</v>
      </c>
      <c r="R162" t="s">
        <v>21</v>
      </c>
      <c r="S162" s="3">
        <v>24.38</v>
      </c>
      <c r="T162" t="s">
        <v>11</v>
      </c>
      <c r="U162" s="3">
        <v>2119.15</v>
      </c>
      <c r="V162" t="s">
        <v>48</v>
      </c>
      <c r="W162" t="s">
        <v>12</v>
      </c>
      <c r="X162" t="s">
        <v>7</v>
      </c>
      <c r="Y162" t="s">
        <v>45</v>
      </c>
      <c r="Z162" t="s">
        <v>13</v>
      </c>
      <c r="AA162" t="s">
        <v>196</v>
      </c>
      <c r="AB162" t="s">
        <v>7</v>
      </c>
      <c r="AC162" t="s">
        <v>7</v>
      </c>
      <c r="AD162" t="s">
        <v>7</v>
      </c>
      <c r="AE162" s="2">
        <v>45769</v>
      </c>
      <c r="AF162" s="2"/>
      <c r="AG162" t="s">
        <v>7</v>
      </c>
    </row>
    <row r="163" spans="1:33" outlineLevel="2">
      <c r="A163" t="s">
        <v>23</v>
      </c>
      <c r="B163" s="13">
        <v>6788</v>
      </c>
      <c r="C163" s="13">
        <v>100222362</v>
      </c>
      <c r="D163" t="s">
        <v>2</v>
      </c>
      <c r="E163" t="s">
        <v>3</v>
      </c>
      <c r="F163" t="s">
        <v>4</v>
      </c>
      <c r="G163" s="2">
        <v>45769</v>
      </c>
      <c r="H163" s="13">
        <v>1800000287</v>
      </c>
      <c r="I163" t="s">
        <v>47</v>
      </c>
      <c r="J163" s="2">
        <v>45769</v>
      </c>
      <c r="K163" s="2">
        <v>45771</v>
      </c>
      <c r="L163" t="s">
        <v>45</v>
      </c>
      <c r="M163" s="16">
        <v>256788410162</v>
      </c>
      <c r="N163" t="s">
        <v>8</v>
      </c>
      <c r="O163" t="s">
        <v>9</v>
      </c>
      <c r="P163" t="s">
        <v>7</v>
      </c>
      <c r="Q163" t="s">
        <v>40</v>
      </c>
      <c r="R163" t="s">
        <v>21</v>
      </c>
      <c r="S163" s="3">
        <v>5.46</v>
      </c>
      <c r="T163" t="s">
        <v>11</v>
      </c>
      <c r="U163" s="3">
        <v>474.59</v>
      </c>
      <c r="V163" t="s">
        <v>48</v>
      </c>
      <c r="W163" t="s">
        <v>12</v>
      </c>
      <c r="X163" t="s">
        <v>7</v>
      </c>
      <c r="Y163" t="s">
        <v>45</v>
      </c>
      <c r="Z163" t="s">
        <v>13</v>
      </c>
      <c r="AA163" t="s">
        <v>197</v>
      </c>
      <c r="AB163" t="s">
        <v>7</v>
      </c>
      <c r="AC163" t="s">
        <v>7</v>
      </c>
      <c r="AD163" t="s">
        <v>7</v>
      </c>
      <c r="AE163" s="2">
        <v>45769</v>
      </c>
      <c r="AF163" s="2"/>
      <c r="AG163" t="s">
        <v>7</v>
      </c>
    </row>
    <row r="164" spans="1:33" outlineLevel="2">
      <c r="A164" t="s">
        <v>23</v>
      </c>
      <c r="B164" s="13">
        <v>6788</v>
      </c>
      <c r="C164" s="13">
        <v>100222362</v>
      </c>
      <c r="D164" t="s">
        <v>2</v>
      </c>
      <c r="E164" t="s">
        <v>3</v>
      </c>
      <c r="F164" t="s">
        <v>4</v>
      </c>
      <c r="G164" s="2">
        <v>45769</v>
      </c>
      <c r="H164" s="13">
        <v>1800000288</v>
      </c>
      <c r="I164" t="s">
        <v>47</v>
      </c>
      <c r="J164" s="2">
        <v>45769</v>
      </c>
      <c r="K164" s="2">
        <v>45771</v>
      </c>
      <c r="L164" t="s">
        <v>45</v>
      </c>
      <c r="M164" s="16">
        <v>256788410163</v>
      </c>
      <c r="N164" t="s">
        <v>8</v>
      </c>
      <c r="O164" t="s">
        <v>9</v>
      </c>
      <c r="P164" t="s">
        <v>7</v>
      </c>
      <c r="Q164" t="s">
        <v>40</v>
      </c>
      <c r="R164" t="s">
        <v>21</v>
      </c>
      <c r="S164" s="3">
        <v>3.5</v>
      </c>
      <c r="T164" t="s">
        <v>11</v>
      </c>
      <c r="U164" s="3">
        <v>304.23</v>
      </c>
      <c r="V164" t="s">
        <v>48</v>
      </c>
      <c r="W164" t="s">
        <v>12</v>
      </c>
      <c r="X164" t="s">
        <v>7</v>
      </c>
      <c r="Y164" t="s">
        <v>45</v>
      </c>
      <c r="Z164" t="s">
        <v>13</v>
      </c>
      <c r="AA164" t="s">
        <v>197</v>
      </c>
      <c r="AB164" t="s">
        <v>7</v>
      </c>
      <c r="AC164" t="s">
        <v>7</v>
      </c>
      <c r="AD164" t="s">
        <v>7</v>
      </c>
      <c r="AE164" s="2">
        <v>45769</v>
      </c>
      <c r="AF164" s="2"/>
      <c r="AG164" t="s">
        <v>7</v>
      </c>
    </row>
    <row r="165" spans="1:33" outlineLevel="2">
      <c r="A165" t="s">
        <v>23</v>
      </c>
      <c r="B165" s="13">
        <v>6788</v>
      </c>
      <c r="C165" s="13">
        <v>100222362</v>
      </c>
      <c r="D165" t="s">
        <v>2</v>
      </c>
      <c r="E165" t="s">
        <v>3</v>
      </c>
      <c r="F165" t="s">
        <v>4</v>
      </c>
      <c r="G165" s="2">
        <v>45769</v>
      </c>
      <c r="H165" s="13">
        <v>1800000289</v>
      </c>
      <c r="I165" t="s">
        <v>47</v>
      </c>
      <c r="J165" s="2">
        <v>45769</v>
      </c>
      <c r="K165" s="2">
        <v>45771</v>
      </c>
      <c r="L165" t="s">
        <v>45</v>
      </c>
      <c r="M165" s="16">
        <v>256788410164</v>
      </c>
      <c r="N165" t="s">
        <v>8</v>
      </c>
      <c r="O165" t="s">
        <v>9</v>
      </c>
      <c r="P165" t="s">
        <v>7</v>
      </c>
      <c r="Q165" t="s">
        <v>40</v>
      </c>
      <c r="R165" t="s">
        <v>21</v>
      </c>
      <c r="S165" s="3">
        <v>5.6</v>
      </c>
      <c r="T165" t="s">
        <v>11</v>
      </c>
      <c r="U165" s="3">
        <v>486.76</v>
      </c>
      <c r="V165" t="s">
        <v>48</v>
      </c>
      <c r="W165" t="s">
        <v>12</v>
      </c>
      <c r="X165" t="s">
        <v>7</v>
      </c>
      <c r="Y165" t="s">
        <v>45</v>
      </c>
      <c r="Z165" t="s">
        <v>13</v>
      </c>
      <c r="AA165" t="s">
        <v>197</v>
      </c>
      <c r="AB165" t="s">
        <v>7</v>
      </c>
      <c r="AC165" t="s">
        <v>7</v>
      </c>
      <c r="AD165" t="s">
        <v>7</v>
      </c>
      <c r="AE165" s="2">
        <v>45769</v>
      </c>
      <c r="AF165" s="2"/>
      <c r="AG165" t="s">
        <v>7</v>
      </c>
    </row>
    <row r="166" spans="1:33" outlineLevel="2">
      <c r="A166" t="s">
        <v>23</v>
      </c>
      <c r="B166" s="13">
        <v>6788</v>
      </c>
      <c r="C166" s="13">
        <v>100222362</v>
      </c>
      <c r="D166" t="s">
        <v>2</v>
      </c>
      <c r="E166" t="s">
        <v>3</v>
      </c>
      <c r="F166" t="s">
        <v>4</v>
      </c>
      <c r="G166" s="2">
        <v>45769</v>
      </c>
      <c r="H166" s="13">
        <v>1800000290</v>
      </c>
      <c r="I166" t="s">
        <v>47</v>
      </c>
      <c r="J166" s="2">
        <v>45769</v>
      </c>
      <c r="K166" s="2">
        <v>45771</v>
      </c>
      <c r="L166" t="s">
        <v>45</v>
      </c>
      <c r="M166" s="16">
        <v>256788410165</v>
      </c>
      <c r="N166" t="s">
        <v>8</v>
      </c>
      <c r="O166" t="s">
        <v>9</v>
      </c>
      <c r="P166" t="s">
        <v>7</v>
      </c>
      <c r="Q166" t="s">
        <v>40</v>
      </c>
      <c r="R166" t="s">
        <v>21</v>
      </c>
      <c r="S166" s="3">
        <v>5.6</v>
      </c>
      <c r="T166" t="s">
        <v>11</v>
      </c>
      <c r="U166" s="3">
        <v>486.76</v>
      </c>
      <c r="V166" t="s">
        <v>48</v>
      </c>
      <c r="W166" t="s">
        <v>12</v>
      </c>
      <c r="X166" t="s">
        <v>7</v>
      </c>
      <c r="Y166" t="s">
        <v>45</v>
      </c>
      <c r="Z166" t="s">
        <v>13</v>
      </c>
      <c r="AA166" t="s">
        <v>197</v>
      </c>
      <c r="AB166" t="s">
        <v>7</v>
      </c>
      <c r="AC166" t="s">
        <v>7</v>
      </c>
      <c r="AD166" t="s">
        <v>7</v>
      </c>
      <c r="AE166" s="2">
        <v>45769</v>
      </c>
      <c r="AF166" s="2"/>
      <c r="AG166" t="s">
        <v>7</v>
      </c>
    </row>
    <row r="167" spans="1:33" outlineLevel="2">
      <c r="A167" t="s">
        <v>23</v>
      </c>
      <c r="B167" s="13">
        <v>6788</v>
      </c>
      <c r="C167" s="13">
        <v>100222362</v>
      </c>
      <c r="D167" t="s">
        <v>2</v>
      </c>
      <c r="E167" t="s">
        <v>3</v>
      </c>
      <c r="F167" t="s">
        <v>4</v>
      </c>
      <c r="G167" s="2">
        <v>45769</v>
      </c>
      <c r="H167" s="13">
        <v>1800000291</v>
      </c>
      <c r="I167" t="s">
        <v>47</v>
      </c>
      <c r="J167" s="2">
        <v>45769</v>
      </c>
      <c r="K167" s="2">
        <v>45771</v>
      </c>
      <c r="L167" t="s">
        <v>45</v>
      </c>
      <c r="M167" s="16">
        <v>256788410166</v>
      </c>
      <c r="N167" t="s">
        <v>8</v>
      </c>
      <c r="O167" t="s">
        <v>9</v>
      </c>
      <c r="P167" t="s">
        <v>7</v>
      </c>
      <c r="Q167" t="s">
        <v>40</v>
      </c>
      <c r="R167" t="s">
        <v>21</v>
      </c>
      <c r="S167" s="3">
        <v>11.6</v>
      </c>
      <c r="T167" t="s">
        <v>11</v>
      </c>
      <c r="U167" s="3">
        <v>1008.29</v>
      </c>
      <c r="V167" t="s">
        <v>48</v>
      </c>
      <c r="W167" t="s">
        <v>12</v>
      </c>
      <c r="X167" t="s">
        <v>7</v>
      </c>
      <c r="Y167" t="s">
        <v>45</v>
      </c>
      <c r="Z167" t="s">
        <v>13</v>
      </c>
      <c r="AA167" t="s">
        <v>197</v>
      </c>
      <c r="AB167" t="s">
        <v>7</v>
      </c>
      <c r="AC167" t="s">
        <v>7</v>
      </c>
      <c r="AD167" t="s">
        <v>7</v>
      </c>
      <c r="AE167" s="2">
        <v>45769</v>
      </c>
      <c r="AF167" s="2"/>
      <c r="AG167" t="s">
        <v>7</v>
      </c>
    </row>
    <row r="168" spans="1:33" outlineLevel="2">
      <c r="A168" t="s">
        <v>23</v>
      </c>
      <c r="B168" s="13">
        <v>6788</v>
      </c>
      <c r="C168" s="13">
        <v>100222362</v>
      </c>
      <c r="D168" t="s">
        <v>2</v>
      </c>
      <c r="E168" t="s">
        <v>3</v>
      </c>
      <c r="F168" t="s">
        <v>4</v>
      </c>
      <c r="G168" s="2">
        <v>45769</v>
      </c>
      <c r="H168" s="13">
        <v>1800000328</v>
      </c>
      <c r="I168" t="s">
        <v>47</v>
      </c>
      <c r="J168" s="2">
        <v>45769</v>
      </c>
      <c r="K168" s="2">
        <v>45771</v>
      </c>
      <c r="L168" t="s">
        <v>45</v>
      </c>
      <c r="M168" s="16">
        <v>256788410203</v>
      </c>
      <c r="N168" t="s">
        <v>8</v>
      </c>
      <c r="O168" t="s">
        <v>9</v>
      </c>
      <c r="P168" t="s">
        <v>7</v>
      </c>
      <c r="Q168" t="s">
        <v>40</v>
      </c>
      <c r="R168" t="s">
        <v>21</v>
      </c>
      <c r="S168" s="3">
        <v>80.67</v>
      </c>
      <c r="T168" t="s">
        <v>11</v>
      </c>
      <c r="U168" s="3">
        <v>7011.98</v>
      </c>
      <c r="V168" t="s">
        <v>48</v>
      </c>
      <c r="W168" t="s">
        <v>12</v>
      </c>
      <c r="X168" t="s">
        <v>7</v>
      </c>
      <c r="Y168" t="s">
        <v>45</v>
      </c>
      <c r="Z168" t="s">
        <v>13</v>
      </c>
      <c r="AA168" t="s">
        <v>198</v>
      </c>
      <c r="AB168" t="s">
        <v>7</v>
      </c>
      <c r="AC168" t="s">
        <v>7</v>
      </c>
      <c r="AD168" t="s">
        <v>7</v>
      </c>
      <c r="AE168" s="2">
        <v>45769</v>
      </c>
      <c r="AF168" s="2"/>
      <c r="AG168" t="s">
        <v>7</v>
      </c>
    </row>
    <row r="169" spans="1:33" outlineLevel="2">
      <c r="A169" t="s">
        <v>23</v>
      </c>
      <c r="B169" s="13">
        <v>6788</v>
      </c>
      <c r="C169" s="13">
        <v>100222362</v>
      </c>
      <c r="D169" t="s">
        <v>2</v>
      </c>
      <c r="E169" t="s">
        <v>3</v>
      </c>
      <c r="F169" t="s">
        <v>4</v>
      </c>
      <c r="G169" s="2">
        <v>45769</v>
      </c>
      <c r="H169" s="13">
        <v>1800000330</v>
      </c>
      <c r="I169" t="s">
        <v>47</v>
      </c>
      <c r="J169" s="2">
        <v>45769</v>
      </c>
      <c r="K169" s="2">
        <v>45771</v>
      </c>
      <c r="L169" t="s">
        <v>45</v>
      </c>
      <c r="M169" s="16">
        <v>256788410205</v>
      </c>
      <c r="N169" t="s">
        <v>8</v>
      </c>
      <c r="O169" t="s">
        <v>9</v>
      </c>
      <c r="P169" t="s">
        <v>7</v>
      </c>
      <c r="Q169" t="s">
        <v>40</v>
      </c>
      <c r="R169" t="s">
        <v>21</v>
      </c>
      <c r="S169" s="3">
        <v>99.12</v>
      </c>
      <c r="T169" t="s">
        <v>11</v>
      </c>
      <c r="U169" s="3">
        <v>8615.69</v>
      </c>
      <c r="V169" t="s">
        <v>48</v>
      </c>
      <c r="W169" t="s">
        <v>12</v>
      </c>
      <c r="X169" t="s">
        <v>7</v>
      </c>
      <c r="Y169" t="s">
        <v>45</v>
      </c>
      <c r="Z169" t="s">
        <v>13</v>
      </c>
      <c r="AA169" t="s">
        <v>199</v>
      </c>
      <c r="AB169" t="s">
        <v>7</v>
      </c>
      <c r="AC169" t="s">
        <v>7</v>
      </c>
      <c r="AD169" t="s">
        <v>7</v>
      </c>
      <c r="AE169" s="2">
        <v>45769</v>
      </c>
      <c r="AF169" s="2"/>
      <c r="AG169" t="s">
        <v>7</v>
      </c>
    </row>
    <row r="170" spans="1:33" outlineLevel="2">
      <c r="A170" t="s">
        <v>23</v>
      </c>
      <c r="B170" s="13">
        <v>6788</v>
      </c>
      <c r="C170" s="13">
        <v>100222362</v>
      </c>
      <c r="D170" t="s">
        <v>2</v>
      </c>
      <c r="E170" t="s">
        <v>3</v>
      </c>
      <c r="F170" t="s">
        <v>4</v>
      </c>
      <c r="G170" s="2">
        <v>45769</v>
      </c>
      <c r="H170" s="13">
        <v>1800000331</v>
      </c>
      <c r="I170" t="s">
        <v>47</v>
      </c>
      <c r="J170" s="2">
        <v>45769</v>
      </c>
      <c r="K170" s="2">
        <v>45771</v>
      </c>
      <c r="L170" t="s">
        <v>45</v>
      </c>
      <c r="M170" s="16">
        <v>256788410206</v>
      </c>
      <c r="N170" t="s">
        <v>8</v>
      </c>
      <c r="O170" t="s">
        <v>9</v>
      </c>
      <c r="P170" t="s">
        <v>7</v>
      </c>
      <c r="Q170" t="s">
        <v>40</v>
      </c>
      <c r="R170" t="s">
        <v>21</v>
      </c>
      <c r="S170" s="3">
        <v>10803.4</v>
      </c>
      <c r="T170" t="s">
        <v>11</v>
      </c>
      <c r="U170" s="3">
        <v>939051.19</v>
      </c>
      <c r="V170" t="s">
        <v>48</v>
      </c>
      <c r="W170" t="s">
        <v>12</v>
      </c>
      <c r="X170" t="s">
        <v>7</v>
      </c>
      <c r="Y170" t="s">
        <v>45</v>
      </c>
      <c r="Z170" t="s">
        <v>13</v>
      </c>
      <c r="AA170" t="s">
        <v>200</v>
      </c>
      <c r="AB170" t="s">
        <v>7</v>
      </c>
      <c r="AC170" t="s">
        <v>7</v>
      </c>
      <c r="AD170" t="s">
        <v>7</v>
      </c>
      <c r="AE170" s="2">
        <v>45769</v>
      </c>
      <c r="AF170" s="2"/>
      <c r="AG170" t="s">
        <v>7</v>
      </c>
    </row>
    <row r="171" spans="1:33" outlineLevel="2">
      <c r="A171" t="s">
        <v>23</v>
      </c>
      <c r="B171" s="13">
        <v>6788</v>
      </c>
      <c r="C171" s="13">
        <v>100222362</v>
      </c>
      <c r="D171" t="s">
        <v>2</v>
      </c>
      <c r="E171" t="s">
        <v>3</v>
      </c>
      <c r="F171" t="s">
        <v>50</v>
      </c>
      <c r="G171" s="2">
        <v>45918</v>
      </c>
      <c r="H171" s="13">
        <v>1800000498</v>
      </c>
      <c r="I171" t="s">
        <v>47</v>
      </c>
      <c r="J171" s="2">
        <v>45918</v>
      </c>
      <c r="K171" s="2">
        <v>45922</v>
      </c>
      <c r="L171" t="s">
        <v>45</v>
      </c>
      <c r="M171" s="16">
        <v>256788410373</v>
      </c>
      <c r="N171" t="s">
        <v>8</v>
      </c>
      <c r="O171" t="s">
        <v>9</v>
      </c>
      <c r="P171" t="s">
        <v>7</v>
      </c>
      <c r="Q171" t="s">
        <v>40</v>
      </c>
      <c r="R171" t="s">
        <v>21</v>
      </c>
      <c r="S171" s="3">
        <v>472</v>
      </c>
      <c r="T171" t="s">
        <v>11</v>
      </c>
      <c r="U171" s="3">
        <v>41306.76</v>
      </c>
      <c r="V171" t="s">
        <v>48</v>
      </c>
      <c r="W171" t="s">
        <v>12</v>
      </c>
      <c r="X171" t="s">
        <v>7</v>
      </c>
      <c r="Y171" t="s">
        <v>201</v>
      </c>
      <c r="Z171" t="s">
        <v>13</v>
      </c>
      <c r="AA171" t="s">
        <v>202</v>
      </c>
      <c r="AB171" t="s">
        <v>7</v>
      </c>
      <c r="AC171" t="s">
        <v>7</v>
      </c>
      <c r="AD171" t="s">
        <v>7</v>
      </c>
      <c r="AE171" s="2">
        <v>45918</v>
      </c>
      <c r="AF171" s="2"/>
      <c r="AG171" t="s">
        <v>7</v>
      </c>
    </row>
    <row r="172" spans="1:33" outlineLevel="2">
      <c r="A172" t="s">
        <v>23</v>
      </c>
      <c r="B172" s="13">
        <v>6788</v>
      </c>
      <c r="C172" s="13">
        <v>100222362</v>
      </c>
      <c r="D172" t="s">
        <v>2</v>
      </c>
      <c r="E172" t="s">
        <v>3</v>
      </c>
      <c r="F172" t="s">
        <v>50</v>
      </c>
      <c r="G172" s="2">
        <v>45918</v>
      </c>
      <c r="H172" s="13">
        <v>1800000500</v>
      </c>
      <c r="I172" t="s">
        <v>47</v>
      </c>
      <c r="J172" s="2">
        <v>45918</v>
      </c>
      <c r="K172" s="2">
        <v>45922</v>
      </c>
      <c r="L172" t="s">
        <v>45</v>
      </c>
      <c r="M172" s="16">
        <v>256788410375</v>
      </c>
      <c r="N172" t="s">
        <v>8</v>
      </c>
      <c r="O172" t="s">
        <v>9</v>
      </c>
      <c r="P172" t="s">
        <v>7</v>
      </c>
      <c r="Q172" t="s">
        <v>40</v>
      </c>
      <c r="R172" t="s">
        <v>21</v>
      </c>
      <c r="S172" s="3">
        <v>200</v>
      </c>
      <c r="T172" t="s">
        <v>11</v>
      </c>
      <c r="U172" s="3">
        <v>17502.87</v>
      </c>
      <c r="V172" t="s">
        <v>48</v>
      </c>
      <c r="W172" t="s">
        <v>12</v>
      </c>
      <c r="X172" t="s">
        <v>7</v>
      </c>
      <c r="Y172" t="s">
        <v>201</v>
      </c>
      <c r="Z172" t="s">
        <v>13</v>
      </c>
      <c r="AA172" t="s">
        <v>202</v>
      </c>
      <c r="AB172" t="s">
        <v>7</v>
      </c>
      <c r="AC172" t="s">
        <v>7</v>
      </c>
      <c r="AD172" t="s">
        <v>7</v>
      </c>
      <c r="AE172" s="2">
        <v>45918</v>
      </c>
      <c r="AF172" s="2"/>
      <c r="AG172" t="s">
        <v>7</v>
      </c>
    </row>
    <row r="173" spans="1:33" outlineLevel="2">
      <c r="A173" t="s">
        <v>23</v>
      </c>
      <c r="B173" s="13">
        <v>6788</v>
      </c>
      <c r="C173" s="13">
        <v>100222362</v>
      </c>
      <c r="D173" t="s">
        <v>2</v>
      </c>
      <c r="E173" t="s">
        <v>3</v>
      </c>
      <c r="F173" t="s">
        <v>50</v>
      </c>
      <c r="G173" s="2">
        <v>45918</v>
      </c>
      <c r="H173" s="13">
        <v>1800000501</v>
      </c>
      <c r="I173" t="s">
        <v>47</v>
      </c>
      <c r="J173" s="2">
        <v>45918</v>
      </c>
      <c r="K173" s="2">
        <v>45922</v>
      </c>
      <c r="L173" t="s">
        <v>45</v>
      </c>
      <c r="M173" s="16">
        <v>256788410376</v>
      </c>
      <c r="N173" t="s">
        <v>8</v>
      </c>
      <c r="O173" t="s">
        <v>9</v>
      </c>
      <c r="P173" t="s">
        <v>7</v>
      </c>
      <c r="Q173" t="s">
        <v>40</v>
      </c>
      <c r="R173" t="s">
        <v>21</v>
      </c>
      <c r="S173" s="3">
        <v>1125.6400000000001</v>
      </c>
      <c r="T173" t="s">
        <v>11</v>
      </c>
      <c r="U173" s="3">
        <v>98509.63</v>
      </c>
      <c r="V173" t="s">
        <v>48</v>
      </c>
      <c r="W173" t="s">
        <v>12</v>
      </c>
      <c r="X173" t="s">
        <v>7</v>
      </c>
      <c r="Y173" t="s">
        <v>203</v>
      </c>
      <c r="Z173" t="s">
        <v>13</v>
      </c>
      <c r="AA173" t="s">
        <v>204</v>
      </c>
      <c r="AB173" t="s">
        <v>7</v>
      </c>
      <c r="AC173" t="s">
        <v>7</v>
      </c>
      <c r="AD173" t="s">
        <v>7</v>
      </c>
      <c r="AE173" s="2">
        <v>45918</v>
      </c>
      <c r="AF173" s="2"/>
      <c r="AG173" t="s">
        <v>7</v>
      </c>
    </row>
    <row r="174" spans="1:33" outlineLevel="2">
      <c r="A174" t="s">
        <v>23</v>
      </c>
      <c r="B174" s="13">
        <v>6788</v>
      </c>
      <c r="C174" s="13">
        <v>100222362</v>
      </c>
      <c r="D174" t="s">
        <v>2</v>
      </c>
      <c r="E174" t="s">
        <v>3</v>
      </c>
      <c r="F174" t="s">
        <v>50</v>
      </c>
      <c r="G174" s="2">
        <v>45918</v>
      </c>
      <c r="H174" s="13">
        <v>1800000503</v>
      </c>
      <c r="I174" t="s">
        <v>47</v>
      </c>
      <c r="J174" s="2">
        <v>45918</v>
      </c>
      <c r="K174" s="2">
        <v>45922</v>
      </c>
      <c r="L174" t="s">
        <v>45</v>
      </c>
      <c r="M174" s="16">
        <v>256788410378</v>
      </c>
      <c r="N174" t="s">
        <v>8</v>
      </c>
      <c r="O174" t="s">
        <v>9</v>
      </c>
      <c r="P174" t="s">
        <v>7</v>
      </c>
      <c r="Q174" t="s">
        <v>40</v>
      </c>
      <c r="R174" t="s">
        <v>21</v>
      </c>
      <c r="S174" s="3">
        <v>46</v>
      </c>
      <c r="T174" t="s">
        <v>11</v>
      </c>
      <c r="U174" s="3">
        <v>4025.66</v>
      </c>
      <c r="V174" t="s">
        <v>48</v>
      </c>
      <c r="W174" t="s">
        <v>12</v>
      </c>
      <c r="X174" t="s">
        <v>7</v>
      </c>
      <c r="Y174" t="s">
        <v>205</v>
      </c>
      <c r="Z174" t="s">
        <v>13</v>
      </c>
      <c r="AA174" t="s">
        <v>206</v>
      </c>
      <c r="AB174" t="s">
        <v>7</v>
      </c>
      <c r="AC174" t="s">
        <v>7</v>
      </c>
      <c r="AD174" t="s">
        <v>7</v>
      </c>
      <c r="AE174" s="2">
        <v>45918</v>
      </c>
      <c r="AF174" s="2"/>
      <c r="AG174" t="s">
        <v>7</v>
      </c>
    </row>
    <row r="175" spans="1:33" outlineLevel="2">
      <c r="A175" t="s">
        <v>23</v>
      </c>
      <c r="B175" s="13">
        <v>6788</v>
      </c>
      <c r="C175" s="13">
        <v>100222362</v>
      </c>
      <c r="D175" t="s">
        <v>2</v>
      </c>
      <c r="E175" t="s">
        <v>3</v>
      </c>
      <c r="F175" t="s">
        <v>162</v>
      </c>
      <c r="G175" s="2">
        <v>45996</v>
      </c>
      <c r="H175" s="13">
        <v>1800000601</v>
      </c>
      <c r="I175" t="s">
        <v>47</v>
      </c>
      <c r="J175" s="2">
        <v>45996</v>
      </c>
      <c r="K175" s="2">
        <v>46000</v>
      </c>
      <c r="L175" t="s">
        <v>45</v>
      </c>
      <c r="M175" s="16">
        <v>256788410474</v>
      </c>
      <c r="N175" t="s">
        <v>8</v>
      </c>
      <c r="O175" t="s">
        <v>9</v>
      </c>
      <c r="P175" t="s">
        <v>7</v>
      </c>
      <c r="Q175" t="s">
        <v>40</v>
      </c>
      <c r="R175" t="s">
        <v>21</v>
      </c>
      <c r="S175" s="3">
        <v>238</v>
      </c>
      <c r="T175" t="s">
        <v>11</v>
      </c>
      <c r="U175" s="3">
        <v>21110.63</v>
      </c>
      <c r="V175" t="s">
        <v>48</v>
      </c>
      <c r="W175" t="s">
        <v>12</v>
      </c>
      <c r="X175" t="s">
        <v>7</v>
      </c>
      <c r="Y175" t="s">
        <v>207</v>
      </c>
      <c r="Z175" t="s">
        <v>13</v>
      </c>
      <c r="AA175" t="s">
        <v>208</v>
      </c>
      <c r="AB175" t="s">
        <v>7</v>
      </c>
      <c r="AC175" t="s">
        <v>7</v>
      </c>
      <c r="AD175" t="s">
        <v>7</v>
      </c>
      <c r="AE175" s="2">
        <v>45996</v>
      </c>
      <c r="AF175" s="2"/>
      <c r="AG175" t="s">
        <v>7</v>
      </c>
    </row>
    <row r="176" spans="1:33" outlineLevel="2">
      <c r="A176" t="s">
        <v>23</v>
      </c>
      <c r="B176" s="13">
        <v>6788</v>
      </c>
      <c r="C176" s="13">
        <v>100222362</v>
      </c>
      <c r="D176" t="s">
        <v>2</v>
      </c>
      <c r="E176" t="s">
        <v>3</v>
      </c>
      <c r="F176" t="s">
        <v>162</v>
      </c>
      <c r="G176" s="2">
        <v>45996</v>
      </c>
      <c r="H176" s="13">
        <v>1800000602</v>
      </c>
      <c r="I176" t="s">
        <v>47</v>
      </c>
      <c r="J176" s="2">
        <v>45996</v>
      </c>
      <c r="K176" s="2">
        <v>46000</v>
      </c>
      <c r="L176" t="s">
        <v>45</v>
      </c>
      <c r="M176" s="16">
        <v>256788410475</v>
      </c>
      <c r="N176" t="s">
        <v>8</v>
      </c>
      <c r="O176" t="s">
        <v>9</v>
      </c>
      <c r="P176" t="s">
        <v>7</v>
      </c>
      <c r="Q176" t="s">
        <v>40</v>
      </c>
      <c r="R176" t="s">
        <v>21</v>
      </c>
      <c r="S176" s="3">
        <v>40</v>
      </c>
      <c r="T176" t="s">
        <v>11</v>
      </c>
      <c r="U176" s="3">
        <v>3548.01</v>
      </c>
      <c r="V176" t="s">
        <v>48</v>
      </c>
      <c r="W176" t="s">
        <v>12</v>
      </c>
      <c r="X176" t="s">
        <v>7</v>
      </c>
      <c r="Y176" t="s">
        <v>207</v>
      </c>
      <c r="Z176" t="s">
        <v>13</v>
      </c>
      <c r="AA176" t="s">
        <v>209</v>
      </c>
      <c r="AB176" t="s">
        <v>7</v>
      </c>
      <c r="AC176" t="s">
        <v>7</v>
      </c>
      <c r="AD176" t="s">
        <v>7</v>
      </c>
      <c r="AE176" s="2">
        <v>45996</v>
      </c>
      <c r="AF176" s="2"/>
      <c r="AG176" t="s">
        <v>7</v>
      </c>
    </row>
    <row r="177" spans="1:33" outlineLevel="2">
      <c r="A177" t="s">
        <v>23</v>
      </c>
      <c r="B177" s="13">
        <v>6788</v>
      </c>
      <c r="C177" s="13">
        <v>100222362</v>
      </c>
      <c r="D177" t="s">
        <v>2</v>
      </c>
      <c r="E177" t="s">
        <v>3</v>
      </c>
      <c r="F177" t="s">
        <v>162</v>
      </c>
      <c r="G177" s="2">
        <v>45996</v>
      </c>
      <c r="H177" s="13">
        <v>1800000603</v>
      </c>
      <c r="I177" t="s">
        <v>47</v>
      </c>
      <c r="J177" s="2">
        <v>45996</v>
      </c>
      <c r="K177" s="2">
        <v>46000</v>
      </c>
      <c r="L177" t="s">
        <v>45</v>
      </c>
      <c r="M177" s="16">
        <v>256788410476</v>
      </c>
      <c r="N177" t="s">
        <v>8</v>
      </c>
      <c r="O177" t="s">
        <v>9</v>
      </c>
      <c r="P177" t="s">
        <v>7</v>
      </c>
      <c r="Q177" t="s">
        <v>40</v>
      </c>
      <c r="R177" t="s">
        <v>21</v>
      </c>
      <c r="S177" s="3">
        <v>200</v>
      </c>
      <c r="T177" t="s">
        <v>11</v>
      </c>
      <c r="U177" s="3">
        <v>17740.03</v>
      </c>
      <c r="V177" t="s">
        <v>48</v>
      </c>
      <c r="W177" t="s">
        <v>12</v>
      </c>
      <c r="X177" t="s">
        <v>7</v>
      </c>
      <c r="Y177" t="s">
        <v>207</v>
      </c>
      <c r="Z177" t="s">
        <v>13</v>
      </c>
      <c r="AA177" t="s">
        <v>208</v>
      </c>
      <c r="AB177" t="s">
        <v>7</v>
      </c>
      <c r="AC177" t="s">
        <v>7</v>
      </c>
      <c r="AD177" t="s">
        <v>7</v>
      </c>
      <c r="AE177" s="2">
        <v>45996</v>
      </c>
      <c r="AF177" s="2"/>
      <c r="AG177" t="s">
        <v>7</v>
      </c>
    </row>
    <row r="178" spans="1:33" outlineLevel="2">
      <c r="A178" t="s">
        <v>23</v>
      </c>
      <c r="B178" s="13">
        <v>6788</v>
      </c>
      <c r="C178" s="13">
        <v>100222362</v>
      </c>
      <c r="D178" t="s">
        <v>2</v>
      </c>
      <c r="E178" t="s">
        <v>3</v>
      </c>
      <c r="F178" t="s">
        <v>162</v>
      </c>
      <c r="G178" s="2">
        <v>45996</v>
      </c>
      <c r="H178" s="13">
        <v>1800000604</v>
      </c>
      <c r="I178" t="s">
        <v>47</v>
      </c>
      <c r="J178" s="2">
        <v>45996</v>
      </c>
      <c r="K178" s="2">
        <v>46000</v>
      </c>
      <c r="L178" t="s">
        <v>45</v>
      </c>
      <c r="M178" s="16">
        <v>256788410477</v>
      </c>
      <c r="N178" t="s">
        <v>8</v>
      </c>
      <c r="O178" t="s">
        <v>9</v>
      </c>
      <c r="P178" t="s">
        <v>7</v>
      </c>
      <c r="Q178" t="s">
        <v>40</v>
      </c>
      <c r="R178" t="s">
        <v>21</v>
      </c>
      <c r="S178" s="3">
        <v>6.6</v>
      </c>
      <c r="T178" t="s">
        <v>11</v>
      </c>
      <c r="U178" s="3">
        <v>585.41999999999996</v>
      </c>
      <c r="V178" t="s">
        <v>48</v>
      </c>
      <c r="W178" t="s">
        <v>12</v>
      </c>
      <c r="X178" t="s">
        <v>7</v>
      </c>
      <c r="Y178" t="s">
        <v>207</v>
      </c>
      <c r="Z178" t="s">
        <v>13</v>
      </c>
      <c r="AA178" t="s">
        <v>210</v>
      </c>
      <c r="AB178" t="s">
        <v>7</v>
      </c>
      <c r="AC178" t="s">
        <v>7</v>
      </c>
      <c r="AD178" t="s">
        <v>7</v>
      </c>
      <c r="AE178" s="2">
        <v>45996</v>
      </c>
      <c r="AF178" s="2"/>
      <c r="AG178" t="s">
        <v>7</v>
      </c>
    </row>
    <row r="179" spans="1:33" outlineLevel="2">
      <c r="A179" t="s">
        <v>23</v>
      </c>
      <c r="B179" s="13">
        <v>6788</v>
      </c>
      <c r="C179" s="13">
        <v>100222362</v>
      </c>
      <c r="D179" t="s">
        <v>2</v>
      </c>
      <c r="E179" t="s">
        <v>3</v>
      </c>
      <c r="F179" t="s">
        <v>162</v>
      </c>
      <c r="G179" s="2">
        <v>45996</v>
      </c>
      <c r="H179" s="13">
        <v>1800000606</v>
      </c>
      <c r="I179" t="s">
        <v>47</v>
      </c>
      <c r="J179" s="2">
        <v>45996</v>
      </c>
      <c r="K179" s="2">
        <v>46000</v>
      </c>
      <c r="L179" t="s">
        <v>45</v>
      </c>
      <c r="M179" s="16">
        <v>256788410479</v>
      </c>
      <c r="N179" t="s">
        <v>8</v>
      </c>
      <c r="O179" t="s">
        <v>9</v>
      </c>
      <c r="P179" t="s">
        <v>7</v>
      </c>
      <c r="Q179" t="s">
        <v>40</v>
      </c>
      <c r="R179" t="s">
        <v>21</v>
      </c>
      <c r="S179" s="3">
        <v>250.24</v>
      </c>
      <c r="T179" t="s">
        <v>11</v>
      </c>
      <c r="U179" s="3">
        <v>22196.32</v>
      </c>
      <c r="V179" t="s">
        <v>48</v>
      </c>
      <c r="W179" t="s">
        <v>12</v>
      </c>
      <c r="X179" t="s">
        <v>7</v>
      </c>
      <c r="Y179" t="s">
        <v>211</v>
      </c>
      <c r="Z179" t="s">
        <v>13</v>
      </c>
      <c r="AA179" t="s">
        <v>212</v>
      </c>
      <c r="AB179" t="s">
        <v>7</v>
      </c>
      <c r="AC179" t="s">
        <v>7</v>
      </c>
      <c r="AD179" t="s">
        <v>7</v>
      </c>
      <c r="AE179" s="2">
        <v>45996</v>
      </c>
      <c r="AF179" s="2"/>
      <c r="AG179" t="s">
        <v>7</v>
      </c>
    </row>
    <row r="180" spans="1:33" outlineLevel="2">
      <c r="A180" t="s">
        <v>23</v>
      </c>
      <c r="B180" s="13">
        <v>6788</v>
      </c>
      <c r="C180" s="13">
        <v>100222362</v>
      </c>
      <c r="D180" t="s">
        <v>2</v>
      </c>
      <c r="E180" t="s">
        <v>3</v>
      </c>
      <c r="F180" t="s">
        <v>16</v>
      </c>
      <c r="G180" s="2">
        <v>45709</v>
      </c>
      <c r="H180" s="13">
        <v>1800000041</v>
      </c>
      <c r="I180" t="s">
        <v>47</v>
      </c>
      <c r="J180" s="2">
        <v>45709</v>
      </c>
      <c r="K180" s="2">
        <v>45713</v>
      </c>
      <c r="L180" t="s">
        <v>45</v>
      </c>
      <c r="M180" s="16">
        <v>246788410024</v>
      </c>
      <c r="N180" t="s">
        <v>8</v>
      </c>
      <c r="O180" t="s">
        <v>9</v>
      </c>
      <c r="P180" t="s">
        <v>7</v>
      </c>
      <c r="Q180" t="s">
        <v>40</v>
      </c>
      <c r="R180" t="s">
        <v>21</v>
      </c>
      <c r="S180" s="3">
        <v>3980.4</v>
      </c>
      <c r="T180" t="s">
        <v>11</v>
      </c>
      <c r="U180" s="3">
        <v>343523.09</v>
      </c>
      <c r="V180" t="s">
        <v>48</v>
      </c>
      <c r="W180" t="s">
        <v>12</v>
      </c>
      <c r="X180" t="s">
        <v>7</v>
      </c>
      <c r="Y180" t="s">
        <v>45</v>
      </c>
      <c r="Z180" t="s">
        <v>13</v>
      </c>
      <c r="AA180" t="s">
        <v>213</v>
      </c>
      <c r="AB180" t="s">
        <v>7</v>
      </c>
      <c r="AC180" t="s">
        <v>7</v>
      </c>
      <c r="AD180" t="s">
        <v>7</v>
      </c>
      <c r="AE180" s="2">
        <v>45709</v>
      </c>
      <c r="AF180" s="2"/>
      <c r="AG180" t="s">
        <v>7</v>
      </c>
    </row>
    <row r="181" spans="1:33" outlineLevel="2">
      <c r="A181" t="s">
        <v>23</v>
      </c>
      <c r="B181" s="13">
        <v>6788</v>
      </c>
      <c r="C181" s="13">
        <v>100222362</v>
      </c>
      <c r="D181" t="s">
        <v>2</v>
      </c>
      <c r="E181" t="s">
        <v>3</v>
      </c>
      <c r="F181" t="s">
        <v>29</v>
      </c>
      <c r="G181" s="2">
        <v>45937</v>
      </c>
      <c r="H181" s="13">
        <v>1800000554</v>
      </c>
      <c r="I181" t="s">
        <v>47</v>
      </c>
      <c r="J181" s="2">
        <v>45937</v>
      </c>
      <c r="K181" s="2">
        <v>45939</v>
      </c>
      <c r="L181" t="s">
        <v>45</v>
      </c>
      <c r="M181" s="16">
        <v>256788410429</v>
      </c>
      <c r="N181" t="s">
        <v>8</v>
      </c>
      <c r="O181" t="s">
        <v>9</v>
      </c>
      <c r="P181" t="s">
        <v>7</v>
      </c>
      <c r="Q181" t="s">
        <v>40</v>
      </c>
      <c r="R181" t="s">
        <v>21</v>
      </c>
      <c r="S181" s="3">
        <v>2.25</v>
      </c>
      <c r="T181" t="s">
        <v>11</v>
      </c>
      <c r="U181" s="3">
        <v>198.43</v>
      </c>
      <c r="V181" t="s">
        <v>48</v>
      </c>
      <c r="W181" t="s">
        <v>12</v>
      </c>
      <c r="X181" t="s">
        <v>7</v>
      </c>
      <c r="Y181" t="s">
        <v>214</v>
      </c>
      <c r="Z181" t="s">
        <v>13</v>
      </c>
      <c r="AA181" t="s">
        <v>215</v>
      </c>
      <c r="AB181" t="s">
        <v>7</v>
      </c>
      <c r="AC181" t="s">
        <v>7</v>
      </c>
      <c r="AD181" t="s">
        <v>7</v>
      </c>
      <c r="AE181" s="2">
        <v>45937</v>
      </c>
      <c r="AF181" s="2"/>
      <c r="AG181" t="s">
        <v>7</v>
      </c>
    </row>
    <row r="182" spans="1:33" outlineLevel="2">
      <c r="A182" t="s">
        <v>23</v>
      </c>
      <c r="B182" s="13">
        <v>6788</v>
      </c>
      <c r="C182" s="13">
        <v>100222362</v>
      </c>
      <c r="D182" t="s">
        <v>2</v>
      </c>
      <c r="E182" t="s">
        <v>3</v>
      </c>
      <c r="F182" t="s">
        <v>29</v>
      </c>
      <c r="G182" s="2">
        <v>45937</v>
      </c>
      <c r="H182" s="13">
        <v>1800000555</v>
      </c>
      <c r="I182" t="s">
        <v>47</v>
      </c>
      <c r="J182" s="2">
        <v>45937</v>
      </c>
      <c r="K182" s="2">
        <v>45940</v>
      </c>
      <c r="L182" t="s">
        <v>45</v>
      </c>
      <c r="M182" s="16">
        <v>256788410430</v>
      </c>
      <c r="N182" t="s">
        <v>8</v>
      </c>
      <c r="O182" t="s">
        <v>9</v>
      </c>
      <c r="P182" t="s">
        <v>7</v>
      </c>
      <c r="Q182" t="s">
        <v>40</v>
      </c>
      <c r="R182" t="s">
        <v>21</v>
      </c>
      <c r="S182" s="3">
        <v>2</v>
      </c>
      <c r="T182" t="s">
        <v>11</v>
      </c>
      <c r="U182" s="3">
        <v>176.38</v>
      </c>
      <c r="V182" t="s">
        <v>48</v>
      </c>
      <c r="W182" t="s">
        <v>12</v>
      </c>
      <c r="X182" t="s">
        <v>7</v>
      </c>
      <c r="Y182" t="s">
        <v>216</v>
      </c>
      <c r="Z182" t="s">
        <v>13</v>
      </c>
      <c r="AA182" t="s">
        <v>217</v>
      </c>
      <c r="AB182" t="s">
        <v>7</v>
      </c>
      <c r="AC182" t="s">
        <v>7</v>
      </c>
      <c r="AD182" t="s">
        <v>7</v>
      </c>
      <c r="AE182" s="2">
        <v>45937</v>
      </c>
      <c r="AF182" s="2"/>
      <c r="AG182" t="s">
        <v>7</v>
      </c>
    </row>
    <row r="183" spans="1:33" outlineLevel="2">
      <c r="A183" t="s">
        <v>23</v>
      </c>
      <c r="B183" s="13">
        <v>6788</v>
      </c>
      <c r="C183" s="13">
        <v>100222362</v>
      </c>
      <c r="D183" t="s">
        <v>2</v>
      </c>
      <c r="E183" t="s">
        <v>3</v>
      </c>
      <c r="F183" t="s">
        <v>79</v>
      </c>
      <c r="G183" s="2">
        <v>45857</v>
      </c>
      <c r="H183" s="13">
        <v>1800000388</v>
      </c>
      <c r="I183" t="s">
        <v>47</v>
      </c>
      <c r="J183" s="2">
        <v>45857</v>
      </c>
      <c r="K183" s="2">
        <v>45863</v>
      </c>
      <c r="L183" t="s">
        <v>45</v>
      </c>
      <c r="M183" s="16">
        <v>256788410264</v>
      </c>
      <c r="N183" t="s">
        <v>8</v>
      </c>
      <c r="O183" t="s">
        <v>9</v>
      </c>
      <c r="P183" t="s">
        <v>7</v>
      </c>
      <c r="Q183" t="s">
        <v>40</v>
      </c>
      <c r="R183" t="s">
        <v>21</v>
      </c>
      <c r="S183" s="3">
        <v>4.6399999999999997</v>
      </c>
      <c r="T183" t="s">
        <v>11</v>
      </c>
      <c r="U183" s="3">
        <v>399.04</v>
      </c>
      <c r="V183" t="s">
        <v>48</v>
      </c>
      <c r="W183" t="s">
        <v>12</v>
      </c>
      <c r="X183" t="s">
        <v>7</v>
      </c>
      <c r="Y183" t="s">
        <v>45</v>
      </c>
      <c r="Z183" t="s">
        <v>13</v>
      </c>
      <c r="AA183" t="s">
        <v>218</v>
      </c>
      <c r="AB183" t="s">
        <v>7</v>
      </c>
      <c r="AC183" t="s">
        <v>7</v>
      </c>
      <c r="AD183" t="s">
        <v>7</v>
      </c>
      <c r="AE183" s="2">
        <v>45857</v>
      </c>
      <c r="AF183" s="2"/>
      <c r="AG183" t="s">
        <v>7</v>
      </c>
    </row>
    <row r="184" spans="1:33" outlineLevel="2">
      <c r="A184" t="s">
        <v>23</v>
      </c>
      <c r="B184" s="13">
        <v>6779</v>
      </c>
      <c r="C184" s="13">
        <v>100222362</v>
      </c>
      <c r="D184" t="s">
        <v>2</v>
      </c>
      <c r="E184" t="s">
        <v>3</v>
      </c>
      <c r="F184" t="s">
        <v>67</v>
      </c>
      <c r="G184" s="2">
        <v>45787</v>
      </c>
      <c r="H184" s="13">
        <v>1800008358</v>
      </c>
      <c r="I184" t="s">
        <v>47</v>
      </c>
      <c r="J184" s="2">
        <v>45787</v>
      </c>
      <c r="K184" s="2">
        <v>45792</v>
      </c>
      <c r="L184" t="s">
        <v>45</v>
      </c>
      <c r="M184" s="16">
        <v>256779413241</v>
      </c>
      <c r="N184" t="s">
        <v>8</v>
      </c>
      <c r="O184" t="s">
        <v>9</v>
      </c>
      <c r="P184" t="s">
        <v>7</v>
      </c>
      <c r="Q184" t="s">
        <v>40</v>
      </c>
      <c r="R184" t="s">
        <v>21</v>
      </c>
      <c r="S184" s="3">
        <v>1054.79</v>
      </c>
      <c r="T184" t="s">
        <v>11</v>
      </c>
      <c r="U184" s="3">
        <v>90694.75</v>
      </c>
      <c r="V184" t="s">
        <v>48</v>
      </c>
      <c r="W184" t="s">
        <v>76</v>
      </c>
      <c r="X184" t="s">
        <v>7</v>
      </c>
      <c r="Y184" t="s">
        <v>45</v>
      </c>
      <c r="Z184" t="s">
        <v>13</v>
      </c>
      <c r="AA184" t="s">
        <v>219</v>
      </c>
      <c r="AB184" t="s">
        <v>7</v>
      </c>
      <c r="AC184" t="s">
        <v>7</v>
      </c>
      <c r="AD184" t="s">
        <v>7</v>
      </c>
      <c r="AE184" s="2">
        <v>45787</v>
      </c>
      <c r="AF184" s="2"/>
      <c r="AG184" t="s">
        <v>7</v>
      </c>
    </row>
    <row r="185" spans="1:33" outlineLevel="2">
      <c r="A185" t="s">
        <v>23</v>
      </c>
      <c r="B185" s="13">
        <v>6788</v>
      </c>
      <c r="C185" s="13">
        <v>100222362</v>
      </c>
      <c r="D185" t="s">
        <v>2</v>
      </c>
      <c r="E185" t="s">
        <v>3</v>
      </c>
      <c r="F185" t="s">
        <v>67</v>
      </c>
      <c r="G185" s="2">
        <v>45787</v>
      </c>
      <c r="H185" s="13">
        <v>1800000332</v>
      </c>
      <c r="I185" t="s">
        <v>47</v>
      </c>
      <c r="J185" s="2">
        <v>45787</v>
      </c>
      <c r="K185" s="2">
        <v>45800</v>
      </c>
      <c r="L185" t="s">
        <v>45</v>
      </c>
      <c r="M185" s="16">
        <v>256788410207</v>
      </c>
      <c r="N185" t="s">
        <v>8</v>
      </c>
      <c r="O185" t="s">
        <v>9</v>
      </c>
      <c r="P185" t="s">
        <v>7</v>
      </c>
      <c r="Q185" t="s">
        <v>40</v>
      </c>
      <c r="R185" t="s">
        <v>21</v>
      </c>
      <c r="S185" s="3">
        <v>96.66</v>
      </c>
      <c r="T185" t="s">
        <v>11</v>
      </c>
      <c r="U185" s="3">
        <v>8311.18</v>
      </c>
      <c r="V185" t="s">
        <v>48</v>
      </c>
      <c r="W185" t="s">
        <v>12</v>
      </c>
      <c r="X185" t="s">
        <v>7</v>
      </c>
      <c r="Y185" t="s">
        <v>45</v>
      </c>
      <c r="Z185" t="s">
        <v>13</v>
      </c>
      <c r="AA185" t="s">
        <v>220</v>
      </c>
      <c r="AB185" t="s">
        <v>7</v>
      </c>
      <c r="AC185" t="s">
        <v>7</v>
      </c>
      <c r="AD185" t="s">
        <v>7</v>
      </c>
      <c r="AE185" s="2">
        <v>45787</v>
      </c>
      <c r="AF185" s="2"/>
      <c r="AG185" t="s">
        <v>7</v>
      </c>
    </row>
    <row r="186" spans="1:33" outlineLevel="2">
      <c r="A186" t="s">
        <v>23</v>
      </c>
      <c r="B186" s="13">
        <v>6788</v>
      </c>
      <c r="C186" s="13">
        <v>100222362</v>
      </c>
      <c r="D186" t="s">
        <v>2</v>
      </c>
      <c r="E186" t="s">
        <v>3</v>
      </c>
      <c r="F186" t="s">
        <v>67</v>
      </c>
      <c r="G186" s="2">
        <v>45787</v>
      </c>
      <c r="H186" s="13">
        <v>1800000333</v>
      </c>
      <c r="I186" t="s">
        <v>47</v>
      </c>
      <c r="J186" s="2">
        <v>45787</v>
      </c>
      <c r="K186" s="2">
        <v>45800</v>
      </c>
      <c r="L186" t="s">
        <v>45</v>
      </c>
      <c r="M186" s="16">
        <v>256788410208</v>
      </c>
      <c r="N186" t="s">
        <v>8</v>
      </c>
      <c r="O186" t="s">
        <v>9</v>
      </c>
      <c r="P186" t="s">
        <v>7</v>
      </c>
      <c r="Q186" t="s">
        <v>40</v>
      </c>
      <c r="R186" t="s">
        <v>21</v>
      </c>
      <c r="S186" s="3">
        <v>75</v>
      </c>
      <c r="T186" t="s">
        <v>11</v>
      </c>
      <c r="U186" s="3">
        <v>6448.78</v>
      </c>
      <c r="V186" t="s">
        <v>48</v>
      </c>
      <c r="W186" t="s">
        <v>12</v>
      </c>
      <c r="X186" t="s">
        <v>7</v>
      </c>
      <c r="Y186" t="s">
        <v>45</v>
      </c>
      <c r="Z186" t="s">
        <v>13</v>
      </c>
      <c r="AA186" t="s">
        <v>221</v>
      </c>
      <c r="AB186" t="s">
        <v>7</v>
      </c>
      <c r="AC186" t="s">
        <v>7</v>
      </c>
      <c r="AD186" t="s">
        <v>7</v>
      </c>
      <c r="AE186" s="2">
        <v>45787</v>
      </c>
      <c r="AF186" s="2"/>
      <c r="AG186" t="s">
        <v>7</v>
      </c>
    </row>
    <row r="187" spans="1:33" outlineLevel="2">
      <c r="A187" t="s">
        <v>23</v>
      </c>
      <c r="B187" s="13">
        <v>6788</v>
      </c>
      <c r="C187" s="13">
        <v>100222362</v>
      </c>
      <c r="D187" t="s">
        <v>2</v>
      </c>
      <c r="E187" t="s">
        <v>3</v>
      </c>
      <c r="F187" t="s">
        <v>67</v>
      </c>
      <c r="G187" s="2">
        <v>45787</v>
      </c>
      <c r="H187" s="13">
        <v>1800000340</v>
      </c>
      <c r="I187" t="s">
        <v>47</v>
      </c>
      <c r="J187" s="2">
        <v>45787</v>
      </c>
      <c r="K187" s="2">
        <v>45800</v>
      </c>
      <c r="L187" t="s">
        <v>45</v>
      </c>
      <c r="M187" s="16">
        <v>256788410215</v>
      </c>
      <c r="N187" t="s">
        <v>8</v>
      </c>
      <c r="O187" t="s">
        <v>9</v>
      </c>
      <c r="P187" t="s">
        <v>7</v>
      </c>
      <c r="Q187" t="s">
        <v>40</v>
      </c>
      <c r="R187" t="s">
        <v>21</v>
      </c>
      <c r="S187" s="3">
        <v>2336.5100000000002</v>
      </c>
      <c r="T187" t="s">
        <v>11</v>
      </c>
      <c r="U187" s="3">
        <v>200901.77</v>
      </c>
      <c r="V187" t="s">
        <v>48</v>
      </c>
      <c r="W187" t="s">
        <v>12</v>
      </c>
      <c r="X187" t="s">
        <v>7</v>
      </c>
      <c r="Y187" t="s">
        <v>45</v>
      </c>
      <c r="Z187" t="s">
        <v>13</v>
      </c>
      <c r="AA187" t="s">
        <v>222</v>
      </c>
      <c r="AB187" t="s">
        <v>7</v>
      </c>
      <c r="AC187" t="s">
        <v>7</v>
      </c>
      <c r="AD187" t="s">
        <v>7</v>
      </c>
      <c r="AE187" s="2">
        <v>45787</v>
      </c>
      <c r="AF187" s="2"/>
      <c r="AG187" t="s">
        <v>7</v>
      </c>
    </row>
    <row r="188" spans="1:33" outlineLevel="2">
      <c r="A188" t="s">
        <v>23</v>
      </c>
      <c r="B188" s="13">
        <v>6788</v>
      </c>
      <c r="C188" s="13">
        <v>100222362</v>
      </c>
      <c r="D188" t="s">
        <v>2</v>
      </c>
      <c r="E188" t="s">
        <v>3</v>
      </c>
      <c r="F188" t="s">
        <v>29</v>
      </c>
      <c r="G188" s="2">
        <v>45948</v>
      </c>
      <c r="H188" s="13">
        <v>1800000561</v>
      </c>
      <c r="I188" t="s">
        <v>47</v>
      </c>
      <c r="J188" s="2">
        <v>45948</v>
      </c>
      <c r="K188" s="2">
        <v>45951</v>
      </c>
      <c r="L188" t="s">
        <v>45</v>
      </c>
      <c r="M188" s="16">
        <v>256788410432</v>
      </c>
      <c r="N188" t="s">
        <v>8</v>
      </c>
      <c r="O188" t="s">
        <v>9</v>
      </c>
      <c r="P188" t="s">
        <v>7</v>
      </c>
      <c r="Q188" t="s">
        <v>40</v>
      </c>
      <c r="R188" t="s">
        <v>21</v>
      </c>
      <c r="S188" s="3">
        <v>393.41</v>
      </c>
      <c r="T188" t="s">
        <v>11</v>
      </c>
      <c r="U188" s="3">
        <v>34695.129999999997</v>
      </c>
      <c r="V188" t="s">
        <v>48</v>
      </c>
      <c r="W188" t="s">
        <v>12</v>
      </c>
      <c r="X188" t="s">
        <v>7</v>
      </c>
      <c r="Y188" t="s">
        <v>223</v>
      </c>
      <c r="Z188" t="s">
        <v>13</v>
      </c>
      <c r="AA188" t="s">
        <v>224</v>
      </c>
      <c r="AB188" t="s">
        <v>7</v>
      </c>
      <c r="AC188" t="s">
        <v>7</v>
      </c>
      <c r="AD188" t="s">
        <v>7</v>
      </c>
      <c r="AE188" s="2">
        <v>45948</v>
      </c>
      <c r="AF188" s="2"/>
      <c r="AG188" t="s">
        <v>7</v>
      </c>
    </row>
    <row r="189" spans="1:33" outlineLevel="2">
      <c r="A189" t="s">
        <v>23</v>
      </c>
      <c r="B189" s="13">
        <v>6788</v>
      </c>
      <c r="C189" s="13">
        <v>100222362</v>
      </c>
      <c r="D189" t="s">
        <v>2</v>
      </c>
      <c r="E189" t="s">
        <v>3</v>
      </c>
      <c r="F189" t="s">
        <v>29</v>
      </c>
      <c r="G189" s="2">
        <v>45948</v>
      </c>
      <c r="H189" s="13">
        <v>1800000562</v>
      </c>
      <c r="I189" t="s">
        <v>47</v>
      </c>
      <c r="J189" s="2">
        <v>45948</v>
      </c>
      <c r="K189" s="2">
        <v>45951</v>
      </c>
      <c r="L189" t="s">
        <v>45</v>
      </c>
      <c r="M189" s="16">
        <v>256788410433</v>
      </c>
      <c r="N189" t="s">
        <v>8</v>
      </c>
      <c r="O189" t="s">
        <v>9</v>
      </c>
      <c r="P189" t="s">
        <v>7</v>
      </c>
      <c r="Q189" t="s">
        <v>40</v>
      </c>
      <c r="R189" t="s">
        <v>21</v>
      </c>
      <c r="S189" s="3">
        <v>20.39</v>
      </c>
      <c r="T189" t="s">
        <v>11</v>
      </c>
      <c r="U189" s="3">
        <v>1798.21</v>
      </c>
      <c r="V189" t="s">
        <v>48</v>
      </c>
      <c r="W189" t="s">
        <v>12</v>
      </c>
      <c r="X189" t="s">
        <v>7</v>
      </c>
      <c r="Y189" t="s">
        <v>223</v>
      </c>
      <c r="Z189" t="s">
        <v>13</v>
      </c>
      <c r="AA189" t="s">
        <v>225</v>
      </c>
      <c r="AB189" t="s">
        <v>7</v>
      </c>
      <c r="AC189" t="s">
        <v>7</v>
      </c>
      <c r="AD189" t="s">
        <v>7</v>
      </c>
      <c r="AE189" s="2">
        <v>45948</v>
      </c>
      <c r="AF189" s="2"/>
      <c r="AG189" t="s">
        <v>7</v>
      </c>
    </row>
    <row r="190" spans="1:33" outlineLevel="2">
      <c r="A190" t="s">
        <v>23</v>
      </c>
      <c r="B190" s="13">
        <v>6779</v>
      </c>
      <c r="C190" s="13">
        <v>100222362</v>
      </c>
      <c r="D190" t="s">
        <v>2</v>
      </c>
      <c r="E190" t="s">
        <v>3</v>
      </c>
      <c r="F190" t="s">
        <v>61</v>
      </c>
      <c r="G190" s="2">
        <v>45815</v>
      </c>
      <c r="H190" s="13">
        <v>1800009486</v>
      </c>
      <c r="I190" t="s">
        <v>47</v>
      </c>
      <c r="J190" s="2">
        <v>45815</v>
      </c>
      <c r="K190" s="2">
        <v>45817</v>
      </c>
      <c r="L190" t="s">
        <v>45</v>
      </c>
      <c r="M190" s="16">
        <v>256779414250</v>
      </c>
      <c r="N190" t="s">
        <v>8</v>
      </c>
      <c r="O190" t="s">
        <v>9</v>
      </c>
      <c r="P190" t="s">
        <v>7</v>
      </c>
      <c r="Q190" t="s">
        <v>40</v>
      </c>
      <c r="R190" t="s">
        <v>21</v>
      </c>
      <c r="S190" s="3">
        <v>10597.07</v>
      </c>
      <c r="T190" t="s">
        <v>11</v>
      </c>
      <c r="U190" s="3">
        <v>905951.78</v>
      </c>
      <c r="V190" t="s">
        <v>48</v>
      </c>
      <c r="W190" t="s">
        <v>76</v>
      </c>
      <c r="X190" t="s">
        <v>7</v>
      </c>
      <c r="Y190" t="s">
        <v>45</v>
      </c>
      <c r="Z190" t="s">
        <v>13</v>
      </c>
      <c r="AA190" t="s">
        <v>226</v>
      </c>
      <c r="AB190" t="s">
        <v>7</v>
      </c>
      <c r="AC190" t="s">
        <v>7</v>
      </c>
      <c r="AD190" t="s">
        <v>7</v>
      </c>
      <c r="AE190" s="2">
        <v>45815</v>
      </c>
      <c r="AF190" s="2"/>
      <c r="AG190" t="s">
        <v>7</v>
      </c>
    </row>
    <row r="191" spans="1:33" outlineLevel="2">
      <c r="A191" t="s">
        <v>23</v>
      </c>
      <c r="B191" s="13">
        <v>6788</v>
      </c>
      <c r="C191" s="13">
        <v>100222362</v>
      </c>
      <c r="D191" t="s">
        <v>2</v>
      </c>
      <c r="E191" t="s">
        <v>3</v>
      </c>
      <c r="F191" t="s">
        <v>29</v>
      </c>
      <c r="G191" s="2">
        <v>45936</v>
      </c>
      <c r="H191" s="13">
        <v>1800000552</v>
      </c>
      <c r="I191" t="s">
        <v>47</v>
      </c>
      <c r="J191" s="2">
        <v>45936</v>
      </c>
      <c r="K191" s="2">
        <v>45937</v>
      </c>
      <c r="L191" t="s">
        <v>45</v>
      </c>
      <c r="M191" s="16">
        <v>256788410427</v>
      </c>
      <c r="N191" t="s">
        <v>8</v>
      </c>
      <c r="O191" t="s">
        <v>9</v>
      </c>
      <c r="P191" t="s">
        <v>7</v>
      </c>
      <c r="Q191" t="s">
        <v>40</v>
      </c>
      <c r="R191" t="s">
        <v>21</v>
      </c>
      <c r="S191" s="3">
        <v>11372.78</v>
      </c>
      <c r="T191" t="s">
        <v>11</v>
      </c>
      <c r="U191" s="3">
        <v>1002974.23</v>
      </c>
      <c r="V191" t="s">
        <v>48</v>
      </c>
      <c r="W191" t="s">
        <v>12</v>
      </c>
      <c r="X191" t="s">
        <v>7</v>
      </c>
      <c r="Y191" t="s">
        <v>227</v>
      </c>
      <c r="Z191" t="s">
        <v>13</v>
      </c>
      <c r="AA191" t="s">
        <v>228</v>
      </c>
      <c r="AB191" t="s">
        <v>7</v>
      </c>
      <c r="AC191" t="s">
        <v>7</v>
      </c>
      <c r="AD191" t="s">
        <v>7</v>
      </c>
      <c r="AE191" s="2">
        <v>45936</v>
      </c>
      <c r="AF191" s="2"/>
      <c r="AG191" t="s">
        <v>7</v>
      </c>
    </row>
    <row r="192" spans="1:33" outlineLevel="2">
      <c r="A192" t="s">
        <v>23</v>
      </c>
      <c r="B192" s="13">
        <v>6788</v>
      </c>
      <c r="C192" s="13">
        <v>100222362</v>
      </c>
      <c r="D192" t="s">
        <v>2</v>
      </c>
      <c r="E192" t="s">
        <v>3</v>
      </c>
      <c r="F192" t="s">
        <v>29</v>
      </c>
      <c r="G192" s="2">
        <v>45935</v>
      </c>
      <c r="H192" s="13">
        <v>1800000536</v>
      </c>
      <c r="I192" t="s">
        <v>47</v>
      </c>
      <c r="J192" s="2">
        <v>45935</v>
      </c>
      <c r="K192" s="2">
        <v>45937</v>
      </c>
      <c r="L192" t="s">
        <v>45</v>
      </c>
      <c r="M192" s="16">
        <v>256788410409</v>
      </c>
      <c r="N192" t="s">
        <v>8</v>
      </c>
      <c r="O192" t="s">
        <v>9</v>
      </c>
      <c r="P192" t="s">
        <v>7</v>
      </c>
      <c r="Q192" t="s">
        <v>40</v>
      </c>
      <c r="R192" t="s">
        <v>21</v>
      </c>
      <c r="S192" s="3">
        <v>1211.9000000000001</v>
      </c>
      <c r="T192" t="s">
        <v>11</v>
      </c>
      <c r="U192" s="3">
        <v>106878.39</v>
      </c>
      <c r="V192" t="s">
        <v>48</v>
      </c>
      <c r="W192" t="s">
        <v>12</v>
      </c>
      <c r="X192" t="s">
        <v>7</v>
      </c>
      <c r="Y192" t="s">
        <v>229</v>
      </c>
      <c r="Z192" t="s">
        <v>13</v>
      </c>
      <c r="AA192" t="s">
        <v>230</v>
      </c>
      <c r="AB192" t="s">
        <v>7</v>
      </c>
      <c r="AC192" t="s">
        <v>7</v>
      </c>
      <c r="AD192" t="s">
        <v>7</v>
      </c>
      <c r="AE192" s="2">
        <v>45935</v>
      </c>
      <c r="AF192" s="2"/>
      <c r="AG192" t="s">
        <v>7</v>
      </c>
    </row>
    <row r="193" spans="1:33" outlineLevel="2">
      <c r="A193" t="s">
        <v>23</v>
      </c>
      <c r="B193" s="13">
        <v>6788</v>
      </c>
      <c r="C193" s="13">
        <v>100222362</v>
      </c>
      <c r="D193" t="s">
        <v>2</v>
      </c>
      <c r="E193" t="s">
        <v>3</v>
      </c>
      <c r="F193" t="s">
        <v>29</v>
      </c>
      <c r="G193" s="2">
        <v>45935</v>
      </c>
      <c r="H193" s="13">
        <v>1800000537</v>
      </c>
      <c r="I193" t="s">
        <v>47</v>
      </c>
      <c r="J193" s="2">
        <v>45935</v>
      </c>
      <c r="K193" s="2">
        <v>45937</v>
      </c>
      <c r="L193" t="s">
        <v>45</v>
      </c>
      <c r="M193" s="16">
        <v>256788410410</v>
      </c>
      <c r="N193" t="s">
        <v>8</v>
      </c>
      <c r="O193" t="s">
        <v>9</v>
      </c>
      <c r="P193" t="s">
        <v>7</v>
      </c>
      <c r="Q193" t="s">
        <v>40</v>
      </c>
      <c r="R193" t="s">
        <v>21</v>
      </c>
      <c r="S193" s="3">
        <v>40</v>
      </c>
      <c r="T193" t="s">
        <v>11</v>
      </c>
      <c r="U193" s="3">
        <v>3527.63</v>
      </c>
      <c r="V193" t="s">
        <v>48</v>
      </c>
      <c r="W193" t="s">
        <v>12</v>
      </c>
      <c r="X193" t="s">
        <v>7</v>
      </c>
      <c r="Y193" t="s">
        <v>229</v>
      </c>
      <c r="Z193" t="s">
        <v>13</v>
      </c>
      <c r="AA193" t="s">
        <v>231</v>
      </c>
      <c r="AB193" t="s">
        <v>7</v>
      </c>
      <c r="AC193" t="s">
        <v>7</v>
      </c>
      <c r="AD193" t="s">
        <v>7</v>
      </c>
      <c r="AE193" s="2">
        <v>45935</v>
      </c>
      <c r="AF193" s="2"/>
      <c r="AG193" t="s">
        <v>7</v>
      </c>
    </row>
    <row r="194" spans="1:33" outlineLevel="2">
      <c r="A194" t="s">
        <v>23</v>
      </c>
      <c r="B194" s="13">
        <v>6788</v>
      </c>
      <c r="C194" s="13">
        <v>100222362</v>
      </c>
      <c r="D194" t="s">
        <v>2</v>
      </c>
      <c r="E194" t="s">
        <v>3</v>
      </c>
      <c r="F194" t="s">
        <v>29</v>
      </c>
      <c r="G194" s="2">
        <v>45935</v>
      </c>
      <c r="H194" s="13">
        <v>1800000538</v>
      </c>
      <c r="I194" t="s">
        <v>47</v>
      </c>
      <c r="J194" s="2">
        <v>45935</v>
      </c>
      <c r="K194" s="2">
        <v>45937</v>
      </c>
      <c r="L194" t="s">
        <v>45</v>
      </c>
      <c r="M194" s="16">
        <v>256788410411</v>
      </c>
      <c r="N194" t="s">
        <v>8</v>
      </c>
      <c r="O194" t="s">
        <v>9</v>
      </c>
      <c r="P194" t="s">
        <v>7</v>
      </c>
      <c r="Q194" t="s">
        <v>40</v>
      </c>
      <c r="R194" t="s">
        <v>21</v>
      </c>
      <c r="S194" s="3">
        <v>11.26</v>
      </c>
      <c r="T194" t="s">
        <v>11</v>
      </c>
      <c r="U194" s="3">
        <v>993.03</v>
      </c>
      <c r="V194" t="s">
        <v>48</v>
      </c>
      <c r="W194" t="s">
        <v>12</v>
      </c>
      <c r="X194" t="s">
        <v>7</v>
      </c>
      <c r="Y194" t="s">
        <v>229</v>
      </c>
      <c r="Z194" t="s">
        <v>13</v>
      </c>
      <c r="AA194" t="s">
        <v>232</v>
      </c>
      <c r="AB194" t="s">
        <v>7</v>
      </c>
      <c r="AC194" t="s">
        <v>7</v>
      </c>
      <c r="AD194" t="s">
        <v>7</v>
      </c>
      <c r="AE194" s="2">
        <v>45935</v>
      </c>
      <c r="AF194" s="2"/>
      <c r="AG194" t="s">
        <v>7</v>
      </c>
    </row>
    <row r="195" spans="1:33" outlineLevel="2">
      <c r="A195" t="s">
        <v>23</v>
      </c>
      <c r="B195" s="13">
        <v>6788</v>
      </c>
      <c r="C195" s="13">
        <v>100222362</v>
      </c>
      <c r="D195" t="s">
        <v>2</v>
      </c>
      <c r="E195" t="s">
        <v>3</v>
      </c>
      <c r="F195" t="s">
        <v>29</v>
      </c>
      <c r="G195" s="2">
        <v>45935</v>
      </c>
      <c r="H195" s="13">
        <v>1800000534</v>
      </c>
      <c r="I195" t="s">
        <v>47</v>
      </c>
      <c r="J195" s="2">
        <v>45935</v>
      </c>
      <c r="K195" s="2">
        <v>45937</v>
      </c>
      <c r="L195" t="s">
        <v>45</v>
      </c>
      <c r="M195" s="16">
        <v>256788410413</v>
      </c>
      <c r="N195" t="s">
        <v>8</v>
      </c>
      <c r="O195" t="s">
        <v>9</v>
      </c>
      <c r="P195" t="s">
        <v>7</v>
      </c>
      <c r="Q195" t="s">
        <v>40</v>
      </c>
      <c r="R195" t="s">
        <v>21</v>
      </c>
      <c r="S195" s="3">
        <v>8</v>
      </c>
      <c r="T195" t="s">
        <v>11</v>
      </c>
      <c r="U195" s="3">
        <v>705.53</v>
      </c>
      <c r="V195" t="s">
        <v>48</v>
      </c>
      <c r="W195" t="s">
        <v>12</v>
      </c>
      <c r="X195" t="s">
        <v>7</v>
      </c>
      <c r="Y195" t="s">
        <v>233</v>
      </c>
      <c r="Z195" t="s">
        <v>13</v>
      </c>
      <c r="AA195" t="s">
        <v>234</v>
      </c>
      <c r="AB195" t="s">
        <v>7</v>
      </c>
      <c r="AC195" t="s">
        <v>7</v>
      </c>
      <c r="AD195" t="s">
        <v>7</v>
      </c>
      <c r="AE195" s="2">
        <v>45935</v>
      </c>
      <c r="AF195" s="2"/>
      <c r="AG195" t="s">
        <v>7</v>
      </c>
    </row>
    <row r="196" spans="1:33" outlineLevel="2">
      <c r="A196" t="s">
        <v>23</v>
      </c>
      <c r="B196" s="13">
        <v>6788</v>
      </c>
      <c r="C196" s="13">
        <v>100222362</v>
      </c>
      <c r="D196" t="s">
        <v>2</v>
      </c>
      <c r="E196" t="s">
        <v>3</v>
      </c>
      <c r="F196" t="s">
        <v>29</v>
      </c>
      <c r="G196" s="2">
        <v>45935</v>
      </c>
      <c r="H196" s="13">
        <v>1800000539</v>
      </c>
      <c r="I196" t="s">
        <v>47</v>
      </c>
      <c r="J196" s="2">
        <v>45935</v>
      </c>
      <c r="K196" s="2">
        <v>45937</v>
      </c>
      <c r="L196" t="s">
        <v>45</v>
      </c>
      <c r="M196" s="16">
        <v>256788410414</v>
      </c>
      <c r="N196" t="s">
        <v>8</v>
      </c>
      <c r="O196" t="s">
        <v>9</v>
      </c>
      <c r="P196" t="s">
        <v>7</v>
      </c>
      <c r="Q196" t="s">
        <v>40</v>
      </c>
      <c r="R196" t="s">
        <v>21</v>
      </c>
      <c r="S196" s="3">
        <v>1119.04</v>
      </c>
      <c r="T196" t="s">
        <v>11</v>
      </c>
      <c r="U196" s="3">
        <v>98689</v>
      </c>
      <c r="V196" t="s">
        <v>48</v>
      </c>
      <c r="W196" t="s">
        <v>12</v>
      </c>
      <c r="X196" t="s">
        <v>7</v>
      </c>
      <c r="Y196" t="s">
        <v>235</v>
      </c>
      <c r="Z196" t="s">
        <v>13</v>
      </c>
      <c r="AA196" t="s">
        <v>236</v>
      </c>
      <c r="AB196" t="s">
        <v>7</v>
      </c>
      <c r="AC196" t="s">
        <v>7</v>
      </c>
      <c r="AD196" t="s">
        <v>7</v>
      </c>
      <c r="AE196" s="2">
        <v>45935</v>
      </c>
      <c r="AF196" s="2"/>
      <c r="AG196" t="s">
        <v>7</v>
      </c>
    </row>
    <row r="197" spans="1:33" outlineLevel="2">
      <c r="A197" t="s">
        <v>23</v>
      </c>
      <c r="B197" s="13">
        <v>6788</v>
      </c>
      <c r="C197" s="13">
        <v>100222362</v>
      </c>
      <c r="D197" t="s">
        <v>2</v>
      </c>
      <c r="E197" t="s">
        <v>3</v>
      </c>
      <c r="F197" t="s">
        <v>29</v>
      </c>
      <c r="G197" s="2">
        <v>45935</v>
      </c>
      <c r="H197" s="13">
        <v>1800000540</v>
      </c>
      <c r="I197" t="s">
        <v>47</v>
      </c>
      <c r="J197" s="2">
        <v>45935</v>
      </c>
      <c r="K197" s="2">
        <v>45937</v>
      </c>
      <c r="L197" t="s">
        <v>45</v>
      </c>
      <c r="M197" s="16">
        <v>256788410415</v>
      </c>
      <c r="N197" t="s">
        <v>8</v>
      </c>
      <c r="O197" t="s">
        <v>9</v>
      </c>
      <c r="P197" t="s">
        <v>7</v>
      </c>
      <c r="Q197" t="s">
        <v>40</v>
      </c>
      <c r="R197" t="s">
        <v>21</v>
      </c>
      <c r="S197" s="3">
        <v>47.84</v>
      </c>
      <c r="T197" t="s">
        <v>11</v>
      </c>
      <c r="U197" s="3">
        <v>4219.05</v>
      </c>
      <c r="V197" t="s">
        <v>48</v>
      </c>
      <c r="W197" t="s">
        <v>12</v>
      </c>
      <c r="X197" t="s">
        <v>7</v>
      </c>
      <c r="Y197" t="s">
        <v>237</v>
      </c>
      <c r="Z197" t="s">
        <v>13</v>
      </c>
      <c r="AA197" t="s">
        <v>238</v>
      </c>
      <c r="AB197" t="s">
        <v>7</v>
      </c>
      <c r="AC197" t="s">
        <v>7</v>
      </c>
      <c r="AD197" t="s">
        <v>7</v>
      </c>
      <c r="AE197" s="2">
        <v>45935</v>
      </c>
      <c r="AF197" s="2"/>
      <c r="AG197" t="s">
        <v>7</v>
      </c>
    </row>
    <row r="198" spans="1:33" outlineLevel="2">
      <c r="A198" t="s">
        <v>23</v>
      </c>
      <c r="B198" s="13">
        <v>6788</v>
      </c>
      <c r="C198" s="13">
        <v>100222362</v>
      </c>
      <c r="D198" t="s">
        <v>2</v>
      </c>
      <c r="E198" t="s">
        <v>3</v>
      </c>
      <c r="F198" t="s">
        <v>29</v>
      </c>
      <c r="G198" s="2">
        <v>45935</v>
      </c>
      <c r="H198" s="13">
        <v>1800000545</v>
      </c>
      <c r="I198" t="s">
        <v>47</v>
      </c>
      <c r="J198" s="2">
        <v>45935</v>
      </c>
      <c r="K198" s="2">
        <v>45937</v>
      </c>
      <c r="L198" t="s">
        <v>45</v>
      </c>
      <c r="M198" s="16">
        <v>256788410420</v>
      </c>
      <c r="N198" t="s">
        <v>8</v>
      </c>
      <c r="O198" t="s">
        <v>9</v>
      </c>
      <c r="P198" t="s">
        <v>7</v>
      </c>
      <c r="Q198" t="s">
        <v>40</v>
      </c>
      <c r="R198" t="s">
        <v>21</v>
      </c>
      <c r="S198" s="3">
        <v>75</v>
      </c>
      <c r="T198" t="s">
        <v>11</v>
      </c>
      <c r="U198" s="3">
        <v>6614.31</v>
      </c>
      <c r="V198" t="s">
        <v>48</v>
      </c>
      <c r="W198" t="s">
        <v>12</v>
      </c>
      <c r="X198" t="s">
        <v>7</v>
      </c>
      <c r="Y198" t="s">
        <v>239</v>
      </c>
      <c r="Z198" t="s">
        <v>13</v>
      </c>
      <c r="AA198" t="s">
        <v>240</v>
      </c>
      <c r="AB198" t="s">
        <v>7</v>
      </c>
      <c r="AC198" t="s">
        <v>7</v>
      </c>
      <c r="AD198" t="s">
        <v>7</v>
      </c>
      <c r="AE198" s="2">
        <v>45935</v>
      </c>
      <c r="AF198" s="2"/>
      <c r="AG198" t="s">
        <v>7</v>
      </c>
    </row>
    <row r="199" spans="1:33" outlineLevel="2">
      <c r="A199" t="s">
        <v>23</v>
      </c>
      <c r="B199" s="13">
        <v>6788</v>
      </c>
      <c r="C199" s="13">
        <v>100222362</v>
      </c>
      <c r="D199" t="s">
        <v>2</v>
      </c>
      <c r="E199" t="s">
        <v>3</v>
      </c>
      <c r="F199" t="s">
        <v>29</v>
      </c>
      <c r="G199" s="2">
        <v>45935</v>
      </c>
      <c r="H199" s="13">
        <v>1800000556</v>
      </c>
      <c r="I199" t="s">
        <v>47</v>
      </c>
      <c r="J199" s="2">
        <v>45935</v>
      </c>
      <c r="K199" s="2">
        <v>45940</v>
      </c>
      <c r="L199" t="s">
        <v>45</v>
      </c>
      <c r="M199" s="16">
        <v>256788410431</v>
      </c>
      <c r="N199" t="s">
        <v>8</v>
      </c>
      <c r="O199" t="s">
        <v>9</v>
      </c>
      <c r="P199" t="s">
        <v>7</v>
      </c>
      <c r="Q199" t="s">
        <v>40</v>
      </c>
      <c r="R199" t="s">
        <v>21</v>
      </c>
      <c r="S199" s="3">
        <v>250.08</v>
      </c>
      <c r="T199" t="s">
        <v>11</v>
      </c>
      <c r="U199" s="3">
        <v>22054.75</v>
      </c>
      <c r="V199" t="s">
        <v>48</v>
      </c>
      <c r="W199" t="s">
        <v>12</v>
      </c>
      <c r="X199" t="s">
        <v>7</v>
      </c>
      <c r="Y199" t="s">
        <v>241</v>
      </c>
      <c r="Z199" t="s">
        <v>13</v>
      </c>
      <c r="AA199" t="s">
        <v>242</v>
      </c>
      <c r="AB199" t="s">
        <v>7</v>
      </c>
      <c r="AC199" t="s">
        <v>7</v>
      </c>
      <c r="AD199" t="s">
        <v>7</v>
      </c>
      <c r="AE199" s="2">
        <v>45935</v>
      </c>
      <c r="AF199" s="2"/>
      <c r="AG199" t="s">
        <v>7</v>
      </c>
    </row>
    <row r="200" spans="1:33" outlineLevel="2">
      <c r="A200" t="s">
        <v>0</v>
      </c>
      <c r="B200" s="13">
        <v>6788</v>
      </c>
      <c r="C200" s="13">
        <v>100222362</v>
      </c>
      <c r="D200" t="s">
        <v>2</v>
      </c>
      <c r="E200" t="s">
        <v>3</v>
      </c>
      <c r="F200" t="s">
        <v>29</v>
      </c>
      <c r="G200" s="2">
        <v>45935</v>
      </c>
      <c r="H200" s="13">
        <v>1800000542</v>
      </c>
      <c r="I200" t="s">
        <v>47</v>
      </c>
      <c r="J200" s="2">
        <v>45935</v>
      </c>
      <c r="K200" s="2">
        <v>45937</v>
      </c>
      <c r="L200" t="s">
        <v>45</v>
      </c>
      <c r="M200" s="16">
        <v>256788410417</v>
      </c>
      <c r="N200" t="s">
        <v>8</v>
      </c>
      <c r="O200" t="s">
        <v>9</v>
      </c>
      <c r="P200" t="s">
        <v>7</v>
      </c>
      <c r="Q200" t="s">
        <v>40</v>
      </c>
      <c r="R200" t="s">
        <v>21</v>
      </c>
      <c r="S200" s="3">
        <v>1211.9000000000001</v>
      </c>
      <c r="T200" t="s">
        <v>11</v>
      </c>
      <c r="U200" s="3">
        <v>106878.39</v>
      </c>
      <c r="V200" t="s">
        <v>48</v>
      </c>
      <c r="W200" t="s">
        <v>12</v>
      </c>
      <c r="X200" t="s">
        <v>7</v>
      </c>
      <c r="Y200" t="s">
        <v>243</v>
      </c>
      <c r="Z200" t="s">
        <v>13</v>
      </c>
      <c r="AA200" t="s">
        <v>230</v>
      </c>
      <c r="AB200" t="s">
        <v>7</v>
      </c>
      <c r="AC200" t="s">
        <v>7</v>
      </c>
      <c r="AD200" t="s">
        <v>7</v>
      </c>
      <c r="AE200" s="2">
        <v>45935</v>
      </c>
      <c r="AF200" s="2">
        <v>45976</v>
      </c>
      <c r="AG200" t="s">
        <v>44</v>
      </c>
    </row>
    <row r="201" spans="1:33" outlineLevel="2">
      <c r="A201" t="s">
        <v>0</v>
      </c>
      <c r="B201" s="13">
        <v>6788</v>
      </c>
      <c r="C201" s="13">
        <v>100222362</v>
      </c>
      <c r="D201" t="s">
        <v>2</v>
      </c>
      <c r="E201" t="s">
        <v>3</v>
      </c>
      <c r="F201" t="s">
        <v>29</v>
      </c>
      <c r="G201" s="2">
        <v>45935</v>
      </c>
      <c r="H201" s="13">
        <v>1800000543</v>
      </c>
      <c r="I201" t="s">
        <v>47</v>
      </c>
      <c r="J201" s="2">
        <v>45935</v>
      </c>
      <c r="K201" s="2">
        <v>45937</v>
      </c>
      <c r="L201" t="s">
        <v>45</v>
      </c>
      <c r="M201" s="16">
        <v>256788410418</v>
      </c>
      <c r="N201" t="s">
        <v>8</v>
      </c>
      <c r="O201" t="s">
        <v>9</v>
      </c>
      <c r="P201" t="s">
        <v>7</v>
      </c>
      <c r="Q201" t="s">
        <v>40</v>
      </c>
      <c r="R201" t="s">
        <v>21</v>
      </c>
      <c r="S201" s="3">
        <v>40</v>
      </c>
      <c r="T201" t="s">
        <v>11</v>
      </c>
      <c r="U201" s="3">
        <v>3527.63</v>
      </c>
      <c r="V201" t="s">
        <v>48</v>
      </c>
      <c r="W201" t="s">
        <v>12</v>
      </c>
      <c r="X201" t="s">
        <v>7</v>
      </c>
      <c r="Y201" t="s">
        <v>243</v>
      </c>
      <c r="Z201" t="s">
        <v>13</v>
      </c>
      <c r="AA201" t="s">
        <v>231</v>
      </c>
      <c r="AB201" t="s">
        <v>7</v>
      </c>
      <c r="AC201" t="s">
        <v>7</v>
      </c>
      <c r="AD201" t="s">
        <v>7</v>
      </c>
      <c r="AE201" s="2">
        <v>45935</v>
      </c>
      <c r="AF201" s="2">
        <v>45976</v>
      </c>
      <c r="AG201" t="s">
        <v>44</v>
      </c>
    </row>
    <row r="202" spans="1:33" outlineLevel="2">
      <c r="A202" t="s">
        <v>0</v>
      </c>
      <c r="B202" s="13">
        <v>6788</v>
      </c>
      <c r="C202" s="13">
        <v>100222362</v>
      </c>
      <c r="D202" t="s">
        <v>2</v>
      </c>
      <c r="E202" t="s">
        <v>3</v>
      </c>
      <c r="F202" t="s">
        <v>29</v>
      </c>
      <c r="G202" s="2">
        <v>45935</v>
      </c>
      <c r="H202" s="13">
        <v>1800000544</v>
      </c>
      <c r="I202" t="s">
        <v>47</v>
      </c>
      <c r="J202" s="2">
        <v>45935</v>
      </c>
      <c r="K202" s="2">
        <v>45937</v>
      </c>
      <c r="L202" t="s">
        <v>45</v>
      </c>
      <c r="M202" s="16">
        <v>256788410419</v>
      </c>
      <c r="N202" t="s">
        <v>8</v>
      </c>
      <c r="O202" t="s">
        <v>9</v>
      </c>
      <c r="P202" t="s">
        <v>7</v>
      </c>
      <c r="Q202" t="s">
        <v>40</v>
      </c>
      <c r="R202" t="s">
        <v>21</v>
      </c>
      <c r="S202" s="3">
        <v>11.26</v>
      </c>
      <c r="T202" t="s">
        <v>11</v>
      </c>
      <c r="U202" s="3">
        <v>993.03</v>
      </c>
      <c r="V202" t="s">
        <v>48</v>
      </c>
      <c r="W202" t="s">
        <v>12</v>
      </c>
      <c r="X202" t="s">
        <v>7</v>
      </c>
      <c r="Y202" t="s">
        <v>243</v>
      </c>
      <c r="Z202" t="s">
        <v>13</v>
      </c>
      <c r="AA202" t="s">
        <v>232</v>
      </c>
      <c r="AB202" t="s">
        <v>7</v>
      </c>
      <c r="AC202" t="s">
        <v>7</v>
      </c>
      <c r="AD202" t="s">
        <v>7</v>
      </c>
      <c r="AE202" s="2">
        <v>45935</v>
      </c>
      <c r="AF202" s="2">
        <v>45976</v>
      </c>
      <c r="AG202" t="s">
        <v>44</v>
      </c>
    </row>
    <row r="203" spans="1:33" outlineLevel="2">
      <c r="A203" t="s">
        <v>23</v>
      </c>
      <c r="B203" s="13">
        <v>6788</v>
      </c>
      <c r="C203" s="13">
        <v>100222362</v>
      </c>
      <c r="D203" t="s">
        <v>2</v>
      </c>
      <c r="E203" t="s">
        <v>3</v>
      </c>
      <c r="F203" t="s">
        <v>50</v>
      </c>
      <c r="G203" s="2">
        <v>45906</v>
      </c>
      <c r="H203" s="13">
        <v>1800000478</v>
      </c>
      <c r="I203" t="s">
        <v>47</v>
      </c>
      <c r="J203" s="2">
        <v>45906</v>
      </c>
      <c r="K203" s="2">
        <v>45909</v>
      </c>
      <c r="L203" t="s">
        <v>45</v>
      </c>
      <c r="M203" s="16">
        <v>256788410357</v>
      </c>
      <c r="N203" t="s">
        <v>8</v>
      </c>
      <c r="O203" t="s">
        <v>9</v>
      </c>
      <c r="P203" t="s">
        <v>7</v>
      </c>
      <c r="Q203" t="s">
        <v>40</v>
      </c>
      <c r="R203" t="s">
        <v>21</v>
      </c>
      <c r="S203" s="3">
        <v>11371.82</v>
      </c>
      <c r="T203" t="s">
        <v>11</v>
      </c>
      <c r="U203" s="3">
        <v>995197.21</v>
      </c>
      <c r="V203" t="s">
        <v>48</v>
      </c>
      <c r="W203" t="s">
        <v>12</v>
      </c>
      <c r="X203" t="s">
        <v>7</v>
      </c>
      <c r="Y203" t="s">
        <v>45</v>
      </c>
      <c r="Z203" t="s">
        <v>13</v>
      </c>
      <c r="AA203" t="s">
        <v>244</v>
      </c>
      <c r="AB203" t="s">
        <v>7</v>
      </c>
      <c r="AC203" t="s">
        <v>7</v>
      </c>
      <c r="AD203" t="s">
        <v>7</v>
      </c>
      <c r="AE203" s="2">
        <v>45906</v>
      </c>
      <c r="AF203" s="2"/>
      <c r="AG203" t="s">
        <v>7</v>
      </c>
    </row>
    <row r="204" spans="1:33" outlineLevel="2">
      <c r="A204" t="s">
        <v>23</v>
      </c>
      <c r="B204" s="13">
        <v>6788</v>
      </c>
      <c r="C204" s="13">
        <v>100222362</v>
      </c>
      <c r="D204" t="s">
        <v>2</v>
      </c>
      <c r="E204" t="s">
        <v>245</v>
      </c>
      <c r="F204" t="s">
        <v>13</v>
      </c>
      <c r="G204" s="2">
        <v>46027</v>
      </c>
      <c r="H204" s="13">
        <v>1800000621</v>
      </c>
      <c r="I204" t="s">
        <v>47</v>
      </c>
      <c r="J204" s="2">
        <v>46027</v>
      </c>
      <c r="K204" s="2">
        <v>46027</v>
      </c>
      <c r="L204" t="s">
        <v>45</v>
      </c>
      <c r="M204" s="16">
        <v>256788410483</v>
      </c>
      <c r="N204" t="s">
        <v>8</v>
      </c>
      <c r="O204" t="s">
        <v>9</v>
      </c>
      <c r="P204" t="s">
        <v>7</v>
      </c>
      <c r="Q204" t="s">
        <v>40</v>
      </c>
      <c r="R204" t="s">
        <v>21</v>
      </c>
      <c r="S204" s="3">
        <v>63.04</v>
      </c>
      <c r="T204" t="s">
        <v>11</v>
      </c>
      <c r="U204" s="3">
        <v>5720.45</v>
      </c>
      <c r="V204" t="s">
        <v>48</v>
      </c>
      <c r="W204" t="s">
        <v>12</v>
      </c>
      <c r="X204" t="s">
        <v>7</v>
      </c>
      <c r="Y204" t="s">
        <v>246</v>
      </c>
      <c r="Z204" t="s">
        <v>13</v>
      </c>
      <c r="AA204" t="s">
        <v>247</v>
      </c>
      <c r="AB204" t="s">
        <v>7</v>
      </c>
      <c r="AC204" t="s">
        <v>7</v>
      </c>
      <c r="AD204" t="s">
        <v>7</v>
      </c>
      <c r="AE204" s="2">
        <v>46027</v>
      </c>
      <c r="AF204" s="2"/>
      <c r="AG204" t="s">
        <v>7</v>
      </c>
    </row>
    <row r="205" spans="1:33" outlineLevel="2">
      <c r="A205" t="s">
        <v>23</v>
      </c>
      <c r="B205" s="13">
        <v>6788</v>
      </c>
      <c r="C205" s="13">
        <v>100222362</v>
      </c>
      <c r="D205" t="s">
        <v>2</v>
      </c>
      <c r="E205" t="s">
        <v>245</v>
      </c>
      <c r="F205" t="s">
        <v>13</v>
      </c>
      <c r="G205" s="2">
        <v>46027</v>
      </c>
      <c r="H205" s="13">
        <v>1800000623</v>
      </c>
      <c r="I205" t="s">
        <v>47</v>
      </c>
      <c r="J205" s="2">
        <v>46027</v>
      </c>
      <c r="K205" s="2">
        <v>46027</v>
      </c>
      <c r="L205" t="s">
        <v>248</v>
      </c>
      <c r="M205" s="16">
        <v>256788410485</v>
      </c>
      <c r="N205" t="s">
        <v>8</v>
      </c>
      <c r="O205" t="s">
        <v>9</v>
      </c>
      <c r="P205" t="s">
        <v>7</v>
      </c>
      <c r="Q205" t="s">
        <v>40</v>
      </c>
      <c r="R205" t="s">
        <v>21</v>
      </c>
      <c r="S205" s="3">
        <v>348.86</v>
      </c>
      <c r="T205" t="s">
        <v>11</v>
      </c>
      <c r="U205" s="3">
        <v>31656.65</v>
      </c>
      <c r="V205" t="s">
        <v>48</v>
      </c>
      <c r="W205" t="s">
        <v>12</v>
      </c>
      <c r="X205" t="s">
        <v>7</v>
      </c>
      <c r="Y205" t="s">
        <v>45</v>
      </c>
      <c r="Z205" t="s">
        <v>13</v>
      </c>
      <c r="AA205" t="s">
        <v>247</v>
      </c>
      <c r="AB205" t="s">
        <v>7</v>
      </c>
      <c r="AC205" t="s">
        <v>7</v>
      </c>
      <c r="AD205" t="s">
        <v>7</v>
      </c>
      <c r="AE205" s="2">
        <v>46027</v>
      </c>
      <c r="AF205" s="2"/>
      <c r="AG205" t="s">
        <v>7</v>
      </c>
    </row>
    <row r="206" spans="1:33" outlineLevel="2">
      <c r="A206" t="s">
        <v>23</v>
      </c>
      <c r="B206" s="13">
        <v>6788</v>
      </c>
      <c r="C206" s="13">
        <v>100222362</v>
      </c>
      <c r="D206" t="s">
        <v>2</v>
      </c>
      <c r="E206" t="s">
        <v>245</v>
      </c>
      <c r="F206" t="s">
        <v>13</v>
      </c>
      <c r="G206" s="2">
        <v>46027</v>
      </c>
      <c r="H206" s="13">
        <v>1800000619</v>
      </c>
      <c r="I206" t="s">
        <v>47</v>
      </c>
      <c r="J206" s="2">
        <v>46027</v>
      </c>
      <c r="K206" s="2">
        <v>46027</v>
      </c>
      <c r="L206" t="s">
        <v>45</v>
      </c>
      <c r="M206" s="16">
        <v>256788410487</v>
      </c>
      <c r="N206" t="s">
        <v>8</v>
      </c>
      <c r="O206" t="s">
        <v>9</v>
      </c>
      <c r="P206" t="s">
        <v>7</v>
      </c>
      <c r="Q206" t="s">
        <v>40</v>
      </c>
      <c r="R206" t="s">
        <v>21</v>
      </c>
      <c r="S206" s="3">
        <v>52</v>
      </c>
      <c r="T206" t="s">
        <v>11</v>
      </c>
      <c r="U206" s="3">
        <v>4718.6400000000003</v>
      </c>
      <c r="V206" t="s">
        <v>48</v>
      </c>
      <c r="W206" t="s">
        <v>12</v>
      </c>
      <c r="X206" t="s">
        <v>7</v>
      </c>
      <c r="Y206" t="s">
        <v>249</v>
      </c>
      <c r="Z206" t="s">
        <v>13</v>
      </c>
      <c r="AA206" t="s">
        <v>250</v>
      </c>
      <c r="AB206" t="s">
        <v>7</v>
      </c>
      <c r="AC206" t="s">
        <v>7</v>
      </c>
      <c r="AD206" t="s">
        <v>7</v>
      </c>
      <c r="AE206" s="2">
        <v>46027</v>
      </c>
      <c r="AF206" s="2"/>
      <c r="AG206" t="s">
        <v>7</v>
      </c>
    </row>
    <row r="207" spans="1:33" outlineLevel="2">
      <c r="A207" t="s">
        <v>23</v>
      </c>
      <c r="B207" s="13">
        <v>6788</v>
      </c>
      <c r="C207" s="13">
        <v>100222362</v>
      </c>
      <c r="D207" t="s">
        <v>2</v>
      </c>
      <c r="E207" t="s">
        <v>245</v>
      </c>
      <c r="F207" t="s">
        <v>13</v>
      </c>
      <c r="G207" s="2">
        <v>46027</v>
      </c>
      <c r="H207" s="13">
        <v>1800000625</v>
      </c>
      <c r="I207" t="s">
        <v>47</v>
      </c>
      <c r="J207" s="2">
        <v>46027</v>
      </c>
      <c r="K207" s="2">
        <v>46027</v>
      </c>
      <c r="L207" t="s">
        <v>45</v>
      </c>
      <c r="M207" s="16">
        <v>256788410490</v>
      </c>
      <c r="N207" t="s">
        <v>8</v>
      </c>
      <c r="O207" t="s">
        <v>9</v>
      </c>
      <c r="P207" t="s">
        <v>7</v>
      </c>
      <c r="Q207" t="s">
        <v>40</v>
      </c>
      <c r="R207" t="s">
        <v>21</v>
      </c>
      <c r="S207" s="3">
        <v>94</v>
      </c>
      <c r="T207" t="s">
        <v>11</v>
      </c>
      <c r="U207" s="3">
        <v>8529.86</v>
      </c>
      <c r="V207" t="s">
        <v>48</v>
      </c>
      <c r="W207" t="s">
        <v>12</v>
      </c>
      <c r="X207" t="s">
        <v>7</v>
      </c>
      <c r="Y207" t="s">
        <v>251</v>
      </c>
      <c r="Z207" t="s">
        <v>13</v>
      </c>
      <c r="AA207" t="s">
        <v>252</v>
      </c>
      <c r="AB207" t="s">
        <v>7</v>
      </c>
      <c r="AC207" t="s">
        <v>7</v>
      </c>
      <c r="AD207" t="s">
        <v>7</v>
      </c>
      <c r="AE207" s="2">
        <v>46027</v>
      </c>
      <c r="AF207" s="2"/>
      <c r="AG207" t="s">
        <v>7</v>
      </c>
    </row>
    <row r="208" spans="1:33" outlineLevel="2">
      <c r="A208" t="s">
        <v>23</v>
      </c>
      <c r="B208" s="13">
        <v>6788</v>
      </c>
      <c r="C208" s="13">
        <v>100222362</v>
      </c>
      <c r="D208" t="s">
        <v>2</v>
      </c>
      <c r="E208" t="s">
        <v>245</v>
      </c>
      <c r="F208" t="s">
        <v>13</v>
      </c>
      <c r="G208" s="2">
        <v>46034</v>
      </c>
      <c r="H208" s="13">
        <v>1800000635</v>
      </c>
      <c r="I208" t="s">
        <v>47</v>
      </c>
      <c r="J208" s="2">
        <v>46034</v>
      </c>
      <c r="K208" s="2">
        <v>46035</v>
      </c>
      <c r="L208" t="s">
        <v>45</v>
      </c>
      <c r="M208" s="16">
        <v>256788410492</v>
      </c>
      <c r="N208" t="s">
        <v>8</v>
      </c>
      <c r="O208" t="s">
        <v>9</v>
      </c>
      <c r="P208" t="s">
        <v>7</v>
      </c>
      <c r="Q208" t="s">
        <v>40</v>
      </c>
      <c r="R208" t="s">
        <v>21</v>
      </c>
      <c r="S208" s="3">
        <v>476</v>
      </c>
      <c r="T208" t="s">
        <v>11</v>
      </c>
      <c r="U208" s="3">
        <v>43193.73</v>
      </c>
      <c r="V208" t="s">
        <v>48</v>
      </c>
      <c r="W208" t="s">
        <v>12</v>
      </c>
      <c r="X208" t="s">
        <v>7</v>
      </c>
      <c r="Y208" t="s">
        <v>253</v>
      </c>
      <c r="Z208" t="s">
        <v>13</v>
      </c>
      <c r="AA208" t="s">
        <v>254</v>
      </c>
      <c r="AB208" t="s">
        <v>7</v>
      </c>
      <c r="AC208" t="s">
        <v>7</v>
      </c>
      <c r="AD208" t="s">
        <v>7</v>
      </c>
      <c r="AE208" s="2">
        <v>46034</v>
      </c>
      <c r="AF208" s="2"/>
      <c r="AG208" t="s">
        <v>7</v>
      </c>
    </row>
    <row r="209" spans="1:33" outlineLevel="2">
      <c r="A209" t="s">
        <v>23</v>
      </c>
      <c r="B209" s="13">
        <v>6788</v>
      </c>
      <c r="C209" s="13">
        <v>100222362</v>
      </c>
      <c r="D209" t="s">
        <v>2</v>
      </c>
      <c r="E209" t="s">
        <v>245</v>
      </c>
      <c r="F209" t="s">
        <v>13</v>
      </c>
      <c r="G209" s="2">
        <v>46034</v>
      </c>
      <c r="H209" s="13">
        <v>1800000638</v>
      </c>
      <c r="I209" t="s">
        <v>47</v>
      </c>
      <c r="J209" s="2">
        <v>46034</v>
      </c>
      <c r="K209" s="2">
        <v>46035</v>
      </c>
      <c r="L209" t="s">
        <v>45</v>
      </c>
      <c r="M209" s="16">
        <v>256788410495</v>
      </c>
      <c r="N209" t="s">
        <v>8</v>
      </c>
      <c r="O209" t="s">
        <v>9</v>
      </c>
      <c r="P209" t="s">
        <v>7</v>
      </c>
      <c r="Q209" t="s">
        <v>40</v>
      </c>
      <c r="R209" t="s">
        <v>21</v>
      </c>
      <c r="S209" s="3">
        <v>49.49</v>
      </c>
      <c r="T209" t="s">
        <v>11</v>
      </c>
      <c r="U209" s="3">
        <v>4490.88</v>
      </c>
      <c r="V209" t="s">
        <v>48</v>
      </c>
      <c r="W209" t="s">
        <v>12</v>
      </c>
      <c r="X209" t="s">
        <v>7</v>
      </c>
      <c r="Y209" t="s">
        <v>253</v>
      </c>
      <c r="Z209" t="s">
        <v>13</v>
      </c>
      <c r="AA209" t="s">
        <v>255</v>
      </c>
      <c r="AB209" t="s">
        <v>7</v>
      </c>
      <c r="AC209" t="s">
        <v>7</v>
      </c>
      <c r="AD209" t="s">
        <v>7</v>
      </c>
      <c r="AE209" s="2">
        <v>46034</v>
      </c>
      <c r="AF209" s="2"/>
      <c r="AG209" t="s">
        <v>7</v>
      </c>
    </row>
    <row r="210" spans="1:33" outlineLevel="2">
      <c r="A210" t="s">
        <v>23</v>
      </c>
      <c r="B210" s="13">
        <v>6788</v>
      </c>
      <c r="C210" s="13">
        <v>100222362</v>
      </c>
      <c r="D210" t="s">
        <v>2</v>
      </c>
      <c r="E210" t="s">
        <v>245</v>
      </c>
      <c r="F210" t="s">
        <v>13</v>
      </c>
      <c r="G210" s="2">
        <v>46034</v>
      </c>
      <c r="H210" s="13">
        <v>1800000641</v>
      </c>
      <c r="I210" t="s">
        <v>47</v>
      </c>
      <c r="J210" s="2">
        <v>46034</v>
      </c>
      <c r="K210" s="2">
        <v>46035</v>
      </c>
      <c r="L210" t="s">
        <v>45</v>
      </c>
      <c r="M210" s="16">
        <v>256788410498</v>
      </c>
      <c r="N210" t="s">
        <v>8</v>
      </c>
      <c r="O210" t="s">
        <v>9</v>
      </c>
      <c r="P210" t="s">
        <v>7</v>
      </c>
      <c r="Q210" t="s">
        <v>40</v>
      </c>
      <c r="R210" t="s">
        <v>21</v>
      </c>
      <c r="S210" s="3">
        <v>181.44</v>
      </c>
      <c r="T210" t="s">
        <v>11</v>
      </c>
      <c r="U210" s="3">
        <v>16464.439999999999</v>
      </c>
      <c r="V210" t="s">
        <v>48</v>
      </c>
      <c r="W210" t="s">
        <v>12</v>
      </c>
      <c r="X210" t="s">
        <v>7</v>
      </c>
      <c r="Y210" t="s">
        <v>253</v>
      </c>
      <c r="Z210" t="s">
        <v>13</v>
      </c>
      <c r="AA210" t="s">
        <v>256</v>
      </c>
      <c r="AB210" t="s">
        <v>7</v>
      </c>
      <c r="AC210" t="s">
        <v>7</v>
      </c>
      <c r="AD210" t="s">
        <v>7</v>
      </c>
      <c r="AE210" s="2">
        <v>46034</v>
      </c>
      <c r="AF210" s="2"/>
      <c r="AG210" t="s">
        <v>7</v>
      </c>
    </row>
    <row r="211" spans="1:33" outlineLevel="2">
      <c r="A211" t="s">
        <v>23</v>
      </c>
      <c r="B211" s="13">
        <v>6788</v>
      </c>
      <c r="C211" s="13">
        <v>100222362</v>
      </c>
      <c r="D211" t="s">
        <v>2</v>
      </c>
      <c r="E211" t="s">
        <v>245</v>
      </c>
      <c r="F211" t="s">
        <v>13</v>
      </c>
      <c r="G211" s="2">
        <v>46034</v>
      </c>
      <c r="H211" s="13">
        <v>1800000642</v>
      </c>
      <c r="I211" t="s">
        <v>47</v>
      </c>
      <c r="J211" s="2">
        <v>46034</v>
      </c>
      <c r="K211" s="2">
        <v>46035</v>
      </c>
      <c r="L211" t="s">
        <v>45</v>
      </c>
      <c r="M211" s="16">
        <v>256788410499</v>
      </c>
      <c r="N211" t="s">
        <v>8</v>
      </c>
      <c r="O211" t="s">
        <v>9</v>
      </c>
      <c r="P211" t="s">
        <v>7</v>
      </c>
      <c r="Q211" t="s">
        <v>40</v>
      </c>
      <c r="R211" t="s">
        <v>21</v>
      </c>
      <c r="S211" s="3">
        <v>53</v>
      </c>
      <c r="T211" t="s">
        <v>11</v>
      </c>
      <c r="U211" s="3">
        <v>4809.3900000000003</v>
      </c>
      <c r="V211" t="s">
        <v>48</v>
      </c>
      <c r="W211" t="s">
        <v>12</v>
      </c>
      <c r="X211" t="s">
        <v>7</v>
      </c>
      <c r="Y211" t="s">
        <v>253</v>
      </c>
      <c r="Z211" t="s">
        <v>13</v>
      </c>
      <c r="AA211" t="s">
        <v>257</v>
      </c>
      <c r="AB211" t="s">
        <v>7</v>
      </c>
      <c r="AC211" t="s">
        <v>7</v>
      </c>
      <c r="AD211" t="s">
        <v>7</v>
      </c>
      <c r="AE211" s="2">
        <v>46034</v>
      </c>
      <c r="AF211" s="2"/>
      <c r="AG211" t="s">
        <v>7</v>
      </c>
    </row>
    <row r="212" spans="1:33" outlineLevel="2">
      <c r="A212" t="s">
        <v>23</v>
      </c>
      <c r="B212" s="13">
        <v>6779</v>
      </c>
      <c r="C212" s="13">
        <v>100222362</v>
      </c>
      <c r="D212" t="s">
        <v>2</v>
      </c>
      <c r="E212" t="s">
        <v>245</v>
      </c>
      <c r="F212" t="s">
        <v>13</v>
      </c>
      <c r="G212" s="2">
        <v>46028</v>
      </c>
      <c r="H212" s="13">
        <v>1800016633</v>
      </c>
      <c r="I212" t="s">
        <v>47</v>
      </c>
      <c r="J212" s="2">
        <v>46028</v>
      </c>
      <c r="K212" s="2">
        <v>46035</v>
      </c>
      <c r="L212" t="s">
        <v>258</v>
      </c>
      <c r="M212" s="16">
        <v>256779440254</v>
      </c>
      <c r="N212" t="s">
        <v>8</v>
      </c>
      <c r="O212" t="s">
        <v>9</v>
      </c>
      <c r="P212" t="s">
        <v>7</v>
      </c>
      <c r="Q212" t="s">
        <v>40</v>
      </c>
      <c r="R212" t="s">
        <v>21</v>
      </c>
      <c r="S212" s="3">
        <v>2.0299999999999998</v>
      </c>
      <c r="T212" t="s">
        <v>11</v>
      </c>
      <c r="U212" s="3">
        <v>184.21</v>
      </c>
      <c r="V212" t="s">
        <v>48</v>
      </c>
      <c r="W212" t="s">
        <v>76</v>
      </c>
      <c r="X212" t="s">
        <v>7</v>
      </c>
      <c r="Y212" t="s">
        <v>45</v>
      </c>
      <c r="Z212" t="s">
        <v>13</v>
      </c>
      <c r="AA212" t="s">
        <v>259</v>
      </c>
      <c r="AB212" t="s">
        <v>7</v>
      </c>
      <c r="AC212" t="s">
        <v>7</v>
      </c>
      <c r="AD212" t="s">
        <v>7</v>
      </c>
      <c r="AE212" s="2">
        <v>46028</v>
      </c>
      <c r="AF212" s="2"/>
      <c r="AG212" t="s">
        <v>7</v>
      </c>
    </row>
    <row r="213" spans="1:33" outlineLevel="2">
      <c r="A213" t="s">
        <v>23</v>
      </c>
      <c r="B213" s="13">
        <v>6788</v>
      </c>
      <c r="C213" s="13">
        <v>100222362</v>
      </c>
      <c r="D213" t="s">
        <v>2</v>
      </c>
      <c r="E213" t="s">
        <v>245</v>
      </c>
      <c r="F213" t="s">
        <v>13</v>
      </c>
      <c r="G213" s="2">
        <v>46034</v>
      </c>
      <c r="H213" s="13">
        <v>1800000647</v>
      </c>
      <c r="I213" t="s">
        <v>47</v>
      </c>
      <c r="J213" s="2">
        <v>46034</v>
      </c>
      <c r="K213" s="2">
        <v>46035</v>
      </c>
      <c r="L213" t="s">
        <v>260</v>
      </c>
      <c r="M213" s="16">
        <v>256788410500</v>
      </c>
      <c r="N213" t="s">
        <v>8</v>
      </c>
      <c r="O213" t="s">
        <v>9</v>
      </c>
      <c r="P213" t="s">
        <v>7</v>
      </c>
      <c r="Q213" t="s">
        <v>40</v>
      </c>
      <c r="R213" t="s">
        <v>21</v>
      </c>
      <c r="S213" s="3">
        <v>32</v>
      </c>
      <c r="T213" t="s">
        <v>11</v>
      </c>
      <c r="U213" s="3">
        <v>2903.78</v>
      </c>
      <c r="V213" t="s">
        <v>48</v>
      </c>
      <c r="W213" t="s">
        <v>12</v>
      </c>
      <c r="X213" t="s">
        <v>7</v>
      </c>
      <c r="Y213" t="s">
        <v>45</v>
      </c>
      <c r="Z213" t="s">
        <v>13</v>
      </c>
      <c r="AA213" t="s">
        <v>261</v>
      </c>
      <c r="AB213" t="s">
        <v>7</v>
      </c>
      <c r="AC213" t="s">
        <v>7</v>
      </c>
      <c r="AD213" t="s">
        <v>7</v>
      </c>
      <c r="AE213" s="2">
        <v>46034</v>
      </c>
      <c r="AF213" s="2"/>
      <c r="AG213" t="s">
        <v>7</v>
      </c>
    </row>
    <row r="214" spans="1:33" outlineLevel="2">
      <c r="A214" t="s">
        <v>23</v>
      </c>
      <c r="B214" s="13">
        <v>6788</v>
      </c>
      <c r="C214" s="13">
        <v>100222362</v>
      </c>
      <c r="D214" t="s">
        <v>2</v>
      </c>
      <c r="E214" t="s">
        <v>245</v>
      </c>
      <c r="F214" t="s">
        <v>13</v>
      </c>
      <c r="G214" s="2">
        <v>46034</v>
      </c>
      <c r="H214" s="13">
        <v>1800000626</v>
      </c>
      <c r="I214" t="s">
        <v>47</v>
      </c>
      <c r="J214" s="2">
        <v>46034</v>
      </c>
      <c r="K214" s="2">
        <v>46035</v>
      </c>
      <c r="L214" t="s">
        <v>262</v>
      </c>
      <c r="M214" s="16">
        <v>256788410502</v>
      </c>
      <c r="N214" t="s">
        <v>8</v>
      </c>
      <c r="O214" t="s">
        <v>9</v>
      </c>
      <c r="P214" t="s">
        <v>7</v>
      </c>
      <c r="Q214" t="s">
        <v>40</v>
      </c>
      <c r="R214" t="s">
        <v>21</v>
      </c>
      <c r="S214" s="3">
        <v>3980.5</v>
      </c>
      <c r="T214" t="s">
        <v>11</v>
      </c>
      <c r="U214" s="3">
        <v>361203.07</v>
      </c>
      <c r="V214" t="s">
        <v>48</v>
      </c>
      <c r="W214" t="s">
        <v>12</v>
      </c>
      <c r="X214" t="s">
        <v>7</v>
      </c>
      <c r="Y214" t="s">
        <v>45</v>
      </c>
      <c r="Z214" t="s">
        <v>13</v>
      </c>
      <c r="AA214" t="s">
        <v>263</v>
      </c>
      <c r="AB214" t="s">
        <v>7</v>
      </c>
      <c r="AC214" t="s">
        <v>7</v>
      </c>
      <c r="AD214" t="s">
        <v>7</v>
      </c>
      <c r="AE214" s="2">
        <v>46034</v>
      </c>
      <c r="AF214" s="2"/>
      <c r="AG214" t="s">
        <v>7</v>
      </c>
    </row>
    <row r="215" spans="1:33" outlineLevel="2">
      <c r="A215" t="s">
        <v>23</v>
      </c>
      <c r="B215" s="13">
        <v>6788</v>
      </c>
      <c r="C215" s="13">
        <v>100222362</v>
      </c>
      <c r="D215" t="s">
        <v>2</v>
      </c>
      <c r="E215" t="s">
        <v>245</v>
      </c>
      <c r="F215" t="s">
        <v>13</v>
      </c>
      <c r="G215" s="2">
        <v>46028</v>
      </c>
      <c r="H215" s="13">
        <v>1800000643</v>
      </c>
      <c r="I215" t="s">
        <v>47</v>
      </c>
      <c r="J215" s="2">
        <v>46028</v>
      </c>
      <c r="K215" s="2">
        <v>46035</v>
      </c>
      <c r="L215" t="s">
        <v>45</v>
      </c>
      <c r="M215" s="16">
        <v>256788410503</v>
      </c>
      <c r="N215" t="s">
        <v>8</v>
      </c>
      <c r="O215" t="s">
        <v>9</v>
      </c>
      <c r="P215" t="s">
        <v>7</v>
      </c>
      <c r="Q215" t="s">
        <v>40</v>
      </c>
      <c r="R215" t="s">
        <v>21</v>
      </c>
      <c r="S215" s="3">
        <v>994.98</v>
      </c>
      <c r="T215" t="s">
        <v>11</v>
      </c>
      <c r="U215" s="3">
        <v>90287.61</v>
      </c>
      <c r="V215" t="s">
        <v>48</v>
      </c>
      <c r="W215" t="s">
        <v>12</v>
      </c>
      <c r="X215" t="s">
        <v>7</v>
      </c>
      <c r="Y215" t="s">
        <v>264</v>
      </c>
      <c r="Z215" t="s">
        <v>13</v>
      </c>
      <c r="AA215" t="s">
        <v>265</v>
      </c>
      <c r="AB215" t="s">
        <v>7</v>
      </c>
      <c r="AC215" t="s">
        <v>7</v>
      </c>
      <c r="AD215" t="s">
        <v>7</v>
      </c>
      <c r="AE215" s="2">
        <v>46028</v>
      </c>
      <c r="AF215" s="2"/>
      <c r="AG215" t="s">
        <v>7</v>
      </c>
    </row>
    <row r="216" spans="1:33" outlineLevel="2">
      <c r="A216" t="s">
        <v>23</v>
      </c>
      <c r="B216" s="13">
        <v>6788</v>
      </c>
      <c r="C216" s="13">
        <v>100222362</v>
      </c>
      <c r="D216" t="s">
        <v>2</v>
      </c>
      <c r="E216" t="s">
        <v>245</v>
      </c>
      <c r="F216" t="s">
        <v>13</v>
      </c>
      <c r="G216" s="2">
        <v>46034</v>
      </c>
      <c r="H216" s="13">
        <v>1800000627</v>
      </c>
      <c r="I216" t="s">
        <v>47</v>
      </c>
      <c r="J216" s="2">
        <v>46034</v>
      </c>
      <c r="K216" s="2">
        <v>46035</v>
      </c>
      <c r="L216" t="s">
        <v>266</v>
      </c>
      <c r="M216" s="16">
        <v>256788410507</v>
      </c>
      <c r="N216" t="s">
        <v>8</v>
      </c>
      <c r="O216" t="s">
        <v>9</v>
      </c>
      <c r="P216" t="s">
        <v>7</v>
      </c>
      <c r="Q216" t="s">
        <v>40</v>
      </c>
      <c r="R216" t="s">
        <v>21</v>
      </c>
      <c r="S216" s="3">
        <v>75</v>
      </c>
      <c r="T216" t="s">
        <v>11</v>
      </c>
      <c r="U216" s="3">
        <v>6805.74</v>
      </c>
      <c r="V216" t="s">
        <v>48</v>
      </c>
      <c r="W216" t="s">
        <v>12</v>
      </c>
      <c r="X216" t="s">
        <v>7</v>
      </c>
      <c r="Y216" t="s">
        <v>45</v>
      </c>
      <c r="Z216" t="s">
        <v>13</v>
      </c>
      <c r="AA216" t="s">
        <v>267</v>
      </c>
      <c r="AB216" t="s">
        <v>7</v>
      </c>
      <c r="AC216" t="s">
        <v>7</v>
      </c>
      <c r="AD216" t="s">
        <v>7</v>
      </c>
      <c r="AE216" s="2">
        <v>46034</v>
      </c>
      <c r="AF216" s="2"/>
      <c r="AG216" t="s">
        <v>7</v>
      </c>
    </row>
    <row r="217" spans="1:33" outlineLevel="2">
      <c r="A217" t="s">
        <v>23</v>
      </c>
      <c r="B217" s="13">
        <v>6788</v>
      </c>
      <c r="C217" s="13">
        <v>100222362</v>
      </c>
      <c r="D217" t="s">
        <v>2</v>
      </c>
      <c r="E217" t="s">
        <v>245</v>
      </c>
      <c r="F217" t="s">
        <v>13</v>
      </c>
      <c r="G217" s="2">
        <v>46034</v>
      </c>
      <c r="H217" s="13">
        <v>1800000649</v>
      </c>
      <c r="I217" t="s">
        <v>47</v>
      </c>
      <c r="J217" s="2">
        <v>46034</v>
      </c>
      <c r="K217" s="2">
        <v>46035</v>
      </c>
      <c r="L217" t="s">
        <v>268</v>
      </c>
      <c r="M217" s="16">
        <v>256788410514</v>
      </c>
      <c r="N217" t="s">
        <v>8</v>
      </c>
      <c r="O217" t="s">
        <v>9</v>
      </c>
      <c r="P217" t="s">
        <v>7</v>
      </c>
      <c r="Q217" t="s">
        <v>40</v>
      </c>
      <c r="R217" t="s">
        <v>21</v>
      </c>
      <c r="S217" s="3">
        <v>63.04</v>
      </c>
      <c r="T217" t="s">
        <v>11</v>
      </c>
      <c r="U217" s="3">
        <v>5720.45</v>
      </c>
      <c r="V217" t="s">
        <v>48</v>
      </c>
      <c r="W217" t="s">
        <v>12</v>
      </c>
      <c r="X217" t="s">
        <v>7</v>
      </c>
      <c r="Y217" t="s">
        <v>45</v>
      </c>
      <c r="Z217" t="s">
        <v>13</v>
      </c>
      <c r="AA217" t="s">
        <v>247</v>
      </c>
      <c r="AB217" t="s">
        <v>7</v>
      </c>
      <c r="AC217" t="s">
        <v>7</v>
      </c>
      <c r="AD217" t="s">
        <v>7</v>
      </c>
      <c r="AE217" s="2">
        <v>46034</v>
      </c>
      <c r="AF217" s="2"/>
      <c r="AG217" t="s">
        <v>7</v>
      </c>
    </row>
    <row r="218" spans="1:33" outlineLevel="2">
      <c r="A218" t="s">
        <v>23</v>
      </c>
      <c r="B218" s="13">
        <v>6788</v>
      </c>
      <c r="C218" s="13">
        <v>100222362</v>
      </c>
      <c r="D218" t="s">
        <v>2</v>
      </c>
      <c r="E218" t="s">
        <v>245</v>
      </c>
      <c r="F218" t="s">
        <v>13</v>
      </c>
      <c r="G218" s="2">
        <v>46041</v>
      </c>
      <c r="H218" s="13">
        <v>1600000272</v>
      </c>
      <c r="I218" t="s">
        <v>71</v>
      </c>
      <c r="J218" s="2">
        <v>46041</v>
      </c>
      <c r="K218" s="2">
        <v>46041</v>
      </c>
      <c r="L218" t="s">
        <v>269</v>
      </c>
      <c r="M218" s="16">
        <v>256788420148</v>
      </c>
      <c r="N218" t="s">
        <v>8</v>
      </c>
      <c r="O218" t="s">
        <v>9</v>
      </c>
      <c r="P218" t="s">
        <v>7</v>
      </c>
      <c r="Q218" t="s">
        <v>37</v>
      </c>
      <c r="R218" t="s">
        <v>21</v>
      </c>
      <c r="S218" s="3">
        <v>-25125.9</v>
      </c>
      <c r="T218" t="s">
        <v>11</v>
      </c>
      <c r="U218" s="3">
        <v>-2280003.06</v>
      </c>
      <c r="V218" t="s">
        <v>48</v>
      </c>
      <c r="W218" t="s">
        <v>12</v>
      </c>
      <c r="X218" t="s">
        <v>7</v>
      </c>
      <c r="Y218" t="s">
        <v>45</v>
      </c>
      <c r="Z218" t="s">
        <v>13</v>
      </c>
      <c r="AA218" t="s">
        <v>270</v>
      </c>
      <c r="AB218" t="s">
        <v>7</v>
      </c>
      <c r="AC218" t="s">
        <v>7</v>
      </c>
      <c r="AD218" t="s">
        <v>7</v>
      </c>
      <c r="AE218" s="2">
        <v>46041</v>
      </c>
      <c r="AF218" s="2"/>
      <c r="AG218" t="s">
        <v>7</v>
      </c>
    </row>
    <row r="219" spans="1:33" outlineLevel="2">
      <c r="A219" t="s">
        <v>23</v>
      </c>
      <c r="B219" s="13">
        <v>6788</v>
      </c>
      <c r="C219" s="13">
        <v>100222362</v>
      </c>
      <c r="D219" t="s">
        <v>2</v>
      </c>
      <c r="E219" t="s">
        <v>245</v>
      </c>
      <c r="F219" t="s">
        <v>13</v>
      </c>
      <c r="G219" s="2">
        <v>46041</v>
      </c>
      <c r="H219" s="13">
        <v>1600000273</v>
      </c>
      <c r="I219" t="s">
        <v>71</v>
      </c>
      <c r="J219" s="2">
        <v>46041</v>
      </c>
      <c r="K219" s="2">
        <v>46041</v>
      </c>
      <c r="L219" t="s">
        <v>269</v>
      </c>
      <c r="M219" s="16">
        <v>256788420149</v>
      </c>
      <c r="N219" t="s">
        <v>8</v>
      </c>
      <c r="O219" t="s">
        <v>9</v>
      </c>
      <c r="P219" t="s">
        <v>7</v>
      </c>
      <c r="Q219" t="s">
        <v>37</v>
      </c>
      <c r="R219" t="s">
        <v>11</v>
      </c>
      <c r="S219" s="3">
        <v>-72465</v>
      </c>
      <c r="T219" t="s">
        <v>11</v>
      </c>
      <c r="U219" s="3">
        <v>-72465</v>
      </c>
      <c r="V219" t="s">
        <v>48</v>
      </c>
      <c r="W219" t="s">
        <v>12</v>
      </c>
      <c r="X219" t="s">
        <v>7</v>
      </c>
      <c r="Y219" t="s">
        <v>45</v>
      </c>
      <c r="Z219" t="s">
        <v>13</v>
      </c>
      <c r="AA219" t="s">
        <v>271</v>
      </c>
      <c r="AB219" t="s">
        <v>7</v>
      </c>
      <c r="AC219" t="s">
        <v>7</v>
      </c>
      <c r="AD219" t="s">
        <v>7</v>
      </c>
      <c r="AE219" s="2">
        <v>46041</v>
      </c>
      <c r="AF219" s="2"/>
      <c r="AG219" t="s">
        <v>7</v>
      </c>
    </row>
    <row r="220" spans="1:33" outlineLevel="2">
      <c r="A220" t="s">
        <v>23</v>
      </c>
      <c r="B220" s="13">
        <v>6788</v>
      </c>
      <c r="C220" s="13">
        <v>100222362</v>
      </c>
      <c r="D220" t="s">
        <v>2</v>
      </c>
      <c r="E220" t="s">
        <v>245</v>
      </c>
      <c r="F220" t="s">
        <v>13</v>
      </c>
      <c r="G220" s="2">
        <v>46028</v>
      </c>
      <c r="H220" s="13">
        <v>1600000274</v>
      </c>
      <c r="I220" t="s">
        <v>71</v>
      </c>
      <c r="J220" s="2">
        <v>46028</v>
      </c>
      <c r="K220" s="2">
        <v>46043</v>
      </c>
      <c r="L220" t="s">
        <v>272</v>
      </c>
      <c r="M220" s="16">
        <v>256788420150</v>
      </c>
      <c r="N220" t="s">
        <v>8</v>
      </c>
      <c r="O220" t="s">
        <v>9</v>
      </c>
      <c r="P220" t="s">
        <v>7</v>
      </c>
      <c r="Q220" t="s">
        <v>37</v>
      </c>
      <c r="R220" t="s">
        <v>21</v>
      </c>
      <c r="S220" s="3">
        <v>-53</v>
      </c>
      <c r="T220" t="s">
        <v>11</v>
      </c>
      <c r="U220" s="3">
        <v>-4809.3900000000003</v>
      </c>
      <c r="V220" t="s">
        <v>48</v>
      </c>
      <c r="W220" t="s">
        <v>12</v>
      </c>
      <c r="X220" t="s">
        <v>7</v>
      </c>
      <c r="Y220" t="s">
        <v>45</v>
      </c>
      <c r="Z220" t="s">
        <v>13</v>
      </c>
      <c r="AA220" t="s">
        <v>273</v>
      </c>
      <c r="AB220" t="s">
        <v>7</v>
      </c>
      <c r="AC220" t="s">
        <v>7</v>
      </c>
      <c r="AD220" t="s">
        <v>7</v>
      </c>
      <c r="AE220" s="2">
        <v>46028</v>
      </c>
      <c r="AF220" s="2"/>
      <c r="AG220" t="s">
        <v>7</v>
      </c>
    </row>
    <row r="221" spans="1:33" outlineLevel="1">
      <c r="A221" s="4" t="s">
        <v>7</v>
      </c>
      <c r="B221" s="14" t="s">
        <v>7</v>
      </c>
      <c r="C221" s="14" t="s">
        <v>7</v>
      </c>
      <c r="D221" s="4" t="s">
        <v>7</v>
      </c>
      <c r="E221" s="4" t="s">
        <v>7</v>
      </c>
      <c r="F221" s="4" t="s">
        <v>7</v>
      </c>
      <c r="G221" s="5"/>
      <c r="H221" s="14" t="s">
        <v>7</v>
      </c>
      <c r="I221" s="4" t="s">
        <v>7</v>
      </c>
      <c r="J221" s="5"/>
      <c r="K221" s="5"/>
      <c r="L221" s="4" t="s">
        <v>7</v>
      </c>
      <c r="M221" s="17" t="s">
        <v>7</v>
      </c>
      <c r="N221" s="4" t="s">
        <v>8</v>
      </c>
      <c r="O221" s="4" t="s">
        <v>7</v>
      </c>
      <c r="P221" s="4" t="s">
        <v>7</v>
      </c>
      <c r="Q221" s="4" t="s">
        <v>7</v>
      </c>
      <c r="R221" s="4" t="s">
        <v>11</v>
      </c>
      <c r="S221" s="6">
        <v>-9572465</v>
      </c>
      <c r="T221" s="4" t="s">
        <v>11</v>
      </c>
      <c r="U221" s="6">
        <v>4079553.42</v>
      </c>
      <c r="V221" s="4" t="s">
        <v>7</v>
      </c>
      <c r="W221" s="4" t="s">
        <v>7</v>
      </c>
      <c r="X221" s="4" t="s">
        <v>7</v>
      </c>
      <c r="Y221" s="4" t="s">
        <v>7</v>
      </c>
      <c r="Z221" s="4" t="s">
        <v>7</v>
      </c>
      <c r="AA221" s="4" t="s">
        <v>7</v>
      </c>
      <c r="AB221" s="4" t="s">
        <v>7</v>
      </c>
      <c r="AC221" s="4" t="s">
        <v>7</v>
      </c>
      <c r="AD221" s="4" t="s">
        <v>7</v>
      </c>
      <c r="AE221" s="5"/>
      <c r="AF221" s="5"/>
      <c r="AG221" s="4" t="s">
        <v>7</v>
      </c>
    </row>
    <row r="222" spans="1:33" outlineLevel="1">
      <c r="A222" s="4" t="s">
        <v>7</v>
      </c>
      <c r="B222" s="14" t="s">
        <v>7</v>
      </c>
      <c r="C222" s="14" t="s">
        <v>7</v>
      </c>
      <c r="D222" s="4" t="s">
        <v>7</v>
      </c>
      <c r="E222" s="4" t="s">
        <v>7</v>
      </c>
      <c r="F222" s="4" t="s">
        <v>7</v>
      </c>
      <c r="G222" s="5"/>
      <c r="H222" s="14" t="s">
        <v>7</v>
      </c>
      <c r="I222" s="4" t="s">
        <v>7</v>
      </c>
      <c r="J222" s="5"/>
      <c r="K222" s="5"/>
      <c r="L222" s="4" t="s">
        <v>7</v>
      </c>
      <c r="M222" s="17" t="s">
        <v>7</v>
      </c>
      <c r="N222" s="4" t="s">
        <v>7</v>
      </c>
      <c r="O222" s="4" t="s">
        <v>7</v>
      </c>
      <c r="P222" s="4" t="s">
        <v>7</v>
      </c>
      <c r="Q222" s="4" t="s">
        <v>7</v>
      </c>
      <c r="R222" s="4" t="s">
        <v>21</v>
      </c>
      <c r="S222" s="6">
        <v>158148.89000000001</v>
      </c>
      <c r="T222" s="4" t="s">
        <v>7</v>
      </c>
      <c r="U222" s="7"/>
      <c r="V222" s="4" t="s">
        <v>7</v>
      </c>
      <c r="W222" s="4" t="s">
        <v>7</v>
      </c>
      <c r="X222" s="4" t="s">
        <v>7</v>
      </c>
      <c r="Y222" s="4" t="s">
        <v>7</v>
      </c>
      <c r="Z222" s="4" t="s">
        <v>7</v>
      </c>
      <c r="AA222" s="4" t="s">
        <v>7</v>
      </c>
      <c r="AB222" s="4" t="s">
        <v>7</v>
      </c>
      <c r="AC222" s="4" t="s">
        <v>7</v>
      </c>
      <c r="AD222" s="4" t="s">
        <v>7</v>
      </c>
      <c r="AE222" s="5"/>
      <c r="AF222" s="5"/>
      <c r="AG222" s="4" t="s">
        <v>7</v>
      </c>
    </row>
    <row r="223" spans="1:33">
      <c r="A223" s="8" t="s">
        <v>7</v>
      </c>
      <c r="B223" s="15" t="s">
        <v>7</v>
      </c>
      <c r="C223" s="15" t="s">
        <v>7</v>
      </c>
      <c r="D223" s="8" t="s">
        <v>7</v>
      </c>
      <c r="E223" s="8" t="s">
        <v>7</v>
      </c>
      <c r="F223" s="8" t="s">
        <v>7</v>
      </c>
      <c r="G223" s="9"/>
      <c r="H223" s="15" t="s">
        <v>7</v>
      </c>
      <c r="I223" s="8" t="s">
        <v>7</v>
      </c>
      <c r="J223" s="9"/>
      <c r="K223" s="9"/>
      <c r="L223" s="8" t="s">
        <v>7</v>
      </c>
      <c r="M223" s="18" t="s">
        <v>7</v>
      </c>
      <c r="N223" s="8" t="s">
        <v>7</v>
      </c>
      <c r="O223" s="8" t="s">
        <v>7</v>
      </c>
      <c r="P223" s="8" t="s">
        <v>7</v>
      </c>
      <c r="Q223" s="8" t="s">
        <v>7</v>
      </c>
      <c r="R223" s="8" t="s">
        <v>11</v>
      </c>
      <c r="S223" s="10">
        <v>-9572465</v>
      </c>
      <c r="T223" s="8" t="s">
        <v>11</v>
      </c>
      <c r="U223" s="10">
        <v>4079553.42</v>
      </c>
      <c r="V223" s="8" t="s">
        <v>7</v>
      </c>
      <c r="W223" s="8" t="s">
        <v>7</v>
      </c>
      <c r="X223" s="8" t="s">
        <v>7</v>
      </c>
      <c r="Y223" s="8" t="s">
        <v>7</v>
      </c>
      <c r="Z223" s="8" t="s">
        <v>7</v>
      </c>
      <c r="AA223" s="8" t="s">
        <v>7</v>
      </c>
      <c r="AB223" s="8" t="s">
        <v>7</v>
      </c>
      <c r="AC223" s="8" t="s">
        <v>7</v>
      </c>
      <c r="AD223" s="8" t="s">
        <v>7</v>
      </c>
      <c r="AE223" s="9"/>
      <c r="AF223" s="9"/>
      <c r="AG223" s="8" t="s">
        <v>7</v>
      </c>
    </row>
    <row r="224" spans="1:33">
      <c r="A224" s="8" t="s">
        <v>7</v>
      </c>
      <c r="B224" s="15" t="s">
        <v>7</v>
      </c>
      <c r="C224" s="15" t="s">
        <v>7</v>
      </c>
      <c r="D224" s="8" t="s">
        <v>7</v>
      </c>
      <c r="E224" s="8" t="s">
        <v>7</v>
      </c>
      <c r="F224" s="8" t="s">
        <v>7</v>
      </c>
      <c r="G224" s="9"/>
      <c r="H224" s="15" t="s">
        <v>7</v>
      </c>
      <c r="I224" s="8" t="s">
        <v>7</v>
      </c>
      <c r="J224" s="9"/>
      <c r="K224" s="9"/>
      <c r="L224" s="8" t="s">
        <v>7</v>
      </c>
      <c r="M224" s="18" t="s">
        <v>7</v>
      </c>
      <c r="N224" s="8" t="s">
        <v>7</v>
      </c>
      <c r="O224" s="8" t="s">
        <v>7</v>
      </c>
      <c r="P224" s="8" t="s">
        <v>7</v>
      </c>
      <c r="Q224" s="8" t="s">
        <v>7</v>
      </c>
      <c r="R224" s="8" t="s">
        <v>21</v>
      </c>
      <c r="S224" s="10">
        <v>158148.89000000001</v>
      </c>
      <c r="T224" s="8" t="s">
        <v>7</v>
      </c>
      <c r="U224" s="11"/>
      <c r="V224" s="8" t="s">
        <v>7</v>
      </c>
      <c r="W224" s="8" t="s">
        <v>7</v>
      </c>
      <c r="X224" s="8" t="s">
        <v>7</v>
      </c>
      <c r="Y224" s="8" t="s">
        <v>7</v>
      </c>
      <c r="Z224" s="8" t="s">
        <v>7</v>
      </c>
      <c r="AA224" s="8" t="s">
        <v>7</v>
      </c>
      <c r="AB224" s="8" t="s">
        <v>7</v>
      </c>
      <c r="AC224" s="8" t="s">
        <v>7</v>
      </c>
      <c r="AD224" s="8" t="s">
        <v>7</v>
      </c>
      <c r="AE224" s="9"/>
      <c r="AF224" s="9"/>
      <c r="AG224" s="8" t="s">
        <v>7</v>
      </c>
    </row>
  </sheetData>
  <autoFilter ref="A1:AG224" xr:uid="{00000000-0001-0000-0000-000000000000}"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93CF-56CC-491B-A78D-CB3F9F1E35AF}">
  <dimension ref="A1:S224"/>
  <sheetViews>
    <sheetView topLeftCell="G1" workbookViewId="0">
      <selection activeCell="R124" sqref="R124"/>
    </sheetView>
  </sheetViews>
  <sheetFormatPr defaultRowHeight="12.5"/>
  <cols>
    <col min="4" max="4" width="11.08984375" bestFit="1" customWidth="1"/>
    <col min="5" max="5" width="15.6328125" bestFit="1" customWidth="1"/>
    <col min="7" max="7" width="13.26953125" bestFit="1" customWidth="1"/>
    <col min="8" max="8" width="10.08984375" bestFit="1" customWidth="1"/>
    <col min="9" max="9" width="18" bestFit="1" customWidth="1"/>
    <col min="12" max="12" width="12.08984375" bestFit="1" customWidth="1"/>
    <col min="14" max="14" width="12.08984375" bestFit="1" customWidth="1"/>
    <col min="18" max="18" width="46.26953125" bestFit="1" customWidth="1"/>
  </cols>
  <sheetData>
    <row r="1" spans="1:19" ht="50">
      <c r="A1" s="1" t="s">
        <v>277</v>
      </c>
      <c r="B1" s="1" t="s">
        <v>278</v>
      </c>
      <c r="C1" s="12" t="s">
        <v>279</v>
      </c>
      <c r="D1" s="1" t="s">
        <v>280</v>
      </c>
      <c r="E1" s="1" t="s">
        <v>281</v>
      </c>
      <c r="F1" s="12" t="s">
        <v>282</v>
      </c>
      <c r="G1" s="1" t="s">
        <v>283</v>
      </c>
      <c r="H1" s="1" t="s">
        <v>284</v>
      </c>
      <c r="I1" s="1" t="s">
        <v>306</v>
      </c>
      <c r="J1" s="1" t="s">
        <v>286</v>
      </c>
      <c r="K1" s="12" t="s">
        <v>290</v>
      </c>
      <c r="L1" s="12" t="s">
        <v>291</v>
      </c>
      <c r="M1" s="12" t="s">
        <v>292</v>
      </c>
      <c r="N1" s="12" t="s">
        <v>293</v>
      </c>
      <c r="O1" s="1" t="s">
        <v>295</v>
      </c>
      <c r="P1" s="1" t="s">
        <v>296</v>
      </c>
      <c r="Q1" s="1" t="s">
        <v>297</v>
      </c>
      <c r="R1" s="1" t="s">
        <v>299</v>
      </c>
      <c r="S1" t="s">
        <v>333</v>
      </c>
    </row>
    <row r="2" spans="1:19">
      <c r="A2" t="s">
        <v>2</v>
      </c>
      <c r="B2" t="s">
        <v>3</v>
      </c>
      <c r="C2" t="s">
        <v>4</v>
      </c>
      <c r="D2" s="2">
        <v>45758</v>
      </c>
      <c r="E2" s="13">
        <v>1600000012</v>
      </c>
      <c r="F2" t="s">
        <v>6</v>
      </c>
      <c r="G2" s="2">
        <v>45758</v>
      </c>
      <c r="H2" s="2">
        <v>45758</v>
      </c>
      <c r="I2" t="s">
        <v>7</v>
      </c>
      <c r="J2" t="s">
        <v>8</v>
      </c>
      <c r="K2" t="s">
        <v>11</v>
      </c>
      <c r="L2" s="3">
        <v>1</v>
      </c>
      <c r="M2" t="s">
        <v>11</v>
      </c>
      <c r="N2" s="3">
        <v>1</v>
      </c>
      <c r="O2" t="s">
        <v>12</v>
      </c>
      <c r="P2" t="s">
        <v>7</v>
      </c>
      <c r="Q2" t="s">
        <v>7</v>
      </c>
      <c r="R2" t="s">
        <v>14</v>
      </c>
    </row>
    <row r="3" spans="1:19">
      <c r="A3" t="s">
        <v>2</v>
      </c>
      <c r="B3" t="s">
        <v>3</v>
      </c>
      <c r="C3" t="s">
        <v>4</v>
      </c>
      <c r="D3" s="2">
        <v>45758</v>
      </c>
      <c r="E3" s="13">
        <v>1600000012</v>
      </c>
      <c r="F3" t="s">
        <v>6</v>
      </c>
      <c r="G3" s="2">
        <v>45758</v>
      </c>
      <c r="H3" s="2">
        <v>45758</v>
      </c>
      <c r="I3" t="s">
        <v>7</v>
      </c>
      <c r="J3" t="s">
        <v>8</v>
      </c>
      <c r="K3" t="s">
        <v>11</v>
      </c>
      <c r="L3" s="3">
        <v>-1</v>
      </c>
      <c r="M3" t="s">
        <v>11</v>
      </c>
      <c r="N3" s="3">
        <v>-1</v>
      </c>
      <c r="O3" t="s">
        <v>12</v>
      </c>
      <c r="P3" t="s">
        <v>7</v>
      </c>
      <c r="Q3" t="s">
        <v>7</v>
      </c>
      <c r="R3" t="s">
        <v>14</v>
      </c>
    </row>
    <row r="4" spans="1:19">
      <c r="A4" t="s">
        <v>2</v>
      </c>
      <c r="B4" t="s">
        <v>3</v>
      </c>
      <c r="C4" t="s">
        <v>16</v>
      </c>
      <c r="D4" s="2">
        <v>45705</v>
      </c>
      <c r="E4" s="13">
        <v>1400000001</v>
      </c>
      <c r="F4" t="s">
        <v>18</v>
      </c>
      <c r="G4" s="2">
        <v>45705</v>
      </c>
      <c r="H4" s="2">
        <v>45707</v>
      </c>
      <c r="I4" t="s">
        <v>7</v>
      </c>
      <c r="J4" t="s">
        <v>8</v>
      </c>
      <c r="K4" t="s">
        <v>21</v>
      </c>
      <c r="L4" s="3">
        <v>75</v>
      </c>
      <c r="M4" t="s">
        <v>11</v>
      </c>
      <c r="N4" s="3">
        <v>6472.77</v>
      </c>
      <c r="O4" t="s">
        <v>12</v>
      </c>
      <c r="P4" t="s">
        <v>7</v>
      </c>
      <c r="Q4" t="s">
        <v>7</v>
      </c>
      <c r="R4" t="s">
        <v>7</v>
      </c>
    </row>
    <row r="5" spans="1:19">
      <c r="A5" t="s">
        <v>2</v>
      </c>
      <c r="B5" t="s">
        <v>3</v>
      </c>
      <c r="C5" t="s">
        <v>16</v>
      </c>
      <c r="D5" s="2">
        <v>45705</v>
      </c>
      <c r="E5" s="13">
        <v>1400000001</v>
      </c>
      <c r="F5" t="s">
        <v>18</v>
      </c>
      <c r="G5" s="2">
        <v>45705</v>
      </c>
      <c r="H5" s="2">
        <v>45707</v>
      </c>
      <c r="I5" t="s">
        <v>7</v>
      </c>
      <c r="J5" t="s">
        <v>8</v>
      </c>
      <c r="K5" t="s">
        <v>21</v>
      </c>
      <c r="L5" s="3">
        <v>-75</v>
      </c>
      <c r="M5" t="s">
        <v>11</v>
      </c>
      <c r="N5" s="3">
        <v>-6472.77</v>
      </c>
      <c r="O5" t="s">
        <v>12</v>
      </c>
      <c r="P5" t="s">
        <v>7</v>
      </c>
      <c r="Q5" t="s">
        <v>7</v>
      </c>
      <c r="R5" t="s">
        <v>7</v>
      </c>
    </row>
    <row r="6" spans="1:19">
      <c r="A6" t="s">
        <v>2</v>
      </c>
      <c r="B6" t="s">
        <v>3</v>
      </c>
      <c r="C6" t="s">
        <v>24</v>
      </c>
      <c r="D6" s="2">
        <v>45889</v>
      </c>
      <c r="E6" s="13">
        <v>1400000026</v>
      </c>
      <c r="F6" t="s">
        <v>25</v>
      </c>
      <c r="G6" s="2">
        <v>45889</v>
      </c>
      <c r="H6" s="2">
        <v>45889</v>
      </c>
      <c r="I6" t="s">
        <v>7</v>
      </c>
      <c r="J6" t="s">
        <v>8</v>
      </c>
      <c r="K6" t="s">
        <v>11</v>
      </c>
      <c r="L6" s="3">
        <v>-500000</v>
      </c>
      <c r="M6" t="s">
        <v>11</v>
      </c>
      <c r="N6" s="3">
        <v>-500000</v>
      </c>
      <c r="O6" t="s">
        <v>27</v>
      </c>
      <c r="P6" t="s">
        <v>7</v>
      </c>
      <c r="Q6" t="s">
        <v>7</v>
      </c>
      <c r="R6" t="s">
        <v>7</v>
      </c>
    </row>
    <row r="7" spans="1:19">
      <c r="A7" t="s">
        <v>2</v>
      </c>
      <c r="B7" t="s">
        <v>3</v>
      </c>
      <c r="C7" t="s">
        <v>24</v>
      </c>
      <c r="D7" s="2">
        <v>45889</v>
      </c>
      <c r="E7" s="13">
        <v>1400000027</v>
      </c>
      <c r="F7" t="s">
        <v>25</v>
      </c>
      <c r="G7" s="2">
        <v>45889</v>
      </c>
      <c r="H7" s="2">
        <v>45889</v>
      </c>
      <c r="I7" t="s">
        <v>7</v>
      </c>
      <c r="J7" t="s">
        <v>8</v>
      </c>
      <c r="K7" t="s">
        <v>11</v>
      </c>
      <c r="L7" s="3">
        <v>-500000</v>
      </c>
      <c r="M7" t="s">
        <v>11</v>
      </c>
      <c r="N7" s="3">
        <v>-500000</v>
      </c>
      <c r="O7" t="s">
        <v>27</v>
      </c>
      <c r="P7" t="s">
        <v>7</v>
      </c>
      <c r="Q7" t="s">
        <v>7</v>
      </c>
      <c r="R7" t="s">
        <v>7</v>
      </c>
    </row>
    <row r="8" spans="1:19">
      <c r="A8" t="s">
        <v>2</v>
      </c>
      <c r="B8" t="s">
        <v>3</v>
      </c>
      <c r="C8" t="s">
        <v>29</v>
      </c>
      <c r="D8" s="2">
        <v>45931</v>
      </c>
      <c r="E8" s="13">
        <v>1400000043</v>
      </c>
      <c r="F8" t="s">
        <v>25</v>
      </c>
      <c r="G8" s="2">
        <v>45931</v>
      </c>
      <c r="H8" s="2">
        <v>45925</v>
      </c>
      <c r="I8" t="s">
        <v>7</v>
      </c>
      <c r="J8" t="s">
        <v>8</v>
      </c>
      <c r="K8" t="s">
        <v>11</v>
      </c>
      <c r="L8" s="3">
        <v>-500000</v>
      </c>
      <c r="M8" t="s">
        <v>11</v>
      </c>
      <c r="N8" s="3">
        <v>-500000</v>
      </c>
      <c r="O8" t="s">
        <v>27</v>
      </c>
      <c r="P8" t="s">
        <v>7</v>
      </c>
      <c r="Q8" t="s">
        <v>7</v>
      </c>
      <c r="R8" t="s">
        <v>7</v>
      </c>
    </row>
    <row r="9" spans="1:19">
      <c r="A9" t="s">
        <v>2</v>
      </c>
      <c r="B9" t="s">
        <v>3</v>
      </c>
      <c r="C9" t="s">
        <v>29</v>
      </c>
      <c r="D9" s="2">
        <v>45931</v>
      </c>
      <c r="E9" s="13">
        <v>1400000044</v>
      </c>
      <c r="F9" t="s">
        <v>25</v>
      </c>
      <c r="G9" s="2">
        <v>45931</v>
      </c>
      <c r="H9" s="2">
        <v>45925</v>
      </c>
      <c r="I9" t="s">
        <v>7</v>
      </c>
      <c r="J9" t="s">
        <v>8</v>
      </c>
      <c r="K9" t="s">
        <v>11</v>
      </c>
      <c r="L9" s="3">
        <v>-500000</v>
      </c>
      <c r="M9" t="s">
        <v>11</v>
      </c>
      <c r="N9" s="3">
        <v>-500000</v>
      </c>
      <c r="O9" t="s">
        <v>27</v>
      </c>
      <c r="P9" t="s">
        <v>7</v>
      </c>
      <c r="Q9" t="s">
        <v>7</v>
      </c>
      <c r="R9" t="s">
        <v>7</v>
      </c>
    </row>
    <row r="10" spans="1:19">
      <c r="A10" t="s">
        <v>2</v>
      </c>
      <c r="B10" t="s">
        <v>3</v>
      </c>
      <c r="C10" t="s">
        <v>29</v>
      </c>
      <c r="D10" s="2">
        <v>45931</v>
      </c>
      <c r="E10" s="13">
        <v>1400000045</v>
      </c>
      <c r="F10" t="s">
        <v>25</v>
      </c>
      <c r="G10" s="2">
        <v>45931</v>
      </c>
      <c r="H10" s="2">
        <v>45925</v>
      </c>
      <c r="I10" t="s">
        <v>7</v>
      </c>
      <c r="J10" t="s">
        <v>8</v>
      </c>
      <c r="K10" t="s">
        <v>11</v>
      </c>
      <c r="L10" s="3">
        <v>-500000</v>
      </c>
      <c r="M10" t="s">
        <v>11</v>
      </c>
      <c r="N10" s="3">
        <v>-500000</v>
      </c>
      <c r="O10" t="s">
        <v>27</v>
      </c>
      <c r="P10" t="s">
        <v>7</v>
      </c>
      <c r="Q10" t="s">
        <v>7</v>
      </c>
      <c r="R10" t="s">
        <v>7</v>
      </c>
    </row>
    <row r="11" spans="1:19">
      <c r="A11" t="s">
        <v>2</v>
      </c>
      <c r="B11" t="s">
        <v>3</v>
      </c>
      <c r="C11" t="s">
        <v>29</v>
      </c>
      <c r="D11" s="2">
        <v>45931</v>
      </c>
      <c r="E11" s="13">
        <v>1400000046</v>
      </c>
      <c r="F11" t="s">
        <v>25</v>
      </c>
      <c r="G11" s="2">
        <v>45931</v>
      </c>
      <c r="H11" s="2">
        <v>45925</v>
      </c>
      <c r="I11" t="s">
        <v>7</v>
      </c>
      <c r="J11" t="s">
        <v>8</v>
      </c>
      <c r="K11" t="s">
        <v>11</v>
      </c>
      <c r="L11" s="3">
        <v>-500000</v>
      </c>
      <c r="M11" t="s">
        <v>11</v>
      </c>
      <c r="N11" s="3">
        <v>-500000</v>
      </c>
      <c r="O11" t="s">
        <v>27</v>
      </c>
      <c r="P11" t="s">
        <v>7</v>
      </c>
      <c r="Q11" t="s">
        <v>7</v>
      </c>
      <c r="R11" t="s">
        <v>7</v>
      </c>
    </row>
    <row r="12" spans="1:19">
      <c r="A12" t="s">
        <v>2</v>
      </c>
      <c r="B12" t="s">
        <v>3</v>
      </c>
      <c r="C12" t="s">
        <v>29</v>
      </c>
      <c r="D12" s="2">
        <v>45959</v>
      </c>
      <c r="E12" s="13">
        <v>1400000055</v>
      </c>
      <c r="F12" t="s">
        <v>25</v>
      </c>
      <c r="G12" s="2">
        <v>45959</v>
      </c>
      <c r="H12" s="2">
        <v>45959</v>
      </c>
      <c r="I12" t="s">
        <v>7</v>
      </c>
      <c r="J12" t="s">
        <v>8</v>
      </c>
      <c r="K12" t="s">
        <v>11</v>
      </c>
      <c r="L12" s="3">
        <v>-5000000</v>
      </c>
      <c r="M12" t="s">
        <v>11</v>
      </c>
      <c r="N12" s="3">
        <v>-5000000</v>
      </c>
      <c r="O12" t="s">
        <v>27</v>
      </c>
      <c r="P12" t="s">
        <v>7</v>
      </c>
      <c r="Q12" t="s">
        <v>7</v>
      </c>
      <c r="R12" t="s">
        <v>7</v>
      </c>
    </row>
    <row r="13" spans="1:19">
      <c r="A13" t="s">
        <v>2</v>
      </c>
      <c r="B13" t="s">
        <v>3</v>
      </c>
      <c r="C13" t="s">
        <v>16</v>
      </c>
      <c r="D13" s="2">
        <v>45701</v>
      </c>
      <c r="E13" s="13">
        <v>7000000036</v>
      </c>
      <c r="F13" t="s">
        <v>35</v>
      </c>
      <c r="G13" s="2">
        <v>45701</v>
      </c>
      <c r="H13" s="2">
        <v>45701</v>
      </c>
      <c r="I13" t="s">
        <v>36</v>
      </c>
      <c r="J13" t="s">
        <v>8</v>
      </c>
      <c r="K13" t="s">
        <v>11</v>
      </c>
      <c r="L13" s="3">
        <v>-1</v>
      </c>
      <c r="M13" t="s">
        <v>11</v>
      </c>
      <c r="N13" s="3">
        <v>-1</v>
      </c>
      <c r="O13" t="s">
        <v>12</v>
      </c>
      <c r="P13" t="s">
        <v>7</v>
      </c>
      <c r="Q13" t="s">
        <v>36</v>
      </c>
      <c r="R13" t="s">
        <v>14</v>
      </c>
    </row>
    <row r="14" spans="1:19">
      <c r="A14" t="s">
        <v>2</v>
      </c>
      <c r="B14" t="s">
        <v>3</v>
      </c>
      <c r="C14" t="s">
        <v>38</v>
      </c>
      <c r="D14" s="2">
        <v>45744</v>
      </c>
      <c r="E14" s="13">
        <v>7000000128</v>
      </c>
      <c r="F14" t="s">
        <v>35</v>
      </c>
      <c r="G14" s="2">
        <v>45701</v>
      </c>
      <c r="H14" s="2">
        <v>45744</v>
      </c>
      <c r="I14" t="s">
        <v>39</v>
      </c>
      <c r="J14" t="s">
        <v>8</v>
      </c>
      <c r="K14" t="s">
        <v>11</v>
      </c>
      <c r="L14" s="3">
        <v>1</v>
      </c>
      <c r="M14" t="s">
        <v>11</v>
      </c>
      <c r="N14" s="3">
        <v>1</v>
      </c>
      <c r="O14" t="s">
        <v>12</v>
      </c>
      <c r="P14" t="s">
        <v>7</v>
      </c>
      <c r="Q14" t="s">
        <v>36</v>
      </c>
      <c r="R14" t="s">
        <v>14</v>
      </c>
    </row>
    <row r="15" spans="1:19">
      <c r="A15" t="s">
        <v>2</v>
      </c>
      <c r="B15" t="s">
        <v>3</v>
      </c>
      <c r="C15" t="s">
        <v>4</v>
      </c>
      <c r="D15" s="2">
        <v>45748</v>
      </c>
      <c r="E15" s="13">
        <v>7000000131</v>
      </c>
      <c r="F15" t="s">
        <v>35</v>
      </c>
      <c r="G15" s="2">
        <v>45743</v>
      </c>
      <c r="H15" s="2">
        <v>45749</v>
      </c>
      <c r="I15" t="s">
        <v>42</v>
      </c>
      <c r="J15" t="s">
        <v>8</v>
      </c>
      <c r="K15" t="s">
        <v>11</v>
      </c>
      <c r="L15" s="3">
        <v>-1500000</v>
      </c>
      <c r="M15" t="s">
        <v>11</v>
      </c>
      <c r="N15" s="3">
        <v>-1500000</v>
      </c>
      <c r="O15" t="s">
        <v>27</v>
      </c>
      <c r="P15" t="s">
        <v>7</v>
      </c>
      <c r="Q15" t="s">
        <v>42</v>
      </c>
      <c r="R15" t="s">
        <v>43</v>
      </c>
    </row>
    <row r="16" spans="1:19">
      <c r="A16" t="s">
        <v>2</v>
      </c>
      <c r="B16" t="s">
        <v>3</v>
      </c>
      <c r="C16" t="s">
        <v>37</v>
      </c>
      <c r="D16" s="2">
        <v>45976</v>
      </c>
      <c r="E16" s="13">
        <v>1400000084</v>
      </c>
      <c r="F16" t="s">
        <v>18</v>
      </c>
      <c r="G16" s="2">
        <v>45976</v>
      </c>
      <c r="H16" s="2">
        <v>45976</v>
      </c>
      <c r="I16" t="s">
        <v>46</v>
      </c>
      <c r="J16" t="s">
        <v>8</v>
      </c>
      <c r="K16" t="s">
        <v>21</v>
      </c>
      <c r="L16" s="3">
        <v>150</v>
      </c>
      <c r="M16" t="s">
        <v>11</v>
      </c>
      <c r="N16" s="3">
        <v>12897.56</v>
      </c>
      <c r="O16" t="s">
        <v>12</v>
      </c>
      <c r="P16" t="s">
        <v>7</v>
      </c>
      <c r="Q16" t="s">
        <v>7</v>
      </c>
      <c r="R16" t="s">
        <v>7</v>
      </c>
    </row>
    <row r="17" spans="1:19">
      <c r="A17" t="s">
        <v>2</v>
      </c>
      <c r="B17" t="s">
        <v>3</v>
      </c>
      <c r="C17" t="s">
        <v>37</v>
      </c>
      <c r="D17" s="2">
        <v>45976</v>
      </c>
      <c r="E17" s="13">
        <v>1400000084</v>
      </c>
      <c r="F17" t="s">
        <v>18</v>
      </c>
      <c r="G17" s="2">
        <v>45976</v>
      </c>
      <c r="H17" s="2">
        <v>45976</v>
      </c>
      <c r="I17" t="s">
        <v>46</v>
      </c>
      <c r="J17" t="s">
        <v>8</v>
      </c>
      <c r="K17" t="s">
        <v>21</v>
      </c>
      <c r="L17" s="3">
        <v>-150</v>
      </c>
      <c r="M17" t="s">
        <v>11</v>
      </c>
      <c r="N17" s="3">
        <v>-13038.28</v>
      </c>
      <c r="O17" t="s">
        <v>12</v>
      </c>
      <c r="P17" t="s">
        <v>7</v>
      </c>
      <c r="Q17" t="s">
        <v>7</v>
      </c>
      <c r="R17" t="s">
        <v>7</v>
      </c>
    </row>
    <row r="18" spans="1:19">
      <c r="A18" t="s">
        <v>2</v>
      </c>
      <c r="B18" t="s">
        <v>3</v>
      </c>
      <c r="C18" t="s">
        <v>24</v>
      </c>
      <c r="D18" s="2">
        <v>45889</v>
      </c>
      <c r="E18" s="13">
        <v>1800000477</v>
      </c>
      <c r="F18" t="s">
        <v>47</v>
      </c>
      <c r="G18" s="2">
        <v>45889</v>
      </c>
      <c r="H18" s="2">
        <v>45891</v>
      </c>
      <c r="I18" s="16">
        <v>256788410349</v>
      </c>
      <c r="J18" t="s">
        <v>8</v>
      </c>
      <c r="K18" t="s">
        <v>21</v>
      </c>
      <c r="L18" s="3">
        <v>100</v>
      </c>
      <c r="M18" t="s">
        <v>11</v>
      </c>
      <c r="N18" s="3">
        <v>8603.01</v>
      </c>
      <c r="O18" t="s">
        <v>12</v>
      </c>
      <c r="P18" t="s">
        <v>7</v>
      </c>
      <c r="Q18" t="s">
        <v>45</v>
      </c>
      <c r="R18" t="s">
        <v>49</v>
      </c>
      <c r="S18" t="s">
        <v>335</v>
      </c>
    </row>
    <row r="19" spans="1:19">
      <c r="A19" t="s">
        <v>2</v>
      </c>
      <c r="B19" t="s">
        <v>3</v>
      </c>
      <c r="C19" t="s">
        <v>50</v>
      </c>
      <c r="D19" s="2">
        <v>45904</v>
      </c>
      <c r="E19" s="13">
        <v>1800000479</v>
      </c>
      <c r="F19" t="s">
        <v>47</v>
      </c>
      <c r="G19" s="2">
        <v>45904</v>
      </c>
      <c r="H19" s="2">
        <v>45909</v>
      </c>
      <c r="I19" s="16">
        <v>256788410353</v>
      </c>
      <c r="J19" t="s">
        <v>8</v>
      </c>
      <c r="K19" t="s">
        <v>21</v>
      </c>
      <c r="L19" s="3">
        <v>100</v>
      </c>
      <c r="M19" t="s">
        <v>11</v>
      </c>
      <c r="N19" s="3">
        <v>8751.43</v>
      </c>
      <c r="O19" t="s">
        <v>12</v>
      </c>
      <c r="P19" t="s">
        <v>7</v>
      </c>
      <c r="Q19" t="s">
        <v>45</v>
      </c>
      <c r="R19" t="s">
        <v>51</v>
      </c>
      <c r="S19" t="s">
        <v>335</v>
      </c>
    </row>
    <row r="20" spans="1:19">
      <c r="A20" t="s">
        <v>2</v>
      </c>
      <c r="B20" t="s">
        <v>3</v>
      </c>
      <c r="C20" t="s">
        <v>4</v>
      </c>
      <c r="D20" s="2">
        <v>45751</v>
      </c>
      <c r="E20" s="13">
        <v>1800000152</v>
      </c>
      <c r="F20" t="s">
        <v>47</v>
      </c>
      <c r="G20" s="2">
        <v>45751</v>
      </c>
      <c r="H20" s="2">
        <v>45756</v>
      </c>
      <c r="I20" s="16">
        <v>256788410027</v>
      </c>
      <c r="J20" t="s">
        <v>8</v>
      </c>
      <c r="K20" t="s">
        <v>21</v>
      </c>
      <c r="L20" s="3">
        <v>170</v>
      </c>
      <c r="M20" t="s">
        <v>11</v>
      </c>
      <c r="N20" s="3">
        <v>14776.71</v>
      </c>
      <c r="O20" t="s">
        <v>7</v>
      </c>
      <c r="P20" t="s">
        <v>7</v>
      </c>
      <c r="Q20" t="s">
        <v>45</v>
      </c>
      <c r="R20" t="s">
        <v>52</v>
      </c>
      <c r="S20" t="s">
        <v>335</v>
      </c>
    </row>
    <row r="21" spans="1:19">
      <c r="A21" t="s">
        <v>2</v>
      </c>
      <c r="B21" t="s">
        <v>3</v>
      </c>
      <c r="C21" t="s">
        <v>38</v>
      </c>
      <c r="D21" s="2">
        <v>45722</v>
      </c>
      <c r="E21" s="13">
        <v>1800000050</v>
      </c>
      <c r="F21" t="s">
        <v>47</v>
      </c>
      <c r="G21" s="2">
        <v>45722</v>
      </c>
      <c r="H21" s="2">
        <v>45722</v>
      </c>
      <c r="I21" s="16">
        <v>246788410045</v>
      </c>
      <c r="J21" t="s">
        <v>8</v>
      </c>
      <c r="K21" t="s">
        <v>21</v>
      </c>
      <c r="L21" s="3">
        <v>841.24</v>
      </c>
      <c r="M21" t="s">
        <v>11</v>
      </c>
      <c r="N21" s="3">
        <v>72928.160000000003</v>
      </c>
      <c r="O21" t="s">
        <v>12</v>
      </c>
      <c r="P21" t="s">
        <v>7</v>
      </c>
      <c r="Q21" t="s">
        <v>45</v>
      </c>
      <c r="R21" t="s">
        <v>53</v>
      </c>
      <c r="S21" t="s">
        <v>334</v>
      </c>
    </row>
    <row r="22" spans="1:19">
      <c r="A22" t="s">
        <v>2</v>
      </c>
      <c r="B22" t="s">
        <v>3</v>
      </c>
      <c r="C22" t="s">
        <v>38</v>
      </c>
      <c r="D22" s="2">
        <v>45722</v>
      </c>
      <c r="E22" s="13">
        <v>1800000051</v>
      </c>
      <c r="F22" t="s">
        <v>47</v>
      </c>
      <c r="G22" s="2">
        <v>45722</v>
      </c>
      <c r="H22" s="2">
        <v>45722</v>
      </c>
      <c r="I22" s="16">
        <v>246788410046</v>
      </c>
      <c r="J22" t="s">
        <v>8</v>
      </c>
      <c r="K22" t="s">
        <v>21</v>
      </c>
      <c r="L22" s="3">
        <v>4169.66</v>
      </c>
      <c r="M22" t="s">
        <v>11</v>
      </c>
      <c r="N22" s="3">
        <v>361473.08</v>
      </c>
      <c r="O22" t="s">
        <v>12</v>
      </c>
      <c r="P22" t="s">
        <v>7</v>
      </c>
      <c r="Q22" t="s">
        <v>45</v>
      </c>
      <c r="R22" t="s">
        <v>54</v>
      </c>
      <c r="S22" t="s">
        <v>334</v>
      </c>
    </row>
    <row r="23" spans="1:19">
      <c r="A23" t="s">
        <v>2</v>
      </c>
      <c r="B23" t="s">
        <v>3</v>
      </c>
      <c r="C23" t="s">
        <v>38</v>
      </c>
      <c r="D23" s="2">
        <v>45719</v>
      </c>
      <c r="E23" s="13">
        <v>1800000045</v>
      </c>
      <c r="F23" t="s">
        <v>47</v>
      </c>
      <c r="G23" s="2">
        <v>45719</v>
      </c>
      <c r="H23" s="2">
        <v>45719</v>
      </c>
      <c r="I23" s="16">
        <v>246788410039</v>
      </c>
      <c r="J23" t="s">
        <v>8</v>
      </c>
      <c r="K23" t="s">
        <v>21</v>
      </c>
      <c r="L23" s="3">
        <v>1044.69</v>
      </c>
      <c r="M23" t="s">
        <v>11</v>
      </c>
      <c r="N23" s="3">
        <v>90565.49</v>
      </c>
      <c r="O23" t="s">
        <v>12</v>
      </c>
      <c r="P23" t="s">
        <v>7</v>
      </c>
      <c r="Q23" t="s">
        <v>45</v>
      </c>
      <c r="R23" t="s">
        <v>55</v>
      </c>
      <c r="S23" t="s">
        <v>337</v>
      </c>
    </row>
    <row r="24" spans="1:19">
      <c r="A24" t="s">
        <v>2</v>
      </c>
      <c r="B24" t="s">
        <v>3</v>
      </c>
      <c r="C24" t="s">
        <v>38</v>
      </c>
      <c r="D24" s="2">
        <v>45719</v>
      </c>
      <c r="E24" s="13">
        <v>1800000046</v>
      </c>
      <c r="F24" t="s">
        <v>47</v>
      </c>
      <c r="G24" s="2">
        <v>45719</v>
      </c>
      <c r="H24" s="2">
        <v>45719</v>
      </c>
      <c r="I24" s="16">
        <v>246788410040</v>
      </c>
      <c r="J24" t="s">
        <v>8</v>
      </c>
      <c r="K24" t="s">
        <v>21</v>
      </c>
      <c r="L24" s="3">
        <v>129.97999999999999</v>
      </c>
      <c r="M24" t="s">
        <v>11</v>
      </c>
      <c r="N24" s="3">
        <v>11268.13</v>
      </c>
      <c r="O24" t="s">
        <v>12</v>
      </c>
      <c r="P24" t="s">
        <v>7</v>
      </c>
      <c r="Q24" t="s">
        <v>45</v>
      </c>
      <c r="R24" t="s">
        <v>56</v>
      </c>
      <c r="S24" t="s">
        <v>337</v>
      </c>
    </row>
    <row r="25" spans="1:19">
      <c r="A25" t="s">
        <v>2</v>
      </c>
      <c r="B25" t="s">
        <v>3</v>
      </c>
      <c r="C25" t="s">
        <v>38</v>
      </c>
      <c r="D25" s="2">
        <v>45719</v>
      </c>
      <c r="E25" s="13">
        <v>1800000047</v>
      </c>
      <c r="F25" t="s">
        <v>47</v>
      </c>
      <c r="G25" s="2">
        <v>45719</v>
      </c>
      <c r="H25" s="2">
        <v>45719</v>
      </c>
      <c r="I25" s="16">
        <v>246788410042</v>
      </c>
      <c r="J25" t="s">
        <v>8</v>
      </c>
      <c r="K25" t="s">
        <v>21</v>
      </c>
      <c r="L25" s="3">
        <v>4421.13</v>
      </c>
      <c r="M25" t="s">
        <v>11</v>
      </c>
      <c r="N25" s="3">
        <v>383273.33</v>
      </c>
      <c r="O25" t="s">
        <v>12</v>
      </c>
      <c r="P25" t="s">
        <v>7</v>
      </c>
      <c r="Q25" t="s">
        <v>45</v>
      </c>
      <c r="R25" t="s">
        <v>57</v>
      </c>
      <c r="S25" t="s">
        <v>334</v>
      </c>
    </row>
    <row r="26" spans="1:19">
      <c r="A26" t="s">
        <v>2</v>
      </c>
      <c r="B26" t="s">
        <v>3</v>
      </c>
      <c r="C26" t="s">
        <v>38</v>
      </c>
      <c r="D26" s="2">
        <v>45719</v>
      </c>
      <c r="E26" s="13">
        <v>1800000048</v>
      </c>
      <c r="F26" t="s">
        <v>47</v>
      </c>
      <c r="G26" s="2">
        <v>45719</v>
      </c>
      <c r="H26" s="2">
        <v>45719</v>
      </c>
      <c r="I26" s="16">
        <v>246788410043</v>
      </c>
      <c r="J26" t="s">
        <v>8</v>
      </c>
      <c r="K26" t="s">
        <v>21</v>
      </c>
      <c r="L26" s="3">
        <v>2730.01</v>
      </c>
      <c r="M26" t="s">
        <v>11</v>
      </c>
      <c r="N26" s="3">
        <v>236668.01</v>
      </c>
      <c r="O26" t="s">
        <v>12</v>
      </c>
      <c r="P26" t="s">
        <v>7</v>
      </c>
      <c r="Q26" t="s">
        <v>45</v>
      </c>
      <c r="R26" t="s">
        <v>58</v>
      </c>
      <c r="S26" t="s">
        <v>334</v>
      </c>
    </row>
    <row r="27" spans="1:19">
      <c r="A27" t="s">
        <v>2</v>
      </c>
      <c r="B27" t="s">
        <v>3</v>
      </c>
      <c r="C27" t="s">
        <v>38</v>
      </c>
      <c r="D27" s="2">
        <v>45719</v>
      </c>
      <c r="E27" s="13">
        <v>1800000049</v>
      </c>
      <c r="F27" t="s">
        <v>47</v>
      </c>
      <c r="G27" s="2">
        <v>45719</v>
      </c>
      <c r="H27" s="2">
        <v>45719</v>
      </c>
      <c r="I27" s="16">
        <v>246788410044</v>
      </c>
      <c r="J27" t="s">
        <v>8</v>
      </c>
      <c r="K27" t="s">
        <v>21</v>
      </c>
      <c r="L27" s="3">
        <v>474.24</v>
      </c>
      <c r="M27" t="s">
        <v>11</v>
      </c>
      <c r="N27" s="3">
        <v>41112.46</v>
      </c>
      <c r="O27" t="s">
        <v>12</v>
      </c>
      <c r="P27" t="s">
        <v>7</v>
      </c>
      <c r="Q27" t="s">
        <v>45</v>
      </c>
      <c r="R27" t="s">
        <v>59</v>
      </c>
      <c r="S27" t="s">
        <v>334</v>
      </c>
    </row>
    <row r="28" spans="1:19">
      <c r="A28" t="s">
        <v>2</v>
      </c>
      <c r="B28" t="s">
        <v>3</v>
      </c>
      <c r="C28" t="s">
        <v>24</v>
      </c>
      <c r="D28" s="2">
        <v>45870</v>
      </c>
      <c r="E28" s="13">
        <v>1800000447</v>
      </c>
      <c r="F28" t="s">
        <v>47</v>
      </c>
      <c r="G28" s="2">
        <v>45870</v>
      </c>
      <c r="H28" s="2">
        <v>45870</v>
      </c>
      <c r="I28" s="16">
        <v>256788410322</v>
      </c>
      <c r="J28" t="s">
        <v>8</v>
      </c>
      <c r="K28" t="s">
        <v>21</v>
      </c>
      <c r="L28" s="3">
        <v>75</v>
      </c>
      <c r="M28" t="s">
        <v>11</v>
      </c>
      <c r="N28" s="3">
        <v>6452.26</v>
      </c>
      <c r="O28" t="s">
        <v>12</v>
      </c>
      <c r="P28" t="s">
        <v>7</v>
      </c>
      <c r="Q28" t="s">
        <v>45</v>
      </c>
      <c r="R28" t="s">
        <v>60</v>
      </c>
      <c r="S28" t="s">
        <v>334</v>
      </c>
    </row>
    <row r="29" spans="1:19">
      <c r="A29" t="s">
        <v>2</v>
      </c>
      <c r="B29" t="s">
        <v>3</v>
      </c>
      <c r="C29" t="s">
        <v>61</v>
      </c>
      <c r="D29" s="2">
        <v>45818</v>
      </c>
      <c r="E29" s="13">
        <v>1800000353</v>
      </c>
      <c r="F29" t="s">
        <v>47</v>
      </c>
      <c r="G29" s="2">
        <v>45818</v>
      </c>
      <c r="H29" s="2">
        <v>45825</v>
      </c>
      <c r="I29" s="16">
        <v>256788410228</v>
      </c>
      <c r="J29" t="s">
        <v>8</v>
      </c>
      <c r="K29" t="s">
        <v>21</v>
      </c>
      <c r="L29" s="3">
        <v>75</v>
      </c>
      <c r="M29" t="s">
        <v>11</v>
      </c>
      <c r="N29" s="3">
        <v>6411.81</v>
      </c>
      <c r="O29" t="s">
        <v>12</v>
      </c>
      <c r="P29" t="s">
        <v>7</v>
      </c>
      <c r="Q29" t="s">
        <v>45</v>
      </c>
      <c r="R29" t="s">
        <v>62</v>
      </c>
      <c r="S29" t="s">
        <v>334</v>
      </c>
    </row>
    <row r="30" spans="1:19">
      <c r="A30" t="s">
        <v>2</v>
      </c>
      <c r="B30" t="s">
        <v>3</v>
      </c>
      <c r="C30" t="s">
        <v>50</v>
      </c>
      <c r="D30" s="2">
        <v>45917</v>
      </c>
      <c r="E30" s="13">
        <v>1800000504</v>
      </c>
      <c r="F30" t="s">
        <v>47</v>
      </c>
      <c r="G30" s="2">
        <v>45917</v>
      </c>
      <c r="H30" s="2">
        <v>45924</v>
      </c>
      <c r="I30" s="16">
        <v>256788410379</v>
      </c>
      <c r="J30" t="s">
        <v>8</v>
      </c>
      <c r="K30" t="s">
        <v>21</v>
      </c>
      <c r="L30" s="3">
        <v>53.78</v>
      </c>
      <c r="M30" t="s">
        <v>11</v>
      </c>
      <c r="N30" s="3">
        <v>4706.5200000000004</v>
      </c>
      <c r="O30" t="s">
        <v>12</v>
      </c>
      <c r="P30" t="s">
        <v>7</v>
      </c>
      <c r="Q30" t="s">
        <v>63</v>
      </c>
      <c r="R30" t="s">
        <v>64</v>
      </c>
      <c r="S30" t="s">
        <v>339</v>
      </c>
    </row>
    <row r="31" spans="1:19">
      <c r="A31" t="s">
        <v>2</v>
      </c>
      <c r="B31" t="s">
        <v>3</v>
      </c>
      <c r="C31" t="s">
        <v>50</v>
      </c>
      <c r="D31" s="2">
        <v>45917</v>
      </c>
      <c r="E31" s="13">
        <v>1800000507</v>
      </c>
      <c r="F31" t="s">
        <v>47</v>
      </c>
      <c r="G31" s="2">
        <v>45917</v>
      </c>
      <c r="H31" s="2">
        <v>45924</v>
      </c>
      <c r="I31" s="16">
        <v>256788410382</v>
      </c>
      <c r="J31" t="s">
        <v>8</v>
      </c>
      <c r="K31" t="s">
        <v>21</v>
      </c>
      <c r="L31" s="3">
        <v>102.14</v>
      </c>
      <c r="M31" t="s">
        <v>11</v>
      </c>
      <c r="N31" s="3">
        <v>8938.7099999999991</v>
      </c>
      <c r="O31" t="s">
        <v>12</v>
      </c>
      <c r="P31" t="s">
        <v>7</v>
      </c>
      <c r="Q31" t="s">
        <v>65</v>
      </c>
      <c r="R31" t="s">
        <v>66</v>
      </c>
      <c r="S31" t="s">
        <v>339</v>
      </c>
    </row>
    <row r="32" spans="1:19">
      <c r="A32" t="s">
        <v>2</v>
      </c>
      <c r="B32" t="s">
        <v>3</v>
      </c>
      <c r="C32" t="s">
        <v>67</v>
      </c>
      <c r="D32" s="2">
        <v>45785</v>
      </c>
      <c r="E32" s="13">
        <v>1800000341</v>
      </c>
      <c r="F32" t="s">
        <v>47</v>
      </c>
      <c r="G32" s="2">
        <v>45785</v>
      </c>
      <c r="H32" s="2">
        <v>45800</v>
      </c>
      <c r="I32" s="16">
        <v>256788410216</v>
      </c>
      <c r="J32" t="s">
        <v>8</v>
      </c>
      <c r="K32" t="s">
        <v>21</v>
      </c>
      <c r="L32" s="3">
        <v>8.4499999999999993</v>
      </c>
      <c r="M32" t="s">
        <v>11</v>
      </c>
      <c r="N32" s="3">
        <v>726.56</v>
      </c>
      <c r="O32" t="s">
        <v>12</v>
      </c>
      <c r="P32" t="s">
        <v>7</v>
      </c>
      <c r="Q32" t="s">
        <v>45</v>
      </c>
      <c r="R32" t="s">
        <v>68</v>
      </c>
      <c r="S32" t="s">
        <v>338</v>
      </c>
    </row>
    <row r="33" spans="1:19">
      <c r="A33" t="s">
        <v>2</v>
      </c>
      <c r="B33" t="s">
        <v>3</v>
      </c>
      <c r="C33" t="s">
        <v>67</v>
      </c>
      <c r="D33" s="2">
        <v>45785</v>
      </c>
      <c r="E33" s="13">
        <v>1800000342</v>
      </c>
      <c r="F33" t="s">
        <v>47</v>
      </c>
      <c r="G33" s="2">
        <v>45785</v>
      </c>
      <c r="H33" s="2">
        <v>45800</v>
      </c>
      <c r="I33" s="16">
        <v>256788410217</v>
      </c>
      <c r="J33" t="s">
        <v>8</v>
      </c>
      <c r="K33" t="s">
        <v>21</v>
      </c>
      <c r="L33" s="3">
        <v>37.659999999999997</v>
      </c>
      <c r="M33" t="s">
        <v>11</v>
      </c>
      <c r="N33" s="3">
        <v>3238.15</v>
      </c>
      <c r="O33" t="s">
        <v>12</v>
      </c>
      <c r="P33" t="s">
        <v>7</v>
      </c>
      <c r="Q33" t="s">
        <v>45</v>
      </c>
      <c r="R33" t="s">
        <v>69</v>
      </c>
      <c r="S33" t="s">
        <v>338</v>
      </c>
    </row>
    <row r="34" spans="1:19">
      <c r="A34" t="s">
        <v>2</v>
      </c>
      <c r="B34" t="s">
        <v>3</v>
      </c>
      <c r="C34" t="s">
        <v>67</v>
      </c>
      <c r="D34" s="2">
        <v>45785</v>
      </c>
      <c r="E34" s="13">
        <v>1800000343</v>
      </c>
      <c r="F34" t="s">
        <v>47</v>
      </c>
      <c r="G34" s="2">
        <v>45785</v>
      </c>
      <c r="H34" s="2">
        <v>45800</v>
      </c>
      <c r="I34" s="16">
        <v>256788410218</v>
      </c>
      <c r="J34" t="s">
        <v>8</v>
      </c>
      <c r="K34" t="s">
        <v>21</v>
      </c>
      <c r="L34" s="3">
        <v>13.18</v>
      </c>
      <c r="M34" t="s">
        <v>11</v>
      </c>
      <c r="N34" s="3">
        <v>1133.27</v>
      </c>
      <c r="O34" t="s">
        <v>12</v>
      </c>
      <c r="P34" t="s">
        <v>7</v>
      </c>
      <c r="Q34" t="s">
        <v>45</v>
      </c>
      <c r="R34" t="s">
        <v>70</v>
      </c>
      <c r="S34" t="s">
        <v>338</v>
      </c>
    </row>
    <row r="35" spans="1:19">
      <c r="A35" t="s">
        <v>2</v>
      </c>
      <c r="B35" t="s">
        <v>3</v>
      </c>
      <c r="C35" t="s">
        <v>29</v>
      </c>
      <c r="D35" s="2">
        <v>45947</v>
      </c>
      <c r="E35" s="13">
        <v>1600000261</v>
      </c>
      <c r="F35" t="s">
        <v>71</v>
      </c>
      <c r="G35" s="2">
        <v>45947</v>
      </c>
      <c r="H35" s="2">
        <v>45953</v>
      </c>
      <c r="I35" s="16">
        <v>256788420141</v>
      </c>
      <c r="J35" t="s">
        <v>8</v>
      </c>
      <c r="K35" t="s">
        <v>21</v>
      </c>
      <c r="L35" s="3">
        <v>-1211.9000000000001</v>
      </c>
      <c r="M35" t="s">
        <v>11</v>
      </c>
      <c r="N35" s="3">
        <v>-106878.39</v>
      </c>
      <c r="O35" t="s">
        <v>12</v>
      </c>
      <c r="P35" t="s">
        <v>7</v>
      </c>
      <c r="Q35" t="s">
        <v>72</v>
      </c>
      <c r="R35" t="s">
        <v>73</v>
      </c>
    </row>
    <row r="36" spans="1:19">
      <c r="A36" t="s">
        <v>2</v>
      </c>
      <c r="B36" t="s">
        <v>3</v>
      </c>
      <c r="C36" t="s">
        <v>29</v>
      </c>
      <c r="D36" s="2">
        <v>45947</v>
      </c>
      <c r="E36" s="13">
        <v>1600000262</v>
      </c>
      <c r="F36" t="s">
        <v>71</v>
      </c>
      <c r="G36" s="2">
        <v>45947</v>
      </c>
      <c r="H36" s="2">
        <v>45953</v>
      </c>
      <c r="I36" s="16">
        <v>256788420142</v>
      </c>
      <c r="J36" t="s">
        <v>8</v>
      </c>
      <c r="K36" t="s">
        <v>21</v>
      </c>
      <c r="L36" s="3">
        <v>-40</v>
      </c>
      <c r="M36" t="s">
        <v>11</v>
      </c>
      <c r="N36" s="3">
        <v>-3527.63</v>
      </c>
      <c r="O36" t="s">
        <v>12</v>
      </c>
      <c r="P36" t="s">
        <v>7</v>
      </c>
      <c r="Q36" t="s">
        <v>72</v>
      </c>
      <c r="R36" t="s">
        <v>74</v>
      </c>
    </row>
    <row r="37" spans="1:19">
      <c r="A37" t="s">
        <v>2</v>
      </c>
      <c r="B37" t="s">
        <v>3</v>
      </c>
      <c r="C37" t="s">
        <v>29</v>
      </c>
      <c r="D37" s="2">
        <v>45947</v>
      </c>
      <c r="E37" s="13">
        <v>1600000263</v>
      </c>
      <c r="F37" t="s">
        <v>71</v>
      </c>
      <c r="G37" s="2">
        <v>45947</v>
      </c>
      <c r="H37" s="2">
        <v>45953</v>
      </c>
      <c r="I37" s="16">
        <v>256788420143</v>
      </c>
      <c r="J37" t="s">
        <v>8</v>
      </c>
      <c r="K37" t="s">
        <v>21</v>
      </c>
      <c r="L37" s="3">
        <v>-11.26</v>
      </c>
      <c r="M37" t="s">
        <v>11</v>
      </c>
      <c r="N37" s="3">
        <v>-993.03</v>
      </c>
      <c r="O37" t="s">
        <v>12</v>
      </c>
      <c r="P37" t="s">
        <v>7</v>
      </c>
      <c r="Q37" t="s">
        <v>72</v>
      </c>
      <c r="R37" t="s">
        <v>75</v>
      </c>
    </row>
    <row r="38" spans="1:19">
      <c r="A38" t="s">
        <v>2</v>
      </c>
      <c r="B38" t="s">
        <v>3</v>
      </c>
      <c r="C38" t="s">
        <v>4</v>
      </c>
      <c r="D38" s="2">
        <v>45763</v>
      </c>
      <c r="E38" s="13">
        <v>1800007124</v>
      </c>
      <c r="F38" t="s">
        <v>47</v>
      </c>
      <c r="G38" s="2">
        <v>45763</v>
      </c>
      <c r="H38" s="2">
        <v>45764</v>
      </c>
      <c r="I38" s="16">
        <v>256779412015</v>
      </c>
      <c r="J38" t="s">
        <v>8</v>
      </c>
      <c r="K38" t="s">
        <v>21</v>
      </c>
      <c r="L38" s="3">
        <v>86.56</v>
      </c>
      <c r="M38" t="s">
        <v>11</v>
      </c>
      <c r="N38" s="3">
        <v>7523.95</v>
      </c>
      <c r="O38" t="s">
        <v>76</v>
      </c>
      <c r="P38" t="s">
        <v>7</v>
      </c>
      <c r="Q38" t="s">
        <v>45</v>
      </c>
      <c r="R38" t="s">
        <v>77</v>
      </c>
      <c r="S38" t="s">
        <v>339</v>
      </c>
    </row>
    <row r="39" spans="1:19">
      <c r="A39" t="s">
        <v>2</v>
      </c>
      <c r="B39" t="s">
        <v>3</v>
      </c>
      <c r="C39" t="s">
        <v>4</v>
      </c>
      <c r="D39" s="2">
        <v>45763</v>
      </c>
      <c r="E39" s="13">
        <v>1800007167</v>
      </c>
      <c r="F39" t="s">
        <v>47</v>
      </c>
      <c r="G39" s="2">
        <v>45763</v>
      </c>
      <c r="H39" s="2">
        <v>45764</v>
      </c>
      <c r="I39" s="16">
        <v>256779412058</v>
      </c>
      <c r="J39" t="s">
        <v>8</v>
      </c>
      <c r="K39" t="s">
        <v>21</v>
      </c>
      <c r="L39" s="3">
        <v>188.84</v>
      </c>
      <c r="M39" t="s">
        <v>11</v>
      </c>
      <c r="N39" s="3">
        <v>16414.32</v>
      </c>
      <c r="O39" t="s">
        <v>76</v>
      </c>
      <c r="P39" t="s">
        <v>7</v>
      </c>
      <c r="Q39" t="s">
        <v>45</v>
      </c>
      <c r="R39" t="s">
        <v>64</v>
      </c>
      <c r="S39" t="s">
        <v>339</v>
      </c>
    </row>
    <row r="40" spans="1:19">
      <c r="A40" t="s">
        <v>2</v>
      </c>
      <c r="B40" t="s">
        <v>3</v>
      </c>
      <c r="C40" t="s">
        <v>4</v>
      </c>
      <c r="D40" s="2">
        <v>45763</v>
      </c>
      <c r="E40" s="13">
        <v>1800007205</v>
      </c>
      <c r="F40" t="s">
        <v>47</v>
      </c>
      <c r="G40" s="2">
        <v>45763</v>
      </c>
      <c r="H40" s="2">
        <v>45764</v>
      </c>
      <c r="I40" s="16">
        <v>256779412096</v>
      </c>
      <c r="J40" t="s">
        <v>8</v>
      </c>
      <c r="K40" t="s">
        <v>21</v>
      </c>
      <c r="L40" s="3">
        <v>16.829999999999998</v>
      </c>
      <c r="M40" t="s">
        <v>11</v>
      </c>
      <c r="N40" s="3">
        <v>1462.89</v>
      </c>
      <c r="O40" t="s">
        <v>76</v>
      </c>
      <c r="P40" t="s">
        <v>7</v>
      </c>
      <c r="Q40" t="s">
        <v>45</v>
      </c>
      <c r="R40" t="s">
        <v>78</v>
      </c>
      <c r="S40" t="s">
        <v>339</v>
      </c>
    </row>
    <row r="41" spans="1:19">
      <c r="A41" t="s">
        <v>2</v>
      </c>
      <c r="B41" t="s">
        <v>3</v>
      </c>
      <c r="C41" t="s">
        <v>79</v>
      </c>
      <c r="D41" s="2">
        <v>45847</v>
      </c>
      <c r="E41" s="13">
        <v>1800000368</v>
      </c>
      <c r="F41" t="s">
        <v>47</v>
      </c>
      <c r="G41" s="2">
        <v>45847</v>
      </c>
      <c r="H41" s="2">
        <v>45847</v>
      </c>
      <c r="I41" s="16">
        <v>256788410243</v>
      </c>
      <c r="J41" t="s">
        <v>8</v>
      </c>
      <c r="K41" t="s">
        <v>21</v>
      </c>
      <c r="L41" s="3">
        <v>30</v>
      </c>
      <c r="M41" t="s">
        <v>11</v>
      </c>
      <c r="N41" s="3">
        <v>2580.02</v>
      </c>
      <c r="O41" t="s">
        <v>12</v>
      </c>
      <c r="P41" t="s">
        <v>7</v>
      </c>
      <c r="Q41" t="s">
        <v>45</v>
      </c>
      <c r="R41" t="s">
        <v>80</v>
      </c>
      <c r="S41" t="s">
        <v>337</v>
      </c>
    </row>
    <row r="42" spans="1:19">
      <c r="A42" t="s">
        <v>2</v>
      </c>
      <c r="B42" t="s">
        <v>3</v>
      </c>
      <c r="C42" t="s">
        <v>79</v>
      </c>
      <c r="D42" s="2">
        <v>45847</v>
      </c>
      <c r="E42" s="13">
        <v>1800000384</v>
      </c>
      <c r="F42" t="s">
        <v>47</v>
      </c>
      <c r="G42" s="2">
        <v>45847</v>
      </c>
      <c r="H42" s="2">
        <v>45847</v>
      </c>
      <c r="I42" s="16">
        <v>256788410259</v>
      </c>
      <c r="J42" t="s">
        <v>8</v>
      </c>
      <c r="K42" t="s">
        <v>21</v>
      </c>
      <c r="L42" s="3">
        <v>75</v>
      </c>
      <c r="M42" t="s">
        <v>11</v>
      </c>
      <c r="N42" s="3">
        <v>6450.05</v>
      </c>
      <c r="O42" t="s">
        <v>12</v>
      </c>
      <c r="P42" t="s">
        <v>7</v>
      </c>
      <c r="Q42" t="s">
        <v>45</v>
      </c>
      <c r="R42" t="s">
        <v>81</v>
      </c>
      <c r="S42" t="s">
        <v>334</v>
      </c>
    </row>
    <row r="43" spans="1:19">
      <c r="A43" t="s">
        <v>2</v>
      </c>
      <c r="B43" t="s">
        <v>3</v>
      </c>
      <c r="C43" t="s">
        <v>50</v>
      </c>
      <c r="D43" s="2">
        <v>45904</v>
      </c>
      <c r="E43" s="13">
        <v>1800012496</v>
      </c>
      <c r="F43" t="s">
        <v>47</v>
      </c>
      <c r="G43" s="2">
        <v>45904</v>
      </c>
      <c r="H43" s="2">
        <v>45908</v>
      </c>
      <c r="I43" s="16">
        <v>256779416953</v>
      </c>
      <c r="J43" t="s">
        <v>8</v>
      </c>
      <c r="K43" t="s">
        <v>21</v>
      </c>
      <c r="L43" s="3">
        <v>2.14</v>
      </c>
      <c r="M43" t="s">
        <v>11</v>
      </c>
      <c r="N43" s="3">
        <v>187.28</v>
      </c>
      <c r="O43" t="s">
        <v>82</v>
      </c>
      <c r="P43" t="s">
        <v>7</v>
      </c>
      <c r="Q43" t="s">
        <v>45</v>
      </c>
      <c r="R43" t="s">
        <v>83</v>
      </c>
      <c r="S43" t="s">
        <v>336</v>
      </c>
    </row>
    <row r="44" spans="1:19">
      <c r="A44" t="s">
        <v>2</v>
      </c>
      <c r="B44" t="s">
        <v>3</v>
      </c>
      <c r="C44" t="s">
        <v>50</v>
      </c>
      <c r="D44" s="2">
        <v>45904</v>
      </c>
      <c r="E44" s="13">
        <v>1800000480</v>
      </c>
      <c r="F44" t="s">
        <v>47</v>
      </c>
      <c r="G44" s="2">
        <v>45904</v>
      </c>
      <c r="H44" s="2">
        <v>45909</v>
      </c>
      <c r="I44" s="16">
        <v>256788410354</v>
      </c>
      <c r="J44" t="s">
        <v>8</v>
      </c>
      <c r="K44" t="s">
        <v>21</v>
      </c>
      <c r="L44" s="3">
        <v>12.52</v>
      </c>
      <c r="M44" t="s">
        <v>11</v>
      </c>
      <c r="N44" s="3">
        <v>1095.68</v>
      </c>
      <c r="O44" t="s">
        <v>12</v>
      </c>
      <c r="P44" t="s">
        <v>7</v>
      </c>
      <c r="Q44" t="s">
        <v>45</v>
      </c>
      <c r="R44" t="s">
        <v>84</v>
      </c>
      <c r="S44" t="s">
        <v>339</v>
      </c>
    </row>
    <row r="45" spans="1:19">
      <c r="A45" t="s">
        <v>2</v>
      </c>
      <c r="B45" t="s">
        <v>3</v>
      </c>
      <c r="C45" t="s">
        <v>50</v>
      </c>
      <c r="D45" s="2">
        <v>45904</v>
      </c>
      <c r="E45" s="13">
        <v>1800000481</v>
      </c>
      <c r="F45" t="s">
        <v>47</v>
      </c>
      <c r="G45" s="2">
        <v>45904</v>
      </c>
      <c r="H45" s="2">
        <v>45909</v>
      </c>
      <c r="I45" s="16">
        <v>256788410355</v>
      </c>
      <c r="J45" t="s">
        <v>8</v>
      </c>
      <c r="K45" t="s">
        <v>21</v>
      </c>
      <c r="L45" s="3">
        <v>13.66</v>
      </c>
      <c r="M45" t="s">
        <v>11</v>
      </c>
      <c r="N45" s="3">
        <v>1195.45</v>
      </c>
      <c r="O45" t="s">
        <v>12</v>
      </c>
      <c r="P45" t="s">
        <v>7</v>
      </c>
      <c r="Q45" t="s">
        <v>45</v>
      </c>
      <c r="R45" t="s">
        <v>85</v>
      </c>
      <c r="S45" t="s">
        <v>342</v>
      </c>
    </row>
    <row r="46" spans="1:19">
      <c r="A46" t="s">
        <v>2</v>
      </c>
      <c r="B46" t="s">
        <v>3</v>
      </c>
      <c r="C46" t="s">
        <v>50</v>
      </c>
      <c r="D46" s="2">
        <v>45904</v>
      </c>
      <c r="E46" s="13">
        <v>1800000483</v>
      </c>
      <c r="F46" t="s">
        <v>47</v>
      </c>
      <c r="G46" s="2">
        <v>45904</v>
      </c>
      <c r="H46" s="2">
        <v>45909</v>
      </c>
      <c r="I46" s="16">
        <v>256788410358</v>
      </c>
      <c r="J46" t="s">
        <v>8</v>
      </c>
      <c r="K46" t="s">
        <v>21</v>
      </c>
      <c r="L46" s="3">
        <v>2262.04</v>
      </c>
      <c r="M46" t="s">
        <v>11</v>
      </c>
      <c r="N46" s="3">
        <v>197960.92</v>
      </c>
      <c r="O46" t="s">
        <v>12</v>
      </c>
      <c r="P46" t="s">
        <v>7</v>
      </c>
      <c r="Q46" t="s">
        <v>45</v>
      </c>
      <c r="R46" t="s">
        <v>86</v>
      </c>
      <c r="S46" t="s">
        <v>337</v>
      </c>
    </row>
    <row r="47" spans="1:19">
      <c r="A47" t="s">
        <v>2</v>
      </c>
      <c r="B47" t="s">
        <v>3</v>
      </c>
      <c r="C47" t="s">
        <v>50</v>
      </c>
      <c r="D47" s="2">
        <v>45904</v>
      </c>
      <c r="E47" s="13">
        <v>1800000488</v>
      </c>
      <c r="F47" t="s">
        <v>47</v>
      </c>
      <c r="G47" s="2">
        <v>45904</v>
      </c>
      <c r="H47" s="2">
        <v>45909</v>
      </c>
      <c r="I47" s="16">
        <v>256788410359</v>
      </c>
      <c r="J47" t="s">
        <v>8</v>
      </c>
      <c r="K47" t="s">
        <v>21</v>
      </c>
      <c r="L47" s="3">
        <v>126.58</v>
      </c>
      <c r="M47" t="s">
        <v>11</v>
      </c>
      <c r="N47" s="3">
        <v>11077.56</v>
      </c>
      <c r="O47" t="s">
        <v>12</v>
      </c>
      <c r="P47" t="s">
        <v>7</v>
      </c>
      <c r="Q47" t="s">
        <v>45</v>
      </c>
      <c r="R47" t="s">
        <v>87</v>
      </c>
      <c r="S47" t="s">
        <v>341</v>
      </c>
    </row>
    <row r="48" spans="1:19">
      <c r="A48" t="s">
        <v>2</v>
      </c>
      <c r="B48" t="s">
        <v>3</v>
      </c>
      <c r="C48" t="s">
        <v>50</v>
      </c>
      <c r="D48" s="2">
        <v>45904</v>
      </c>
      <c r="E48" s="13">
        <v>1800000484</v>
      </c>
      <c r="F48" t="s">
        <v>47</v>
      </c>
      <c r="G48" s="2">
        <v>45904</v>
      </c>
      <c r="H48" s="2">
        <v>45909</v>
      </c>
      <c r="I48" s="16">
        <v>256788410360</v>
      </c>
      <c r="J48" t="s">
        <v>8</v>
      </c>
      <c r="K48" t="s">
        <v>21</v>
      </c>
      <c r="L48" s="3">
        <v>348.21</v>
      </c>
      <c r="M48" t="s">
        <v>11</v>
      </c>
      <c r="N48" s="3">
        <v>30473.360000000001</v>
      </c>
      <c r="O48" t="s">
        <v>12</v>
      </c>
      <c r="P48" t="s">
        <v>7</v>
      </c>
      <c r="Q48" t="s">
        <v>45</v>
      </c>
      <c r="R48" t="s">
        <v>88</v>
      </c>
      <c r="S48" t="s">
        <v>344</v>
      </c>
    </row>
    <row r="49" spans="1:19">
      <c r="A49" t="s">
        <v>2</v>
      </c>
      <c r="B49" t="s">
        <v>3</v>
      </c>
      <c r="C49" t="s">
        <v>50</v>
      </c>
      <c r="D49" s="2">
        <v>45904</v>
      </c>
      <c r="E49" s="13">
        <v>1800000485</v>
      </c>
      <c r="F49" t="s">
        <v>47</v>
      </c>
      <c r="G49" s="2">
        <v>45904</v>
      </c>
      <c r="H49" s="2">
        <v>45909</v>
      </c>
      <c r="I49" s="16">
        <v>256788410361</v>
      </c>
      <c r="J49" t="s">
        <v>8</v>
      </c>
      <c r="K49" t="s">
        <v>21</v>
      </c>
      <c r="L49" s="3">
        <v>26</v>
      </c>
      <c r="M49" t="s">
        <v>11</v>
      </c>
      <c r="N49" s="3">
        <v>2275.37</v>
      </c>
      <c r="O49" t="s">
        <v>12</v>
      </c>
      <c r="P49" t="s">
        <v>7</v>
      </c>
      <c r="Q49" t="s">
        <v>45</v>
      </c>
      <c r="R49" t="s">
        <v>89</v>
      </c>
      <c r="S49" t="s">
        <v>340</v>
      </c>
    </row>
    <row r="50" spans="1:19">
      <c r="A50" t="s">
        <v>2</v>
      </c>
      <c r="B50" t="s">
        <v>3</v>
      </c>
      <c r="C50" t="s">
        <v>50</v>
      </c>
      <c r="D50" s="2">
        <v>45904</v>
      </c>
      <c r="E50" s="13">
        <v>1800000487</v>
      </c>
      <c r="F50" t="s">
        <v>47</v>
      </c>
      <c r="G50" s="2">
        <v>45904</v>
      </c>
      <c r="H50" s="2">
        <v>45909</v>
      </c>
      <c r="I50" s="16">
        <v>256788410363</v>
      </c>
      <c r="J50" t="s">
        <v>8</v>
      </c>
      <c r="K50" t="s">
        <v>21</v>
      </c>
      <c r="L50" s="3">
        <v>227.74</v>
      </c>
      <c r="M50" t="s">
        <v>11</v>
      </c>
      <c r="N50" s="3">
        <v>19930.509999999998</v>
      </c>
      <c r="O50" t="s">
        <v>12</v>
      </c>
      <c r="P50" t="s">
        <v>7</v>
      </c>
      <c r="Q50" t="s">
        <v>45</v>
      </c>
      <c r="R50" t="s">
        <v>90</v>
      </c>
      <c r="S50" t="s">
        <v>335</v>
      </c>
    </row>
    <row r="51" spans="1:19">
      <c r="A51" t="s">
        <v>2</v>
      </c>
      <c r="B51" t="s">
        <v>3</v>
      </c>
      <c r="C51" t="s">
        <v>50</v>
      </c>
      <c r="D51" s="2">
        <v>45904</v>
      </c>
      <c r="E51" s="13">
        <v>1800000489</v>
      </c>
      <c r="F51" t="s">
        <v>47</v>
      </c>
      <c r="G51" s="2">
        <v>45904</v>
      </c>
      <c r="H51" s="2">
        <v>45909</v>
      </c>
      <c r="I51" s="16">
        <v>256788410364</v>
      </c>
      <c r="J51" t="s">
        <v>8</v>
      </c>
      <c r="K51" t="s">
        <v>21</v>
      </c>
      <c r="L51" s="3">
        <v>75</v>
      </c>
      <c r="M51" t="s">
        <v>11</v>
      </c>
      <c r="N51" s="3">
        <v>6563.57</v>
      </c>
      <c r="O51" t="s">
        <v>12</v>
      </c>
      <c r="P51" t="s">
        <v>7</v>
      </c>
      <c r="Q51" t="s">
        <v>91</v>
      </c>
      <c r="R51" t="s">
        <v>92</v>
      </c>
      <c r="S51" t="s">
        <v>334</v>
      </c>
    </row>
    <row r="52" spans="1:19">
      <c r="A52" t="s">
        <v>2</v>
      </c>
      <c r="B52" t="s">
        <v>3</v>
      </c>
      <c r="C52" t="s">
        <v>79</v>
      </c>
      <c r="D52" s="2">
        <v>45842</v>
      </c>
      <c r="E52" s="13">
        <v>1800010515</v>
      </c>
      <c r="F52" t="s">
        <v>47</v>
      </c>
      <c r="G52" s="2">
        <v>45842</v>
      </c>
      <c r="H52" s="2">
        <v>45847</v>
      </c>
      <c r="I52" s="16">
        <v>256779415275</v>
      </c>
      <c r="J52" t="s">
        <v>8</v>
      </c>
      <c r="K52" t="s">
        <v>21</v>
      </c>
      <c r="L52" s="3">
        <v>86.04</v>
      </c>
      <c r="M52" t="s">
        <v>11</v>
      </c>
      <c r="N52" s="3">
        <v>7399.5</v>
      </c>
      <c r="O52" t="s">
        <v>76</v>
      </c>
      <c r="P52" t="s">
        <v>7</v>
      </c>
      <c r="Q52" t="s">
        <v>7</v>
      </c>
      <c r="R52" t="s">
        <v>93</v>
      </c>
      <c r="S52" t="s">
        <v>339</v>
      </c>
    </row>
    <row r="53" spans="1:19">
      <c r="A53" t="s">
        <v>2</v>
      </c>
      <c r="B53" t="s">
        <v>3</v>
      </c>
      <c r="C53" t="s">
        <v>79</v>
      </c>
      <c r="D53" s="2">
        <v>45842</v>
      </c>
      <c r="E53" s="13">
        <v>1800000358</v>
      </c>
      <c r="F53" t="s">
        <v>47</v>
      </c>
      <c r="G53" s="2">
        <v>45842</v>
      </c>
      <c r="H53" s="2">
        <v>45847</v>
      </c>
      <c r="I53" s="16">
        <v>256788410233</v>
      </c>
      <c r="J53" t="s">
        <v>8</v>
      </c>
      <c r="K53" t="s">
        <v>21</v>
      </c>
      <c r="L53" s="3">
        <v>10350.540000000001</v>
      </c>
      <c r="M53" t="s">
        <v>11</v>
      </c>
      <c r="N53" s="3">
        <v>890153.37</v>
      </c>
      <c r="O53" t="s">
        <v>12</v>
      </c>
      <c r="P53" t="s">
        <v>7</v>
      </c>
      <c r="Q53" t="s">
        <v>45</v>
      </c>
      <c r="R53" t="s">
        <v>94</v>
      </c>
      <c r="S53" t="s">
        <v>334</v>
      </c>
    </row>
    <row r="54" spans="1:19">
      <c r="A54" t="s">
        <v>2</v>
      </c>
      <c r="B54" t="s">
        <v>3</v>
      </c>
      <c r="C54" t="s">
        <v>79</v>
      </c>
      <c r="D54" s="2">
        <v>45842</v>
      </c>
      <c r="E54" s="13">
        <v>1800000360</v>
      </c>
      <c r="F54" t="s">
        <v>47</v>
      </c>
      <c r="G54" s="2">
        <v>45842</v>
      </c>
      <c r="H54" s="2">
        <v>45847</v>
      </c>
      <c r="I54" s="16">
        <v>256788410235</v>
      </c>
      <c r="J54" t="s">
        <v>8</v>
      </c>
      <c r="K54" t="s">
        <v>21</v>
      </c>
      <c r="L54" s="3">
        <v>2323.12</v>
      </c>
      <c r="M54" t="s">
        <v>11</v>
      </c>
      <c r="N54" s="3">
        <v>199789.88</v>
      </c>
      <c r="O54" t="s">
        <v>12</v>
      </c>
      <c r="P54" t="s">
        <v>7</v>
      </c>
      <c r="Q54" t="s">
        <v>45</v>
      </c>
      <c r="R54" t="s">
        <v>95</v>
      </c>
      <c r="S54" t="s">
        <v>337</v>
      </c>
    </row>
    <row r="55" spans="1:19">
      <c r="A55" t="s">
        <v>2</v>
      </c>
      <c r="B55" t="s">
        <v>3</v>
      </c>
      <c r="C55" t="s">
        <v>79</v>
      </c>
      <c r="D55" s="2">
        <v>45842</v>
      </c>
      <c r="E55" s="13">
        <v>1800000362</v>
      </c>
      <c r="F55" t="s">
        <v>47</v>
      </c>
      <c r="G55" s="2">
        <v>45842</v>
      </c>
      <c r="H55" s="2">
        <v>45847</v>
      </c>
      <c r="I55" s="16">
        <v>256788410237</v>
      </c>
      <c r="J55" t="s">
        <v>8</v>
      </c>
      <c r="K55" t="s">
        <v>21</v>
      </c>
      <c r="L55" s="3">
        <v>75</v>
      </c>
      <c r="M55" t="s">
        <v>11</v>
      </c>
      <c r="N55" s="3">
        <v>6450.05</v>
      </c>
      <c r="O55" t="s">
        <v>12</v>
      </c>
      <c r="P55" t="s">
        <v>7</v>
      </c>
      <c r="Q55" t="s">
        <v>45</v>
      </c>
      <c r="R55" t="s">
        <v>96</v>
      </c>
      <c r="S55" t="s">
        <v>334</v>
      </c>
    </row>
    <row r="56" spans="1:19">
      <c r="A56" t="s">
        <v>2</v>
      </c>
      <c r="B56" t="s">
        <v>3</v>
      </c>
      <c r="C56" t="s">
        <v>79</v>
      </c>
      <c r="D56" s="2">
        <v>45842</v>
      </c>
      <c r="E56" s="13">
        <v>1800000380</v>
      </c>
      <c r="F56" t="s">
        <v>47</v>
      </c>
      <c r="G56" s="2">
        <v>45842</v>
      </c>
      <c r="H56" s="2">
        <v>45847</v>
      </c>
      <c r="I56" s="16">
        <v>256788410255</v>
      </c>
      <c r="J56" t="s">
        <v>8</v>
      </c>
      <c r="K56" t="s">
        <v>21</v>
      </c>
      <c r="L56" s="3">
        <v>14</v>
      </c>
      <c r="M56" t="s">
        <v>11</v>
      </c>
      <c r="N56" s="3">
        <v>1204.01</v>
      </c>
      <c r="O56" t="s">
        <v>12</v>
      </c>
      <c r="P56" t="s">
        <v>7</v>
      </c>
      <c r="Q56" t="s">
        <v>45</v>
      </c>
      <c r="R56" t="s">
        <v>97</v>
      </c>
      <c r="S56" t="s">
        <v>340</v>
      </c>
    </row>
    <row r="57" spans="1:19">
      <c r="A57" t="s">
        <v>2</v>
      </c>
      <c r="B57" t="s">
        <v>3</v>
      </c>
      <c r="C57" t="s">
        <v>79</v>
      </c>
      <c r="D57" s="2">
        <v>45842</v>
      </c>
      <c r="E57" s="13">
        <v>1800000382</v>
      </c>
      <c r="F57" t="s">
        <v>47</v>
      </c>
      <c r="G57" s="2">
        <v>45842</v>
      </c>
      <c r="H57" s="2">
        <v>45847</v>
      </c>
      <c r="I57" s="16">
        <v>256788410257</v>
      </c>
      <c r="J57" t="s">
        <v>8</v>
      </c>
      <c r="K57" t="s">
        <v>21</v>
      </c>
      <c r="L57" s="3">
        <v>67.760000000000005</v>
      </c>
      <c r="M57" t="s">
        <v>11</v>
      </c>
      <c r="N57" s="3">
        <v>5827.41</v>
      </c>
      <c r="O57" t="s">
        <v>12</v>
      </c>
      <c r="P57" t="s">
        <v>7</v>
      </c>
      <c r="Q57" t="s">
        <v>45</v>
      </c>
      <c r="R57" t="s">
        <v>98</v>
      </c>
      <c r="S57" t="s">
        <v>338</v>
      </c>
    </row>
    <row r="58" spans="1:19">
      <c r="A58" t="s">
        <v>2</v>
      </c>
      <c r="B58" t="s">
        <v>3</v>
      </c>
      <c r="C58" t="s">
        <v>79</v>
      </c>
      <c r="D58" s="2">
        <v>45842</v>
      </c>
      <c r="E58" s="13">
        <v>1800000383</v>
      </c>
      <c r="F58" t="s">
        <v>47</v>
      </c>
      <c r="G58" s="2">
        <v>45842</v>
      </c>
      <c r="H58" s="2">
        <v>45847</v>
      </c>
      <c r="I58" s="16">
        <v>256788410258</v>
      </c>
      <c r="J58" t="s">
        <v>8</v>
      </c>
      <c r="K58" t="s">
        <v>21</v>
      </c>
      <c r="L58" s="3">
        <v>17</v>
      </c>
      <c r="M58" t="s">
        <v>11</v>
      </c>
      <c r="N58" s="3">
        <v>1462.01</v>
      </c>
      <c r="O58" t="s">
        <v>12</v>
      </c>
      <c r="P58" t="s">
        <v>7</v>
      </c>
      <c r="Q58" t="s">
        <v>45</v>
      </c>
      <c r="R58" t="s">
        <v>99</v>
      </c>
      <c r="S58" t="s">
        <v>338</v>
      </c>
    </row>
    <row r="59" spans="1:19">
      <c r="A59" t="s">
        <v>2</v>
      </c>
      <c r="B59" t="s">
        <v>3</v>
      </c>
      <c r="C59" t="s">
        <v>79</v>
      </c>
      <c r="D59" s="2">
        <v>45842</v>
      </c>
      <c r="E59" s="13">
        <v>1800000391</v>
      </c>
      <c r="F59" t="s">
        <v>47</v>
      </c>
      <c r="G59" s="2">
        <v>45842</v>
      </c>
      <c r="H59" s="2">
        <v>45863</v>
      </c>
      <c r="I59" s="16">
        <v>256788410267</v>
      </c>
      <c r="J59" t="s">
        <v>8</v>
      </c>
      <c r="K59" t="s">
        <v>21</v>
      </c>
      <c r="L59" s="3">
        <v>9</v>
      </c>
      <c r="M59" t="s">
        <v>11</v>
      </c>
      <c r="N59" s="3">
        <v>774.01</v>
      </c>
      <c r="O59" t="s">
        <v>12</v>
      </c>
      <c r="P59" t="s">
        <v>7</v>
      </c>
      <c r="Q59" t="s">
        <v>45</v>
      </c>
      <c r="R59" t="s">
        <v>100</v>
      </c>
      <c r="S59" t="s">
        <v>338</v>
      </c>
    </row>
    <row r="60" spans="1:19">
      <c r="A60" t="s">
        <v>2</v>
      </c>
      <c r="B60" t="s">
        <v>3</v>
      </c>
      <c r="C60" t="s">
        <v>37</v>
      </c>
      <c r="D60" s="2">
        <v>45966</v>
      </c>
      <c r="E60" s="13">
        <v>1800000576</v>
      </c>
      <c r="F60" t="s">
        <v>47</v>
      </c>
      <c r="G60" s="2">
        <v>45966</v>
      </c>
      <c r="H60" s="2">
        <v>45966</v>
      </c>
      <c r="I60" s="16">
        <v>256788410441</v>
      </c>
      <c r="J60" t="s">
        <v>8</v>
      </c>
      <c r="K60" t="s">
        <v>21</v>
      </c>
      <c r="L60" s="3">
        <v>75</v>
      </c>
      <c r="M60" t="s">
        <v>11</v>
      </c>
      <c r="N60" s="3">
        <v>6600.25</v>
      </c>
      <c r="O60" t="s">
        <v>12</v>
      </c>
      <c r="P60" t="s">
        <v>7</v>
      </c>
      <c r="Q60" t="s">
        <v>101</v>
      </c>
      <c r="R60" t="s">
        <v>102</v>
      </c>
      <c r="S60" t="s">
        <v>334</v>
      </c>
    </row>
    <row r="61" spans="1:19">
      <c r="A61" t="s">
        <v>2</v>
      </c>
      <c r="B61" t="s">
        <v>3</v>
      </c>
      <c r="C61" t="s">
        <v>37</v>
      </c>
      <c r="D61" s="2">
        <v>45966</v>
      </c>
      <c r="E61" s="13">
        <v>1800000587</v>
      </c>
      <c r="F61" t="s">
        <v>47</v>
      </c>
      <c r="G61" s="2">
        <v>45966</v>
      </c>
      <c r="H61" s="2">
        <v>45967</v>
      </c>
      <c r="I61" s="16">
        <v>256788410448</v>
      </c>
      <c r="J61" t="s">
        <v>8</v>
      </c>
      <c r="K61" t="s">
        <v>21</v>
      </c>
      <c r="L61" s="3">
        <v>70</v>
      </c>
      <c r="M61" t="s">
        <v>11</v>
      </c>
      <c r="N61" s="3">
        <v>6160.24</v>
      </c>
      <c r="O61" t="s">
        <v>12</v>
      </c>
      <c r="P61" t="s">
        <v>7</v>
      </c>
      <c r="Q61" t="s">
        <v>103</v>
      </c>
      <c r="R61" t="s">
        <v>104</v>
      </c>
      <c r="S61" t="s">
        <v>335</v>
      </c>
    </row>
    <row r="62" spans="1:19">
      <c r="A62" t="s">
        <v>2</v>
      </c>
      <c r="B62" t="s">
        <v>3</v>
      </c>
      <c r="C62" t="s">
        <v>37</v>
      </c>
      <c r="D62" s="2">
        <v>45966</v>
      </c>
      <c r="E62" s="13">
        <v>1800000588</v>
      </c>
      <c r="F62" t="s">
        <v>47</v>
      </c>
      <c r="G62" s="2">
        <v>45966</v>
      </c>
      <c r="H62" s="2">
        <v>45967</v>
      </c>
      <c r="I62" s="16">
        <v>256788410449</v>
      </c>
      <c r="J62" t="s">
        <v>8</v>
      </c>
      <c r="K62" t="s">
        <v>21</v>
      </c>
      <c r="L62" s="3">
        <v>70</v>
      </c>
      <c r="M62" t="s">
        <v>11</v>
      </c>
      <c r="N62" s="3">
        <v>6160.24</v>
      </c>
      <c r="O62" t="s">
        <v>12</v>
      </c>
      <c r="P62" t="s">
        <v>7</v>
      </c>
      <c r="Q62" t="s">
        <v>103</v>
      </c>
      <c r="R62" t="s">
        <v>104</v>
      </c>
      <c r="S62" t="s">
        <v>335</v>
      </c>
    </row>
    <row r="63" spans="1:19">
      <c r="A63" t="s">
        <v>2</v>
      </c>
      <c r="B63" t="s">
        <v>3</v>
      </c>
      <c r="C63" t="s">
        <v>37</v>
      </c>
      <c r="D63" s="2">
        <v>45966</v>
      </c>
      <c r="E63" s="13">
        <v>1800000589</v>
      </c>
      <c r="F63" t="s">
        <v>47</v>
      </c>
      <c r="G63" s="2">
        <v>45966</v>
      </c>
      <c r="H63" s="2">
        <v>45967</v>
      </c>
      <c r="I63" s="16">
        <v>256788410450</v>
      </c>
      <c r="J63" t="s">
        <v>8</v>
      </c>
      <c r="K63" t="s">
        <v>21</v>
      </c>
      <c r="L63" s="3">
        <v>70</v>
      </c>
      <c r="M63" t="s">
        <v>11</v>
      </c>
      <c r="N63" s="3">
        <v>6160.24</v>
      </c>
      <c r="O63" t="s">
        <v>12</v>
      </c>
      <c r="P63" t="s">
        <v>7</v>
      </c>
      <c r="Q63" t="s">
        <v>103</v>
      </c>
      <c r="R63" t="s">
        <v>104</v>
      </c>
      <c r="S63" t="s">
        <v>335</v>
      </c>
    </row>
    <row r="64" spans="1:19">
      <c r="A64" t="s">
        <v>2</v>
      </c>
      <c r="B64" t="s">
        <v>3</v>
      </c>
      <c r="C64" t="s">
        <v>37</v>
      </c>
      <c r="D64" s="2">
        <v>45966</v>
      </c>
      <c r="E64" s="13">
        <v>1800000590</v>
      </c>
      <c r="F64" t="s">
        <v>47</v>
      </c>
      <c r="G64" s="2">
        <v>45966</v>
      </c>
      <c r="H64" s="2">
        <v>45967</v>
      </c>
      <c r="I64" s="16">
        <v>256788410451</v>
      </c>
      <c r="J64" t="s">
        <v>8</v>
      </c>
      <c r="K64" t="s">
        <v>21</v>
      </c>
      <c r="L64" s="3">
        <v>70</v>
      </c>
      <c r="M64" t="s">
        <v>11</v>
      </c>
      <c r="N64" s="3">
        <v>6160.24</v>
      </c>
      <c r="O64" t="s">
        <v>12</v>
      </c>
      <c r="P64" t="s">
        <v>7</v>
      </c>
      <c r="Q64" t="s">
        <v>103</v>
      </c>
      <c r="R64" t="s">
        <v>104</v>
      </c>
      <c r="S64" t="s">
        <v>335</v>
      </c>
    </row>
    <row r="65" spans="1:19">
      <c r="A65" t="s">
        <v>2</v>
      </c>
      <c r="B65" t="s">
        <v>3</v>
      </c>
      <c r="C65" t="s">
        <v>37</v>
      </c>
      <c r="D65" s="2">
        <v>45966</v>
      </c>
      <c r="E65" s="13">
        <v>1800000591</v>
      </c>
      <c r="F65" t="s">
        <v>47</v>
      </c>
      <c r="G65" s="2">
        <v>45966</v>
      </c>
      <c r="H65" s="2">
        <v>45967</v>
      </c>
      <c r="I65" s="16">
        <v>256788410452</v>
      </c>
      <c r="J65" t="s">
        <v>8</v>
      </c>
      <c r="K65" t="s">
        <v>21</v>
      </c>
      <c r="L65" s="3">
        <v>65.31</v>
      </c>
      <c r="M65" t="s">
        <v>11</v>
      </c>
      <c r="N65" s="3">
        <v>5747.5</v>
      </c>
      <c r="O65" t="s">
        <v>12</v>
      </c>
      <c r="P65" t="s">
        <v>7</v>
      </c>
      <c r="Q65" t="s">
        <v>103</v>
      </c>
      <c r="R65" t="s">
        <v>105</v>
      </c>
      <c r="S65" t="s">
        <v>339</v>
      </c>
    </row>
    <row r="66" spans="1:19">
      <c r="A66" t="s">
        <v>2</v>
      </c>
      <c r="B66" t="s">
        <v>3</v>
      </c>
      <c r="C66" t="s">
        <v>37</v>
      </c>
      <c r="D66" s="2">
        <v>45966</v>
      </c>
      <c r="E66" s="13">
        <v>1800000592</v>
      </c>
      <c r="F66" t="s">
        <v>47</v>
      </c>
      <c r="G66" s="2">
        <v>45966</v>
      </c>
      <c r="H66" s="2">
        <v>45967</v>
      </c>
      <c r="I66" s="16">
        <v>256788410453</v>
      </c>
      <c r="J66" t="s">
        <v>8</v>
      </c>
      <c r="K66" t="s">
        <v>21</v>
      </c>
      <c r="L66" s="3">
        <v>31.56</v>
      </c>
      <c r="M66" t="s">
        <v>11</v>
      </c>
      <c r="N66" s="3">
        <v>2777.39</v>
      </c>
      <c r="O66" t="s">
        <v>12</v>
      </c>
      <c r="P66" t="s">
        <v>7</v>
      </c>
      <c r="Q66" t="s">
        <v>103</v>
      </c>
      <c r="R66" t="s">
        <v>106</v>
      </c>
      <c r="S66" t="s">
        <v>342</v>
      </c>
    </row>
    <row r="67" spans="1:19">
      <c r="A67" t="s">
        <v>2</v>
      </c>
      <c r="B67" t="s">
        <v>3</v>
      </c>
      <c r="C67" t="s">
        <v>37</v>
      </c>
      <c r="D67" s="2">
        <v>45966</v>
      </c>
      <c r="E67" s="13">
        <v>1800000585</v>
      </c>
      <c r="F67" t="s">
        <v>47</v>
      </c>
      <c r="G67" s="2">
        <v>45966</v>
      </c>
      <c r="H67" s="2">
        <v>45967</v>
      </c>
      <c r="I67" s="16">
        <v>256788410454</v>
      </c>
      <c r="J67" t="s">
        <v>8</v>
      </c>
      <c r="K67" t="s">
        <v>21</v>
      </c>
      <c r="L67" s="3">
        <v>4547.2</v>
      </c>
      <c r="M67" t="s">
        <v>11</v>
      </c>
      <c r="N67" s="3">
        <v>400169.02</v>
      </c>
      <c r="O67" t="s">
        <v>12</v>
      </c>
      <c r="P67" t="s">
        <v>7</v>
      </c>
      <c r="Q67" t="s">
        <v>107</v>
      </c>
      <c r="R67" t="s">
        <v>108</v>
      </c>
      <c r="S67" t="s">
        <v>334</v>
      </c>
    </row>
    <row r="68" spans="1:19">
      <c r="A68" t="s">
        <v>2</v>
      </c>
      <c r="B68" t="s">
        <v>3</v>
      </c>
      <c r="C68" t="s">
        <v>37</v>
      </c>
      <c r="D68" s="2">
        <v>45966</v>
      </c>
      <c r="E68" s="13">
        <v>1800000593</v>
      </c>
      <c r="F68" t="s">
        <v>47</v>
      </c>
      <c r="G68" s="2">
        <v>45966</v>
      </c>
      <c r="H68" s="2">
        <v>45967</v>
      </c>
      <c r="I68" s="16">
        <v>256788410455</v>
      </c>
      <c r="J68" t="s">
        <v>8</v>
      </c>
      <c r="K68" t="s">
        <v>21</v>
      </c>
      <c r="L68" s="3">
        <v>338</v>
      </c>
      <c r="M68" t="s">
        <v>11</v>
      </c>
      <c r="N68" s="3">
        <v>29745.15</v>
      </c>
      <c r="O68" t="s">
        <v>12</v>
      </c>
      <c r="P68" t="s">
        <v>7</v>
      </c>
      <c r="Q68" t="s">
        <v>109</v>
      </c>
      <c r="R68" t="s">
        <v>110</v>
      </c>
      <c r="S68" t="s">
        <v>338</v>
      </c>
    </row>
    <row r="69" spans="1:19">
      <c r="A69" t="s">
        <v>2</v>
      </c>
      <c r="B69" t="s">
        <v>3</v>
      </c>
      <c r="C69" t="s">
        <v>37</v>
      </c>
      <c r="D69" s="2">
        <v>45966</v>
      </c>
      <c r="E69" s="13">
        <v>1800000584</v>
      </c>
      <c r="F69" t="s">
        <v>47</v>
      </c>
      <c r="G69" s="2">
        <v>45966</v>
      </c>
      <c r="H69" s="2">
        <v>45967</v>
      </c>
      <c r="I69" s="16">
        <v>256788410457</v>
      </c>
      <c r="J69" t="s">
        <v>8</v>
      </c>
      <c r="K69" t="s">
        <v>21</v>
      </c>
      <c r="L69" s="3">
        <v>93</v>
      </c>
      <c r="M69" t="s">
        <v>11</v>
      </c>
      <c r="N69" s="3">
        <v>8184.32</v>
      </c>
      <c r="O69" t="s">
        <v>12</v>
      </c>
      <c r="P69" t="s">
        <v>7</v>
      </c>
      <c r="Q69" t="s">
        <v>45</v>
      </c>
      <c r="R69" t="s">
        <v>111</v>
      </c>
      <c r="S69" t="s">
        <v>340</v>
      </c>
    </row>
    <row r="70" spans="1:19">
      <c r="A70" t="s">
        <v>2</v>
      </c>
      <c r="B70" t="s">
        <v>3</v>
      </c>
      <c r="C70" t="s">
        <v>37</v>
      </c>
      <c r="D70" s="2">
        <v>45966</v>
      </c>
      <c r="E70" s="13">
        <v>1800000586</v>
      </c>
      <c r="F70" t="s">
        <v>47</v>
      </c>
      <c r="G70" s="2">
        <v>45966</v>
      </c>
      <c r="H70" s="2">
        <v>45967</v>
      </c>
      <c r="I70" s="16">
        <v>256788410458</v>
      </c>
      <c r="J70" t="s">
        <v>8</v>
      </c>
      <c r="K70" t="s">
        <v>21</v>
      </c>
      <c r="L70" s="3">
        <v>103.89</v>
      </c>
      <c r="M70" t="s">
        <v>11</v>
      </c>
      <c r="N70" s="3">
        <v>9142.67</v>
      </c>
      <c r="O70" t="s">
        <v>12</v>
      </c>
      <c r="P70" t="s">
        <v>7</v>
      </c>
      <c r="Q70" t="s">
        <v>45</v>
      </c>
      <c r="R70" t="s">
        <v>112</v>
      </c>
      <c r="S70" t="s">
        <v>341</v>
      </c>
    </row>
    <row r="71" spans="1:19">
      <c r="A71" t="s">
        <v>2</v>
      </c>
      <c r="B71" t="s">
        <v>3</v>
      </c>
      <c r="C71" t="s">
        <v>24</v>
      </c>
      <c r="D71" s="2">
        <v>45877</v>
      </c>
      <c r="E71" s="13">
        <v>1800000466</v>
      </c>
      <c r="F71" t="s">
        <v>47</v>
      </c>
      <c r="G71" s="2">
        <v>45877</v>
      </c>
      <c r="H71" s="2">
        <v>45877</v>
      </c>
      <c r="I71" s="16">
        <v>256788410332</v>
      </c>
      <c r="J71" t="s">
        <v>8</v>
      </c>
      <c r="K71" t="s">
        <v>21</v>
      </c>
      <c r="L71" s="3">
        <v>443.76</v>
      </c>
      <c r="M71" t="s">
        <v>11</v>
      </c>
      <c r="N71" s="3">
        <v>38176.730000000003</v>
      </c>
      <c r="O71" t="s">
        <v>12</v>
      </c>
      <c r="P71" t="s">
        <v>7</v>
      </c>
      <c r="Q71" t="s">
        <v>45</v>
      </c>
      <c r="R71" t="s">
        <v>94</v>
      </c>
      <c r="S71" t="s">
        <v>334</v>
      </c>
    </row>
    <row r="72" spans="1:19">
      <c r="A72" t="s">
        <v>2</v>
      </c>
      <c r="B72" t="s">
        <v>3</v>
      </c>
      <c r="C72" t="s">
        <v>24</v>
      </c>
      <c r="D72" s="2">
        <v>45877</v>
      </c>
      <c r="E72" s="13">
        <v>1800000469</v>
      </c>
      <c r="F72" t="s">
        <v>47</v>
      </c>
      <c r="G72" s="2">
        <v>45877</v>
      </c>
      <c r="H72" s="2">
        <v>45877</v>
      </c>
      <c r="I72" s="16">
        <v>256788410335</v>
      </c>
      <c r="J72" t="s">
        <v>8</v>
      </c>
      <c r="K72" t="s">
        <v>21</v>
      </c>
      <c r="L72" s="3">
        <v>73.67</v>
      </c>
      <c r="M72" t="s">
        <v>11</v>
      </c>
      <c r="N72" s="3">
        <v>6337.84</v>
      </c>
      <c r="O72" t="s">
        <v>12</v>
      </c>
      <c r="P72" t="s">
        <v>7</v>
      </c>
      <c r="Q72" t="s">
        <v>45</v>
      </c>
      <c r="R72" t="s">
        <v>113</v>
      </c>
      <c r="S72" t="s">
        <v>339</v>
      </c>
    </row>
    <row r="73" spans="1:19">
      <c r="A73" t="s">
        <v>2</v>
      </c>
      <c r="B73" t="s">
        <v>3</v>
      </c>
      <c r="C73" t="s">
        <v>24</v>
      </c>
      <c r="D73" s="2">
        <v>45877</v>
      </c>
      <c r="E73" s="13">
        <v>1800000470</v>
      </c>
      <c r="F73" t="s">
        <v>47</v>
      </c>
      <c r="G73" s="2">
        <v>45877</v>
      </c>
      <c r="H73" s="2">
        <v>45877</v>
      </c>
      <c r="I73" s="16">
        <v>256788410336</v>
      </c>
      <c r="J73" t="s">
        <v>8</v>
      </c>
      <c r="K73" t="s">
        <v>21</v>
      </c>
      <c r="L73" s="3">
        <v>11976.87</v>
      </c>
      <c r="M73" t="s">
        <v>11</v>
      </c>
      <c r="N73" s="3">
        <v>1030371.56</v>
      </c>
      <c r="O73" t="s">
        <v>12</v>
      </c>
      <c r="P73" t="s">
        <v>7</v>
      </c>
      <c r="Q73" t="s">
        <v>45</v>
      </c>
      <c r="R73" t="s">
        <v>114</v>
      </c>
      <c r="S73" t="s">
        <v>334</v>
      </c>
    </row>
    <row r="74" spans="1:19">
      <c r="A74" t="s">
        <v>2</v>
      </c>
      <c r="B74" t="s">
        <v>3</v>
      </c>
      <c r="C74" t="s">
        <v>24</v>
      </c>
      <c r="D74" s="2">
        <v>45877</v>
      </c>
      <c r="E74" s="13">
        <v>1800000457</v>
      </c>
      <c r="F74" t="s">
        <v>47</v>
      </c>
      <c r="G74" s="2">
        <v>45877</v>
      </c>
      <c r="H74" s="2">
        <v>45877</v>
      </c>
      <c r="I74" s="16">
        <v>256788410338</v>
      </c>
      <c r="J74" t="s">
        <v>8</v>
      </c>
      <c r="K74" t="s">
        <v>21</v>
      </c>
      <c r="L74" s="3">
        <v>607.84</v>
      </c>
      <c r="M74" t="s">
        <v>11</v>
      </c>
      <c r="N74" s="3">
        <v>52292.55</v>
      </c>
      <c r="O74" t="s">
        <v>12</v>
      </c>
      <c r="P74" t="s">
        <v>7</v>
      </c>
      <c r="Q74" t="s">
        <v>45</v>
      </c>
      <c r="R74" t="s">
        <v>115</v>
      </c>
      <c r="S74" t="s">
        <v>335</v>
      </c>
    </row>
    <row r="75" spans="1:19">
      <c r="A75" t="s">
        <v>2</v>
      </c>
      <c r="B75" t="s">
        <v>3</v>
      </c>
      <c r="C75" t="s">
        <v>24</v>
      </c>
      <c r="D75" s="2">
        <v>45877</v>
      </c>
      <c r="E75" s="13">
        <v>1800000458</v>
      </c>
      <c r="F75" t="s">
        <v>47</v>
      </c>
      <c r="G75" s="2">
        <v>45877</v>
      </c>
      <c r="H75" s="2">
        <v>45877</v>
      </c>
      <c r="I75" s="16">
        <v>256788410339</v>
      </c>
      <c r="J75" t="s">
        <v>8</v>
      </c>
      <c r="K75" t="s">
        <v>21</v>
      </c>
      <c r="L75" s="3">
        <v>400</v>
      </c>
      <c r="M75" t="s">
        <v>11</v>
      </c>
      <c r="N75" s="3">
        <v>34412.050000000003</v>
      </c>
      <c r="O75" t="s">
        <v>12</v>
      </c>
      <c r="P75" t="s">
        <v>7</v>
      </c>
      <c r="Q75" t="s">
        <v>45</v>
      </c>
      <c r="R75" t="s">
        <v>115</v>
      </c>
      <c r="S75" t="s">
        <v>335</v>
      </c>
    </row>
    <row r="76" spans="1:19">
      <c r="A76" t="s">
        <v>2</v>
      </c>
      <c r="B76" t="s">
        <v>3</v>
      </c>
      <c r="C76" t="s">
        <v>24</v>
      </c>
      <c r="D76" s="2">
        <v>45877</v>
      </c>
      <c r="E76" s="13">
        <v>1800000459</v>
      </c>
      <c r="F76" t="s">
        <v>47</v>
      </c>
      <c r="G76" s="2">
        <v>45877</v>
      </c>
      <c r="H76" s="2">
        <v>45877</v>
      </c>
      <c r="I76" s="16">
        <v>256788410340</v>
      </c>
      <c r="J76" t="s">
        <v>8</v>
      </c>
      <c r="K76" t="s">
        <v>21</v>
      </c>
      <c r="L76" s="3">
        <v>90</v>
      </c>
      <c r="M76" t="s">
        <v>11</v>
      </c>
      <c r="N76" s="3">
        <v>7742.71</v>
      </c>
      <c r="O76" t="s">
        <v>12</v>
      </c>
      <c r="P76" t="s">
        <v>7</v>
      </c>
      <c r="Q76" t="s">
        <v>45</v>
      </c>
      <c r="R76" t="s">
        <v>116</v>
      </c>
      <c r="S76" t="s">
        <v>343</v>
      </c>
    </row>
    <row r="77" spans="1:19">
      <c r="A77" t="s">
        <v>2</v>
      </c>
      <c r="B77" t="s">
        <v>3</v>
      </c>
      <c r="C77" t="s">
        <v>24</v>
      </c>
      <c r="D77" s="2">
        <v>45877</v>
      </c>
      <c r="E77" s="13">
        <v>1800000460</v>
      </c>
      <c r="F77" t="s">
        <v>47</v>
      </c>
      <c r="G77" s="2">
        <v>45877</v>
      </c>
      <c r="H77" s="2">
        <v>45877</v>
      </c>
      <c r="I77" s="16">
        <v>256788410341</v>
      </c>
      <c r="J77" t="s">
        <v>8</v>
      </c>
      <c r="K77" t="s">
        <v>21</v>
      </c>
      <c r="L77" s="3">
        <v>31.3</v>
      </c>
      <c r="M77" t="s">
        <v>11</v>
      </c>
      <c r="N77" s="3">
        <v>2692.74</v>
      </c>
      <c r="O77" t="s">
        <v>12</v>
      </c>
      <c r="P77" t="s">
        <v>7</v>
      </c>
      <c r="Q77" t="s">
        <v>45</v>
      </c>
      <c r="R77" t="s">
        <v>117</v>
      </c>
      <c r="S77" t="s">
        <v>341</v>
      </c>
    </row>
    <row r="78" spans="1:19">
      <c r="A78" t="s">
        <v>2</v>
      </c>
      <c r="B78" t="s">
        <v>3</v>
      </c>
      <c r="C78" t="s">
        <v>24</v>
      </c>
      <c r="D78" s="2">
        <v>45877</v>
      </c>
      <c r="E78" s="13">
        <v>1800000461</v>
      </c>
      <c r="F78" t="s">
        <v>47</v>
      </c>
      <c r="G78" s="2">
        <v>45877</v>
      </c>
      <c r="H78" s="2">
        <v>45877</v>
      </c>
      <c r="I78" s="16">
        <v>256788410342</v>
      </c>
      <c r="J78" t="s">
        <v>8</v>
      </c>
      <c r="K78" t="s">
        <v>21</v>
      </c>
      <c r="L78" s="3">
        <v>2269.79</v>
      </c>
      <c r="M78" t="s">
        <v>11</v>
      </c>
      <c r="N78" s="3">
        <v>195270.31</v>
      </c>
      <c r="O78" t="s">
        <v>12</v>
      </c>
      <c r="P78" t="s">
        <v>7</v>
      </c>
      <c r="Q78" t="s">
        <v>45</v>
      </c>
      <c r="R78" t="s">
        <v>118</v>
      </c>
      <c r="S78" t="s">
        <v>337</v>
      </c>
    </row>
    <row r="79" spans="1:19">
      <c r="A79" t="s">
        <v>2</v>
      </c>
      <c r="B79" t="s">
        <v>3</v>
      </c>
      <c r="C79" t="s">
        <v>24</v>
      </c>
      <c r="D79" s="2">
        <v>45877</v>
      </c>
      <c r="E79" s="13">
        <v>1800000462</v>
      </c>
      <c r="F79" t="s">
        <v>47</v>
      </c>
      <c r="G79" s="2">
        <v>45877</v>
      </c>
      <c r="H79" s="2">
        <v>45877</v>
      </c>
      <c r="I79" s="16">
        <v>256788410343</v>
      </c>
      <c r="J79" t="s">
        <v>8</v>
      </c>
      <c r="K79" t="s">
        <v>21</v>
      </c>
      <c r="L79" s="3">
        <v>18.52</v>
      </c>
      <c r="M79" t="s">
        <v>11</v>
      </c>
      <c r="N79" s="3">
        <v>1593.28</v>
      </c>
      <c r="O79" t="s">
        <v>12</v>
      </c>
      <c r="P79" t="s">
        <v>7</v>
      </c>
      <c r="Q79" t="s">
        <v>45</v>
      </c>
      <c r="R79" t="s">
        <v>119</v>
      </c>
      <c r="S79" t="s">
        <v>338</v>
      </c>
    </row>
    <row r="80" spans="1:19">
      <c r="A80" t="s">
        <v>2</v>
      </c>
      <c r="B80" t="s">
        <v>3</v>
      </c>
      <c r="C80" t="s">
        <v>24</v>
      </c>
      <c r="D80" s="2">
        <v>45877</v>
      </c>
      <c r="E80" s="13">
        <v>1800000465</v>
      </c>
      <c r="F80" t="s">
        <v>47</v>
      </c>
      <c r="G80" s="2">
        <v>45877</v>
      </c>
      <c r="H80" s="2">
        <v>45877</v>
      </c>
      <c r="I80" s="16">
        <v>256788410346</v>
      </c>
      <c r="J80" t="s">
        <v>8</v>
      </c>
      <c r="K80" t="s">
        <v>21</v>
      </c>
      <c r="L80" s="3">
        <v>73.67</v>
      </c>
      <c r="M80" t="s">
        <v>11</v>
      </c>
      <c r="N80" s="3">
        <v>6337.84</v>
      </c>
      <c r="O80" t="s">
        <v>12</v>
      </c>
      <c r="P80" t="s">
        <v>7</v>
      </c>
      <c r="Q80" t="s">
        <v>45</v>
      </c>
      <c r="R80" t="s">
        <v>113</v>
      </c>
      <c r="S80" t="s">
        <v>339</v>
      </c>
    </row>
    <row r="81" spans="1:19">
      <c r="A81" t="s">
        <v>2</v>
      </c>
      <c r="B81" t="s">
        <v>3</v>
      </c>
      <c r="C81" t="s">
        <v>24</v>
      </c>
      <c r="D81" s="2">
        <v>45877</v>
      </c>
      <c r="E81" s="13">
        <v>1800000472</v>
      </c>
      <c r="F81" t="s">
        <v>47</v>
      </c>
      <c r="G81" s="2">
        <v>45877</v>
      </c>
      <c r="H81" s="2">
        <v>45877</v>
      </c>
      <c r="I81" s="16">
        <v>256788410347</v>
      </c>
      <c r="J81" t="s">
        <v>8</v>
      </c>
      <c r="K81" t="s">
        <v>21</v>
      </c>
      <c r="L81" s="3">
        <v>393.73</v>
      </c>
      <c r="M81" t="s">
        <v>11</v>
      </c>
      <c r="N81" s="3">
        <v>33872.639999999999</v>
      </c>
      <c r="O81" t="s">
        <v>12</v>
      </c>
      <c r="P81" t="s">
        <v>7</v>
      </c>
      <c r="Q81" t="s">
        <v>45</v>
      </c>
      <c r="R81" t="s">
        <v>120</v>
      </c>
      <c r="S81" t="s">
        <v>344</v>
      </c>
    </row>
    <row r="82" spans="1:19">
      <c r="A82" t="s">
        <v>2</v>
      </c>
      <c r="B82" t="s">
        <v>3</v>
      </c>
      <c r="C82" t="s">
        <v>61</v>
      </c>
      <c r="D82" s="2">
        <v>45812</v>
      </c>
      <c r="E82" s="13">
        <v>1800000350</v>
      </c>
      <c r="F82" t="s">
        <v>47</v>
      </c>
      <c r="G82" s="2">
        <v>45812</v>
      </c>
      <c r="H82" s="2">
        <v>45817</v>
      </c>
      <c r="I82" s="16">
        <v>256788410225</v>
      </c>
      <c r="J82" t="s">
        <v>8</v>
      </c>
      <c r="K82" t="s">
        <v>21</v>
      </c>
      <c r="L82" s="3">
        <v>111.13</v>
      </c>
      <c r="M82" t="s">
        <v>11</v>
      </c>
      <c r="N82" s="3">
        <v>9500.59</v>
      </c>
      <c r="O82" t="s">
        <v>12</v>
      </c>
      <c r="P82" t="s">
        <v>7</v>
      </c>
      <c r="Q82" t="s">
        <v>45</v>
      </c>
      <c r="R82" t="s">
        <v>121</v>
      </c>
      <c r="S82" t="s">
        <v>344</v>
      </c>
    </row>
    <row r="83" spans="1:19">
      <c r="A83" t="s">
        <v>2</v>
      </c>
      <c r="B83" t="s">
        <v>3</v>
      </c>
      <c r="C83" t="s">
        <v>61</v>
      </c>
      <c r="D83" s="2">
        <v>45812</v>
      </c>
      <c r="E83" s="13">
        <v>1800000351</v>
      </c>
      <c r="F83" t="s">
        <v>47</v>
      </c>
      <c r="G83" s="2">
        <v>45812</v>
      </c>
      <c r="H83" s="2">
        <v>45817</v>
      </c>
      <c r="I83" s="16">
        <v>256788410226</v>
      </c>
      <c r="J83" t="s">
        <v>8</v>
      </c>
      <c r="K83" t="s">
        <v>21</v>
      </c>
      <c r="L83" s="3">
        <v>223.31</v>
      </c>
      <c r="M83" t="s">
        <v>11</v>
      </c>
      <c r="N83" s="3">
        <v>19090.95</v>
      </c>
      <c r="O83" t="s">
        <v>12</v>
      </c>
      <c r="P83" t="s">
        <v>7</v>
      </c>
      <c r="Q83" t="s">
        <v>45</v>
      </c>
      <c r="R83" t="s">
        <v>122</v>
      </c>
      <c r="S83" t="s">
        <v>335</v>
      </c>
    </row>
    <row r="84" spans="1:19">
      <c r="A84" t="s">
        <v>2</v>
      </c>
      <c r="B84" t="s">
        <v>3</v>
      </c>
      <c r="C84" t="s">
        <v>61</v>
      </c>
      <c r="D84" s="2">
        <v>45812</v>
      </c>
      <c r="E84" s="13">
        <v>1800000352</v>
      </c>
      <c r="F84" t="s">
        <v>47</v>
      </c>
      <c r="G84" s="2">
        <v>45812</v>
      </c>
      <c r="H84" s="2">
        <v>45821</v>
      </c>
      <c r="I84" s="16">
        <v>256788410227</v>
      </c>
      <c r="J84" t="s">
        <v>8</v>
      </c>
      <c r="K84" t="s">
        <v>21</v>
      </c>
      <c r="L84" s="3">
        <v>27.61</v>
      </c>
      <c r="M84" t="s">
        <v>11</v>
      </c>
      <c r="N84" s="3">
        <v>2360.4</v>
      </c>
      <c r="O84" t="s">
        <v>12</v>
      </c>
      <c r="P84" t="s">
        <v>7</v>
      </c>
      <c r="Q84" t="s">
        <v>45</v>
      </c>
      <c r="R84" t="s">
        <v>123</v>
      </c>
      <c r="S84" t="s">
        <v>341</v>
      </c>
    </row>
    <row r="85" spans="1:19">
      <c r="A85" t="s">
        <v>2</v>
      </c>
      <c r="B85" t="s">
        <v>3</v>
      </c>
      <c r="C85" t="s">
        <v>67</v>
      </c>
      <c r="D85" s="2">
        <v>45793</v>
      </c>
      <c r="E85" s="13">
        <v>1600000113</v>
      </c>
      <c r="F85" t="s">
        <v>71</v>
      </c>
      <c r="G85" s="2">
        <v>45793</v>
      </c>
      <c r="H85" s="2">
        <v>45800</v>
      </c>
      <c r="I85" s="16">
        <v>256788420001</v>
      </c>
      <c r="J85" t="s">
        <v>8</v>
      </c>
      <c r="K85" t="s">
        <v>21</v>
      </c>
      <c r="L85" s="3">
        <v>-75</v>
      </c>
      <c r="M85" t="s">
        <v>11</v>
      </c>
      <c r="N85" s="3">
        <v>-6448.78</v>
      </c>
      <c r="O85" t="s">
        <v>12</v>
      </c>
      <c r="P85" t="s">
        <v>7</v>
      </c>
      <c r="Q85" t="s">
        <v>45</v>
      </c>
      <c r="R85" t="s">
        <v>124</v>
      </c>
    </row>
    <row r="86" spans="1:19">
      <c r="A86" t="s">
        <v>2</v>
      </c>
      <c r="B86" t="s">
        <v>3</v>
      </c>
      <c r="C86" t="s">
        <v>67</v>
      </c>
      <c r="D86" s="2">
        <v>45793</v>
      </c>
      <c r="E86" s="13">
        <v>1600000117</v>
      </c>
      <c r="F86" t="s">
        <v>71</v>
      </c>
      <c r="G86" s="2">
        <v>45793</v>
      </c>
      <c r="H86" s="2">
        <v>45800</v>
      </c>
      <c r="I86" s="16">
        <v>256788420005</v>
      </c>
      <c r="J86" t="s">
        <v>8</v>
      </c>
      <c r="K86" t="s">
        <v>21</v>
      </c>
      <c r="L86" s="3">
        <v>-75</v>
      </c>
      <c r="M86" t="s">
        <v>11</v>
      </c>
      <c r="N86" s="3">
        <v>-6448.78</v>
      </c>
      <c r="O86" t="s">
        <v>12</v>
      </c>
      <c r="P86" t="s">
        <v>7</v>
      </c>
      <c r="Q86" t="s">
        <v>45</v>
      </c>
      <c r="R86" t="s">
        <v>125</v>
      </c>
    </row>
    <row r="87" spans="1:19">
      <c r="A87" t="s">
        <v>2</v>
      </c>
      <c r="B87" t="s">
        <v>3</v>
      </c>
      <c r="C87" t="s">
        <v>16</v>
      </c>
      <c r="D87" s="2">
        <v>45705</v>
      </c>
      <c r="E87" s="13">
        <v>1800000000</v>
      </c>
      <c r="F87" t="s">
        <v>47</v>
      </c>
      <c r="G87" s="2">
        <v>45705</v>
      </c>
      <c r="H87" s="2">
        <v>45705</v>
      </c>
      <c r="I87" s="16">
        <v>246788410001</v>
      </c>
      <c r="J87" t="s">
        <v>8</v>
      </c>
      <c r="K87" t="s">
        <v>21</v>
      </c>
      <c r="L87" s="3">
        <v>75</v>
      </c>
      <c r="M87" t="s">
        <v>11</v>
      </c>
      <c r="N87" s="3">
        <v>6472.77</v>
      </c>
      <c r="O87" t="s">
        <v>12</v>
      </c>
      <c r="P87" t="s">
        <v>7</v>
      </c>
      <c r="Q87" t="s">
        <v>19</v>
      </c>
      <c r="R87" t="s">
        <v>126</v>
      </c>
      <c r="S87" t="s">
        <v>334</v>
      </c>
    </row>
    <row r="88" spans="1:19">
      <c r="A88" t="s">
        <v>2</v>
      </c>
      <c r="B88" t="s">
        <v>3</v>
      </c>
      <c r="C88" t="s">
        <v>67</v>
      </c>
      <c r="D88" s="2">
        <v>45805</v>
      </c>
      <c r="E88" s="13">
        <v>1800000346</v>
      </c>
      <c r="F88" t="s">
        <v>47</v>
      </c>
      <c r="G88" s="2">
        <v>45805</v>
      </c>
      <c r="H88" s="2">
        <v>45805</v>
      </c>
      <c r="I88" s="16">
        <v>256788410221</v>
      </c>
      <c r="J88" t="s">
        <v>8</v>
      </c>
      <c r="K88" t="s">
        <v>21</v>
      </c>
      <c r="L88" s="3">
        <v>10364.719999999999</v>
      </c>
      <c r="M88" t="s">
        <v>11</v>
      </c>
      <c r="N88" s="3">
        <v>891196.98</v>
      </c>
      <c r="O88" t="s">
        <v>12</v>
      </c>
      <c r="P88" t="s">
        <v>7</v>
      </c>
      <c r="Q88" t="s">
        <v>45</v>
      </c>
      <c r="R88" t="s">
        <v>127</v>
      </c>
      <c r="S88" t="s">
        <v>334</v>
      </c>
    </row>
    <row r="89" spans="1:19">
      <c r="A89" t="s">
        <v>2</v>
      </c>
      <c r="B89" t="s">
        <v>3</v>
      </c>
      <c r="C89" t="s">
        <v>79</v>
      </c>
      <c r="D89" s="2">
        <v>45856</v>
      </c>
      <c r="E89" s="13">
        <v>1800000389</v>
      </c>
      <c r="F89" t="s">
        <v>47</v>
      </c>
      <c r="G89" s="2">
        <v>45856</v>
      </c>
      <c r="H89" s="2">
        <v>45863</v>
      </c>
      <c r="I89" s="16">
        <v>256788410265</v>
      </c>
      <c r="J89" t="s">
        <v>8</v>
      </c>
      <c r="K89" t="s">
        <v>21</v>
      </c>
      <c r="L89" s="3">
        <v>1510.02</v>
      </c>
      <c r="M89" t="s">
        <v>11</v>
      </c>
      <c r="N89" s="3">
        <v>129862.73</v>
      </c>
      <c r="O89" t="s">
        <v>12</v>
      </c>
      <c r="P89" t="s">
        <v>7</v>
      </c>
      <c r="Q89" t="s">
        <v>45</v>
      </c>
      <c r="R89" t="s">
        <v>128</v>
      </c>
      <c r="S89" t="s">
        <v>335</v>
      </c>
    </row>
    <row r="90" spans="1:19">
      <c r="A90" t="s">
        <v>2</v>
      </c>
      <c r="B90" t="s">
        <v>3</v>
      </c>
      <c r="C90" t="s">
        <v>38</v>
      </c>
      <c r="D90" s="2">
        <v>45729</v>
      </c>
      <c r="E90" s="13">
        <v>1800000064</v>
      </c>
      <c r="F90" t="s">
        <v>47</v>
      </c>
      <c r="G90" s="2">
        <v>45729</v>
      </c>
      <c r="H90" s="2">
        <v>45730</v>
      </c>
      <c r="I90" s="16">
        <v>246788410059</v>
      </c>
      <c r="J90" t="s">
        <v>8</v>
      </c>
      <c r="K90" t="s">
        <v>21</v>
      </c>
      <c r="L90" s="3">
        <v>25.75</v>
      </c>
      <c r="M90" t="s">
        <v>11</v>
      </c>
      <c r="N90" s="3">
        <v>2232.3000000000002</v>
      </c>
      <c r="O90" t="s">
        <v>12</v>
      </c>
      <c r="P90" t="s">
        <v>7</v>
      </c>
      <c r="Q90" t="s">
        <v>45</v>
      </c>
      <c r="R90" t="s">
        <v>129</v>
      </c>
      <c r="S90" t="s">
        <v>339</v>
      </c>
    </row>
    <row r="91" spans="1:19">
      <c r="A91" t="s">
        <v>2</v>
      </c>
      <c r="B91" t="s">
        <v>3</v>
      </c>
      <c r="C91" t="s">
        <v>38</v>
      </c>
      <c r="D91" s="2">
        <v>45729</v>
      </c>
      <c r="E91" s="13">
        <v>1800000065</v>
      </c>
      <c r="F91" t="s">
        <v>47</v>
      </c>
      <c r="G91" s="2">
        <v>45729</v>
      </c>
      <c r="H91" s="2">
        <v>45730</v>
      </c>
      <c r="I91" s="16">
        <v>246788410060</v>
      </c>
      <c r="J91" t="s">
        <v>8</v>
      </c>
      <c r="K91" t="s">
        <v>21</v>
      </c>
      <c r="L91" s="3">
        <v>37.200000000000003</v>
      </c>
      <c r="M91" t="s">
        <v>11</v>
      </c>
      <c r="N91" s="3">
        <v>3224.91</v>
      </c>
      <c r="O91" t="s">
        <v>12</v>
      </c>
      <c r="P91" t="s">
        <v>7</v>
      </c>
      <c r="Q91" t="s">
        <v>45</v>
      </c>
      <c r="R91" t="s">
        <v>129</v>
      </c>
      <c r="S91" t="s">
        <v>339</v>
      </c>
    </row>
    <row r="92" spans="1:19">
      <c r="A92" t="s">
        <v>2</v>
      </c>
      <c r="B92" t="s">
        <v>3</v>
      </c>
      <c r="C92" t="s">
        <v>38</v>
      </c>
      <c r="D92" s="2">
        <v>45729</v>
      </c>
      <c r="E92" s="13">
        <v>1800000066</v>
      </c>
      <c r="F92" t="s">
        <v>47</v>
      </c>
      <c r="G92" s="2">
        <v>45729</v>
      </c>
      <c r="H92" s="2">
        <v>45730</v>
      </c>
      <c r="I92" s="16">
        <v>246788410061</v>
      </c>
      <c r="J92" t="s">
        <v>8</v>
      </c>
      <c r="K92" t="s">
        <v>21</v>
      </c>
      <c r="L92" s="3">
        <v>26.23</v>
      </c>
      <c r="M92" t="s">
        <v>11</v>
      </c>
      <c r="N92" s="3">
        <v>2273.91</v>
      </c>
      <c r="O92" t="s">
        <v>12</v>
      </c>
      <c r="P92" t="s">
        <v>7</v>
      </c>
      <c r="Q92" t="s">
        <v>45</v>
      </c>
      <c r="R92" t="s">
        <v>129</v>
      </c>
      <c r="S92" t="s">
        <v>339</v>
      </c>
    </row>
    <row r="93" spans="1:19">
      <c r="A93" t="s">
        <v>2</v>
      </c>
      <c r="B93" t="s">
        <v>3</v>
      </c>
      <c r="C93" t="s">
        <v>38</v>
      </c>
      <c r="D93" s="2">
        <v>45729</v>
      </c>
      <c r="E93" s="13">
        <v>1800000067</v>
      </c>
      <c r="F93" t="s">
        <v>47</v>
      </c>
      <c r="G93" s="2">
        <v>45729</v>
      </c>
      <c r="H93" s="2">
        <v>45730</v>
      </c>
      <c r="I93" s="16">
        <v>246788410062</v>
      </c>
      <c r="J93" t="s">
        <v>8</v>
      </c>
      <c r="K93" t="s">
        <v>21</v>
      </c>
      <c r="L93" s="3">
        <v>26.23</v>
      </c>
      <c r="M93" t="s">
        <v>11</v>
      </c>
      <c r="N93" s="3">
        <v>2273.91</v>
      </c>
      <c r="O93" t="s">
        <v>12</v>
      </c>
      <c r="P93" t="s">
        <v>7</v>
      </c>
      <c r="Q93" t="s">
        <v>45</v>
      </c>
      <c r="R93" t="s">
        <v>129</v>
      </c>
      <c r="S93" t="s">
        <v>339</v>
      </c>
    </row>
    <row r="94" spans="1:19">
      <c r="A94" t="s">
        <v>2</v>
      </c>
      <c r="B94" t="s">
        <v>3</v>
      </c>
      <c r="C94" t="s">
        <v>38</v>
      </c>
      <c r="D94" s="2">
        <v>45729</v>
      </c>
      <c r="E94" s="13">
        <v>1800000068</v>
      </c>
      <c r="F94" t="s">
        <v>47</v>
      </c>
      <c r="G94" s="2">
        <v>45729</v>
      </c>
      <c r="H94" s="2">
        <v>45730</v>
      </c>
      <c r="I94" s="16">
        <v>246788410063</v>
      </c>
      <c r="J94" t="s">
        <v>8</v>
      </c>
      <c r="K94" t="s">
        <v>21</v>
      </c>
      <c r="L94" s="3">
        <v>23.85</v>
      </c>
      <c r="M94" t="s">
        <v>11</v>
      </c>
      <c r="N94" s="3">
        <v>2067.59</v>
      </c>
      <c r="O94" t="s">
        <v>12</v>
      </c>
      <c r="P94" t="s">
        <v>7</v>
      </c>
      <c r="Q94" t="s">
        <v>45</v>
      </c>
      <c r="R94" t="s">
        <v>129</v>
      </c>
      <c r="S94" t="s">
        <v>339</v>
      </c>
    </row>
    <row r="95" spans="1:19">
      <c r="A95" t="s">
        <v>2</v>
      </c>
      <c r="B95" t="s">
        <v>3</v>
      </c>
      <c r="C95" t="s">
        <v>38</v>
      </c>
      <c r="D95" s="2">
        <v>45729</v>
      </c>
      <c r="E95" s="13">
        <v>1800000069</v>
      </c>
      <c r="F95" t="s">
        <v>47</v>
      </c>
      <c r="G95" s="2">
        <v>45729</v>
      </c>
      <c r="H95" s="2">
        <v>45730</v>
      </c>
      <c r="I95" s="16">
        <v>246788410064</v>
      </c>
      <c r="J95" t="s">
        <v>8</v>
      </c>
      <c r="K95" t="s">
        <v>21</v>
      </c>
      <c r="L95" s="3">
        <v>23.87</v>
      </c>
      <c r="M95" t="s">
        <v>11</v>
      </c>
      <c r="N95" s="3">
        <v>2069.3200000000002</v>
      </c>
      <c r="O95" t="s">
        <v>12</v>
      </c>
      <c r="P95" t="s">
        <v>7</v>
      </c>
      <c r="Q95" t="s">
        <v>45</v>
      </c>
      <c r="R95" t="s">
        <v>130</v>
      </c>
      <c r="S95" t="s">
        <v>339</v>
      </c>
    </row>
    <row r="96" spans="1:19">
      <c r="A96" t="s">
        <v>2</v>
      </c>
      <c r="B96" t="s">
        <v>3</v>
      </c>
      <c r="C96" t="s">
        <v>38</v>
      </c>
      <c r="D96" s="2">
        <v>45729</v>
      </c>
      <c r="E96" s="13">
        <v>1800000070</v>
      </c>
      <c r="F96" t="s">
        <v>47</v>
      </c>
      <c r="G96" s="2">
        <v>45729</v>
      </c>
      <c r="H96" s="2">
        <v>45730</v>
      </c>
      <c r="I96" s="16">
        <v>246788410065</v>
      </c>
      <c r="J96" t="s">
        <v>8</v>
      </c>
      <c r="K96" t="s">
        <v>21</v>
      </c>
      <c r="L96" s="3">
        <v>23.63</v>
      </c>
      <c r="M96" t="s">
        <v>11</v>
      </c>
      <c r="N96" s="3">
        <v>2048.5100000000002</v>
      </c>
      <c r="O96" t="s">
        <v>12</v>
      </c>
      <c r="P96" t="s">
        <v>7</v>
      </c>
      <c r="Q96" t="s">
        <v>45</v>
      </c>
      <c r="R96" t="s">
        <v>130</v>
      </c>
      <c r="S96" t="s">
        <v>339</v>
      </c>
    </row>
    <row r="97" spans="1:19">
      <c r="A97" t="s">
        <v>2</v>
      </c>
      <c r="B97" t="s">
        <v>3</v>
      </c>
      <c r="C97" t="s">
        <v>38</v>
      </c>
      <c r="D97" s="2">
        <v>45736</v>
      </c>
      <c r="E97" s="13">
        <v>1800005048</v>
      </c>
      <c r="F97" t="s">
        <v>47</v>
      </c>
      <c r="G97" s="2">
        <v>45736</v>
      </c>
      <c r="H97" s="2">
        <v>45737</v>
      </c>
      <c r="I97" s="16">
        <v>246779414916</v>
      </c>
      <c r="J97" t="s">
        <v>8</v>
      </c>
      <c r="K97" t="s">
        <v>21</v>
      </c>
      <c r="L97" s="3">
        <v>7.26</v>
      </c>
      <c r="M97" t="s">
        <v>11</v>
      </c>
      <c r="N97" s="3">
        <v>629.38</v>
      </c>
      <c r="O97" t="s">
        <v>76</v>
      </c>
      <c r="P97" t="s">
        <v>7</v>
      </c>
      <c r="Q97" t="s">
        <v>45</v>
      </c>
      <c r="R97" t="s">
        <v>131</v>
      </c>
      <c r="S97" t="s">
        <v>338</v>
      </c>
    </row>
    <row r="98" spans="1:19">
      <c r="A98" t="s">
        <v>2</v>
      </c>
      <c r="B98" t="s">
        <v>3</v>
      </c>
      <c r="C98" t="s">
        <v>38</v>
      </c>
      <c r="D98" s="2">
        <v>45736</v>
      </c>
      <c r="E98" s="13">
        <v>1800005049</v>
      </c>
      <c r="F98" t="s">
        <v>47</v>
      </c>
      <c r="G98" s="2">
        <v>45736</v>
      </c>
      <c r="H98" s="2">
        <v>45737</v>
      </c>
      <c r="I98" s="16">
        <v>246779414917</v>
      </c>
      <c r="J98" t="s">
        <v>8</v>
      </c>
      <c r="K98" t="s">
        <v>21</v>
      </c>
      <c r="L98" s="3">
        <v>12</v>
      </c>
      <c r="M98" t="s">
        <v>11</v>
      </c>
      <c r="N98" s="3">
        <v>1040.3</v>
      </c>
      <c r="O98" t="s">
        <v>76</v>
      </c>
      <c r="P98" t="s">
        <v>7</v>
      </c>
      <c r="Q98" t="s">
        <v>45</v>
      </c>
      <c r="R98" t="s">
        <v>132</v>
      </c>
      <c r="S98" t="s">
        <v>340</v>
      </c>
    </row>
    <row r="99" spans="1:19">
      <c r="A99" t="s">
        <v>2</v>
      </c>
      <c r="B99" t="s">
        <v>3</v>
      </c>
      <c r="C99" t="s">
        <v>16</v>
      </c>
      <c r="D99" s="2">
        <v>45708</v>
      </c>
      <c r="E99" s="13">
        <v>1800000029</v>
      </c>
      <c r="F99" t="s">
        <v>47</v>
      </c>
      <c r="G99" s="2">
        <v>45708</v>
      </c>
      <c r="H99" s="2">
        <v>45708</v>
      </c>
      <c r="I99" s="16">
        <v>246788410019</v>
      </c>
      <c r="J99" t="s">
        <v>8</v>
      </c>
      <c r="K99" t="s">
        <v>21</v>
      </c>
      <c r="L99" s="3">
        <v>75</v>
      </c>
      <c r="M99" t="s">
        <v>11</v>
      </c>
      <c r="N99" s="3">
        <v>6472.77</v>
      </c>
      <c r="O99" t="s">
        <v>12</v>
      </c>
      <c r="P99" t="s">
        <v>7</v>
      </c>
      <c r="Q99" t="s">
        <v>45</v>
      </c>
      <c r="R99" t="s">
        <v>133</v>
      </c>
      <c r="S99" t="s">
        <v>334</v>
      </c>
    </row>
    <row r="100" spans="1:19">
      <c r="A100" t="s">
        <v>2</v>
      </c>
      <c r="B100" t="s">
        <v>3</v>
      </c>
      <c r="C100" t="s">
        <v>16</v>
      </c>
      <c r="D100" s="2">
        <v>45708</v>
      </c>
      <c r="E100" s="13">
        <v>1800000033</v>
      </c>
      <c r="F100" t="s">
        <v>47</v>
      </c>
      <c r="G100" s="2">
        <v>45708</v>
      </c>
      <c r="H100" s="2">
        <v>45708</v>
      </c>
      <c r="I100" s="16">
        <v>246788410021</v>
      </c>
      <c r="J100" t="s">
        <v>8</v>
      </c>
      <c r="K100" t="s">
        <v>21</v>
      </c>
      <c r="L100" s="3">
        <v>75</v>
      </c>
      <c r="M100" t="s">
        <v>11</v>
      </c>
      <c r="N100" s="3">
        <v>6472.77</v>
      </c>
      <c r="O100" t="s">
        <v>12</v>
      </c>
      <c r="P100" t="s">
        <v>7</v>
      </c>
      <c r="Q100" t="s">
        <v>45</v>
      </c>
      <c r="R100" t="s">
        <v>134</v>
      </c>
      <c r="S100" t="s">
        <v>334</v>
      </c>
    </row>
    <row r="101" spans="1:19">
      <c r="A101" t="s">
        <v>2</v>
      </c>
      <c r="B101" t="s">
        <v>3</v>
      </c>
      <c r="C101" t="s">
        <v>24</v>
      </c>
      <c r="D101" s="2">
        <v>45889</v>
      </c>
      <c r="E101" s="13">
        <v>1800000476</v>
      </c>
      <c r="F101" t="s">
        <v>47</v>
      </c>
      <c r="G101" s="2">
        <v>45889</v>
      </c>
      <c r="H101" s="2">
        <v>45891</v>
      </c>
      <c r="I101" s="16">
        <v>256788410348</v>
      </c>
      <c r="J101" t="s">
        <v>8</v>
      </c>
      <c r="K101" t="s">
        <v>21</v>
      </c>
      <c r="L101" s="3">
        <v>20.57</v>
      </c>
      <c r="M101" t="s">
        <v>11</v>
      </c>
      <c r="N101" s="3">
        <v>1769.64</v>
      </c>
      <c r="O101" t="s">
        <v>12</v>
      </c>
      <c r="P101" t="s">
        <v>7</v>
      </c>
      <c r="Q101" t="s">
        <v>45</v>
      </c>
      <c r="R101" t="s">
        <v>135</v>
      </c>
      <c r="S101" t="s">
        <v>342</v>
      </c>
    </row>
    <row r="102" spans="1:19">
      <c r="A102" t="s">
        <v>2</v>
      </c>
      <c r="B102" t="s">
        <v>3</v>
      </c>
      <c r="C102" t="s">
        <v>24</v>
      </c>
      <c r="D102" s="2">
        <v>45889</v>
      </c>
      <c r="E102" s="13">
        <v>1800000473</v>
      </c>
      <c r="F102" t="s">
        <v>47</v>
      </c>
      <c r="G102" s="2">
        <v>45889</v>
      </c>
      <c r="H102" s="2">
        <v>45891</v>
      </c>
      <c r="I102" s="16">
        <v>256788410350</v>
      </c>
      <c r="J102" t="s">
        <v>8</v>
      </c>
      <c r="K102" t="s">
        <v>21</v>
      </c>
      <c r="L102" s="3">
        <v>141.91</v>
      </c>
      <c r="M102" t="s">
        <v>11</v>
      </c>
      <c r="N102" s="3">
        <v>12208.53</v>
      </c>
      <c r="O102" t="s">
        <v>12</v>
      </c>
      <c r="P102" t="s">
        <v>7</v>
      </c>
      <c r="Q102" t="s">
        <v>45</v>
      </c>
      <c r="R102" t="s">
        <v>136</v>
      </c>
      <c r="S102" t="s">
        <v>340</v>
      </c>
    </row>
    <row r="103" spans="1:19">
      <c r="A103" t="s">
        <v>2</v>
      </c>
      <c r="B103" t="s">
        <v>3</v>
      </c>
      <c r="C103" t="s">
        <v>24</v>
      </c>
      <c r="D103" s="2">
        <v>45889</v>
      </c>
      <c r="E103" s="13">
        <v>1800000475</v>
      </c>
      <c r="F103" t="s">
        <v>47</v>
      </c>
      <c r="G103" s="2">
        <v>45889</v>
      </c>
      <c r="H103" s="2">
        <v>45891</v>
      </c>
      <c r="I103" s="16">
        <v>256788410352</v>
      </c>
      <c r="J103" t="s">
        <v>8</v>
      </c>
      <c r="K103" t="s">
        <v>21</v>
      </c>
      <c r="L103" s="3">
        <v>342.84</v>
      </c>
      <c r="M103" t="s">
        <v>11</v>
      </c>
      <c r="N103" s="3">
        <v>29494.57</v>
      </c>
      <c r="O103" t="s">
        <v>12</v>
      </c>
      <c r="P103" t="s">
        <v>7</v>
      </c>
      <c r="Q103" t="s">
        <v>45</v>
      </c>
      <c r="R103" t="s">
        <v>137</v>
      </c>
      <c r="S103" t="s">
        <v>338</v>
      </c>
    </row>
    <row r="104" spans="1:19">
      <c r="A104" t="s">
        <v>2</v>
      </c>
      <c r="B104" t="s">
        <v>3</v>
      </c>
      <c r="C104" t="s">
        <v>16</v>
      </c>
      <c r="D104" s="2">
        <v>45707</v>
      </c>
      <c r="E104" s="13">
        <v>1600000004</v>
      </c>
      <c r="F104" t="s">
        <v>71</v>
      </c>
      <c r="G104" s="2">
        <v>45707</v>
      </c>
      <c r="H104" s="2">
        <v>45707</v>
      </c>
      <c r="I104" s="16">
        <v>246788420003</v>
      </c>
      <c r="J104" t="s">
        <v>8</v>
      </c>
      <c r="K104" t="s">
        <v>21</v>
      </c>
      <c r="L104" s="3">
        <v>-75</v>
      </c>
      <c r="M104" t="s">
        <v>11</v>
      </c>
      <c r="N104" s="3">
        <v>-6472.77</v>
      </c>
      <c r="O104" t="s">
        <v>12</v>
      </c>
      <c r="P104" t="s">
        <v>7</v>
      </c>
      <c r="Q104" t="s">
        <v>45</v>
      </c>
      <c r="R104" t="s">
        <v>138</v>
      </c>
    </row>
    <row r="105" spans="1:19">
      <c r="A105" t="s">
        <v>2</v>
      </c>
      <c r="B105" t="s">
        <v>3</v>
      </c>
      <c r="C105" t="s">
        <v>16</v>
      </c>
      <c r="D105" s="2">
        <v>45707</v>
      </c>
      <c r="E105" s="13">
        <v>1800000006</v>
      </c>
      <c r="F105" t="s">
        <v>47</v>
      </c>
      <c r="G105" s="2">
        <v>45707</v>
      </c>
      <c r="H105" s="2">
        <v>45707</v>
      </c>
      <c r="I105" s="16">
        <v>246788410005</v>
      </c>
      <c r="J105" t="s">
        <v>8</v>
      </c>
      <c r="K105" t="s">
        <v>21</v>
      </c>
      <c r="L105" s="3">
        <v>75</v>
      </c>
      <c r="M105" t="s">
        <v>11</v>
      </c>
      <c r="N105" s="3">
        <v>6472.77</v>
      </c>
      <c r="O105" t="s">
        <v>12</v>
      </c>
      <c r="P105" t="s">
        <v>7</v>
      </c>
      <c r="Q105" t="s">
        <v>45</v>
      </c>
      <c r="R105" t="s">
        <v>126</v>
      </c>
      <c r="S105" t="s">
        <v>334</v>
      </c>
    </row>
    <row r="106" spans="1:19">
      <c r="A106" t="s">
        <v>2</v>
      </c>
      <c r="B106" t="s">
        <v>3</v>
      </c>
      <c r="C106" t="s">
        <v>16</v>
      </c>
      <c r="D106" s="2">
        <v>45707</v>
      </c>
      <c r="E106" s="13">
        <v>1800000022</v>
      </c>
      <c r="F106" t="s">
        <v>47</v>
      </c>
      <c r="G106" s="2">
        <v>45707</v>
      </c>
      <c r="H106" s="2">
        <v>45707</v>
      </c>
      <c r="I106" s="16">
        <v>246788410009</v>
      </c>
      <c r="J106" t="s">
        <v>8</v>
      </c>
      <c r="K106" t="s">
        <v>21</v>
      </c>
      <c r="L106" s="3">
        <v>75</v>
      </c>
      <c r="M106" t="s">
        <v>11</v>
      </c>
      <c r="N106" s="3">
        <v>6472.77</v>
      </c>
      <c r="O106" t="s">
        <v>12</v>
      </c>
      <c r="P106" t="s">
        <v>7</v>
      </c>
      <c r="Q106" t="s">
        <v>45</v>
      </c>
      <c r="R106" t="s">
        <v>139</v>
      </c>
      <c r="S106" t="s">
        <v>334</v>
      </c>
    </row>
    <row r="107" spans="1:19">
      <c r="A107" t="s">
        <v>2</v>
      </c>
      <c r="B107" t="s">
        <v>3</v>
      </c>
      <c r="C107" t="s">
        <v>16</v>
      </c>
      <c r="D107" s="2">
        <v>45707</v>
      </c>
      <c r="E107" s="13">
        <v>1800000018</v>
      </c>
      <c r="F107" t="s">
        <v>47</v>
      </c>
      <c r="G107" s="2">
        <v>45707</v>
      </c>
      <c r="H107" s="2">
        <v>45707</v>
      </c>
      <c r="I107" s="16">
        <v>246788410013</v>
      </c>
      <c r="J107" t="s">
        <v>8</v>
      </c>
      <c r="K107" t="s">
        <v>21</v>
      </c>
      <c r="L107" s="3">
        <v>75</v>
      </c>
      <c r="M107" t="s">
        <v>11</v>
      </c>
      <c r="N107" s="3">
        <v>6472.77</v>
      </c>
      <c r="O107" t="s">
        <v>12</v>
      </c>
      <c r="P107" t="s">
        <v>7</v>
      </c>
      <c r="Q107" t="s">
        <v>45</v>
      </c>
      <c r="R107" t="s">
        <v>140</v>
      </c>
      <c r="S107" t="s">
        <v>334</v>
      </c>
    </row>
    <row r="108" spans="1:19">
      <c r="A108" t="s">
        <v>2</v>
      </c>
      <c r="B108" t="s">
        <v>3</v>
      </c>
      <c r="C108" t="s">
        <v>16</v>
      </c>
      <c r="D108" s="2">
        <v>45707</v>
      </c>
      <c r="E108" s="13">
        <v>1800000010</v>
      </c>
      <c r="F108" t="s">
        <v>47</v>
      </c>
      <c r="G108" s="2">
        <v>45707</v>
      </c>
      <c r="H108" s="2">
        <v>45707</v>
      </c>
      <c r="I108" s="16">
        <v>246788410015</v>
      </c>
      <c r="J108" t="s">
        <v>8</v>
      </c>
      <c r="K108" t="s">
        <v>21</v>
      </c>
      <c r="L108" s="3">
        <v>75</v>
      </c>
      <c r="M108" t="s">
        <v>11</v>
      </c>
      <c r="N108" s="3">
        <v>6472.77</v>
      </c>
      <c r="O108" t="s">
        <v>12</v>
      </c>
      <c r="P108" t="s">
        <v>7</v>
      </c>
      <c r="Q108" t="s">
        <v>45</v>
      </c>
      <c r="R108" t="s">
        <v>141</v>
      </c>
      <c r="S108" t="s">
        <v>334</v>
      </c>
    </row>
    <row r="109" spans="1:19">
      <c r="A109" t="s">
        <v>2</v>
      </c>
      <c r="B109" t="s">
        <v>3</v>
      </c>
      <c r="C109" t="s">
        <v>16</v>
      </c>
      <c r="D109" s="2">
        <v>45707</v>
      </c>
      <c r="E109" s="13">
        <v>1800000012</v>
      </c>
      <c r="F109" t="s">
        <v>47</v>
      </c>
      <c r="G109" s="2">
        <v>45707</v>
      </c>
      <c r="H109" s="2">
        <v>45707</v>
      </c>
      <c r="I109" s="16">
        <v>246788410017</v>
      </c>
      <c r="J109" t="s">
        <v>8</v>
      </c>
      <c r="K109" t="s">
        <v>21</v>
      </c>
      <c r="L109" s="3">
        <v>75</v>
      </c>
      <c r="M109" t="s">
        <v>11</v>
      </c>
      <c r="N109" s="3">
        <v>6472.77</v>
      </c>
      <c r="O109" t="s">
        <v>12</v>
      </c>
      <c r="P109" t="s">
        <v>7</v>
      </c>
      <c r="Q109" t="s">
        <v>45</v>
      </c>
      <c r="R109" t="s">
        <v>142</v>
      </c>
      <c r="S109" t="s">
        <v>334</v>
      </c>
    </row>
    <row r="110" spans="1:19">
      <c r="A110" t="s">
        <v>2</v>
      </c>
      <c r="B110" t="s">
        <v>3</v>
      </c>
      <c r="C110" t="s">
        <v>50</v>
      </c>
      <c r="D110" s="2">
        <v>45923</v>
      </c>
      <c r="E110" s="13">
        <v>1600000242</v>
      </c>
      <c r="F110" t="s">
        <v>71</v>
      </c>
      <c r="G110" s="2">
        <v>45923</v>
      </c>
      <c r="H110" s="2">
        <v>45924</v>
      </c>
      <c r="I110" s="16">
        <v>256788420122</v>
      </c>
      <c r="J110" t="s">
        <v>8</v>
      </c>
      <c r="K110" t="s">
        <v>21</v>
      </c>
      <c r="L110" s="3">
        <v>-9</v>
      </c>
      <c r="M110" t="s">
        <v>11</v>
      </c>
      <c r="N110" s="3">
        <v>-774.01</v>
      </c>
      <c r="O110" t="s">
        <v>12</v>
      </c>
      <c r="P110" t="s">
        <v>7</v>
      </c>
      <c r="Q110" t="s">
        <v>143</v>
      </c>
      <c r="R110" t="s">
        <v>144</v>
      </c>
    </row>
    <row r="111" spans="1:19">
      <c r="A111" t="s">
        <v>2</v>
      </c>
      <c r="B111" t="s">
        <v>3</v>
      </c>
      <c r="C111" t="s">
        <v>37</v>
      </c>
      <c r="D111" s="2">
        <v>45973</v>
      </c>
      <c r="E111" s="13">
        <v>1800000594</v>
      </c>
      <c r="F111" t="s">
        <v>47</v>
      </c>
      <c r="G111" s="2">
        <v>45973</v>
      </c>
      <c r="H111" s="2">
        <v>45973</v>
      </c>
      <c r="I111" s="16">
        <v>256788410459</v>
      </c>
      <c r="J111" t="s">
        <v>8</v>
      </c>
      <c r="K111" t="s">
        <v>21</v>
      </c>
      <c r="L111" s="3">
        <v>8006.66</v>
      </c>
      <c r="M111" t="s">
        <v>11</v>
      </c>
      <c r="N111" s="3">
        <v>704613.22</v>
      </c>
      <c r="O111" t="s">
        <v>12</v>
      </c>
      <c r="P111" t="s">
        <v>7</v>
      </c>
      <c r="Q111" t="s">
        <v>145</v>
      </c>
      <c r="R111" t="s">
        <v>108</v>
      </c>
      <c r="S111" t="s">
        <v>334</v>
      </c>
    </row>
    <row r="112" spans="1:19">
      <c r="A112" t="s">
        <v>2</v>
      </c>
      <c r="B112" t="s">
        <v>3</v>
      </c>
      <c r="C112" t="s">
        <v>37</v>
      </c>
      <c r="D112" s="2">
        <v>45973</v>
      </c>
      <c r="E112" s="13">
        <v>1600000270</v>
      </c>
      <c r="F112" t="s">
        <v>71</v>
      </c>
      <c r="G112" s="2">
        <v>45973</v>
      </c>
      <c r="H112" s="2">
        <v>45974</v>
      </c>
      <c r="I112" s="16">
        <v>256788420147</v>
      </c>
      <c r="J112" t="s">
        <v>8</v>
      </c>
      <c r="K112" t="s">
        <v>21</v>
      </c>
      <c r="L112" s="3">
        <v>-4547.2</v>
      </c>
      <c r="M112" t="s">
        <v>11</v>
      </c>
      <c r="N112" s="3">
        <v>-400169.02</v>
      </c>
      <c r="O112" t="s">
        <v>12</v>
      </c>
      <c r="P112" t="s">
        <v>7</v>
      </c>
      <c r="Q112" t="s">
        <v>146</v>
      </c>
      <c r="R112" t="s">
        <v>147</v>
      </c>
    </row>
    <row r="113" spans="1:19">
      <c r="A113" t="s">
        <v>2</v>
      </c>
      <c r="B113" t="s">
        <v>3</v>
      </c>
      <c r="C113" t="s">
        <v>61</v>
      </c>
      <c r="D113" s="2">
        <v>45821</v>
      </c>
      <c r="E113" s="13">
        <v>1800009582</v>
      </c>
      <c r="F113" t="s">
        <v>47</v>
      </c>
      <c r="G113" s="2">
        <v>45821</v>
      </c>
      <c r="H113" s="2">
        <v>45825</v>
      </c>
      <c r="I113" s="16">
        <v>256779414346</v>
      </c>
      <c r="J113" t="s">
        <v>8</v>
      </c>
      <c r="K113" t="s">
        <v>21</v>
      </c>
      <c r="L113" s="3">
        <v>2322.04</v>
      </c>
      <c r="M113" t="s">
        <v>11</v>
      </c>
      <c r="N113" s="3">
        <v>198513.01</v>
      </c>
      <c r="O113" t="s">
        <v>76</v>
      </c>
      <c r="P113" t="s">
        <v>7</v>
      </c>
      <c r="Q113" t="s">
        <v>45</v>
      </c>
      <c r="R113" t="s">
        <v>148</v>
      </c>
      <c r="S113" t="s">
        <v>337</v>
      </c>
    </row>
    <row r="114" spans="1:19">
      <c r="A114" t="s">
        <v>2</v>
      </c>
      <c r="B114" t="s">
        <v>3</v>
      </c>
      <c r="C114" t="s">
        <v>67</v>
      </c>
      <c r="D114" s="2">
        <v>45797</v>
      </c>
      <c r="E114" s="13">
        <v>1800000345</v>
      </c>
      <c r="F114" t="s">
        <v>47</v>
      </c>
      <c r="G114" s="2">
        <v>45797</v>
      </c>
      <c r="H114" s="2">
        <v>45800</v>
      </c>
      <c r="I114" s="16">
        <v>256788410220</v>
      </c>
      <c r="J114" t="s">
        <v>8</v>
      </c>
      <c r="K114" t="s">
        <v>21</v>
      </c>
      <c r="L114" s="3">
        <v>67.2</v>
      </c>
      <c r="M114" t="s">
        <v>11</v>
      </c>
      <c r="N114" s="3">
        <v>5778.1</v>
      </c>
      <c r="O114" t="s">
        <v>12</v>
      </c>
      <c r="P114" t="s">
        <v>7</v>
      </c>
      <c r="Q114" t="s">
        <v>45</v>
      </c>
      <c r="R114" t="s">
        <v>149</v>
      </c>
      <c r="S114" t="s">
        <v>338</v>
      </c>
    </row>
    <row r="115" spans="1:19">
      <c r="A115" t="s">
        <v>2</v>
      </c>
      <c r="B115" t="s">
        <v>3</v>
      </c>
      <c r="C115" t="s">
        <v>4</v>
      </c>
      <c r="D115" s="2">
        <v>45750</v>
      </c>
      <c r="E115" s="13">
        <v>1800005306</v>
      </c>
      <c r="F115" t="s">
        <v>47</v>
      </c>
      <c r="G115" s="2">
        <v>45750</v>
      </c>
      <c r="H115" s="2">
        <v>45752</v>
      </c>
      <c r="I115" s="16">
        <v>256779410198</v>
      </c>
      <c r="J115" t="s">
        <v>8</v>
      </c>
      <c r="K115" t="s">
        <v>21</v>
      </c>
      <c r="L115" s="3">
        <v>3.45</v>
      </c>
      <c r="M115" t="s">
        <v>11</v>
      </c>
      <c r="N115" s="3">
        <v>299.88</v>
      </c>
      <c r="O115" t="s">
        <v>7</v>
      </c>
      <c r="P115" t="s">
        <v>7</v>
      </c>
      <c r="Q115" t="s">
        <v>45</v>
      </c>
      <c r="R115" t="s">
        <v>150</v>
      </c>
      <c r="S115" t="s">
        <v>339</v>
      </c>
    </row>
    <row r="116" spans="1:19">
      <c r="A116" t="s">
        <v>2</v>
      </c>
      <c r="B116" t="s">
        <v>3</v>
      </c>
      <c r="C116" t="s">
        <v>29</v>
      </c>
      <c r="D116" s="2">
        <v>45950</v>
      </c>
      <c r="E116" s="13">
        <v>1800000558</v>
      </c>
      <c r="F116" t="s">
        <v>47</v>
      </c>
      <c r="G116" s="2">
        <v>45950</v>
      </c>
      <c r="H116" s="2">
        <v>45951</v>
      </c>
      <c r="I116" s="16">
        <v>256788410435</v>
      </c>
      <c r="J116" t="s">
        <v>8</v>
      </c>
      <c r="K116" t="s">
        <v>21</v>
      </c>
      <c r="L116" s="3">
        <v>38</v>
      </c>
      <c r="M116" t="s">
        <v>11</v>
      </c>
      <c r="N116" s="3">
        <v>3351.25</v>
      </c>
      <c r="O116" t="s">
        <v>12</v>
      </c>
      <c r="P116" t="s">
        <v>7</v>
      </c>
      <c r="Q116" t="s">
        <v>151</v>
      </c>
      <c r="R116" t="s">
        <v>152</v>
      </c>
      <c r="S116" t="s">
        <v>340</v>
      </c>
    </row>
    <row r="117" spans="1:19">
      <c r="A117" t="s">
        <v>2</v>
      </c>
      <c r="B117" t="s">
        <v>3</v>
      </c>
      <c r="C117" t="s">
        <v>29</v>
      </c>
      <c r="D117" s="2">
        <v>45950</v>
      </c>
      <c r="E117" s="13">
        <v>1800000560</v>
      </c>
      <c r="F117" t="s">
        <v>47</v>
      </c>
      <c r="G117" s="2">
        <v>45950</v>
      </c>
      <c r="H117" s="2">
        <v>45951</v>
      </c>
      <c r="I117" s="16">
        <v>256788410437</v>
      </c>
      <c r="J117" t="s">
        <v>8</v>
      </c>
      <c r="K117" t="s">
        <v>21</v>
      </c>
      <c r="L117" s="3">
        <v>346.14</v>
      </c>
      <c r="M117" t="s">
        <v>11</v>
      </c>
      <c r="N117" s="3">
        <v>30526.35</v>
      </c>
      <c r="O117" t="s">
        <v>12</v>
      </c>
      <c r="P117" t="s">
        <v>7</v>
      </c>
      <c r="Q117" t="s">
        <v>153</v>
      </c>
      <c r="R117" t="s">
        <v>154</v>
      </c>
      <c r="S117" t="s">
        <v>338</v>
      </c>
    </row>
    <row r="118" spans="1:19">
      <c r="A118" t="s">
        <v>2</v>
      </c>
      <c r="B118" t="s">
        <v>3</v>
      </c>
      <c r="C118" t="s">
        <v>4</v>
      </c>
      <c r="D118" s="2">
        <v>45749</v>
      </c>
      <c r="E118" s="13">
        <v>1800000126</v>
      </c>
      <c r="F118" t="s">
        <v>47</v>
      </c>
      <c r="G118" s="2">
        <v>45749</v>
      </c>
      <c r="H118" s="2">
        <v>45752</v>
      </c>
      <c r="I118" s="16">
        <v>256788410001</v>
      </c>
      <c r="J118" t="s">
        <v>8</v>
      </c>
      <c r="K118" t="s">
        <v>21</v>
      </c>
      <c r="L118" s="3">
        <v>10887.57</v>
      </c>
      <c r="M118" t="s">
        <v>11</v>
      </c>
      <c r="N118" s="3">
        <v>946367.4</v>
      </c>
      <c r="O118" t="s">
        <v>7</v>
      </c>
      <c r="P118" t="s">
        <v>7</v>
      </c>
      <c r="Q118" t="s">
        <v>45</v>
      </c>
      <c r="R118" t="s">
        <v>155</v>
      </c>
      <c r="S118" t="s">
        <v>334</v>
      </c>
    </row>
    <row r="119" spans="1:19">
      <c r="A119" t="s">
        <v>2</v>
      </c>
      <c r="B119" t="s">
        <v>3</v>
      </c>
      <c r="C119" t="s">
        <v>4</v>
      </c>
      <c r="D119" s="2">
        <v>45749</v>
      </c>
      <c r="E119" s="13">
        <v>1800000127</v>
      </c>
      <c r="F119" t="s">
        <v>47</v>
      </c>
      <c r="G119" s="2">
        <v>45749</v>
      </c>
      <c r="H119" s="2">
        <v>45752</v>
      </c>
      <c r="I119" s="16">
        <v>256788410002</v>
      </c>
      <c r="J119" t="s">
        <v>8</v>
      </c>
      <c r="K119" t="s">
        <v>21</v>
      </c>
      <c r="L119" s="3">
        <v>9928.89</v>
      </c>
      <c r="M119" t="s">
        <v>11</v>
      </c>
      <c r="N119" s="3">
        <v>863037.19</v>
      </c>
      <c r="O119" t="s">
        <v>7</v>
      </c>
      <c r="P119" t="s">
        <v>7</v>
      </c>
      <c r="Q119" t="s">
        <v>45</v>
      </c>
      <c r="R119" t="s">
        <v>156</v>
      </c>
      <c r="S119" t="s">
        <v>334</v>
      </c>
    </row>
    <row r="120" spans="1:19">
      <c r="A120" t="s">
        <v>2</v>
      </c>
      <c r="B120" t="s">
        <v>3</v>
      </c>
      <c r="C120" t="s">
        <v>4</v>
      </c>
      <c r="D120" s="2">
        <v>45749</v>
      </c>
      <c r="E120" s="13">
        <v>1800000128</v>
      </c>
      <c r="F120" t="s">
        <v>47</v>
      </c>
      <c r="G120" s="2">
        <v>45749</v>
      </c>
      <c r="H120" s="2">
        <v>45752</v>
      </c>
      <c r="I120" s="16">
        <v>256788410003</v>
      </c>
      <c r="J120" t="s">
        <v>8</v>
      </c>
      <c r="K120" t="s">
        <v>21</v>
      </c>
      <c r="L120" s="3">
        <v>4.5</v>
      </c>
      <c r="M120" t="s">
        <v>11</v>
      </c>
      <c r="N120" s="3">
        <v>391.15</v>
      </c>
      <c r="O120" t="s">
        <v>7</v>
      </c>
      <c r="P120" t="s">
        <v>7</v>
      </c>
      <c r="Q120" t="s">
        <v>45</v>
      </c>
      <c r="R120" t="s">
        <v>157</v>
      </c>
      <c r="S120" t="s">
        <v>338</v>
      </c>
    </row>
    <row r="121" spans="1:19">
      <c r="A121" t="s">
        <v>2</v>
      </c>
      <c r="B121" t="s">
        <v>3</v>
      </c>
      <c r="C121" t="s">
        <v>4</v>
      </c>
      <c r="D121" s="2">
        <v>45749</v>
      </c>
      <c r="E121" s="13">
        <v>1800000129</v>
      </c>
      <c r="F121" t="s">
        <v>47</v>
      </c>
      <c r="G121" s="2">
        <v>45749</v>
      </c>
      <c r="H121" s="2">
        <v>45752</v>
      </c>
      <c r="I121" s="16">
        <v>256788410004</v>
      </c>
      <c r="J121" t="s">
        <v>8</v>
      </c>
      <c r="K121" t="s">
        <v>21</v>
      </c>
      <c r="L121" s="3">
        <v>2786.28</v>
      </c>
      <c r="M121" t="s">
        <v>11</v>
      </c>
      <c r="N121" s="3">
        <v>242188.53</v>
      </c>
      <c r="O121" t="s">
        <v>7</v>
      </c>
      <c r="P121" t="s">
        <v>7</v>
      </c>
      <c r="Q121" t="s">
        <v>45</v>
      </c>
      <c r="R121" t="s">
        <v>158</v>
      </c>
      <c r="S121" t="s">
        <v>337</v>
      </c>
    </row>
    <row r="122" spans="1:19">
      <c r="A122" t="s">
        <v>2</v>
      </c>
      <c r="B122" t="s">
        <v>3</v>
      </c>
      <c r="C122" t="s">
        <v>4</v>
      </c>
      <c r="D122" s="2">
        <v>45749</v>
      </c>
      <c r="E122" s="13">
        <v>1800000134</v>
      </c>
      <c r="F122" t="s">
        <v>47</v>
      </c>
      <c r="G122" s="2">
        <v>45749</v>
      </c>
      <c r="H122" s="2">
        <v>45752</v>
      </c>
      <c r="I122" s="16">
        <v>256788410009</v>
      </c>
      <c r="J122" t="s">
        <v>8</v>
      </c>
      <c r="K122" t="s">
        <v>21</v>
      </c>
      <c r="L122" s="3">
        <v>2934.66</v>
      </c>
      <c r="M122" t="s">
        <v>11</v>
      </c>
      <c r="N122" s="3">
        <v>255085.99</v>
      </c>
      <c r="O122" t="s">
        <v>7</v>
      </c>
      <c r="P122" t="s">
        <v>7</v>
      </c>
      <c r="Q122" t="s">
        <v>45</v>
      </c>
      <c r="R122" t="s">
        <v>159</v>
      </c>
      <c r="S122" t="s">
        <v>337</v>
      </c>
    </row>
    <row r="123" spans="1:19">
      <c r="A123" t="s">
        <v>2</v>
      </c>
      <c r="B123" t="s">
        <v>3</v>
      </c>
      <c r="C123" t="s">
        <v>4</v>
      </c>
      <c r="D123" s="2">
        <v>45749</v>
      </c>
      <c r="E123" s="13">
        <v>1800000138</v>
      </c>
      <c r="F123" t="s">
        <v>47</v>
      </c>
      <c r="G123" s="2">
        <v>45749</v>
      </c>
      <c r="H123" s="2">
        <v>45752</v>
      </c>
      <c r="I123" s="16">
        <v>256788410013</v>
      </c>
      <c r="J123" t="s">
        <v>8</v>
      </c>
      <c r="K123" t="s">
        <v>21</v>
      </c>
      <c r="L123" s="3">
        <v>2935.55</v>
      </c>
      <c r="M123" t="s">
        <v>11</v>
      </c>
      <c r="N123" s="3">
        <v>255163.35</v>
      </c>
      <c r="O123" t="s">
        <v>7</v>
      </c>
      <c r="P123" t="s">
        <v>7</v>
      </c>
      <c r="Q123" t="s">
        <v>45</v>
      </c>
      <c r="R123" t="s">
        <v>160</v>
      </c>
      <c r="S123" t="s">
        <v>337</v>
      </c>
    </row>
    <row r="124" spans="1:19">
      <c r="A124" t="s">
        <v>2</v>
      </c>
      <c r="B124" t="s">
        <v>3</v>
      </c>
      <c r="C124" t="s">
        <v>4</v>
      </c>
      <c r="D124" s="2">
        <v>45749</v>
      </c>
      <c r="E124" s="13">
        <v>1800000141</v>
      </c>
      <c r="F124" t="s">
        <v>47</v>
      </c>
      <c r="G124" s="2">
        <v>45749</v>
      </c>
      <c r="H124" s="2">
        <v>45752</v>
      </c>
      <c r="I124" s="16">
        <v>256788410016</v>
      </c>
      <c r="J124" t="s">
        <v>8</v>
      </c>
      <c r="K124" t="s">
        <v>21</v>
      </c>
      <c r="L124" s="3">
        <v>3979.2</v>
      </c>
      <c r="M124" t="s">
        <v>11</v>
      </c>
      <c r="N124" s="3">
        <v>345879.31</v>
      </c>
      <c r="O124" t="s">
        <v>7</v>
      </c>
      <c r="P124" t="s">
        <v>7</v>
      </c>
      <c r="Q124" t="s">
        <v>45</v>
      </c>
      <c r="R124" t="s">
        <v>161</v>
      </c>
      <c r="S124" t="s">
        <v>337</v>
      </c>
    </row>
    <row r="125" spans="1:19">
      <c r="A125" t="s">
        <v>2</v>
      </c>
      <c r="B125" t="s">
        <v>3</v>
      </c>
      <c r="C125" t="s">
        <v>4</v>
      </c>
      <c r="D125" s="2">
        <v>45749</v>
      </c>
      <c r="E125" s="13">
        <v>1800000144</v>
      </c>
      <c r="F125" t="s">
        <v>47</v>
      </c>
      <c r="G125" s="2">
        <v>45749</v>
      </c>
      <c r="H125" s="2">
        <v>45752</v>
      </c>
      <c r="I125" s="16">
        <v>256788410019</v>
      </c>
      <c r="J125" t="s">
        <v>8</v>
      </c>
      <c r="K125" t="s">
        <v>21</v>
      </c>
      <c r="L125" s="3">
        <v>75</v>
      </c>
      <c r="M125" t="s">
        <v>11</v>
      </c>
      <c r="N125" s="3">
        <v>6519.14</v>
      </c>
      <c r="O125" t="s">
        <v>7</v>
      </c>
      <c r="P125" t="s">
        <v>7</v>
      </c>
      <c r="Q125" t="s">
        <v>45</v>
      </c>
      <c r="R125" t="s">
        <v>133</v>
      </c>
      <c r="S125" t="s">
        <v>334</v>
      </c>
    </row>
    <row r="126" spans="1:19">
      <c r="A126" t="s">
        <v>2</v>
      </c>
      <c r="B126" t="s">
        <v>3</v>
      </c>
      <c r="C126" t="s">
        <v>4</v>
      </c>
      <c r="D126" s="2">
        <v>45749</v>
      </c>
      <c r="E126" s="13">
        <v>1800000148</v>
      </c>
      <c r="F126" t="s">
        <v>47</v>
      </c>
      <c r="G126" s="2">
        <v>45749</v>
      </c>
      <c r="H126" s="2">
        <v>45752</v>
      </c>
      <c r="I126" s="16">
        <v>256788410023</v>
      </c>
      <c r="J126" t="s">
        <v>8</v>
      </c>
      <c r="K126" t="s">
        <v>21</v>
      </c>
      <c r="L126" s="3">
        <v>75</v>
      </c>
      <c r="M126" t="s">
        <v>11</v>
      </c>
      <c r="N126" s="3">
        <v>6519.14</v>
      </c>
      <c r="O126" t="s">
        <v>7</v>
      </c>
      <c r="P126" t="s">
        <v>7</v>
      </c>
      <c r="Q126" t="s">
        <v>45</v>
      </c>
      <c r="R126" t="s">
        <v>134</v>
      </c>
      <c r="S126" t="s">
        <v>334</v>
      </c>
    </row>
    <row r="127" spans="1:19">
      <c r="A127" t="s">
        <v>2</v>
      </c>
      <c r="B127" t="s">
        <v>3</v>
      </c>
      <c r="C127" t="s">
        <v>162</v>
      </c>
      <c r="D127" s="2">
        <v>45995</v>
      </c>
      <c r="E127" s="13">
        <v>1800000608</v>
      </c>
      <c r="F127" t="s">
        <v>47</v>
      </c>
      <c r="G127" s="2">
        <v>45995</v>
      </c>
      <c r="H127" s="2">
        <v>46000</v>
      </c>
      <c r="I127" s="16">
        <v>256788410465</v>
      </c>
      <c r="J127" t="s">
        <v>8</v>
      </c>
      <c r="K127" t="s">
        <v>21</v>
      </c>
      <c r="L127" s="3">
        <v>3385.09</v>
      </c>
      <c r="M127" t="s">
        <v>11</v>
      </c>
      <c r="N127" s="3">
        <v>300257.96000000002</v>
      </c>
      <c r="O127" t="s">
        <v>12</v>
      </c>
      <c r="P127" t="s">
        <v>7</v>
      </c>
      <c r="Q127" t="s">
        <v>163</v>
      </c>
      <c r="R127" t="s">
        <v>164</v>
      </c>
      <c r="S127" t="s">
        <v>334</v>
      </c>
    </row>
    <row r="128" spans="1:19">
      <c r="A128" t="s">
        <v>2</v>
      </c>
      <c r="B128" t="s">
        <v>3</v>
      </c>
      <c r="C128" t="s">
        <v>162</v>
      </c>
      <c r="D128" s="2">
        <v>45995</v>
      </c>
      <c r="E128" s="13">
        <v>1800000609</v>
      </c>
      <c r="F128" t="s">
        <v>47</v>
      </c>
      <c r="G128" s="2">
        <v>45995</v>
      </c>
      <c r="H128" s="2">
        <v>46000</v>
      </c>
      <c r="I128" s="16">
        <v>256788410466</v>
      </c>
      <c r="J128" t="s">
        <v>8</v>
      </c>
      <c r="K128" t="s">
        <v>21</v>
      </c>
      <c r="L128" s="3">
        <v>75</v>
      </c>
      <c r="M128" t="s">
        <v>11</v>
      </c>
      <c r="N128" s="3">
        <v>6652.51</v>
      </c>
      <c r="O128" t="s">
        <v>12</v>
      </c>
      <c r="P128" t="s">
        <v>7</v>
      </c>
      <c r="Q128" t="s">
        <v>165</v>
      </c>
      <c r="R128" t="s">
        <v>166</v>
      </c>
      <c r="S128" t="s">
        <v>334</v>
      </c>
    </row>
    <row r="129" spans="1:19">
      <c r="A129" t="s">
        <v>2</v>
      </c>
      <c r="B129" t="s">
        <v>3</v>
      </c>
      <c r="C129" t="s">
        <v>38</v>
      </c>
      <c r="D129" s="2">
        <v>45734</v>
      </c>
      <c r="E129" s="13">
        <v>1800000084</v>
      </c>
      <c r="F129" t="s">
        <v>47</v>
      </c>
      <c r="G129" s="2">
        <v>45734</v>
      </c>
      <c r="H129" s="2">
        <v>45735</v>
      </c>
      <c r="I129" s="16">
        <v>246788410079</v>
      </c>
      <c r="J129" t="s">
        <v>8</v>
      </c>
      <c r="K129" t="s">
        <v>21</v>
      </c>
      <c r="L129" s="3">
        <v>75</v>
      </c>
      <c r="M129" t="s">
        <v>11</v>
      </c>
      <c r="N129" s="3">
        <v>6501.84</v>
      </c>
      <c r="O129" t="s">
        <v>12</v>
      </c>
      <c r="P129" t="s">
        <v>7</v>
      </c>
      <c r="Q129" t="s">
        <v>45</v>
      </c>
      <c r="R129" t="s">
        <v>167</v>
      </c>
      <c r="S129" t="s">
        <v>334</v>
      </c>
    </row>
    <row r="130" spans="1:19">
      <c r="A130" t="s">
        <v>2</v>
      </c>
      <c r="B130" t="s">
        <v>3</v>
      </c>
      <c r="C130" t="s">
        <v>38</v>
      </c>
      <c r="D130" s="2">
        <v>45734</v>
      </c>
      <c r="E130" s="13">
        <v>1800000086</v>
      </c>
      <c r="F130" t="s">
        <v>47</v>
      </c>
      <c r="G130" s="2">
        <v>45734</v>
      </c>
      <c r="H130" s="2">
        <v>45735</v>
      </c>
      <c r="I130" s="16">
        <v>246788410081</v>
      </c>
      <c r="J130" t="s">
        <v>8</v>
      </c>
      <c r="K130" t="s">
        <v>21</v>
      </c>
      <c r="L130" s="3">
        <v>2</v>
      </c>
      <c r="M130" t="s">
        <v>11</v>
      </c>
      <c r="N130" s="3">
        <v>173.38</v>
      </c>
      <c r="O130" t="s">
        <v>12</v>
      </c>
      <c r="P130" t="s">
        <v>7</v>
      </c>
      <c r="Q130" t="s">
        <v>45</v>
      </c>
      <c r="R130" t="s">
        <v>168</v>
      </c>
      <c r="S130" t="s">
        <v>338</v>
      </c>
    </row>
    <row r="131" spans="1:19">
      <c r="A131" t="s">
        <v>2</v>
      </c>
      <c r="B131" t="s">
        <v>3</v>
      </c>
      <c r="C131" t="s">
        <v>38</v>
      </c>
      <c r="D131" s="2">
        <v>45734</v>
      </c>
      <c r="E131" s="13">
        <v>1800000087</v>
      </c>
      <c r="F131" t="s">
        <v>47</v>
      </c>
      <c r="G131" s="2">
        <v>45734</v>
      </c>
      <c r="H131" s="2">
        <v>45735</v>
      </c>
      <c r="I131" s="16">
        <v>246788410082</v>
      </c>
      <c r="J131" t="s">
        <v>8</v>
      </c>
      <c r="K131" t="s">
        <v>21</v>
      </c>
      <c r="L131" s="3">
        <v>40</v>
      </c>
      <c r="M131" t="s">
        <v>11</v>
      </c>
      <c r="N131" s="3">
        <v>3467.65</v>
      </c>
      <c r="O131" t="s">
        <v>12</v>
      </c>
      <c r="P131" t="s">
        <v>7</v>
      </c>
      <c r="Q131" t="s">
        <v>45</v>
      </c>
      <c r="R131" t="s">
        <v>168</v>
      </c>
      <c r="S131" t="s">
        <v>338</v>
      </c>
    </row>
    <row r="132" spans="1:19">
      <c r="A132" t="s">
        <v>2</v>
      </c>
      <c r="B132" t="s">
        <v>3</v>
      </c>
      <c r="C132" t="s">
        <v>38</v>
      </c>
      <c r="D132" s="2">
        <v>45734</v>
      </c>
      <c r="E132" s="13">
        <v>1800000090</v>
      </c>
      <c r="F132" t="s">
        <v>47</v>
      </c>
      <c r="G132" s="2">
        <v>45734</v>
      </c>
      <c r="H132" s="2">
        <v>45735</v>
      </c>
      <c r="I132" s="16">
        <v>246788410085</v>
      </c>
      <c r="J132" t="s">
        <v>8</v>
      </c>
      <c r="K132" t="s">
        <v>21</v>
      </c>
      <c r="L132" s="3">
        <v>1324</v>
      </c>
      <c r="M132" t="s">
        <v>11</v>
      </c>
      <c r="N132" s="3">
        <v>114779.23</v>
      </c>
      <c r="O132" t="s">
        <v>12</v>
      </c>
      <c r="P132" t="s">
        <v>7</v>
      </c>
      <c r="Q132" t="s">
        <v>45</v>
      </c>
      <c r="R132" t="s">
        <v>169</v>
      </c>
      <c r="S132" t="s">
        <v>338</v>
      </c>
    </row>
    <row r="133" spans="1:19">
      <c r="A133" t="s">
        <v>2</v>
      </c>
      <c r="B133" t="s">
        <v>3</v>
      </c>
      <c r="C133" t="s">
        <v>38</v>
      </c>
      <c r="D133" s="2">
        <v>45734</v>
      </c>
      <c r="E133" s="13">
        <v>1800000091</v>
      </c>
      <c r="F133" t="s">
        <v>47</v>
      </c>
      <c r="G133" s="2">
        <v>45734</v>
      </c>
      <c r="H133" s="2">
        <v>45735</v>
      </c>
      <c r="I133" s="16">
        <v>246788410086</v>
      </c>
      <c r="J133" t="s">
        <v>8</v>
      </c>
      <c r="K133" t="s">
        <v>21</v>
      </c>
      <c r="L133" s="3">
        <v>0.5</v>
      </c>
      <c r="M133" t="s">
        <v>11</v>
      </c>
      <c r="N133" s="3">
        <v>43.35</v>
      </c>
      <c r="O133" t="s">
        <v>12</v>
      </c>
      <c r="P133" t="s">
        <v>7</v>
      </c>
      <c r="Q133" t="s">
        <v>45</v>
      </c>
      <c r="R133" t="s">
        <v>170</v>
      </c>
      <c r="S133" t="s">
        <v>338</v>
      </c>
    </row>
    <row r="134" spans="1:19">
      <c r="A134" t="s">
        <v>2</v>
      </c>
      <c r="B134" t="s">
        <v>3</v>
      </c>
      <c r="C134" t="s">
        <v>38</v>
      </c>
      <c r="D134" s="2">
        <v>45734</v>
      </c>
      <c r="E134" s="13">
        <v>1800000096</v>
      </c>
      <c r="F134" t="s">
        <v>47</v>
      </c>
      <c r="G134" s="2">
        <v>45734</v>
      </c>
      <c r="H134" s="2">
        <v>45735</v>
      </c>
      <c r="I134" s="16">
        <v>246788410088</v>
      </c>
      <c r="J134" t="s">
        <v>8</v>
      </c>
      <c r="K134" t="s">
        <v>21</v>
      </c>
      <c r="L134" s="3">
        <v>10</v>
      </c>
      <c r="M134" t="s">
        <v>11</v>
      </c>
      <c r="N134" s="3">
        <v>866.91</v>
      </c>
      <c r="O134" t="s">
        <v>12</v>
      </c>
      <c r="P134" t="s">
        <v>7</v>
      </c>
      <c r="Q134" t="s">
        <v>45</v>
      </c>
      <c r="R134" t="s">
        <v>171</v>
      </c>
      <c r="S134" t="s">
        <v>338</v>
      </c>
    </row>
    <row r="135" spans="1:19">
      <c r="A135" t="s">
        <v>2</v>
      </c>
      <c r="B135" t="s">
        <v>3</v>
      </c>
      <c r="C135" t="s">
        <v>38</v>
      </c>
      <c r="D135" s="2">
        <v>45734</v>
      </c>
      <c r="E135" s="13">
        <v>1800000097</v>
      </c>
      <c r="F135" t="s">
        <v>47</v>
      </c>
      <c r="G135" s="2">
        <v>45734</v>
      </c>
      <c r="H135" s="2">
        <v>45735</v>
      </c>
      <c r="I135" s="16">
        <v>246788410089</v>
      </c>
      <c r="J135" t="s">
        <v>8</v>
      </c>
      <c r="K135" t="s">
        <v>21</v>
      </c>
      <c r="L135" s="3">
        <v>0.63</v>
      </c>
      <c r="M135" t="s">
        <v>11</v>
      </c>
      <c r="N135" s="3">
        <v>54.62</v>
      </c>
      <c r="O135" t="s">
        <v>12</v>
      </c>
      <c r="P135" t="s">
        <v>7</v>
      </c>
      <c r="Q135" t="s">
        <v>45</v>
      </c>
      <c r="R135" t="s">
        <v>172</v>
      </c>
      <c r="S135" t="s">
        <v>338</v>
      </c>
    </row>
    <row r="136" spans="1:19">
      <c r="A136" t="s">
        <v>2</v>
      </c>
      <c r="B136" t="s">
        <v>3</v>
      </c>
      <c r="C136" t="s">
        <v>38</v>
      </c>
      <c r="D136" s="2">
        <v>45734</v>
      </c>
      <c r="E136" s="13">
        <v>1800000093</v>
      </c>
      <c r="F136" t="s">
        <v>47</v>
      </c>
      <c r="G136" s="2">
        <v>45734</v>
      </c>
      <c r="H136" s="2">
        <v>45735</v>
      </c>
      <c r="I136" s="16">
        <v>246788410091</v>
      </c>
      <c r="J136" t="s">
        <v>8</v>
      </c>
      <c r="K136" t="s">
        <v>21</v>
      </c>
      <c r="L136" s="3">
        <v>31.2</v>
      </c>
      <c r="M136" t="s">
        <v>11</v>
      </c>
      <c r="N136" s="3">
        <v>2704.77</v>
      </c>
      <c r="O136" t="s">
        <v>12</v>
      </c>
      <c r="P136" t="s">
        <v>7</v>
      </c>
      <c r="Q136" t="s">
        <v>45</v>
      </c>
      <c r="R136" t="s">
        <v>173</v>
      </c>
      <c r="S136" t="s">
        <v>338</v>
      </c>
    </row>
    <row r="137" spans="1:19">
      <c r="A137" t="s">
        <v>2</v>
      </c>
      <c r="B137" t="s">
        <v>3</v>
      </c>
      <c r="C137" t="s">
        <v>38</v>
      </c>
      <c r="D137" s="2">
        <v>45734</v>
      </c>
      <c r="E137" s="13">
        <v>1800000094</v>
      </c>
      <c r="F137" t="s">
        <v>47</v>
      </c>
      <c r="G137" s="2">
        <v>45734</v>
      </c>
      <c r="H137" s="2">
        <v>45735</v>
      </c>
      <c r="I137" s="16">
        <v>246788410092</v>
      </c>
      <c r="J137" t="s">
        <v>8</v>
      </c>
      <c r="K137" t="s">
        <v>21</v>
      </c>
      <c r="L137" s="3">
        <v>1.9</v>
      </c>
      <c r="M137" t="s">
        <v>11</v>
      </c>
      <c r="N137" s="3">
        <v>164.71</v>
      </c>
      <c r="O137" t="s">
        <v>12</v>
      </c>
      <c r="P137" t="s">
        <v>7</v>
      </c>
      <c r="Q137" t="s">
        <v>45</v>
      </c>
      <c r="R137" t="s">
        <v>174</v>
      </c>
      <c r="S137" t="s">
        <v>338</v>
      </c>
    </row>
    <row r="138" spans="1:19">
      <c r="A138" t="s">
        <v>2</v>
      </c>
      <c r="B138" t="s">
        <v>3</v>
      </c>
      <c r="C138" t="s">
        <v>38</v>
      </c>
      <c r="D138" s="2">
        <v>45734</v>
      </c>
      <c r="E138" s="13">
        <v>1800000098</v>
      </c>
      <c r="F138" t="s">
        <v>47</v>
      </c>
      <c r="G138" s="2">
        <v>45734</v>
      </c>
      <c r="H138" s="2">
        <v>45735</v>
      </c>
      <c r="I138" s="16">
        <v>246788410093</v>
      </c>
      <c r="J138" t="s">
        <v>8</v>
      </c>
      <c r="K138" t="s">
        <v>21</v>
      </c>
      <c r="L138" s="3">
        <v>14</v>
      </c>
      <c r="M138" t="s">
        <v>11</v>
      </c>
      <c r="N138" s="3">
        <v>1213.68</v>
      </c>
      <c r="O138" t="s">
        <v>12</v>
      </c>
      <c r="P138" t="s">
        <v>7</v>
      </c>
      <c r="Q138" t="s">
        <v>45</v>
      </c>
      <c r="R138" t="s">
        <v>175</v>
      </c>
      <c r="S138" t="s">
        <v>338</v>
      </c>
    </row>
    <row r="139" spans="1:19">
      <c r="A139" t="s">
        <v>2</v>
      </c>
      <c r="B139" t="s">
        <v>3</v>
      </c>
      <c r="C139" t="s">
        <v>38</v>
      </c>
      <c r="D139" s="2">
        <v>45735</v>
      </c>
      <c r="E139" s="13">
        <v>1800000103</v>
      </c>
      <c r="F139" t="s">
        <v>47</v>
      </c>
      <c r="G139" s="2">
        <v>45735</v>
      </c>
      <c r="H139" s="2">
        <v>45735</v>
      </c>
      <c r="I139" s="16">
        <v>246788410097</v>
      </c>
      <c r="J139" t="s">
        <v>8</v>
      </c>
      <c r="K139" t="s">
        <v>21</v>
      </c>
      <c r="L139" s="3">
        <v>12</v>
      </c>
      <c r="M139" t="s">
        <v>11</v>
      </c>
      <c r="N139" s="3">
        <v>1040.3</v>
      </c>
      <c r="O139" t="s">
        <v>12</v>
      </c>
      <c r="P139" t="s">
        <v>7</v>
      </c>
      <c r="Q139" t="s">
        <v>45</v>
      </c>
      <c r="R139" t="s">
        <v>176</v>
      </c>
      <c r="S139" t="s">
        <v>338</v>
      </c>
    </row>
    <row r="140" spans="1:19">
      <c r="A140" t="s">
        <v>2</v>
      </c>
      <c r="B140" t="s">
        <v>3</v>
      </c>
      <c r="C140" t="s">
        <v>38</v>
      </c>
      <c r="D140" s="2">
        <v>45735</v>
      </c>
      <c r="E140" s="13">
        <v>1800000104</v>
      </c>
      <c r="F140" t="s">
        <v>47</v>
      </c>
      <c r="G140" s="2">
        <v>45735</v>
      </c>
      <c r="H140" s="2">
        <v>45735</v>
      </c>
      <c r="I140" s="16">
        <v>246788410098</v>
      </c>
      <c r="J140" t="s">
        <v>8</v>
      </c>
      <c r="K140" t="s">
        <v>21</v>
      </c>
      <c r="L140" s="3">
        <v>5.2</v>
      </c>
      <c r="M140" t="s">
        <v>11</v>
      </c>
      <c r="N140" s="3">
        <v>450.79</v>
      </c>
      <c r="O140" t="s">
        <v>12</v>
      </c>
      <c r="P140" t="s">
        <v>7</v>
      </c>
      <c r="Q140" t="s">
        <v>45</v>
      </c>
      <c r="R140" t="s">
        <v>177</v>
      </c>
      <c r="S140" t="s">
        <v>340</v>
      </c>
    </row>
    <row r="141" spans="1:19">
      <c r="A141" t="s">
        <v>2</v>
      </c>
      <c r="B141" t="s">
        <v>3</v>
      </c>
      <c r="C141" t="s">
        <v>38</v>
      </c>
      <c r="D141" s="2">
        <v>45735</v>
      </c>
      <c r="E141" s="13">
        <v>1800000107</v>
      </c>
      <c r="F141" t="s">
        <v>47</v>
      </c>
      <c r="G141" s="2">
        <v>45735</v>
      </c>
      <c r="H141" s="2">
        <v>45735</v>
      </c>
      <c r="I141" s="16">
        <v>246788410101</v>
      </c>
      <c r="J141" t="s">
        <v>8</v>
      </c>
      <c r="K141" t="s">
        <v>21</v>
      </c>
      <c r="L141" s="3">
        <v>1.1200000000000001</v>
      </c>
      <c r="M141" t="s">
        <v>11</v>
      </c>
      <c r="N141" s="3">
        <v>97.09</v>
      </c>
      <c r="O141" t="s">
        <v>12</v>
      </c>
      <c r="P141" t="s">
        <v>7</v>
      </c>
      <c r="Q141" t="s">
        <v>45</v>
      </c>
      <c r="R141" t="s">
        <v>174</v>
      </c>
      <c r="S141" t="s">
        <v>338</v>
      </c>
    </row>
    <row r="142" spans="1:19">
      <c r="A142" t="s">
        <v>2</v>
      </c>
      <c r="B142" t="s">
        <v>3</v>
      </c>
      <c r="C142" t="s">
        <v>38</v>
      </c>
      <c r="D142" s="2">
        <v>45735</v>
      </c>
      <c r="E142" s="13">
        <v>1800000108</v>
      </c>
      <c r="F142" t="s">
        <v>47</v>
      </c>
      <c r="G142" s="2">
        <v>45735</v>
      </c>
      <c r="H142" s="2">
        <v>45735</v>
      </c>
      <c r="I142" s="16">
        <v>246788410102</v>
      </c>
      <c r="J142" t="s">
        <v>8</v>
      </c>
      <c r="K142" t="s">
        <v>21</v>
      </c>
      <c r="L142" s="3">
        <v>56</v>
      </c>
      <c r="M142" t="s">
        <v>11</v>
      </c>
      <c r="N142" s="3">
        <v>4854.71</v>
      </c>
      <c r="O142" t="s">
        <v>12</v>
      </c>
      <c r="P142" t="s">
        <v>7</v>
      </c>
      <c r="Q142" t="s">
        <v>45</v>
      </c>
      <c r="R142" t="s">
        <v>178</v>
      </c>
      <c r="S142" t="s">
        <v>338</v>
      </c>
    </row>
    <row r="143" spans="1:19">
      <c r="A143" t="s">
        <v>2</v>
      </c>
      <c r="B143" t="s">
        <v>3</v>
      </c>
      <c r="C143" t="s">
        <v>38</v>
      </c>
      <c r="D143" s="2">
        <v>45735</v>
      </c>
      <c r="E143" s="13">
        <v>1800000109</v>
      </c>
      <c r="F143" t="s">
        <v>47</v>
      </c>
      <c r="G143" s="2">
        <v>45735</v>
      </c>
      <c r="H143" s="2">
        <v>45735</v>
      </c>
      <c r="I143" s="16">
        <v>246788410103</v>
      </c>
      <c r="J143" t="s">
        <v>8</v>
      </c>
      <c r="K143" t="s">
        <v>21</v>
      </c>
      <c r="L143" s="3">
        <v>24</v>
      </c>
      <c r="M143" t="s">
        <v>11</v>
      </c>
      <c r="N143" s="3">
        <v>2080.59</v>
      </c>
      <c r="O143" t="s">
        <v>12</v>
      </c>
      <c r="P143" t="s">
        <v>7</v>
      </c>
      <c r="Q143" t="s">
        <v>45</v>
      </c>
      <c r="R143" t="s">
        <v>179</v>
      </c>
      <c r="S143" t="s">
        <v>340</v>
      </c>
    </row>
    <row r="144" spans="1:19">
      <c r="A144" t="s">
        <v>2</v>
      </c>
      <c r="B144" t="s">
        <v>3</v>
      </c>
      <c r="C144" t="s">
        <v>38</v>
      </c>
      <c r="D144" s="2">
        <v>45735</v>
      </c>
      <c r="E144" s="13">
        <v>1800000112</v>
      </c>
      <c r="F144" t="s">
        <v>47</v>
      </c>
      <c r="G144" s="2">
        <v>45735</v>
      </c>
      <c r="H144" s="2">
        <v>45735</v>
      </c>
      <c r="I144" s="16">
        <v>246788410106</v>
      </c>
      <c r="J144" t="s">
        <v>8</v>
      </c>
      <c r="K144" t="s">
        <v>21</v>
      </c>
      <c r="L144" s="3">
        <v>24</v>
      </c>
      <c r="M144" t="s">
        <v>11</v>
      </c>
      <c r="N144" s="3">
        <v>2080.59</v>
      </c>
      <c r="O144" t="s">
        <v>12</v>
      </c>
      <c r="P144" t="s">
        <v>7</v>
      </c>
      <c r="Q144" t="s">
        <v>45</v>
      </c>
      <c r="R144" t="s">
        <v>180</v>
      </c>
      <c r="S144" t="s">
        <v>340</v>
      </c>
    </row>
    <row r="145" spans="1:19">
      <c r="A145" t="s">
        <v>2</v>
      </c>
      <c r="B145" t="s">
        <v>3</v>
      </c>
      <c r="C145" t="s">
        <v>38</v>
      </c>
      <c r="D145" s="2">
        <v>45735</v>
      </c>
      <c r="E145" s="13">
        <v>1800000113</v>
      </c>
      <c r="F145" t="s">
        <v>47</v>
      </c>
      <c r="G145" s="2">
        <v>45735</v>
      </c>
      <c r="H145" s="2">
        <v>45735</v>
      </c>
      <c r="I145" s="16">
        <v>246788410107</v>
      </c>
      <c r="J145" t="s">
        <v>8</v>
      </c>
      <c r="K145" t="s">
        <v>21</v>
      </c>
      <c r="L145" s="3">
        <v>68.22</v>
      </c>
      <c r="M145" t="s">
        <v>11</v>
      </c>
      <c r="N145" s="3">
        <v>5914.08</v>
      </c>
      <c r="O145" t="s">
        <v>12</v>
      </c>
      <c r="P145" t="s">
        <v>7</v>
      </c>
      <c r="Q145" t="s">
        <v>45</v>
      </c>
      <c r="R145" t="s">
        <v>181</v>
      </c>
      <c r="S145" t="s">
        <v>338</v>
      </c>
    </row>
    <row r="146" spans="1:19">
      <c r="A146" t="s">
        <v>2</v>
      </c>
      <c r="B146" t="s">
        <v>3</v>
      </c>
      <c r="C146" t="s">
        <v>38</v>
      </c>
      <c r="D146" s="2">
        <v>45735</v>
      </c>
      <c r="E146" s="13">
        <v>1800000114</v>
      </c>
      <c r="F146" t="s">
        <v>47</v>
      </c>
      <c r="G146" s="2">
        <v>45735</v>
      </c>
      <c r="H146" s="2">
        <v>45735</v>
      </c>
      <c r="I146" s="16">
        <v>246788410108</v>
      </c>
      <c r="J146" t="s">
        <v>8</v>
      </c>
      <c r="K146" t="s">
        <v>21</v>
      </c>
      <c r="L146" s="3">
        <v>0.5</v>
      </c>
      <c r="M146" t="s">
        <v>11</v>
      </c>
      <c r="N146" s="3">
        <v>43.35</v>
      </c>
      <c r="O146" t="s">
        <v>12</v>
      </c>
      <c r="P146" t="s">
        <v>7</v>
      </c>
      <c r="Q146" t="s">
        <v>45</v>
      </c>
      <c r="R146" t="s">
        <v>172</v>
      </c>
      <c r="S146" t="s">
        <v>338</v>
      </c>
    </row>
    <row r="147" spans="1:19">
      <c r="A147" t="s">
        <v>2</v>
      </c>
      <c r="B147" t="s">
        <v>3</v>
      </c>
      <c r="C147" t="s">
        <v>38</v>
      </c>
      <c r="D147" s="2">
        <v>45735</v>
      </c>
      <c r="E147" s="13">
        <v>1800000115</v>
      </c>
      <c r="F147" t="s">
        <v>47</v>
      </c>
      <c r="G147" s="2">
        <v>45735</v>
      </c>
      <c r="H147" s="2">
        <v>45735</v>
      </c>
      <c r="I147" s="16">
        <v>246788410109</v>
      </c>
      <c r="J147" t="s">
        <v>8</v>
      </c>
      <c r="K147" t="s">
        <v>21</v>
      </c>
      <c r="L147" s="3">
        <v>2342.8000000000002</v>
      </c>
      <c r="M147" t="s">
        <v>11</v>
      </c>
      <c r="N147" s="3">
        <v>203100.28</v>
      </c>
      <c r="O147" t="s">
        <v>12</v>
      </c>
      <c r="P147" t="s">
        <v>7</v>
      </c>
      <c r="Q147" t="s">
        <v>45</v>
      </c>
      <c r="R147" t="s">
        <v>182</v>
      </c>
      <c r="S147" t="s">
        <v>338</v>
      </c>
    </row>
    <row r="148" spans="1:19">
      <c r="A148" t="s">
        <v>2</v>
      </c>
      <c r="B148" t="s">
        <v>3</v>
      </c>
      <c r="C148" t="s">
        <v>38</v>
      </c>
      <c r="D148" s="2">
        <v>45735</v>
      </c>
      <c r="E148" s="13">
        <v>1800000116</v>
      </c>
      <c r="F148" t="s">
        <v>47</v>
      </c>
      <c r="G148" s="2">
        <v>45735</v>
      </c>
      <c r="H148" s="2">
        <v>45735</v>
      </c>
      <c r="I148" s="16">
        <v>246788410110</v>
      </c>
      <c r="J148" t="s">
        <v>8</v>
      </c>
      <c r="K148" t="s">
        <v>21</v>
      </c>
      <c r="L148" s="3">
        <v>456</v>
      </c>
      <c r="M148" t="s">
        <v>11</v>
      </c>
      <c r="N148" s="3">
        <v>39531.21</v>
      </c>
      <c r="O148" t="s">
        <v>12</v>
      </c>
      <c r="P148" t="s">
        <v>7</v>
      </c>
      <c r="Q148" t="s">
        <v>45</v>
      </c>
      <c r="R148" t="s">
        <v>183</v>
      </c>
      <c r="S148" t="s">
        <v>340</v>
      </c>
    </row>
    <row r="149" spans="1:19">
      <c r="A149" t="s">
        <v>2</v>
      </c>
      <c r="B149" t="s">
        <v>3</v>
      </c>
      <c r="C149" t="s">
        <v>38</v>
      </c>
      <c r="D149" s="2">
        <v>45735</v>
      </c>
      <c r="E149" s="13">
        <v>1800000117</v>
      </c>
      <c r="F149" t="s">
        <v>47</v>
      </c>
      <c r="G149" s="2">
        <v>45735</v>
      </c>
      <c r="H149" s="2">
        <v>45735</v>
      </c>
      <c r="I149" s="16">
        <v>246788410111</v>
      </c>
      <c r="J149" t="s">
        <v>8</v>
      </c>
      <c r="K149" t="s">
        <v>21</v>
      </c>
      <c r="L149" s="3">
        <v>14</v>
      </c>
      <c r="M149" t="s">
        <v>11</v>
      </c>
      <c r="N149" s="3">
        <v>1213.68</v>
      </c>
      <c r="O149" t="s">
        <v>12</v>
      </c>
      <c r="P149" t="s">
        <v>7</v>
      </c>
      <c r="Q149" t="s">
        <v>45</v>
      </c>
      <c r="R149" t="s">
        <v>184</v>
      </c>
      <c r="S149" t="s">
        <v>338</v>
      </c>
    </row>
    <row r="150" spans="1:19">
      <c r="A150" t="s">
        <v>2</v>
      </c>
      <c r="B150" t="s">
        <v>3</v>
      </c>
      <c r="C150" t="s">
        <v>38</v>
      </c>
      <c r="D150" s="2">
        <v>45735</v>
      </c>
      <c r="E150" s="13">
        <v>1800000118</v>
      </c>
      <c r="F150" t="s">
        <v>47</v>
      </c>
      <c r="G150" s="2">
        <v>45735</v>
      </c>
      <c r="H150" s="2">
        <v>45735</v>
      </c>
      <c r="I150" s="16">
        <v>246788410112</v>
      </c>
      <c r="J150" t="s">
        <v>8</v>
      </c>
      <c r="K150" t="s">
        <v>21</v>
      </c>
      <c r="L150" s="3">
        <v>1</v>
      </c>
      <c r="M150" t="s">
        <v>11</v>
      </c>
      <c r="N150" s="3">
        <v>86.69</v>
      </c>
      <c r="O150" t="s">
        <v>12</v>
      </c>
      <c r="P150" t="s">
        <v>7</v>
      </c>
      <c r="Q150" t="s">
        <v>45</v>
      </c>
      <c r="R150" t="s">
        <v>185</v>
      </c>
      <c r="S150" t="s">
        <v>338</v>
      </c>
    </row>
    <row r="151" spans="1:19">
      <c r="A151" t="s">
        <v>2</v>
      </c>
      <c r="B151" t="s">
        <v>3</v>
      </c>
      <c r="C151" t="s">
        <v>38</v>
      </c>
      <c r="D151" s="2">
        <v>45735</v>
      </c>
      <c r="E151" s="13">
        <v>1800000120</v>
      </c>
      <c r="F151" t="s">
        <v>47</v>
      </c>
      <c r="G151" s="2">
        <v>45735</v>
      </c>
      <c r="H151" s="2">
        <v>45735</v>
      </c>
      <c r="I151" s="16">
        <v>246788410114</v>
      </c>
      <c r="J151" t="s">
        <v>8</v>
      </c>
      <c r="K151" t="s">
        <v>21</v>
      </c>
      <c r="L151" s="3">
        <v>52.7</v>
      </c>
      <c r="M151" t="s">
        <v>11</v>
      </c>
      <c r="N151" s="3">
        <v>4568.63</v>
      </c>
      <c r="O151" t="s">
        <v>12</v>
      </c>
      <c r="P151" t="s">
        <v>7</v>
      </c>
      <c r="Q151" t="s">
        <v>45</v>
      </c>
      <c r="R151" t="s">
        <v>186</v>
      </c>
      <c r="S151" t="s">
        <v>344</v>
      </c>
    </row>
    <row r="152" spans="1:19">
      <c r="A152" t="s">
        <v>2</v>
      </c>
      <c r="B152" t="s">
        <v>3</v>
      </c>
      <c r="C152" t="s">
        <v>38</v>
      </c>
      <c r="D152" s="2">
        <v>45735</v>
      </c>
      <c r="E152" s="13">
        <v>1800000121</v>
      </c>
      <c r="F152" t="s">
        <v>47</v>
      </c>
      <c r="G152" s="2">
        <v>45735</v>
      </c>
      <c r="H152" s="2">
        <v>45735</v>
      </c>
      <c r="I152" s="16">
        <v>246788410115</v>
      </c>
      <c r="J152" t="s">
        <v>8</v>
      </c>
      <c r="K152" t="s">
        <v>21</v>
      </c>
      <c r="L152" s="3">
        <v>2293.63</v>
      </c>
      <c r="M152" t="s">
        <v>11</v>
      </c>
      <c r="N152" s="3">
        <v>198837.67</v>
      </c>
      <c r="O152" t="s">
        <v>12</v>
      </c>
      <c r="P152" t="s">
        <v>7</v>
      </c>
      <c r="Q152" t="s">
        <v>45</v>
      </c>
      <c r="R152" t="s">
        <v>187</v>
      </c>
      <c r="S152" t="s">
        <v>337</v>
      </c>
    </row>
    <row r="153" spans="1:19">
      <c r="A153" t="s">
        <v>2</v>
      </c>
      <c r="B153" t="s">
        <v>3</v>
      </c>
      <c r="C153" t="s">
        <v>38</v>
      </c>
      <c r="D153" s="2">
        <v>45735</v>
      </c>
      <c r="E153" s="13">
        <v>1800000122</v>
      </c>
      <c r="F153" t="s">
        <v>47</v>
      </c>
      <c r="G153" s="2">
        <v>45735</v>
      </c>
      <c r="H153" s="2">
        <v>45735</v>
      </c>
      <c r="I153" s="16">
        <v>246788410116</v>
      </c>
      <c r="J153" t="s">
        <v>8</v>
      </c>
      <c r="K153" t="s">
        <v>21</v>
      </c>
      <c r="L153" s="3">
        <v>2273.6799999999998</v>
      </c>
      <c r="M153" t="s">
        <v>11</v>
      </c>
      <c r="N153" s="3">
        <v>197108.18</v>
      </c>
      <c r="O153" t="s">
        <v>12</v>
      </c>
      <c r="P153" t="s">
        <v>7</v>
      </c>
      <c r="Q153" t="s">
        <v>45</v>
      </c>
      <c r="R153" t="s">
        <v>188</v>
      </c>
      <c r="S153" t="s">
        <v>337</v>
      </c>
    </row>
    <row r="154" spans="1:19">
      <c r="A154" t="s">
        <v>2</v>
      </c>
      <c r="B154" t="s">
        <v>3</v>
      </c>
      <c r="C154" t="s">
        <v>38</v>
      </c>
      <c r="D154" s="2">
        <v>45735</v>
      </c>
      <c r="E154" s="13">
        <v>1800000123</v>
      </c>
      <c r="F154" t="s">
        <v>47</v>
      </c>
      <c r="G154" s="2">
        <v>45735</v>
      </c>
      <c r="H154" s="2">
        <v>45735</v>
      </c>
      <c r="I154" s="16">
        <v>246788410117</v>
      </c>
      <c r="J154" t="s">
        <v>8</v>
      </c>
      <c r="K154" t="s">
        <v>21</v>
      </c>
      <c r="L154" s="3">
        <v>66.73</v>
      </c>
      <c r="M154" t="s">
        <v>11</v>
      </c>
      <c r="N154" s="3">
        <v>5784.91</v>
      </c>
      <c r="O154" t="s">
        <v>12</v>
      </c>
      <c r="P154" t="s">
        <v>7</v>
      </c>
      <c r="Q154" t="s">
        <v>45</v>
      </c>
      <c r="R154" t="s">
        <v>189</v>
      </c>
      <c r="S154" t="s">
        <v>337</v>
      </c>
    </row>
    <row r="155" spans="1:19">
      <c r="A155" t="s">
        <v>2</v>
      </c>
      <c r="B155" t="s">
        <v>3</v>
      </c>
      <c r="C155" t="s">
        <v>38</v>
      </c>
      <c r="D155" s="2">
        <v>45735</v>
      </c>
      <c r="E155" s="13">
        <v>1800000124</v>
      </c>
      <c r="F155" t="s">
        <v>47</v>
      </c>
      <c r="G155" s="2">
        <v>45735</v>
      </c>
      <c r="H155" s="2">
        <v>45735</v>
      </c>
      <c r="I155" s="16">
        <v>246788410118</v>
      </c>
      <c r="J155" t="s">
        <v>8</v>
      </c>
      <c r="K155" t="s">
        <v>21</v>
      </c>
      <c r="L155" s="3">
        <v>149.72999999999999</v>
      </c>
      <c r="M155" t="s">
        <v>11</v>
      </c>
      <c r="N155" s="3">
        <v>12980.28</v>
      </c>
      <c r="O155" t="s">
        <v>12</v>
      </c>
      <c r="P155" t="s">
        <v>7</v>
      </c>
      <c r="Q155" t="s">
        <v>45</v>
      </c>
      <c r="R155" t="s">
        <v>190</v>
      </c>
      <c r="S155" t="s">
        <v>337</v>
      </c>
    </row>
    <row r="156" spans="1:19">
      <c r="A156" t="s">
        <v>2</v>
      </c>
      <c r="B156" t="s">
        <v>3</v>
      </c>
      <c r="C156" t="s">
        <v>38</v>
      </c>
      <c r="D156" s="2">
        <v>45735</v>
      </c>
      <c r="E156" s="13">
        <v>1800000125</v>
      </c>
      <c r="F156" t="s">
        <v>47</v>
      </c>
      <c r="G156" s="2">
        <v>45735</v>
      </c>
      <c r="H156" s="2">
        <v>45735</v>
      </c>
      <c r="I156" s="16">
        <v>246788410119</v>
      </c>
      <c r="J156" t="s">
        <v>8</v>
      </c>
      <c r="K156" t="s">
        <v>21</v>
      </c>
      <c r="L156" s="3">
        <v>102.97</v>
      </c>
      <c r="M156" t="s">
        <v>11</v>
      </c>
      <c r="N156" s="3">
        <v>8926.6</v>
      </c>
      <c r="O156" t="s">
        <v>12</v>
      </c>
      <c r="P156" t="s">
        <v>7</v>
      </c>
      <c r="Q156" t="s">
        <v>45</v>
      </c>
      <c r="R156" t="s">
        <v>191</v>
      </c>
      <c r="S156" t="s">
        <v>345</v>
      </c>
    </row>
    <row r="157" spans="1:19">
      <c r="A157" t="s">
        <v>2</v>
      </c>
      <c r="B157" t="s">
        <v>3</v>
      </c>
      <c r="C157" t="s">
        <v>50</v>
      </c>
      <c r="D157" s="2">
        <v>45924</v>
      </c>
      <c r="E157" s="13">
        <v>1800000516</v>
      </c>
      <c r="F157" t="s">
        <v>47</v>
      </c>
      <c r="G157" s="2">
        <v>45924</v>
      </c>
      <c r="H157" s="2">
        <v>45926</v>
      </c>
      <c r="I157" s="16">
        <v>256788410391</v>
      </c>
      <c r="J157" t="s">
        <v>8</v>
      </c>
      <c r="K157" t="s">
        <v>21</v>
      </c>
      <c r="L157" s="3">
        <v>9</v>
      </c>
      <c r="M157" t="s">
        <v>11</v>
      </c>
      <c r="N157" s="3">
        <v>774.01</v>
      </c>
      <c r="O157" t="s">
        <v>12</v>
      </c>
      <c r="P157" t="s">
        <v>7</v>
      </c>
      <c r="Q157" t="s">
        <v>192</v>
      </c>
      <c r="R157" t="s">
        <v>100</v>
      </c>
      <c r="S157" t="s">
        <v>338</v>
      </c>
    </row>
    <row r="158" spans="1:19">
      <c r="A158" t="s">
        <v>2</v>
      </c>
      <c r="B158" t="s">
        <v>3</v>
      </c>
      <c r="C158" t="s">
        <v>37</v>
      </c>
      <c r="D158" s="2">
        <v>45981</v>
      </c>
      <c r="E158" s="13">
        <v>1800000595</v>
      </c>
      <c r="F158" t="s">
        <v>47</v>
      </c>
      <c r="G158" s="2">
        <v>45981</v>
      </c>
      <c r="H158" s="2">
        <v>45982</v>
      </c>
      <c r="I158" s="16">
        <v>256788410460</v>
      </c>
      <c r="J158" t="s">
        <v>8</v>
      </c>
      <c r="K158" t="s">
        <v>21</v>
      </c>
      <c r="L158" s="3">
        <v>78.319999999999993</v>
      </c>
      <c r="M158" t="s">
        <v>11</v>
      </c>
      <c r="N158" s="3">
        <v>6892.43</v>
      </c>
      <c r="O158" t="s">
        <v>12</v>
      </c>
      <c r="P158" t="s">
        <v>7</v>
      </c>
      <c r="Q158" t="s">
        <v>193</v>
      </c>
      <c r="R158" t="s">
        <v>194</v>
      </c>
      <c r="S158" t="s">
        <v>339</v>
      </c>
    </row>
    <row r="159" spans="1:19">
      <c r="A159" t="s">
        <v>2</v>
      </c>
      <c r="B159" t="s">
        <v>3</v>
      </c>
      <c r="C159" t="s">
        <v>37</v>
      </c>
      <c r="D159" s="2">
        <v>45981</v>
      </c>
      <c r="E159" s="13">
        <v>1800000597</v>
      </c>
      <c r="F159" t="s">
        <v>47</v>
      </c>
      <c r="G159" s="2">
        <v>45981</v>
      </c>
      <c r="H159" s="2">
        <v>45982</v>
      </c>
      <c r="I159" s="16">
        <v>256788410462</v>
      </c>
      <c r="J159" t="s">
        <v>8</v>
      </c>
      <c r="K159" t="s">
        <v>21</v>
      </c>
      <c r="L159" s="3">
        <v>13.52</v>
      </c>
      <c r="M159" t="s">
        <v>11</v>
      </c>
      <c r="N159" s="3">
        <v>1189.81</v>
      </c>
      <c r="O159" t="s">
        <v>12</v>
      </c>
      <c r="P159" t="s">
        <v>7</v>
      </c>
      <c r="Q159" t="s">
        <v>193</v>
      </c>
      <c r="R159" t="s">
        <v>195</v>
      </c>
      <c r="S159" t="s">
        <v>342</v>
      </c>
    </row>
    <row r="160" spans="1:19">
      <c r="A160" t="s">
        <v>2</v>
      </c>
      <c r="B160" t="s">
        <v>3</v>
      </c>
      <c r="C160" t="s">
        <v>4</v>
      </c>
      <c r="D160" s="2">
        <v>45769</v>
      </c>
      <c r="E160" s="13">
        <v>1800007591</v>
      </c>
      <c r="F160" t="s">
        <v>47</v>
      </c>
      <c r="G160" s="2">
        <v>45769</v>
      </c>
      <c r="H160" s="2">
        <v>45770</v>
      </c>
      <c r="I160" s="16">
        <v>256779412482</v>
      </c>
      <c r="J160" t="s">
        <v>8</v>
      </c>
      <c r="K160" t="s">
        <v>21</v>
      </c>
      <c r="L160" s="3">
        <v>94.08</v>
      </c>
      <c r="M160" t="s">
        <v>11</v>
      </c>
      <c r="N160" s="3">
        <v>8177.6</v>
      </c>
      <c r="O160" t="s">
        <v>76</v>
      </c>
      <c r="P160" t="s">
        <v>7</v>
      </c>
      <c r="Q160" t="s">
        <v>45</v>
      </c>
      <c r="R160" t="s">
        <v>131</v>
      </c>
      <c r="S160" t="s">
        <v>338</v>
      </c>
    </row>
    <row r="161" spans="1:19">
      <c r="A161" t="s">
        <v>2</v>
      </c>
      <c r="B161" t="s">
        <v>3</v>
      </c>
      <c r="C161" t="s">
        <v>4</v>
      </c>
      <c r="D161" s="2">
        <v>45769</v>
      </c>
      <c r="E161" s="13">
        <v>1800007607</v>
      </c>
      <c r="F161" t="s">
        <v>47</v>
      </c>
      <c r="G161" s="2">
        <v>45769</v>
      </c>
      <c r="H161" s="2">
        <v>45770</v>
      </c>
      <c r="I161" s="16">
        <v>256779412498</v>
      </c>
      <c r="J161" t="s">
        <v>8</v>
      </c>
      <c r="K161" t="s">
        <v>21</v>
      </c>
      <c r="L161" s="3">
        <v>25.32</v>
      </c>
      <c r="M161" t="s">
        <v>11</v>
      </c>
      <c r="N161" s="3">
        <v>2200.86</v>
      </c>
      <c r="O161" t="s">
        <v>76</v>
      </c>
      <c r="P161" t="s">
        <v>7</v>
      </c>
      <c r="Q161" t="s">
        <v>45</v>
      </c>
      <c r="R161" t="s">
        <v>131</v>
      </c>
      <c r="S161" t="s">
        <v>338</v>
      </c>
    </row>
    <row r="162" spans="1:19">
      <c r="A162" t="s">
        <v>2</v>
      </c>
      <c r="B162" t="s">
        <v>3</v>
      </c>
      <c r="C162" t="s">
        <v>4</v>
      </c>
      <c r="D162" s="2">
        <v>45769</v>
      </c>
      <c r="E162" s="13">
        <v>1800000190</v>
      </c>
      <c r="F162" t="s">
        <v>47</v>
      </c>
      <c r="G162" s="2">
        <v>45769</v>
      </c>
      <c r="H162" s="2">
        <v>45771</v>
      </c>
      <c r="I162" s="16">
        <v>256788410065</v>
      </c>
      <c r="J162" t="s">
        <v>8</v>
      </c>
      <c r="K162" t="s">
        <v>21</v>
      </c>
      <c r="L162" s="3">
        <v>24.38</v>
      </c>
      <c r="M162" t="s">
        <v>11</v>
      </c>
      <c r="N162" s="3">
        <v>2119.15</v>
      </c>
      <c r="O162" t="s">
        <v>12</v>
      </c>
      <c r="P162" t="s">
        <v>7</v>
      </c>
      <c r="Q162" t="s">
        <v>45</v>
      </c>
      <c r="R162" t="s">
        <v>196</v>
      </c>
      <c r="S162" t="s">
        <v>338</v>
      </c>
    </row>
    <row r="163" spans="1:19">
      <c r="A163" t="s">
        <v>2</v>
      </c>
      <c r="B163" t="s">
        <v>3</v>
      </c>
      <c r="C163" t="s">
        <v>4</v>
      </c>
      <c r="D163" s="2">
        <v>45769</v>
      </c>
      <c r="E163" s="13">
        <v>1800000287</v>
      </c>
      <c r="F163" t="s">
        <v>47</v>
      </c>
      <c r="G163" s="2">
        <v>45769</v>
      </c>
      <c r="H163" s="2">
        <v>45771</v>
      </c>
      <c r="I163" s="16">
        <v>256788410162</v>
      </c>
      <c r="J163" t="s">
        <v>8</v>
      </c>
      <c r="K163" t="s">
        <v>21</v>
      </c>
      <c r="L163" s="3">
        <v>5.46</v>
      </c>
      <c r="M163" t="s">
        <v>11</v>
      </c>
      <c r="N163" s="3">
        <v>474.59</v>
      </c>
      <c r="O163" t="s">
        <v>12</v>
      </c>
      <c r="P163" t="s">
        <v>7</v>
      </c>
      <c r="Q163" t="s">
        <v>45</v>
      </c>
      <c r="R163" t="s">
        <v>197</v>
      </c>
      <c r="S163" t="s">
        <v>338</v>
      </c>
    </row>
    <row r="164" spans="1:19">
      <c r="A164" t="s">
        <v>2</v>
      </c>
      <c r="B164" t="s">
        <v>3</v>
      </c>
      <c r="C164" t="s">
        <v>4</v>
      </c>
      <c r="D164" s="2">
        <v>45769</v>
      </c>
      <c r="E164" s="13">
        <v>1800000288</v>
      </c>
      <c r="F164" t="s">
        <v>47</v>
      </c>
      <c r="G164" s="2">
        <v>45769</v>
      </c>
      <c r="H164" s="2">
        <v>45771</v>
      </c>
      <c r="I164" s="16">
        <v>256788410163</v>
      </c>
      <c r="J164" t="s">
        <v>8</v>
      </c>
      <c r="K164" t="s">
        <v>21</v>
      </c>
      <c r="L164" s="3">
        <v>3.5</v>
      </c>
      <c r="M164" t="s">
        <v>11</v>
      </c>
      <c r="N164" s="3">
        <v>304.23</v>
      </c>
      <c r="O164" t="s">
        <v>12</v>
      </c>
      <c r="P164" t="s">
        <v>7</v>
      </c>
      <c r="Q164" t="s">
        <v>45</v>
      </c>
      <c r="R164" t="s">
        <v>197</v>
      </c>
      <c r="S164" t="s">
        <v>338</v>
      </c>
    </row>
    <row r="165" spans="1:19">
      <c r="A165" t="s">
        <v>2</v>
      </c>
      <c r="B165" t="s">
        <v>3</v>
      </c>
      <c r="C165" t="s">
        <v>4</v>
      </c>
      <c r="D165" s="2">
        <v>45769</v>
      </c>
      <c r="E165" s="13">
        <v>1800000289</v>
      </c>
      <c r="F165" t="s">
        <v>47</v>
      </c>
      <c r="G165" s="2">
        <v>45769</v>
      </c>
      <c r="H165" s="2">
        <v>45771</v>
      </c>
      <c r="I165" s="16">
        <v>256788410164</v>
      </c>
      <c r="J165" t="s">
        <v>8</v>
      </c>
      <c r="K165" t="s">
        <v>21</v>
      </c>
      <c r="L165" s="3">
        <v>5.6</v>
      </c>
      <c r="M165" t="s">
        <v>11</v>
      </c>
      <c r="N165" s="3">
        <v>486.76</v>
      </c>
      <c r="O165" t="s">
        <v>12</v>
      </c>
      <c r="P165" t="s">
        <v>7</v>
      </c>
      <c r="Q165" t="s">
        <v>45</v>
      </c>
      <c r="R165" t="s">
        <v>197</v>
      </c>
      <c r="S165" t="s">
        <v>338</v>
      </c>
    </row>
    <row r="166" spans="1:19">
      <c r="A166" t="s">
        <v>2</v>
      </c>
      <c r="B166" t="s">
        <v>3</v>
      </c>
      <c r="C166" t="s">
        <v>4</v>
      </c>
      <c r="D166" s="2">
        <v>45769</v>
      </c>
      <c r="E166" s="13">
        <v>1800000290</v>
      </c>
      <c r="F166" t="s">
        <v>47</v>
      </c>
      <c r="G166" s="2">
        <v>45769</v>
      </c>
      <c r="H166" s="2">
        <v>45771</v>
      </c>
      <c r="I166" s="16">
        <v>256788410165</v>
      </c>
      <c r="J166" t="s">
        <v>8</v>
      </c>
      <c r="K166" t="s">
        <v>21</v>
      </c>
      <c r="L166" s="3">
        <v>5.6</v>
      </c>
      <c r="M166" t="s">
        <v>11</v>
      </c>
      <c r="N166" s="3">
        <v>486.76</v>
      </c>
      <c r="O166" t="s">
        <v>12</v>
      </c>
      <c r="P166" t="s">
        <v>7</v>
      </c>
      <c r="Q166" t="s">
        <v>45</v>
      </c>
      <c r="R166" t="s">
        <v>197</v>
      </c>
      <c r="S166" t="s">
        <v>338</v>
      </c>
    </row>
    <row r="167" spans="1:19">
      <c r="A167" t="s">
        <v>2</v>
      </c>
      <c r="B167" t="s">
        <v>3</v>
      </c>
      <c r="C167" t="s">
        <v>4</v>
      </c>
      <c r="D167" s="2">
        <v>45769</v>
      </c>
      <c r="E167" s="13">
        <v>1800000291</v>
      </c>
      <c r="F167" t="s">
        <v>47</v>
      </c>
      <c r="G167" s="2">
        <v>45769</v>
      </c>
      <c r="H167" s="2">
        <v>45771</v>
      </c>
      <c r="I167" s="16">
        <v>256788410166</v>
      </c>
      <c r="J167" t="s">
        <v>8</v>
      </c>
      <c r="K167" t="s">
        <v>21</v>
      </c>
      <c r="L167" s="3">
        <v>11.6</v>
      </c>
      <c r="M167" t="s">
        <v>11</v>
      </c>
      <c r="N167" s="3">
        <v>1008.29</v>
      </c>
      <c r="O167" t="s">
        <v>12</v>
      </c>
      <c r="P167" t="s">
        <v>7</v>
      </c>
      <c r="Q167" t="s">
        <v>45</v>
      </c>
      <c r="R167" t="s">
        <v>197</v>
      </c>
      <c r="S167" t="s">
        <v>338</v>
      </c>
    </row>
    <row r="168" spans="1:19">
      <c r="A168" t="s">
        <v>2</v>
      </c>
      <c r="B168" t="s">
        <v>3</v>
      </c>
      <c r="C168" t="s">
        <v>4</v>
      </c>
      <c r="D168" s="2">
        <v>45769</v>
      </c>
      <c r="E168" s="13">
        <v>1800000328</v>
      </c>
      <c r="F168" t="s">
        <v>47</v>
      </c>
      <c r="G168" s="2">
        <v>45769</v>
      </c>
      <c r="H168" s="2">
        <v>45771</v>
      </c>
      <c r="I168" s="16">
        <v>256788410203</v>
      </c>
      <c r="J168" t="s">
        <v>8</v>
      </c>
      <c r="K168" t="s">
        <v>21</v>
      </c>
      <c r="L168" s="3">
        <v>80.67</v>
      </c>
      <c r="M168" t="s">
        <v>11</v>
      </c>
      <c r="N168" s="3">
        <v>7011.98</v>
      </c>
      <c r="O168" t="s">
        <v>12</v>
      </c>
      <c r="P168" t="s">
        <v>7</v>
      </c>
      <c r="Q168" t="s">
        <v>45</v>
      </c>
      <c r="R168" t="s">
        <v>198</v>
      </c>
      <c r="S168" t="s">
        <v>338</v>
      </c>
    </row>
    <row r="169" spans="1:19">
      <c r="A169" t="s">
        <v>2</v>
      </c>
      <c r="B169" t="s">
        <v>3</v>
      </c>
      <c r="C169" t="s">
        <v>4</v>
      </c>
      <c r="D169" s="2">
        <v>45769</v>
      </c>
      <c r="E169" s="13">
        <v>1800000330</v>
      </c>
      <c r="F169" t="s">
        <v>47</v>
      </c>
      <c r="G169" s="2">
        <v>45769</v>
      </c>
      <c r="H169" s="2">
        <v>45771</v>
      </c>
      <c r="I169" s="16">
        <v>256788410205</v>
      </c>
      <c r="J169" t="s">
        <v>8</v>
      </c>
      <c r="K169" t="s">
        <v>21</v>
      </c>
      <c r="L169" s="3">
        <v>99.12</v>
      </c>
      <c r="M169" t="s">
        <v>11</v>
      </c>
      <c r="N169" s="3">
        <v>8615.69</v>
      </c>
      <c r="O169" t="s">
        <v>12</v>
      </c>
      <c r="P169" t="s">
        <v>7</v>
      </c>
      <c r="Q169" t="s">
        <v>45</v>
      </c>
      <c r="R169" t="s">
        <v>199</v>
      </c>
      <c r="S169" t="s">
        <v>338</v>
      </c>
    </row>
    <row r="170" spans="1:19">
      <c r="A170" t="s">
        <v>2</v>
      </c>
      <c r="B170" t="s">
        <v>3</v>
      </c>
      <c r="C170" t="s">
        <v>4</v>
      </c>
      <c r="D170" s="2">
        <v>45769</v>
      </c>
      <c r="E170" s="13">
        <v>1800000331</v>
      </c>
      <c r="F170" t="s">
        <v>47</v>
      </c>
      <c r="G170" s="2">
        <v>45769</v>
      </c>
      <c r="H170" s="2">
        <v>45771</v>
      </c>
      <c r="I170" s="16">
        <v>256788410206</v>
      </c>
      <c r="J170" t="s">
        <v>8</v>
      </c>
      <c r="K170" t="s">
        <v>21</v>
      </c>
      <c r="L170" s="3">
        <v>10803.4</v>
      </c>
      <c r="M170" t="s">
        <v>11</v>
      </c>
      <c r="N170" s="3">
        <v>939051.19</v>
      </c>
      <c r="O170" t="s">
        <v>12</v>
      </c>
      <c r="P170" t="s">
        <v>7</v>
      </c>
      <c r="Q170" t="s">
        <v>45</v>
      </c>
      <c r="R170" t="s">
        <v>200</v>
      </c>
      <c r="S170" t="s">
        <v>334</v>
      </c>
    </row>
    <row r="171" spans="1:19">
      <c r="A171" t="s">
        <v>2</v>
      </c>
      <c r="B171" t="s">
        <v>3</v>
      </c>
      <c r="C171" t="s">
        <v>50</v>
      </c>
      <c r="D171" s="2">
        <v>45918</v>
      </c>
      <c r="E171" s="13">
        <v>1800000498</v>
      </c>
      <c r="F171" t="s">
        <v>47</v>
      </c>
      <c r="G171" s="2">
        <v>45918</v>
      </c>
      <c r="H171" s="2">
        <v>45922</v>
      </c>
      <c r="I171" s="16">
        <v>256788410373</v>
      </c>
      <c r="J171" t="s">
        <v>8</v>
      </c>
      <c r="K171" t="s">
        <v>21</v>
      </c>
      <c r="L171" s="3">
        <v>472</v>
      </c>
      <c r="M171" t="s">
        <v>11</v>
      </c>
      <c r="N171" s="3">
        <v>41306.76</v>
      </c>
      <c r="O171" t="s">
        <v>12</v>
      </c>
      <c r="P171" t="s">
        <v>7</v>
      </c>
      <c r="Q171" t="s">
        <v>201</v>
      </c>
      <c r="R171" t="s">
        <v>202</v>
      </c>
      <c r="S171" t="s">
        <v>335</v>
      </c>
    </row>
    <row r="172" spans="1:19">
      <c r="A172" t="s">
        <v>2</v>
      </c>
      <c r="B172" t="s">
        <v>3</v>
      </c>
      <c r="C172" t="s">
        <v>50</v>
      </c>
      <c r="D172" s="2">
        <v>45918</v>
      </c>
      <c r="E172" s="13">
        <v>1800000500</v>
      </c>
      <c r="F172" t="s">
        <v>47</v>
      </c>
      <c r="G172" s="2">
        <v>45918</v>
      </c>
      <c r="H172" s="2">
        <v>45922</v>
      </c>
      <c r="I172" s="16">
        <v>256788410375</v>
      </c>
      <c r="J172" t="s">
        <v>8</v>
      </c>
      <c r="K172" t="s">
        <v>21</v>
      </c>
      <c r="L172" s="3">
        <v>200</v>
      </c>
      <c r="M172" t="s">
        <v>11</v>
      </c>
      <c r="N172" s="3">
        <v>17502.87</v>
      </c>
      <c r="O172" t="s">
        <v>12</v>
      </c>
      <c r="P172" t="s">
        <v>7</v>
      </c>
      <c r="Q172" t="s">
        <v>201</v>
      </c>
      <c r="R172" t="s">
        <v>202</v>
      </c>
      <c r="S172" t="s">
        <v>335</v>
      </c>
    </row>
    <row r="173" spans="1:19">
      <c r="A173" t="s">
        <v>2</v>
      </c>
      <c r="B173" t="s">
        <v>3</v>
      </c>
      <c r="C173" t="s">
        <v>50</v>
      </c>
      <c r="D173" s="2">
        <v>45918</v>
      </c>
      <c r="E173" s="13">
        <v>1800000501</v>
      </c>
      <c r="F173" t="s">
        <v>47</v>
      </c>
      <c r="G173" s="2">
        <v>45918</v>
      </c>
      <c r="H173" s="2">
        <v>45922</v>
      </c>
      <c r="I173" s="16">
        <v>256788410376</v>
      </c>
      <c r="J173" t="s">
        <v>8</v>
      </c>
      <c r="K173" t="s">
        <v>21</v>
      </c>
      <c r="L173" s="3">
        <v>1125.6400000000001</v>
      </c>
      <c r="M173" t="s">
        <v>11</v>
      </c>
      <c r="N173" s="3">
        <v>98509.63</v>
      </c>
      <c r="O173" t="s">
        <v>12</v>
      </c>
      <c r="P173" t="s">
        <v>7</v>
      </c>
      <c r="Q173" t="s">
        <v>203</v>
      </c>
      <c r="R173" t="s">
        <v>204</v>
      </c>
      <c r="S173" t="s">
        <v>337</v>
      </c>
    </row>
    <row r="174" spans="1:19">
      <c r="A174" t="s">
        <v>2</v>
      </c>
      <c r="B174" t="s">
        <v>3</v>
      </c>
      <c r="C174" t="s">
        <v>50</v>
      </c>
      <c r="D174" s="2">
        <v>45918</v>
      </c>
      <c r="E174" s="13">
        <v>1800000503</v>
      </c>
      <c r="F174" t="s">
        <v>47</v>
      </c>
      <c r="G174" s="2">
        <v>45918</v>
      </c>
      <c r="H174" s="2">
        <v>45922</v>
      </c>
      <c r="I174" s="16">
        <v>256788410378</v>
      </c>
      <c r="J174" t="s">
        <v>8</v>
      </c>
      <c r="K174" t="s">
        <v>21</v>
      </c>
      <c r="L174" s="3">
        <v>46</v>
      </c>
      <c r="M174" t="s">
        <v>11</v>
      </c>
      <c r="N174" s="3">
        <v>4025.66</v>
      </c>
      <c r="O174" t="s">
        <v>12</v>
      </c>
      <c r="P174" t="s">
        <v>7</v>
      </c>
      <c r="Q174" t="s">
        <v>205</v>
      </c>
      <c r="R174" t="s">
        <v>206</v>
      </c>
      <c r="S174" t="s">
        <v>335</v>
      </c>
    </row>
    <row r="175" spans="1:19">
      <c r="A175" t="s">
        <v>2</v>
      </c>
      <c r="B175" t="s">
        <v>3</v>
      </c>
      <c r="C175" t="s">
        <v>162</v>
      </c>
      <c r="D175" s="2">
        <v>45996</v>
      </c>
      <c r="E175" s="13">
        <v>1800000601</v>
      </c>
      <c r="F175" t="s">
        <v>47</v>
      </c>
      <c r="G175" s="2">
        <v>45996</v>
      </c>
      <c r="H175" s="2">
        <v>46000</v>
      </c>
      <c r="I175" s="16">
        <v>256788410474</v>
      </c>
      <c r="J175" t="s">
        <v>8</v>
      </c>
      <c r="K175" t="s">
        <v>21</v>
      </c>
      <c r="L175" s="3">
        <v>238</v>
      </c>
      <c r="M175" t="s">
        <v>11</v>
      </c>
      <c r="N175" s="3">
        <v>21110.63</v>
      </c>
      <c r="O175" t="s">
        <v>12</v>
      </c>
      <c r="P175" t="s">
        <v>7</v>
      </c>
      <c r="Q175" t="s">
        <v>207</v>
      </c>
      <c r="R175" t="s">
        <v>208</v>
      </c>
      <c r="S175" t="s">
        <v>335</v>
      </c>
    </row>
    <row r="176" spans="1:19">
      <c r="A176" t="s">
        <v>2</v>
      </c>
      <c r="B176" t="s">
        <v>3</v>
      </c>
      <c r="C176" t="s">
        <v>162</v>
      </c>
      <c r="D176" s="2">
        <v>45996</v>
      </c>
      <c r="E176" s="13">
        <v>1800000602</v>
      </c>
      <c r="F176" t="s">
        <v>47</v>
      </c>
      <c r="G176" s="2">
        <v>45996</v>
      </c>
      <c r="H176" s="2">
        <v>46000</v>
      </c>
      <c r="I176" s="16">
        <v>256788410475</v>
      </c>
      <c r="J176" t="s">
        <v>8</v>
      </c>
      <c r="K176" t="s">
        <v>21</v>
      </c>
      <c r="L176" s="3">
        <v>40</v>
      </c>
      <c r="M176" t="s">
        <v>11</v>
      </c>
      <c r="N176" s="3">
        <v>3548.01</v>
      </c>
      <c r="O176" t="s">
        <v>12</v>
      </c>
      <c r="P176" t="s">
        <v>7</v>
      </c>
      <c r="Q176" t="s">
        <v>207</v>
      </c>
      <c r="R176" t="s">
        <v>209</v>
      </c>
      <c r="S176" t="s">
        <v>343</v>
      </c>
    </row>
    <row r="177" spans="1:19">
      <c r="A177" t="s">
        <v>2</v>
      </c>
      <c r="B177" t="s">
        <v>3</v>
      </c>
      <c r="C177" t="s">
        <v>162</v>
      </c>
      <c r="D177" s="2">
        <v>45996</v>
      </c>
      <c r="E177" s="13">
        <v>1800000603</v>
      </c>
      <c r="F177" t="s">
        <v>47</v>
      </c>
      <c r="G177" s="2">
        <v>45996</v>
      </c>
      <c r="H177" s="2">
        <v>46000</v>
      </c>
      <c r="I177" s="16">
        <v>256788410476</v>
      </c>
      <c r="J177" t="s">
        <v>8</v>
      </c>
      <c r="K177" t="s">
        <v>21</v>
      </c>
      <c r="L177" s="3">
        <v>200</v>
      </c>
      <c r="M177" t="s">
        <v>11</v>
      </c>
      <c r="N177" s="3">
        <v>17740.03</v>
      </c>
      <c r="O177" t="s">
        <v>12</v>
      </c>
      <c r="P177" t="s">
        <v>7</v>
      </c>
      <c r="Q177" t="s">
        <v>207</v>
      </c>
      <c r="R177" t="s">
        <v>208</v>
      </c>
      <c r="S177" t="s">
        <v>335</v>
      </c>
    </row>
    <row r="178" spans="1:19">
      <c r="A178" t="s">
        <v>2</v>
      </c>
      <c r="B178" t="s">
        <v>3</v>
      </c>
      <c r="C178" t="s">
        <v>162</v>
      </c>
      <c r="D178" s="2">
        <v>45996</v>
      </c>
      <c r="E178" s="13">
        <v>1800000604</v>
      </c>
      <c r="F178" t="s">
        <v>47</v>
      </c>
      <c r="G178" s="2">
        <v>45996</v>
      </c>
      <c r="H178" s="2">
        <v>46000</v>
      </c>
      <c r="I178" s="16">
        <v>256788410477</v>
      </c>
      <c r="J178" t="s">
        <v>8</v>
      </c>
      <c r="K178" t="s">
        <v>21</v>
      </c>
      <c r="L178" s="3">
        <v>6.6</v>
      </c>
      <c r="M178" t="s">
        <v>11</v>
      </c>
      <c r="N178" s="3">
        <v>585.41999999999996</v>
      </c>
      <c r="O178" t="s">
        <v>12</v>
      </c>
      <c r="P178" t="s">
        <v>7</v>
      </c>
      <c r="Q178" t="s">
        <v>207</v>
      </c>
      <c r="R178" t="s">
        <v>210</v>
      </c>
      <c r="S178" t="s">
        <v>341</v>
      </c>
    </row>
    <row r="179" spans="1:19">
      <c r="A179" t="s">
        <v>2</v>
      </c>
      <c r="B179" t="s">
        <v>3</v>
      </c>
      <c r="C179" t="s">
        <v>162</v>
      </c>
      <c r="D179" s="2">
        <v>45996</v>
      </c>
      <c r="E179" s="13">
        <v>1800000606</v>
      </c>
      <c r="F179" t="s">
        <v>47</v>
      </c>
      <c r="G179" s="2">
        <v>45996</v>
      </c>
      <c r="H179" s="2">
        <v>46000</v>
      </c>
      <c r="I179" s="16">
        <v>256788410479</v>
      </c>
      <c r="J179" t="s">
        <v>8</v>
      </c>
      <c r="K179" t="s">
        <v>21</v>
      </c>
      <c r="L179" s="3">
        <v>250.24</v>
      </c>
      <c r="M179" t="s">
        <v>11</v>
      </c>
      <c r="N179" s="3">
        <v>22196.32</v>
      </c>
      <c r="O179" t="s">
        <v>12</v>
      </c>
      <c r="P179" t="s">
        <v>7</v>
      </c>
      <c r="Q179" t="s">
        <v>211</v>
      </c>
      <c r="R179" t="s">
        <v>212</v>
      </c>
      <c r="S179" t="s">
        <v>338</v>
      </c>
    </row>
    <row r="180" spans="1:19">
      <c r="A180" t="s">
        <v>2</v>
      </c>
      <c r="B180" t="s">
        <v>3</v>
      </c>
      <c r="C180" t="s">
        <v>16</v>
      </c>
      <c r="D180" s="2">
        <v>45709</v>
      </c>
      <c r="E180" s="13">
        <v>1800000041</v>
      </c>
      <c r="F180" t="s">
        <v>47</v>
      </c>
      <c r="G180" s="2">
        <v>45709</v>
      </c>
      <c r="H180" s="2">
        <v>45713</v>
      </c>
      <c r="I180" s="16">
        <v>246788410024</v>
      </c>
      <c r="J180" t="s">
        <v>8</v>
      </c>
      <c r="K180" t="s">
        <v>21</v>
      </c>
      <c r="L180" s="3">
        <v>3980.4</v>
      </c>
      <c r="M180" t="s">
        <v>11</v>
      </c>
      <c r="N180" s="3">
        <v>343523.09</v>
      </c>
      <c r="O180" t="s">
        <v>12</v>
      </c>
      <c r="P180" t="s">
        <v>7</v>
      </c>
      <c r="Q180" t="s">
        <v>45</v>
      </c>
      <c r="R180" t="s">
        <v>213</v>
      </c>
      <c r="S180" t="s">
        <v>337</v>
      </c>
    </row>
    <row r="181" spans="1:19">
      <c r="A181" t="s">
        <v>2</v>
      </c>
      <c r="B181" t="s">
        <v>3</v>
      </c>
      <c r="C181" t="s">
        <v>29</v>
      </c>
      <c r="D181" s="2">
        <v>45937</v>
      </c>
      <c r="E181" s="13">
        <v>1800000554</v>
      </c>
      <c r="F181" t="s">
        <v>47</v>
      </c>
      <c r="G181" s="2">
        <v>45937</v>
      </c>
      <c r="H181" s="2">
        <v>45939</v>
      </c>
      <c r="I181" s="16">
        <v>256788410429</v>
      </c>
      <c r="J181" t="s">
        <v>8</v>
      </c>
      <c r="K181" t="s">
        <v>21</v>
      </c>
      <c r="L181" s="3">
        <v>2.25</v>
      </c>
      <c r="M181" t="s">
        <v>11</v>
      </c>
      <c r="N181" s="3">
        <v>198.43</v>
      </c>
      <c r="O181" t="s">
        <v>12</v>
      </c>
      <c r="P181" t="s">
        <v>7</v>
      </c>
      <c r="Q181" t="s">
        <v>214</v>
      </c>
      <c r="R181" t="s">
        <v>215</v>
      </c>
      <c r="S181" t="s">
        <v>339</v>
      </c>
    </row>
    <row r="182" spans="1:19">
      <c r="A182" t="s">
        <v>2</v>
      </c>
      <c r="B182" t="s">
        <v>3</v>
      </c>
      <c r="C182" t="s">
        <v>29</v>
      </c>
      <c r="D182" s="2">
        <v>45937</v>
      </c>
      <c r="E182" s="13">
        <v>1800000555</v>
      </c>
      <c r="F182" t="s">
        <v>47</v>
      </c>
      <c r="G182" s="2">
        <v>45937</v>
      </c>
      <c r="H182" s="2">
        <v>45940</v>
      </c>
      <c r="I182" s="16">
        <v>256788410430</v>
      </c>
      <c r="J182" t="s">
        <v>8</v>
      </c>
      <c r="K182" t="s">
        <v>21</v>
      </c>
      <c r="L182" s="3">
        <v>2</v>
      </c>
      <c r="M182" t="s">
        <v>11</v>
      </c>
      <c r="N182" s="3">
        <v>176.38</v>
      </c>
      <c r="O182" t="s">
        <v>12</v>
      </c>
      <c r="P182" t="s">
        <v>7</v>
      </c>
      <c r="Q182" t="s">
        <v>216</v>
      </c>
      <c r="R182" t="s">
        <v>217</v>
      </c>
      <c r="S182" t="s">
        <v>336</v>
      </c>
    </row>
    <row r="183" spans="1:19">
      <c r="A183" t="s">
        <v>2</v>
      </c>
      <c r="B183" t="s">
        <v>3</v>
      </c>
      <c r="C183" t="s">
        <v>79</v>
      </c>
      <c r="D183" s="2">
        <v>45857</v>
      </c>
      <c r="E183" s="13">
        <v>1800000388</v>
      </c>
      <c r="F183" t="s">
        <v>47</v>
      </c>
      <c r="G183" s="2">
        <v>45857</v>
      </c>
      <c r="H183" s="2">
        <v>45863</v>
      </c>
      <c r="I183" s="16">
        <v>256788410264</v>
      </c>
      <c r="J183" t="s">
        <v>8</v>
      </c>
      <c r="K183" t="s">
        <v>21</v>
      </c>
      <c r="L183" s="3">
        <v>4.6399999999999997</v>
      </c>
      <c r="M183" t="s">
        <v>11</v>
      </c>
      <c r="N183" s="3">
        <v>399.04</v>
      </c>
      <c r="O183" t="s">
        <v>12</v>
      </c>
      <c r="P183" t="s">
        <v>7</v>
      </c>
      <c r="Q183" t="s">
        <v>45</v>
      </c>
      <c r="R183" t="s">
        <v>218</v>
      </c>
      <c r="S183" t="s">
        <v>339</v>
      </c>
    </row>
    <row r="184" spans="1:19">
      <c r="A184" t="s">
        <v>2</v>
      </c>
      <c r="B184" t="s">
        <v>3</v>
      </c>
      <c r="C184" t="s">
        <v>67</v>
      </c>
      <c r="D184" s="2">
        <v>45787</v>
      </c>
      <c r="E184" s="13">
        <v>1800008358</v>
      </c>
      <c r="F184" t="s">
        <v>47</v>
      </c>
      <c r="G184" s="2">
        <v>45787</v>
      </c>
      <c r="H184" s="2">
        <v>45792</v>
      </c>
      <c r="I184" s="16">
        <v>256779413241</v>
      </c>
      <c r="J184" t="s">
        <v>8</v>
      </c>
      <c r="K184" t="s">
        <v>21</v>
      </c>
      <c r="L184" s="3">
        <v>1054.79</v>
      </c>
      <c r="M184" t="s">
        <v>11</v>
      </c>
      <c r="N184" s="3">
        <v>90694.75</v>
      </c>
      <c r="O184" t="s">
        <v>76</v>
      </c>
      <c r="P184" t="s">
        <v>7</v>
      </c>
      <c r="Q184" t="s">
        <v>45</v>
      </c>
      <c r="R184" t="s">
        <v>219</v>
      </c>
      <c r="S184" t="s">
        <v>339</v>
      </c>
    </row>
    <row r="185" spans="1:19">
      <c r="A185" t="s">
        <v>2</v>
      </c>
      <c r="B185" t="s">
        <v>3</v>
      </c>
      <c r="C185" t="s">
        <v>67</v>
      </c>
      <c r="D185" s="2">
        <v>45787</v>
      </c>
      <c r="E185" s="13">
        <v>1800000332</v>
      </c>
      <c r="F185" t="s">
        <v>47</v>
      </c>
      <c r="G185" s="2">
        <v>45787</v>
      </c>
      <c r="H185" s="2">
        <v>45800</v>
      </c>
      <c r="I185" s="16">
        <v>256788410207</v>
      </c>
      <c r="J185" t="s">
        <v>8</v>
      </c>
      <c r="K185" t="s">
        <v>21</v>
      </c>
      <c r="L185" s="3">
        <v>96.66</v>
      </c>
      <c r="M185" t="s">
        <v>11</v>
      </c>
      <c r="N185" s="3">
        <v>8311.18</v>
      </c>
      <c r="O185" t="s">
        <v>12</v>
      </c>
      <c r="P185" t="s">
        <v>7</v>
      </c>
      <c r="Q185" t="s">
        <v>45</v>
      </c>
      <c r="R185" t="s">
        <v>220</v>
      </c>
      <c r="S185" t="s">
        <v>340</v>
      </c>
    </row>
    <row r="186" spans="1:19">
      <c r="A186" t="s">
        <v>2</v>
      </c>
      <c r="B186" t="s">
        <v>3</v>
      </c>
      <c r="C186" t="s">
        <v>67</v>
      </c>
      <c r="D186" s="2">
        <v>45787</v>
      </c>
      <c r="E186" s="13">
        <v>1800000333</v>
      </c>
      <c r="F186" t="s">
        <v>47</v>
      </c>
      <c r="G186" s="2">
        <v>45787</v>
      </c>
      <c r="H186" s="2">
        <v>45800</v>
      </c>
      <c r="I186" s="16">
        <v>256788410208</v>
      </c>
      <c r="J186" t="s">
        <v>8</v>
      </c>
      <c r="K186" t="s">
        <v>21</v>
      </c>
      <c r="L186" s="3">
        <v>75</v>
      </c>
      <c r="M186" t="s">
        <v>11</v>
      </c>
      <c r="N186" s="3">
        <v>6448.78</v>
      </c>
      <c r="O186" t="s">
        <v>12</v>
      </c>
      <c r="P186" t="s">
        <v>7</v>
      </c>
      <c r="Q186" t="s">
        <v>45</v>
      </c>
      <c r="R186" t="s">
        <v>221</v>
      </c>
      <c r="S186" t="s">
        <v>334</v>
      </c>
    </row>
    <row r="187" spans="1:19">
      <c r="A187" t="s">
        <v>2</v>
      </c>
      <c r="B187" t="s">
        <v>3</v>
      </c>
      <c r="C187" t="s">
        <v>67</v>
      </c>
      <c r="D187" s="2">
        <v>45787</v>
      </c>
      <c r="E187" s="13">
        <v>1800000340</v>
      </c>
      <c r="F187" t="s">
        <v>47</v>
      </c>
      <c r="G187" s="2">
        <v>45787</v>
      </c>
      <c r="H187" s="2">
        <v>45800</v>
      </c>
      <c r="I187" s="16">
        <v>256788410215</v>
      </c>
      <c r="J187" t="s">
        <v>8</v>
      </c>
      <c r="K187" t="s">
        <v>21</v>
      </c>
      <c r="L187" s="3">
        <v>2336.5100000000002</v>
      </c>
      <c r="M187" t="s">
        <v>11</v>
      </c>
      <c r="N187" s="3">
        <v>200901.77</v>
      </c>
      <c r="O187" t="s">
        <v>12</v>
      </c>
      <c r="P187" t="s">
        <v>7</v>
      </c>
      <c r="Q187" t="s">
        <v>45</v>
      </c>
      <c r="R187" t="s">
        <v>222</v>
      </c>
      <c r="S187" t="s">
        <v>337</v>
      </c>
    </row>
    <row r="188" spans="1:19">
      <c r="A188" t="s">
        <v>2</v>
      </c>
      <c r="B188" t="s">
        <v>3</v>
      </c>
      <c r="C188" t="s">
        <v>29</v>
      </c>
      <c r="D188" s="2">
        <v>45948</v>
      </c>
      <c r="E188" s="13">
        <v>1800000561</v>
      </c>
      <c r="F188" t="s">
        <v>47</v>
      </c>
      <c r="G188" s="2">
        <v>45948</v>
      </c>
      <c r="H188" s="2">
        <v>45951</v>
      </c>
      <c r="I188" s="16">
        <v>256788410432</v>
      </c>
      <c r="J188" t="s">
        <v>8</v>
      </c>
      <c r="K188" t="s">
        <v>21</v>
      </c>
      <c r="L188" s="3">
        <v>393.41</v>
      </c>
      <c r="M188" t="s">
        <v>11</v>
      </c>
      <c r="N188" s="3">
        <v>34695.129999999997</v>
      </c>
      <c r="O188" t="s">
        <v>12</v>
      </c>
      <c r="P188" t="s">
        <v>7</v>
      </c>
      <c r="Q188" t="s">
        <v>223</v>
      </c>
      <c r="R188" t="s">
        <v>224</v>
      </c>
      <c r="S188" t="s">
        <v>339</v>
      </c>
    </row>
    <row r="189" spans="1:19">
      <c r="A189" t="s">
        <v>2</v>
      </c>
      <c r="B189" t="s">
        <v>3</v>
      </c>
      <c r="C189" t="s">
        <v>29</v>
      </c>
      <c r="D189" s="2">
        <v>45948</v>
      </c>
      <c r="E189" s="13">
        <v>1800000562</v>
      </c>
      <c r="F189" t="s">
        <v>47</v>
      </c>
      <c r="G189" s="2">
        <v>45948</v>
      </c>
      <c r="H189" s="2">
        <v>45951</v>
      </c>
      <c r="I189" s="16">
        <v>256788410433</v>
      </c>
      <c r="J189" t="s">
        <v>8</v>
      </c>
      <c r="K189" t="s">
        <v>21</v>
      </c>
      <c r="L189" s="3">
        <v>20.39</v>
      </c>
      <c r="M189" t="s">
        <v>11</v>
      </c>
      <c r="N189" s="3">
        <v>1798.21</v>
      </c>
      <c r="O189" t="s">
        <v>12</v>
      </c>
      <c r="P189" t="s">
        <v>7</v>
      </c>
      <c r="Q189" t="s">
        <v>223</v>
      </c>
      <c r="R189" t="s">
        <v>225</v>
      </c>
      <c r="S189" t="s">
        <v>342</v>
      </c>
    </row>
    <row r="190" spans="1:19">
      <c r="A190" t="s">
        <v>2</v>
      </c>
      <c r="B190" t="s">
        <v>3</v>
      </c>
      <c r="C190" t="s">
        <v>61</v>
      </c>
      <c r="D190" s="2">
        <v>45815</v>
      </c>
      <c r="E190" s="13">
        <v>1800009486</v>
      </c>
      <c r="F190" t="s">
        <v>47</v>
      </c>
      <c r="G190" s="2">
        <v>45815</v>
      </c>
      <c r="H190" s="2">
        <v>45817</v>
      </c>
      <c r="I190" s="16">
        <v>256779414250</v>
      </c>
      <c r="J190" t="s">
        <v>8</v>
      </c>
      <c r="K190" t="s">
        <v>21</v>
      </c>
      <c r="L190" s="3">
        <v>10597.07</v>
      </c>
      <c r="M190" t="s">
        <v>11</v>
      </c>
      <c r="N190" s="3">
        <v>905951.78</v>
      </c>
      <c r="O190" t="s">
        <v>76</v>
      </c>
      <c r="P190" t="s">
        <v>7</v>
      </c>
      <c r="Q190" t="s">
        <v>45</v>
      </c>
      <c r="R190" t="s">
        <v>226</v>
      </c>
      <c r="S190" t="s">
        <v>334</v>
      </c>
    </row>
    <row r="191" spans="1:19">
      <c r="A191" t="s">
        <v>2</v>
      </c>
      <c r="B191" t="s">
        <v>3</v>
      </c>
      <c r="C191" t="s">
        <v>29</v>
      </c>
      <c r="D191" s="2">
        <v>45936</v>
      </c>
      <c r="E191" s="13">
        <v>1800000552</v>
      </c>
      <c r="F191" t="s">
        <v>47</v>
      </c>
      <c r="G191" s="2">
        <v>45936</v>
      </c>
      <c r="H191" s="2">
        <v>45937</v>
      </c>
      <c r="I191" s="16">
        <v>256788410427</v>
      </c>
      <c r="J191" t="s">
        <v>8</v>
      </c>
      <c r="K191" t="s">
        <v>21</v>
      </c>
      <c r="L191" s="3">
        <v>11372.78</v>
      </c>
      <c r="M191" t="s">
        <v>11</v>
      </c>
      <c r="N191" s="3">
        <v>1002974.23</v>
      </c>
      <c r="O191" t="s">
        <v>12</v>
      </c>
      <c r="P191" t="s">
        <v>7</v>
      </c>
      <c r="Q191" t="s">
        <v>227</v>
      </c>
      <c r="R191" t="s">
        <v>228</v>
      </c>
      <c r="S191" t="s">
        <v>334</v>
      </c>
    </row>
    <row r="192" spans="1:19">
      <c r="A192" t="s">
        <v>2</v>
      </c>
      <c r="B192" t="s">
        <v>3</v>
      </c>
      <c r="C192" t="s">
        <v>29</v>
      </c>
      <c r="D192" s="2">
        <v>45935</v>
      </c>
      <c r="E192" s="13">
        <v>1800000536</v>
      </c>
      <c r="F192" t="s">
        <v>47</v>
      </c>
      <c r="G192" s="2">
        <v>45935</v>
      </c>
      <c r="H192" s="2">
        <v>45937</v>
      </c>
      <c r="I192" s="16">
        <v>256788410409</v>
      </c>
      <c r="J192" t="s">
        <v>8</v>
      </c>
      <c r="K192" t="s">
        <v>21</v>
      </c>
      <c r="L192" s="3">
        <v>1211.9000000000001</v>
      </c>
      <c r="M192" t="s">
        <v>11</v>
      </c>
      <c r="N192" s="3">
        <v>106878.39</v>
      </c>
      <c r="O192" t="s">
        <v>12</v>
      </c>
      <c r="P192" t="s">
        <v>7</v>
      </c>
      <c r="Q192" t="s">
        <v>229</v>
      </c>
      <c r="R192" t="s">
        <v>230</v>
      </c>
      <c r="S192" t="s">
        <v>335</v>
      </c>
    </row>
    <row r="193" spans="1:19">
      <c r="A193" t="s">
        <v>2</v>
      </c>
      <c r="B193" t="s">
        <v>3</v>
      </c>
      <c r="C193" t="s">
        <v>29</v>
      </c>
      <c r="D193" s="2">
        <v>45935</v>
      </c>
      <c r="E193" s="13">
        <v>1800000537</v>
      </c>
      <c r="F193" t="s">
        <v>47</v>
      </c>
      <c r="G193" s="2">
        <v>45935</v>
      </c>
      <c r="H193" s="2">
        <v>45937</v>
      </c>
      <c r="I193" s="16">
        <v>256788410410</v>
      </c>
      <c r="J193" t="s">
        <v>8</v>
      </c>
      <c r="K193" t="s">
        <v>21</v>
      </c>
      <c r="L193" s="3">
        <v>40</v>
      </c>
      <c r="M193" t="s">
        <v>11</v>
      </c>
      <c r="N193" s="3">
        <v>3527.63</v>
      </c>
      <c r="O193" t="s">
        <v>12</v>
      </c>
      <c r="P193" t="s">
        <v>7</v>
      </c>
      <c r="Q193" t="s">
        <v>229</v>
      </c>
      <c r="R193" t="s">
        <v>231</v>
      </c>
      <c r="S193" t="s">
        <v>343</v>
      </c>
    </row>
    <row r="194" spans="1:19">
      <c r="A194" t="s">
        <v>2</v>
      </c>
      <c r="B194" t="s">
        <v>3</v>
      </c>
      <c r="C194" t="s">
        <v>29</v>
      </c>
      <c r="D194" s="2">
        <v>45935</v>
      </c>
      <c r="E194" s="13">
        <v>1800000538</v>
      </c>
      <c r="F194" t="s">
        <v>47</v>
      </c>
      <c r="G194" s="2">
        <v>45935</v>
      </c>
      <c r="H194" s="2">
        <v>45937</v>
      </c>
      <c r="I194" s="16">
        <v>256788410411</v>
      </c>
      <c r="J194" t="s">
        <v>8</v>
      </c>
      <c r="K194" t="s">
        <v>21</v>
      </c>
      <c r="L194" s="3">
        <v>11.26</v>
      </c>
      <c r="M194" t="s">
        <v>11</v>
      </c>
      <c r="N194" s="3">
        <v>993.03</v>
      </c>
      <c r="O194" t="s">
        <v>12</v>
      </c>
      <c r="P194" t="s">
        <v>7</v>
      </c>
      <c r="Q194" t="s">
        <v>229</v>
      </c>
      <c r="R194" t="s">
        <v>232</v>
      </c>
      <c r="S194" t="s">
        <v>346</v>
      </c>
    </row>
    <row r="195" spans="1:19">
      <c r="A195" t="s">
        <v>2</v>
      </c>
      <c r="B195" t="s">
        <v>3</v>
      </c>
      <c r="C195" t="s">
        <v>29</v>
      </c>
      <c r="D195" s="2">
        <v>45935</v>
      </c>
      <c r="E195" s="13">
        <v>1800000534</v>
      </c>
      <c r="F195" t="s">
        <v>47</v>
      </c>
      <c r="G195" s="2">
        <v>45935</v>
      </c>
      <c r="H195" s="2">
        <v>45937</v>
      </c>
      <c r="I195" s="16">
        <v>256788410413</v>
      </c>
      <c r="J195" t="s">
        <v>8</v>
      </c>
      <c r="K195" t="s">
        <v>21</v>
      </c>
      <c r="L195" s="3">
        <v>8</v>
      </c>
      <c r="M195" t="s">
        <v>11</v>
      </c>
      <c r="N195" s="3">
        <v>705.53</v>
      </c>
      <c r="O195" t="s">
        <v>12</v>
      </c>
      <c r="P195" t="s">
        <v>7</v>
      </c>
      <c r="Q195" t="s">
        <v>233</v>
      </c>
      <c r="R195" t="s">
        <v>234</v>
      </c>
      <c r="S195" t="s">
        <v>338</v>
      </c>
    </row>
    <row r="196" spans="1:19">
      <c r="A196" t="s">
        <v>2</v>
      </c>
      <c r="B196" t="s">
        <v>3</v>
      </c>
      <c r="C196" t="s">
        <v>29</v>
      </c>
      <c r="D196" s="2">
        <v>45935</v>
      </c>
      <c r="E196" s="13">
        <v>1800000539</v>
      </c>
      <c r="F196" t="s">
        <v>47</v>
      </c>
      <c r="G196" s="2">
        <v>45935</v>
      </c>
      <c r="H196" s="2">
        <v>45937</v>
      </c>
      <c r="I196" s="16">
        <v>256788410414</v>
      </c>
      <c r="J196" t="s">
        <v>8</v>
      </c>
      <c r="K196" t="s">
        <v>21</v>
      </c>
      <c r="L196" s="3">
        <v>1119.04</v>
      </c>
      <c r="M196" t="s">
        <v>11</v>
      </c>
      <c r="N196" s="3">
        <v>98689</v>
      </c>
      <c r="O196" t="s">
        <v>12</v>
      </c>
      <c r="P196" t="s">
        <v>7</v>
      </c>
      <c r="Q196" t="s">
        <v>235</v>
      </c>
      <c r="R196" t="s">
        <v>236</v>
      </c>
      <c r="S196" t="s">
        <v>337</v>
      </c>
    </row>
    <row r="197" spans="1:19">
      <c r="A197" t="s">
        <v>2</v>
      </c>
      <c r="B197" t="s">
        <v>3</v>
      </c>
      <c r="C197" t="s">
        <v>29</v>
      </c>
      <c r="D197" s="2">
        <v>45935</v>
      </c>
      <c r="E197" s="13">
        <v>1800000540</v>
      </c>
      <c r="F197" t="s">
        <v>47</v>
      </c>
      <c r="G197" s="2">
        <v>45935</v>
      </c>
      <c r="H197" s="2">
        <v>45937</v>
      </c>
      <c r="I197" s="16">
        <v>256788410415</v>
      </c>
      <c r="J197" t="s">
        <v>8</v>
      </c>
      <c r="K197" t="s">
        <v>21</v>
      </c>
      <c r="L197" s="3">
        <v>47.84</v>
      </c>
      <c r="M197" t="s">
        <v>11</v>
      </c>
      <c r="N197" s="3">
        <v>4219.05</v>
      </c>
      <c r="O197" t="s">
        <v>12</v>
      </c>
      <c r="P197" t="s">
        <v>7</v>
      </c>
      <c r="Q197" t="s">
        <v>237</v>
      </c>
      <c r="R197" t="s">
        <v>238</v>
      </c>
      <c r="S197" t="s">
        <v>341</v>
      </c>
    </row>
    <row r="198" spans="1:19">
      <c r="A198" t="s">
        <v>2</v>
      </c>
      <c r="B198" t="s">
        <v>3</v>
      </c>
      <c r="C198" t="s">
        <v>29</v>
      </c>
      <c r="D198" s="2">
        <v>45935</v>
      </c>
      <c r="E198" s="13">
        <v>1800000545</v>
      </c>
      <c r="F198" t="s">
        <v>47</v>
      </c>
      <c r="G198" s="2">
        <v>45935</v>
      </c>
      <c r="H198" s="2">
        <v>45937</v>
      </c>
      <c r="I198" s="16">
        <v>256788410420</v>
      </c>
      <c r="J198" t="s">
        <v>8</v>
      </c>
      <c r="K198" t="s">
        <v>21</v>
      </c>
      <c r="L198" s="3">
        <v>75</v>
      </c>
      <c r="M198" t="s">
        <v>11</v>
      </c>
      <c r="N198" s="3">
        <v>6614.31</v>
      </c>
      <c r="O198" t="s">
        <v>12</v>
      </c>
      <c r="P198" t="s">
        <v>7</v>
      </c>
      <c r="Q198" t="s">
        <v>239</v>
      </c>
      <c r="R198" t="s">
        <v>240</v>
      </c>
      <c r="S198" t="s">
        <v>334</v>
      </c>
    </row>
    <row r="199" spans="1:19">
      <c r="A199" t="s">
        <v>2</v>
      </c>
      <c r="B199" t="s">
        <v>3</v>
      </c>
      <c r="C199" t="s">
        <v>29</v>
      </c>
      <c r="D199" s="2">
        <v>45935</v>
      </c>
      <c r="E199" s="13">
        <v>1800000556</v>
      </c>
      <c r="F199" t="s">
        <v>47</v>
      </c>
      <c r="G199" s="2">
        <v>45935</v>
      </c>
      <c r="H199" s="2">
        <v>45940</v>
      </c>
      <c r="I199" s="16">
        <v>256788410431</v>
      </c>
      <c r="J199" t="s">
        <v>8</v>
      </c>
      <c r="K199" t="s">
        <v>21</v>
      </c>
      <c r="L199" s="3">
        <v>250.08</v>
      </c>
      <c r="M199" t="s">
        <v>11</v>
      </c>
      <c r="N199" s="3">
        <v>22054.75</v>
      </c>
      <c r="O199" t="s">
        <v>12</v>
      </c>
      <c r="P199" t="s">
        <v>7</v>
      </c>
      <c r="Q199" t="s">
        <v>241</v>
      </c>
      <c r="R199" t="s">
        <v>242</v>
      </c>
      <c r="S199" t="s">
        <v>344</v>
      </c>
    </row>
    <row r="200" spans="1:19">
      <c r="A200" t="s">
        <v>2</v>
      </c>
      <c r="B200" t="s">
        <v>3</v>
      </c>
      <c r="C200" t="s">
        <v>29</v>
      </c>
      <c r="D200" s="2">
        <v>45935</v>
      </c>
      <c r="E200" s="13">
        <v>1800000542</v>
      </c>
      <c r="F200" t="s">
        <v>47</v>
      </c>
      <c r="G200" s="2">
        <v>45935</v>
      </c>
      <c r="H200" s="2">
        <v>45937</v>
      </c>
      <c r="I200" s="16">
        <v>256788410417</v>
      </c>
      <c r="J200" t="s">
        <v>8</v>
      </c>
      <c r="K200" t="s">
        <v>21</v>
      </c>
      <c r="L200" s="3">
        <v>1211.9000000000001</v>
      </c>
      <c r="M200" t="s">
        <v>11</v>
      </c>
      <c r="N200" s="3">
        <v>106878.39</v>
      </c>
      <c r="O200" t="s">
        <v>12</v>
      </c>
      <c r="P200" t="s">
        <v>7</v>
      </c>
      <c r="Q200" t="s">
        <v>243</v>
      </c>
      <c r="R200" t="s">
        <v>230</v>
      </c>
      <c r="S200" t="s">
        <v>335</v>
      </c>
    </row>
    <row r="201" spans="1:19">
      <c r="A201" t="s">
        <v>2</v>
      </c>
      <c r="B201" t="s">
        <v>3</v>
      </c>
      <c r="C201" t="s">
        <v>29</v>
      </c>
      <c r="D201" s="2">
        <v>45935</v>
      </c>
      <c r="E201" s="13">
        <v>1800000543</v>
      </c>
      <c r="F201" t="s">
        <v>47</v>
      </c>
      <c r="G201" s="2">
        <v>45935</v>
      </c>
      <c r="H201" s="2">
        <v>45937</v>
      </c>
      <c r="I201" s="16">
        <v>256788410418</v>
      </c>
      <c r="J201" t="s">
        <v>8</v>
      </c>
      <c r="K201" t="s">
        <v>21</v>
      </c>
      <c r="L201" s="3">
        <v>40</v>
      </c>
      <c r="M201" t="s">
        <v>11</v>
      </c>
      <c r="N201" s="3">
        <v>3527.63</v>
      </c>
      <c r="O201" t="s">
        <v>12</v>
      </c>
      <c r="P201" t="s">
        <v>7</v>
      </c>
      <c r="Q201" t="s">
        <v>243</v>
      </c>
      <c r="R201" t="s">
        <v>231</v>
      </c>
      <c r="S201" t="s">
        <v>343</v>
      </c>
    </row>
    <row r="202" spans="1:19">
      <c r="A202" t="s">
        <v>2</v>
      </c>
      <c r="B202" t="s">
        <v>3</v>
      </c>
      <c r="C202" t="s">
        <v>29</v>
      </c>
      <c r="D202" s="2">
        <v>45935</v>
      </c>
      <c r="E202" s="13">
        <v>1800000544</v>
      </c>
      <c r="F202" t="s">
        <v>47</v>
      </c>
      <c r="G202" s="2">
        <v>45935</v>
      </c>
      <c r="H202" s="2">
        <v>45937</v>
      </c>
      <c r="I202" s="16">
        <v>256788410419</v>
      </c>
      <c r="J202" t="s">
        <v>8</v>
      </c>
      <c r="K202" t="s">
        <v>21</v>
      </c>
      <c r="L202" s="3">
        <v>11.26</v>
      </c>
      <c r="M202" t="s">
        <v>11</v>
      </c>
      <c r="N202" s="3">
        <v>993.03</v>
      </c>
      <c r="O202" t="s">
        <v>12</v>
      </c>
      <c r="P202" t="s">
        <v>7</v>
      </c>
      <c r="Q202" t="s">
        <v>243</v>
      </c>
      <c r="R202" t="s">
        <v>232</v>
      </c>
      <c r="S202" t="s">
        <v>346</v>
      </c>
    </row>
    <row r="203" spans="1:19">
      <c r="A203" t="s">
        <v>2</v>
      </c>
      <c r="B203" t="s">
        <v>3</v>
      </c>
      <c r="C203" t="s">
        <v>50</v>
      </c>
      <c r="D203" s="2">
        <v>45906</v>
      </c>
      <c r="E203" s="13">
        <v>1800000478</v>
      </c>
      <c r="F203" t="s">
        <v>47</v>
      </c>
      <c r="G203" s="2">
        <v>45906</v>
      </c>
      <c r="H203" s="2">
        <v>45909</v>
      </c>
      <c r="I203" s="16">
        <v>256788410357</v>
      </c>
      <c r="J203" t="s">
        <v>8</v>
      </c>
      <c r="K203" t="s">
        <v>21</v>
      </c>
      <c r="L203" s="3">
        <v>11371.82</v>
      </c>
      <c r="M203" t="s">
        <v>11</v>
      </c>
      <c r="N203" s="3">
        <v>995197.21</v>
      </c>
      <c r="O203" t="s">
        <v>12</v>
      </c>
      <c r="P203" t="s">
        <v>7</v>
      </c>
      <c r="Q203" t="s">
        <v>45</v>
      </c>
      <c r="R203" t="s">
        <v>244</v>
      </c>
      <c r="S203" t="s">
        <v>334</v>
      </c>
    </row>
    <row r="204" spans="1:19">
      <c r="A204" t="s">
        <v>2</v>
      </c>
      <c r="B204" t="s">
        <v>245</v>
      </c>
      <c r="C204" t="s">
        <v>13</v>
      </c>
      <c r="D204" s="2">
        <v>46027</v>
      </c>
      <c r="E204" s="13">
        <v>1800000621</v>
      </c>
      <c r="F204" t="s">
        <v>47</v>
      </c>
      <c r="G204" s="2">
        <v>46027</v>
      </c>
      <c r="H204" s="2">
        <v>46027</v>
      </c>
      <c r="I204" s="16">
        <v>256788410483</v>
      </c>
      <c r="J204" t="s">
        <v>8</v>
      </c>
      <c r="K204" t="s">
        <v>21</v>
      </c>
      <c r="L204" s="3">
        <v>63.04</v>
      </c>
      <c r="M204" t="s">
        <v>11</v>
      </c>
      <c r="N204" s="3">
        <v>5720.45</v>
      </c>
      <c r="O204" t="s">
        <v>12</v>
      </c>
      <c r="P204" t="s">
        <v>7</v>
      </c>
      <c r="Q204" t="s">
        <v>246</v>
      </c>
      <c r="R204" t="s">
        <v>247</v>
      </c>
      <c r="S204" t="s">
        <v>339</v>
      </c>
    </row>
    <row r="205" spans="1:19">
      <c r="A205" t="s">
        <v>2</v>
      </c>
      <c r="B205" t="s">
        <v>245</v>
      </c>
      <c r="C205" t="s">
        <v>13</v>
      </c>
      <c r="D205" s="2">
        <v>46027</v>
      </c>
      <c r="E205" s="13">
        <v>1800000623</v>
      </c>
      <c r="F205" t="s">
        <v>47</v>
      </c>
      <c r="G205" s="2">
        <v>46027</v>
      </c>
      <c r="H205" s="2">
        <v>46027</v>
      </c>
      <c r="I205" s="16">
        <v>256788410485</v>
      </c>
      <c r="J205" t="s">
        <v>8</v>
      </c>
      <c r="K205" t="s">
        <v>21</v>
      </c>
      <c r="L205" s="3">
        <v>348.86</v>
      </c>
      <c r="M205" t="s">
        <v>11</v>
      </c>
      <c r="N205" s="3">
        <v>31656.65</v>
      </c>
      <c r="O205" t="s">
        <v>12</v>
      </c>
      <c r="P205" t="s">
        <v>7</v>
      </c>
      <c r="Q205" t="s">
        <v>45</v>
      </c>
      <c r="R205" t="s">
        <v>247</v>
      </c>
      <c r="S205" t="s">
        <v>339</v>
      </c>
    </row>
    <row r="206" spans="1:19">
      <c r="A206" t="s">
        <v>2</v>
      </c>
      <c r="B206" t="s">
        <v>245</v>
      </c>
      <c r="C206" t="s">
        <v>13</v>
      </c>
      <c r="D206" s="2">
        <v>46027</v>
      </c>
      <c r="E206" s="13">
        <v>1800000619</v>
      </c>
      <c r="F206" t="s">
        <v>47</v>
      </c>
      <c r="G206" s="2">
        <v>46027</v>
      </c>
      <c r="H206" s="2">
        <v>46027</v>
      </c>
      <c r="I206" s="16">
        <v>256788410487</v>
      </c>
      <c r="J206" t="s">
        <v>8</v>
      </c>
      <c r="K206" t="s">
        <v>21</v>
      </c>
      <c r="L206" s="3">
        <v>52</v>
      </c>
      <c r="M206" t="s">
        <v>11</v>
      </c>
      <c r="N206" s="3">
        <v>4718.6400000000003</v>
      </c>
      <c r="O206" t="s">
        <v>12</v>
      </c>
      <c r="P206" t="s">
        <v>7</v>
      </c>
      <c r="Q206" t="s">
        <v>249</v>
      </c>
      <c r="R206" t="s">
        <v>250</v>
      </c>
      <c r="S206" t="s">
        <v>338</v>
      </c>
    </row>
    <row r="207" spans="1:19">
      <c r="A207" t="s">
        <v>2</v>
      </c>
      <c r="B207" t="s">
        <v>245</v>
      </c>
      <c r="C207" t="s">
        <v>13</v>
      </c>
      <c r="D207" s="2">
        <v>46027</v>
      </c>
      <c r="E207" s="13">
        <v>1800000625</v>
      </c>
      <c r="F207" t="s">
        <v>47</v>
      </c>
      <c r="G207" s="2">
        <v>46027</v>
      </c>
      <c r="H207" s="2">
        <v>46027</v>
      </c>
      <c r="I207" s="16">
        <v>256788410490</v>
      </c>
      <c r="J207" t="s">
        <v>8</v>
      </c>
      <c r="K207" t="s">
        <v>21</v>
      </c>
      <c r="L207" s="3">
        <v>94</v>
      </c>
      <c r="M207" t="s">
        <v>11</v>
      </c>
      <c r="N207" s="3">
        <v>8529.86</v>
      </c>
      <c r="O207" t="s">
        <v>12</v>
      </c>
      <c r="P207" t="s">
        <v>7</v>
      </c>
      <c r="Q207" t="s">
        <v>251</v>
      </c>
      <c r="R207" t="s">
        <v>252</v>
      </c>
      <c r="S207" t="s">
        <v>340</v>
      </c>
    </row>
    <row r="208" spans="1:19">
      <c r="A208" t="s">
        <v>2</v>
      </c>
      <c r="B208" t="s">
        <v>245</v>
      </c>
      <c r="C208" t="s">
        <v>13</v>
      </c>
      <c r="D208" s="2">
        <v>46034</v>
      </c>
      <c r="E208" s="13">
        <v>1800000635</v>
      </c>
      <c r="F208" t="s">
        <v>47</v>
      </c>
      <c r="G208" s="2">
        <v>46034</v>
      </c>
      <c r="H208" s="2">
        <v>46035</v>
      </c>
      <c r="I208" s="16">
        <v>256788410492</v>
      </c>
      <c r="J208" t="s">
        <v>8</v>
      </c>
      <c r="K208" t="s">
        <v>21</v>
      </c>
      <c r="L208" s="3">
        <v>476</v>
      </c>
      <c r="M208" t="s">
        <v>11</v>
      </c>
      <c r="N208" s="3">
        <v>43193.73</v>
      </c>
      <c r="O208" t="s">
        <v>12</v>
      </c>
      <c r="P208" t="s">
        <v>7</v>
      </c>
      <c r="Q208" t="s">
        <v>253</v>
      </c>
      <c r="R208" t="s">
        <v>254</v>
      </c>
      <c r="S208" t="s">
        <v>335</v>
      </c>
    </row>
    <row r="209" spans="1:19">
      <c r="A209" t="s">
        <v>2</v>
      </c>
      <c r="B209" t="s">
        <v>245</v>
      </c>
      <c r="C209" t="s">
        <v>13</v>
      </c>
      <c r="D209" s="2">
        <v>46034</v>
      </c>
      <c r="E209" s="13">
        <v>1800000638</v>
      </c>
      <c r="F209" t="s">
        <v>47</v>
      </c>
      <c r="G209" s="2">
        <v>46034</v>
      </c>
      <c r="H209" s="2">
        <v>46035</v>
      </c>
      <c r="I209" s="16">
        <v>256788410495</v>
      </c>
      <c r="J209" t="s">
        <v>8</v>
      </c>
      <c r="K209" t="s">
        <v>21</v>
      </c>
      <c r="L209" s="3">
        <v>49.49</v>
      </c>
      <c r="M209" t="s">
        <v>11</v>
      </c>
      <c r="N209" s="3">
        <v>4490.88</v>
      </c>
      <c r="O209" t="s">
        <v>12</v>
      </c>
      <c r="P209" t="s">
        <v>7</v>
      </c>
      <c r="Q209" t="s">
        <v>253</v>
      </c>
      <c r="R209" t="s">
        <v>255</v>
      </c>
      <c r="S209" t="s">
        <v>341</v>
      </c>
    </row>
    <row r="210" spans="1:19">
      <c r="A210" t="s">
        <v>2</v>
      </c>
      <c r="B210" t="s">
        <v>245</v>
      </c>
      <c r="C210" t="s">
        <v>13</v>
      </c>
      <c r="D210" s="2">
        <v>46034</v>
      </c>
      <c r="E210" s="13">
        <v>1800000641</v>
      </c>
      <c r="F210" t="s">
        <v>47</v>
      </c>
      <c r="G210" s="2">
        <v>46034</v>
      </c>
      <c r="H210" s="2">
        <v>46035</v>
      </c>
      <c r="I210" s="16">
        <v>256788410498</v>
      </c>
      <c r="J210" t="s">
        <v>8</v>
      </c>
      <c r="K210" t="s">
        <v>21</v>
      </c>
      <c r="L210" s="3">
        <v>181.44</v>
      </c>
      <c r="M210" t="s">
        <v>11</v>
      </c>
      <c r="N210" s="3">
        <v>16464.439999999999</v>
      </c>
      <c r="O210" t="s">
        <v>12</v>
      </c>
      <c r="P210" t="s">
        <v>7</v>
      </c>
      <c r="Q210" t="s">
        <v>253</v>
      </c>
      <c r="R210" t="s">
        <v>256</v>
      </c>
      <c r="S210" t="s">
        <v>344</v>
      </c>
    </row>
    <row r="211" spans="1:19">
      <c r="A211" t="s">
        <v>2</v>
      </c>
      <c r="B211" t="s">
        <v>245</v>
      </c>
      <c r="C211" t="s">
        <v>13</v>
      </c>
      <c r="D211" s="2">
        <v>46034</v>
      </c>
      <c r="E211" s="13">
        <v>1800000642</v>
      </c>
      <c r="F211" t="s">
        <v>47</v>
      </c>
      <c r="G211" s="2">
        <v>46034</v>
      </c>
      <c r="H211" s="2">
        <v>46035</v>
      </c>
      <c r="I211" s="16">
        <v>256788410499</v>
      </c>
      <c r="J211" t="s">
        <v>8</v>
      </c>
      <c r="K211" t="s">
        <v>21</v>
      </c>
      <c r="L211" s="3">
        <v>53</v>
      </c>
      <c r="M211" t="s">
        <v>11</v>
      </c>
      <c r="N211" s="3">
        <v>4809.3900000000003</v>
      </c>
      <c r="O211" t="s">
        <v>12</v>
      </c>
      <c r="P211" t="s">
        <v>7</v>
      </c>
      <c r="Q211" t="s">
        <v>253</v>
      </c>
      <c r="R211" t="s">
        <v>257</v>
      </c>
      <c r="S211" t="s">
        <v>340</v>
      </c>
    </row>
    <row r="212" spans="1:19">
      <c r="A212" t="s">
        <v>2</v>
      </c>
      <c r="B212" t="s">
        <v>245</v>
      </c>
      <c r="C212" t="s">
        <v>13</v>
      </c>
      <c r="D212" s="2">
        <v>46028</v>
      </c>
      <c r="E212" s="13">
        <v>1800016633</v>
      </c>
      <c r="F212" t="s">
        <v>47</v>
      </c>
      <c r="G212" s="2">
        <v>46028</v>
      </c>
      <c r="H212" s="2">
        <v>46035</v>
      </c>
      <c r="I212" s="16">
        <v>256779440254</v>
      </c>
      <c r="J212" t="s">
        <v>8</v>
      </c>
      <c r="K212" t="s">
        <v>21</v>
      </c>
      <c r="L212" s="3">
        <v>2.0299999999999998</v>
      </c>
      <c r="M212" t="s">
        <v>11</v>
      </c>
      <c r="N212" s="3">
        <v>184.21</v>
      </c>
      <c r="O212" t="s">
        <v>76</v>
      </c>
      <c r="P212" t="s">
        <v>7</v>
      </c>
      <c r="Q212" t="s">
        <v>45</v>
      </c>
      <c r="R212" t="s">
        <v>259</v>
      </c>
      <c r="S212" t="s">
        <v>336</v>
      </c>
    </row>
    <row r="213" spans="1:19">
      <c r="A213" t="s">
        <v>2</v>
      </c>
      <c r="B213" t="s">
        <v>245</v>
      </c>
      <c r="C213" t="s">
        <v>13</v>
      </c>
      <c r="D213" s="2">
        <v>46034</v>
      </c>
      <c r="E213" s="13">
        <v>1800000647</v>
      </c>
      <c r="F213" t="s">
        <v>47</v>
      </c>
      <c r="G213" s="2">
        <v>46034</v>
      </c>
      <c r="H213" s="2">
        <v>46035</v>
      </c>
      <c r="I213" s="16">
        <v>256788410500</v>
      </c>
      <c r="J213" t="s">
        <v>8</v>
      </c>
      <c r="K213" t="s">
        <v>21</v>
      </c>
      <c r="L213" s="3">
        <v>32</v>
      </c>
      <c r="M213" t="s">
        <v>11</v>
      </c>
      <c r="N213" s="3">
        <v>2903.78</v>
      </c>
      <c r="O213" t="s">
        <v>12</v>
      </c>
      <c r="P213" t="s">
        <v>7</v>
      </c>
      <c r="Q213" t="s">
        <v>45</v>
      </c>
      <c r="R213" t="s">
        <v>261</v>
      </c>
      <c r="S213" t="s">
        <v>338</v>
      </c>
    </row>
    <row r="214" spans="1:19">
      <c r="A214" t="s">
        <v>2</v>
      </c>
      <c r="B214" t="s">
        <v>245</v>
      </c>
      <c r="C214" t="s">
        <v>13</v>
      </c>
      <c r="D214" s="2">
        <v>46034</v>
      </c>
      <c r="E214" s="13">
        <v>1800000626</v>
      </c>
      <c r="F214" t="s">
        <v>47</v>
      </c>
      <c r="G214" s="2">
        <v>46034</v>
      </c>
      <c r="H214" s="2">
        <v>46035</v>
      </c>
      <c r="I214" s="16">
        <v>256788410502</v>
      </c>
      <c r="J214" t="s">
        <v>8</v>
      </c>
      <c r="K214" t="s">
        <v>21</v>
      </c>
      <c r="L214" s="3">
        <v>3980.5</v>
      </c>
      <c r="M214" t="s">
        <v>11</v>
      </c>
      <c r="N214" s="3">
        <v>361203.07</v>
      </c>
      <c r="O214" t="s">
        <v>12</v>
      </c>
      <c r="P214" t="s">
        <v>7</v>
      </c>
      <c r="Q214" t="s">
        <v>45</v>
      </c>
      <c r="R214" t="s">
        <v>263</v>
      </c>
      <c r="S214" t="s">
        <v>334</v>
      </c>
    </row>
    <row r="215" spans="1:19">
      <c r="A215" t="s">
        <v>2</v>
      </c>
      <c r="B215" t="s">
        <v>245</v>
      </c>
      <c r="C215" t="s">
        <v>13</v>
      </c>
      <c r="D215" s="2">
        <v>46028</v>
      </c>
      <c r="E215" s="13">
        <v>1800000643</v>
      </c>
      <c r="F215" t="s">
        <v>47</v>
      </c>
      <c r="G215" s="2">
        <v>46028</v>
      </c>
      <c r="H215" s="2">
        <v>46035</v>
      </c>
      <c r="I215" s="16">
        <v>256788410503</v>
      </c>
      <c r="J215" t="s">
        <v>8</v>
      </c>
      <c r="K215" t="s">
        <v>21</v>
      </c>
      <c r="L215" s="3">
        <v>994.98</v>
      </c>
      <c r="M215" t="s">
        <v>11</v>
      </c>
      <c r="N215" s="3">
        <v>90287.61</v>
      </c>
      <c r="O215" t="s">
        <v>12</v>
      </c>
      <c r="P215" t="s">
        <v>7</v>
      </c>
      <c r="Q215" t="s">
        <v>264</v>
      </c>
      <c r="R215" t="s">
        <v>265</v>
      </c>
      <c r="S215" t="s">
        <v>339</v>
      </c>
    </row>
    <row r="216" spans="1:19">
      <c r="A216" t="s">
        <v>2</v>
      </c>
      <c r="B216" t="s">
        <v>245</v>
      </c>
      <c r="C216" t="s">
        <v>13</v>
      </c>
      <c r="D216" s="2">
        <v>46034</v>
      </c>
      <c r="E216" s="13">
        <v>1800000627</v>
      </c>
      <c r="F216" t="s">
        <v>47</v>
      </c>
      <c r="G216" s="2">
        <v>46034</v>
      </c>
      <c r="H216" s="2">
        <v>46035</v>
      </c>
      <c r="I216" s="16">
        <v>256788410507</v>
      </c>
      <c r="J216" t="s">
        <v>8</v>
      </c>
      <c r="K216" t="s">
        <v>21</v>
      </c>
      <c r="L216" s="3">
        <v>75</v>
      </c>
      <c r="M216" t="s">
        <v>11</v>
      </c>
      <c r="N216" s="3">
        <v>6805.74</v>
      </c>
      <c r="O216" t="s">
        <v>12</v>
      </c>
      <c r="P216" t="s">
        <v>7</v>
      </c>
      <c r="Q216" t="s">
        <v>45</v>
      </c>
      <c r="R216" t="s">
        <v>267</v>
      </c>
      <c r="S216" t="s">
        <v>334</v>
      </c>
    </row>
    <row r="217" spans="1:19">
      <c r="A217" t="s">
        <v>2</v>
      </c>
      <c r="B217" t="s">
        <v>245</v>
      </c>
      <c r="C217" t="s">
        <v>13</v>
      </c>
      <c r="D217" s="2">
        <v>46034</v>
      </c>
      <c r="E217" s="13">
        <v>1800000649</v>
      </c>
      <c r="F217" t="s">
        <v>47</v>
      </c>
      <c r="G217" s="2">
        <v>46034</v>
      </c>
      <c r="H217" s="2">
        <v>46035</v>
      </c>
      <c r="I217" s="16">
        <v>256788410514</v>
      </c>
      <c r="J217" t="s">
        <v>8</v>
      </c>
      <c r="K217" t="s">
        <v>21</v>
      </c>
      <c r="L217" s="3">
        <v>63.04</v>
      </c>
      <c r="M217" t="s">
        <v>11</v>
      </c>
      <c r="N217" s="3">
        <v>5720.45</v>
      </c>
      <c r="O217" t="s">
        <v>12</v>
      </c>
      <c r="P217" t="s">
        <v>7</v>
      </c>
      <c r="Q217" t="s">
        <v>45</v>
      </c>
      <c r="R217" t="s">
        <v>247</v>
      </c>
      <c r="S217" t="s">
        <v>339</v>
      </c>
    </row>
    <row r="218" spans="1:19">
      <c r="A218" t="s">
        <v>2</v>
      </c>
      <c r="B218" t="s">
        <v>245</v>
      </c>
      <c r="C218" t="s">
        <v>13</v>
      </c>
      <c r="D218" s="2">
        <v>46041</v>
      </c>
      <c r="E218" s="13">
        <v>1600000272</v>
      </c>
      <c r="F218" t="s">
        <v>71</v>
      </c>
      <c r="G218" s="2">
        <v>46041</v>
      </c>
      <c r="H218" s="2">
        <v>46041</v>
      </c>
      <c r="I218" s="16">
        <v>256788420148</v>
      </c>
      <c r="J218" t="s">
        <v>8</v>
      </c>
      <c r="K218" t="s">
        <v>21</v>
      </c>
      <c r="L218" s="3">
        <v>-25125.9</v>
      </c>
      <c r="M218" t="s">
        <v>11</v>
      </c>
      <c r="N218" s="3">
        <v>-2280003.06</v>
      </c>
      <c r="O218" t="s">
        <v>12</v>
      </c>
      <c r="P218" t="s">
        <v>7</v>
      </c>
      <c r="Q218" t="s">
        <v>45</v>
      </c>
      <c r="R218" t="s">
        <v>270</v>
      </c>
    </row>
    <row r="219" spans="1:19">
      <c r="A219" t="s">
        <v>2</v>
      </c>
      <c r="B219" t="s">
        <v>245</v>
      </c>
      <c r="C219" t="s">
        <v>13</v>
      </c>
      <c r="D219" s="2">
        <v>46041</v>
      </c>
      <c r="E219" s="13">
        <v>1600000273</v>
      </c>
      <c r="F219" t="s">
        <v>71</v>
      </c>
      <c r="G219" s="2">
        <v>46041</v>
      </c>
      <c r="H219" s="2">
        <v>46041</v>
      </c>
      <c r="I219" s="16">
        <v>256788420149</v>
      </c>
      <c r="J219" t="s">
        <v>8</v>
      </c>
      <c r="K219" t="s">
        <v>11</v>
      </c>
      <c r="L219" s="3">
        <v>-72465</v>
      </c>
      <c r="M219" t="s">
        <v>11</v>
      </c>
      <c r="N219" s="3">
        <v>-72465</v>
      </c>
      <c r="O219" t="s">
        <v>12</v>
      </c>
      <c r="P219" t="s">
        <v>7</v>
      </c>
      <c r="Q219" t="s">
        <v>45</v>
      </c>
      <c r="R219" t="s">
        <v>271</v>
      </c>
    </row>
    <row r="220" spans="1:19">
      <c r="A220" t="s">
        <v>2</v>
      </c>
      <c r="B220" t="s">
        <v>245</v>
      </c>
      <c r="C220" t="s">
        <v>13</v>
      </c>
      <c r="D220" s="2">
        <v>46028</v>
      </c>
      <c r="E220" s="13">
        <v>1600000274</v>
      </c>
      <c r="F220" t="s">
        <v>71</v>
      </c>
      <c r="G220" s="2">
        <v>46028</v>
      </c>
      <c r="H220" s="2">
        <v>46043</v>
      </c>
      <c r="I220" s="16">
        <v>256788420150</v>
      </c>
      <c r="J220" t="s">
        <v>8</v>
      </c>
      <c r="K220" t="s">
        <v>21</v>
      </c>
      <c r="L220" s="3">
        <v>-53</v>
      </c>
      <c r="M220" t="s">
        <v>11</v>
      </c>
      <c r="N220" s="3">
        <v>-4809.3900000000003</v>
      </c>
      <c r="O220" t="s">
        <v>12</v>
      </c>
      <c r="P220" t="s">
        <v>7</v>
      </c>
      <c r="Q220" t="s">
        <v>45</v>
      </c>
      <c r="R220" t="s">
        <v>273</v>
      </c>
    </row>
    <row r="221" spans="1:19">
      <c r="A221" s="4" t="s">
        <v>7</v>
      </c>
      <c r="B221" s="4" t="s">
        <v>7</v>
      </c>
      <c r="C221" s="4" t="s">
        <v>7</v>
      </c>
      <c r="D221" s="5"/>
      <c r="E221" s="14" t="s">
        <v>7</v>
      </c>
      <c r="F221" s="4" t="s">
        <v>7</v>
      </c>
      <c r="G221" s="5"/>
      <c r="H221" s="5"/>
      <c r="I221" s="17" t="s">
        <v>7</v>
      </c>
      <c r="J221" s="4" t="s">
        <v>8</v>
      </c>
      <c r="K221" s="4" t="s">
        <v>11</v>
      </c>
      <c r="L221" s="6">
        <v>-9572465</v>
      </c>
      <c r="M221" s="4" t="s">
        <v>11</v>
      </c>
      <c r="N221" s="6">
        <v>4079553.42</v>
      </c>
      <c r="O221" s="4" t="s">
        <v>7</v>
      </c>
      <c r="P221" s="4" t="s">
        <v>7</v>
      </c>
      <c r="Q221" s="4" t="s">
        <v>7</v>
      </c>
      <c r="R221" s="4" t="s">
        <v>7</v>
      </c>
    </row>
    <row r="222" spans="1:19">
      <c r="A222" s="4" t="s">
        <v>7</v>
      </c>
      <c r="B222" s="4" t="s">
        <v>7</v>
      </c>
      <c r="C222" s="4" t="s">
        <v>7</v>
      </c>
      <c r="D222" s="5"/>
      <c r="E222" s="14" t="s">
        <v>7</v>
      </c>
      <c r="F222" s="4" t="s">
        <v>7</v>
      </c>
      <c r="G222" s="5"/>
      <c r="H222" s="5"/>
      <c r="I222" s="17" t="s">
        <v>7</v>
      </c>
      <c r="J222" s="4" t="s">
        <v>7</v>
      </c>
      <c r="K222" s="4" t="s">
        <v>21</v>
      </c>
      <c r="L222" s="6">
        <v>158148.89000000001</v>
      </c>
      <c r="M222" s="4" t="s">
        <v>7</v>
      </c>
      <c r="N222" s="7"/>
      <c r="O222" s="4" t="s">
        <v>7</v>
      </c>
      <c r="P222" s="4" t="s">
        <v>7</v>
      </c>
      <c r="Q222" s="4" t="s">
        <v>7</v>
      </c>
      <c r="R222" s="4" t="s">
        <v>7</v>
      </c>
    </row>
    <row r="223" spans="1:19">
      <c r="A223" s="8" t="s">
        <v>7</v>
      </c>
      <c r="B223" s="8" t="s">
        <v>7</v>
      </c>
      <c r="C223" s="8" t="s">
        <v>7</v>
      </c>
      <c r="D223" s="9"/>
      <c r="E223" s="15" t="s">
        <v>7</v>
      </c>
      <c r="F223" s="8" t="s">
        <v>7</v>
      </c>
      <c r="G223" s="9"/>
      <c r="H223" s="9"/>
      <c r="I223" s="18" t="s">
        <v>7</v>
      </c>
      <c r="J223" s="8" t="s">
        <v>7</v>
      </c>
      <c r="K223" s="8" t="s">
        <v>11</v>
      </c>
      <c r="L223" s="10">
        <v>-9572465</v>
      </c>
      <c r="M223" s="8" t="s">
        <v>11</v>
      </c>
      <c r="N223" s="10">
        <v>4079553.42</v>
      </c>
      <c r="O223" s="8" t="s">
        <v>7</v>
      </c>
      <c r="P223" s="8" t="s">
        <v>7</v>
      </c>
      <c r="Q223" s="8" t="s">
        <v>7</v>
      </c>
      <c r="R223" s="8" t="s">
        <v>7</v>
      </c>
    </row>
    <row r="224" spans="1:19">
      <c r="A224" s="8" t="s">
        <v>7</v>
      </c>
      <c r="B224" s="8" t="s">
        <v>7</v>
      </c>
      <c r="C224" s="8" t="s">
        <v>7</v>
      </c>
      <c r="D224" s="9"/>
      <c r="E224" s="15" t="s">
        <v>7</v>
      </c>
      <c r="F224" s="8" t="s">
        <v>7</v>
      </c>
      <c r="G224" s="9"/>
      <c r="H224" s="9"/>
      <c r="I224" s="18" t="s">
        <v>7</v>
      </c>
      <c r="J224" s="8" t="s">
        <v>7</v>
      </c>
      <c r="K224" s="8" t="s">
        <v>21</v>
      </c>
      <c r="L224" s="10">
        <v>158148.89000000001</v>
      </c>
      <c r="M224" s="8" t="s">
        <v>7</v>
      </c>
      <c r="N224" s="11"/>
      <c r="O224" s="8" t="s">
        <v>7</v>
      </c>
      <c r="P224" s="8" t="s">
        <v>7</v>
      </c>
      <c r="Q224" s="8" t="s">
        <v>7</v>
      </c>
      <c r="R224" s="8" t="s">
        <v>7</v>
      </c>
    </row>
  </sheetData>
  <autoFilter ref="A1:S224" xr:uid="{76E293CF-56CC-491B-A78D-CB3F9F1E35A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F8E3-3DBD-4695-AF75-C192B403D534}">
  <dimension ref="A1:AL64"/>
  <sheetViews>
    <sheetView zoomScale="78" workbookViewId="0">
      <selection activeCell="R18" sqref="R18"/>
    </sheetView>
  </sheetViews>
  <sheetFormatPr defaultRowHeight="12.5"/>
  <cols>
    <col min="1" max="1" width="11.81640625" bestFit="1" customWidth="1"/>
    <col min="2" max="2" width="12.1796875" bestFit="1" customWidth="1"/>
    <col min="3" max="3" width="17.36328125" bestFit="1" customWidth="1"/>
    <col min="4" max="4" width="42.90625" bestFit="1" customWidth="1"/>
    <col min="5" max="5" width="11.81640625" bestFit="1" customWidth="1"/>
    <col min="6" max="6" width="10.36328125" bestFit="1" customWidth="1"/>
    <col min="7" max="7" width="14.453125" bestFit="1" customWidth="1"/>
    <col min="8" max="8" width="11.81640625" bestFit="1" customWidth="1"/>
    <col min="9" max="9" width="12.54296875" bestFit="1" customWidth="1"/>
    <col min="10" max="10" width="11.90625" bestFit="1" customWidth="1"/>
    <col min="11" max="11" width="9.26953125" bestFit="1" customWidth="1"/>
    <col min="14" max="14" width="11.81640625" bestFit="1" customWidth="1"/>
    <col min="15" max="15" width="9.1796875" bestFit="1" customWidth="1"/>
    <col min="16" max="16" width="11.08984375" bestFit="1" customWidth="1"/>
    <col min="17" max="18" width="11.81640625" bestFit="1" customWidth="1"/>
    <col min="19" max="19" width="14.36328125" bestFit="1" customWidth="1"/>
    <col min="20" max="20" width="8.81640625" bestFit="1" customWidth="1"/>
    <col min="21" max="21" width="10.453125" bestFit="1" customWidth="1"/>
  </cols>
  <sheetData>
    <row r="1" spans="1:38">
      <c r="A1" s="26" t="s">
        <v>21</v>
      </c>
      <c r="B1" s="26" t="s">
        <v>11</v>
      </c>
      <c r="C1" s="26" t="s">
        <v>351</v>
      </c>
      <c r="D1" s="26" t="s">
        <v>352</v>
      </c>
      <c r="E1" s="26" t="s">
        <v>314</v>
      </c>
      <c r="F1" s="23"/>
      <c r="G1" s="19" t="s">
        <v>316</v>
      </c>
      <c r="H1" t="s">
        <v>349</v>
      </c>
      <c r="I1" t="s">
        <v>350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38" ht="14">
      <c r="A2" s="31">
        <v>3980.5</v>
      </c>
      <c r="B2" s="31">
        <v>361203.07</v>
      </c>
      <c r="C2" s="31" t="s">
        <v>12</v>
      </c>
      <c r="D2" s="31" t="s">
        <v>263</v>
      </c>
      <c r="E2" s="39">
        <v>45992</v>
      </c>
      <c r="F2" s="24"/>
      <c r="G2" s="40">
        <v>45505</v>
      </c>
      <c r="H2">
        <v>4496.13</v>
      </c>
      <c r="I2">
        <v>389746.10000000003</v>
      </c>
      <c r="J2" s="24"/>
      <c r="K2" s="24"/>
      <c r="L2" s="24"/>
      <c r="N2" s="52" t="s">
        <v>353</v>
      </c>
      <c r="O2" s="52"/>
      <c r="P2" s="52"/>
      <c r="Q2" s="53" t="s">
        <v>354</v>
      </c>
      <c r="R2" s="54"/>
      <c r="S2" s="55"/>
      <c r="T2" s="53" t="s">
        <v>355</v>
      </c>
      <c r="U2" s="55"/>
    </row>
    <row r="3" spans="1:38" ht="14">
      <c r="A3" s="31">
        <v>11371.82</v>
      </c>
      <c r="B3" s="31">
        <v>995197.21</v>
      </c>
      <c r="C3" s="31" t="s">
        <v>12</v>
      </c>
      <c r="D3" s="31" t="s">
        <v>244</v>
      </c>
      <c r="E3" s="37">
        <v>45870</v>
      </c>
      <c r="F3" s="24"/>
      <c r="G3" s="40">
        <v>45536</v>
      </c>
      <c r="H3">
        <v>2805.01</v>
      </c>
      <c r="I3">
        <v>243140.78</v>
      </c>
      <c r="J3" s="24"/>
      <c r="K3" s="24"/>
      <c r="L3" s="24"/>
      <c r="N3" s="36" t="s">
        <v>348</v>
      </c>
      <c r="O3" s="36" t="s">
        <v>21</v>
      </c>
      <c r="P3" s="36" t="s">
        <v>11</v>
      </c>
      <c r="Q3" s="36" t="s">
        <v>348</v>
      </c>
      <c r="R3" s="36" t="s">
        <v>21</v>
      </c>
      <c r="S3" s="36" t="s">
        <v>11</v>
      </c>
      <c r="T3" s="36"/>
      <c r="U3" s="36"/>
    </row>
    <row r="4" spans="1:38">
      <c r="A4" s="31">
        <v>841.24</v>
      </c>
      <c r="B4" s="31">
        <v>72928.160000000003</v>
      </c>
      <c r="C4" s="31" t="s">
        <v>12</v>
      </c>
      <c r="D4" s="31" t="s">
        <v>53</v>
      </c>
      <c r="E4" s="37">
        <v>45597</v>
      </c>
      <c r="F4" s="24"/>
      <c r="G4" s="40">
        <v>45566</v>
      </c>
      <c r="H4">
        <v>549.24</v>
      </c>
      <c r="I4">
        <v>47585.229999999996</v>
      </c>
      <c r="J4" s="24"/>
      <c r="K4" s="24"/>
      <c r="L4" s="24"/>
      <c r="N4" s="37">
        <v>45505</v>
      </c>
      <c r="O4" s="38">
        <v>4421</v>
      </c>
      <c r="P4" s="38">
        <v>380206</v>
      </c>
      <c r="Q4" s="43">
        <v>45505</v>
      </c>
      <c r="R4" s="31">
        <v>4496.13</v>
      </c>
      <c r="S4" s="31">
        <v>389746.10000000003</v>
      </c>
      <c r="T4" s="28">
        <f>O4-R4</f>
        <v>-75.130000000000109</v>
      </c>
      <c r="U4" s="28">
        <f>P4-S4</f>
        <v>-9540.1000000000349</v>
      </c>
    </row>
    <row r="5" spans="1:38">
      <c r="A5" s="31">
        <v>4169.66</v>
      </c>
      <c r="B5" s="31">
        <v>361473.08</v>
      </c>
      <c r="C5" s="31" t="s">
        <v>12</v>
      </c>
      <c r="D5" s="31" t="s">
        <v>54</v>
      </c>
      <c r="E5" s="37">
        <v>45627</v>
      </c>
      <c r="F5" s="24"/>
      <c r="G5" s="40">
        <v>45597</v>
      </c>
      <c r="H5">
        <v>841.24</v>
      </c>
      <c r="I5">
        <v>72928.160000000003</v>
      </c>
      <c r="J5" s="24"/>
      <c r="K5" s="24"/>
      <c r="L5" s="24"/>
      <c r="N5" s="37">
        <v>45536</v>
      </c>
      <c r="O5" s="38">
        <v>2730.01</v>
      </c>
      <c r="P5" s="38">
        <v>234780.86000000002</v>
      </c>
      <c r="Q5" s="43">
        <v>45536</v>
      </c>
      <c r="R5" s="31">
        <v>2805.01</v>
      </c>
      <c r="S5" s="31">
        <v>243140.78</v>
      </c>
      <c r="T5" s="28">
        <f t="shared" ref="T5:T20" si="0">O5-R5</f>
        <v>-75</v>
      </c>
      <c r="U5" s="28">
        <f t="shared" ref="U5:U20" si="1">P5-S5</f>
        <v>-8359.9199999999837</v>
      </c>
    </row>
    <row r="6" spans="1:38">
      <c r="A6" s="31">
        <v>11372.78</v>
      </c>
      <c r="B6" s="31">
        <v>1002974.23</v>
      </c>
      <c r="C6" s="31" t="s">
        <v>12</v>
      </c>
      <c r="D6" s="31" t="s">
        <v>228</v>
      </c>
      <c r="E6" s="37">
        <v>45901</v>
      </c>
      <c r="F6" s="24"/>
      <c r="G6" s="40">
        <v>45627</v>
      </c>
      <c r="H6">
        <v>4169.66</v>
      </c>
      <c r="I6">
        <v>361473.08</v>
      </c>
      <c r="J6" s="24"/>
      <c r="K6" s="24"/>
      <c r="L6" s="24"/>
      <c r="N6" s="37">
        <v>45566</v>
      </c>
      <c r="O6" s="38">
        <v>474.24</v>
      </c>
      <c r="P6" s="38">
        <v>40433.702400000002</v>
      </c>
      <c r="Q6" s="43">
        <v>45566</v>
      </c>
      <c r="R6" s="31">
        <v>549.24</v>
      </c>
      <c r="S6" s="31">
        <v>47585.229999999996</v>
      </c>
      <c r="T6" s="28">
        <f t="shared" si="0"/>
        <v>-75</v>
      </c>
      <c r="U6" s="28">
        <f t="shared" si="1"/>
        <v>-7151.527599999994</v>
      </c>
    </row>
    <row r="7" spans="1:38">
      <c r="A7" s="31">
        <v>4421.13</v>
      </c>
      <c r="B7" s="31">
        <v>383273.33</v>
      </c>
      <c r="C7" s="31" t="s">
        <v>12</v>
      </c>
      <c r="D7" s="31" t="s">
        <v>57</v>
      </c>
      <c r="E7" s="37">
        <v>45505</v>
      </c>
      <c r="F7" s="24"/>
      <c r="G7" s="40">
        <v>45658</v>
      </c>
      <c r="H7">
        <v>11037.57</v>
      </c>
      <c r="I7">
        <v>959359.31</v>
      </c>
      <c r="J7" s="24"/>
      <c r="K7" s="24"/>
      <c r="L7" s="24"/>
      <c r="N7" s="37">
        <v>45597</v>
      </c>
      <c r="O7" s="38">
        <v>841.2368399999998</v>
      </c>
      <c r="P7" s="38">
        <v>72026.698240799989</v>
      </c>
      <c r="Q7" s="43">
        <v>45597</v>
      </c>
      <c r="R7" s="31">
        <v>841.24</v>
      </c>
      <c r="S7" s="31">
        <v>72928.160000000003</v>
      </c>
      <c r="T7" s="28">
        <f t="shared" si="0"/>
        <v>-3.1600000002072193E-3</v>
      </c>
      <c r="U7" s="28">
        <f t="shared" si="1"/>
        <v>-901.46175920001406</v>
      </c>
    </row>
    <row r="8" spans="1:38">
      <c r="A8" s="31">
        <v>2730.01</v>
      </c>
      <c r="B8" s="31">
        <v>236668.01</v>
      </c>
      <c r="C8" s="31" t="s">
        <v>12</v>
      </c>
      <c r="D8" s="31" t="s">
        <v>58</v>
      </c>
      <c r="E8" s="37">
        <v>45536</v>
      </c>
      <c r="F8" s="24"/>
      <c r="G8" s="40">
        <v>45689</v>
      </c>
      <c r="H8">
        <v>10078.89</v>
      </c>
      <c r="I8">
        <v>876029.1</v>
      </c>
      <c r="J8" s="24"/>
      <c r="K8" s="24"/>
      <c r="L8" s="24"/>
      <c r="N8" s="37">
        <v>45627</v>
      </c>
      <c r="O8" s="38">
        <v>4169.6588099999999</v>
      </c>
      <c r="P8" s="38">
        <v>357006.18731220003</v>
      </c>
      <c r="Q8" s="43">
        <v>45627</v>
      </c>
      <c r="R8" s="31">
        <v>4169.66</v>
      </c>
      <c r="S8" s="31">
        <v>361473.08</v>
      </c>
      <c r="T8" s="28">
        <f t="shared" si="0"/>
        <v>-1.1899999999513966E-3</v>
      </c>
      <c r="U8" s="28">
        <f t="shared" si="1"/>
        <v>-4466.8926877999911</v>
      </c>
    </row>
    <row r="9" spans="1:38">
      <c r="A9" s="31">
        <v>474.24</v>
      </c>
      <c r="B9" s="31">
        <v>41112.46</v>
      </c>
      <c r="C9" s="31" t="s">
        <v>12</v>
      </c>
      <c r="D9" s="31" t="s">
        <v>59</v>
      </c>
      <c r="E9" s="37">
        <v>45566</v>
      </c>
      <c r="F9" s="24"/>
      <c r="G9" s="40">
        <v>45717</v>
      </c>
      <c r="H9">
        <v>10878.4</v>
      </c>
      <c r="I9">
        <v>945553.02999999991</v>
      </c>
      <c r="J9" s="24"/>
      <c r="K9" s="24"/>
      <c r="L9" s="24"/>
      <c r="N9" s="37">
        <v>45658</v>
      </c>
      <c r="O9" s="38">
        <v>10887.573810000002</v>
      </c>
      <c r="P9" s="38">
        <v>947218.92147000018</v>
      </c>
      <c r="Q9" s="43">
        <v>45658</v>
      </c>
      <c r="R9" s="31">
        <v>11037.57</v>
      </c>
      <c r="S9" s="31">
        <v>959359.31</v>
      </c>
      <c r="T9" s="28">
        <f t="shared" si="0"/>
        <v>-149.99618999999802</v>
      </c>
      <c r="U9" s="28">
        <f t="shared" si="1"/>
        <v>-12140.38852999988</v>
      </c>
    </row>
    <row r="10" spans="1:38">
      <c r="A10" s="31">
        <v>10597.07</v>
      </c>
      <c r="B10" s="31">
        <v>905951.78</v>
      </c>
      <c r="C10" s="31" t="s">
        <v>76</v>
      </c>
      <c r="D10" s="31" t="s">
        <v>226</v>
      </c>
      <c r="E10" s="37">
        <v>45778</v>
      </c>
      <c r="F10" s="24"/>
      <c r="G10" s="40">
        <v>45748</v>
      </c>
      <c r="H10">
        <v>10439.719999999999</v>
      </c>
      <c r="I10">
        <v>897647.03</v>
      </c>
      <c r="J10" s="24"/>
      <c r="K10" s="24"/>
      <c r="L10" s="24"/>
      <c r="N10" s="37">
        <v>45689</v>
      </c>
      <c r="O10" s="38">
        <v>9928.8922799999982</v>
      </c>
      <c r="P10" s="38">
        <v>867785.18527199992</v>
      </c>
      <c r="Q10" s="43">
        <v>45689</v>
      </c>
      <c r="R10" s="31">
        <v>10078.89</v>
      </c>
      <c r="S10" s="31">
        <v>876029.1</v>
      </c>
      <c r="T10" s="28">
        <f t="shared" si="0"/>
        <v>-149.99772000000121</v>
      </c>
      <c r="U10" s="28">
        <f t="shared" si="1"/>
        <v>-8243.9147280000616</v>
      </c>
    </row>
    <row r="11" spans="1:38">
      <c r="A11" s="31">
        <v>10803.4</v>
      </c>
      <c r="B11" s="31">
        <v>939051.19</v>
      </c>
      <c r="C11" s="31" t="s">
        <v>12</v>
      </c>
      <c r="D11" s="31" t="s">
        <v>200</v>
      </c>
      <c r="E11" s="37">
        <v>45717</v>
      </c>
      <c r="F11" s="24"/>
      <c r="G11" s="40">
        <v>45778</v>
      </c>
      <c r="H11">
        <v>10672.07</v>
      </c>
      <c r="I11">
        <v>912400.56</v>
      </c>
      <c r="J11" s="24"/>
      <c r="K11" s="24"/>
      <c r="L11" s="24"/>
      <c r="N11" s="37">
        <v>45717</v>
      </c>
      <c r="O11" s="38">
        <v>10878.4</v>
      </c>
      <c r="P11" s="38">
        <v>950772.16</v>
      </c>
      <c r="Q11" s="43">
        <v>45717</v>
      </c>
      <c r="R11" s="31">
        <v>10878.4</v>
      </c>
      <c r="S11" s="31">
        <v>945553.02999999991</v>
      </c>
      <c r="T11" s="28">
        <f t="shared" si="0"/>
        <v>0</v>
      </c>
      <c r="U11" s="28">
        <f t="shared" si="1"/>
        <v>5219.1300000001211</v>
      </c>
    </row>
    <row r="12" spans="1:38">
      <c r="A12" s="31">
        <v>3385.09</v>
      </c>
      <c r="B12" s="31">
        <v>300257.96000000002</v>
      </c>
      <c r="C12" s="31" t="s">
        <v>12</v>
      </c>
      <c r="D12" s="31" t="s">
        <v>164</v>
      </c>
      <c r="E12" s="37">
        <v>45962</v>
      </c>
      <c r="F12" s="24"/>
      <c r="G12" s="40">
        <v>45809</v>
      </c>
      <c r="H12">
        <v>10869.300000000001</v>
      </c>
      <c r="I12">
        <v>934741.91</v>
      </c>
      <c r="J12" s="24"/>
      <c r="K12" s="24"/>
      <c r="L12" s="24"/>
      <c r="N12" s="37">
        <v>45748</v>
      </c>
      <c r="O12" s="38">
        <v>10439.719999999999</v>
      </c>
      <c r="P12" s="38">
        <v>893431.23759999988</v>
      </c>
      <c r="Q12" s="43">
        <v>45748</v>
      </c>
      <c r="R12" s="31">
        <v>10439.719999999999</v>
      </c>
      <c r="S12" s="31">
        <v>897647.03</v>
      </c>
      <c r="T12" s="28">
        <f t="shared" si="0"/>
        <v>0</v>
      </c>
      <c r="U12" s="28">
        <f t="shared" si="1"/>
        <v>-4215.7924000001512</v>
      </c>
    </row>
    <row r="13" spans="1:38">
      <c r="A13" s="31">
        <v>9928.89</v>
      </c>
      <c r="B13" s="31">
        <v>863037.19</v>
      </c>
      <c r="C13" s="31" t="s">
        <v>7</v>
      </c>
      <c r="D13" s="31" t="s">
        <v>156</v>
      </c>
      <c r="E13" s="37">
        <v>45689</v>
      </c>
      <c r="F13" s="24"/>
      <c r="G13" s="40">
        <v>45839</v>
      </c>
      <c r="H13">
        <v>12051.87</v>
      </c>
      <c r="I13">
        <v>1036821.6100000001</v>
      </c>
      <c r="J13" s="24"/>
      <c r="K13" s="24"/>
      <c r="L13" s="24"/>
      <c r="N13" s="37">
        <v>45778</v>
      </c>
      <c r="O13" s="38">
        <v>10672.07</v>
      </c>
      <c r="P13" s="38">
        <v>912355.26429999992</v>
      </c>
      <c r="Q13" s="43">
        <v>45778</v>
      </c>
      <c r="R13" s="31">
        <v>10672.07</v>
      </c>
      <c r="S13" s="31">
        <v>912400.56</v>
      </c>
      <c r="T13" s="28">
        <f t="shared" si="0"/>
        <v>0</v>
      </c>
      <c r="U13" s="28">
        <f t="shared" si="1"/>
        <v>-45.295700000133365</v>
      </c>
    </row>
    <row r="14" spans="1:38">
      <c r="A14" s="31">
        <v>10887.57</v>
      </c>
      <c r="B14" s="31">
        <v>946367.4</v>
      </c>
      <c r="C14" s="31" t="s">
        <v>7</v>
      </c>
      <c r="D14" s="31" t="s">
        <v>155</v>
      </c>
      <c r="E14" s="37">
        <v>45658</v>
      </c>
      <c r="F14" s="24"/>
      <c r="G14" s="40">
        <v>45870</v>
      </c>
      <c r="H14">
        <v>11521.82</v>
      </c>
      <c r="I14">
        <v>1008122.24</v>
      </c>
      <c r="J14" s="24"/>
      <c r="K14" s="24"/>
      <c r="L14" s="24"/>
      <c r="N14" s="37">
        <v>45809</v>
      </c>
      <c r="O14" s="38">
        <v>10425.542370000001</v>
      </c>
      <c r="P14" s="38">
        <v>891800.89432980015</v>
      </c>
      <c r="Q14" s="43">
        <v>45809</v>
      </c>
      <c r="R14" s="31">
        <v>10869.300000000001</v>
      </c>
      <c r="S14" s="31">
        <v>934741.91</v>
      </c>
      <c r="T14" s="28">
        <f t="shared" si="0"/>
        <v>-443.75763000000006</v>
      </c>
      <c r="U14" s="28">
        <f t="shared" si="1"/>
        <v>-42941.015670199879</v>
      </c>
    </row>
    <row r="15" spans="1:38">
      <c r="A15" s="31">
        <v>8006.66</v>
      </c>
      <c r="B15" s="31">
        <v>704613.22</v>
      </c>
      <c r="C15" s="31" t="s">
        <v>12</v>
      </c>
      <c r="D15" s="31" t="s">
        <v>108</v>
      </c>
      <c r="E15" s="37">
        <v>45931</v>
      </c>
      <c r="F15" s="24"/>
      <c r="G15" s="40">
        <v>45901</v>
      </c>
      <c r="H15">
        <v>11447.78</v>
      </c>
      <c r="I15">
        <v>1009537.7999999999</v>
      </c>
      <c r="J15" s="24"/>
      <c r="K15" s="24"/>
      <c r="L15" s="24"/>
      <c r="N15" s="37">
        <v>45839</v>
      </c>
      <c r="O15" s="38">
        <v>12051.87</v>
      </c>
      <c r="P15" s="38">
        <v>1055141.2185</v>
      </c>
      <c r="Q15" s="43">
        <v>45839</v>
      </c>
      <c r="R15" s="31">
        <v>12051.87</v>
      </c>
      <c r="S15" s="31">
        <v>1036821.6100000001</v>
      </c>
      <c r="T15" s="28">
        <f t="shared" si="0"/>
        <v>0</v>
      </c>
      <c r="U15" s="28">
        <f t="shared" si="1"/>
        <v>18319.608499999857</v>
      </c>
    </row>
    <row r="16" spans="1:38">
      <c r="A16" s="31">
        <v>10350.540000000001</v>
      </c>
      <c r="B16" s="31">
        <v>890153.37</v>
      </c>
      <c r="C16" s="31" t="s">
        <v>12</v>
      </c>
      <c r="D16" s="31" t="s">
        <v>94</v>
      </c>
      <c r="E16" s="37">
        <v>45809</v>
      </c>
      <c r="F16" s="24"/>
      <c r="G16" s="40">
        <v>45931</v>
      </c>
      <c r="H16">
        <v>12703.86</v>
      </c>
      <c r="I16">
        <v>1118049.06</v>
      </c>
      <c r="J16" s="24"/>
      <c r="K16" s="24"/>
      <c r="L16" s="24"/>
      <c r="N16" s="37">
        <v>45870</v>
      </c>
      <c r="O16" s="41">
        <v>11446.82</v>
      </c>
      <c r="P16" s="41">
        <v>1005595.6369999999</v>
      </c>
      <c r="Q16" s="43">
        <v>45870</v>
      </c>
      <c r="R16" s="31">
        <v>11521.82</v>
      </c>
      <c r="S16" s="31">
        <v>1008122.24</v>
      </c>
      <c r="T16" s="28">
        <f t="shared" si="0"/>
        <v>-75</v>
      </c>
      <c r="U16" s="28">
        <f t="shared" si="1"/>
        <v>-2526.6030000001192</v>
      </c>
    </row>
    <row r="17" spans="1:21">
      <c r="A17" s="31">
        <v>10364.719999999999</v>
      </c>
      <c r="B17" s="31">
        <v>891196.98</v>
      </c>
      <c r="C17" s="31" t="s">
        <v>12</v>
      </c>
      <c r="D17" s="31" t="s">
        <v>127</v>
      </c>
      <c r="E17" s="37">
        <v>45748</v>
      </c>
      <c r="F17" s="24"/>
      <c r="G17" s="40">
        <v>45962</v>
      </c>
      <c r="H17">
        <v>3535.09</v>
      </c>
      <c r="I17">
        <v>313330.98000000004</v>
      </c>
      <c r="J17" s="24"/>
      <c r="K17" s="24"/>
      <c r="L17" s="24"/>
      <c r="N17" s="37">
        <v>45901</v>
      </c>
      <c r="O17" s="41">
        <v>11447.780772150922</v>
      </c>
      <c r="P17" s="41">
        <v>1016448.4547592804</v>
      </c>
      <c r="Q17" s="43">
        <v>45901</v>
      </c>
      <c r="R17" s="31">
        <v>11447.78</v>
      </c>
      <c r="S17" s="31">
        <v>1009537.7999999999</v>
      </c>
      <c r="T17" s="28">
        <f t="shared" si="0"/>
        <v>7.7215092096594162E-4</v>
      </c>
      <c r="U17" s="28">
        <f t="shared" si="1"/>
        <v>6910.6547592805</v>
      </c>
    </row>
    <row r="18" spans="1:21">
      <c r="A18" s="31">
        <v>11976.87</v>
      </c>
      <c r="B18" s="31">
        <v>1030371.56</v>
      </c>
      <c r="C18" s="31" t="s">
        <v>12</v>
      </c>
      <c r="D18" s="31" t="s">
        <v>114</v>
      </c>
      <c r="E18" s="37">
        <v>45839</v>
      </c>
      <c r="F18" s="24"/>
      <c r="G18" s="40">
        <v>45992</v>
      </c>
      <c r="H18">
        <v>4055.5</v>
      </c>
      <c r="I18">
        <v>367675.84</v>
      </c>
      <c r="J18" s="24"/>
      <c r="K18" s="24"/>
      <c r="L18" s="24"/>
      <c r="N18" s="37">
        <v>45931</v>
      </c>
      <c r="O18" s="41">
        <v>8081.6606100000008</v>
      </c>
      <c r="P18" s="41">
        <v>717038.0641277011</v>
      </c>
      <c r="Q18" s="43">
        <v>45931</v>
      </c>
      <c r="R18" s="31">
        <v>12703.86</v>
      </c>
      <c r="S18" s="31">
        <v>1118049.06</v>
      </c>
      <c r="T18" s="28">
        <f t="shared" si="0"/>
        <v>-4622.1993899999998</v>
      </c>
      <c r="U18" s="28">
        <f t="shared" si="1"/>
        <v>-401010.99587229895</v>
      </c>
    </row>
    <row r="19" spans="1:21">
      <c r="A19" s="31">
        <v>443.76</v>
      </c>
      <c r="B19" s="31">
        <v>38176.730000000003</v>
      </c>
      <c r="C19" s="31" t="s">
        <v>12</v>
      </c>
      <c r="D19" s="31" t="s">
        <v>94</v>
      </c>
      <c r="E19" s="37">
        <v>45809</v>
      </c>
      <c r="F19" s="24"/>
      <c r="G19" s="40">
        <v>46023</v>
      </c>
      <c r="H19">
        <v>75</v>
      </c>
      <c r="I19">
        <v>6805.74</v>
      </c>
      <c r="J19" s="24"/>
      <c r="K19" s="24"/>
      <c r="L19" s="24"/>
      <c r="N19" s="37">
        <v>45962</v>
      </c>
      <c r="O19" s="41">
        <v>3535.0881599999998</v>
      </c>
      <c r="P19" s="41">
        <v>316248.98679360002</v>
      </c>
      <c r="Q19" s="43">
        <v>45962</v>
      </c>
      <c r="R19" s="31">
        <v>3535.09</v>
      </c>
      <c r="S19" s="31">
        <v>313330.98000000004</v>
      </c>
      <c r="T19" s="28">
        <f t="shared" si="0"/>
        <v>-1.8400000003566674E-3</v>
      </c>
      <c r="U19" s="28">
        <f t="shared" si="1"/>
        <v>2918.0067935999832</v>
      </c>
    </row>
    <row r="20" spans="1:21">
      <c r="A20" s="31">
        <v>4547.2</v>
      </c>
      <c r="B20" s="31">
        <v>400169.02</v>
      </c>
      <c r="C20" s="31" t="s">
        <v>12</v>
      </c>
      <c r="D20" s="31" t="s">
        <v>108</v>
      </c>
      <c r="E20" s="37">
        <v>45931</v>
      </c>
      <c r="F20" s="24"/>
      <c r="G20" s="13" t="s">
        <v>317</v>
      </c>
      <c r="H20">
        <v>132228.14999999997</v>
      </c>
      <c r="I20">
        <v>11500947.560000002</v>
      </c>
      <c r="J20" s="24"/>
      <c r="K20" s="24"/>
      <c r="L20" s="24"/>
      <c r="N20" s="37">
        <v>45992</v>
      </c>
      <c r="O20" s="41">
        <v>3460.0881600000002</v>
      </c>
      <c r="P20" s="41">
        <v>311096.52646560001</v>
      </c>
      <c r="Q20" s="43">
        <v>45992</v>
      </c>
      <c r="R20" s="31">
        <v>4055.5</v>
      </c>
      <c r="S20" s="31">
        <v>367675.84</v>
      </c>
      <c r="T20" s="28">
        <f t="shared" si="0"/>
        <v>-595.41183999999976</v>
      </c>
      <c r="U20" s="28">
        <f t="shared" si="1"/>
        <v>-56579.313534400018</v>
      </c>
    </row>
    <row r="21" spans="1:21">
      <c r="A21" s="31">
        <v>75</v>
      </c>
      <c r="B21" s="31">
        <v>6805.74</v>
      </c>
      <c r="C21" s="31" t="s">
        <v>12</v>
      </c>
      <c r="D21" s="31" t="s">
        <v>267</v>
      </c>
      <c r="E21" s="42">
        <v>46023</v>
      </c>
      <c r="F21" s="24"/>
      <c r="G21" s="24"/>
      <c r="H21" s="24"/>
      <c r="I21" s="24"/>
      <c r="J21" s="24"/>
      <c r="K21" s="24"/>
      <c r="L21" s="24"/>
      <c r="N21" s="45"/>
      <c r="O21" s="45"/>
      <c r="P21" s="45"/>
      <c r="Q21" s="43">
        <v>46023</v>
      </c>
      <c r="R21" s="31">
        <v>75</v>
      </c>
      <c r="S21" s="31">
        <v>6805.74</v>
      </c>
      <c r="T21" s="31"/>
      <c r="U21" s="31"/>
    </row>
    <row r="22" spans="1:21">
      <c r="A22" s="31">
        <v>75</v>
      </c>
      <c r="B22" s="31">
        <v>6614.31</v>
      </c>
      <c r="C22" s="31" t="s">
        <v>12</v>
      </c>
      <c r="D22" s="31" t="s">
        <v>240</v>
      </c>
      <c r="E22" s="42">
        <v>45931</v>
      </c>
      <c r="F22" s="24"/>
      <c r="G22" s="24"/>
      <c r="H22" s="24"/>
      <c r="I22" s="24"/>
      <c r="J22" s="24"/>
      <c r="K22" s="24"/>
      <c r="L22" s="24"/>
      <c r="N22" s="31"/>
      <c r="O22" s="31"/>
      <c r="P22" s="31"/>
      <c r="Q22" s="31"/>
      <c r="R22" s="31"/>
      <c r="S22" s="31"/>
      <c r="T22" s="31"/>
      <c r="U22" s="31"/>
    </row>
    <row r="23" spans="1:21">
      <c r="A23" s="31">
        <v>75</v>
      </c>
      <c r="B23" s="31">
        <v>6452.26</v>
      </c>
      <c r="C23" s="31" t="s">
        <v>12</v>
      </c>
      <c r="D23" s="31" t="s">
        <v>60</v>
      </c>
      <c r="E23" s="42">
        <v>45870</v>
      </c>
      <c r="F23" s="24"/>
      <c r="G23" s="24"/>
      <c r="H23" s="24"/>
      <c r="I23" s="24"/>
      <c r="J23" s="24"/>
      <c r="K23" s="24"/>
      <c r="L23" s="24"/>
    </row>
    <row r="24" spans="1:21">
      <c r="A24" s="31">
        <v>75</v>
      </c>
      <c r="B24" s="31">
        <v>6411.81</v>
      </c>
      <c r="C24" s="31" t="s">
        <v>12</v>
      </c>
      <c r="D24" s="31" t="s">
        <v>62</v>
      </c>
      <c r="E24" s="42">
        <v>45809</v>
      </c>
      <c r="F24" s="24"/>
      <c r="G24" s="24"/>
      <c r="H24" s="24"/>
      <c r="I24" s="24"/>
      <c r="J24" s="24"/>
      <c r="K24" s="24"/>
      <c r="L24" s="24"/>
    </row>
    <row r="25" spans="1:21">
      <c r="A25" s="31">
        <v>75</v>
      </c>
      <c r="B25" s="31">
        <v>6448.78</v>
      </c>
      <c r="C25" s="31" t="s">
        <v>12</v>
      </c>
      <c r="D25" s="31" t="s">
        <v>221</v>
      </c>
      <c r="E25" s="42">
        <v>45778</v>
      </c>
      <c r="F25" s="24"/>
      <c r="G25" s="24"/>
      <c r="H25" s="24"/>
      <c r="I25" s="24"/>
      <c r="J25" s="24"/>
      <c r="K25" s="24"/>
      <c r="L25" s="24"/>
    </row>
    <row r="26" spans="1:21">
      <c r="A26" s="31">
        <v>75</v>
      </c>
      <c r="B26" s="31">
        <v>6501.84</v>
      </c>
      <c r="C26" s="31" t="s">
        <v>12</v>
      </c>
      <c r="D26" s="31" t="s">
        <v>167</v>
      </c>
      <c r="E26" s="42">
        <v>45717</v>
      </c>
    </row>
    <row r="27" spans="1:21">
      <c r="A27" s="31">
        <v>75</v>
      </c>
      <c r="B27" s="31">
        <v>6652.51</v>
      </c>
      <c r="C27" s="31" t="s">
        <v>12</v>
      </c>
      <c r="D27" s="31" t="s">
        <v>166</v>
      </c>
      <c r="E27" s="42">
        <v>45931</v>
      </c>
    </row>
    <row r="28" spans="1:21">
      <c r="A28" s="31">
        <v>75</v>
      </c>
      <c r="B28" s="31">
        <v>6450.05</v>
      </c>
      <c r="C28" s="31" t="s">
        <v>12</v>
      </c>
      <c r="D28" s="31" t="s">
        <v>81</v>
      </c>
      <c r="E28" s="42">
        <v>45748</v>
      </c>
    </row>
    <row r="29" spans="1:21">
      <c r="A29" s="31">
        <v>75</v>
      </c>
      <c r="B29" s="31">
        <v>6519.14</v>
      </c>
      <c r="C29" s="31" t="s">
        <v>7</v>
      </c>
      <c r="D29" s="31" t="s">
        <v>134</v>
      </c>
      <c r="E29" s="42">
        <v>45658</v>
      </c>
    </row>
    <row r="30" spans="1:21">
      <c r="A30" s="31">
        <v>75</v>
      </c>
      <c r="B30" s="31">
        <v>6519.14</v>
      </c>
      <c r="C30" s="31" t="s">
        <v>7</v>
      </c>
      <c r="D30" s="31" t="s">
        <v>133</v>
      </c>
      <c r="E30" s="42">
        <v>45689</v>
      </c>
    </row>
    <row r="31" spans="1:21">
      <c r="A31" s="31">
        <v>75</v>
      </c>
      <c r="B31" s="31">
        <v>6472.77</v>
      </c>
      <c r="C31" s="31" t="s">
        <v>12</v>
      </c>
      <c r="D31" s="31" t="s">
        <v>142</v>
      </c>
      <c r="E31" s="42">
        <v>45992</v>
      </c>
    </row>
    <row r="32" spans="1:21">
      <c r="A32" s="31">
        <v>75</v>
      </c>
      <c r="B32" s="31">
        <v>6472.77</v>
      </c>
      <c r="C32" s="31" t="s">
        <v>12</v>
      </c>
      <c r="D32" s="31" t="s">
        <v>141</v>
      </c>
      <c r="E32" s="42">
        <v>45962</v>
      </c>
    </row>
    <row r="33" spans="1:9">
      <c r="A33" s="31">
        <v>75</v>
      </c>
      <c r="B33" s="31">
        <v>6563.57</v>
      </c>
      <c r="C33" s="31" t="s">
        <v>12</v>
      </c>
      <c r="D33" s="31" t="s">
        <v>92</v>
      </c>
      <c r="E33" s="42">
        <v>45901</v>
      </c>
    </row>
    <row r="34" spans="1:9">
      <c r="A34" s="31">
        <v>75</v>
      </c>
      <c r="B34" s="31">
        <v>6472.77</v>
      </c>
      <c r="C34" s="31" t="s">
        <v>12</v>
      </c>
      <c r="D34" s="31" t="s">
        <v>140</v>
      </c>
      <c r="E34" s="42">
        <v>45566</v>
      </c>
    </row>
    <row r="35" spans="1:9">
      <c r="A35" s="31">
        <v>75</v>
      </c>
      <c r="B35" s="31">
        <v>6472.77</v>
      </c>
      <c r="C35" s="31" t="s">
        <v>12</v>
      </c>
      <c r="D35" s="31" t="s">
        <v>139</v>
      </c>
      <c r="E35" s="42">
        <v>45536</v>
      </c>
    </row>
    <row r="36" spans="1:9">
      <c r="A36" s="31">
        <v>75</v>
      </c>
      <c r="B36" s="31">
        <v>6450.05</v>
      </c>
      <c r="C36" s="31" t="s">
        <v>12</v>
      </c>
      <c r="D36" s="31" t="s">
        <v>96</v>
      </c>
      <c r="E36" s="42">
        <v>45839</v>
      </c>
    </row>
    <row r="37" spans="1:9">
      <c r="A37" s="31">
        <v>75</v>
      </c>
      <c r="B37" s="31">
        <v>6472.77</v>
      </c>
      <c r="C37" s="31" t="s">
        <v>12</v>
      </c>
      <c r="D37" s="31" t="s">
        <v>126</v>
      </c>
      <c r="E37" s="42">
        <v>45870</v>
      </c>
    </row>
    <row r="38" spans="1:9">
      <c r="A38" s="31">
        <v>75</v>
      </c>
      <c r="B38" s="31">
        <v>6472.77</v>
      </c>
      <c r="C38" s="31" t="s">
        <v>12</v>
      </c>
      <c r="D38" s="31" t="s">
        <v>134</v>
      </c>
      <c r="E38" s="42">
        <v>45658</v>
      </c>
    </row>
    <row r="39" spans="1:9">
      <c r="A39" s="31">
        <v>75</v>
      </c>
      <c r="B39" s="31">
        <v>6472.77</v>
      </c>
      <c r="C39" s="31" t="s">
        <v>12</v>
      </c>
      <c r="D39" s="31" t="s">
        <v>133</v>
      </c>
      <c r="E39" s="42">
        <v>45689</v>
      </c>
    </row>
    <row r="40" spans="1:9">
      <c r="A40" s="31">
        <v>75</v>
      </c>
      <c r="B40" s="31">
        <v>6600.25</v>
      </c>
      <c r="C40" s="31" t="s">
        <v>12</v>
      </c>
      <c r="D40" s="31" t="s">
        <v>102</v>
      </c>
      <c r="E40" s="42">
        <v>45962</v>
      </c>
    </row>
    <row r="41" spans="1:9">
      <c r="A41" s="31">
        <v>75</v>
      </c>
      <c r="B41" s="31">
        <v>6472.77</v>
      </c>
      <c r="C41" s="31" t="s">
        <v>12</v>
      </c>
      <c r="D41" s="31" t="s">
        <v>126</v>
      </c>
      <c r="E41" s="42">
        <v>45505</v>
      </c>
    </row>
    <row r="48" spans="1:9">
      <c r="H48" s="40"/>
      <c r="I48" s="25"/>
    </row>
    <row r="49" spans="8:9">
      <c r="H49" s="40"/>
      <c r="I49" s="25"/>
    </row>
    <row r="50" spans="8:9">
      <c r="H50" s="40"/>
      <c r="I50" s="25"/>
    </row>
    <row r="51" spans="8:9">
      <c r="H51" s="40"/>
      <c r="I51" s="25"/>
    </row>
    <row r="52" spans="8:9">
      <c r="H52" s="40"/>
      <c r="I52" s="25"/>
    </row>
    <row r="53" spans="8:9">
      <c r="H53" s="40"/>
      <c r="I53" s="25"/>
    </row>
    <row r="54" spans="8:9">
      <c r="H54" s="40"/>
      <c r="I54" s="25"/>
    </row>
    <row r="55" spans="8:9">
      <c r="H55" s="40"/>
      <c r="I55" s="25"/>
    </row>
    <row r="56" spans="8:9">
      <c r="H56" s="40"/>
      <c r="I56" s="25"/>
    </row>
    <row r="57" spans="8:9">
      <c r="H57" s="40"/>
      <c r="I57" s="25"/>
    </row>
    <row r="58" spans="8:9">
      <c r="H58" s="40"/>
      <c r="I58" s="25"/>
    </row>
    <row r="59" spans="8:9">
      <c r="H59" s="40"/>
      <c r="I59" s="25"/>
    </row>
    <row r="60" spans="8:9">
      <c r="H60" s="40"/>
      <c r="I60" s="25"/>
    </row>
    <row r="61" spans="8:9">
      <c r="H61" s="40"/>
      <c r="I61" s="25"/>
    </row>
    <row r="62" spans="8:9">
      <c r="H62" s="40"/>
      <c r="I62" s="25"/>
    </row>
    <row r="63" spans="8:9">
      <c r="H63" s="40"/>
      <c r="I63" s="25"/>
    </row>
    <row r="64" spans="8:9">
      <c r="H64" s="40"/>
      <c r="I64" s="25"/>
    </row>
  </sheetData>
  <autoFilter ref="A1:E41" xr:uid="{8C06F8E3-3DBD-4695-AF75-C192B403D534}"/>
  <mergeCells count="3">
    <mergeCell ref="N2:P2"/>
    <mergeCell ref="Q2:S2"/>
    <mergeCell ref="T2: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E811-E707-4DF7-94A2-231A9DC05D67}">
  <dimension ref="A1:S47"/>
  <sheetViews>
    <sheetView topLeftCell="G3" workbookViewId="0">
      <selection activeCell="L11" sqref="L4:L11"/>
    </sheetView>
  </sheetViews>
  <sheetFormatPr defaultRowHeight="12.5"/>
  <cols>
    <col min="1" max="1" width="37.08984375" bestFit="1" customWidth="1"/>
    <col min="2" max="2" width="12.54296875" bestFit="1" customWidth="1"/>
    <col min="3" max="3" width="15.7265625" bestFit="1" customWidth="1"/>
    <col min="4" max="4" width="14.08984375" bestFit="1" customWidth="1"/>
    <col min="5" max="5" width="19.26953125" bestFit="1" customWidth="1"/>
    <col min="6" max="6" width="16.7265625" bestFit="1" customWidth="1"/>
    <col min="7" max="8" width="16.81640625" bestFit="1" customWidth="1"/>
    <col min="9" max="9" width="12.08984375" bestFit="1" customWidth="1"/>
    <col min="10" max="10" width="13.81640625" bestFit="1" customWidth="1"/>
    <col min="11" max="11" width="24.36328125" bestFit="1" customWidth="1"/>
    <col min="12" max="12" width="25.81640625" bestFit="1" customWidth="1"/>
    <col min="13" max="13" width="28.81640625" bestFit="1" customWidth="1"/>
    <col min="14" max="14" width="30.26953125" bestFit="1" customWidth="1"/>
    <col min="15" max="15" width="14.08984375" bestFit="1" customWidth="1"/>
    <col min="16" max="16" width="20.26953125" bestFit="1" customWidth="1"/>
    <col min="17" max="17" width="13.1796875" bestFit="1" customWidth="1"/>
    <col min="18" max="18" width="42.81640625" bestFit="1" customWidth="1"/>
    <col min="19" max="19" width="10.08984375" bestFit="1" customWidth="1"/>
  </cols>
  <sheetData>
    <row r="1" spans="1:19" ht="13">
      <c r="A1" s="33" t="s">
        <v>347</v>
      </c>
    </row>
    <row r="3" spans="1:19">
      <c r="A3" t="s">
        <v>277</v>
      </c>
      <c r="B3" t="s">
        <v>278</v>
      </c>
      <c r="C3" t="s">
        <v>279</v>
      </c>
      <c r="D3" t="s">
        <v>280</v>
      </c>
      <c r="E3" t="s">
        <v>281</v>
      </c>
      <c r="F3" t="s">
        <v>282</v>
      </c>
      <c r="G3" t="s">
        <v>283</v>
      </c>
      <c r="H3" t="s">
        <v>284</v>
      </c>
      <c r="I3" t="s">
        <v>306</v>
      </c>
      <c r="J3" t="s">
        <v>286</v>
      </c>
      <c r="K3" t="s">
        <v>290</v>
      </c>
      <c r="L3" t="s">
        <v>291</v>
      </c>
      <c r="M3" t="s">
        <v>292</v>
      </c>
      <c r="N3" t="s">
        <v>293</v>
      </c>
      <c r="O3" t="s">
        <v>295</v>
      </c>
      <c r="P3" t="s">
        <v>296</v>
      </c>
      <c r="Q3" t="s">
        <v>297</v>
      </c>
      <c r="R3" t="s">
        <v>299</v>
      </c>
      <c r="S3" t="s">
        <v>333</v>
      </c>
    </row>
    <row r="4" spans="1:19">
      <c r="A4" t="s">
        <v>2</v>
      </c>
      <c r="B4" t="s">
        <v>3</v>
      </c>
      <c r="C4" t="s">
        <v>16</v>
      </c>
      <c r="D4">
        <v>45705</v>
      </c>
      <c r="E4">
        <v>1800000000</v>
      </c>
      <c r="F4" t="s">
        <v>47</v>
      </c>
      <c r="G4" s="44">
        <v>45705</v>
      </c>
      <c r="H4" s="44">
        <v>45705</v>
      </c>
      <c r="I4">
        <v>246788410001</v>
      </c>
      <c r="J4" t="s">
        <v>8</v>
      </c>
      <c r="K4" t="s">
        <v>21</v>
      </c>
      <c r="L4">
        <v>75</v>
      </c>
      <c r="M4" t="s">
        <v>11</v>
      </c>
      <c r="N4">
        <v>6472.77</v>
      </c>
      <c r="O4" t="s">
        <v>12</v>
      </c>
      <c r="P4" t="s">
        <v>7</v>
      </c>
      <c r="Q4" t="s">
        <v>45</v>
      </c>
      <c r="R4" t="s">
        <v>126</v>
      </c>
      <c r="S4" t="s">
        <v>334</v>
      </c>
    </row>
    <row r="5" spans="1:19">
      <c r="A5" t="s">
        <v>2</v>
      </c>
      <c r="B5" t="s">
        <v>3</v>
      </c>
      <c r="C5" t="s">
        <v>16</v>
      </c>
      <c r="D5">
        <v>45707</v>
      </c>
      <c r="E5">
        <v>1800000012</v>
      </c>
      <c r="F5" t="s">
        <v>47</v>
      </c>
      <c r="G5" s="44">
        <v>45707</v>
      </c>
      <c r="H5" s="44">
        <v>45707</v>
      </c>
      <c r="I5">
        <v>246788410017</v>
      </c>
      <c r="J5" t="s">
        <v>8</v>
      </c>
      <c r="K5" t="s">
        <v>21</v>
      </c>
      <c r="L5">
        <v>75</v>
      </c>
      <c r="M5" t="s">
        <v>11</v>
      </c>
      <c r="N5">
        <v>6472.77</v>
      </c>
      <c r="O5" t="s">
        <v>12</v>
      </c>
      <c r="P5" t="s">
        <v>7</v>
      </c>
      <c r="Q5" t="s">
        <v>45</v>
      </c>
      <c r="R5" t="s">
        <v>142</v>
      </c>
      <c r="S5" t="s">
        <v>334</v>
      </c>
    </row>
    <row r="6" spans="1:19">
      <c r="A6" t="s">
        <v>2</v>
      </c>
      <c r="B6" t="s">
        <v>3</v>
      </c>
      <c r="C6" t="s">
        <v>16</v>
      </c>
      <c r="D6">
        <v>45707</v>
      </c>
      <c r="E6">
        <v>1800000010</v>
      </c>
      <c r="F6" t="s">
        <v>47</v>
      </c>
      <c r="G6" s="44">
        <v>45707</v>
      </c>
      <c r="H6" s="44">
        <v>45707</v>
      </c>
      <c r="I6">
        <v>246788410015</v>
      </c>
      <c r="J6" t="s">
        <v>8</v>
      </c>
      <c r="K6" t="s">
        <v>21</v>
      </c>
      <c r="L6">
        <v>75</v>
      </c>
      <c r="M6" t="s">
        <v>11</v>
      </c>
      <c r="N6">
        <v>6472.77</v>
      </c>
      <c r="O6" t="s">
        <v>12</v>
      </c>
      <c r="P6" t="s">
        <v>7</v>
      </c>
      <c r="Q6" t="s">
        <v>45</v>
      </c>
      <c r="R6" t="s">
        <v>141</v>
      </c>
      <c r="S6" t="s">
        <v>334</v>
      </c>
    </row>
    <row r="7" spans="1:19">
      <c r="A7" t="s">
        <v>2</v>
      </c>
      <c r="B7" t="s">
        <v>3</v>
      </c>
      <c r="C7" t="s">
        <v>16</v>
      </c>
      <c r="D7">
        <v>45707</v>
      </c>
      <c r="E7">
        <v>1800000018</v>
      </c>
      <c r="F7" t="s">
        <v>47</v>
      </c>
      <c r="G7" s="44">
        <v>45707</v>
      </c>
      <c r="H7" s="44">
        <v>45707</v>
      </c>
      <c r="I7">
        <v>246788410013</v>
      </c>
      <c r="J7" t="s">
        <v>8</v>
      </c>
      <c r="K7" t="s">
        <v>21</v>
      </c>
      <c r="L7">
        <v>75</v>
      </c>
      <c r="M7" t="s">
        <v>11</v>
      </c>
      <c r="N7">
        <v>6472.77</v>
      </c>
      <c r="O7" t="s">
        <v>12</v>
      </c>
      <c r="P7" t="s">
        <v>7</v>
      </c>
      <c r="Q7" t="s">
        <v>45</v>
      </c>
      <c r="R7" t="s">
        <v>140</v>
      </c>
      <c r="S7" t="s">
        <v>334</v>
      </c>
    </row>
    <row r="8" spans="1:19">
      <c r="A8" t="s">
        <v>2</v>
      </c>
      <c r="B8" t="s">
        <v>3</v>
      </c>
      <c r="C8" t="s">
        <v>16</v>
      </c>
      <c r="D8">
        <v>45707</v>
      </c>
      <c r="E8">
        <v>1800000022</v>
      </c>
      <c r="F8" t="s">
        <v>47</v>
      </c>
      <c r="G8" s="44">
        <v>45707</v>
      </c>
      <c r="H8" s="44">
        <v>45707</v>
      </c>
      <c r="I8">
        <v>246788410009</v>
      </c>
      <c r="J8" t="s">
        <v>8</v>
      </c>
      <c r="K8" t="s">
        <v>21</v>
      </c>
      <c r="L8">
        <v>75</v>
      </c>
      <c r="M8" t="s">
        <v>11</v>
      </c>
      <c r="N8">
        <v>6472.77</v>
      </c>
      <c r="O8" t="s">
        <v>12</v>
      </c>
      <c r="P8" t="s">
        <v>7</v>
      </c>
      <c r="Q8" t="s">
        <v>45</v>
      </c>
      <c r="R8" t="s">
        <v>139</v>
      </c>
      <c r="S8" t="s">
        <v>334</v>
      </c>
    </row>
    <row r="9" spans="1:19">
      <c r="A9" t="s">
        <v>2</v>
      </c>
      <c r="B9" t="s">
        <v>3</v>
      </c>
      <c r="C9" t="s">
        <v>16</v>
      </c>
      <c r="D9">
        <v>45707</v>
      </c>
      <c r="E9">
        <v>1800000006</v>
      </c>
      <c r="F9" t="s">
        <v>47</v>
      </c>
      <c r="G9" s="44">
        <v>45707</v>
      </c>
      <c r="H9" s="44">
        <v>45707</v>
      </c>
      <c r="I9">
        <v>246788410005</v>
      </c>
      <c r="J9" t="s">
        <v>8</v>
      </c>
      <c r="K9" t="s">
        <v>21</v>
      </c>
      <c r="L9">
        <v>75</v>
      </c>
      <c r="M9" t="s">
        <v>11</v>
      </c>
      <c r="N9">
        <v>6472.77</v>
      </c>
      <c r="O9" t="s">
        <v>12</v>
      </c>
      <c r="P9" t="s">
        <v>7</v>
      </c>
      <c r="Q9" t="s">
        <v>45</v>
      </c>
      <c r="R9" t="s">
        <v>126</v>
      </c>
      <c r="S9" t="s">
        <v>334</v>
      </c>
    </row>
    <row r="10" spans="1:19">
      <c r="A10" t="s">
        <v>2</v>
      </c>
      <c r="B10" t="s">
        <v>3</v>
      </c>
      <c r="C10" t="s">
        <v>16</v>
      </c>
      <c r="D10">
        <v>45708</v>
      </c>
      <c r="E10">
        <v>1800000033</v>
      </c>
      <c r="F10" t="s">
        <v>47</v>
      </c>
      <c r="G10" s="44">
        <v>45708</v>
      </c>
      <c r="H10" s="44">
        <v>45708</v>
      </c>
      <c r="I10">
        <v>246788410021</v>
      </c>
      <c r="J10" t="s">
        <v>8</v>
      </c>
      <c r="K10" t="s">
        <v>21</v>
      </c>
      <c r="L10">
        <v>75</v>
      </c>
      <c r="M10" t="s">
        <v>11</v>
      </c>
      <c r="N10">
        <v>6472.77</v>
      </c>
      <c r="O10" t="s">
        <v>12</v>
      </c>
      <c r="P10" t="s">
        <v>7</v>
      </c>
      <c r="Q10" t="s">
        <v>45</v>
      </c>
      <c r="R10" t="s">
        <v>134</v>
      </c>
      <c r="S10" t="s">
        <v>334</v>
      </c>
    </row>
    <row r="11" spans="1:19">
      <c r="A11" t="s">
        <v>2</v>
      </c>
      <c r="B11" t="s">
        <v>3</v>
      </c>
      <c r="C11" t="s">
        <v>16</v>
      </c>
      <c r="D11">
        <v>45708</v>
      </c>
      <c r="E11">
        <v>1800000029</v>
      </c>
      <c r="F11" t="s">
        <v>47</v>
      </c>
      <c r="G11" s="44">
        <v>45708</v>
      </c>
      <c r="H11" s="44">
        <v>45708</v>
      </c>
      <c r="I11">
        <v>246788410019</v>
      </c>
      <c r="J11" t="s">
        <v>8</v>
      </c>
      <c r="K11" t="s">
        <v>21</v>
      </c>
      <c r="L11">
        <v>75</v>
      </c>
      <c r="M11" t="s">
        <v>11</v>
      </c>
      <c r="N11">
        <v>6472.77</v>
      </c>
      <c r="O11" t="s">
        <v>12</v>
      </c>
      <c r="P11" t="s">
        <v>7</v>
      </c>
      <c r="Q11" t="s">
        <v>45</v>
      </c>
      <c r="R11" t="s">
        <v>133</v>
      </c>
      <c r="S11" t="s">
        <v>334</v>
      </c>
    </row>
    <row r="12" spans="1:19">
      <c r="A12" t="s">
        <v>2</v>
      </c>
      <c r="B12" t="s">
        <v>3</v>
      </c>
      <c r="C12" t="s">
        <v>38</v>
      </c>
      <c r="D12">
        <v>45719</v>
      </c>
      <c r="E12">
        <v>1800000047</v>
      </c>
      <c r="F12" t="s">
        <v>47</v>
      </c>
      <c r="G12" s="44">
        <v>45719</v>
      </c>
      <c r="H12" s="44">
        <v>45719</v>
      </c>
      <c r="I12">
        <v>246788410042</v>
      </c>
      <c r="J12" t="s">
        <v>8</v>
      </c>
      <c r="K12" t="s">
        <v>21</v>
      </c>
      <c r="L12" s="24">
        <v>4421.13</v>
      </c>
      <c r="M12" t="s">
        <v>11</v>
      </c>
      <c r="N12" s="24">
        <v>383273.33</v>
      </c>
      <c r="O12" t="s">
        <v>12</v>
      </c>
      <c r="P12" t="s">
        <v>7</v>
      </c>
      <c r="Q12" t="s">
        <v>45</v>
      </c>
      <c r="R12" t="s">
        <v>57</v>
      </c>
      <c r="S12" t="s">
        <v>334</v>
      </c>
    </row>
    <row r="13" spans="1:19">
      <c r="A13" t="s">
        <v>2</v>
      </c>
      <c r="B13" t="s">
        <v>3</v>
      </c>
      <c r="C13" t="s">
        <v>38</v>
      </c>
      <c r="D13">
        <v>45719</v>
      </c>
      <c r="E13">
        <v>1800000048</v>
      </c>
      <c r="F13" t="s">
        <v>47</v>
      </c>
      <c r="G13" s="44">
        <v>45719</v>
      </c>
      <c r="H13" s="44">
        <v>45719</v>
      </c>
      <c r="I13">
        <v>246788410043</v>
      </c>
      <c r="J13" t="s">
        <v>8</v>
      </c>
      <c r="K13" t="s">
        <v>21</v>
      </c>
      <c r="L13" s="24">
        <v>2730.01</v>
      </c>
      <c r="M13" t="s">
        <v>11</v>
      </c>
      <c r="N13" s="24">
        <v>236668.01</v>
      </c>
      <c r="O13" t="s">
        <v>12</v>
      </c>
      <c r="P13" t="s">
        <v>7</v>
      </c>
      <c r="Q13" t="s">
        <v>45</v>
      </c>
      <c r="R13" t="s">
        <v>58</v>
      </c>
      <c r="S13" t="s">
        <v>334</v>
      </c>
    </row>
    <row r="14" spans="1:19">
      <c r="A14" t="s">
        <v>2</v>
      </c>
      <c r="B14" t="s">
        <v>3</v>
      </c>
      <c r="C14" t="s">
        <v>38</v>
      </c>
      <c r="D14">
        <v>45719</v>
      </c>
      <c r="E14">
        <v>1800000049</v>
      </c>
      <c r="F14" t="s">
        <v>47</v>
      </c>
      <c r="G14" s="44">
        <v>45719</v>
      </c>
      <c r="H14" s="44">
        <v>45719</v>
      </c>
      <c r="I14">
        <v>246788410044</v>
      </c>
      <c r="J14" t="s">
        <v>8</v>
      </c>
      <c r="K14" t="s">
        <v>21</v>
      </c>
      <c r="L14" s="24">
        <v>474.24</v>
      </c>
      <c r="M14" t="s">
        <v>11</v>
      </c>
      <c r="N14" s="24">
        <v>41112.46</v>
      </c>
      <c r="O14" t="s">
        <v>12</v>
      </c>
      <c r="P14" t="s">
        <v>7</v>
      </c>
      <c r="Q14" t="s">
        <v>45</v>
      </c>
      <c r="R14" t="s">
        <v>59</v>
      </c>
      <c r="S14" t="s">
        <v>334</v>
      </c>
    </row>
    <row r="15" spans="1:19">
      <c r="A15" t="s">
        <v>2</v>
      </c>
      <c r="B15" t="s">
        <v>3</v>
      </c>
      <c r="C15" t="s">
        <v>38</v>
      </c>
      <c r="D15">
        <v>45722</v>
      </c>
      <c r="E15">
        <v>1800000050</v>
      </c>
      <c r="F15" t="s">
        <v>47</v>
      </c>
      <c r="G15" s="44">
        <v>45722</v>
      </c>
      <c r="H15" s="44">
        <v>45722</v>
      </c>
      <c r="I15">
        <v>246788410045</v>
      </c>
      <c r="J15" t="s">
        <v>8</v>
      </c>
      <c r="K15" t="s">
        <v>21</v>
      </c>
      <c r="L15" s="24">
        <v>841.24</v>
      </c>
      <c r="M15" t="s">
        <v>11</v>
      </c>
      <c r="N15" s="24">
        <v>72928.160000000003</v>
      </c>
      <c r="O15" t="s">
        <v>12</v>
      </c>
      <c r="P15" t="s">
        <v>7</v>
      </c>
      <c r="Q15" t="s">
        <v>45</v>
      </c>
      <c r="R15" t="s">
        <v>53</v>
      </c>
      <c r="S15" t="s">
        <v>334</v>
      </c>
    </row>
    <row r="16" spans="1:19">
      <c r="A16" t="s">
        <v>2</v>
      </c>
      <c r="B16" t="s">
        <v>3</v>
      </c>
      <c r="C16" t="s">
        <v>38</v>
      </c>
      <c r="D16">
        <v>45722</v>
      </c>
      <c r="E16">
        <v>1800000051</v>
      </c>
      <c r="F16" t="s">
        <v>47</v>
      </c>
      <c r="G16" s="44">
        <v>45722</v>
      </c>
      <c r="H16" s="44">
        <v>45722</v>
      </c>
      <c r="I16">
        <v>246788410046</v>
      </c>
      <c r="J16" t="s">
        <v>8</v>
      </c>
      <c r="K16" t="s">
        <v>21</v>
      </c>
      <c r="L16" s="24">
        <v>4169.66</v>
      </c>
      <c r="M16" t="s">
        <v>11</v>
      </c>
      <c r="N16" s="24">
        <v>361473.08</v>
      </c>
      <c r="O16" t="s">
        <v>12</v>
      </c>
      <c r="P16" t="s">
        <v>7</v>
      </c>
      <c r="Q16" t="s">
        <v>45</v>
      </c>
      <c r="R16" t="s">
        <v>54</v>
      </c>
      <c r="S16" t="s">
        <v>334</v>
      </c>
    </row>
    <row r="17" spans="1:19">
      <c r="A17" t="s">
        <v>2</v>
      </c>
      <c r="B17" t="s">
        <v>3</v>
      </c>
      <c r="C17" t="s">
        <v>38</v>
      </c>
      <c r="D17">
        <v>45735</v>
      </c>
      <c r="E17">
        <v>1800000124</v>
      </c>
      <c r="F17" t="s">
        <v>47</v>
      </c>
      <c r="G17" s="44">
        <v>45735</v>
      </c>
      <c r="H17" s="44">
        <v>45735</v>
      </c>
      <c r="I17">
        <v>246788410118</v>
      </c>
      <c r="J17" t="s">
        <v>8</v>
      </c>
      <c r="K17" t="s">
        <v>21</v>
      </c>
      <c r="L17" s="24">
        <v>149.72999999999999</v>
      </c>
      <c r="M17" t="s">
        <v>11</v>
      </c>
      <c r="N17" s="24">
        <v>12980.28</v>
      </c>
      <c r="O17" t="s">
        <v>12</v>
      </c>
      <c r="P17" t="s">
        <v>7</v>
      </c>
      <c r="Q17" t="s">
        <v>45</v>
      </c>
      <c r="R17" t="s">
        <v>190</v>
      </c>
      <c r="S17" t="s">
        <v>334</v>
      </c>
    </row>
    <row r="18" spans="1:19">
      <c r="A18" t="s">
        <v>2</v>
      </c>
      <c r="B18" t="s">
        <v>3</v>
      </c>
      <c r="C18" t="s">
        <v>38</v>
      </c>
      <c r="D18">
        <v>45735</v>
      </c>
      <c r="E18">
        <v>1800000123</v>
      </c>
      <c r="F18" t="s">
        <v>47</v>
      </c>
      <c r="G18" s="44">
        <v>45735</v>
      </c>
      <c r="H18" s="44">
        <v>45735</v>
      </c>
      <c r="I18">
        <v>246788410117</v>
      </c>
      <c r="J18" t="s">
        <v>8</v>
      </c>
      <c r="K18" t="s">
        <v>21</v>
      </c>
      <c r="L18" s="24">
        <v>66.73</v>
      </c>
      <c r="M18" t="s">
        <v>11</v>
      </c>
      <c r="N18" s="24">
        <v>5784.91</v>
      </c>
      <c r="O18" t="s">
        <v>12</v>
      </c>
      <c r="P18" t="s">
        <v>7</v>
      </c>
      <c r="Q18" t="s">
        <v>45</v>
      </c>
      <c r="R18" t="s">
        <v>189</v>
      </c>
      <c r="S18" t="s">
        <v>334</v>
      </c>
    </row>
    <row r="19" spans="1:19">
      <c r="A19" t="s">
        <v>2</v>
      </c>
      <c r="B19" t="s">
        <v>3</v>
      </c>
      <c r="C19" t="s">
        <v>38</v>
      </c>
      <c r="D19">
        <v>45735</v>
      </c>
      <c r="E19">
        <v>1800000122</v>
      </c>
      <c r="F19" t="s">
        <v>47</v>
      </c>
      <c r="G19" s="44">
        <v>45735</v>
      </c>
      <c r="H19" s="44">
        <v>45735</v>
      </c>
      <c r="I19">
        <v>246788410116</v>
      </c>
      <c r="J19" t="s">
        <v>8</v>
      </c>
      <c r="K19" t="s">
        <v>21</v>
      </c>
      <c r="L19" s="24">
        <v>2273.6799999999998</v>
      </c>
      <c r="M19" t="s">
        <v>11</v>
      </c>
      <c r="N19" s="24">
        <v>197108.18</v>
      </c>
      <c r="O19" t="s">
        <v>12</v>
      </c>
      <c r="P19" t="s">
        <v>7</v>
      </c>
      <c r="Q19" t="s">
        <v>45</v>
      </c>
      <c r="R19" t="s">
        <v>188</v>
      </c>
      <c r="S19" t="s">
        <v>334</v>
      </c>
    </row>
    <row r="20" spans="1:19">
      <c r="A20" t="s">
        <v>2</v>
      </c>
      <c r="B20" t="s">
        <v>3</v>
      </c>
      <c r="C20" t="s">
        <v>38</v>
      </c>
      <c r="D20">
        <v>45735</v>
      </c>
      <c r="E20">
        <v>1800000121</v>
      </c>
      <c r="F20" t="s">
        <v>47</v>
      </c>
      <c r="G20" s="44">
        <v>45735</v>
      </c>
      <c r="H20" s="44">
        <v>45735</v>
      </c>
      <c r="I20">
        <v>246788410115</v>
      </c>
      <c r="J20" t="s">
        <v>8</v>
      </c>
      <c r="K20" t="s">
        <v>21</v>
      </c>
      <c r="L20" s="24">
        <v>2293.63</v>
      </c>
      <c r="M20" t="s">
        <v>11</v>
      </c>
      <c r="N20" s="24">
        <v>198837.67</v>
      </c>
      <c r="O20" t="s">
        <v>12</v>
      </c>
      <c r="P20" t="s">
        <v>7</v>
      </c>
      <c r="Q20" t="s">
        <v>45</v>
      </c>
      <c r="R20" t="s">
        <v>187</v>
      </c>
      <c r="S20" t="s">
        <v>334</v>
      </c>
    </row>
    <row r="21" spans="1:19">
      <c r="A21" t="s">
        <v>2</v>
      </c>
      <c r="B21" t="s">
        <v>3</v>
      </c>
      <c r="C21" t="s">
        <v>38</v>
      </c>
      <c r="D21">
        <v>45734</v>
      </c>
      <c r="E21">
        <v>1800000084</v>
      </c>
      <c r="F21" t="s">
        <v>47</v>
      </c>
      <c r="G21" s="44">
        <v>45734</v>
      </c>
      <c r="H21" s="44">
        <v>45735</v>
      </c>
      <c r="I21">
        <v>246788410079</v>
      </c>
      <c r="J21" t="s">
        <v>8</v>
      </c>
      <c r="K21" t="s">
        <v>21</v>
      </c>
      <c r="L21">
        <v>75</v>
      </c>
      <c r="M21" t="s">
        <v>11</v>
      </c>
      <c r="N21">
        <v>6501.84</v>
      </c>
      <c r="O21" t="s">
        <v>12</v>
      </c>
      <c r="P21" t="s">
        <v>7</v>
      </c>
      <c r="Q21" t="s">
        <v>45</v>
      </c>
      <c r="R21" t="s">
        <v>167</v>
      </c>
      <c r="S21" t="s">
        <v>334</v>
      </c>
    </row>
    <row r="22" spans="1:19">
      <c r="A22" t="s">
        <v>2</v>
      </c>
      <c r="B22" t="s">
        <v>3</v>
      </c>
      <c r="C22" t="s">
        <v>4</v>
      </c>
      <c r="D22">
        <v>45749</v>
      </c>
      <c r="E22">
        <v>1800000148</v>
      </c>
      <c r="F22" t="s">
        <v>47</v>
      </c>
      <c r="G22" s="44">
        <v>45749</v>
      </c>
      <c r="H22" s="44">
        <v>45752</v>
      </c>
      <c r="I22">
        <v>256788410023</v>
      </c>
      <c r="J22" t="s">
        <v>8</v>
      </c>
      <c r="K22" t="s">
        <v>21</v>
      </c>
      <c r="L22">
        <v>75</v>
      </c>
      <c r="M22" t="s">
        <v>11</v>
      </c>
      <c r="N22">
        <v>6519.14</v>
      </c>
      <c r="O22" t="s">
        <v>7</v>
      </c>
      <c r="P22" t="s">
        <v>7</v>
      </c>
      <c r="Q22" t="s">
        <v>45</v>
      </c>
      <c r="R22" t="s">
        <v>134</v>
      </c>
      <c r="S22" t="s">
        <v>334</v>
      </c>
    </row>
    <row r="23" spans="1:19">
      <c r="A23" t="s">
        <v>2</v>
      </c>
      <c r="B23" t="s">
        <v>3</v>
      </c>
      <c r="C23" t="s">
        <v>4</v>
      </c>
      <c r="D23">
        <v>45749</v>
      </c>
      <c r="E23">
        <v>1800000144</v>
      </c>
      <c r="F23" t="s">
        <v>47</v>
      </c>
      <c r="G23" s="44">
        <v>45749</v>
      </c>
      <c r="H23" s="44">
        <v>45752</v>
      </c>
      <c r="I23">
        <v>256788410019</v>
      </c>
      <c r="J23" t="s">
        <v>8</v>
      </c>
      <c r="K23" t="s">
        <v>21</v>
      </c>
      <c r="L23">
        <v>75</v>
      </c>
      <c r="M23" t="s">
        <v>11</v>
      </c>
      <c r="N23">
        <v>6519.14</v>
      </c>
      <c r="O23" t="s">
        <v>7</v>
      </c>
      <c r="P23" t="s">
        <v>7</v>
      </c>
      <c r="Q23" t="s">
        <v>45</v>
      </c>
      <c r="R23" t="s">
        <v>133</v>
      </c>
      <c r="S23" t="s">
        <v>334</v>
      </c>
    </row>
    <row r="24" spans="1:19">
      <c r="A24" t="s">
        <v>2</v>
      </c>
      <c r="B24" t="s">
        <v>3</v>
      </c>
      <c r="C24" t="s">
        <v>4</v>
      </c>
      <c r="D24">
        <v>45749</v>
      </c>
      <c r="E24">
        <v>1800000127</v>
      </c>
      <c r="F24" t="s">
        <v>47</v>
      </c>
      <c r="G24" s="44">
        <v>45749</v>
      </c>
      <c r="H24" s="44">
        <v>45752</v>
      </c>
      <c r="I24">
        <v>256788410002</v>
      </c>
      <c r="J24" t="s">
        <v>8</v>
      </c>
      <c r="K24" t="s">
        <v>21</v>
      </c>
      <c r="L24" s="24">
        <v>9928.89</v>
      </c>
      <c r="M24" t="s">
        <v>11</v>
      </c>
      <c r="N24" s="24">
        <v>863037.19</v>
      </c>
      <c r="O24" t="s">
        <v>7</v>
      </c>
      <c r="P24" t="s">
        <v>7</v>
      </c>
      <c r="Q24" t="s">
        <v>45</v>
      </c>
      <c r="R24" t="s">
        <v>156</v>
      </c>
      <c r="S24" t="s">
        <v>334</v>
      </c>
    </row>
    <row r="25" spans="1:19">
      <c r="A25" t="s">
        <v>2</v>
      </c>
      <c r="B25" t="s">
        <v>3</v>
      </c>
      <c r="C25" t="s">
        <v>4</v>
      </c>
      <c r="D25">
        <v>45749</v>
      </c>
      <c r="E25">
        <v>1800000126</v>
      </c>
      <c r="F25" t="s">
        <v>47</v>
      </c>
      <c r="G25" s="44">
        <v>45749</v>
      </c>
      <c r="H25" s="44">
        <v>45752</v>
      </c>
      <c r="I25">
        <v>256788410001</v>
      </c>
      <c r="J25" t="s">
        <v>8</v>
      </c>
      <c r="K25" t="s">
        <v>21</v>
      </c>
      <c r="L25" s="24">
        <v>10887.57</v>
      </c>
      <c r="M25" t="s">
        <v>11</v>
      </c>
      <c r="N25" s="24">
        <v>946367.4</v>
      </c>
      <c r="O25" t="s">
        <v>7</v>
      </c>
      <c r="P25" t="s">
        <v>7</v>
      </c>
      <c r="Q25" t="s">
        <v>45</v>
      </c>
      <c r="R25" t="s">
        <v>155</v>
      </c>
      <c r="S25" t="s">
        <v>334</v>
      </c>
    </row>
    <row r="26" spans="1:19">
      <c r="A26" t="s">
        <v>2</v>
      </c>
      <c r="B26" t="s">
        <v>3</v>
      </c>
      <c r="C26" t="s">
        <v>4</v>
      </c>
      <c r="D26">
        <v>45769</v>
      </c>
      <c r="E26">
        <v>1800000331</v>
      </c>
      <c r="F26" t="s">
        <v>47</v>
      </c>
      <c r="G26" s="44">
        <v>45769</v>
      </c>
      <c r="H26" s="44">
        <v>45771</v>
      </c>
      <c r="I26">
        <v>256788410206</v>
      </c>
      <c r="J26" t="s">
        <v>8</v>
      </c>
      <c r="K26" t="s">
        <v>21</v>
      </c>
      <c r="L26" s="24">
        <v>10803.4</v>
      </c>
      <c r="M26" t="s">
        <v>11</v>
      </c>
      <c r="N26" s="24">
        <v>939051.19</v>
      </c>
      <c r="O26" t="s">
        <v>12</v>
      </c>
      <c r="P26" t="s">
        <v>7</v>
      </c>
      <c r="Q26" t="s">
        <v>45</v>
      </c>
      <c r="R26" t="s">
        <v>200</v>
      </c>
      <c r="S26" t="s">
        <v>334</v>
      </c>
    </row>
    <row r="27" spans="1:19">
      <c r="A27" t="s">
        <v>2</v>
      </c>
      <c r="B27" t="s">
        <v>3</v>
      </c>
      <c r="C27" t="s">
        <v>67</v>
      </c>
      <c r="D27">
        <v>45787</v>
      </c>
      <c r="E27">
        <v>1800000333</v>
      </c>
      <c r="F27" t="s">
        <v>47</v>
      </c>
      <c r="G27" s="44">
        <v>45787</v>
      </c>
      <c r="H27" s="44">
        <v>45800</v>
      </c>
      <c r="I27">
        <v>256788410208</v>
      </c>
      <c r="J27" t="s">
        <v>8</v>
      </c>
      <c r="K27" t="s">
        <v>21</v>
      </c>
      <c r="L27">
        <v>75</v>
      </c>
      <c r="M27" t="s">
        <v>11</v>
      </c>
      <c r="N27">
        <v>6448.78</v>
      </c>
      <c r="O27" t="s">
        <v>12</v>
      </c>
      <c r="P27" t="s">
        <v>7</v>
      </c>
      <c r="Q27" t="s">
        <v>45</v>
      </c>
      <c r="R27" t="s">
        <v>221</v>
      </c>
      <c r="S27" t="s">
        <v>334</v>
      </c>
    </row>
    <row r="28" spans="1:19">
      <c r="A28" t="s">
        <v>2</v>
      </c>
      <c r="B28" t="s">
        <v>3</v>
      </c>
      <c r="C28" t="s">
        <v>67</v>
      </c>
      <c r="D28">
        <v>45805</v>
      </c>
      <c r="E28">
        <v>1800000346</v>
      </c>
      <c r="F28" t="s">
        <v>47</v>
      </c>
      <c r="G28" s="44">
        <v>45805</v>
      </c>
      <c r="H28" s="44">
        <v>45805</v>
      </c>
      <c r="I28">
        <v>256788410221</v>
      </c>
      <c r="J28" t="s">
        <v>8</v>
      </c>
      <c r="K28" t="s">
        <v>21</v>
      </c>
      <c r="L28" s="24">
        <v>10364.719999999999</v>
      </c>
      <c r="M28" t="s">
        <v>11</v>
      </c>
      <c r="N28" s="24">
        <v>891196.98</v>
      </c>
      <c r="O28" t="s">
        <v>12</v>
      </c>
      <c r="P28" t="s">
        <v>7</v>
      </c>
      <c r="Q28" t="s">
        <v>45</v>
      </c>
      <c r="R28" t="s">
        <v>127</v>
      </c>
      <c r="S28" t="s">
        <v>334</v>
      </c>
    </row>
    <row r="29" spans="1:19">
      <c r="A29" t="s">
        <v>2</v>
      </c>
      <c r="B29" t="s">
        <v>3</v>
      </c>
      <c r="C29" t="s">
        <v>61</v>
      </c>
      <c r="D29">
        <v>45815</v>
      </c>
      <c r="E29">
        <v>1800009486</v>
      </c>
      <c r="F29" t="s">
        <v>47</v>
      </c>
      <c r="G29" s="44">
        <v>45815</v>
      </c>
      <c r="H29" s="44">
        <v>45817</v>
      </c>
      <c r="I29">
        <v>256779414250</v>
      </c>
      <c r="J29" t="s">
        <v>8</v>
      </c>
      <c r="K29" t="s">
        <v>21</v>
      </c>
      <c r="L29" s="24">
        <v>10597.07</v>
      </c>
      <c r="M29" t="s">
        <v>11</v>
      </c>
      <c r="N29" s="24">
        <v>905951.78</v>
      </c>
      <c r="O29" t="s">
        <v>76</v>
      </c>
      <c r="P29" t="s">
        <v>7</v>
      </c>
      <c r="Q29" t="s">
        <v>45</v>
      </c>
      <c r="R29" t="s">
        <v>226</v>
      </c>
      <c r="S29" t="s">
        <v>334</v>
      </c>
    </row>
    <row r="30" spans="1:19">
      <c r="A30" t="s">
        <v>2</v>
      </c>
      <c r="B30" t="s">
        <v>3</v>
      </c>
      <c r="C30" t="s">
        <v>61</v>
      </c>
      <c r="D30">
        <v>45818</v>
      </c>
      <c r="E30">
        <v>1800000353</v>
      </c>
      <c r="F30" t="s">
        <v>47</v>
      </c>
      <c r="G30" s="44">
        <v>45818</v>
      </c>
      <c r="H30" s="44">
        <v>45825</v>
      </c>
      <c r="I30">
        <v>256788410228</v>
      </c>
      <c r="J30" t="s">
        <v>8</v>
      </c>
      <c r="K30" t="s">
        <v>21</v>
      </c>
      <c r="L30">
        <v>75</v>
      </c>
      <c r="M30" t="s">
        <v>11</v>
      </c>
      <c r="N30">
        <v>6411.81</v>
      </c>
      <c r="O30" t="s">
        <v>12</v>
      </c>
      <c r="P30" t="s">
        <v>7</v>
      </c>
      <c r="Q30" t="s">
        <v>45</v>
      </c>
      <c r="R30" t="s">
        <v>62</v>
      </c>
      <c r="S30" t="s">
        <v>334</v>
      </c>
    </row>
    <row r="31" spans="1:19">
      <c r="A31" t="s">
        <v>2</v>
      </c>
      <c r="B31" t="s">
        <v>3</v>
      </c>
      <c r="C31" t="s">
        <v>79</v>
      </c>
      <c r="D31">
        <v>45847</v>
      </c>
      <c r="E31">
        <v>1800000384</v>
      </c>
      <c r="F31" t="s">
        <v>47</v>
      </c>
      <c r="G31" s="44">
        <v>45847</v>
      </c>
      <c r="H31" s="44">
        <v>45847</v>
      </c>
      <c r="I31">
        <v>256788410259</v>
      </c>
      <c r="J31" t="s">
        <v>8</v>
      </c>
      <c r="K31" t="s">
        <v>21</v>
      </c>
      <c r="L31">
        <v>75</v>
      </c>
      <c r="M31" t="s">
        <v>11</v>
      </c>
      <c r="N31">
        <v>6450.05</v>
      </c>
      <c r="O31" t="s">
        <v>12</v>
      </c>
      <c r="P31" t="s">
        <v>7</v>
      </c>
      <c r="Q31" t="s">
        <v>45</v>
      </c>
      <c r="R31" t="s">
        <v>81</v>
      </c>
      <c r="S31" t="s">
        <v>334</v>
      </c>
    </row>
    <row r="32" spans="1:19">
      <c r="A32" t="s">
        <v>2</v>
      </c>
      <c r="B32" t="s">
        <v>3</v>
      </c>
      <c r="C32" t="s">
        <v>79</v>
      </c>
      <c r="D32">
        <v>45842</v>
      </c>
      <c r="E32">
        <v>1800000358</v>
      </c>
      <c r="F32" t="s">
        <v>47</v>
      </c>
      <c r="G32" s="44">
        <v>45842</v>
      </c>
      <c r="H32" s="44">
        <v>45847</v>
      </c>
      <c r="I32">
        <v>256788410233</v>
      </c>
      <c r="J32" t="s">
        <v>8</v>
      </c>
      <c r="K32" t="s">
        <v>21</v>
      </c>
      <c r="L32" s="24">
        <v>10350.540000000001</v>
      </c>
      <c r="M32" t="s">
        <v>11</v>
      </c>
      <c r="N32" s="24">
        <v>890153.37</v>
      </c>
      <c r="O32" t="s">
        <v>12</v>
      </c>
      <c r="P32" t="s">
        <v>7</v>
      </c>
      <c r="Q32" t="s">
        <v>45</v>
      </c>
      <c r="R32" t="s">
        <v>94</v>
      </c>
      <c r="S32" t="s">
        <v>334</v>
      </c>
    </row>
    <row r="33" spans="1:19">
      <c r="A33" t="s">
        <v>2</v>
      </c>
      <c r="B33" t="s">
        <v>3</v>
      </c>
      <c r="C33" t="s">
        <v>79</v>
      </c>
      <c r="D33">
        <v>45842</v>
      </c>
      <c r="E33">
        <v>1800000362</v>
      </c>
      <c r="F33" t="s">
        <v>47</v>
      </c>
      <c r="G33" s="44">
        <v>45842</v>
      </c>
      <c r="H33" s="44">
        <v>45847</v>
      </c>
      <c r="I33">
        <v>256788410237</v>
      </c>
      <c r="J33" t="s">
        <v>8</v>
      </c>
      <c r="K33" t="s">
        <v>21</v>
      </c>
      <c r="L33">
        <v>75</v>
      </c>
      <c r="M33" t="s">
        <v>11</v>
      </c>
      <c r="N33">
        <v>6450.05</v>
      </c>
      <c r="O33" t="s">
        <v>12</v>
      </c>
      <c r="P33" t="s">
        <v>7</v>
      </c>
      <c r="Q33" t="s">
        <v>45</v>
      </c>
      <c r="R33" t="s">
        <v>96</v>
      </c>
      <c r="S33" t="s">
        <v>334</v>
      </c>
    </row>
    <row r="34" spans="1:19">
      <c r="A34" t="s">
        <v>2</v>
      </c>
      <c r="B34" t="s">
        <v>3</v>
      </c>
      <c r="C34" t="s">
        <v>24</v>
      </c>
      <c r="D34">
        <v>45870</v>
      </c>
      <c r="E34">
        <v>1800000447</v>
      </c>
      <c r="F34" t="s">
        <v>47</v>
      </c>
      <c r="G34" s="44">
        <v>45870</v>
      </c>
      <c r="H34" s="44">
        <v>45870</v>
      </c>
      <c r="I34">
        <v>256788410322</v>
      </c>
      <c r="J34" t="s">
        <v>8</v>
      </c>
      <c r="K34" t="s">
        <v>21</v>
      </c>
      <c r="L34">
        <v>75</v>
      </c>
      <c r="M34" t="s">
        <v>11</v>
      </c>
      <c r="N34">
        <v>6452.26</v>
      </c>
      <c r="O34" t="s">
        <v>12</v>
      </c>
      <c r="P34" t="s">
        <v>7</v>
      </c>
      <c r="Q34" t="s">
        <v>45</v>
      </c>
      <c r="R34" t="s">
        <v>60</v>
      </c>
      <c r="S34" t="s">
        <v>334</v>
      </c>
    </row>
    <row r="35" spans="1:19">
      <c r="A35" t="s">
        <v>2</v>
      </c>
      <c r="B35" t="s">
        <v>3</v>
      </c>
      <c r="C35" t="s">
        <v>24</v>
      </c>
      <c r="D35">
        <v>45877</v>
      </c>
      <c r="E35">
        <v>1800000470</v>
      </c>
      <c r="F35" t="s">
        <v>47</v>
      </c>
      <c r="G35" s="44">
        <v>45877</v>
      </c>
      <c r="H35" s="44">
        <v>45877</v>
      </c>
      <c r="I35">
        <v>256788410336</v>
      </c>
      <c r="J35" t="s">
        <v>8</v>
      </c>
      <c r="K35" t="s">
        <v>21</v>
      </c>
      <c r="L35" s="24">
        <v>11976.87</v>
      </c>
      <c r="M35" t="s">
        <v>11</v>
      </c>
      <c r="N35" s="24">
        <v>1030371.56</v>
      </c>
      <c r="O35" t="s">
        <v>12</v>
      </c>
      <c r="P35" t="s">
        <v>7</v>
      </c>
      <c r="Q35" t="s">
        <v>45</v>
      </c>
      <c r="R35" t="s">
        <v>114</v>
      </c>
      <c r="S35" t="s">
        <v>334</v>
      </c>
    </row>
    <row r="36" spans="1:19">
      <c r="A36" t="s">
        <v>2</v>
      </c>
      <c r="B36" t="s">
        <v>3</v>
      </c>
      <c r="C36" t="s">
        <v>24</v>
      </c>
      <c r="D36">
        <v>45877</v>
      </c>
      <c r="E36">
        <v>1800000466</v>
      </c>
      <c r="F36" t="s">
        <v>47</v>
      </c>
      <c r="G36" s="44">
        <v>45877</v>
      </c>
      <c r="H36" s="44">
        <v>45877</v>
      </c>
      <c r="I36">
        <v>256788410332</v>
      </c>
      <c r="J36" t="s">
        <v>8</v>
      </c>
      <c r="K36" t="s">
        <v>21</v>
      </c>
      <c r="L36" s="24">
        <v>443.76</v>
      </c>
      <c r="M36" t="s">
        <v>11</v>
      </c>
      <c r="N36" s="24">
        <v>38176.730000000003</v>
      </c>
      <c r="O36" t="s">
        <v>12</v>
      </c>
      <c r="P36" t="s">
        <v>7</v>
      </c>
      <c r="Q36" t="s">
        <v>45</v>
      </c>
      <c r="R36" t="s">
        <v>94</v>
      </c>
      <c r="S36" t="s">
        <v>334</v>
      </c>
    </row>
    <row r="37" spans="1:19">
      <c r="A37" t="s">
        <v>2</v>
      </c>
      <c r="B37" t="s">
        <v>3</v>
      </c>
      <c r="C37" t="s">
        <v>50</v>
      </c>
      <c r="D37">
        <v>45906</v>
      </c>
      <c r="E37">
        <v>1800000478</v>
      </c>
      <c r="F37" t="s">
        <v>47</v>
      </c>
      <c r="G37" s="44">
        <v>45906</v>
      </c>
      <c r="H37" s="44">
        <v>45909</v>
      </c>
      <c r="I37">
        <v>256788410357</v>
      </c>
      <c r="J37" t="s">
        <v>8</v>
      </c>
      <c r="K37" t="s">
        <v>21</v>
      </c>
      <c r="L37" s="24">
        <v>11371.82</v>
      </c>
      <c r="M37" t="s">
        <v>11</v>
      </c>
      <c r="N37" s="24">
        <v>995197.21</v>
      </c>
      <c r="O37" t="s">
        <v>12</v>
      </c>
      <c r="P37" t="s">
        <v>7</v>
      </c>
      <c r="Q37" t="s">
        <v>45</v>
      </c>
      <c r="R37" t="s">
        <v>244</v>
      </c>
      <c r="S37" t="s">
        <v>334</v>
      </c>
    </row>
    <row r="38" spans="1:19">
      <c r="A38" t="s">
        <v>2</v>
      </c>
      <c r="B38" t="s">
        <v>3</v>
      </c>
      <c r="C38" t="s">
        <v>50</v>
      </c>
      <c r="D38">
        <v>45904</v>
      </c>
      <c r="E38">
        <v>1800000489</v>
      </c>
      <c r="F38" t="s">
        <v>47</v>
      </c>
      <c r="G38" s="44">
        <v>45904</v>
      </c>
      <c r="H38" s="44">
        <v>45909</v>
      </c>
      <c r="I38">
        <v>256788410364</v>
      </c>
      <c r="J38" t="s">
        <v>8</v>
      </c>
      <c r="K38" t="s">
        <v>21</v>
      </c>
      <c r="L38">
        <v>75</v>
      </c>
      <c r="M38" t="s">
        <v>11</v>
      </c>
      <c r="N38">
        <v>6563.57</v>
      </c>
      <c r="O38" t="s">
        <v>12</v>
      </c>
      <c r="P38" t="s">
        <v>7</v>
      </c>
      <c r="Q38" t="s">
        <v>91</v>
      </c>
      <c r="R38" t="s">
        <v>92</v>
      </c>
      <c r="S38" t="s">
        <v>334</v>
      </c>
    </row>
    <row r="39" spans="1:19">
      <c r="A39" t="s">
        <v>2</v>
      </c>
      <c r="B39" t="s">
        <v>3</v>
      </c>
      <c r="C39" t="s">
        <v>29</v>
      </c>
      <c r="D39">
        <v>45935</v>
      </c>
      <c r="E39">
        <v>1800000545</v>
      </c>
      <c r="F39" t="s">
        <v>47</v>
      </c>
      <c r="G39" s="44">
        <v>45935</v>
      </c>
      <c r="H39" s="44">
        <v>45937</v>
      </c>
      <c r="I39">
        <v>256788410420</v>
      </c>
      <c r="J39" t="s">
        <v>8</v>
      </c>
      <c r="K39" t="s">
        <v>21</v>
      </c>
      <c r="L39">
        <v>75</v>
      </c>
      <c r="M39" t="s">
        <v>11</v>
      </c>
      <c r="N39">
        <v>6614.31</v>
      </c>
      <c r="O39" t="s">
        <v>12</v>
      </c>
      <c r="P39" t="s">
        <v>7</v>
      </c>
      <c r="Q39" t="s">
        <v>239</v>
      </c>
      <c r="R39" t="s">
        <v>240</v>
      </c>
      <c r="S39" t="s">
        <v>334</v>
      </c>
    </row>
    <row r="40" spans="1:19">
      <c r="A40" t="s">
        <v>2</v>
      </c>
      <c r="B40" t="s">
        <v>3</v>
      </c>
      <c r="C40" t="s">
        <v>29</v>
      </c>
      <c r="D40">
        <v>45936</v>
      </c>
      <c r="E40">
        <v>1800000552</v>
      </c>
      <c r="F40" t="s">
        <v>47</v>
      </c>
      <c r="G40" s="44">
        <v>45936</v>
      </c>
      <c r="H40" s="44">
        <v>45937</v>
      </c>
      <c r="I40">
        <v>256788410427</v>
      </c>
      <c r="J40" t="s">
        <v>8</v>
      </c>
      <c r="K40" t="s">
        <v>21</v>
      </c>
      <c r="L40" s="24">
        <v>11372.78</v>
      </c>
      <c r="M40" t="s">
        <v>11</v>
      </c>
      <c r="N40" s="24">
        <v>1002974.23</v>
      </c>
      <c r="O40" t="s">
        <v>12</v>
      </c>
      <c r="P40" t="s">
        <v>7</v>
      </c>
      <c r="Q40" t="s">
        <v>227</v>
      </c>
      <c r="R40" t="s">
        <v>228</v>
      </c>
      <c r="S40" t="s">
        <v>334</v>
      </c>
    </row>
    <row r="41" spans="1:19">
      <c r="A41" t="s">
        <v>2</v>
      </c>
      <c r="B41" t="s">
        <v>3</v>
      </c>
      <c r="C41" t="s">
        <v>37</v>
      </c>
      <c r="D41">
        <v>45966</v>
      </c>
      <c r="E41">
        <v>1800000576</v>
      </c>
      <c r="F41" t="s">
        <v>47</v>
      </c>
      <c r="G41" s="44">
        <v>45966</v>
      </c>
      <c r="H41" s="44">
        <v>45966</v>
      </c>
      <c r="I41">
        <v>256788410441</v>
      </c>
      <c r="J41" t="s">
        <v>8</v>
      </c>
      <c r="K41" t="s">
        <v>21</v>
      </c>
      <c r="L41">
        <v>75</v>
      </c>
      <c r="M41" t="s">
        <v>11</v>
      </c>
      <c r="N41">
        <v>6600.25</v>
      </c>
      <c r="O41" t="s">
        <v>12</v>
      </c>
      <c r="P41" t="s">
        <v>7</v>
      </c>
      <c r="Q41" t="s">
        <v>101</v>
      </c>
      <c r="R41" t="s">
        <v>102</v>
      </c>
      <c r="S41" t="s">
        <v>334</v>
      </c>
    </row>
    <row r="42" spans="1:19">
      <c r="A42" t="s">
        <v>2</v>
      </c>
      <c r="B42" t="s">
        <v>3</v>
      </c>
      <c r="C42" t="s">
        <v>37</v>
      </c>
      <c r="D42">
        <v>45966</v>
      </c>
      <c r="E42">
        <v>1800000585</v>
      </c>
      <c r="F42" t="s">
        <v>47</v>
      </c>
      <c r="G42" s="44">
        <v>45966</v>
      </c>
      <c r="H42" s="44">
        <v>45967</v>
      </c>
      <c r="I42">
        <v>256788410454</v>
      </c>
      <c r="J42" t="s">
        <v>8</v>
      </c>
      <c r="K42" t="s">
        <v>21</v>
      </c>
      <c r="L42" s="24">
        <v>4547.2</v>
      </c>
      <c r="M42" t="s">
        <v>11</v>
      </c>
      <c r="N42" s="24">
        <v>400169.02</v>
      </c>
      <c r="O42" t="s">
        <v>12</v>
      </c>
      <c r="Q42" t="s">
        <v>107</v>
      </c>
      <c r="R42" t="s">
        <v>108</v>
      </c>
      <c r="S42" t="s">
        <v>334</v>
      </c>
    </row>
    <row r="43" spans="1:19">
      <c r="A43" t="s">
        <v>2</v>
      </c>
      <c r="B43" t="s">
        <v>3</v>
      </c>
      <c r="C43" t="s">
        <v>37</v>
      </c>
      <c r="D43">
        <v>45973</v>
      </c>
      <c r="E43">
        <v>1800000594</v>
      </c>
      <c r="F43" t="s">
        <v>47</v>
      </c>
      <c r="G43" s="44">
        <v>45973</v>
      </c>
      <c r="H43" s="44">
        <v>45973</v>
      </c>
      <c r="I43">
        <v>256788410459</v>
      </c>
      <c r="J43" t="s">
        <v>8</v>
      </c>
      <c r="K43" t="s">
        <v>21</v>
      </c>
      <c r="L43" s="24">
        <v>8006.66</v>
      </c>
      <c r="M43" t="s">
        <v>11</v>
      </c>
      <c r="N43" s="24">
        <v>704613.22</v>
      </c>
      <c r="O43" t="s">
        <v>12</v>
      </c>
      <c r="P43" t="s">
        <v>7</v>
      </c>
      <c r="Q43" t="s">
        <v>145</v>
      </c>
      <c r="R43" t="s">
        <v>108</v>
      </c>
      <c r="S43" t="s">
        <v>334</v>
      </c>
    </row>
    <row r="44" spans="1:19">
      <c r="A44" t="s">
        <v>2</v>
      </c>
      <c r="B44" t="s">
        <v>3</v>
      </c>
      <c r="C44" t="s">
        <v>162</v>
      </c>
      <c r="D44">
        <v>45995</v>
      </c>
      <c r="E44">
        <v>1800000609</v>
      </c>
      <c r="F44" t="s">
        <v>47</v>
      </c>
      <c r="G44" s="44">
        <v>45995</v>
      </c>
      <c r="H44" s="44">
        <v>46000</v>
      </c>
      <c r="I44">
        <v>256788410466</v>
      </c>
      <c r="J44" t="s">
        <v>8</v>
      </c>
      <c r="K44" t="s">
        <v>21</v>
      </c>
      <c r="L44">
        <v>75</v>
      </c>
      <c r="M44" t="s">
        <v>11</v>
      </c>
      <c r="N44">
        <v>6652.51</v>
      </c>
      <c r="O44" t="s">
        <v>12</v>
      </c>
      <c r="P44" t="s">
        <v>7</v>
      </c>
      <c r="Q44" t="s">
        <v>165</v>
      </c>
      <c r="R44" t="s">
        <v>166</v>
      </c>
      <c r="S44" t="s">
        <v>334</v>
      </c>
    </row>
    <row r="45" spans="1:19">
      <c r="A45" t="s">
        <v>2</v>
      </c>
      <c r="B45" t="s">
        <v>3</v>
      </c>
      <c r="C45" t="s">
        <v>162</v>
      </c>
      <c r="D45">
        <v>45995</v>
      </c>
      <c r="E45">
        <v>1800000608</v>
      </c>
      <c r="F45" t="s">
        <v>47</v>
      </c>
      <c r="G45" s="44">
        <v>45995</v>
      </c>
      <c r="H45" s="44">
        <v>46000</v>
      </c>
      <c r="I45">
        <v>256788410465</v>
      </c>
      <c r="J45" t="s">
        <v>8</v>
      </c>
      <c r="K45" t="s">
        <v>21</v>
      </c>
      <c r="L45" s="24">
        <v>3385.09</v>
      </c>
      <c r="M45" t="s">
        <v>11</v>
      </c>
      <c r="N45" s="24">
        <v>300257.96000000002</v>
      </c>
      <c r="O45" t="s">
        <v>12</v>
      </c>
      <c r="P45" t="s">
        <v>7</v>
      </c>
      <c r="Q45" t="s">
        <v>163</v>
      </c>
      <c r="R45" t="s">
        <v>164</v>
      </c>
      <c r="S45" t="s">
        <v>334</v>
      </c>
    </row>
    <row r="46" spans="1:19">
      <c r="A46" t="s">
        <v>2</v>
      </c>
      <c r="B46" t="s">
        <v>245</v>
      </c>
      <c r="C46" t="s">
        <v>13</v>
      </c>
      <c r="D46">
        <v>46034</v>
      </c>
      <c r="E46">
        <v>1800000627</v>
      </c>
      <c r="F46" t="s">
        <v>47</v>
      </c>
      <c r="G46" s="44">
        <v>46034</v>
      </c>
      <c r="H46" s="44">
        <v>46035</v>
      </c>
      <c r="I46">
        <v>256788410507</v>
      </c>
      <c r="J46" t="s">
        <v>8</v>
      </c>
      <c r="K46" t="s">
        <v>21</v>
      </c>
      <c r="L46">
        <v>75</v>
      </c>
      <c r="M46" t="s">
        <v>11</v>
      </c>
      <c r="N46">
        <v>6805.74</v>
      </c>
      <c r="O46" t="s">
        <v>12</v>
      </c>
      <c r="P46" t="s">
        <v>7</v>
      </c>
      <c r="Q46" t="s">
        <v>45</v>
      </c>
      <c r="R46" t="s">
        <v>267</v>
      </c>
      <c r="S46" t="s">
        <v>334</v>
      </c>
    </row>
    <row r="47" spans="1:19">
      <c r="A47" t="s">
        <v>2</v>
      </c>
      <c r="B47" t="s">
        <v>245</v>
      </c>
      <c r="C47" t="s">
        <v>13</v>
      </c>
      <c r="D47">
        <v>46034</v>
      </c>
      <c r="E47">
        <v>1800000626</v>
      </c>
      <c r="F47" t="s">
        <v>47</v>
      </c>
      <c r="G47" s="44">
        <v>46034</v>
      </c>
      <c r="H47" s="44">
        <v>46035</v>
      </c>
      <c r="I47">
        <v>256788410502</v>
      </c>
      <c r="J47" t="s">
        <v>8</v>
      </c>
      <c r="K47" t="s">
        <v>21</v>
      </c>
      <c r="L47" s="24">
        <v>3980.5</v>
      </c>
      <c r="M47" t="s">
        <v>11</v>
      </c>
      <c r="N47" s="24">
        <v>361203.07</v>
      </c>
      <c r="O47" t="s">
        <v>12</v>
      </c>
      <c r="P47" t="s">
        <v>7</v>
      </c>
      <c r="Q47" t="s">
        <v>45</v>
      </c>
      <c r="R47" t="s">
        <v>263</v>
      </c>
      <c r="S47" t="s">
        <v>334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D1EE-392A-4FF5-90C8-2DC09EBB959D}">
  <dimension ref="A1:M38"/>
  <sheetViews>
    <sheetView topLeftCell="H1" zoomScaleNormal="100" workbookViewId="0">
      <selection activeCell="J15" sqref="J15"/>
    </sheetView>
  </sheetViews>
  <sheetFormatPr defaultRowHeight="12.5"/>
  <cols>
    <col min="1" max="1" width="24.08984375" hidden="1" customWidth="1"/>
    <col min="2" max="2" width="34.81640625" hidden="1" customWidth="1"/>
    <col min="3" max="3" width="10.08984375" hidden="1" customWidth="1"/>
    <col min="4" max="4" width="46.26953125" hidden="1" customWidth="1"/>
    <col min="5" max="6" width="11.54296875" hidden="1" customWidth="1"/>
    <col min="7" max="7" width="12.54296875" hidden="1" customWidth="1"/>
    <col min="9" max="9" width="10.08984375" bestFit="1" customWidth="1"/>
    <col min="10" max="10" width="11.54296875" bestFit="1" customWidth="1"/>
    <col min="11" max="11" width="10.08984375" bestFit="1" customWidth="1"/>
    <col min="12" max="12" width="11.54296875" bestFit="1" customWidth="1"/>
    <col min="13" max="13" width="9.6328125" bestFit="1" customWidth="1"/>
  </cols>
  <sheetData>
    <row r="1" spans="1:13">
      <c r="A1" t="s">
        <v>291</v>
      </c>
      <c r="B1" t="s">
        <v>293</v>
      </c>
      <c r="C1" s="23" t="s">
        <v>359</v>
      </c>
      <c r="D1" t="s">
        <v>299</v>
      </c>
      <c r="H1" s="24"/>
      <c r="I1" s="56" t="s">
        <v>360</v>
      </c>
      <c r="J1" s="57"/>
      <c r="K1" s="56" t="s">
        <v>354</v>
      </c>
      <c r="L1" s="57"/>
      <c r="M1" s="51"/>
    </row>
    <row r="2" spans="1:13">
      <c r="A2" s="24">
        <v>3980.4</v>
      </c>
      <c r="B2" s="24">
        <v>343523.09</v>
      </c>
      <c r="C2" s="34">
        <v>45505</v>
      </c>
      <c r="D2" t="s">
        <v>213</v>
      </c>
      <c r="F2" s="34"/>
      <c r="G2" s="35"/>
      <c r="I2" s="51" t="s">
        <v>348</v>
      </c>
      <c r="J2" s="51" t="s">
        <v>11</v>
      </c>
      <c r="K2" s="51" t="s">
        <v>348</v>
      </c>
      <c r="L2" s="51" t="s">
        <v>11</v>
      </c>
      <c r="M2" s="51"/>
    </row>
    <row r="3" spans="1:13">
      <c r="A3" s="24">
        <v>1044.69</v>
      </c>
      <c r="B3" s="24">
        <v>90565.49</v>
      </c>
      <c r="C3" s="34">
        <v>45566</v>
      </c>
      <c r="D3" t="s">
        <v>55</v>
      </c>
      <c r="F3" s="34"/>
      <c r="G3" s="35"/>
      <c r="I3" s="43">
        <v>45505</v>
      </c>
      <c r="J3" s="29">
        <v>345600</v>
      </c>
      <c r="K3" s="43">
        <v>45505</v>
      </c>
      <c r="L3" s="29">
        <v>343523.09</v>
      </c>
      <c r="M3" s="28">
        <f>J3-L3</f>
        <v>2076.9099999999744</v>
      </c>
    </row>
    <row r="4" spans="1:13">
      <c r="A4" s="24">
        <v>129.97999999999999</v>
      </c>
      <c r="B4" s="24">
        <v>11268.13</v>
      </c>
      <c r="C4" s="34">
        <v>45627</v>
      </c>
      <c r="D4" t="s">
        <v>56</v>
      </c>
      <c r="F4" s="34"/>
      <c r="G4" s="35"/>
      <c r="I4" s="43">
        <v>45536</v>
      </c>
      <c r="J4" s="29">
        <v>345600</v>
      </c>
      <c r="K4" s="43">
        <v>45536</v>
      </c>
      <c r="L4" s="29">
        <v>345879.31</v>
      </c>
      <c r="M4" s="28">
        <f t="shared" ref="M4:M19" si="0">J4-L4</f>
        <v>-279.30999999999767</v>
      </c>
    </row>
    <row r="5" spans="1:13">
      <c r="A5" s="24">
        <v>149.72999999999999</v>
      </c>
      <c r="B5" s="24">
        <v>12980.28</v>
      </c>
      <c r="C5" s="34">
        <v>45658</v>
      </c>
      <c r="D5" t="s">
        <v>190</v>
      </c>
      <c r="F5" s="34"/>
      <c r="G5" s="35"/>
      <c r="I5" s="43">
        <v>45566</v>
      </c>
      <c r="J5" s="29">
        <v>254880</v>
      </c>
      <c r="K5" s="43">
        <v>45566</v>
      </c>
      <c r="L5" s="29">
        <v>345728.84</v>
      </c>
      <c r="M5" s="28">
        <f>J5-L5</f>
        <v>-90848.840000000026</v>
      </c>
    </row>
    <row r="6" spans="1:13">
      <c r="A6" s="24">
        <v>66.73</v>
      </c>
      <c r="B6" s="24">
        <v>5784.91</v>
      </c>
      <c r="C6" s="34">
        <v>45658</v>
      </c>
      <c r="D6" t="s">
        <v>189</v>
      </c>
      <c r="F6" s="34"/>
      <c r="G6" s="35"/>
      <c r="I6" s="43">
        <v>45597</v>
      </c>
      <c r="J6" s="29">
        <v>254880</v>
      </c>
      <c r="K6" s="43">
        <v>45597</v>
      </c>
      <c r="L6" s="29">
        <v>255085.99</v>
      </c>
      <c r="M6" s="28">
        <f t="shared" si="0"/>
        <v>-205.98999999999069</v>
      </c>
    </row>
    <row r="7" spans="1:13">
      <c r="A7" s="24">
        <v>2273.6799999999998</v>
      </c>
      <c r="B7" s="24">
        <v>197108.18</v>
      </c>
      <c r="C7" s="34">
        <v>45689</v>
      </c>
      <c r="D7" t="s">
        <v>188</v>
      </c>
      <c r="F7" s="34"/>
      <c r="G7" s="35"/>
      <c r="I7" s="43">
        <v>45627</v>
      </c>
      <c r="J7" s="29">
        <v>241920</v>
      </c>
      <c r="K7" s="43">
        <v>45627</v>
      </c>
      <c r="L7" s="29">
        <v>253456.66</v>
      </c>
      <c r="M7" s="28">
        <f t="shared" si="0"/>
        <v>-11536.660000000003</v>
      </c>
    </row>
    <row r="8" spans="1:13">
      <c r="A8" s="24">
        <v>2293.63</v>
      </c>
      <c r="B8" s="24">
        <v>198837.67</v>
      </c>
      <c r="C8" s="34">
        <v>45658</v>
      </c>
      <c r="D8" t="s">
        <v>187</v>
      </c>
      <c r="F8" s="34"/>
      <c r="G8" s="35"/>
      <c r="I8" s="43">
        <v>45658</v>
      </c>
      <c r="J8" s="29">
        <v>198720</v>
      </c>
      <c r="K8" s="43">
        <v>45658</v>
      </c>
      <c r="L8" s="29">
        <v>217602.86000000002</v>
      </c>
      <c r="M8" s="28">
        <f t="shared" si="0"/>
        <v>-18882.860000000015</v>
      </c>
    </row>
    <row r="9" spans="1:13">
      <c r="A9" s="24">
        <v>3979.2</v>
      </c>
      <c r="B9" s="24">
        <v>345879.31</v>
      </c>
      <c r="C9" s="34">
        <v>45536</v>
      </c>
      <c r="D9" t="s">
        <v>161</v>
      </c>
      <c r="F9" s="34"/>
      <c r="G9" s="35"/>
      <c r="I9" s="43">
        <v>45689</v>
      </c>
      <c r="J9" s="32">
        <v>198720</v>
      </c>
      <c r="K9" s="43">
        <v>45689</v>
      </c>
      <c r="L9" s="29">
        <v>197108.18</v>
      </c>
      <c r="M9" s="28">
        <f>J9-L9</f>
        <v>1611.820000000007</v>
      </c>
    </row>
    <row r="10" spans="1:13">
      <c r="A10" s="24">
        <v>2935.55</v>
      </c>
      <c r="B10" s="24">
        <v>255163.35</v>
      </c>
      <c r="C10" s="34">
        <v>45566</v>
      </c>
      <c r="D10" t="s">
        <v>160</v>
      </c>
      <c r="F10" s="34"/>
      <c r="G10" s="35"/>
      <c r="I10" s="43">
        <v>45717</v>
      </c>
      <c r="J10" s="29">
        <v>198720</v>
      </c>
      <c r="K10" s="43">
        <v>45717</v>
      </c>
      <c r="L10" s="29">
        <v>198513.01</v>
      </c>
      <c r="M10" s="28">
        <f t="shared" si="0"/>
        <v>206.98999999999069</v>
      </c>
    </row>
    <row r="11" spans="1:13">
      <c r="A11" s="24">
        <v>2934.66</v>
      </c>
      <c r="B11" s="24">
        <v>255085.99</v>
      </c>
      <c r="C11" s="34">
        <v>45597</v>
      </c>
      <c r="D11" t="s">
        <v>159</v>
      </c>
      <c r="F11" s="34"/>
      <c r="G11" s="35"/>
      <c r="I11" s="43">
        <v>45748</v>
      </c>
      <c r="J11" s="29">
        <v>198720</v>
      </c>
      <c r="K11" s="43">
        <v>45748</v>
      </c>
      <c r="L11" s="29">
        <v>200901.77</v>
      </c>
      <c r="M11" s="28">
        <f t="shared" si="0"/>
        <v>-2181.7699999999895</v>
      </c>
    </row>
    <row r="12" spans="1:13">
      <c r="A12" s="24">
        <v>2786.28</v>
      </c>
      <c r="B12" s="24">
        <v>242188.53</v>
      </c>
      <c r="C12" s="34">
        <v>45627</v>
      </c>
      <c r="D12" t="s">
        <v>158</v>
      </c>
      <c r="F12" s="34"/>
      <c r="G12" s="35"/>
      <c r="I12" s="43">
        <v>45778</v>
      </c>
      <c r="J12" s="29">
        <v>198720</v>
      </c>
      <c r="K12" s="43">
        <v>45778</v>
      </c>
      <c r="L12" s="29">
        <v>2580.02</v>
      </c>
      <c r="M12" s="28">
        <f t="shared" si="0"/>
        <v>196139.98</v>
      </c>
    </row>
    <row r="13" spans="1:13">
      <c r="A13" s="24">
        <v>2336.5100000000002</v>
      </c>
      <c r="B13" s="24">
        <v>200901.77</v>
      </c>
      <c r="C13" s="34">
        <v>45748</v>
      </c>
      <c r="D13" t="s">
        <v>222</v>
      </c>
      <c r="F13" s="34"/>
      <c r="G13" s="35"/>
      <c r="I13" s="43">
        <v>45809</v>
      </c>
      <c r="J13" s="29">
        <v>198719.94480000003</v>
      </c>
      <c r="K13" s="43">
        <v>45809</v>
      </c>
      <c r="L13" s="29">
        <v>199789.88</v>
      </c>
      <c r="M13" s="28">
        <f t="shared" si="0"/>
        <v>-1069.9351999999781</v>
      </c>
    </row>
    <row r="14" spans="1:13">
      <c r="A14" s="24">
        <v>2322.04</v>
      </c>
      <c r="B14" s="24">
        <v>198513.01</v>
      </c>
      <c r="C14" s="34">
        <v>45717</v>
      </c>
      <c r="D14" t="s">
        <v>148</v>
      </c>
      <c r="F14" s="34"/>
      <c r="G14" s="35"/>
      <c r="I14" s="43">
        <v>45839</v>
      </c>
      <c r="J14" s="29">
        <v>0</v>
      </c>
      <c r="K14" s="43">
        <v>45839</v>
      </c>
      <c r="L14" s="29">
        <v>195270.31</v>
      </c>
      <c r="M14" s="28">
        <f t="shared" si="0"/>
        <v>-195270.31</v>
      </c>
    </row>
    <row r="15" spans="1:13">
      <c r="A15" s="24">
        <v>2323.12</v>
      </c>
      <c r="B15" s="24">
        <v>199789.88</v>
      </c>
      <c r="C15" s="34">
        <v>45809</v>
      </c>
      <c r="D15" t="s">
        <v>95</v>
      </c>
      <c r="F15" s="34"/>
      <c r="G15" s="35"/>
      <c r="I15" s="43">
        <v>45870</v>
      </c>
      <c r="J15" s="29">
        <v>198719.94480000003</v>
      </c>
      <c r="K15" s="43">
        <v>45870</v>
      </c>
      <c r="L15" s="29">
        <v>197960.92</v>
      </c>
      <c r="M15" s="28">
        <f t="shared" si="0"/>
        <v>759.02480000001378</v>
      </c>
    </row>
    <row r="16" spans="1:13">
      <c r="A16" s="24">
        <v>30</v>
      </c>
      <c r="B16" s="24">
        <v>2580.02</v>
      </c>
      <c r="C16" s="34">
        <v>45778</v>
      </c>
      <c r="D16" t="s">
        <v>80</v>
      </c>
      <c r="F16" s="34"/>
      <c r="G16" s="35"/>
      <c r="I16" s="43">
        <v>45901</v>
      </c>
      <c r="J16" s="29">
        <v>99360</v>
      </c>
      <c r="K16" s="43">
        <v>45901</v>
      </c>
      <c r="L16" s="29">
        <v>197198.63</v>
      </c>
      <c r="M16" s="28">
        <f t="shared" si="0"/>
        <v>-97838.63</v>
      </c>
    </row>
    <row r="17" spans="1:13">
      <c r="A17" s="24">
        <v>2269.79</v>
      </c>
      <c r="B17" s="24">
        <v>195270.31</v>
      </c>
      <c r="C17" s="34">
        <v>45839</v>
      </c>
      <c r="D17" t="s">
        <v>118</v>
      </c>
      <c r="F17" s="34"/>
      <c r="G17" s="35"/>
      <c r="I17" s="43">
        <v>45931</v>
      </c>
      <c r="J17" s="29"/>
      <c r="K17" s="31"/>
      <c r="L17" s="31"/>
      <c r="M17" s="28">
        <f t="shared" si="0"/>
        <v>0</v>
      </c>
    </row>
    <row r="18" spans="1:13">
      <c r="A18" s="24">
        <v>2262.04</v>
      </c>
      <c r="B18" s="24">
        <v>197960.92</v>
      </c>
      <c r="C18" s="34">
        <v>45870</v>
      </c>
      <c r="D18" t="s">
        <v>86</v>
      </c>
      <c r="F18" s="34"/>
      <c r="I18" s="43">
        <v>45962</v>
      </c>
      <c r="J18" s="29">
        <v>17892</v>
      </c>
      <c r="K18" s="31"/>
      <c r="L18" s="31"/>
      <c r="M18" s="28">
        <f t="shared" si="0"/>
        <v>17892</v>
      </c>
    </row>
    <row r="19" spans="1:13">
      <c r="A19" s="24">
        <v>1125.6400000000001</v>
      </c>
      <c r="B19" s="24">
        <v>98509.63</v>
      </c>
      <c r="C19" s="34">
        <v>45901</v>
      </c>
      <c r="D19" t="s">
        <v>204</v>
      </c>
      <c r="G19" s="25"/>
      <c r="I19" s="43">
        <v>45992</v>
      </c>
      <c r="J19" s="29"/>
      <c r="K19" s="31"/>
      <c r="L19" s="31"/>
      <c r="M19" s="28">
        <f t="shared" si="0"/>
        <v>0</v>
      </c>
    </row>
    <row r="20" spans="1:13">
      <c r="A20" s="24">
        <v>1119.04</v>
      </c>
      <c r="B20" s="24">
        <v>98689</v>
      </c>
      <c r="C20" s="34">
        <v>45901</v>
      </c>
      <c r="D20" t="s">
        <v>236</v>
      </c>
      <c r="I20" s="31"/>
      <c r="J20" s="31"/>
      <c r="K20" s="31"/>
      <c r="L20" s="31"/>
      <c r="M20" s="31"/>
    </row>
    <row r="21" spans="1:13">
      <c r="B21" s="25"/>
      <c r="G21" s="46"/>
    </row>
    <row r="24" spans="1:13">
      <c r="C24" s="25"/>
    </row>
    <row r="25" spans="1:13">
      <c r="C25" s="25"/>
    </row>
    <row r="26" spans="1:13">
      <c r="C26" s="25"/>
    </row>
    <row r="27" spans="1:13">
      <c r="C27" s="25"/>
    </row>
    <row r="28" spans="1:13">
      <c r="C28" s="25"/>
    </row>
    <row r="29" spans="1:13">
      <c r="C29" s="25"/>
    </row>
    <row r="30" spans="1:13">
      <c r="C30" s="25"/>
    </row>
    <row r="31" spans="1:13">
      <c r="C31" s="25"/>
    </row>
    <row r="32" spans="1:13">
      <c r="C32" s="25"/>
    </row>
    <row r="33" spans="3:3">
      <c r="C33" s="25"/>
    </row>
    <row r="34" spans="3:3">
      <c r="C34" s="25"/>
    </row>
    <row r="35" spans="3:3">
      <c r="C35" s="25"/>
    </row>
    <row r="36" spans="3:3">
      <c r="C36" s="25"/>
    </row>
    <row r="37" spans="3:3">
      <c r="C37" s="25"/>
    </row>
    <row r="38" spans="3:3">
      <c r="C38" s="25"/>
    </row>
  </sheetData>
  <autoFilter ref="A1:D1" xr:uid="{4712D1EE-392A-4FF5-90C8-2DC09EBB959D}"/>
  <mergeCells count="2">
    <mergeCell ref="I1:J1"/>
    <mergeCell ref="K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448E-71F9-4B0C-9264-4BF59127779C}">
  <dimension ref="A1:S22"/>
  <sheetViews>
    <sheetView topLeftCell="F1" workbookViewId="0">
      <selection activeCell="G3" sqref="G3:S22"/>
    </sheetView>
  </sheetViews>
  <sheetFormatPr defaultRowHeight="12.5"/>
  <cols>
    <col min="1" max="1" width="37.08984375" bestFit="1" customWidth="1"/>
    <col min="2" max="2" width="12.54296875" bestFit="1" customWidth="1"/>
    <col min="3" max="3" width="15.7265625" bestFit="1" customWidth="1"/>
    <col min="4" max="4" width="14.08984375" bestFit="1" customWidth="1"/>
    <col min="5" max="5" width="19.26953125" bestFit="1" customWidth="1"/>
    <col min="6" max="6" width="16.7265625" bestFit="1" customWidth="1"/>
    <col min="7" max="7" width="16.36328125" bestFit="1" customWidth="1"/>
    <col min="8" max="8" width="12.1796875" bestFit="1" customWidth="1"/>
    <col min="9" max="9" width="14" customWidth="1"/>
    <col min="10" max="10" width="13.81640625" bestFit="1" customWidth="1"/>
    <col min="11" max="11" width="24.36328125" hidden="1" customWidth="1"/>
    <col min="12" max="12" width="25.81640625" bestFit="1" customWidth="1"/>
    <col min="13" max="13" width="28.81640625" hidden="1" customWidth="1"/>
    <col min="14" max="14" width="30.26953125" bestFit="1" customWidth="1"/>
    <col min="15" max="15" width="14.08984375" hidden="1" customWidth="1"/>
    <col min="16" max="16" width="20.26953125" hidden="1" customWidth="1"/>
    <col min="17" max="17" width="13.1796875" hidden="1" customWidth="1"/>
    <col min="18" max="18" width="46.26953125" bestFit="1" customWidth="1"/>
    <col min="19" max="19" width="14.1796875" bestFit="1" customWidth="1"/>
  </cols>
  <sheetData>
    <row r="1" spans="1:19" ht="13">
      <c r="A1" s="33" t="s">
        <v>358</v>
      </c>
    </row>
    <row r="3" spans="1:19">
      <c r="A3" t="s">
        <v>277</v>
      </c>
      <c r="B3" t="s">
        <v>278</v>
      </c>
      <c r="C3" t="s">
        <v>279</v>
      </c>
      <c r="D3" t="s">
        <v>280</v>
      </c>
      <c r="E3" t="s">
        <v>281</v>
      </c>
      <c r="F3" t="s">
        <v>282</v>
      </c>
      <c r="G3" s="23" t="s">
        <v>283</v>
      </c>
      <c r="H3" t="s">
        <v>284</v>
      </c>
      <c r="I3" t="s">
        <v>306</v>
      </c>
      <c r="J3" t="s">
        <v>286</v>
      </c>
      <c r="K3" t="s">
        <v>290</v>
      </c>
      <c r="L3" t="s">
        <v>291</v>
      </c>
      <c r="M3" t="s">
        <v>292</v>
      </c>
      <c r="N3" t="s">
        <v>293</v>
      </c>
      <c r="O3" t="s">
        <v>295</v>
      </c>
      <c r="P3" t="s">
        <v>296</v>
      </c>
      <c r="Q3" t="s">
        <v>297</v>
      </c>
      <c r="R3" t="s">
        <v>299</v>
      </c>
      <c r="S3" t="s">
        <v>333</v>
      </c>
    </row>
    <row r="4" spans="1:19">
      <c r="A4" t="s">
        <v>2</v>
      </c>
      <c r="B4" t="s">
        <v>3</v>
      </c>
      <c r="C4" t="s">
        <v>29</v>
      </c>
      <c r="D4">
        <v>45935</v>
      </c>
      <c r="E4">
        <v>1800000539</v>
      </c>
      <c r="F4" t="s">
        <v>47</v>
      </c>
      <c r="G4">
        <v>45935</v>
      </c>
      <c r="H4">
        <v>45937</v>
      </c>
      <c r="I4">
        <v>256788410414</v>
      </c>
      <c r="J4" t="s">
        <v>8</v>
      </c>
      <c r="K4" t="s">
        <v>21</v>
      </c>
      <c r="L4">
        <v>1119.04</v>
      </c>
      <c r="M4" t="s">
        <v>11</v>
      </c>
      <c r="N4">
        <v>98689</v>
      </c>
      <c r="O4" t="s">
        <v>12</v>
      </c>
      <c r="P4" t="s">
        <v>7</v>
      </c>
      <c r="Q4" t="s">
        <v>235</v>
      </c>
      <c r="R4" t="s">
        <v>236</v>
      </c>
      <c r="S4" t="s">
        <v>337</v>
      </c>
    </row>
    <row r="5" spans="1:19">
      <c r="A5" t="s">
        <v>2</v>
      </c>
      <c r="B5" t="s">
        <v>3</v>
      </c>
      <c r="C5" t="s">
        <v>67</v>
      </c>
      <c r="D5">
        <v>45787</v>
      </c>
      <c r="E5">
        <v>1800000340</v>
      </c>
      <c r="F5" t="s">
        <v>47</v>
      </c>
      <c r="G5">
        <v>45787</v>
      </c>
      <c r="H5">
        <v>45800</v>
      </c>
      <c r="I5">
        <v>256788410215</v>
      </c>
      <c r="J5" t="s">
        <v>8</v>
      </c>
      <c r="K5" t="s">
        <v>21</v>
      </c>
      <c r="L5">
        <v>2336.5100000000002</v>
      </c>
      <c r="M5" t="s">
        <v>11</v>
      </c>
      <c r="N5">
        <v>200901.77</v>
      </c>
      <c r="O5" t="s">
        <v>12</v>
      </c>
      <c r="P5" t="s">
        <v>7</v>
      </c>
      <c r="Q5" t="s">
        <v>45</v>
      </c>
      <c r="R5" t="s">
        <v>222</v>
      </c>
      <c r="S5" t="s">
        <v>337</v>
      </c>
    </row>
    <row r="6" spans="1:19">
      <c r="A6" t="s">
        <v>2</v>
      </c>
      <c r="B6" t="s">
        <v>3</v>
      </c>
      <c r="C6" t="s">
        <v>16</v>
      </c>
      <c r="D6">
        <v>45709</v>
      </c>
      <c r="E6">
        <v>1800000041</v>
      </c>
      <c r="F6" t="s">
        <v>47</v>
      </c>
      <c r="G6">
        <v>45709</v>
      </c>
      <c r="H6">
        <v>45713</v>
      </c>
      <c r="I6">
        <v>246788410024</v>
      </c>
      <c r="J6" t="s">
        <v>8</v>
      </c>
      <c r="K6" t="s">
        <v>21</v>
      </c>
      <c r="L6">
        <v>3980.4</v>
      </c>
      <c r="M6" t="s">
        <v>11</v>
      </c>
      <c r="N6">
        <v>343523.09</v>
      </c>
      <c r="O6" t="s">
        <v>12</v>
      </c>
      <c r="P6" t="s">
        <v>7</v>
      </c>
      <c r="Q6" t="s">
        <v>45</v>
      </c>
      <c r="R6" t="s">
        <v>213</v>
      </c>
      <c r="S6" t="s">
        <v>337</v>
      </c>
    </row>
    <row r="7" spans="1:19">
      <c r="A7" t="s">
        <v>2</v>
      </c>
      <c r="B7" t="s">
        <v>3</v>
      </c>
      <c r="C7" t="s">
        <v>50</v>
      </c>
      <c r="D7">
        <v>45918</v>
      </c>
      <c r="E7">
        <v>1800000501</v>
      </c>
      <c r="F7" t="s">
        <v>47</v>
      </c>
      <c r="G7">
        <v>45918</v>
      </c>
      <c r="H7">
        <v>45922</v>
      </c>
      <c r="I7">
        <v>256788410376</v>
      </c>
      <c r="J7" t="s">
        <v>8</v>
      </c>
      <c r="K7" t="s">
        <v>21</v>
      </c>
      <c r="L7">
        <v>1125.6400000000001</v>
      </c>
      <c r="M7" t="s">
        <v>11</v>
      </c>
      <c r="N7">
        <v>98509.63</v>
      </c>
      <c r="O7" t="s">
        <v>12</v>
      </c>
      <c r="P7" t="s">
        <v>7</v>
      </c>
      <c r="Q7" t="s">
        <v>203</v>
      </c>
      <c r="R7" t="s">
        <v>204</v>
      </c>
      <c r="S7" t="s">
        <v>337</v>
      </c>
    </row>
    <row r="8" spans="1:19">
      <c r="A8" t="s">
        <v>2</v>
      </c>
      <c r="B8" t="s">
        <v>3</v>
      </c>
      <c r="C8" t="s">
        <v>38</v>
      </c>
      <c r="D8">
        <v>45735</v>
      </c>
      <c r="E8">
        <v>1800000124</v>
      </c>
      <c r="F8" t="s">
        <v>47</v>
      </c>
      <c r="G8">
        <v>45735</v>
      </c>
      <c r="H8">
        <v>45735</v>
      </c>
      <c r="I8">
        <v>246788410118</v>
      </c>
      <c r="J8" t="s">
        <v>8</v>
      </c>
      <c r="K8" t="s">
        <v>21</v>
      </c>
      <c r="L8">
        <v>149.72999999999999</v>
      </c>
      <c r="M8" t="s">
        <v>11</v>
      </c>
      <c r="N8">
        <v>12980.28</v>
      </c>
      <c r="O8" t="s">
        <v>12</v>
      </c>
      <c r="P8" t="s">
        <v>7</v>
      </c>
      <c r="Q8" t="s">
        <v>45</v>
      </c>
      <c r="R8" t="s">
        <v>190</v>
      </c>
      <c r="S8" t="s">
        <v>337</v>
      </c>
    </row>
    <row r="9" spans="1:19">
      <c r="A9" t="s">
        <v>2</v>
      </c>
      <c r="B9" t="s">
        <v>3</v>
      </c>
      <c r="C9" t="s">
        <v>38</v>
      </c>
      <c r="D9">
        <v>45719</v>
      </c>
      <c r="E9">
        <v>1800000045</v>
      </c>
      <c r="F9" t="s">
        <v>47</v>
      </c>
      <c r="G9">
        <v>45719</v>
      </c>
      <c r="H9">
        <v>45719</v>
      </c>
      <c r="I9">
        <v>246788410039</v>
      </c>
      <c r="J9" t="s">
        <v>8</v>
      </c>
      <c r="K9" t="s">
        <v>21</v>
      </c>
      <c r="L9">
        <v>1044.69</v>
      </c>
      <c r="M9" t="s">
        <v>11</v>
      </c>
      <c r="N9">
        <v>90565.49</v>
      </c>
      <c r="O9" t="s">
        <v>12</v>
      </c>
      <c r="P9" t="s">
        <v>7</v>
      </c>
      <c r="Q9" t="s">
        <v>45</v>
      </c>
      <c r="R9" t="s">
        <v>55</v>
      </c>
      <c r="S9" t="s">
        <v>337</v>
      </c>
    </row>
    <row r="10" spans="1:19">
      <c r="A10" t="s">
        <v>2</v>
      </c>
      <c r="B10" t="s">
        <v>3</v>
      </c>
      <c r="C10" t="s">
        <v>38</v>
      </c>
      <c r="D10">
        <v>45719</v>
      </c>
      <c r="E10">
        <v>1800000046</v>
      </c>
      <c r="F10" t="s">
        <v>47</v>
      </c>
      <c r="G10">
        <v>45719</v>
      </c>
      <c r="H10">
        <v>45719</v>
      </c>
      <c r="I10">
        <v>246788410040</v>
      </c>
      <c r="J10" t="s">
        <v>8</v>
      </c>
      <c r="K10" t="s">
        <v>21</v>
      </c>
      <c r="L10">
        <v>129.97999999999999</v>
      </c>
      <c r="M10" t="s">
        <v>11</v>
      </c>
      <c r="N10">
        <v>11268.13</v>
      </c>
      <c r="O10" t="s">
        <v>12</v>
      </c>
      <c r="P10" t="s">
        <v>7</v>
      </c>
      <c r="Q10" t="s">
        <v>45</v>
      </c>
      <c r="R10" t="s">
        <v>56</v>
      </c>
      <c r="S10" t="s">
        <v>337</v>
      </c>
    </row>
    <row r="11" spans="1:19">
      <c r="A11" t="s">
        <v>2</v>
      </c>
      <c r="B11" t="s">
        <v>3</v>
      </c>
      <c r="C11" t="s">
        <v>38</v>
      </c>
      <c r="D11">
        <v>45735</v>
      </c>
      <c r="E11">
        <v>1800000123</v>
      </c>
      <c r="F11" t="s">
        <v>47</v>
      </c>
      <c r="G11">
        <v>45735</v>
      </c>
      <c r="H11">
        <v>45735</v>
      </c>
      <c r="I11">
        <v>246788410117</v>
      </c>
      <c r="J11" t="s">
        <v>8</v>
      </c>
      <c r="K11" t="s">
        <v>21</v>
      </c>
      <c r="L11">
        <v>66.73</v>
      </c>
      <c r="M11" t="s">
        <v>11</v>
      </c>
      <c r="N11">
        <v>5784.91</v>
      </c>
      <c r="O11" t="s">
        <v>12</v>
      </c>
      <c r="P11" t="s">
        <v>7</v>
      </c>
      <c r="Q11" t="s">
        <v>45</v>
      </c>
      <c r="R11" t="s">
        <v>189</v>
      </c>
      <c r="S11" t="s">
        <v>337</v>
      </c>
    </row>
    <row r="12" spans="1:19">
      <c r="A12" t="s">
        <v>2</v>
      </c>
      <c r="B12" t="s">
        <v>3</v>
      </c>
      <c r="C12" t="s">
        <v>38</v>
      </c>
      <c r="D12">
        <v>45735</v>
      </c>
      <c r="E12">
        <v>1800000122</v>
      </c>
      <c r="F12" t="s">
        <v>47</v>
      </c>
      <c r="G12">
        <v>45735</v>
      </c>
      <c r="H12">
        <v>45735</v>
      </c>
      <c r="I12">
        <v>246788410116</v>
      </c>
      <c r="J12" t="s">
        <v>8</v>
      </c>
      <c r="K12" t="s">
        <v>21</v>
      </c>
      <c r="L12">
        <v>2273.6799999999998</v>
      </c>
      <c r="M12" t="s">
        <v>11</v>
      </c>
      <c r="N12">
        <v>197108.18</v>
      </c>
      <c r="O12" t="s">
        <v>12</v>
      </c>
      <c r="P12" t="s">
        <v>7</v>
      </c>
      <c r="Q12" t="s">
        <v>45</v>
      </c>
      <c r="R12" t="s">
        <v>188</v>
      </c>
      <c r="S12" t="s">
        <v>337</v>
      </c>
    </row>
    <row r="13" spans="1:19">
      <c r="A13" t="s">
        <v>2</v>
      </c>
      <c r="B13" t="s">
        <v>3</v>
      </c>
      <c r="C13" t="s">
        <v>38</v>
      </c>
      <c r="D13">
        <v>45735</v>
      </c>
      <c r="E13">
        <v>1800000121</v>
      </c>
      <c r="F13" t="s">
        <v>47</v>
      </c>
      <c r="G13">
        <v>45735</v>
      </c>
      <c r="H13">
        <v>45735</v>
      </c>
      <c r="I13">
        <v>246788410115</v>
      </c>
      <c r="J13" t="s">
        <v>8</v>
      </c>
      <c r="K13" t="s">
        <v>21</v>
      </c>
      <c r="L13">
        <v>2293.63</v>
      </c>
      <c r="M13" t="s">
        <v>11</v>
      </c>
      <c r="N13">
        <v>198837.67</v>
      </c>
      <c r="O13" t="s">
        <v>12</v>
      </c>
      <c r="P13" t="s">
        <v>7</v>
      </c>
      <c r="Q13" t="s">
        <v>45</v>
      </c>
      <c r="R13" t="s">
        <v>187</v>
      </c>
      <c r="S13" t="s">
        <v>337</v>
      </c>
    </row>
    <row r="14" spans="1:19">
      <c r="A14" t="s">
        <v>2</v>
      </c>
      <c r="B14" t="s">
        <v>3</v>
      </c>
      <c r="C14" t="s">
        <v>4</v>
      </c>
      <c r="D14">
        <v>45749</v>
      </c>
      <c r="E14">
        <v>1800000141</v>
      </c>
      <c r="F14" t="s">
        <v>47</v>
      </c>
      <c r="G14">
        <v>45749</v>
      </c>
      <c r="H14">
        <v>45752</v>
      </c>
      <c r="I14">
        <v>256788410016</v>
      </c>
      <c r="J14" t="s">
        <v>8</v>
      </c>
      <c r="K14" t="s">
        <v>21</v>
      </c>
      <c r="L14">
        <v>3979.2</v>
      </c>
      <c r="M14" t="s">
        <v>11</v>
      </c>
      <c r="N14">
        <v>345879.31</v>
      </c>
      <c r="O14" t="s">
        <v>7</v>
      </c>
      <c r="P14" t="s">
        <v>7</v>
      </c>
      <c r="Q14" t="s">
        <v>45</v>
      </c>
      <c r="R14" t="s">
        <v>161</v>
      </c>
      <c r="S14" t="s">
        <v>337</v>
      </c>
    </row>
    <row r="15" spans="1:19">
      <c r="A15" t="s">
        <v>2</v>
      </c>
      <c r="B15" t="s">
        <v>3</v>
      </c>
      <c r="C15" t="s">
        <v>4</v>
      </c>
      <c r="D15">
        <v>45749</v>
      </c>
      <c r="E15">
        <v>1800000138</v>
      </c>
      <c r="F15" t="s">
        <v>47</v>
      </c>
      <c r="G15">
        <v>45749</v>
      </c>
      <c r="H15">
        <v>45752</v>
      </c>
      <c r="I15">
        <v>256788410013</v>
      </c>
      <c r="J15" t="s">
        <v>8</v>
      </c>
      <c r="K15" t="s">
        <v>21</v>
      </c>
      <c r="L15">
        <v>2935.55</v>
      </c>
      <c r="M15" t="s">
        <v>11</v>
      </c>
      <c r="N15">
        <v>255163.35</v>
      </c>
      <c r="O15" t="s">
        <v>7</v>
      </c>
      <c r="P15" t="s">
        <v>7</v>
      </c>
      <c r="Q15" t="s">
        <v>45</v>
      </c>
      <c r="R15" t="s">
        <v>160</v>
      </c>
      <c r="S15" t="s">
        <v>337</v>
      </c>
    </row>
    <row r="16" spans="1:19">
      <c r="A16" t="s">
        <v>2</v>
      </c>
      <c r="B16" t="s">
        <v>3</v>
      </c>
      <c r="C16" t="s">
        <v>4</v>
      </c>
      <c r="D16">
        <v>45749</v>
      </c>
      <c r="E16">
        <v>1800000134</v>
      </c>
      <c r="F16" t="s">
        <v>47</v>
      </c>
      <c r="G16">
        <v>45749</v>
      </c>
      <c r="H16">
        <v>45752</v>
      </c>
      <c r="I16">
        <v>256788410009</v>
      </c>
      <c r="J16" t="s">
        <v>8</v>
      </c>
      <c r="K16" t="s">
        <v>21</v>
      </c>
      <c r="L16">
        <v>2934.66</v>
      </c>
      <c r="M16" t="s">
        <v>11</v>
      </c>
      <c r="N16">
        <v>255085.99</v>
      </c>
      <c r="O16" t="s">
        <v>7</v>
      </c>
      <c r="P16" t="s">
        <v>7</v>
      </c>
      <c r="Q16" t="s">
        <v>45</v>
      </c>
      <c r="R16" t="s">
        <v>159</v>
      </c>
      <c r="S16" t="s">
        <v>337</v>
      </c>
    </row>
    <row r="17" spans="1:19">
      <c r="A17" t="s">
        <v>2</v>
      </c>
      <c r="B17" t="s">
        <v>3</v>
      </c>
      <c r="C17" t="s">
        <v>4</v>
      </c>
      <c r="D17">
        <v>45749</v>
      </c>
      <c r="E17">
        <v>1800000129</v>
      </c>
      <c r="F17" t="s">
        <v>47</v>
      </c>
      <c r="G17">
        <v>45749</v>
      </c>
      <c r="H17">
        <v>45752</v>
      </c>
      <c r="I17">
        <v>256788410004</v>
      </c>
      <c r="J17" t="s">
        <v>8</v>
      </c>
      <c r="K17" t="s">
        <v>21</v>
      </c>
      <c r="L17">
        <v>2786.28</v>
      </c>
      <c r="M17" t="s">
        <v>11</v>
      </c>
      <c r="N17">
        <v>242188.53</v>
      </c>
      <c r="O17" t="s">
        <v>7</v>
      </c>
      <c r="P17" t="s">
        <v>7</v>
      </c>
      <c r="Q17" t="s">
        <v>45</v>
      </c>
      <c r="R17" t="s">
        <v>158</v>
      </c>
      <c r="S17" t="s">
        <v>337</v>
      </c>
    </row>
    <row r="18" spans="1:19">
      <c r="A18" t="s">
        <v>2</v>
      </c>
      <c r="B18" t="s">
        <v>3</v>
      </c>
      <c r="C18" t="s">
        <v>61</v>
      </c>
      <c r="D18">
        <v>45821</v>
      </c>
      <c r="E18">
        <v>1800009582</v>
      </c>
      <c r="F18" t="s">
        <v>47</v>
      </c>
      <c r="G18">
        <v>45821</v>
      </c>
      <c r="H18">
        <v>45825</v>
      </c>
      <c r="I18">
        <v>256779414346</v>
      </c>
      <c r="J18" t="s">
        <v>8</v>
      </c>
      <c r="K18" t="s">
        <v>21</v>
      </c>
      <c r="L18">
        <v>2322.04</v>
      </c>
      <c r="M18" t="s">
        <v>11</v>
      </c>
      <c r="N18">
        <v>198513.01</v>
      </c>
      <c r="O18" t="s">
        <v>76</v>
      </c>
      <c r="P18" t="s">
        <v>7</v>
      </c>
      <c r="Q18" t="s">
        <v>45</v>
      </c>
      <c r="R18" t="s">
        <v>148</v>
      </c>
      <c r="S18" t="s">
        <v>337</v>
      </c>
    </row>
    <row r="19" spans="1:19">
      <c r="A19" t="s">
        <v>2</v>
      </c>
      <c r="B19" t="s">
        <v>3</v>
      </c>
      <c r="C19" t="s">
        <v>24</v>
      </c>
      <c r="D19">
        <v>45877</v>
      </c>
      <c r="E19">
        <v>1800000461</v>
      </c>
      <c r="F19" t="s">
        <v>47</v>
      </c>
      <c r="G19">
        <v>45877</v>
      </c>
      <c r="H19">
        <v>45877</v>
      </c>
      <c r="I19">
        <v>256788410342</v>
      </c>
      <c r="J19" t="s">
        <v>8</v>
      </c>
      <c r="K19" t="s">
        <v>21</v>
      </c>
      <c r="L19">
        <v>2269.79</v>
      </c>
      <c r="M19" t="s">
        <v>11</v>
      </c>
      <c r="N19">
        <v>195270.31</v>
      </c>
      <c r="O19" t="s">
        <v>12</v>
      </c>
      <c r="P19" t="s">
        <v>7</v>
      </c>
      <c r="Q19" t="s">
        <v>45</v>
      </c>
      <c r="R19" t="s">
        <v>118</v>
      </c>
      <c r="S19" t="s">
        <v>337</v>
      </c>
    </row>
    <row r="20" spans="1:19">
      <c r="A20" t="s">
        <v>2</v>
      </c>
      <c r="B20" t="s">
        <v>3</v>
      </c>
      <c r="C20" t="s">
        <v>79</v>
      </c>
      <c r="D20">
        <v>45842</v>
      </c>
      <c r="E20">
        <v>1800000360</v>
      </c>
      <c r="F20" t="s">
        <v>47</v>
      </c>
      <c r="G20">
        <v>45842</v>
      </c>
      <c r="H20">
        <v>45847</v>
      </c>
      <c r="I20">
        <v>256788410235</v>
      </c>
      <c r="J20" t="s">
        <v>8</v>
      </c>
      <c r="K20" t="s">
        <v>21</v>
      </c>
      <c r="L20">
        <v>2323.12</v>
      </c>
      <c r="M20" t="s">
        <v>11</v>
      </c>
      <c r="N20">
        <v>199789.88</v>
      </c>
      <c r="O20" t="s">
        <v>12</v>
      </c>
      <c r="P20" t="s">
        <v>7</v>
      </c>
      <c r="Q20" t="s">
        <v>45</v>
      </c>
      <c r="R20" t="s">
        <v>95</v>
      </c>
      <c r="S20" t="s">
        <v>337</v>
      </c>
    </row>
    <row r="21" spans="1:19">
      <c r="A21" t="s">
        <v>2</v>
      </c>
      <c r="B21" t="s">
        <v>3</v>
      </c>
      <c r="C21" t="s">
        <v>50</v>
      </c>
      <c r="D21">
        <v>45904</v>
      </c>
      <c r="E21">
        <v>1800000483</v>
      </c>
      <c r="F21" t="s">
        <v>47</v>
      </c>
      <c r="G21">
        <v>45904</v>
      </c>
      <c r="H21">
        <v>45909</v>
      </c>
      <c r="I21">
        <v>256788410358</v>
      </c>
      <c r="J21" t="s">
        <v>8</v>
      </c>
      <c r="K21" t="s">
        <v>21</v>
      </c>
      <c r="L21">
        <v>2262.04</v>
      </c>
      <c r="M21" t="s">
        <v>11</v>
      </c>
      <c r="N21">
        <v>197960.92</v>
      </c>
      <c r="O21" t="s">
        <v>12</v>
      </c>
      <c r="P21" t="s">
        <v>7</v>
      </c>
      <c r="Q21" t="s">
        <v>45</v>
      </c>
      <c r="R21" t="s">
        <v>86</v>
      </c>
      <c r="S21" t="s">
        <v>337</v>
      </c>
    </row>
    <row r="22" spans="1:19">
      <c r="A22" t="s">
        <v>2</v>
      </c>
      <c r="B22" t="s">
        <v>3</v>
      </c>
      <c r="C22" t="s">
        <v>79</v>
      </c>
      <c r="D22">
        <v>45847</v>
      </c>
      <c r="E22">
        <v>1800000368</v>
      </c>
      <c r="F22" t="s">
        <v>47</v>
      </c>
      <c r="G22">
        <v>45847</v>
      </c>
      <c r="H22">
        <v>45847</v>
      </c>
      <c r="I22">
        <v>256788410243</v>
      </c>
      <c r="J22" t="s">
        <v>8</v>
      </c>
      <c r="K22" t="s">
        <v>21</v>
      </c>
      <c r="L22">
        <v>30</v>
      </c>
      <c r="M22" t="s">
        <v>11</v>
      </c>
      <c r="N22">
        <v>2580.02</v>
      </c>
      <c r="O22" t="s">
        <v>12</v>
      </c>
      <c r="P22" t="s">
        <v>7</v>
      </c>
      <c r="Q22" t="s">
        <v>45</v>
      </c>
      <c r="R22" t="s">
        <v>80</v>
      </c>
      <c r="S22" t="s">
        <v>337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9075-C3EC-494D-935A-6D31C4F518C9}">
  <dimension ref="A3:G17"/>
  <sheetViews>
    <sheetView workbookViewId="0">
      <selection activeCell="C26" sqref="C26"/>
    </sheetView>
  </sheetViews>
  <sheetFormatPr defaultRowHeight="12.5"/>
  <cols>
    <col min="1" max="1" width="14.1796875" bestFit="1" customWidth="1"/>
    <col min="2" max="2" width="34.81640625" bestFit="1" customWidth="1"/>
    <col min="4" max="4" width="14.1796875" bestFit="1" customWidth="1"/>
    <col min="5" max="5" width="11.54296875" bestFit="1" customWidth="1"/>
    <col min="6" max="6" width="14.1796875" bestFit="1" customWidth="1"/>
    <col min="7" max="7" width="10" bestFit="1" customWidth="1"/>
  </cols>
  <sheetData>
    <row r="3" spans="1:7">
      <c r="A3" s="19" t="s">
        <v>316</v>
      </c>
      <c r="B3" t="s">
        <v>307</v>
      </c>
      <c r="D3" s="31" t="s">
        <v>316</v>
      </c>
      <c r="E3" s="31" t="s">
        <v>307</v>
      </c>
      <c r="F3" t="s">
        <v>353</v>
      </c>
      <c r="G3" s="23" t="s">
        <v>357</v>
      </c>
    </row>
    <row r="4" spans="1:7">
      <c r="A4" s="13" t="s">
        <v>336</v>
      </c>
      <c r="B4">
        <v>547.87</v>
      </c>
      <c r="D4" s="31" t="s">
        <v>336</v>
      </c>
      <c r="E4" s="29">
        <v>547.87</v>
      </c>
      <c r="F4">
        <v>548</v>
      </c>
      <c r="G4" s="25">
        <f>E4-F4</f>
        <v>-0.12999999999999545</v>
      </c>
    </row>
    <row r="5" spans="1:7">
      <c r="A5" s="13" t="s">
        <v>337</v>
      </c>
      <c r="B5">
        <v>3150599.47</v>
      </c>
      <c r="D5" s="31" t="s">
        <v>337</v>
      </c>
      <c r="E5" s="32">
        <v>3150599.47</v>
      </c>
      <c r="F5" s="46">
        <f>'[1]Mis Reco'!$P$21+'[1]Mis Reco'!$V$21</f>
        <v>25258</v>
      </c>
      <c r="G5" s="48">
        <f t="shared" ref="G5:G17" si="0">E5-F5</f>
        <v>3125341.47</v>
      </c>
    </row>
    <row r="6" spans="1:7">
      <c r="A6" s="13" t="s">
        <v>345</v>
      </c>
      <c r="B6">
        <v>8926.6</v>
      </c>
      <c r="D6" s="31" t="s">
        <v>345</v>
      </c>
      <c r="E6" s="29">
        <v>8926.6</v>
      </c>
      <c r="F6">
        <v>8927</v>
      </c>
      <c r="G6" s="25">
        <f t="shared" si="0"/>
        <v>-0.3999999999996362</v>
      </c>
    </row>
    <row r="7" spans="1:7">
      <c r="A7" s="13" t="s">
        <v>338</v>
      </c>
      <c r="B7">
        <v>513322.05999999994</v>
      </c>
      <c r="D7" s="31" t="s">
        <v>338</v>
      </c>
      <c r="E7" s="32"/>
      <c r="G7" s="25">
        <f t="shared" si="0"/>
        <v>0</v>
      </c>
    </row>
    <row r="8" spans="1:7">
      <c r="A8" s="13" t="s">
        <v>340</v>
      </c>
      <c r="B8">
        <v>94057.389999999985</v>
      </c>
      <c r="D8" s="31" t="s">
        <v>340</v>
      </c>
      <c r="E8" s="29">
        <v>94057.389999999985</v>
      </c>
      <c r="G8" s="25">
        <f t="shared" si="0"/>
        <v>94057.389999999985</v>
      </c>
    </row>
    <row r="9" spans="1:7">
      <c r="A9" s="13" t="s">
        <v>341</v>
      </c>
      <c r="B9">
        <v>34568.720000000001</v>
      </c>
      <c r="D9" s="31" t="s">
        <v>341</v>
      </c>
      <c r="E9" s="32">
        <v>34568.720000000001</v>
      </c>
      <c r="F9">
        <v>26000</v>
      </c>
      <c r="G9" s="25">
        <f t="shared" si="0"/>
        <v>8568.7200000000012</v>
      </c>
    </row>
    <row r="10" spans="1:7">
      <c r="A10" s="13" t="s">
        <v>346</v>
      </c>
      <c r="B10">
        <v>1986.06</v>
      </c>
      <c r="D10" s="31" t="s">
        <v>346</v>
      </c>
      <c r="E10" s="29">
        <v>1986.06</v>
      </c>
      <c r="F10">
        <v>1986</v>
      </c>
      <c r="G10" s="25">
        <f t="shared" si="0"/>
        <v>5.999999999994543E-2</v>
      </c>
    </row>
    <row r="11" spans="1:7">
      <c r="A11" s="13" t="s">
        <v>343</v>
      </c>
      <c r="B11">
        <v>18345.980000000003</v>
      </c>
      <c r="D11" s="31" t="s">
        <v>343</v>
      </c>
      <c r="E11" s="29">
        <v>18345.980000000003</v>
      </c>
      <c r="F11">
        <v>18346</v>
      </c>
      <c r="G11" s="25">
        <f t="shared" si="0"/>
        <v>-1.9999999996798579E-2</v>
      </c>
    </row>
    <row r="12" spans="1:7">
      <c r="A12" s="13" t="s">
        <v>344</v>
      </c>
      <c r="B12">
        <v>116934.41</v>
      </c>
      <c r="D12" s="31" t="s">
        <v>344</v>
      </c>
      <c r="E12" s="29">
        <v>116934.41</v>
      </c>
      <c r="F12" s="46">
        <f>'[1]Mis Reco'!$S$21</f>
        <v>0</v>
      </c>
      <c r="G12" s="50">
        <f t="shared" si="0"/>
        <v>116934.41</v>
      </c>
    </row>
    <row r="13" spans="1:7">
      <c r="A13" s="13" t="s">
        <v>334</v>
      </c>
      <c r="B13">
        <v>11500947.559999997</v>
      </c>
      <c r="D13" s="31" t="s">
        <v>334</v>
      </c>
      <c r="E13" s="47">
        <v>11500947.559999997</v>
      </c>
      <c r="F13" s="46">
        <f>'[1]Mis Reco'!$C$21</f>
        <v>10969385.998570982</v>
      </c>
      <c r="G13" s="49">
        <f t="shared" si="0"/>
        <v>531561.56142901443</v>
      </c>
    </row>
    <row r="14" spans="1:7">
      <c r="A14" s="13" t="s">
        <v>335</v>
      </c>
      <c r="B14">
        <v>670997.36</v>
      </c>
      <c r="D14" s="31" t="s">
        <v>356</v>
      </c>
      <c r="E14" s="47">
        <f>670997.36+513322.06</f>
        <v>1184319.42</v>
      </c>
      <c r="F14">
        <f>'[1]Mis Reco'!$I$21</f>
        <v>828114.26799999992</v>
      </c>
      <c r="G14" s="25">
        <f t="shared" si="0"/>
        <v>356205.152</v>
      </c>
    </row>
    <row r="15" spans="1:7">
      <c r="A15" s="13" t="s">
        <v>339</v>
      </c>
      <c r="B15">
        <v>348720.02</v>
      </c>
      <c r="D15" s="31" t="s">
        <v>339</v>
      </c>
      <c r="E15" s="32">
        <v>348720.02</v>
      </c>
      <c r="F15" s="46">
        <f>'[1]Mis Reco'!$L$21</f>
        <v>327302</v>
      </c>
      <c r="G15" s="48">
        <f t="shared" si="0"/>
        <v>21418.020000000019</v>
      </c>
    </row>
    <row r="16" spans="1:7">
      <c r="A16" s="13" t="s">
        <v>342</v>
      </c>
      <c r="B16">
        <v>8730.5</v>
      </c>
      <c r="D16" s="31" t="s">
        <v>342</v>
      </c>
      <c r="E16" s="29">
        <v>8730.5</v>
      </c>
      <c r="F16">
        <v>8731</v>
      </c>
      <c r="G16" s="25">
        <f t="shared" si="0"/>
        <v>-0.5</v>
      </c>
    </row>
    <row r="17" spans="1:7">
      <c r="A17" s="13" t="s">
        <v>317</v>
      </c>
      <c r="B17">
        <v>16468683.999999996</v>
      </c>
      <c r="D17" s="31" t="s">
        <v>317</v>
      </c>
      <c r="E17" s="29">
        <v>16468683.999999996</v>
      </c>
      <c r="F17">
        <f>SUM(F4:F16)</f>
        <v>12214598.266570982</v>
      </c>
      <c r="G17" s="25">
        <f t="shared" si="0"/>
        <v>4254085.7334290147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F9FA-0020-4297-9A22-6A58F5975EC4}">
  <sheetPr filterMode="1"/>
  <dimension ref="A1:S193"/>
  <sheetViews>
    <sheetView topLeftCell="M1" workbookViewId="0">
      <selection activeCell="T48" sqref="T48"/>
    </sheetView>
  </sheetViews>
  <sheetFormatPr defaultRowHeight="12.5"/>
  <cols>
    <col min="1" max="1" width="37.08984375" bestFit="1" customWidth="1"/>
    <col min="2" max="2" width="12.1796875" bestFit="1" customWidth="1"/>
    <col min="3" max="3" width="14.54296875" bestFit="1" customWidth="1"/>
    <col min="4" max="4" width="13.36328125" bestFit="1" customWidth="1"/>
    <col min="5" max="5" width="17.90625" bestFit="1" customWidth="1"/>
    <col min="6" max="6" width="15.7265625" bestFit="1" customWidth="1"/>
    <col min="7" max="7" width="15.54296875" bestFit="1" customWidth="1"/>
    <col min="8" max="8" width="11.6328125" bestFit="1" customWidth="1"/>
    <col min="9" max="9" width="12.08984375" bestFit="1" customWidth="1"/>
    <col min="10" max="10" width="13" bestFit="1" customWidth="1"/>
    <col min="11" max="11" width="22.6328125" bestFit="1" customWidth="1"/>
    <col min="12" max="12" width="24.08984375" bestFit="1" customWidth="1"/>
    <col min="13" max="13" width="27.08984375" bestFit="1" customWidth="1"/>
    <col min="14" max="14" width="28.54296875" bestFit="1" customWidth="1"/>
    <col min="15" max="15" width="13.26953125" bestFit="1" customWidth="1"/>
    <col min="16" max="16" width="18.90625" bestFit="1" customWidth="1"/>
    <col min="17" max="17" width="12.26953125" bestFit="1" customWidth="1"/>
    <col min="18" max="18" width="46.26953125" bestFit="1" customWidth="1"/>
    <col min="19" max="19" width="14.1796875" bestFit="1" customWidth="1"/>
  </cols>
  <sheetData>
    <row r="1" spans="1:19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306</v>
      </c>
      <c r="J1" t="s">
        <v>286</v>
      </c>
      <c r="K1" t="s">
        <v>290</v>
      </c>
      <c r="L1" t="s">
        <v>291</v>
      </c>
      <c r="M1" t="s">
        <v>292</v>
      </c>
      <c r="N1" t="s">
        <v>293</v>
      </c>
      <c r="O1" t="s">
        <v>295</v>
      </c>
      <c r="P1" t="s">
        <v>296</v>
      </c>
      <c r="Q1" t="s">
        <v>297</v>
      </c>
      <c r="R1" t="s">
        <v>299</v>
      </c>
      <c r="S1" t="s">
        <v>333</v>
      </c>
    </row>
    <row r="2" spans="1:19" hidden="1">
      <c r="A2" t="s">
        <v>2</v>
      </c>
      <c r="B2" t="s">
        <v>3</v>
      </c>
      <c r="C2" t="s">
        <v>24</v>
      </c>
      <c r="D2">
        <v>45889</v>
      </c>
      <c r="E2">
        <v>1800000477</v>
      </c>
      <c r="F2" t="s">
        <v>47</v>
      </c>
      <c r="G2">
        <v>45889</v>
      </c>
      <c r="H2">
        <v>45891</v>
      </c>
      <c r="I2">
        <v>256788410349</v>
      </c>
      <c r="J2" t="s">
        <v>8</v>
      </c>
      <c r="K2" t="s">
        <v>21</v>
      </c>
      <c r="L2">
        <v>100</v>
      </c>
      <c r="M2" t="s">
        <v>11</v>
      </c>
      <c r="N2">
        <v>8603.01</v>
      </c>
      <c r="O2" t="s">
        <v>12</v>
      </c>
      <c r="P2" t="s">
        <v>7</v>
      </c>
      <c r="Q2" t="s">
        <v>45</v>
      </c>
      <c r="R2" t="s">
        <v>49</v>
      </c>
      <c r="S2" t="s">
        <v>335</v>
      </c>
    </row>
    <row r="3" spans="1:19" hidden="1">
      <c r="A3" t="s">
        <v>2</v>
      </c>
      <c r="B3" t="s">
        <v>3</v>
      </c>
      <c r="C3" t="s">
        <v>50</v>
      </c>
      <c r="D3">
        <v>45904</v>
      </c>
      <c r="E3">
        <v>1800000479</v>
      </c>
      <c r="F3" t="s">
        <v>47</v>
      </c>
      <c r="G3">
        <v>45904</v>
      </c>
      <c r="H3">
        <v>45909</v>
      </c>
      <c r="I3">
        <v>256788410353</v>
      </c>
      <c r="J3" t="s">
        <v>8</v>
      </c>
      <c r="K3" t="s">
        <v>21</v>
      </c>
      <c r="L3">
        <v>100</v>
      </c>
      <c r="M3" t="s">
        <v>11</v>
      </c>
      <c r="N3">
        <v>8751.43</v>
      </c>
      <c r="O3" t="s">
        <v>12</v>
      </c>
      <c r="P3" t="s">
        <v>7</v>
      </c>
      <c r="Q3" t="s">
        <v>45</v>
      </c>
      <c r="R3" t="s">
        <v>51</v>
      </c>
      <c r="S3" t="s">
        <v>335</v>
      </c>
    </row>
    <row r="4" spans="1:19" hidden="1">
      <c r="A4" t="s">
        <v>2</v>
      </c>
      <c r="B4" t="s">
        <v>3</v>
      </c>
      <c r="C4" t="s">
        <v>4</v>
      </c>
      <c r="D4">
        <v>45751</v>
      </c>
      <c r="E4">
        <v>1800000152</v>
      </c>
      <c r="F4" t="s">
        <v>47</v>
      </c>
      <c r="G4">
        <v>45751</v>
      </c>
      <c r="H4">
        <v>45756</v>
      </c>
      <c r="I4">
        <v>256788410027</v>
      </c>
      <c r="J4" t="s">
        <v>8</v>
      </c>
      <c r="K4" t="s">
        <v>21</v>
      </c>
      <c r="L4">
        <v>170</v>
      </c>
      <c r="M4" t="s">
        <v>11</v>
      </c>
      <c r="N4">
        <v>14776.71</v>
      </c>
      <c r="O4" t="s">
        <v>7</v>
      </c>
      <c r="P4" t="s">
        <v>7</v>
      </c>
      <c r="Q4" t="s">
        <v>45</v>
      </c>
      <c r="R4" t="s">
        <v>52</v>
      </c>
      <c r="S4" t="s">
        <v>335</v>
      </c>
    </row>
    <row r="5" spans="1:19" hidden="1">
      <c r="A5" t="s">
        <v>2</v>
      </c>
      <c r="B5" t="s">
        <v>3</v>
      </c>
      <c r="C5" t="s">
        <v>38</v>
      </c>
      <c r="D5">
        <v>45722</v>
      </c>
      <c r="E5">
        <v>1800000050</v>
      </c>
      <c r="F5" t="s">
        <v>47</v>
      </c>
      <c r="G5">
        <v>45722</v>
      </c>
      <c r="H5">
        <v>45722</v>
      </c>
      <c r="I5">
        <v>246788410045</v>
      </c>
      <c r="J5" t="s">
        <v>8</v>
      </c>
      <c r="K5" t="s">
        <v>21</v>
      </c>
      <c r="L5">
        <v>841.24</v>
      </c>
      <c r="M5" t="s">
        <v>11</v>
      </c>
      <c r="N5">
        <v>72928.160000000003</v>
      </c>
      <c r="O5" t="s">
        <v>12</v>
      </c>
      <c r="P5" t="s">
        <v>7</v>
      </c>
      <c r="Q5" t="s">
        <v>45</v>
      </c>
      <c r="R5" t="s">
        <v>53</v>
      </c>
      <c r="S5" t="s">
        <v>334</v>
      </c>
    </row>
    <row r="6" spans="1:19" hidden="1">
      <c r="A6" t="s">
        <v>2</v>
      </c>
      <c r="B6" t="s">
        <v>3</v>
      </c>
      <c r="C6" t="s">
        <v>38</v>
      </c>
      <c r="D6">
        <v>45722</v>
      </c>
      <c r="E6">
        <v>1800000051</v>
      </c>
      <c r="F6" t="s">
        <v>47</v>
      </c>
      <c r="G6">
        <v>45722</v>
      </c>
      <c r="H6">
        <v>45722</v>
      </c>
      <c r="I6">
        <v>246788410046</v>
      </c>
      <c r="J6" t="s">
        <v>8</v>
      </c>
      <c r="K6" t="s">
        <v>21</v>
      </c>
      <c r="L6">
        <v>4169.66</v>
      </c>
      <c r="M6" t="s">
        <v>11</v>
      </c>
      <c r="N6">
        <v>361473.08</v>
      </c>
      <c r="O6" t="s">
        <v>12</v>
      </c>
      <c r="P6" t="s">
        <v>7</v>
      </c>
      <c r="Q6" t="s">
        <v>45</v>
      </c>
      <c r="R6" t="s">
        <v>54</v>
      </c>
      <c r="S6" t="s">
        <v>334</v>
      </c>
    </row>
    <row r="7" spans="1:19" hidden="1">
      <c r="A7" t="s">
        <v>2</v>
      </c>
      <c r="B7" t="s">
        <v>3</v>
      </c>
      <c r="C7" t="s">
        <v>38</v>
      </c>
      <c r="D7">
        <v>45719</v>
      </c>
      <c r="E7">
        <v>1800000045</v>
      </c>
      <c r="F7" t="s">
        <v>47</v>
      </c>
      <c r="G7">
        <v>45719</v>
      </c>
      <c r="H7">
        <v>45719</v>
      </c>
      <c r="I7">
        <v>246788410039</v>
      </c>
      <c r="J7" t="s">
        <v>8</v>
      </c>
      <c r="K7" t="s">
        <v>21</v>
      </c>
      <c r="L7">
        <v>1044.69</v>
      </c>
      <c r="M7" t="s">
        <v>11</v>
      </c>
      <c r="N7">
        <v>90565.49</v>
      </c>
      <c r="O7" t="s">
        <v>12</v>
      </c>
      <c r="P7" t="s">
        <v>7</v>
      </c>
      <c r="Q7" t="s">
        <v>45</v>
      </c>
      <c r="R7" t="s">
        <v>55</v>
      </c>
      <c r="S7" t="s">
        <v>337</v>
      </c>
    </row>
    <row r="8" spans="1:19" hidden="1">
      <c r="A8" t="s">
        <v>2</v>
      </c>
      <c r="B8" t="s">
        <v>3</v>
      </c>
      <c r="C8" t="s">
        <v>38</v>
      </c>
      <c r="D8">
        <v>45719</v>
      </c>
      <c r="E8">
        <v>1800000046</v>
      </c>
      <c r="F8" t="s">
        <v>47</v>
      </c>
      <c r="G8">
        <v>45719</v>
      </c>
      <c r="H8">
        <v>45719</v>
      </c>
      <c r="I8">
        <v>246788410040</v>
      </c>
      <c r="J8" t="s">
        <v>8</v>
      </c>
      <c r="K8" t="s">
        <v>21</v>
      </c>
      <c r="L8">
        <v>129.97999999999999</v>
      </c>
      <c r="M8" t="s">
        <v>11</v>
      </c>
      <c r="N8">
        <v>11268.13</v>
      </c>
      <c r="O8" t="s">
        <v>12</v>
      </c>
      <c r="P8" t="s">
        <v>7</v>
      </c>
      <c r="Q8" t="s">
        <v>45</v>
      </c>
      <c r="R8" t="s">
        <v>56</v>
      </c>
      <c r="S8" t="s">
        <v>337</v>
      </c>
    </row>
    <row r="9" spans="1:19" hidden="1">
      <c r="A9" t="s">
        <v>2</v>
      </c>
      <c r="B9" t="s">
        <v>3</v>
      </c>
      <c r="C9" t="s">
        <v>38</v>
      </c>
      <c r="D9">
        <v>45719</v>
      </c>
      <c r="E9">
        <v>1800000047</v>
      </c>
      <c r="F9" t="s">
        <v>47</v>
      </c>
      <c r="G9">
        <v>45719</v>
      </c>
      <c r="H9">
        <v>45719</v>
      </c>
      <c r="I9">
        <v>246788410042</v>
      </c>
      <c r="J9" t="s">
        <v>8</v>
      </c>
      <c r="K9" t="s">
        <v>21</v>
      </c>
      <c r="L9">
        <v>4421.13</v>
      </c>
      <c r="M9" t="s">
        <v>11</v>
      </c>
      <c r="N9">
        <v>383273.33</v>
      </c>
      <c r="O9" t="s">
        <v>12</v>
      </c>
      <c r="P9" t="s">
        <v>7</v>
      </c>
      <c r="Q9" t="s">
        <v>45</v>
      </c>
      <c r="R9" t="s">
        <v>57</v>
      </c>
      <c r="S9" t="s">
        <v>334</v>
      </c>
    </row>
    <row r="10" spans="1:19" hidden="1">
      <c r="A10" t="s">
        <v>2</v>
      </c>
      <c r="B10" t="s">
        <v>3</v>
      </c>
      <c r="C10" t="s">
        <v>38</v>
      </c>
      <c r="D10">
        <v>45719</v>
      </c>
      <c r="E10">
        <v>1800000048</v>
      </c>
      <c r="F10" t="s">
        <v>47</v>
      </c>
      <c r="G10">
        <v>45719</v>
      </c>
      <c r="H10">
        <v>45719</v>
      </c>
      <c r="I10">
        <v>246788410043</v>
      </c>
      <c r="J10" t="s">
        <v>8</v>
      </c>
      <c r="K10" t="s">
        <v>21</v>
      </c>
      <c r="L10">
        <v>2730.01</v>
      </c>
      <c r="M10" t="s">
        <v>11</v>
      </c>
      <c r="N10">
        <v>236668.01</v>
      </c>
      <c r="O10" t="s">
        <v>12</v>
      </c>
      <c r="P10" t="s">
        <v>7</v>
      </c>
      <c r="Q10" t="s">
        <v>45</v>
      </c>
      <c r="R10" t="s">
        <v>58</v>
      </c>
      <c r="S10" t="s">
        <v>334</v>
      </c>
    </row>
    <row r="11" spans="1:19">
      <c r="A11" t="s">
        <v>2</v>
      </c>
      <c r="B11" t="s">
        <v>3</v>
      </c>
      <c r="C11" t="s">
        <v>38</v>
      </c>
      <c r="D11">
        <v>45719</v>
      </c>
      <c r="E11">
        <v>1800000049</v>
      </c>
      <c r="F11" t="s">
        <v>47</v>
      </c>
      <c r="G11">
        <v>45719</v>
      </c>
      <c r="H11">
        <v>45719</v>
      </c>
      <c r="I11">
        <v>246788410044</v>
      </c>
      <c r="J11" t="s">
        <v>8</v>
      </c>
      <c r="K11" t="s">
        <v>21</v>
      </c>
      <c r="L11">
        <v>474.24</v>
      </c>
      <c r="M11" t="s">
        <v>11</v>
      </c>
      <c r="N11">
        <v>41112.46</v>
      </c>
      <c r="O11" t="s">
        <v>12</v>
      </c>
      <c r="P11" t="s">
        <v>7</v>
      </c>
      <c r="Q11" t="s">
        <v>45</v>
      </c>
      <c r="R11" t="s">
        <v>59</v>
      </c>
      <c r="S11" t="s">
        <v>334</v>
      </c>
    </row>
    <row r="12" spans="1:19" hidden="1">
      <c r="A12" t="s">
        <v>2</v>
      </c>
      <c r="B12" t="s">
        <v>3</v>
      </c>
      <c r="C12" t="s">
        <v>24</v>
      </c>
      <c r="D12">
        <v>45870</v>
      </c>
      <c r="E12">
        <v>1800000447</v>
      </c>
      <c r="F12" t="s">
        <v>47</v>
      </c>
      <c r="G12">
        <v>45870</v>
      </c>
      <c r="H12">
        <v>45870</v>
      </c>
      <c r="I12">
        <v>256788410322</v>
      </c>
      <c r="J12" t="s">
        <v>8</v>
      </c>
      <c r="K12" t="s">
        <v>21</v>
      </c>
      <c r="L12">
        <v>75</v>
      </c>
      <c r="M12" t="s">
        <v>11</v>
      </c>
      <c r="N12">
        <v>6452.26</v>
      </c>
      <c r="O12" t="s">
        <v>12</v>
      </c>
      <c r="P12" t="s">
        <v>7</v>
      </c>
      <c r="Q12" t="s">
        <v>45</v>
      </c>
      <c r="R12" t="s">
        <v>60</v>
      </c>
      <c r="S12" t="s">
        <v>334</v>
      </c>
    </row>
    <row r="13" spans="1:19" hidden="1">
      <c r="A13" t="s">
        <v>2</v>
      </c>
      <c r="B13" t="s">
        <v>3</v>
      </c>
      <c r="C13" t="s">
        <v>61</v>
      </c>
      <c r="D13">
        <v>45818</v>
      </c>
      <c r="E13">
        <v>1800000353</v>
      </c>
      <c r="F13" t="s">
        <v>47</v>
      </c>
      <c r="G13">
        <v>45818</v>
      </c>
      <c r="H13">
        <v>45825</v>
      </c>
      <c r="I13">
        <v>256788410228</v>
      </c>
      <c r="J13" t="s">
        <v>8</v>
      </c>
      <c r="K13" t="s">
        <v>21</v>
      </c>
      <c r="L13">
        <v>75</v>
      </c>
      <c r="M13" t="s">
        <v>11</v>
      </c>
      <c r="N13">
        <v>6411.81</v>
      </c>
      <c r="O13" t="s">
        <v>12</v>
      </c>
      <c r="P13" t="s">
        <v>7</v>
      </c>
      <c r="Q13" t="s">
        <v>45</v>
      </c>
      <c r="R13" t="s">
        <v>62</v>
      </c>
      <c r="S13" t="s">
        <v>334</v>
      </c>
    </row>
    <row r="14" spans="1:19" hidden="1">
      <c r="A14" t="s">
        <v>2</v>
      </c>
      <c r="B14" t="s">
        <v>3</v>
      </c>
      <c r="C14" t="s">
        <v>50</v>
      </c>
      <c r="D14">
        <v>45917</v>
      </c>
      <c r="E14">
        <v>1800000504</v>
      </c>
      <c r="F14" t="s">
        <v>47</v>
      </c>
      <c r="G14">
        <v>45917</v>
      </c>
      <c r="H14">
        <v>45924</v>
      </c>
      <c r="I14">
        <v>256788410379</v>
      </c>
      <c r="J14" t="s">
        <v>8</v>
      </c>
      <c r="K14" t="s">
        <v>21</v>
      </c>
      <c r="L14">
        <v>53.78</v>
      </c>
      <c r="M14" t="s">
        <v>11</v>
      </c>
      <c r="N14">
        <v>4706.5200000000004</v>
      </c>
      <c r="O14" t="s">
        <v>12</v>
      </c>
      <c r="P14" t="s">
        <v>7</v>
      </c>
      <c r="Q14" t="s">
        <v>63</v>
      </c>
      <c r="R14" t="s">
        <v>64</v>
      </c>
      <c r="S14" t="s">
        <v>339</v>
      </c>
    </row>
    <row r="15" spans="1:19" hidden="1">
      <c r="A15" t="s">
        <v>2</v>
      </c>
      <c r="B15" t="s">
        <v>3</v>
      </c>
      <c r="C15" t="s">
        <v>50</v>
      </c>
      <c r="D15">
        <v>45917</v>
      </c>
      <c r="E15">
        <v>1800000507</v>
      </c>
      <c r="F15" t="s">
        <v>47</v>
      </c>
      <c r="G15">
        <v>45917</v>
      </c>
      <c r="H15">
        <v>45924</v>
      </c>
      <c r="I15">
        <v>256788410382</v>
      </c>
      <c r="J15" t="s">
        <v>8</v>
      </c>
      <c r="K15" t="s">
        <v>21</v>
      </c>
      <c r="L15">
        <v>102.14</v>
      </c>
      <c r="M15" t="s">
        <v>11</v>
      </c>
      <c r="N15">
        <v>8938.7099999999991</v>
      </c>
      <c r="O15" t="s">
        <v>12</v>
      </c>
      <c r="P15" t="s">
        <v>7</v>
      </c>
      <c r="Q15" t="s">
        <v>65</v>
      </c>
      <c r="R15" t="s">
        <v>66</v>
      </c>
      <c r="S15" t="s">
        <v>339</v>
      </c>
    </row>
    <row r="16" spans="1:19" hidden="1">
      <c r="A16" t="s">
        <v>2</v>
      </c>
      <c r="B16" t="s">
        <v>3</v>
      </c>
      <c r="C16" t="s">
        <v>67</v>
      </c>
      <c r="D16">
        <v>45785</v>
      </c>
      <c r="E16">
        <v>1800000341</v>
      </c>
      <c r="F16" t="s">
        <v>47</v>
      </c>
      <c r="G16">
        <v>45785</v>
      </c>
      <c r="H16">
        <v>45800</v>
      </c>
      <c r="I16">
        <v>256788410216</v>
      </c>
      <c r="J16" t="s">
        <v>8</v>
      </c>
      <c r="K16" t="s">
        <v>21</v>
      </c>
      <c r="L16">
        <v>8.4499999999999993</v>
      </c>
      <c r="M16" t="s">
        <v>11</v>
      </c>
      <c r="N16">
        <v>726.56</v>
      </c>
      <c r="O16" t="s">
        <v>12</v>
      </c>
      <c r="P16" t="s">
        <v>7</v>
      </c>
      <c r="Q16" t="s">
        <v>45</v>
      </c>
      <c r="R16" t="s">
        <v>68</v>
      </c>
      <c r="S16" t="s">
        <v>338</v>
      </c>
    </row>
    <row r="17" spans="1:19" hidden="1">
      <c r="A17" t="s">
        <v>2</v>
      </c>
      <c r="B17" t="s">
        <v>3</v>
      </c>
      <c r="C17" t="s">
        <v>67</v>
      </c>
      <c r="D17">
        <v>45785</v>
      </c>
      <c r="E17">
        <v>1800000342</v>
      </c>
      <c r="F17" t="s">
        <v>47</v>
      </c>
      <c r="G17">
        <v>45785</v>
      </c>
      <c r="H17">
        <v>45800</v>
      </c>
      <c r="I17">
        <v>256788410217</v>
      </c>
      <c r="J17" t="s">
        <v>8</v>
      </c>
      <c r="K17" t="s">
        <v>21</v>
      </c>
      <c r="L17">
        <v>37.659999999999997</v>
      </c>
      <c r="M17" t="s">
        <v>11</v>
      </c>
      <c r="N17">
        <v>3238.15</v>
      </c>
      <c r="O17" t="s">
        <v>12</v>
      </c>
      <c r="P17" t="s">
        <v>7</v>
      </c>
      <c r="Q17" t="s">
        <v>45</v>
      </c>
      <c r="R17" t="s">
        <v>69</v>
      </c>
      <c r="S17" t="s">
        <v>338</v>
      </c>
    </row>
    <row r="18" spans="1:19" hidden="1">
      <c r="A18" t="s">
        <v>2</v>
      </c>
      <c r="B18" t="s">
        <v>3</v>
      </c>
      <c r="C18" t="s">
        <v>67</v>
      </c>
      <c r="D18">
        <v>45785</v>
      </c>
      <c r="E18">
        <v>1800000343</v>
      </c>
      <c r="F18" t="s">
        <v>47</v>
      </c>
      <c r="G18">
        <v>45785</v>
      </c>
      <c r="H18">
        <v>45800</v>
      </c>
      <c r="I18">
        <v>256788410218</v>
      </c>
      <c r="J18" t="s">
        <v>8</v>
      </c>
      <c r="K18" t="s">
        <v>21</v>
      </c>
      <c r="L18">
        <v>13.18</v>
      </c>
      <c r="M18" t="s">
        <v>11</v>
      </c>
      <c r="N18">
        <v>1133.27</v>
      </c>
      <c r="O18" t="s">
        <v>12</v>
      </c>
      <c r="P18" t="s">
        <v>7</v>
      </c>
      <c r="Q18" t="s">
        <v>45</v>
      </c>
      <c r="R18" t="s">
        <v>70</v>
      </c>
      <c r="S18" t="s">
        <v>338</v>
      </c>
    </row>
    <row r="19" spans="1:19" hidden="1">
      <c r="A19" t="s">
        <v>2</v>
      </c>
      <c r="B19" t="s">
        <v>3</v>
      </c>
      <c r="C19" t="s">
        <v>4</v>
      </c>
      <c r="D19">
        <v>45763</v>
      </c>
      <c r="E19">
        <v>1800007124</v>
      </c>
      <c r="F19" t="s">
        <v>47</v>
      </c>
      <c r="G19">
        <v>45763</v>
      </c>
      <c r="H19">
        <v>45764</v>
      </c>
      <c r="I19">
        <v>256779412015</v>
      </c>
      <c r="J19" t="s">
        <v>8</v>
      </c>
      <c r="K19" t="s">
        <v>21</v>
      </c>
      <c r="L19">
        <v>86.56</v>
      </c>
      <c r="M19" t="s">
        <v>11</v>
      </c>
      <c r="N19">
        <v>7523.95</v>
      </c>
      <c r="O19" t="s">
        <v>76</v>
      </c>
      <c r="P19" t="s">
        <v>7</v>
      </c>
      <c r="Q19" t="s">
        <v>45</v>
      </c>
      <c r="R19" t="s">
        <v>77</v>
      </c>
      <c r="S19" t="s">
        <v>339</v>
      </c>
    </row>
    <row r="20" spans="1:19" hidden="1">
      <c r="A20" t="s">
        <v>2</v>
      </c>
      <c r="B20" t="s">
        <v>3</v>
      </c>
      <c r="C20" t="s">
        <v>4</v>
      </c>
      <c r="D20">
        <v>45763</v>
      </c>
      <c r="E20">
        <v>1800007167</v>
      </c>
      <c r="F20" t="s">
        <v>47</v>
      </c>
      <c r="G20">
        <v>45763</v>
      </c>
      <c r="H20">
        <v>45764</v>
      </c>
      <c r="I20">
        <v>256779412058</v>
      </c>
      <c r="J20" t="s">
        <v>8</v>
      </c>
      <c r="K20" t="s">
        <v>21</v>
      </c>
      <c r="L20">
        <v>188.84</v>
      </c>
      <c r="M20" t="s">
        <v>11</v>
      </c>
      <c r="N20">
        <v>16414.32</v>
      </c>
      <c r="O20" t="s">
        <v>76</v>
      </c>
      <c r="P20" t="s">
        <v>7</v>
      </c>
      <c r="Q20" t="s">
        <v>45</v>
      </c>
      <c r="R20" t="s">
        <v>64</v>
      </c>
      <c r="S20" t="s">
        <v>339</v>
      </c>
    </row>
    <row r="21" spans="1:19" hidden="1">
      <c r="A21" t="s">
        <v>2</v>
      </c>
      <c r="B21" t="s">
        <v>3</v>
      </c>
      <c r="C21" t="s">
        <v>4</v>
      </c>
      <c r="D21">
        <v>45763</v>
      </c>
      <c r="E21">
        <v>1800007205</v>
      </c>
      <c r="F21" t="s">
        <v>47</v>
      </c>
      <c r="G21">
        <v>45763</v>
      </c>
      <c r="H21">
        <v>45764</v>
      </c>
      <c r="I21">
        <v>256779412096</v>
      </c>
      <c r="J21" t="s">
        <v>8</v>
      </c>
      <c r="K21" t="s">
        <v>21</v>
      </c>
      <c r="L21">
        <v>16.829999999999998</v>
      </c>
      <c r="M21" t="s">
        <v>11</v>
      </c>
      <c r="N21">
        <v>1462.89</v>
      </c>
      <c r="O21" t="s">
        <v>76</v>
      </c>
      <c r="P21" t="s">
        <v>7</v>
      </c>
      <c r="Q21" t="s">
        <v>45</v>
      </c>
      <c r="R21" t="s">
        <v>78</v>
      </c>
      <c r="S21" t="s">
        <v>339</v>
      </c>
    </row>
    <row r="22" spans="1:19" hidden="1">
      <c r="A22" t="s">
        <v>2</v>
      </c>
      <c r="B22" t="s">
        <v>3</v>
      </c>
      <c r="C22" t="s">
        <v>79</v>
      </c>
      <c r="D22">
        <v>45847</v>
      </c>
      <c r="E22">
        <v>1800000368</v>
      </c>
      <c r="F22" t="s">
        <v>47</v>
      </c>
      <c r="G22">
        <v>45847</v>
      </c>
      <c r="H22">
        <v>45847</v>
      </c>
      <c r="I22">
        <v>256788410243</v>
      </c>
      <c r="J22" t="s">
        <v>8</v>
      </c>
      <c r="K22" t="s">
        <v>21</v>
      </c>
      <c r="L22">
        <v>30</v>
      </c>
      <c r="M22" t="s">
        <v>11</v>
      </c>
      <c r="N22">
        <v>2580.02</v>
      </c>
      <c r="O22" t="s">
        <v>12</v>
      </c>
      <c r="P22" t="s">
        <v>7</v>
      </c>
      <c r="Q22" t="s">
        <v>45</v>
      </c>
      <c r="R22" t="s">
        <v>80</v>
      </c>
      <c r="S22" t="s">
        <v>337</v>
      </c>
    </row>
    <row r="23" spans="1:19" hidden="1">
      <c r="A23" t="s">
        <v>2</v>
      </c>
      <c r="B23" t="s">
        <v>3</v>
      </c>
      <c r="C23" t="s">
        <v>79</v>
      </c>
      <c r="D23">
        <v>45847</v>
      </c>
      <c r="E23">
        <v>1800000384</v>
      </c>
      <c r="F23" t="s">
        <v>47</v>
      </c>
      <c r="G23">
        <v>45847</v>
      </c>
      <c r="H23">
        <v>45847</v>
      </c>
      <c r="I23">
        <v>256788410259</v>
      </c>
      <c r="J23" t="s">
        <v>8</v>
      </c>
      <c r="K23" t="s">
        <v>21</v>
      </c>
      <c r="L23">
        <v>75</v>
      </c>
      <c r="M23" t="s">
        <v>11</v>
      </c>
      <c r="N23">
        <v>6450.05</v>
      </c>
      <c r="O23" t="s">
        <v>12</v>
      </c>
      <c r="P23" t="s">
        <v>7</v>
      </c>
      <c r="Q23" t="s">
        <v>45</v>
      </c>
      <c r="R23" t="s">
        <v>81</v>
      </c>
      <c r="S23" t="s">
        <v>334</v>
      </c>
    </row>
    <row r="24" spans="1:19" hidden="1">
      <c r="A24" t="s">
        <v>2</v>
      </c>
      <c r="B24" t="s">
        <v>3</v>
      </c>
      <c r="C24" t="s">
        <v>50</v>
      </c>
      <c r="D24">
        <v>45904</v>
      </c>
      <c r="E24">
        <v>1800012496</v>
      </c>
      <c r="F24" t="s">
        <v>47</v>
      </c>
      <c r="G24">
        <v>45904</v>
      </c>
      <c r="H24">
        <v>45908</v>
      </c>
      <c r="I24">
        <v>256779416953</v>
      </c>
      <c r="J24" t="s">
        <v>8</v>
      </c>
      <c r="K24" t="s">
        <v>21</v>
      </c>
      <c r="L24">
        <v>2.14</v>
      </c>
      <c r="M24" t="s">
        <v>11</v>
      </c>
      <c r="N24">
        <v>187.28</v>
      </c>
      <c r="O24" t="s">
        <v>82</v>
      </c>
      <c r="P24" t="s">
        <v>7</v>
      </c>
      <c r="Q24" t="s">
        <v>45</v>
      </c>
      <c r="R24" t="s">
        <v>83</v>
      </c>
      <c r="S24" t="s">
        <v>336</v>
      </c>
    </row>
    <row r="25" spans="1:19" hidden="1">
      <c r="A25" t="s">
        <v>2</v>
      </c>
      <c r="B25" t="s">
        <v>3</v>
      </c>
      <c r="C25" t="s">
        <v>50</v>
      </c>
      <c r="D25">
        <v>45904</v>
      </c>
      <c r="E25">
        <v>1800000480</v>
      </c>
      <c r="F25" t="s">
        <v>47</v>
      </c>
      <c r="G25">
        <v>45904</v>
      </c>
      <c r="H25">
        <v>45909</v>
      </c>
      <c r="I25">
        <v>256788410354</v>
      </c>
      <c r="J25" t="s">
        <v>8</v>
      </c>
      <c r="K25" t="s">
        <v>21</v>
      </c>
      <c r="L25">
        <v>12.52</v>
      </c>
      <c r="M25" t="s">
        <v>11</v>
      </c>
      <c r="N25">
        <v>1095.68</v>
      </c>
      <c r="O25" t="s">
        <v>12</v>
      </c>
      <c r="P25" t="s">
        <v>7</v>
      </c>
      <c r="Q25" t="s">
        <v>45</v>
      </c>
      <c r="R25" t="s">
        <v>84</v>
      </c>
      <c r="S25" t="s">
        <v>339</v>
      </c>
    </row>
    <row r="26" spans="1:19" hidden="1">
      <c r="A26" t="s">
        <v>2</v>
      </c>
      <c r="B26" t="s">
        <v>3</v>
      </c>
      <c r="C26" t="s">
        <v>50</v>
      </c>
      <c r="D26">
        <v>45904</v>
      </c>
      <c r="E26">
        <v>1800000481</v>
      </c>
      <c r="F26" t="s">
        <v>47</v>
      </c>
      <c r="G26">
        <v>45904</v>
      </c>
      <c r="H26">
        <v>45909</v>
      </c>
      <c r="I26">
        <v>256788410355</v>
      </c>
      <c r="J26" t="s">
        <v>8</v>
      </c>
      <c r="K26" t="s">
        <v>21</v>
      </c>
      <c r="L26">
        <v>13.66</v>
      </c>
      <c r="M26" t="s">
        <v>11</v>
      </c>
      <c r="N26">
        <v>1195.45</v>
      </c>
      <c r="O26" t="s">
        <v>12</v>
      </c>
      <c r="P26" t="s">
        <v>7</v>
      </c>
      <c r="Q26" t="s">
        <v>45</v>
      </c>
      <c r="R26" t="s">
        <v>85</v>
      </c>
      <c r="S26" t="s">
        <v>342</v>
      </c>
    </row>
    <row r="27" spans="1:19" hidden="1">
      <c r="A27" t="s">
        <v>2</v>
      </c>
      <c r="B27" t="s">
        <v>3</v>
      </c>
      <c r="C27" t="s">
        <v>50</v>
      </c>
      <c r="D27">
        <v>45904</v>
      </c>
      <c r="E27">
        <v>1800000483</v>
      </c>
      <c r="F27" t="s">
        <v>47</v>
      </c>
      <c r="G27">
        <v>45904</v>
      </c>
      <c r="H27">
        <v>45909</v>
      </c>
      <c r="I27">
        <v>256788410358</v>
      </c>
      <c r="J27" t="s">
        <v>8</v>
      </c>
      <c r="K27" t="s">
        <v>21</v>
      </c>
      <c r="L27">
        <v>2262.04</v>
      </c>
      <c r="M27" t="s">
        <v>11</v>
      </c>
      <c r="N27">
        <v>197960.92</v>
      </c>
      <c r="O27" t="s">
        <v>12</v>
      </c>
      <c r="P27" t="s">
        <v>7</v>
      </c>
      <c r="Q27" t="s">
        <v>45</v>
      </c>
      <c r="R27" t="s">
        <v>86</v>
      </c>
      <c r="S27" t="s">
        <v>337</v>
      </c>
    </row>
    <row r="28" spans="1:19" hidden="1">
      <c r="A28" t="s">
        <v>2</v>
      </c>
      <c r="B28" t="s">
        <v>3</v>
      </c>
      <c r="C28" t="s">
        <v>50</v>
      </c>
      <c r="D28">
        <v>45904</v>
      </c>
      <c r="E28">
        <v>1800000488</v>
      </c>
      <c r="F28" t="s">
        <v>47</v>
      </c>
      <c r="G28">
        <v>45904</v>
      </c>
      <c r="H28">
        <v>45909</v>
      </c>
      <c r="I28">
        <v>256788410359</v>
      </c>
      <c r="J28" t="s">
        <v>8</v>
      </c>
      <c r="K28" t="s">
        <v>21</v>
      </c>
      <c r="L28">
        <v>126.58</v>
      </c>
      <c r="M28" t="s">
        <v>11</v>
      </c>
      <c r="N28">
        <v>11077.56</v>
      </c>
      <c r="O28" t="s">
        <v>12</v>
      </c>
      <c r="P28" t="s">
        <v>7</v>
      </c>
      <c r="Q28" t="s">
        <v>45</v>
      </c>
      <c r="R28" t="s">
        <v>87</v>
      </c>
      <c r="S28" t="s">
        <v>341</v>
      </c>
    </row>
    <row r="29" spans="1:19" hidden="1">
      <c r="A29" t="s">
        <v>2</v>
      </c>
      <c r="B29" t="s">
        <v>3</v>
      </c>
      <c r="C29" t="s">
        <v>50</v>
      </c>
      <c r="D29">
        <v>45904</v>
      </c>
      <c r="E29">
        <v>1800000484</v>
      </c>
      <c r="F29" t="s">
        <v>47</v>
      </c>
      <c r="G29">
        <v>45904</v>
      </c>
      <c r="H29">
        <v>45909</v>
      </c>
      <c r="I29">
        <v>256788410360</v>
      </c>
      <c r="J29" t="s">
        <v>8</v>
      </c>
      <c r="K29" t="s">
        <v>21</v>
      </c>
      <c r="L29">
        <v>348.21</v>
      </c>
      <c r="M29" t="s">
        <v>11</v>
      </c>
      <c r="N29">
        <v>30473.360000000001</v>
      </c>
      <c r="O29" t="s">
        <v>12</v>
      </c>
      <c r="P29" t="s">
        <v>7</v>
      </c>
      <c r="Q29" t="s">
        <v>45</v>
      </c>
      <c r="R29" t="s">
        <v>88</v>
      </c>
      <c r="S29" t="s">
        <v>344</v>
      </c>
    </row>
    <row r="30" spans="1:19" hidden="1">
      <c r="A30" t="s">
        <v>2</v>
      </c>
      <c r="B30" t="s">
        <v>3</v>
      </c>
      <c r="C30" t="s">
        <v>50</v>
      </c>
      <c r="D30">
        <v>45904</v>
      </c>
      <c r="E30">
        <v>1800000485</v>
      </c>
      <c r="F30" t="s">
        <v>47</v>
      </c>
      <c r="G30">
        <v>45904</v>
      </c>
      <c r="H30">
        <v>45909</v>
      </c>
      <c r="I30">
        <v>256788410361</v>
      </c>
      <c r="J30" t="s">
        <v>8</v>
      </c>
      <c r="K30" t="s">
        <v>21</v>
      </c>
      <c r="L30">
        <v>26</v>
      </c>
      <c r="M30" t="s">
        <v>11</v>
      </c>
      <c r="N30">
        <v>2275.37</v>
      </c>
      <c r="O30" t="s">
        <v>12</v>
      </c>
      <c r="P30" t="s">
        <v>7</v>
      </c>
      <c r="Q30" t="s">
        <v>45</v>
      </c>
      <c r="R30" t="s">
        <v>89</v>
      </c>
      <c r="S30" t="s">
        <v>340</v>
      </c>
    </row>
    <row r="31" spans="1:19" hidden="1">
      <c r="A31" t="s">
        <v>2</v>
      </c>
      <c r="B31" t="s">
        <v>3</v>
      </c>
      <c r="C31" t="s">
        <v>50</v>
      </c>
      <c r="D31">
        <v>45904</v>
      </c>
      <c r="E31">
        <v>1800000487</v>
      </c>
      <c r="F31" t="s">
        <v>47</v>
      </c>
      <c r="G31">
        <v>45904</v>
      </c>
      <c r="H31">
        <v>45909</v>
      </c>
      <c r="I31">
        <v>256788410363</v>
      </c>
      <c r="J31" t="s">
        <v>8</v>
      </c>
      <c r="K31" t="s">
        <v>21</v>
      </c>
      <c r="L31">
        <v>227.74</v>
      </c>
      <c r="M31" t="s">
        <v>11</v>
      </c>
      <c r="N31">
        <v>19930.509999999998</v>
      </c>
      <c r="O31" t="s">
        <v>12</v>
      </c>
      <c r="P31" t="s">
        <v>7</v>
      </c>
      <c r="Q31" t="s">
        <v>45</v>
      </c>
      <c r="R31" t="s">
        <v>90</v>
      </c>
      <c r="S31" t="s">
        <v>335</v>
      </c>
    </row>
    <row r="32" spans="1:19" hidden="1">
      <c r="A32" t="s">
        <v>2</v>
      </c>
      <c r="B32" t="s">
        <v>3</v>
      </c>
      <c r="C32" t="s">
        <v>50</v>
      </c>
      <c r="D32">
        <v>45904</v>
      </c>
      <c r="E32">
        <v>1800000489</v>
      </c>
      <c r="F32" t="s">
        <v>47</v>
      </c>
      <c r="G32">
        <v>45904</v>
      </c>
      <c r="H32">
        <v>45909</v>
      </c>
      <c r="I32">
        <v>256788410364</v>
      </c>
      <c r="J32" t="s">
        <v>8</v>
      </c>
      <c r="K32" t="s">
        <v>21</v>
      </c>
      <c r="L32">
        <v>75</v>
      </c>
      <c r="M32" t="s">
        <v>11</v>
      </c>
      <c r="N32">
        <v>6563.57</v>
      </c>
      <c r="O32" t="s">
        <v>12</v>
      </c>
      <c r="P32" t="s">
        <v>7</v>
      </c>
      <c r="Q32" t="s">
        <v>91</v>
      </c>
      <c r="R32" t="s">
        <v>92</v>
      </c>
      <c r="S32" t="s">
        <v>334</v>
      </c>
    </row>
    <row r="33" spans="1:19" hidden="1">
      <c r="A33" t="s">
        <v>2</v>
      </c>
      <c r="B33" t="s">
        <v>3</v>
      </c>
      <c r="C33" t="s">
        <v>79</v>
      </c>
      <c r="D33">
        <v>45842</v>
      </c>
      <c r="E33">
        <v>1800010515</v>
      </c>
      <c r="F33" t="s">
        <v>47</v>
      </c>
      <c r="G33">
        <v>45842</v>
      </c>
      <c r="H33">
        <v>45847</v>
      </c>
      <c r="I33">
        <v>256779415275</v>
      </c>
      <c r="J33" t="s">
        <v>8</v>
      </c>
      <c r="K33" t="s">
        <v>21</v>
      </c>
      <c r="L33">
        <v>86.04</v>
      </c>
      <c r="M33" t="s">
        <v>11</v>
      </c>
      <c r="N33">
        <v>7399.5</v>
      </c>
      <c r="O33" t="s">
        <v>76</v>
      </c>
      <c r="P33" t="s">
        <v>7</v>
      </c>
      <c r="Q33" t="s">
        <v>7</v>
      </c>
      <c r="R33" t="s">
        <v>93</v>
      </c>
      <c r="S33" t="s">
        <v>339</v>
      </c>
    </row>
    <row r="34" spans="1:19" hidden="1">
      <c r="A34" t="s">
        <v>2</v>
      </c>
      <c r="B34" t="s">
        <v>3</v>
      </c>
      <c r="C34" t="s">
        <v>79</v>
      </c>
      <c r="D34">
        <v>45842</v>
      </c>
      <c r="E34">
        <v>1800000358</v>
      </c>
      <c r="F34" t="s">
        <v>47</v>
      </c>
      <c r="G34">
        <v>45842</v>
      </c>
      <c r="H34">
        <v>45847</v>
      </c>
      <c r="I34">
        <v>256788410233</v>
      </c>
      <c r="J34" t="s">
        <v>8</v>
      </c>
      <c r="K34" t="s">
        <v>21</v>
      </c>
      <c r="L34">
        <v>10350.540000000001</v>
      </c>
      <c r="M34" t="s">
        <v>11</v>
      </c>
      <c r="N34">
        <v>890153.37</v>
      </c>
      <c r="O34" t="s">
        <v>12</v>
      </c>
      <c r="P34" t="s">
        <v>7</v>
      </c>
      <c r="Q34" t="s">
        <v>45</v>
      </c>
      <c r="R34" t="s">
        <v>94</v>
      </c>
      <c r="S34" t="s">
        <v>334</v>
      </c>
    </row>
    <row r="35" spans="1:19" hidden="1">
      <c r="A35" t="s">
        <v>2</v>
      </c>
      <c r="B35" t="s">
        <v>3</v>
      </c>
      <c r="C35" t="s">
        <v>79</v>
      </c>
      <c r="D35">
        <v>45842</v>
      </c>
      <c r="E35">
        <v>1800000360</v>
      </c>
      <c r="F35" t="s">
        <v>47</v>
      </c>
      <c r="G35">
        <v>45842</v>
      </c>
      <c r="H35">
        <v>45847</v>
      </c>
      <c r="I35">
        <v>256788410235</v>
      </c>
      <c r="J35" t="s">
        <v>8</v>
      </c>
      <c r="K35" t="s">
        <v>21</v>
      </c>
      <c r="L35">
        <v>2323.12</v>
      </c>
      <c r="M35" t="s">
        <v>11</v>
      </c>
      <c r="N35">
        <v>199789.88</v>
      </c>
      <c r="O35" t="s">
        <v>12</v>
      </c>
      <c r="P35" t="s">
        <v>7</v>
      </c>
      <c r="Q35" t="s">
        <v>45</v>
      </c>
      <c r="R35" t="s">
        <v>95</v>
      </c>
      <c r="S35" t="s">
        <v>337</v>
      </c>
    </row>
    <row r="36" spans="1:19" hidden="1">
      <c r="A36" t="s">
        <v>2</v>
      </c>
      <c r="B36" t="s">
        <v>3</v>
      </c>
      <c r="C36" t="s">
        <v>79</v>
      </c>
      <c r="D36">
        <v>45842</v>
      </c>
      <c r="E36">
        <v>1800000362</v>
      </c>
      <c r="F36" t="s">
        <v>47</v>
      </c>
      <c r="G36">
        <v>45842</v>
      </c>
      <c r="H36">
        <v>45847</v>
      </c>
      <c r="I36">
        <v>256788410237</v>
      </c>
      <c r="J36" t="s">
        <v>8</v>
      </c>
      <c r="K36" t="s">
        <v>21</v>
      </c>
      <c r="L36">
        <v>75</v>
      </c>
      <c r="M36" t="s">
        <v>11</v>
      </c>
      <c r="N36">
        <v>6450.05</v>
      </c>
      <c r="O36" t="s">
        <v>12</v>
      </c>
      <c r="P36" t="s">
        <v>7</v>
      </c>
      <c r="Q36" t="s">
        <v>45</v>
      </c>
      <c r="R36" t="s">
        <v>96</v>
      </c>
      <c r="S36" t="s">
        <v>334</v>
      </c>
    </row>
    <row r="37" spans="1:19" hidden="1">
      <c r="A37" t="s">
        <v>2</v>
      </c>
      <c r="B37" t="s">
        <v>3</v>
      </c>
      <c r="C37" t="s">
        <v>79</v>
      </c>
      <c r="D37">
        <v>45842</v>
      </c>
      <c r="E37">
        <v>1800000380</v>
      </c>
      <c r="F37" t="s">
        <v>47</v>
      </c>
      <c r="G37">
        <v>45842</v>
      </c>
      <c r="H37">
        <v>45847</v>
      </c>
      <c r="I37">
        <v>256788410255</v>
      </c>
      <c r="J37" t="s">
        <v>8</v>
      </c>
      <c r="K37" t="s">
        <v>21</v>
      </c>
      <c r="L37">
        <v>14</v>
      </c>
      <c r="M37" t="s">
        <v>11</v>
      </c>
      <c r="N37">
        <v>1204.01</v>
      </c>
      <c r="O37" t="s">
        <v>12</v>
      </c>
      <c r="P37" t="s">
        <v>7</v>
      </c>
      <c r="Q37" t="s">
        <v>45</v>
      </c>
      <c r="R37" t="s">
        <v>97</v>
      </c>
      <c r="S37" t="s">
        <v>340</v>
      </c>
    </row>
    <row r="38" spans="1:19" hidden="1">
      <c r="A38" t="s">
        <v>2</v>
      </c>
      <c r="B38" t="s">
        <v>3</v>
      </c>
      <c r="C38" t="s">
        <v>79</v>
      </c>
      <c r="D38">
        <v>45842</v>
      </c>
      <c r="E38">
        <v>1800000382</v>
      </c>
      <c r="F38" t="s">
        <v>47</v>
      </c>
      <c r="G38">
        <v>45842</v>
      </c>
      <c r="H38">
        <v>45847</v>
      </c>
      <c r="I38">
        <v>256788410257</v>
      </c>
      <c r="J38" t="s">
        <v>8</v>
      </c>
      <c r="K38" t="s">
        <v>21</v>
      </c>
      <c r="L38">
        <v>67.760000000000005</v>
      </c>
      <c r="M38" t="s">
        <v>11</v>
      </c>
      <c r="N38">
        <v>5827.41</v>
      </c>
      <c r="O38" t="s">
        <v>12</v>
      </c>
      <c r="P38" t="s">
        <v>7</v>
      </c>
      <c r="Q38" t="s">
        <v>45</v>
      </c>
      <c r="R38" t="s">
        <v>98</v>
      </c>
      <c r="S38" t="s">
        <v>338</v>
      </c>
    </row>
    <row r="39" spans="1:19" hidden="1">
      <c r="A39" t="s">
        <v>2</v>
      </c>
      <c r="B39" t="s">
        <v>3</v>
      </c>
      <c r="C39" t="s">
        <v>79</v>
      </c>
      <c r="D39">
        <v>45842</v>
      </c>
      <c r="E39">
        <v>1800000383</v>
      </c>
      <c r="F39" t="s">
        <v>47</v>
      </c>
      <c r="G39">
        <v>45842</v>
      </c>
      <c r="H39">
        <v>45847</v>
      </c>
      <c r="I39">
        <v>256788410258</v>
      </c>
      <c r="J39" t="s">
        <v>8</v>
      </c>
      <c r="K39" t="s">
        <v>21</v>
      </c>
      <c r="L39">
        <v>17</v>
      </c>
      <c r="M39" t="s">
        <v>11</v>
      </c>
      <c r="N39">
        <v>1462.01</v>
      </c>
      <c r="O39" t="s">
        <v>12</v>
      </c>
      <c r="P39" t="s">
        <v>7</v>
      </c>
      <c r="Q39" t="s">
        <v>45</v>
      </c>
      <c r="R39" t="s">
        <v>99</v>
      </c>
      <c r="S39" t="s">
        <v>338</v>
      </c>
    </row>
    <row r="40" spans="1:19" hidden="1">
      <c r="A40" t="s">
        <v>2</v>
      </c>
      <c r="B40" t="s">
        <v>3</v>
      </c>
      <c r="C40" t="s">
        <v>79</v>
      </c>
      <c r="D40">
        <v>45842</v>
      </c>
      <c r="E40">
        <v>1800000391</v>
      </c>
      <c r="F40" t="s">
        <v>47</v>
      </c>
      <c r="G40">
        <v>45842</v>
      </c>
      <c r="H40">
        <v>45863</v>
      </c>
      <c r="I40">
        <v>256788410267</v>
      </c>
      <c r="J40" t="s">
        <v>8</v>
      </c>
      <c r="K40" t="s">
        <v>21</v>
      </c>
      <c r="L40">
        <v>9</v>
      </c>
      <c r="M40" t="s">
        <v>11</v>
      </c>
      <c r="N40">
        <v>774.01</v>
      </c>
      <c r="O40" t="s">
        <v>12</v>
      </c>
      <c r="P40" t="s">
        <v>7</v>
      </c>
      <c r="Q40" t="s">
        <v>45</v>
      </c>
      <c r="R40" t="s">
        <v>100</v>
      </c>
      <c r="S40" t="s">
        <v>338</v>
      </c>
    </row>
    <row r="41" spans="1:19" hidden="1">
      <c r="A41" t="s">
        <v>2</v>
      </c>
      <c r="B41" t="s">
        <v>3</v>
      </c>
      <c r="C41" t="s">
        <v>37</v>
      </c>
      <c r="D41">
        <v>45966</v>
      </c>
      <c r="E41">
        <v>1800000576</v>
      </c>
      <c r="F41" t="s">
        <v>47</v>
      </c>
      <c r="G41">
        <v>45966</v>
      </c>
      <c r="H41">
        <v>45966</v>
      </c>
      <c r="I41">
        <v>256788410441</v>
      </c>
      <c r="J41" t="s">
        <v>8</v>
      </c>
      <c r="K41" t="s">
        <v>21</v>
      </c>
      <c r="L41">
        <v>75</v>
      </c>
      <c r="M41" t="s">
        <v>11</v>
      </c>
      <c r="N41">
        <v>6600.25</v>
      </c>
      <c r="O41" t="s">
        <v>12</v>
      </c>
      <c r="P41" t="s">
        <v>7</v>
      </c>
      <c r="Q41" t="s">
        <v>101</v>
      </c>
      <c r="R41" t="s">
        <v>102</v>
      </c>
      <c r="S41" t="s">
        <v>334</v>
      </c>
    </row>
    <row r="42" spans="1:19" hidden="1">
      <c r="A42" t="s">
        <v>2</v>
      </c>
      <c r="B42" t="s">
        <v>3</v>
      </c>
      <c r="C42" t="s">
        <v>37</v>
      </c>
      <c r="D42">
        <v>45966</v>
      </c>
      <c r="E42">
        <v>1800000587</v>
      </c>
      <c r="F42" t="s">
        <v>47</v>
      </c>
      <c r="G42">
        <v>45966</v>
      </c>
      <c r="H42">
        <v>45967</v>
      </c>
      <c r="I42">
        <v>256788410448</v>
      </c>
      <c r="J42" t="s">
        <v>8</v>
      </c>
      <c r="K42" t="s">
        <v>21</v>
      </c>
      <c r="L42">
        <v>70</v>
      </c>
      <c r="M42" t="s">
        <v>11</v>
      </c>
      <c r="N42">
        <v>6160.24</v>
      </c>
      <c r="O42" t="s">
        <v>12</v>
      </c>
      <c r="P42" t="s">
        <v>7</v>
      </c>
      <c r="Q42" t="s">
        <v>103</v>
      </c>
      <c r="R42" t="s">
        <v>104</v>
      </c>
      <c r="S42" t="s">
        <v>335</v>
      </c>
    </row>
    <row r="43" spans="1:19" hidden="1">
      <c r="A43" t="s">
        <v>2</v>
      </c>
      <c r="B43" t="s">
        <v>3</v>
      </c>
      <c r="C43" t="s">
        <v>37</v>
      </c>
      <c r="D43">
        <v>45966</v>
      </c>
      <c r="E43">
        <v>1800000588</v>
      </c>
      <c r="F43" t="s">
        <v>47</v>
      </c>
      <c r="G43">
        <v>45966</v>
      </c>
      <c r="H43">
        <v>45967</v>
      </c>
      <c r="I43">
        <v>256788410449</v>
      </c>
      <c r="J43" t="s">
        <v>8</v>
      </c>
      <c r="K43" t="s">
        <v>21</v>
      </c>
      <c r="L43">
        <v>70</v>
      </c>
      <c r="M43" t="s">
        <v>11</v>
      </c>
      <c r="N43">
        <v>6160.24</v>
      </c>
      <c r="O43" t="s">
        <v>12</v>
      </c>
      <c r="P43" t="s">
        <v>7</v>
      </c>
      <c r="Q43" t="s">
        <v>103</v>
      </c>
      <c r="R43" t="s">
        <v>104</v>
      </c>
      <c r="S43" t="s">
        <v>335</v>
      </c>
    </row>
    <row r="44" spans="1:19" hidden="1">
      <c r="A44" t="s">
        <v>2</v>
      </c>
      <c r="B44" t="s">
        <v>3</v>
      </c>
      <c r="C44" t="s">
        <v>37</v>
      </c>
      <c r="D44">
        <v>45966</v>
      </c>
      <c r="E44">
        <v>1800000589</v>
      </c>
      <c r="F44" t="s">
        <v>47</v>
      </c>
      <c r="G44">
        <v>45966</v>
      </c>
      <c r="H44">
        <v>45967</v>
      </c>
      <c r="I44">
        <v>256788410450</v>
      </c>
      <c r="J44" t="s">
        <v>8</v>
      </c>
      <c r="K44" t="s">
        <v>21</v>
      </c>
      <c r="L44">
        <v>70</v>
      </c>
      <c r="M44" t="s">
        <v>11</v>
      </c>
      <c r="N44">
        <v>6160.24</v>
      </c>
      <c r="O44" t="s">
        <v>12</v>
      </c>
      <c r="P44" t="s">
        <v>7</v>
      </c>
      <c r="Q44" t="s">
        <v>103</v>
      </c>
      <c r="R44" t="s">
        <v>104</v>
      </c>
      <c r="S44" t="s">
        <v>335</v>
      </c>
    </row>
    <row r="45" spans="1:19" hidden="1">
      <c r="A45" t="s">
        <v>2</v>
      </c>
      <c r="B45" t="s">
        <v>3</v>
      </c>
      <c r="C45" t="s">
        <v>37</v>
      </c>
      <c r="D45">
        <v>45966</v>
      </c>
      <c r="E45">
        <v>1800000590</v>
      </c>
      <c r="F45" t="s">
        <v>47</v>
      </c>
      <c r="G45">
        <v>45966</v>
      </c>
      <c r="H45">
        <v>45967</v>
      </c>
      <c r="I45">
        <v>256788410451</v>
      </c>
      <c r="J45" t="s">
        <v>8</v>
      </c>
      <c r="K45" t="s">
        <v>21</v>
      </c>
      <c r="L45">
        <v>70</v>
      </c>
      <c r="M45" t="s">
        <v>11</v>
      </c>
      <c r="N45">
        <v>6160.24</v>
      </c>
      <c r="O45" t="s">
        <v>12</v>
      </c>
      <c r="P45" t="s">
        <v>7</v>
      </c>
      <c r="Q45" t="s">
        <v>103</v>
      </c>
      <c r="R45" t="s">
        <v>104</v>
      </c>
      <c r="S45" t="s">
        <v>335</v>
      </c>
    </row>
    <row r="46" spans="1:19" hidden="1">
      <c r="A46" t="s">
        <v>2</v>
      </c>
      <c r="B46" t="s">
        <v>3</v>
      </c>
      <c r="C46" t="s">
        <v>37</v>
      </c>
      <c r="D46">
        <v>45966</v>
      </c>
      <c r="E46">
        <v>1800000591</v>
      </c>
      <c r="F46" t="s">
        <v>47</v>
      </c>
      <c r="G46">
        <v>45966</v>
      </c>
      <c r="H46">
        <v>45967</v>
      </c>
      <c r="I46">
        <v>256788410452</v>
      </c>
      <c r="J46" t="s">
        <v>8</v>
      </c>
      <c r="K46" t="s">
        <v>21</v>
      </c>
      <c r="L46">
        <v>65.31</v>
      </c>
      <c r="M46" t="s">
        <v>11</v>
      </c>
      <c r="N46">
        <v>5747.5</v>
      </c>
      <c r="O46" t="s">
        <v>12</v>
      </c>
      <c r="P46" t="s">
        <v>7</v>
      </c>
      <c r="Q46" t="s">
        <v>103</v>
      </c>
      <c r="R46" t="s">
        <v>105</v>
      </c>
      <c r="S46" t="s">
        <v>339</v>
      </c>
    </row>
    <row r="47" spans="1:19" hidden="1">
      <c r="A47" t="s">
        <v>2</v>
      </c>
      <c r="B47" t="s">
        <v>3</v>
      </c>
      <c r="C47" t="s">
        <v>37</v>
      </c>
      <c r="D47">
        <v>45966</v>
      </c>
      <c r="E47">
        <v>1800000592</v>
      </c>
      <c r="F47" t="s">
        <v>47</v>
      </c>
      <c r="G47">
        <v>45966</v>
      </c>
      <c r="H47">
        <v>45967</v>
      </c>
      <c r="I47">
        <v>256788410453</v>
      </c>
      <c r="J47" t="s">
        <v>8</v>
      </c>
      <c r="K47" t="s">
        <v>21</v>
      </c>
      <c r="L47">
        <v>31.56</v>
      </c>
      <c r="M47" t="s">
        <v>11</v>
      </c>
      <c r="N47">
        <v>2777.39</v>
      </c>
      <c r="O47" t="s">
        <v>12</v>
      </c>
      <c r="P47" t="s">
        <v>7</v>
      </c>
      <c r="Q47" t="s">
        <v>103</v>
      </c>
      <c r="R47" t="s">
        <v>106</v>
      </c>
      <c r="S47" t="s">
        <v>342</v>
      </c>
    </row>
    <row r="48" spans="1:19">
      <c r="A48" t="s">
        <v>2</v>
      </c>
      <c r="B48" t="s">
        <v>3</v>
      </c>
      <c r="C48" t="s">
        <v>37</v>
      </c>
      <c r="D48">
        <v>45966</v>
      </c>
      <c r="E48">
        <v>1800000585</v>
      </c>
      <c r="F48" t="s">
        <v>47</v>
      </c>
      <c r="G48">
        <v>45966</v>
      </c>
      <c r="H48">
        <v>45967</v>
      </c>
      <c r="I48">
        <v>256788410454</v>
      </c>
      <c r="J48" t="s">
        <v>8</v>
      </c>
      <c r="K48" t="s">
        <v>21</v>
      </c>
      <c r="L48">
        <v>4547.2</v>
      </c>
      <c r="M48" t="s">
        <v>11</v>
      </c>
      <c r="N48">
        <v>400169.02</v>
      </c>
      <c r="O48" t="s">
        <v>12</v>
      </c>
      <c r="P48" t="s">
        <v>7</v>
      </c>
      <c r="Q48" t="s">
        <v>107</v>
      </c>
      <c r="R48" t="s">
        <v>108</v>
      </c>
      <c r="S48" t="s">
        <v>334</v>
      </c>
    </row>
    <row r="49" spans="1:19" hidden="1">
      <c r="A49" t="s">
        <v>2</v>
      </c>
      <c r="B49" t="s">
        <v>3</v>
      </c>
      <c r="C49" t="s">
        <v>37</v>
      </c>
      <c r="D49">
        <v>45966</v>
      </c>
      <c r="E49">
        <v>1800000593</v>
      </c>
      <c r="F49" t="s">
        <v>47</v>
      </c>
      <c r="G49">
        <v>45966</v>
      </c>
      <c r="H49">
        <v>45967</v>
      </c>
      <c r="I49">
        <v>256788410455</v>
      </c>
      <c r="J49" t="s">
        <v>8</v>
      </c>
      <c r="K49" t="s">
        <v>21</v>
      </c>
      <c r="L49">
        <v>338</v>
      </c>
      <c r="M49" t="s">
        <v>11</v>
      </c>
      <c r="N49">
        <v>29745.15</v>
      </c>
      <c r="O49" t="s">
        <v>12</v>
      </c>
      <c r="P49" t="s">
        <v>7</v>
      </c>
      <c r="Q49" t="s">
        <v>109</v>
      </c>
      <c r="R49" t="s">
        <v>110</v>
      </c>
      <c r="S49" t="s">
        <v>338</v>
      </c>
    </row>
    <row r="50" spans="1:19" hidden="1">
      <c r="A50" t="s">
        <v>2</v>
      </c>
      <c r="B50" t="s">
        <v>3</v>
      </c>
      <c r="C50" t="s">
        <v>37</v>
      </c>
      <c r="D50">
        <v>45966</v>
      </c>
      <c r="E50">
        <v>1800000584</v>
      </c>
      <c r="F50" t="s">
        <v>47</v>
      </c>
      <c r="G50">
        <v>45966</v>
      </c>
      <c r="H50">
        <v>45967</v>
      </c>
      <c r="I50">
        <v>256788410457</v>
      </c>
      <c r="J50" t="s">
        <v>8</v>
      </c>
      <c r="K50" t="s">
        <v>21</v>
      </c>
      <c r="L50">
        <v>93</v>
      </c>
      <c r="M50" t="s">
        <v>11</v>
      </c>
      <c r="N50">
        <v>8184.32</v>
      </c>
      <c r="O50" t="s">
        <v>12</v>
      </c>
      <c r="P50" t="s">
        <v>7</v>
      </c>
      <c r="Q50" t="s">
        <v>45</v>
      </c>
      <c r="R50" t="s">
        <v>111</v>
      </c>
      <c r="S50" t="s">
        <v>340</v>
      </c>
    </row>
    <row r="51" spans="1:19" hidden="1">
      <c r="A51" t="s">
        <v>2</v>
      </c>
      <c r="B51" t="s">
        <v>3</v>
      </c>
      <c r="C51" t="s">
        <v>37</v>
      </c>
      <c r="D51">
        <v>45966</v>
      </c>
      <c r="E51">
        <v>1800000586</v>
      </c>
      <c r="F51" t="s">
        <v>47</v>
      </c>
      <c r="G51">
        <v>45966</v>
      </c>
      <c r="H51">
        <v>45967</v>
      </c>
      <c r="I51">
        <v>256788410458</v>
      </c>
      <c r="J51" t="s">
        <v>8</v>
      </c>
      <c r="K51" t="s">
        <v>21</v>
      </c>
      <c r="L51">
        <v>103.89</v>
      </c>
      <c r="M51" t="s">
        <v>11</v>
      </c>
      <c r="N51">
        <v>9142.67</v>
      </c>
      <c r="O51" t="s">
        <v>12</v>
      </c>
      <c r="P51" t="s">
        <v>7</v>
      </c>
      <c r="Q51" t="s">
        <v>45</v>
      </c>
      <c r="R51" t="s">
        <v>112</v>
      </c>
      <c r="S51" t="s">
        <v>341</v>
      </c>
    </row>
    <row r="52" spans="1:19" hidden="1">
      <c r="A52" t="s">
        <v>2</v>
      </c>
      <c r="B52" t="s">
        <v>3</v>
      </c>
      <c r="C52" t="s">
        <v>24</v>
      </c>
      <c r="D52">
        <v>45877</v>
      </c>
      <c r="E52">
        <v>1800000466</v>
      </c>
      <c r="F52" t="s">
        <v>47</v>
      </c>
      <c r="G52">
        <v>45877</v>
      </c>
      <c r="H52">
        <v>45877</v>
      </c>
      <c r="I52">
        <v>256788410332</v>
      </c>
      <c r="J52" t="s">
        <v>8</v>
      </c>
      <c r="K52" t="s">
        <v>21</v>
      </c>
      <c r="L52">
        <v>443.76</v>
      </c>
      <c r="M52" t="s">
        <v>11</v>
      </c>
      <c r="N52">
        <v>38176.730000000003</v>
      </c>
      <c r="O52" t="s">
        <v>12</v>
      </c>
      <c r="P52" t="s">
        <v>7</v>
      </c>
      <c r="Q52" t="s">
        <v>45</v>
      </c>
      <c r="R52" t="s">
        <v>94</v>
      </c>
      <c r="S52" t="s">
        <v>334</v>
      </c>
    </row>
    <row r="53" spans="1:19" hidden="1">
      <c r="A53" t="s">
        <v>2</v>
      </c>
      <c r="B53" t="s">
        <v>3</v>
      </c>
      <c r="C53" t="s">
        <v>24</v>
      </c>
      <c r="D53">
        <v>45877</v>
      </c>
      <c r="E53">
        <v>1800000469</v>
      </c>
      <c r="F53" t="s">
        <v>47</v>
      </c>
      <c r="G53">
        <v>45877</v>
      </c>
      <c r="H53">
        <v>45877</v>
      </c>
      <c r="I53">
        <v>256788410335</v>
      </c>
      <c r="J53" t="s">
        <v>8</v>
      </c>
      <c r="K53" t="s">
        <v>21</v>
      </c>
      <c r="L53">
        <v>73.67</v>
      </c>
      <c r="M53" t="s">
        <v>11</v>
      </c>
      <c r="N53">
        <v>6337.84</v>
      </c>
      <c r="O53" t="s">
        <v>12</v>
      </c>
      <c r="P53" t="s">
        <v>7</v>
      </c>
      <c r="Q53" t="s">
        <v>45</v>
      </c>
      <c r="R53" t="s">
        <v>113</v>
      </c>
      <c r="S53" t="s">
        <v>339</v>
      </c>
    </row>
    <row r="54" spans="1:19" hidden="1">
      <c r="A54" t="s">
        <v>2</v>
      </c>
      <c r="B54" t="s">
        <v>3</v>
      </c>
      <c r="C54" t="s">
        <v>24</v>
      </c>
      <c r="D54">
        <v>45877</v>
      </c>
      <c r="E54">
        <v>1800000470</v>
      </c>
      <c r="F54" t="s">
        <v>47</v>
      </c>
      <c r="G54">
        <v>45877</v>
      </c>
      <c r="H54">
        <v>45877</v>
      </c>
      <c r="I54">
        <v>256788410336</v>
      </c>
      <c r="J54" t="s">
        <v>8</v>
      </c>
      <c r="K54" t="s">
        <v>21</v>
      </c>
      <c r="L54">
        <v>11976.87</v>
      </c>
      <c r="M54" t="s">
        <v>11</v>
      </c>
      <c r="N54">
        <v>1030371.56</v>
      </c>
      <c r="O54" t="s">
        <v>12</v>
      </c>
      <c r="P54" t="s">
        <v>7</v>
      </c>
      <c r="Q54" t="s">
        <v>45</v>
      </c>
      <c r="R54" t="s">
        <v>114</v>
      </c>
      <c r="S54" t="s">
        <v>334</v>
      </c>
    </row>
    <row r="55" spans="1:19" hidden="1">
      <c r="A55" t="s">
        <v>2</v>
      </c>
      <c r="B55" t="s">
        <v>3</v>
      </c>
      <c r="C55" t="s">
        <v>24</v>
      </c>
      <c r="D55">
        <v>45877</v>
      </c>
      <c r="E55">
        <v>1800000457</v>
      </c>
      <c r="F55" t="s">
        <v>47</v>
      </c>
      <c r="G55">
        <v>45877</v>
      </c>
      <c r="H55">
        <v>45877</v>
      </c>
      <c r="I55">
        <v>256788410338</v>
      </c>
      <c r="J55" t="s">
        <v>8</v>
      </c>
      <c r="K55" t="s">
        <v>21</v>
      </c>
      <c r="L55">
        <v>607.84</v>
      </c>
      <c r="M55" t="s">
        <v>11</v>
      </c>
      <c r="N55">
        <v>52292.55</v>
      </c>
      <c r="O55" t="s">
        <v>12</v>
      </c>
      <c r="P55" t="s">
        <v>7</v>
      </c>
      <c r="Q55" t="s">
        <v>45</v>
      </c>
      <c r="R55" t="s">
        <v>115</v>
      </c>
      <c r="S55" t="s">
        <v>335</v>
      </c>
    </row>
    <row r="56" spans="1:19" hidden="1">
      <c r="A56" t="s">
        <v>2</v>
      </c>
      <c r="B56" t="s">
        <v>3</v>
      </c>
      <c r="C56" t="s">
        <v>24</v>
      </c>
      <c r="D56">
        <v>45877</v>
      </c>
      <c r="E56">
        <v>1800000458</v>
      </c>
      <c r="F56" t="s">
        <v>47</v>
      </c>
      <c r="G56">
        <v>45877</v>
      </c>
      <c r="H56">
        <v>45877</v>
      </c>
      <c r="I56">
        <v>256788410339</v>
      </c>
      <c r="J56" t="s">
        <v>8</v>
      </c>
      <c r="K56" t="s">
        <v>21</v>
      </c>
      <c r="L56">
        <v>400</v>
      </c>
      <c r="M56" t="s">
        <v>11</v>
      </c>
      <c r="N56">
        <v>34412.050000000003</v>
      </c>
      <c r="O56" t="s">
        <v>12</v>
      </c>
      <c r="P56" t="s">
        <v>7</v>
      </c>
      <c r="Q56" t="s">
        <v>45</v>
      </c>
      <c r="R56" t="s">
        <v>115</v>
      </c>
      <c r="S56" t="s">
        <v>335</v>
      </c>
    </row>
    <row r="57" spans="1:19" hidden="1">
      <c r="A57" t="s">
        <v>2</v>
      </c>
      <c r="B57" t="s">
        <v>3</v>
      </c>
      <c r="C57" t="s">
        <v>24</v>
      </c>
      <c r="D57">
        <v>45877</v>
      </c>
      <c r="E57">
        <v>1800000459</v>
      </c>
      <c r="F57" t="s">
        <v>47</v>
      </c>
      <c r="G57">
        <v>45877</v>
      </c>
      <c r="H57">
        <v>45877</v>
      </c>
      <c r="I57">
        <v>256788410340</v>
      </c>
      <c r="J57" t="s">
        <v>8</v>
      </c>
      <c r="K57" t="s">
        <v>21</v>
      </c>
      <c r="L57">
        <v>90</v>
      </c>
      <c r="M57" t="s">
        <v>11</v>
      </c>
      <c r="N57">
        <v>7742.71</v>
      </c>
      <c r="O57" t="s">
        <v>12</v>
      </c>
      <c r="P57" t="s">
        <v>7</v>
      </c>
      <c r="Q57" t="s">
        <v>45</v>
      </c>
      <c r="R57" t="s">
        <v>116</v>
      </c>
      <c r="S57" t="s">
        <v>343</v>
      </c>
    </row>
    <row r="58" spans="1:19" hidden="1">
      <c r="A58" t="s">
        <v>2</v>
      </c>
      <c r="B58" t="s">
        <v>3</v>
      </c>
      <c r="C58" t="s">
        <v>24</v>
      </c>
      <c r="D58">
        <v>45877</v>
      </c>
      <c r="E58">
        <v>1800000460</v>
      </c>
      <c r="F58" t="s">
        <v>47</v>
      </c>
      <c r="G58">
        <v>45877</v>
      </c>
      <c r="H58">
        <v>45877</v>
      </c>
      <c r="I58">
        <v>256788410341</v>
      </c>
      <c r="J58" t="s">
        <v>8</v>
      </c>
      <c r="K58" t="s">
        <v>21</v>
      </c>
      <c r="L58">
        <v>31.3</v>
      </c>
      <c r="M58" t="s">
        <v>11</v>
      </c>
      <c r="N58">
        <v>2692.74</v>
      </c>
      <c r="O58" t="s">
        <v>12</v>
      </c>
      <c r="P58" t="s">
        <v>7</v>
      </c>
      <c r="Q58" t="s">
        <v>45</v>
      </c>
      <c r="R58" t="s">
        <v>117</v>
      </c>
      <c r="S58" t="s">
        <v>341</v>
      </c>
    </row>
    <row r="59" spans="1:19" hidden="1">
      <c r="A59" t="s">
        <v>2</v>
      </c>
      <c r="B59" t="s">
        <v>3</v>
      </c>
      <c r="C59" t="s">
        <v>24</v>
      </c>
      <c r="D59">
        <v>45877</v>
      </c>
      <c r="E59">
        <v>1800000461</v>
      </c>
      <c r="F59" t="s">
        <v>47</v>
      </c>
      <c r="G59">
        <v>45877</v>
      </c>
      <c r="H59">
        <v>45877</v>
      </c>
      <c r="I59">
        <v>256788410342</v>
      </c>
      <c r="J59" t="s">
        <v>8</v>
      </c>
      <c r="K59" t="s">
        <v>21</v>
      </c>
      <c r="L59">
        <v>2269.79</v>
      </c>
      <c r="M59" t="s">
        <v>11</v>
      </c>
      <c r="N59">
        <v>195270.31</v>
      </c>
      <c r="O59" t="s">
        <v>12</v>
      </c>
      <c r="P59" t="s">
        <v>7</v>
      </c>
      <c r="Q59" t="s">
        <v>45</v>
      </c>
      <c r="R59" t="s">
        <v>118</v>
      </c>
      <c r="S59" t="s">
        <v>337</v>
      </c>
    </row>
    <row r="60" spans="1:19" hidden="1">
      <c r="A60" t="s">
        <v>2</v>
      </c>
      <c r="B60" t="s">
        <v>3</v>
      </c>
      <c r="C60" t="s">
        <v>24</v>
      </c>
      <c r="D60">
        <v>45877</v>
      </c>
      <c r="E60">
        <v>1800000462</v>
      </c>
      <c r="F60" t="s">
        <v>47</v>
      </c>
      <c r="G60">
        <v>45877</v>
      </c>
      <c r="H60">
        <v>45877</v>
      </c>
      <c r="I60">
        <v>256788410343</v>
      </c>
      <c r="J60" t="s">
        <v>8</v>
      </c>
      <c r="K60" t="s">
        <v>21</v>
      </c>
      <c r="L60">
        <v>18.52</v>
      </c>
      <c r="M60" t="s">
        <v>11</v>
      </c>
      <c r="N60">
        <v>1593.28</v>
      </c>
      <c r="O60" t="s">
        <v>12</v>
      </c>
      <c r="P60" t="s">
        <v>7</v>
      </c>
      <c r="Q60" t="s">
        <v>45</v>
      </c>
      <c r="R60" t="s">
        <v>119</v>
      </c>
      <c r="S60" t="s">
        <v>338</v>
      </c>
    </row>
    <row r="61" spans="1:19" hidden="1">
      <c r="A61" t="s">
        <v>2</v>
      </c>
      <c r="B61" t="s">
        <v>3</v>
      </c>
      <c r="C61" t="s">
        <v>24</v>
      </c>
      <c r="D61">
        <v>45877</v>
      </c>
      <c r="E61">
        <v>1800000465</v>
      </c>
      <c r="F61" t="s">
        <v>47</v>
      </c>
      <c r="G61">
        <v>45877</v>
      </c>
      <c r="H61">
        <v>45877</v>
      </c>
      <c r="I61">
        <v>256788410346</v>
      </c>
      <c r="J61" t="s">
        <v>8</v>
      </c>
      <c r="K61" t="s">
        <v>21</v>
      </c>
      <c r="L61">
        <v>73.67</v>
      </c>
      <c r="M61" t="s">
        <v>11</v>
      </c>
      <c r="N61">
        <v>6337.84</v>
      </c>
      <c r="O61" t="s">
        <v>12</v>
      </c>
      <c r="P61" t="s">
        <v>7</v>
      </c>
      <c r="Q61" t="s">
        <v>45</v>
      </c>
      <c r="R61" t="s">
        <v>113</v>
      </c>
      <c r="S61" t="s">
        <v>339</v>
      </c>
    </row>
    <row r="62" spans="1:19" hidden="1">
      <c r="A62" t="s">
        <v>2</v>
      </c>
      <c r="B62" t="s">
        <v>3</v>
      </c>
      <c r="C62" t="s">
        <v>24</v>
      </c>
      <c r="D62">
        <v>45877</v>
      </c>
      <c r="E62">
        <v>1800000472</v>
      </c>
      <c r="F62" t="s">
        <v>47</v>
      </c>
      <c r="G62">
        <v>45877</v>
      </c>
      <c r="H62">
        <v>45877</v>
      </c>
      <c r="I62">
        <v>256788410347</v>
      </c>
      <c r="J62" t="s">
        <v>8</v>
      </c>
      <c r="K62" t="s">
        <v>21</v>
      </c>
      <c r="L62">
        <v>393.73</v>
      </c>
      <c r="M62" t="s">
        <v>11</v>
      </c>
      <c r="N62">
        <v>33872.639999999999</v>
      </c>
      <c r="O62" t="s">
        <v>12</v>
      </c>
      <c r="P62" t="s">
        <v>7</v>
      </c>
      <c r="Q62" t="s">
        <v>45</v>
      </c>
      <c r="R62" t="s">
        <v>120</v>
      </c>
      <c r="S62" t="s">
        <v>344</v>
      </c>
    </row>
    <row r="63" spans="1:19" hidden="1">
      <c r="A63" t="s">
        <v>2</v>
      </c>
      <c r="B63" t="s">
        <v>3</v>
      </c>
      <c r="C63" t="s">
        <v>61</v>
      </c>
      <c r="D63">
        <v>45812</v>
      </c>
      <c r="E63">
        <v>1800000350</v>
      </c>
      <c r="F63" t="s">
        <v>47</v>
      </c>
      <c r="G63">
        <v>45812</v>
      </c>
      <c r="H63">
        <v>45817</v>
      </c>
      <c r="I63">
        <v>256788410225</v>
      </c>
      <c r="J63" t="s">
        <v>8</v>
      </c>
      <c r="K63" t="s">
        <v>21</v>
      </c>
      <c r="L63">
        <v>111.13</v>
      </c>
      <c r="M63" t="s">
        <v>11</v>
      </c>
      <c r="N63">
        <v>9500.59</v>
      </c>
      <c r="O63" t="s">
        <v>12</v>
      </c>
      <c r="P63" t="s">
        <v>7</v>
      </c>
      <c r="Q63" t="s">
        <v>45</v>
      </c>
      <c r="R63" t="s">
        <v>121</v>
      </c>
      <c r="S63" t="s">
        <v>344</v>
      </c>
    </row>
    <row r="64" spans="1:19" hidden="1">
      <c r="A64" t="s">
        <v>2</v>
      </c>
      <c r="B64" t="s">
        <v>3</v>
      </c>
      <c r="C64" t="s">
        <v>61</v>
      </c>
      <c r="D64">
        <v>45812</v>
      </c>
      <c r="E64">
        <v>1800000351</v>
      </c>
      <c r="F64" t="s">
        <v>47</v>
      </c>
      <c r="G64">
        <v>45812</v>
      </c>
      <c r="H64">
        <v>45817</v>
      </c>
      <c r="I64">
        <v>256788410226</v>
      </c>
      <c r="J64" t="s">
        <v>8</v>
      </c>
      <c r="K64" t="s">
        <v>21</v>
      </c>
      <c r="L64">
        <v>223.31</v>
      </c>
      <c r="M64" t="s">
        <v>11</v>
      </c>
      <c r="N64">
        <v>19090.95</v>
      </c>
      <c r="O64" t="s">
        <v>12</v>
      </c>
      <c r="P64" t="s">
        <v>7</v>
      </c>
      <c r="Q64" t="s">
        <v>45</v>
      </c>
      <c r="R64" t="s">
        <v>122</v>
      </c>
      <c r="S64" t="s">
        <v>335</v>
      </c>
    </row>
    <row r="65" spans="1:19" hidden="1">
      <c r="A65" t="s">
        <v>2</v>
      </c>
      <c r="B65" t="s">
        <v>3</v>
      </c>
      <c r="C65" t="s">
        <v>61</v>
      </c>
      <c r="D65">
        <v>45812</v>
      </c>
      <c r="E65">
        <v>1800000352</v>
      </c>
      <c r="F65" t="s">
        <v>47</v>
      </c>
      <c r="G65">
        <v>45812</v>
      </c>
      <c r="H65">
        <v>45821</v>
      </c>
      <c r="I65">
        <v>256788410227</v>
      </c>
      <c r="J65" t="s">
        <v>8</v>
      </c>
      <c r="K65" t="s">
        <v>21</v>
      </c>
      <c r="L65">
        <v>27.61</v>
      </c>
      <c r="M65" t="s">
        <v>11</v>
      </c>
      <c r="N65">
        <v>2360.4</v>
      </c>
      <c r="O65" t="s">
        <v>12</v>
      </c>
      <c r="P65" t="s">
        <v>7</v>
      </c>
      <c r="Q65" t="s">
        <v>45</v>
      </c>
      <c r="R65" t="s">
        <v>123</v>
      </c>
      <c r="S65" t="s">
        <v>341</v>
      </c>
    </row>
    <row r="66" spans="1:19" hidden="1">
      <c r="A66" t="s">
        <v>2</v>
      </c>
      <c r="B66" t="s">
        <v>3</v>
      </c>
      <c r="C66" t="s">
        <v>16</v>
      </c>
      <c r="D66">
        <v>45705</v>
      </c>
      <c r="E66">
        <v>1800000000</v>
      </c>
      <c r="F66" t="s">
        <v>47</v>
      </c>
      <c r="G66">
        <v>45705</v>
      </c>
      <c r="H66">
        <v>45705</v>
      </c>
      <c r="I66">
        <v>246788410001</v>
      </c>
      <c r="J66" t="s">
        <v>8</v>
      </c>
      <c r="K66" t="s">
        <v>21</v>
      </c>
      <c r="L66">
        <v>75</v>
      </c>
      <c r="M66" t="s">
        <v>11</v>
      </c>
      <c r="N66">
        <v>6472.77</v>
      </c>
      <c r="O66" t="s">
        <v>12</v>
      </c>
      <c r="P66" t="s">
        <v>7</v>
      </c>
      <c r="Q66" t="s">
        <v>19</v>
      </c>
      <c r="R66" t="s">
        <v>126</v>
      </c>
      <c r="S66" t="s">
        <v>334</v>
      </c>
    </row>
    <row r="67" spans="1:19" hidden="1">
      <c r="A67" t="s">
        <v>2</v>
      </c>
      <c r="B67" t="s">
        <v>3</v>
      </c>
      <c r="C67" t="s">
        <v>67</v>
      </c>
      <c r="D67">
        <v>45805</v>
      </c>
      <c r="E67">
        <v>1800000346</v>
      </c>
      <c r="F67" t="s">
        <v>47</v>
      </c>
      <c r="G67">
        <v>45805</v>
      </c>
      <c r="H67">
        <v>45805</v>
      </c>
      <c r="I67">
        <v>256788410221</v>
      </c>
      <c r="J67" t="s">
        <v>8</v>
      </c>
      <c r="K67" t="s">
        <v>21</v>
      </c>
      <c r="L67">
        <v>10364.719999999999</v>
      </c>
      <c r="M67" t="s">
        <v>11</v>
      </c>
      <c r="N67">
        <v>891196.98</v>
      </c>
      <c r="O67" t="s">
        <v>12</v>
      </c>
      <c r="P67" t="s">
        <v>7</v>
      </c>
      <c r="Q67" t="s">
        <v>45</v>
      </c>
      <c r="R67" t="s">
        <v>127</v>
      </c>
      <c r="S67" t="s">
        <v>334</v>
      </c>
    </row>
    <row r="68" spans="1:19" hidden="1">
      <c r="A68" t="s">
        <v>2</v>
      </c>
      <c r="B68" t="s">
        <v>3</v>
      </c>
      <c r="C68" t="s">
        <v>79</v>
      </c>
      <c r="D68">
        <v>45856</v>
      </c>
      <c r="E68">
        <v>1800000389</v>
      </c>
      <c r="F68" t="s">
        <v>47</v>
      </c>
      <c r="G68">
        <v>45856</v>
      </c>
      <c r="H68">
        <v>45863</v>
      </c>
      <c r="I68">
        <v>256788410265</v>
      </c>
      <c r="J68" t="s">
        <v>8</v>
      </c>
      <c r="K68" t="s">
        <v>21</v>
      </c>
      <c r="L68">
        <v>1510.02</v>
      </c>
      <c r="M68" t="s">
        <v>11</v>
      </c>
      <c r="N68">
        <v>129862.73</v>
      </c>
      <c r="O68" t="s">
        <v>12</v>
      </c>
      <c r="P68" t="s">
        <v>7</v>
      </c>
      <c r="Q68" t="s">
        <v>45</v>
      </c>
      <c r="R68" t="s">
        <v>128</v>
      </c>
      <c r="S68" t="s">
        <v>335</v>
      </c>
    </row>
    <row r="69" spans="1:19" hidden="1">
      <c r="A69" t="s">
        <v>2</v>
      </c>
      <c r="B69" t="s">
        <v>3</v>
      </c>
      <c r="C69" t="s">
        <v>38</v>
      </c>
      <c r="D69">
        <v>45729</v>
      </c>
      <c r="E69">
        <v>1800000064</v>
      </c>
      <c r="F69" t="s">
        <v>47</v>
      </c>
      <c r="G69">
        <v>45729</v>
      </c>
      <c r="H69">
        <v>45730</v>
      </c>
      <c r="I69">
        <v>246788410059</v>
      </c>
      <c r="J69" t="s">
        <v>8</v>
      </c>
      <c r="K69" t="s">
        <v>21</v>
      </c>
      <c r="L69">
        <v>25.75</v>
      </c>
      <c r="M69" t="s">
        <v>11</v>
      </c>
      <c r="N69">
        <v>2232.3000000000002</v>
      </c>
      <c r="O69" t="s">
        <v>12</v>
      </c>
      <c r="P69" t="s">
        <v>7</v>
      </c>
      <c r="Q69" t="s">
        <v>45</v>
      </c>
      <c r="R69" t="s">
        <v>129</v>
      </c>
      <c r="S69" t="s">
        <v>339</v>
      </c>
    </row>
    <row r="70" spans="1:19" hidden="1">
      <c r="A70" t="s">
        <v>2</v>
      </c>
      <c r="B70" t="s">
        <v>3</v>
      </c>
      <c r="C70" t="s">
        <v>38</v>
      </c>
      <c r="D70">
        <v>45729</v>
      </c>
      <c r="E70">
        <v>1800000065</v>
      </c>
      <c r="F70" t="s">
        <v>47</v>
      </c>
      <c r="G70">
        <v>45729</v>
      </c>
      <c r="H70">
        <v>45730</v>
      </c>
      <c r="I70">
        <v>246788410060</v>
      </c>
      <c r="J70" t="s">
        <v>8</v>
      </c>
      <c r="K70" t="s">
        <v>21</v>
      </c>
      <c r="L70">
        <v>37.200000000000003</v>
      </c>
      <c r="M70" t="s">
        <v>11</v>
      </c>
      <c r="N70">
        <v>3224.91</v>
      </c>
      <c r="O70" t="s">
        <v>12</v>
      </c>
      <c r="P70" t="s">
        <v>7</v>
      </c>
      <c r="Q70" t="s">
        <v>45</v>
      </c>
      <c r="R70" t="s">
        <v>129</v>
      </c>
      <c r="S70" t="s">
        <v>339</v>
      </c>
    </row>
    <row r="71" spans="1:19" hidden="1">
      <c r="A71" t="s">
        <v>2</v>
      </c>
      <c r="B71" t="s">
        <v>3</v>
      </c>
      <c r="C71" t="s">
        <v>38</v>
      </c>
      <c r="D71">
        <v>45729</v>
      </c>
      <c r="E71">
        <v>1800000066</v>
      </c>
      <c r="F71" t="s">
        <v>47</v>
      </c>
      <c r="G71">
        <v>45729</v>
      </c>
      <c r="H71">
        <v>45730</v>
      </c>
      <c r="I71">
        <v>246788410061</v>
      </c>
      <c r="J71" t="s">
        <v>8</v>
      </c>
      <c r="K71" t="s">
        <v>21</v>
      </c>
      <c r="L71">
        <v>26.23</v>
      </c>
      <c r="M71" t="s">
        <v>11</v>
      </c>
      <c r="N71">
        <v>2273.91</v>
      </c>
      <c r="O71" t="s">
        <v>12</v>
      </c>
      <c r="P71" t="s">
        <v>7</v>
      </c>
      <c r="Q71" t="s">
        <v>45</v>
      </c>
      <c r="R71" t="s">
        <v>129</v>
      </c>
      <c r="S71" t="s">
        <v>339</v>
      </c>
    </row>
    <row r="72" spans="1:19" hidden="1">
      <c r="A72" t="s">
        <v>2</v>
      </c>
      <c r="B72" t="s">
        <v>3</v>
      </c>
      <c r="C72" t="s">
        <v>38</v>
      </c>
      <c r="D72">
        <v>45729</v>
      </c>
      <c r="E72">
        <v>1800000067</v>
      </c>
      <c r="F72" t="s">
        <v>47</v>
      </c>
      <c r="G72">
        <v>45729</v>
      </c>
      <c r="H72">
        <v>45730</v>
      </c>
      <c r="I72">
        <v>246788410062</v>
      </c>
      <c r="J72" t="s">
        <v>8</v>
      </c>
      <c r="K72" t="s">
        <v>21</v>
      </c>
      <c r="L72">
        <v>26.23</v>
      </c>
      <c r="M72" t="s">
        <v>11</v>
      </c>
      <c r="N72">
        <v>2273.91</v>
      </c>
      <c r="O72" t="s">
        <v>12</v>
      </c>
      <c r="P72" t="s">
        <v>7</v>
      </c>
      <c r="Q72" t="s">
        <v>45</v>
      </c>
      <c r="R72" t="s">
        <v>129</v>
      </c>
      <c r="S72" t="s">
        <v>339</v>
      </c>
    </row>
    <row r="73" spans="1:19" hidden="1">
      <c r="A73" t="s">
        <v>2</v>
      </c>
      <c r="B73" t="s">
        <v>3</v>
      </c>
      <c r="C73" t="s">
        <v>38</v>
      </c>
      <c r="D73">
        <v>45729</v>
      </c>
      <c r="E73">
        <v>1800000068</v>
      </c>
      <c r="F73" t="s">
        <v>47</v>
      </c>
      <c r="G73">
        <v>45729</v>
      </c>
      <c r="H73">
        <v>45730</v>
      </c>
      <c r="I73">
        <v>246788410063</v>
      </c>
      <c r="J73" t="s">
        <v>8</v>
      </c>
      <c r="K73" t="s">
        <v>21</v>
      </c>
      <c r="L73">
        <v>23.85</v>
      </c>
      <c r="M73" t="s">
        <v>11</v>
      </c>
      <c r="N73">
        <v>2067.59</v>
      </c>
      <c r="O73" t="s">
        <v>12</v>
      </c>
      <c r="P73" t="s">
        <v>7</v>
      </c>
      <c r="Q73" t="s">
        <v>45</v>
      </c>
      <c r="R73" t="s">
        <v>129</v>
      </c>
      <c r="S73" t="s">
        <v>339</v>
      </c>
    </row>
    <row r="74" spans="1:19" hidden="1">
      <c r="A74" t="s">
        <v>2</v>
      </c>
      <c r="B74" t="s">
        <v>3</v>
      </c>
      <c r="C74" t="s">
        <v>38</v>
      </c>
      <c r="D74">
        <v>45729</v>
      </c>
      <c r="E74">
        <v>1800000069</v>
      </c>
      <c r="F74" t="s">
        <v>47</v>
      </c>
      <c r="G74">
        <v>45729</v>
      </c>
      <c r="H74">
        <v>45730</v>
      </c>
      <c r="I74">
        <v>246788410064</v>
      </c>
      <c r="J74" t="s">
        <v>8</v>
      </c>
      <c r="K74" t="s">
        <v>21</v>
      </c>
      <c r="L74">
        <v>23.87</v>
      </c>
      <c r="M74" t="s">
        <v>11</v>
      </c>
      <c r="N74">
        <v>2069.3200000000002</v>
      </c>
      <c r="O74" t="s">
        <v>12</v>
      </c>
      <c r="P74" t="s">
        <v>7</v>
      </c>
      <c r="Q74" t="s">
        <v>45</v>
      </c>
      <c r="R74" t="s">
        <v>130</v>
      </c>
      <c r="S74" t="s">
        <v>339</v>
      </c>
    </row>
    <row r="75" spans="1:19" hidden="1">
      <c r="A75" t="s">
        <v>2</v>
      </c>
      <c r="B75" t="s">
        <v>3</v>
      </c>
      <c r="C75" t="s">
        <v>38</v>
      </c>
      <c r="D75">
        <v>45729</v>
      </c>
      <c r="E75">
        <v>1800000070</v>
      </c>
      <c r="F75" t="s">
        <v>47</v>
      </c>
      <c r="G75">
        <v>45729</v>
      </c>
      <c r="H75">
        <v>45730</v>
      </c>
      <c r="I75">
        <v>246788410065</v>
      </c>
      <c r="J75" t="s">
        <v>8</v>
      </c>
      <c r="K75" t="s">
        <v>21</v>
      </c>
      <c r="L75">
        <v>23.63</v>
      </c>
      <c r="M75" t="s">
        <v>11</v>
      </c>
      <c r="N75">
        <v>2048.5100000000002</v>
      </c>
      <c r="O75" t="s">
        <v>12</v>
      </c>
      <c r="P75" t="s">
        <v>7</v>
      </c>
      <c r="Q75" t="s">
        <v>45</v>
      </c>
      <c r="R75" t="s">
        <v>130</v>
      </c>
      <c r="S75" t="s">
        <v>339</v>
      </c>
    </row>
    <row r="76" spans="1:19" hidden="1">
      <c r="A76" t="s">
        <v>2</v>
      </c>
      <c r="B76" t="s">
        <v>3</v>
      </c>
      <c r="C76" t="s">
        <v>38</v>
      </c>
      <c r="D76">
        <v>45736</v>
      </c>
      <c r="E76">
        <v>1800005048</v>
      </c>
      <c r="F76" t="s">
        <v>47</v>
      </c>
      <c r="G76">
        <v>45736</v>
      </c>
      <c r="H76">
        <v>45737</v>
      </c>
      <c r="I76">
        <v>246779414916</v>
      </c>
      <c r="J76" t="s">
        <v>8</v>
      </c>
      <c r="K76" t="s">
        <v>21</v>
      </c>
      <c r="L76">
        <v>7.26</v>
      </c>
      <c r="M76" t="s">
        <v>11</v>
      </c>
      <c r="N76">
        <v>629.38</v>
      </c>
      <c r="O76" t="s">
        <v>76</v>
      </c>
      <c r="P76" t="s">
        <v>7</v>
      </c>
      <c r="Q76" t="s">
        <v>45</v>
      </c>
      <c r="R76" t="s">
        <v>131</v>
      </c>
      <c r="S76" t="s">
        <v>338</v>
      </c>
    </row>
    <row r="77" spans="1:19" hidden="1">
      <c r="A77" t="s">
        <v>2</v>
      </c>
      <c r="B77" t="s">
        <v>3</v>
      </c>
      <c r="C77" t="s">
        <v>38</v>
      </c>
      <c r="D77">
        <v>45736</v>
      </c>
      <c r="E77">
        <v>1800005049</v>
      </c>
      <c r="F77" t="s">
        <v>47</v>
      </c>
      <c r="G77">
        <v>45736</v>
      </c>
      <c r="H77">
        <v>45737</v>
      </c>
      <c r="I77">
        <v>246779414917</v>
      </c>
      <c r="J77" t="s">
        <v>8</v>
      </c>
      <c r="K77" t="s">
        <v>21</v>
      </c>
      <c r="L77">
        <v>12</v>
      </c>
      <c r="M77" t="s">
        <v>11</v>
      </c>
      <c r="N77">
        <v>1040.3</v>
      </c>
      <c r="O77" t="s">
        <v>76</v>
      </c>
      <c r="P77" t="s">
        <v>7</v>
      </c>
      <c r="Q77" t="s">
        <v>45</v>
      </c>
      <c r="R77" t="s">
        <v>132</v>
      </c>
      <c r="S77" t="s">
        <v>340</v>
      </c>
    </row>
    <row r="78" spans="1:19" hidden="1">
      <c r="A78" t="s">
        <v>2</v>
      </c>
      <c r="B78" t="s">
        <v>3</v>
      </c>
      <c r="C78" t="s">
        <v>16</v>
      </c>
      <c r="D78">
        <v>45708</v>
      </c>
      <c r="E78">
        <v>1800000029</v>
      </c>
      <c r="F78" t="s">
        <v>47</v>
      </c>
      <c r="G78">
        <v>45708</v>
      </c>
      <c r="H78">
        <v>45708</v>
      </c>
      <c r="I78">
        <v>246788410019</v>
      </c>
      <c r="J78" t="s">
        <v>8</v>
      </c>
      <c r="K78" t="s">
        <v>21</v>
      </c>
      <c r="L78">
        <v>75</v>
      </c>
      <c r="M78" t="s">
        <v>11</v>
      </c>
      <c r="N78">
        <v>6472.77</v>
      </c>
      <c r="O78" t="s">
        <v>12</v>
      </c>
      <c r="P78" t="s">
        <v>7</v>
      </c>
      <c r="Q78" t="s">
        <v>45</v>
      </c>
      <c r="R78" t="s">
        <v>133</v>
      </c>
      <c r="S78" t="s">
        <v>334</v>
      </c>
    </row>
    <row r="79" spans="1:19" hidden="1">
      <c r="A79" t="s">
        <v>2</v>
      </c>
      <c r="B79" t="s">
        <v>3</v>
      </c>
      <c r="C79" t="s">
        <v>16</v>
      </c>
      <c r="D79">
        <v>45708</v>
      </c>
      <c r="E79">
        <v>1800000033</v>
      </c>
      <c r="F79" t="s">
        <v>47</v>
      </c>
      <c r="G79">
        <v>45708</v>
      </c>
      <c r="H79">
        <v>45708</v>
      </c>
      <c r="I79">
        <v>246788410021</v>
      </c>
      <c r="J79" t="s">
        <v>8</v>
      </c>
      <c r="K79" t="s">
        <v>21</v>
      </c>
      <c r="L79">
        <v>75</v>
      </c>
      <c r="M79" t="s">
        <v>11</v>
      </c>
      <c r="N79">
        <v>6472.77</v>
      </c>
      <c r="O79" t="s">
        <v>12</v>
      </c>
      <c r="P79" t="s">
        <v>7</v>
      </c>
      <c r="Q79" t="s">
        <v>45</v>
      </c>
      <c r="R79" t="s">
        <v>134</v>
      </c>
      <c r="S79" t="s">
        <v>334</v>
      </c>
    </row>
    <row r="80" spans="1:19" hidden="1">
      <c r="A80" t="s">
        <v>2</v>
      </c>
      <c r="B80" t="s">
        <v>3</v>
      </c>
      <c r="C80" t="s">
        <v>24</v>
      </c>
      <c r="D80">
        <v>45889</v>
      </c>
      <c r="E80">
        <v>1800000476</v>
      </c>
      <c r="F80" t="s">
        <v>47</v>
      </c>
      <c r="G80">
        <v>45889</v>
      </c>
      <c r="H80">
        <v>45891</v>
      </c>
      <c r="I80">
        <v>256788410348</v>
      </c>
      <c r="J80" t="s">
        <v>8</v>
      </c>
      <c r="K80" t="s">
        <v>21</v>
      </c>
      <c r="L80">
        <v>20.57</v>
      </c>
      <c r="M80" t="s">
        <v>11</v>
      </c>
      <c r="N80">
        <v>1769.64</v>
      </c>
      <c r="O80" t="s">
        <v>12</v>
      </c>
      <c r="P80" t="s">
        <v>7</v>
      </c>
      <c r="Q80" t="s">
        <v>45</v>
      </c>
      <c r="R80" t="s">
        <v>135</v>
      </c>
      <c r="S80" t="s">
        <v>342</v>
      </c>
    </row>
    <row r="81" spans="1:19" hidden="1">
      <c r="A81" t="s">
        <v>2</v>
      </c>
      <c r="B81" t="s">
        <v>3</v>
      </c>
      <c r="C81" t="s">
        <v>24</v>
      </c>
      <c r="D81">
        <v>45889</v>
      </c>
      <c r="E81">
        <v>1800000473</v>
      </c>
      <c r="F81" t="s">
        <v>47</v>
      </c>
      <c r="G81">
        <v>45889</v>
      </c>
      <c r="H81">
        <v>45891</v>
      </c>
      <c r="I81">
        <v>256788410350</v>
      </c>
      <c r="J81" t="s">
        <v>8</v>
      </c>
      <c r="K81" t="s">
        <v>21</v>
      </c>
      <c r="L81">
        <v>141.91</v>
      </c>
      <c r="M81" t="s">
        <v>11</v>
      </c>
      <c r="N81">
        <v>12208.53</v>
      </c>
      <c r="O81" t="s">
        <v>12</v>
      </c>
      <c r="P81" t="s">
        <v>7</v>
      </c>
      <c r="Q81" t="s">
        <v>45</v>
      </c>
      <c r="R81" t="s">
        <v>136</v>
      </c>
      <c r="S81" t="s">
        <v>340</v>
      </c>
    </row>
    <row r="82" spans="1:19" hidden="1">
      <c r="A82" t="s">
        <v>2</v>
      </c>
      <c r="B82" t="s">
        <v>3</v>
      </c>
      <c r="C82" t="s">
        <v>24</v>
      </c>
      <c r="D82">
        <v>45889</v>
      </c>
      <c r="E82">
        <v>1800000475</v>
      </c>
      <c r="F82" t="s">
        <v>47</v>
      </c>
      <c r="G82">
        <v>45889</v>
      </c>
      <c r="H82">
        <v>45891</v>
      </c>
      <c r="I82">
        <v>256788410352</v>
      </c>
      <c r="J82" t="s">
        <v>8</v>
      </c>
      <c r="K82" t="s">
        <v>21</v>
      </c>
      <c r="L82">
        <v>342.84</v>
      </c>
      <c r="M82" t="s">
        <v>11</v>
      </c>
      <c r="N82">
        <v>29494.57</v>
      </c>
      <c r="O82" t="s">
        <v>12</v>
      </c>
      <c r="P82" t="s">
        <v>7</v>
      </c>
      <c r="Q82" t="s">
        <v>45</v>
      </c>
      <c r="R82" t="s">
        <v>137</v>
      </c>
      <c r="S82" t="s">
        <v>338</v>
      </c>
    </row>
    <row r="83" spans="1:19" hidden="1">
      <c r="A83" t="s">
        <v>2</v>
      </c>
      <c r="B83" t="s">
        <v>3</v>
      </c>
      <c r="C83" t="s">
        <v>16</v>
      </c>
      <c r="D83">
        <v>45707</v>
      </c>
      <c r="E83">
        <v>1800000006</v>
      </c>
      <c r="F83" t="s">
        <v>47</v>
      </c>
      <c r="G83">
        <v>45707</v>
      </c>
      <c r="H83">
        <v>45707</v>
      </c>
      <c r="I83">
        <v>246788410005</v>
      </c>
      <c r="J83" t="s">
        <v>8</v>
      </c>
      <c r="K83" t="s">
        <v>21</v>
      </c>
      <c r="L83">
        <v>75</v>
      </c>
      <c r="M83" t="s">
        <v>11</v>
      </c>
      <c r="N83">
        <v>6472.77</v>
      </c>
      <c r="O83" t="s">
        <v>12</v>
      </c>
      <c r="P83" t="s">
        <v>7</v>
      </c>
      <c r="Q83" t="s">
        <v>45</v>
      </c>
      <c r="R83" t="s">
        <v>126</v>
      </c>
      <c r="S83" t="s">
        <v>334</v>
      </c>
    </row>
    <row r="84" spans="1:19" hidden="1">
      <c r="A84" t="s">
        <v>2</v>
      </c>
      <c r="B84" t="s">
        <v>3</v>
      </c>
      <c r="C84" t="s">
        <v>16</v>
      </c>
      <c r="D84">
        <v>45707</v>
      </c>
      <c r="E84">
        <v>1800000022</v>
      </c>
      <c r="F84" t="s">
        <v>47</v>
      </c>
      <c r="G84">
        <v>45707</v>
      </c>
      <c r="H84">
        <v>45707</v>
      </c>
      <c r="I84">
        <v>246788410009</v>
      </c>
      <c r="J84" t="s">
        <v>8</v>
      </c>
      <c r="K84" t="s">
        <v>21</v>
      </c>
      <c r="L84">
        <v>75</v>
      </c>
      <c r="M84" t="s">
        <v>11</v>
      </c>
      <c r="N84">
        <v>6472.77</v>
      </c>
      <c r="O84" t="s">
        <v>12</v>
      </c>
      <c r="P84" t="s">
        <v>7</v>
      </c>
      <c r="Q84" t="s">
        <v>45</v>
      </c>
      <c r="R84" t="s">
        <v>139</v>
      </c>
      <c r="S84" t="s">
        <v>334</v>
      </c>
    </row>
    <row r="85" spans="1:19">
      <c r="A85" t="s">
        <v>2</v>
      </c>
      <c r="B85" t="s">
        <v>3</v>
      </c>
      <c r="C85" t="s">
        <v>16</v>
      </c>
      <c r="D85">
        <v>45707</v>
      </c>
      <c r="E85">
        <v>1800000018</v>
      </c>
      <c r="F85" t="s">
        <v>47</v>
      </c>
      <c r="G85">
        <v>45707</v>
      </c>
      <c r="H85">
        <v>45707</v>
      </c>
      <c r="I85">
        <v>246788410013</v>
      </c>
      <c r="J85" t="s">
        <v>8</v>
      </c>
      <c r="K85" t="s">
        <v>21</v>
      </c>
      <c r="L85">
        <v>75</v>
      </c>
      <c r="M85" t="s">
        <v>11</v>
      </c>
      <c r="N85">
        <v>6472.77</v>
      </c>
      <c r="O85" t="s">
        <v>12</v>
      </c>
      <c r="P85" t="s">
        <v>7</v>
      </c>
      <c r="Q85" t="s">
        <v>45</v>
      </c>
      <c r="R85" t="s">
        <v>140</v>
      </c>
      <c r="S85" t="s">
        <v>334</v>
      </c>
    </row>
    <row r="86" spans="1:19" hidden="1">
      <c r="A86" t="s">
        <v>2</v>
      </c>
      <c r="B86" t="s">
        <v>3</v>
      </c>
      <c r="C86" t="s">
        <v>16</v>
      </c>
      <c r="D86">
        <v>45707</v>
      </c>
      <c r="E86">
        <v>1800000010</v>
      </c>
      <c r="F86" t="s">
        <v>47</v>
      </c>
      <c r="G86">
        <v>45707</v>
      </c>
      <c r="H86">
        <v>45707</v>
      </c>
      <c r="I86">
        <v>246788410015</v>
      </c>
      <c r="J86" t="s">
        <v>8</v>
      </c>
      <c r="K86" t="s">
        <v>21</v>
      </c>
      <c r="L86">
        <v>75</v>
      </c>
      <c r="M86" t="s">
        <v>11</v>
      </c>
      <c r="N86">
        <v>6472.77</v>
      </c>
      <c r="O86" t="s">
        <v>12</v>
      </c>
      <c r="P86" t="s">
        <v>7</v>
      </c>
      <c r="Q86" t="s">
        <v>45</v>
      </c>
      <c r="R86" t="s">
        <v>141</v>
      </c>
      <c r="S86" t="s">
        <v>334</v>
      </c>
    </row>
    <row r="87" spans="1:19" hidden="1">
      <c r="A87" t="s">
        <v>2</v>
      </c>
      <c r="B87" t="s">
        <v>3</v>
      </c>
      <c r="C87" t="s">
        <v>16</v>
      </c>
      <c r="D87">
        <v>45707</v>
      </c>
      <c r="E87">
        <v>1800000012</v>
      </c>
      <c r="F87" t="s">
        <v>47</v>
      </c>
      <c r="G87">
        <v>45707</v>
      </c>
      <c r="H87">
        <v>45707</v>
      </c>
      <c r="I87">
        <v>246788410017</v>
      </c>
      <c r="J87" t="s">
        <v>8</v>
      </c>
      <c r="K87" t="s">
        <v>21</v>
      </c>
      <c r="L87">
        <v>75</v>
      </c>
      <c r="M87" t="s">
        <v>11</v>
      </c>
      <c r="N87">
        <v>6472.77</v>
      </c>
      <c r="O87" t="s">
        <v>12</v>
      </c>
      <c r="P87" t="s">
        <v>7</v>
      </c>
      <c r="Q87" t="s">
        <v>45</v>
      </c>
      <c r="R87" t="s">
        <v>142</v>
      </c>
      <c r="S87" t="s">
        <v>334</v>
      </c>
    </row>
    <row r="88" spans="1:19">
      <c r="A88" t="s">
        <v>2</v>
      </c>
      <c r="B88" t="s">
        <v>3</v>
      </c>
      <c r="C88" t="s">
        <v>37</v>
      </c>
      <c r="D88">
        <v>45973</v>
      </c>
      <c r="E88">
        <v>1800000594</v>
      </c>
      <c r="F88" t="s">
        <v>47</v>
      </c>
      <c r="G88">
        <v>45973</v>
      </c>
      <c r="H88">
        <v>45973</v>
      </c>
      <c r="I88">
        <v>256788410459</v>
      </c>
      <c r="J88" t="s">
        <v>8</v>
      </c>
      <c r="K88" t="s">
        <v>21</v>
      </c>
      <c r="L88">
        <v>8006.66</v>
      </c>
      <c r="M88" t="s">
        <v>11</v>
      </c>
      <c r="N88">
        <v>704613.22</v>
      </c>
      <c r="O88" t="s">
        <v>12</v>
      </c>
      <c r="P88" t="s">
        <v>7</v>
      </c>
      <c r="Q88" t="s">
        <v>145</v>
      </c>
      <c r="R88" t="s">
        <v>108</v>
      </c>
      <c r="S88" t="s">
        <v>334</v>
      </c>
    </row>
    <row r="89" spans="1:19" hidden="1">
      <c r="A89" t="s">
        <v>2</v>
      </c>
      <c r="B89" t="s">
        <v>3</v>
      </c>
      <c r="C89" t="s">
        <v>61</v>
      </c>
      <c r="D89">
        <v>45821</v>
      </c>
      <c r="E89">
        <v>1800009582</v>
      </c>
      <c r="F89" t="s">
        <v>47</v>
      </c>
      <c r="G89">
        <v>45821</v>
      </c>
      <c r="H89">
        <v>45825</v>
      </c>
      <c r="I89">
        <v>256779414346</v>
      </c>
      <c r="J89" t="s">
        <v>8</v>
      </c>
      <c r="K89" t="s">
        <v>21</v>
      </c>
      <c r="L89">
        <v>2322.04</v>
      </c>
      <c r="M89" t="s">
        <v>11</v>
      </c>
      <c r="N89">
        <v>198513.01</v>
      </c>
      <c r="O89" t="s">
        <v>76</v>
      </c>
      <c r="P89" t="s">
        <v>7</v>
      </c>
      <c r="Q89" t="s">
        <v>45</v>
      </c>
      <c r="R89" t="s">
        <v>148</v>
      </c>
      <c r="S89" t="s">
        <v>337</v>
      </c>
    </row>
    <row r="90" spans="1:19" hidden="1">
      <c r="A90" t="s">
        <v>2</v>
      </c>
      <c r="B90" t="s">
        <v>3</v>
      </c>
      <c r="C90" t="s">
        <v>67</v>
      </c>
      <c r="D90">
        <v>45797</v>
      </c>
      <c r="E90">
        <v>1800000345</v>
      </c>
      <c r="F90" t="s">
        <v>47</v>
      </c>
      <c r="G90">
        <v>45797</v>
      </c>
      <c r="H90">
        <v>45800</v>
      </c>
      <c r="I90">
        <v>256788410220</v>
      </c>
      <c r="J90" t="s">
        <v>8</v>
      </c>
      <c r="K90" t="s">
        <v>21</v>
      </c>
      <c r="L90">
        <v>67.2</v>
      </c>
      <c r="M90" t="s">
        <v>11</v>
      </c>
      <c r="N90">
        <v>5778.1</v>
      </c>
      <c r="O90" t="s">
        <v>12</v>
      </c>
      <c r="P90" t="s">
        <v>7</v>
      </c>
      <c r="Q90" t="s">
        <v>45</v>
      </c>
      <c r="R90" t="s">
        <v>149</v>
      </c>
      <c r="S90" t="s">
        <v>338</v>
      </c>
    </row>
    <row r="91" spans="1:19" hidden="1">
      <c r="A91" t="s">
        <v>2</v>
      </c>
      <c r="B91" t="s">
        <v>3</v>
      </c>
      <c r="C91" t="s">
        <v>4</v>
      </c>
      <c r="D91">
        <v>45750</v>
      </c>
      <c r="E91">
        <v>1800005306</v>
      </c>
      <c r="F91" t="s">
        <v>47</v>
      </c>
      <c r="G91">
        <v>45750</v>
      </c>
      <c r="H91">
        <v>45752</v>
      </c>
      <c r="I91">
        <v>256779410198</v>
      </c>
      <c r="J91" t="s">
        <v>8</v>
      </c>
      <c r="K91" t="s">
        <v>21</v>
      </c>
      <c r="L91">
        <v>3.45</v>
      </c>
      <c r="M91" t="s">
        <v>11</v>
      </c>
      <c r="N91">
        <v>299.88</v>
      </c>
      <c r="O91" t="s">
        <v>7</v>
      </c>
      <c r="P91" t="s">
        <v>7</v>
      </c>
      <c r="Q91" t="s">
        <v>45</v>
      </c>
      <c r="R91" t="s">
        <v>150</v>
      </c>
      <c r="S91" t="s">
        <v>339</v>
      </c>
    </row>
    <row r="92" spans="1:19" hidden="1">
      <c r="A92" t="s">
        <v>2</v>
      </c>
      <c r="B92" t="s">
        <v>3</v>
      </c>
      <c r="C92" t="s">
        <v>29</v>
      </c>
      <c r="D92">
        <v>45950</v>
      </c>
      <c r="E92">
        <v>1800000558</v>
      </c>
      <c r="F92" t="s">
        <v>47</v>
      </c>
      <c r="G92">
        <v>45950</v>
      </c>
      <c r="H92">
        <v>45951</v>
      </c>
      <c r="I92">
        <v>256788410435</v>
      </c>
      <c r="J92" t="s">
        <v>8</v>
      </c>
      <c r="K92" t="s">
        <v>21</v>
      </c>
      <c r="L92">
        <v>38</v>
      </c>
      <c r="M92" t="s">
        <v>11</v>
      </c>
      <c r="N92">
        <v>3351.25</v>
      </c>
      <c r="O92" t="s">
        <v>12</v>
      </c>
      <c r="P92" t="s">
        <v>7</v>
      </c>
      <c r="Q92" t="s">
        <v>151</v>
      </c>
      <c r="R92" t="s">
        <v>152</v>
      </c>
      <c r="S92" t="s">
        <v>340</v>
      </c>
    </row>
    <row r="93" spans="1:19" hidden="1">
      <c r="A93" t="s">
        <v>2</v>
      </c>
      <c r="B93" t="s">
        <v>3</v>
      </c>
      <c r="C93" t="s">
        <v>29</v>
      </c>
      <c r="D93">
        <v>45950</v>
      </c>
      <c r="E93">
        <v>1800000560</v>
      </c>
      <c r="F93" t="s">
        <v>47</v>
      </c>
      <c r="G93">
        <v>45950</v>
      </c>
      <c r="H93">
        <v>45951</v>
      </c>
      <c r="I93">
        <v>256788410437</v>
      </c>
      <c r="J93" t="s">
        <v>8</v>
      </c>
      <c r="K93" t="s">
        <v>21</v>
      </c>
      <c r="L93">
        <v>346.14</v>
      </c>
      <c r="M93" t="s">
        <v>11</v>
      </c>
      <c r="N93">
        <v>30526.35</v>
      </c>
      <c r="O93" t="s">
        <v>12</v>
      </c>
      <c r="P93" t="s">
        <v>7</v>
      </c>
      <c r="Q93" t="s">
        <v>153</v>
      </c>
      <c r="R93" t="s">
        <v>154</v>
      </c>
      <c r="S93" t="s">
        <v>338</v>
      </c>
    </row>
    <row r="94" spans="1:19" hidden="1">
      <c r="A94" t="s">
        <v>2</v>
      </c>
      <c r="B94" t="s">
        <v>3</v>
      </c>
      <c r="C94" t="s">
        <v>4</v>
      </c>
      <c r="D94">
        <v>45749</v>
      </c>
      <c r="E94">
        <v>1800000126</v>
      </c>
      <c r="F94" t="s">
        <v>47</v>
      </c>
      <c r="G94">
        <v>45749</v>
      </c>
      <c r="H94">
        <v>45752</v>
      </c>
      <c r="I94">
        <v>256788410001</v>
      </c>
      <c r="J94" t="s">
        <v>8</v>
      </c>
      <c r="K94" t="s">
        <v>21</v>
      </c>
      <c r="L94">
        <v>10887.57</v>
      </c>
      <c r="M94" t="s">
        <v>11</v>
      </c>
      <c r="N94">
        <v>946367.4</v>
      </c>
      <c r="O94" t="s">
        <v>7</v>
      </c>
      <c r="P94" t="s">
        <v>7</v>
      </c>
      <c r="Q94" t="s">
        <v>45</v>
      </c>
      <c r="R94" t="s">
        <v>155</v>
      </c>
      <c r="S94" t="s">
        <v>334</v>
      </c>
    </row>
    <row r="95" spans="1:19" hidden="1">
      <c r="A95" t="s">
        <v>2</v>
      </c>
      <c r="B95" t="s">
        <v>3</v>
      </c>
      <c r="C95" t="s">
        <v>4</v>
      </c>
      <c r="D95">
        <v>45749</v>
      </c>
      <c r="E95">
        <v>1800000127</v>
      </c>
      <c r="F95" t="s">
        <v>47</v>
      </c>
      <c r="G95">
        <v>45749</v>
      </c>
      <c r="H95">
        <v>45752</v>
      </c>
      <c r="I95">
        <v>256788410002</v>
      </c>
      <c r="J95" t="s">
        <v>8</v>
      </c>
      <c r="K95" t="s">
        <v>21</v>
      </c>
      <c r="L95">
        <v>9928.89</v>
      </c>
      <c r="M95" t="s">
        <v>11</v>
      </c>
      <c r="N95">
        <v>863037.19</v>
      </c>
      <c r="O95" t="s">
        <v>7</v>
      </c>
      <c r="P95" t="s">
        <v>7</v>
      </c>
      <c r="Q95" t="s">
        <v>45</v>
      </c>
      <c r="R95" t="s">
        <v>156</v>
      </c>
      <c r="S95" t="s">
        <v>334</v>
      </c>
    </row>
    <row r="96" spans="1:19" hidden="1">
      <c r="A96" t="s">
        <v>2</v>
      </c>
      <c r="B96" t="s">
        <v>3</v>
      </c>
      <c r="C96" t="s">
        <v>4</v>
      </c>
      <c r="D96">
        <v>45749</v>
      </c>
      <c r="E96">
        <v>1800000128</v>
      </c>
      <c r="F96" t="s">
        <v>47</v>
      </c>
      <c r="G96">
        <v>45749</v>
      </c>
      <c r="H96">
        <v>45752</v>
      </c>
      <c r="I96">
        <v>256788410003</v>
      </c>
      <c r="J96" t="s">
        <v>8</v>
      </c>
      <c r="K96" t="s">
        <v>21</v>
      </c>
      <c r="L96">
        <v>4.5</v>
      </c>
      <c r="M96" t="s">
        <v>11</v>
      </c>
      <c r="N96">
        <v>391.15</v>
      </c>
      <c r="O96" t="s">
        <v>7</v>
      </c>
      <c r="P96" t="s">
        <v>7</v>
      </c>
      <c r="Q96" t="s">
        <v>45</v>
      </c>
      <c r="R96" t="s">
        <v>157</v>
      </c>
      <c r="S96" t="s">
        <v>338</v>
      </c>
    </row>
    <row r="97" spans="1:19" hidden="1">
      <c r="A97" t="s">
        <v>2</v>
      </c>
      <c r="B97" t="s">
        <v>3</v>
      </c>
      <c r="C97" t="s">
        <v>4</v>
      </c>
      <c r="D97">
        <v>45749</v>
      </c>
      <c r="E97">
        <v>1800000129</v>
      </c>
      <c r="F97" t="s">
        <v>47</v>
      </c>
      <c r="G97">
        <v>45749</v>
      </c>
      <c r="H97">
        <v>45752</v>
      </c>
      <c r="I97">
        <v>256788410004</v>
      </c>
      <c r="J97" t="s">
        <v>8</v>
      </c>
      <c r="K97" t="s">
        <v>21</v>
      </c>
      <c r="L97">
        <v>2786.28</v>
      </c>
      <c r="M97" t="s">
        <v>11</v>
      </c>
      <c r="N97">
        <v>242188.53</v>
      </c>
      <c r="O97" t="s">
        <v>7</v>
      </c>
      <c r="P97" t="s">
        <v>7</v>
      </c>
      <c r="Q97" t="s">
        <v>45</v>
      </c>
      <c r="R97" t="s">
        <v>158</v>
      </c>
      <c r="S97" t="s">
        <v>337</v>
      </c>
    </row>
    <row r="98" spans="1:19" hidden="1">
      <c r="A98" t="s">
        <v>2</v>
      </c>
      <c r="B98" t="s">
        <v>3</v>
      </c>
      <c r="C98" t="s">
        <v>4</v>
      </c>
      <c r="D98">
        <v>45749</v>
      </c>
      <c r="E98">
        <v>1800000134</v>
      </c>
      <c r="F98" t="s">
        <v>47</v>
      </c>
      <c r="G98">
        <v>45749</v>
      </c>
      <c r="H98">
        <v>45752</v>
      </c>
      <c r="I98">
        <v>256788410009</v>
      </c>
      <c r="J98" t="s">
        <v>8</v>
      </c>
      <c r="K98" t="s">
        <v>21</v>
      </c>
      <c r="L98">
        <v>2934.66</v>
      </c>
      <c r="M98" t="s">
        <v>11</v>
      </c>
      <c r="N98">
        <v>255085.99</v>
      </c>
      <c r="O98" t="s">
        <v>7</v>
      </c>
      <c r="P98" t="s">
        <v>7</v>
      </c>
      <c r="Q98" t="s">
        <v>45</v>
      </c>
      <c r="R98" t="s">
        <v>159</v>
      </c>
      <c r="S98" t="s">
        <v>337</v>
      </c>
    </row>
    <row r="99" spans="1:19" hidden="1">
      <c r="A99" t="s">
        <v>2</v>
      </c>
      <c r="B99" t="s">
        <v>3</v>
      </c>
      <c r="C99" t="s">
        <v>4</v>
      </c>
      <c r="D99">
        <v>45749</v>
      </c>
      <c r="E99">
        <v>1800000138</v>
      </c>
      <c r="F99" t="s">
        <v>47</v>
      </c>
      <c r="G99">
        <v>45749</v>
      </c>
      <c r="H99">
        <v>45752</v>
      </c>
      <c r="I99">
        <v>256788410013</v>
      </c>
      <c r="J99" t="s">
        <v>8</v>
      </c>
      <c r="K99" t="s">
        <v>21</v>
      </c>
      <c r="L99">
        <v>2935.55</v>
      </c>
      <c r="M99" t="s">
        <v>11</v>
      </c>
      <c r="N99">
        <v>255163.35</v>
      </c>
      <c r="O99" t="s">
        <v>7</v>
      </c>
      <c r="P99" t="s">
        <v>7</v>
      </c>
      <c r="Q99" t="s">
        <v>45</v>
      </c>
      <c r="R99" t="s">
        <v>160</v>
      </c>
      <c r="S99" t="s">
        <v>337</v>
      </c>
    </row>
    <row r="100" spans="1:19" hidden="1">
      <c r="A100" t="s">
        <v>2</v>
      </c>
      <c r="B100" t="s">
        <v>3</v>
      </c>
      <c r="C100" t="s">
        <v>4</v>
      </c>
      <c r="D100">
        <v>45749</v>
      </c>
      <c r="E100">
        <v>1800000141</v>
      </c>
      <c r="F100" t="s">
        <v>47</v>
      </c>
      <c r="G100">
        <v>45749</v>
      </c>
      <c r="H100">
        <v>45752</v>
      </c>
      <c r="I100">
        <v>256788410016</v>
      </c>
      <c r="J100" t="s">
        <v>8</v>
      </c>
      <c r="K100" t="s">
        <v>21</v>
      </c>
      <c r="L100">
        <v>3979.2</v>
      </c>
      <c r="M100" t="s">
        <v>11</v>
      </c>
      <c r="N100">
        <v>345879.31</v>
      </c>
      <c r="O100" t="s">
        <v>7</v>
      </c>
      <c r="P100" t="s">
        <v>7</v>
      </c>
      <c r="Q100" t="s">
        <v>45</v>
      </c>
      <c r="R100" t="s">
        <v>161</v>
      </c>
      <c r="S100" t="s">
        <v>337</v>
      </c>
    </row>
    <row r="101" spans="1:19" hidden="1">
      <c r="A101" t="s">
        <v>2</v>
      </c>
      <c r="B101" t="s">
        <v>3</v>
      </c>
      <c r="C101" t="s">
        <v>4</v>
      </c>
      <c r="D101">
        <v>45749</v>
      </c>
      <c r="E101">
        <v>1800000144</v>
      </c>
      <c r="F101" t="s">
        <v>47</v>
      </c>
      <c r="G101">
        <v>45749</v>
      </c>
      <c r="H101">
        <v>45752</v>
      </c>
      <c r="I101">
        <v>256788410019</v>
      </c>
      <c r="J101" t="s">
        <v>8</v>
      </c>
      <c r="K101" t="s">
        <v>21</v>
      </c>
      <c r="L101">
        <v>75</v>
      </c>
      <c r="M101" t="s">
        <v>11</v>
      </c>
      <c r="N101">
        <v>6519.14</v>
      </c>
      <c r="O101" t="s">
        <v>7</v>
      </c>
      <c r="P101" t="s">
        <v>7</v>
      </c>
      <c r="Q101" t="s">
        <v>45</v>
      </c>
      <c r="R101" t="s">
        <v>133</v>
      </c>
      <c r="S101" t="s">
        <v>334</v>
      </c>
    </row>
    <row r="102" spans="1:19" hidden="1">
      <c r="A102" t="s">
        <v>2</v>
      </c>
      <c r="B102" t="s">
        <v>3</v>
      </c>
      <c r="C102" t="s">
        <v>4</v>
      </c>
      <c r="D102">
        <v>45749</v>
      </c>
      <c r="E102">
        <v>1800000148</v>
      </c>
      <c r="F102" t="s">
        <v>47</v>
      </c>
      <c r="G102">
        <v>45749</v>
      </c>
      <c r="H102">
        <v>45752</v>
      </c>
      <c r="I102">
        <v>256788410023</v>
      </c>
      <c r="J102" t="s">
        <v>8</v>
      </c>
      <c r="K102" t="s">
        <v>21</v>
      </c>
      <c r="L102">
        <v>75</v>
      </c>
      <c r="M102" t="s">
        <v>11</v>
      </c>
      <c r="N102">
        <v>6519.14</v>
      </c>
      <c r="O102" t="s">
        <v>7</v>
      </c>
      <c r="P102" t="s">
        <v>7</v>
      </c>
      <c r="Q102" t="s">
        <v>45</v>
      </c>
      <c r="R102" t="s">
        <v>134</v>
      </c>
      <c r="S102" t="s">
        <v>334</v>
      </c>
    </row>
    <row r="103" spans="1:19" hidden="1">
      <c r="A103" t="s">
        <v>2</v>
      </c>
      <c r="B103" t="s">
        <v>3</v>
      </c>
      <c r="C103" t="s">
        <v>162</v>
      </c>
      <c r="D103">
        <v>45995</v>
      </c>
      <c r="E103">
        <v>1800000608</v>
      </c>
      <c r="F103" t="s">
        <v>47</v>
      </c>
      <c r="G103">
        <v>45995</v>
      </c>
      <c r="H103">
        <v>46000</v>
      </c>
      <c r="I103">
        <v>256788410465</v>
      </c>
      <c r="J103" t="s">
        <v>8</v>
      </c>
      <c r="K103" t="s">
        <v>21</v>
      </c>
      <c r="L103">
        <v>3385.09</v>
      </c>
      <c r="M103" t="s">
        <v>11</v>
      </c>
      <c r="N103">
        <v>300257.96000000002</v>
      </c>
      <c r="O103" t="s">
        <v>12</v>
      </c>
      <c r="P103" t="s">
        <v>7</v>
      </c>
      <c r="Q103" t="s">
        <v>163</v>
      </c>
      <c r="R103" t="s">
        <v>164</v>
      </c>
      <c r="S103" t="s">
        <v>334</v>
      </c>
    </row>
    <row r="104" spans="1:19" hidden="1">
      <c r="A104" t="s">
        <v>2</v>
      </c>
      <c r="B104" t="s">
        <v>3</v>
      </c>
      <c r="C104" t="s">
        <v>162</v>
      </c>
      <c r="D104">
        <v>45995</v>
      </c>
      <c r="E104">
        <v>1800000609</v>
      </c>
      <c r="F104" t="s">
        <v>47</v>
      </c>
      <c r="G104">
        <v>45995</v>
      </c>
      <c r="H104">
        <v>46000</v>
      </c>
      <c r="I104">
        <v>256788410466</v>
      </c>
      <c r="J104" t="s">
        <v>8</v>
      </c>
      <c r="K104" t="s">
        <v>21</v>
      </c>
      <c r="L104">
        <v>75</v>
      </c>
      <c r="M104" t="s">
        <v>11</v>
      </c>
      <c r="N104">
        <v>6652.51</v>
      </c>
      <c r="O104" t="s">
        <v>12</v>
      </c>
      <c r="P104" t="s">
        <v>7</v>
      </c>
      <c r="Q104" t="s">
        <v>165</v>
      </c>
      <c r="R104" t="s">
        <v>166</v>
      </c>
      <c r="S104" t="s">
        <v>334</v>
      </c>
    </row>
    <row r="105" spans="1:19" hidden="1">
      <c r="A105" t="s">
        <v>2</v>
      </c>
      <c r="B105" t="s">
        <v>3</v>
      </c>
      <c r="C105" t="s">
        <v>38</v>
      </c>
      <c r="D105">
        <v>45734</v>
      </c>
      <c r="E105">
        <v>1800000084</v>
      </c>
      <c r="F105" t="s">
        <v>47</v>
      </c>
      <c r="G105">
        <v>45734</v>
      </c>
      <c r="H105">
        <v>45735</v>
      </c>
      <c r="I105">
        <v>246788410079</v>
      </c>
      <c r="J105" t="s">
        <v>8</v>
      </c>
      <c r="K105" t="s">
        <v>21</v>
      </c>
      <c r="L105">
        <v>75</v>
      </c>
      <c r="M105" t="s">
        <v>11</v>
      </c>
      <c r="N105">
        <v>6501.84</v>
      </c>
      <c r="O105" t="s">
        <v>12</v>
      </c>
      <c r="P105" t="s">
        <v>7</v>
      </c>
      <c r="Q105" t="s">
        <v>45</v>
      </c>
      <c r="R105" t="s">
        <v>167</v>
      </c>
      <c r="S105" t="s">
        <v>334</v>
      </c>
    </row>
    <row r="106" spans="1:19" hidden="1">
      <c r="A106" t="s">
        <v>2</v>
      </c>
      <c r="B106" t="s">
        <v>3</v>
      </c>
      <c r="C106" t="s">
        <v>38</v>
      </c>
      <c r="D106">
        <v>45734</v>
      </c>
      <c r="E106">
        <v>1800000086</v>
      </c>
      <c r="F106" t="s">
        <v>47</v>
      </c>
      <c r="G106">
        <v>45734</v>
      </c>
      <c r="H106">
        <v>45735</v>
      </c>
      <c r="I106">
        <v>246788410081</v>
      </c>
      <c r="J106" t="s">
        <v>8</v>
      </c>
      <c r="K106" t="s">
        <v>21</v>
      </c>
      <c r="L106">
        <v>2</v>
      </c>
      <c r="M106" t="s">
        <v>11</v>
      </c>
      <c r="N106">
        <v>173.38</v>
      </c>
      <c r="O106" t="s">
        <v>12</v>
      </c>
      <c r="P106" t="s">
        <v>7</v>
      </c>
      <c r="Q106" t="s">
        <v>45</v>
      </c>
      <c r="R106" t="s">
        <v>168</v>
      </c>
      <c r="S106" t="s">
        <v>338</v>
      </c>
    </row>
    <row r="107" spans="1:19" hidden="1">
      <c r="A107" t="s">
        <v>2</v>
      </c>
      <c r="B107" t="s">
        <v>3</v>
      </c>
      <c r="C107" t="s">
        <v>38</v>
      </c>
      <c r="D107">
        <v>45734</v>
      </c>
      <c r="E107">
        <v>1800000087</v>
      </c>
      <c r="F107" t="s">
        <v>47</v>
      </c>
      <c r="G107">
        <v>45734</v>
      </c>
      <c r="H107">
        <v>45735</v>
      </c>
      <c r="I107">
        <v>246788410082</v>
      </c>
      <c r="J107" t="s">
        <v>8</v>
      </c>
      <c r="K107" t="s">
        <v>21</v>
      </c>
      <c r="L107">
        <v>40</v>
      </c>
      <c r="M107" t="s">
        <v>11</v>
      </c>
      <c r="N107">
        <v>3467.65</v>
      </c>
      <c r="O107" t="s">
        <v>12</v>
      </c>
      <c r="P107" t="s">
        <v>7</v>
      </c>
      <c r="Q107" t="s">
        <v>45</v>
      </c>
      <c r="R107" t="s">
        <v>168</v>
      </c>
      <c r="S107" t="s">
        <v>338</v>
      </c>
    </row>
    <row r="108" spans="1:19" hidden="1">
      <c r="A108" t="s">
        <v>2</v>
      </c>
      <c r="B108" t="s">
        <v>3</v>
      </c>
      <c r="C108" t="s">
        <v>38</v>
      </c>
      <c r="D108">
        <v>45734</v>
      </c>
      <c r="E108">
        <v>1800000090</v>
      </c>
      <c r="F108" t="s">
        <v>47</v>
      </c>
      <c r="G108">
        <v>45734</v>
      </c>
      <c r="H108">
        <v>45735</v>
      </c>
      <c r="I108">
        <v>246788410085</v>
      </c>
      <c r="J108" t="s">
        <v>8</v>
      </c>
      <c r="K108" t="s">
        <v>21</v>
      </c>
      <c r="L108">
        <v>1324</v>
      </c>
      <c r="M108" t="s">
        <v>11</v>
      </c>
      <c r="N108">
        <v>114779.23</v>
      </c>
      <c r="O108" t="s">
        <v>12</v>
      </c>
      <c r="P108" t="s">
        <v>7</v>
      </c>
      <c r="Q108" t="s">
        <v>45</v>
      </c>
      <c r="R108" t="s">
        <v>169</v>
      </c>
      <c r="S108" t="s">
        <v>338</v>
      </c>
    </row>
    <row r="109" spans="1:19" hidden="1">
      <c r="A109" t="s">
        <v>2</v>
      </c>
      <c r="B109" t="s">
        <v>3</v>
      </c>
      <c r="C109" t="s">
        <v>38</v>
      </c>
      <c r="D109">
        <v>45734</v>
      </c>
      <c r="E109">
        <v>1800000091</v>
      </c>
      <c r="F109" t="s">
        <v>47</v>
      </c>
      <c r="G109">
        <v>45734</v>
      </c>
      <c r="H109">
        <v>45735</v>
      </c>
      <c r="I109">
        <v>246788410086</v>
      </c>
      <c r="J109" t="s">
        <v>8</v>
      </c>
      <c r="K109" t="s">
        <v>21</v>
      </c>
      <c r="L109">
        <v>0.5</v>
      </c>
      <c r="M109" t="s">
        <v>11</v>
      </c>
      <c r="N109">
        <v>43.35</v>
      </c>
      <c r="O109" t="s">
        <v>12</v>
      </c>
      <c r="P109" t="s">
        <v>7</v>
      </c>
      <c r="Q109" t="s">
        <v>45</v>
      </c>
      <c r="R109" t="s">
        <v>170</v>
      </c>
      <c r="S109" t="s">
        <v>338</v>
      </c>
    </row>
    <row r="110" spans="1:19" hidden="1">
      <c r="A110" t="s">
        <v>2</v>
      </c>
      <c r="B110" t="s">
        <v>3</v>
      </c>
      <c r="C110" t="s">
        <v>38</v>
      </c>
      <c r="D110">
        <v>45734</v>
      </c>
      <c r="E110">
        <v>1800000096</v>
      </c>
      <c r="F110" t="s">
        <v>47</v>
      </c>
      <c r="G110">
        <v>45734</v>
      </c>
      <c r="H110">
        <v>45735</v>
      </c>
      <c r="I110">
        <v>246788410088</v>
      </c>
      <c r="J110" t="s">
        <v>8</v>
      </c>
      <c r="K110" t="s">
        <v>21</v>
      </c>
      <c r="L110">
        <v>10</v>
      </c>
      <c r="M110" t="s">
        <v>11</v>
      </c>
      <c r="N110">
        <v>866.91</v>
      </c>
      <c r="O110" t="s">
        <v>12</v>
      </c>
      <c r="P110" t="s">
        <v>7</v>
      </c>
      <c r="Q110" t="s">
        <v>45</v>
      </c>
      <c r="R110" t="s">
        <v>171</v>
      </c>
      <c r="S110" t="s">
        <v>338</v>
      </c>
    </row>
    <row r="111" spans="1:19" hidden="1">
      <c r="A111" t="s">
        <v>2</v>
      </c>
      <c r="B111" t="s">
        <v>3</v>
      </c>
      <c r="C111" t="s">
        <v>38</v>
      </c>
      <c r="D111">
        <v>45734</v>
      </c>
      <c r="E111">
        <v>1800000097</v>
      </c>
      <c r="F111" t="s">
        <v>47</v>
      </c>
      <c r="G111">
        <v>45734</v>
      </c>
      <c r="H111">
        <v>45735</v>
      </c>
      <c r="I111">
        <v>246788410089</v>
      </c>
      <c r="J111" t="s">
        <v>8</v>
      </c>
      <c r="K111" t="s">
        <v>21</v>
      </c>
      <c r="L111">
        <v>0.63</v>
      </c>
      <c r="M111" t="s">
        <v>11</v>
      </c>
      <c r="N111">
        <v>54.62</v>
      </c>
      <c r="O111" t="s">
        <v>12</v>
      </c>
      <c r="P111" t="s">
        <v>7</v>
      </c>
      <c r="Q111" t="s">
        <v>45</v>
      </c>
      <c r="R111" t="s">
        <v>172</v>
      </c>
      <c r="S111" t="s">
        <v>338</v>
      </c>
    </row>
    <row r="112" spans="1:19" hidden="1">
      <c r="A112" t="s">
        <v>2</v>
      </c>
      <c r="B112" t="s">
        <v>3</v>
      </c>
      <c r="C112" t="s">
        <v>38</v>
      </c>
      <c r="D112">
        <v>45734</v>
      </c>
      <c r="E112">
        <v>1800000093</v>
      </c>
      <c r="F112" t="s">
        <v>47</v>
      </c>
      <c r="G112">
        <v>45734</v>
      </c>
      <c r="H112">
        <v>45735</v>
      </c>
      <c r="I112">
        <v>246788410091</v>
      </c>
      <c r="J112" t="s">
        <v>8</v>
      </c>
      <c r="K112" t="s">
        <v>21</v>
      </c>
      <c r="L112">
        <v>31.2</v>
      </c>
      <c r="M112" t="s">
        <v>11</v>
      </c>
      <c r="N112">
        <v>2704.77</v>
      </c>
      <c r="O112" t="s">
        <v>12</v>
      </c>
      <c r="P112" t="s">
        <v>7</v>
      </c>
      <c r="Q112" t="s">
        <v>45</v>
      </c>
      <c r="R112" t="s">
        <v>173</v>
      </c>
      <c r="S112" t="s">
        <v>338</v>
      </c>
    </row>
    <row r="113" spans="1:19" hidden="1">
      <c r="A113" t="s">
        <v>2</v>
      </c>
      <c r="B113" t="s">
        <v>3</v>
      </c>
      <c r="C113" t="s">
        <v>38</v>
      </c>
      <c r="D113">
        <v>45734</v>
      </c>
      <c r="E113">
        <v>1800000094</v>
      </c>
      <c r="F113" t="s">
        <v>47</v>
      </c>
      <c r="G113">
        <v>45734</v>
      </c>
      <c r="H113">
        <v>45735</v>
      </c>
      <c r="I113">
        <v>246788410092</v>
      </c>
      <c r="J113" t="s">
        <v>8</v>
      </c>
      <c r="K113" t="s">
        <v>21</v>
      </c>
      <c r="L113">
        <v>1.9</v>
      </c>
      <c r="M113" t="s">
        <v>11</v>
      </c>
      <c r="N113">
        <v>164.71</v>
      </c>
      <c r="O113" t="s">
        <v>12</v>
      </c>
      <c r="P113" t="s">
        <v>7</v>
      </c>
      <c r="Q113" t="s">
        <v>45</v>
      </c>
      <c r="R113" t="s">
        <v>174</v>
      </c>
      <c r="S113" t="s">
        <v>338</v>
      </c>
    </row>
    <row r="114" spans="1:19" hidden="1">
      <c r="A114" t="s">
        <v>2</v>
      </c>
      <c r="B114" t="s">
        <v>3</v>
      </c>
      <c r="C114" t="s">
        <v>38</v>
      </c>
      <c r="D114">
        <v>45734</v>
      </c>
      <c r="E114">
        <v>1800000098</v>
      </c>
      <c r="F114" t="s">
        <v>47</v>
      </c>
      <c r="G114">
        <v>45734</v>
      </c>
      <c r="H114">
        <v>45735</v>
      </c>
      <c r="I114">
        <v>246788410093</v>
      </c>
      <c r="J114" t="s">
        <v>8</v>
      </c>
      <c r="K114" t="s">
        <v>21</v>
      </c>
      <c r="L114">
        <v>14</v>
      </c>
      <c r="M114" t="s">
        <v>11</v>
      </c>
      <c r="N114">
        <v>1213.68</v>
      </c>
      <c r="O114" t="s">
        <v>12</v>
      </c>
      <c r="P114" t="s">
        <v>7</v>
      </c>
      <c r="Q114" t="s">
        <v>45</v>
      </c>
      <c r="R114" t="s">
        <v>175</v>
      </c>
      <c r="S114" t="s">
        <v>338</v>
      </c>
    </row>
    <row r="115" spans="1:19" hidden="1">
      <c r="A115" t="s">
        <v>2</v>
      </c>
      <c r="B115" t="s">
        <v>3</v>
      </c>
      <c r="C115" t="s">
        <v>38</v>
      </c>
      <c r="D115">
        <v>45735</v>
      </c>
      <c r="E115">
        <v>1800000103</v>
      </c>
      <c r="F115" t="s">
        <v>47</v>
      </c>
      <c r="G115">
        <v>45735</v>
      </c>
      <c r="H115">
        <v>45735</v>
      </c>
      <c r="I115">
        <v>246788410097</v>
      </c>
      <c r="J115" t="s">
        <v>8</v>
      </c>
      <c r="K115" t="s">
        <v>21</v>
      </c>
      <c r="L115">
        <v>12</v>
      </c>
      <c r="M115" t="s">
        <v>11</v>
      </c>
      <c r="N115">
        <v>1040.3</v>
      </c>
      <c r="O115" t="s">
        <v>12</v>
      </c>
      <c r="P115" t="s">
        <v>7</v>
      </c>
      <c r="Q115" t="s">
        <v>45</v>
      </c>
      <c r="R115" t="s">
        <v>176</v>
      </c>
      <c r="S115" t="s">
        <v>338</v>
      </c>
    </row>
    <row r="116" spans="1:19" hidden="1">
      <c r="A116" t="s">
        <v>2</v>
      </c>
      <c r="B116" t="s">
        <v>3</v>
      </c>
      <c r="C116" t="s">
        <v>38</v>
      </c>
      <c r="D116">
        <v>45735</v>
      </c>
      <c r="E116">
        <v>1800000104</v>
      </c>
      <c r="F116" t="s">
        <v>47</v>
      </c>
      <c r="G116">
        <v>45735</v>
      </c>
      <c r="H116">
        <v>45735</v>
      </c>
      <c r="I116">
        <v>246788410098</v>
      </c>
      <c r="J116" t="s">
        <v>8</v>
      </c>
      <c r="K116" t="s">
        <v>21</v>
      </c>
      <c r="L116">
        <v>5.2</v>
      </c>
      <c r="M116" t="s">
        <v>11</v>
      </c>
      <c r="N116">
        <v>450.79</v>
      </c>
      <c r="O116" t="s">
        <v>12</v>
      </c>
      <c r="P116" t="s">
        <v>7</v>
      </c>
      <c r="Q116" t="s">
        <v>45</v>
      </c>
      <c r="R116" t="s">
        <v>177</v>
      </c>
      <c r="S116" t="s">
        <v>340</v>
      </c>
    </row>
    <row r="117" spans="1:19" hidden="1">
      <c r="A117" t="s">
        <v>2</v>
      </c>
      <c r="B117" t="s">
        <v>3</v>
      </c>
      <c r="C117" t="s">
        <v>38</v>
      </c>
      <c r="D117">
        <v>45735</v>
      </c>
      <c r="E117">
        <v>1800000107</v>
      </c>
      <c r="F117" t="s">
        <v>47</v>
      </c>
      <c r="G117">
        <v>45735</v>
      </c>
      <c r="H117">
        <v>45735</v>
      </c>
      <c r="I117">
        <v>246788410101</v>
      </c>
      <c r="J117" t="s">
        <v>8</v>
      </c>
      <c r="K117" t="s">
        <v>21</v>
      </c>
      <c r="L117">
        <v>1.1200000000000001</v>
      </c>
      <c r="M117" t="s">
        <v>11</v>
      </c>
      <c r="N117">
        <v>97.09</v>
      </c>
      <c r="O117" t="s">
        <v>12</v>
      </c>
      <c r="P117" t="s">
        <v>7</v>
      </c>
      <c r="Q117" t="s">
        <v>45</v>
      </c>
      <c r="R117" t="s">
        <v>174</v>
      </c>
      <c r="S117" t="s">
        <v>338</v>
      </c>
    </row>
    <row r="118" spans="1:19" hidden="1">
      <c r="A118" t="s">
        <v>2</v>
      </c>
      <c r="B118" t="s">
        <v>3</v>
      </c>
      <c r="C118" t="s">
        <v>38</v>
      </c>
      <c r="D118">
        <v>45735</v>
      </c>
      <c r="E118">
        <v>1800000108</v>
      </c>
      <c r="F118" t="s">
        <v>47</v>
      </c>
      <c r="G118">
        <v>45735</v>
      </c>
      <c r="H118">
        <v>45735</v>
      </c>
      <c r="I118">
        <v>246788410102</v>
      </c>
      <c r="J118" t="s">
        <v>8</v>
      </c>
      <c r="K118" t="s">
        <v>21</v>
      </c>
      <c r="L118">
        <v>56</v>
      </c>
      <c r="M118" t="s">
        <v>11</v>
      </c>
      <c r="N118">
        <v>4854.71</v>
      </c>
      <c r="O118" t="s">
        <v>12</v>
      </c>
      <c r="P118" t="s">
        <v>7</v>
      </c>
      <c r="Q118" t="s">
        <v>45</v>
      </c>
      <c r="R118" t="s">
        <v>178</v>
      </c>
      <c r="S118" t="s">
        <v>338</v>
      </c>
    </row>
    <row r="119" spans="1:19" hidden="1">
      <c r="A119" t="s">
        <v>2</v>
      </c>
      <c r="B119" t="s">
        <v>3</v>
      </c>
      <c r="C119" t="s">
        <v>38</v>
      </c>
      <c r="D119">
        <v>45735</v>
      </c>
      <c r="E119">
        <v>1800000109</v>
      </c>
      <c r="F119" t="s">
        <v>47</v>
      </c>
      <c r="G119">
        <v>45735</v>
      </c>
      <c r="H119">
        <v>45735</v>
      </c>
      <c r="I119">
        <v>246788410103</v>
      </c>
      <c r="J119" t="s">
        <v>8</v>
      </c>
      <c r="K119" t="s">
        <v>21</v>
      </c>
      <c r="L119">
        <v>24</v>
      </c>
      <c r="M119" t="s">
        <v>11</v>
      </c>
      <c r="N119">
        <v>2080.59</v>
      </c>
      <c r="O119" t="s">
        <v>12</v>
      </c>
      <c r="P119" t="s">
        <v>7</v>
      </c>
      <c r="Q119" t="s">
        <v>45</v>
      </c>
      <c r="R119" t="s">
        <v>179</v>
      </c>
      <c r="S119" t="s">
        <v>340</v>
      </c>
    </row>
    <row r="120" spans="1:19" hidden="1">
      <c r="A120" t="s">
        <v>2</v>
      </c>
      <c r="B120" t="s">
        <v>3</v>
      </c>
      <c r="C120" t="s">
        <v>38</v>
      </c>
      <c r="D120">
        <v>45735</v>
      </c>
      <c r="E120">
        <v>1800000112</v>
      </c>
      <c r="F120" t="s">
        <v>47</v>
      </c>
      <c r="G120">
        <v>45735</v>
      </c>
      <c r="H120">
        <v>45735</v>
      </c>
      <c r="I120">
        <v>246788410106</v>
      </c>
      <c r="J120" t="s">
        <v>8</v>
      </c>
      <c r="K120" t="s">
        <v>21</v>
      </c>
      <c r="L120">
        <v>24</v>
      </c>
      <c r="M120" t="s">
        <v>11</v>
      </c>
      <c r="N120">
        <v>2080.59</v>
      </c>
      <c r="O120" t="s">
        <v>12</v>
      </c>
      <c r="P120" t="s">
        <v>7</v>
      </c>
      <c r="Q120" t="s">
        <v>45</v>
      </c>
      <c r="R120" t="s">
        <v>180</v>
      </c>
      <c r="S120" t="s">
        <v>340</v>
      </c>
    </row>
    <row r="121" spans="1:19" hidden="1">
      <c r="A121" t="s">
        <v>2</v>
      </c>
      <c r="B121" t="s">
        <v>3</v>
      </c>
      <c r="C121" t="s">
        <v>38</v>
      </c>
      <c r="D121">
        <v>45735</v>
      </c>
      <c r="E121">
        <v>1800000113</v>
      </c>
      <c r="F121" t="s">
        <v>47</v>
      </c>
      <c r="G121">
        <v>45735</v>
      </c>
      <c r="H121">
        <v>45735</v>
      </c>
      <c r="I121">
        <v>246788410107</v>
      </c>
      <c r="J121" t="s">
        <v>8</v>
      </c>
      <c r="K121" t="s">
        <v>21</v>
      </c>
      <c r="L121">
        <v>68.22</v>
      </c>
      <c r="M121" t="s">
        <v>11</v>
      </c>
      <c r="N121">
        <v>5914.08</v>
      </c>
      <c r="O121" t="s">
        <v>12</v>
      </c>
      <c r="P121" t="s">
        <v>7</v>
      </c>
      <c r="Q121" t="s">
        <v>45</v>
      </c>
      <c r="R121" t="s">
        <v>181</v>
      </c>
      <c r="S121" t="s">
        <v>338</v>
      </c>
    </row>
    <row r="122" spans="1:19" hidden="1">
      <c r="A122" t="s">
        <v>2</v>
      </c>
      <c r="B122" t="s">
        <v>3</v>
      </c>
      <c r="C122" t="s">
        <v>38</v>
      </c>
      <c r="D122">
        <v>45735</v>
      </c>
      <c r="E122">
        <v>1800000114</v>
      </c>
      <c r="F122" t="s">
        <v>47</v>
      </c>
      <c r="G122">
        <v>45735</v>
      </c>
      <c r="H122">
        <v>45735</v>
      </c>
      <c r="I122">
        <v>246788410108</v>
      </c>
      <c r="J122" t="s">
        <v>8</v>
      </c>
      <c r="K122" t="s">
        <v>21</v>
      </c>
      <c r="L122">
        <v>0.5</v>
      </c>
      <c r="M122" t="s">
        <v>11</v>
      </c>
      <c r="N122">
        <v>43.35</v>
      </c>
      <c r="O122" t="s">
        <v>12</v>
      </c>
      <c r="P122" t="s">
        <v>7</v>
      </c>
      <c r="Q122" t="s">
        <v>45</v>
      </c>
      <c r="R122" t="s">
        <v>172</v>
      </c>
      <c r="S122" t="s">
        <v>338</v>
      </c>
    </row>
    <row r="123" spans="1:19" hidden="1">
      <c r="A123" t="s">
        <v>2</v>
      </c>
      <c r="B123" t="s">
        <v>3</v>
      </c>
      <c r="C123" t="s">
        <v>38</v>
      </c>
      <c r="D123">
        <v>45735</v>
      </c>
      <c r="E123">
        <v>1800000115</v>
      </c>
      <c r="F123" t="s">
        <v>47</v>
      </c>
      <c r="G123">
        <v>45735</v>
      </c>
      <c r="H123">
        <v>45735</v>
      </c>
      <c r="I123">
        <v>246788410109</v>
      </c>
      <c r="J123" t="s">
        <v>8</v>
      </c>
      <c r="K123" t="s">
        <v>21</v>
      </c>
      <c r="L123">
        <v>2342.8000000000002</v>
      </c>
      <c r="M123" t="s">
        <v>11</v>
      </c>
      <c r="N123">
        <v>203100.28</v>
      </c>
      <c r="O123" t="s">
        <v>12</v>
      </c>
      <c r="P123" t="s">
        <v>7</v>
      </c>
      <c r="Q123" t="s">
        <v>45</v>
      </c>
      <c r="R123" t="s">
        <v>182</v>
      </c>
      <c r="S123" t="s">
        <v>338</v>
      </c>
    </row>
    <row r="124" spans="1:19" hidden="1">
      <c r="A124" t="s">
        <v>2</v>
      </c>
      <c r="B124" t="s">
        <v>3</v>
      </c>
      <c r="C124" t="s">
        <v>38</v>
      </c>
      <c r="D124">
        <v>45735</v>
      </c>
      <c r="E124">
        <v>1800000116</v>
      </c>
      <c r="F124" t="s">
        <v>47</v>
      </c>
      <c r="G124">
        <v>45735</v>
      </c>
      <c r="H124">
        <v>45735</v>
      </c>
      <c r="I124">
        <v>246788410110</v>
      </c>
      <c r="J124" t="s">
        <v>8</v>
      </c>
      <c r="K124" t="s">
        <v>21</v>
      </c>
      <c r="L124">
        <v>456</v>
      </c>
      <c r="M124" t="s">
        <v>11</v>
      </c>
      <c r="N124">
        <v>39531.21</v>
      </c>
      <c r="O124" t="s">
        <v>12</v>
      </c>
      <c r="P124" t="s">
        <v>7</v>
      </c>
      <c r="Q124" t="s">
        <v>45</v>
      </c>
      <c r="R124" t="s">
        <v>183</v>
      </c>
      <c r="S124" t="s">
        <v>340</v>
      </c>
    </row>
    <row r="125" spans="1:19" hidden="1">
      <c r="A125" t="s">
        <v>2</v>
      </c>
      <c r="B125" t="s">
        <v>3</v>
      </c>
      <c r="C125" t="s">
        <v>38</v>
      </c>
      <c r="D125">
        <v>45735</v>
      </c>
      <c r="E125">
        <v>1800000117</v>
      </c>
      <c r="F125" t="s">
        <v>47</v>
      </c>
      <c r="G125">
        <v>45735</v>
      </c>
      <c r="H125">
        <v>45735</v>
      </c>
      <c r="I125">
        <v>246788410111</v>
      </c>
      <c r="J125" t="s">
        <v>8</v>
      </c>
      <c r="K125" t="s">
        <v>21</v>
      </c>
      <c r="L125">
        <v>14</v>
      </c>
      <c r="M125" t="s">
        <v>11</v>
      </c>
      <c r="N125">
        <v>1213.68</v>
      </c>
      <c r="O125" t="s">
        <v>12</v>
      </c>
      <c r="P125" t="s">
        <v>7</v>
      </c>
      <c r="Q125" t="s">
        <v>45</v>
      </c>
      <c r="R125" t="s">
        <v>184</v>
      </c>
      <c r="S125" t="s">
        <v>338</v>
      </c>
    </row>
    <row r="126" spans="1:19" hidden="1">
      <c r="A126" t="s">
        <v>2</v>
      </c>
      <c r="B126" t="s">
        <v>3</v>
      </c>
      <c r="C126" t="s">
        <v>38</v>
      </c>
      <c r="D126">
        <v>45735</v>
      </c>
      <c r="E126">
        <v>1800000118</v>
      </c>
      <c r="F126" t="s">
        <v>47</v>
      </c>
      <c r="G126">
        <v>45735</v>
      </c>
      <c r="H126">
        <v>45735</v>
      </c>
      <c r="I126">
        <v>246788410112</v>
      </c>
      <c r="J126" t="s">
        <v>8</v>
      </c>
      <c r="K126" t="s">
        <v>21</v>
      </c>
      <c r="L126">
        <v>1</v>
      </c>
      <c r="M126" t="s">
        <v>11</v>
      </c>
      <c r="N126">
        <v>86.69</v>
      </c>
      <c r="O126" t="s">
        <v>12</v>
      </c>
      <c r="P126" t="s">
        <v>7</v>
      </c>
      <c r="Q126" t="s">
        <v>45</v>
      </c>
      <c r="R126" t="s">
        <v>185</v>
      </c>
      <c r="S126" t="s">
        <v>338</v>
      </c>
    </row>
    <row r="127" spans="1:19" hidden="1">
      <c r="A127" t="s">
        <v>2</v>
      </c>
      <c r="B127" t="s">
        <v>3</v>
      </c>
      <c r="C127" t="s">
        <v>38</v>
      </c>
      <c r="D127">
        <v>45735</v>
      </c>
      <c r="E127">
        <v>1800000120</v>
      </c>
      <c r="F127" t="s">
        <v>47</v>
      </c>
      <c r="G127" s="34">
        <v>45735</v>
      </c>
      <c r="H127">
        <v>45735</v>
      </c>
      <c r="I127">
        <v>246788410114</v>
      </c>
      <c r="J127" t="s">
        <v>8</v>
      </c>
      <c r="K127" t="s">
        <v>21</v>
      </c>
      <c r="L127">
        <v>52.7</v>
      </c>
      <c r="M127" t="s">
        <v>11</v>
      </c>
      <c r="N127">
        <v>4568.63</v>
      </c>
      <c r="O127" t="s">
        <v>12</v>
      </c>
      <c r="P127" t="s">
        <v>7</v>
      </c>
      <c r="Q127" t="s">
        <v>45</v>
      </c>
      <c r="R127" t="s">
        <v>186</v>
      </c>
      <c r="S127" t="s">
        <v>344</v>
      </c>
    </row>
    <row r="128" spans="1:19" hidden="1">
      <c r="A128" t="s">
        <v>2</v>
      </c>
      <c r="B128" t="s">
        <v>3</v>
      </c>
      <c r="C128" t="s">
        <v>38</v>
      </c>
      <c r="D128">
        <v>45735</v>
      </c>
      <c r="E128">
        <v>1800000121</v>
      </c>
      <c r="F128" t="s">
        <v>47</v>
      </c>
      <c r="G128">
        <v>45735</v>
      </c>
      <c r="H128">
        <v>45735</v>
      </c>
      <c r="I128">
        <v>246788410115</v>
      </c>
      <c r="J128" t="s">
        <v>8</v>
      </c>
      <c r="K128" t="s">
        <v>21</v>
      </c>
      <c r="L128">
        <v>2293.63</v>
      </c>
      <c r="M128" t="s">
        <v>11</v>
      </c>
      <c r="N128">
        <v>198837.67</v>
      </c>
      <c r="O128" t="s">
        <v>12</v>
      </c>
      <c r="P128" t="s">
        <v>7</v>
      </c>
      <c r="Q128" t="s">
        <v>45</v>
      </c>
      <c r="R128" t="s">
        <v>187</v>
      </c>
      <c r="S128" t="s">
        <v>337</v>
      </c>
    </row>
    <row r="129" spans="1:19" hidden="1">
      <c r="A129" t="s">
        <v>2</v>
      </c>
      <c r="B129" t="s">
        <v>3</v>
      </c>
      <c r="C129" t="s">
        <v>38</v>
      </c>
      <c r="D129">
        <v>45735</v>
      </c>
      <c r="E129">
        <v>1800000122</v>
      </c>
      <c r="F129" t="s">
        <v>47</v>
      </c>
      <c r="G129">
        <v>45735</v>
      </c>
      <c r="H129">
        <v>45735</v>
      </c>
      <c r="I129">
        <v>246788410116</v>
      </c>
      <c r="J129" t="s">
        <v>8</v>
      </c>
      <c r="K129" t="s">
        <v>21</v>
      </c>
      <c r="L129">
        <v>2273.6799999999998</v>
      </c>
      <c r="M129" t="s">
        <v>11</v>
      </c>
      <c r="N129">
        <v>197108.18</v>
      </c>
      <c r="O129" t="s">
        <v>12</v>
      </c>
      <c r="P129" t="s">
        <v>7</v>
      </c>
      <c r="Q129" t="s">
        <v>45</v>
      </c>
      <c r="R129" t="s">
        <v>188</v>
      </c>
      <c r="S129" t="s">
        <v>337</v>
      </c>
    </row>
    <row r="130" spans="1:19" hidden="1">
      <c r="A130" t="s">
        <v>2</v>
      </c>
      <c r="B130" t="s">
        <v>3</v>
      </c>
      <c r="C130" t="s">
        <v>38</v>
      </c>
      <c r="D130">
        <v>45735</v>
      </c>
      <c r="E130">
        <v>1800000123</v>
      </c>
      <c r="F130" t="s">
        <v>47</v>
      </c>
      <c r="G130">
        <v>45735</v>
      </c>
      <c r="H130">
        <v>45735</v>
      </c>
      <c r="I130">
        <v>246788410117</v>
      </c>
      <c r="J130" t="s">
        <v>8</v>
      </c>
      <c r="K130" t="s">
        <v>21</v>
      </c>
      <c r="L130">
        <v>66.73</v>
      </c>
      <c r="M130" t="s">
        <v>11</v>
      </c>
      <c r="N130">
        <v>5784.91</v>
      </c>
      <c r="O130" t="s">
        <v>12</v>
      </c>
      <c r="P130" t="s">
        <v>7</v>
      </c>
      <c r="Q130" t="s">
        <v>45</v>
      </c>
      <c r="R130" t="s">
        <v>189</v>
      </c>
      <c r="S130" t="s">
        <v>337</v>
      </c>
    </row>
    <row r="131" spans="1:19" hidden="1">
      <c r="A131" t="s">
        <v>2</v>
      </c>
      <c r="B131" t="s">
        <v>3</v>
      </c>
      <c r="C131" t="s">
        <v>38</v>
      </c>
      <c r="D131">
        <v>45735</v>
      </c>
      <c r="E131">
        <v>1800000124</v>
      </c>
      <c r="F131" t="s">
        <v>47</v>
      </c>
      <c r="G131">
        <v>45735</v>
      </c>
      <c r="H131">
        <v>45735</v>
      </c>
      <c r="I131">
        <v>246788410118</v>
      </c>
      <c r="J131" t="s">
        <v>8</v>
      </c>
      <c r="K131" t="s">
        <v>21</v>
      </c>
      <c r="L131">
        <v>149.72999999999999</v>
      </c>
      <c r="M131" t="s">
        <v>11</v>
      </c>
      <c r="N131">
        <v>12980.28</v>
      </c>
      <c r="O131" t="s">
        <v>12</v>
      </c>
      <c r="P131" t="s">
        <v>7</v>
      </c>
      <c r="Q131" t="s">
        <v>45</v>
      </c>
      <c r="R131" t="s">
        <v>190</v>
      </c>
      <c r="S131" t="s">
        <v>337</v>
      </c>
    </row>
    <row r="132" spans="1:19" hidden="1">
      <c r="A132" t="s">
        <v>2</v>
      </c>
      <c r="B132" t="s">
        <v>3</v>
      </c>
      <c r="C132" t="s">
        <v>38</v>
      </c>
      <c r="D132">
        <v>45735</v>
      </c>
      <c r="E132">
        <v>1800000125</v>
      </c>
      <c r="F132" t="s">
        <v>47</v>
      </c>
      <c r="G132">
        <v>45735</v>
      </c>
      <c r="H132">
        <v>45735</v>
      </c>
      <c r="I132">
        <v>246788410119</v>
      </c>
      <c r="J132" t="s">
        <v>8</v>
      </c>
      <c r="K132" t="s">
        <v>21</v>
      </c>
      <c r="L132">
        <v>102.97</v>
      </c>
      <c r="M132" t="s">
        <v>11</v>
      </c>
      <c r="N132">
        <v>8926.6</v>
      </c>
      <c r="O132" t="s">
        <v>12</v>
      </c>
      <c r="P132" t="s">
        <v>7</v>
      </c>
      <c r="Q132" t="s">
        <v>45</v>
      </c>
      <c r="R132" t="s">
        <v>191</v>
      </c>
      <c r="S132" t="s">
        <v>345</v>
      </c>
    </row>
    <row r="133" spans="1:19" hidden="1">
      <c r="A133" t="s">
        <v>2</v>
      </c>
      <c r="B133" t="s">
        <v>3</v>
      </c>
      <c r="C133" t="s">
        <v>50</v>
      </c>
      <c r="D133">
        <v>45924</v>
      </c>
      <c r="E133">
        <v>1800000516</v>
      </c>
      <c r="F133" t="s">
        <v>47</v>
      </c>
      <c r="G133">
        <v>45924</v>
      </c>
      <c r="H133">
        <v>45926</v>
      </c>
      <c r="I133">
        <v>256788410391</v>
      </c>
      <c r="J133" t="s">
        <v>8</v>
      </c>
      <c r="K133" t="s">
        <v>21</v>
      </c>
      <c r="L133">
        <v>9</v>
      </c>
      <c r="M133" t="s">
        <v>11</v>
      </c>
      <c r="N133">
        <v>774.01</v>
      </c>
      <c r="O133" t="s">
        <v>12</v>
      </c>
      <c r="P133" t="s">
        <v>7</v>
      </c>
      <c r="Q133" t="s">
        <v>192</v>
      </c>
      <c r="R133" t="s">
        <v>100</v>
      </c>
      <c r="S133" t="s">
        <v>338</v>
      </c>
    </row>
    <row r="134" spans="1:19" hidden="1">
      <c r="A134" t="s">
        <v>2</v>
      </c>
      <c r="B134" t="s">
        <v>3</v>
      </c>
      <c r="C134" t="s">
        <v>37</v>
      </c>
      <c r="D134">
        <v>45981</v>
      </c>
      <c r="E134">
        <v>1800000595</v>
      </c>
      <c r="F134" t="s">
        <v>47</v>
      </c>
      <c r="G134">
        <v>45981</v>
      </c>
      <c r="H134">
        <v>45982</v>
      </c>
      <c r="I134">
        <v>256788410460</v>
      </c>
      <c r="J134" t="s">
        <v>8</v>
      </c>
      <c r="K134" t="s">
        <v>21</v>
      </c>
      <c r="L134">
        <v>78.319999999999993</v>
      </c>
      <c r="M134" t="s">
        <v>11</v>
      </c>
      <c r="N134">
        <v>6892.43</v>
      </c>
      <c r="O134" t="s">
        <v>12</v>
      </c>
      <c r="P134" t="s">
        <v>7</v>
      </c>
      <c r="Q134" t="s">
        <v>193</v>
      </c>
      <c r="R134" t="s">
        <v>194</v>
      </c>
      <c r="S134" t="s">
        <v>339</v>
      </c>
    </row>
    <row r="135" spans="1:19" hidden="1">
      <c r="A135" t="s">
        <v>2</v>
      </c>
      <c r="B135" t="s">
        <v>3</v>
      </c>
      <c r="C135" t="s">
        <v>37</v>
      </c>
      <c r="D135">
        <v>45981</v>
      </c>
      <c r="E135">
        <v>1800000597</v>
      </c>
      <c r="F135" t="s">
        <v>47</v>
      </c>
      <c r="G135">
        <v>45981</v>
      </c>
      <c r="H135">
        <v>45982</v>
      </c>
      <c r="I135">
        <v>256788410462</v>
      </c>
      <c r="J135" t="s">
        <v>8</v>
      </c>
      <c r="K135" t="s">
        <v>21</v>
      </c>
      <c r="L135">
        <v>13.52</v>
      </c>
      <c r="M135" t="s">
        <v>11</v>
      </c>
      <c r="N135">
        <v>1189.81</v>
      </c>
      <c r="O135" t="s">
        <v>12</v>
      </c>
      <c r="P135" t="s">
        <v>7</v>
      </c>
      <c r="Q135" t="s">
        <v>193</v>
      </c>
      <c r="R135" t="s">
        <v>195</v>
      </c>
      <c r="S135" t="s">
        <v>342</v>
      </c>
    </row>
    <row r="136" spans="1:19" hidden="1">
      <c r="A136" t="s">
        <v>2</v>
      </c>
      <c r="B136" t="s">
        <v>3</v>
      </c>
      <c r="C136" t="s">
        <v>4</v>
      </c>
      <c r="D136">
        <v>45769</v>
      </c>
      <c r="E136">
        <v>1800007591</v>
      </c>
      <c r="F136" t="s">
        <v>47</v>
      </c>
      <c r="G136">
        <v>45769</v>
      </c>
      <c r="H136">
        <v>45770</v>
      </c>
      <c r="I136">
        <v>256779412482</v>
      </c>
      <c r="J136" t="s">
        <v>8</v>
      </c>
      <c r="K136" t="s">
        <v>21</v>
      </c>
      <c r="L136">
        <v>94.08</v>
      </c>
      <c r="M136" t="s">
        <v>11</v>
      </c>
      <c r="N136">
        <v>8177.6</v>
      </c>
      <c r="O136" t="s">
        <v>76</v>
      </c>
      <c r="P136" t="s">
        <v>7</v>
      </c>
      <c r="Q136" t="s">
        <v>45</v>
      </c>
      <c r="R136" t="s">
        <v>131</v>
      </c>
      <c r="S136" t="s">
        <v>338</v>
      </c>
    </row>
    <row r="137" spans="1:19" hidden="1">
      <c r="A137" t="s">
        <v>2</v>
      </c>
      <c r="B137" t="s">
        <v>3</v>
      </c>
      <c r="C137" t="s">
        <v>4</v>
      </c>
      <c r="D137">
        <v>45769</v>
      </c>
      <c r="E137">
        <v>1800007607</v>
      </c>
      <c r="F137" t="s">
        <v>47</v>
      </c>
      <c r="G137">
        <v>45769</v>
      </c>
      <c r="H137">
        <v>45770</v>
      </c>
      <c r="I137">
        <v>256779412498</v>
      </c>
      <c r="J137" t="s">
        <v>8</v>
      </c>
      <c r="K137" t="s">
        <v>21</v>
      </c>
      <c r="L137">
        <v>25.32</v>
      </c>
      <c r="M137" t="s">
        <v>11</v>
      </c>
      <c r="N137">
        <v>2200.86</v>
      </c>
      <c r="O137" t="s">
        <v>76</v>
      </c>
      <c r="P137" t="s">
        <v>7</v>
      </c>
      <c r="Q137" t="s">
        <v>45</v>
      </c>
      <c r="R137" t="s">
        <v>131</v>
      </c>
      <c r="S137" t="s">
        <v>338</v>
      </c>
    </row>
    <row r="138" spans="1:19" hidden="1">
      <c r="A138" t="s">
        <v>2</v>
      </c>
      <c r="B138" t="s">
        <v>3</v>
      </c>
      <c r="C138" t="s">
        <v>4</v>
      </c>
      <c r="D138">
        <v>45769</v>
      </c>
      <c r="E138">
        <v>1800000190</v>
      </c>
      <c r="F138" t="s">
        <v>47</v>
      </c>
      <c r="G138">
        <v>45769</v>
      </c>
      <c r="H138">
        <v>45771</v>
      </c>
      <c r="I138">
        <v>256788410065</v>
      </c>
      <c r="J138" t="s">
        <v>8</v>
      </c>
      <c r="K138" t="s">
        <v>21</v>
      </c>
      <c r="L138">
        <v>24.38</v>
      </c>
      <c r="M138" t="s">
        <v>11</v>
      </c>
      <c r="N138">
        <v>2119.15</v>
      </c>
      <c r="O138" t="s">
        <v>12</v>
      </c>
      <c r="P138" t="s">
        <v>7</v>
      </c>
      <c r="Q138" t="s">
        <v>45</v>
      </c>
      <c r="R138" t="s">
        <v>196</v>
      </c>
      <c r="S138" t="s">
        <v>338</v>
      </c>
    </row>
    <row r="139" spans="1:19" hidden="1">
      <c r="A139" t="s">
        <v>2</v>
      </c>
      <c r="B139" t="s">
        <v>3</v>
      </c>
      <c r="C139" t="s">
        <v>4</v>
      </c>
      <c r="D139">
        <v>45769</v>
      </c>
      <c r="E139">
        <v>1800000287</v>
      </c>
      <c r="F139" t="s">
        <v>47</v>
      </c>
      <c r="G139">
        <v>45769</v>
      </c>
      <c r="H139">
        <v>45771</v>
      </c>
      <c r="I139">
        <v>256788410162</v>
      </c>
      <c r="J139" t="s">
        <v>8</v>
      </c>
      <c r="K139" t="s">
        <v>21</v>
      </c>
      <c r="L139">
        <v>5.46</v>
      </c>
      <c r="M139" t="s">
        <v>11</v>
      </c>
      <c r="N139">
        <v>474.59</v>
      </c>
      <c r="O139" t="s">
        <v>12</v>
      </c>
      <c r="P139" t="s">
        <v>7</v>
      </c>
      <c r="Q139" t="s">
        <v>45</v>
      </c>
      <c r="R139" t="s">
        <v>197</v>
      </c>
      <c r="S139" t="s">
        <v>338</v>
      </c>
    </row>
    <row r="140" spans="1:19" hidden="1">
      <c r="A140" t="s">
        <v>2</v>
      </c>
      <c r="B140" t="s">
        <v>3</v>
      </c>
      <c r="C140" t="s">
        <v>4</v>
      </c>
      <c r="D140">
        <v>45769</v>
      </c>
      <c r="E140">
        <v>1800000288</v>
      </c>
      <c r="F140" t="s">
        <v>47</v>
      </c>
      <c r="G140">
        <v>45769</v>
      </c>
      <c r="H140">
        <v>45771</v>
      </c>
      <c r="I140">
        <v>256788410163</v>
      </c>
      <c r="J140" t="s">
        <v>8</v>
      </c>
      <c r="K140" t="s">
        <v>21</v>
      </c>
      <c r="L140">
        <v>3.5</v>
      </c>
      <c r="M140" t="s">
        <v>11</v>
      </c>
      <c r="N140">
        <v>304.23</v>
      </c>
      <c r="O140" t="s">
        <v>12</v>
      </c>
      <c r="P140" t="s">
        <v>7</v>
      </c>
      <c r="Q140" t="s">
        <v>45</v>
      </c>
      <c r="R140" t="s">
        <v>197</v>
      </c>
      <c r="S140" t="s">
        <v>338</v>
      </c>
    </row>
    <row r="141" spans="1:19" hidden="1">
      <c r="A141" t="s">
        <v>2</v>
      </c>
      <c r="B141" t="s">
        <v>3</v>
      </c>
      <c r="C141" t="s">
        <v>4</v>
      </c>
      <c r="D141">
        <v>45769</v>
      </c>
      <c r="E141">
        <v>1800000289</v>
      </c>
      <c r="F141" t="s">
        <v>47</v>
      </c>
      <c r="G141">
        <v>45769</v>
      </c>
      <c r="H141">
        <v>45771</v>
      </c>
      <c r="I141">
        <v>256788410164</v>
      </c>
      <c r="J141" t="s">
        <v>8</v>
      </c>
      <c r="K141" t="s">
        <v>21</v>
      </c>
      <c r="L141">
        <v>5.6</v>
      </c>
      <c r="M141" t="s">
        <v>11</v>
      </c>
      <c r="N141">
        <v>486.76</v>
      </c>
      <c r="O141" t="s">
        <v>12</v>
      </c>
      <c r="P141" t="s">
        <v>7</v>
      </c>
      <c r="Q141" t="s">
        <v>45</v>
      </c>
      <c r="R141" t="s">
        <v>197</v>
      </c>
      <c r="S141" t="s">
        <v>338</v>
      </c>
    </row>
    <row r="142" spans="1:19" hidden="1">
      <c r="A142" t="s">
        <v>2</v>
      </c>
      <c r="B142" t="s">
        <v>3</v>
      </c>
      <c r="C142" t="s">
        <v>4</v>
      </c>
      <c r="D142">
        <v>45769</v>
      </c>
      <c r="E142">
        <v>1800000290</v>
      </c>
      <c r="F142" t="s">
        <v>47</v>
      </c>
      <c r="G142">
        <v>45769</v>
      </c>
      <c r="H142">
        <v>45771</v>
      </c>
      <c r="I142">
        <v>256788410165</v>
      </c>
      <c r="J142" t="s">
        <v>8</v>
      </c>
      <c r="K142" t="s">
        <v>21</v>
      </c>
      <c r="L142">
        <v>5.6</v>
      </c>
      <c r="M142" t="s">
        <v>11</v>
      </c>
      <c r="N142">
        <v>486.76</v>
      </c>
      <c r="O142" t="s">
        <v>12</v>
      </c>
      <c r="P142" t="s">
        <v>7</v>
      </c>
      <c r="Q142" t="s">
        <v>45</v>
      </c>
      <c r="R142" t="s">
        <v>197</v>
      </c>
      <c r="S142" t="s">
        <v>338</v>
      </c>
    </row>
    <row r="143" spans="1:19" hidden="1">
      <c r="A143" t="s">
        <v>2</v>
      </c>
      <c r="B143" t="s">
        <v>3</v>
      </c>
      <c r="C143" t="s">
        <v>4</v>
      </c>
      <c r="D143">
        <v>45769</v>
      </c>
      <c r="E143">
        <v>1800000291</v>
      </c>
      <c r="F143" t="s">
        <v>47</v>
      </c>
      <c r="G143">
        <v>45769</v>
      </c>
      <c r="H143">
        <v>45771</v>
      </c>
      <c r="I143">
        <v>256788410166</v>
      </c>
      <c r="J143" t="s">
        <v>8</v>
      </c>
      <c r="K143" t="s">
        <v>21</v>
      </c>
      <c r="L143">
        <v>11.6</v>
      </c>
      <c r="M143" t="s">
        <v>11</v>
      </c>
      <c r="N143">
        <v>1008.29</v>
      </c>
      <c r="O143" t="s">
        <v>12</v>
      </c>
      <c r="P143" t="s">
        <v>7</v>
      </c>
      <c r="Q143" t="s">
        <v>45</v>
      </c>
      <c r="R143" t="s">
        <v>197</v>
      </c>
      <c r="S143" t="s">
        <v>338</v>
      </c>
    </row>
    <row r="144" spans="1:19" hidden="1">
      <c r="A144" t="s">
        <v>2</v>
      </c>
      <c r="B144" t="s">
        <v>3</v>
      </c>
      <c r="C144" t="s">
        <v>4</v>
      </c>
      <c r="D144">
        <v>45769</v>
      </c>
      <c r="E144">
        <v>1800000328</v>
      </c>
      <c r="F144" t="s">
        <v>47</v>
      </c>
      <c r="G144">
        <v>45769</v>
      </c>
      <c r="H144">
        <v>45771</v>
      </c>
      <c r="I144">
        <v>256788410203</v>
      </c>
      <c r="J144" t="s">
        <v>8</v>
      </c>
      <c r="K144" t="s">
        <v>21</v>
      </c>
      <c r="L144">
        <v>80.67</v>
      </c>
      <c r="M144" t="s">
        <v>11</v>
      </c>
      <c r="N144">
        <v>7011.98</v>
      </c>
      <c r="O144" t="s">
        <v>12</v>
      </c>
      <c r="P144" t="s">
        <v>7</v>
      </c>
      <c r="Q144" t="s">
        <v>45</v>
      </c>
      <c r="R144" t="s">
        <v>198</v>
      </c>
      <c r="S144" t="s">
        <v>338</v>
      </c>
    </row>
    <row r="145" spans="1:19" hidden="1">
      <c r="A145" t="s">
        <v>2</v>
      </c>
      <c r="B145" t="s">
        <v>3</v>
      </c>
      <c r="C145" t="s">
        <v>4</v>
      </c>
      <c r="D145">
        <v>45769</v>
      </c>
      <c r="E145">
        <v>1800000330</v>
      </c>
      <c r="F145" t="s">
        <v>47</v>
      </c>
      <c r="G145">
        <v>45769</v>
      </c>
      <c r="H145">
        <v>45771</v>
      </c>
      <c r="I145">
        <v>256788410205</v>
      </c>
      <c r="J145" t="s">
        <v>8</v>
      </c>
      <c r="K145" t="s">
        <v>21</v>
      </c>
      <c r="L145">
        <v>99.12</v>
      </c>
      <c r="M145" t="s">
        <v>11</v>
      </c>
      <c r="N145">
        <v>8615.69</v>
      </c>
      <c r="O145" t="s">
        <v>12</v>
      </c>
      <c r="P145" t="s">
        <v>7</v>
      </c>
      <c r="Q145" t="s">
        <v>45</v>
      </c>
      <c r="R145" t="s">
        <v>199</v>
      </c>
      <c r="S145" t="s">
        <v>338</v>
      </c>
    </row>
    <row r="146" spans="1:19" hidden="1">
      <c r="A146" t="s">
        <v>2</v>
      </c>
      <c r="B146" t="s">
        <v>3</v>
      </c>
      <c r="C146" t="s">
        <v>4</v>
      </c>
      <c r="D146">
        <v>45769</v>
      </c>
      <c r="E146">
        <v>1800000331</v>
      </c>
      <c r="F146" t="s">
        <v>47</v>
      </c>
      <c r="G146">
        <v>45769</v>
      </c>
      <c r="H146">
        <v>45771</v>
      </c>
      <c r="I146">
        <v>256788410206</v>
      </c>
      <c r="J146" t="s">
        <v>8</v>
      </c>
      <c r="K146" t="s">
        <v>21</v>
      </c>
      <c r="L146">
        <v>10803.4</v>
      </c>
      <c r="M146" t="s">
        <v>11</v>
      </c>
      <c r="N146">
        <v>939051.19</v>
      </c>
      <c r="O146" t="s">
        <v>12</v>
      </c>
      <c r="P146" t="s">
        <v>7</v>
      </c>
      <c r="Q146" t="s">
        <v>45</v>
      </c>
      <c r="R146" t="s">
        <v>200</v>
      </c>
      <c r="S146" t="s">
        <v>334</v>
      </c>
    </row>
    <row r="147" spans="1:19" hidden="1">
      <c r="A147" t="s">
        <v>2</v>
      </c>
      <c r="B147" t="s">
        <v>3</v>
      </c>
      <c r="C147" t="s">
        <v>50</v>
      </c>
      <c r="D147">
        <v>45918</v>
      </c>
      <c r="E147">
        <v>1800000498</v>
      </c>
      <c r="F147" t="s">
        <v>47</v>
      </c>
      <c r="G147">
        <v>45918</v>
      </c>
      <c r="H147">
        <v>45922</v>
      </c>
      <c r="I147">
        <v>256788410373</v>
      </c>
      <c r="J147" t="s">
        <v>8</v>
      </c>
      <c r="K147" t="s">
        <v>21</v>
      </c>
      <c r="L147">
        <v>472</v>
      </c>
      <c r="M147" t="s">
        <v>11</v>
      </c>
      <c r="N147">
        <v>41306.76</v>
      </c>
      <c r="O147" t="s">
        <v>12</v>
      </c>
      <c r="P147" t="s">
        <v>7</v>
      </c>
      <c r="Q147" t="s">
        <v>201</v>
      </c>
      <c r="R147" t="s">
        <v>202</v>
      </c>
      <c r="S147" t="s">
        <v>335</v>
      </c>
    </row>
    <row r="148" spans="1:19" hidden="1">
      <c r="A148" t="s">
        <v>2</v>
      </c>
      <c r="B148" t="s">
        <v>3</v>
      </c>
      <c r="C148" t="s">
        <v>50</v>
      </c>
      <c r="D148">
        <v>45918</v>
      </c>
      <c r="E148">
        <v>1800000500</v>
      </c>
      <c r="F148" t="s">
        <v>47</v>
      </c>
      <c r="G148">
        <v>45918</v>
      </c>
      <c r="H148">
        <v>45922</v>
      </c>
      <c r="I148">
        <v>256788410375</v>
      </c>
      <c r="J148" t="s">
        <v>8</v>
      </c>
      <c r="K148" t="s">
        <v>21</v>
      </c>
      <c r="L148">
        <v>200</v>
      </c>
      <c r="M148" t="s">
        <v>11</v>
      </c>
      <c r="N148">
        <v>17502.87</v>
      </c>
      <c r="O148" t="s">
        <v>12</v>
      </c>
      <c r="P148" t="s">
        <v>7</v>
      </c>
      <c r="Q148" t="s">
        <v>201</v>
      </c>
      <c r="R148" t="s">
        <v>202</v>
      </c>
      <c r="S148" t="s">
        <v>335</v>
      </c>
    </row>
    <row r="149" spans="1:19" hidden="1">
      <c r="A149" t="s">
        <v>2</v>
      </c>
      <c r="B149" t="s">
        <v>3</v>
      </c>
      <c r="C149" t="s">
        <v>50</v>
      </c>
      <c r="D149">
        <v>45918</v>
      </c>
      <c r="E149">
        <v>1800000501</v>
      </c>
      <c r="F149" t="s">
        <v>47</v>
      </c>
      <c r="G149">
        <v>45918</v>
      </c>
      <c r="H149">
        <v>45922</v>
      </c>
      <c r="I149">
        <v>256788410376</v>
      </c>
      <c r="J149" t="s">
        <v>8</v>
      </c>
      <c r="K149" t="s">
        <v>21</v>
      </c>
      <c r="L149">
        <v>1125.6400000000001</v>
      </c>
      <c r="M149" t="s">
        <v>11</v>
      </c>
      <c r="N149">
        <v>98509.63</v>
      </c>
      <c r="O149" t="s">
        <v>12</v>
      </c>
      <c r="P149" t="s">
        <v>7</v>
      </c>
      <c r="Q149" t="s">
        <v>203</v>
      </c>
      <c r="R149" t="s">
        <v>204</v>
      </c>
      <c r="S149" t="s">
        <v>337</v>
      </c>
    </row>
    <row r="150" spans="1:19" hidden="1">
      <c r="A150" t="s">
        <v>2</v>
      </c>
      <c r="B150" t="s">
        <v>3</v>
      </c>
      <c r="C150" t="s">
        <v>50</v>
      </c>
      <c r="D150">
        <v>45918</v>
      </c>
      <c r="E150">
        <v>1800000503</v>
      </c>
      <c r="F150" t="s">
        <v>47</v>
      </c>
      <c r="G150">
        <v>45918</v>
      </c>
      <c r="H150">
        <v>45922</v>
      </c>
      <c r="I150">
        <v>256788410378</v>
      </c>
      <c r="J150" t="s">
        <v>8</v>
      </c>
      <c r="K150" t="s">
        <v>21</v>
      </c>
      <c r="L150">
        <v>46</v>
      </c>
      <c r="M150" t="s">
        <v>11</v>
      </c>
      <c r="N150">
        <v>4025.66</v>
      </c>
      <c r="O150" t="s">
        <v>12</v>
      </c>
      <c r="P150" t="s">
        <v>7</v>
      </c>
      <c r="Q150" t="s">
        <v>205</v>
      </c>
      <c r="R150" t="s">
        <v>206</v>
      </c>
      <c r="S150" t="s">
        <v>335</v>
      </c>
    </row>
    <row r="151" spans="1:19" hidden="1">
      <c r="A151" t="s">
        <v>2</v>
      </c>
      <c r="B151" t="s">
        <v>3</v>
      </c>
      <c r="C151" t="s">
        <v>162</v>
      </c>
      <c r="D151">
        <v>45996</v>
      </c>
      <c r="E151">
        <v>1800000601</v>
      </c>
      <c r="F151" t="s">
        <v>47</v>
      </c>
      <c r="G151">
        <v>45996</v>
      </c>
      <c r="H151">
        <v>46000</v>
      </c>
      <c r="I151">
        <v>256788410474</v>
      </c>
      <c r="J151" t="s">
        <v>8</v>
      </c>
      <c r="K151" t="s">
        <v>21</v>
      </c>
      <c r="L151">
        <v>238</v>
      </c>
      <c r="M151" t="s">
        <v>11</v>
      </c>
      <c r="N151">
        <v>21110.63</v>
      </c>
      <c r="O151" t="s">
        <v>12</v>
      </c>
      <c r="P151" t="s">
        <v>7</v>
      </c>
      <c r="Q151" t="s">
        <v>207</v>
      </c>
      <c r="R151" t="s">
        <v>208</v>
      </c>
      <c r="S151" t="s">
        <v>335</v>
      </c>
    </row>
    <row r="152" spans="1:19" hidden="1">
      <c r="A152" t="s">
        <v>2</v>
      </c>
      <c r="B152" t="s">
        <v>3</v>
      </c>
      <c r="C152" t="s">
        <v>162</v>
      </c>
      <c r="D152">
        <v>45996</v>
      </c>
      <c r="E152">
        <v>1800000602</v>
      </c>
      <c r="F152" t="s">
        <v>47</v>
      </c>
      <c r="G152">
        <v>45996</v>
      </c>
      <c r="H152">
        <v>46000</v>
      </c>
      <c r="I152">
        <v>256788410475</v>
      </c>
      <c r="J152" t="s">
        <v>8</v>
      </c>
      <c r="K152" t="s">
        <v>21</v>
      </c>
      <c r="L152">
        <v>40</v>
      </c>
      <c r="M152" t="s">
        <v>11</v>
      </c>
      <c r="N152">
        <v>3548.01</v>
      </c>
      <c r="O152" t="s">
        <v>12</v>
      </c>
      <c r="P152" t="s">
        <v>7</v>
      </c>
      <c r="Q152" t="s">
        <v>207</v>
      </c>
      <c r="R152" t="s">
        <v>209</v>
      </c>
      <c r="S152" t="s">
        <v>343</v>
      </c>
    </row>
    <row r="153" spans="1:19" hidden="1">
      <c r="A153" t="s">
        <v>2</v>
      </c>
      <c r="B153" t="s">
        <v>3</v>
      </c>
      <c r="C153" t="s">
        <v>162</v>
      </c>
      <c r="D153">
        <v>45996</v>
      </c>
      <c r="E153">
        <v>1800000603</v>
      </c>
      <c r="F153" t="s">
        <v>47</v>
      </c>
      <c r="G153">
        <v>45996</v>
      </c>
      <c r="H153">
        <v>46000</v>
      </c>
      <c r="I153">
        <v>256788410476</v>
      </c>
      <c r="J153" t="s">
        <v>8</v>
      </c>
      <c r="K153" t="s">
        <v>21</v>
      </c>
      <c r="L153">
        <v>200</v>
      </c>
      <c r="M153" t="s">
        <v>11</v>
      </c>
      <c r="N153">
        <v>17740.03</v>
      </c>
      <c r="O153" t="s">
        <v>12</v>
      </c>
      <c r="P153" t="s">
        <v>7</v>
      </c>
      <c r="Q153" t="s">
        <v>207</v>
      </c>
      <c r="R153" t="s">
        <v>208</v>
      </c>
      <c r="S153" t="s">
        <v>335</v>
      </c>
    </row>
    <row r="154" spans="1:19" hidden="1">
      <c r="A154" t="s">
        <v>2</v>
      </c>
      <c r="B154" t="s">
        <v>3</v>
      </c>
      <c r="C154" t="s">
        <v>162</v>
      </c>
      <c r="D154">
        <v>45996</v>
      </c>
      <c r="E154">
        <v>1800000604</v>
      </c>
      <c r="F154" t="s">
        <v>47</v>
      </c>
      <c r="G154">
        <v>45996</v>
      </c>
      <c r="H154">
        <v>46000</v>
      </c>
      <c r="I154">
        <v>256788410477</v>
      </c>
      <c r="J154" t="s">
        <v>8</v>
      </c>
      <c r="K154" t="s">
        <v>21</v>
      </c>
      <c r="L154">
        <v>6.6</v>
      </c>
      <c r="M154" t="s">
        <v>11</v>
      </c>
      <c r="N154">
        <v>585.41999999999996</v>
      </c>
      <c r="O154" t="s">
        <v>12</v>
      </c>
      <c r="P154" t="s">
        <v>7</v>
      </c>
      <c r="Q154" t="s">
        <v>207</v>
      </c>
      <c r="R154" t="s">
        <v>210</v>
      </c>
      <c r="S154" t="s">
        <v>341</v>
      </c>
    </row>
    <row r="155" spans="1:19" hidden="1">
      <c r="A155" t="s">
        <v>2</v>
      </c>
      <c r="B155" t="s">
        <v>3</v>
      </c>
      <c r="C155" t="s">
        <v>162</v>
      </c>
      <c r="D155">
        <v>45996</v>
      </c>
      <c r="E155">
        <v>1800000606</v>
      </c>
      <c r="F155" t="s">
        <v>47</v>
      </c>
      <c r="G155">
        <v>45996</v>
      </c>
      <c r="H155">
        <v>46000</v>
      </c>
      <c r="I155">
        <v>256788410479</v>
      </c>
      <c r="J155" t="s">
        <v>8</v>
      </c>
      <c r="K155" t="s">
        <v>21</v>
      </c>
      <c r="L155">
        <v>250.24</v>
      </c>
      <c r="M155" t="s">
        <v>11</v>
      </c>
      <c r="N155">
        <v>22196.32</v>
      </c>
      <c r="O155" t="s">
        <v>12</v>
      </c>
      <c r="P155" t="s">
        <v>7</v>
      </c>
      <c r="Q155" t="s">
        <v>211</v>
      </c>
      <c r="R155" t="s">
        <v>212</v>
      </c>
      <c r="S155" t="s">
        <v>338</v>
      </c>
    </row>
    <row r="156" spans="1:19" hidden="1">
      <c r="A156" t="s">
        <v>2</v>
      </c>
      <c r="B156" t="s">
        <v>3</v>
      </c>
      <c r="C156" t="s">
        <v>16</v>
      </c>
      <c r="D156">
        <v>45709</v>
      </c>
      <c r="E156">
        <v>1800000041</v>
      </c>
      <c r="F156" t="s">
        <v>47</v>
      </c>
      <c r="G156">
        <v>45709</v>
      </c>
      <c r="H156">
        <v>45713</v>
      </c>
      <c r="I156">
        <v>246788410024</v>
      </c>
      <c r="J156" t="s">
        <v>8</v>
      </c>
      <c r="K156" t="s">
        <v>21</v>
      </c>
      <c r="L156">
        <v>3980.4</v>
      </c>
      <c r="M156" t="s">
        <v>11</v>
      </c>
      <c r="N156">
        <v>343523.09</v>
      </c>
      <c r="O156" t="s">
        <v>12</v>
      </c>
      <c r="P156" t="s">
        <v>7</v>
      </c>
      <c r="Q156" t="s">
        <v>45</v>
      </c>
      <c r="R156" t="s">
        <v>213</v>
      </c>
      <c r="S156" t="s">
        <v>337</v>
      </c>
    </row>
    <row r="157" spans="1:19" hidden="1">
      <c r="A157" t="s">
        <v>2</v>
      </c>
      <c r="B157" t="s">
        <v>3</v>
      </c>
      <c r="C157" t="s">
        <v>29</v>
      </c>
      <c r="D157">
        <v>45937</v>
      </c>
      <c r="E157">
        <v>1800000554</v>
      </c>
      <c r="F157" t="s">
        <v>47</v>
      </c>
      <c r="G157">
        <v>45937</v>
      </c>
      <c r="H157">
        <v>45939</v>
      </c>
      <c r="I157">
        <v>256788410429</v>
      </c>
      <c r="J157" t="s">
        <v>8</v>
      </c>
      <c r="K157" t="s">
        <v>21</v>
      </c>
      <c r="L157">
        <v>2.25</v>
      </c>
      <c r="M157" t="s">
        <v>11</v>
      </c>
      <c r="N157">
        <v>198.43</v>
      </c>
      <c r="O157" t="s">
        <v>12</v>
      </c>
      <c r="P157" t="s">
        <v>7</v>
      </c>
      <c r="Q157" t="s">
        <v>214</v>
      </c>
      <c r="R157" t="s">
        <v>215</v>
      </c>
      <c r="S157" t="s">
        <v>339</v>
      </c>
    </row>
    <row r="158" spans="1:19" hidden="1">
      <c r="A158" t="s">
        <v>2</v>
      </c>
      <c r="B158" t="s">
        <v>3</v>
      </c>
      <c r="C158" t="s">
        <v>29</v>
      </c>
      <c r="D158">
        <v>45937</v>
      </c>
      <c r="E158">
        <v>1800000555</v>
      </c>
      <c r="F158" t="s">
        <v>47</v>
      </c>
      <c r="G158">
        <v>45937</v>
      </c>
      <c r="H158">
        <v>45940</v>
      </c>
      <c r="I158">
        <v>256788410430</v>
      </c>
      <c r="J158" t="s">
        <v>8</v>
      </c>
      <c r="K158" t="s">
        <v>21</v>
      </c>
      <c r="L158">
        <v>2</v>
      </c>
      <c r="M158" t="s">
        <v>11</v>
      </c>
      <c r="N158">
        <v>176.38</v>
      </c>
      <c r="O158" t="s">
        <v>12</v>
      </c>
      <c r="P158" t="s">
        <v>7</v>
      </c>
      <c r="Q158" t="s">
        <v>216</v>
      </c>
      <c r="R158" t="s">
        <v>217</v>
      </c>
      <c r="S158" t="s">
        <v>336</v>
      </c>
    </row>
    <row r="159" spans="1:19" hidden="1">
      <c r="A159" t="s">
        <v>2</v>
      </c>
      <c r="B159" t="s">
        <v>3</v>
      </c>
      <c r="C159" t="s">
        <v>79</v>
      </c>
      <c r="D159">
        <v>45857</v>
      </c>
      <c r="E159">
        <v>1800000388</v>
      </c>
      <c r="F159" t="s">
        <v>47</v>
      </c>
      <c r="G159">
        <v>45857</v>
      </c>
      <c r="H159">
        <v>45863</v>
      </c>
      <c r="I159">
        <v>256788410264</v>
      </c>
      <c r="J159" t="s">
        <v>8</v>
      </c>
      <c r="K159" t="s">
        <v>21</v>
      </c>
      <c r="L159">
        <v>4.6399999999999997</v>
      </c>
      <c r="M159" t="s">
        <v>11</v>
      </c>
      <c r="N159">
        <v>399.04</v>
      </c>
      <c r="O159" t="s">
        <v>12</v>
      </c>
      <c r="P159" t="s">
        <v>7</v>
      </c>
      <c r="Q159" t="s">
        <v>45</v>
      </c>
      <c r="R159" t="s">
        <v>218</v>
      </c>
      <c r="S159" t="s">
        <v>339</v>
      </c>
    </row>
    <row r="160" spans="1:19" hidden="1">
      <c r="A160" t="s">
        <v>2</v>
      </c>
      <c r="B160" t="s">
        <v>3</v>
      </c>
      <c r="C160" t="s">
        <v>67</v>
      </c>
      <c r="D160">
        <v>45787</v>
      </c>
      <c r="E160">
        <v>1800008358</v>
      </c>
      <c r="F160" t="s">
        <v>47</v>
      </c>
      <c r="G160">
        <v>45787</v>
      </c>
      <c r="H160">
        <v>45792</v>
      </c>
      <c r="I160">
        <v>256779413241</v>
      </c>
      <c r="J160" t="s">
        <v>8</v>
      </c>
      <c r="K160" t="s">
        <v>21</v>
      </c>
      <c r="L160">
        <v>1054.79</v>
      </c>
      <c r="M160" t="s">
        <v>11</v>
      </c>
      <c r="N160">
        <v>90694.75</v>
      </c>
      <c r="O160" t="s">
        <v>76</v>
      </c>
      <c r="P160" t="s">
        <v>7</v>
      </c>
      <c r="Q160" t="s">
        <v>45</v>
      </c>
      <c r="R160" t="s">
        <v>219</v>
      </c>
      <c r="S160" t="s">
        <v>339</v>
      </c>
    </row>
    <row r="161" spans="1:19" hidden="1">
      <c r="A161" t="s">
        <v>2</v>
      </c>
      <c r="B161" t="s">
        <v>3</v>
      </c>
      <c r="C161" t="s">
        <v>67</v>
      </c>
      <c r="D161">
        <v>45787</v>
      </c>
      <c r="E161">
        <v>1800000332</v>
      </c>
      <c r="F161" t="s">
        <v>47</v>
      </c>
      <c r="G161">
        <v>45787</v>
      </c>
      <c r="H161">
        <v>45800</v>
      </c>
      <c r="I161">
        <v>256788410207</v>
      </c>
      <c r="J161" t="s">
        <v>8</v>
      </c>
      <c r="K161" t="s">
        <v>21</v>
      </c>
      <c r="L161">
        <v>96.66</v>
      </c>
      <c r="M161" t="s">
        <v>11</v>
      </c>
      <c r="N161">
        <v>8311.18</v>
      </c>
      <c r="O161" t="s">
        <v>12</v>
      </c>
      <c r="P161" t="s">
        <v>7</v>
      </c>
      <c r="Q161" t="s">
        <v>45</v>
      </c>
      <c r="R161" t="s">
        <v>220</v>
      </c>
      <c r="S161" t="s">
        <v>340</v>
      </c>
    </row>
    <row r="162" spans="1:19" hidden="1">
      <c r="A162" t="s">
        <v>2</v>
      </c>
      <c r="B162" t="s">
        <v>3</v>
      </c>
      <c r="C162" t="s">
        <v>67</v>
      </c>
      <c r="D162">
        <v>45787</v>
      </c>
      <c r="E162">
        <v>1800000333</v>
      </c>
      <c r="F162" t="s">
        <v>47</v>
      </c>
      <c r="G162">
        <v>45787</v>
      </c>
      <c r="H162">
        <v>45800</v>
      </c>
      <c r="I162">
        <v>256788410208</v>
      </c>
      <c r="J162" t="s">
        <v>8</v>
      </c>
      <c r="K162" t="s">
        <v>21</v>
      </c>
      <c r="L162">
        <v>75</v>
      </c>
      <c r="M162" t="s">
        <v>11</v>
      </c>
      <c r="N162">
        <v>6448.78</v>
      </c>
      <c r="O162" t="s">
        <v>12</v>
      </c>
      <c r="P162" t="s">
        <v>7</v>
      </c>
      <c r="Q162" t="s">
        <v>45</v>
      </c>
      <c r="R162" t="s">
        <v>221</v>
      </c>
      <c r="S162" t="s">
        <v>334</v>
      </c>
    </row>
    <row r="163" spans="1:19" hidden="1">
      <c r="A163" t="s">
        <v>2</v>
      </c>
      <c r="B163" t="s">
        <v>3</v>
      </c>
      <c r="C163" t="s">
        <v>67</v>
      </c>
      <c r="D163">
        <v>45787</v>
      </c>
      <c r="E163">
        <v>1800000340</v>
      </c>
      <c r="F163" t="s">
        <v>47</v>
      </c>
      <c r="G163">
        <v>45787</v>
      </c>
      <c r="H163">
        <v>45800</v>
      </c>
      <c r="I163">
        <v>256788410215</v>
      </c>
      <c r="J163" t="s">
        <v>8</v>
      </c>
      <c r="K163" t="s">
        <v>21</v>
      </c>
      <c r="L163">
        <v>2336.5100000000002</v>
      </c>
      <c r="M163" t="s">
        <v>11</v>
      </c>
      <c r="N163">
        <v>200901.77</v>
      </c>
      <c r="O163" t="s">
        <v>12</v>
      </c>
      <c r="P163" t="s">
        <v>7</v>
      </c>
      <c r="Q163" t="s">
        <v>45</v>
      </c>
      <c r="R163" t="s">
        <v>222</v>
      </c>
      <c r="S163" t="s">
        <v>337</v>
      </c>
    </row>
    <row r="164" spans="1:19" hidden="1">
      <c r="A164" t="s">
        <v>2</v>
      </c>
      <c r="B164" t="s">
        <v>3</v>
      </c>
      <c r="C164" t="s">
        <v>29</v>
      </c>
      <c r="D164">
        <v>45948</v>
      </c>
      <c r="E164">
        <v>1800000561</v>
      </c>
      <c r="F164" t="s">
        <v>47</v>
      </c>
      <c r="G164">
        <v>45948</v>
      </c>
      <c r="H164">
        <v>45951</v>
      </c>
      <c r="I164">
        <v>256788410432</v>
      </c>
      <c r="J164" t="s">
        <v>8</v>
      </c>
      <c r="K164" t="s">
        <v>21</v>
      </c>
      <c r="L164">
        <v>393.41</v>
      </c>
      <c r="M164" t="s">
        <v>11</v>
      </c>
      <c r="N164">
        <v>34695.129999999997</v>
      </c>
      <c r="O164" t="s">
        <v>12</v>
      </c>
      <c r="P164" t="s">
        <v>7</v>
      </c>
      <c r="Q164" t="s">
        <v>223</v>
      </c>
      <c r="R164" t="s">
        <v>224</v>
      </c>
      <c r="S164" t="s">
        <v>339</v>
      </c>
    </row>
    <row r="165" spans="1:19" hidden="1">
      <c r="A165" t="s">
        <v>2</v>
      </c>
      <c r="B165" t="s">
        <v>3</v>
      </c>
      <c r="C165" t="s">
        <v>29</v>
      </c>
      <c r="D165">
        <v>45948</v>
      </c>
      <c r="E165">
        <v>1800000562</v>
      </c>
      <c r="F165" t="s">
        <v>47</v>
      </c>
      <c r="G165">
        <v>45948</v>
      </c>
      <c r="H165">
        <v>45951</v>
      </c>
      <c r="I165">
        <v>256788410433</v>
      </c>
      <c r="J165" t="s">
        <v>8</v>
      </c>
      <c r="K165" t="s">
        <v>21</v>
      </c>
      <c r="L165">
        <v>20.39</v>
      </c>
      <c r="M165" t="s">
        <v>11</v>
      </c>
      <c r="N165">
        <v>1798.21</v>
      </c>
      <c r="O165" t="s">
        <v>12</v>
      </c>
      <c r="P165" t="s">
        <v>7</v>
      </c>
      <c r="Q165" t="s">
        <v>223</v>
      </c>
      <c r="R165" t="s">
        <v>225</v>
      </c>
      <c r="S165" t="s">
        <v>342</v>
      </c>
    </row>
    <row r="166" spans="1:19" hidden="1">
      <c r="A166" t="s">
        <v>2</v>
      </c>
      <c r="B166" t="s">
        <v>3</v>
      </c>
      <c r="C166" t="s">
        <v>61</v>
      </c>
      <c r="D166">
        <v>45815</v>
      </c>
      <c r="E166">
        <v>1800009486</v>
      </c>
      <c r="F166" t="s">
        <v>47</v>
      </c>
      <c r="G166">
        <v>45815</v>
      </c>
      <c r="H166">
        <v>45817</v>
      </c>
      <c r="I166">
        <v>256779414250</v>
      </c>
      <c r="J166" t="s">
        <v>8</v>
      </c>
      <c r="K166" t="s">
        <v>21</v>
      </c>
      <c r="L166">
        <v>10597.07</v>
      </c>
      <c r="M166" t="s">
        <v>11</v>
      </c>
      <c r="N166">
        <v>905951.78</v>
      </c>
      <c r="O166" t="s">
        <v>76</v>
      </c>
      <c r="P166" t="s">
        <v>7</v>
      </c>
      <c r="Q166" t="s">
        <v>45</v>
      </c>
      <c r="R166" t="s">
        <v>226</v>
      </c>
      <c r="S166" t="s">
        <v>334</v>
      </c>
    </row>
    <row r="167" spans="1:19" hidden="1">
      <c r="A167" t="s">
        <v>2</v>
      </c>
      <c r="B167" t="s">
        <v>3</v>
      </c>
      <c r="C167" t="s">
        <v>29</v>
      </c>
      <c r="D167">
        <v>45936</v>
      </c>
      <c r="E167">
        <v>1800000552</v>
      </c>
      <c r="F167" t="s">
        <v>47</v>
      </c>
      <c r="G167">
        <v>45936</v>
      </c>
      <c r="H167">
        <v>45937</v>
      </c>
      <c r="I167">
        <v>256788410427</v>
      </c>
      <c r="J167" t="s">
        <v>8</v>
      </c>
      <c r="K167" t="s">
        <v>21</v>
      </c>
      <c r="L167">
        <v>11372.78</v>
      </c>
      <c r="M167" t="s">
        <v>11</v>
      </c>
      <c r="N167">
        <v>1002974.23</v>
      </c>
      <c r="O167" t="s">
        <v>12</v>
      </c>
      <c r="P167" t="s">
        <v>7</v>
      </c>
      <c r="Q167" t="s">
        <v>227</v>
      </c>
      <c r="R167" t="s">
        <v>228</v>
      </c>
      <c r="S167" t="s">
        <v>334</v>
      </c>
    </row>
    <row r="168" spans="1:19" hidden="1">
      <c r="A168" t="s">
        <v>2</v>
      </c>
      <c r="B168" t="s">
        <v>3</v>
      </c>
      <c r="C168" t="s">
        <v>29</v>
      </c>
      <c r="D168">
        <v>45935</v>
      </c>
      <c r="E168">
        <v>1800000536</v>
      </c>
      <c r="F168" t="s">
        <v>47</v>
      </c>
      <c r="G168">
        <v>45935</v>
      </c>
      <c r="H168">
        <v>45937</v>
      </c>
      <c r="I168">
        <v>256788410409</v>
      </c>
      <c r="J168" t="s">
        <v>8</v>
      </c>
      <c r="K168" t="s">
        <v>21</v>
      </c>
      <c r="L168">
        <v>1211.9000000000001</v>
      </c>
      <c r="M168" t="s">
        <v>11</v>
      </c>
      <c r="N168">
        <v>106878.39</v>
      </c>
      <c r="O168" t="s">
        <v>12</v>
      </c>
      <c r="P168" t="s">
        <v>7</v>
      </c>
      <c r="Q168" t="s">
        <v>229</v>
      </c>
      <c r="R168" t="s">
        <v>230</v>
      </c>
      <c r="S168" t="s">
        <v>335</v>
      </c>
    </row>
    <row r="169" spans="1:19" hidden="1">
      <c r="A169" t="s">
        <v>2</v>
      </c>
      <c r="B169" t="s">
        <v>3</v>
      </c>
      <c r="C169" t="s">
        <v>29</v>
      </c>
      <c r="D169">
        <v>45935</v>
      </c>
      <c r="E169">
        <v>1800000537</v>
      </c>
      <c r="F169" t="s">
        <v>47</v>
      </c>
      <c r="G169">
        <v>45935</v>
      </c>
      <c r="H169">
        <v>45937</v>
      </c>
      <c r="I169">
        <v>256788410410</v>
      </c>
      <c r="J169" t="s">
        <v>8</v>
      </c>
      <c r="K169" t="s">
        <v>21</v>
      </c>
      <c r="L169">
        <v>40</v>
      </c>
      <c r="M169" t="s">
        <v>11</v>
      </c>
      <c r="N169">
        <v>3527.63</v>
      </c>
      <c r="O169" t="s">
        <v>12</v>
      </c>
      <c r="P169" t="s">
        <v>7</v>
      </c>
      <c r="Q169" t="s">
        <v>229</v>
      </c>
      <c r="R169" t="s">
        <v>231</v>
      </c>
      <c r="S169" t="s">
        <v>343</v>
      </c>
    </row>
    <row r="170" spans="1:19" hidden="1">
      <c r="A170" t="s">
        <v>2</v>
      </c>
      <c r="B170" t="s">
        <v>3</v>
      </c>
      <c r="C170" t="s">
        <v>29</v>
      </c>
      <c r="D170">
        <v>45935</v>
      </c>
      <c r="E170">
        <v>1800000538</v>
      </c>
      <c r="F170" t="s">
        <v>47</v>
      </c>
      <c r="G170">
        <v>45935</v>
      </c>
      <c r="H170">
        <v>45937</v>
      </c>
      <c r="I170">
        <v>256788410411</v>
      </c>
      <c r="J170" t="s">
        <v>8</v>
      </c>
      <c r="K170" t="s">
        <v>21</v>
      </c>
      <c r="L170">
        <v>11.26</v>
      </c>
      <c r="M170" t="s">
        <v>11</v>
      </c>
      <c r="N170">
        <v>993.03</v>
      </c>
      <c r="O170" t="s">
        <v>12</v>
      </c>
      <c r="P170" t="s">
        <v>7</v>
      </c>
      <c r="Q170" t="s">
        <v>229</v>
      </c>
      <c r="R170" t="s">
        <v>232</v>
      </c>
      <c r="S170" t="s">
        <v>346</v>
      </c>
    </row>
    <row r="171" spans="1:19" hidden="1">
      <c r="A171" t="s">
        <v>2</v>
      </c>
      <c r="B171" t="s">
        <v>3</v>
      </c>
      <c r="C171" t="s">
        <v>29</v>
      </c>
      <c r="D171">
        <v>45935</v>
      </c>
      <c r="E171">
        <v>1800000534</v>
      </c>
      <c r="F171" t="s">
        <v>47</v>
      </c>
      <c r="G171">
        <v>45935</v>
      </c>
      <c r="H171">
        <v>45937</v>
      </c>
      <c r="I171">
        <v>256788410413</v>
      </c>
      <c r="J171" t="s">
        <v>8</v>
      </c>
      <c r="K171" t="s">
        <v>21</v>
      </c>
      <c r="L171">
        <v>8</v>
      </c>
      <c r="M171" t="s">
        <v>11</v>
      </c>
      <c r="N171">
        <v>705.53</v>
      </c>
      <c r="O171" t="s">
        <v>12</v>
      </c>
      <c r="P171" t="s">
        <v>7</v>
      </c>
      <c r="Q171" t="s">
        <v>233</v>
      </c>
      <c r="R171" t="s">
        <v>234</v>
      </c>
      <c r="S171" t="s">
        <v>338</v>
      </c>
    </row>
    <row r="172" spans="1:19" hidden="1">
      <c r="A172" t="s">
        <v>2</v>
      </c>
      <c r="B172" t="s">
        <v>3</v>
      </c>
      <c r="C172" t="s">
        <v>29</v>
      </c>
      <c r="D172">
        <v>45935</v>
      </c>
      <c r="E172">
        <v>1800000539</v>
      </c>
      <c r="F172" t="s">
        <v>47</v>
      </c>
      <c r="G172">
        <v>45935</v>
      </c>
      <c r="H172">
        <v>45937</v>
      </c>
      <c r="I172">
        <v>256788410414</v>
      </c>
      <c r="J172" t="s">
        <v>8</v>
      </c>
      <c r="K172" t="s">
        <v>21</v>
      </c>
      <c r="L172">
        <v>1119.04</v>
      </c>
      <c r="M172" t="s">
        <v>11</v>
      </c>
      <c r="N172">
        <v>98689</v>
      </c>
      <c r="O172" t="s">
        <v>12</v>
      </c>
      <c r="P172" t="s">
        <v>7</v>
      </c>
      <c r="Q172" t="s">
        <v>235</v>
      </c>
      <c r="R172" t="s">
        <v>236</v>
      </c>
      <c r="S172" t="s">
        <v>337</v>
      </c>
    </row>
    <row r="173" spans="1:19" hidden="1">
      <c r="A173" t="s">
        <v>2</v>
      </c>
      <c r="B173" t="s">
        <v>3</v>
      </c>
      <c r="C173" t="s">
        <v>29</v>
      </c>
      <c r="D173">
        <v>45935</v>
      </c>
      <c r="E173">
        <v>1800000540</v>
      </c>
      <c r="F173" t="s">
        <v>47</v>
      </c>
      <c r="G173">
        <v>45935</v>
      </c>
      <c r="H173">
        <v>45937</v>
      </c>
      <c r="I173">
        <v>256788410415</v>
      </c>
      <c r="J173" t="s">
        <v>8</v>
      </c>
      <c r="K173" t="s">
        <v>21</v>
      </c>
      <c r="L173">
        <v>47.84</v>
      </c>
      <c r="M173" t="s">
        <v>11</v>
      </c>
      <c r="N173">
        <v>4219.05</v>
      </c>
      <c r="O173" t="s">
        <v>12</v>
      </c>
      <c r="P173" t="s">
        <v>7</v>
      </c>
      <c r="Q173" t="s">
        <v>237</v>
      </c>
      <c r="R173" t="s">
        <v>238</v>
      </c>
      <c r="S173" t="s">
        <v>341</v>
      </c>
    </row>
    <row r="174" spans="1:19">
      <c r="A174" t="s">
        <v>2</v>
      </c>
      <c r="B174" t="s">
        <v>3</v>
      </c>
      <c r="C174" t="s">
        <v>29</v>
      </c>
      <c r="D174">
        <v>45935</v>
      </c>
      <c r="E174">
        <v>1800000545</v>
      </c>
      <c r="F174" t="s">
        <v>47</v>
      </c>
      <c r="G174">
        <v>45935</v>
      </c>
      <c r="H174">
        <v>45937</v>
      </c>
      <c r="I174">
        <v>256788410420</v>
      </c>
      <c r="J174" t="s">
        <v>8</v>
      </c>
      <c r="K174" t="s">
        <v>21</v>
      </c>
      <c r="L174">
        <v>75</v>
      </c>
      <c r="M174" t="s">
        <v>11</v>
      </c>
      <c r="N174">
        <v>6614.31</v>
      </c>
      <c r="O174" t="s">
        <v>12</v>
      </c>
      <c r="P174" t="s">
        <v>7</v>
      </c>
      <c r="Q174" t="s">
        <v>239</v>
      </c>
      <c r="R174" t="s">
        <v>240</v>
      </c>
      <c r="S174" t="s">
        <v>334</v>
      </c>
    </row>
    <row r="175" spans="1:19" hidden="1">
      <c r="A175" t="s">
        <v>2</v>
      </c>
      <c r="B175" t="s">
        <v>3</v>
      </c>
      <c r="C175" t="s">
        <v>29</v>
      </c>
      <c r="D175">
        <v>45935</v>
      </c>
      <c r="E175">
        <v>1800000556</v>
      </c>
      <c r="F175" t="s">
        <v>47</v>
      </c>
      <c r="G175">
        <v>45935</v>
      </c>
      <c r="H175">
        <v>45940</v>
      </c>
      <c r="I175">
        <v>256788410431</v>
      </c>
      <c r="J175" t="s">
        <v>8</v>
      </c>
      <c r="K175" t="s">
        <v>21</v>
      </c>
      <c r="L175">
        <v>250.08</v>
      </c>
      <c r="M175" t="s">
        <v>11</v>
      </c>
      <c r="N175">
        <v>22054.75</v>
      </c>
      <c r="O175" t="s">
        <v>12</v>
      </c>
      <c r="P175" t="s">
        <v>7</v>
      </c>
      <c r="Q175" t="s">
        <v>241</v>
      </c>
      <c r="R175" t="s">
        <v>242</v>
      </c>
      <c r="S175" t="s">
        <v>344</v>
      </c>
    </row>
    <row r="176" spans="1:19" hidden="1">
      <c r="A176" t="s">
        <v>2</v>
      </c>
      <c r="B176" t="s">
        <v>3</v>
      </c>
      <c r="C176" t="s">
        <v>29</v>
      </c>
      <c r="D176">
        <v>45935</v>
      </c>
      <c r="E176">
        <v>1800000542</v>
      </c>
      <c r="F176" t="s">
        <v>47</v>
      </c>
      <c r="G176">
        <v>45935</v>
      </c>
      <c r="H176">
        <v>45937</v>
      </c>
      <c r="I176">
        <v>256788410417</v>
      </c>
      <c r="J176" t="s">
        <v>8</v>
      </c>
      <c r="K176" t="s">
        <v>21</v>
      </c>
      <c r="L176">
        <v>1211.9000000000001</v>
      </c>
      <c r="M176" t="s">
        <v>11</v>
      </c>
      <c r="N176">
        <v>106878.39</v>
      </c>
      <c r="O176" t="s">
        <v>12</v>
      </c>
      <c r="P176" t="s">
        <v>7</v>
      </c>
      <c r="Q176" t="s">
        <v>243</v>
      </c>
      <c r="R176" t="s">
        <v>230</v>
      </c>
      <c r="S176" t="s">
        <v>335</v>
      </c>
    </row>
    <row r="177" spans="1:19" hidden="1">
      <c r="A177" t="s">
        <v>2</v>
      </c>
      <c r="B177" t="s">
        <v>3</v>
      </c>
      <c r="C177" t="s">
        <v>29</v>
      </c>
      <c r="D177">
        <v>45935</v>
      </c>
      <c r="E177">
        <v>1800000543</v>
      </c>
      <c r="F177" t="s">
        <v>47</v>
      </c>
      <c r="G177">
        <v>45935</v>
      </c>
      <c r="H177">
        <v>45937</v>
      </c>
      <c r="I177">
        <v>256788410418</v>
      </c>
      <c r="J177" t="s">
        <v>8</v>
      </c>
      <c r="K177" t="s">
        <v>21</v>
      </c>
      <c r="L177">
        <v>40</v>
      </c>
      <c r="M177" t="s">
        <v>11</v>
      </c>
      <c r="N177">
        <v>3527.63</v>
      </c>
      <c r="O177" t="s">
        <v>12</v>
      </c>
      <c r="P177" t="s">
        <v>7</v>
      </c>
      <c r="Q177" t="s">
        <v>243</v>
      </c>
      <c r="R177" t="s">
        <v>231</v>
      </c>
      <c r="S177" t="s">
        <v>343</v>
      </c>
    </row>
    <row r="178" spans="1:19" hidden="1">
      <c r="A178" t="s">
        <v>2</v>
      </c>
      <c r="B178" t="s">
        <v>3</v>
      </c>
      <c r="C178" t="s">
        <v>29</v>
      </c>
      <c r="D178">
        <v>45935</v>
      </c>
      <c r="E178">
        <v>1800000544</v>
      </c>
      <c r="F178" t="s">
        <v>47</v>
      </c>
      <c r="G178">
        <v>45935</v>
      </c>
      <c r="H178">
        <v>45937</v>
      </c>
      <c r="I178">
        <v>256788410419</v>
      </c>
      <c r="J178" t="s">
        <v>8</v>
      </c>
      <c r="K178" t="s">
        <v>21</v>
      </c>
      <c r="L178">
        <v>11.26</v>
      </c>
      <c r="M178" t="s">
        <v>11</v>
      </c>
      <c r="N178">
        <v>993.03</v>
      </c>
      <c r="O178" t="s">
        <v>12</v>
      </c>
      <c r="P178" t="s">
        <v>7</v>
      </c>
      <c r="Q178" t="s">
        <v>243</v>
      </c>
      <c r="R178" t="s">
        <v>232</v>
      </c>
      <c r="S178" t="s">
        <v>346</v>
      </c>
    </row>
    <row r="179" spans="1:19" hidden="1">
      <c r="A179" t="s">
        <v>2</v>
      </c>
      <c r="B179" t="s">
        <v>3</v>
      </c>
      <c r="C179" t="s">
        <v>50</v>
      </c>
      <c r="D179">
        <v>45906</v>
      </c>
      <c r="E179">
        <v>1800000478</v>
      </c>
      <c r="F179" t="s">
        <v>47</v>
      </c>
      <c r="G179">
        <v>45906</v>
      </c>
      <c r="H179">
        <v>45909</v>
      </c>
      <c r="I179">
        <v>256788410357</v>
      </c>
      <c r="J179" t="s">
        <v>8</v>
      </c>
      <c r="K179" t="s">
        <v>21</v>
      </c>
      <c r="L179">
        <v>11371.82</v>
      </c>
      <c r="M179" t="s">
        <v>11</v>
      </c>
      <c r="N179">
        <v>995197.21</v>
      </c>
      <c r="O179" t="s">
        <v>12</v>
      </c>
      <c r="P179" t="s">
        <v>7</v>
      </c>
      <c r="Q179" t="s">
        <v>45</v>
      </c>
      <c r="R179" t="s">
        <v>244</v>
      </c>
      <c r="S179" t="s">
        <v>334</v>
      </c>
    </row>
    <row r="180" spans="1:19" hidden="1">
      <c r="A180" t="s">
        <v>2</v>
      </c>
      <c r="B180" t="s">
        <v>245</v>
      </c>
      <c r="C180" t="s">
        <v>13</v>
      </c>
      <c r="D180">
        <v>46027</v>
      </c>
      <c r="E180">
        <v>1800000621</v>
      </c>
      <c r="F180" t="s">
        <v>47</v>
      </c>
      <c r="G180">
        <v>46027</v>
      </c>
      <c r="H180">
        <v>46027</v>
      </c>
      <c r="I180">
        <v>256788410483</v>
      </c>
      <c r="J180" t="s">
        <v>8</v>
      </c>
      <c r="K180" t="s">
        <v>21</v>
      </c>
      <c r="L180">
        <v>63.04</v>
      </c>
      <c r="M180" t="s">
        <v>11</v>
      </c>
      <c r="N180">
        <v>5720.45</v>
      </c>
      <c r="O180" t="s">
        <v>12</v>
      </c>
      <c r="P180" t="s">
        <v>7</v>
      </c>
      <c r="Q180" t="s">
        <v>246</v>
      </c>
      <c r="R180" t="s">
        <v>247</v>
      </c>
      <c r="S180" t="s">
        <v>339</v>
      </c>
    </row>
    <row r="181" spans="1:19" hidden="1">
      <c r="A181" t="s">
        <v>2</v>
      </c>
      <c r="B181" t="s">
        <v>245</v>
      </c>
      <c r="C181" t="s">
        <v>13</v>
      </c>
      <c r="D181">
        <v>46027</v>
      </c>
      <c r="E181">
        <v>1800000623</v>
      </c>
      <c r="F181" t="s">
        <v>47</v>
      </c>
      <c r="G181">
        <v>46027</v>
      </c>
      <c r="H181">
        <v>46027</v>
      </c>
      <c r="I181">
        <v>256788410485</v>
      </c>
      <c r="J181" t="s">
        <v>8</v>
      </c>
      <c r="K181" t="s">
        <v>21</v>
      </c>
      <c r="L181">
        <v>348.86</v>
      </c>
      <c r="M181" t="s">
        <v>11</v>
      </c>
      <c r="N181">
        <v>31656.65</v>
      </c>
      <c r="O181" t="s">
        <v>12</v>
      </c>
      <c r="P181" t="s">
        <v>7</v>
      </c>
      <c r="Q181" t="s">
        <v>45</v>
      </c>
      <c r="R181" t="s">
        <v>247</v>
      </c>
      <c r="S181" t="s">
        <v>339</v>
      </c>
    </row>
    <row r="182" spans="1:19" hidden="1">
      <c r="A182" t="s">
        <v>2</v>
      </c>
      <c r="B182" t="s">
        <v>245</v>
      </c>
      <c r="C182" t="s">
        <v>13</v>
      </c>
      <c r="D182">
        <v>46027</v>
      </c>
      <c r="E182">
        <v>1800000619</v>
      </c>
      <c r="F182" t="s">
        <v>47</v>
      </c>
      <c r="G182">
        <v>46027</v>
      </c>
      <c r="H182">
        <v>46027</v>
      </c>
      <c r="I182">
        <v>256788410487</v>
      </c>
      <c r="J182" t="s">
        <v>8</v>
      </c>
      <c r="K182" t="s">
        <v>21</v>
      </c>
      <c r="L182">
        <v>52</v>
      </c>
      <c r="M182" t="s">
        <v>11</v>
      </c>
      <c r="N182">
        <v>4718.6400000000003</v>
      </c>
      <c r="O182" t="s">
        <v>12</v>
      </c>
      <c r="P182" t="s">
        <v>7</v>
      </c>
      <c r="Q182" t="s">
        <v>249</v>
      </c>
      <c r="R182" t="s">
        <v>250</v>
      </c>
      <c r="S182" t="s">
        <v>338</v>
      </c>
    </row>
    <row r="183" spans="1:19" hidden="1">
      <c r="A183" t="s">
        <v>2</v>
      </c>
      <c r="B183" t="s">
        <v>245</v>
      </c>
      <c r="C183" t="s">
        <v>13</v>
      </c>
      <c r="D183">
        <v>46027</v>
      </c>
      <c r="E183">
        <v>1800000625</v>
      </c>
      <c r="F183" t="s">
        <v>47</v>
      </c>
      <c r="G183">
        <v>46027</v>
      </c>
      <c r="H183">
        <v>46027</v>
      </c>
      <c r="I183">
        <v>256788410490</v>
      </c>
      <c r="J183" t="s">
        <v>8</v>
      </c>
      <c r="K183" t="s">
        <v>21</v>
      </c>
      <c r="L183">
        <v>94</v>
      </c>
      <c r="M183" t="s">
        <v>11</v>
      </c>
      <c r="N183">
        <v>8529.86</v>
      </c>
      <c r="O183" t="s">
        <v>12</v>
      </c>
      <c r="P183" t="s">
        <v>7</v>
      </c>
      <c r="Q183" t="s">
        <v>251</v>
      </c>
      <c r="R183" t="s">
        <v>252</v>
      </c>
      <c r="S183" t="s">
        <v>340</v>
      </c>
    </row>
    <row r="184" spans="1:19" hidden="1">
      <c r="A184" t="s">
        <v>2</v>
      </c>
      <c r="B184" t="s">
        <v>245</v>
      </c>
      <c r="C184" t="s">
        <v>13</v>
      </c>
      <c r="D184">
        <v>46034</v>
      </c>
      <c r="E184">
        <v>1800000635</v>
      </c>
      <c r="F184" t="s">
        <v>47</v>
      </c>
      <c r="G184">
        <v>46034</v>
      </c>
      <c r="H184">
        <v>46035</v>
      </c>
      <c r="I184">
        <v>256788410492</v>
      </c>
      <c r="J184" t="s">
        <v>8</v>
      </c>
      <c r="K184" t="s">
        <v>21</v>
      </c>
      <c r="L184">
        <v>476</v>
      </c>
      <c r="M184" t="s">
        <v>11</v>
      </c>
      <c r="N184">
        <v>43193.73</v>
      </c>
      <c r="O184" t="s">
        <v>12</v>
      </c>
      <c r="P184" t="s">
        <v>7</v>
      </c>
      <c r="Q184" t="s">
        <v>253</v>
      </c>
      <c r="R184" t="s">
        <v>254</v>
      </c>
      <c r="S184" t="s">
        <v>335</v>
      </c>
    </row>
    <row r="185" spans="1:19" hidden="1">
      <c r="A185" t="s">
        <v>2</v>
      </c>
      <c r="B185" t="s">
        <v>245</v>
      </c>
      <c r="C185" t="s">
        <v>13</v>
      </c>
      <c r="D185">
        <v>46034</v>
      </c>
      <c r="E185">
        <v>1800000638</v>
      </c>
      <c r="F185" t="s">
        <v>47</v>
      </c>
      <c r="G185">
        <v>46034</v>
      </c>
      <c r="H185">
        <v>46035</v>
      </c>
      <c r="I185">
        <v>256788410495</v>
      </c>
      <c r="J185" t="s">
        <v>8</v>
      </c>
      <c r="K185" t="s">
        <v>21</v>
      </c>
      <c r="L185">
        <v>49.49</v>
      </c>
      <c r="M185" t="s">
        <v>11</v>
      </c>
      <c r="N185">
        <v>4490.88</v>
      </c>
      <c r="O185" t="s">
        <v>12</v>
      </c>
      <c r="P185" t="s">
        <v>7</v>
      </c>
      <c r="Q185" t="s">
        <v>253</v>
      </c>
      <c r="R185" t="s">
        <v>255</v>
      </c>
      <c r="S185" t="s">
        <v>341</v>
      </c>
    </row>
    <row r="186" spans="1:19" hidden="1">
      <c r="A186" t="s">
        <v>2</v>
      </c>
      <c r="B186" t="s">
        <v>245</v>
      </c>
      <c r="C186" t="s">
        <v>13</v>
      </c>
      <c r="D186">
        <v>46034</v>
      </c>
      <c r="E186">
        <v>1800000641</v>
      </c>
      <c r="F186" t="s">
        <v>47</v>
      </c>
      <c r="G186">
        <v>46034</v>
      </c>
      <c r="H186">
        <v>46035</v>
      </c>
      <c r="I186">
        <v>256788410498</v>
      </c>
      <c r="J186" t="s">
        <v>8</v>
      </c>
      <c r="K186" t="s">
        <v>21</v>
      </c>
      <c r="L186">
        <v>181.44</v>
      </c>
      <c r="M186" t="s">
        <v>11</v>
      </c>
      <c r="N186">
        <v>16464.439999999999</v>
      </c>
      <c r="O186" t="s">
        <v>12</v>
      </c>
      <c r="P186" t="s">
        <v>7</v>
      </c>
      <c r="Q186" t="s">
        <v>253</v>
      </c>
      <c r="R186" t="s">
        <v>256</v>
      </c>
      <c r="S186" t="s">
        <v>344</v>
      </c>
    </row>
    <row r="187" spans="1:19" hidden="1">
      <c r="A187" t="s">
        <v>2</v>
      </c>
      <c r="B187" t="s">
        <v>245</v>
      </c>
      <c r="C187" t="s">
        <v>13</v>
      </c>
      <c r="D187">
        <v>46034</v>
      </c>
      <c r="E187">
        <v>1800000642</v>
      </c>
      <c r="F187" t="s">
        <v>47</v>
      </c>
      <c r="G187">
        <v>46034</v>
      </c>
      <c r="H187">
        <v>46035</v>
      </c>
      <c r="I187">
        <v>256788410499</v>
      </c>
      <c r="J187" t="s">
        <v>8</v>
      </c>
      <c r="K187" t="s">
        <v>21</v>
      </c>
      <c r="L187">
        <v>53</v>
      </c>
      <c r="M187" t="s">
        <v>11</v>
      </c>
      <c r="N187">
        <v>4809.3900000000003</v>
      </c>
      <c r="O187" t="s">
        <v>12</v>
      </c>
      <c r="P187" t="s">
        <v>7</v>
      </c>
      <c r="Q187" t="s">
        <v>253</v>
      </c>
      <c r="R187" t="s">
        <v>257</v>
      </c>
      <c r="S187" t="s">
        <v>340</v>
      </c>
    </row>
    <row r="188" spans="1:19" hidden="1">
      <c r="A188" t="s">
        <v>2</v>
      </c>
      <c r="B188" t="s">
        <v>245</v>
      </c>
      <c r="C188" t="s">
        <v>13</v>
      </c>
      <c r="D188">
        <v>46028</v>
      </c>
      <c r="E188">
        <v>1800016633</v>
      </c>
      <c r="F188" t="s">
        <v>47</v>
      </c>
      <c r="G188">
        <v>46028</v>
      </c>
      <c r="H188">
        <v>46035</v>
      </c>
      <c r="I188">
        <v>256779440254</v>
      </c>
      <c r="J188" t="s">
        <v>8</v>
      </c>
      <c r="K188" t="s">
        <v>21</v>
      </c>
      <c r="L188">
        <v>2.0299999999999998</v>
      </c>
      <c r="M188" t="s">
        <v>11</v>
      </c>
      <c r="N188">
        <v>184.21</v>
      </c>
      <c r="O188" t="s">
        <v>76</v>
      </c>
      <c r="P188" t="s">
        <v>7</v>
      </c>
      <c r="Q188" t="s">
        <v>45</v>
      </c>
      <c r="R188" t="s">
        <v>259</v>
      </c>
      <c r="S188" t="s">
        <v>336</v>
      </c>
    </row>
    <row r="189" spans="1:19" hidden="1">
      <c r="A189" t="s">
        <v>2</v>
      </c>
      <c r="B189" t="s">
        <v>245</v>
      </c>
      <c r="C189" t="s">
        <v>13</v>
      </c>
      <c r="D189">
        <v>46034</v>
      </c>
      <c r="E189">
        <v>1800000647</v>
      </c>
      <c r="F189" t="s">
        <v>47</v>
      </c>
      <c r="G189">
        <v>46034</v>
      </c>
      <c r="H189">
        <v>46035</v>
      </c>
      <c r="I189">
        <v>256788410500</v>
      </c>
      <c r="J189" t="s">
        <v>8</v>
      </c>
      <c r="K189" t="s">
        <v>21</v>
      </c>
      <c r="L189">
        <v>32</v>
      </c>
      <c r="M189" t="s">
        <v>11</v>
      </c>
      <c r="N189">
        <v>2903.78</v>
      </c>
      <c r="O189" t="s">
        <v>12</v>
      </c>
      <c r="P189" t="s">
        <v>7</v>
      </c>
      <c r="Q189" t="s">
        <v>45</v>
      </c>
      <c r="R189" t="s">
        <v>261</v>
      </c>
      <c r="S189" t="s">
        <v>338</v>
      </c>
    </row>
    <row r="190" spans="1:19" hidden="1">
      <c r="A190" t="s">
        <v>2</v>
      </c>
      <c r="B190" t="s">
        <v>245</v>
      </c>
      <c r="C190" t="s">
        <v>13</v>
      </c>
      <c r="D190">
        <v>46034</v>
      </c>
      <c r="E190">
        <v>1800000626</v>
      </c>
      <c r="F190" t="s">
        <v>47</v>
      </c>
      <c r="G190">
        <v>46034</v>
      </c>
      <c r="H190">
        <v>46035</v>
      </c>
      <c r="I190">
        <v>256788410502</v>
      </c>
      <c r="J190" t="s">
        <v>8</v>
      </c>
      <c r="K190" t="s">
        <v>21</v>
      </c>
      <c r="L190">
        <v>3980.5</v>
      </c>
      <c r="M190" t="s">
        <v>11</v>
      </c>
      <c r="N190">
        <v>361203.07</v>
      </c>
      <c r="O190" t="s">
        <v>12</v>
      </c>
      <c r="P190" t="s">
        <v>7</v>
      </c>
      <c r="Q190" t="s">
        <v>45</v>
      </c>
      <c r="R190" t="s">
        <v>263</v>
      </c>
      <c r="S190" t="s">
        <v>334</v>
      </c>
    </row>
    <row r="191" spans="1:19" hidden="1">
      <c r="A191" t="s">
        <v>2</v>
      </c>
      <c r="B191" t="s">
        <v>245</v>
      </c>
      <c r="C191" t="s">
        <v>13</v>
      </c>
      <c r="D191">
        <v>46028</v>
      </c>
      <c r="E191">
        <v>1800000643</v>
      </c>
      <c r="F191" t="s">
        <v>47</v>
      </c>
      <c r="G191">
        <v>46028</v>
      </c>
      <c r="H191">
        <v>46035</v>
      </c>
      <c r="I191">
        <v>256788410503</v>
      </c>
      <c r="J191" t="s">
        <v>8</v>
      </c>
      <c r="K191" t="s">
        <v>21</v>
      </c>
      <c r="L191">
        <v>994.98</v>
      </c>
      <c r="M191" t="s">
        <v>11</v>
      </c>
      <c r="N191">
        <v>90287.61</v>
      </c>
      <c r="O191" t="s">
        <v>12</v>
      </c>
      <c r="P191" t="s">
        <v>7</v>
      </c>
      <c r="Q191" t="s">
        <v>264</v>
      </c>
      <c r="R191" t="s">
        <v>265</v>
      </c>
      <c r="S191" t="s">
        <v>339</v>
      </c>
    </row>
    <row r="192" spans="1:19" hidden="1">
      <c r="A192" t="s">
        <v>2</v>
      </c>
      <c r="B192" t="s">
        <v>245</v>
      </c>
      <c r="C192" t="s">
        <v>13</v>
      </c>
      <c r="D192">
        <v>46034</v>
      </c>
      <c r="E192">
        <v>1800000627</v>
      </c>
      <c r="F192" t="s">
        <v>47</v>
      </c>
      <c r="G192">
        <v>46034</v>
      </c>
      <c r="H192">
        <v>46035</v>
      </c>
      <c r="I192">
        <v>256788410507</v>
      </c>
      <c r="J192" t="s">
        <v>8</v>
      </c>
      <c r="K192" t="s">
        <v>21</v>
      </c>
      <c r="L192">
        <v>75</v>
      </c>
      <c r="M192" t="s">
        <v>11</v>
      </c>
      <c r="N192">
        <v>6805.74</v>
      </c>
      <c r="O192" t="s">
        <v>12</v>
      </c>
      <c r="P192" t="s">
        <v>7</v>
      </c>
      <c r="Q192" t="s">
        <v>45</v>
      </c>
      <c r="R192" t="s">
        <v>267</v>
      </c>
      <c r="S192" t="s">
        <v>334</v>
      </c>
    </row>
    <row r="193" spans="1:19" hidden="1">
      <c r="A193" t="s">
        <v>2</v>
      </c>
      <c r="B193" t="s">
        <v>245</v>
      </c>
      <c r="C193" t="s">
        <v>13</v>
      </c>
      <c r="D193">
        <v>46034</v>
      </c>
      <c r="E193">
        <v>1800000649</v>
      </c>
      <c r="F193" t="s">
        <v>47</v>
      </c>
      <c r="G193">
        <v>46034</v>
      </c>
      <c r="H193">
        <v>46035</v>
      </c>
      <c r="I193">
        <v>256788410514</v>
      </c>
      <c r="J193" t="s">
        <v>8</v>
      </c>
      <c r="K193" t="s">
        <v>21</v>
      </c>
      <c r="L193">
        <v>63.04</v>
      </c>
      <c r="M193" t="s">
        <v>11</v>
      </c>
      <c r="N193">
        <v>5720.45</v>
      </c>
      <c r="O193" t="s">
        <v>12</v>
      </c>
      <c r="P193" t="s">
        <v>7</v>
      </c>
      <c r="Q193" t="s">
        <v>45</v>
      </c>
      <c r="R193" t="s">
        <v>247</v>
      </c>
      <c r="S193" t="s">
        <v>339</v>
      </c>
    </row>
  </sheetData>
  <autoFilter ref="A1:S193" xr:uid="{C781F9FA-0020-4297-9A22-6A58F5975EC4}">
    <filterColumn colId="17">
      <filters>
        <filter val="Fixed Rental charges for Oct 2024"/>
        <filter val="Fixed Storage Charges for October 2025"/>
        <filter val="Storage Charges for the month of October, 2024"/>
        <filter val="Unit-Storage-1-31 Oct 25"/>
      </filters>
    </filterColumn>
    <filterColumn colId="18">
      <filters>
        <filter val="Stora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Sheet3</vt:lpstr>
      <vt:lpstr>Sheet2</vt:lpstr>
      <vt:lpstr>Sheet5</vt:lpstr>
      <vt:lpstr>Sheet7</vt:lpstr>
      <vt:lpstr>Sheet1</vt:lpstr>
      <vt:lpstr>Sheet4</vt:lpstr>
      <vt:lpstr>Storage</vt:lpstr>
      <vt:lpstr>Detail1</vt:lpstr>
      <vt:lpstr>CY</vt:lpstr>
      <vt:lpstr>Detail2</vt:lpstr>
      <vt:lpstr>Sheet6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modified xsi:type="dcterms:W3CDTF">2026-01-31T13:56:23Z</dcterms:modified>
  <cp:category/>
</cp:coreProperties>
</file>