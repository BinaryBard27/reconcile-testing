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MCA-C-16\Desktop\Capital Land\6. Onnsynex20260121163145\"/>
    </mc:Choice>
  </mc:AlternateContent>
  <xr:revisionPtr revIDLastSave="0" documentId="13_ncr:1_{76BD7B43-7484-44A3-A3BE-B7A5B4DA117E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LEDGER FINAL" sheetId="3" r:id="rId1"/>
    <sheet name="LEDGER" sheetId="2" state="hidden" r:id="rId2"/>
    <sheet name="Sheet3" sheetId="4" state="hidden" r:id="rId3"/>
    <sheet name="TDS" sheetId="1" r:id="rId4"/>
    <sheet name="Summary" sheetId="8" r:id="rId5"/>
  </sheets>
  <definedNames>
    <definedName name="_xlnm._FilterDatabase" localSheetId="1" hidden="1">LEDGER!$A$1:$V$1</definedName>
    <definedName name="_xlnm._FilterDatabase" localSheetId="0" hidden="1">'LEDGER FINAL'!$A$2:$T$221</definedName>
    <definedName name="_xlnm._FilterDatabase" localSheetId="3" hidden="1">TDS!$A$1:$F$70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" i="1" l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 a="1"/>
  <c r="E2" i="1" s="1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19" i="3"/>
  <c r="N1" i="3"/>
  <c r="S25" i="3"/>
  <c r="S24" i="3"/>
  <c r="S20" i="3"/>
  <c r="S21" i="3"/>
  <c r="S22" i="3"/>
  <c r="S23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19" i="3"/>
  <c r="S4" i="2"/>
  <c r="S2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<sst xmlns="http://schemas.openxmlformats.org/spreadsheetml/2006/main" count="5233" uniqueCount="253">
  <si>
    <t xml:space="preserve">Section </t>
  </si>
  <si>
    <t>Particulars</t>
  </si>
  <si>
    <t>Type</t>
  </si>
  <si>
    <t>TDS</t>
  </si>
  <si>
    <t>194I</t>
  </si>
  <si>
    <t>By  ANOMALOUS INFRA PRIVATE LIMITED</t>
  </si>
  <si>
    <t>By  Storage  Charges</t>
  </si>
  <si>
    <t>By  AGENCY CHARGES</t>
  </si>
  <si>
    <t>194C</t>
  </si>
  <si>
    <t>By  AGENCY CHARGES          Journal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</si>
  <si>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</si>
  <si>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</si>
  <si>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</si>
  <si>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</si>
  <si>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</si>
  <si>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</si>
  <si>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</si>
  <si>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Header Text</t>
  </si>
  <si>
    <t>Invoice No</t>
  </si>
  <si>
    <t>G/L Account</t>
  </si>
  <si>
    <t>Document Currency Key</t>
  </si>
  <si>
    <t>Document Currency Value</t>
  </si>
  <si>
    <t>Company Code Currency Key</t>
  </si>
  <si>
    <t>Company Code Currency Value</t>
  </si>
  <si>
    <t>Text</t>
  </si>
  <si>
    <t>Baseline Payment Dte</t>
  </si>
  <si>
    <t>Clearing Date</t>
  </si>
  <si>
    <t>Clearing Document</t>
  </si>
  <si>
    <t>ONNSYNEX VENTURES PRIVATE LIMITED</t>
  </si>
  <si>
    <t>2025</t>
  </si>
  <si>
    <t>4</t>
  </si>
  <si>
    <t>DA</t>
  </si>
  <si>
    <t/>
  </si>
  <si>
    <t>212100</t>
  </si>
  <si>
    <t>INR</t>
  </si>
  <si>
    <t>1</t>
  </si>
  <si>
    <t>Overpayment</t>
  </si>
  <si>
    <t>1600000012</t>
  </si>
  <si>
    <t>2</t>
  </si>
  <si>
    <t>DY</t>
  </si>
  <si>
    <t>Na</t>
  </si>
  <si>
    <t>USD</t>
  </si>
  <si>
    <t>1400000001</t>
  </si>
  <si>
    <t>8</t>
  </si>
  <si>
    <t>DZ</t>
  </si>
  <si>
    <t>RBINR52025071152142380</t>
  </si>
  <si>
    <t>RBINR52025071152144290</t>
  </si>
  <si>
    <t>10</t>
  </si>
  <si>
    <t>HDFCR52025091059694776</t>
  </si>
  <si>
    <t>HDFCR52025091059714564</t>
  </si>
  <si>
    <t>HDFCR52025091059694771</t>
  </si>
  <si>
    <t>RBINR52025091011436663</t>
  </si>
  <si>
    <t>FDX3H9MYLVYP</t>
  </si>
  <si>
    <t>XC</t>
  </si>
  <si>
    <t>6788ZP25000006</t>
  </si>
  <si>
    <t>11</t>
  </si>
  <si>
    <t>3</t>
  </si>
  <si>
    <t>6788ZR25000006</t>
  </si>
  <si>
    <t>6788ZP25000117</t>
  </si>
  <si>
    <t>as per SME conformation parked as overpayment</t>
  </si>
  <si>
    <t>NA</t>
  </si>
  <si>
    <t>KNOCK OFF ENTRY</t>
  </si>
  <si>
    <t>1400000084</t>
  </si>
  <si>
    <t>DR</t>
  </si>
  <si>
    <t>INTRA 1-15 Aug 25</t>
  </si>
  <si>
    <t>9</t>
  </si>
  <si>
    <t>Intra 16-31 Aug 25</t>
  </si>
  <si>
    <t>Transportation Inbound charges for Jan 25</t>
  </si>
  <si>
    <t>Storage Charges for the month of November 2024</t>
  </si>
  <si>
    <t>Storage Charges for the month of December 2024</t>
  </si>
  <si>
    <t>CY-CY Ground Rent charges for Oct 2024. Exchange c</t>
  </si>
  <si>
    <t>CY-CY Ground Rent charges for Dec 2024. Exchange c</t>
  </si>
  <si>
    <t>Storage Charges for the month of August, 2024</t>
  </si>
  <si>
    <t>Storage Charges for the month of September, 2024</t>
  </si>
  <si>
    <t>Storage Charges for the month of October, 2024</t>
  </si>
  <si>
    <t>Fixed Storage Charges for August 2025</t>
  </si>
  <si>
    <t>6</t>
  </si>
  <si>
    <t>Fixed Storage Charges fo JUNE 2025</t>
  </si>
  <si>
    <t>VAS Activity - Feb 25, Ex Rate. 87.40</t>
  </si>
  <si>
    <t>VAS -1-15 Sept-25</t>
  </si>
  <si>
    <t>5</t>
  </si>
  <si>
    <t>Inbound chgs - 01 - 15 Apr 25</t>
  </si>
  <si>
    <t>Outbound chgs - 01 - 15 Apr 25</t>
  </si>
  <si>
    <t>Outbound chgs - 16 - 30 Apr 25</t>
  </si>
  <si>
    <t>DG</t>
  </si>
  <si>
    <t>Credit note raised against 256788410417</t>
  </si>
  <si>
    <t>Credit note raised against 256788410418</t>
  </si>
  <si>
    <t>Credit note raised against 256788410419</t>
  </si>
  <si>
    <t>VAS Activity - Jan 25, Ex Rate. 86.64</t>
  </si>
  <si>
    <t>VAS Activity - Mar 25, 16-31, Ex Rate. 85.58</t>
  </si>
  <si>
    <t>7</t>
  </si>
  <si>
    <t>CY - WH Destuff Charges fo MAY 2025</t>
  </si>
  <si>
    <t>Fixed Rental charges for April 2025</t>
  </si>
  <si>
    <t>CODC Out chgs -16-31 Aug 25</t>
  </si>
  <si>
    <t>VAS -16-31 Aug 25</t>
  </si>
  <si>
    <t>WEIGHMENT -16-31 Aug 25</t>
  </si>
  <si>
    <t>CY Ground rent Chgs - 01 - 31 Aug 25</t>
  </si>
  <si>
    <t>Empty Lolo Chgs Aug 25</t>
  </si>
  <si>
    <t>PORT SSR Chgs Aug 25</t>
  </si>
  <si>
    <t>LCL chgs - 16 - 31 AUG 25</t>
  </si>
  <si>
    <t>Transportation Out chgs - 16 - 31 AUG 25</t>
  </si>
  <si>
    <t>Fixed Storage Charges for September 2025</t>
  </si>
  <si>
    <t>VAS - 16-30 June 25</t>
  </si>
  <si>
    <t>Unit Storage - 1-30 June 25</t>
  </si>
  <si>
    <t>CY Ground rent Chgs - 01 - 30 June 25</t>
  </si>
  <si>
    <t>Fixed Storage Charges fo JULY 2025</t>
  </si>
  <si>
    <t>LCL Chgs - 01 - 15 JUN 25</t>
  </si>
  <si>
    <t>Outbound chgs - 01 - 15 JUN 25</t>
  </si>
  <si>
    <t>Outbound chgs - 16 - 30 JUN 25</t>
  </si>
  <si>
    <t>Outbound chgs - 01 - 15 JUL 25</t>
  </si>
  <si>
    <t>Fixed Storage Charges for November 2025</t>
  </si>
  <si>
    <t>Intra SEZ-Transfer-16 -31 Oct 25</t>
  </si>
  <si>
    <t>VAS-16 -31 Oct 25</t>
  </si>
  <si>
    <t>WEIGHTMENT-16 -31 Oct 25</t>
  </si>
  <si>
    <t>Unit-Storage-1-31 Oct 25</t>
  </si>
  <si>
    <t>Outbound chgs - 16 -31 OCT 25</t>
  </si>
  <si>
    <t>LCL chgs - 16 -31 OCT 25</t>
  </si>
  <si>
    <t>Empty Lolo Chgs Oct 25</t>
  </si>
  <si>
    <t>VAS 16-31 July 25</t>
  </si>
  <si>
    <t>Unit Storage - 1-31 July 25</t>
  </si>
  <si>
    <t>Transportation IN chgs - 16 - 31 JUL 25</t>
  </si>
  <si>
    <t>Scanning  Chgs - 16 - 31 Jul 25</t>
  </si>
  <si>
    <t>Empty Lolo  Chgs - 01 - 31 Jul 25</t>
  </si>
  <si>
    <t>CY Grd Rent Chgs - 01 - 31 Jul 25</t>
  </si>
  <si>
    <t>Outbound chgs - 16 - 31 JUL 25</t>
  </si>
  <si>
    <t>PORT SSR Chgs July 25</t>
  </si>
  <si>
    <t>PORT SSR Chgs - 16 - 31 May 25</t>
  </si>
  <si>
    <t>Transportation In Chgs -16-31 MAY 25</t>
  </si>
  <si>
    <t>Empty Lolo Chgs - 01 - 31 MAY 25</t>
  </si>
  <si>
    <t>Credit note raised agaisnt INV_256788410019</t>
  </si>
  <si>
    <t>Credit note raised agaisnt INV_256788410023</t>
  </si>
  <si>
    <t>Fixed Rental charges for Aug 2024</t>
  </si>
  <si>
    <t>Storage Chgs - 01 - 31 Apr 25</t>
  </si>
  <si>
    <t>CODC Transport Chgs - 01 - 15 July 25</t>
  </si>
  <si>
    <t>VAS Activity Charges for the month of August, 24</t>
  </si>
  <si>
    <t>VAS Activity Charges for the month of September, 2</t>
  </si>
  <si>
    <t>Inbound Handling charges for Feb 2025</t>
  </si>
  <si>
    <t>LCL Movement Charges for Feb 2025</t>
  </si>
  <si>
    <t>Fixed Rental charges for Feb 2025</t>
  </si>
  <si>
    <t>Fixed Rental charges for Jan 2025</t>
  </si>
  <si>
    <t>Weighment-1-15 Aug 25</t>
  </si>
  <si>
    <t>LCL chgs - 01 - 15 AUG 25</t>
  </si>
  <si>
    <t>Outbound chgs - 01- 15 AUG 25</t>
  </si>
  <si>
    <t>Credit note raise against INV#1800000000</t>
  </si>
  <si>
    <t>Fixed Rental charges for Sept 2024</t>
  </si>
  <si>
    <t>Fixed Rental charges for Oct 2024</t>
  </si>
  <si>
    <t>Fixed Rental charges for Nov 2024</t>
  </si>
  <si>
    <t>Fixed Rental charges for Dec 2024</t>
  </si>
  <si>
    <t>Credit note raised against INV_256788410267</t>
  </si>
  <si>
    <t>Credit note against - 256788410454</t>
  </si>
  <si>
    <t>CY Longstanding - March 25,16-31</t>
  </si>
  <si>
    <t>Outbound chgs - 01 - 15 May 25</t>
  </si>
  <si>
    <t>VAS Activity -1 -15 Mar 25, Ex Rate. 87.01</t>
  </si>
  <si>
    <t>LCL chgs - 01 -15 OCT 25</t>
  </si>
  <si>
    <t>Outbound chgs - 01 - 15 OCT 25</t>
  </si>
  <si>
    <t>Storage Charges Jan, 25</t>
  </si>
  <si>
    <t>Storage Charges Feb, 25</t>
  </si>
  <si>
    <t>Outbound Handling charges for Jan 2025</t>
  </si>
  <si>
    <t>CY Longstanding Ground Rent charges for Dec 2024.</t>
  </si>
  <si>
    <t>CY Longstanding Ground Rent charges for Nov 2024.</t>
  </si>
  <si>
    <t>CY Longstanding Ground Rent charges for Oct 2024.</t>
  </si>
  <si>
    <t>CY Longstanding Ground Rent charges for Sept 2024.</t>
  </si>
  <si>
    <t>12</t>
  </si>
  <si>
    <t>Unit-Storage-1-30 Nov 25</t>
  </si>
  <si>
    <t>Fixed Storage Charges for December 2025</t>
  </si>
  <si>
    <t>Fixed Rental charges for March 2025</t>
  </si>
  <si>
    <t>Outbound Handling charges for Feb 2025</t>
  </si>
  <si>
    <t>Outbound Handling charges for Sep 2024</t>
  </si>
  <si>
    <t>Loose Loading Handling charges for Sep 2024</t>
  </si>
  <si>
    <t>Outbound Handling charges for Nov 2024</t>
  </si>
  <si>
    <t>Loose handling Charges for Nov 2024</t>
  </si>
  <si>
    <t>Outbound Handling charges for Oct 2024</t>
  </si>
  <si>
    <t>Loose handling Charges for Oct 2024</t>
  </si>
  <si>
    <t>Outbound Handling charges for Dec 2024</t>
  </si>
  <si>
    <t>Inbound Handling charges for Sep 2024</t>
  </si>
  <si>
    <t>LCL charges for Sep 2024</t>
  </si>
  <si>
    <t>Inbound Handling charges for Oct 2024</t>
  </si>
  <si>
    <t>LCL Movement Charges for Oct 2024</t>
  </si>
  <si>
    <t>LCL Movement Charges for Nov 2024</t>
  </si>
  <si>
    <t>Inbound Handling charges for Nov 2024</t>
  </si>
  <si>
    <t>Inbound Handling charges for Dec 2024</t>
  </si>
  <si>
    <t>LCL Movement Charges for Dec 2024</t>
  </si>
  <si>
    <t>Inbound Handling charges for Jan 2025</t>
  </si>
  <si>
    <t>Loose handling Charges for Dec 2024</t>
  </si>
  <si>
    <t>Port SSR Charges - Shifting for Aug to Dec,24. Exc</t>
  </si>
  <si>
    <t>Ground Rent Jan 25 Exch Rate 86.64</t>
  </si>
  <si>
    <t>Ground Rent Feb 25 Exch Rate 87.40</t>
  </si>
  <si>
    <t>Ground Rent Jan 1-15 Exch Rate 85.62</t>
  </si>
  <si>
    <t>Ground Rent Jan 16-31 Exch Rate 85.62</t>
  </si>
  <si>
    <t>Detention Charges for FEB 2025 Exch. Rate 87.40</t>
  </si>
  <si>
    <t>VAS-Nov 1-15, 2025</t>
  </si>
  <si>
    <t>Weighment-Nov 1-15, 2025</t>
  </si>
  <si>
    <t>Inbound Handling Charges Aug 2024</t>
  </si>
  <si>
    <t>Outbound Handling Charges Aug 24</t>
  </si>
  <si>
    <t>Inbound Handling charges for 31 Mar 2025</t>
  </si>
  <si>
    <t>Outbound Handling charges for 31 Mar 2025</t>
  </si>
  <si>
    <t>Storage Charges March, 25</t>
  </si>
  <si>
    <t>Transportation IN chgs - 01 - 15 SEP 25</t>
  </si>
  <si>
    <t>CY Ground rent Chgs - 01 - 15 Sep 25</t>
  </si>
  <si>
    <t>Transportation Out chgs - 01 - 15 SEP 25</t>
  </si>
  <si>
    <t>Transportation chgs - 16 -30 NOV 25</t>
  </si>
  <si>
    <t>Sacnning chgs - 16 -30 NOV 25</t>
  </si>
  <si>
    <t>Empty Lolo chgs - 16 -30 NOV 25</t>
  </si>
  <si>
    <t>Outbound chgs - 16 -30 NOV 25</t>
  </si>
  <si>
    <t>CY Longstanding Ground Rent charges for Aug 2024</t>
  </si>
  <si>
    <t>VAS-16-30 Sept 25</t>
  </si>
  <si>
    <t>CODC Out chgs -16-30 Sep 25</t>
  </si>
  <si>
    <t>VAS - 1-15 July 25</t>
  </si>
  <si>
    <t>VAS - 16-30 April 25, Ex.Rate-85.05</t>
  </si>
  <si>
    <t>CODC LCL Chgs - 16 - 30 Apr 25</t>
  </si>
  <si>
    <t>Fixed Storage Charges fo MAY 2025</t>
  </si>
  <si>
    <t>CY Ground rent Chgs - 01 - 30 Apr 25</t>
  </si>
  <si>
    <t>VAS  -1-15 Oct 2025</t>
  </si>
  <si>
    <t>Weighment  -1-15 Oct 2025</t>
  </si>
  <si>
    <t>Unit storage -1-31 May 25</t>
  </si>
  <si>
    <t>Unit-Storage-1-30 Sept 25</t>
  </si>
  <si>
    <t>Transportation IN chgs - 16 - 30 SEP 25</t>
  </si>
  <si>
    <t>Scanning chgs - 16 - 30 SEP 25</t>
  </si>
  <si>
    <t>Bond Stamp Paper Chgs 01 - 30 Sep 25</t>
  </si>
  <si>
    <t>Outbound chgs - 16 - 30 SEP 25</t>
  </si>
  <si>
    <t>CY Ground rent Chgs - 16 - 30 Sep 25</t>
  </si>
  <si>
    <t>Empty Lolo Chgs Sep 25</t>
  </si>
  <si>
    <t>Fixed Storage Charges for October 2025</t>
  </si>
  <si>
    <t>PORT SSR Chgs Sep 25</t>
  </si>
  <si>
    <t>Unit-Storage-1-31 Aug 25</t>
  </si>
  <si>
    <t>2026</t>
  </si>
  <si>
    <t>VAS - NOV 25,16-30</t>
  </si>
  <si>
    <t>2150004</t>
  </si>
  <si>
    <t>Outbound chgs - 01 -15 DEC 25</t>
  </si>
  <si>
    <t>LCL chgs - 01 -15 DEC 25</t>
  </si>
  <si>
    <t>Transportation chgs - 16 -31 DEC 25</t>
  </si>
  <si>
    <t>Empty Lolo chgs - 16 -31 DEC 25</t>
  </si>
  <si>
    <t>PORT SSR chgs - 16 -31 DEC 25</t>
  </si>
  <si>
    <t>LCL Gate  chgs - 16 -31 DEC 25</t>
  </si>
  <si>
    <t>2158402</t>
  </si>
  <si>
    <t>CODC Out chgs -16-31 DEC 25</t>
  </si>
  <si>
    <t>2158407</t>
  </si>
  <si>
    <t>Outbound chgs - 16 -31 DEC 25</t>
  </si>
  <si>
    <t>2158409</t>
  </si>
  <si>
    <t>Unit-Storage-1-31 DEC 25</t>
  </si>
  <si>
    <t>VAS-Dec 25 - 16-31</t>
  </si>
  <si>
    <t>2158668</t>
  </si>
  <si>
    <t>Fixed Storage Charges for January 2026</t>
  </si>
  <si>
    <t>2159218</t>
  </si>
  <si>
    <t>2160778</t>
  </si>
  <si>
    <t>CN against IBC Storage &amp; IBC LCL Charges</t>
  </si>
  <si>
    <t>CN against ISO Tank CY Storage Charges</t>
  </si>
  <si>
    <t>2160781</t>
  </si>
  <si>
    <t>CN Against LCL &amp; Inbound chgs - 16 -31 DEC 25</t>
  </si>
  <si>
    <t>Section</t>
  </si>
  <si>
    <t>Not in the books of Anomolus &amp; ascendus</t>
  </si>
  <si>
    <t>Not in the books of Onnsynex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</si>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</sst>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lef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left" vertical="top"/>
    </xf>
    <xf numFmtId="14" fontId="0" fillId="4" borderId="1" xfId="0" applyNumberFormat="1" applyFill="1" applyBorder="1" applyAlignment="1">
      <alignment horizontal="right" vertical="top"/>
    </xf>
    <xf numFmtId="1" fontId="0" fillId="4" borderId="1" xfId="0" applyNumberFormat="1" applyFill="1" applyBorder="1" applyAlignment="1">
      <alignment horizontal="lef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2" borderId="2" xfId="0" applyFill="1" applyBorder="1" applyAlignment="1">
      <alignment vertical="top"/>
    </xf>
    <xf numFmtId="14" fontId="0" fillId="0" borderId="0" xfId="0" applyNumberFormat="1"/>
    <xf numFmtId="164" fontId="0" fillId="0" borderId="0" xfId="1" applyNumberFormat="1" applyFont="1"/>
    <xf numFmtId="1" fontId="0" fillId="0" borderId="1" xfId="1" applyNumberFormat="1" applyFont="1" applyBorder="1"/>
    <xf numFmtId="0" fontId="0" fillId="0" borderId="0" xfId="1" applyNumberFormat="1" applyFont="1"/>
    <xf numFmtId="0" fontId="0" fillId="0" borderId="1" xfId="1" applyNumberFormat="1" applyFont="1" applyBorder="1"/>
    <xf numFmtId="0" fontId="0" fillId="0" borderId="0" xfId="0" applyAlignment="1">
      <alignment wrapText="1"/>
    </xf>
    <xf numFmtId="14" fontId="0" fillId="0" borderId="1" xfId="0" applyNumberFormat="1" applyBorder="1"/>
    <xf numFmtId="0" fontId="2" fillId="0" borderId="0" xfId="0" applyFont="1"/>
    <xf numFmtId="0" fontId="2" fillId="0" borderId="3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696B-B3EA-41AE-B174-BEC897D6D688}">
  <sheetPr filterMode="1"/>
  <dimension ref="A1:T225"/>
  <sheetViews>
    <sheetView topLeftCell="N153" zoomScaleNormal="100" workbookViewId="0">
      <selection activeCell="T235" sqref="T235"/>
    </sheetView>
  </sheetViews>
  <sheetFormatPr defaultRowHeight="14.5" x14ac:dyDescent="0.35"/>
  <cols>
    <col min="1" max="1" width="11.1796875" bestFit="1" customWidth="1"/>
    <col min="2" max="2" width="34.26953125" bestFit="1" customWidth="1"/>
    <col min="3" max="3" width="11.7265625" bestFit="1" customWidth="1"/>
    <col min="4" max="4" width="15" bestFit="1" customWidth="1"/>
    <col min="5" max="5" width="13.453125" style="23" bestFit="1" customWidth="1"/>
    <col min="6" max="6" width="16.26953125" bestFit="1" customWidth="1"/>
    <col min="7" max="7" width="23.7265625" hidden="1" customWidth="1"/>
    <col min="8" max="8" width="16.08984375" bestFit="1" customWidth="1"/>
    <col min="9" max="9" width="13.1796875" hidden="1" customWidth="1"/>
    <col min="10" max="10" width="19.08984375" bestFit="1" customWidth="1"/>
    <col min="11" max="11" width="23.1796875" bestFit="1" customWidth="1"/>
    <col min="12" max="12" width="25" bestFit="1" customWidth="1"/>
    <col min="13" max="13" width="27.26953125" hidden="1" customWidth="1"/>
    <col min="14" max="14" width="29.08984375" bestFit="1" customWidth="1"/>
    <col min="15" max="15" width="45.26953125" bestFit="1" customWidth="1"/>
    <col min="16" max="16" width="21.26953125" bestFit="1" customWidth="1"/>
    <col min="17" max="17" width="14.1796875" bestFit="1" customWidth="1"/>
    <col min="18" max="18" width="19" bestFit="1" customWidth="1"/>
    <col min="19" max="19" width="8.81640625" bestFit="1" customWidth="1"/>
    <col min="20" max="20" width="9.08984375" bestFit="1" customWidth="1"/>
  </cols>
  <sheetData>
    <row r="1" spans="1:20" x14ac:dyDescent="0.35">
      <c r="N1" s="24">
        <f>SUBTOTAL(9,N2:N223)</f>
        <v>8848605.3699999992</v>
      </c>
    </row>
    <row r="2" spans="1:20" x14ac:dyDescent="0.35">
      <c r="A2" t="s">
        <v>10</v>
      </c>
      <c r="B2" t="s">
        <v>11</v>
      </c>
      <c r="C2" t="s">
        <v>12</v>
      </c>
      <c r="D2" t="s">
        <v>13</v>
      </c>
      <c r="E2" s="23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3</v>
      </c>
      <c r="T2" t="s">
        <v>249</v>
      </c>
    </row>
    <row r="3" spans="1:20" hidden="1" x14ac:dyDescent="0.35">
      <c r="A3">
        <v>100222362</v>
      </c>
      <c r="B3" t="s">
        <v>28</v>
      </c>
      <c r="C3" t="s">
        <v>29</v>
      </c>
      <c r="D3" t="s">
        <v>30</v>
      </c>
      <c r="E3" s="23">
        <v>45758</v>
      </c>
      <c r="F3" t="s">
        <v>31</v>
      </c>
      <c r="G3" t="s">
        <v>32</v>
      </c>
      <c r="H3" t="s">
        <v>32</v>
      </c>
      <c r="I3" t="s">
        <v>33</v>
      </c>
      <c r="J3">
        <v>1600000012</v>
      </c>
      <c r="K3" t="s">
        <v>34</v>
      </c>
      <c r="L3" s="24">
        <v>1</v>
      </c>
      <c r="M3" s="24" t="s">
        <v>34</v>
      </c>
      <c r="N3" s="24">
        <v>1</v>
      </c>
      <c r="O3" t="s">
        <v>36</v>
      </c>
      <c r="P3">
        <v>45758</v>
      </c>
      <c r="Q3">
        <v>45758</v>
      </c>
      <c r="R3" t="s">
        <v>37</v>
      </c>
    </row>
    <row r="4" spans="1:20" hidden="1" x14ac:dyDescent="0.35">
      <c r="A4">
        <v>100222362</v>
      </c>
      <c r="B4" t="s">
        <v>28</v>
      </c>
      <c r="C4" t="s">
        <v>29</v>
      </c>
      <c r="D4" t="s">
        <v>30</v>
      </c>
      <c r="E4" s="23">
        <v>45758</v>
      </c>
      <c r="F4" t="s">
        <v>31</v>
      </c>
      <c r="G4" t="s">
        <v>32</v>
      </c>
      <c r="H4" t="s">
        <v>32</v>
      </c>
      <c r="I4" t="s">
        <v>33</v>
      </c>
      <c r="J4">
        <v>1600000012</v>
      </c>
      <c r="K4" t="s">
        <v>34</v>
      </c>
      <c r="L4" s="24">
        <v>-1</v>
      </c>
      <c r="M4" s="24" t="s">
        <v>34</v>
      </c>
      <c r="N4" s="24">
        <v>-1</v>
      </c>
      <c r="O4" t="s">
        <v>36</v>
      </c>
      <c r="P4">
        <v>45758</v>
      </c>
      <c r="Q4">
        <v>45758</v>
      </c>
      <c r="R4" t="s">
        <v>37</v>
      </c>
    </row>
    <row r="5" spans="1:20" hidden="1" x14ac:dyDescent="0.35">
      <c r="A5">
        <v>100222362</v>
      </c>
      <c r="B5" t="s">
        <v>28</v>
      </c>
      <c r="C5" t="s">
        <v>29</v>
      </c>
      <c r="D5" t="s">
        <v>38</v>
      </c>
      <c r="E5" s="23">
        <v>45705</v>
      </c>
      <c r="F5" t="s">
        <v>39</v>
      </c>
      <c r="G5" t="s">
        <v>40</v>
      </c>
      <c r="H5" t="s">
        <v>32</v>
      </c>
      <c r="I5" t="s">
        <v>33</v>
      </c>
      <c r="J5">
        <v>1400000001</v>
      </c>
      <c r="K5" t="s">
        <v>41</v>
      </c>
      <c r="L5" s="24">
        <v>75</v>
      </c>
      <c r="M5" s="24" t="s">
        <v>34</v>
      </c>
      <c r="N5" s="24">
        <v>6472.77</v>
      </c>
      <c r="O5" t="s">
        <v>32</v>
      </c>
      <c r="P5">
        <v>45705</v>
      </c>
      <c r="Q5">
        <v>45707</v>
      </c>
      <c r="R5" t="s">
        <v>42</v>
      </c>
    </row>
    <row r="6" spans="1:20" hidden="1" x14ac:dyDescent="0.35">
      <c r="A6">
        <v>100222362</v>
      </c>
      <c r="B6" t="s">
        <v>28</v>
      </c>
      <c r="C6" t="s">
        <v>29</v>
      </c>
      <c r="D6" t="s">
        <v>38</v>
      </c>
      <c r="E6" s="23">
        <v>45705</v>
      </c>
      <c r="F6" t="s">
        <v>39</v>
      </c>
      <c r="G6" t="s">
        <v>40</v>
      </c>
      <c r="H6" t="s">
        <v>32</v>
      </c>
      <c r="I6" t="s">
        <v>33</v>
      </c>
      <c r="J6">
        <v>1400000001</v>
      </c>
      <c r="K6" t="s">
        <v>41</v>
      </c>
      <c r="L6" s="24">
        <v>-75</v>
      </c>
      <c r="M6" s="24" t="s">
        <v>34</v>
      </c>
      <c r="N6" s="24">
        <v>-6472.77</v>
      </c>
      <c r="O6" t="s">
        <v>32</v>
      </c>
      <c r="P6">
        <v>45705</v>
      </c>
      <c r="Q6">
        <v>45707</v>
      </c>
      <c r="R6" t="s">
        <v>42</v>
      </c>
    </row>
    <row r="7" spans="1:20" hidden="1" x14ac:dyDescent="0.35">
      <c r="A7">
        <v>100222362</v>
      </c>
      <c r="B7" t="s">
        <v>28</v>
      </c>
      <c r="C7" t="s">
        <v>29</v>
      </c>
      <c r="D7" t="s">
        <v>43</v>
      </c>
      <c r="E7" s="23">
        <v>45889</v>
      </c>
      <c r="F7" t="s">
        <v>44</v>
      </c>
      <c r="G7" t="s">
        <v>45</v>
      </c>
      <c r="H7" t="s">
        <v>32</v>
      </c>
      <c r="I7" t="s">
        <v>33</v>
      </c>
      <c r="J7">
        <v>1400000026</v>
      </c>
      <c r="K7" t="s">
        <v>34</v>
      </c>
      <c r="L7" s="24">
        <v>-500000</v>
      </c>
      <c r="M7" s="24" t="s">
        <v>34</v>
      </c>
      <c r="N7" s="24">
        <v>-500000</v>
      </c>
      <c r="O7" t="s">
        <v>32</v>
      </c>
      <c r="P7">
        <v>45889</v>
      </c>
      <c r="R7" t="s">
        <v>32</v>
      </c>
    </row>
    <row r="8" spans="1:20" hidden="1" x14ac:dyDescent="0.35">
      <c r="A8">
        <v>100222362</v>
      </c>
      <c r="B8" t="s">
        <v>28</v>
      </c>
      <c r="C8" t="s">
        <v>29</v>
      </c>
      <c r="D8" t="s">
        <v>43</v>
      </c>
      <c r="E8" s="23">
        <v>45889</v>
      </c>
      <c r="F8" t="s">
        <v>44</v>
      </c>
      <c r="G8" t="s">
        <v>46</v>
      </c>
      <c r="H8" t="s">
        <v>32</v>
      </c>
      <c r="I8" t="s">
        <v>33</v>
      </c>
      <c r="J8">
        <v>1400000027</v>
      </c>
      <c r="K8" t="s">
        <v>34</v>
      </c>
      <c r="L8" s="24">
        <v>-500000</v>
      </c>
      <c r="M8" s="24" t="s">
        <v>34</v>
      </c>
      <c r="N8" s="24">
        <v>-500000</v>
      </c>
      <c r="O8" t="s">
        <v>32</v>
      </c>
      <c r="P8">
        <v>45889</v>
      </c>
      <c r="R8" t="s">
        <v>32</v>
      </c>
    </row>
    <row r="9" spans="1:20" hidden="1" x14ac:dyDescent="0.35">
      <c r="A9">
        <v>100222362</v>
      </c>
      <c r="B9" t="s">
        <v>28</v>
      </c>
      <c r="C9" t="s">
        <v>29</v>
      </c>
      <c r="D9" t="s">
        <v>47</v>
      </c>
      <c r="E9" s="23">
        <v>45931</v>
      </c>
      <c r="F9" t="s">
        <v>44</v>
      </c>
      <c r="G9" t="s">
        <v>48</v>
      </c>
      <c r="H9" t="s">
        <v>32</v>
      </c>
      <c r="I9" t="s">
        <v>33</v>
      </c>
      <c r="J9">
        <v>1400000043</v>
      </c>
      <c r="K9" t="s">
        <v>34</v>
      </c>
      <c r="L9" s="24">
        <v>-500000</v>
      </c>
      <c r="M9" s="24" t="s">
        <v>34</v>
      </c>
      <c r="N9" s="24">
        <v>-500000</v>
      </c>
      <c r="O9" t="s">
        <v>32</v>
      </c>
      <c r="P9">
        <v>45931</v>
      </c>
      <c r="R9" t="s">
        <v>32</v>
      </c>
    </row>
    <row r="10" spans="1:20" hidden="1" x14ac:dyDescent="0.35">
      <c r="A10">
        <v>100222362</v>
      </c>
      <c r="B10" t="s">
        <v>28</v>
      </c>
      <c r="C10" t="s">
        <v>29</v>
      </c>
      <c r="D10" t="s">
        <v>47</v>
      </c>
      <c r="E10" s="23">
        <v>45931</v>
      </c>
      <c r="F10" t="s">
        <v>44</v>
      </c>
      <c r="G10" t="s">
        <v>49</v>
      </c>
      <c r="H10" t="s">
        <v>32</v>
      </c>
      <c r="I10" t="s">
        <v>33</v>
      </c>
      <c r="J10">
        <v>1400000044</v>
      </c>
      <c r="K10" t="s">
        <v>34</v>
      </c>
      <c r="L10" s="24">
        <v>-500000</v>
      </c>
      <c r="M10" s="24" t="s">
        <v>34</v>
      </c>
      <c r="N10" s="24">
        <v>-500000</v>
      </c>
      <c r="O10" t="s">
        <v>32</v>
      </c>
      <c r="P10">
        <v>45931</v>
      </c>
      <c r="R10" t="s">
        <v>32</v>
      </c>
    </row>
    <row r="11" spans="1:20" hidden="1" x14ac:dyDescent="0.35">
      <c r="A11">
        <v>100222362</v>
      </c>
      <c r="B11" t="s">
        <v>28</v>
      </c>
      <c r="C11" t="s">
        <v>29</v>
      </c>
      <c r="D11" t="s">
        <v>47</v>
      </c>
      <c r="E11" s="23">
        <v>45931</v>
      </c>
      <c r="F11" t="s">
        <v>44</v>
      </c>
      <c r="G11" t="s">
        <v>50</v>
      </c>
      <c r="H11" t="s">
        <v>32</v>
      </c>
      <c r="I11" t="s">
        <v>33</v>
      </c>
      <c r="J11">
        <v>1400000045</v>
      </c>
      <c r="K11" t="s">
        <v>34</v>
      </c>
      <c r="L11" s="24">
        <v>-500000</v>
      </c>
      <c r="M11" s="24" t="s">
        <v>34</v>
      </c>
      <c r="N11" s="24">
        <v>-500000</v>
      </c>
      <c r="O11" t="s">
        <v>32</v>
      </c>
      <c r="P11">
        <v>45931</v>
      </c>
      <c r="R11" t="s">
        <v>32</v>
      </c>
    </row>
    <row r="12" spans="1:20" hidden="1" x14ac:dyDescent="0.35">
      <c r="A12">
        <v>100222362</v>
      </c>
      <c r="B12" t="s">
        <v>28</v>
      </c>
      <c r="C12" t="s">
        <v>29</v>
      </c>
      <c r="D12" t="s">
        <v>47</v>
      </c>
      <c r="E12" s="23">
        <v>45931</v>
      </c>
      <c r="F12" t="s">
        <v>44</v>
      </c>
      <c r="G12" t="s">
        <v>51</v>
      </c>
      <c r="H12" t="s">
        <v>32</v>
      </c>
      <c r="I12" t="s">
        <v>33</v>
      </c>
      <c r="J12">
        <v>1400000046</v>
      </c>
      <c r="K12" t="s">
        <v>34</v>
      </c>
      <c r="L12" s="24">
        <v>-500000</v>
      </c>
      <c r="M12" s="24" t="s">
        <v>34</v>
      </c>
      <c r="N12" s="24">
        <v>-500000</v>
      </c>
      <c r="O12" t="s">
        <v>32</v>
      </c>
      <c r="P12">
        <v>45931</v>
      </c>
      <c r="R12" t="s">
        <v>32</v>
      </c>
    </row>
    <row r="13" spans="1:20" hidden="1" x14ac:dyDescent="0.35">
      <c r="A13">
        <v>100222362</v>
      </c>
      <c r="B13" t="s">
        <v>28</v>
      </c>
      <c r="C13" t="s">
        <v>29</v>
      </c>
      <c r="D13" t="s">
        <v>47</v>
      </c>
      <c r="E13" s="23">
        <v>45959</v>
      </c>
      <c r="F13" t="s">
        <v>44</v>
      </c>
      <c r="G13" t="s">
        <v>52</v>
      </c>
      <c r="H13" t="s">
        <v>32</v>
      </c>
      <c r="I13" t="s">
        <v>33</v>
      </c>
      <c r="J13">
        <v>1400000055</v>
      </c>
      <c r="K13" t="s">
        <v>34</v>
      </c>
      <c r="L13" s="24">
        <v>-5000000</v>
      </c>
      <c r="M13" s="24" t="s">
        <v>34</v>
      </c>
      <c r="N13" s="24">
        <v>-5000000</v>
      </c>
      <c r="O13" t="s">
        <v>32</v>
      </c>
      <c r="P13">
        <v>45959</v>
      </c>
      <c r="R13" t="s">
        <v>32</v>
      </c>
    </row>
    <row r="14" spans="1:20" hidden="1" x14ac:dyDescent="0.35">
      <c r="A14">
        <v>100222362</v>
      </c>
      <c r="B14" t="s">
        <v>28</v>
      </c>
      <c r="C14" t="s">
        <v>29</v>
      </c>
      <c r="D14" t="s">
        <v>38</v>
      </c>
      <c r="E14" s="23">
        <v>45701</v>
      </c>
      <c r="F14" t="s">
        <v>53</v>
      </c>
      <c r="G14" t="s">
        <v>54</v>
      </c>
      <c r="H14" t="s">
        <v>54</v>
      </c>
      <c r="I14" t="s">
        <v>33</v>
      </c>
      <c r="J14">
        <v>7000000036</v>
      </c>
      <c r="K14" t="s">
        <v>34</v>
      </c>
      <c r="L14" s="24">
        <v>-1</v>
      </c>
      <c r="M14" s="24" t="s">
        <v>34</v>
      </c>
      <c r="N14" s="24">
        <v>-1</v>
      </c>
      <c r="O14" t="s">
        <v>36</v>
      </c>
      <c r="P14">
        <v>45701</v>
      </c>
      <c r="Q14">
        <v>45758</v>
      </c>
      <c r="R14" t="s">
        <v>37</v>
      </c>
    </row>
    <row r="15" spans="1:20" hidden="1" x14ac:dyDescent="0.35">
      <c r="A15">
        <v>100222362</v>
      </c>
      <c r="B15" t="s">
        <v>28</v>
      </c>
      <c r="C15" t="s">
        <v>29</v>
      </c>
      <c r="D15" t="s">
        <v>56</v>
      </c>
      <c r="E15" s="23">
        <v>45744</v>
      </c>
      <c r="F15" t="s">
        <v>53</v>
      </c>
      <c r="G15" t="s">
        <v>57</v>
      </c>
      <c r="H15" t="s">
        <v>57</v>
      </c>
      <c r="I15" t="s">
        <v>33</v>
      </c>
      <c r="J15">
        <v>7000000128</v>
      </c>
      <c r="K15" t="s">
        <v>34</v>
      </c>
      <c r="L15" s="24">
        <v>1</v>
      </c>
      <c r="M15" s="24" t="s">
        <v>34</v>
      </c>
      <c r="N15" s="24">
        <v>1</v>
      </c>
      <c r="O15" t="s">
        <v>36</v>
      </c>
      <c r="P15">
        <v>45701</v>
      </c>
      <c r="Q15">
        <v>45758</v>
      </c>
      <c r="R15" t="s">
        <v>37</v>
      </c>
    </row>
    <row r="16" spans="1:20" hidden="1" x14ac:dyDescent="0.35">
      <c r="A16">
        <v>100222362</v>
      </c>
      <c r="B16" t="s">
        <v>28</v>
      </c>
      <c r="C16" t="s">
        <v>29</v>
      </c>
      <c r="D16" t="s">
        <v>30</v>
      </c>
      <c r="E16" s="23">
        <v>45748</v>
      </c>
      <c r="F16" t="s">
        <v>53</v>
      </c>
      <c r="G16" t="s">
        <v>58</v>
      </c>
      <c r="H16" t="s">
        <v>58</v>
      </c>
      <c r="I16" t="s">
        <v>33</v>
      </c>
      <c r="J16">
        <v>7000000131</v>
      </c>
      <c r="K16" t="s">
        <v>34</v>
      </c>
      <c r="L16" s="24">
        <v>-1500000</v>
      </c>
      <c r="M16" s="24" t="s">
        <v>34</v>
      </c>
      <c r="N16" s="24">
        <v>-1500000</v>
      </c>
      <c r="O16" t="s">
        <v>59</v>
      </c>
      <c r="P16">
        <v>45743</v>
      </c>
      <c r="R16" t="s">
        <v>32</v>
      </c>
    </row>
    <row r="17" spans="1:20" hidden="1" x14ac:dyDescent="0.35">
      <c r="A17">
        <v>100222362</v>
      </c>
      <c r="B17" t="s">
        <v>28</v>
      </c>
      <c r="C17" t="s">
        <v>29</v>
      </c>
      <c r="D17" t="s">
        <v>55</v>
      </c>
      <c r="E17" s="23">
        <v>45976</v>
      </c>
      <c r="F17" t="s">
        <v>39</v>
      </c>
      <c r="G17" t="s">
        <v>60</v>
      </c>
      <c r="H17" t="s">
        <v>61</v>
      </c>
      <c r="I17" t="s">
        <v>33</v>
      </c>
      <c r="J17">
        <v>1400000084</v>
      </c>
      <c r="K17" t="s">
        <v>41</v>
      </c>
      <c r="L17" s="24">
        <v>150</v>
      </c>
      <c r="M17" s="24" t="s">
        <v>34</v>
      </c>
      <c r="N17" s="24">
        <v>12897.56</v>
      </c>
      <c r="O17" t="s">
        <v>32</v>
      </c>
      <c r="P17">
        <v>45976</v>
      </c>
      <c r="Q17">
        <v>45976</v>
      </c>
      <c r="R17" t="s">
        <v>62</v>
      </c>
    </row>
    <row r="18" spans="1:20" hidden="1" x14ac:dyDescent="0.35">
      <c r="A18">
        <v>100222362</v>
      </c>
      <c r="B18" t="s">
        <v>28</v>
      </c>
      <c r="C18" t="s">
        <v>29</v>
      </c>
      <c r="D18" t="s">
        <v>55</v>
      </c>
      <c r="E18" s="23">
        <v>45976</v>
      </c>
      <c r="F18" t="s">
        <v>39</v>
      </c>
      <c r="G18" t="s">
        <v>60</v>
      </c>
      <c r="H18" t="s">
        <v>61</v>
      </c>
      <c r="I18" t="s">
        <v>33</v>
      </c>
      <c r="J18">
        <v>1400000084</v>
      </c>
      <c r="K18" t="s">
        <v>41</v>
      </c>
      <c r="L18" s="24">
        <v>-150</v>
      </c>
      <c r="M18" s="24" t="s">
        <v>34</v>
      </c>
      <c r="N18" s="24">
        <v>-13038.28</v>
      </c>
      <c r="O18" t="s">
        <v>32</v>
      </c>
      <c r="P18">
        <v>45976</v>
      </c>
      <c r="Q18">
        <v>45976</v>
      </c>
      <c r="R18" t="s">
        <v>62</v>
      </c>
    </row>
    <row r="19" spans="1:20" hidden="1" x14ac:dyDescent="0.35">
      <c r="A19">
        <v>100222362</v>
      </c>
      <c r="B19" t="s">
        <v>28</v>
      </c>
      <c r="C19" t="s">
        <v>29</v>
      </c>
      <c r="D19" t="s">
        <v>43</v>
      </c>
      <c r="E19" s="23">
        <v>45889</v>
      </c>
      <c r="F19" t="s">
        <v>63</v>
      </c>
      <c r="G19" t="s">
        <v>60</v>
      </c>
      <c r="H19" s="26">
        <v>256788410349</v>
      </c>
      <c r="I19" t="s">
        <v>33</v>
      </c>
      <c r="J19">
        <v>1800000477</v>
      </c>
      <c r="K19" t="s">
        <v>41</v>
      </c>
      <c r="L19" s="24">
        <v>100</v>
      </c>
      <c r="M19" s="24" t="s">
        <v>34</v>
      </c>
      <c r="N19" s="24">
        <v>8603.01</v>
      </c>
      <c r="O19" t="s">
        <v>64</v>
      </c>
      <c r="P19">
        <v>45889</v>
      </c>
      <c r="R19" t="s">
        <v>32</v>
      </c>
      <c r="S19" t="e">
        <f>VLOOKUP(H19,TDS!$B$2:$C$70,2,0)</f>
        <v>#N/A</v>
      </c>
      <c r="T19" t="e">
        <f>VLOOKUP(H19,TDS!$B$2:$D$70,3,0)</f>
        <v>#N/A</v>
      </c>
    </row>
    <row r="20" spans="1:20" x14ac:dyDescent="0.35">
      <c r="A20">
        <v>100222362</v>
      </c>
      <c r="B20" t="s">
        <v>28</v>
      </c>
      <c r="C20" t="s">
        <v>29</v>
      </c>
      <c r="D20" t="s">
        <v>65</v>
      </c>
      <c r="E20" s="23">
        <v>45904</v>
      </c>
      <c r="F20" t="s">
        <v>63</v>
      </c>
      <c r="G20" t="s">
        <v>60</v>
      </c>
      <c r="H20" s="26">
        <v>256788410353</v>
      </c>
      <c r="I20" t="s">
        <v>33</v>
      </c>
      <c r="J20">
        <v>1800000479</v>
      </c>
      <c r="K20" t="s">
        <v>41</v>
      </c>
      <c r="L20" s="24">
        <v>100</v>
      </c>
      <c r="M20" s="24" t="s">
        <v>34</v>
      </c>
      <c r="N20" s="24">
        <v>8751.43</v>
      </c>
      <c r="O20" t="s">
        <v>66</v>
      </c>
      <c r="P20">
        <v>45904</v>
      </c>
      <c r="R20" t="s">
        <v>32</v>
      </c>
      <c r="S20">
        <f>VLOOKUP(H20,TDS!$B$2:$C$70,2,0)</f>
        <v>175.03</v>
      </c>
      <c r="T20" t="str">
        <f>VLOOKUP(H20,TDS!$B$2:$D$70,3,0)</f>
        <v>194C</v>
      </c>
    </row>
    <row r="21" spans="1:20" x14ac:dyDescent="0.35">
      <c r="A21">
        <v>100222362</v>
      </c>
      <c r="B21" t="s">
        <v>28</v>
      </c>
      <c r="C21" t="s">
        <v>29</v>
      </c>
      <c r="D21" t="s">
        <v>30</v>
      </c>
      <c r="E21" s="23">
        <v>45751</v>
      </c>
      <c r="F21" t="s">
        <v>63</v>
      </c>
      <c r="G21" t="s">
        <v>60</v>
      </c>
      <c r="H21" s="26">
        <v>256788410027</v>
      </c>
      <c r="I21" t="s">
        <v>33</v>
      </c>
      <c r="J21">
        <v>1800000152</v>
      </c>
      <c r="K21" t="s">
        <v>41</v>
      </c>
      <c r="L21" s="24">
        <v>170</v>
      </c>
      <c r="M21" s="24" t="s">
        <v>34</v>
      </c>
      <c r="N21" s="24">
        <v>14776.71</v>
      </c>
      <c r="O21" t="s">
        <v>67</v>
      </c>
      <c r="P21">
        <v>45755</v>
      </c>
      <c r="R21" t="s">
        <v>32</v>
      </c>
      <c r="S21">
        <f>VLOOKUP(H21,TDS!$B$2:$C$70,2,0)</f>
        <v>296</v>
      </c>
      <c r="T21" t="str">
        <f>VLOOKUP(H21,TDS!$B$2:$D$70,3,0)</f>
        <v>194C</v>
      </c>
    </row>
    <row r="22" spans="1:20" x14ac:dyDescent="0.35">
      <c r="A22">
        <v>100222362</v>
      </c>
      <c r="B22" t="s">
        <v>28</v>
      </c>
      <c r="C22" t="s">
        <v>29</v>
      </c>
      <c r="D22" t="s">
        <v>56</v>
      </c>
      <c r="E22" s="23">
        <v>45722</v>
      </c>
      <c r="F22" t="s">
        <v>63</v>
      </c>
      <c r="G22" t="s">
        <v>60</v>
      </c>
      <c r="H22" s="26">
        <v>246788410045</v>
      </c>
      <c r="I22" t="s">
        <v>33</v>
      </c>
      <c r="J22">
        <v>1800000050</v>
      </c>
      <c r="K22" t="s">
        <v>41</v>
      </c>
      <c r="L22" s="24">
        <v>841.24</v>
      </c>
      <c r="M22" s="24" t="s">
        <v>34</v>
      </c>
      <c r="N22" s="24">
        <v>72928.160000000003</v>
      </c>
      <c r="O22" t="s">
        <v>68</v>
      </c>
      <c r="P22">
        <v>45722</v>
      </c>
      <c r="R22" t="s">
        <v>32</v>
      </c>
      <c r="S22">
        <f>VLOOKUP(H22,TDS!$B$2:$C$70,2,0)</f>
        <v>7151</v>
      </c>
      <c r="T22" t="str">
        <f>VLOOKUP(H22,TDS!$B$2:$D$70,3,0)</f>
        <v>194I</v>
      </c>
    </row>
    <row r="23" spans="1:20" x14ac:dyDescent="0.35">
      <c r="A23">
        <v>100222362</v>
      </c>
      <c r="B23" t="s">
        <v>28</v>
      </c>
      <c r="C23" t="s">
        <v>29</v>
      </c>
      <c r="D23" t="s">
        <v>56</v>
      </c>
      <c r="E23" s="23">
        <v>45722</v>
      </c>
      <c r="F23" t="s">
        <v>63</v>
      </c>
      <c r="G23" t="s">
        <v>60</v>
      </c>
      <c r="H23" s="26">
        <v>246788410046</v>
      </c>
      <c r="I23" t="s">
        <v>33</v>
      </c>
      <c r="J23">
        <v>1800000051</v>
      </c>
      <c r="K23" t="s">
        <v>41</v>
      </c>
      <c r="L23" s="24">
        <v>4169.66</v>
      </c>
      <c r="M23" s="24" t="s">
        <v>34</v>
      </c>
      <c r="N23" s="24">
        <v>361473.08</v>
      </c>
      <c r="O23" t="s">
        <v>69</v>
      </c>
      <c r="P23">
        <v>45722</v>
      </c>
      <c r="R23" t="s">
        <v>32</v>
      </c>
      <c r="S23">
        <f>VLOOKUP(H23,TDS!$B$2:$C$70,2,0)</f>
        <v>35442</v>
      </c>
      <c r="T23" t="str">
        <f>VLOOKUP(H23,TDS!$B$2:$D$70,3,0)</f>
        <v>194I</v>
      </c>
    </row>
    <row r="24" spans="1:20" x14ac:dyDescent="0.35">
      <c r="A24">
        <v>100222362</v>
      </c>
      <c r="B24" t="s">
        <v>28</v>
      </c>
      <c r="C24" t="s">
        <v>29</v>
      </c>
      <c r="D24" t="s">
        <v>56</v>
      </c>
      <c r="E24" s="23">
        <v>45719</v>
      </c>
      <c r="F24" t="s">
        <v>63</v>
      </c>
      <c r="G24" t="s">
        <v>60</v>
      </c>
      <c r="H24" s="26">
        <v>246788410039</v>
      </c>
      <c r="I24" t="s">
        <v>33</v>
      </c>
      <c r="J24">
        <v>1800000045</v>
      </c>
      <c r="K24" t="s">
        <v>41</v>
      </c>
      <c r="L24" s="24">
        <v>1044.69</v>
      </c>
      <c r="M24" s="24" t="s">
        <v>34</v>
      </c>
      <c r="N24" s="24">
        <v>90565.49</v>
      </c>
      <c r="O24" t="s">
        <v>70</v>
      </c>
      <c r="P24">
        <v>45719</v>
      </c>
      <c r="R24" t="s">
        <v>32</v>
      </c>
      <c r="S24">
        <f>VLOOKUP(H24,TDS!$B$2:$C$70,2,0)</f>
        <v>9072</v>
      </c>
      <c r="T24" t="str">
        <f>VLOOKUP(H24,TDS!$B$2:$D$70,3,0)</f>
        <v>194I</v>
      </c>
    </row>
    <row r="25" spans="1:20" x14ac:dyDescent="0.35">
      <c r="A25">
        <v>100222362</v>
      </c>
      <c r="B25" t="s">
        <v>28</v>
      </c>
      <c r="C25" t="s">
        <v>29</v>
      </c>
      <c r="D25" t="s">
        <v>56</v>
      </c>
      <c r="E25" s="23">
        <v>45719</v>
      </c>
      <c r="F25" t="s">
        <v>63</v>
      </c>
      <c r="G25" t="s">
        <v>60</v>
      </c>
      <c r="H25" s="26">
        <v>246788410040</v>
      </c>
      <c r="I25" t="s">
        <v>33</v>
      </c>
      <c r="J25">
        <v>1800000046</v>
      </c>
      <c r="K25" t="s">
        <v>41</v>
      </c>
      <c r="L25" s="24">
        <v>129.97999999999999</v>
      </c>
      <c r="M25" s="24" t="s">
        <v>34</v>
      </c>
      <c r="N25" s="24">
        <v>11268.13</v>
      </c>
      <c r="O25" t="s">
        <v>71</v>
      </c>
      <c r="P25">
        <v>45719</v>
      </c>
      <c r="R25" t="s">
        <v>32</v>
      </c>
      <c r="S25">
        <f>VLOOKUP(H25,TDS!$B$2:$C$70,2,0)</f>
        <v>1129</v>
      </c>
      <c r="T25" t="str">
        <f>VLOOKUP(H25,TDS!$B$2:$D$70,3,0)</f>
        <v>194I</v>
      </c>
    </row>
    <row r="26" spans="1:20" x14ac:dyDescent="0.35">
      <c r="A26">
        <v>100222362</v>
      </c>
      <c r="B26" t="s">
        <v>28</v>
      </c>
      <c r="C26" t="s">
        <v>29</v>
      </c>
      <c r="D26" t="s">
        <v>56</v>
      </c>
      <c r="E26" s="23">
        <v>45719</v>
      </c>
      <c r="F26" t="s">
        <v>63</v>
      </c>
      <c r="G26" t="s">
        <v>60</v>
      </c>
      <c r="H26" s="26">
        <v>246788410042</v>
      </c>
      <c r="I26" t="s">
        <v>33</v>
      </c>
      <c r="J26">
        <v>1800000047</v>
      </c>
      <c r="K26" t="s">
        <v>41</v>
      </c>
      <c r="L26" s="24">
        <v>4421.13</v>
      </c>
      <c r="M26" s="24" t="s">
        <v>34</v>
      </c>
      <c r="N26" s="24">
        <v>383273.33</v>
      </c>
      <c r="O26" t="s">
        <v>72</v>
      </c>
      <c r="P26">
        <v>45719</v>
      </c>
      <c r="R26" t="s">
        <v>32</v>
      </c>
      <c r="S26">
        <f>VLOOKUP(H26,TDS!$B$2:$C$70,2,0)</f>
        <v>38022</v>
      </c>
      <c r="T26" t="str">
        <f>VLOOKUP(H26,TDS!$B$2:$D$70,3,0)</f>
        <v>194I</v>
      </c>
    </row>
    <row r="27" spans="1:20" x14ac:dyDescent="0.35">
      <c r="A27">
        <v>100222362</v>
      </c>
      <c r="B27" t="s">
        <v>28</v>
      </c>
      <c r="C27" t="s">
        <v>29</v>
      </c>
      <c r="D27" t="s">
        <v>56</v>
      </c>
      <c r="E27" s="23">
        <v>45719</v>
      </c>
      <c r="F27" t="s">
        <v>63</v>
      </c>
      <c r="G27" t="s">
        <v>60</v>
      </c>
      <c r="H27" s="26">
        <v>246788410043</v>
      </c>
      <c r="I27" t="s">
        <v>33</v>
      </c>
      <c r="J27">
        <v>1800000048</v>
      </c>
      <c r="K27" t="s">
        <v>41</v>
      </c>
      <c r="L27" s="24">
        <v>2730.01</v>
      </c>
      <c r="M27" s="24" t="s">
        <v>34</v>
      </c>
      <c r="N27" s="24">
        <v>236668.01</v>
      </c>
      <c r="O27" t="s">
        <v>73</v>
      </c>
      <c r="P27">
        <v>45719</v>
      </c>
      <c r="R27" t="s">
        <v>32</v>
      </c>
      <c r="S27">
        <f>VLOOKUP(H27,TDS!$B$2:$C$70,2,0)</f>
        <v>23478</v>
      </c>
      <c r="T27" t="str">
        <f>VLOOKUP(H27,TDS!$B$2:$D$70,3,0)</f>
        <v>194I</v>
      </c>
    </row>
    <row r="28" spans="1:20" x14ac:dyDescent="0.35">
      <c r="A28">
        <v>100222362</v>
      </c>
      <c r="B28" t="s">
        <v>28</v>
      </c>
      <c r="C28" t="s">
        <v>29</v>
      </c>
      <c r="D28" t="s">
        <v>56</v>
      </c>
      <c r="E28" s="23">
        <v>45719</v>
      </c>
      <c r="F28" t="s">
        <v>63</v>
      </c>
      <c r="G28" t="s">
        <v>60</v>
      </c>
      <c r="H28" s="26">
        <v>246788410044</v>
      </c>
      <c r="I28" t="s">
        <v>33</v>
      </c>
      <c r="J28">
        <v>1800000049</v>
      </c>
      <c r="K28" t="s">
        <v>41</v>
      </c>
      <c r="L28" s="24">
        <v>474.24</v>
      </c>
      <c r="M28" s="24" t="s">
        <v>34</v>
      </c>
      <c r="N28" s="24">
        <v>41112.46</v>
      </c>
      <c r="O28" t="s">
        <v>74</v>
      </c>
      <c r="P28">
        <v>45719</v>
      </c>
      <c r="R28" t="s">
        <v>32</v>
      </c>
      <c r="S28">
        <f>VLOOKUP(H28,TDS!$B$2:$C$70,2,0)</f>
        <v>4061</v>
      </c>
      <c r="T28" t="str">
        <f>VLOOKUP(H28,TDS!$B$2:$D$70,3,0)</f>
        <v>194I</v>
      </c>
    </row>
    <row r="29" spans="1:20" hidden="1" x14ac:dyDescent="0.35">
      <c r="A29">
        <v>100222362</v>
      </c>
      <c r="B29" t="s">
        <v>28</v>
      </c>
      <c r="C29" t="s">
        <v>29</v>
      </c>
      <c r="D29" t="s">
        <v>43</v>
      </c>
      <c r="E29" s="23">
        <v>45870</v>
      </c>
      <c r="F29" t="s">
        <v>63</v>
      </c>
      <c r="G29" t="s">
        <v>60</v>
      </c>
      <c r="H29" s="26">
        <v>256788410322</v>
      </c>
      <c r="I29" t="s">
        <v>33</v>
      </c>
      <c r="J29">
        <v>1800000447</v>
      </c>
      <c r="K29" t="s">
        <v>41</v>
      </c>
      <c r="L29" s="24">
        <v>75</v>
      </c>
      <c r="M29" s="24" t="s">
        <v>34</v>
      </c>
      <c r="N29" s="24">
        <v>6452.26</v>
      </c>
      <c r="O29" t="s">
        <v>75</v>
      </c>
      <c r="P29">
        <v>45870</v>
      </c>
      <c r="R29" t="s">
        <v>32</v>
      </c>
      <c r="S29" t="e">
        <f>VLOOKUP(H29,TDS!$B$2:$C$70,2,0)</f>
        <v>#N/A</v>
      </c>
      <c r="T29" t="e">
        <f>VLOOKUP(H29,TDS!$B$2:$D$70,3,0)</f>
        <v>#N/A</v>
      </c>
    </row>
    <row r="30" spans="1:20" hidden="1" x14ac:dyDescent="0.35">
      <c r="A30">
        <v>100222362</v>
      </c>
      <c r="B30" t="s">
        <v>28</v>
      </c>
      <c r="C30" t="s">
        <v>29</v>
      </c>
      <c r="D30" t="s">
        <v>76</v>
      </c>
      <c r="E30" s="23">
        <v>45818</v>
      </c>
      <c r="F30" t="s">
        <v>63</v>
      </c>
      <c r="G30" t="s">
        <v>60</v>
      </c>
      <c r="H30" s="26">
        <v>256788410228</v>
      </c>
      <c r="I30" t="s">
        <v>33</v>
      </c>
      <c r="J30">
        <v>1800000353</v>
      </c>
      <c r="K30" t="s">
        <v>41</v>
      </c>
      <c r="L30" s="24">
        <v>75</v>
      </c>
      <c r="M30" s="24" t="s">
        <v>34</v>
      </c>
      <c r="N30" s="24">
        <v>6411.81</v>
      </c>
      <c r="O30" t="s">
        <v>77</v>
      </c>
      <c r="P30">
        <v>45818</v>
      </c>
      <c r="R30" t="s">
        <v>32</v>
      </c>
      <c r="S30" t="e">
        <f>VLOOKUP(H30,TDS!$B$2:$C$70,2,0)</f>
        <v>#N/A</v>
      </c>
      <c r="T30" t="e">
        <f>VLOOKUP(H30,TDS!$B$2:$D$70,3,0)</f>
        <v>#N/A</v>
      </c>
    </row>
    <row r="31" spans="1:20" hidden="1" x14ac:dyDescent="0.35">
      <c r="A31">
        <v>100222362</v>
      </c>
      <c r="B31" t="s">
        <v>28</v>
      </c>
      <c r="C31" t="s">
        <v>29</v>
      </c>
      <c r="D31" t="s">
        <v>65</v>
      </c>
      <c r="E31" s="23">
        <v>45917</v>
      </c>
      <c r="F31" t="s">
        <v>63</v>
      </c>
      <c r="G31" t="s">
        <v>60</v>
      </c>
      <c r="H31" s="26">
        <v>256788410379</v>
      </c>
      <c r="I31" t="s">
        <v>33</v>
      </c>
      <c r="J31">
        <v>1800000504</v>
      </c>
      <c r="K31" t="s">
        <v>41</v>
      </c>
      <c r="L31" s="24">
        <v>53.78</v>
      </c>
      <c r="M31" s="24" t="s">
        <v>34</v>
      </c>
      <c r="N31" s="24">
        <v>4706.5200000000004</v>
      </c>
      <c r="O31" t="s">
        <v>78</v>
      </c>
      <c r="P31">
        <v>45917</v>
      </c>
      <c r="R31" t="s">
        <v>32</v>
      </c>
      <c r="S31" t="e">
        <f>VLOOKUP(H31,TDS!$B$2:$C$70,2,0)</f>
        <v>#N/A</v>
      </c>
      <c r="T31" t="e">
        <f>VLOOKUP(H31,TDS!$B$2:$D$70,3,0)</f>
        <v>#N/A</v>
      </c>
    </row>
    <row r="32" spans="1:20" hidden="1" x14ac:dyDescent="0.35">
      <c r="A32">
        <v>100222362</v>
      </c>
      <c r="B32" t="s">
        <v>28</v>
      </c>
      <c r="C32" t="s">
        <v>29</v>
      </c>
      <c r="D32" t="s">
        <v>65</v>
      </c>
      <c r="E32" s="23">
        <v>45917</v>
      </c>
      <c r="F32" t="s">
        <v>63</v>
      </c>
      <c r="G32" t="s">
        <v>60</v>
      </c>
      <c r="H32" s="26">
        <v>256788410382</v>
      </c>
      <c r="I32" t="s">
        <v>33</v>
      </c>
      <c r="J32">
        <v>1800000507</v>
      </c>
      <c r="K32" t="s">
        <v>41</v>
      </c>
      <c r="L32" s="24">
        <v>102.14</v>
      </c>
      <c r="M32" s="24" t="s">
        <v>34</v>
      </c>
      <c r="N32" s="24">
        <v>8938.7099999999991</v>
      </c>
      <c r="O32" t="s">
        <v>79</v>
      </c>
      <c r="P32">
        <v>45917</v>
      </c>
      <c r="R32" t="s">
        <v>32</v>
      </c>
      <c r="S32" t="e">
        <f>VLOOKUP(H32,TDS!$B$2:$C$70,2,0)</f>
        <v>#N/A</v>
      </c>
      <c r="T32" t="e">
        <f>VLOOKUP(H32,TDS!$B$2:$D$70,3,0)</f>
        <v>#N/A</v>
      </c>
    </row>
    <row r="33" spans="1:20" hidden="1" x14ac:dyDescent="0.35">
      <c r="A33">
        <v>100222362</v>
      </c>
      <c r="B33" t="s">
        <v>28</v>
      </c>
      <c r="C33" t="s">
        <v>29</v>
      </c>
      <c r="D33" t="s">
        <v>80</v>
      </c>
      <c r="E33" s="23">
        <v>45785</v>
      </c>
      <c r="F33" t="s">
        <v>63</v>
      </c>
      <c r="G33" t="s">
        <v>60</v>
      </c>
      <c r="H33" s="26">
        <v>256788410216</v>
      </c>
      <c r="I33" t="s">
        <v>33</v>
      </c>
      <c r="J33">
        <v>1800000341</v>
      </c>
      <c r="K33" t="s">
        <v>41</v>
      </c>
      <c r="L33" s="24">
        <v>8.4499999999999993</v>
      </c>
      <c r="M33" s="24" t="s">
        <v>34</v>
      </c>
      <c r="N33" s="24">
        <v>726.56</v>
      </c>
      <c r="O33" t="s">
        <v>81</v>
      </c>
      <c r="P33">
        <v>45785</v>
      </c>
      <c r="R33" t="s">
        <v>32</v>
      </c>
      <c r="S33" t="e">
        <f>VLOOKUP(H33,TDS!$B$2:$C$70,2,0)</f>
        <v>#N/A</v>
      </c>
      <c r="T33" t="e">
        <f>VLOOKUP(H33,TDS!$B$2:$D$70,3,0)</f>
        <v>#N/A</v>
      </c>
    </row>
    <row r="34" spans="1:20" hidden="1" x14ac:dyDescent="0.35">
      <c r="A34">
        <v>100222362</v>
      </c>
      <c r="B34" t="s">
        <v>28</v>
      </c>
      <c r="C34" t="s">
        <v>29</v>
      </c>
      <c r="D34" t="s">
        <v>80</v>
      </c>
      <c r="E34" s="23">
        <v>45785</v>
      </c>
      <c r="F34" t="s">
        <v>63</v>
      </c>
      <c r="G34" t="s">
        <v>60</v>
      </c>
      <c r="H34" s="26">
        <v>256788410217</v>
      </c>
      <c r="I34" t="s">
        <v>33</v>
      </c>
      <c r="J34">
        <v>1800000342</v>
      </c>
      <c r="K34" t="s">
        <v>41</v>
      </c>
      <c r="L34" s="24">
        <v>37.659999999999997</v>
      </c>
      <c r="M34" s="24" t="s">
        <v>34</v>
      </c>
      <c r="N34" s="24">
        <v>3238.15</v>
      </c>
      <c r="O34" t="s">
        <v>82</v>
      </c>
      <c r="P34">
        <v>45785</v>
      </c>
      <c r="R34" t="s">
        <v>32</v>
      </c>
      <c r="S34" t="e">
        <f>VLOOKUP(H34,TDS!$B$2:$C$70,2,0)</f>
        <v>#N/A</v>
      </c>
      <c r="T34" t="e">
        <f>VLOOKUP(H34,TDS!$B$2:$D$70,3,0)</f>
        <v>#N/A</v>
      </c>
    </row>
    <row r="35" spans="1:20" hidden="1" x14ac:dyDescent="0.35">
      <c r="A35">
        <v>100222362</v>
      </c>
      <c r="B35" t="s">
        <v>28</v>
      </c>
      <c r="C35" t="s">
        <v>29</v>
      </c>
      <c r="D35" t="s">
        <v>80</v>
      </c>
      <c r="E35" s="23">
        <v>45785</v>
      </c>
      <c r="F35" t="s">
        <v>63</v>
      </c>
      <c r="G35" t="s">
        <v>60</v>
      </c>
      <c r="H35" s="26">
        <v>256788410218</v>
      </c>
      <c r="I35" t="s">
        <v>33</v>
      </c>
      <c r="J35">
        <v>1800000343</v>
      </c>
      <c r="K35" t="s">
        <v>41</v>
      </c>
      <c r="L35" s="24">
        <v>13.18</v>
      </c>
      <c r="M35" s="24" t="s">
        <v>34</v>
      </c>
      <c r="N35" s="24">
        <v>1133.27</v>
      </c>
      <c r="O35" t="s">
        <v>83</v>
      </c>
      <c r="P35">
        <v>45785</v>
      </c>
      <c r="R35" t="s">
        <v>32</v>
      </c>
      <c r="S35" t="e">
        <f>VLOOKUP(H35,TDS!$B$2:$C$70,2,0)</f>
        <v>#N/A</v>
      </c>
      <c r="T35" t="e">
        <f>VLOOKUP(H35,TDS!$B$2:$D$70,3,0)</f>
        <v>#N/A</v>
      </c>
    </row>
    <row r="36" spans="1:20" hidden="1" x14ac:dyDescent="0.35">
      <c r="A36">
        <v>100222362</v>
      </c>
      <c r="B36" t="s">
        <v>28</v>
      </c>
      <c r="C36" t="s">
        <v>29</v>
      </c>
      <c r="D36" t="s">
        <v>47</v>
      </c>
      <c r="E36" s="23">
        <v>45947</v>
      </c>
      <c r="F36" t="s">
        <v>84</v>
      </c>
      <c r="G36" t="s">
        <v>60</v>
      </c>
      <c r="H36" s="26">
        <v>256788420141</v>
      </c>
      <c r="I36" t="s">
        <v>33</v>
      </c>
      <c r="J36">
        <v>1600000261</v>
      </c>
      <c r="K36" t="s">
        <v>41</v>
      </c>
      <c r="L36" s="24">
        <v>-1211.9000000000001</v>
      </c>
      <c r="M36" s="24" t="s">
        <v>34</v>
      </c>
      <c r="N36" s="24">
        <v>-106878.39</v>
      </c>
      <c r="O36" t="s">
        <v>85</v>
      </c>
      <c r="P36">
        <v>45947</v>
      </c>
      <c r="Q36">
        <v>45976</v>
      </c>
      <c r="R36" t="s">
        <v>62</v>
      </c>
      <c r="S36" t="e">
        <f>VLOOKUP(H36,TDS!$B$2:$C$70,2,0)</f>
        <v>#N/A</v>
      </c>
      <c r="T36" t="e">
        <f>VLOOKUP(H36,TDS!$B$2:$D$70,3,0)</f>
        <v>#N/A</v>
      </c>
    </row>
    <row r="37" spans="1:20" hidden="1" x14ac:dyDescent="0.35">
      <c r="A37">
        <v>100222362</v>
      </c>
      <c r="B37" t="s">
        <v>28</v>
      </c>
      <c r="C37" t="s">
        <v>29</v>
      </c>
      <c r="D37" t="s">
        <v>47</v>
      </c>
      <c r="E37" s="23">
        <v>45947</v>
      </c>
      <c r="F37" t="s">
        <v>84</v>
      </c>
      <c r="G37" t="s">
        <v>60</v>
      </c>
      <c r="H37" s="26">
        <v>256788420142</v>
      </c>
      <c r="I37" t="s">
        <v>33</v>
      </c>
      <c r="J37">
        <v>1600000262</v>
      </c>
      <c r="K37" t="s">
        <v>41</v>
      </c>
      <c r="L37" s="24">
        <v>-40</v>
      </c>
      <c r="M37" s="24" t="s">
        <v>34</v>
      </c>
      <c r="N37" s="24">
        <v>-3527.63</v>
      </c>
      <c r="O37" t="s">
        <v>86</v>
      </c>
      <c r="P37">
        <v>45947</v>
      </c>
      <c r="Q37">
        <v>45976</v>
      </c>
      <c r="R37" t="s">
        <v>62</v>
      </c>
      <c r="S37" t="e">
        <f>VLOOKUP(H37,TDS!$B$2:$C$70,2,0)</f>
        <v>#N/A</v>
      </c>
      <c r="T37" t="e">
        <f>VLOOKUP(H37,TDS!$B$2:$D$70,3,0)</f>
        <v>#N/A</v>
      </c>
    </row>
    <row r="38" spans="1:20" hidden="1" x14ac:dyDescent="0.35">
      <c r="A38">
        <v>100222362</v>
      </c>
      <c r="B38" t="s">
        <v>28</v>
      </c>
      <c r="C38" t="s">
        <v>29</v>
      </c>
      <c r="D38" t="s">
        <v>47</v>
      </c>
      <c r="E38" s="23">
        <v>45947</v>
      </c>
      <c r="F38" t="s">
        <v>84</v>
      </c>
      <c r="G38" t="s">
        <v>60</v>
      </c>
      <c r="H38" s="26">
        <v>256788420143</v>
      </c>
      <c r="I38" t="s">
        <v>33</v>
      </c>
      <c r="J38">
        <v>1600000263</v>
      </c>
      <c r="K38" t="s">
        <v>41</v>
      </c>
      <c r="L38" s="24">
        <v>-11.26</v>
      </c>
      <c r="M38" s="24" t="s">
        <v>34</v>
      </c>
      <c r="N38" s="24">
        <v>-993.03</v>
      </c>
      <c r="O38" t="s">
        <v>87</v>
      </c>
      <c r="P38">
        <v>45947</v>
      </c>
      <c r="Q38">
        <v>45976</v>
      </c>
      <c r="R38" t="s">
        <v>62</v>
      </c>
      <c r="S38" t="e">
        <f>VLOOKUP(H38,TDS!$B$2:$C$70,2,0)</f>
        <v>#N/A</v>
      </c>
      <c r="T38" t="e">
        <f>VLOOKUP(H38,TDS!$B$2:$D$70,3,0)</f>
        <v>#N/A</v>
      </c>
    </row>
    <row r="39" spans="1:20" x14ac:dyDescent="0.35">
      <c r="A39">
        <v>100222362</v>
      </c>
      <c r="B39" t="s">
        <v>28</v>
      </c>
      <c r="C39" t="s">
        <v>29</v>
      </c>
      <c r="D39" t="s">
        <v>30</v>
      </c>
      <c r="E39" s="23">
        <v>45763</v>
      </c>
      <c r="F39" t="s">
        <v>63</v>
      </c>
      <c r="G39" t="s">
        <v>60</v>
      </c>
      <c r="H39" s="26">
        <v>256779412015</v>
      </c>
      <c r="I39" t="s">
        <v>33</v>
      </c>
      <c r="J39">
        <v>1800007124</v>
      </c>
      <c r="K39" t="s">
        <v>41</v>
      </c>
      <c r="L39" s="24">
        <v>86.56</v>
      </c>
      <c r="M39" s="24" t="s">
        <v>34</v>
      </c>
      <c r="N39" s="24">
        <v>7523.95</v>
      </c>
      <c r="O39" t="s">
        <v>88</v>
      </c>
      <c r="P39">
        <v>45763</v>
      </c>
      <c r="R39" t="s">
        <v>32</v>
      </c>
      <c r="S39">
        <f>VLOOKUP(H39,TDS!$B$2:$C$70,2,0)</f>
        <v>150</v>
      </c>
      <c r="T39" t="str">
        <f>VLOOKUP(H39,TDS!$B$2:$D$70,3,0)</f>
        <v>194C</v>
      </c>
    </row>
    <row r="40" spans="1:20" x14ac:dyDescent="0.35">
      <c r="A40">
        <v>100222362</v>
      </c>
      <c r="B40" t="s">
        <v>28</v>
      </c>
      <c r="C40" t="s">
        <v>29</v>
      </c>
      <c r="D40" t="s">
        <v>30</v>
      </c>
      <c r="E40" s="23">
        <v>45763</v>
      </c>
      <c r="F40" t="s">
        <v>63</v>
      </c>
      <c r="G40" t="s">
        <v>60</v>
      </c>
      <c r="H40" s="26">
        <v>256779412058</v>
      </c>
      <c r="I40" t="s">
        <v>33</v>
      </c>
      <c r="J40">
        <v>1800007167</v>
      </c>
      <c r="K40" t="s">
        <v>41</v>
      </c>
      <c r="L40" s="24">
        <v>188.84</v>
      </c>
      <c r="M40" s="24" t="s">
        <v>34</v>
      </c>
      <c r="N40" s="24">
        <v>16414.32</v>
      </c>
      <c r="O40" t="s">
        <v>78</v>
      </c>
      <c r="P40">
        <v>45763</v>
      </c>
      <c r="R40" t="s">
        <v>32</v>
      </c>
      <c r="S40">
        <f>VLOOKUP(H40,TDS!$B$2:$C$70,2,0)</f>
        <v>328</v>
      </c>
      <c r="T40" t="str">
        <f>VLOOKUP(H40,TDS!$B$2:$D$70,3,0)</f>
        <v>194C</v>
      </c>
    </row>
    <row r="41" spans="1:20" x14ac:dyDescent="0.35">
      <c r="A41">
        <v>100222362</v>
      </c>
      <c r="B41" t="s">
        <v>28</v>
      </c>
      <c r="C41" t="s">
        <v>29</v>
      </c>
      <c r="D41" t="s">
        <v>30</v>
      </c>
      <c r="E41" s="23">
        <v>45763</v>
      </c>
      <c r="F41" t="s">
        <v>63</v>
      </c>
      <c r="G41" t="s">
        <v>60</v>
      </c>
      <c r="H41" s="26">
        <v>256779412096</v>
      </c>
      <c r="I41" t="s">
        <v>33</v>
      </c>
      <c r="J41">
        <v>1800007205</v>
      </c>
      <c r="K41" t="s">
        <v>41</v>
      </c>
      <c r="L41" s="24">
        <v>16.829999999999998</v>
      </c>
      <c r="M41" s="24" t="s">
        <v>34</v>
      </c>
      <c r="N41" s="24">
        <v>1462.89</v>
      </c>
      <c r="O41" t="s">
        <v>89</v>
      </c>
      <c r="P41">
        <v>45763</v>
      </c>
      <c r="R41" t="s">
        <v>32</v>
      </c>
      <c r="S41">
        <f>VLOOKUP(H41,TDS!$B$2:$C$70,2,0)</f>
        <v>29</v>
      </c>
      <c r="T41" t="str">
        <f>VLOOKUP(H41,TDS!$B$2:$D$70,3,0)</f>
        <v>194C</v>
      </c>
    </row>
    <row r="42" spans="1:20" hidden="1" x14ac:dyDescent="0.35">
      <c r="A42">
        <v>100222362</v>
      </c>
      <c r="B42" t="s">
        <v>28</v>
      </c>
      <c r="C42" t="s">
        <v>29</v>
      </c>
      <c r="D42" t="s">
        <v>90</v>
      </c>
      <c r="E42" s="23">
        <v>45847</v>
      </c>
      <c r="F42" t="s">
        <v>63</v>
      </c>
      <c r="G42" t="s">
        <v>60</v>
      </c>
      <c r="H42" s="26">
        <v>256788410243</v>
      </c>
      <c r="I42" t="s">
        <v>33</v>
      </c>
      <c r="J42">
        <v>1800000368</v>
      </c>
      <c r="K42" t="s">
        <v>41</v>
      </c>
      <c r="L42" s="24">
        <v>30</v>
      </c>
      <c r="M42" s="24" t="s">
        <v>34</v>
      </c>
      <c r="N42" s="24">
        <v>2580.02</v>
      </c>
      <c r="O42" t="s">
        <v>91</v>
      </c>
      <c r="P42">
        <v>45847</v>
      </c>
      <c r="R42" t="s">
        <v>32</v>
      </c>
      <c r="S42" t="e">
        <f>VLOOKUP(H42,TDS!$B$2:$C$70,2,0)</f>
        <v>#N/A</v>
      </c>
      <c r="T42" t="e">
        <f>VLOOKUP(H42,TDS!$B$2:$D$70,3,0)</f>
        <v>#N/A</v>
      </c>
    </row>
    <row r="43" spans="1:20" x14ac:dyDescent="0.35">
      <c r="A43">
        <v>100222362</v>
      </c>
      <c r="B43" t="s">
        <v>28</v>
      </c>
      <c r="C43" t="s">
        <v>29</v>
      </c>
      <c r="D43" t="s">
        <v>90</v>
      </c>
      <c r="E43" s="23">
        <v>45847</v>
      </c>
      <c r="F43" t="s">
        <v>63</v>
      </c>
      <c r="G43" t="s">
        <v>60</v>
      </c>
      <c r="H43" s="26">
        <v>256788410259</v>
      </c>
      <c r="I43" t="s">
        <v>33</v>
      </c>
      <c r="J43">
        <v>1800000384</v>
      </c>
      <c r="K43" t="s">
        <v>41</v>
      </c>
      <c r="L43" s="24">
        <v>75</v>
      </c>
      <c r="M43" s="24" t="s">
        <v>34</v>
      </c>
      <c r="N43" s="24">
        <v>6450.05</v>
      </c>
      <c r="O43" t="s">
        <v>92</v>
      </c>
      <c r="P43">
        <v>45847</v>
      </c>
      <c r="R43" t="s">
        <v>32</v>
      </c>
      <c r="S43">
        <f>VLOOKUP(H43,TDS!$B$2:$C$70,2,0)</f>
        <v>129</v>
      </c>
      <c r="T43" t="str">
        <f>VLOOKUP(H43,TDS!$B$2:$D$70,3,0)</f>
        <v>194C</v>
      </c>
    </row>
    <row r="44" spans="1:20" x14ac:dyDescent="0.35">
      <c r="A44">
        <v>100222362</v>
      </c>
      <c r="B44" t="s">
        <v>28</v>
      </c>
      <c r="C44" t="s">
        <v>29</v>
      </c>
      <c r="D44" t="s">
        <v>65</v>
      </c>
      <c r="E44" s="23">
        <v>45904</v>
      </c>
      <c r="F44" t="s">
        <v>63</v>
      </c>
      <c r="G44" t="s">
        <v>60</v>
      </c>
      <c r="H44" s="26">
        <v>256779416953</v>
      </c>
      <c r="I44" t="s">
        <v>33</v>
      </c>
      <c r="J44">
        <v>1800012496</v>
      </c>
      <c r="K44" t="s">
        <v>41</v>
      </c>
      <c r="L44" s="24">
        <v>2.14</v>
      </c>
      <c r="M44" s="24" t="s">
        <v>34</v>
      </c>
      <c r="N44" s="24">
        <v>187.28</v>
      </c>
      <c r="O44" t="s">
        <v>93</v>
      </c>
      <c r="P44">
        <v>45904</v>
      </c>
      <c r="R44" t="s">
        <v>32</v>
      </c>
      <c r="S44">
        <f>VLOOKUP(H44,TDS!$B$2:$C$70,2,0)</f>
        <v>3.75</v>
      </c>
      <c r="T44" t="str">
        <f>VLOOKUP(H44,TDS!$B$2:$D$70,3,0)</f>
        <v>194C</v>
      </c>
    </row>
    <row r="45" spans="1:20" x14ac:dyDescent="0.35">
      <c r="A45">
        <v>100222362</v>
      </c>
      <c r="B45" t="s">
        <v>28</v>
      </c>
      <c r="C45" t="s">
        <v>29</v>
      </c>
      <c r="D45" t="s">
        <v>65</v>
      </c>
      <c r="E45" s="23">
        <v>45904</v>
      </c>
      <c r="F45" t="s">
        <v>63</v>
      </c>
      <c r="G45" t="s">
        <v>60</v>
      </c>
      <c r="H45" s="26">
        <v>256788410354</v>
      </c>
      <c r="I45" t="s">
        <v>33</v>
      </c>
      <c r="J45">
        <v>1800000480</v>
      </c>
      <c r="K45" t="s">
        <v>41</v>
      </c>
      <c r="L45" s="24">
        <v>12.52</v>
      </c>
      <c r="M45" s="24" t="s">
        <v>34</v>
      </c>
      <c r="N45" s="24">
        <v>1095.68</v>
      </c>
      <c r="O45" t="s">
        <v>94</v>
      </c>
      <c r="P45">
        <v>45904</v>
      </c>
      <c r="R45" t="s">
        <v>32</v>
      </c>
      <c r="S45">
        <f>VLOOKUP(H45,TDS!$B$2:$C$70,2,0)</f>
        <v>21.91</v>
      </c>
      <c r="T45" t="str">
        <f>VLOOKUP(H45,TDS!$B$2:$D$70,3,0)</f>
        <v>194C</v>
      </c>
    </row>
    <row r="46" spans="1:20" x14ac:dyDescent="0.35">
      <c r="A46">
        <v>100222362</v>
      </c>
      <c r="B46" t="s">
        <v>28</v>
      </c>
      <c r="C46" t="s">
        <v>29</v>
      </c>
      <c r="D46" t="s">
        <v>65</v>
      </c>
      <c r="E46" s="23">
        <v>45904</v>
      </c>
      <c r="F46" t="s">
        <v>63</v>
      </c>
      <c r="G46" t="s">
        <v>60</v>
      </c>
      <c r="H46" s="26">
        <v>256788410355</v>
      </c>
      <c r="I46" t="s">
        <v>33</v>
      </c>
      <c r="J46">
        <v>1800000481</v>
      </c>
      <c r="K46" t="s">
        <v>41</v>
      </c>
      <c r="L46" s="24">
        <v>13.66</v>
      </c>
      <c r="M46" s="24" t="s">
        <v>34</v>
      </c>
      <c r="N46" s="24">
        <v>1195.45</v>
      </c>
      <c r="O46" t="s">
        <v>95</v>
      </c>
      <c r="P46">
        <v>45904</v>
      </c>
      <c r="R46" t="s">
        <v>32</v>
      </c>
      <c r="S46">
        <f>VLOOKUP(H46,TDS!$B$2:$C$70,2,0)</f>
        <v>23.91</v>
      </c>
      <c r="T46" t="str">
        <f>VLOOKUP(H46,TDS!$B$2:$D$70,3,0)</f>
        <v>194C</v>
      </c>
    </row>
    <row r="47" spans="1:20" x14ac:dyDescent="0.35">
      <c r="A47">
        <v>100222362</v>
      </c>
      <c r="B47" t="s">
        <v>28</v>
      </c>
      <c r="C47" t="s">
        <v>29</v>
      </c>
      <c r="D47" t="s">
        <v>65</v>
      </c>
      <c r="E47" s="23">
        <v>45904</v>
      </c>
      <c r="F47" t="s">
        <v>63</v>
      </c>
      <c r="G47" t="s">
        <v>60</v>
      </c>
      <c r="H47" s="26">
        <v>256788410358</v>
      </c>
      <c r="I47" t="s">
        <v>33</v>
      </c>
      <c r="J47">
        <v>1800000483</v>
      </c>
      <c r="K47" t="s">
        <v>41</v>
      </c>
      <c r="L47" s="24">
        <v>2262.04</v>
      </c>
      <c r="M47" s="24" t="s">
        <v>34</v>
      </c>
      <c r="N47" s="24">
        <v>197960.92</v>
      </c>
      <c r="O47" t="s">
        <v>96</v>
      </c>
      <c r="P47">
        <v>45904</v>
      </c>
      <c r="R47" t="s">
        <v>32</v>
      </c>
      <c r="S47">
        <f>VLOOKUP(H47,TDS!$B$2:$C$70,2,0)</f>
        <v>19796.09</v>
      </c>
      <c r="T47" t="str">
        <f>VLOOKUP(H47,TDS!$B$2:$D$70,3,0)</f>
        <v>194C</v>
      </c>
    </row>
    <row r="48" spans="1:20" x14ac:dyDescent="0.35">
      <c r="A48">
        <v>100222362</v>
      </c>
      <c r="B48" t="s">
        <v>28</v>
      </c>
      <c r="C48" t="s">
        <v>29</v>
      </c>
      <c r="D48" t="s">
        <v>65</v>
      </c>
      <c r="E48" s="23">
        <v>45904</v>
      </c>
      <c r="F48" t="s">
        <v>63</v>
      </c>
      <c r="G48" t="s">
        <v>60</v>
      </c>
      <c r="H48" s="26">
        <v>256788410359</v>
      </c>
      <c r="I48" t="s">
        <v>33</v>
      </c>
      <c r="J48">
        <v>1800000488</v>
      </c>
      <c r="K48" t="s">
        <v>41</v>
      </c>
      <c r="L48" s="24">
        <v>126.58</v>
      </c>
      <c r="M48" s="24" t="s">
        <v>34</v>
      </c>
      <c r="N48" s="24">
        <v>11077.56</v>
      </c>
      <c r="O48" t="s">
        <v>97</v>
      </c>
      <c r="P48">
        <v>45904</v>
      </c>
      <c r="R48" t="s">
        <v>32</v>
      </c>
      <c r="S48">
        <f>VLOOKUP(H48,TDS!$B$2:$C$70,2,0)</f>
        <v>221.55</v>
      </c>
      <c r="T48" t="str">
        <f>VLOOKUP(H48,TDS!$B$2:$D$70,3,0)</f>
        <v>194C</v>
      </c>
    </row>
    <row r="49" spans="1:20" x14ac:dyDescent="0.35">
      <c r="A49">
        <v>100222362</v>
      </c>
      <c r="B49" t="s">
        <v>28</v>
      </c>
      <c r="C49" t="s">
        <v>29</v>
      </c>
      <c r="D49" t="s">
        <v>65</v>
      </c>
      <c r="E49" s="23">
        <v>45904</v>
      </c>
      <c r="F49" t="s">
        <v>63</v>
      </c>
      <c r="G49" t="s">
        <v>60</v>
      </c>
      <c r="H49" s="26">
        <v>256788410360</v>
      </c>
      <c r="I49" t="s">
        <v>33</v>
      </c>
      <c r="J49">
        <v>1800000484</v>
      </c>
      <c r="K49" t="s">
        <v>41</v>
      </c>
      <c r="L49" s="24">
        <v>348.21</v>
      </c>
      <c r="M49" s="24" t="s">
        <v>34</v>
      </c>
      <c r="N49" s="24">
        <v>30473.360000000001</v>
      </c>
      <c r="O49" t="s">
        <v>98</v>
      </c>
      <c r="P49">
        <v>45904</v>
      </c>
      <c r="R49" t="s">
        <v>32</v>
      </c>
      <c r="S49">
        <f>VLOOKUP(H49,TDS!$B$2:$C$70,2,0)</f>
        <v>609.47</v>
      </c>
      <c r="T49" t="str">
        <f>VLOOKUP(H49,TDS!$B$2:$D$70,3,0)</f>
        <v>194C</v>
      </c>
    </row>
    <row r="50" spans="1:20" x14ac:dyDescent="0.35">
      <c r="A50">
        <v>100222362</v>
      </c>
      <c r="B50" t="s">
        <v>28</v>
      </c>
      <c r="C50" t="s">
        <v>29</v>
      </c>
      <c r="D50" t="s">
        <v>65</v>
      </c>
      <c r="E50" s="23">
        <v>45904</v>
      </c>
      <c r="F50" t="s">
        <v>63</v>
      </c>
      <c r="G50" t="s">
        <v>60</v>
      </c>
      <c r="H50" s="26">
        <v>256788410361</v>
      </c>
      <c r="I50" t="s">
        <v>33</v>
      </c>
      <c r="J50">
        <v>1800000485</v>
      </c>
      <c r="K50" t="s">
        <v>41</v>
      </c>
      <c r="L50" s="24">
        <v>26</v>
      </c>
      <c r="M50" s="24" t="s">
        <v>34</v>
      </c>
      <c r="N50" s="24">
        <v>2275.37</v>
      </c>
      <c r="O50" t="s">
        <v>99</v>
      </c>
      <c r="P50">
        <v>45904</v>
      </c>
      <c r="R50" t="s">
        <v>32</v>
      </c>
      <c r="S50">
        <f>VLOOKUP(H50,TDS!$B$2:$C$70,2,0)</f>
        <v>45.51</v>
      </c>
      <c r="T50" t="str">
        <f>VLOOKUP(H50,TDS!$B$2:$D$70,3,0)</f>
        <v>194C</v>
      </c>
    </row>
    <row r="51" spans="1:20" x14ac:dyDescent="0.35">
      <c r="A51">
        <v>100222362</v>
      </c>
      <c r="B51" t="s">
        <v>28</v>
      </c>
      <c r="C51" t="s">
        <v>29</v>
      </c>
      <c r="D51" t="s">
        <v>65</v>
      </c>
      <c r="E51" s="23">
        <v>45904</v>
      </c>
      <c r="F51" t="s">
        <v>63</v>
      </c>
      <c r="G51" t="s">
        <v>60</v>
      </c>
      <c r="H51" s="26">
        <v>256788410363</v>
      </c>
      <c r="I51" t="s">
        <v>33</v>
      </c>
      <c r="J51">
        <v>1800000487</v>
      </c>
      <c r="K51" t="s">
        <v>41</v>
      </c>
      <c r="L51" s="24">
        <v>227.74</v>
      </c>
      <c r="M51" s="24" t="s">
        <v>34</v>
      </c>
      <c r="N51" s="24">
        <v>19930.509999999998</v>
      </c>
      <c r="O51" t="s">
        <v>100</v>
      </c>
      <c r="P51">
        <v>45904</v>
      </c>
      <c r="R51" t="s">
        <v>32</v>
      </c>
      <c r="S51">
        <f>VLOOKUP(H51,TDS!$B$2:$C$70,2,0)</f>
        <v>398.61</v>
      </c>
      <c r="T51" t="str">
        <f>VLOOKUP(H51,TDS!$B$2:$D$70,3,0)</f>
        <v>194C</v>
      </c>
    </row>
    <row r="52" spans="1:20" x14ac:dyDescent="0.35">
      <c r="A52">
        <v>100222362</v>
      </c>
      <c r="B52" t="s">
        <v>28</v>
      </c>
      <c r="C52" t="s">
        <v>29</v>
      </c>
      <c r="D52" t="s">
        <v>65</v>
      </c>
      <c r="E52" s="23">
        <v>45904</v>
      </c>
      <c r="F52" t="s">
        <v>63</v>
      </c>
      <c r="G52" t="s">
        <v>60</v>
      </c>
      <c r="H52" s="26">
        <v>256788410364</v>
      </c>
      <c r="I52" t="s">
        <v>33</v>
      </c>
      <c r="J52">
        <v>1800000489</v>
      </c>
      <c r="K52" t="s">
        <v>41</v>
      </c>
      <c r="L52" s="24">
        <v>75</v>
      </c>
      <c r="M52" s="24" t="s">
        <v>34</v>
      </c>
      <c r="N52" s="24">
        <v>6563.57</v>
      </c>
      <c r="O52" t="s">
        <v>101</v>
      </c>
      <c r="P52">
        <v>45904</v>
      </c>
      <c r="R52" t="s">
        <v>32</v>
      </c>
      <c r="S52">
        <f>VLOOKUP(H52,TDS!$B$2:$C$70,2,0)</f>
        <v>656.36</v>
      </c>
      <c r="T52" t="str">
        <f>VLOOKUP(H52,TDS!$B$2:$D$70,3,0)</f>
        <v>194C</v>
      </c>
    </row>
    <row r="53" spans="1:20" hidden="1" x14ac:dyDescent="0.35">
      <c r="A53">
        <v>100222362</v>
      </c>
      <c r="B53" t="s">
        <v>28</v>
      </c>
      <c r="C53" t="s">
        <v>29</v>
      </c>
      <c r="D53" t="s">
        <v>90</v>
      </c>
      <c r="E53" s="23">
        <v>45842</v>
      </c>
      <c r="F53" t="s">
        <v>63</v>
      </c>
      <c r="G53" t="s">
        <v>60</v>
      </c>
      <c r="H53" s="26">
        <v>256779415275</v>
      </c>
      <c r="I53" t="s">
        <v>33</v>
      </c>
      <c r="J53">
        <v>1800010515</v>
      </c>
      <c r="K53" t="s">
        <v>41</v>
      </c>
      <c r="L53" s="24">
        <v>86.04</v>
      </c>
      <c r="M53" s="24" t="s">
        <v>34</v>
      </c>
      <c r="N53" s="24">
        <v>7399.5</v>
      </c>
      <c r="O53" t="s">
        <v>102</v>
      </c>
      <c r="P53">
        <v>45842</v>
      </c>
      <c r="R53" t="s">
        <v>32</v>
      </c>
      <c r="S53" t="e">
        <f>VLOOKUP(H53,TDS!$B$2:$C$70,2,0)</f>
        <v>#N/A</v>
      </c>
      <c r="T53" t="e">
        <f>VLOOKUP(H53,TDS!$B$2:$D$70,3,0)</f>
        <v>#N/A</v>
      </c>
    </row>
    <row r="54" spans="1:20" hidden="1" x14ac:dyDescent="0.35">
      <c r="A54">
        <v>100222362</v>
      </c>
      <c r="B54" t="s">
        <v>28</v>
      </c>
      <c r="C54" t="s">
        <v>29</v>
      </c>
      <c r="D54" t="s">
        <v>90</v>
      </c>
      <c r="E54" s="23">
        <v>45842</v>
      </c>
      <c r="F54" t="s">
        <v>63</v>
      </c>
      <c r="G54" t="s">
        <v>60</v>
      </c>
      <c r="H54" s="26">
        <v>256788410233</v>
      </c>
      <c r="I54" t="s">
        <v>33</v>
      </c>
      <c r="J54">
        <v>1800000358</v>
      </c>
      <c r="K54" t="s">
        <v>41</v>
      </c>
      <c r="L54" s="24">
        <v>10350.540000000001</v>
      </c>
      <c r="M54" s="24" t="s">
        <v>34</v>
      </c>
      <c r="N54" s="24">
        <v>890153.37</v>
      </c>
      <c r="O54" t="s">
        <v>103</v>
      </c>
      <c r="P54">
        <v>45842</v>
      </c>
      <c r="R54" t="s">
        <v>32</v>
      </c>
      <c r="S54" t="e">
        <f>VLOOKUP(H54,TDS!$B$2:$C$70,2,0)</f>
        <v>#N/A</v>
      </c>
      <c r="T54" t="e">
        <f>VLOOKUP(H54,TDS!$B$2:$D$70,3,0)</f>
        <v>#N/A</v>
      </c>
    </row>
    <row r="55" spans="1:20" hidden="1" x14ac:dyDescent="0.35">
      <c r="A55">
        <v>100222362</v>
      </c>
      <c r="B55" t="s">
        <v>28</v>
      </c>
      <c r="C55" t="s">
        <v>29</v>
      </c>
      <c r="D55" t="s">
        <v>90</v>
      </c>
      <c r="E55" s="23">
        <v>45842</v>
      </c>
      <c r="F55" t="s">
        <v>63</v>
      </c>
      <c r="G55" t="s">
        <v>60</v>
      </c>
      <c r="H55" s="26">
        <v>256788410235</v>
      </c>
      <c r="I55" t="s">
        <v>33</v>
      </c>
      <c r="J55">
        <v>1800000360</v>
      </c>
      <c r="K55" t="s">
        <v>41</v>
      </c>
      <c r="L55" s="24">
        <v>2323.12</v>
      </c>
      <c r="M55" s="24" t="s">
        <v>34</v>
      </c>
      <c r="N55" s="24">
        <v>199789.88</v>
      </c>
      <c r="O55" t="s">
        <v>104</v>
      </c>
      <c r="P55">
        <v>45842</v>
      </c>
      <c r="R55" t="s">
        <v>32</v>
      </c>
      <c r="S55" t="e">
        <f>VLOOKUP(H55,TDS!$B$2:$C$70,2,0)</f>
        <v>#N/A</v>
      </c>
      <c r="T55" t="e">
        <f>VLOOKUP(H55,TDS!$B$2:$D$70,3,0)</f>
        <v>#N/A</v>
      </c>
    </row>
    <row r="56" spans="1:20" hidden="1" x14ac:dyDescent="0.35">
      <c r="A56">
        <v>100222362</v>
      </c>
      <c r="B56" t="s">
        <v>28</v>
      </c>
      <c r="C56" t="s">
        <v>29</v>
      </c>
      <c r="D56" t="s">
        <v>90</v>
      </c>
      <c r="E56" s="23">
        <v>45842</v>
      </c>
      <c r="F56" t="s">
        <v>63</v>
      </c>
      <c r="G56" t="s">
        <v>60</v>
      </c>
      <c r="H56" s="26">
        <v>256788410237</v>
      </c>
      <c r="I56" t="s">
        <v>33</v>
      </c>
      <c r="J56">
        <v>1800000362</v>
      </c>
      <c r="K56" t="s">
        <v>41</v>
      </c>
      <c r="L56" s="24">
        <v>75</v>
      </c>
      <c r="M56" s="24" t="s">
        <v>34</v>
      </c>
      <c r="N56" s="24">
        <v>6450.05</v>
      </c>
      <c r="O56" t="s">
        <v>105</v>
      </c>
      <c r="P56">
        <v>45842</v>
      </c>
      <c r="R56" t="s">
        <v>32</v>
      </c>
      <c r="S56" t="e">
        <f>VLOOKUP(H56,TDS!$B$2:$C$70,2,0)</f>
        <v>#N/A</v>
      </c>
      <c r="T56" t="e">
        <f>VLOOKUP(H56,TDS!$B$2:$D$70,3,0)</f>
        <v>#N/A</v>
      </c>
    </row>
    <row r="57" spans="1:20" hidden="1" x14ac:dyDescent="0.35">
      <c r="A57">
        <v>100222362</v>
      </c>
      <c r="B57" t="s">
        <v>28</v>
      </c>
      <c r="C57" t="s">
        <v>29</v>
      </c>
      <c r="D57" t="s">
        <v>90</v>
      </c>
      <c r="E57" s="23">
        <v>45842</v>
      </c>
      <c r="F57" t="s">
        <v>63</v>
      </c>
      <c r="G57" t="s">
        <v>60</v>
      </c>
      <c r="H57" s="26">
        <v>256788410255</v>
      </c>
      <c r="I57" t="s">
        <v>33</v>
      </c>
      <c r="J57">
        <v>1800000380</v>
      </c>
      <c r="K57" t="s">
        <v>41</v>
      </c>
      <c r="L57" s="24">
        <v>14</v>
      </c>
      <c r="M57" s="24" t="s">
        <v>34</v>
      </c>
      <c r="N57" s="24">
        <v>1204.01</v>
      </c>
      <c r="O57" t="s">
        <v>106</v>
      </c>
      <c r="P57">
        <v>45842</v>
      </c>
      <c r="R57" t="s">
        <v>32</v>
      </c>
      <c r="S57" t="e">
        <f>VLOOKUP(H57,TDS!$B$2:$C$70,2,0)</f>
        <v>#N/A</v>
      </c>
      <c r="T57" t="e">
        <f>VLOOKUP(H57,TDS!$B$2:$D$70,3,0)</f>
        <v>#N/A</v>
      </c>
    </row>
    <row r="58" spans="1:20" hidden="1" x14ac:dyDescent="0.35">
      <c r="A58">
        <v>100222362</v>
      </c>
      <c r="B58" t="s">
        <v>28</v>
      </c>
      <c r="C58" t="s">
        <v>29</v>
      </c>
      <c r="D58" t="s">
        <v>90</v>
      </c>
      <c r="E58" s="23">
        <v>45842</v>
      </c>
      <c r="F58" t="s">
        <v>63</v>
      </c>
      <c r="G58" t="s">
        <v>60</v>
      </c>
      <c r="H58" s="26">
        <v>256788410257</v>
      </c>
      <c r="I58" t="s">
        <v>33</v>
      </c>
      <c r="J58">
        <v>1800000382</v>
      </c>
      <c r="K58" t="s">
        <v>41</v>
      </c>
      <c r="L58" s="24">
        <v>67.760000000000005</v>
      </c>
      <c r="M58" s="24" t="s">
        <v>34</v>
      </c>
      <c r="N58" s="24">
        <v>5827.41</v>
      </c>
      <c r="O58" t="s">
        <v>107</v>
      </c>
      <c r="P58">
        <v>45842</v>
      </c>
      <c r="R58" t="s">
        <v>32</v>
      </c>
      <c r="S58" t="e">
        <f>VLOOKUP(H58,TDS!$B$2:$C$70,2,0)</f>
        <v>#N/A</v>
      </c>
      <c r="T58" t="e">
        <f>VLOOKUP(H58,TDS!$B$2:$D$70,3,0)</f>
        <v>#N/A</v>
      </c>
    </row>
    <row r="59" spans="1:20" hidden="1" x14ac:dyDescent="0.35">
      <c r="A59">
        <v>100222362</v>
      </c>
      <c r="B59" t="s">
        <v>28</v>
      </c>
      <c r="C59" t="s">
        <v>29</v>
      </c>
      <c r="D59" t="s">
        <v>90</v>
      </c>
      <c r="E59" s="23">
        <v>45842</v>
      </c>
      <c r="F59" t="s">
        <v>63</v>
      </c>
      <c r="G59" t="s">
        <v>60</v>
      </c>
      <c r="H59" s="26">
        <v>256788410258</v>
      </c>
      <c r="I59" t="s">
        <v>33</v>
      </c>
      <c r="J59">
        <v>1800000383</v>
      </c>
      <c r="K59" t="s">
        <v>41</v>
      </c>
      <c r="L59" s="24">
        <v>17</v>
      </c>
      <c r="M59" s="24" t="s">
        <v>34</v>
      </c>
      <c r="N59" s="24">
        <v>1462.01</v>
      </c>
      <c r="O59" t="s">
        <v>108</v>
      </c>
      <c r="P59">
        <v>45842</v>
      </c>
      <c r="R59" t="s">
        <v>32</v>
      </c>
      <c r="S59" t="e">
        <f>VLOOKUP(H59,TDS!$B$2:$C$70,2,0)</f>
        <v>#N/A</v>
      </c>
      <c r="T59" t="e">
        <f>VLOOKUP(H59,TDS!$B$2:$D$70,3,0)</f>
        <v>#N/A</v>
      </c>
    </row>
    <row r="60" spans="1:20" hidden="1" x14ac:dyDescent="0.35">
      <c r="A60">
        <v>100222362</v>
      </c>
      <c r="B60" t="s">
        <v>28</v>
      </c>
      <c r="C60" t="s">
        <v>29</v>
      </c>
      <c r="D60" t="s">
        <v>90</v>
      </c>
      <c r="E60" s="23">
        <v>45842</v>
      </c>
      <c r="F60" t="s">
        <v>63</v>
      </c>
      <c r="G60" t="s">
        <v>60</v>
      </c>
      <c r="H60" s="26">
        <v>256788410267</v>
      </c>
      <c r="I60" t="s">
        <v>33</v>
      </c>
      <c r="J60">
        <v>1800000391</v>
      </c>
      <c r="K60" t="s">
        <v>41</v>
      </c>
      <c r="L60" s="24">
        <v>9</v>
      </c>
      <c r="M60" s="24" t="s">
        <v>34</v>
      </c>
      <c r="N60" s="24">
        <v>774.01</v>
      </c>
      <c r="O60" t="s">
        <v>109</v>
      </c>
      <c r="P60">
        <v>45842</v>
      </c>
      <c r="Q60">
        <v>45976</v>
      </c>
      <c r="R60" t="s">
        <v>62</v>
      </c>
      <c r="S60" t="e">
        <f>VLOOKUP(H60,TDS!$B$2:$C$70,2,0)</f>
        <v>#N/A</v>
      </c>
      <c r="T60" t="e">
        <f>VLOOKUP(H60,TDS!$B$2:$D$70,3,0)</f>
        <v>#N/A</v>
      </c>
    </row>
    <row r="61" spans="1:20" hidden="1" x14ac:dyDescent="0.35">
      <c r="A61">
        <v>100222362</v>
      </c>
      <c r="B61" t="s">
        <v>28</v>
      </c>
      <c r="C61" t="s">
        <v>29</v>
      </c>
      <c r="D61" t="s">
        <v>55</v>
      </c>
      <c r="E61" s="23">
        <v>45966</v>
      </c>
      <c r="F61" t="s">
        <v>63</v>
      </c>
      <c r="G61" t="s">
        <v>60</v>
      </c>
      <c r="H61" s="26">
        <v>256788410441</v>
      </c>
      <c r="I61" t="s">
        <v>33</v>
      </c>
      <c r="J61">
        <v>1800000576</v>
      </c>
      <c r="K61" t="s">
        <v>41</v>
      </c>
      <c r="L61" s="24">
        <v>75</v>
      </c>
      <c r="M61" s="24" t="s">
        <v>34</v>
      </c>
      <c r="N61" s="24">
        <v>6600.25</v>
      </c>
      <c r="O61" t="s">
        <v>110</v>
      </c>
      <c r="P61">
        <v>45966</v>
      </c>
      <c r="R61" t="s">
        <v>32</v>
      </c>
      <c r="S61" t="e">
        <f>VLOOKUP(H61,TDS!$B$2:$C$70,2,0)</f>
        <v>#N/A</v>
      </c>
      <c r="T61" t="e">
        <f>VLOOKUP(H61,TDS!$B$2:$D$70,3,0)</f>
        <v>#N/A</v>
      </c>
    </row>
    <row r="62" spans="1:20" hidden="1" x14ac:dyDescent="0.35">
      <c r="A62">
        <v>100222362</v>
      </c>
      <c r="B62" t="s">
        <v>28</v>
      </c>
      <c r="C62" t="s">
        <v>29</v>
      </c>
      <c r="D62" t="s">
        <v>55</v>
      </c>
      <c r="E62" s="23">
        <v>45966</v>
      </c>
      <c r="F62" t="s">
        <v>63</v>
      </c>
      <c r="G62" t="s">
        <v>60</v>
      </c>
      <c r="H62" s="26">
        <v>256788410448</v>
      </c>
      <c r="I62" t="s">
        <v>33</v>
      </c>
      <c r="J62">
        <v>1800000587</v>
      </c>
      <c r="K62" t="s">
        <v>41</v>
      </c>
      <c r="L62" s="24">
        <v>70</v>
      </c>
      <c r="M62" s="24" t="s">
        <v>34</v>
      </c>
      <c r="N62" s="24">
        <v>6160.24</v>
      </c>
      <c r="O62" t="s">
        <v>111</v>
      </c>
      <c r="P62">
        <v>45966</v>
      </c>
      <c r="R62" t="s">
        <v>32</v>
      </c>
      <c r="S62" t="e">
        <f>VLOOKUP(H62,TDS!$B$2:$C$70,2,0)</f>
        <v>#N/A</v>
      </c>
      <c r="T62" t="e">
        <f>VLOOKUP(H62,TDS!$B$2:$D$70,3,0)</f>
        <v>#N/A</v>
      </c>
    </row>
    <row r="63" spans="1:20" hidden="1" x14ac:dyDescent="0.35">
      <c r="A63">
        <v>100222362</v>
      </c>
      <c r="B63" t="s">
        <v>28</v>
      </c>
      <c r="C63" t="s">
        <v>29</v>
      </c>
      <c r="D63" t="s">
        <v>55</v>
      </c>
      <c r="E63" s="23">
        <v>45966</v>
      </c>
      <c r="F63" t="s">
        <v>63</v>
      </c>
      <c r="G63" t="s">
        <v>60</v>
      </c>
      <c r="H63" s="26">
        <v>256788410449</v>
      </c>
      <c r="I63" t="s">
        <v>33</v>
      </c>
      <c r="J63">
        <v>1800000588</v>
      </c>
      <c r="K63" t="s">
        <v>41</v>
      </c>
      <c r="L63" s="24">
        <v>70</v>
      </c>
      <c r="M63" s="24" t="s">
        <v>34</v>
      </c>
      <c r="N63" s="24">
        <v>6160.24</v>
      </c>
      <c r="O63" t="s">
        <v>111</v>
      </c>
      <c r="P63">
        <v>45966</v>
      </c>
      <c r="R63" t="s">
        <v>32</v>
      </c>
      <c r="S63" t="e">
        <f>VLOOKUP(H63,TDS!$B$2:$C$70,2,0)</f>
        <v>#N/A</v>
      </c>
      <c r="T63" t="e">
        <f>VLOOKUP(H63,TDS!$B$2:$D$70,3,0)</f>
        <v>#N/A</v>
      </c>
    </row>
    <row r="64" spans="1:20" hidden="1" x14ac:dyDescent="0.35">
      <c r="A64">
        <v>100222362</v>
      </c>
      <c r="B64" t="s">
        <v>28</v>
      </c>
      <c r="C64" t="s">
        <v>29</v>
      </c>
      <c r="D64" t="s">
        <v>55</v>
      </c>
      <c r="E64" s="23">
        <v>45966</v>
      </c>
      <c r="F64" t="s">
        <v>63</v>
      </c>
      <c r="G64" t="s">
        <v>60</v>
      </c>
      <c r="H64" s="26">
        <v>256788410450</v>
      </c>
      <c r="I64" t="s">
        <v>33</v>
      </c>
      <c r="J64">
        <v>1800000589</v>
      </c>
      <c r="K64" t="s">
        <v>41</v>
      </c>
      <c r="L64" s="24">
        <v>70</v>
      </c>
      <c r="M64" s="24" t="s">
        <v>34</v>
      </c>
      <c r="N64" s="24">
        <v>6160.24</v>
      </c>
      <c r="O64" t="s">
        <v>111</v>
      </c>
      <c r="P64">
        <v>45966</v>
      </c>
      <c r="R64" t="s">
        <v>32</v>
      </c>
      <c r="S64" t="e">
        <f>VLOOKUP(H64,TDS!$B$2:$C$70,2,0)</f>
        <v>#N/A</v>
      </c>
      <c r="T64" t="e">
        <f>VLOOKUP(H64,TDS!$B$2:$D$70,3,0)</f>
        <v>#N/A</v>
      </c>
    </row>
    <row r="65" spans="1:20" hidden="1" x14ac:dyDescent="0.35">
      <c r="A65">
        <v>100222362</v>
      </c>
      <c r="B65" t="s">
        <v>28</v>
      </c>
      <c r="C65" t="s">
        <v>29</v>
      </c>
      <c r="D65" t="s">
        <v>55</v>
      </c>
      <c r="E65" s="23">
        <v>45966</v>
      </c>
      <c r="F65" t="s">
        <v>63</v>
      </c>
      <c r="G65" t="s">
        <v>60</v>
      </c>
      <c r="H65" s="26">
        <v>256788410451</v>
      </c>
      <c r="I65" t="s">
        <v>33</v>
      </c>
      <c r="J65">
        <v>1800000590</v>
      </c>
      <c r="K65" t="s">
        <v>41</v>
      </c>
      <c r="L65" s="24">
        <v>70</v>
      </c>
      <c r="M65" s="24" t="s">
        <v>34</v>
      </c>
      <c r="N65" s="24">
        <v>6160.24</v>
      </c>
      <c r="O65" t="s">
        <v>111</v>
      </c>
      <c r="P65">
        <v>45966</v>
      </c>
      <c r="R65" t="s">
        <v>32</v>
      </c>
      <c r="S65" t="e">
        <f>VLOOKUP(H65,TDS!$B$2:$C$70,2,0)</f>
        <v>#N/A</v>
      </c>
      <c r="T65" t="e">
        <f>VLOOKUP(H65,TDS!$B$2:$D$70,3,0)</f>
        <v>#N/A</v>
      </c>
    </row>
    <row r="66" spans="1:20" hidden="1" x14ac:dyDescent="0.35">
      <c r="A66">
        <v>100222362</v>
      </c>
      <c r="B66" t="s">
        <v>28</v>
      </c>
      <c r="C66" t="s">
        <v>29</v>
      </c>
      <c r="D66" t="s">
        <v>55</v>
      </c>
      <c r="E66" s="23">
        <v>45966</v>
      </c>
      <c r="F66" t="s">
        <v>63</v>
      </c>
      <c r="G66" t="s">
        <v>60</v>
      </c>
      <c r="H66" s="26">
        <v>256788410452</v>
      </c>
      <c r="I66" t="s">
        <v>33</v>
      </c>
      <c r="J66">
        <v>1800000591</v>
      </c>
      <c r="K66" t="s">
        <v>41</v>
      </c>
      <c r="L66" s="24">
        <v>65.31</v>
      </c>
      <c r="M66" s="24" t="s">
        <v>34</v>
      </c>
      <c r="N66" s="24">
        <v>5747.5</v>
      </c>
      <c r="O66" t="s">
        <v>112</v>
      </c>
      <c r="P66">
        <v>45966</v>
      </c>
      <c r="R66" t="s">
        <v>32</v>
      </c>
      <c r="S66" t="e">
        <f>VLOOKUP(H66,TDS!$B$2:$C$70,2,0)</f>
        <v>#N/A</v>
      </c>
      <c r="T66" t="e">
        <f>VLOOKUP(H66,TDS!$B$2:$D$70,3,0)</f>
        <v>#N/A</v>
      </c>
    </row>
    <row r="67" spans="1:20" hidden="1" x14ac:dyDescent="0.35">
      <c r="A67">
        <v>100222362</v>
      </c>
      <c r="B67" t="s">
        <v>28</v>
      </c>
      <c r="C67" t="s">
        <v>29</v>
      </c>
      <c r="D67" t="s">
        <v>55</v>
      </c>
      <c r="E67" s="23">
        <v>45966</v>
      </c>
      <c r="F67" t="s">
        <v>63</v>
      </c>
      <c r="G67" t="s">
        <v>60</v>
      </c>
      <c r="H67" s="26">
        <v>256788410453</v>
      </c>
      <c r="I67" t="s">
        <v>33</v>
      </c>
      <c r="J67">
        <v>1800000592</v>
      </c>
      <c r="K67" t="s">
        <v>41</v>
      </c>
      <c r="L67" s="24">
        <v>31.56</v>
      </c>
      <c r="M67" s="24" t="s">
        <v>34</v>
      </c>
      <c r="N67" s="24">
        <v>2777.39</v>
      </c>
      <c r="O67" t="s">
        <v>113</v>
      </c>
      <c r="P67">
        <v>45966</v>
      </c>
      <c r="R67" t="s">
        <v>32</v>
      </c>
      <c r="S67" t="e">
        <f>VLOOKUP(H67,TDS!$B$2:$C$70,2,0)</f>
        <v>#N/A</v>
      </c>
      <c r="T67" t="e">
        <f>VLOOKUP(H67,TDS!$B$2:$D$70,3,0)</f>
        <v>#N/A</v>
      </c>
    </row>
    <row r="68" spans="1:20" hidden="1" x14ac:dyDescent="0.35">
      <c r="A68">
        <v>100222362</v>
      </c>
      <c r="B68" t="s">
        <v>28</v>
      </c>
      <c r="C68" t="s">
        <v>29</v>
      </c>
      <c r="D68" t="s">
        <v>55</v>
      </c>
      <c r="E68" s="23">
        <v>45966</v>
      </c>
      <c r="F68" t="s">
        <v>63</v>
      </c>
      <c r="G68" t="s">
        <v>60</v>
      </c>
      <c r="H68" s="26">
        <v>256788410454</v>
      </c>
      <c r="I68" t="s">
        <v>33</v>
      </c>
      <c r="J68">
        <v>1800000585</v>
      </c>
      <c r="K68" t="s">
        <v>41</v>
      </c>
      <c r="L68" s="24">
        <v>4547.2</v>
      </c>
      <c r="M68" s="24" t="s">
        <v>34</v>
      </c>
      <c r="N68" s="24">
        <v>400169.02</v>
      </c>
      <c r="O68" t="s">
        <v>114</v>
      </c>
      <c r="P68">
        <v>45966</v>
      </c>
      <c r="R68" t="s">
        <v>32</v>
      </c>
      <c r="S68" t="e">
        <f>VLOOKUP(H68,TDS!$B$2:$C$70,2,0)</f>
        <v>#N/A</v>
      </c>
      <c r="T68" t="e">
        <f>VLOOKUP(H68,TDS!$B$2:$D$70,3,0)</f>
        <v>#N/A</v>
      </c>
    </row>
    <row r="69" spans="1:20" hidden="1" x14ac:dyDescent="0.35">
      <c r="A69">
        <v>100222362</v>
      </c>
      <c r="B69" t="s">
        <v>28</v>
      </c>
      <c r="C69" t="s">
        <v>29</v>
      </c>
      <c r="D69" t="s">
        <v>55</v>
      </c>
      <c r="E69" s="23">
        <v>45966</v>
      </c>
      <c r="F69" t="s">
        <v>63</v>
      </c>
      <c r="G69" t="s">
        <v>60</v>
      </c>
      <c r="H69" s="26">
        <v>256788410455</v>
      </c>
      <c r="I69" t="s">
        <v>33</v>
      </c>
      <c r="J69">
        <v>1800000593</v>
      </c>
      <c r="K69" t="s">
        <v>41</v>
      </c>
      <c r="L69" s="24">
        <v>338</v>
      </c>
      <c r="M69" s="24" t="s">
        <v>34</v>
      </c>
      <c r="N69" s="24">
        <v>29745.15</v>
      </c>
      <c r="O69" t="s">
        <v>115</v>
      </c>
      <c r="P69">
        <v>45966</v>
      </c>
      <c r="R69" t="s">
        <v>32</v>
      </c>
      <c r="S69" t="e">
        <f>VLOOKUP(H69,TDS!$B$2:$C$70,2,0)</f>
        <v>#N/A</v>
      </c>
      <c r="T69" t="e">
        <f>VLOOKUP(H69,TDS!$B$2:$D$70,3,0)</f>
        <v>#N/A</v>
      </c>
    </row>
    <row r="70" spans="1:20" hidden="1" x14ac:dyDescent="0.35">
      <c r="A70">
        <v>100222362</v>
      </c>
      <c r="B70" t="s">
        <v>28</v>
      </c>
      <c r="C70" t="s">
        <v>29</v>
      </c>
      <c r="D70" t="s">
        <v>55</v>
      </c>
      <c r="E70" s="23">
        <v>45966</v>
      </c>
      <c r="F70" t="s">
        <v>63</v>
      </c>
      <c r="G70" t="s">
        <v>60</v>
      </c>
      <c r="H70" s="26">
        <v>256788410457</v>
      </c>
      <c r="I70" t="s">
        <v>33</v>
      </c>
      <c r="J70">
        <v>1800000584</v>
      </c>
      <c r="K70" t="s">
        <v>41</v>
      </c>
      <c r="L70" s="24">
        <v>93</v>
      </c>
      <c r="M70" s="24" t="s">
        <v>34</v>
      </c>
      <c r="N70" s="24">
        <v>8184.32</v>
      </c>
      <c r="O70" t="s">
        <v>116</v>
      </c>
      <c r="P70">
        <v>45966</v>
      </c>
      <c r="R70" t="s">
        <v>32</v>
      </c>
      <c r="S70" t="e">
        <f>VLOOKUP(H70,TDS!$B$2:$C$70,2,0)</f>
        <v>#N/A</v>
      </c>
      <c r="T70" t="e">
        <f>VLOOKUP(H70,TDS!$B$2:$D$70,3,0)</f>
        <v>#N/A</v>
      </c>
    </row>
    <row r="71" spans="1:20" hidden="1" x14ac:dyDescent="0.35">
      <c r="A71">
        <v>100222362</v>
      </c>
      <c r="B71" t="s">
        <v>28</v>
      </c>
      <c r="C71" t="s">
        <v>29</v>
      </c>
      <c r="D71" t="s">
        <v>55</v>
      </c>
      <c r="E71" s="23">
        <v>45966</v>
      </c>
      <c r="F71" t="s">
        <v>63</v>
      </c>
      <c r="G71" t="s">
        <v>60</v>
      </c>
      <c r="H71" s="26">
        <v>256788410458</v>
      </c>
      <c r="I71" t="s">
        <v>33</v>
      </c>
      <c r="J71">
        <v>1800000586</v>
      </c>
      <c r="K71" t="s">
        <v>41</v>
      </c>
      <c r="L71" s="24">
        <v>103.89</v>
      </c>
      <c r="M71" s="24" t="s">
        <v>34</v>
      </c>
      <c r="N71" s="24">
        <v>9142.67</v>
      </c>
      <c r="O71" t="s">
        <v>117</v>
      </c>
      <c r="P71">
        <v>45966</v>
      </c>
      <c r="R71" t="s">
        <v>32</v>
      </c>
      <c r="S71" t="e">
        <f>VLOOKUP(H71,TDS!$B$2:$C$70,2,0)</f>
        <v>#N/A</v>
      </c>
      <c r="T71" t="e">
        <f>VLOOKUP(H71,TDS!$B$2:$D$70,3,0)</f>
        <v>#N/A</v>
      </c>
    </row>
    <row r="72" spans="1:20" hidden="1" x14ac:dyDescent="0.35">
      <c r="A72">
        <v>100222362</v>
      </c>
      <c r="B72" t="s">
        <v>28</v>
      </c>
      <c r="C72" t="s">
        <v>29</v>
      </c>
      <c r="D72" t="s">
        <v>43</v>
      </c>
      <c r="E72" s="23">
        <v>45877</v>
      </c>
      <c r="F72" t="s">
        <v>63</v>
      </c>
      <c r="G72" t="s">
        <v>60</v>
      </c>
      <c r="H72" s="26">
        <v>256788410332</v>
      </c>
      <c r="I72" t="s">
        <v>33</v>
      </c>
      <c r="J72">
        <v>1800000466</v>
      </c>
      <c r="K72" t="s">
        <v>41</v>
      </c>
      <c r="L72" s="24">
        <v>443.76</v>
      </c>
      <c r="M72" s="24" t="s">
        <v>34</v>
      </c>
      <c r="N72" s="24">
        <v>38176.730000000003</v>
      </c>
      <c r="O72" t="s">
        <v>103</v>
      </c>
      <c r="P72">
        <v>45877</v>
      </c>
      <c r="R72" t="s">
        <v>32</v>
      </c>
      <c r="S72" t="e">
        <f>VLOOKUP(H72,TDS!$B$2:$C$70,2,0)</f>
        <v>#N/A</v>
      </c>
      <c r="T72" t="e">
        <f>VLOOKUP(H72,TDS!$B$2:$D$70,3,0)</f>
        <v>#N/A</v>
      </c>
    </row>
    <row r="73" spans="1:20" hidden="1" x14ac:dyDescent="0.35">
      <c r="A73">
        <v>100222362</v>
      </c>
      <c r="B73" t="s">
        <v>28</v>
      </c>
      <c r="C73" t="s">
        <v>29</v>
      </c>
      <c r="D73" t="s">
        <v>43</v>
      </c>
      <c r="E73" s="23">
        <v>45877</v>
      </c>
      <c r="F73" t="s">
        <v>63</v>
      </c>
      <c r="G73" t="s">
        <v>60</v>
      </c>
      <c r="H73" s="26">
        <v>256788410335</v>
      </c>
      <c r="I73" t="s">
        <v>33</v>
      </c>
      <c r="J73">
        <v>1800000469</v>
      </c>
      <c r="K73" t="s">
        <v>41</v>
      </c>
      <c r="L73" s="24">
        <v>73.67</v>
      </c>
      <c r="M73" s="24" t="s">
        <v>34</v>
      </c>
      <c r="N73" s="24">
        <v>6337.84</v>
      </c>
      <c r="O73" t="s">
        <v>118</v>
      </c>
      <c r="P73">
        <v>45877</v>
      </c>
      <c r="R73" t="s">
        <v>32</v>
      </c>
      <c r="S73" t="e">
        <f>VLOOKUP(H73,TDS!$B$2:$C$70,2,0)</f>
        <v>#N/A</v>
      </c>
      <c r="T73" t="e">
        <f>VLOOKUP(H73,TDS!$B$2:$D$70,3,0)</f>
        <v>#N/A</v>
      </c>
    </row>
    <row r="74" spans="1:20" hidden="1" x14ac:dyDescent="0.35">
      <c r="A74">
        <v>100222362</v>
      </c>
      <c r="B74" t="s">
        <v>28</v>
      </c>
      <c r="C74" t="s">
        <v>29</v>
      </c>
      <c r="D74" t="s">
        <v>43</v>
      </c>
      <c r="E74" s="23">
        <v>45877</v>
      </c>
      <c r="F74" t="s">
        <v>63</v>
      </c>
      <c r="G74" t="s">
        <v>60</v>
      </c>
      <c r="H74" s="26">
        <v>256788410336</v>
      </c>
      <c r="I74" t="s">
        <v>33</v>
      </c>
      <c r="J74">
        <v>1800000470</v>
      </c>
      <c r="K74" t="s">
        <v>41</v>
      </c>
      <c r="L74" s="24">
        <v>11976.87</v>
      </c>
      <c r="M74" s="24" t="s">
        <v>34</v>
      </c>
      <c r="N74" s="24">
        <v>1030371.56</v>
      </c>
      <c r="O74" t="s">
        <v>119</v>
      </c>
      <c r="P74">
        <v>45877</v>
      </c>
      <c r="R74" t="s">
        <v>32</v>
      </c>
      <c r="S74" t="e">
        <f>VLOOKUP(H74,TDS!$B$2:$C$70,2,0)</f>
        <v>#N/A</v>
      </c>
      <c r="T74" t="e">
        <f>VLOOKUP(H74,TDS!$B$2:$D$70,3,0)</f>
        <v>#N/A</v>
      </c>
    </row>
    <row r="75" spans="1:20" hidden="1" x14ac:dyDescent="0.35">
      <c r="A75">
        <v>100222362</v>
      </c>
      <c r="B75" t="s">
        <v>28</v>
      </c>
      <c r="C75" t="s">
        <v>29</v>
      </c>
      <c r="D75" t="s">
        <v>43</v>
      </c>
      <c r="E75" s="23">
        <v>45877</v>
      </c>
      <c r="F75" t="s">
        <v>63</v>
      </c>
      <c r="G75" t="s">
        <v>60</v>
      </c>
      <c r="H75" s="26">
        <v>256788410338</v>
      </c>
      <c r="I75" t="s">
        <v>33</v>
      </c>
      <c r="J75">
        <v>1800000457</v>
      </c>
      <c r="K75" t="s">
        <v>41</v>
      </c>
      <c r="L75" s="24">
        <v>607.84</v>
      </c>
      <c r="M75" s="24" t="s">
        <v>34</v>
      </c>
      <c r="N75" s="24">
        <v>52292.55</v>
      </c>
      <c r="O75" t="s">
        <v>120</v>
      </c>
      <c r="P75">
        <v>45877</v>
      </c>
      <c r="R75" t="s">
        <v>32</v>
      </c>
      <c r="S75" t="e">
        <f>VLOOKUP(H75,TDS!$B$2:$C$70,2,0)</f>
        <v>#N/A</v>
      </c>
      <c r="T75" t="e">
        <f>VLOOKUP(H75,TDS!$B$2:$D$70,3,0)</f>
        <v>#N/A</v>
      </c>
    </row>
    <row r="76" spans="1:20" hidden="1" x14ac:dyDescent="0.35">
      <c r="A76">
        <v>100222362</v>
      </c>
      <c r="B76" t="s">
        <v>28</v>
      </c>
      <c r="C76" t="s">
        <v>29</v>
      </c>
      <c r="D76" t="s">
        <v>43</v>
      </c>
      <c r="E76" s="23">
        <v>45877</v>
      </c>
      <c r="F76" t="s">
        <v>63</v>
      </c>
      <c r="G76" t="s">
        <v>60</v>
      </c>
      <c r="H76" s="26">
        <v>256788410339</v>
      </c>
      <c r="I76" t="s">
        <v>33</v>
      </c>
      <c r="J76">
        <v>1800000458</v>
      </c>
      <c r="K76" t="s">
        <v>41</v>
      </c>
      <c r="L76" s="24">
        <v>400</v>
      </c>
      <c r="M76" s="24" t="s">
        <v>34</v>
      </c>
      <c r="N76" s="24">
        <v>34412.050000000003</v>
      </c>
      <c r="O76" t="s">
        <v>120</v>
      </c>
      <c r="P76">
        <v>45877</v>
      </c>
      <c r="R76" t="s">
        <v>32</v>
      </c>
      <c r="S76" t="e">
        <f>VLOOKUP(H76,TDS!$B$2:$C$70,2,0)</f>
        <v>#N/A</v>
      </c>
      <c r="T76" t="e">
        <f>VLOOKUP(H76,TDS!$B$2:$D$70,3,0)</f>
        <v>#N/A</v>
      </c>
    </row>
    <row r="77" spans="1:20" hidden="1" x14ac:dyDescent="0.35">
      <c r="A77">
        <v>100222362</v>
      </c>
      <c r="B77" t="s">
        <v>28</v>
      </c>
      <c r="C77" t="s">
        <v>29</v>
      </c>
      <c r="D77" t="s">
        <v>43</v>
      </c>
      <c r="E77" s="23">
        <v>45877</v>
      </c>
      <c r="F77" t="s">
        <v>63</v>
      </c>
      <c r="G77" t="s">
        <v>60</v>
      </c>
      <c r="H77" s="26">
        <v>256788410340</v>
      </c>
      <c r="I77" t="s">
        <v>33</v>
      </c>
      <c r="J77">
        <v>1800000459</v>
      </c>
      <c r="K77" t="s">
        <v>41</v>
      </c>
      <c r="L77" s="24">
        <v>90</v>
      </c>
      <c r="M77" s="24" t="s">
        <v>34</v>
      </c>
      <c r="N77" s="24">
        <v>7742.71</v>
      </c>
      <c r="O77" t="s">
        <v>121</v>
      </c>
      <c r="P77">
        <v>45877</v>
      </c>
      <c r="R77" t="s">
        <v>32</v>
      </c>
      <c r="S77" t="e">
        <f>VLOOKUP(H77,TDS!$B$2:$C$70,2,0)</f>
        <v>#N/A</v>
      </c>
      <c r="T77" t="e">
        <f>VLOOKUP(H77,TDS!$B$2:$D$70,3,0)</f>
        <v>#N/A</v>
      </c>
    </row>
    <row r="78" spans="1:20" hidden="1" x14ac:dyDescent="0.35">
      <c r="A78">
        <v>100222362</v>
      </c>
      <c r="B78" t="s">
        <v>28</v>
      </c>
      <c r="C78" t="s">
        <v>29</v>
      </c>
      <c r="D78" t="s">
        <v>43</v>
      </c>
      <c r="E78" s="23">
        <v>45877</v>
      </c>
      <c r="F78" t="s">
        <v>63</v>
      </c>
      <c r="G78" t="s">
        <v>60</v>
      </c>
      <c r="H78" s="26">
        <v>256788410341</v>
      </c>
      <c r="I78" t="s">
        <v>33</v>
      </c>
      <c r="J78">
        <v>1800000460</v>
      </c>
      <c r="K78" t="s">
        <v>41</v>
      </c>
      <c r="L78" s="24">
        <v>31.3</v>
      </c>
      <c r="M78" s="24" t="s">
        <v>34</v>
      </c>
      <c r="N78" s="24">
        <v>2692.74</v>
      </c>
      <c r="O78" t="s">
        <v>122</v>
      </c>
      <c r="P78">
        <v>45877</v>
      </c>
      <c r="R78" t="s">
        <v>32</v>
      </c>
      <c r="S78" t="e">
        <f>VLOOKUP(H78,TDS!$B$2:$C$70,2,0)</f>
        <v>#N/A</v>
      </c>
      <c r="T78" t="e">
        <f>VLOOKUP(H78,TDS!$B$2:$D$70,3,0)</f>
        <v>#N/A</v>
      </c>
    </row>
    <row r="79" spans="1:20" hidden="1" x14ac:dyDescent="0.35">
      <c r="A79">
        <v>100222362</v>
      </c>
      <c r="B79" t="s">
        <v>28</v>
      </c>
      <c r="C79" t="s">
        <v>29</v>
      </c>
      <c r="D79" t="s">
        <v>43</v>
      </c>
      <c r="E79" s="23">
        <v>45877</v>
      </c>
      <c r="F79" t="s">
        <v>63</v>
      </c>
      <c r="G79" t="s">
        <v>60</v>
      </c>
      <c r="H79" s="26">
        <v>256788410342</v>
      </c>
      <c r="I79" t="s">
        <v>33</v>
      </c>
      <c r="J79">
        <v>1800000461</v>
      </c>
      <c r="K79" t="s">
        <v>41</v>
      </c>
      <c r="L79" s="24">
        <v>2269.79</v>
      </c>
      <c r="M79" s="24" t="s">
        <v>34</v>
      </c>
      <c r="N79" s="24">
        <v>195270.31</v>
      </c>
      <c r="O79" t="s">
        <v>123</v>
      </c>
      <c r="P79">
        <v>45877</v>
      </c>
      <c r="R79" t="s">
        <v>32</v>
      </c>
      <c r="S79" t="e">
        <f>VLOOKUP(H79,TDS!$B$2:$C$70,2,0)</f>
        <v>#N/A</v>
      </c>
      <c r="T79" t="e">
        <f>VLOOKUP(H79,TDS!$B$2:$D$70,3,0)</f>
        <v>#N/A</v>
      </c>
    </row>
    <row r="80" spans="1:20" hidden="1" x14ac:dyDescent="0.35">
      <c r="A80">
        <v>100222362</v>
      </c>
      <c r="B80" t="s">
        <v>28</v>
      </c>
      <c r="C80" t="s">
        <v>29</v>
      </c>
      <c r="D80" t="s">
        <v>43</v>
      </c>
      <c r="E80" s="23">
        <v>45877</v>
      </c>
      <c r="F80" t="s">
        <v>63</v>
      </c>
      <c r="G80" t="s">
        <v>60</v>
      </c>
      <c r="H80" s="26">
        <v>256788410343</v>
      </c>
      <c r="I80" t="s">
        <v>33</v>
      </c>
      <c r="J80">
        <v>1800000462</v>
      </c>
      <c r="K80" t="s">
        <v>41</v>
      </c>
      <c r="L80" s="24">
        <v>18.52</v>
      </c>
      <c r="M80" s="24" t="s">
        <v>34</v>
      </c>
      <c r="N80" s="24">
        <v>1593.28</v>
      </c>
      <c r="O80" t="s">
        <v>124</v>
      </c>
      <c r="P80">
        <v>45877</v>
      </c>
      <c r="R80" t="s">
        <v>32</v>
      </c>
      <c r="S80" t="e">
        <f>VLOOKUP(H80,TDS!$B$2:$C$70,2,0)</f>
        <v>#N/A</v>
      </c>
      <c r="T80" t="e">
        <f>VLOOKUP(H80,TDS!$B$2:$D$70,3,0)</f>
        <v>#N/A</v>
      </c>
    </row>
    <row r="81" spans="1:20" hidden="1" x14ac:dyDescent="0.35">
      <c r="A81">
        <v>100222362</v>
      </c>
      <c r="B81" t="s">
        <v>28</v>
      </c>
      <c r="C81" t="s">
        <v>29</v>
      </c>
      <c r="D81" t="s">
        <v>43</v>
      </c>
      <c r="E81" s="23">
        <v>45877</v>
      </c>
      <c r="F81" t="s">
        <v>63</v>
      </c>
      <c r="G81" t="s">
        <v>60</v>
      </c>
      <c r="H81" s="26">
        <v>256788410346</v>
      </c>
      <c r="I81" t="s">
        <v>33</v>
      </c>
      <c r="J81">
        <v>1800000465</v>
      </c>
      <c r="K81" t="s">
        <v>41</v>
      </c>
      <c r="L81" s="24">
        <v>73.67</v>
      </c>
      <c r="M81" s="24" t="s">
        <v>34</v>
      </c>
      <c r="N81" s="24">
        <v>6337.84</v>
      </c>
      <c r="O81" t="s">
        <v>118</v>
      </c>
      <c r="P81">
        <v>45877</v>
      </c>
      <c r="R81" t="s">
        <v>32</v>
      </c>
      <c r="S81" t="e">
        <f>VLOOKUP(H81,TDS!$B$2:$C$70,2,0)</f>
        <v>#N/A</v>
      </c>
      <c r="T81" t="e">
        <f>VLOOKUP(H81,TDS!$B$2:$D$70,3,0)</f>
        <v>#N/A</v>
      </c>
    </row>
    <row r="82" spans="1:20" hidden="1" x14ac:dyDescent="0.35">
      <c r="A82">
        <v>100222362</v>
      </c>
      <c r="B82" t="s">
        <v>28</v>
      </c>
      <c r="C82" t="s">
        <v>29</v>
      </c>
      <c r="D82" t="s">
        <v>43</v>
      </c>
      <c r="E82" s="23">
        <v>45877</v>
      </c>
      <c r="F82" t="s">
        <v>63</v>
      </c>
      <c r="G82" t="s">
        <v>60</v>
      </c>
      <c r="H82" s="26">
        <v>256788410347</v>
      </c>
      <c r="I82" t="s">
        <v>33</v>
      </c>
      <c r="J82">
        <v>1800000472</v>
      </c>
      <c r="K82" t="s">
        <v>41</v>
      </c>
      <c r="L82" s="24">
        <v>393.73</v>
      </c>
      <c r="M82" s="24" t="s">
        <v>34</v>
      </c>
      <c r="N82" s="24">
        <v>33872.639999999999</v>
      </c>
      <c r="O82" t="s">
        <v>125</v>
      </c>
      <c r="P82">
        <v>45877</v>
      </c>
      <c r="R82" t="s">
        <v>32</v>
      </c>
      <c r="S82" t="e">
        <f>VLOOKUP(H82,TDS!$B$2:$C$70,2,0)</f>
        <v>#N/A</v>
      </c>
      <c r="T82" t="e">
        <f>VLOOKUP(H82,TDS!$B$2:$D$70,3,0)</f>
        <v>#N/A</v>
      </c>
    </row>
    <row r="83" spans="1:20" hidden="1" x14ac:dyDescent="0.35">
      <c r="A83">
        <v>100222362</v>
      </c>
      <c r="B83" t="s">
        <v>28</v>
      </c>
      <c r="C83" t="s">
        <v>29</v>
      </c>
      <c r="D83" t="s">
        <v>76</v>
      </c>
      <c r="E83" s="23">
        <v>45812</v>
      </c>
      <c r="F83" t="s">
        <v>63</v>
      </c>
      <c r="G83" t="s">
        <v>60</v>
      </c>
      <c r="H83" s="26">
        <v>256788410225</v>
      </c>
      <c r="I83" t="s">
        <v>33</v>
      </c>
      <c r="J83">
        <v>1800000350</v>
      </c>
      <c r="K83" t="s">
        <v>41</v>
      </c>
      <c r="L83" s="24">
        <v>111.13</v>
      </c>
      <c r="M83" s="24" t="s">
        <v>34</v>
      </c>
      <c r="N83" s="24">
        <v>9500.59</v>
      </c>
      <c r="O83" t="s">
        <v>126</v>
      </c>
      <c r="P83">
        <v>45812</v>
      </c>
      <c r="R83" t="s">
        <v>32</v>
      </c>
      <c r="S83" t="e">
        <f>VLOOKUP(H83,TDS!$B$2:$C$70,2,0)</f>
        <v>#N/A</v>
      </c>
      <c r="T83" t="e">
        <f>VLOOKUP(H83,TDS!$B$2:$D$70,3,0)</f>
        <v>#N/A</v>
      </c>
    </row>
    <row r="84" spans="1:20" hidden="1" x14ac:dyDescent="0.35">
      <c r="A84">
        <v>100222362</v>
      </c>
      <c r="B84" t="s">
        <v>28</v>
      </c>
      <c r="C84" t="s">
        <v>29</v>
      </c>
      <c r="D84" t="s">
        <v>76</v>
      </c>
      <c r="E84" s="23">
        <v>45812</v>
      </c>
      <c r="F84" t="s">
        <v>63</v>
      </c>
      <c r="G84" t="s">
        <v>60</v>
      </c>
      <c r="H84" s="26">
        <v>256788410226</v>
      </c>
      <c r="I84" t="s">
        <v>33</v>
      </c>
      <c r="J84">
        <v>1800000351</v>
      </c>
      <c r="K84" t="s">
        <v>41</v>
      </c>
      <c r="L84" s="24">
        <v>223.31</v>
      </c>
      <c r="M84" s="24" t="s">
        <v>34</v>
      </c>
      <c r="N84" s="24">
        <v>19090.95</v>
      </c>
      <c r="O84" t="s">
        <v>127</v>
      </c>
      <c r="P84">
        <v>45812</v>
      </c>
      <c r="R84" t="s">
        <v>32</v>
      </c>
      <c r="S84" t="e">
        <f>VLOOKUP(H84,TDS!$B$2:$C$70,2,0)</f>
        <v>#N/A</v>
      </c>
      <c r="T84" t="e">
        <f>VLOOKUP(H84,TDS!$B$2:$D$70,3,0)</f>
        <v>#N/A</v>
      </c>
    </row>
    <row r="85" spans="1:20" hidden="1" x14ac:dyDescent="0.35">
      <c r="A85">
        <v>100222362</v>
      </c>
      <c r="B85" t="s">
        <v>28</v>
      </c>
      <c r="C85" t="s">
        <v>29</v>
      </c>
      <c r="D85" t="s">
        <v>76</v>
      </c>
      <c r="E85" s="23">
        <v>45812</v>
      </c>
      <c r="F85" t="s">
        <v>63</v>
      </c>
      <c r="G85" t="s">
        <v>60</v>
      </c>
      <c r="H85" s="26">
        <v>256788410227</v>
      </c>
      <c r="I85" t="s">
        <v>33</v>
      </c>
      <c r="J85">
        <v>1800000352</v>
      </c>
      <c r="K85" t="s">
        <v>41</v>
      </c>
      <c r="L85" s="24">
        <v>27.61</v>
      </c>
      <c r="M85" s="24" t="s">
        <v>34</v>
      </c>
      <c r="N85" s="24">
        <v>2360.4</v>
      </c>
      <c r="O85" t="s">
        <v>128</v>
      </c>
      <c r="P85">
        <v>45812</v>
      </c>
      <c r="R85" t="s">
        <v>32</v>
      </c>
      <c r="S85" t="e">
        <f>VLOOKUP(H85,TDS!$B$2:$C$70,2,0)</f>
        <v>#N/A</v>
      </c>
      <c r="T85" t="e">
        <f>VLOOKUP(H85,TDS!$B$2:$D$70,3,0)</f>
        <v>#N/A</v>
      </c>
    </row>
    <row r="86" spans="1:20" hidden="1" x14ac:dyDescent="0.35">
      <c r="A86">
        <v>100222362</v>
      </c>
      <c r="B86" t="s">
        <v>28</v>
      </c>
      <c r="C86" t="s">
        <v>29</v>
      </c>
      <c r="D86" t="s">
        <v>80</v>
      </c>
      <c r="E86" s="23">
        <v>45793</v>
      </c>
      <c r="F86" t="s">
        <v>84</v>
      </c>
      <c r="G86" t="s">
        <v>60</v>
      </c>
      <c r="H86" s="26">
        <v>256788420001</v>
      </c>
      <c r="I86" t="s">
        <v>33</v>
      </c>
      <c r="J86">
        <v>1600000113</v>
      </c>
      <c r="K86" t="s">
        <v>41</v>
      </c>
      <c r="L86" s="24">
        <v>-75</v>
      </c>
      <c r="M86" s="24" t="s">
        <v>34</v>
      </c>
      <c r="N86" s="24">
        <v>-6448.78</v>
      </c>
      <c r="O86" t="s">
        <v>129</v>
      </c>
      <c r="P86">
        <v>45793</v>
      </c>
      <c r="Q86">
        <v>45976</v>
      </c>
      <c r="R86" t="s">
        <v>62</v>
      </c>
      <c r="S86" t="e">
        <f>VLOOKUP(H86,TDS!$B$2:$C$70,2,0)</f>
        <v>#N/A</v>
      </c>
      <c r="T86" t="e">
        <f>VLOOKUP(H86,TDS!$B$2:$D$70,3,0)</f>
        <v>#N/A</v>
      </c>
    </row>
    <row r="87" spans="1:20" hidden="1" x14ac:dyDescent="0.35">
      <c r="A87">
        <v>100222362</v>
      </c>
      <c r="B87" t="s">
        <v>28</v>
      </c>
      <c r="C87" t="s">
        <v>29</v>
      </c>
      <c r="D87" t="s">
        <v>80</v>
      </c>
      <c r="E87" s="23">
        <v>45793</v>
      </c>
      <c r="F87" t="s">
        <v>84</v>
      </c>
      <c r="G87" t="s">
        <v>60</v>
      </c>
      <c r="H87" s="26">
        <v>256788420005</v>
      </c>
      <c r="I87" t="s">
        <v>33</v>
      </c>
      <c r="J87">
        <v>1600000117</v>
      </c>
      <c r="K87" t="s">
        <v>41</v>
      </c>
      <c r="L87" s="24">
        <v>-75</v>
      </c>
      <c r="M87" s="24" t="s">
        <v>34</v>
      </c>
      <c r="N87" s="24">
        <v>-6448.78</v>
      </c>
      <c r="O87" t="s">
        <v>130</v>
      </c>
      <c r="P87">
        <v>45793</v>
      </c>
      <c r="Q87">
        <v>45976</v>
      </c>
      <c r="R87" t="s">
        <v>62</v>
      </c>
      <c r="S87" t="e">
        <f>VLOOKUP(H87,TDS!$B$2:$C$70,2,0)</f>
        <v>#N/A</v>
      </c>
      <c r="T87" t="e">
        <f>VLOOKUP(H87,TDS!$B$2:$D$70,3,0)</f>
        <v>#N/A</v>
      </c>
    </row>
    <row r="88" spans="1:20" x14ac:dyDescent="0.35">
      <c r="A88">
        <v>100222362</v>
      </c>
      <c r="B88" t="s">
        <v>28</v>
      </c>
      <c r="C88" t="s">
        <v>29</v>
      </c>
      <c r="D88" t="s">
        <v>38</v>
      </c>
      <c r="E88" s="23">
        <v>45705</v>
      </c>
      <c r="F88" t="s">
        <v>63</v>
      </c>
      <c r="G88" t="s">
        <v>40</v>
      </c>
      <c r="H88" s="26">
        <v>246788410001</v>
      </c>
      <c r="I88" t="s">
        <v>33</v>
      </c>
      <c r="J88">
        <v>1800000000</v>
      </c>
      <c r="K88" t="s">
        <v>41</v>
      </c>
      <c r="L88" s="24">
        <v>75</v>
      </c>
      <c r="M88" s="24" t="s">
        <v>34</v>
      </c>
      <c r="N88" s="24">
        <v>6472.77</v>
      </c>
      <c r="O88" t="s">
        <v>131</v>
      </c>
      <c r="P88">
        <v>45705</v>
      </c>
      <c r="Q88">
        <v>45707</v>
      </c>
      <c r="R88" t="s">
        <v>42</v>
      </c>
      <c r="S88">
        <f>VLOOKUP(H88,TDS!$B$2:$C$70,2,0)</f>
        <v>129</v>
      </c>
      <c r="T88" t="str">
        <f>VLOOKUP(H88,TDS!$B$2:$D$70,3,0)</f>
        <v>194C</v>
      </c>
    </row>
    <row r="89" spans="1:20" x14ac:dyDescent="0.35">
      <c r="A89">
        <v>100222362</v>
      </c>
      <c r="B89" t="s">
        <v>28</v>
      </c>
      <c r="C89" t="s">
        <v>29</v>
      </c>
      <c r="D89" t="s">
        <v>80</v>
      </c>
      <c r="E89" s="23">
        <v>45805</v>
      </c>
      <c r="F89" t="s">
        <v>63</v>
      </c>
      <c r="G89" t="s">
        <v>60</v>
      </c>
      <c r="H89" s="26">
        <v>256788410221</v>
      </c>
      <c r="I89" t="s">
        <v>33</v>
      </c>
      <c r="J89">
        <v>1800000346</v>
      </c>
      <c r="K89" t="s">
        <v>41</v>
      </c>
      <c r="L89" s="24">
        <v>10364.719999999999</v>
      </c>
      <c r="M89" s="24" t="s">
        <v>34</v>
      </c>
      <c r="N89" s="24">
        <v>891196.98</v>
      </c>
      <c r="O89" t="s">
        <v>132</v>
      </c>
      <c r="P89">
        <v>45805</v>
      </c>
      <c r="R89" t="s">
        <v>32</v>
      </c>
      <c r="S89">
        <f>VLOOKUP(H89,TDS!$B$2:$C$70,2,0)</f>
        <v>89120</v>
      </c>
      <c r="T89" t="str">
        <f>VLOOKUP(H89,TDS!$B$2:$D$70,3,0)</f>
        <v>194I</v>
      </c>
    </row>
    <row r="90" spans="1:20" x14ac:dyDescent="0.35">
      <c r="A90">
        <v>100222362</v>
      </c>
      <c r="B90" t="s">
        <v>28</v>
      </c>
      <c r="C90" t="s">
        <v>29</v>
      </c>
      <c r="D90" t="s">
        <v>90</v>
      </c>
      <c r="E90" s="23">
        <v>45856</v>
      </c>
      <c r="F90" t="s">
        <v>63</v>
      </c>
      <c r="G90" t="s">
        <v>60</v>
      </c>
      <c r="H90" s="26">
        <v>256788410265</v>
      </c>
      <c r="I90" t="s">
        <v>33</v>
      </c>
      <c r="J90">
        <v>1800000389</v>
      </c>
      <c r="K90" t="s">
        <v>41</v>
      </c>
      <c r="L90" s="24">
        <v>1510.02</v>
      </c>
      <c r="M90" s="24" t="s">
        <v>34</v>
      </c>
      <c r="N90" s="24">
        <v>129862.73</v>
      </c>
      <c r="O90" t="s">
        <v>133</v>
      </c>
      <c r="P90">
        <v>45856</v>
      </c>
      <c r="R90" t="s">
        <v>32</v>
      </c>
      <c r="S90">
        <f>VLOOKUP(H90,TDS!$B$2:$C$70,2,0)</f>
        <v>2597.25</v>
      </c>
      <c r="T90" t="str">
        <f>VLOOKUP(H90,TDS!$B$2:$D$70,3,0)</f>
        <v>194C</v>
      </c>
    </row>
    <row r="91" spans="1:20" hidden="1" x14ac:dyDescent="0.35">
      <c r="A91">
        <v>100222362</v>
      </c>
      <c r="B91" t="s">
        <v>28</v>
      </c>
      <c r="C91" t="s">
        <v>29</v>
      </c>
      <c r="D91" t="s">
        <v>56</v>
      </c>
      <c r="E91" s="23">
        <v>45729</v>
      </c>
      <c r="F91" t="s">
        <v>63</v>
      </c>
      <c r="G91" t="s">
        <v>60</v>
      </c>
      <c r="H91" s="26">
        <v>246788410059</v>
      </c>
      <c r="I91" t="s">
        <v>33</v>
      </c>
      <c r="J91">
        <v>1800000064</v>
      </c>
      <c r="K91" t="s">
        <v>41</v>
      </c>
      <c r="L91" s="24">
        <v>25.75</v>
      </c>
      <c r="M91" s="24" t="s">
        <v>34</v>
      </c>
      <c r="N91" s="24">
        <v>2232.3000000000002</v>
      </c>
      <c r="O91" t="s">
        <v>134</v>
      </c>
      <c r="P91">
        <v>45729</v>
      </c>
      <c r="R91" t="s">
        <v>32</v>
      </c>
      <c r="S91" t="e">
        <f>VLOOKUP(H91,TDS!$B$2:$C$70,2,0)</f>
        <v>#N/A</v>
      </c>
      <c r="T91" t="e">
        <f>VLOOKUP(H91,TDS!$B$2:$D$70,3,0)</f>
        <v>#N/A</v>
      </c>
    </row>
    <row r="92" spans="1:20" x14ac:dyDescent="0.35">
      <c r="A92">
        <v>100222362</v>
      </c>
      <c r="B92" t="s">
        <v>28</v>
      </c>
      <c r="C92" t="s">
        <v>29</v>
      </c>
      <c r="D92" t="s">
        <v>56</v>
      </c>
      <c r="E92" s="23">
        <v>45729</v>
      </c>
      <c r="F92" t="s">
        <v>63</v>
      </c>
      <c r="G92" t="s">
        <v>60</v>
      </c>
      <c r="H92" s="26">
        <v>246788410060</v>
      </c>
      <c r="I92" t="s">
        <v>33</v>
      </c>
      <c r="J92">
        <v>1800000065</v>
      </c>
      <c r="K92" t="s">
        <v>41</v>
      </c>
      <c r="L92" s="24">
        <v>37.200000000000003</v>
      </c>
      <c r="M92" s="24" t="s">
        <v>34</v>
      </c>
      <c r="N92" s="24">
        <v>3224.91</v>
      </c>
      <c r="O92" t="s">
        <v>134</v>
      </c>
      <c r="P92">
        <v>45729</v>
      </c>
      <c r="R92" t="s">
        <v>32</v>
      </c>
      <c r="S92">
        <f>VLOOKUP(H92,TDS!$B$2:$C$70,2,0)</f>
        <v>62</v>
      </c>
      <c r="T92" t="str">
        <f>VLOOKUP(H92,TDS!$B$2:$D$70,3,0)</f>
        <v>194C</v>
      </c>
    </row>
    <row r="93" spans="1:20" x14ac:dyDescent="0.35">
      <c r="A93">
        <v>100222362</v>
      </c>
      <c r="B93" t="s">
        <v>28</v>
      </c>
      <c r="C93" t="s">
        <v>29</v>
      </c>
      <c r="D93" t="s">
        <v>56</v>
      </c>
      <c r="E93" s="23">
        <v>45729</v>
      </c>
      <c r="F93" t="s">
        <v>63</v>
      </c>
      <c r="G93" t="s">
        <v>60</v>
      </c>
      <c r="H93" s="26">
        <v>246788410061</v>
      </c>
      <c r="I93" t="s">
        <v>33</v>
      </c>
      <c r="J93">
        <v>1800000066</v>
      </c>
      <c r="K93" t="s">
        <v>41</v>
      </c>
      <c r="L93" s="24">
        <v>26.23</v>
      </c>
      <c r="M93" s="24" t="s">
        <v>34</v>
      </c>
      <c r="N93" s="24">
        <v>2273.91</v>
      </c>
      <c r="O93" t="s">
        <v>134</v>
      </c>
      <c r="P93">
        <v>45729</v>
      </c>
      <c r="R93" t="s">
        <v>32</v>
      </c>
      <c r="S93">
        <f>VLOOKUP(H93,TDS!$B$2:$C$70,2,0)</f>
        <v>44</v>
      </c>
      <c r="T93" t="str">
        <f>VLOOKUP(H93,TDS!$B$2:$D$70,3,0)</f>
        <v>194C</v>
      </c>
    </row>
    <row r="94" spans="1:20" x14ac:dyDescent="0.35">
      <c r="A94">
        <v>100222362</v>
      </c>
      <c r="B94" t="s">
        <v>28</v>
      </c>
      <c r="C94" t="s">
        <v>29</v>
      </c>
      <c r="D94" t="s">
        <v>56</v>
      </c>
      <c r="E94" s="23">
        <v>45729</v>
      </c>
      <c r="F94" t="s">
        <v>63</v>
      </c>
      <c r="G94" t="s">
        <v>60</v>
      </c>
      <c r="H94" s="26">
        <v>246788410062</v>
      </c>
      <c r="I94" t="s">
        <v>33</v>
      </c>
      <c r="J94">
        <v>1800000067</v>
      </c>
      <c r="K94" t="s">
        <v>41</v>
      </c>
      <c r="L94" s="24">
        <v>26.23</v>
      </c>
      <c r="M94" s="24" t="s">
        <v>34</v>
      </c>
      <c r="N94" s="24">
        <v>2273.91</v>
      </c>
      <c r="O94" t="s">
        <v>134</v>
      </c>
      <c r="P94">
        <v>45729</v>
      </c>
      <c r="R94" t="s">
        <v>32</v>
      </c>
      <c r="S94">
        <f>VLOOKUP(H94,TDS!$B$2:$C$70,2,0)</f>
        <v>44</v>
      </c>
      <c r="T94" t="str">
        <f>VLOOKUP(H94,TDS!$B$2:$D$70,3,0)</f>
        <v>194C</v>
      </c>
    </row>
    <row r="95" spans="1:20" x14ac:dyDescent="0.35">
      <c r="A95">
        <v>100222362</v>
      </c>
      <c r="B95" t="s">
        <v>28</v>
      </c>
      <c r="C95" t="s">
        <v>29</v>
      </c>
      <c r="D95" t="s">
        <v>56</v>
      </c>
      <c r="E95" s="23">
        <v>45729</v>
      </c>
      <c r="F95" t="s">
        <v>63</v>
      </c>
      <c r="G95" t="s">
        <v>60</v>
      </c>
      <c r="H95" s="26">
        <v>246788410063</v>
      </c>
      <c r="I95" t="s">
        <v>33</v>
      </c>
      <c r="J95">
        <v>1800000068</v>
      </c>
      <c r="K95" t="s">
        <v>41</v>
      </c>
      <c r="L95" s="24">
        <v>23.85</v>
      </c>
      <c r="M95" s="24" t="s">
        <v>34</v>
      </c>
      <c r="N95" s="24">
        <v>2067.59</v>
      </c>
      <c r="O95" t="s">
        <v>134</v>
      </c>
      <c r="P95">
        <v>45729</v>
      </c>
      <c r="R95" t="s">
        <v>32</v>
      </c>
      <c r="S95">
        <f>VLOOKUP(H95,TDS!$B$2:$C$70,2,0)</f>
        <v>40</v>
      </c>
      <c r="T95" t="str">
        <f>VLOOKUP(H95,TDS!$B$2:$D$70,3,0)</f>
        <v>194C</v>
      </c>
    </row>
    <row r="96" spans="1:20" x14ac:dyDescent="0.35">
      <c r="A96">
        <v>100222362</v>
      </c>
      <c r="B96" t="s">
        <v>28</v>
      </c>
      <c r="C96" t="s">
        <v>29</v>
      </c>
      <c r="D96" t="s">
        <v>56</v>
      </c>
      <c r="E96" s="23">
        <v>45729</v>
      </c>
      <c r="F96" t="s">
        <v>63</v>
      </c>
      <c r="G96" t="s">
        <v>60</v>
      </c>
      <c r="H96" s="26">
        <v>246788410064</v>
      </c>
      <c r="I96" t="s">
        <v>33</v>
      </c>
      <c r="J96">
        <v>1800000069</v>
      </c>
      <c r="K96" t="s">
        <v>41</v>
      </c>
      <c r="L96" s="24">
        <v>23.87</v>
      </c>
      <c r="M96" s="24" t="s">
        <v>34</v>
      </c>
      <c r="N96" s="24">
        <v>2069.3200000000002</v>
      </c>
      <c r="O96" t="s">
        <v>135</v>
      </c>
      <c r="P96">
        <v>45729</v>
      </c>
      <c r="R96" t="s">
        <v>32</v>
      </c>
      <c r="S96">
        <f>VLOOKUP(H96,TDS!$B$2:$C$70,2,0)</f>
        <v>40</v>
      </c>
      <c r="T96" t="str">
        <f>VLOOKUP(H96,TDS!$B$2:$D$70,3,0)</f>
        <v>194C</v>
      </c>
    </row>
    <row r="97" spans="1:20" x14ac:dyDescent="0.35">
      <c r="A97">
        <v>100222362</v>
      </c>
      <c r="B97" t="s">
        <v>28</v>
      </c>
      <c r="C97" t="s">
        <v>29</v>
      </c>
      <c r="D97" t="s">
        <v>56</v>
      </c>
      <c r="E97" s="23">
        <v>45729</v>
      </c>
      <c r="F97" t="s">
        <v>63</v>
      </c>
      <c r="G97" t="s">
        <v>60</v>
      </c>
      <c r="H97" s="26">
        <v>246788410065</v>
      </c>
      <c r="I97" t="s">
        <v>33</v>
      </c>
      <c r="J97">
        <v>1800000070</v>
      </c>
      <c r="K97" t="s">
        <v>41</v>
      </c>
      <c r="L97" s="24">
        <v>23.63</v>
      </c>
      <c r="M97" s="24" t="s">
        <v>34</v>
      </c>
      <c r="N97" s="24">
        <v>2048.5100000000002</v>
      </c>
      <c r="O97" t="s">
        <v>135</v>
      </c>
      <c r="P97">
        <v>45729</v>
      </c>
      <c r="R97" t="s">
        <v>32</v>
      </c>
      <c r="S97">
        <f>VLOOKUP(H97,TDS!$B$2:$C$70,2,0)</f>
        <v>40</v>
      </c>
      <c r="T97" t="str">
        <f>VLOOKUP(H97,TDS!$B$2:$D$70,3,0)</f>
        <v>194C</v>
      </c>
    </row>
    <row r="98" spans="1:20" x14ac:dyDescent="0.35">
      <c r="A98">
        <v>100222362</v>
      </c>
      <c r="B98" t="s">
        <v>28</v>
      </c>
      <c r="C98" t="s">
        <v>29</v>
      </c>
      <c r="D98" t="s">
        <v>56</v>
      </c>
      <c r="E98" s="23">
        <v>45736</v>
      </c>
      <c r="F98" t="s">
        <v>63</v>
      </c>
      <c r="G98" t="s">
        <v>60</v>
      </c>
      <c r="H98" s="26">
        <v>246779414916</v>
      </c>
      <c r="I98" t="s">
        <v>33</v>
      </c>
      <c r="J98">
        <v>1800005048</v>
      </c>
      <c r="K98" t="s">
        <v>41</v>
      </c>
      <c r="L98" s="24">
        <v>7.26</v>
      </c>
      <c r="M98" s="24" t="s">
        <v>34</v>
      </c>
      <c r="N98" s="24">
        <v>629.38</v>
      </c>
      <c r="O98" t="s">
        <v>136</v>
      </c>
      <c r="P98">
        <v>45736</v>
      </c>
      <c r="R98" t="s">
        <v>32</v>
      </c>
      <c r="S98">
        <f>VLOOKUP(H98,TDS!$B$2:$C$70,2,0)</f>
        <v>13</v>
      </c>
      <c r="T98" t="str">
        <f>VLOOKUP(H98,TDS!$B$2:$D$70,3,0)</f>
        <v>194C</v>
      </c>
    </row>
    <row r="99" spans="1:20" x14ac:dyDescent="0.35">
      <c r="A99">
        <v>100222362</v>
      </c>
      <c r="B99" t="s">
        <v>28</v>
      </c>
      <c r="C99" t="s">
        <v>29</v>
      </c>
      <c r="D99" t="s">
        <v>56</v>
      </c>
      <c r="E99" s="23">
        <v>45736</v>
      </c>
      <c r="F99" t="s">
        <v>63</v>
      </c>
      <c r="G99" t="s">
        <v>60</v>
      </c>
      <c r="H99" s="26">
        <v>246779414917</v>
      </c>
      <c r="I99" t="s">
        <v>33</v>
      </c>
      <c r="J99">
        <v>1800005049</v>
      </c>
      <c r="K99" t="s">
        <v>41</v>
      </c>
      <c r="L99" s="24">
        <v>12</v>
      </c>
      <c r="M99" s="24" t="s">
        <v>34</v>
      </c>
      <c r="N99" s="24">
        <v>1040.3</v>
      </c>
      <c r="O99" t="s">
        <v>137</v>
      </c>
      <c r="P99">
        <v>45736</v>
      </c>
      <c r="R99" t="s">
        <v>32</v>
      </c>
      <c r="S99">
        <f>VLOOKUP(H99,TDS!$B$2:$C$70,2,0)</f>
        <v>21</v>
      </c>
      <c r="T99" t="str">
        <f>VLOOKUP(H99,TDS!$B$2:$D$70,3,0)</f>
        <v>194C</v>
      </c>
    </row>
    <row r="100" spans="1:20" x14ac:dyDescent="0.35">
      <c r="A100">
        <v>100222362</v>
      </c>
      <c r="B100" t="s">
        <v>28</v>
      </c>
      <c r="C100" t="s">
        <v>29</v>
      </c>
      <c r="D100" t="s">
        <v>38</v>
      </c>
      <c r="E100" s="23">
        <v>45708</v>
      </c>
      <c r="F100" t="s">
        <v>63</v>
      </c>
      <c r="G100" t="s">
        <v>60</v>
      </c>
      <c r="H100" s="26">
        <v>246788410019</v>
      </c>
      <c r="I100" t="s">
        <v>33</v>
      </c>
      <c r="J100">
        <v>1800000029</v>
      </c>
      <c r="K100" t="s">
        <v>41</v>
      </c>
      <c r="L100" s="24">
        <v>75</v>
      </c>
      <c r="M100" s="24" t="s">
        <v>34</v>
      </c>
      <c r="N100" s="24">
        <v>6472.77</v>
      </c>
      <c r="O100" t="s">
        <v>138</v>
      </c>
      <c r="P100">
        <v>45708</v>
      </c>
      <c r="R100" t="s">
        <v>32</v>
      </c>
      <c r="S100">
        <f>VLOOKUP(H100,TDS!$B$2:$C$70,2,0)</f>
        <v>638</v>
      </c>
      <c r="T100" t="str">
        <f>VLOOKUP(H100,TDS!$B$2:$D$70,3,0)</f>
        <v>194I</v>
      </c>
    </row>
    <row r="101" spans="1:20" x14ac:dyDescent="0.35">
      <c r="A101">
        <v>100222362</v>
      </c>
      <c r="B101" t="s">
        <v>28</v>
      </c>
      <c r="C101" t="s">
        <v>29</v>
      </c>
      <c r="D101" t="s">
        <v>38</v>
      </c>
      <c r="E101" s="23">
        <v>45708</v>
      </c>
      <c r="F101" t="s">
        <v>63</v>
      </c>
      <c r="G101" t="s">
        <v>60</v>
      </c>
      <c r="H101" s="26">
        <v>246788410021</v>
      </c>
      <c r="I101" t="s">
        <v>33</v>
      </c>
      <c r="J101">
        <v>1800000033</v>
      </c>
      <c r="K101" t="s">
        <v>41</v>
      </c>
      <c r="L101" s="24">
        <v>75</v>
      </c>
      <c r="M101" s="24" t="s">
        <v>34</v>
      </c>
      <c r="N101" s="24">
        <v>6472.77</v>
      </c>
      <c r="O101" t="s">
        <v>139</v>
      </c>
      <c r="P101">
        <v>45708</v>
      </c>
      <c r="R101" t="s">
        <v>32</v>
      </c>
      <c r="S101">
        <f>VLOOKUP(H101,TDS!$B$2:$C$70,2,0)</f>
        <v>638</v>
      </c>
      <c r="T101" t="str">
        <f>VLOOKUP(H101,TDS!$B$2:$D$70,3,0)</f>
        <v>194I</v>
      </c>
    </row>
    <row r="102" spans="1:20" hidden="1" x14ac:dyDescent="0.35">
      <c r="A102">
        <v>100222362</v>
      </c>
      <c r="B102" t="s">
        <v>28</v>
      </c>
      <c r="C102" t="s">
        <v>29</v>
      </c>
      <c r="D102" t="s">
        <v>43</v>
      </c>
      <c r="E102" s="23">
        <v>45889</v>
      </c>
      <c r="F102" t="s">
        <v>63</v>
      </c>
      <c r="G102" t="s">
        <v>60</v>
      </c>
      <c r="H102" s="26">
        <v>256788410348</v>
      </c>
      <c r="I102" t="s">
        <v>33</v>
      </c>
      <c r="J102">
        <v>1800000476</v>
      </c>
      <c r="K102" t="s">
        <v>41</v>
      </c>
      <c r="L102" s="24">
        <v>20.57</v>
      </c>
      <c r="M102" s="24" t="s">
        <v>34</v>
      </c>
      <c r="N102" s="24">
        <v>1769.64</v>
      </c>
      <c r="O102" t="s">
        <v>140</v>
      </c>
      <c r="P102">
        <v>45889</v>
      </c>
      <c r="R102" t="s">
        <v>32</v>
      </c>
      <c r="S102" t="e">
        <f>VLOOKUP(H102,TDS!$B$2:$C$70,2,0)</f>
        <v>#N/A</v>
      </c>
      <c r="T102" t="e">
        <f>VLOOKUP(H102,TDS!$B$2:$D$70,3,0)</f>
        <v>#N/A</v>
      </c>
    </row>
    <row r="103" spans="1:20" hidden="1" x14ac:dyDescent="0.35">
      <c r="A103">
        <v>100222362</v>
      </c>
      <c r="B103" t="s">
        <v>28</v>
      </c>
      <c r="C103" t="s">
        <v>29</v>
      </c>
      <c r="D103" t="s">
        <v>43</v>
      </c>
      <c r="E103" s="23">
        <v>45889</v>
      </c>
      <c r="F103" t="s">
        <v>63</v>
      </c>
      <c r="G103" t="s">
        <v>60</v>
      </c>
      <c r="H103" s="26">
        <v>256788410350</v>
      </c>
      <c r="I103" t="s">
        <v>33</v>
      </c>
      <c r="J103">
        <v>1800000473</v>
      </c>
      <c r="K103" t="s">
        <v>41</v>
      </c>
      <c r="L103" s="24">
        <v>141.91</v>
      </c>
      <c r="M103" s="24" t="s">
        <v>34</v>
      </c>
      <c r="N103" s="24">
        <v>12208.53</v>
      </c>
      <c r="O103" t="s">
        <v>141</v>
      </c>
      <c r="P103">
        <v>45889</v>
      </c>
      <c r="R103" t="s">
        <v>32</v>
      </c>
      <c r="S103" t="e">
        <f>VLOOKUP(H103,TDS!$B$2:$C$70,2,0)</f>
        <v>#N/A</v>
      </c>
      <c r="T103" t="e">
        <f>VLOOKUP(H103,TDS!$B$2:$D$70,3,0)</f>
        <v>#N/A</v>
      </c>
    </row>
    <row r="104" spans="1:20" hidden="1" x14ac:dyDescent="0.35">
      <c r="A104">
        <v>100222362</v>
      </c>
      <c r="B104" t="s">
        <v>28</v>
      </c>
      <c r="C104" t="s">
        <v>29</v>
      </c>
      <c r="D104" t="s">
        <v>43</v>
      </c>
      <c r="E104" s="23">
        <v>45889</v>
      </c>
      <c r="F104" t="s">
        <v>63</v>
      </c>
      <c r="G104" t="s">
        <v>60</v>
      </c>
      <c r="H104" s="26">
        <v>256788410352</v>
      </c>
      <c r="I104" t="s">
        <v>33</v>
      </c>
      <c r="J104">
        <v>1800000475</v>
      </c>
      <c r="K104" t="s">
        <v>41</v>
      </c>
      <c r="L104" s="24">
        <v>342.84</v>
      </c>
      <c r="M104" s="24" t="s">
        <v>34</v>
      </c>
      <c r="N104" s="24">
        <v>29494.57</v>
      </c>
      <c r="O104" t="s">
        <v>142</v>
      </c>
      <c r="P104">
        <v>45889</v>
      </c>
      <c r="R104" t="s">
        <v>32</v>
      </c>
      <c r="S104" t="e">
        <f>VLOOKUP(H104,TDS!$B$2:$C$70,2,0)</f>
        <v>#N/A</v>
      </c>
      <c r="T104" t="e">
        <f>VLOOKUP(H104,TDS!$B$2:$D$70,3,0)</f>
        <v>#N/A</v>
      </c>
    </row>
    <row r="105" spans="1:20" hidden="1" x14ac:dyDescent="0.35">
      <c r="A105">
        <v>100222362</v>
      </c>
      <c r="B105" t="s">
        <v>28</v>
      </c>
      <c r="C105" t="s">
        <v>29</v>
      </c>
      <c r="D105" t="s">
        <v>38</v>
      </c>
      <c r="E105" s="23">
        <v>45707</v>
      </c>
      <c r="F105" t="s">
        <v>84</v>
      </c>
      <c r="G105" t="s">
        <v>60</v>
      </c>
      <c r="H105" s="26">
        <v>246788420003</v>
      </c>
      <c r="I105" t="s">
        <v>33</v>
      </c>
      <c r="J105">
        <v>1600000004</v>
      </c>
      <c r="K105" t="s">
        <v>41</v>
      </c>
      <c r="L105" s="24">
        <v>-75</v>
      </c>
      <c r="M105" s="24" t="s">
        <v>34</v>
      </c>
      <c r="N105" s="24">
        <v>-6472.77</v>
      </c>
      <c r="O105" t="s">
        <v>143</v>
      </c>
      <c r="P105">
        <v>45707</v>
      </c>
      <c r="Q105">
        <v>45707</v>
      </c>
      <c r="R105" t="s">
        <v>42</v>
      </c>
      <c r="S105" t="e">
        <f>VLOOKUP(H105,TDS!$B$2:$C$70,2,0)</f>
        <v>#N/A</v>
      </c>
      <c r="T105" t="e">
        <f>VLOOKUP(H105,TDS!$B$2:$D$70,3,0)</f>
        <v>#N/A</v>
      </c>
    </row>
    <row r="106" spans="1:20" x14ac:dyDescent="0.35">
      <c r="A106">
        <v>100222362</v>
      </c>
      <c r="B106" t="s">
        <v>28</v>
      </c>
      <c r="C106" t="s">
        <v>29</v>
      </c>
      <c r="D106" t="s">
        <v>38</v>
      </c>
      <c r="E106" s="23">
        <v>45707</v>
      </c>
      <c r="F106" t="s">
        <v>63</v>
      </c>
      <c r="G106" t="s">
        <v>60</v>
      </c>
      <c r="H106" s="26">
        <v>246788410005</v>
      </c>
      <c r="I106" t="s">
        <v>33</v>
      </c>
      <c r="J106">
        <v>1800000006</v>
      </c>
      <c r="K106" t="s">
        <v>41</v>
      </c>
      <c r="L106" s="24">
        <v>75</v>
      </c>
      <c r="M106" s="24" t="s">
        <v>34</v>
      </c>
      <c r="N106" s="24">
        <v>6472.77</v>
      </c>
      <c r="O106" t="s">
        <v>131</v>
      </c>
      <c r="P106">
        <v>45707</v>
      </c>
      <c r="R106" t="s">
        <v>32</v>
      </c>
      <c r="S106">
        <f>VLOOKUP(H106,TDS!$B$2:$C$70,2,0)</f>
        <v>638</v>
      </c>
      <c r="T106" t="str">
        <f>VLOOKUP(H106,TDS!$B$2:$D$70,3,0)</f>
        <v>194I</v>
      </c>
    </row>
    <row r="107" spans="1:20" x14ac:dyDescent="0.35">
      <c r="A107">
        <v>100222362</v>
      </c>
      <c r="B107" t="s">
        <v>28</v>
      </c>
      <c r="C107" t="s">
        <v>29</v>
      </c>
      <c r="D107" t="s">
        <v>38</v>
      </c>
      <c r="E107" s="23">
        <v>45707</v>
      </c>
      <c r="F107" t="s">
        <v>63</v>
      </c>
      <c r="G107" t="s">
        <v>60</v>
      </c>
      <c r="H107" s="26">
        <v>246788410009</v>
      </c>
      <c r="I107" t="s">
        <v>33</v>
      </c>
      <c r="J107">
        <v>1800000022</v>
      </c>
      <c r="K107" t="s">
        <v>41</v>
      </c>
      <c r="L107" s="24">
        <v>75</v>
      </c>
      <c r="M107" s="24" t="s">
        <v>34</v>
      </c>
      <c r="N107" s="24">
        <v>6472.77</v>
      </c>
      <c r="O107" t="s">
        <v>144</v>
      </c>
      <c r="P107">
        <v>45707</v>
      </c>
      <c r="R107" t="s">
        <v>32</v>
      </c>
      <c r="S107">
        <f>VLOOKUP(H107,TDS!$B$2:$C$70,2,0)</f>
        <v>638</v>
      </c>
      <c r="T107" t="str">
        <f>VLOOKUP(H107,TDS!$B$2:$D$70,3,0)</f>
        <v>194I</v>
      </c>
    </row>
    <row r="108" spans="1:20" x14ac:dyDescent="0.35">
      <c r="A108">
        <v>100222362</v>
      </c>
      <c r="B108" t="s">
        <v>28</v>
      </c>
      <c r="C108" t="s">
        <v>29</v>
      </c>
      <c r="D108" t="s">
        <v>38</v>
      </c>
      <c r="E108" s="23">
        <v>45707</v>
      </c>
      <c r="F108" t="s">
        <v>63</v>
      </c>
      <c r="G108" t="s">
        <v>60</v>
      </c>
      <c r="H108" s="26">
        <v>246788410013</v>
      </c>
      <c r="I108" t="s">
        <v>33</v>
      </c>
      <c r="J108">
        <v>1800000018</v>
      </c>
      <c r="K108" t="s">
        <v>41</v>
      </c>
      <c r="L108" s="24">
        <v>75</v>
      </c>
      <c r="M108" s="24" t="s">
        <v>34</v>
      </c>
      <c r="N108" s="24">
        <v>6472.77</v>
      </c>
      <c r="O108" t="s">
        <v>145</v>
      </c>
      <c r="P108">
        <v>45707</v>
      </c>
      <c r="R108" t="s">
        <v>32</v>
      </c>
      <c r="S108">
        <f>VLOOKUP(H108,TDS!$B$2:$C$70,2,0)</f>
        <v>638</v>
      </c>
      <c r="T108" t="str">
        <f>VLOOKUP(H108,TDS!$B$2:$D$70,3,0)</f>
        <v>194I</v>
      </c>
    </row>
    <row r="109" spans="1:20" x14ac:dyDescent="0.35">
      <c r="A109">
        <v>100222362</v>
      </c>
      <c r="B109" t="s">
        <v>28</v>
      </c>
      <c r="C109" t="s">
        <v>29</v>
      </c>
      <c r="D109" t="s">
        <v>38</v>
      </c>
      <c r="E109" s="23">
        <v>45707</v>
      </c>
      <c r="F109" t="s">
        <v>63</v>
      </c>
      <c r="G109" t="s">
        <v>60</v>
      </c>
      <c r="H109" s="26">
        <v>246788410015</v>
      </c>
      <c r="I109" t="s">
        <v>33</v>
      </c>
      <c r="J109">
        <v>1800000010</v>
      </c>
      <c r="K109" t="s">
        <v>41</v>
      </c>
      <c r="L109" s="24">
        <v>75</v>
      </c>
      <c r="M109" s="24" t="s">
        <v>34</v>
      </c>
      <c r="N109" s="24">
        <v>6472.77</v>
      </c>
      <c r="O109" t="s">
        <v>146</v>
      </c>
      <c r="P109">
        <v>45707</v>
      </c>
      <c r="R109" t="s">
        <v>32</v>
      </c>
      <c r="S109">
        <f>VLOOKUP(H109,TDS!$B$2:$C$70,2,0)</f>
        <v>638</v>
      </c>
      <c r="T109" t="str">
        <f>VLOOKUP(H109,TDS!$B$2:$D$70,3,0)</f>
        <v>194I</v>
      </c>
    </row>
    <row r="110" spans="1:20" x14ac:dyDescent="0.35">
      <c r="A110">
        <v>100222362</v>
      </c>
      <c r="B110" t="s">
        <v>28</v>
      </c>
      <c r="C110" t="s">
        <v>29</v>
      </c>
      <c r="D110" t="s">
        <v>38</v>
      </c>
      <c r="E110" s="23">
        <v>45707</v>
      </c>
      <c r="F110" t="s">
        <v>63</v>
      </c>
      <c r="G110" t="s">
        <v>60</v>
      </c>
      <c r="H110" s="26">
        <v>246788410017</v>
      </c>
      <c r="I110" t="s">
        <v>33</v>
      </c>
      <c r="J110">
        <v>1800000012</v>
      </c>
      <c r="K110" t="s">
        <v>41</v>
      </c>
      <c r="L110" s="24">
        <v>75</v>
      </c>
      <c r="M110" s="24" t="s">
        <v>34</v>
      </c>
      <c r="N110" s="24">
        <v>6472.77</v>
      </c>
      <c r="O110" t="s">
        <v>147</v>
      </c>
      <c r="P110">
        <v>45707</v>
      </c>
      <c r="R110" t="s">
        <v>32</v>
      </c>
      <c r="S110">
        <f>VLOOKUP(H110,TDS!$B$2:$C$70,2,0)</f>
        <v>638</v>
      </c>
      <c r="T110" t="str">
        <f>VLOOKUP(H110,TDS!$B$2:$D$70,3,0)</f>
        <v>194I</v>
      </c>
    </row>
    <row r="111" spans="1:20" hidden="1" x14ac:dyDescent="0.35">
      <c r="A111">
        <v>100222362</v>
      </c>
      <c r="B111" t="s">
        <v>28</v>
      </c>
      <c r="C111" t="s">
        <v>29</v>
      </c>
      <c r="D111" t="s">
        <v>65</v>
      </c>
      <c r="E111" s="23">
        <v>45923</v>
      </c>
      <c r="F111" t="s">
        <v>84</v>
      </c>
      <c r="G111" t="s">
        <v>60</v>
      </c>
      <c r="H111" s="26">
        <v>256788420122</v>
      </c>
      <c r="I111" t="s">
        <v>33</v>
      </c>
      <c r="J111">
        <v>1600000242</v>
      </c>
      <c r="K111" t="s">
        <v>41</v>
      </c>
      <c r="L111" s="24">
        <v>-9</v>
      </c>
      <c r="M111" s="24" t="s">
        <v>34</v>
      </c>
      <c r="N111" s="24">
        <v>-774.01</v>
      </c>
      <c r="O111" t="s">
        <v>148</v>
      </c>
      <c r="P111">
        <v>45923</v>
      </c>
      <c r="Q111">
        <v>45976</v>
      </c>
      <c r="R111" t="s">
        <v>62</v>
      </c>
      <c r="S111" t="e">
        <f>VLOOKUP(H111,TDS!$B$2:$C$70,2,0)</f>
        <v>#N/A</v>
      </c>
      <c r="T111" t="e">
        <f>VLOOKUP(H111,TDS!$B$2:$D$70,3,0)</f>
        <v>#N/A</v>
      </c>
    </row>
    <row r="112" spans="1:20" hidden="1" x14ac:dyDescent="0.35">
      <c r="A112">
        <v>100222362</v>
      </c>
      <c r="B112" t="s">
        <v>28</v>
      </c>
      <c r="C112" t="s">
        <v>29</v>
      </c>
      <c r="D112" t="s">
        <v>55</v>
      </c>
      <c r="E112" s="23">
        <v>45973</v>
      </c>
      <c r="F112" t="s">
        <v>63</v>
      </c>
      <c r="G112" t="s">
        <v>60</v>
      </c>
      <c r="H112" s="26">
        <v>256788410459</v>
      </c>
      <c r="I112" t="s">
        <v>33</v>
      </c>
      <c r="J112">
        <v>1800000594</v>
      </c>
      <c r="K112" t="s">
        <v>41</v>
      </c>
      <c r="L112" s="24">
        <v>8006.66</v>
      </c>
      <c r="M112" s="24" t="s">
        <v>34</v>
      </c>
      <c r="N112" s="24">
        <v>704613.22</v>
      </c>
      <c r="O112" t="s">
        <v>114</v>
      </c>
      <c r="P112">
        <v>45973</v>
      </c>
      <c r="R112" t="s">
        <v>32</v>
      </c>
      <c r="S112" t="e">
        <f>VLOOKUP(H112,TDS!$B$2:$C$70,2,0)</f>
        <v>#N/A</v>
      </c>
      <c r="T112" t="e">
        <f>VLOOKUP(H112,TDS!$B$2:$D$70,3,0)</f>
        <v>#N/A</v>
      </c>
    </row>
    <row r="113" spans="1:20" hidden="1" x14ac:dyDescent="0.35">
      <c r="A113">
        <v>100222362</v>
      </c>
      <c r="B113" t="s">
        <v>28</v>
      </c>
      <c r="C113" t="s">
        <v>29</v>
      </c>
      <c r="D113" t="s">
        <v>55</v>
      </c>
      <c r="E113" s="23">
        <v>45973</v>
      </c>
      <c r="F113" t="s">
        <v>84</v>
      </c>
      <c r="G113" t="s">
        <v>60</v>
      </c>
      <c r="H113" s="26">
        <v>256788420147</v>
      </c>
      <c r="I113" t="s">
        <v>33</v>
      </c>
      <c r="J113">
        <v>1600000270</v>
      </c>
      <c r="K113" t="s">
        <v>41</v>
      </c>
      <c r="L113" s="24">
        <v>-4547.2</v>
      </c>
      <c r="M113" s="24" t="s">
        <v>34</v>
      </c>
      <c r="N113" s="24">
        <v>-400169.02</v>
      </c>
      <c r="O113" t="s">
        <v>149</v>
      </c>
      <c r="P113">
        <v>45973</v>
      </c>
      <c r="R113" t="s">
        <v>32</v>
      </c>
      <c r="S113" t="e">
        <f>VLOOKUP(H113,TDS!$B$2:$C$70,2,0)</f>
        <v>#N/A</v>
      </c>
      <c r="T113" t="e">
        <f>VLOOKUP(H113,TDS!$B$2:$D$70,3,0)</f>
        <v>#N/A</v>
      </c>
    </row>
    <row r="114" spans="1:20" hidden="1" x14ac:dyDescent="0.35">
      <c r="A114">
        <v>100222362</v>
      </c>
      <c r="B114" t="s">
        <v>28</v>
      </c>
      <c r="C114" t="s">
        <v>29</v>
      </c>
      <c r="D114" t="s">
        <v>76</v>
      </c>
      <c r="E114" s="23">
        <v>45821</v>
      </c>
      <c r="F114" t="s">
        <v>63</v>
      </c>
      <c r="G114" t="s">
        <v>60</v>
      </c>
      <c r="H114" s="26">
        <v>256779414346</v>
      </c>
      <c r="I114" t="s">
        <v>33</v>
      </c>
      <c r="J114">
        <v>1800009582</v>
      </c>
      <c r="K114" t="s">
        <v>41</v>
      </c>
      <c r="L114" s="24">
        <v>2322.04</v>
      </c>
      <c r="M114" s="24" t="s">
        <v>34</v>
      </c>
      <c r="N114" s="24">
        <v>198513.01</v>
      </c>
      <c r="O114" t="s">
        <v>150</v>
      </c>
      <c r="P114">
        <v>45821</v>
      </c>
      <c r="R114" t="s">
        <v>32</v>
      </c>
      <c r="S114" t="e">
        <f>VLOOKUP(H114,TDS!$B$2:$C$70,2,0)</f>
        <v>#N/A</v>
      </c>
      <c r="T114" t="e">
        <f>VLOOKUP(H114,TDS!$B$2:$D$70,3,0)</f>
        <v>#N/A</v>
      </c>
    </row>
    <row r="115" spans="1:20" hidden="1" x14ac:dyDescent="0.35">
      <c r="A115">
        <v>100222362</v>
      </c>
      <c r="B115" t="s">
        <v>28</v>
      </c>
      <c r="C115" t="s">
        <v>29</v>
      </c>
      <c r="D115" t="s">
        <v>80</v>
      </c>
      <c r="E115" s="23">
        <v>45797</v>
      </c>
      <c r="F115" t="s">
        <v>63</v>
      </c>
      <c r="G115" t="s">
        <v>60</v>
      </c>
      <c r="H115" s="26">
        <v>256788410220</v>
      </c>
      <c r="I115" t="s">
        <v>33</v>
      </c>
      <c r="J115">
        <v>1800000345</v>
      </c>
      <c r="K115" t="s">
        <v>41</v>
      </c>
      <c r="L115" s="24">
        <v>67.2</v>
      </c>
      <c r="M115" s="24" t="s">
        <v>34</v>
      </c>
      <c r="N115" s="24">
        <v>5778.1</v>
      </c>
      <c r="O115" t="s">
        <v>151</v>
      </c>
      <c r="P115">
        <v>45797</v>
      </c>
      <c r="R115" t="s">
        <v>32</v>
      </c>
      <c r="S115" t="e">
        <f>VLOOKUP(H115,TDS!$B$2:$C$70,2,0)</f>
        <v>#N/A</v>
      </c>
      <c r="T115" t="e">
        <f>VLOOKUP(H115,TDS!$B$2:$D$70,3,0)</f>
        <v>#N/A</v>
      </c>
    </row>
    <row r="116" spans="1:20" x14ac:dyDescent="0.35">
      <c r="A116">
        <v>100222362</v>
      </c>
      <c r="B116" t="s">
        <v>28</v>
      </c>
      <c r="C116" t="s">
        <v>29</v>
      </c>
      <c r="D116" t="s">
        <v>30</v>
      </c>
      <c r="E116" s="23">
        <v>45750</v>
      </c>
      <c r="F116" t="s">
        <v>63</v>
      </c>
      <c r="G116" t="s">
        <v>60</v>
      </c>
      <c r="H116" s="26">
        <v>256779410198</v>
      </c>
      <c r="I116" t="s">
        <v>33</v>
      </c>
      <c r="J116">
        <v>1800005306</v>
      </c>
      <c r="K116" t="s">
        <v>41</v>
      </c>
      <c r="L116" s="24">
        <v>3.45</v>
      </c>
      <c r="M116" s="24" t="s">
        <v>34</v>
      </c>
      <c r="N116" s="24">
        <v>299.88</v>
      </c>
      <c r="O116" t="s">
        <v>152</v>
      </c>
      <c r="P116">
        <v>45750</v>
      </c>
      <c r="R116" t="s">
        <v>32</v>
      </c>
      <c r="S116">
        <f>VLOOKUP(H116,TDS!$B$2:$C$70,2,0)</f>
        <v>6</v>
      </c>
      <c r="T116" t="str">
        <f>VLOOKUP(H116,TDS!$B$2:$D$70,3,0)</f>
        <v>194C</v>
      </c>
    </row>
    <row r="117" spans="1:20" hidden="1" x14ac:dyDescent="0.35">
      <c r="A117">
        <v>100222362</v>
      </c>
      <c r="B117" t="s">
        <v>28</v>
      </c>
      <c r="C117" t="s">
        <v>29</v>
      </c>
      <c r="D117" t="s">
        <v>47</v>
      </c>
      <c r="E117" s="23">
        <v>45950</v>
      </c>
      <c r="F117" t="s">
        <v>63</v>
      </c>
      <c r="G117" t="s">
        <v>60</v>
      </c>
      <c r="H117" s="26">
        <v>256788410435</v>
      </c>
      <c r="I117" t="s">
        <v>33</v>
      </c>
      <c r="J117">
        <v>1800000558</v>
      </c>
      <c r="K117" t="s">
        <v>41</v>
      </c>
      <c r="L117" s="24">
        <v>38</v>
      </c>
      <c r="M117" s="24" t="s">
        <v>34</v>
      </c>
      <c r="N117" s="24">
        <v>3351.25</v>
      </c>
      <c r="O117" t="s">
        <v>153</v>
      </c>
      <c r="P117">
        <v>45950</v>
      </c>
      <c r="R117" t="s">
        <v>32</v>
      </c>
      <c r="S117" t="e">
        <f>VLOOKUP(H117,TDS!$B$2:$C$70,2,0)</f>
        <v>#N/A</v>
      </c>
      <c r="T117" t="e">
        <f>VLOOKUP(H117,TDS!$B$2:$D$70,3,0)</f>
        <v>#N/A</v>
      </c>
    </row>
    <row r="118" spans="1:20" hidden="1" x14ac:dyDescent="0.35">
      <c r="A118">
        <v>100222362</v>
      </c>
      <c r="B118" t="s">
        <v>28</v>
      </c>
      <c r="C118" t="s">
        <v>29</v>
      </c>
      <c r="D118" t="s">
        <v>47</v>
      </c>
      <c r="E118" s="23">
        <v>45950</v>
      </c>
      <c r="F118" t="s">
        <v>63</v>
      </c>
      <c r="G118" t="s">
        <v>60</v>
      </c>
      <c r="H118" s="26">
        <v>256788410437</v>
      </c>
      <c r="I118" t="s">
        <v>33</v>
      </c>
      <c r="J118">
        <v>1800000560</v>
      </c>
      <c r="K118" t="s">
        <v>41</v>
      </c>
      <c r="L118" s="24">
        <v>346.14</v>
      </c>
      <c r="M118" s="24" t="s">
        <v>34</v>
      </c>
      <c r="N118" s="24">
        <v>30526.35</v>
      </c>
      <c r="O118" t="s">
        <v>154</v>
      </c>
      <c r="P118">
        <v>45950</v>
      </c>
      <c r="R118" t="s">
        <v>32</v>
      </c>
      <c r="S118" t="e">
        <f>VLOOKUP(H118,TDS!$B$2:$C$70,2,0)</f>
        <v>#N/A</v>
      </c>
      <c r="T118" t="e">
        <f>VLOOKUP(H118,TDS!$B$2:$D$70,3,0)</f>
        <v>#N/A</v>
      </c>
    </row>
    <row r="119" spans="1:20" x14ac:dyDescent="0.35">
      <c r="A119">
        <v>100222362</v>
      </c>
      <c r="B119" t="s">
        <v>28</v>
      </c>
      <c r="C119" t="s">
        <v>29</v>
      </c>
      <c r="D119" t="s">
        <v>30</v>
      </c>
      <c r="E119" s="23">
        <v>45749</v>
      </c>
      <c r="F119" t="s">
        <v>63</v>
      </c>
      <c r="G119" t="s">
        <v>60</v>
      </c>
      <c r="H119" s="26">
        <v>256788410001</v>
      </c>
      <c r="I119" t="s">
        <v>33</v>
      </c>
      <c r="J119">
        <v>1800000126</v>
      </c>
      <c r="K119" t="s">
        <v>41</v>
      </c>
      <c r="L119" s="24">
        <v>10887.57</v>
      </c>
      <c r="M119" s="24" t="s">
        <v>34</v>
      </c>
      <c r="N119" s="24">
        <v>946367.4</v>
      </c>
      <c r="O119" t="s">
        <v>155</v>
      </c>
      <c r="P119">
        <v>45749</v>
      </c>
      <c r="R119" t="s">
        <v>32</v>
      </c>
      <c r="S119">
        <f>VLOOKUP(H119,TDS!$B$2:$C$70,2,0)</f>
        <v>94637</v>
      </c>
      <c r="T119" t="str">
        <f>VLOOKUP(H119,TDS!$B$2:$D$70,3,0)</f>
        <v>194I</v>
      </c>
    </row>
    <row r="120" spans="1:20" x14ac:dyDescent="0.35">
      <c r="A120">
        <v>100222362</v>
      </c>
      <c r="B120" t="s">
        <v>28</v>
      </c>
      <c r="C120" t="s">
        <v>29</v>
      </c>
      <c r="D120" t="s">
        <v>30</v>
      </c>
      <c r="E120" s="23">
        <v>45749</v>
      </c>
      <c r="F120" t="s">
        <v>63</v>
      </c>
      <c r="G120" t="s">
        <v>60</v>
      </c>
      <c r="H120" s="26">
        <v>256788410002</v>
      </c>
      <c r="I120" t="s">
        <v>33</v>
      </c>
      <c r="J120">
        <v>1800000127</v>
      </c>
      <c r="K120" t="s">
        <v>41</v>
      </c>
      <c r="L120" s="24">
        <v>9928.89</v>
      </c>
      <c r="M120" s="24" t="s">
        <v>34</v>
      </c>
      <c r="N120" s="24">
        <v>863037.19</v>
      </c>
      <c r="O120" t="s">
        <v>156</v>
      </c>
      <c r="P120">
        <v>45749</v>
      </c>
      <c r="R120" t="s">
        <v>32</v>
      </c>
      <c r="S120">
        <f>VLOOKUP(H120,TDS!$B$2:$C$70,2,0)</f>
        <v>86304</v>
      </c>
      <c r="T120" t="str">
        <f>VLOOKUP(H120,TDS!$B$2:$D$70,3,0)</f>
        <v>194I</v>
      </c>
    </row>
    <row r="121" spans="1:20" hidden="1" x14ac:dyDescent="0.35">
      <c r="A121">
        <v>100222362</v>
      </c>
      <c r="B121" t="s">
        <v>28</v>
      </c>
      <c r="C121" t="s">
        <v>29</v>
      </c>
      <c r="D121" t="s">
        <v>30</v>
      </c>
      <c r="E121" s="23">
        <v>45749</v>
      </c>
      <c r="F121" t="s">
        <v>63</v>
      </c>
      <c r="G121" t="s">
        <v>60</v>
      </c>
      <c r="H121" s="26">
        <v>256788410003</v>
      </c>
      <c r="I121" t="s">
        <v>33</v>
      </c>
      <c r="J121">
        <v>1800000128</v>
      </c>
      <c r="K121" t="s">
        <v>41</v>
      </c>
      <c r="L121" s="24">
        <v>4.5</v>
      </c>
      <c r="M121" s="24" t="s">
        <v>34</v>
      </c>
      <c r="N121" s="24">
        <v>391.15</v>
      </c>
      <c r="O121" t="s">
        <v>157</v>
      </c>
      <c r="P121">
        <v>45749</v>
      </c>
      <c r="R121" t="s">
        <v>32</v>
      </c>
      <c r="S121" t="e">
        <f>VLOOKUP(H121,TDS!$B$2:$C$70,2,0)</f>
        <v>#N/A</v>
      </c>
      <c r="T121" t="e">
        <f>VLOOKUP(H121,TDS!$B$2:$D$70,3,0)</f>
        <v>#N/A</v>
      </c>
    </row>
    <row r="122" spans="1:20" x14ac:dyDescent="0.35">
      <c r="A122">
        <v>100222362</v>
      </c>
      <c r="B122" t="s">
        <v>28</v>
      </c>
      <c r="C122" t="s">
        <v>29</v>
      </c>
      <c r="D122" t="s">
        <v>30</v>
      </c>
      <c r="E122" s="23">
        <v>45749</v>
      </c>
      <c r="F122" t="s">
        <v>63</v>
      </c>
      <c r="G122" t="s">
        <v>60</v>
      </c>
      <c r="H122" s="26">
        <v>256788410004</v>
      </c>
      <c r="I122" t="s">
        <v>33</v>
      </c>
      <c r="J122">
        <v>1800000129</v>
      </c>
      <c r="K122" t="s">
        <v>41</v>
      </c>
      <c r="L122" s="24">
        <v>2786.28</v>
      </c>
      <c r="M122" s="24" t="s">
        <v>34</v>
      </c>
      <c r="N122" s="24">
        <v>242188.53</v>
      </c>
      <c r="O122" t="s">
        <v>158</v>
      </c>
      <c r="P122">
        <v>45749</v>
      </c>
      <c r="R122" t="s">
        <v>32</v>
      </c>
      <c r="S122">
        <f>VLOOKUP(H122,TDS!$B$2:$C$70,2,0)</f>
        <v>24219</v>
      </c>
      <c r="T122" t="str">
        <f>VLOOKUP(H122,TDS!$B$2:$D$70,3,0)</f>
        <v>194I</v>
      </c>
    </row>
    <row r="123" spans="1:20" x14ac:dyDescent="0.35">
      <c r="A123">
        <v>100222362</v>
      </c>
      <c r="B123" t="s">
        <v>28</v>
      </c>
      <c r="C123" t="s">
        <v>29</v>
      </c>
      <c r="D123" t="s">
        <v>30</v>
      </c>
      <c r="E123" s="23">
        <v>45749</v>
      </c>
      <c r="F123" t="s">
        <v>63</v>
      </c>
      <c r="G123" t="s">
        <v>60</v>
      </c>
      <c r="H123" s="26">
        <v>256788410009</v>
      </c>
      <c r="I123" t="s">
        <v>33</v>
      </c>
      <c r="J123">
        <v>1800000134</v>
      </c>
      <c r="K123" t="s">
        <v>41</v>
      </c>
      <c r="L123" s="24">
        <v>2934.66</v>
      </c>
      <c r="M123" s="24" t="s">
        <v>34</v>
      </c>
      <c r="N123" s="24">
        <v>255085.99</v>
      </c>
      <c r="O123" t="s">
        <v>159</v>
      </c>
      <c r="P123">
        <v>45749</v>
      </c>
      <c r="R123" t="s">
        <v>32</v>
      </c>
      <c r="S123">
        <f>VLOOKUP(H123,TDS!$B$2:$C$70,2,0)</f>
        <v>25509</v>
      </c>
      <c r="T123" t="str">
        <f>VLOOKUP(H123,TDS!$B$2:$D$70,3,0)</f>
        <v>194I</v>
      </c>
    </row>
    <row r="124" spans="1:20" x14ac:dyDescent="0.35">
      <c r="A124">
        <v>100222362</v>
      </c>
      <c r="B124" t="s">
        <v>28</v>
      </c>
      <c r="C124" t="s">
        <v>29</v>
      </c>
      <c r="D124" t="s">
        <v>30</v>
      </c>
      <c r="E124" s="23">
        <v>45749</v>
      </c>
      <c r="F124" t="s">
        <v>63</v>
      </c>
      <c r="G124" t="s">
        <v>60</v>
      </c>
      <c r="H124" s="26">
        <v>256788410013</v>
      </c>
      <c r="I124" t="s">
        <v>33</v>
      </c>
      <c r="J124">
        <v>1800000138</v>
      </c>
      <c r="K124" t="s">
        <v>41</v>
      </c>
      <c r="L124" s="24">
        <v>2935.55</v>
      </c>
      <c r="M124" s="24" t="s">
        <v>34</v>
      </c>
      <c r="N124" s="24">
        <v>255163.35</v>
      </c>
      <c r="O124" t="s">
        <v>160</v>
      </c>
      <c r="P124">
        <v>45749</v>
      </c>
      <c r="R124" t="s">
        <v>32</v>
      </c>
      <c r="S124">
        <f>VLOOKUP(H124,TDS!$B$2:$C$70,2,0)</f>
        <v>25516</v>
      </c>
      <c r="T124" t="str">
        <f>VLOOKUP(H124,TDS!$B$2:$D$70,3,0)</f>
        <v>194I</v>
      </c>
    </row>
    <row r="125" spans="1:20" x14ac:dyDescent="0.35">
      <c r="A125">
        <v>100222362</v>
      </c>
      <c r="B125" t="s">
        <v>28</v>
      </c>
      <c r="C125" t="s">
        <v>29</v>
      </c>
      <c r="D125" t="s">
        <v>30</v>
      </c>
      <c r="E125" s="23">
        <v>45749</v>
      </c>
      <c r="F125" t="s">
        <v>63</v>
      </c>
      <c r="G125" t="s">
        <v>60</v>
      </c>
      <c r="H125" s="26">
        <v>256788410016</v>
      </c>
      <c r="I125" t="s">
        <v>33</v>
      </c>
      <c r="J125">
        <v>1800000141</v>
      </c>
      <c r="K125" t="s">
        <v>41</v>
      </c>
      <c r="L125" s="24">
        <v>3979.2</v>
      </c>
      <c r="M125" s="24" t="s">
        <v>34</v>
      </c>
      <c r="N125" s="24">
        <v>345879.31</v>
      </c>
      <c r="O125" t="s">
        <v>161</v>
      </c>
      <c r="P125">
        <v>45749</v>
      </c>
      <c r="R125" t="s">
        <v>32</v>
      </c>
      <c r="S125">
        <f>VLOOKUP(H125,TDS!$B$2:$C$70,2,0)</f>
        <v>34588</v>
      </c>
      <c r="T125" t="str">
        <f>VLOOKUP(H125,TDS!$B$2:$D$70,3,0)</f>
        <v>194I</v>
      </c>
    </row>
    <row r="126" spans="1:20" hidden="1" x14ac:dyDescent="0.35">
      <c r="A126">
        <v>100222362</v>
      </c>
      <c r="B126" t="s">
        <v>28</v>
      </c>
      <c r="C126" t="s">
        <v>29</v>
      </c>
      <c r="D126" t="s">
        <v>30</v>
      </c>
      <c r="E126" s="23">
        <v>45749</v>
      </c>
      <c r="F126" t="s">
        <v>63</v>
      </c>
      <c r="G126" t="s">
        <v>60</v>
      </c>
      <c r="H126" s="26">
        <v>256788410019</v>
      </c>
      <c r="I126" t="s">
        <v>33</v>
      </c>
      <c r="J126">
        <v>1800000144</v>
      </c>
      <c r="K126" t="s">
        <v>41</v>
      </c>
      <c r="L126" s="24">
        <v>75</v>
      </c>
      <c r="M126" s="24" t="s">
        <v>34</v>
      </c>
      <c r="N126" s="24">
        <v>6519.14</v>
      </c>
      <c r="O126" t="s">
        <v>138</v>
      </c>
      <c r="P126">
        <v>45749</v>
      </c>
      <c r="Q126">
        <v>45976</v>
      </c>
      <c r="R126" t="s">
        <v>62</v>
      </c>
      <c r="S126" t="e">
        <f>VLOOKUP(H126,TDS!$B$2:$C$70,2,0)</f>
        <v>#N/A</v>
      </c>
      <c r="T126" t="e">
        <f>VLOOKUP(H126,TDS!$B$2:$D$70,3,0)</f>
        <v>#N/A</v>
      </c>
    </row>
    <row r="127" spans="1:20" hidden="1" x14ac:dyDescent="0.35">
      <c r="A127">
        <v>100222362</v>
      </c>
      <c r="B127" t="s">
        <v>28</v>
      </c>
      <c r="C127" t="s">
        <v>29</v>
      </c>
      <c r="D127" t="s">
        <v>30</v>
      </c>
      <c r="E127" s="23">
        <v>45749</v>
      </c>
      <c r="F127" t="s">
        <v>63</v>
      </c>
      <c r="G127" t="s">
        <v>60</v>
      </c>
      <c r="H127" s="26">
        <v>256788410023</v>
      </c>
      <c r="I127" t="s">
        <v>33</v>
      </c>
      <c r="J127">
        <v>1800000148</v>
      </c>
      <c r="K127" t="s">
        <v>41</v>
      </c>
      <c r="L127" s="24">
        <v>75</v>
      </c>
      <c r="M127" s="24" t="s">
        <v>34</v>
      </c>
      <c r="N127" s="24">
        <v>6519.14</v>
      </c>
      <c r="O127" t="s">
        <v>139</v>
      </c>
      <c r="P127">
        <v>45749</v>
      </c>
      <c r="Q127">
        <v>45976</v>
      </c>
      <c r="R127" t="s">
        <v>62</v>
      </c>
      <c r="S127" t="e">
        <f>VLOOKUP(H127,TDS!$B$2:$C$70,2,0)</f>
        <v>#N/A</v>
      </c>
      <c r="T127" t="e">
        <f>VLOOKUP(H127,TDS!$B$2:$D$70,3,0)</f>
        <v>#N/A</v>
      </c>
    </row>
    <row r="128" spans="1:20" hidden="1" x14ac:dyDescent="0.35">
      <c r="A128">
        <v>100222362</v>
      </c>
      <c r="B128" t="s">
        <v>28</v>
      </c>
      <c r="C128" t="s">
        <v>29</v>
      </c>
      <c r="D128" t="s">
        <v>162</v>
      </c>
      <c r="E128" s="23">
        <v>45995</v>
      </c>
      <c r="F128" t="s">
        <v>63</v>
      </c>
      <c r="G128" t="s">
        <v>60</v>
      </c>
      <c r="H128" s="26">
        <v>256788410465</v>
      </c>
      <c r="I128" t="s">
        <v>33</v>
      </c>
      <c r="J128">
        <v>1800000608</v>
      </c>
      <c r="K128" t="s">
        <v>41</v>
      </c>
      <c r="L128" s="24">
        <v>3385.09</v>
      </c>
      <c r="M128" s="24" t="s">
        <v>34</v>
      </c>
      <c r="N128" s="24">
        <v>300257.96000000002</v>
      </c>
      <c r="O128" t="s">
        <v>163</v>
      </c>
      <c r="P128">
        <v>45995</v>
      </c>
      <c r="R128" t="s">
        <v>32</v>
      </c>
      <c r="S128" t="e">
        <f>VLOOKUP(H128,TDS!$B$2:$C$70,2,0)</f>
        <v>#N/A</v>
      </c>
      <c r="T128" t="e">
        <f>VLOOKUP(H128,TDS!$B$2:$D$70,3,0)</f>
        <v>#N/A</v>
      </c>
    </row>
    <row r="129" spans="1:20" hidden="1" x14ac:dyDescent="0.35">
      <c r="A129">
        <v>100222362</v>
      </c>
      <c r="B129" t="s">
        <v>28</v>
      </c>
      <c r="C129" t="s">
        <v>29</v>
      </c>
      <c r="D129" t="s">
        <v>162</v>
      </c>
      <c r="E129" s="23">
        <v>45995</v>
      </c>
      <c r="F129" t="s">
        <v>63</v>
      </c>
      <c r="G129" t="s">
        <v>60</v>
      </c>
      <c r="H129" s="26">
        <v>256788410466</v>
      </c>
      <c r="I129" t="s">
        <v>33</v>
      </c>
      <c r="J129">
        <v>1800000609</v>
      </c>
      <c r="K129" t="s">
        <v>41</v>
      </c>
      <c r="L129" s="24">
        <v>75</v>
      </c>
      <c r="M129" s="24" t="s">
        <v>34</v>
      </c>
      <c r="N129" s="24">
        <v>6652.51</v>
      </c>
      <c r="O129" t="s">
        <v>164</v>
      </c>
      <c r="P129">
        <v>45995</v>
      </c>
      <c r="R129" t="s">
        <v>32</v>
      </c>
      <c r="S129" t="e">
        <f>VLOOKUP(H129,TDS!$B$2:$C$70,2,0)</f>
        <v>#N/A</v>
      </c>
      <c r="T129" t="e">
        <f>VLOOKUP(H129,TDS!$B$2:$D$70,3,0)</f>
        <v>#N/A</v>
      </c>
    </row>
    <row r="130" spans="1:20" x14ac:dyDescent="0.35">
      <c r="A130">
        <v>100222362</v>
      </c>
      <c r="B130" t="s">
        <v>28</v>
      </c>
      <c r="C130" t="s">
        <v>29</v>
      </c>
      <c r="D130" t="s">
        <v>56</v>
      </c>
      <c r="E130" s="23">
        <v>45734</v>
      </c>
      <c r="F130" t="s">
        <v>63</v>
      </c>
      <c r="G130" t="s">
        <v>60</v>
      </c>
      <c r="H130" s="26">
        <v>246788410079</v>
      </c>
      <c r="I130" t="s">
        <v>33</v>
      </c>
      <c r="J130">
        <v>1800000084</v>
      </c>
      <c r="K130" t="s">
        <v>41</v>
      </c>
      <c r="L130" s="24">
        <v>75</v>
      </c>
      <c r="M130" s="24" t="s">
        <v>34</v>
      </c>
      <c r="N130" s="24">
        <v>6501.84</v>
      </c>
      <c r="O130" t="s">
        <v>165</v>
      </c>
      <c r="P130">
        <v>45734</v>
      </c>
      <c r="R130" t="s">
        <v>32</v>
      </c>
      <c r="S130">
        <f>VLOOKUP(H130,TDS!$B$2:$C$70,2,0)</f>
        <v>541</v>
      </c>
      <c r="T130" t="str">
        <f>VLOOKUP(H130,TDS!$B$2:$D$70,3,0)</f>
        <v>194I</v>
      </c>
    </row>
    <row r="131" spans="1:20" hidden="1" x14ac:dyDescent="0.35">
      <c r="A131">
        <v>100222362</v>
      </c>
      <c r="B131" t="s">
        <v>28</v>
      </c>
      <c r="C131" t="s">
        <v>29</v>
      </c>
      <c r="D131" t="s">
        <v>56</v>
      </c>
      <c r="E131" s="23">
        <v>45734</v>
      </c>
      <c r="F131" t="s">
        <v>63</v>
      </c>
      <c r="G131" t="s">
        <v>60</v>
      </c>
      <c r="H131" s="26">
        <v>246788410081</v>
      </c>
      <c r="I131" t="s">
        <v>33</v>
      </c>
      <c r="J131">
        <v>1800000086</v>
      </c>
      <c r="K131" t="s">
        <v>41</v>
      </c>
      <c r="L131" s="24">
        <v>2</v>
      </c>
      <c r="M131" s="24" t="s">
        <v>34</v>
      </c>
      <c r="N131" s="24">
        <v>173.38</v>
      </c>
      <c r="O131" t="s">
        <v>166</v>
      </c>
      <c r="P131">
        <v>45734</v>
      </c>
      <c r="R131" t="s">
        <v>32</v>
      </c>
      <c r="S131" t="e">
        <f>VLOOKUP(H131,TDS!$B$2:$C$70,2,0)</f>
        <v>#N/A</v>
      </c>
      <c r="T131" t="e">
        <f>VLOOKUP(H131,TDS!$B$2:$D$70,3,0)</f>
        <v>#N/A</v>
      </c>
    </row>
    <row r="132" spans="1:20" hidden="1" x14ac:dyDescent="0.35">
      <c r="A132">
        <v>100222362</v>
      </c>
      <c r="B132" t="s">
        <v>28</v>
      </c>
      <c r="C132" t="s">
        <v>29</v>
      </c>
      <c r="D132" t="s">
        <v>56</v>
      </c>
      <c r="E132" s="23">
        <v>45734</v>
      </c>
      <c r="F132" t="s">
        <v>63</v>
      </c>
      <c r="G132" t="s">
        <v>60</v>
      </c>
      <c r="H132" s="26">
        <v>246788410082</v>
      </c>
      <c r="I132" t="s">
        <v>33</v>
      </c>
      <c r="J132">
        <v>1800000087</v>
      </c>
      <c r="K132" t="s">
        <v>41</v>
      </c>
      <c r="L132" s="24">
        <v>40</v>
      </c>
      <c r="M132" s="24" t="s">
        <v>34</v>
      </c>
      <c r="N132" s="24">
        <v>3467.65</v>
      </c>
      <c r="O132" t="s">
        <v>166</v>
      </c>
      <c r="P132">
        <v>45734</v>
      </c>
      <c r="R132" t="s">
        <v>32</v>
      </c>
      <c r="S132" t="e">
        <f>VLOOKUP(H132,TDS!$B$2:$C$70,2,0)</f>
        <v>#N/A</v>
      </c>
      <c r="T132" t="e">
        <f>VLOOKUP(H132,TDS!$B$2:$D$70,3,0)</f>
        <v>#N/A</v>
      </c>
    </row>
    <row r="133" spans="1:20" x14ac:dyDescent="0.35">
      <c r="A133">
        <v>100222362</v>
      </c>
      <c r="B133" t="s">
        <v>28</v>
      </c>
      <c r="C133" t="s">
        <v>29</v>
      </c>
      <c r="D133" t="s">
        <v>56</v>
      </c>
      <c r="E133" s="23">
        <v>45734</v>
      </c>
      <c r="F133" t="s">
        <v>63</v>
      </c>
      <c r="G133" t="s">
        <v>60</v>
      </c>
      <c r="H133" s="26">
        <v>246788410085</v>
      </c>
      <c r="I133" t="s">
        <v>33</v>
      </c>
      <c r="J133">
        <v>1800000090</v>
      </c>
      <c r="K133" t="s">
        <v>41</v>
      </c>
      <c r="L133" s="24">
        <v>1324</v>
      </c>
      <c r="M133" s="24" t="s">
        <v>34</v>
      </c>
      <c r="N133" s="24">
        <v>114779.23</v>
      </c>
      <c r="O133" t="s">
        <v>167</v>
      </c>
      <c r="P133">
        <v>45734</v>
      </c>
      <c r="R133" t="s">
        <v>32</v>
      </c>
      <c r="S133">
        <f>VLOOKUP(H133,TDS!$B$2:$C$70,2,0)</f>
        <v>2296</v>
      </c>
      <c r="T133" t="str">
        <f>VLOOKUP(H133,TDS!$B$2:$D$70,3,0)</f>
        <v>194C</v>
      </c>
    </row>
    <row r="134" spans="1:20" hidden="1" x14ac:dyDescent="0.35">
      <c r="A134">
        <v>100222362</v>
      </c>
      <c r="B134" t="s">
        <v>28</v>
      </c>
      <c r="C134" t="s">
        <v>29</v>
      </c>
      <c r="D134" t="s">
        <v>56</v>
      </c>
      <c r="E134" s="23">
        <v>45734</v>
      </c>
      <c r="F134" t="s">
        <v>63</v>
      </c>
      <c r="G134" t="s">
        <v>60</v>
      </c>
      <c r="H134" s="26">
        <v>246788410086</v>
      </c>
      <c r="I134" t="s">
        <v>33</v>
      </c>
      <c r="J134">
        <v>1800000091</v>
      </c>
      <c r="K134" t="s">
        <v>41</v>
      </c>
      <c r="L134" s="24">
        <v>0.5</v>
      </c>
      <c r="M134" s="24" t="s">
        <v>34</v>
      </c>
      <c r="N134" s="24">
        <v>43.35</v>
      </c>
      <c r="O134" t="s">
        <v>168</v>
      </c>
      <c r="P134">
        <v>45734</v>
      </c>
      <c r="R134" t="s">
        <v>32</v>
      </c>
      <c r="S134" t="e">
        <f>VLOOKUP(H134,TDS!$B$2:$C$70,2,0)</f>
        <v>#N/A</v>
      </c>
      <c r="T134" t="e">
        <f>VLOOKUP(H134,TDS!$B$2:$D$70,3,0)</f>
        <v>#N/A</v>
      </c>
    </row>
    <row r="135" spans="1:20" hidden="1" x14ac:dyDescent="0.35">
      <c r="A135">
        <v>100222362</v>
      </c>
      <c r="B135" t="s">
        <v>28</v>
      </c>
      <c r="C135" t="s">
        <v>29</v>
      </c>
      <c r="D135" t="s">
        <v>56</v>
      </c>
      <c r="E135" s="23">
        <v>45734</v>
      </c>
      <c r="F135" t="s">
        <v>63</v>
      </c>
      <c r="G135" t="s">
        <v>60</v>
      </c>
      <c r="H135" s="26">
        <v>246788410088</v>
      </c>
      <c r="I135" t="s">
        <v>33</v>
      </c>
      <c r="J135">
        <v>1800000096</v>
      </c>
      <c r="K135" t="s">
        <v>41</v>
      </c>
      <c r="L135" s="24">
        <v>10</v>
      </c>
      <c r="M135" s="24" t="s">
        <v>34</v>
      </c>
      <c r="N135" s="24">
        <v>866.91</v>
      </c>
      <c r="O135" t="s">
        <v>169</v>
      </c>
      <c r="P135">
        <v>45734</v>
      </c>
      <c r="R135" t="s">
        <v>32</v>
      </c>
      <c r="S135" t="e">
        <f>VLOOKUP(H135,TDS!$B$2:$C$70,2,0)</f>
        <v>#N/A</v>
      </c>
      <c r="T135" t="e">
        <f>VLOOKUP(H135,TDS!$B$2:$D$70,3,0)</f>
        <v>#N/A</v>
      </c>
    </row>
    <row r="136" spans="1:20" hidden="1" x14ac:dyDescent="0.35">
      <c r="A136">
        <v>100222362</v>
      </c>
      <c r="B136" t="s">
        <v>28</v>
      </c>
      <c r="C136" t="s">
        <v>29</v>
      </c>
      <c r="D136" t="s">
        <v>56</v>
      </c>
      <c r="E136" s="23">
        <v>45734</v>
      </c>
      <c r="F136" t="s">
        <v>63</v>
      </c>
      <c r="G136" t="s">
        <v>60</v>
      </c>
      <c r="H136" s="26">
        <v>246788410089</v>
      </c>
      <c r="I136" t="s">
        <v>33</v>
      </c>
      <c r="J136">
        <v>1800000097</v>
      </c>
      <c r="K136" t="s">
        <v>41</v>
      </c>
      <c r="L136" s="24">
        <v>0.63</v>
      </c>
      <c r="M136" s="24" t="s">
        <v>34</v>
      </c>
      <c r="N136" s="24">
        <v>54.62</v>
      </c>
      <c r="O136" t="s">
        <v>170</v>
      </c>
      <c r="P136">
        <v>45734</v>
      </c>
      <c r="R136" t="s">
        <v>32</v>
      </c>
      <c r="S136" t="e">
        <f>VLOOKUP(H136,TDS!$B$2:$C$70,2,0)</f>
        <v>#N/A</v>
      </c>
      <c r="T136" t="e">
        <f>VLOOKUP(H136,TDS!$B$2:$D$70,3,0)</f>
        <v>#N/A</v>
      </c>
    </row>
    <row r="137" spans="1:20" hidden="1" x14ac:dyDescent="0.35">
      <c r="A137">
        <v>100222362</v>
      </c>
      <c r="B137" t="s">
        <v>28</v>
      </c>
      <c r="C137" t="s">
        <v>29</v>
      </c>
      <c r="D137" t="s">
        <v>56</v>
      </c>
      <c r="E137" s="23">
        <v>45734</v>
      </c>
      <c r="F137" t="s">
        <v>63</v>
      </c>
      <c r="G137" t="s">
        <v>60</v>
      </c>
      <c r="H137" s="26">
        <v>246788410091</v>
      </c>
      <c r="I137" t="s">
        <v>33</v>
      </c>
      <c r="J137">
        <v>1800000093</v>
      </c>
      <c r="K137" t="s">
        <v>41</v>
      </c>
      <c r="L137" s="24">
        <v>31.2</v>
      </c>
      <c r="M137" s="24" t="s">
        <v>34</v>
      </c>
      <c r="N137" s="24">
        <v>2704.77</v>
      </c>
      <c r="O137" t="s">
        <v>171</v>
      </c>
      <c r="P137">
        <v>45734</v>
      </c>
      <c r="R137" t="s">
        <v>32</v>
      </c>
      <c r="S137" t="e">
        <f>VLOOKUP(H137,TDS!$B$2:$C$70,2,0)</f>
        <v>#N/A</v>
      </c>
      <c r="T137" t="e">
        <f>VLOOKUP(H137,TDS!$B$2:$D$70,3,0)</f>
        <v>#N/A</v>
      </c>
    </row>
    <row r="138" spans="1:20" hidden="1" x14ac:dyDescent="0.35">
      <c r="A138">
        <v>100222362</v>
      </c>
      <c r="B138" t="s">
        <v>28</v>
      </c>
      <c r="C138" t="s">
        <v>29</v>
      </c>
      <c r="D138" t="s">
        <v>56</v>
      </c>
      <c r="E138" s="23">
        <v>45734</v>
      </c>
      <c r="F138" t="s">
        <v>63</v>
      </c>
      <c r="G138" t="s">
        <v>60</v>
      </c>
      <c r="H138" s="26">
        <v>246788410092</v>
      </c>
      <c r="I138" t="s">
        <v>33</v>
      </c>
      <c r="J138">
        <v>1800000094</v>
      </c>
      <c r="K138" t="s">
        <v>41</v>
      </c>
      <c r="L138" s="24">
        <v>1.9</v>
      </c>
      <c r="M138" s="24" t="s">
        <v>34</v>
      </c>
      <c r="N138" s="24">
        <v>164.71</v>
      </c>
      <c r="O138" t="s">
        <v>172</v>
      </c>
      <c r="P138">
        <v>45734</v>
      </c>
      <c r="R138" t="s">
        <v>32</v>
      </c>
      <c r="S138" t="e">
        <f>VLOOKUP(H138,TDS!$B$2:$C$70,2,0)</f>
        <v>#N/A</v>
      </c>
      <c r="T138" t="e">
        <f>VLOOKUP(H138,TDS!$B$2:$D$70,3,0)</f>
        <v>#N/A</v>
      </c>
    </row>
    <row r="139" spans="1:20" hidden="1" x14ac:dyDescent="0.35">
      <c r="A139">
        <v>100222362</v>
      </c>
      <c r="B139" t="s">
        <v>28</v>
      </c>
      <c r="C139" t="s">
        <v>29</v>
      </c>
      <c r="D139" t="s">
        <v>56</v>
      </c>
      <c r="E139" s="23">
        <v>45734</v>
      </c>
      <c r="F139" t="s">
        <v>63</v>
      </c>
      <c r="G139" t="s">
        <v>60</v>
      </c>
      <c r="H139" s="26">
        <v>246788410093</v>
      </c>
      <c r="I139" t="s">
        <v>33</v>
      </c>
      <c r="J139">
        <v>1800000098</v>
      </c>
      <c r="K139" t="s">
        <v>41</v>
      </c>
      <c r="L139" s="24">
        <v>14</v>
      </c>
      <c r="M139" s="24" t="s">
        <v>34</v>
      </c>
      <c r="N139" s="24">
        <v>1213.68</v>
      </c>
      <c r="O139" t="s">
        <v>173</v>
      </c>
      <c r="P139">
        <v>45734</v>
      </c>
      <c r="R139" t="s">
        <v>32</v>
      </c>
      <c r="S139" t="e">
        <f>VLOOKUP(H139,TDS!$B$2:$C$70,2,0)</f>
        <v>#N/A</v>
      </c>
      <c r="T139" t="e">
        <f>VLOOKUP(H139,TDS!$B$2:$D$70,3,0)</f>
        <v>#N/A</v>
      </c>
    </row>
    <row r="140" spans="1:20" hidden="1" x14ac:dyDescent="0.35">
      <c r="A140">
        <v>100222362</v>
      </c>
      <c r="B140" t="s">
        <v>28</v>
      </c>
      <c r="C140" t="s">
        <v>29</v>
      </c>
      <c r="D140" t="s">
        <v>56</v>
      </c>
      <c r="E140" s="23">
        <v>45735</v>
      </c>
      <c r="F140" t="s">
        <v>63</v>
      </c>
      <c r="G140" t="s">
        <v>60</v>
      </c>
      <c r="H140" s="26">
        <v>246788410097</v>
      </c>
      <c r="I140" t="s">
        <v>33</v>
      </c>
      <c r="J140">
        <v>1800000103</v>
      </c>
      <c r="K140" t="s">
        <v>41</v>
      </c>
      <c r="L140" s="24">
        <v>12</v>
      </c>
      <c r="M140" s="24" t="s">
        <v>34</v>
      </c>
      <c r="N140" s="24">
        <v>1040.3</v>
      </c>
      <c r="O140" t="s">
        <v>174</v>
      </c>
      <c r="P140">
        <v>45735</v>
      </c>
      <c r="R140" t="s">
        <v>32</v>
      </c>
      <c r="S140" t="e">
        <f>VLOOKUP(H140,TDS!$B$2:$C$70,2,0)</f>
        <v>#N/A</v>
      </c>
      <c r="T140" t="e">
        <f>VLOOKUP(H140,TDS!$B$2:$D$70,3,0)</f>
        <v>#N/A</v>
      </c>
    </row>
    <row r="141" spans="1:20" hidden="1" x14ac:dyDescent="0.35">
      <c r="A141">
        <v>100222362</v>
      </c>
      <c r="B141" t="s">
        <v>28</v>
      </c>
      <c r="C141" t="s">
        <v>29</v>
      </c>
      <c r="D141" t="s">
        <v>56</v>
      </c>
      <c r="E141" s="23">
        <v>45735</v>
      </c>
      <c r="F141" t="s">
        <v>63</v>
      </c>
      <c r="G141" t="s">
        <v>60</v>
      </c>
      <c r="H141" s="26">
        <v>246788410098</v>
      </c>
      <c r="I141" t="s">
        <v>33</v>
      </c>
      <c r="J141">
        <v>1800000104</v>
      </c>
      <c r="K141" t="s">
        <v>41</v>
      </c>
      <c r="L141" s="24">
        <v>5.2</v>
      </c>
      <c r="M141" s="24" t="s">
        <v>34</v>
      </c>
      <c r="N141" s="24">
        <v>450.79</v>
      </c>
      <c r="O141" t="s">
        <v>175</v>
      </c>
      <c r="P141">
        <v>45735</v>
      </c>
      <c r="R141" t="s">
        <v>32</v>
      </c>
      <c r="S141" t="e">
        <f>VLOOKUP(H141,TDS!$B$2:$C$70,2,0)</f>
        <v>#N/A</v>
      </c>
      <c r="T141" t="e">
        <f>VLOOKUP(H141,TDS!$B$2:$D$70,3,0)</f>
        <v>#N/A</v>
      </c>
    </row>
    <row r="142" spans="1:20" hidden="1" x14ac:dyDescent="0.35">
      <c r="A142">
        <v>100222362</v>
      </c>
      <c r="B142" t="s">
        <v>28</v>
      </c>
      <c r="C142" t="s">
        <v>29</v>
      </c>
      <c r="D142" t="s">
        <v>56</v>
      </c>
      <c r="E142" s="23">
        <v>45735</v>
      </c>
      <c r="F142" t="s">
        <v>63</v>
      </c>
      <c r="G142" t="s">
        <v>60</v>
      </c>
      <c r="H142" s="26">
        <v>246788410101</v>
      </c>
      <c r="I142" t="s">
        <v>33</v>
      </c>
      <c r="J142">
        <v>1800000107</v>
      </c>
      <c r="K142" t="s">
        <v>41</v>
      </c>
      <c r="L142" s="24">
        <v>1.1200000000000001</v>
      </c>
      <c r="M142" s="24" t="s">
        <v>34</v>
      </c>
      <c r="N142" s="24">
        <v>97.09</v>
      </c>
      <c r="O142" t="s">
        <v>172</v>
      </c>
      <c r="P142">
        <v>45735</v>
      </c>
      <c r="R142" t="s">
        <v>32</v>
      </c>
      <c r="S142" t="e">
        <f>VLOOKUP(H142,TDS!$B$2:$C$70,2,0)</f>
        <v>#N/A</v>
      </c>
      <c r="T142" t="e">
        <f>VLOOKUP(H142,TDS!$B$2:$D$70,3,0)</f>
        <v>#N/A</v>
      </c>
    </row>
    <row r="143" spans="1:20" hidden="1" x14ac:dyDescent="0.35">
      <c r="A143">
        <v>100222362</v>
      </c>
      <c r="B143" t="s">
        <v>28</v>
      </c>
      <c r="C143" t="s">
        <v>29</v>
      </c>
      <c r="D143" t="s">
        <v>56</v>
      </c>
      <c r="E143" s="23">
        <v>45735</v>
      </c>
      <c r="F143" t="s">
        <v>63</v>
      </c>
      <c r="G143" t="s">
        <v>60</v>
      </c>
      <c r="H143" s="26">
        <v>246788410102</v>
      </c>
      <c r="I143" t="s">
        <v>33</v>
      </c>
      <c r="J143">
        <v>1800000108</v>
      </c>
      <c r="K143" t="s">
        <v>41</v>
      </c>
      <c r="L143" s="24">
        <v>56</v>
      </c>
      <c r="M143" s="24" t="s">
        <v>34</v>
      </c>
      <c r="N143" s="24">
        <v>4854.71</v>
      </c>
      <c r="O143" t="s">
        <v>176</v>
      </c>
      <c r="P143">
        <v>45735</v>
      </c>
      <c r="R143" t="s">
        <v>32</v>
      </c>
      <c r="S143" t="e">
        <f>VLOOKUP(H143,TDS!$B$2:$C$70,2,0)</f>
        <v>#N/A</v>
      </c>
      <c r="T143" t="e">
        <f>VLOOKUP(H143,TDS!$B$2:$D$70,3,0)</f>
        <v>#N/A</v>
      </c>
    </row>
    <row r="144" spans="1:20" hidden="1" x14ac:dyDescent="0.35">
      <c r="A144">
        <v>100222362</v>
      </c>
      <c r="B144" t="s">
        <v>28</v>
      </c>
      <c r="C144" t="s">
        <v>29</v>
      </c>
      <c r="D144" t="s">
        <v>56</v>
      </c>
      <c r="E144" s="23">
        <v>45735</v>
      </c>
      <c r="F144" t="s">
        <v>63</v>
      </c>
      <c r="G144" t="s">
        <v>60</v>
      </c>
      <c r="H144" s="26">
        <v>246788410103</v>
      </c>
      <c r="I144" t="s">
        <v>33</v>
      </c>
      <c r="J144">
        <v>1800000109</v>
      </c>
      <c r="K144" t="s">
        <v>41</v>
      </c>
      <c r="L144" s="24">
        <v>24</v>
      </c>
      <c r="M144" s="24" t="s">
        <v>34</v>
      </c>
      <c r="N144" s="24">
        <v>2080.59</v>
      </c>
      <c r="O144" t="s">
        <v>177</v>
      </c>
      <c r="P144">
        <v>45735</v>
      </c>
      <c r="R144" t="s">
        <v>32</v>
      </c>
      <c r="S144" t="e">
        <f>VLOOKUP(H144,TDS!$B$2:$C$70,2,0)</f>
        <v>#N/A</v>
      </c>
      <c r="T144" t="e">
        <f>VLOOKUP(H144,TDS!$B$2:$D$70,3,0)</f>
        <v>#N/A</v>
      </c>
    </row>
    <row r="145" spans="1:20" hidden="1" x14ac:dyDescent="0.35">
      <c r="A145">
        <v>100222362</v>
      </c>
      <c r="B145" t="s">
        <v>28</v>
      </c>
      <c r="C145" t="s">
        <v>29</v>
      </c>
      <c r="D145" t="s">
        <v>56</v>
      </c>
      <c r="E145" s="23">
        <v>45735</v>
      </c>
      <c r="F145" t="s">
        <v>63</v>
      </c>
      <c r="G145" t="s">
        <v>60</v>
      </c>
      <c r="H145" s="26">
        <v>246788410106</v>
      </c>
      <c r="I145" t="s">
        <v>33</v>
      </c>
      <c r="J145">
        <v>1800000112</v>
      </c>
      <c r="K145" t="s">
        <v>41</v>
      </c>
      <c r="L145" s="24">
        <v>24</v>
      </c>
      <c r="M145" s="24" t="s">
        <v>34</v>
      </c>
      <c r="N145" s="24">
        <v>2080.59</v>
      </c>
      <c r="O145" t="s">
        <v>178</v>
      </c>
      <c r="P145">
        <v>45735</v>
      </c>
      <c r="R145" t="s">
        <v>32</v>
      </c>
      <c r="S145" t="e">
        <f>VLOOKUP(H145,TDS!$B$2:$C$70,2,0)</f>
        <v>#N/A</v>
      </c>
      <c r="T145" t="e">
        <f>VLOOKUP(H145,TDS!$B$2:$D$70,3,0)</f>
        <v>#N/A</v>
      </c>
    </row>
    <row r="146" spans="1:20" hidden="1" x14ac:dyDescent="0.35">
      <c r="A146">
        <v>100222362</v>
      </c>
      <c r="B146" t="s">
        <v>28</v>
      </c>
      <c r="C146" t="s">
        <v>29</v>
      </c>
      <c r="D146" t="s">
        <v>56</v>
      </c>
      <c r="E146" s="23">
        <v>45735</v>
      </c>
      <c r="F146" t="s">
        <v>63</v>
      </c>
      <c r="G146" t="s">
        <v>60</v>
      </c>
      <c r="H146" s="26">
        <v>246788410107</v>
      </c>
      <c r="I146" t="s">
        <v>33</v>
      </c>
      <c r="J146">
        <v>1800000113</v>
      </c>
      <c r="K146" t="s">
        <v>41</v>
      </c>
      <c r="L146" s="24">
        <v>68.22</v>
      </c>
      <c r="M146" s="24" t="s">
        <v>34</v>
      </c>
      <c r="N146" s="24">
        <v>5914.08</v>
      </c>
      <c r="O146" t="s">
        <v>179</v>
      </c>
      <c r="P146">
        <v>45735</v>
      </c>
      <c r="R146" t="s">
        <v>32</v>
      </c>
      <c r="S146" t="e">
        <f>VLOOKUP(H146,TDS!$B$2:$C$70,2,0)</f>
        <v>#N/A</v>
      </c>
      <c r="T146" t="e">
        <f>VLOOKUP(H146,TDS!$B$2:$D$70,3,0)</f>
        <v>#N/A</v>
      </c>
    </row>
    <row r="147" spans="1:20" hidden="1" x14ac:dyDescent="0.35">
      <c r="A147">
        <v>100222362</v>
      </c>
      <c r="B147" t="s">
        <v>28</v>
      </c>
      <c r="C147" t="s">
        <v>29</v>
      </c>
      <c r="D147" t="s">
        <v>56</v>
      </c>
      <c r="E147" s="23">
        <v>45735</v>
      </c>
      <c r="F147" t="s">
        <v>63</v>
      </c>
      <c r="G147" t="s">
        <v>60</v>
      </c>
      <c r="H147" s="26">
        <v>246788410108</v>
      </c>
      <c r="I147" t="s">
        <v>33</v>
      </c>
      <c r="J147">
        <v>1800000114</v>
      </c>
      <c r="K147" t="s">
        <v>41</v>
      </c>
      <c r="L147" s="24">
        <v>0.5</v>
      </c>
      <c r="M147" s="24" t="s">
        <v>34</v>
      </c>
      <c r="N147" s="24">
        <v>43.35</v>
      </c>
      <c r="O147" t="s">
        <v>170</v>
      </c>
      <c r="P147">
        <v>45735</v>
      </c>
      <c r="R147" t="s">
        <v>32</v>
      </c>
      <c r="S147" t="e">
        <f>VLOOKUP(H147,TDS!$B$2:$C$70,2,0)</f>
        <v>#N/A</v>
      </c>
      <c r="T147" t="e">
        <f>VLOOKUP(H147,TDS!$B$2:$D$70,3,0)</f>
        <v>#N/A</v>
      </c>
    </row>
    <row r="148" spans="1:20" x14ac:dyDescent="0.35">
      <c r="A148">
        <v>100222362</v>
      </c>
      <c r="B148" t="s">
        <v>28</v>
      </c>
      <c r="C148" t="s">
        <v>29</v>
      </c>
      <c r="D148" t="s">
        <v>56</v>
      </c>
      <c r="E148" s="23">
        <v>45735</v>
      </c>
      <c r="F148" t="s">
        <v>63</v>
      </c>
      <c r="G148" t="s">
        <v>60</v>
      </c>
      <c r="H148" s="26">
        <v>246788410109</v>
      </c>
      <c r="I148" t="s">
        <v>33</v>
      </c>
      <c r="J148">
        <v>1800000115</v>
      </c>
      <c r="K148" t="s">
        <v>41</v>
      </c>
      <c r="L148" s="24">
        <v>2342.8000000000002</v>
      </c>
      <c r="M148" s="24" t="s">
        <v>34</v>
      </c>
      <c r="N148" s="24">
        <v>203100.28</v>
      </c>
      <c r="O148" t="s">
        <v>180</v>
      </c>
      <c r="P148">
        <v>45735</v>
      </c>
      <c r="R148" t="s">
        <v>32</v>
      </c>
      <c r="S148">
        <f>VLOOKUP(H148,TDS!$B$2:$C$70,2,0)</f>
        <v>4062</v>
      </c>
      <c r="T148" t="str">
        <f>VLOOKUP(H148,TDS!$B$2:$D$70,3,0)</f>
        <v>194C</v>
      </c>
    </row>
    <row r="149" spans="1:20" hidden="1" x14ac:dyDescent="0.35">
      <c r="A149">
        <v>100222362</v>
      </c>
      <c r="B149" t="s">
        <v>28</v>
      </c>
      <c r="C149" t="s">
        <v>29</v>
      </c>
      <c r="D149" t="s">
        <v>56</v>
      </c>
      <c r="E149" s="23">
        <v>45735</v>
      </c>
      <c r="F149" t="s">
        <v>63</v>
      </c>
      <c r="G149" t="s">
        <v>60</v>
      </c>
      <c r="H149" s="26">
        <v>246788410110</v>
      </c>
      <c r="I149" t="s">
        <v>33</v>
      </c>
      <c r="J149">
        <v>1800000116</v>
      </c>
      <c r="K149" t="s">
        <v>41</v>
      </c>
      <c r="L149" s="24">
        <v>456</v>
      </c>
      <c r="M149" s="24" t="s">
        <v>34</v>
      </c>
      <c r="N149" s="24">
        <v>39531.21</v>
      </c>
      <c r="O149" t="s">
        <v>181</v>
      </c>
      <c r="P149">
        <v>45735</v>
      </c>
      <c r="R149" t="s">
        <v>32</v>
      </c>
      <c r="S149" t="e">
        <f>VLOOKUP(H149,TDS!$B$2:$C$70,2,0)</f>
        <v>#N/A</v>
      </c>
      <c r="T149" t="e">
        <f>VLOOKUP(H149,TDS!$B$2:$D$70,3,0)</f>
        <v>#N/A</v>
      </c>
    </row>
    <row r="150" spans="1:20" hidden="1" x14ac:dyDescent="0.35">
      <c r="A150">
        <v>100222362</v>
      </c>
      <c r="B150" t="s">
        <v>28</v>
      </c>
      <c r="C150" t="s">
        <v>29</v>
      </c>
      <c r="D150" t="s">
        <v>56</v>
      </c>
      <c r="E150" s="23">
        <v>45735</v>
      </c>
      <c r="F150" t="s">
        <v>63</v>
      </c>
      <c r="G150" t="s">
        <v>60</v>
      </c>
      <c r="H150" s="26">
        <v>246788410111</v>
      </c>
      <c r="I150" t="s">
        <v>33</v>
      </c>
      <c r="J150">
        <v>1800000117</v>
      </c>
      <c r="K150" t="s">
        <v>41</v>
      </c>
      <c r="L150" s="24">
        <v>14</v>
      </c>
      <c r="M150" s="24" t="s">
        <v>34</v>
      </c>
      <c r="N150" s="24">
        <v>1213.68</v>
      </c>
      <c r="O150" t="s">
        <v>182</v>
      </c>
      <c r="P150">
        <v>45735</v>
      </c>
      <c r="R150" t="s">
        <v>32</v>
      </c>
      <c r="S150" t="e">
        <f>VLOOKUP(H150,TDS!$B$2:$C$70,2,0)</f>
        <v>#N/A</v>
      </c>
      <c r="T150" t="e">
        <f>VLOOKUP(H150,TDS!$B$2:$D$70,3,0)</f>
        <v>#N/A</v>
      </c>
    </row>
    <row r="151" spans="1:20" hidden="1" x14ac:dyDescent="0.35">
      <c r="A151">
        <v>100222362</v>
      </c>
      <c r="B151" t="s">
        <v>28</v>
      </c>
      <c r="C151" t="s">
        <v>29</v>
      </c>
      <c r="D151" t="s">
        <v>56</v>
      </c>
      <c r="E151" s="23">
        <v>45735</v>
      </c>
      <c r="F151" t="s">
        <v>63</v>
      </c>
      <c r="G151" t="s">
        <v>60</v>
      </c>
      <c r="H151" s="26">
        <v>246788410112</v>
      </c>
      <c r="I151" t="s">
        <v>33</v>
      </c>
      <c r="J151">
        <v>1800000118</v>
      </c>
      <c r="K151" t="s">
        <v>41</v>
      </c>
      <c r="L151" s="24">
        <v>1</v>
      </c>
      <c r="M151" s="24" t="s">
        <v>34</v>
      </c>
      <c r="N151" s="24">
        <v>86.69</v>
      </c>
      <c r="O151" t="s">
        <v>183</v>
      </c>
      <c r="P151">
        <v>45735</v>
      </c>
      <c r="R151" t="s">
        <v>32</v>
      </c>
      <c r="S151" t="e">
        <f>VLOOKUP(H151,TDS!$B$2:$C$70,2,0)</f>
        <v>#N/A</v>
      </c>
      <c r="T151" t="e">
        <f>VLOOKUP(H151,TDS!$B$2:$D$70,3,0)</f>
        <v>#N/A</v>
      </c>
    </row>
    <row r="152" spans="1:20" x14ac:dyDescent="0.35">
      <c r="A152">
        <v>100222362</v>
      </c>
      <c r="B152" t="s">
        <v>28</v>
      </c>
      <c r="C152" t="s">
        <v>29</v>
      </c>
      <c r="D152" t="s">
        <v>56</v>
      </c>
      <c r="E152" s="23">
        <v>45735</v>
      </c>
      <c r="F152" t="s">
        <v>63</v>
      </c>
      <c r="G152" t="s">
        <v>60</v>
      </c>
      <c r="H152" s="26">
        <v>246788410114</v>
      </c>
      <c r="I152" t="s">
        <v>33</v>
      </c>
      <c r="J152">
        <v>1800000120</v>
      </c>
      <c r="K152" t="s">
        <v>41</v>
      </c>
      <c r="L152" s="24">
        <v>52.7</v>
      </c>
      <c r="M152" s="24" t="s">
        <v>34</v>
      </c>
      <c r="N152" s="24">
        <v>4568.63</v>
      </c>
      <c r="O152" t="s">
        <v>184</v>
      </c>
      <c r="P152">
        <v>45735</v>
      </c>
      <c r="R152" t="s">
        <v>32</v>
      </c>
      <c r="S152">
        <f>VLOOKUP(H152,TDS!$B$2:$C$70,2,0)</f>
        <v>91.37</v>
      </c>
      <c r="T152" t="str">
        <f>VLOOKUP(H152,TDS!$B$2:$D$70,3,0)</f>
        <v>194I</v>
      </c>
    </row>
    <row r="153" spans="1:20" x14ac:dyDescent="0.35">
      <c r="A153">
        <v>100222362</v>
      </c>
      <c r="B153" t="s">
        <v>28</v>
      </c>
      <c r="C153" t="s">
        <v>29</v>
      </c>
      <c r="D153" t="s">
        <v>56</v>
      </c>
      <c r="E153" s="23">
        <v>45735</v>
      </c>
      <c r="F153" t="s">
        <v>63</v>
      </c>
      <c r="G153" t="s">
        <v>60</v>
      </c>
      <c r="H153" s="26">
        <v>246788410115</v>
      </c>
      <c r="I153" t="s">
        <v>33</v>
      </c>
      <c r="J153">
        <v>1800000121</v>
      </c>
      <c r="K153" t="s">
        <v>41</v>
      </c>
      <c r="L153" s="24">
        <v>2293.63</v>
      </c>
      <c r="M153" s="24" t="s">
        <v>34</v>
      </c>
      <c r="N153" s="24">
        <v>198837.67</v>
      </c>
      <c r="O153" t="s">
        <v>185</v>
      </c>
      <c r="P153">
        <v>45735</v>
      </c>
      <c r="R153" t="s">
        <v>32</v>
      </c>
      <c r="S153">
        <f>VLOOKUP(H153,TDS!$B$2:$C$70,2,0)</f>
        <v>19872</v>
      </c>
      <c r="T153" t="str">
        <f>VLOOKUP(H153,TDS!$B$2:$D$70,3,0)</f>
        <v>194I</v>
      </c>
    </row>
    <row r="154" spans="1:20" x14ac:dyDescent="0.35">
      <c r="A154">
        <v>100222362</v>
      </c>
      <c r="B154" t="s">
        <v>28</v>
      </c>
      <c r="C154" t="s">
        <v>29</v>
      </c>
      <c r="D154" t="s">
        <v>56</v>
      </c>
      <c r="E154" s="23">
        <v>45735</v>
      </c>
      <c r="F154" t="s">
        <v>63</v>
      </c>
      <c r="G154" t="s">
        <v>60</v>
      </c>
      <c r="H154" s="26">
        <v>246788410116</v>
      </c>
      <c r="I154" t="s">
        <v>33</v>
      </c>
      <c r="J154">
        <v>1800000122</v>
      </c>
      <c r="K154" t="s">
        <v>41</v>
      </c>
      <c r="L154" s="24">
        <v>2273.6799999999998</v>
      </c>
      <c r="M154" s="24" t="s">
        <v>34</v>
      </c>
      <c r="N154" s="24">
        <v>197108.18</v>
      </c>
      <c r="O154" t="s">
        <v>186</v>
      </c>
      <c r="P154">
        <v>45735</v>
      </c>
      <c r="R154" t="s">
        <v>32</v>
      </c>
      <c r="S154">
        <f>VLOOKUP(H154,TDS!$B$2:$C$70,2,0)</f>
        <v>19872</v>
      </c>
      <c r="T154" t="str">
        <f>VLOOKUP(H154,TDS!$B$2:$D$70,3,0)</f>
        <v>194I</v>
      </c>
    </row>
    <row r="155" spans="1:20" x14ac:dyDescent="0.35">
      <c r="A155">
        <v>100222362</v>
      </c>
      <c r="B155" t="s">
        <v>28</v>
      </c>
      <c r="C155" t="s">
        <v>29</v>
      </c>
      <c r="D155" t="s">
        <v>56</v>
      </c>
      <c r="E155" s="23">
        <v>45735</v>
      </c>
      <c r="F155" t="s">
        <v>63</v>
      </c>
      <c r="G155" t="s">
        <v>60</v>
      </c>
      <c r="H155" s="26">
        <v>246788410117</v>
      </c>
      <c r="I155" t="s">
        <v>33</v>
      </c>
      <c r="J155">
        <v>1800000123</v>
      </c>
      <c r="K155" t="s">
        <v>41</v>
      </c>
      <c r="L155" s="24">
        <v>66.73</v>
      </c>
      <c r="M155" s="24" t="s">
        <v>34</v>
      </c>
      <c r="N155" s="24">
        <v>5784.91</v>
      </c>
      <c r="O155" t="s">
        <v>187</v>
      </c>
      <c r="P155">
        <v>45735</v>
      </c>
      <c r="R155" t="s">
        <v>32</v>
      </c>
      <c r="S155">
        <f>VLOOKUP(H155,TDS!$B$2:$C$70,2,0)</f>
        <v>571</v>
      </c>
      <c r="T155" t="str">
        <f>VLOOKUP(H155,TDS!$B$2:$D$70,3,0)</f>
        <v>194I</v>
      </c>
    </row>
    <row r="156" spans="1:20" x14ac:dyDescent="0.35">
      <c r="A156">
        <v>100222362</v>
      </c>
      <c r="B156" t="s">
        <v>28</v>
      </c>
      <c r="C156" t="s">
        <v>29</v>
      </c>
      <c r="D156" t="s">
        <v>56</v>
      </c>
      <c r="E156" s="23">
        <v>45735</v>
      </c>
      <c r="F156" t="s">
        <v>63</v>
      </c>
      <c r="G156" t="s">
        <v>60</v>
      </c>
      <c r="H156" s="26">
        <v>246788410118</v>
      </c>
      <c r="I156" t="s">
        <v>33</v>
      </c>
      <c r="J156">
        <v>1800000124</v>
      </c>
      <c r="K156" t="s">
        <v>41</v>
      </c>
      <c r="L156" s="24">
        <v>149.72999999999999</v>
      </c>
      <c r="M156" s="24" t="s">
        <v>34</v>
      </c>
      <c r="N156" s="24">
        <v>12980.28</v>
      </c>
      <c r="O156" t="s">
        <v>188</v>
      </c>
      <c r="P156">
        <v>45735</v>
      </c>
      <c r="R156" t="s">
        <v>32</v>
      </c>
      <c r="S156">
        <f>VLOOKUP(H156,TDS!$B$2:$C$70,2,0)</f>
        <v>1282</v>
      </c>
      <c r="T156" t="str">
        <f>VLOOKUP(H156,TDS!$B$2:$D$70,3,0)</f>
        <v>194I</v>
      </c>
    </row>
    <row r="157" spans="1:20" hidden="1" x14ac:dyDescent="0.35">
      <c r="A157">
        <v>100222362</v>
      </c>
      <c r="B157" t="s">
        <v>28</v>
      </c>
      <c r="C157" t="s">
        <v>29</v>
      </c>
      <c r="D157" t="s">
        <v>56</v>
      </c>
      <c r="E157" s="23">
        <v>45735</v>
      </c>
      <c r="F157" t="s">
        <v>63</v>
      </c>
      <c r="G157" t="s">
        <v>60</v>
      </c>
      <c r="H157" s="26">
        <v>246788410119</v>
      </c>
      <c r="I157" t="s">
        <v>33</v>
      </c>
      <c r="J157">
        <v>1800000125</v>
      </c>
      <c r="K157" t="s">
        <v>41</v>
      </c>
      <c r="L157" s="24">
        <v>102.97</v>
      </c>
      <c r="M157" s="24" t="s">
        <v>34</v>
      </c>
      <c r="N157" s="24">
        <v>8926.6</v>
      </c>
      <c r="O157" t="s">
        <v>189</v>
      </c>
      <c r="P157">
        <v>45735</v>
      </c>
      <c r="R157" t="s">
        <v>32</v>
      </c>
      <c r="S157" t="e">
        <f>VLOOKUP(H157,TDS!$B$2:$C$70,2,0)</f>
        <v>#N/A</v>
      </c>
      <c r="T157" t="e">
        <f>VLOOKUP(H157,TDS!$B$2:$D$70,3,0)</f>
        <v>#N/A</v>
      </c>
    </row>
    <row r="158" spans="1:20" hidden="1" x14ac:dyDescent="0.35">
      <c r="A158">
        <v>100222362</v>
      </c>
      <c r="B158" t="s">
        <v>28</v>
      </c>
      <c r="C158" t="s">
        <v>29</v>
      </c>
      <c r="D158" t="s">
        <v>65</v>
      </c>
      <c r="E158" s="23">
        <v>45924</v>
      </c>
      <c r="F158" t="s">
        <v>63</v>
      </c>
      <c r="G158" t="s">
        <v>60</v>
      </c>
      <c r="H158" s="26">
        <v>256788410391</v>
      </c>
      <c r="I158" t="s">
        <v>33</v>
      </c>
      <c r="J158">
        <v>1800000516</v>
      </c>
      <c r="K158" t="s">
        <v>41</v>
      </c>
      <c r="L158" s="24">
        <v>9</v>
      </c>
      <c r="M158" s="24" t="s">
        <v>34</v>
      </c>
      <c r="N158" s="24">
        <v>774.01</v>
      </c>
      <c r="O158" t="s">
        <v>109</v>
      </c>
      <c r="P158">
        <v>45924</v>
      </c>
      <c r="R158" t="s">
        <v>32</v>
      </c>
      <c r="S158" t="e">
        <f>VLOOKUP(H158,TDS!$B$2:$C$70,2,0)</f>
        <v>#N/A</v>
      </c>
      <c r="T158" t="e">
        <f>VLOOKUP(H158,TDS!$B$2:$D$70,3,0)</f>
        <v>#N/A</v>
      </c>
    </row>
    <row r="159" spans="1:20" hidden="1" x14ac:dyDescent="0.35">
      <c r="A159">
        <v>100222362</v>
      </c>
      <c r="B159" t="s">
        <v>28</v>
      </c>
      <c r="C159" t="s">
        <v>29</v>
      </c>
      <c r="D159" t="s">
        <v>55</v>
      </c>
      <c r="E159" s="23">
        <v>45981</v>
      </c>
      <c r="F159" t="s">
        <v>63</v>
      </c>
      <c r="G159" t="s">
        <v>60</v>
      </c>
      <c r="H159" s="26">
        <v>256788410460</v>
      </c>
      <c r="I159" t="s">
        <v>33</v>
      </c>
      <c r="J159">
        <v>1800000595</v>
      </c>
      <c r="K159" t="s">
        <v>41</v>
      </c>
      <c r="L159" s="24">
        <v>78.319999999999993</v>
      </c>
      <c r="M159" s="24" t="s">
        <v>34</v>
      </c>
      <c r="N159" s="24">
        <v>6892.43</v>
      </c>
      <c r="O159" t="s">
        <v>190</v>
      </c>
      <c r="P159">
        <v>45981</v>
      </c>
      <c r="R159" t="s">
        <v>32</v>
      </c>
      <c r="S159" t="e">
        <f>VLOOKUP(H159,TDS!$B$2:$C$70,2,0)</f>
        <v>#N/A</v>
      </c>
      <c r="T159" t="e">
        <f>VLOOKUP(H159,TDS!$B$2:$D$70,3,0)</f>
        <v>#N/A</v>
      </c>
    </row>
    <row r="160" spans="1:20" hidden="1" x14ac:dyDescent="0.35">
      <c r="A160">
        <v>100222362</v>
      </c>
      <c r="B160" t="s">
        <v>28</v>
      </c>
      <c r="C160" t="s">
        <v>29</v>
      </c>
      <c r="D160" t="s">
        <v>55</v>
      </c>
      <c r="E160" s="23">
        <v>45981</v>
      </c>
      <c r="F160" t="s">
        <v>63</v>
      </c>
      <c r="G160" t="s">
        <v>60</v>
      </c>
      <c r="H160" s="26">
        <v>256788410462</v>
      </c>
      <c r="I160" t="s">
        <v>33</v>
      </c>
      <c r="J160">
        <v>1800000597</v>
      </c>
      <c r="K160" t="s">
        <v>41</v>
      </c>
      <c r="L160" s="24">
        <v>13.52</v>
      </c>
      <c r="M160" s="24" t="s">
        <v>34</v>
      </c>
      <c r="N160" s="24">
        <v>1189.81</v>
      </c>
      <c r="O160" t="s">
        <v>191</v>
      </c>
      <c r="P160">
        <v>45981</v>
      </c>
      <c r="R160" t="s">
        <v>32</v>
      </c>
      <c r="S160" t="e">
        <f>VLOOKUP(H160,TDS!$B$2:$C$70,2,0)</f>
        <v>#N/A</v>
      </c>
      <c r="T160" t="e">
        <f>VLOOKUP(H160,TDS!$B$2:$D$70,3,0)</f>
        <v>#N/A</v>
      </c>
    </row>
    <row r="161" spans="1:20" x14ac:dyDescent="0.35">
      <c r="A161">
        <v>100222362</v>
      </c>
      <c r="B161" t="s">
        <v>28</v>
      </c>
      <c r="C161" t="s">
        <v>29</v>
      </c>
      <c r="D161" t="s">
        <v>30</v>
      </c>
      <c r="E161" s="23">
        <v>45769</v>
      </c>
      <c r="F161" t="s">
        <v>63</v>
      </c>
      <c r="G161" t="s">
        <v>60</v>
      </c>
      <c r="H161" s="26">
        <v>256779412482</v>
      </c>
      <c r="I161" t="s">
        <v>33</v>
      </c>
      <c r="J161">
        <v>1800007591</v>
      </c>
      <c r="K161" t="s">
        <v>41</v>
      </c>
      <c r="L161" s="24">
        <v>94.08</v>
      </c>
      <c r="M161" s="24" t="s">
        <v>34</v>
      </c>
      <c r="N161" s="24">
        <v>8177.6</v>
      </c>
      <c r="O161" t="s">
        <v>136</v>
      </c>
      <c r="P161">
        <v>45769</v>
      </c>
      <c r="R161" t="s">
        <v>32</v>
      </c>
      <c r="S161">
        <f>VLOOKUP(H161,TDS!$B$2:$C$70,2,0)</f>
        <v>164</v>
      </c>
      <c r="T161" t="str">
        <f>VLOOKUP(H161,TDS!$B$2:$D$70,3,0)</f>
        <v>194C</v>
      </c>
    </row>
    <row r="162" spans="1:20" x14ac:dyDescent="0.35">
      <c r="A162">
        <v>100222362</v>
      </c>
      <c r="B162" t="s">
        <v>28</v>
      </c>
      <c r="C162" t="s">
        <v>29</v>
      </c>
      <c r="D162" t="s">
        <v>30</v>
      </c>
      <c r="E162" s="23">
        <v>45769</v>
      </c>
      <c r="F162" t="s">
        <v>63</v>
      </c>
      <c r="G162" t="s">
        <v>60</v>
      </c>
      <c r="H162" s="26">
        <v>256779412498</v>
      </c>
      <c r="I162" t="s">
        <v>33</v>
      </c>
      <c r="J162">
        <v>1800007607</v>
      </c>
      <c r="K162" t="s">
        <v>41</v>
      </c>
      <c r="L162" s="24">
        <v>25.32</v>
      </c>
      <c r="M162" s="24" t="s">
        <v>34</v>
      </c>
      <c r="N162" s="24">
        <v>2200.86</v>
      </c>
      <c r="O162" t="s">
        <v>136</v>
      </c>
      <c r="P162">
        <v>45769</v>
      </c>
      <c r="R162" t="s">
        <v>32</v>
      </c>
      <c r="S162">
        <f>VLOOKUP(H162,TDS!$B$2:$C$70,2,0)</f>
        <v>44</v>
      </c>
      <c r="T162" t="str">
        <f>VLOOKUP(H162,TDS!$B$2:$D$70,3,0)</f>
        <v>194C</v>
      </c>
    </row>
    <row r="163" spans="1:20" x14ac:dyDescent="0.35">
      <c r="A163">
        <v>100222362</v>
      </c>
      <c r="B163" t="s">
        <v>28</v>
      </c>
      <c r="C163" t="s">
        <v>29</v>
      </c>
      <c r="D163" t="s">
        <v>30</v>
      </c>
      <c r="E163" s="23">
        <v>45769</v>
      </c>
      <c r="F163" t="s">
        <v>63</v>
      </c>
      <c r="G163" t="s">
        <v>60</v>
      </c>
      <c r="H163" s="26">
        <v>256788410065</v>
      </c>
      <c r="I163" t="s">
        <v>33</v>
      </c>
      <c r="J163">
        <v>1800000190</v>
      </c>
      <c r="K163" t="s">
        <v>41</v>
      </c>
      <c r="L163" s="24">
        <v>24.38</v>
      </c>
      <c r="M163" s="24" t="s">
        <v>34</v>
      </c>
      <c r="N163" s="24">
        <v>2119.15</v>
      </c>
      <c r="O163" t="s">
        <v>192</v>
      </c>
      <c r="P163">
        <v>45769</v>
      </c>
      <c r="R163" t="s">
        <v>32</v>
      </c>
      <c r="S163">
        <f>VLOOKUP(H163,TDS!$B$2:$C$70,2,0)</f>
        <v>42.38</v>
      </c>
      <c r="T163" t="str">
        <f>VLOOKUP(H163,TDS!$B$2:$D$70,3,0)</f>
        <v>194I</v>
      </c>
    </row>
    <row r="164" spans="1:20" x14ac:dyDescent="0.35">
      <c r="A164">
        <v>100222362</v>
      </c>
      <c r="B164" t="s">
        <v>28</v>
      </c>
      <c r="C164" t="s">
        <v>29</v>
      </c>
      <c r="D164" t="s">
        <v>30</v>
      </c>
      <c r="E164" s="23">
        <v>45769</v>
      </c>
      <c r="F164" t="s">
        <v>63</v>
      </c>
      <c r="G164" t="s">
        <v>60</v>
      </c>
      <c r="H164" s="26">
        <v>256788410162</v>
      </c>
      <c r="I164" t="s">
        <v>33</v>
      </c>
      <c r="J164">
        <v>1800000287</v>
      </c>
      <c r="K164" t="s">
        <v>41</v>
      </c>
      <c r="L164" s="24">
        <v>5.46</v>
      </c>
      <c r="M164" s="24" t="s">
        <v>34</v>
      </c>
      <c r="N164" s="24">
        <v>474.59</v>
      </c>
      <c r="O164" t="s">
        <v>193</v>
      </c>
      <c r="P164">
        <v>45769</v>
      </c>
      <c r="R164" t="s">
        <v>32</v>
      </c>
      <c r="S164">
        <f>VLOOKUP(H164,TDS!$B$2:$C$70,2,0)</f>
        <v>9.49</v>
      </c>
      <c r="T164" t="str">
        <f>VLOOKUP(H164,TDS!$B$2:$D$70,3,0)</f>
        <v>194C</v>
      </c>
    </row>
    <row r="165" spans="1:20" x14ac:dyDescent="0.35">
      <c r="A165">
        <v>100222362</v>
      </c>
      <c r="B165" t="s">
        <v>28</v>
      </c>
      <c r="C165" t="s">
        <v>29</v>
      </c>
      <c r="D165" t="s">
        <v>30</v>
      </c>
      <c r="E165" s="23">
        <v>45769</v>
      </c>
      <c r="F165" t="s">
        <v>63</v>
      </c>
      <c r="G165" t="s">
        <v>60</v>
      </c>
      <c r="H165" s="26">
        <v>256788410163</v>
      </c>
      <c r="I165" t="s">
        <v>33</v>
      </c>
      <c r="J165">
        <v>1800000288</v>
      </c>
      <c r="K165" t="s">
        <v>41</v>
      </c>
      <c r="L165" s="24">
        <v>3.5</v>
      </c>
      <c r="M165" s="24" t="s">
        <v>34</v>
      </c>
      <c r="N165" s="24">
        <v>304.23</v>
      </c>
      <c r="O165" t="s">
        <v>193</v>
      </c>
      <c r="P165">
        <v>45769</v>
      </c>
      <c r="R165" t="s">
        <v>32</v>
      </c>
      <c r="S165">
        <f>VLOOKUP(H165,TDS!$B$2:$C$70,2,0)</f>
        <v>6.08</v>
      </c>
      <c r="T165" t="str">
        <f>VLOOKUP(H165,TDS!$B$2:$D$70,3,0)</f>
        <v>194C</v>
      </c>
    </row>
    <row r="166" spans="1:20" x14ac:dyDescent="0.35">
      <c r="A166">
        <v>100222362</v>
      </c>
      <c r="B166" t="s">
        <v>28</v>
      </c>
      <c r="C166" t="s">
        <v>29</v>
      </c>
      <c r="D166" t="s">
        <v>30</v>
      </c>
      <c r="E166" s="23">
        <v>45769</v>
      </c>
      <c r="F166" t="s">
        <v>63</v>
      </c>
      <c r="G166" t="s">
        <v>60</v>
      </c>
      <c r="H166" s="26">
        <v>256788410164</v>
      </c>
      <c r="I166" t="s">
        <v>33</v>
      </c>
      <c r="J166">
        <v>1800000289</v>
      </c>
      <c r="K166" t="s">
        <v>41</v>
      </c>
      <c r="L166" s="24">
        <v>5.6</v>
      </c>
      <c r="M166" s="24" t="s">
        <v>34</v>
      </c>
      <c r="N166" s="24">
        <v>486.76</v>
      </c>
      <c r="O166" t="s">
        <v>193</v>
      </c>
      <c r="P166">
        <v>45769</v>
      </c>
      <c r="R166" t="s">
        <v>32</v>
      </c>
      <c r="S166">
        <f>VLOOKUP(H166,TDS!$B$2:$C$70,2,0)</f>
        <v>9.74</v>
      </c>
      <c r="T166" t="str">
        <f>VLOOKUP(H166,TDS!$B$2:$D$70,3,0)</f>
        <v>194C</v>
      </c>
    </row>
    <row r="167" spans="1:20" x14ac:dyDescent="0.35">
      <c r="A167">
        <v>100222362</v>
      </c>
      <c r="B167" t="s">
        <v>28</v>
      </c>
      <c r="C167" t="s">
        <v>29</v>
      </c>
      <c r="D167" t="s">
        <v>30</v>
      </c>
      <c r="E167" s="23">
        <v>45769</v>
      </c>
      <c r="F167" t="s">
        <v>63</v>
      </c>
      <c r="G167" t="s">
        <v>60</v>
      </c>
      <c r="H167" s="26">
        <v>256788410165</v>
      </c>
      <c r="I167" t="s">
        <v>33</v>
      </c>
      <c r="J167">
        <v>1800000290</v>
      </c>
      <c r="K167" t="s">
        <v>41</v>
      </c>
      <c r="L167" s="24">
        <v>5.6</v>
      </c>
      <c r="M167" s="24" t="s">
        <v>34</v>
      </c>
      <c r="N167" s="24">
        <v>486.76</v>
      </c>
      <c r="O167" t="s">
        <v>193</v>
      </c>
      <c r="P167">
        <v>45769</v>
      </c>
      <c r="R167" t="s">
        <v>32</v>
      </c>
      <c r="S167">
        <f>VLOOKUP(H167,TDS!$B$2:$C$70,2,0)</f>
        <v>9.74</v>
      </c>
      <c r="T167" t="str">
        <f>VLOOKUP(H167,TDS!$B$2:$D$70,3,0)</f>
        <v>194C</v>
      </c>
    </row>
    <row r="168" spans="1:20" x14ac:dyDescent="0.35">
      <c r="A168">
        <v>100222362</v>
      </c>
      <c r="B168" t="s">
        <v>28</v>
      </c>
      <c r="C168" t="s">
        <v>29</v>
      </c>
      <c r="D168" t="s">
        <v>30</v>
      </c>
      <c r="E168" s="23">
        <v>45769</v>
      </c>
      <c r="F168" t="s">
        <v>63</v>
      </c>
      <c r="G168" t="s">
        <v>60</v>
      </c>
      <c r="H168" s="26">
        <v>256788410166</v>
      </c>
      <c r="I168" t="s">
        <v>33</v>
      </c>
      <c r="J168">
        <v>1800000291</v>
      </c>
      <c r="K168" t="s">
        <v>41</v>
      </c>
      <c r="L168" s="24">
        <v>11.6</v>
      </c>
      <c r="M168" s="24" t="s">
        <v>34</v>
      </c>
      <c r="N168" s="24">
        <v>1008.29</v>
      </c>
      <c r="O168" t="s">
        <v>193</v>
      </c>
      <c r="P168">
        <v>45769</v>
      </c>
      <c r="R168" t="s">
        <v>32</v>
      </c>
      <c r="S168">
        <f>VLOOKUP(H168,TDS!$B$2:$C$70,2,0)</f>
        <v>20.170000000000002</v>
      </c>
      <c r="T168" t="str">
        <f>VLOOKUP(H168,TDS!$B$2:$D$70,3,0)</f>
        <v>194C</v>
      </c>
    </row>
    <row r="169" spans="1:20" hidden="1" x14ac:dyDescent="0.35">
      <c r="A169">
        <v>100222362</v>
      </c>
      <c r="B169" t="s">
        <v>28</v>
      </c>
      <c r="C169" t="s">
        <v>29</v>
      </c>
      <c r="D169" t="s">
        <v>30</v>
      </c>
      <c r="E169" s="23">
        <v>45769</v>
      </c>
      <c r="F169" t="s">
        <v>63</v>
      </c>
      <c r="G169" t="s">
        <v>60</v>
      </c>
      <c r="H169" s="26">
        <v>256788410203</v>
      </c>
      <c r="I169" t="s">
        <v>33</v>
      </c>
      <c r="J169">
        <v>1800000328</v>
      </c>
      <c r="K169" t="s">
        <v>41</v>
      </c>
      <c r="L169" s="24">
        <v>80.67</v>
      </c>
      <c r="M169" s="24" t="s">
        <v>34</v>
      </c>
      <c r="N169" s="24">
        <v>7011.98</v>
      </c>
      <c r="O169" t="s">
        <v>194</v>
      </c>
      <c r="P169">
        <v>45769</v>
      </c>
      <c r="R169" t="s">
        <v>32</v>
      </c>
      <c r="S169" t="e">
        <f>VLOOKUP(H169,TDS!$B$2:$C$70,2,0)</f>
        <v>#N/A</v>
      </c>
      <c r="T169" t="e">
        <f>VLOOKUP(H169,TDS!$B$2:$D$70,3,0)</f>
        <v>#N/A</v>
      </c>
    </row>
    <row r="170" spans="1:20" hidden="1" x14ac:dyDescent="0.35">
      <c r="A170">
        <v>100222362</v>
      </c>
      <c r="B170" t="s">
        <v>28</v>
      </c>
      <c r="C170" t="s">
        <v>29</v>
      </c>
      <c r="D170" t="s">
        <v>30</v>
      </c>
      <c r="E170" s="23">
        <v>45769</v>
      </c>
      <c r="F170" t="s">
        <v>63</v>
      </c>
      <c r="G170" t="s">
        <v>60</v>
      </c>
      <c r="H170" s="26">
        <v>256788410205</v>
      </c>
      <c r="I170" t="s">
        <v>33</v>
      </c>
      <c r="J170">
        <v>1800000330</v>
      </c>
      <c r="K170" t="s">
        <v>41</v>
      </c>
      <c r="L170" s="24">
        <v>99.12</v>
      </c>
      <c r="M170" s="24" t="s">
        <v>34</v>
      </c>
      <c r="N170" s="24">
        <v>8615.69</v>
      </c>
      <c r="O170" t="s">
        <v>195</v>
      </c>
      <c r="P170">
        <v>45769</v>
      </c>
      <c r="R170" t="s">
        <v>32</v>
      </c>
      <c r="S170" t="e">
        <f>VLOOKUP(H170,TDS!$B$2:$C$70,2,0)</f>
        <v>#N/A</v>
      </c>
      <c r="T170" t="e">
        <f>VLOOKUP(H170,TDS!$B$2:$D$70,3,0)</f>
        <v>#N/A</v>
      </c>
    </row>
    <row r="171" spans="1:20" x14ac:dyDescent="0.35">
      <c r="A171">
        <v>100222362</v>
      </c>
      <c r="B171" t="s">
        <v>28</v>
      </c>
      <c r="C171" t="s">
        <v>29</v>
      </c>
      <c r="D171" t="s">
        <v>30</v>
      </c>
      <c r="E171" s="23">
        <v>45769</v>
      </c>
      <c r="F171" t="s">
        <v>63</v>
      </c>
      <c r="G171" t="s">
        <v>60</v>
      </c>
      <c r="H171" s="26">
        <v>256788410206</v>
      </c>
      <c r="I171" t="s">
        <v>33</v>
      </c>
      <c r="J171">
        <v>1800000331</v>
      </c>
      <c r="K171" t="s">
        <v>41</v>
      </c>
      <c r="L171" s="24">
        <v>10803.4</v>
      </c>
      <c r="M171" s="24" t="s">
        <v>34</v>
      </c>
      <c r="N171" s="24">
        <v>939051.19</v>
      </c>
      <c r="O171" t="s">
        <v>196</v>
      </c>
      <c r="P171">
        <v>45769</v>
      </c>
      <c r="R171" t="s">
        <v>32</v>
      </c>
      <c r="S171">
        <f>VLOOKUP(H171,TDS!$B$2:$C$70,2,0)</f>
        <v>93905</v>
      </c>
      <c r="T171" t="str">
        <f>VLOOKUP(H171,TDS!$B$2:$D$70,3,0)</f>
        <v>194I</v>
      </c>
    </row>
    <row r="172" spans="1:20" hidden="1" x14ac:dyDescent="0.35">
      <c r="A172">
        <v>100222362</v>
      </c>
      <c r="B172" t="s">
        <v>28</v>
      </c>
      <c r="C172" t="s">
        <v>29</v>
      </c>
      <c r="D172" t="s">
        <v>65</v>
      </c>
      <c r="E172" s="23">
        <v>45918</v>
      </c>
      <c r="F172" t="s">
        <v>63</v>
      </c>
      <c r="G172" t="s">
        <v>60</v>
      </c>
      <c r="H172" s="26">
        <v>256788410373</v>
      </c>
      <c r="I172" t="s">
        <v>33</v>
      </c>
      <c r="J172">
        <v>1800000498</v>
      </c>
      <c r="K172" t="s">
        <v>41</v>
      </c>
      <c r="L172" s="24">
        <v>472</v>
      </c>
      <c r="M172" s="24" t="s">
        <v>34</v>
      </c>
      <c r="N172" s="24">
        <v>41306.76</v>
      </c>
      <c r="O172" t="s">
        <v>197</v>
      </c>
      <c r="P172">
        <v>45918</v>
      </c>
      <c r="R172" t="s">
        <v>32</v>
      </c>
      <c r="S172" t="e">
        <f>VLOOKUP(H172,TDS!$B$2:$C$70,2,0)</f>
        <v>#N/A</v>
      </c>
      <c r="T172" t="e">
        <f>VLOOKUP(H172,TDS!$B$2:$D$70,3,0)</f>
        <v>#N/A</v>
      </c>
    </row>
    <row r="173" spans="1:20" hidden="1" x14ac:dyDescent="0.35">
      <c r="A173">
        <v>100222362</v>
      </c>
      <c r="B173" t="s">
        <v>28</v>
      </c>
      <c r="C173" t="s">
        <v>29</v>
      </c>
      <c r="D173" t="s">
        <v>65</v>
      </c>
      <c r="E173" s="23">
        <v>45918</v>
      </c>
      <c r="F173" t="s">
        <v>63</v>
      </c>
      <c r="G173" t="s">
        <v>60</v>
      </c>
      <c r="H173" s="26">
        <v>256788410375</v>
      </c>
      <c r="I173" t="s">
        <v>33</v>
      </c>
      <c r="J173">
        <v>1800000500</v>
      </c>
      <c r="K173" t="s">
        <v>41</v>
      </c>
      <c r="L173" s="24">
        <v>200</v>
      </c>
      <c r="M173" s="24" t="s">
        <v>34</v>
      </c>
      <c r="N173" s="24">
        <v>17502.87</v>
      </c>
      <c r="O173" t="s">
        <v>197</v>
      </c>
      <c r="P173">
        <v>45918</v>
      </c>
      <c r="R173" t="s">
        <v>32</v>
      </c>
      <c r="S173" t="e">
        <f>VLOOKUP(H173,TDS!$B$2:$C$70,2,0)</f>
        <v>#N/A</v>
      </c>
      <c r="T173" t="e">
        <f>VLOOKUP(H173,TDS!$B$2:$D$70,3,0)</f>
        <v>#N/A</v>
      </c>
    </row>
    <row r="174" spans="1:20" hidden="1" x14ac:dyDescent="0.35">
      <c r="A174">
        <v>100222362</v>
      </c>
      <c r="B174" t="s">
        <v>28</v>
      </c>
      <c r="C174" t="s">
        <v>29</v>
      </c>
      <c r="D174" t="s">
        <v>65</v>
      </c>
      <c r="E174" s="23">
        <v>45918</v>
      </c>
      <c r="F174" t="s">
        <v>63</v>
      </c>
      <c r="G174" t="s">
        <v>60</v>
      </c>
      <c r="H174" s="26">
        <v>256788410376</v>
      </c>
      <c r="I174" t="s">
        <v>33</v>
      </c>
      <c r="J174">
        <v>1800000501</v>
      </c>
      <c r="K174" t="s">
        <v>41</v>
      </c>
      <c r="L174" s="24">
        <v>1125.6400000000001</v>
      </c>
      <c r="M174" s="24" t="s">
        <v>34</v>
      </c>
      <c r="N174" s="24">
        <v>98509.63</v>
      </c>
      <c r="O174" t="s">
        <v>198</v>
      </c>
      <c r="P174">
        <v>45918</v>
      </c>
      <c r="R174" t="s">
        <v>32</v>
      </c>
      <c r="S174" t="e">
        <f>VLOOKUP(H174,TDS!$B$2:$C$70,2,0)</f>
        <v>#N/A</v>
      </c>
      <c r="T174" t="e">
        <f>VLOOKUP(H174,TDS!$B$2:$D$70,3,0)</f>
        <v>#N/A</v>
      </c>
    </row>
    <row r="175" spans="1:20" hidden="1" x14ac:dyDescent="0.35">
      <c r="A175">
        <v>100222362</v>
      </c>
      <c r="B175" t="s">
        <v>28</v>
      </c>
      <c r="C175" t="s">
        <v>29</v>
      </c>
      <c r="D175" t="s">
        <v>65</v>
      </c>
      <c r="E175" s="23">
        <v>45918</v>
      </c>
      <c r="F175" t="s">
        <v>63</v>
      </c>
      <c r="G175" t="s">
        <v>60</v>
      </c>
      <c r="H175" s="26">
        <v>256788410378</v>
      </c>
      <c r="I175" t="s">
        <v>33</v>
      </c>
      <c r="J175">
        <v>1800000503</v>
      </c>
      <c r="K175" t="s">
        <v>41</v>
      </c>
      <c r="L175" s="24">
        <v>46</v>
      </c>
      <c r="M175" s="24" t="s">
        <v>34</v>
      </c>
      <c r="N175" s="24">
        <v>4025.66</v>
      </c>
      <c r="O175" t="s">
        <v>199</v>
      </c>
      <c r="P175">
        <v>45918</v>
      </c>
      <c r="R175" t="s">
        <v>32</v>
      </c>
      <c r="S175" t="e">
        <f>VLOOKUP(H175,TDS!$B$2:$C$70,2,0)</f>
        <v>#N/A</v>
      </c>
      <c r="T175" t="e">
        <f>VLOOKUP(H175,TDS!$B$2:$D$70,3,0)</f>
        <v>#N/A</v>
      </c>
    </row>
    <row r="176" spans="1:20" hidden="1" x14ac:dyDescent="0.35">
      <c r="A176">
        <v>100222362</v>
      </c>
      <c r="B176" t="s">
        <v>28</v>
      </c>
      <c r="C176" t="s">
        <v>29</v>
      </c>
      <c r="D176" t="s">
        <v>162</v>
      </c>
      <c r="E176" s="23">
        <v>45996</v>
      </c>
      <c r="F176" t="s">
        <v>63</v>
      </c>
      <c r="G176" t="s">
        <v>60</v>
      </c>
      <c r="H176" s="26">
        <v>256788410474</v>
      </c>
      <c r="I176" t="s">
        <v>33</v>
      </c>
      <c r="J176">
        <v>1800000601</v>
      </c>
      <c r="K176" t="s">
        <v>41</v>
      </c>
      <c r="L176" s="24">
        <v>238</v>
      </c>
      <c r="M176" s="24" t="s">
        <v>34</v>
      </c>
      <c r="N176" s="24">
        <v>21110.63</v>
      </c>
      <c r="O176" t="s">
        <v>200</v>
      </c>
      <c r="P176">
        <v>45996</v>
      </c>
      <c r="R176" t="s">
        <v>32</v>
      </c>
      <c r="S176" t="e">
        <f>VLOOKUP(H176,TDS!$B$2:$C$70,2,0)</f>
        <v>#N/A</v>
      </c>
      <c r="T176" t="e">
        <f>VLOOKUP(H176,TDS!$B$2:$D$70,3,0)</f>
        <v>#N/A</v>
      </c>
    </row>
    <row r="177" spans="1:20" hidden="1" x14ac:dyDescent="0.35">
      <c r="A177">
        <v>100222362</v>
      </c>
      <c r="B177" t="s">
        <v>28</v>
      </c>
      <c r="C177" t="s">
        <v>29</v>
      </c>
      <c r="D177" t="s">
        <v>162</v>
      </c>
      <c r="E177" s="23">
        <v>45996</v>
      </c>
      <c r="F177" t="s">
        <v>63</v>
      </c>
      <c r="G177" t="s">
        <v>60</v>
      </c>
      <c r="H177" s="26">
        <v>256788410475</v>
      </c>
      <c r="I177" t="s">
        <v>33</v>
      </c>
      <c r="J177">
        <v>1800000602</v>
      </c>
      <c r="K177" t="s">
        <v>41</v>
      </c>
      <c r="L177" s="24">
        <v>40</v>
      </c>
      <c r="M177" s="24" t="s">
        <v>34</v>
      </c>
      <c r="N177" s="24">
        <v>3548.01</v>
      </c>
      <c r="O177" t="s">
        <v>201</v>
      </c>
      <c r="P177">
        <v>45996</v>
      </c>
      <c r="R177" t="s">
        <v>32</v>
      </c>
      <c r="S177" t="e">
        <f>VLOOKUP(H177,TDS!$B$2:$C$70,2,0)</f>
        <v>#N/A</v>
      </c>
      <c r="T177" t="e">
        <f>VLOOKUP(H177,TDS!$B$2:$D$70,3,0)</f>
        <v>#N/A</v>
      </c>
    </row>
    <row r="178" spans="1:20" hidden="1" x14ac:dyDescent="0.35">
      <c r="A178">
        <v>100222362</v>
      </c>
      <c r="B178" t="s">
        <v>28</v>
      </c>
      <c r="C178" t="s">
        <v>29</v>
      </c>
      <c r="D178" t="s">
        <v>162</v>
      </c>
      <c r="E178" s="23">
        <v>45996</v>
      </c>
      <c r="F178" t="s">
        <v>63</v>
      </c>
      <c r="G178" t="s">
        <v>60</v>
      </c>
      <c r="H178" s="26">
        <v>256788410476</v>
      </c>
      <c r="I178" t="s">
        <v>33</v>
      </c>
      <c r="J178">
        <v>1800000603</v>
      </c>
      <c r="K178" t="s">
        <v>41</v>
      </c>
      <c r="L178" s="24">
        <v>200</v>
      </c>
      <c r="M178" s="24" t="s">
        <v>34</v>
      </c>
      <c r="N178" s="24">
        <v>17740.03</v>
      </c>
      <c r="O178" t="s">
        <v>200</v>
      </c>
      <c r="P178">
        <v>45996</v>
      </c>
      <c r="R178" t="s">
        <v>32</v>
      </c>
      <c r="S178" t="e">
        <f>VLOOKUP(H178,TDS!$B$2:$C$70,2,0)</f>
        <v>#N/A</v>
      </c>
      <c r="T178" t="e">
        <f>VLOOKUP(H178,TDS!$B$2:$D$70,3,0)</f>
        <v>#N/A</v>
      </c>
    </row>
    <row r="179" spans="1:20" hidden="1" x14ac:dyDescent="0.35">
      <c r="A179">
        <v>100222362</v>
      </c>
      <c r="B179" t="s">
        <v>28</v>
      </c>
      <c r="C179" t="s">
        <v>29</v>
      </c>
      <c r="D179" t="s">
        <v>162</v>
      </c>
      <c r="E179" s="23">
        <v>45996</v>
      </c>
      <c r="F179" t="s">
        <v>63</v>
      </c>
      <c r="G179" t="s">
        <v>60</v>
      </c>
      <c r="H179" s="26">
        <v>256788410477</v>
      </c>
      <c r="I179" t="s">
        <v>33</v>
      </c>
      <c r="J179">
        <v>1800000604</v>
      </c>
      <c r="K179" t="s">
        <v>41</v>
      </c>
      <c r="L179" s="24">
        <v>6.6</v>
      </c>
      <c r="M179" s="24" t="s">
        <v>34</v>
      </c>
      <c r="N179" s="24">
        <v>585.41999999999996</v>
      </c>
      <c r="O179" t="s">
        <v>202</v>
      </c>
      <c r="P179">
        <v>45996</v>
      </c>
      <c r="R179" t="s">
        <v>32</v>
      </c>
      <c r="S179" t="e">
        <f>VLOOKUP(H179,TDS!$B$2:$C$70,2,0)</f>
        <v>#N/A</v>
      </c>
      <c r="T179" t="e">
        <f>VLOOKUP(H179,TDS!$B$2:$D$70,3,0)</f>
        <v>#N/A</v>
      </c>
    </row>
    <row r="180" spans="1:20" hidden="1" x14ac:dyDescent="0.35">
      <c r="A180">
        <v>100222362</v>
      </c>
      <c r="B180" t="s">
        <v>28</v>
      </c>
      <c r="C180" t="s">
        <v>29</v>
      </c>
      <c r="D180" t="s">
        <v>162</v>
      </c>
      <c r="E180" s="23">
        <v>45996</v>
      </c>
      <c r="F180" t="s">
        <v>63</v>
      </c>
      <c r="G180" t="s">
        <v>60</v>
      </c>
      <c r="H180" s="26">
        <v>256788410479</v>
      </c>
      <c r="I180" t="s">
        <v>33</v>
      </c>
      <c r="J180">
        <v>1800000606</v>
      </c>
      <c r="K180" t="s">
        <v>41</v>
      </c>
      <c r="L180" s="24">
        <v>250.24</v>
      </c>
      <c r="M180" s="24" t="s">
        <v>34</v>
      </c>
      <c r="N180" s="24">
        <v>22196.32</v>
      </c>
      <c r="O180" t="s">
        <v>203</v>
      </c>
      <c r="P180">
        <v>45996</v>
      </c>
      <c r="R180" t="s">
        <v>32</v>
      </c>
      <c r="S180" t="e">
        <f>VLOOKUP(H180,TDS!$B$2:$C$70,2,0)</f>
        <v>#N/A</v>
      </c>
      <c r="T180" t="e">
        <f>VLOOKUP(H180,TDS!$B$2:$D$70,3,0)</f>
        <v>#N/A</v>
      </c>
    </row>
    <row r="181" spans="1:20" x14ac:dyDescent="0.35">
      <c r="A181">
        <v>100222362</v>
      </c>
      <c r="B181" t="s">
        <v>28</v>
      </c>
      <c r="C181" t="s">
        <v>29</v>
      </c>
      <c r="D181" t="s">
        <v>38</v>
      </c>
      <c r="E181" s="23">
        <v>45709</v>
      </c>
      <c r="F181" t="s">
        <v>63</v>
      </c>
      <c r="G181" t="s">
        <v>60</v>
      </c>
      <c r="H181" s="26">
        <v>246788410024</v>
      </c>
      <c r="I181" t="s">
        <v>33</v>
      </c>
      <c r="J181">
        <v>1800000041</v>
      </c>
      <c r="K181" t="s">
        <v>41</v>
      </c>
      <c r="L181" s="24">
        <v>3980.4</v>
      </c>
      <c r="M181" s="24" t="s">
        <v>34</v>
      </c>
      <c r="N181" s="24">
        <v>343523.09</v>
      </c>
      <c r="O181" t="s">
        <v>204</v>
      </c>
      <c r="P181">
        <v>45709</v>
      </c>
      <c r="R181" t="s">
        <v>32</v>
      </c>
      <c r="S181">
        <f>VLOOKUP(H181,TDS!$B$2:$C$70,2,0)</f>
        <v>34560</v>
      </c>
      <c r="T181" t="str">
        <f>VLOOKUP(H181,TDS!$B$2:$D$70,3,0)</f>
        <v>194I</v>
      </c>
    </row>
    <row r="182" spans="1:20" hidden="1" x14ac:dyDescent="0.35">
      <c r="A182">
        <v>100222362</v>
      </c>
      <c r="B182" t="s">
        <v>28</v>
      </c>
      <c r="C182" t="s">
        <v>29</v>
      </c>
      <c r="D182" t="s">
        <v>47</v>
      </c>
      <c r="E182" s="23">
        <v>45937</v>
      </c>
      <c r="F182" t="s">
        <v>63</v>
      </c>
      <c r="G182" t="s">
        <v>60</v>
      </c>
      <c r="H182" s="26">
        <v>256788410429</v>
      </c>
      <c r="I182" t="s">
        <v>33</v>
      </c>
      <c r="J182">
        <v>1800000554</v>
      </c>
      <c r="K182" t="s">
        <v>41</v>
      </c>
      <c r="L182" s="24">
        <v>2.25</v>
      </c>
      <c r="M182" s="24" t="s">
        <v>34</v>
      </c>
      <c r="N182" s="24">
        <v>198.43</v>
      </c>
      <c r="O182" t="s">
        <v>205</v>
      </c>
      <c r="P182">
        <v>45937</v>
      </c>
      <c r="R182" t="s">
        <v>32</v>
      </c>
      <c r="S182" t="e">
        <f>VLOOKUP(H182,TDS!$B$2:$C$70,2,0)</f>
        <v>#N/A</v>
      </c>
      <c r="T182" t="e">
        <f>VLOOKUP(H182,TDS!$B$2:$D$70,3,0)</f>
        <v>#N/A</v>
      </c>
    </row>
    <row r="183" spans="1:20" hidden="1" x14ac:dyDescent="0.35">
      <c r="A183">
        <v>100222362</v>
      </c>
      <c r="B183" t="s">
        <v>28</v>
      </c>
      <c r="C183" t="s">
        <v>29</v>
      </c>
      <c r="D183" t="s">
        <v>47</v>
      </c>
      <c r="E183" s="23">
        <v>45937</v>
      </c>
      <c r="F183" t="s">
        <v>63</v>
      </c>
      <c r="G183" t="s">
        <v>60</v>
      </c>
      <c r="H183" s="26">
        <v>256788410430</v>
      </c>
      <c r="I183" t="s">
        <v>33</v>
      </c>
      <c r="J183">
        <v>1800000555</v>
      </c>
      <c r="K183" t="s">
        <v>41</v>
      </c>
      <c r="L183" s="24">
        <v>2</v>
      </c>
      <c r="M183" s="24" t="s">
        <v>34</v>
      </c>
      <c r="N183" s="24">
        <v>176.38</v>
      </c>
      <c r="O183" t="s">
        <v>206</v>
      </c>
      <c r="P183">
        <v>45937</v>
      </c>
      <c r="R183" t="s">
        <v>32</v>
      </c>
      <c r="S183" t="e">
        <f>VLOOKUP(H183,TDS!$B$2:$C$70,2,0)</f>
        <v>#N/A</v>
      </c>
      <c r="T183" t="e">
        <f>VLOOKUP(H183,TDS!$B$2:$D$70,3,0)</f>
        <v>#N/A</v>
      </c>
    </row>
    <row r="184" spans="1:20" x14ac:dyDescent="0.35">
      <c r="A184">
        <v>100222362</v>
      </c>
      <c r="B184" t="s">
        <v>28</v>
      </c>
      <c r="C184" t="s">
        <v>29</v>
      </c>
      <c r="D184" t="s">
        <v>90</v>
      </c>
      <c r="E184" s="23">
        <v>45857</v>
      </c>
      <c r="F184" t="s">
        <v>63</v>
      </c>
      <c r="G184" t="s">
        <v>60</v>
      </c>
      <c r="H184" s="26">
        <v>256788410264</v>
      </c>
      <c r="I184" t="s">
        <v>33</v>
      </c>
      <c r="J184">
        <v>1800000388</v>
      </c>
      <c r="K184" t="s">
        <v>41</v>
      </c>
      <c r="L184" s="24">
        <v>4.6399999999999997</v>
      </c>
      <c r="M184" s="24" t="s">
        <v>34</v>
      </c>
      <c r="N184" s="24">
        <v>399.04</v>
      </c>
      <c r="O184" t="s">
        <v>207</v>
      </c>
      <c r="P184">
        <v>45857</v>
      </c>
      <c r="R184" t="s">
        <v>32</v>
      </c>
      <c r="S184">
        <f>VLOOKUP(H184,TDS!$B$2:$C$70,2,0)</f>
        <v>7.98</v>
      </c>
      <c r="T184" t="str">
        <f>VLOOKUP(H184,TDS!$B$2:$D$70,3,0)</f>
        <v>194C</v>
      </c>
    </row>
    <row r="185" spans="1:20" x14ac:dyDescent="0.35">
      <c r="A185">
        <v>100222362</v>
      </c>
      <c r="B185" t="s">
        <v>28</v>
      </c>
      <c r="C185" t="s">
        <v>29</v>
      </c>
      <c r="D185" t="s">
        <v>80</v>
      </c>
      <c r="E185" s="23">
        <v>45787</v>
      </c>
      <c r="F185" t="s">
        <v>63</v>
      </c>
      <c r="G185" t="s">
        <v>60</v>
      </c>
      <c r="H185" s="26">
        <v>256779413241</v>
      </c>
      <c r="I185" t="s">
        <v>33</v>
      </c>
      <c r="J185">
        <v>1800008358</v>
      </c>
      <c r="K185" t="s">
        <v>41</v>
      </c>
      <c r="L185" s="24">
        <v>1054.79</v>
      </c>
      <c r="M185" s="24" t="s">
        <v>34</v>
      </c>
      <c r="N185" s="24">
        <v>90694.75</v>
      </c>
      <c r="O185" t="s">
        <v>208</v>
      </c>
      <c r="P185">
        <v>45787</v>
      </c>
      <c r="R185" t="s">
        <v>32</v>
      </c>
      <c r="S185">
        <f>VLOOKUP(H185,TDS!$B$2:$C$70,2,0)</f>
        <v>1814</v>
      </c>
      <c r="T185" t="str">
        <f>VLOOKUP(H185,TDS!$B$2:$D$70,3,0)</f>
        <v>194C</v>
      </c>
    </row>
    <row r="186" spans="1:20" hidden="1" x14ac:dyDescent="0.35">
      <c r="A186">
        <v>100222362</v>
      </c>
      <c r="B186" t="s">
        <v>28</v>
      </c>
      <c r="C186" t="s">
        <v>29</v>
      </c>
      <c r="D186" t="s">
        <v>80</v>
      </c>
      <c r="E186" s="23">
        <v>45787</v>
      </c>
      <c r="F186" t="s">
        <v>63</v>
      </c>
      <c r="G186" t="s">
        <v>60</v>
      </c>
      <c r="H186" s="26">
        <v>256788410207</v>
      </c>
      <c r="I186" t="s">
        <v>33</v>
      </c>
      <c r="J186">
        <v>1800000332</v>
      </c>
      <c r="K186" t="s">
        <v>41</v>
      </c>
      <c r="L186" s="24">
        <v>96.66</v>
      </c>
      <c r="M186" s="24" t="s">
        <v>34</v>
      </c>
      <c r="N186" s="24">
        <v>8311.18</v>
      </c>
      <c r="O186" t="s">
        <v>209</v>
      </c>
      <c r="P186">
        <v>45787</v>
      </c>
      <c r="R186" t="s">
        <v>32</v>
      </c>
      <c r="S186" t="e">
        <f>VLOOKUP(H186,TDS!$B$2:$C$70,2,0)</f>
        <v>#N/A</v>
      </c>
      <c r="T186" t="e">
        <f>VLOOKUP(H186,TDS!$B$2:$D$70,3,0)</f>
        <v>#N/A</v>
      </c>
    </row>
    <row r="187" spans="1:20" hidden="1" x14ac:dyDescent="0.35">
      <c r="A187">
        <v>100222362</v>
      </c>
      <c r="B187" t="s">
        <v>28</v>
      </c>
      <c r="C187" t="s">
        <v>29</v>
      </c>
      <c r="D187" t="s">
        <v>80</v>
      </c>
      <c r="E187" s="23">
        <v>45787</v>
      </c>
      <c r="F187" t="s">
        <v>63</v>
      </c>
      <c r="G187" t="s">
        <v>60</v>
      </c>
      <c r="H187" s="26">
        <v>256788410208</v>
      </c>
      <c r="I187" t="s">
        <v>33</v>
      </c>
      <c r="J187">
        <v>1800000333</v>
      </c>
      <c r="K187" t="s">
        <v>41</v>
      </c>
      <c r="L187" s="24">
        <v>75</v>
      </c>
      <c r="M187" s="24" t="s">
        <v>34</v>
      </c>
      <c r="N187" s="24">
        <v>6448.78</v>
      </c>
      <c r="O187" t="s">
        <v>210</v>
      </c>
      <c r="P187">
        <v>45787</v>
      </c>
      <c r="R187" t="s">
        <v>32</v>
      </c>
      <c r="S187" t="e">
        <f>VLOOKUP(H187,TDS!$B$2:$C$70,2,0)</f>
        <v>#N/A</v>
      </c>
      <c r="T187" t="e">
        <f>VLOOKUP(H187,TDS!$B$2:$D$70,3,0)</f>
        <v>#N/A</v>
      </c>
    </row>
    <row r="188" spans="1:20" x14ac:dyDescent="0.35">
      <c r="A188">
        <v>100222362</v>
      </c>
      <c r="B188" t="s">
        <v>28</v>
      </c>
      <c r="C188" t="s">
        <v>29</v>
      </c>
      <c r="D188" t="s">
        <v>80</v>
      </c>
      <c r="E188" s="23">
        <v>45787</v>
      </c>
      <c r="F188" t="s">
        <v>63</v>
      </c>
      <c r="G188" t="s">
        <v>60</v>
      </c>
      <c r="H188" s="26">
        <v>256788410215</v>
      </c>
      <c r="I188" t="s">
        <v>33</v>
      </c>
      <c r="J188">
        <v>1800000340</v>
      </c>
      <c r="K188" t="s">
        <v>41</v>
      </c>
      <c r="L188" s="24">
        <v>2336.5100000000002</v>
      </c>
      <c r="M188" s="24" t="s">
        <v>34</v>
      </c>
      <c r="N188" s="24">
        <v>200901.77</v>
      </c>
      <c r="O188" t="s">
        <v>211</v>
      </c>
      <c r="P188">
        <v>45787</v>
      </c>
      <c r="R188" t="s">
        <v>32</v>
      </c>
      <c r="S188">
        <f>VLOOKUP(H188,TDS!$B$2:$C$70,2,0)</f>
        <v>20090</v>
      </c>
      <c r="T188" t="str">
        <f>VLOOKUP(H188,TDS!$B$2:$D$70,3,0)</f>
        <v>194I</v>
      </c>
    </row>
    <row r="189" spans="1:20" hidden="1" x14ac:dyDescent="0.35">
      <c r="A189">
        <v>100222362</v>
      </c>
      <c r="B189" t="s">
        <v>28</v>
      </c>
      <c r="C189" t="s">
        <v>29</v>
      </c>
      <c r="D189" t="s">
        <v>47</v>
      </c>
      <c r="E189" s="23">
        <v>45948</v>
      </c>
      <c r="F189" t="s">
        <v>63</v>
      </c>
      <c r="G189" t="s">
        <v>60</v>
      </c>
      <c r="H189" s="26">
        <v>256788410432</v>
      </c>
      <c r="I189" t="s">
        <v>33</v>
      </c>
      <c r="J189">
        <v>1800000561</v>
      </c>
      <c r="K189" t="s">
        <v>41</v>
      </c>
      <c r="L189" s="24">
        <v>393.41</v>
      </c>
      <c r="M189" s="24" t="s">
        <v>34</v>
      </c>
      <c r="N189" s="24">
        <v>34695.129999999997</v>
      </c>
      <c r="O189" t="s">
        <v>212</v>
      </c>
      <c r="P189">
        <v>45948</v>
      </c>
      <c r="R189" t="s">
        <v>32</v>
      </c>
      <c r="S189" t="e">
        <f>VLOOKUP(H189,TDS!$B$2:$C$70,2,0)</f>
        <v>#N/A</v>
      </c>
      <c r="T189" t="e">
        <f>VLOOKUP(H189,TDS!$B$2:$D$70,3,0)</f>
        <v>#N/A</v>
      </c>
    </row>
    <row r="190" spans="1:20" hidden="1" x14ac:dyDescent="0.35">
      <c r="A190">
        <v>100222362</v>
      </c>
      <c r="B190" t="s">
        <v>28</v>
      </c>
      <c r="C190" t="s">
        <v>29</v>
      </c>
      <c r="D190" t="s">
        <v>47</v>
      </c>
      <c r="E190" s="23">
        <v>45948</v>
      </c>
      <c r="F190" t="s">
        <v>63</v>
      </c>
      <c r="G190" t="s">
        <v>60</v>
      </c>
      <c r="H190" s="26">
        <v>256788410433</v>
      </c>
      <c r="I190" t="s">
        <v>33</v>
      </c>
      <c r="J190">
        <v>1800000562</v>
      </c>
      <c r="K190" t="s">
        <v>41</v>
      </c>
      <c r="L190" s="24">
        <v>20.39</v>
      </c>
      <c r="M190" s="24" t="s">
        <v>34</v>
      </c>
      <c r="N190" s="24">
        <v>1798.21</v>
      </c>
      <c r="O190" t="s">
        <v>213</v>
      </c>
      <c r="P190">
        <v>45948</v>
      </c>
      <c r="R190" t="s">
        <v>32</v>
      </c>
      <c r="S190" t="e">
        <f>VLOOKUP(H190,TDS!$B$2:$C$70,2,0)</f>
        <v>#N/A</v>
      </c>
      <c r="T190" t="e">
        <f>VLOOKUP(H190,TDS!$B$2:$D$70,3,0)</f>
        <v>#N/A</v>
      </c>
    </row>
    <row r="191" spans="1:20" hidden="1" x14ac:dyDescent="0.35">
      <c r="A191">
        <v>100222362</v>
      </c>
      <c r="B191" t="s">
        <v>28</v>
      </c>
      <c r="C191" t="s">
        <v>29</v>
      </c>
      <c r="D191" t="s">
        <v>76</v>
      </c>
      <c r="E191" s="23">
        <v>45815</v>
      </c>
      <c r="F191" t="s">
        <v>63</v>
      </c>
      <c r="G191" t="s">
        <v>60</v>
      </c>
      <c r="H191" s="26">
        <v>256779414250</v>
      </c>
      <c r="I191" t="s">
        <v>33</v>
      </c>
      <c r="J191">
        <v>1800009486</v>
      </c>
      <c r="K191" t="s">
        <v>41</v>
      </c>
      <c r="L191" s="24">
        <v>10597.07</v>
      </c>
      <c r="M191" s="24" t="s">
        <v>34</v>
      </c>
      <c r="N191" s="24">
        <v>905951.78</v>
      </c>
      <c r="O191" t="s">
        <v>214</v>
      </c>
      <c r="P191">
        <v>45815</v>
      </c>
      <c r="R191" t="s">
        <v>32</v>
      </c>
      <c r="S191" t="e">
        <f>VLOOKUP(H191,TDS!$B$2:$C$70,2,0)</f>
        <v>#N/A</v>
      </c>
      <c r="T191" t="e">
        <f>VLOOKUP(H191,TDS!$B$2:$D$70,3,0)</f>
        <v>#N/A</v>
      </c>
    </row>
    <row r="192" spans="1:20" hidden="1" x14ac:dyDescent="0.35">
      <c r="A192">
        <v>100222362</v>
      </c>
      <c r="B192" t="s">
        <v>28</v>
      </c>
      <c r="C192" t="s">
        <v>29</v>
      </c>
      <c r="D192" t="s">
        <v>47</v>
      </c>
      <c r="E192" s="23">
        <v>45936</v>
      </c>
      <c r="F192" t="s">
        <v>63</v>
      </c>
      <c r="G192" t="s">
        <v>60</v>
      </c>
      <c r="H192" s="26">
        <v>256788410427</v>
      </c>
      <c r="I192" t="s">
        <v>33</v>
      </c>
      <c r="J192">
        <v>1800000552</v>
      </c>
      <c r="K192" t="s">
        <v>41</v>
      </c>
      <c r="L192" s="24">
        <v>11372.78</v>
      </c>
      <c r="M192" s="24" t="s">
        <v>34</v>
      </c>
      <c r="N192" s="24">
        <v>1002974.23</v>
      </c>
      <c r="O192" t="s">
        <v>215</v>
      </c>
      <c r="P192">
        <v>45936</v>
      </c>
      <c r="R192" t="s">
        <v>32</v>
      </c>
      <c r="S192" t="e">
        <f>VLOOKUP(H192,TDS!$B$2:$C$70,2,0)</f>
        <v>#N/A</v>
      </c>
      <c r="T192" t="e">
        <f>VLOOKUP(H192,TDS!$B$2:$D$70,3,0)</f>
        <v>#N/A</v>
      </c>
    </row>
    <row r="193" spans="1:20" hidden="1" x14ac:dyDescent="0.35">
      <c r="A193">
        <v>100222362</v>
      </c>
      <c r="B193" t="s">
        <v>28</v>
      </c>
      <c r="C193" t="s">
        <v>29</v>
      </c>
      <c r="D193" t="s">
        <v>47</v>
      </c>
      <c r="E193" s="23">
        <v>45935</v>
      </c>
      <c r="F193" t="s">
        <v>63</v>
      </c>
      <c r="G193" t="s">
        <v>60</v>
      </c>
      <c r="H193" s="26">
        <v>256788410409</v>
      </c>
      <c r="I193" t="s">
        <v>33</v>
      </c>
      <c r="J193">
        <v>1800000536</v>
      </c>
      <c r="K193" t="s">
        <v>41</v>
      </c>
      <c r="L193" s="24">
        <v>1211.9000000000001</v>
      </c>
      <c r="M193" s="24" t="s">
        <v>34</v>
      </c>
      <c r="N193" s="24">
        <v>106878.39</v>
      </c>
      <c r="O193" t="s">
        <v>216</v>
      </c>
      <c r="P193">
        <v>45935</v>
      </c>
      <c r="R193" t="s">
        <v>32</v>
      </c>
      <c r="S193" t="e">
        <f>VLOOKUP(H193,TDS!$B$2:$C$70,2,0)</f>
        <v>#N/A</v>
      </c>
      <c r="T193" t="e">
        <f>VLOOKUP(H193,TDS!$B$2:$D$70,3,0)</f>
        <v>#N/A</v>
      </c>
    </row>
    <row r="194" spans="1:20" hidden="1" x14ac:dyDescent="0.35">
      <c r="A194">
        <v>100222362</v>
      </c>
      <c r="B194" t="s">
        <v>28</v>
      </c>
      <c r="C194" t="s">
        <v>29</v>
      </c>
      <c r="D194" t="s">
        <v>47</v>
      </c>
      <c r="E194" s="23">
        <v>45935</v>
      </c>
      <c r="F194" t="s">
        <v>63</v>
      </c>
      <c r="G194" t="s">
        <v>60</v>
      </c>
      <c r="H194" s="26">
        <v>256788410410</v>
      </c>
      <c r="I194" t="s">
        <v>33</v>
      </c>
      <c r="J194">
        <v>1800000537</v>
      </c>
      <c r="K194" t="s">
        <v>41</v>
      </c>
      <c r="L194" s="24">
        <v>40</v>
      </c>
      <c r="M194" s="24" t="s">
        <v>34</v>
      </c>
      <c r="N194" s="24">
        <v>3527.63</v>
      </c>
      <c r="O194" t="s">
        <v>217</v>
      </c>
      <c r="P194">
        <v>45935</v>
      </c>
      <c r="R194" t="s">
        <v>32</v>
      </c>
      <c r="S194" t="e">
        <f>VLOOKUP(H194,TDS!$B$2:$C$70,2,0)</f>
        <v>#N/A</v>
      </c>
      <c r="T194" t="e">
        <f>VLOOKUP(H194,TDS!$B$2:$D$70,3,0)</f>
        <v>#N/A</v>
      </c>
    </row>
    <row r="195" spans="1:20" hidden="1" x14ac:dyDescent="0.35">
      <c r="A195">
        <v>100222362</v>
      </c>
      <c r="B195" t="s">
        <v>28</v>
      </c>
      <c r="C195" t="s">
        <v>29</v>
      </c>
      <c r="D195" t="s">
        <v>47</v>
      </c>
      <c r="E195" s="23">
        <v>45935</v>
      </c>
      <c r="F195" t="s">
        <v>63</v>
      </c>
      <c r="G195" t="s">
        <v>60</v>
      </c>
      <c r="H195" s="26">
        <v>256788410411</v>
      </c>
      <c r="I195" t="s">
        <v>33</v>
      </c>
      <c r="J195">
        <v>1800000538</v>
      </c>
      <c r="K195" t="s">
        <v>41</v>
      </c>
      <c r="L195" s="24">
        <v>11.26</v>
      </c>
      <c r="M195" s="24" t="s">
        <v>34</v>
      </c>
      <c r="N195" s="24">
        <v>993.03</v>
      </c>
      <c r="O195" t="s">
        <v>218</v>
      </c>
      <c r="P195">
        <v>45935</v>
      </c>
      <c r="R195" t="s">
        <v>32</v>
      </c>
      <c r="S195" t="e">
        <f>VLOOKUP(H195,TDS!$B$2:$C$70,2,0)</f>
        <v>#N/A</v>
      </c>
      <c r="T195" t="e">
        <f>VLOOKUP(H195,TDS!$B$2:$D$70,3,0)</f>
        <v>#N/A</v>
      </c>
    </row>
    <row r="196" spans="1:20" hidden="1" x14ac:dyDescent="0.35">
      <c r="A196">
        <v>100222362</v>
      </c>
      <c r="B196" t="s">
        <v>28</v>
      </c>
      <c r="C196" t="s">
        <v>29</v>
      </c>
      <c r="D196" t="s">
        <v>47</v>
      </c>
      <c r="E196" s="23">
        <v>45935</v>
      </c>
      <c r="F196" t="s">
        <v>63</v>
      </c>
      <c r="G196" t="s">
        <v>60</v>
      </c>
      <c r="H196" s="26">
        <v>256788410413</v>
      </c>
      <c r="I196" t="s">
        <v>33</v>
      </c>
      <c r="J196">
        <v>1800000534</v>
      </c>
      <c r="K196" t="s">
        <v>41</v>
      </c>
      <c r="L196" s="24">
        <v>8</v>
      </c>
      <c r="M196" s="24" t="s">
        <v>34</v>
      </c>
      <c r="N196" s="24">
        <v>705.53</v>
      </c>
      <c r="O196" t="s">
        <v>219</v>
      </c>
      <c r="P196">
        <v>45935</v>
      </c>
      <c r="R196" t="s">
        <v>32</v>
      </c>
      <c r="S196" t="e">
        <f>VLOOKUP(H196,TDS!$B$2:$C$70,2,0)</f>
        <v>#N/A</v>
      </c>
      <c r="T196" t="e">
        <f>VLOOKUP(H196,TDS!$B$2:$D$70,3,0)</f>
        <v>#N/A</v>
      </c>
    </row>
    <row r="197" spans="1:20" hidden="1" x14ac:dyDescent="0.35">
      <c r="A197">
        <v>100222362</v>
      </c>
      <c r="B197" t="s">
        <v>28</v>
      </c>
      <c r="C197" t="s">
        <v>29</v>
      </c>
      <c r="D197" t="s">
        <v>47</v>
      </c>
      <c r="E197" s="23">
        <v>45935</v>
      </c>
      <c r="F197" t="s">
        <v>63</v>
      </c>
      <c r="G197" t="s">
        <v>60</v>
      </c>
      <c r="H197" s="26">
        <v>256788410414</v>
      </c>
      <c r="I197" t="s">
        <v>33</v>
      </c>
      <c r="J197">
        <v>1800000539</v>
      </c>
      <c r="K197" t="s">
        <v>41</v>
      </c>
      <c r="L197" s="24">
        <v>1119.04</v>
      </c>
      <c r="M197" s="24" t="s">
        <v>34</v>
      </c>
      <c r="N197" s="24">
        <v>98689</v>
      </c>
      <c r="O197" t="s">
        <v>220</v>
      </c>
      <c r="P197">
        <v>45935</v>
      </c>
      <c r="R197" t="s">
        <v>32</v>
      </c>
      <c r="S197" t="e">
        <f>VLOOKUP(H197,TDS!$B$2:$C$70,2,0)</f>
        <v>#N/A</v>
      </c>
      <c r="T197" t="e">
        <f>VLOOKUP(H197,TDS!$B$2:$D$70,3,0)</f>
        <v>#N/A</v>
      </c>
    </row>
    <row r="198" spans="1:20" hidden="1" x14ac:dyDescent="0.35">
      <c r="A198">
        <v>100222362</v>
      </c>
      <c r="B198" t="s">
        <v>28</v>
      </c>
      <c r="C198" t="s">
        <v>29</v>
      </c>
      <c r="D198" t="s">
        <v>47</v>
      </c>
      <c r="E198" s="23">
        <v>45935</v>
      </c>
      <c r="F198" t="s">
        <v>63</v>
      </c>
      <c r="G198" t="s">
        <v>60</v>
      </c>
      <c r="H198" s="26">
        <v>256788410415</v>
      </c>
      <c r="I198" t="s">
        <v>33</v>
      </c>
      <c r="J198">
        <v>1800000540</v>
      </c>
      <c r="K198" t="s">
        <v>41</v>
      </c>
      <c r="L198" s="24">
        <v>47.84</v>
      </c>
      <c r="M198" s="24" t="s">
        <v>34</v>
      </c>
      <c r="N198" s="24">
        <v>4219.05</v>
      </c>
      <c r="O198" t="s">
        <v>221</v>
      </c>
      <c r="P198">
        <v>45935</v>
      </c>
      <c r="R198" t="s">
        <v>32</v>
      </c>
      <c r="S198" t="e">
        <f>VLOOKUP(H198,TDS!$B$2:$C$70,2,0)</f>
        <v>#N/A</v>
      </c>
      <c r="T198" t="e">
        <f>VLOOKUP(H198,TDS!$B$2:$D$70,3,0)</f>
        <v>#N/A</v>
      </c>
    </row>
    <row r="199" spans="1:20" hidden="1" x14ac:dyDescent="0.35">
      <c r="A199">
        <v>100222362</v>
      </c>
      <c r="B199" t="s">
        <v>28</v>
      </c>
      <c r="C199" t="s">
        <v>29</v>
      </c>
      <c r="D199" t="s">
        <v>47</v>
      </c>
      <c r="E199" s="23">
        <v>45935</v>
      </c>
      <c r="F199" t="s">
        <v>63</v>
      </c>
      <c r="G199" t="s">
        <v>60</v>
      </c>
      <c r="H199" s="26">
        <v>256788410420</v>
      </c>
      <c r="I199" t="s">
        <v>33</v>
      </c>
      <c r="J199">
        <v>1800000545</v>
      </c>
      <c r="K199" t="s">
        <v>41</v>
      </c>
      <c r="L199" s="24">
        <v>75</v>
      </c>
      <c r="M199" s="24" t="s">
        <v>34</v>
      </c>
      <c r="N199" s="24">
        <v>6614.31</v>
      </c>
      <c r="O199" t="s">
        <v>222</v>
      </c>
      <c r="P199">
        <v>45935</v>
      </c>
      <c r="R199" t="s">
        <v>32</v>
      </c>
      <c r="S199" t="e">
        <f>VLOOKUP(H199,TDS!$B$2:$C$70,2,0)</f>
        <v>#N/A</v>
      </c>
      <c r="T199" t="e">
        <f>VLOOKUP(H199,TDS!$B$2:$D$70,3,0)</f>
        <v>#N/A</v>
      </c>
    </row>
    <row r="200" spans="1:20" hidden="1" x14ac:dyDescent="0.35">
      <c r="A200">
        <v>100222362</v>
      </c>
      <c r="B200" t="s">
        <v>28</v>
      </c>
      <c r="C200" t="s">
        <v>29</v>
      </c>
      <c r="D200" t="s">
        <v>47</v>
      </c>
      <c r="E200" s="23">
        <v>45935</v>
      </c>
      <c r="F200" t="s">
        <v>63</v>
      </c>
      <c r="G200" t="s">
        <v>60</v>
      </c>
      <c r="H200" s="26">
        <v>256788410431</v>
      </c>
      <c r="I200" t="s">
        <v>33</v>
      </c>
      <c r="J200">
        <v>1800000556</v>
      </c>
      <c r="K200" t="s">
        <v>41</v>
      </c>
      <c r="L200" s="24">
        <v>250.08</v>
      </c>
      <c r="M200" s="24" t="s">
        <v>34</v>
      </c>
      <c r="N200" s="24">
        <v>22054.75</v>
      </c>
      <c r="O200" t="s">
        <v>223</v>
      </c>
      <c r="P200">
        <v>45935</v>
      </c>
      <c r="R200" t="s">
        <v>32</v>
      </c>
      <c r="S200" t="e">
        <f>VLOOKUP(H200,TDS!$B$2:$C$70,2,0)</f>
        <v>#N/A</v>
      </c>
      <c r="T200" t="e">
        <f>VLOOKUP(H200,TDS!$B$2:$D$70,3,0)</f>
        <v>#N/A</v>
      </c>
    </row>
    <row r="201" spans="1:20" hidden="1" x14ac:dyDescent="0.35">
      <c r="A201">
        <v>100222362</v>
      </c>
      <c r="B201" t="s">
        <v>28</v>
      </c>
      <c r="C201" t="s">
        <v>29</v>
      </c>
      <c r="D201" t="s">
        <v>47</v>
      </c>
      <c r="E201" s="23">
        <v>45935</v>
      </c>
      <c r="F201" t="s">
        <v>63</v>
      </c>
      <c r="G201" t="s">
        <v>60</v>
      </c>
      <c r="H201" s="26">
        <v>256788410417</v>
      </c>
      <c r="I201" t="s">
        <v>33</v>
      </c>
      <c r="J201">
        <v>1800000542</v>
      </c>
      <c r="K201" t="s">
        <v>41</v>
      </c>
      <c r="L201" s="24">
        <v>1211.9000000000001</v>
      </c>
      <c r="M201" s="24" t="s">
        <v>34</v>
      </c>
      <c r="N201" s="24">
        <v>106878.39</v>
      </c>
      <c r="O201" t="s">
        <v>216</v>
      </c>
      <c r="P201">
        <v>45935</v>
      </c>
      <c r="Q201">
        <v>45976</v>
      </c>
      <c r="R201" t="s">
        <v>62</v>
      </c>
      <c r="S201" t="e">
        <f>VLOOKUP(H201,TDS!$B$2:$C$70,2,0)</f>
        <v>#N/A</v>
      </c>
      <c r="T201" t="e">
        <f>VLOOKUP(H201,TDS!$B$2:$D$70,3,0)</f>
        <v>#N/A</v>
      </c>
    </row>
    <row r="202" spans="1:20" hidden="1" x14ac:dyDescent="0.35">
      <c r="A202">
        <v>100222362</v>
      </c>
      <c r="B202" t="s">
        <v>28</v>
      </c>
      <c r="C202" t="s">
        <v>29</v>
      </c>
      <c r="D202" t="s">
        <v>47</v>
      </c>
      <c r="E202" s="23">
        <v>45935</v>
      </c>
      <c r="F202" t="s">
        <v>63</v>
      </c>
      <c r="G202" t="s">
        <v>60</v>
      </c>
      <c r="H202" s="26">
        <v>256788410418</v>
      </c>
      <c r="I202" t="s">
        <v>33</v>
      </c>
      <c r="J202">
        <v>1800000543</v>
      </c>
      <c r="K202" t="s">
        <v>41</v>
      </c>
      <c r="L202" s="24">
        <v>40</v>
      </c>
      <c r="M202" s="24" t="s">
        <v>34</v>
      </c>
      <c r="N202" s="24">
        <v>3527.63</v>
      </c>
      <c r="O202" t="s">
        <v>217</v>
      </c>
      <c r="P202">
        <v>45935</v>
      </c>
      <c r="Q202">
        <v>45976</v>
      </c>
      <c r="R202" t="s">
        <v>62</v>
      </c>
      <c r="S202" t="e">
        <f>VLOOKUP(H202,TDS!$B$2:$C$70,2,0)</f>
        <v>#N/A</v>
      </c>
      <c r="T202" t="e">
        <f>VLOOKUP(H202,TDS!$B$2:$D$70,3,0)</f>
        <v>#N/A</v>
      </c>
    </row>
    <row r="203" spans="1:20" hidden="1" x14ac:dyDescent="0.35">
      <c r="A203">
        <v>100222362</v>
      </c>
      <c r="B203" t="s">
        <v>28</v>
      </c>
      <c r="C203" t="s">
        <v>29</v>
      </c>
      <c r="D203" t="s">
        <v>47</v>
      </c>
      <c r="E203" s="23">
        <v>45935</v>
      </c>
      <c r="F203" t="s">
        <v>63</v>
      </c>
      <c r="G203" t="s">
        <v>60</v>
      </c>
      <c r="H203" s="26">
        <v>256788410419</v>
      </c>
      <c r="I203" t="s">
        <v>33</v>
      </c>
      <c r="J203">
        <v>1800000544</v>
      </c>
      <c r="K203" t="s">
        <v>41</v>
      </c>
      <c r="L203" s="24">
        <v>11.26</v>
      </c>
      <c r="M203" s="24" t="s">
        <v>34</v>
      </c>
      <c r="N203" s="24">
        <v>993.03</v>
      </c>
      <c r="O203" t="s">
        <v>218</v>
      </c>
      <c r="P203">
        <v>45935</v>
      </c>
      <c r="Q203">
        <v>45976</v>
      </c>
      <c r="R203" t="s">
        <v>62</v>
      </c>
      <c r="S203" t="e">
        <f>VLOOKUP(H203,TDS!$B$2:$C$70,2,0)</f>
        <v>#N/A</v>
      </c>
      <c r="T203" t="e">
        <f>VLOOKUP(H203,TDS!$B$2:$D$70,3,0)</f>
        <v>#N/A</v>
      </c>
    </row>
    <row r="204" spans="1:20" x14ac:dyDescent="0.35">
      <c r="A204">
        <v>100222362</v>
      </c>
      <c r="B204" t="s">
        <v>28</v>
      </c>
      <c r="C204" t="s">
        <v>29</v>
      </c>
      <c r="D204" t="s">
        <v>65</v>
      </c>
      <c r="E204" s="23">
        <v>45906</v>
      </c>
      <c r="F204" t="s">
        <v>63</v>
      </c>
      <c r="G204" t="s">
        <v>60</v>
      </c>
      <c r="H204" s="26">
        <v>256788410357</v>
      </c>
      <c r="I204" t="s">
        <v>33</v>
      </c>
      <c r="J204">
        <v>1800000478</v>
      </c>
      <c r="K204" t="s">
        <v>41</v>
      </c>
      <c r="L204" s="24">
        <v>11371.82</v>
      </c>
      <c r="M204" s="24" t="s">
        <v>34</v>
      </c>
      <c r="N204" s="24">
        <v>995197.21</v>
      </c>
      <c r="O204" t="s">
        <v>224</v>
      </c>
      <c r="P204">
        <v>45906</v>
      </c>
      <c r="R204" t="s">
        <v>32</v>
      </c>
      <c r="S204">
        <f>VLOOKUP(H204,TDS!$B$2:$C$70,2,0)</f>
        <v>99519.72</v>
      </c>
      <c r="T204" t="str">
        <f>VLOOKUP(H204,TDS!$B$2:$D$70,3,0)</f>
        <v>194I</v>
      </c>
    </row>
    <row r="205" spans="1:20" hidden="1" x14ac:dyDescent="0.35">
      <c r="A205">
        <v>100222362</v>
      </c>
      <c r="B205" t="s">
        <v>28</v>
      </c>
      <c r="C205" t="s">
        <v>225</v>
      </c>
      <c r="D205" t="s">
        <v>35</v>
      </c>
      <c r="E205" s="23">
        <v>46027</v>
      </c>
      <c r="F205" t="s">
        <v>63</v>
      </c>
      <c r="G205" t="s">
        <v>60</v>
      </c>
      <c r="H205" s="26">
        <v>256788410483</v>
      </c>
      <c r="I205" t="s">
        <v>33</v>
      </c>
      <c r="J205">
        <v>1800000621</v>
      </c>
      <c r="K205" t="s">
        <v>41</v>
      </c>
      <c r="L205" s="24">
        <v>63.04</v>
      </c>
      <c r="M205" s="24" t="s">
        <v>34</v>
      </c>
      <c r="N205" s="24">
        <v>5720.45</v>
      </c>
      <c r="O205" t="s">
        <v>226</v>
      </c>
      <c r="P205">
        <v>46027</v>
      </c>
      <c r="R205" t="s">
        <v>32</v>
      </c>
      <c r="S205" t="e">
        <f>VLOOKUP(H205,TDS!$B$2:$C$70,2,0)</f>
        <v>#N/A</v>
      </c>
      <c r="T205" t="e">
        <f>VLOOKUP(H205,TDS!$B$2:$D$70,3,0)</f>
        <v>#N/A</v>
      </c>
    </row>
    <row r="206" spans="1:20" hidden="1" x14ac:dyDescent="0.35">
      <c r="A206">
        <v>100222362</v>
      </c>
      <c r="B206" t="s">
        <v>28</v>
      </c>
      <c r="C206" t="s">
        <v>225</v>
      </c>
      <c r="D206" t="s">
        <v>35</v>
      </c>
      <c r="E206" s="23">
        <v>46027</v>
      </c>
      <c r="F206" t="s">
        <v>63</v>
      </c>
      <c r="G206" t="s">
        <v>227</v>
      </c>
      <c r="H206" s="26">
        <v>256788410485</v>
      </c>
      <c r="I206" t="s">
        <v>33</v>
      </c>
      <c r="J206">
        <v>1800000623</v>
      </c>
      <c r="K206" t="s">
        <v>41</v>
      </c>
      <c r="L206" s="24">
        <v>348.86</v>
      </c>
      <c r="M206" s="24" t="s">
        <v>34</v>
      </c>
      <c r="N206" s="24">
        <v>31656.65</v>
      </c>
      <c r="O206" t="s">
        <v>226</v>
      </c>
      <c r="P206">
        <v>46027</v>
      </c>
      <c r="R206" t="s">
        <v>32</v>
      </c>
      <c r="S206" t="e">
        <f>VLOOKUP(H206,TDS!$B$2:$C$70,2,0)</f>
        <v>#N/A</v>
      </c>
      <c r="T206" t="e">
        <f>VLOOKUP(H206,TDS!$B$2:$D$70,3,0)</f>
        <v>#N/A</v>
      </c>
    </row>
    <row r="207" spans="1:20" hidden="1" x14ac:dyDescent="0.35">
      <c r="A207">
        <v>100222362</v>
      </c>
      <c r="B207" t="s">
        <v>28</v>
      </c>
      <c r="C207" t="s">
        <v>225</v>
      </c>
      <c r="D207" t="s">
        <v>35</v>
      </c>
      <c r="E207" s="23">
        <v>46027</v>
      </c>
      <c r="F207" t="s">
        <v>63</v>
      </c>
      <c r="G207" t="s">
        <v>60</v>
      </c>
      <c r="H207" s="26">
        <v>256788410487</v>
      </c>
      <c r="I207" t="s">
        <v>33</v>
      </c>
      <c r="J207">
        <v>1800000619</v>
      </c>
      <c r="K207" t="s">
        <v>41</v>
      </c>
      <c r="L207" s="24">
        <v>52</v>
      </c>
      <c r="M207" s="24" t="s">
        <v>34</v>
      </c>
      <c r="N207" s="24">
        <v>4718.6400000000003</v>
      </c>
      <c r="O207" t="s">
        <v>228</v>
      </c>
      <c r="P207">
        <v>46027</v>
      </c>
      <c r="R207" t="s">
        <v>32</v>
      </c>
      <c r="S207" t="e">
        <f>VLOOKUP(H207,TDS!$B$2:$C$70,2,0)</f>
        <v>#N/A</v>
      </c>
      <c r="T207" t="e">
        <f>VLOOKUP(H207,TDS!$B$2:$D$70,3,0)</f>
        <v>#N/A</v>
      </c>
    </row>
    <row r="208" spans="1:20" hidden="1" x14ac:dyDescent="0.35">
      <c r="A208">
        <v>100222362</v>
      </c>
      <c r="B208" t="s">
        <v>28</v>
      </c>
      <c r="C208" t="s">
        <v>225</v>
      </c>
      <c r="D208" t="s">
        <v>35</v>
      </c>
      <c r="E208" s="23">
        <v>46027</v>
      </c>
      <c r="F208" t="s">
        <v>63</v>
      </c>
      <c r="G208" t="s">
        <v>60</v>
      </c>
      <c r="H208" s="26">
        <v>256788410490</v>
      </c>
      <c r="I208" t="s">
        <v>33</v>
      </c>
      <c r="J208">
        <v>1800000625</v>
      </c>
      <c r="K208" t="s">
        <v>41</v>
      </c>
      <c r="L208" s="24">
        <v>94</v>
      </c>
      <c r="M208" s="24" t="s">
        <v>34</v>
      </c>
      <c r="N208" s="24">
        <v>8529.86</v>
      </c>
      <c r="O208" t="s">
        <v>229</v>
      </c>
      <c r="P208">
        <v>46027</v>
      </c>
      <c r="R208" t="s">
        <v>32</v>
      </c>
      <c r="S208" t="e">
        <f>VLOOKUP(H208,TDS!$B$2:$C$70,2,0)</f>
        <v>#N/A</v>
      </c>
      <c r="T208" t="e">
        <f>VLOOKUP(H208,TDS!$B$2:$D$70,3,0)</f>
        <v>#N/A</v>
      </c>
    </row>
    <row r="209" spans="1:20" hidden="1" x14ac:dyDescent="0.35">
      <c r="A209">
        <v>100222362</v>
      </c>
      <c r="B209" t="s">
        <v>28</v>
      </c>
      <c r="C209" t="s">
        <v>225</v>
      </c>
      <c r="D209" t="s">
        <v>35</v>
      </c>
      <c r="E209" s="23">
        <v>46034</v>
      </c>
      <c r="F209" t="s">
        <v>63</v>
      </c>
      <c r="G209" t="s">
        <v>60</v>
      </c>
      <c r="H209" s="26">
        <v>256788410492</v>
      </c>
      <c r="I209" t="s">
        <v>33</v>
      </c>
      <c r="J209">
        <v>1800000635</v>
      </c>
      <c r="K209" t="s">
        <v>41</v>
      </c>
      <c r="L209" s="24">
        <v>476</v>
      </c>
      <c r="M209" s="24" t="s">
        <v>34</v>
      </c>
      <c r="N209" s="24">
        <v>43193.73</v>
      </c>
      <c r="O209" t="s">
        <v>230</v>
      </c>
      <c r="P209">
        <v>46034</v>
      </c>
      <c r="R209" t="s">
        <v>32</v>
      </c>
      <c r="S209" t="e">
        <f>VLOOKUP(H209,TDS!$B$2:$C$70,2,0)</f>
        <v>#N/A</v>
      </c>
      <c r="T209" t="e">
        <f>VLOOKUP(H209,TDS!$B$2:$D$70,3,0)</f>
        <v>#N/A</v>
      </c>
    </row>
    <row r="210" spans="1:20" hidden="1" x14ac:dyDescent="0.35">
      <c r="A210">
        <v>100222362</v>
      </c>
      <c r="B210" t="s">
        <v>28</v>
      </c>
      <c r="C210" t="s">
        <v>225</v>
      </c>
      <c r="D210" t="s">
        <v>35</v>
      </c>
      <c r="E210" s="23">
        <v>46034</v>
      </c>
      <c r="F210" t="s">
        <v>63</v>
      </c>
      <c r="G210" t="s">
        <v>60</v>
      </c>
      <c r="H210" s="26">
        <v>256788410495</v>
      </c>
      <c r="I210" t="s">
        <v>33</v>
      </c>
      <c r="J210">
        <v>1800000638</v>
      </c>
      <c r="K210" t="s">
        <v>41</v>
      </c>
      <c r="L210" s="24">
        <v>49.49</v>
      </c>
      <c r="M210" s="24" t="s">
        <v>34</v>
      </c>
      <c r="N210" s="24">
        <v>4490.88</v>
      </c>
      <c r="O210" t="s">
        <v>231</v>
      </c>
      <c r="P210">
        <v>46034</v>
      </c>
      <c r="R210" t="s">
        <v>32</v>
      </c>
      <c r="S210" t="e">
        <f>VLOOKUP(H210,TDS!$B$2:$C$70,2,0)</f>
        <v>#N/A</v>
      </c>
      <c r="T210" t="e">
        <f>VLOOKUP(H210,TDS!$B$2:$D$70,3,0)</f>
        <v>#N/A</v>
      </c>
    </row>
    <row r="211" spans="1:20" hidden="1" x14ac:dyDescent="0.35">
      <c r="A211">
        <v>100222362</v>
      </c>
      <c r="B211" t="s">
        <v>28</v>
      </c>
      <c r="C211" t="s">
        <v>225</v>
      </c>
      <c r="D211" t="s">
        <v>35</v>
      </c>
      <c r="E211" s="23">
        <v>46034</v>
      </c>
      <c r="F211" t="s">
        <v>63</v>
      </c>
      <c r="G211" t="s">
        <v>60</v>
      </c>
      <c r="H211" s="26">
        <v>256788410498</v>
      </c>
      <c r="I211" t="s">
        <v>33</v>
      </c>
      <c r="J211">
        <v>1800000641</v>
      </c>
      <c r="K211" t="s">
        <v>41</v>
      </c>
      <c r="L211" s="24">
        <v>181.44</v>
      </c>
      <c r="M211" s="24" t="s">
        <v>34</v>
      </c>
      <c r="N211" s="24">
        <v>16464.439999999999</v>
      </c>
      <c r="O211" t="s">
        <v>232</v>
      </c>
      <c r="P211">
        <v>46034</v>
      </c>
      <c r="R211" t="s">
        <v>32</v>
      </c>
      <c r="S211" t="e">
        <f>VLOOKUP(H211,TDS!$B$2:$C$70,2,0)</f>
        <v>#N/A</v>
      </c>
      <c r="T211" t="e">
        <f>VLOOKUP(H211,TDS!$B$2:$D$70,3,0)</f>
        <v>#N/A</v>
      </c>
    </row>
    <row r="212" spans="1:20" hidden="1" x14ac:dyDescent="0.35">
      <c r="A212">
        <v>100222362</v>
      </c>
      <c r="B212" t="s">
        <v>28</v>
      </c>
      <c r="C212" t="s">
        <v>225</v>
      </c>
      <c r="D212" t="s">
        <v>35</v>
      </c>
      <c r="E212" s="23">
        <v>46034</v>
      </c>
      <c r="F212" t="s">
        <v>63</v>
      </c>
      <c r="G212" t="s">
        <v>60</v>
      </c>
      <c r="H212" s="26">
        <v>256788410499</v>
      </c>
      <c r="I212" t="s">
        <v>33</v>
      </c>
      <c r="J212">
        <v>1800000642</v>
      </c>
      <c r="K212" t="s">
        <v>41</v>
      </c>
      <c r="L212" s="24">
        <v>53</v>
      </c>
      <c r="M212" s="24" t="s">
        <v>34</v>
      </c>
      <c r="N212" s="24">
        <v>4809.3900000000003</v>
      </c>
      <c r="O212" t="s">
        <v>233</v>
      </c>
      <c r="P212">
        <v>46034</v>
      </c>
      <c r="R212" t="s">
        <v>32</v>
      </c>
      <c r="S212" t="e">
        <f>VLOOKUP(H212,TDS!$B$2:$C$70,2,0)</f>
        <v>#N/A</v>
      </c>
      <c r="T212" t="e">
        <f>VLOOKUP(H212,TDS!$B$2:$D$70,3,0)</f>
        <v>#N/A</v>
      </c>
    </row>
    <row r="213" spans="1:20" hidden="1" x14ac:dyDescent="0.35">
      <c r="A213">
        <v>100222362</v>
      </c>
      <c r="B213" t="s">
        <v>28</v>
      </c>
      <c r="C213" t="s">
        <v>225</v>
      </c>
      <c r="D213" t="s">
        <v>35</v>
      </c>
      <c r="E213" s="23">
        <v>46028</v>
      </c>
      <c r="F213" t="s">
        <v>63</v>
      </c>
      <c r="G213" t="s">
        <v>234</v>
      </c>
      <c r="H213" s="26">
        <v>256779440254</v>
      </c>
      <c r="I213" t="s">
        <v>33</v>
      </c>
      <c r="J213">
        <v>1800016633</v>
      </c>
      <c r="K213" t="s">
        <v>41</v>
      </c>
      <c r="L213" s="24">
        <v>2.0299999999999998</v>
      </c>
      <c r="M213" s="24" t="s">
        <v>34</v>
      </c>
      <c r="N213" s="24">
        <v>184.21</v>
      </c>
      <c r="O213" t="s">
        <v>235</v>
      </c>
      <c r="P213">
        <v>46028</v>
      </c>
      <c r="R213" t="s">
        <v>32</v>
      </c>
      <c r="S213" t="e">
        <f>VLOOKUP(H213,TDS!$B$2:$C$70,2,0)</f>
        <v>#N/A</v>
      </c>
      <c r="T213" t="e">
        <f>VLOOKUP(H213,TDS!$B$2:$D$70,3,0)</f>
        <v>#N/A</v>
      </c>
    </row>
    <row r="214" spans="1:20" hidden="1" x14ac:dyDescent="0.35">
      <c r="A214">
        <v>100222362</v>
      </c>
      <c r="B214" t="s">
        <v>28</v>
      </c>
      <c r="C214" t="s">
        <v>225</v>
      </c>
      <c r="D214" t="s">
        <v>35</v>
      </c>
      <c r="E214" s="23">
        <v>46034</v>
      </c>
      <c r="F214" t="s">
        <v>63</v>
      </c>
      <c r="G214" t="s">
        <v>236</v>
      </c>
      <c r="H214" s="26">
        <v>256788410500</v>
      </c>
      <c r="I214" t="s">
        <v>33</v>
      </c>
      <c r="J214">
        <v>1800000647</v>
      </c>
      <c r="K214" t="s">
        <v>41</v>
      </c>
      <c r="L214" s="24">
        <v>32</v>
      </c>
      <c r="M214" s="24" t="s">
        <v>34</v>
      </c>
      <c r="N214" s="24">
        <v>2903.78</v>
      </c>
      <c r="O214" t="s">
        <v>237</v>
      </c>
      <c r="P214">
        <v>46034</v>
      </c>
      <c r="R214" t="s">
        <v>32</v>
      </c>
      <c r="S214" t="e">
        <f>VLOOKUP(H214,TDS!$B$2:$C$70,2,0)</f>
        <v>#N/A</v>
      </c>
      <c r="T214" t="e">
        <f>VLOOKUP(H214,TDS!$B$2:$D$70,3,0)</f>
        <v>#N/A</v>
      </c>
    </row>
    <row r="215" spans="1:20" hidden="1" x14ac:dyDescent="0.35">
      <c r="A215">
        <v>100222362</v>
      </c>
      <c r="B215" t="s">
        <v>28</v>
      </c>
      <c r="C215" t="s">
        <v>225</v>
      </c>
      <c r="D215" t="s">
        <v>35</v>
      </c>
      <c r="E215" s="23">
        <v>46034</v>
      </c>
      <c r="F215" t="s">
        <v>63</v>
      </c>
      <c r="G215" t="s">
        <v>238</v>
      </c>
      <c r="H215" s="26">
        <v>256788410502</v>
      </c>
      <c r="I215" t="s">
        <v>33</v>
      </c>
      <c r="J215">
        <v>1800000626</v>
      </c>
      <c r="K215" t="s">
        <v>41</v>
      </c>
      <c r="L215" s="24">
        <v>3980.5</v>
      </c>
      <c r="M215" s="24" t="s">
        <v>34</v>
      </c>
      <c r="N215" s="24">
        <v>361203.07</v>
      </c>
      <c r="O215" t="s">
        <v>239</v>
      </c>
      <c r="P215">
        <v>46034</v>
      </c>
      <c r="R215" t="s">
        <v>32</v>
      </c>
      <c r="S215" t="e">
        <f>VLOOKUP(H215,TDS!$B$2:$C$70,2,0)</f>
        <v>#N/A</v>
      </c>
      <c r="T215" t="e">
        <f>VLOOKUP(H215,TDS!$B$2:$D$70,3,0)</f>
        <v>#N/A</v>
      </c>
    </row>
    <row r="216" spans="1:20" hidden="1" x14ac:dyDescent="0.35">
      <c r="A216">
        <v>100222362</v>
      </c>
      <c r="B216" t="s">
        <v>28</v>
      </c>
      <c r="C216" t="s">
        <v>225</v>
      </c>
      <c r="D216" t="s">
        <v>35</v>
      </c>
      <c r="E216" s="23">
        <v>46028</v>
      </c>
      <c r="F216" t="s">
        <v>63</v>
      </c>
      <c r="G216" t="s">
        <v>60</v>
      </c>
      <c r="H216" s="26">
        <v>256788410503</v>
      </c>
      <c r="I216" t="s">
        <v>33</v>
      </c>
      <c r="J216">
        <v>1800000643</v>
      </c>
      <c r="K216" t="s">
        <v>41</v>
      </c>
      <c r="L216" s="24">
        <v>994.98</v>
      </c>
      <c r="M216" s="24" t="s">
        <v>34</v>
      </c>
      <c r="N216" s="24">
        <v>90287.61</v>
      </c>
      <c r="O216" t="s">
        <v>240</v>
      </c>
      <c r="P216">
        <v>46028</v>
      </c>
      <c r="R216" t="s">
        <v>32</v>
      </c>
      <c r="S216" t="e">
        <f>VLOOKUP(H216,TDS!$B$2:$C$70,2,0)</f>
        <v>#N/A</v>
      </c>
      <c r="T216" t="e">
        <f>VLOOKUP(H216,TDS!$B$2:$D$70,3,0)</f>
        <v>#N/A</v>
      </c>
    </row>
    <row r="217" spans="1:20" hidden="1" x14ac:dyDescent="0.35">
      <c r="A217">
        <v>100222362</v>
      </c>
      <c r="B217" t="s">
        <v>28</v>
      </c>
      <c r="C217" t="s">
        <v>225</v>
      </c>
      <c r="D217" t="s">
        <v>35</v>
      </c>
      <c r="E217" s="23">
        <v>46034</v>
      </c>
      <c r="F217" t="s">
        <v>63</v>
      </c>
      <c r="G217" t="s">
        <v>241</v>
      </c>
      <c r="H217" s="26">
        <v>256788410507</v>
      </c>
      <c r="I217" t="s">
        <v>33</v>
      </c>
      <c r="J217">
        <v>1800000627</v>
      </c>
      <c r="K217" t="s">
        <v>41</v>
      </c>
      <c r="L217" s="24">
        <v>75</v>
      </c>
      <c r="M217" s="24" t="s">
        <v>34</v>
      </c>
      <c r="N217" s="24">
        <v>6805.74</v>
      </c>
      <c r="O217" t="s">
        <v>242</v>
      </c>
      <c r="P217">
        <v>46034</v>
      </c>
      <c r="R217" t="s">
        <v>32</v>
      </c>
      <c r="S217" t="e">
        <f>VLOOKUP(H217,TDS!$B$2:$C$70,2,0)</f>
        <v>#N/A</v>
      </c>
      <c r="T217" t="e">
        <f>VLOOKUP(H217,TDS!$B$2:$D$70,3,0)</f>
        <v>#N/A</v>
      </c>
    </row>
    <row r="218" spans="1:20" hidden="1" x14ac:dyDescent="0.35">
      <c r="A218">
        <v>100222362</v>
      </c>
      <c r="B218" t="s">
        <v>28</v>
      </c>
      <c r="C218" t="s">
        <v>225</v>
      </c>
      <c r="D218" t="s">
        <v>35</v>
      </c>
      <c r="E218" s="23">
        <v>46034</v>
      </c>
      <c r="F218" t="s">
        <v>63</v>
      </c>
      <c r="G218" t="s">
        <v>243</v>
      </c>
      <c r="H218" s="26">
        <v>256788410514</v>
      </c>
      <c r="I218" t="s">
        <v>33</v>
      </c>
      <c r="J218">
        <v>1800000649</v>
      </c>
      <c r="K218" t="s">
        <v>41</v>
      </c>
      <c r="L218" s="24">
        <v>63.04</v>
      </c>
      <c r="M218" s="24" t="s">
        <v>34</v>
      </c>
      <c r="N218" s="24">
        <v>5720.45</v>
      </c>
      <c r="O218" t="s">
        <v>226</v>
      </c>
      <c r="P218">
        <v>46034</v>
      </c>
      <c r="R218" t="s">
        <v>32</v>
      </c>
      <c r="S218" t="e">
        <f>VLOOKUP(H218,TDS!$B$2:$C$70,2,0)</f>
        <v>#N/A</v>
      </c>
      <c r="T218" t="e">
        <f>VLOOKUP(H218,TDS!$B$2:$D$70,3,0)</f>
        <v>#N/A</v>
      </c>
    </row>
    <row r="219" spans="1:20" hidden="1" x14ac:dyDescent="0.35">
      <c r="A219">
        <v>100222362</v>
      </c>
      <c r="B219" t="s">
        <v>28</v>
      </c>
      <c r="C219" t="s">
        <v>225</v>
      </c>
      <c r="D219" t="s">
        <v>35</v>
      </c>
      <c r="E219" s="23">
        <v>46041</v>
      </c>
      <c r="F219" t="s">
        <v>84</v>
      </c>
      <c r="G219" t="s">
        <v>244</v>
      </c>
      <c r="H219" s="26">
        <v>256788420148</v>
      </c>
      <c r="I219" t="s">
        <v>33</v>
      </c>
      <c r="J219">
        <v>1600000272</v>
      </c>
      <c r="K219" t="s">
        <v>41</v>
      </c>
      <c r="L219" s="24">
        <v>-25125.9</v>
      </c>
      <c r="M219" s="24" t="s">
        <v>34</v>
      </c>
      <c r="N219" s="24">
        <v>-2280003.06</v>
      </c>
      <c r="O219" t="s">
        <v>245</v>
      </c>
      <c r="P219">
        <v>46041</v>
      </c>
      <c r="R219" t="s">
        <v>32</v>
      </c>
      <c r="S219" t="e">
        <f>VLOOKUP(H219,TDS!$B$2:$C$70,2,0)</f>
        <v>#N/A</v>
      </c>
      <c r="T219" t="e">
        <f>VLOOKUP(H219,TDS!$B$2:$D$70,3,0)</f>
        <v>#N/A</v>
      </c>
    </row>
    <row r="220" spans="1:20" hidden="1" x14ac:dyDescent="0.35">
      <c r="A220">
        <v>100222362</v>
      </c>
      <c r="B220" t="s">
        <v>28</v>
      </c>
      <c r="C220" t="s">
        <v>225</v>
      </c>
      <c r="D220" t="s">
        <v>35</v>
      </c>
      <c r="E220" s="23">
        <v>46041</v>
      </c>
      <c r="F220" t="s">
        <v>84</v>
      </c>
      <c r="G220" t="s">
        <v>244</v>
      </c>
      <c r="H220" s="26">
        <v>256788420149</v>
      </c>
      <c r="I220" t="s">
        <v>33</v>
      </c>
      <c r="J220">
        <v>1600000273</v>
      </c>
      <c r="K220" t="s">
        <v>34</v>
      </c>
      <c r="L220" s="24">
        <v>-72465</v>
      </c>
      <c r="M220" s="24" t="s">
        <v>34</v>
      </c>
      <c r="N220" s="24">
        <v>-72465</v>
      </c>
      <c r="O220" t="s">
        <v>246</v>
      </c>
      <c r="P220">
        <v>46041</v>
      </c>
      <c r="R220" t="s">
        <v>32</v>
      </c>
      <c r="S220" t="e">
        <f>VLOOKUP(H220,TDS!$B$2:$C$70,2,0)</f>
        <v>#N/A</v>
      </c>
      <c r="T220" t="e">
        <f>VLOOKUP(H220,TDS!$B$2:$D$70,3,0)</f>
        <v>#N/A</v>
      </c>
    </row>
    <row r="221" spans="1:20" hidden="1" x14ac:dyDescent="0.35">
      <c r="A221">
        <v>100222362</v>
      </c>
      <c r="B221" t="s">
        <v>28</v>
      </c>
      <c r="C221" t="s">
        <v>225</v>
      </c>
      <c r="D221" t="s">
        <v>35</v>
      </c>
      <c r="E221" s="23">
        <v>46028</v>
      </c>
      <c r="F221" t="s">
        <v>84</v>
      </c>
      <c r="G221" t="s">
        <v>247</v>
      </c>
      <c r="H221" s="26">
        <v>256788420150</v>
      </c>
      <c r="I221" t="s">
        <v>33</v>
      </c>
      <c r="J221">
        <v>1600000274</v>
      </c>
      <c r="K221" t="s">
        <v>41</v>
      </c>
      <c r="L221" s="24">
        <v>-53</v>
      </c>
      <c r="M221" s="24" t="s">
        <v>34</v>
      </c>
      <c r="N221" s="24">
        <v>-4809.3900000000003</v>
      </c>
      <c r="O221" t="s">
        <v>248</v>
      </c>
      <c r="P221">
        <v>46028</v>
      </c>
      <c r="R221" t="s">
        <v>32</v>
      </c>
      <c r="S221" t="e">
        <f>VLOOKUP(H221,TDS!$B$2:$C$70,2,0)</f>
        <v>#N/A</v>
      </c>
      <c r="T221" t="e">
        <f>VLOOKUP(H221,TDS!$B$2:$D$70,3,0)</f>
        <v>#N/A</v>
      </c>
    </row>
    <row r="222" spans="1:20" x14ac:dyDescent="0.35">
      <c r="L222" s="24"/>
      <c r="M222" s="24"/>
      <c r="N222" s="24"/>
    </row>
    <row r="223" spans="1:20" x14ac:dyDescent="0.35">
      <c r="L223" s="24"/>
      <c r="M223" s="24"/>
      <c r="N223" s="24"/>
    </row>
    <row r="224" spans="1:20" x14ac:dyDescent="0.35">
      <c r="L224" s="24"/>
      <c r="M224" s="24"/>
      <c r="N224" s="24"/>
    </row>
    <row r="225" spans="12:14" x14ac:dyDescent="0.35">
      <c r="L225" s="24"/>
      <c r="M225" s="24"/>
      <c r="N225" s="24"/>
    </row>
  </sheetData>
  <autoFilter ref="A2:T221" xr:uid="{80F0696B-B3EA-41AE-B174-BEC897D6D688}">
    <filterColumn colId="5">
      <filters>
        <filter val="DG"/>
        <filter val="DR"/>
      </filters>
    </filterColumn>
    <filterColumn colId="19">
      <filters>
        <filter val="194C"/>
        <filter val="194I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1057-34DF-4098-8969-E55B9EC99045}">
  <dimension ref="A1:S224"/>
  <sheetViews>
    <sheetView topLeftCell="F1" workbookViewId="0">
      <selection activeCell="S3" sqref="S3"/>
    </sheetView>
  </sheetViews>
  <sheetFormatPr defaultRowHeight="14.5" x14ac:dyDescent="0.35"/>
  <cols>
    <col min="1" max="1" width="9.81640625" bestFit="1" customWidth="1"/>
    <col min="2" max="2" width="34.26953125" bestFit="1" customWidth="1"/>
    <col min="3" max="3" width="9.453125" hidden="1" customWidth="1"/>
    <col min="4" max="4" width="6.81640625" hidden="1" customWidth="1"/>
    <col min="5" max="5" width="11.1796875" bestFit="1" customWidth="1"/>
    <col min="6" max="6" width="16.81640625" bestFit="1" customWidth="1"/>
    <col min="7" max="7" width="7.7265625" bestFit="1" customWidth="1"/>
    <col min="8" max="8" width="23.7265625" hidden="1" customWidth="1"/>
    <col min="9" max="9" width="16.08984375" bestFit="1" customWidth="1"/>
    <col min="10" max="10" width="10.90625" hidden="1" customWidth="1"/>
    <col min="11" max="11" width="8.26953125" bestFit="1" customWidth="1"/>
    <col min="12" max="12" width="11.90625" bestFit="1" customWidth="1"/>
    <col min="13" max="13" width="0" hidden="1" customWidth="1"/>
    <col min="14" max="14" width="11.90625" bestFit="1" customWidth="1"/>
    <col min="15" max="15" width="37.7265625" customWidth="1"/>
    <col min="16" max="16" width="19" hidden="1" customWidth="1"/>
    <col min="17" max="17" width="11.90625" hidden="1" customWidth="1"/>
    <col min="18" max="18" width="16.7265625" hidden="1" customWidth="1"/>
  </cols>
  <sheetData>
    <row r="1" spans="1:19" ht="58" x14ac:dyDescent="0.35">
      <c r="A1" s="3" t="s">
        <v>10</v>
      </c>
      <c r="B1" s="3" t="s">
        <v>11</v>
      </c>
      <c r="C1" s="3" t="s">
        <v>12</v>
      </c>
      <c r="D1" s="4" t="s">
        <v>13</v>
      </c>
      <c r="E1" s="3" t="s">
        <v>14</v>
      </c>
      <c r="F1" s="3" t="s">
        <v>15</v>
      </c>
      <c r="G1" s="4" t="s">
        <v>16</v>
      </c>
      <c r="H1" s="3" t="s">
        <v>17</v>
      </c>
      <c r="I1" s="3" t="s">
        <v>18</v>
      </c>
      <c r="J1" s="3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22" t="s">
        <v>3</v>
      </c>
    </row>
    <row r="2" spans="1:19" x14ac:dyDescent="0.35">
      <c r="A2" s="6">
        <v>100222362</v>
      </c>
      <c r="B2" s="5" t="s">
        <v>28</v>
      </c>
      <c r="C2" s="5" t="s">
        <v>29</v>
      </c>
      <c r="D2" s="5" t="s">
        <v>30</v>
      </c>
      <c r="E2" s="7">
        <v>45758</v>
      </c>
      <c r="F2" s="6">
        <v>1600000012</v>
      </c>
      <c r="G2" s="5" t="s">
        <v>31</v>
      </c>
      <c r="H2" s="5" t="s">
        <v>32</v>
      </c>
      <c r="I2" s="5" t="s">
        <v>32</v>
      </c>
      <c r="J2" s="5" t="s">
        <v>33</v>
      </c>
      <c r="K2" s="5" t="s">
        <v>34</v>
      </c>
      <c r="L2" s="8">
        <v>1</v>
      </c>
      <c r="M2" s="5" t="s">
        <v>34</v>
      </c>
      <c r="N2" s="8">
        <v>1</v>
      </c>
      <c r="O2" s="5" t="s">
        <v>36</v>
      </c>
      <c r="P2" s="7">
        <v>45758</v>
      </c>
      <c r="Q2" s="7">
        <v>45758</v>
      </c>
      <c r="R2" s="5" t="s">
        <v>37</v>
      </c>
      <c r="S2" t="e">
        <f>VLOOKUP(I2,TDS!$A$1:$C$70,4,FALSE)</f>
        <v>#N/A</v>
      </c>
    </row>
    <row r="3" spans="1:19" x14ac:dyDescent="0.35">
      <c r="A3" s="6">
        <v>100222362</v>
      </c>
      <c r="B3" s="5" t="s">
        <v>28</v>
      </c>
      <c r="C3" s="5" t="s">
        <v>29</v>
      </c>
      <c r="D3" s="5" t="s">
        <v>30</v>
      </c>
      <c r="E3" s="7">
        <v>45758</v>
      </c>
      <c r="F3" s="6">
        <v>1600000012</v>
      </c>
      <c r="G3" s="5" t="s">
        <v>31</v>
      </c>
      <c r="H3" s="5" t="s">
        <v>32</v>
      </c>
      <c r="I3" s="5" t="s">
        <v>32</v>
      </c>
      <c r="J3" s="5" t="s">
        <v>33</v>
      </c>
      <c r="K3" s="5" t="s">
        <v>34</v>
      </c>
      <c r="L3" s="8">
        <v>-1</v>
      </c>
      <c r="M3" s="5" t="s">
        <v>34</v>
      </c>
      <c r="N3" s="8">
        <v>-1</v>
      </c>
      <c r="O3" s="5" t="s">
        <v>36</v>
      </c>
      <c r="P3" s="7">
        <v>45758</v>
      </c>
      <c r="Q3" s="7">
        <v>45758</v>
      </c>
      <c r="R3" s="5" t="s">
        <v>37</v>
      </c>
      <c r="S3" t="e">
        <f>VLOOKUP(I3,TDS!$A$1:$C$70,4,FALSE)</f>
        <v>#N/A</v>
      </c>
    </row>
    <row r="4" spans="1:19" x14ac:dyDescent="0.35">
      <c r="A4" s="6">
        <v>100222362</v>
      </c>
      <c r="B4" s="5" t="s">
        <v>28</v>
      </c>
      <c r="C4" s="5" t="s">
        <v>29</v>
      </c>
      <c r="D4" s="5" t="s">
        <v>38</v>
      </c>
      <c r="E4" s="7">
        <v>45705</v>
      </c>
      <c r="F4" s="6">
        <v>1400000001</v>
      </c>
      <c r="G4" s="5" t="s">
        <v>39</v>
      </c>
      <c r="H4" s="5" t="s">
        <v>40</v>
      </c>
      <c r="I4" s="5" t="s">
        <v>32</v>
      </c>
      <c r="J4" s="5" t="s">
        <v>33</v>
      </c>
      <c r="K4" s="5" t="s">
        <v>41</v>
      </c>
      <c r="L4" s="8">
        <v>75</v>
      </c>
      <c r="M4" s="5" t="s">
        <v>34</v>
      </c>
      <c r="N4" s="8">
        <v>6472.77</v>
      </c>
      <c r="O4" s="5" t="s">
        <v>32</v>
      </c>
      <c r="P4" s="7">
        <v>45705</v>
      </c>
      <c r="Q4" s="7">
        <v>45707</v>
      </c>
      <c r="R4" s="5" t="s">
        <v>42</v>
      </c>
      <c r="S4" t="e">
        <f>VLOOKUP(I4,TDS!$A$1:$C$70,4,FALSE)</f>
        <v>#N/A</v>
      </c>
    </row>
    <row r="5" spans="1:19" x14ac:dyDescent="0.35">
      <c r="A5" s="6">
        <v>100222362</v>
      </c>
      <c r="B5" s="5" t="s">
        <v>28</v>
      </c>
      <c r="C5" s="5" t="s">
        <v>29</v>
      </c>
      <c r="D5" s="5" t="s">
        <v>38</v>
      </c>
      <c r="E5" s="7">
        <v>45705</v>
      </c>
      <c r="F5" s="6">
        <v>1400000001</v>
      </c>
      <c r="G5" s="5" t="s">
        <v>39</v>
      </c>
      <c r="H5" s="5" t="s">
        <v>40</v>
      </c>
      <c r="I5" s="5" t="s">
        <v>32</v>
      </c>
      <c r="J5" s="5" t="s">
        <v>33</v>
      </c>
      <c r="K5" s="5" t="s">
        <v>41</v>
      </c>
      <c r="L5" s="8">
        <v>-75</v>
      </c>
      <c r="M5" s="5" t="s">
        <v>34</v>
      </c>
      <c r="N5" s="8">
        <v>-6472.77</v>
      </c>
      <c r="O5" s="5" t="s">
        <v>32</v>
      </c>
      <c r="P5" s="7">
        <v>45705</v>
      </c>
      <c r="Q5" s="7">
        <v>45707</v>
      </c>
      <c r="R5" s="5" t="s">
        <v>42</v>
      </c>
      <c r="S5" t="e">
        <f>VLOOKUP(I5,TDS!$A$1:$C$70,4,FALSE)</f>
        <v>#N/A</v>
      </c>
    </row>
    <row r="6" spans="1:19" x14ac:dyDescent="0.35">
      <c r="A6" s="6">
        <v>100222362</v>
      </c>
      <c r="B6" s="5" t="s">
        <v>28</v>
      </c>
      <c r="C6" s="5" t="s">
        <v>29</v>
      </c>
      <c r="D6" s="5" t="s">
        <v>43</v>
      </c>
      <c r="E6" s="7">
        <v>45889</v>
      </c>
      <c r="F6" s="6">
        <v>1400000026</v>
      </c>
      <c r="G6" s="5" t="s">
        <v>44</v>
      </c>
      <c r="H6" s="5" t="s">
        <v>45</v>
      </c>
      <c r="I6" s="5" t="s">
        <v>32</v>
      </c>
      <c r="J6" s="5" t="s">
        <v>33</v>
      </c>
      <c r="K6" s="5" t="s">
        <v>34</v>
      </c>
      <c r="L6" s="8">
        <v>-500000</v>
      </c>
      <c r="M6" s="5" t="s">
        <v>34</v>
      </c>
      <c r="N6" s="8">
        <v>-500000</v>
      </c>
      <c r="O6" s="5" t="s">
        <v>32</v>
      </c>
      <c r="P6" s="7">
        <v>45889</v>
      </c>
      <c r="Q6" s="7"/>
      <c r="R6" s="5" t="s">
        <v>32</v>
      </c>
      <c r="S6" t="e">
        <f>VLOOKUP(I6,TDS!$A$1:$C$70,4,FALSE)</f>
        <v>#N/A</v>
      </c>
    </row>
    <row r="7" spans="1:19" x14ac:dyDescent="0.35">
      <c r="A7" s="6">
        <v>100222362</v>
      </c>
      <c r="B7" s="5" t="s">
        <v>28</v>
      </c>
      <c r="C7" s="5" t="s">
        <v>29</v>
      </c>
      <c r="D7" s="5" t="s">
        <v>43</v>
      </c>
      <c r="E7" s="7">
        <v>45889</v>
      </c>
      <c r="F7" s="6">
        <v>1400000027</v>
      </c>
      <c r="G7" s="5" t="s">
        <v>44</v>
      </c>
      <c r="H7" s="5" t="s">
        <v>46</v>
      </c>
      <c r="I7" s="5" t="s">
        <v>32</v>
      </c>
      <c r="J7" s="5" t="s">
        <v>33</v>
      </c>
      <c r="K7" s="5" t="s">
        <v>34</v>
      </c>
      <c r="L7" s="8">
        <v>-500000</v>
      </c>
      <c r="M7" s="5" t="s">
        <v>34</v>
      </c>
      <c r="N7" s="8">
        <v>-500000</v>
      </c>
      <c r="O7" s="5" t="s">
        <v>32</v>
      </c>
      <c r="P7" s="7">
        <v>45889</v>
      </c>
      <c r="Q7" s="7"/>
      <c r="R7" s="5" t="s">
        <v>32</v>
      </c>
      <c r="S7" t="e">
        <f>VLOOKUP(I7,TDS!$A$1:$C$70,4,FALSE)</f>
        <v>#N/A</v>
      </c>
    </row>
    <row r="8" spans="1:19" x14ac:dyDescent="0.35">
      <c r="A8" s="6">
        <v>100222362</v>
      </c>
      <c r="B8" s="5" t="s">
        <v>28</v>
      </c>
      <c r="C8" s="5" t="s">
        <v>29</v>
      </c>
      <c r="D8" s="5" t="s">
        <v>47</v>
      </c>
      <c r="E8" s="7">
        <v>45931</v>
      </c>
      <c r="F8" s="6">
        <v>1400000043</v>
      </c>
      <c r="G8" s="5" t="s">
        <v>44</v>
      </c>
      <c r="H8" s="5" t="s">
        <v>48</v>
      </c>
      <c r="I8" s="5" t="s">
        <v>32</v>
      </c>
      <c r="J8" s="5" t="s">
        <v>33</v>
      </c>
      <c r="K8" s="5" t="s">
        <v>34</v>
      </c>
      <c r="L8" s="8">
        <v>-500000</v>
      </c>
      <c r="M8" s="5" t="s">
        <v>34</v>
      </c>
      <c r="N8" s="8">
        <v>-500000</v>
      </c>
      <c r="O8" s="5" t="s">
        <v>32</v>
      </c>
      <c r="P8" s="7">
        <v>45931</v>
      </c>
      <c r="Q8" s="7"/>
      <c r="R8" s="5" t="s">
        <v>32</v>
      </c>
      <c r="S8" t="e">
        <f>VLOOKUP(I8,TDS!$A$1:$C$70,4,FALSE)</f>
        <v>#N/A</v>
      </c>
    </row>
    <row r="9" spans="1:19" x14ac:dyDescent="0.35">
      <c r="A9" s="6">
        <v>100222362</v>
      </c>
      <c r="B9" s="5" t="s">
        <v>28</v>
      </c>
      <c r="C9" s="5" t="s">
        <v>29</v>
      </c>
      <c r="D9" s="5" t="s">
        <v>47</v>
      </c>
      <c r="E9" s="7">
        <v>45931</v>
      </c>
      <c r="F9" s="6">
        <v>1400000044</v>
      </c>
      <c r="G9" s="5" t="s">
        <v>44</v>
      </c>
      <c r="H9" s="5" t="s">
        <v>49</v>
      </c>
      <c r="I9" s="5" t="s">
        <v>32</v>
      </c>
      <c r="J9" s="5" t="s">
        <v>33</v>
      </c>
      <c r="K9" s="5" t="s">
        <v>34</v>
      </c>
      <c r="L9" s="8">
        <v>-500000</v>
      </c>
      <c r="M9" s="5" t="s">
        <v>34</v>
      </c>
      <c r="N9" s="8">
        <v>-500000</v>
      </c>
      <c r="O9" s="5" t="s">
        <v>32</v>
      </c>
      <c r="P9" s="7">
        <v>45931</v>
      </c>
      <c r="Q9" s="7"/>
      <c r="R9" s="5" t="s">
        <v>32</v>
      </c>
      <c r="S9" t="e">
        <f>VLOOKUP(I9,TDS!$A$1:$C$70,4,FALSE)</f>
        <v>#N/A</v>
      </c>
    </row>
    <row r="10" spans="1:19" x14ac:dyDescent="0.35">
      <c r="A10" s="6">
        <v>100222362</v>
      </c>
      <c r="B10" s="5" t="s">
        <v>28</v>
      </c>
      <c r="C10" s="5" t="s">
        <v>29</v>
      </c>
      <c r="D10" s="5" t="s">
        <v>47</v>
      </c>
      <c r="E10" s="7">
        <v>45931</v>
      </c>
      <c r="F10" s="6">
        <v>1400000045</v>
      </c>
      <c r="G10" s="5" t="s">
        <v>44</v>
      </c>
      <c r="H10" s="5" t="s">
        <v>50</v>
      </c>
      <c r="I10" s="5" t="s">
        <v>32</v>
      </c>
      <c r="J10" s="5" t="s">
        <v>33</v>
      </c>
      <c r="K10" s="5" t="s">
        <v>34</v>
      </c>
      <c r="L10" s="8">
        <v>-500000</v>
      </c>
      <c r="M10" s="5" t="s">
        <v>34</v>
      </c>
      <c r="N10" s="8">
        <v>-500000</v>
      </c>
      <c r="O10" s="5" t="s">
        <v>32</v>
      </c>
      <c r="P10" s="7">
        <v>45931</v>
      </c>
      <c r="Q10" s="7"/>
      <c r="R10" s="5" t="s">
        <v>32</v>
      </c>
      <c r="S10" t="e">
        <f>VLOOKUP(I10,TDS!$A$1:$C$70,4,FALSE)</f>
        <v>#N/A</v>
      </c>
    </row>
    <row r="11" spans="1:19" x14ac:dyDescent="0.35">
      <c r="A11" s="6">
        <v>100222362</v>
      </c>
      <c r="B11" s="5" t="s">
        <v>28</v>
      </c>
      <c r="C11" s="5" t="s">
        <v>29</v>
      </c>
      <c r="D11" s="5" t="s">
        <v>47</v>
      </c>
      <c r="E11" s="7">
        <v>45931</v>
      </c>
      <c r="F11" s="6">
        <v>1400000046</v>
      </c>
      <c r="G11" s="5" t="s">
        <v>44</v>
      </c>
      <c r="H11" s="5" t="s">
        <v>51</v>
      </c>
      <c r="I11" s="5" t="s">
        <v>32</v>
      </c>
      <c r="J11" s="5" t="s">
        <v>33</v>
      </c>
      <c r="K11" s="5" t="s">
        <v>34</v>
      </c>
      <c r="L11" s="8">
        <v>-500000</v>
      </c>
      <c r="M11" s="5" t="s">
        <v>34</v>
      </c>
      <c r="N11" s="8">
        <v>-500000</v>
      </c>
      <c r="O11" s="5" t="s">
        <v>32</v>
      </c>
      <c r="P11" s="7">
        <v>45931</v>
      </c>
      <c r="Q11" s="7"/>
      <c r="R11" s="5" t="s">
        <v>32</v>
      </c>
      <c r="S11" t="e">
        <f>VLOOKUP(I11,TDS!$A$1:$C$70,4,FALSE)</f>
        <v>#N/A</v>
      </c>
    </row>
    <row r="12" spans="1:19" x14ac:dyDescent="0.35">
      <c r="A12" s="6">
        <v>100222362</v>
      </c>
      <c r="B12" s="5" t="s">
        <v>28</v>
      </c>
      <c r="C12" s="5" t="s">
        <v>29</v>
      </c>
      <c r="D12" s="5" t="s">
        <v>47</v>
      </c>
      <c r="E12" s="7">
        <v>45959</v>
      </c>
      <c r="F12" s="6">
        <v>1400000055</v>
      </c>
      <c r="G12" s="5" t="s">
        <v>44</v>
      </c>
      <c r="H12" s="5" t="s">
        <v>52</v>
      </c>
      <c r="I12" s="5" t="s">
        <v>32</v>
      </c>
      <c r="J12" s="5" t="s">
        <v>33</v>
      </c>
      <c r="K12" s="5" t="s">
        <v>34</v>
      </c>
      <c r="L12" s="8">
        <v>-5000000</v>
      </c>
      <c r="M12" s="5" t="s">
        <v>34</v>
      </c>
      <c r="N12" s="8">
        <v>-5000000</v>
      </c>
      <c r="O12" s="5" t="s">
        <v>32</v>
      </c>
      <c r="P12" s="7">
        <v>45959</v>
      </c>
      <c r="Q12" s="7"/>
      <c r="R12" s="5" t="s">
        <v>32</v>
      </c>
      <c r="S12" t="e">
        <f>VLOOKUP(I12,TDS!$A$1:$C$70,4,FALSE)</f>
        <v>#N/A</v>
      </c>
    </row>
    <row r="13" spans="1:19" x14ac:dyDescent="0.35">
      <c r="A13" s="6">
        <v>100222362</v>
      </c>
      <c r="B13" s="5" t="s">
        <v>28</v>
      </c>
      <c r="C13" s="5" t="s">
        <v>29</v>
      </c>
      <c r="D13" s="5" t="s">
        <v>38</v>
      </c>
      <c r="E13" s="7">
        <v>45701</v>
      </c>
      <c r="F13" s="6">
        <v>7000000036</v>
      </c>
      <c r="G13" s="5" t="s">
        <v>53</v>
      </c>
      <c r="H13" s="5" t="s">
        <v>54</v>
      </c>
      <c r="I13" s="5" t="s">
        <v>54</v>
      </c>
      <c r="J13" s="5" t="s">
        <v>33</v>
      </c>
      <c r="K13" s="5" t="s">
        <v>34</v>
      </c>
      <c r="L13" s="8">
        <v>-1</v>
      </c>
      <c r="M13" s="5" t="s">
        <v>34</v>
      </c>
      <c r="N13" s="8">
        <v>-1</v>
      </c>
      <c r="O13" s="5" t="s">
        <v>36</v>
      </c>
      <c r="P13" s="7">
        <v>45701</v>
      </c>
      <c r="Q13" s="7">
        <v>45758</v>
      </c>
      <c r="R13" s="5" t="s">
        <v>37</v>
      </c>
      <c r="S13" t="e">
        <f>VLOOKUP(I13,TDS!$A$1:$C$70,4,FALSE)</f>
        <v>#N/A</v>
      </c>
    </row>
    <row r="14" spans="1:19" x14ac:dyDescent="0.35">
      <c r="A14" s="6">
        <v>100222362</v>
      </c>
      <c r="B14" s="5" t="s">
        <v>28</v>
      </c>
      <c r="C14" s="5" t="s">
        <v>29</v>
      </c>
      <c r="D14" s="5" t="s">
        <v>56</v>
      </c>
      <c r="E14" s="7">
        <v>45744</v>
      </c>
      <c r="F14" s="6">
        <v>7000000128</v>
      </c>
      <c r="G14" s="5" t="s">
        <v>53</v>
      </c>
      <c r="H14" s="5" t="s">
        <v>57</v>
      </c>
      <c r="I14" s="5" t="s">
        <v>57</v>
      </c>
      <c r="J14" s="5" t="s">
        <v>33</v>
      </c>
      <c r="K14" s="5" t="s">
        <v>34</v>
      </c>
      <c r="L14" s="8">
        <v>1</v>
      </c>
      <c r="M14" s="5" t="s">
        <v>34</v>
      </c>
      <c r="N14" s="8">
        <v>1</v>
      </c>
      <c r="O14" s="5" t="s">
        <v>36</v>
      </c>
      <c r="P14" s="7">
        <v>45701</v>
      </c>
      <c r="Q14" s="7">
        <v>45758</v>
      </c>
      <c r="R14" s="5" t="s">
        <v>37</v>
      </c>
      <c r="S14" t="e">
        <f>VLOOKUP(I14,TDS!$A$1:$C$70,4,FALSE)</f>
        <v>#N/A</v>
      </c>
    </row>
    <row r="15" spans="1:19" x14ac:dyDescent="0.35">
      <c r="A15" s="6">
        <v>100222362</v>
      </c>
      <c r="B15" s="5" t="s">
        <v>28</v>
      </c>
      <c r="C15" s="5" t="s">
        <v>29</v>
      </c>
      <c r="D15" s="5" t="s">
        <v>30</v>
      </c>
      <c r="E15" s="7">
        <v>45748</v>
      </c>
      <c r="F15" s="6">
        <v>7000000131</v>
      </c>
      <c r="G15" s="5" t="s">
        <v>53</v>
      </c>
      <c r="H15" s="5" t="s">
        <v>58</v>
      </c>
      <c r="I15" s="5" t="s">
        <v>58</v>
      </c>
      <c r="J15" s="5" t="s">
        <v>33</v>
      </c>
      <c r="K15" s="5" t="s">
        <v>34</v>
      </c>
      <c r="L15" s="8">
        <v>-1500000</v>
      </c>
      <c r="M15" s="5" t="s">
        <v>34</v>
      </c>
      <c r="N15" s="8">
        <v>-1500000</v>
      </c>
      <c r="O15" s="5" t="s">
        <v>59</v>
      </c>
      <c r="P15" s="7">
        <v>45743</v>
      </c>
      <c r="Q15" s="7"/>
      <c r="R15" s="5" t="s">
        <v>32</v>
      </c>
      <c r="S15" t="e">
        <f>VLOOKUP(I15,TDS!$A$1:$C$70,4,FALSE)</f>
        <v>#N/A</v>
      </c>
    </row>
    <row r="16" spans="1:19" x14ac:dyDescent="0.35">
      <c r="A16" s="6">
        <v>100222362</v>
      </c>
      <c r="B16" s="5" t="s">
        <v>28</v>
      </c>
      <c r="C16" s="5" t="s">
        <v>29</v>
      </c>
      <c r="D16" s="5" t="s">
        <v>55</v>
      </c>
      <c r="E16" s="7">
        <v>45976</v>
      </c>
      <c r="F16" s="6">
        <v>1400000084</v>
      </c>
      <c r="G16" s="5" t="s">
        <v>39</v>
      </c>
      <c r="H16" s="5" t="s">
        <v>60</v>
      </c>
      <c r="I16" s="5" t="s">
        <v>61</v>
      </c>
      <c r="J16" s="5" t="s">
        <v>33</v>
      </c>
      <c r="K16" s="5" t="s">
        <v>41</v>
      </c>
      <c r="L16" s="8">
        <v>150</v>
      </c>
      <c r="M16" s="5" t="s">
        <v>34</v>
      </c>
      <c r="N16" s="8">
        <v>12897.56</v>
      </c>
      <c r="O16" s="5" t="s">
        <v>32</v>
      </c>
      <c r="P16" s="7">
        <v>45976</v>
      </c>
      <c r="Q16" s="7">
        <v>45976</v>
      </c>
      <c r="R16" s="5" t="s">
        <v>62</v>
      </c>
      <c r="S16" t="e">
        <f>VLOOKUP(I16,TDS!$A$1:$C$70,4,FALSE)</f>
        <v>#N/A</v>
      </c>
    </row>
    <row r="17" spans="1:19" x14ac:dyDescent="0.35">
      <c r="A17" s="6">
        <v>100222362</v>
      </c>
      <c r="B17" s="5" t="s">
        <v>28</v>
      </c>
      <c r="C17" s="5" t="s">
        <v>29</v>
      </c>
      <c r="D17" s="5" t="s">
        <v>55</v>
      </c>
      <c r="E17" s="7">
        <v>45976</v>
      </c>
      <c r="F17" s="6">
        <v>1400000084</v>
      </c>
      <c r="G17" s="5" t="s">
        <v>39</v>
      </c>
      <c r="H17" s="5" t="s">
        <v>60</v>
      </c>
      <c r="I17" s="5" t="s">
        <v>61</v>
      </c>
      <c r="J17" s="5" t="s">
        <v>33</v>
      </c>
      <c r="K17" s="5" t="s">
        <v>41</v>
      </c>
      <c r="L17" s="8">
        <v>-150</v>
      </c>
      <c r="M17" s="5" t="s">
        <v>34</v>
      </c>
      <c r="N17" s="8">
        <v>-13038.28</v>
      </c>
      <c r="O17" s="5" t="s">
        <v>32</v>
      </c>
      <c r="P17" s="7">
        <v>45976</v>
      </c>
      <c r="Q17" s="7">
        <v>45976</v>
      </c>
      <c r="R17" s="5" t="s">
        <v>62</v>
      </c>
      <c r="S17" t="e">
        <f>VLOOKUP(I17,TDS!$A$1:$C$70,4,FALSE)</f>
        <v>#N/A</v>
      </c>
    </row>
    <row r="18" spans="1:19" x14ac:dyDescent="0.35">
      <c r="A18" s="6">
        <v>100222362</v>
      </c>
      <c r="B18" s="5" t="s">
        <v>28</v>
      </c>
      <c r="C18" s="5" t="s">
        <v>29</v>
      </c>
      <c r="D18" s="5" t="s">
        <v>43</v>
      </c>
      <c r="E18" s="7">
        <v>45889</v>
      </c>
      <c r="F18" s="6">
        <v>1800000477</v>
      </c>
      <c r="G18" s="5" t="s">
        <v>63</v>
      </c>
      <c r="H18" s="5" t="s">
        <v>60</v>
      </c>
      <c r="I18" s="9">
        <v>256788410349</v>
      </c>
      <c r="J18" s="5" t="s">
        <v>33</v>
      </c>
      <c r="K18" s="5" t="s">
        <v>41</v>
      </c>
      <c r="L18" s="8">
        <v>100</v>
      </c>
      <c r="M18" s="5" t="s">
        <v>34</v>
      </c>
      <c r="N18" s="8">
        <v>8603.01</v>
      </c>
      <c r="O18" s="5" t="s">
        <v>64</v>
      </c>
      <c r="P18" s="7">
        <v>45889</v>
      </c>
      <c r="Q18" s="7"/>
      <c r="R18" s="5" t="s">
        <v>32</v>
      </c>
      <c r="S18" t="e">
        <f>VLOOKUP(I18,TDS!$A$1:$C$70,4,FALSE)</f>
        <v>#N/A</v>
      </c>
    </row>
    <row r="19" spans="1:19" x14ac:dyDescent="0.35">
      <c r="A19" s="6">
        <v>100222362</v>
      </c>
      <c r="B19" s="5" t="s">
        <v>28</v>
      </c>
      <c r="C19" s="5" t="s">
        <v>29</v>
      </c>
      <c r="D19" s="5" t="s">
        <v>65</v>
      </c>
      <c r="E19" s="7">
        <v>45904</v>
      </c>
      <c r="F19" s="6">
        <v>1800000479</v>
      </c>
      <c r="G19" s="5" t="s">
        <v>63</v>
      </c>
      <c r="H19" s="5" t="s">
        <v>60</v>
      </c>
      <c r="I19" s="9">
        <v>256788410353</v>
      </c>
      <c r="J19" s="5" t="s">
        <v>33</v>
      </c>
      <c r="K19" s="5" t="s">
        <v>41</v>
      </c>
      <c r="L19" s="8">
        <v>100</v>
      </c>
      <c r="M19" s="5" t="s">
        <v>34</v>
      </c>
      <c r="N19" s="8">
        <v>8751.43</v>
      </c>
      <c r="O19" s="5" t="s">
        <v>66</v>
      </c>
      <c r="P19" s="7">
        <v>45904</v>
      </c>
      <c r="Q19" s="7"/>
      <c r="R19" s="5" t="s">
        <v>32</v>
      </c>
      <c r="S19" t="e">
        <f>VLOOKUP(I19,TDS!$A$1:$C$70,4,FALSE)</f>
        <v>#N/A</v>
      </c>
    </row>
    <row r="20" spans="1:19" x14ac:dyDescent="0.35">
      <c r="A20" s="6">
        <v>100222362</v>
      </c>
      <c r="B20" s="5" t="s">
        <v>28</v>
      </c>
      <c r="C20" s="5" t="s">
        <v>29</v>
      </c>
      <c r="D20" s="5" t="s">
        <v>30</v>
      </c>
      <c r="E20" s="7">
        <v>45751</v>
      </c>
      <c r="F20" s="6">
        <v>1800000152</v>
      </c>
      <c r="G20" s="5" t="s">
        <v>63</v>
      </c>
      <c r="H20" s="5" t="s">
        <v>60</v>
      </c>
      <c r="I20" s="9">
        <v>256788410027</v>
      </c>
      <c r="J20" s="5" t="s">
        <v>33</v>
      </c>
      <c r="K20" s="5" t="s">
        <v>41</v>
      </c>
      <c r="L20" s="8">
        <v>170</v>
      </c>
      <c r="M20" s="5" t="s">
        <v>34</v>
      </c>
      <c r="N20" s="8">
        <v>14776.71</v>
      </c>
      <c r="O20" s="5" t="s">
        <v>67</v>
      </c>
      <c r="P20" s="7">
        <v>45755</v>
      </c>
      <c r="Q20" s="7"/>
      <c r="R20" s="5" t="s">
        <v>32</v>
      </c>
      <c r="S20" t="e">
        <f>VLOOKUP(I20,TDS!$A$1:$C$70,4,FALSE)</f>
        <v>#N/A</v>
      </c>
    </row>
    <row r="21" spans="1:19" x14ac:dyDescent="0.35">
      <c r="A21" s="6">
        <v>100222362</v>
      </c>
      <c r="B21" s="5" t="s">
        <v>28</v>
      </c>
      <c r="C21" s="5" t="s">
        <v>29</v>
      </c>
      <c r="D21" s="5" t="s">
        <v>56</v>
      </c>
      <c r="E21" s="7">
        <v>45722</v>
      </c>
      <c r="F21" s="6">
        <v>1800000050</v>
      </c>
      <c r="G21" s="5" t="s">
        <v>63</v>
      </c>
      <c r="H21" s="5" t="s">
        <v>60</v>
      </c>
      <c r="I21" s="9">
        <v>246788410045</v>
      </c>
      <c r="J21" s="5" t="s">
        <v>33</v>
      </c>
      <c r="K21" s="5" t="s">
        <v>41</v>
      </c>
      <c r="L21" s="8">
        <v>841.24</v>
      </c>
      <c r="M21" s="5" t="s">
        <v>34</v>
      </c>
      <c r="N21" s="8">
        <v>72928.160000000003</v>
      </c>
      <c r="O21" s="5" t="s">
        <v>68</v>
      </c>
      <c r="P21" s="7">
        <v>45722</v>
      </c>
      <c r="Q21" s="7"/>
      <c r="R21" s="5" t="s">
        <v>32</v>
      </c>
      <c r="S21" t="e">
        <f>VLOOKUP(I21,TDS!$A$1:$C$70,4,FALSE)</f>
        <v>#N/A</v>
      </c>
    </row>
    <row r="22" spans="1:19" x14ac:dyDescent="0.35">
      <c r="A22" s="6">
        <v>100222362</v>
      </c>
      <c r="B22" s="5" t="s">
        <v>28</v>
      </c>
      <c r="C22" s="5" t="s">
        <v>29</v>
      </c>
      <c r="D22" s="5" t="s">
        <v>56</v>
      </c>
      <c r="E22" s="7">
        <v>45722</v>
      </c>
      <c r="F22" s="6">
        <v>1800000051</v>
      </c>
      <c r="G22" s="5" t="s">
        <v>63</v>
      </c>
      <c r="H22" s="5" t="s">
        <v>60</v>
      </c>
      <c r="I22" s="9">
        <v>246788410046</v>
      </c>
      <c r="J22" s="5" t="s">
        <v>33</v>
      </c>
      <c r="K22" s="5" t="s">
        <v>41</v>
      </c>
      <c r="L22" s="8">
        <v>4169.66</v>
      </c>
      <c r="M22" s="5" t="s">
        <v>34</v>
      </c>
      <c r="N22" s="8">
        <v>361473.08</v>
      </c>
      <c r="O22" s="5" t="s">
        <v>69</v>
      </c>
      <c r="P22" s="7">
        <v>45722</v>
      </c>
      <c r="Q22" s="7"/>
      <c r="R22" s="5" t="s">
        <v>32</v>
      </c>
      <c r="S22" t="e">
        <f>VLOOKUP(I22,TDS!$A$1:$C$70,4,FALSE)</f>
        <v>#N/A</v>
      </c>
    </row>
    <row r="23" spans="1:19" x14ac:dyDescent="0.35">
      <c r="A23" s="6">
        <v>100222362</v>
      </c>
      <c r="B23" s="5" t="s">
        <v>28</v>
      </c>
      <c r="C23" s="5" t="s">
        <v>29</v>
      </c>
      <c r="D23" s="5" t="s">
        <v>56</v>
      </c>
      <c r="E23" s="7">
        <v>45719</v>
      </c>
      <c r="F23" s="6">
        <v>1800000045</v>
      </c>
      <c r="G23" s="5" t="s">
        <v>63</v>
      </c>
      <c r="H23" s="5" t="s">
        <v>60</v>
      </c>
      <c r="I23" s="9">
        <v>246788410039</v>
      </c>
      <c r="J23" s="5" t="s">
        <v>33</v>
      </c>
      <c r="K23" s="5" t="s">
        <v>41</v>
      </c>
      <c r="L23" s="8">
        <v>1044.69</v>
      </c>
      <c r="M23" s="5" t="s">
        <v>34</v>
      </c>
      <c r="N23" s="8">
        <v>90565.49</v>
      </c>
      <c r="O23" s="5" t="s">
        <v>70</v>
      </c>
      <c r="P23" s="7">
        <v>45719</v>
      </c>
      <c r="Q23" s="7"/>
      <c r="R23" s="5" t="s">
        <v>32</v>
      </c>
      <c r="S23" t="e">
        <f>VLOOKUP(I23,TDS!$A$1:$C$70,4,FALSE)</f>
        <v>#N/A</v>
      </c>
    </row>
    <row r="24" spans="1:19" x14ac:dyDescent="0.35">
      <c r="A24" s="6">
        <v>100222362</v>
      </c>
      <c r="B24" s="5" t="s">
        <v>28</v>
      </c>
      <c r="C24" s="5" t="s">
        <v>29</v>
      </c>
      <c r="D24" s="5" t="s">
        <v>56</v>
      </c>
      <c r="E24" s="7">
        <v>45719</v>
      </c>
      <c r="F24" s="6">
        <v>1800000046</v>
      </c>
      <c r="G24" s="5" t="s">
        <v>63</v>
      </c>
      <c r="H24" s="5" t="s">
        <v>60</v>
      </c>
      <c r="I24" s="9">
        <v>246788410040</v>
      </c>
      <c r="J24" s="5" t="s">
        <v>33</v>
      </c>
      <c r="K24" s="5" t="s">
        <v>41</v>
      </c>
      <c r="L24" s="8">
        <v>129.97999999999999</v>
      </c>
      <c r="M24" s="5" t="s">
        <v>34</v>
      </c>
      <c r="N24" s="8">
        <v>11268.13</v>
      </c>
      <c r="O24" s="5" t="s">
        <v>71</v>
      </c>
      <c r="P24" s="7">
        <v>45719</v>
      </c>
      <c r="Q24" s="7"/>
      <c r="R24" s="5" t="s">
        <v>32</v>
      </c>
      <c r="S24" t="e">
        <f>VLOOKUP(I24,TDS!$A$1:$C$70,4,FALSE)</f>
        <v>#N/A</v>
      </c>
    </row>
    <row r="25" spans="1:19" x14ac:dyDescent="0.35">
      <c r="A25" s="6">
        <v>100222362</v>
      </c>
      <c r="B25" s="5" t="s">
        <v>28</v>
      </c>
      <c r="C25" s="5" t="s">
        <v>29</v>
      </c>
      <c r="D25" s="5" t="s">
        <v>56</v>
      </c>
      <c r="E25" s="7">
        <v>45719</v>
      </c>
      <c r="F25" s="6">
        <v>1800000047</v>
      </c>
      <c r="G25" s="5" t="s">
        <v>63</v>
      </c>
      <c r="H25" s="5" t="s">
        <v>60</v>
      </c>
      <c r="I25" s="9">
        <v>246788410042</v>
      </c>
      <c r="J25" s="5" t="s">
        <v>33</v>
      </c>
      <c r="K25" s="5" t="s">
        <v>41</v>
      </c>
      <c r="L25" s="8">
        <v>4421.13</v>
      </c>
      <c r="M25" s="5" t="s">
        <v>34</v>
      </c>
      <c r="N25" s="8">
        <v>383273.33</v>
      </c>
      <c r="O25" s="5" t="s">
        <v>72</v>
      </c>
      <c r="P25" s="7">
        <v>45719</v>
      </c>
      <c r="Q25" s="7"/>
      <c r="R25" s="5" t="s">
        <v>32</v>
      </c>
      <c r="S25" t="e">
        <f>VLOOKUP(I25,TDS!$A$1:$C$70,4,FALSE)</f>
        <v>#N/A</v>
      </c>
    </row>
    <row r="26" spans="1:19" x14ac:dyDescent="0.35">
      <c r="A26" s="6">
        <v>100222362</v>
      </c>
      <c r="B26" s="5" t="s">
        <v>28</v>
      </c>
      <c r="C26" s="5" t="s">
        <v>29</v>
      </c>
      <c r="D26" s="5" t="s">
        <v>56</v>
      </c>
      <c r="E26" s="7">
        <v>45719</v>
      </c>
      <c r="F26" s="6">
        <v>1800000048</v>
      </c>
      <c r="G26" s="5" t="s">
        <v>63</v>
      </c>
      <c r="H26" s="5" t="s">
        <v>60</v>
      </c>
      <c r="I26" s="9">
        <v>246788410043</v>
      </c>
      <c r="J26" s="5" t="s">
        <v>33</v>
      </c>
      <c r="K26" s="5" t="s">
        <v>41</v>
      </c>
      <c r="L26" s="8">
        <v>2730.01</v>
      </c>
      <c r="M26" s="5" t="s">
        <v>34</v>
      </c>
      <c r="N26" s="8">
        <v>236668.01</v>
      </c>
      <c r="O26" s="5" t="s">
        <v>73</v>
      </c>
      <c r="P26" s="7">
        <v>45719</v>
      </c>
      <c r="Q26" s="7"/>
      <c r="R26" s="5" t="s">
        <v>32</v>
      </c>
      <c r="S26" t="e">
        <f>VLOOKUP(I26,TDS!$A$1:$C$70,4,FALSE)</f>
        <v>#N/A</v>
      </c>
    </row>
    <row r="27" spans="1:19" x14ac:dyDescent="0.35">
      <c r="A27" s="6">
        <v>100222362</v>
      </c>
      <c r="B27" s="5" t="s">
        <v>28</v>
      </c>
      <c r="C27" s="5" t="s">
        <v>29</v>
      </c>
      <c r="D27" s="5" t="s">
        <v>56</v>
      </c>
      <c r="E27" s="7">
        <v>45719</v>
      </c>
      <c r="F27" s="6">
        <v>1800000049</v>
      </c>
      <c r="G27" s="5" t="s">
        <v>63</v>
      </c>
      <c r="H27" s="5" t="s">
        <v>60</v>
      </c>
      <c r="I27" s="9">
        <v>246788410044</v>
      </c>
      <c r="J27" s="5" t="s">
        <v>33</v>
      </c>
      <c r="K27" s="5" t="s">
        <v>41</v>
      </c>
      <c r="L27" s="8">
        <v>474.24</v>
      </c>
      <c r="M27" s="5" t="s">
        <v>34</v>
      </c>
      <c r="N27" s="8">
        <v>41112.46</v>
      </c>
      <c r="O27" s="5" t="s">
        <v>74</v>
      </c>
      <c r="P27" s="7">
        <v>45719</v>
      </c>
      <c r="Q27" s="7"/>
      <c r="R27" s="5" t="s">
        <v>32</v>
      </c>
      <c r="S27" t="e">
        <f>VLOOKUP(I27,TDS!$A$1:$C$70,4,FALSE)</f>
        <v>#N/A</v>
      </c>
    </row>
    <row r="28" spans="1:19" x14ac:dyDescent="0.35">
      <c r="A28" s="6">
        <v>100222362</v>
      </c>
      <c r="B28" s="5" t="s">
        <v>28</v>
      </c>
      <c r="C28" s="5" t="s">
        <v>29</v>
      </c>
      <c r="D28" s="5" t="s">
        <v>43</v>
      </c>
      <c r="E28" s="7">
        <v>45870</v>
      </c>
      <c r="F28" s="6">
        <v>1800000447</v>
      </c>
      <c r="G28" s="5" t="s">
        <v>63</v>
      </c>
      <c r="H28" s="5" t="s">
        <v>60</v>
      </c>
      <c r="I28" s="9">
        <v>256788410322</v>
      </c>
      <c r="J28" s="5" t="s">
        <v>33</v>
      </c>
      <c r="K28" s="5" t="s">
        <v>41</v>
      </c>
      <c r="L28" s="8">
        <v>75</v>
      </c>
      <c r="M28" s="5" t="s">
        <v>34</v>
      </c>
      <c r="N28" s="8">
        <v>6452.26</v>
      </c>
      <c r="O28" s="5" t="s">
        <v>75</v>
      </c>
      <c r="P28" s="7">
        <v>45870</v>
      </c>
      <c r="Q28" s="7"/>
      <c r="R28" s="5" t="s">
        <v>32</v>
      </c>
      <c r="S28" t="e">
        <f>VLOOKUP(I28,TDS!$A$1:$C$70,4,FALSE)</f>
        <v>#N/A</v>
      </c>
    </row>
    <row r="29" spans="1:19" x14ac:dyDescent="0.35">
      <c r="A29" s="6">
        <v>100222362</v>
      </c>
      <c r="B29" s="5" t="s">
        <v>28</v>
      </c>
      <c r="C29" s="5" t="s">
        <v>29</v>
      </c>
      <c r="D29" s="5" t="s">
        <v>76</v>
      </c>
      <c r="E29" s="7">
        <v>45818</v>
      </c>
      <c r="F29" s="6">
        <v>1800000353</v>
      </c>
      <c r="G29" s="5" t="s">
        <v>63</v>
      </c>
      <c r="H29" s="5" t="s">
        <v>60</v>
      </c>
      <c r="I29" s="9">
        <v>256788410228</v>
      </c>
      <c r="J29" s="5" t="s">
        <v>33</v>
      </c>
      <c r="K29" s="5" t="s">
        <v>41</v>
      </c>
      <c r="L29" s="8">
        <v>75</v>
      </c>
      <c r="M29" s="5" t="s">
        <v>34</v>
      </c>
      <c r="N29" s="8">
        <v>6411.81</v>
      </c>
      <c r="O29" s="5" t="s">
        <v>77</v>
      </c>
      <c r="P29" s="7">
        <v>45818</v>
      </c>
      <c r="Q29" s="7"/>
      <c r="R29" s="5" t="s">
        <v>32</v>
      </c>
      <c r="S29" t="e">
        <f>VLOOKUP(I29,TDS!$A$1:$C$70,4,FALSE)</f>
        <v>#N/A</v>
      </c>
    </row>
    <row r="30" spans="1:19" x14ac:dyDescent="0.35">
      <c r="A30" s="6">
        <v>100222362</v>
      </c>
      <c r="B30" s="5" t="s">
        <v>28</v>
      </c>
      <c r="C30" s="5" t="s">
        <v>29</v>
      </c>
      <c r="D30" s="5" t="s">
        <v>65</v>
      </c>
      <c r="E30" s="7">
        <v>45917</v>
      </c>
      <c r="F30" s="6">
        <v>1800000504</v>
      </c>
      <c r="G30" s="5" t="s">
        <v>63</v>
      </c>
      <c r="H30" s="5" t="s">
        <v>60</v>
      </c>
      <c r="I30" s="9">
        <v>256788410379</v>
      </c>
      <c r="J30" s="5" t="s">
        <v>33</v>
      </c>
      <c r="K30" s="5" t="s">
        <v>41</v>
      </c>
      <c r="L30" s="8">
        <v>53.78</v>
      </c>
      <c r="M30" s="5" t="s">
        <v>34</v>
      </c>
      <c r="N30" s="8">
        <v>4706.5200000000004</v>
      </c>
      <c r="O30" s="5" t="s">
        <v>78</v>
      </c>
      <c r="P30" s="7">
        <v>45917</v>
      </c>
      <c r="Q30" s="7"/>
      <c r="R30" s="5" t="s">
        <v>32</v>
      </c>
      <c r="S30" t="e">
        <f>VLOOKUP(I30,TDS!$A$1:$C$70,4,FALSE)</f>
        <v>#N/A</v>
      </c>
    </row>
    <row r="31" spans="1:19" x14ac:dyDescent="0.35">
      <c r="A31" s="6">
        <v>100222362</v>
      </c>
      <c r="B31" s="5" t="s">
        <v>28</v>
      </c>
      <c r="C31" s="5" t="s">
        <v>29</v>
      </c>
      <c r="D31" s="5" t="s">
        <v>65</v>
      </c>
      <c r="E31" s="7">
        <v>45917</v>
      </c>
      <c r="F31" s="6">
        <v>1800000507</v>
      </c>
      <c r="G31" s="5" t="s">
        <v>63</v>
      </c>
      <c r="H31" s="5" t="s">
        <v>60</v>
      </c>
      <c r="I31" s="9">
        <v>256788410382</v>
      </c>
      <c r="J31" s="5" t="s">
        <v>33</v>
      </c>
      <c r="K31" s="5" t="s">
        <v>41</v>
      </c>
      <c r="L31" s="8">
        <v>102.14</v>
      </c>
      <c r="M31" s="5" t="s">
        <v>34</v>
      </c>
      <c r="N31" s="8">
        <v>8938.7099999999991</v>
      </c>
      <c r="O31" s="5" t="s">
        <v>79</v>
      </c>
      <c r="P31" s="7">
        <v>45917</v>
      </c>
      <c r="Q31" s="7"/>
      <c r="R31" s="5" t="s">
        <v>32</v>
      </c>
      <c r="S31" t="e">
        <f>VLOOKUP(I31,TDS!$A$1:$C$70,4,FALSE)</f>
        <v>#N/A</v>
      </c>
    </row>
    <row r="32" spans="1:19" x14ac:dyDescent="0.35">
      <c r="A32" s="6">
        <v>100222362</v>
      </c>
      <c r="B32" s="5" t="s">
        <v>28</v>
      </c>
      <c r="C32" s="5" t="s">
        <v>29</v>
      </c>
      <c r="D32" s="5" t="s">
        <v>80</v>
      </c>
      <c r="E32" s="7">
        <v>45785</v>
      </c>
      <c r="F32" s="6">
        <v>1800000341</v>
      </c>
      <c r="G32" s="5" t="s">
        <v>63</v>
      </c>
      <c r="H32" s="5" t="s">
        <v>60</v>
      </c>
      <c r="I32" s="9">
        <v>256788410216</v>
      </c>
      <c r="J32" s="5" t="s">
        <v>33</v>
      </c>
      <c r="K32" s="5" t="s">
        <v>41</v>
      </c>
      <c r="L32" s="8">
        <v>8.4499999999999993</v>
      </c>
      <c r="M32" s="5" t="s">
        <v>34</v>
      </c>
      <c r="N32" s="8">
        <v>726.56</v>
      </c>
      <c r="O32" s="5" t="s">
        <v>81</v>
      </c>
      <c r="P32" s="7">
        <v>45785</v>
      </c>
      <c r="Q32" s="7"/>
      <c r="R32" s="5" t="s">
        <v>32</v>
      </c>
      <c r="S32" t="e">
        <f>VLOOKUP(I32,TDS!$A$1:$C$70,4,FALSE)</f>
        <v>#N/A</v>
      </c>
    </row>
    <row r="33" spans="1:19" x14ac:dyDescent="0.35">
      <c r="A33" s="6">
        <v>100222362</v>
      </c>
      <c r="B33" s="5" t="s">
        <v>28</v>
      </c>
      <c r="C33" s="5" t="s">
        <v>29</v>
      </c>
      <c r="D33" s="5" t="s">
        <v>80</v>
      </c>
      <c r="E33" s="7">
        <v>45785</v>
      </c>
      <c r="F33" s="6">
        <v>1800000342</v>
      </c>
      <c r="G33" s="5" t="s">
        <v>63</v>
      </c>
      <c r="H33" s="5" t="s">
        <v>60</v>
      </c>
      <c r="I33" s="9">
        <v>256788410217</v>
      </c>
      <c r="J33" s="5" t="s">
        <v>33</v>
      </c>
      <c r="K33" s="5" t="s">
        <v>41</v>
      </c>
      <c r="L33" s="8">
        <v>37.659999999999997</v>
      </c>
      <c r="M33" s="5" t="s">
        <v>34</v>
      </c>
      <c r="N33" s="8">
        <v>3238.15</v>
      </c>
      <c r="O33" s="5" t="s">
        <v>82</v>
      </c>
      <c r="P33" s="7">
        <v>45785</v>
      </c>
      <c r="Q33" s="7"/>
      <c r="R33" s="5" t="s">
        <v>32</v>
      </c>
      <c r="S33" t="e">
        <f>VLOOKUP(I33,TDS!$A$1:$C$70,4,FALSE)</f>
        <v>#N/A</v>
      </c>
    </row>
    <row r="34" spans="1:19" x14ac:dyDescent="0.35">
      <c r="A34" s="6">
        <v>100222362</v>
      </c>
      <c r="B34" s="5" t="s">
        <v>28</v>
      </c>
      <c r="C34" s="5" t="s">
        <v>29</v>
      </c>
      <c r="D34" s="5" t="s">
        <v>80</v>
      </c>
      <c r="E34" s="7">
        <v>45785</v>
      </c>
      <c r="F34" s="6">
        <v>1800000343</v>
      </c>
      <c r="G34" s="5" t="s">
        <v>63</v>
      </c>
      <c r="H34" s="5" t="s">
        <v>60</v>
      </c>
      <c r="I34" s="9">
        <v>256788410218</v>
      </c>
      <c r="J34" s="5" t="s">
        <v>33</v>
      </c>
      <c r="K34" s="5" t="s">
        <v>41</v>
      </c>
      <c r="L34" s="8">
        <v>13.18</v>
      </c>
      <c r="M34" s="5" t="s">
        <v>34</v>
      </c>
      <c r="N34" s="8">
        <v>1133.27</v>
      </c>
      <c r="O34" s="5" t="s">
        <v>83</v>
      </c>
      <c r="P34" s="7">
        <v>45785</v>
      </c>
      <c r="Q34" s="7"/>
      <c r="R34" s="5" t="s">
        <v>32</v>
      </c>
      <c r="S34" t="e">
        <f>VLOOKUP(I34,TDS!$A$1:$C$70,4,FALSE)</f>
        <v>#N/A</v>
      </c>
    </row>
    <row r="35" spans="1:19" x14ac:dyDescent="0.35">
      <c r="A35" s="6">
        <v>100222362</v>
      </c>
      <c r="B35" s="5" t="s">
        <v>28</v>
      </c>
      <c r="C35" s="5" t="s">
        <v>29</v>
      </c>
      <c r="D35" s="5" t="s">
        <v>47</v>
      </c>
      <c r="E35" s="7">
        <v>45947</v>
      </c>
      <c r="F35" s="6">
        <v>1600000261</v>
      </c>
      <c r="G35" s="5" t="s">
        <v>84</v>
      </c>
      <c r="H35" s="5" t="s">
        <v>60</v>
      </c>
      <c r="I35" s="9">
        <v>256788420141</v>
      </c>
      <c r="J35" s="5" t="s">
        <v>33</v>
      </c>
      <c r="K35" s="5" t="s">
        <v>41</v>
      </c>
      <c r="L35" s="8">
        <v>-1211.9000000000001</v>
      </c>
      <c r="M35" s="5" t="s">
        <v>34</v>
      </c>
      <c r="N35" s="8">
        <v>-106878.39</v>
      </c>
      <c r="O35" s="5" t="s">
        <v>85</v>
      </c>
      <c r="P35" s="7">
        <v>45947</v>
      </c>
      <c r="Q35" s="7">
        <v>45976</v>
      </c>
      <c r="R35" s="5" t="s">
        <v>62</v>
      </c>
      <c r="S35" t="e">
        <f>VLOOKUP(I35,TDS!$A$1:$C$70,4,FALSE)</f>
        <v>#N/A</v>
      </c>
    </row>
    <row r="36" spans="1:19" x14ac:dyDescent="0.35">
      <c r="A36" s="6">
        <v>100222362</v>
      </c>
      <c r="B36" s="5" t="s">
        <v>28</v>
      </c>
      <c r="C36" s="5" t="s">
        <v>29</v>
      </c>
      <c r="D36" s="5" t="s">
        <v>47</v>
      </c>
      <c r="E36" s="7">
        <v>45947</v>
      </c>
      <c r="F36" s="6">
        <v>1600000262</v>
      </c>
      <c r="G36" s="5" t="s">
        <v>84</v>
      </c>
      <c r="H36" s="5" t="s">
        <v>60</v>
      </c>
      <c r="I36" s="9">
        <v>256788420142</v>
      </c>
      <c r="J36" s="5" t="s">
        <v>33</v>
      </c>
      <c r="K36" s="5" t="s">
        <v>41</v>
      </c>
      <c r="L36" s="8">
        <v>-40</v>
      </c>
      <c r="M36" s="5" t="s">
        <v>34</v>
      </c>
      <c r="N36" s="8">
        <v>-3527.63</v>
      </c>
      <c r="O36" s="5" t="s">
        <v>86</v>
      </c>
      <c r="P36" s="7">
        <v>45947</v>
      </c>
      <c r="Q36" s="7">
        <v>45976</v>
      </c>
      <c r="R36" s="5" t="s">
        <v>62</v>
      </c>
      <c r="S36" t="e">
        <f>VLOOKUP(I36,TDS!$A$1:$C$70,4,FALSE)</f>
        <v>#N/A</v>
      </c>
    </row>
    <row r="37" spans="1:19" x14ac:dyDescent="0.35">
      <c r="A37" s="6">
        <v>100222362</v>
      </c>
      <c r="B37" s="5" t="s">
        <v>28</v>
      </c>
      <c r="C37" s="5" t="s">
        <v>29</v>
      </c>
      <c r="D37" s="5" t="s">
        <v>47</v>
      </c>
      <c r="E37" s="7">
        <v>45947</v>
      </c>
      <c r="F37" s="6">
        <v>1600000263</v>
      </c>
      <c r="G37" s="5" t="s">
        <v>84</v>
      </c>
      <c r="H37" s="5" t="s">
        <v>60</v>
      </c>
      <c r="I37" s="9">
        <v>256788420143</v>
      </c>
      <c r="J37" s="5" t="s">
        <v>33</v>
      </c>
      <c r="K37" s="5" t="s">
        <v>41</v>
      </c>
      <c r="L37" s="8">
        <v>-11.26</v>
      </c>
      <c r="M37" s="5" t="s">
        <v>34</v>
      </c>
      <c r="N37" s="8">
        <v>-993.03</v>
      </c>
      <c r="O37" s="5" t="s">
        <v>87</v>
      </c>
      <c r="P37" s="7">
        <v>45947</v>
      </c>
      <c r="Q37" s="7">
        <v>45976</v>
      </c>
      <c r="R37" s="5" t="s">
        <v>62</v>
      </c>
      <c r="S37" t="e">
        <f>VLOOKUP(I37,TDS!$A$1:$C$70,4,FALSE)</f>
        <v>#N/A</v>
      </c>
    </row>
    <row r="38" spans="1:19" x14ac:dyDescent="0.35">
      <c r="A38" s="6">
        <v>100222362</v>
      </c>
      <c r="B38" s="5" t="s">
        <v>28</v>
      </c>
      <c r="C38" s="5" t="s">
        <v>29</v>
      </c>
      <c r="D38" s="5" t="s">
        <v>30</v>
      </c>
      <c r="E38" s="7">
        <v>45763</v>
      </c>
      <c r="F38" s="6">
        <v>1800007124</v>
      </c>
      <c r="G38" s="5" t="s">
        <v>63</v>
      </c>
      <c r="H38" s="5" t="s">
        <v>60</v>
      </c>
      <c r="I38" s="9">
        <v>256779412015</v>
      </c>
      <c r="J38" s="5" t="s">
        <v>33</v>
      </c>
      <c r="K38" s="5" t="s">
        <v>41</v>
      </c>
      <c r="L38" s="8">
        <v>86.56</v>
      </c>
      <c r="M38" s="5" t="s">
        <v>34</v>
      </c>
      <c r="N38" s="8">
        <v>7523.95</v>
      </c>
      <c r="O38" s="5" t="s">
        <v>88</v>
      </c>
      <c r="P38" s="7">
        <v>45763</v>
      </c>
      <c r="Q38" s="7"/>
      <c r="R38" s="5" t="s">
        <v>32</v>
      </c>
      <c r="S38" t="e">
        <f>VLOOKUP(I38,TDS!$A$1:$C$70,4,FALSE)</f>
        <v>#N/A</v>
      </c>
    </row>
    <row r="39" spans="1:19" x14ac:dyDescent="0.35">
      <c r="A39" s="6">
        <v>100222362</v>
      </c>
      <c r="B39" s="5" t="s">
        <v>28</v>
      </c>
      <c r="C39" s="5" t="s">
        <v>29</v>
      </c>
      <c r="D39" s="5" t="s">
        <v>30</v>
      </c>
      <c r="E39" s="7">
        <v>45763</v>
      </c>
      <c r="F39" s="6">
        <v>1800007167</v>
      </c>
      <c r="G39" s="5" t="s">
        <v>63</v>
      </c>
      <c r="H39" s="5" t="s">
        <v>60</v>
      </c>
      <c r="I39" s="9">
        <v>256779412058</v>
      </c>
      <c r="J39" s="5" t="s">
        <v>33</v>
      </c>
      <c r="K39" s="5" t="s">
        <v>41</v>
      </c>
      <c r="L39" s="8">
        <v>188.84</v>
      </c>
      <c r="M39" s="5" t="s">
        <v>34</v>
      </c>
      <c r="N39" s="8">
        <v>16414.32</v>
      </c>
      <c r="O39" s="5" t="s">
        <v>78</v>
      </c>
      <c r="P39" s="7">
        <v>45763</v>
      </c>
      <c r="Q39" s="7"/>
      <c r="R39" s="5" t="s">
        <v>32</v>
      </c>
      <c r="S39" t="e">
        <f>VLOOKUP(I39,TDS!$A$1:$C$70,4,FALSE)</f>
        <v>#N/A</v>
      </c>
    </row>
    <row r="40" spans="1:19" x14ac:dyDescent="0.35">
      <c r="A40" s="6">
        <v>100222362</v>
      </c>
      <c r="B40" s="5" t="s">
        <v>28</v>
      </c>
      <c r="C40" s="5" t="s">
        <v>29</v>
      </c>
      <c r="D40" s="5" t="s">
        <v>30</v>
      </c>
      <c r="E40" s="7">
        <v>45763</v>
      </c>
      <c r="F40" s="6">
        <v>1800007205</v>
      </c>
      <c r="G40" s="5" t="s">
        <v>63</v>
      </c>
      <c r="H40" s="5" t="s">
        <v>60</v>
      </c>
      <c r="I40" s="9">
        <v>256779412096</v>
      </c>
      <c r="J40" s="5" t="s">
        <v>33</v>
      </c>
      <c r="K40" s="5" t="s">
        <v>41</v>
      </c>
      <c r="L40" s="8">
        <v>16.829999999999998</v>
      </c>
      <c r="M40" s="5" t="s">
        <v>34</v>
      </c>
      <c r="N40" s="8">
        <v>1462.89</v>
      </c>
      <c r="O40" s="5" t="s">
        <v>89</v>
      </c>
      <c r="P40" s="7">
        <v>45763</v>
      </c>
      <c r="Q40" s="7"/>
      <c r="R40" s="5" t="s">
        <v>32</v>
      </c>
      <c r="S40" t="e">
        <f>VLOOKUP(I40,TDS!$A$1:$C$70,4,FALSE)</f>
        <v>#N/A</v>
      </c>
    </row>
    <row r="41" spans="1:19" x14ac:dyDescent="0.35">
      <c r="A41" s="6">
        <v>100222362</v>
      </c>
      <c r="B41" s="5" t="s">
        <v>28</v>
      </c>
      <c r="C41" s="5" t="s">
        <v>29</v>
      </c>
      <c r="D41" s="5" t="s">
        <v>90</v>
      </c>
      <c r="E41" s="7">
        <v>45847</v>
      </c>
      <c r="F41" s="6">
        <v>1800000368</v>
      </c>
      <c r="G41" s="5" t="s">
        <v>63</v>
      </c>
      <c r="H41" s="5" t="s">
        <v>60</v>
      </c>
      <c r="I41" s="9">
        <v>256788410243</v>
      </c>
      <c r="J41" s="5" t="s">
        <v>33</v>
      </c>
      <c r="K41" s="5" t="s">
        <v>41</v>
      </c>
      <c r="L41" s="8">
        <v>30</v>
      </c>
      <c r="M41" s="5" t="s">
        <v>34</v>
      </c>
      <c r="N41" s="8">
        <v>2580.02</v>
      </c>
      <c r="O41" s="5" t="s">
        <v>91</v>
      </c>
      <c r="P41" s="7">
        <v>45847</v>
      </c>
      <c r="Q41" s="7"/>
      <c r="R41" s="5" t="s">
        <v>32</v>
      </c>
      <c r="S41" t="e">
        <f>VLOOKUP(I41,TDS!$A$1:$C$70,4,FALSE)</f>
        <v>#N/A</v>
      </c>
    </row>
    <row r="42" spans="1:19" x14ac:dyDescent="0.35">
      <c r="A42" s="6">
        <v>100222362</v>
      </c>
      <c r="B42" s="5" t="s">
        <v>28</v>
      </c>
      <c r="C42" s="5" t="s">
        <v>29</v>
      </c>
      <c r="D42" s="5" t="s">
        <v>90</v>
      </c>
      <c r="E42" s="7">
        <v>45847</v>
      </c>
      <c r="F42" s="6">
        <v>1800000384</v>
      </c>
      <c r="G42" s="5" t="s">
        <v>63</v>
      </c>
      <c r="H42" s="5" t="s">
        <v>60</v>
      </c>
      <c r="I42" s="9">
        <v>256788410259</v>
      </c>
      <c r="J42" s="5" t="s">
        <v>33</v>
      </c>
      <c r="K42" s="5" t="s">
        <v>41</v>
      </c>
      <c r="L42" s="8">
        <v>75</v>
      </c>
      <c r="M42" s="5" t="s">
        <v>34</v>
      </c>
      <c r="N42" s="8">
        <v>6450.05</v>
      </c>
      <c r="O42" s="5" t="s">
        <v>92</v>
      </c>
      <c r="P42" s="7">
        <v>45847</v>
      </c>
      <c r="Q42" s="7"/>
      <c r="R42" s="5" t="s">
        <v>32</v>
      </c>
      <c r="S42" t="e">
        <f>VLOOKUP(I42,TDS!$A$1:$C$70,4,FALSE)</f>
        <v>#N/A</v>
      </c>
    </row>
    <row r="43" spans="1:19" x14ac:dyDescent="0.35">
      <c r="A43" s="6">
        <v>100222362</v>
      </c>
      <c r="B43" s="5" t="s">
        <v>28</v>
      </c>
      <c r="C43" s="5" t="s">
        <v>29</v>
      </c>
      <c r="D43" s="5" t="s">
        <v>65</v>
      </c>
      <c r="E43" s="7">
        <v>45904</v>
      </c>
      <c r="F43" s="6">
        <v>1800012496</v>
      </c>
      <c r="G43" s="5" t="s">
        <v>63</v>
      </c>
      <c r="H43" s="5" t="s">
        <v>60</v>
      </c>
      <c r="I43" s="9">
        <v>256779416953</v>
      </c>
      <c r="J43" s="5" t="s">
        <v>33</v>
      </c>
      <c r="K43" s="5" t="s">
        <v>41</v>
      </c>
      <c r="L43" s="8">
        <v>2.14</v>
      </c>
      <c r="M43" s="5" t="s">
        <v>34</v>
      </c>
      <c r="N43" s="8">
        <v>187.28</v>
      </c>
      <c r="O43" s="5" t="s">
        <v>93</v>
      </c>
      <c r="P43" s="7">
        <v>45904</v>
      </c>
      <c r="Q43" s="7"/>
      <c r="R43" s="5" t="s">
        <v>32</v>
      </c>
      <c r="S43" t="e">
        <f>VLOOKUP(I43,TDS!$A$1:$C$70,4,FALSE)</f>
        <v>#N/A</v>
      </c>
    </row>
    <row r="44" spans="1:19" x14ac:dyDescent="0.35">
      <c r="A44" s="6">
        <v>100222362</v>
      </c>
      <c r="B44" s="5" t="s">
        <v>28</v>
      </c>
      <c r="C44" s="5" t="s">
        <v>29</v>
      </c>
      <c r="D44" s="5" t="s">
        <v>65</v>
      </c>
      <c r="E44" s="7">
        <v>45904</v>
      </c>
      <c r="F44" s="6">
        <v>1800000480</v>
      </c>
      <c r="G44" s="5" t="s">
        <v>63</v>
      </c>
      <c r="H44" s="5" t="s">
        <v>60</v>
      </c>
      <c r="I44" s="9">
        <v>256788410354</v>
      </c>
      <c r="J44" s="5" t="s">
        <v>33</v>
      </c>
      <c r="K44" s="5" t="s">
        <v>41</v>
      </c>
      <c r="L44" s="8">
        <v>12.52</v>
      </c>
      <c r="M44" s="5" t="s">
        <v>34</v>
      </c>
      <c r="N44" s="8">
        <v>1095.68</v>
      </c>
      <c r="O44" s="5" t="s">
        <v>94</v>
      </c>
      <c r="P44" s="7">
        <v>45904</v>
      </c>
      <c r="Q44" s="7"/>
      <c r="R44" s="5" t="s">
        <v>32</v>
      </c>
      <c r="S44" t="e">
        <f>VLOOKUP(I44,TDS!$A$1:$C$70,4,FALSE)</f>
        <v>#N/A</v>
      </c>
    </row>
    <row r="45" spans="1:19" x14ac:dyDescent="0.35">
      <c r="A45" s="6">
        <v>100222362</v>
      </c>
      <c r="B45" s="5" t="s">
        <v>28</v>
      </c>
      <c r="C45" s="5" t="s">
        <v>29</v>
      </c>
      <c r="D45" s="5" t="s">
        <v>65</v>
      </c>
      <c r="E45" s="7">
        <v>45904</v>
      </c>
      <c r="F45" s="6">
        <v>1800000481</v>
      </c>
      <c r="G45" s="5" t="s">
        <v>63</v>
      </c>
      <c r="H45" s="5" t="s">
        <v>60</v>
      </c>
      <c r="I45" s="9">
        <v>256788410355</v>
      </c>
      <c r="J45" s="5" t="s">
        <v>33</v>
      </c>
      <c r="K45" s="5" t="s">
        <v>41</v>
      </c>
      <c r="L45" s="8">
        <v>13.66</v>
      </c>
      <c r="M45" s="5" t="s">
        <v>34</v>
      </c>
      <c r="N45" s="8">
        <v>1195.45</v>
      </c>
      <c r="O45" s="5" t="s">
        <v>95</v>
      </c>
      <c r="P45" s="7">
        <v>45904</v>
      </c>
      <c r="Q45" s="7"/>
      <c r="R45" s="5" t="s">
        <v>32</v>
      </c>
      <c r="S45" t="e">
        <f>VLOOKUP(I45,TDS!$A$1:$C$70,4,FALSE)</f>
        <v>#N/A</v>
      </c>
    </row>
    <row r="46" spans="1:19" x14ac:dyDescent="0.35">
      <c r="A46" s="6">
        <v>100222362</v>
      </c>
      <c r="B46" s="5" t="s">
        <v>28</v>
      </c>
      <c r="C46" s="5" t="s">
        <v>29</v>
      </c>
      <c r="D46" s="5" t="s">
        <v>65</v>
      </c>
      <c r="E46" s="7">
        <v>45904</v>
      </c>
      <c r="F46" s="6">
        <v>1800000483</v>
      </c>
      <c r="G46" s="5" t="s">
        <v>63</v>
      </c>
      <c r="H46" s="5" t="s">
        <v>60</v>
      </c>
      <c r="I46" s="9">
        <v>256788410358</v>
      </c>
      <c r="J46" s="5" t="s">
        <v>33</v>
      </c>
      <c r="K46" s="5" t="s">
        <v>41</v>
      </c>
      <c r="L46" s="8">
        <v>2262.04</v>
      </c>
      <c r="M46" s="5" t="s">
        <v>34</v>
      </c>
      <c r="N46" s="8">
        <v>197960.92</v>
      </c>
      <c r="O46" s="5" t="s">
        <v>96</v>
      </c>
      <c r="P46" s="7">
        <v>45904</v>
      </c>
      <c r="Q46" s="7"/>
      <c r="R46" s="5" t="s">
        <v>32</v>
      </c>
      <c r="S46" t="e">
        <f>VLOOKUP(I46,TDS!$A$1:$C$70,4,FALSE)</f>
        <v>#N/A</v>
      </c>
    </row>
    <row r="47" spans="1:19" x14ac:dyDescent="0.35">
      <c r="A47" s="6">
        <v>100222362</v>
      </c>
      <c r="B47" s="5" t="s">
        <v>28</v>
      </c>
      <c r="C47" s="5" t="s">
        <v>29</v>
      </c>
      <c r="D47" s="5" t="s">
        <v>65</v>
      </c>
      <c r="E47" s="7">
        <v>45904</v>
      </c>
      <c r="F47" s="6">
        <v>1800000488</v>
      </c>
      <c r="G47" s="5" t="s">
        <v>63</v>
      </c>
      <c r="H47" s="5" t="s">
        <v>60</v>
      </c>
      <c r="I47" s="9">
        <v>256788410359</v>
      </c>
      <c r="J47" s="5" t="s">
        <v>33</v>
      </c>
      <c r="K47" s="5" t="s">
        <v>41</v>
      </c>
      <c r="L47" s="8">
        <v>126.58</v>
      </c>
      <c r="M47" s="5" t="s">
        <v>34</v>
      </c>
      <c r="N47" s="8">
        <v>11077.56</v>
      </c>
      <c r="O47" s="5" t="s">
        <v>97</v>
      </c>
      <c r="P47" s="7">
        <v>45904</v>
      </c>
      <c r="Q47" s="7"/>
      <c r="R47" s="5" t="s">
        <v>32</v>
      </c>
      <c r="S47" t="e">
        <f>VLOOKUP(I47,TDS!$A$1:$C$70,4,FALSE)</f>
        <v>#N/A</v>
      </c>
    </row>
    <row r="48" spans="1:19" x14ac:dyDescent="0.35">
      <c r="A48" s="6">
        <v>100222362</v>
      </c>
      <c r="B48" s="5" t="s">
        <v>28</v>
      </c>
      <c r="C48" s="5" t="s">
        <v>29</v>
      </c>
      <c r="D48" s="5" t="s">
        <v>65</v>
      </c>
      <c r="E48" s="7">
        <v>45904</v>
      </c>
      <c r="F48" s="6">
        <v>1800000484</v>
      </c>
      <c r="G48" s="5" t="s">
        <v>63</v>
      </c>
      <c r="H48" s="5" t="s">
        <v>60</v>
      </c>
      <c r="I48" s="9">
        <v>256788410360</v>
      </c>
      <c r="J48" s="5" t="s">
        <v>33</v>
      </c>
      <c r="K48" s="5" t="s">
        <v>41</v>
      </c>
      <c r="L48" s="8">
        <v>348.21</v>
      </c>
      <c r="M48" s="5" t="s">
        <v>34</v>
      </c>
      <c r="N48" s="8">
        <v>30473.360000000001</v>
      </c>
      <c r="O48" s="5" t="s">
        <v>98</v>
      </c>
      <c r="P48" s="7">
        <v>45904</v>
      </c>
      <c r="Q48" s="7"/>
      <c r="R48" s="5" t="s">
        <v>32</v>
      </c>
      <c r="S48" t="e">
        <f>VLOOKUP(I48,TDS!$A$1:$C$70,4,FALSE)</f>
        <v>#N/A</v>
      </c>
    </row>
    <row r="49" spans="1:19" x14ac:dyDescent="0.35">
      <c r="A49" s="6">
        <v>100222362</v>
      </c>
      <c r="B49" s="5" t="s">
        <v>28</v>
      </c>
      <c r="C49" s="5" t="s">
        <v>29</v>
      </c>
      <c r="D49" s="5" t="s">
        <v>65</v>
      </c>
      <c r="E49" s="7">
        <v>45904</v>
      </c>
      <c r="F49" s="6">
        <v>1800000485</v>
      </c>
      <c r="G49" s="5" t="s">
        <v>63</v>
      </c>
      <c r="H49" s="5" t="s">
        <v>60</v>
      </c>
      <c r="I49" s="9">
        <v>256788410361</v>
      </c>
      <c r="J49" s="5" t="s">
        <v>33</v>
      </c>
      <c r="K49" s="5" t="s">
        <v>41</v>
      </c>
      <c r="L49" s="8">
        <v>26</v>
      </c>
      <c r="M49" s="5" t="s">
        <v>34</v>
      </c>
      <c r="N49" s="8">
        <v>2275.37</v>
      </c>
      <c r="O49" s="5" t="s">
        <v>99</v>
      </c>
      <c r="P49" s="7">
        <v>45904</v>
      </c>
      <c r="Q49" s="7"/>
      <c r="R49" s="5" t="s">
        <v>32</v>
      </c>
      <c r="S49" t="e">
        <f>VLOOKUP(I49,TDS!$A$1:$C$70,4,FALSE)</f>
        <v>#N/A</v>
      </c>
    </row>
    <row r="50" spans="1:19" x14ac:dyDescent="0.35">
      <c r="A50" s="6">
        <v>100222362</v>
      </c>
      <c r="B50" s="5" t="s">
        <v>28</v>
      </c>
      <c r="C50" s="5" t="s">
        <v>29</v>
      </c>
      <c r="D50" s="5" t="s">
        <v>65</v>
      </c>
      <c r="E50" s="7">
        <v>45904</v>
      </c>
      <c r="F50" s="6">
        <v>1800000487</v>
      </c>
      <c r="G50" s="5" t="s">
        <v>63</v>
      </c>
      <c r="H50" s="5" t="s">
        <v>60</v>
      </c>
      <c r="I50" s="9">
        <v>256788410363</v>
      </c>
      <c r="J50" s="5" t="s">
        <v>33</v>
      </c>
      <c r="K50" s="5" t="s">
        <v>41</v>
      </c>
      <c r="L50" s="8">
        <v>227.74</v>
      </c>
      <c r="M50" s="5" t="s">
        <v>34</v>
      </c>
      <c r="N50" s="8">
        <v>19930.509999999998</v>
      </c>
      <c r="O50" s="5" t="s">
        <v>100</v>
      </c>
      <c r="P50" s="7">
        <v>45904</v>
      </c>
      <c r="Q50" s="7"/>
      <c r="R50" s="5" t="s">
        <v>32</v>
      </c>
      <c r="S50" t="e">
        <f>VLOOKUP(I50,TDS!$A$1:$C$70,4,FALSE)</f>
        <v>#N/A</v>
      </c>
    </row>
    <row r="51" spans="1:19" x14ac:dyDescent="0.35">
      <c r="A51" s="6">
        <v>100222362</v>
      </c>
      <c r="B51" s="5" t="s">
        <v>28</v>
      </c>
      <c r="C51" s="5" t="s">
        <v>29</v>
      </c>
      <c r="D51" s="5" t="s">
        <v>65</v>
      </c>
      <c r="E51" s="7">
        <v>45904</v>
      </c>
      <c r="F51" s="6">
        <v>1800000489</v>
      </c>
      <c r="G51" s="5" t="s">
        <v>63</v>
      </c>
      <c r="H51" s="5" t="s">
        <v>60</v>
      </c>
      <c r="I51" s="9">
        <v>256788410364</v>
      </c>
      <c r="J51" s="5" t="s">
        <v>33</v>
      </c>
      <c r="K51" s="5" t="s">
        <v>41</v>
      </c>
      <c r="L51" s="8">
        <v>75</v>
      </c>
      <c r="M51" s="5" t="s">
        <v>34</v>
      </c>
      <c r="N51" s="8">
        <v>6563.57</v>
      </c>
      <c r="O51" s="5" t="s">
        <v>101</v>
      </c>
      <c r="P51" s="7">
        <v>45904</v>
      </c>
      <c r="Q51" s="7"/>
      <c r="R51" s="5" t="s">
        <v>32</v>
      </c>
      <c r="S51" t="e">
        <f>VLOOKUP(I51,TDS!$A$1:$C$70,4,FALSE)</f>
        <v>#N/A</v>
      </c>
    </row>
    <row r="52" spans="1:19" x14ac:dyDescent="0.35">
      <c r="A52" s="6">
        <v>100222362</v>
      </c>
      <c r="B52" s="5" t="s">
        <v>28</v>
      </c>
      <c r="C52" s="5" t="s">
        <v>29</v>
      </c>
      <c r="D52" s="5" t="s">
        <v>90</v>
      </c>
      <c r="E52" s="7">
        <v>45842</v>
      </c>
      <c r="F52" s="6">
        <v>1800010515</v>
      </c>
      <c r="G52" s="5" t="s">
        <v>63</v>
      </c>
      <c r="H52" s="5" t="s">
        <v>60</v>
      </c>
      <c r="I52" s="9">
        <v>256779415275</v>
      </c>
      <c r="J52" s="5" t="s">
        <v>33</v>
      </c>
      <c r="K52" s="5" t="s">
        <v>41</v>
      </c>
      <c r="L52" s="8">
        <v>86.04</v>
      </c>
      <c r="M52" s="5" t="s">
        <v>34</v>
      </c>
      <c r="N52" s="8">
        <v>7399.5</v>
      </c>
      <c r="O52" s="5" t="s">
        <v>102</v>
      </c>
      <c r="P52" s="7">
        <v>45842</v>
      </c>
      <c r="Q52" s="7"/>
      <c r="R52" s="5" t="s">
        <v>32</v>
      </c>
      <c r="S52" t="e">
        <f>VLOOKUP(I52,TDS!$A$1:$C$70,4,FALSE)</f>
        <v>#N/A</v>
      </c>
    </row>
    <row r="53" spans="1:19" x14ac:dyDescent="0.35">
      <c r="A53" s="6">
        <v>100222362</v>
      </c>
      <c r="B53" s="5" t="s">
        <v>28</v>
      </c>
      <c r="C53" s="5" t="s">
        <v>29</v>
      </c>
      <c r="D53" s="5" t="s">
        <v>90</v>
      </c>
      <c r="E53" s="7">
        <v>45842</v>
      </c>
      <c r="F53" s="6">
        <v>1800000358</v>
      </c>
      <c r="G53" s="5" t="s">
        <v>63</v>
      </c>
      <c r="H53" s="5" t="s">
        <v>60</v>
      </c>
      <c r="I53" s="9">
        <v>256788410233</v>
      </c>
      <c r="J53" s="5" t="s">
        <v>33</v>
      </c>
      <c r="K53" s="5" t="s">
        <v>41</v>
      </c>
      <c r="L53" s="8">
        <v>10350.540000000001</v>
      </c>
      <c r="M53" s="5" t="s">
        <v>34</v>
      </c>
      <c r="N53" s="8">
        <v>890153.37</v>
      </c>
      <c r="O53" s="5" t="s">
        <v>103</v>
      </c>
      <c r="P53" s="7">
        <v>45842</v>
      </c>
      <c r="Q53" s="7"/>
      <c r="R53" s="5" t="s">
        <v>32</v>
      </c>
      <c r="S53" t="e">
        <f>VLOOKUP(I53,TDS!$A$1:$C$70,4,FALSE)</f>
        <v>#N/A</v>
      </c>
    </row>
    <row r="54" spans="1:19" x14ac:dyDescent="0.35">
      <c r="A54" s="6">
        <v>100222362</v>
      </c>
      <c r="B54" s="5" t="s">
        <v>28</v>
      </c>
      <c r="C54" s="5" t="s">
        <v>29</v>
      </c>
      <c r="D54" s="5" t="s">
        <v>90</v>
      </c>
      <c r="E54" s="7">
        <v>45842</v>
      </c>
      <c r="F54" s="6">
        <v>1800000360</v>
      </c>
      <c r="G54" s="5" t="s">
        <v>63</v>
      </c>
      <c r="H54" s="5" t="s">
        <v>60</v>
      </c>
      <c r="I54" s="9">
        <v>256788410235</v>
      </c>
      <c r="J54" s="5" t="s">
        <v>33</v>
      </c>
      <c r="K54" s="5" t="s">
        <v>41</v>
      </c>
      <c r="L54" s="8">
        <v>2323.12</v>
      </c>
      <c r="M54" s="5" t="s">
        <v>34</v>
      </c>
      <c r="N54" s="8">
        <v>199789.88</v>
      </c>
      <c r="O54" s="5" t="s">
        <v>104</v>
      </c>
      <c r="P54" s="7">
        <v>45842</v>
      </c>
      <c r="Q54" s="7"/>
      <c r="R54" s="5" t="s">
        <v>32</v>
      </c>
      <c r="S54" t="e">
        <f>VLOOKUP(I54,TDS!$A$1:$C$70,4,FALSE)</f>
        <v>#N/A</v>
      </c>
    </row>
    <row r="55" spans="1:19" x14ac:dyDescent="0.35">
      <c r="A55" s="6">
        <v>100222362</v>
      </c>
      <c r="B55" s="5" t="s">
        <v>28</v>
      </c>
      <c r="C55" s="5" t="s">
        <v>29</v>
      </c>
      <c r="D55" s="5" t="s">
        <v>90</v>
      </c>
      <c r="E55" s="7">
        <v>45842</v>
      </c>
      <c r="F55" s="6">
        <v>1800000362</v>
      </c>
      <c r="G55" s="5" t="s">
        <v>63</v>
      </c>
      <c r="H55" s="5" t="s">
        <v>60</v>
      </c>
      <c r="I55" s="9">
        <v>256788410237</v>
      </c>
      <c r="J55" s="5" t="s">
        <v>33</v>
      </c>
      <c r="K55" s="5" t="s">
        <v>41</v>
      </c>
      <c r="L55" s="8">
        <v>75</v>
      </c>
      <c r="M55" s="5" t="s">
        <v>34</v>
      </c>
      <c r="N55" s="8">
        <v>6450.05</v>
      </c>
      <c r="O55" s="5" t="s">
        <v>105</v>
      </c>
      <c r="P55" s="7">
        <v>45842</v>
      </c>
      <c r="Q55" s="7"/>
      <c r="R55" s="5" t="s">
        <v>32</v>
      </c>
      <c r="S55" t="e">
        <f>VLOOKUP(I55,TDS!$A$1:$C$70,4,FALSE)</f>
        <v>#N/A</v>
      </c>
    </row>
    <row r="56" spans="1:19" x14ac:dyDescent="0.35">
      <c r="A56" s="6">
        <v>100222362</v>
      </c>
      <c r="B56" s="5" t="s">
        <v>28</v>
      </c>
      <c r="C56" s="5" t="s">
        <v>29</v>
      </c>
      <c r="D56" s="5" t="s">
        <v>90</v>
      </c>
      <c r="E56" s="7">
        <v>45842</v>
      </c>
      <c r="F56" s="6">
        <v>1800000380</v>
      </c>
      <c r="G56" s="5" t="s">
        <v>63</v>
      </c>
      <c r="H56" s="5" t="s">
        <v>60</v>
      </c>
      <c r="I56" s="9">
        <v>256788410255</v>
      </c>
      <c r="J56" s="5" t="s">
        <v>33</v>
      </c>
      <c r="K56" s="5" t="s">
        <v>41</v>
      </c>
      <c r="L56" s="8">
        <v>14</v>
      </c>
      <c r="M56" s="5" t="s">
        <v>34</v>
      </c>
      <c r="N56" s="8">
        <v>1204.01</v>
      </c>
      <c r="O56" s="5" t="s">
        <v>106</v>
      </c>
      <c r="P56" s="7">
        <v>45842</v>
      </c>
      <c r="Q56" s="7"/>
      <c r="R56" s="5" t="s">
        <v>32</v>
      </c>
      <c r="S56" t="e">
        <f>VLOOKUP(I56,TDS!$A$1:$C$70,4,FALSE)</f>
        <v>#N/A</v>
      </c>
    </row>
    <row r="57" spans="1:19" x14ac:dyDescent="0.35">
      <c r="A57" s="6">
        <v>100222362</v>
      </c>
      <c r="B57" s="5" t="s">
        <v>28</v>
      </c>
      <c r="C57" s="5" t="s">
        <v>29</v>
      </c>
      <c r="D57" s="5" t="s">
        <v>90</v>
      </c>
      <c r="E57" s="7">
        <v>45842</v>
      </c>
      <c r="F57" s="6">
        <v>1800000382</v>
      </c>
      <c r="G57" s="5" t="s">
        <v>63</v>
      </c>
      <c r="H57" s="5" t="s">
        <v>60</v>
      </c>
      <c r="I57" s="9">
        <v>256788410257</v>
      </c>
      <c r="J57" s="5" t="s">
        <v>33</v>
      </c>
      <c r="K57" s="5" t="s">
        <v>41</v>
      </c>
      <c r="L57" s="8">
        <v>67.760000000000005</v>
      </c>
      <c r="M57" s="5" t="s">
        <v>34</v>
      </c>
      <c r="N57" s="8">
        <v>5827.41</v>
      </c>
      <c r="O57" s="5" t="s">
        <v>107</v>
      </c>
      <c r="P57" s="7">
        <v>45842</v>
      </c>
      <c r="Q57" s="7"/>
      <c r="R57" s="5" t="s">
        <v>32</v>
      </c>
      <c r="S57" t="e">
        <f>VLOOKUP(I57,TDS!$A$1:$C$70,4,FALSE)</f>
        <v>#N/A</v>
      </c>
    </row>
    <row r="58" spans="1:19" x14ac:dyDescent="0.35">
      <c r="A58" s="6">
        <v>100222362</v>
      </c>
      <c r="B58" s="5" t="s">
        <v>28</v>
      </c>
      <c r="C58" s="5" t="s">
        <v>29</v>
      </c>
      <c r="D58" s="5" t="s">
        <v>90</v>
      </c>
      <c r="E58" s="7">
        <v>45842</v>
      </c>
      <c r="F58" s="6">
        <v>1800000383</v>
      </c>
      <c r="G58" s="5" t="s">
        <v>63</v>
      </c>
      <c r="H58" s="5" t="s">
        <v>60</v>
      </c>
      <c r="I58" s="9">
        <v>256788410258</v>
      </c>
      <c r="J58" s="5" t="s">
        <v>33</v>
      </c>
      <c r="K58" s="5" t="s">
        <v>41</v>
      </c>
      <c r="L58" s="8">
        <v>17</v>
      </c>
      <c r="M58" s="5" t="s">
        <v>34</v>
      </c>
      <c r="N58" s="8">
        <v>1462.01</v>
      </c>
      <c r="O58" s="5" t="s">
        <v>108</v>
      </c>
      <c r="P58" s="7">
        <v>45842</v>
      </c>
      <c r="Q58" s="7"/>
      <c r="R58" s="5" t="s">
        <v>32</v>
      </c>
      <c r="S58" t="e">
        <f>VLOOKUP(I58,TDS!$A$1:$C$70,4,FALSE)</f>
        <v>#N/A</v>
      </c>
    </row>
    <row r="59" spans="1:19" x14ac:dyDescent="0.35">
      <c r="A59" s="6">
        <v>100222362</v>
      </c>
      <c r="B59" s="5" t="s">
        <v>28</v>
      </c>
      <c r="C59" s="5" t="s">
        <v>29</v>
      </c>
      <c r="D59" s="5" t="s">
        <v>90</v>
      </c>
      <c r="E59" s="7">
        <v>45842</v>
      </c>
      <c r="F59" s="6">
        <v>1800000391</v>
      </c>
      <c r="G59" s="5" t="s">
        <v>63</v>
      </c>
      <c r="H59" s="5" t="s">
        <v>60</v>
      </c>
      <c r="I59" s="9">
        <v>256788410267</v>
      </c>
      <c r="J59" s="5" t="s">
        <v>33</v>
      </c>
      <c r="K59" s="5" t="s">
        <v>41</v>
      </c>
      <c r="L59" s="8">
        <v>9</v>
      </c>
      <c r="M59" s="5" t="s">
        <v>34</v>
      </c>
      <c r="N59" s="8">
        <v>774.01</v>
      </c>
      <c r="O59" s="5" t="s">
        <v>109</v>
      </c>
      <c r="P59" s="7">
        <v>45842</v>
      </c>
      <c r="Q59" s="7">
        <v>45976</v>
      </c>
      <c r="R59" s="5" t="s">
        <v>62</v>
      </c>
      <c r="S59" t="e">
        <f>VLOOKUP(I59,TDS!$A$1:$C$70,4,FALSE)</f>
        <v>#N/A</v>
      </c>
    </row>
    <row r="60" spans="1:19" x14ac:dyDescent="0.35">
      <c r="A60" s="6">
        <v>100222362</v>
      </c>
      <c r="B60" s="5" t="s">
        <v>28</v>
      </c>
      <c r="C60" s="5" t="s">
        <v>29</v>
      </c>
      <c r="D60" s="5" t="s">
        <v>55</v>
      </c>
      <c r="E60" s="7">
        <v>45966</v>
      </c>
      <c r="F60" s="6">
        <v>1800000576</v>
      </c>
      <c r="G60" s="5" t="s">
        <v>63</v>
      </c>
      <c r="H60" s="5" t="s">
        <v>60</v>
      </c>
      <c r="I60" s="9">
        <v>256788410441</v>
      </c>
      <c r="J60" s="5" t="s">
        <v>33</v>
      </c>
      <c r="K60" s="5" t="s">
        <v>41</v>
      </c>
      <c r="L60" s="8">
        <v>75</v>
      </c>
      <c r="M60" s="5" t="s">
        <v>34</v>
      </c>
      <c r="N60" s="8">
        <v>6600.25</v>
      </c>
      <c r="O60" s="5" t="s">
        <v>110</v>
      </c>
      <c r="P60" s="7">
        <v>45966</v>
      </c>
      <c r="Q60" s="7"/>
      <c r="R60" s="5" t="s">
        <v>32</v>
      </c>
      <c r="S60" t="e">
        <f>VLOOKUP(I60,TDS!$A$1:$C$70,4,FALSE)</f>
        <v>#N/A</v>
      </c>
    </row>
    <row r="61" spans="1:19" x14ac:dyDescent="0.35">
      <c r="A61" s="6">
        <v>100222362</v>
      </c>
      <c r="B61" s="5" t="s">
        <v>28</v>
      </c>
      <c r="C61" s="5" t="s">
        <v>29</v>
      </c>
      <c r="D61" s="5" t="s">
        <v>55</v>
      </c>
      <c r="E61" s="7">
        <v>45966</v>
      </c>
      <c r="F61" s="6">
        <v>1800000587</v>
      </c>
      <c r="G61" s="5" t="s">
        <v>63</v>
      </c>
      <c r="H61" s="5" t="s">
        <v>60</v>
      </c>
      <c r="I61" s="9">
        <v>256788410448</v>
      </c>
      <c r="J61" s="5" t="s">
        <v>33</v>
      </c>
      <c r="K61" s="5" t="s">
        <v>41</v>
      </c>
      <c r="L61" s="8">
        <v>70</v>
      </c>
      <c r="M61" s="5" t="s">
        <v>34</v>
      </c>
      <c r="N61" s="8">
        <v>6160.24</v>
      </c>
      <c r="O61" s="5" t="s">
        <v>111</v>
      </c>
      <c r="P61" s="7">
        <v>45966</v>
      </c>
      <c r="Q61" s="7"/>
      <c r="R61" s="5" t="s">
        <v>32</v>
      </c>
      <c r="S61" t="e">
        <f>VLOOKUP(I61,TDS!$A$1:$C$70,4,FALSE)</f>
        <v>#N/A</v>
      </c>
    </row>
    <row r="62" spans="1:19" x14ac:dyDescent="0.35">
      <c r="A62" s="6">
        <v>100222362</v>
      </c>
      <c r="B62" s="5" t="s">
        <v>28</v>
      </c>
      <c r="C62" s="5" t="s">
        <v>29</v>
      </c>
      <c r="D62" s="5" t="s">
        <v>55</v>
      </c>
      <c r="E62" s="7">
        <v>45966</v>
      </c>
      <c r="F62" s="6">
        <v>1800000588</v>
      </c>
      <c r="G62" s="5" t="s">
        <v>63</v>
      </c>
      <c r="H62" s="5" t="s">
        <v>60</v>
      </c>
      <c r="I62" s="9">
        <v>256788410449</v>
      </c>
      <c r="J62" s="5" t="s">
        <v>33</v>
      </c>
      <c r="K62" s="5" t="s">
        <v>41</v>
      </c>
      <c r="L62" s="8">
        <v>70</v>
      </c>
      <c r="M62" s="5" t="s">
        <v>34</v>
      </c>
      <c r="N62" s="8">
        <v>6160.24</v>
      </c>
      <c r="O62" s="5" t="s">
        <v>111</v>
      </c>
      <c r="P62" s="7">
        <v>45966</v>
      </c>
      <c r="Q62" s="7"/>
      <c r="R62" s="5" t="s">
        <v>32</v>
      </c>
      <c r="S62" t="e">
        <f>VLOOKUP(I62,TDS!$A$1:$C$70,4,FALSE)</f>
        <v>#N/A</v>
      </c>
    </row>
    <row r="63" spans="1:19" x14ac:dyDescent="0.35">
      <c r="A63" s="6">
        <v>100222362</v>
      </c>
      <c r="B63" s="5" t="s">
        <v>28</v>
      </c>
      <c r="C63" s="5" t="s">
        <v>29</v>
      </c>
      <c r="D63" s="5" t="s">
        <v>55</v>
      </c>
      <c r="E63" s="7">
        <v>45966</v>
      </c>
      <c r="F63" s="6">
        <v>1800000589</v>
      </c>
      <c r="G63" s="5" t="s">
        <v>63</v>
      </c>
      <c r="H63" s="5" t="s">
        <v>60</v>
      </c>
      <c r="I63" s="9">
        <v>256788410450</v>
      </c>
      <c r="J63" s="5" t="s">
        <v>33</v>
      </c>
      <c r="K63" s="5" t="s">
        <v>41</v>
      </c>
      <c r="L63" s="8">
        <v>70</v>
      </c>
      <c r="M63" s="5" t="s">
        <v>34</v>
      </c>
      <c r="N63" s="8">
        <v>6160.24</v>
      </c>
      <c r="O63" s="5" t="s">
        <v>111</v>
      </c>
      <c r="P63" s="7">
        <v>45966</v>
      </c>
      <c r="Q63" s="7"/>
      <c r="R63" s="5" t="s">
        <v>32</v>
      </c>
      <c r="S63" t="e">
        <f>VLOOKUP(I63,TDS!$A$1:$C$70,4,FALSE)</f>
        <v>#N/A</v>
      </c>
    </row>
    <row r="64" spans="1:19" x14ac:dyDescent="0.35">
      <c r="A64" s="6">
        <v>100222362</v>
      </c>
      <c r="B64" s="5" t="s">
        <v>28</v>
      </c>
      <c r="C64" s="5" t="s">
        <v>29</v>
      </c>
      <c r="D64" s="5" t="s">
        <v>55</v>
      </c>
      <c r="E64" s="7">
        <v>45966</v>
      </c>
      <c r="F64" s="6">
        <v>1800000590</v>
      </c>
      <c r="G64" s="5" t="s">
        <v>63</v>
      </c>
      <c r="H64" s="5" t="s">
        <v>60</v>
      </c>
      <c r="I64" s="9">
        <v>256788410451</v>
      </c>
      <c r="J64" s="5" t="s">
        <v>33</v>
      </c>
      <c r="K64" s="5" t="s">
        <v>41</v>
      </c>
      <c r="L64" s="8">
        <v>70</v>
      </c>
      <c r="M64" s="5" t="s">
        <v>34</v>
      </c>
      <c r="N64" s="8">
        <v>6160.24</v>
      </c>
      <c r="O64" s="5" t="s">
        <v>111</v>
      </c>
      <c r="P64" s="7">
        <v>45966</v>
      </c>
      <c r="Q64" s="7"/>
      <c r="R64" s="5" t="s">
        <v>32</v>
      </c>
      <c r="S64" t="e">
        <f>VLOOKUP(I64,TDS!$A$1:$C$70,4,FALSE)</f>
        <v>#N/A</v>
      </c>
    </row>
    <row r="65" spans="1:19" x14ac:dyDescent="0.35">
      <c r="A65" s="6">
        <v>100222362</v>
      </c>
      <c r="B65" s="5" t="s">
        <v>28</v>
      </c>
      <c r="C65" s="5" t="s">
        <v>29</v>
      </c>
      <c r="D65" s="5" t="s">
        <v>55</v>
      </c>
      <c r="E65" s="7">
        <v>45966</v>
      </c>
      <c r="F65" s="6">
        <v>1800000591</v>
      </c>
      <c r="G65" s="5" t="s">
        <v>63</v>
      </c>
      <c r="H65" s="5" t="s">
        <v>60</v>
      </c>
      <c r="I65" s="9">
        <v>256788410452</v>
      </c>
      <c r="J65" s="5" t="s">
        <v>33</v>
      </c>
      <c r="K65" s="5" t="s">
        <v>41</v>
      </c>
      <c r="L65" s="8">
        <v>65.31</v>
      </c>
      <c r="M65" s="5" t="s">
        <v>34</v>
      </c>
      <c r="N65" s="8">
        <v>5747.5</v>
      </c>
      <c r="O65" s="5" t="s">
        <v>112</v>
      </c>
      <c r="P65" s="7">
        <v>45966</v>
      </c>
      <c r="Q65" s="7"/>
      <c r="R65" s="5" t="s">
        <v>32</v>
      </c>
      <c r="S65" t="e">
        <f>VLOOKUP(I65,TDS!$A$1:$C$70,4,FALSE)</f>
        <v>#N/A</v>
      </c>
    </row>
    <row r="66" spans="1:19" x14ac:dyDescent="0.35">
      <c r="A66" s="6">
        <v>100222362</v>
      </c>
      <c r="B66" s="5" t="s">
        <v>28</v>
      </c>
      <c r="C66" s="5" t="s">
        <v>29</v>
      </c>
      <c r="D66" s="5" t="s">
        <v>55</v>
      </c>
      <c r="E66" s="7">
        <v>45966</v>
      </c>
      <c r="F66" s="6">
        <v>1800000592</v>
      </c>
      <c r="G66" s="5" t="s">
        <v>63</v>
      </c>
      <c r="H66" s="5" t="s">
        <v>60</v>
      </c>
      <c r="I66" s="9">
        <v>256788410453</v>
      </c>
      <c r="J66" s="5" t="s">
        <v>33</v>
      </c>
      <c r="K66" s="5" t="s">
        <v>41</v>
      </c>
      <c r="L66" s="8">
        <v>31.56</v>
      </c>
      <c r="M66" s="5" t="s">
        <v>34</v>
      </c>
      <c r="N66" s="8">
        <v>2777.39</v>
      </c>
      <c r="O66" s="5" t="s">
        <v>113</v>
      </c>
      <c r="P66" s="7">
        <v>45966</v>
      </c>
      <c r="Q66" s="7"/>
      <c r="R66" s="5" t="s">
        <v>32</v>
      </c>
      <c r="S66" t="e">
        <f>VLOOKUP(I66,TDS!$A$1:$C$70,4,FALSE)</f>
        <v>#N/A</v>
      </c>
    </row>
    <row r="67" spans="1:19" x14ac:dyDescent="0.35">
      <c r="A67" s="6">
        <v>100222362</v>
      </c>
      <c r="B67" s="5" t="s">
        <v>28</v>
      </c>
      <c r="C67" s="5" t="s">
        <v>29</v>
      </c>
      <c r="D67" s="5" t="s">
        <v>55</v>
      </c>
      <c r="E67" s="7">
        <v>45966</v>
      </c>
      <c r="F67" s="6">
        <v>1800000585</v>
      </c>
      <c r="G67" s="5" t="s">
        <v>63</v>
      </c>
      <c r="H67" s="5" t="s">
        <v>60</v>
      </c>
      <c r="I67" s="9">
        <v>256788410454</v>
      </c>
      <c r="J67" s="5" t="s">
        <v>33</v>
      </c>
      <c r="K67" s="5" t="s">
        <v>41</v>
      </c>
      <c r="L67" s="8">
        <v>4547.2</v>
      </c>
      <c r="M67" s="5" t="s">
        <v>34</v>
      </c>
      <c r="N67" s="8">
        <v>400169.02</v>
      </c>
      <c r="O67" s="5" t="s">
        <v>114</v>
      </c>
      <c r="P67" s="7">
        <v>45966</v>
      </c>
      <c r="Q67" s="7"/>
      <c r="R67" s="5" t="s">
        <v>32</v>
      </c>
      <c r="S67" t="e">
        <f>VLOOKUP(I67,TDS!$A$1:$C$70,4,FALSE)</f>
        <v>#N/A</v>
      </c>
    </row>
    <row r="68" spans="1:19" x14ac:dyDescent="0.35">
      <c r="A68" s="6">
        <v>100222362</v>
      </c>
      <c r="B68" s="5" t="s">
        <v>28</v>
      </c>
      <c r="C68" s="5" t="s">
        <v>29</v>
      </c>
      <c r="D68" s="5" t="s">
        <v>55</v>
      </c>
      <c r="E68" s="7">
        <v>45966</v>
      </c>
      <c r="F68" s="6">
        <v>1800000593</v>
      </c>
      <c r="G68" s="5" t="s">
        <v>63</v>
      </c>
      <c r="H68" s="5" t="s">
        <v>60</v>
      </c>
      <c r="I68" s="9">
        <v>256788410455</v>
      </c>
      <c r="J68" s="5" t="s">
        <v>33</v>
      </c>
      <c r="K68" s="5" t="s">
        <v>41</v>
      </c>
      <c r="L68" s="8">
        <v>338</v>
      </c>
      <c r="M68" s="5" t="s">
        <v>34</v>
      </c>
      <c r="N68" s="8">
        <v>29745.15</v>
      </c>
      <c r="O68" s="5" t="s">
        <v>115</v>
      </c>
      <c r="P68" s="7">
        <v>45966</v>
      </c>
      <c r="Q68" s="7"/>
      <c r="R68" s="5" t="s">
        <v>32</v>
      </c>
      <c r="S68" t="e">
        <f>VLOOKUP(I68,TDS!$A$1:$C$70,4,FALSE)</f>
        <v>#N/A</v>
      </c>
    </row>
    <row r="69" spans="1:19" x14ac:dyDescent="0.35">
      <c r="A69" s="6">
        <v>100222362</v>
      </c>
      <c r="B69" s="5" t="s">
        <v>28</v>
      </c>
      <c r="C69" s="5" t="s">
        <v>29</v>
      </c>
      <c r="D69" s="5" t="s">
        <v>55</v>
      </c>
      <c r="E69" s="7">
        <v>45966</v>
      </c>
      <c r="F69" s="6">
        <v>1800000584</v>
      </c>
      <c r="G69" s="5" t="s">
        <v>63</v>
      </c>
      <c r="H69" s="5" t="s">
        <v>60</v>
      </c>
      <c r="I69" s="9">
        <v>256788410457</v>
      </c>
      <c r="J69" s="5" t="s">
        <v>33</v>
      </c>
      <c r="K69" s="5" t="s">
        <v>41</v>
      </c>
      <c r="L69" s="8">
        <v>93</v>
      </c>
      <c r="M69" s="5" t="s">
        <v>34</v>
      </c>
      <c r="N69" s="8">
        <v>8184.32</v>
      </c>
      <c r="O69" s="5" t="s">
        <v>116</v>
      </c>
      <c r="P69" s="7">
        <v>45966</v>
      </c>
      <c r="Q69" s="7"/>
      <c r="R69" s="5" t="s">
        <v>32</v>
      </c>
      <c r="S69" t="e">
        <f>VLOOKUP(I69,TDS!$A$1:$C$70,4,FALSE)</f>
        <v>#N/A</v>
      </c>
    </row>
    <row r="70" spans="1:19" x14ac:dyDescent="0.35">
      <c r="A70" s="6">
        <v>100222362</v>
      </c>
      <c r="B70" s="5" t="s">
        <v>28</v>
      </c>
      <c r="C70" s="5" t="s">
        <v>29</v>
      </c>
      <c r="D70" s="5" t="s">
        <v>55</v>
      </c>
      <c r="E70" s="7">
        <v>45966</v>
      </c>
      <c r="F70" s="6">
        <v>1800000586</v>
      </c>
      <c r="G70" s="5" t="s">
        <v>63</v>
      </c>
      <c r="H70" s="5" t="s">
        <v>60</v>
      </c>
      <c r="I70" s="9">
        <v>256788410458</v>
      </c>
      <c r="J70" s="5" t="s">
        <v>33</v>
      </c>
      <c r="K70" s="5" t="s">
        <v>41</v>
      </c>
      <c r="L70" s="8">
        <v>103.89</v>
      </c>
      <c r="M70" s="5" t="s">
        <v>34</v>
      </c>
      <c r="N70" s="8">
        <v>9142.67</v>
      </c>
      <c r="O70" s="5" t="s">
        <v>117</v>
      </c>
      <c r="P70" s="7">
        <v>45966</v>
      </c>
      <c r="Q70" s="7"/>
      <c r="R70" s="5" t="s">
        <v>32</v>
      </c>
      <c r="S70" t="e">
        <f>VLOOKUP(I70,TDS!$A$1:$C$70,4,FALSE)</f>
        <v>#N/A</v>
      </c>
    </row>
    <row r="71" spans="1:19" x14ac:dyDescent="0.35">
      <c r="A71" s="6">
        <v>100222362</v>
      </c>
      <c r="B71" s="5" t="s">
        <v>28</v>
      </c>
      <c r="C71" s="5" t="s">
        <v>29</v>
      </c>
      <c r="D71" s="5" t="s">
        <v>43</v>
      </c>
      <c r="E71" s="7">
        <v>45877</v>
      </c>
      <c r="F71" s="6">
        <v>1800000466</v>
      </c>
      <c r="G71" s="5" t="s">
        <v>63</v>
      </c>
      <c r="H71" s="5" t="s">
        <v>60</v>
      </c>
      <c r="I71" s="9">
        <v>256788410332</v>
      </c>
      <c r="J71" s="5" t="s">
        <v>33</v>
      </c>
      <c r="K71" s="5" t="s">
        <v>41</v>
      </c>
      <c r="L71" s="8">
        <v>443.76</v>
      </c>
      <c r="M71" s="5" t="s">
        <v>34</v>
      </c>
      <c r="N71" s="8">
        <v>38176.730000000003</v>
      </c>
      <c r="O71" s="5" t="s">
        <v>103</v>
      </c>
      <c r="P71" s="7">
        <v>45877</v>
      </c>
      <c r="Q71" s="7"/>
      <c r="R71" s="5" t="s">
        <v>32</v>
      </c>
      <c r="S71" t="e">
        <f>VLOOKUP(I71,TDS!$A$1:$C$70,4,FALSE)</f>
        <v>#N/A</v>
      </c>
    </row>
    <row r="72" spans="1:19" x14ac:dyDescent="0.35">
      <c r="A72" s="6">
        <v>100222362</v>
      </c>
      <c r="B72" s="5" t="s">
        <v>28</v>
      </c>
      <c r="C72" s="5" t="s">
        <v>29</v>
      </c>
      <c r="D72" s="5" t="s">
        <v>43</v>
      </c>
      <c r="E72" s="7">
        <v>45877</v>
      </c>
      <c r="F72" s="6">
        <v>1800000469</v>
      </c>
      <c r="G72" s="5" t="s">
        <v>63</v>
      </c>
      <c r="H72" s="5" t="s">
        <v>60</v>
      </c>
      <c r="I72" s="9">
        <v>256788410335</v>
      </c>
      <c r="J72" s="5" t="s">
        <v>33</v>
      </c>
      <c r="K72" s="5" t="s">
        <v>41</v>
      </c>
      <c r="L72" s="8">
        <v>73.67</v>
      </c>
      <c r="M72" s="5" t="s">
        <v>34</v>
      </c>
      <c r="N72" s="8">
        <v>6337.84</v>
      </c>
      <c r="O72" s="5" t="s">
        <v>118</v>
      </c>
      <c r="P72" s="7">
        <v>45877</v>
      </c>
      <c r="Q72" s="7"/>
      <c r="R72" s="5" t="s">
        <v>32</v>
      </c>
      <c r="S72" t="e">
        <f>VLOOKUP(I72,TDS!$A$1:$C$70,4,FALSE)</f>
        <v>#N/A</v>
      </c>
    </row>
    <row r="73" spans="1:19" x14ac:dyDescent="0.35">
      <c r="A73" s="6">
        <v>100222362</v>
      </c>
      <c r="B73" s="5" t="s">
        <v>28</v>
      </c>
      <c r="C73" s="5" t="s">
        <v>29</v>
      </c>
      <c r="D73" s="5" t="s">
        <v>43</v>
      </c>
      <c r="E73" s="7">
        <v>45877</v>
      </c>
      <c r="F73" s="6">
        <v>1800000470</v>
      </c>
      <c r="G73" s="5" t="s">
        <v>63</v>
      </c>
      <c r="H73" s="5" t="s">
        <v>60</v>
      </c>
      <c r="I73" s="9">
        <v>256788410336</v>
      </c>
      <c r="J73" s="5" t="s">
        <v>33</v>
      </c>
      <c r="K73" s="5" t="s">
        <v>41</v>
      </c>
      <c r="L73" s="8">
        <v>11976.87</v>
      </c>
      <c r="M73" s="5" t="s">
        <v>34</v>
      </c>
      <c r="N73" s="8">
        <v>1030371.56</v>
      </c>
      <c r="O73" s="5" t="s">
        <v>119</v>
      </c>
      <c r="P73" s="7">
        <v>45877</v>
      </c>
      <c r="Q73" s="7"/>
      <c r="R73" s="5" t="s">
        <v>32</v>
      </c>
      <c r="S73" t="e">
        <f>VLOOKUP(I73,TDS!$A$1:$C$70,4,FALSE)</f>
        <v>#N/A</v>
      </c>
    </row>
    <row r="74" spans="1:19" x14ac:dyDescent="0.35">
      <c r="A74" s="6">
        <v>100222362</v>
      </c>
      <c r="B74" s="5" t="s">
        <v>28</v>
      </c>
      <c r="C74" s="5" t="s">
        <v>29</v>
      </c>
      <c r="D74" s="5" t="s">
        <v>43</v>
      </c>
      <c r="E74" s="7">
        <v>45877</v>
      </c>
      <c r="F74" s="6">
        <v>1800000457</v>
      </c>
      <c r="G74" s="5" t="s">
        <v>63</v>
      </c>
      <c r="H74" s="5" t="s">
        <v>60</v>
      </c>
      <c r="I74" s="9">
        <v>256788410338</v>
      </c>
      <c r="J74" s="5" t="s">
        <v>33</v>
      </c>
      <c r="K74" s="5" t="s">
        <v>41</v>
      </c>
      <c r="L74" s="8">
        <v>607.84</v>
      </c>
      <c r="M74" s="5" t="s">
        <v>34</v>
      </c>
      <c r="N74" s="8">
        <v>52292.55</v>
      </c>
      <c r="O74" s="5" t="s">
        <v>120</v>
      </c>
      <c r="P74" s="7">
        <v>45877</v>
      </c>
      <c r="Q74" s="7"/>
      <c r="R74" s="5" t="s">
        <v>32</v>
      </c>
      <c r="S74" t="e">
        <f>VLOOKUP(I74,TDS!$A$1:$C$70,4,FALSE)</f>
        <v>#N/A</v>
      </c>
    </row>
    <row r="75" spans="1:19" x14ac:dyDescent="0.35">
      <c r="A75" s="6">
        <v>100222362</v>
      </c>
      <c r="B75" s="5" t="s">
        <v>28</v>
      </c>
      <c r="C75" s="5" t="s">
        <v>29</v>
      </c>
      <c r="D75" s="5" t="s">
        <v>43</v>
      </c>
      <c r="E75" s="7">
        <v>45877</v>
      </c>
      <c r="F75" s="6">
        <v>1800000458</v>
      </c>
      <c r="G75" s="5" t="s">
        <v>63</v>
      </c>
      <c r="H75" s="5" t="s">
        <v>60</v>
      </c>
      <c r="I75" s="9">
        <v>256788410339</v>
      </c>
      <c r="J75" s="5" t="s">
        <v>33</v>
      </c>
      <c r="K75" s="5" t="s">
        <v>41</v>
      </c>
      <c r="L75" s="8">
        <v>400</v>
      </c>
      <c r="M75" s="5" t="s">
        <v>34</v>
      </c>
      <c r="N75" s="8">
        <v>34412.050000000003</v>
      </c>
      <c r="O75" s="5" t="s">
        <v>120</v>
      </c>
      <c r="P75" s="7">
        <v>45877</v>
      </c>
      <c r="Q75" s="7"/>
      <c r="R75" s="5" t="s">
        <v>32</v>
      </c>
      <c r="S75" t="e">
        <f>VLOOKUP(I75,TDS!$A$1:$C$70,4,FALSE)</f>
        <v>#N/A</v>
      </c>
    </row>
    <row r="76" spans="1:19" x14ac:dyDescent="0.35">
      <c r="A76" s="6">
        <v>100222362</v>
      </c>
      <c r="B76" s="5" t="s">
        <v>28</v>
      </c>
      <c r="C76" s="5" t="s">
        <v>29</v>
      </c>
      <c r="D76" s="5" t="s">
        <v>43</v>
      </c>
      <c r="E76" s="7">
        <v>45877</v>
      </c>
      <c r="F76" s="6">
        <v>1800000459</v>
      </c>
      <c r="G76" s="5" t="s">
        <v>63</v>
      </c>
      <c r="H76" s="5" t="s">
        <v>60</v>
      </c>
      <c r="I76" s="9">
        <v>256788410340</v>
      </c>
      <c r="J76" s="5" t="s">
        <v>33</v>
      </c>
      <c r="K76" s="5" t="s">
        <v>41</v>
      </c>
      <c r="L76" s="8">
        <v>90</v>
      </c>
      <c r="M76" s="5" t="s">
        <v>34</v>
      </c>
      <c r="N76" s="8">
        <v>7742.71</v>
      </c>
      <c r="O76" s="5" t="s">
        <v>121</v>
      </c>
      <c r="P76" s="7">
        <v>45877</v>
      </c>
      <c r="Q76" s="7"/>
      <c r="R76" s="5" t="s">
        <v>32</v>
      </c>
      <c r="S76" t="e">
        <f>VLOOKUP(I76,TDS!$A$1:$C$70,4,FALSE)</f>
        <v>#N/A</v>
      </c>
    </row>
    <row r="77" spans="1:19" x14ac:dyDescent="0.35">
      <c r="A77" s="6">
        <v>100222362</v>
      </c>
      <c r="B77" s="5" t="s">
        <v>28</v>
      </c>
      <c r="C77" s="5" t="s">
        <v>29</v>
      </c>
      <c r="D77" s="5" t="s">
        <v>43</v>
      </c>
      <c r="E77" s="7">
        <v>45877</v>
      </c>
      <c r="F77" s="6">
        <v>1800000460</v>
      </c>
      <c r="G77" s="5" t="s">
        <v>63</v>
      </c>
      <c r="H77" s="5" t="s">
        <v>60</v>
      </c>
      <c r="I77" s="9">
        <v>256788410341</v>
      </c>
      <c r="J77" s="5" t="s">
        <v>33</v>
      </c>
      <c r="K77" s="5" t="s">
        <v>41</v>
      </c>
      <c r="L77" s="8">
        <v>31.3</v>
      </c>
      <c r="M77" s="5" t="s">
        <v>34</v>
      </c>
      <c r="N77" s="8">
        <v>2692.74</v>
      </c>
      <c r="O77" s="5" t="s">
        <v>122</v>
      </c>
      <c r="P77" s="7">
        <v>45877</v>
      </c>
      <c r="Q77" s="7"/>
      <c r="R77" s="5" t="s">
        <v>32</v>
      </c>
      <c r="S77" t="e">
        <f>VLOOKUP(I77,TDS!$A$1:$C$70,4,FALSE)</f>
        <v>#N/A</v>
      </c>
    </row>
    <row r="78" spans="1:19" x14ac:dyDescent="0.35">
      <c r="A78" s="6">
        <v>100222362</v>
      </c>
      <c r="B78" s="5" t="s">
        <v>28</v>
      </c>
      <c r="C78" s="5" t="s">
        <v>29</v>
      </c>
      <c r="D78" s="5" t="s">
        <v>43</v>
      </c>
      <c r="E78" s="7">
        <v>45877</v>
      </c>
      <c r="F78" s="6">
        <v>1800000461</v>
      </c>
      <c r="G78" s="5" t="s">
        <v>63</v>
      </c>
      <c r="H78" s="5" t="s">
        <v>60</v>
      </c>
      <c r="I78" s="9">
        <v>256788410342</v>
      </c>
      <c r="J78" s="5" t="s">
        <v>33</v>
      </c>
      <c r="K78" s="5" t="s">
        <v>41</v>
      </c>
      <c r="L78" s="8">
        <v>2269.79</v>
      </c>
      <c r="M78" s="5" t="s">
        <v>34</v>
      </c>
      <c r="N78" s="8">
        <v>195270.31</v>
      </c>
      <c r="O78" s="5" t="s">
        <v>123</v>
      </c>
      <c r="P78" s="7">
        <v>45877</v>
      </c>
      <c r="Q78" s="7"/>
      <c r="R78" s="5" t="s">
        <v>32</v>
      </c>
      <c r="S78" t="e">
        <f>VLOOKUP(I78,TDS!$A$1:$C$70,4,FALSE)</f>
        <v>#N/A</v>
      </c>
    </row>
    <row r="79" spans="1:19" x14ac:dyDescent="0.35">
      <c r="A79" s="6">
        <v>100222362</v>
      </c>
      <c r="B79" s="5" t="s">
        <v>28</v>
      </c>
      <c r="C79" s="5" t="s">
        <v>29</v>
      </c>
      <c r="D79" s="5" t="s">
        <v>43</v>
      </c>
      <c r="E79" s="7">
        <v>45877</v>
      </c>
      <c r="F79" s="6">
        <v>1800000462</v>
      </c>
      <c r="G79" s="5" t="s">
        <v>63</v>
      </c>
      <c r="H79" s="5" t="s">
        <v>60</v>
      </c>
      <c r="I79" s="9">
        <v>256788410343</v>
      </c>
      <c r="J79" s="5" t="s">
        <v>33</v>
      </c>
      <c r="K79" s="5" t="s">
        <v>41</v>
      </c>
      <c r="L79" s="8">
        <v>18.52</v>
      </c>
      <c r="M79" s="5" t="s">
        <v>34</v>
      </c>
      <c r="N79" s="8">
        <v>1593.28</v>
      </c>
      <c r="O79" s="5" t="s">
        <v>124</v>
      </c>
      <c r="P79" s="7">
        <v>45877</v>
      </c>
      <c r="Q79" s="7"/>
      <c r="R79" s="5" t="s">
        <v>32</v>
      </c>
      <c r="S79" t="e">
        <f>VLOOKUP(I79,TDS!$A$1:$C$70,4,FALSE)</f>
        <v>#N/A</v>
      </c>
    </row>
    <row r="80" spans="1:19" x14ac:dyDescent="0.35">
      <c r="A80" s="6">
        <v>100222362</v>
      </c>
      <c r="B80" s="5" t="s">
        <v>28</v>
      </c>
      <c r="C80" s="5" t="s">
        <v>29</v>
      </c>
      <c r="D80" s="5" t="s">
        <v>43</v>
      </c>
      <c r="E80" s="7">
        <v>45877</v>
      </c>
      <c r="F80" s="6">
        <v>1800000465</v>
      </c>
      <c r="G80" s="5" t="s">
        <v>63</v>
      </c>
      <c r="H80" s="5" t="s">
        <v>60</v>
      </c>
      <c r="I80" s="9">
        <v>256788410346</v>
      </c>
      <c r="J80" s="5" t="s">
        <v>33</v>
      </c>
      <c r="K80" s="5" t="s">
        <v>41</v>
      </c>
      <c r="L80" s="8">
        <v>73.67</v>
      </c>
      <c r="M80" s="5" t="s">
        <v>34</v>
      </c>
      <c r="N80" s="8">
        <v>6337.84</v>
      </c>
      <c r="O80" s="5" t="s">
        <v>118</v>
      </c>
      <c r="P80" s="7">
        <v>45877</v>
      </c>
      <c r="Q80" s="7"/>
      <c r="R80" s="5" t="s">
        <v>32</v>
      </c>
      <c r="S80" t="e">
        <f>VLOOKUP(I80,TDS!$A$1:$C$70,4,FALSE)</f>
        <v>#N/A</v>
      </c>
    </row>
    <row r="81" spans="1:19" x14ac:dyDescent="0.35">
      <c r="A81" s="6">
        <v>100222362</v>
      </c>
      <c r="B81" s="5" t="s">
        <v>28</v>
      </c>
      <c r="C81" s="5" t="s">
        <v>29</v>
      </c>
      <c r="D81" s="5" t="s">
        <v>43</v>
      </c>
      <c r="E81" s="7">
        <v>45877</v>
      </c>
      <c r="F81" s="6">
        <v>1800000472</v>
      </c>
      <c r="G81" s="5" t="s">
        <v>63</v>
      </c>
      <c r="H81" s="5" t="s">
        <v>60</v>
      </c>
      <c r="I81" s="9">
        <v>256788410347</v>
      </c>
      <c r="J81" s="5" t="s">
        <v>33</v>
      </c>
      <c r="K81" s="5" t="s">
        <v>41</v>
      </c>
      <c r="L81" s="8">
        <v>393.73</v>
      </c>
      <c r="M81" s="5" t="s">
        <v>34</v>
      </c>
      <c r="N81" s="8">
        <v>33872.639999999999</v>
      </c>
      <c r="O81" s="5" t="s">
        <v>125</v>
      </c>
      <c r="P81" s="7">
        <v>45877</v>
      </c>
      <c r="Q81" s="7"/>
      <c r="R81" s="5" t="s">
        <v>32</v>
      </c>
      <c r="S81" t="e">
        <f>VLOOKUP(I81,TDS!$A$1:$C$70,4,FALSE)</f>
        <v>#N/A</v>
      </c>
    </row>
    <row r="82" spans="1:19" x14ac:dyDescent="0.35">
      <c r="A82" s="6">
        <v>100222362</v>
      </c>
      <c r="B82" s="5" t="s">
        <v>28</v>
      </c>
      <c r="C82" s="5" t="s">
        <v>29</v>
      </c>
      <c r="D82" s="5" t="s">
        <v>76</v>
      </c>
      <c r="E82" s="7">
        <v>45812</v>
      </c>
      <c r="F82" s="6">
        <v>1800000350</v>
      </c>
      <c r="G82" s="5" t="s">
        <v>63</v>
      </c>
      <c r="H82" s="5" t="s">
        <v>60</v>
      </c>
      <c r="I82" s="9">
        <v>256788410225</v>
      </c>
      <c r="J82" s="5" t="s">
        <v>33</v>
      </c>
      <c r="K82" s="5" t="s">
        <v>41</v>
      </c>
      <c r="L82" s="8">
        <v>111.13</v>
      </c>
      <c r="M82" s="5" t="s">
        <v>34</v>
      </c>
      <c r="N82" s="8">
        <v>9500.59</v>
      </c>
      <c r="O82" s="5" t="s">
        <v>126</v>
      </c>
      <c r="P82" s="7">
        <v>45812</v>
      </c>
      <c r="Q82" s="7"/>
      <c r="R82" s="5" t="s">
        <v>32</v>
      </c>
      <c r="S82" t="e">
        <f>VLOOKUP(I82,TDS!$A$1:$C$70,4,FALSE)</f>
        <v>#N/A</v>
      </c>
    </row>
    <row r="83" spans="1:19" x14ac:dyDescent="0.35">
      <c r="A83" s="6">
        <v>100222362</v>
      </c>
      <c r="B83" s="5" t="s">
        <v>28</v>
      </c>
      <c r="C83" s="5" t="s">
        <v>29</v>
      </c>
      <c r="D83" s="5" t="s">
        <v>76</v>
      </c>
      <c r="E83" s="7">
        <v>45812</v>
      </c>
      <c r="F83" s="6">
        <v>1800000351</v>
      </c>
      <c r="G83" s="5" t="s">
        <v>63</v>
      </c>
      <c r="H83" s="5" t="s">
        <v>60</v>
      </c>
      <c r="I83" s="9">
        <v>256788410226</v>
      </c>
      <c r="J83" s="5" t="s">
        <v>33</v>
      </c>
      <c r="K83" s="5" t="s">
        <v>41</v>
      </c>
      <c r="L83" s="8">
        <v>223.31</v>
      </c>
      <c r="M83" s="5" t="s">
        <v>34</v>
      </c>
      <c r="N83" s="8">
        <v>19090.95</v>
      </c>
      <c r="O83" s="5" t="s">
        <v>127</v>
      </c>
      <c r="P83" s="7">
        <v>45812</v>
      </c>
      <c r="Q83" s="7"/>
      <c r="R83" s="5" t="s">
        <v>32</v>
      </c>
      <c r="S83" t="e">
        <f>VLOOKUP(I83,TDS!$A$1:$C$70,4,FALSE)</f>
        <v>#N/A</v>
      </c>
    </row>
    <row r="84" spans="1:19" x14ac:dyDescent="0.35">
      <c r="A84" s="6">
        <v>100222362</v>
      </c>
      <c r="B84" s="5" t="s">
        <v>28</v>
      </c>
      <c r="C84" s="5" t="s">
        <v>29</v>
      </c>
      <c r="D84" s="5" t="s">
        <v>76</v>
      </c>
      <c r="E84" s="7">
        <v>45812</v>
      </c>
      <c r="F84" s="6">
        <v>1800000352</v>
      </c>
      <c r="G84" s="5" t="s">
        <v>63</v>
      </c>
      <c r="H84" s="5" t="s">
        <v>60</v>
      </c>
      <c r="I84" s="9">
        <v>256788410227</v>
      </c>
      <c r="J84" s="5" t="s">
        <v>33</v>
      </c>
      <c r="K84" s="5" t="s">
        <v>41</v>
      </c>
      <c r="L84" s="8">
        <v>27.61</v>
      </c>
      <c r="M84" s="5" t="s">
        <v>34</v>
      </c>
      <c r="N84" s="8">
        <v>2360.4</v>
      </c>
      <c r="O84" s="5" t="s">
        <v>128</v>
      </c>
      <c r="P84" s="7">
        <v>45812</v>
      </c>
      <c r="Q84" s="7"/>
      <c r="R84" s="5" t="s">
        <v>32</v>
      </c>
      <c r="S84" t="e">
        <f>VLOOKUP(I84,TDS!$A$1:$C$70,4,FALSE)</f>
        <v>#N/A</v>
      </c>
    </row>
    <row r="85" spans="1:19" x14ac:dyDescent="0.35">
      <c r="A85" s="6">
        <v>100222362</v>
      </c>
      <c r="B85" s="5" t="s">
        <v>28</v>
      </c>
      <c r="C85" s="5" t="s">
        <v>29</v>
      </c>
      <c r="D85" s="5" t="s">
        <v>80</v>
      </c>
      <c r="E85" s="7">
        <v>45793</v>
      </c>
      <c r="F85" s="6">
        <v>1600000113</v>
      </c>
      <c r="G85" s="5" t="s">
        <v>84</v>
      </c>
      <c r="H85" s="5" t="s">
        <v>60</v>
      </c>
      <c r="I85" s="9">
        <v>256788420001</v>
      </c>
      <c r="J85" s="5" t="s">
        <v>33</v>
      </c>
      <c r="K85" s="5" t="s">
        <v>41</v>
      </c>
      <c r="L85" s="8">
        <v>-75</v>
      </c>
      <c r="M85" s="5" t="s">
        <v>34</v>
      </c>
      <c r="N85" s="8">
        <v>-6448.78</v>
      </c>
      <c r="O85" s="5" t="s">
        <v>129</v>
      </c>
      <c r="P85" s="7">
        <v>45793</v>
      </c>
      <c r="Q85" s="7">
        <v>45976</v>
      </c>
      <c r="R85" s="5" t="s">
        <v>62</v>
      </c>
      <c r="S85" t="e">
        <f>VLOOKUP(I85,TDS!$A$1:$C$70,4,FALSE)</f>
        <v>#N/A</v>
      </c>
    </row>
    <row r="86" spans="1:19" x14ac:dyDescent="0.35">
      <c r="A86" s="6">
        <v>100222362</v>
      </c>
      <c r="B86" s="5" t="s">
        <v>28</v>
      </c>
      <c r="C86" s="5" t="s">
        <v>29</v>
      </c>
      <c r="D86" s="5" t="s">
        <v>80</v>
      </c>
      <c r="E86" s="7">
        <v>45793</v>
      </c>
      <c r="F86" s="6">
        <v>1600000117</v>
      </c>
      <c r="G86" s="5" t="s">
        <v>84</v>
      </c>
      <c r="H86" s="5" t="s">
        <v>60</v>
      </c>
      <c r="I86" s="9">
        <v>256788420005</v>
      </c>
      <c r="J86" s="5" t="s">
        <v>33</v>
      </c>
      <c r="K86" s="5" t="s">
        <v>41</v>
      </c>
      <c r="L86" s="8">
        <v>-75</v>
      </c>
      <c r="M86" s="5" t="s">
        <v>34</v>
      </c>
      <c r="N86" s="8">
        <v>-6448.78</v>
      </c>
      <c r="O86" s="5" t="s">
        <v>130</v>
      </c>
      <c r="P86" s="7">
        <v>45793</v>
      </c>
      <c r="Q86" s="7">
        <v>45976</v>
      </c>
      <c r="R86" s="5" t="s">
        <v>62</v>
      </c>
      <c r="S86" t="e">
        <f>VLOOKUP(I86,TDS!$A$1:$C$70,4,FALSE)</f>
        <v>#N/A</v>
      </c>
    </row>
    <row r="87" spans="1:19" x14ac:dyDescent="0.35">
      <c r="A87" s="6">
        <v>100222362</v>
      </c>
      <c r="B87" s="5" t="s">
        <v>28</v>
      </c>
      <c r="C87" s="5" t="s">
        <v>29</v>
      </c>
      <c r="D87" s="5" t="s">
        <v>38</v>
      </c>
      <c r="E87" s="7">
        <v>45705</v>
      </c>
      <c r="F87" s="6">
        <v>1800000000</v>
      </c>
      <c r="G87" s="5" t="s">
        <v>63</v>
      </c>
      <c r="H87" s="5" t="s">
        <v>40</v>
      </c>
      <c r="I87" s="9">
        <v>246788410001</v>
      </c>
      <c r="J87" s="5" t="s">
        <v>33</v>
      </c>
      <c r="K87" s="5" t="s">
        <v>41</v>
      </c>
      <c r="L87" s="8">
        <v>75</v>
      </c>
      <c r="M87" s="5" t="s">
        <v>34</v>
      </c>
      <c r="N87" s="8">
        <v>6472.77</v>
      </c>
      <c r="O87" s="5" t="s">
        <v>131</v>
      </c>
      <c r="P87" s="7">
        <v>45705</v>
      </c>
      <c r="Q87" s="7">
        <v>45707</v>
      </c>
      <c r="R87" s="5" t="s">
        <v>42</v>
      </c>
      <c r="S87" t="e">
        <f>VLOOKUP(I87,TDS!$A$1:$C$70,4,FALSE)</f>
        <v>#N/A</v>
      </c>
    </row>
    <row r="88" spans="1:19" x14ac:dyDescent="0.35">
      <c r="A88" s="6">
        <v>100222362</v>
      </c>
      <c r="B88" s="5" t="s">
        <v>28</v>
      </c>
      <c r="C88" s="5" t="s">
        <v>29</v>
      </c>
      <c r="D88" s="5" t="s">
        <v>80</v>
      </c>
      <c r="E88" s="7">
        <v>45805</v>
      </c>
      <c r="F88" s="6">
        <v>1800000346</v>
      </c>
      <c r="G88" s="5" t="s">
        <v>63</v>
      </c>
      <c r="H88" s="5" t="s">
        <v>60</v>
      </c>
      <c r="I88" s="9">
        <v>256788410221</v>
      </c>
      <c r="J88" s="5" t="s">
        <v>33</v>
      </c>
      <c r="K88" s="5" t="s">
        <v>41</v>
      </c>
      <c r="L88" s="8">
        <v>10364.719999999999</v>
      </c>
      <c r="M88" s="5" t="s">
        <v>34</v>
      </c>
      <c r="N88" s="8">
        <v>891196.98</v>
      </c>
      <c r="O88" s="5" t="s">
        <v>132</v>
      </c>
      <c r="P88" s="7">
        <v>45805</v>
      </c>
      <c r="Q88" s="7"/>
      <c r="R88" s="5" t="s">
        <v>32</v>
      </c>
      <c r="S88" t="e">
        <f>VLOOKUP(I88,TDS!$A$1:$C$70,4,FALSE)</f>
        <v>#N/A</v>
      </c>
    </row>
    <row r="89" spans="1:19" x14ac:dyDescent="0.35">
      <c r="A89" s="6">
        <v>100222362</v>
      </c>
      <c r="B89" s="5" t="s">
        <v>28</v>
      </c>
      <c r="C89" s="5" t="s">
        <v>29</v>
      </c>
      <c r="D89" s="5" t="s">
        <v>90</v>
      </c>
      <c r="E89" s="7">
        <v>45856</v>
      </c>
      <c r="F89" s="6">
        <v>1800000389</v>
      </c>
      <c r="G89" s="5" t="s">
        <v>63</v>
      </c>
      <c r="H89" s="5" t="s">
        <v>60</v>
      </c>
      <c r="I89" s="9">
        <v>256788410265</v>
      </c>
      <c r="J89" s="5" t="s">
        <v>33</v>
      </c>
      <c r="K89" s="5" t="s">
        <v>41</v>
      </c>
      <c r="L89" s="8">
        <v>1510.02</v>
      </c>
      <c r="M89" s="5" t="s">
        <v>34</v>
      </c>
      <c r="N89" s="8">
        <v>129862.73</v>
      </c>
      <c r="O89" s="5" t="s">
        <v>133</v>
      </c>
      <c r="P89" s="7">
        <v>45856</v>
      </c>
      <c r="Q89" s="7"/>
      <c r="R89" s="5" t="s">
        <v>32</v>
      </c>
      <c r="S89" t="e">
        <f>VLOOKUP(I89,TDS!$A$1:$C$70,4,FALSE)</f>
        <v>#N/A</v>
      </c>
    </row>
    <row r="90" spans="1:19" x14ac:dyDescent="0.35">
      <c r="A90" s="6">
        <v>100222362</v>
      </c>
      <c r="B90" s="5" t="s">
        <v>28</v>
      </c>
      <c r="C90" s="5" t="s">
        <v>29</v>
      </c>
      <c r="D90" s="5" t="s">
        <v>56</v>
      </c>
      <c r="E90" s="7">
        <v>45729</v>
      </c>
      <c r="F90" s="6">
        <v>1800000064</v>
      </c>
      <c r="G90" s="5" t="s">
        <v>63</v>
      </c>
      <c r="H90" s="5" t="s">
        <v>60</v>
      </c>
      <c r="I90" s="9">
        <v>246788410059</v>
      </c>
      <c r="J90" s="5" t="s">
        <v>33</v>
      </c>
      <c r="K90" s="5" t="s">
        <v>41</v>
      </c>
      <c r="L90" s="8">
        <v>25.75</v>
      </c>
      <c r="M90" s="5" t="s">
        <v>34</v>
      </c>
      <c r="N90" s="8">
        <v>2232.3000000000002</v>
      </c>
      <c r="O90" s="5" t="s">
        <v>134</v>
      </c>
      <c r="P90" s="7">
        <v>45729</v>
      </c>
      <c r="Q90" s="7"/>
      <c r="R90" s="5" t="s">
        <v>32</v>
      </c>
      <c r="S90" t="e">
        <f>VLOOKUP(I90,TDS!$A$1:$C$70,4,FALSE)</f>
        <v>#N/A</v>
      </c>
    </row>
    <row r="91" spans="1:19" x14ac:dyDescent="0.35">
      <c r="A91" s="6">
        <v>100222362</v>
      </c>
      <c r="B91" s="5" t="s">
        <v>28</v>
      </c>
      <c r="C91" s="5" t="s">
        <v>29</v>
      </c>
      <c r="D91" s="5" t="s">
        <v>56</v>
      </c>
      <c r="E91" s="7">
        <v>45729</v>
      </c>
      <c r="F91" s="6">
        <v>1800000065</v>
      </c>
      <c r="G91" s="5" t="s">
        <v>63</v>
      </c>
      <c r="H91" s="5" t="s">
        <v>60</v>
      </c>
      <c r="I91" s="9">
        <v>246788410060</v>
      </c>
      <c r="J91" s="5" t="s">
        <v>33</v>
      </c>
      <c r="K91" s="5" t="s">
        <v>41</v>
      </c>
      <c r="L91" s="8">
        <v>37.200000000000003</v>
      </c>
      <c r="M91" s="5" t="s">
        <v>34</v>
      </c>
      <c r="N91" s="8">
        <v>3224.91</v>
      </c>
      <c r="O91" s="5" t="s">
        <v>134</v>
      </c>
      <c r="P91" s="7">
        <v>45729</v>
      </c>
      <c r="Q91" s="7"/>
      <c r="R91" s="5" t="s">
        <v>32</v>
      </c>
      <c r="S91" t="e">
        <f>VLOOKUP(I91,TDS!$A$1:$C$70,4,FALSE)</f>
        <v>#N/A</v>
      </c>
    </row>
    <row r="92" spans="1:19" x14ac:dyDescent="0.35">
      <c r="A92" s="6">
        <v>100222362</v>
      </c>
      <c r="B92" s="5" t="s">
        <v>28</v>
      </c>
      <c r="C92" s="5" t="s">
        <v>29</v>
      </c>
      <c r="D92" s="5" t="s">
        <v>56</v>
      </c>
      <c r="E92" s="7">
        <v>45729</v>
      </c>
      <c r="F92" s="6">
        <v>1800000066</v>
      </c>
      <c r="G92" s="5" t="s">
        <v>63</v>
      </c>
      <c r="H92" s="5" t="s">
        <v>60</v>
      </c>
      <c r="I92" s="9">
        <v>246788410061</v>
      </c>
      <c r="J92" s="5" t="s">
        <v>33</v>
      </c>
      <c r="K92" s="5" t="s">
        <v>41</v>
      </c>
      <c r="L92" s="8">
        <v>26.23</v>
      </c>
      <c r="M92" s="5" t="s">
        <v>34</v>
      </c>
      <c r="N92" s="8">
        <v>2273.91</v>
      </c>
      <c r="O92" s="5" t="s">
        <v>134</v>
      </c>
      <c r="P92" s="7">
        <v>45729</v>
      </c>
      <c r="Q92" s="7"/>
      <c r="R92" s="5" t="s">
        <v>32</v>
      </c>
      <c r="S92" t="e">
        <f>VLOOKUP(I92,TDS!$A$1:$C$70,4,FALSE)</f>
        <v>#N/A</v>
      </c>
    </row>
    <row r="93" spans="1:19" x14ac:dyDescent="0.35">
      <c r="A93" s="6">
        <v>100222362</v>
      </c>
      <c r="B93" s="5" t="s">
        <v>28</v>
      </c>
      <c r="C93" s="5" t="s">
        <v>29</v>
      </c>
      <c r="D93" s="5" t="s">
        <v>56</v>
      </c>
      <c r="E93" s="7">
        <v>45729</v>
      </c>
      <c r="F93" s="6">
        <v>1800000067</v>
      </c>
      <c r="G93" s="5" t="s">
        <v>63</v>
      </c>
      <c r="H93" s="5" t="s">
        <v>60</v>
      </c>
      <c r="I93" s="9">
        <v>246788410062</v>
      </c>
      <c r="J93" s="5" t="s">
        <v>33</v>
      </c>
      <c r="K93" s="5" t="s">
        <v>41</v>
      </c>
      <c r="L93" s="8">
        <v>26.23</v>
      </c>
      <c r="M93" s="5" t="s">
        <v>34</v>
      </c>
      <c r="N93" s="8">
        <v>2273.91</v>
      </c>
      <c r="O93" s="5" t="s">
        <v>134</v>
      </c>
      <c r="P93" s="7">
        <v>45729</v>
      </c>
      <c r="Q93" s="7"/>
      <c r="R93" s="5" t="s">
        <v>32</v>
      </c>
      <c r="S93" t="e">
        <f>VLOOKUP(I93,TDS!$A$1:$C$70,4,FALSE)</f>
        <v>#N/A</v>
      </c>
    </row>
    <row r="94" spans="1:19" x14ac:dyDescent="0.35">
      <c r="A94" s="6">
        <v>100222362</v>
      </c>
      <c r="B94" s="5" t="s">
        <v>28</v>
      </c>
      <c r="C94" s="5" t="s">
        <v>29</v>
      </c>
      <c r="D94" s="5" t="s">
        <v>56</v>
      </c>
      <c r="E94" s="7">
        <v>45729</v>
      </c>
      <c r="F94" s="6">
        <v>1800000068</v>
      </c>
      <c r="G94" s="5" t="s">
        <v>63</v>
      </c>
      <c r="H94" s="5" t="s">
        <v>60</v>
      </c>
      <c r="I94" s="9">
        <v>246788410063</v>
      </c>
      <c r="J94" s="5" t="s">
        <v>33</v>
      </c>
      <c r="K94" s="5" t="s">
        <v>41</v>
      </c>
      <c r="L94" s="8">
        <v>23.85</v>
      </c>
      <c r="M94" s="5" t="s">
        <v>34</v>
      </c>
      <c r="N94" s="8">
        <v>2067.59</v>
      </c>
      <c r="O94" s="5" t="s">
        <v>134</v>
      </c>
      <c r="P94" s="7">
        <v>45729</v>
      </c>
      <c r="Q94" s="7"/>
      <c r="R94" s="5" t="s">
        <v>32</v>
      </c>
      <c r="S94" t="e">
        <f>VLOOKUP(I94,TDS!$A$1:$C$70,4,FALSE)</f>
        <v>#N/A</v>
      </c>
    </row>
    <row r="95" spans="1:19" x14ac:dyDescent="0.35">
      <c r="A95" s="6">
        <v>100222362</v>
      </c>
      <c r="B95" s="5" t="s">
        <v>28</v>
      </c>
      <c r="C95" s="5" t="s">
        <v>29</v>
      </c>
      <c r="D95" s="5" t="s">
        <v>56</v>
      </c>
      <c r="E95" s="7">
        <v>45729</v>
      </c>
      <c r="F95" s="6">
        <v>1800000069</v>
      </c>
      <c r="G95" s="5" t="s">
        <v>63</v>
      </c>
      <c r="H95" s="5" t="s">
        <v>60</v>
      </c>
      <c r="I95" s="9">
        <v>246788410064</v>
      </c>
      <c r="J95" s="5" t="s">
        <v>33</v>
      </c>
      <c r="K95" s="5" t="s">
        <v>41</v>
      </c>
      <c r="L95" s="8">
        <v>23.87</v>
      </c>
      <c r="M95" s="5" t="s">
        <v>34</v>
      </c>
      <c r="N95" s="8">
        <v>2069.3200000000002</v>
      </c>
      <c r="O95" s="5" t="s">
        <v>135</v>
      </c>
      <c r="P95" s="7">
        <v>45729</v>
      </c>
      <c r="Q95" s="7"/>
      <c r="R95" s="5" t="s">
        <v>32</v>
      </c>
      <c r="S95" t="e">
        <f>VLOOKUP(I95,TDS!$A$1:$C$70,4,FALSE)</f>
        <v>#N/A</v>
      </c>
    </row>
    <row r="96" spans="1:19" x14ac:dyDescent="0.35">
      <c r="A96" s="6">
        <v>100222362</v>
      </c>
      <c r="B96" s="5" t="s">
        <v>28</v>
      </c>
      <c r="C96" s="5" t="s">
        <v>29</v>
      </c>
      <c r="D96" s="5" t="s">
        <v>56</v>
      </c>
      <c r="E96" s="7">
        <v>45729</v>
      </c>
      <c r="F96" s="6">
        <v>1800000070</v>
      </c>
      <c r="G96" s="5" t="s">
        <v>63</v>
      </c>
      <c r="H96" s="5" t="s">
        <v>60</v>
      </c>
      <c r="I96" s="9">
        <v>246788410065</v>
      </c>
      <c r="J96" s="5" t="s">
        <v>33</v>
      </c>
      <c r="K96" s="5" t="s">
        <v>41</v>
      </c>
      <c r="L96" s="8">
        <v>23.63</v>
      </c>
      <c r="M96" s="5" t="s">
        <v>34</v>
      </c>
      <c r="N96" s="8">
        <v>2048.5100000000002</v>
      </c>
      <c r="O96" s="5" t="s">
        <v>135</v>
      </c>
      <c r="P96" s="7">
        <v>45729</v>
      </c>
      <c r="Q96" s="7"/>
      <c r="R96" s="5" t="s">
        <v>32</v>
      </c>
      <c r="S96" t="e">
        <f>VLOOKUP(I96,TDS!$A$1:$C$70,4,FALSE)</f>
        <v>#N/A</v>
      </c>
    </row>
    <row r="97" spans="1:19" x14ac:dyDescent="0.35">
      <c r="A97" s="6">
        <v>100222362</v>
      </c>
      <c r="B97" s="5" t="s">
        <v>28</v>
      </c>
      <c r="C97" s="5" t="s">
        <v>29</v>
      </c>
      <c r="D97" s="5" t="s">
        <v>56</v>
      </c>
      <c r="E97" s="7">
        <v>45736</v>
      </c>
      <c r="F97" s="6">
        <v>1800005048</v>
      </c>
      <c r="G97" s="5" t="s">
        <v>63</v>
      </c>
      <c r="H97" s="5" t="s">
        <v>60</v>
      </c>
      <c r="I97" s="9">
        <v>246779414916</v>
      </c>
      <c r="J97" s="5" t="s">
        <v>33</v>
      </c>
      <c r="K97" s="5" t="s">
        <v>41</v>
      </c>
      <c r="L97" s="8">
        <v>7.26</v>
      </c>
      <c r="M97" s="5" t="s">
        <v>34</v>
      </c>
      <c r="N97" s="8">
        <v>629.38</v>
      </c>
      <c r="O97" s="5" t="s">
        <v>136</v>
      </c>
      <c r="P97" s="7">
        <v>45736</v>
      </c>
      <c r="Q97" s="7"/>
      <c r="R97" s="5" t="s">
        <v>32</v>
      </c>
      <c r="S97" t="e">
        <f>VLOOKUP(I97,TDS!$A$1:$C$70,4,FALSE)</f>
        <v>#N/A</v>
      </c>
    </row>
    <row r="98" spans="1:19" x14ac:dyDescent="0.35">
      <c r="A98" s="6">
        <v>100222362</v>
      </c>
      <c r="B98" s="5" t="s">
        <v>28</v>
      </c>
      <c r="C98" s="5" t="s">
        <v>29</v>
      </c>
      <c r="D98" s="5" t="s">
        <v>56</v>
      </c>
      <c r="E98" s="7">
        <v>45736</v>
      </c>
      <c r="F98" s="6">
        <v>1800005049</v>
      </c>
      <c r="G98" s="5" t="s">
        <v>63</v>
      </c>
      <c r="H98" s="5" t="s">
        <v>60</v>
      </c>
      <c r="I98" s="9">
        <v>246779414917</v>
      </c>
      <c r="J98" s="5" t="s">
        <v>33</v>
      </c>
      <c r="K98" s="5" t="s">
        <v>41</v>
      </c>
      <c r="L98" s="8">
        <v>12</v>
      </c>
      <c r="M98" s="5" t="s">
        <v>34</v>
      </c>
      <c r="N98" s="8">
        <v>1040.3</v>
      </c>
      <c r="O98" s="5" t="s">
        <v>137</v>
      </c>
      <c r="P98" s="7">
        <v>45736</v>
      </c>
      <c r="Q98" s="7"/>
      <c r="R98" s="5" t="s">
        <v>32</v>
      </c>
      <c r="S98" t="e">
        <f>VLOOKUP(I98,TDS!$A$1:$C$70,4,FALSE)</f>
        <v>#N/A</v>
      </c>
    </row>
    <row r="99" spans="1:19" x14ac:dyDescent="0.35">
      <c r="A99" s="6">
        <v>100222362</v>
      </c>
      <c r="B99" s="5" t="s">
        <v>28</v>
      </c>
      <c r="C99" s="5" t="s">
        <v>29</v>
      </c>
      <c r="D99" s="5" t="s">
        <v>38</v>
      </c>
      <c r="E99" s="7">
        <v>45708</v>
      </c>
      <c r="F99" s="6">
        <v>1800000029</v>
      </c>
      <c r="G99" s="5" t="s">
        <v>63</v>
      </c>
      <c r="H99" s="5" t="s">
        <v>60</v>
      </c>
      <c r="I99" s="9">
        <v>246788410019</v>
      </c>
      <c r="J99" s="5" t="s">
        <v>33</v>
      </c>
      <c r="K99" s="5" t="s">
        <v>41</v>
      </c>
      <c r="L99" s="8">
        <v>75</v>
      </c>
      <c r="M99" s="5" t="s">
        <v>34</v>
      </c>
      <c r="N99" s="8">
        <v>6472.77</v>
      </c>
      <c r="O99" s="5" t="s">
        <v>138</v>
      </c>
      <c r="P99" s="7">
        <v>45708</v>
      </c>
      <c r="Q99" s="7"/>
      <c r="R99" s="5" t="s">
        <v>32</v>
      </c>
      <c r="S99" t="e">
        <f>VLOOKUP(I99,TDS!$A$1:$C$70,4,FALSE)</f>
        <v>#N/A</v>
      </c>
    </row>
    <row r="100" spans="1:19" x14ac:dyDescent="0.35">
      <c r="A100" s="6">
        <v>100222362</v>
      </c>
      <c r="B100" s="5" t="s">
        <v>28</v>
      </c>
      <c r="C100" s="5" t="s">
        <v>29</v>
      </c>
      <c r="D100" s="5" t="s">
        <v>38</v>
      </c>
      <c r="E100" s="7">
        <v>45708</v>
      </c>
      <c r="F100" s="6">
        <v>1800000033</v>
      </c>
      <c r="G100" s="5" t="s">
        <v>63</v>
      </c>
      <c r="H100" s="5" t="s">
        <v>60</v>
      </c>
      <c r="I100" s="9">
        <v>246788410021</v>
      </c>
      <c r="J100" s="5" t="s">
        <v>33</v>
      </c>
      <c r="K100" s="5" t="s">
        <v>41</v>
      </c>
      <c r="L100" s="8">
        <v>75</v>
      </c>
      <c r="M100" s="5" t="s">
        <v>34</v>
      </c>
      <c r="N100" s="8">
        <v>6472.77</v>
      </c>
      <c r="O100" s="5" t="s">
        <v>139</v>
      </c>
      <c r="P100" s="7">
        <v>45708</v>
      </c>
      <c r="Q100" s="7"/>
      <c r="R100" s="5" t="s">
        <v>32</v>
      </c>
      <c r="S100" t="e">
        <f>VLOOKUP(I100,TDS!$A$1:$C$70,4,FALSE)</f>
        <v>#N/A</v>
      </c>
    </row>
    <row r="101" spans="1:19" x14ac:dyDescent="0.35">
      <c r="A101" s="6">
        <v>100222362</v>
      </c>
      <c r="B101" s="5" t="s">
        <v>28</v>
      </c>
      <c r="C101" s="5" t="s">
        <v>29</v>
      </c>
      <c r="D101" s="5" t="s">
        <v>43</v>
      </c>
      <c r="E101" s="7">
        <v>45889</v>
      </c>
      <c r="F101" s="6">
        <v>1800000476</v>
      </c>
      <c r="G101" s="5" t="s">
        <v>63</v>
      </c>
      <c r="H101" s="5" t="s">
        <v>60</v>
      </c>
      <c r="I101" s="9">
        <v>256788410348</v>
      </c>
      <c r="J101" s="5" t="s">
        <v>33</v>
      </c>
      <c r="K101" s="5" t="s">
        <v>41</v>
      </c>
      <c r="L101" s="8">
        <v>20.57</v>
      </c>
      <c r="M101" s="5" t="s">
        <v>34</v>
      </c>
      <c r="N101" s="8">
        <v>1769.64</v>
      </c>
      <c r="O101" s="5" t="s">
        <v>140</v>
      </c>
      <c r="P101" s="7">
        <v>45889</v>
      </c>
      <c r="Q101" s="7"/>
      <c r="R101" s="5" t="s">
        <v>32</v>
      </c>
      <c r="S101" t="e">
        <f>VLOOKUP(I101,TDS!$A$1:$C$70,4,FALSE)</f>
        <v>#N/A</v>
      </c>
    </row>
    <row r="102" spans="1:19" x14ac:dyDescent="0.35">
      <c r="A102" s="6">
        <v>100222362</v>
      </c>
      <c r="B102" s="5" t="s">
        <v>28</v>
      </c>
      <c r="C102" s="5" t="s">
        <v>29</v>
      </c>
      <c r="D102" s="5" t="s">
        <v>43</v>
      </c>
      <c r="E102" s="7">
        <v>45889</v>
      </c>
      <c r="F102" s="6">
        <v>1800000473</v>
      </c>
      <c r="G102" s="5" t="s">
        <v>63</v>
      </c>
      <c r="H102" s="5" t="s">
        <v>60</v>
      </c>
      <c r="I102" s="9">
        <v>256788410350</v>
      </c>
      <c r="J102" s="5" t="s">
        <v>33</v>
      </c>
      <c r="K102" s="5" t="s">
        <v>41</v>
      </c>
      <c r="L102" s="8">
        <v>141.91</v>
      </c>
      <c r="M102" s="5" t="s">
        <v>34</v>
      </c>
      <c r="N102" s="8">
        <v>12208.53</v>
      </c>
      <c r="O102" s="5" t="s">
        <v>141</v>
      </c>
      <c r="P102" s="7">
        <v>45889</v>
      </c>
      <c r="Q102" s="7"/>
      <c r="R102" s="5" t="s">
        <v>32</v>
      </c>
      <c r="S102" t="e">
        <f>VLOOKUP(I102,TDS!$A$1:$C$70,4,FALSE)</f>
        <v>#N/A</v>
      </c>
    </row>
    <row r="103" spans="1:19" x14ac:dyDescent="0.35">
      <c r="A103" s="6">
        <v>100222362</v>
      </c>
      <c r="B103" s="5" t="s">
        <v>28</v>
      </c>
      <c r="C103" s="5" t="s">
        <v>29</v>
      </c>
      <c r="D103" s="5" t="s">
        <v>43</v>
      </c>
      <c r="E103" s="7">
        <v>45889</v>
      </c>
      <c r="F103" s="6">
        <v>1800000475</v>
      </c>
      <c r="G103" s="5" t="s">
        <v>63</v>
      </c>
      <c r="H103" s="5" t="s">
        <v>60</v>
      </c>
      <c r="I103" s="9">
        <v>256788410352</v>
      </c>
      <c r="J103" s="5" t="s">
        <v>33</v>
      </c>
      <c r="K103" s="5" t="s">
        <v>41</v>
      </c>
      <c r="L103" s="8">
        <v>342.84</v>
      </c>
      <c r="M103" s="5" t="s">
        <v>34</v>
      </c>
      <c r="N103" s="8">
        <v>29494.57</v>
      </c>
      <c r="O103" s="5" t="s">
        <v>142</v>
      </c>
      <c r="P103" s="7">
        <v>45889</v>
      </c>
      <c r="Q103" s="7"/>
      <c r="R103" s="5" t="s">
        <v>32</v>
      </c>
      <c r="S103" t="e">
        <f>VLOOKUP(I103,TDS!$A$1:$C$70,4,FALSE)</f>
        <v>#N/A</v>
      </c>
    </row>
    <row r="104" spans="1:19" x14ac:dyDescent="0.35">
      <c r="A104" s="6">
        <v>100222362</v>
      </c>
      <c r="B104" s="5" t="s">
        <v>28</v>
      </c>
      <c r="C104" s="5" t="s">
        <v>29</v>
      </c>
      <c r="D104" s="5" t="s">
        <v>38</v>
      </c>
      <c r="E104" s="7">
        <v>45707</v>
      </c>
      <c r="F104" s="6">
        <v>1600000004</v>
      </c>
      <c r="G104" s="5" t="s">
        <v>84</v>
      </c>
      <c r="H104" s="5" t="s">
        <v>60</v>
      </c>
      <c r="I104" s="9">
        <v>246788420003</v>
      </c>
      <c r="J104" s="5" t="s">
        <v>33</v>
      </c>
      <c r="K104" s="5" t="s">
        <v>41</v>
      </c>
      <c r="L104" s="8">
        <v>-75</v>
      </c>
      <c r="M104" s="5" t="s">
        <v>34</v>
      </c>
      <c r="N104" s="8">
        <v>-6472.77</v>
      </c>
      <c r="O104" s="5" t="s">
        <v>143</v>
      </c>
      <c r="P104" s="7">
        <v>45707</v>
      </c>
      <c r="Q104" s="7">
        <v>45707</v>
      </c>
      <c r="R104" s="5" t="s">
        <v>42</v>
      </c>
      <c r="S104" t="e">
        <f>VLOOKUP(I104,TDS!$A$1:$C$70,4,FALSE)</f>
        <v>#N/A</v>
      </c>
    </row>
    <row r="105" spans="1:19" x14ac:dyDescent="0.35">
      <c r="A105" s="6">
        <v>100222362</v>
      </c>
      <c r="B105" s="5" t="s">
        <v>28</v>
      </c>
      <c r="C105" s="5" t="s">
        <v>29</v>
      </c>
      <c r="D105" s="5" t="s">
        <v>38</v>
      </c>
      <c r="E105" s="7">
        <v>45707</v>
      </c>
      <c r="F105" s="6">
        <v>1800000006</v>
      </c>
      <c r="G105" s="5" t="s">
        <v>63</v>
      </c>
      <c r="H105" s="5" t="s">
        <v>60</v>
      </c>
      <c r="I105" s="9">
        <v>246788410005</v>
      </c>
      <c r="J105" s="5" t="s">
        <v>33</v>
      </c>
      <c r="K105" s="5" t="s">
        <v>41</v>
      </c>
      <c r="L105" s="8">
        <v>75</v>
      </c>
      <c r="M105" s="5" t="s">
        <v>34</v>
      </c>
      <c r="N105" s="8">
        <v>6472.77</v>
      </c>
      <c r="O105" s="5" t="s">
        <v>131</v>
      </c>
      <c r="P105" s="7">
        <v>45707</v>
      </c>
      <c r="Q105" s="7"/>
      <c r="R105" s="5" t="s">
        <v>32</v>
      </c>
      <c r="S105" t="e">
        <f>VLOOKUP(I105,TDS!$A$1:$C$70,4,FALSE)</f>
        <v>#N/A</v>
      </c>
    </row>
    <row r="106" spans="1:19" x14ac:dyDescent="0.35">
      <c r="A106" s="6">
        <v>100222362</v>
      </c>
      <c r="B106" s="5" t="s">
        <v>28</v>
      </c>
      <c r="C106" s="5" t="s">
        <v>29</v>
      </c>
      <c r="D106" s="5" t="s">
        <v>38</v>
      </c>
      <c r="E106" s="7">
        <v>45707</v>
      </c>
      <c r="F106" s="6">
        <v>1800000022</v>
      </c>
      <c r="G106" s="5" t="s">
        <v>63</v>
      </c>
      <c r="H106" s="5" t="s">
        <v>60</v>
      </c>
      <c r="I106" s="9">
        <v>246788410009</v>
      </c>
      <c r="J106" s="5" t="s">
        <v>33</v>
      </c>
      <c r="K106" s="5" t="s">
        <v>41</v>
      </c>
      <c r="L106" s="8">
        <v>75</v>
      </c>
      <c r="M106" s="5" t="s">
        <v>34</v>
      </c>
      <c r="N106" s="8">
        <v>6472.77</v>
      </c>
      <c r="O106" s="5" t="s">
        <v>144</v>
      </c>
      <c r="P106" s="7">
        <v>45707</v>
      </c>
      <c r="Q106" s="7"/>
      <c r="R106" s="5" t="s">
        <v>32</v>
      </c>
      <c r="S106" t="e">
        <f>VLOOKUP(I106,TDS!$A$1:$C$70,4,FALSE)</f>
        <v>#N/A</v>
      </c>
    </row>
    <row r="107" spans="1:19" x14ac:dyDescent="0.35">
      <c r="A107" s="6">
        <v>100222362</v>
      </c>
      <c r="B107" s="5" t="s">
        <v>28</v>
      </c>
      <c r="C107" s="5" t="s">
        <v>29</v>
      </c>
      <c r="D107" s="5" t="s">
        <v>38</v>
      </c>
      <c r="E107" s="7">
        <v>45707</v>
      </c>
      <c r="F107" s="6">
        <v>1800000018</v>
      </c>
      <c r="G107" s="5" t="s">
        <v>63</v>
      </c>
      <c r="H107" s="5" t="s">
        <v>60</v>
      </c>
      <c r="I107" s="9">
        <v>246788410013</v>
      </c>
      <c r="J107" s="5" t="s">
        <v>33</v>
      </c>
      <c r="K107" s="5" t="s">
        <v>41</v>
      </c>
      <c r="L107" s="8">
        <v>75</v>
      </c>
      <c r="M107" s="5" t="s">
        <v>34</v>
      </c>
      <c r="N107" s="8">
        <v>6472.77</v>
      </c>
      <c r="O107" s="5" t="s">
        <v>145</v>
      </c>
      <c r="P107" s="7">
        <v>45707</v>
      </c>
      <c r="Q107" s="7"/>
      <c r="R107" s="5" t="s">
        <v>32</v>
      </c>
      <c r="S107" t="e">
        <f>VLOOKUP(I107,TDS!$A$1:$C$70,4,FALSE)</f>
        <v>#N/A</v>
      </c>
    </row>
    <row r="108" spans="1:19" x14ac:dyDescent="0.35">
      <c r="A108" s="6">
        <v>100222362</v>
      </c>
      <c r="B108" s="5" t="s">
        <v>28</v>
      </c>
      <c r="C108" s="5" t="s">
        <v>29</v>
      </c>
      <c r="D108" s="5" t="s">
        <v>38</v>
      </c>
      <c r="E108" s="7">
        <v>45707</v>
      </c>
      <c r="F108" s="6">
        <v>1800000010</v>
      </c>
      <c r="G108" s="5" t="s">
        <v>63</v>
      </c>
      <c r="H108" s="5" t="s">
        <v>60</v>
      </c>
      <c r="I108" s="9">
        <v>246788410015</v>
      </c>
      <c r="J108" s="5" t="s">
        <v>33</v>
      </c>
      <c r="K108" s="5" t="s">
        <v>41</v>
      </c>
      <c r="L108" s="8">
        <v>75</v>
      </c>
      <c r="M108" s="5" t="s">
        <v>34</v>
      </c>
      <c r="N108" s="8">
        <v>6472.77</v>
      </c>
      <c r="O108" s="5" t="s">
        <v>146</v>
      </c>
      <c r="P108" s="7">
        <v>45707</v>
      </c>
      <c r="Q108" s="7"/>
      <c r="R108" s="5" t="s">
        <v>32</v>
      </c>
      <c r="S108" t="e">
        <f>VLOOKUP(I108,TDS!$A$1:$C$70,4,FALSE)</f>
        <v>#N/A</v>
      </c>
    </row>
    <row r="109" spans="1:19" x14ac:dyDescent="0.35">
      <c r="A109" s="6">
        <v>100222362</v>
      </c>
      <c r="B109" s="5" t="s">
        <v>28</v>
      </c>
      <c r="C109" s="5" t="s">
        <v>29</v>
      </c>
      <c r="D109" s="5" t="s">
        <v>38</v>
      </c>
      <c r="E109" s="7">
        <v>45707</v>
      </c>
      <c r="F109" s="6">
        <v>1800000012</v>
      </c>
      <c r="G109" s="5" t="s">
        <v>63</v>
      </c>
      <c r="H109" s="5" t="s">
        <v>60</v>
      </c>
      <c r="I109" s="9">
        <v>246788410017</v>
      </c>
      <c r="J109" s="5" t="s">
        <v>33</v>
      </c>
      <c r="K109" s="5" t="s">
        <v>41</v>
      </c>
      <c r="L109" s="8">
        <v>75</v>
      </c>
      <c r="M109" s="5" t="s">
        <v>34</v>
      </c>
      <c r="N109" s="8">
        <v>6472.77</v>
      </c>
      <c r="O109" s="5" t="s">
        <v>147</v>
      </c>
      <c r="P109" s="7">
        <v>45707</v>
      </c>
      <c r="Q109" s="7"/>
      <c r="R109" s="5" t="s">
        <v>32</v>
      </c>
      <c r="S109" t="e">
        <f>VLOOKUP(I109,TDS!$A$1:$C$70,4,FALSE)</f>
        <v>#N/A</v>
      </c>
    </row>
    <row r="110" spans="1:19" x14ac:dyDescent="0.35">
      <c r="A110" s="6">
        <v>100222362</v>
      </c>
      <c r="B110" s="5" t="s">
        <v>28</v>
      </c>
      <c r="C110" s="5" t="s">
        <v>29</v>
      </c>
      <c r="D110" s="5" t="s">
        <v>65</v>
      </c>
      <c r="E110" s="7">
        <v>45923</v>
      </c>
      <c r="F110" s="6">
        <v>1600000242</v>
      </c>
      <c r="G110" s="5" t="s">
        <v>84</v>
      </c>
      <c r="H110" s="5" t="s">
        <v>60</v>
      </c>
      <c r="I110" s="9">
        <v>256788420122</v>
      </c>
      <c r="J110" s="5" t="s">
        <v>33</v>
      </c>
      <c r="K110" s="5" t="s">
        <v>41</v>
      </c>
      <c r="L110" s="8">
        <v>-9</v>
      </c>
      <c r="M110" s="5" t="s">
        <v>34</v>
      </c>
      <c r="N110" s="8">
        <v>-774.01</v>
      </c>
      <c r="O110" s="5" t="s">
        <v>148</v>
      </c>
      <c r="P110" s="7">
        <v>45923</v>
      </c>
      <c r="Q110" s="7">
        <v>45976</v>
      </c>
      <c r="R110" s="5" t="s">
        <v>62</v>
      </c>
      <c r="S110" t="e">
        <f>VLOOKUP(I110,TDS!$A$1:$C$70,4,FALSE)</f>
        <v>#N/A</v>
      </c>
    </row>
    <row r="111" spans="1:19" x14ac:dyDescent="0.35">
      <c r="A111" s="6">
        <v>100222362</v>
      </c>
      <c r="B111" s="5" t="s">
        <v>28</v>
      </c>
      <c r="C111" s="5" t="s">
        <v>29</v>
      </c>
      <c r="D111" s="5" t="s">
        <v>55</v>
      </c>
      <c r="E111" s="7">
        <v>45973</v>
      </c>
      <c r="F111" s="6">
        <v>1800000594</v>
      </c>
      <c r="G111" s="5" t="s">
        <v>63</v>
      </c>
      <c r="H111" s="5" t="s">
        <v>60</v>
      </c>
      <c r="I111" s="9">
        <v>256788410459</v>
      </c>
      <c r="J111" s="5" t="s">
        <v>33</v>
      </c>
      <c r="K111" s="5" t="s">
        <v>41</v>
      </c>
      <c r="L111" s="8">
        <v>8006.66</v>
      </c>
      <c r="M111" s="5" t="s">
        <v>34</v>
      </c>
      <c r="N111" s="8">
        <v>704613.22</v>
      </c>
      <c r="O111" s="5" t="s">
        <v>114</v>
      </c>
      <c r="P111" s="7">
        <v>45973</v>
      </c>
      <c r="Q111" s="7"/>
      <c r="R111" s="5" t="s">
        <v>32</v>
      </c>
      <c r="S111" t="e">
        <f>VLOOKUP(I111,TDS!$A$1:$C$70,4,FALSE)</f>
        <v>#N/A</v>
      </c>
    </row>
    <row r="112" spans="1:19" x14ac:dyDescent="0.35">
      <c r="A112" s="6">
        <v>100222362</v>
      </c>
      <c r="B112" s="5" t="s">
        <v>28</v>
      </c>
      <c r="C112" s="5" t="s">
        <v>29</v>
      </c>
      <c r="D112" s="5" t="s">
        <v>55</v>
      </c>
      <c r="E112" s="7">
        <v>45973</v>
      </c>
      <c r="F112" s="6">
        <v>1600000270</v>
      </c>
      <c r="G112" s="5" t="s">
        <v>84</v>
      </c>
      <c r="H112" s="5" t="s">
        <v>60</v>
      </c>
      <c r="I112" s="9">
        <v>256788420147</v>
      </c>
      <c r="J112" s="5" t="s">
        <v>33</v>
      </c>
      <c r="K112" s="5" t="s">
        <v>41</v>
      </c>
      <c r="L112" s="8">
        <v>-4547.2</v>
      </c>
      <c r="M112" s="5" t="s">
        <v>34</v>
      </c>
      <c r="N112" s="8">
        <v>-400169.02</v>
      </c>
      <c r="O112" s="5" t="s">
        <v>149</v>
      </c>
      <c r="P112" s="7">
        <v>45973</v>
      </c>
      <c r="Q112" s="7"/>
      <c r="R112" s="5" t="s">
        <v>32</v>
      </c>
      <c r="S112" t="e">
        <f>VLOOKUP(I112,TDS!$A$1:$C$70,4,FALSE)</f>
        <v>#N/A</v>
      </c>
    </row>
    <row r="113" spans="1:19" x14ac:dyDescent="0.35">
      <c r="A113" s="6">
        <v>100222362</v>
      </c>
      <c r="B113" s="5" t="s">
        <v>28</v>
      </c>
      <c r="C113" s="5" t="s">
        <v>29</v>
      </c>
      <c r="D113" s="5" t="s">
        <v>76</v>
      </c>
      <c r="E113" s="7">
        <v>45821</v>
      </c>
      <c r="F113" s="6">
        <v>1800009582</v>
      </c>
      <c r="G113" s="5" t="s">
        <v>63</v>
      </c>
      <c r="H113" s="5" t="s">
        <v>60</v>
      </c>
      <c r="I113" s="9">
        <v>256779414346</v>
      </c>
      <c r="J113" s="5" t="s">
        <v>33</v>
      </c>
      <c r="K113" s="5" t="s">
        <v>41</v>
      </c>
      <c r="L113" s="8">
        <v>2322.04</v>
      </c>
      <c r="M113" s="5" t="s">
        <v>34</v>
      </c>
      <c r="N113" s="8">
        <v>198513.01</v>
      </c>
      <c r="O113" s="5" t="s">
        <v>150</v>
      </c>
      <c r="P113" s="7">
        <v>45821</v>
      </c>
      <c r="Q113" s="7"/>
      <c r="R113" s="5" t="s">
        <v>32</v>
      </c>
      <c r="S113" t="e">
        <f>VLOOKUP(I113,TDS!$A$1:$C$70,4,FALSE)</f>
        <v>#N/A</v>
      </c>
    </row>
    <row r="114" spans="1:19" x14ac:dyDescent="0.35">
      <c r="A114" s="6">
        <v>100222362</v>
      </c>
      <c r="B114" s="5" t="s">
        <v>28</v>
      </c>
      <c r="C114" s="5" t="s">
        <v>29</v>
      </c>
      <c r="D114" s="5" t="s">
        <v>80</v>
      </c>
      <c r="E114" s="7">
        <v>45797</v>
      </c>
      <c r="F114" s="6">
        <v>1800000345</v>
      </c>
      <c r="G114" s="5" t="s">
        <v>63</v>
      </c>
      <c r="H114" s="5" t="s">
        <v>60</v>
      </c>
      <c r="I114" s="9">
        <v>256788410220</v>
      </c>
      <c r="J114" s="5" t="s">
        <v>33</v>
      </c>
      <c r="K114" s="5" t="s">
        <v>41</v>
      </c>
      <c r="L114" s="8">
        <v>67.2</v>
      </c>
      <c r="M114" s="5" t="s">
        <v>34</v>
      </c>
      <c r="N114" s="8">
        <v>5778.1</v>
      </c>
      <c r="O114" s="5" t="s">
        <v>151</v>
      </c>
      <c r="P114" s="7">
        <v>45797</v>
      </c>
      <c r="Q114" s="7"/>
      <c r="R114" s="5" t="s">
        <v>32</v>
      </c>
      <c r="S114" t="e">
        <f>VLOOKUP(I114,TDS!$A$1:$C$70,4,FALSE)</f>
        <v>#N/A</v>
      </c>
    </row>
    <row r="115" spans="1:19" x14ac:dyDescent="0.35">
      <c r="A115" s="6">
        <v>100222362</v>
      </c>
      <c r="B115" s="5" t="s">
        <v>28</v>
      </c>
      <c r="C115" s="5" t="s">
        <v>29</v>
      </c>
      <c r="D115" s="5" t="s">
        <v>30</v>
      </c>
      <c r="E115" s="7">
        <v>45750</v>
      </c>
      <c r="F115" s="6">
        <v>1800005306</v>
      </c>
      <c r="G115" s="5" t="s">
        <v>63</v>
      </c>
      <c r="H115" s="5" t="s">
        <v>60</v>
      </c>
      <c r="I115" s="9">
        <v>256779410198</v>
      </c>
      <c r="J115" s="5" t="s">
        <v>33</v>
      </c>
      <c r="K115" s="5" t="s">
        <v>41</v>
      </c>
      <c r="L115" s="8">
        <v>3.45</v>
      </c>
      <c r="M115" s="5" t="s">
        <v>34</v>
      </c>
      <c r="N115" s="8">
        <v>299.88</v>
      </c>
      <c r="O115" s="5" t="s">
        <v>152</v>
      </c>
      <c r="P115" s="7">
        <v>45750</v>
      </c>
      <c r="Q115" s="7"/>
      <c r="R115" s="5" t="s">
        <v>32</v>
      </c>
      <c r="S115" t="e">
        <f>VLOOKUP(I115,TDS!$A$1:$C$70,4,FALSE)</f>
        <v>#N/A</v>
      </c>
    </row>
    <row r="116" spans="1:19" x14ac:dyDescent="0.35">
      <c r="A116" s="6">
        <v>100222362</v>
      </c>
      <c r="B116" s="5" t="s">
        <v>28</v>
      </c>
      <c r="C116" s="5" t="s">
        <v>29</v>
      </c>
      <c r="D116" s="5" t="s">
        <v>47</v>
      </c>
      <c r="E116" s="7">
        <v>45950</v>
      </c>
      <c r="F116" s="6">
        <v>1800000558</v>
      </c>
      <c r="G116" s="5" t="s">
        <v>63</v>
      </c>
      <c r="H116" s="5" t="s">
        <v>60</v>
      </c>
      <c r="I116" s="9">
        <v>256788410435</v>
      </c>
      <c r="J116" s="5" t="s">
        <v>33</v>
      </c>
      <c r="K116" s="5" t="s">
        <v>41</v>
      </c>
      <c r="L116" s="8">
        <v>38</v>
      </c>
      <c r="M116" s="5" t="s">
        <v>34</v>
      </c>
      <c r="N116" s="8">
        <v>3351.25</v>
      </c>
      <c r="O116" s="5" t="s">
        <v>153</v>
      </c>
      <c r="P116" s="7">
        <v>45950</v>
      </c>
      <c r="Q116" s="7"/>
      <c r="R116" s="5" t="s">
        <v>32</v>
      </c>
      <c r="S116" t="e">
        <f>VLOOKUP(I116,TDS!$A$1:$C$70,4,FALSE)</f>
        <v>#N/A</v>
      </c>
    </row>
    <row r="117" spans="1:19" x14ac:dyDescent="0.35">
      <c r="A117" s="6">
        <v>100222362</v>
      </c>
      <c r="B117" s="5" t="s">
        <v>28</v>
      </c>
      <c r="C117" s="5" t="s">
        <v>29</v>
      </c>
      <c r="D117" s="5" t="s">
        <v>47</v>
      </c>
      <c r="E117" s="7">
        <v>45950</v>
      </c>
      <c r="F117" s="6">
        <v>1800000560</v>
      </c>
      <c r="G117" s="5" t="s">
        <v>63</v>
      </c>
      <c r="H117" s="5" t="s">
        <v>60</v>
      </c>
      <c r="I117" s="9">
        <v>256788410437</v>
      </c>
      <c r="J117" s="5" t="s">
        <v>33</v>
      </c>
      <c r="K117" s="5" t="s">
        <v>41</v>
      </c>
      <c r="L117" s="8">
        <v>346.14</v>
      </c>
      <c r="M117" s="5" t="s">
        <v>34</v>
      </c>
      <c r="N117" s="8">
        <v>30526.35</v>
      </c>
      <c r="O117" s="5" t="s">
        <v>154</v>
      </c>
      <c r="P117" s="7">
        <v>45950</v>
      </c>
      <c r="Q117" s="7"/>
      <c r="R117" s="5" t="s">
        <v>32</v>
      </c>
      <c r="S117" t="e">
        <f>VLOOKUP(I117,TDS!$A$1:$C$70,4,FALSE)</f>
        <v>#N/A</v>
      </c>
    </row>
    <row r="118" spans="1:19" x14ac:dyDescent="0.35">
      <c r="A118" s="6">
        <v>100222362</v>
      </c>
      <c r="B118" s="5" t="s">
        <v>28</v>
      </c>
      <c r="C118" s="5" t="s">
        <v>29</v>
      </c>
      <c r="D118" s="5" t="s">
        <v>30</v>
      </c>
      <c r="E118" s="7">
        <v>45749</v>
      </c>
      <c r="F118" s="6">
        <v>1800000126</v>
      </c>
      <c r="G118" s="5" t="s">
        <v>63</v>
      </c>
      <c r="H118" s="5" t="s">
        <v>60</v>
      </c>
      <c r="I118" s="9">
        <v>256788410001</v>
      </c>
      <c r="J118" s="5" t="s">
        <v>33</v>
      </c>
      <c r="K118" s="5" t="s">
        <v>41</v>
      </c>
      <c r="L118" s="8">
        <v>10887.57</v>
      </c>
      <c r="M118" s="5" t="s">
        <v>34</v>
      </c>
      <c r="N118" s="8">
        <v>946367.4</v>
      </c>
      <c r="O118" s="5" t="s">
        <v>155</v>
      </c>
      <c r="P118" s="7">
        <v>45749</v>
      </c>
      <c r="Q118" s="7"/>
      <c r="R118" s="5" t="s">
        <v>32</v>
      </c>
      <c r="S118" t="e">
        <f>VLOOKUP(I118,TDS!$A$1:$C$70,4,FALSE)</f>
        <v>#N/A</v>
      </c>
    </row>
    <row r="119" spans="1:19" x14ac:dyDescent="0.35">
      <c r="A119" s="6">
        <v>100222362</v>
      </c>
      <c r="B119" s="5" t="s">
        <v>28</v>
      </c>
      <c r="C119" s="5" t="s">
        <v>29</v>
      </c>
      <c r="D119" s="5" t="s">
        <v>30</v>
      </c>
      <c r="E119" s="7">
        <v>45749</v>
      </c>
      <c r="F119" s="6">
        <v>1800000127</v>
      </c>
      <c r="G119" s="5" t="s">
        <v>63</v>
      </c>
      <c r="H119" s="5" t="s">
        <v>60</v>
      </c>
      <c r="I119" s="9">
        <v>256788410002</v>
      </c>
      <c r="J119" s="5" t="s">
        <v>33</v>
      </c>
      <c r="K119" s="5" t="s">
        <v>41</v>
      </c>
      <c r="L119" s="8">
        <v>9928.89</v>
      </c>
      <c r="M119" s="5" t="s">
        <v>34</v>
      </c>
      <c r="N119" s="8">
        <v>863037.19</v>
      </c>
      <c r="O119" s="5" t="s">
        <v>156</v>
      </c>
      <c r="P119" s="7">
        <v>45749</v>
      </c>
      <c r="Q119" s="7"/>
      <c r="R119" s="5" t="s">
        <v>32</v>
      </c>
      <c r="S119" t="e">
        <f>VLOOKUP(I119,TDS!$A$1:$C$70,4,FALSE)</f>
        <v>#N/A</v>
      </c>
    </row>
    <row r="120" spans="1:19" x14ac:dyDescent="0.35">
      <c r="A120" s="6">
        <v>100222362</v>
      </c>
      <c r="B120" s="5" t="s">
        <v>28</v>
      </c>
      <c r="C120" s="5" t="s">
        <v>29</v>
      </c>
      <c r="D120" s="5" t="s">
        <v>30</v>
      </c>
      <c r="E120" s="7">
        <v>45749</v>
      </c>
      <c r="F120" s="6">
        <v>1800000128</v>
      </c>
      <c r="G120" s="5" t="s">
        <v>63</v>
      </c>
      <c r="H120" s="5" t="s">
        <v>60</v>
      </c>
      <c r="I120" s="9">
        <v>256788410003</v>
      </c>
      <c r="J120" s="5" t="s">
        <v>33</v>
      </c>
      <c r="K120" s="5" t="s">
        <v>41</v>
      </c>
      <c r="L120" s="8">
        <v>4.5</v>
      </c>
      <c r="M120" s="5" t="s">
        <v>34</v>
      </c>
      <c r="N120" s="8">
        <v>391.15</v>
      </c>
      <c r="O120" s="5" t="s">
        <v>157</v>
      </c>
      <c r="P120" s="7">
        <v>45749</v>
      </c>
      <c r="Q120" s="7"/>
      <c r="R120" s="5" t="s">
        <v>32</v>
      </c>
      <c r="S120" t="e">
        <f>VLOOKUP(I120,TDS!$A$1:$C$70,4,FALSE)</f>
        <v>#N/A</v>
      </c>
    </row>
    <row r="121" spans="1:19" x14ac:dyDescent="0.35">
      <c r="A121" s="6">
        <v>100222362</v>
      </c>
      <c r="B121" s="5" t="s">
        <v>28</v>
      </c>
      <c r="C121" s="5" t="s">
        <v>29</v>
      </c>
      <c r="D121" s="5" t="s">
        <v>30</v>
      </c>
      <c r="E121" s="7">
        <v>45749</v>
      </c>
      <c r="F121" s="6">
        <v>1800000129</v>
      </c>
      <c r="G121" s="5" t="s">
        <v>63</v>
      </c>
      <c r="H121" s="5" t="s">
        <v>60</v>
      </c>
      <c r="I121" s="9">
        <v>256788410004</v>
      </c>
      <c r="J121" s="5" t="s">
        <v>33</v>
      </c>
      <c r="K121" s="5" t="s">
        <v>41</v>
      </c>
      <c r="L121" s="8">
        <v>2786.28</v>
      </c>
      <c r="M121" s="5" t="s">
        <v>34</v>
      </c>
      <c r="N121" s="8">
        <v>242188.53</v>
      </c>
      <c r="O121" s="5" t="s">
        <v>158</v>
      </c>
      <c r="P121" s="7">
        <v>45749</v>
      </c>
      <c r="Q121" s="7"/>
      <c r="R121" s="5" t="s">
        <v>32</v>
      </c>
      <c r="S121" t="e">
        <f>VLOOKUP(I121,TDS!$A$1:$C$70,4,FALSE)</f>
        <v>#N/A</v>
      </c>
    </row>
    <row r="122" spans="1:19" x14ac:dyDescent="0.35">
      <c r="A122" s="6">
        <v>100222362</v>
      </c>
      <c r="B122" s="5" t="s">
        <v>28</v>
      </c>
      <c r="C122" s="5" t="s">
        <v>29</v>
      </c>
      <c r="D122" s="5" t="s">
        <v>30</v>
      </c>
      <c r="E122" s="7">
        <v>45749</v>
      </c>
      <c r="F122" s="6">
        <v>1800000134</v>
      </c>
      <c r="G122" s="5" t="s">
        <v>63</v>
      </c>
      <c r="H122" s="5" t="s">
        <v>60</v>
      </c>
      <c r="I122" s="9">
        <v>256788410009</v>
      </c>
      <c r="J122" s="5" t="s">
        <v>33</v>
      </c>
      <c r="K122" s="5" t="s">
        <v>41</v>
      </c>
      <c r="L122" s="8">
        <v>2934.66</v>
      </c>
      <c r="M122" s="5" t="s">
        <v>34</v>
      </c>
      <c r="N122" s="8">
        <v>255085.99</v>
      </c>
      <c r="O122" s="5" t="s">
        <v>159</v>
      </c>
      <c r="P122" s="7">
        <v>45749</v>
      </c>
      <c r="Q122" s="7"/>
      <c r="R122" s="5" t="s">
        <v>32</v>
      </c>
      <c r="S122" t="e">
        <f>VLOOKUP(I122,TDS!$A$1:$C$70,4,FALSE)</f>
        <v>#N/A</v>
      </c>
    </row>
    <row r="123" spans="1:19" x14ac:dyDescent="0.35">
      <c r="A123" s="6">
        <v>100222362</v>
      </c>
      <c r="B123" s="5" t="s">
        <v>28</v>
      </c>
      <c r="C123" s="5" t="s">
        <v>29</v>
      </c>
      <c r="D123" s="5" t="s">
        <v>30</v>
      </c>
      <c r="E123" s="7">
        <v>45749</v>
      </c>
      <c r="F123" s="6">
        <v>1800000138</v>
      </c>
      <c r="G123" s="5" t="s">
        <v>63</v>
      </c>
      <c r="H123" s="5" t="s">
        <v>60</v>
      </c>
      <c r="I123" s="9">
        <v>256788410013</v>
      </c>
      <c r="J123" s="5" t="s">
        <v>33</v>
      </c>
      <c r="K123" s="5" t="s">
        <v>41</v>
      </c>
      <c r="L123" s="8">
        <v>2935.55</v>
      </c>
      <c r="M123" s="5" t="s">
        <v>34</v>
      </c>
      <c r="N123" s="8">
        <v>255163.35</v>
      </c>
      <c r="O123" s="5" t="s">
        <v>160</v>
      </c>
      <c r="P123" s="7">
        <v>45749</v>
      </c>
      <c r="Q123" s="7"/>
      <c r="R123" s="5" t="s">
        <v>32</v>
      </c>
      <c r="S123" t="e">
        <f>VLOOKUP(I123,TDS!$A$1:$C$70,4,FALSE)</f>
        <v>#N/A</v>
      </c>
    </row>
    <row r="124" spans="1:19" x14ac:dyDescent="0.35">
      <c r="A124" s="6">
        <v>100222362</v>
      </c>
      <c r="B124" s="5" t="s">
        <v>28</v>
      </c>
      <c r="C124" s="5" t="s">
        <v>29</v>
      </c>
      <c r="D124" s="5" t="s">
        <v>30</v>
      </c>
      <c r="E124" s="7">
        <v>45749</v>
      </c>
      <c r="F124" s="6">
        <v>1800000141</v>
      </c>
      <c r="G124" s="5" t="s">
        <v>63</v>
      </c>
      <c r="H124" s="5" t="s">
        <v>60</v>
      </c>
      <c r="I124" s="9">
        <v>256788410016</v>
      </c>
      <c r="J124" s="5" t="s">
        <v>33</v>
      </c>
      <c r="K124" s="5" t="s">
        <v>41</v>
      </c>
      <c r="L124" s="8">
        <v>3979.2</v>
      </c>
      <c r="M124" s="5" t="s">
        <v>34</v>
      </c>
      <c r="N124" s="8">
        <v>345879.31</v>
      </c>
      <c r="O124" s="5" t="s">
        <v>161</v>
      </c>
      <c r="P124" s="7">
        <v>45749</v>
      </c>
      <c r="Q124" s="7"/>
      <c r="R124" s="5" t="s">
        <v>32</v>
      </c>
      <c r="S124" t="e">
        <f>VLOOKUP(I124,TDS!$A$1:$C$70,4,FALSE)</f>
        <v>#N/A</v>
      </c>
    </row>
    <row r="125" spans="1:19" x14ac:dyDescent="0.35">
      <c r="A125" s="6">
        <v>100222362</v>
      </c>
      <c r="B125" s="5" t="s">
        <v>28</v>
      </c>
      <c r="C125" s="5" t="s">
        <v>29</v>
      </c>
      <c r="D125" s="5" t="s">
        <v>30</v>
      </c>
      <c r="E125" s="7">
        <v>45749</v>
      </c>
      <c r="F125" s="6">
        <v>1800000144</v>
      </c>
      <c r="G125" s="5" t="s">
        <v>63</v>
      </c>
      <c r="H125" s="5" t="s">
        <v>60</v>
      </c>
      <c r="I125" s="9">
        <v>256788410019</v>
      </c>
      <c r="J125" s="5" t="s">
        <v>33</v>
      </c>
      <c r="K125" s="5" t="s">
        <v>41</v>
      </c>
      <c r="L125" s="8">
        <v>75</v>
      </c>
      <c r="M125" s="5" t="s">
        <v>34</v>
      </c>
      <c r="N125" s="8">
        <v>6519.14</v>
      </c>
      <c r="O125" s="5" t="s">
        <v>138</v>
      </c>
      <c r="P125" s="7">
        <v>45749</v>
      </c>
      <c r="Q125" s="7">
        <v>45976</v>
      </c>
      <c r="R125" s="5" t="s">
        <v>62</v>
      </c>
      <c r="S125" t="e">
        <f>VLOOKUP(I125,TDS!$A$1:$C$70,4,FALSE)</f>
        <v>#N/A</v>
      </c>
    </row>
    <row r="126" spans="1:19" x14ac:dyDescent="0.35">
      <c r="A126" s="6">
        <v>100222362</v>
      </c>
      <c r="B126" s="5" t="s">
        <v>28</v>
      </c>
      <c r="C126" s="5" t="s">
        <v>29</v>
      </c>
      <c r="D126" s="5" t="s">
        <v>30</v>
      </c>
      <c r="E126" s="7">
        <v>45749</v>
      </c>
      <c r="F126" s="6">
        <v>1800000148</v>
      </c>
      <c r="G126" s="5" t="s">
        <v>63</v>
      </c>
      <c r="H126" s="5" t="s">
        <v>60</v>
      </c>
      <c r="I126" s="9">
        <v>256788410023</v>
      </c>
      <c r="J126" s="5" t="s">
        <v>33</v>
      </c>
      <c r="K126" s="5" t="s">
        <v>41</v>
      </c>
      <c r="L126" s="8">
        <v>75</v>
      </c>
      <c r="M126" s="5" t="s">
        <v>34</v>
      </c>
      <c r="N126" s="8">
        <v>6519.14</v>
      </c>
      <c r="O126" s="5" t="s">
        <v>139</v>
      </c>
      <c r="P126" s="7">
        <v>45749</v>
      </c>
      <c r="Q126" s="7">
        <v>45976</v>
      </c>
      <c r="R126" s="5" t="s">
        <v>62</v>
      </c>
      <c r="S126" t="e">
        <f>VLOOKUP(I126,TDS!$A$1:$C$70,4,FALSE)</f>
        <v>#N/A</v>
      </c>
    </row>
    <row r="127" spans="1:19" x14ac:dyDescent="0.35">
      <c r="A127" s="6">
        <v>100222362</v>
      </c>
      <c r="B127" s="5" t="s">
        <v>28</v>
      </c>
      <c r="C127" s="5" t="s">
        <v>29</v>
      </c>
      <c r="D127" s="5" t="s">
        <v>162</v>
      </c>
      <c r="E127" s="7">
        <v>45995</v>
      </c>
      <c r="F127" s="6">
        <v>1800000608</v>
      </c>
      <c r="G127" s="5" t="s">
        <v>63</v>
      </c>
      <c r="H127" s="5" t="s">
        <v>60</v>
      </c>
      <c r="I127" s="9">
        <v>256788410465</v>
      </c>
      <c r="J127" s="5" t="s">
        <v>33</v>
      </c>
      <c r="K127" s="5" t="s">
        <v>41</v>
      </c>
      <c r="L127" s="8">
        <v>3385.09</v>
      </c>
      <c r="M127" s="5" t="s">
        <v>34</v>
      </c>
      <c r="N127" s="8">
        <v>300257.96000000002</v>
      </c>
      <c r="O127" s="5" t="s">
        <v>163</v>
      </c>
      <c r="P127" s="7">
        <v>45995</v>
      </c>
      <c r="Q127" s="7"/>
      <c r="R127" s="5" t="s">
        <v>32</v>
      </c>
      <c r="S127" t="e">
        <f>VLOOKUP(I127,TDS!$A$1:$C$70,4,FALSE)</f>
        <v>#N/A</v>
      </c>
    </row>
    <row r="128" spans="1:19" x14ac:dyDescent="0.35">
      <c r="A128" s="6">
        <v>100222362</v>
      </c>
      <c r="B128" s="5" t="s">
        <v>28</v>
      </c>
      <c r="C128" s="5" t="s">
        <v>29</v>
      </c>
      <c r="D128" s="5" t="s">
        <v>162</v>
      </c>
      <c r="E128" s="7">
        <v>45995</v>
      </c>
      <c r="F128" s="6">
        <v>1800000609</v>
      </c>
      <c r="G128" s="5" t="s">
        <v>63</v>
      </c>
      <c r="H128" s="5" t="s">
        <v>60</v>
      </c>
      <c r="I128" s="9">
        <v>256788410466</v>
      </c>
      <c r="J128" s="5" t="s">
        <v>33</v>
      </c>
      <c r="K128" s="5" t="s">
        <v>41</v>
      </c>
      <c r="L128" s="8">
        <v>75</v>
      </c>
      <c r="M128" s="5" t="s">
        <v>34</v>
      </c>
      <c r="N128" s="8">
        <v>6652.51</v>
      </c>
      <c r="O128" s="5" t="s">
        <v>164</v>
      </c>
      <c r="P128" s="7">
        <v>45995</v>
      </c>
      <c r="Q128" s="7"/>
      <c r="R128" s="5" t="s">
        <v>32</v>
      </c>
      <c r="S128" t="e">
        <f>VLOOKUP(I128,TDS!$A$1:$C$70,4,FALSE)</f>
        <v>#N/A</v>
      </c>
    </row>
    <row r="129" spans="1:19" x14ac:dyDescent="0.35">
      <c r="A129" s="6">
        <v>100222362</v>
      </c>
      <c r="B129" s="5" t="s">
        <v>28</v>
      </c>
      <c r="C129" s="5" t="s">
        <v>29</v>
      </c>
      <c r="D129" s="5" t="s">
        <v>56</v>
      </c>
      <c r="E129" s="7">
        <v>45734</v>
      </c>
      <c r="F129" s="6">
        <v>1800000084</v>
      </c>
      <c r="G129" s="5" t="s">
        <v>63</v>
      </c>
      <c r="H129" s="5" t="s">
        <v>60</v>
      </c>
      <c r="I129" s="9">
        <v>246788410079</v>
      </c>
      <c r="J129" s="5" t="s">
        <v>33</v>
      </c>
      <c r="K129" s="5" t="s">
        <v>41</v>
      </c>
      <c r="L129" s="8">
        <v>75</v>
      </c>
      <c r="M129" s="5" t="s">
        <v>34</v>
      </c>
      <c r="N129" s="8">
        <v>6501.84</v>
      </c>
      <c r="O129" s="5" t="s">
        <v>165</v>
      </c>
      <c r="P129" s="7">
        <v>45734</v>
      </c>
      <c r="Q129" s="7"/>
      <c r="R129" s="5" t="s">
        <v>32</v>
      </c>
      <c r="S129" t="e">
        <f>VLOOKUP(I129,TDS!$A$1:$C$70,4,FALSE)</f>
        <v>#N/A</v>
      </c>
    </row>
    <row r="130" spans="1:19" x14ac:dyDescent="0.35">
      <c r="A130" s="6">
        <v>100222362</v>
      </c>
      <c r="B130" s="5" t="s">
        <v>28</v>
      </c>
      <c r="C130" s="5" t="s">
        <v>29</v>
      </c>
      <c r="D130" s="5" t="s">
        <v>56</v>
      </c>
      <c r="E130" s="7">
        <v>45734</v>
      </c>
      <c r="F130" s="6">
        <v>1800000086</v>
      </c>
      <c r="G130" s="5" t="s">
        <v>63</v>
      </c>
      <c r="H130" s="5" t="s">
        <v>60</v>
      </c>
      <c r="I130" s="9">
        <v>246788410081</v>
      </c>
      <c r="J130" s="5" t="s">
        <v>33</v>
      </c>
      <c r="K130" s="5" t="s">
        <v>41</v>
      </c>
      <c r="L130" s="8">
        <v>2</v>
      </c>
      <c r="M130" s="5" t="s">
        <v>34</v>
      </c>
      <c r="N130" s="8">
        <v>173.38</v>
      </c>
      <c r="O130" s="5" t="s">
        <v>166</v>
      </c>
      <c r="P130" s="7">
        <v>45734</v>
      </c>
      <c r="Q130" s="7"/>
      <c r="R130" s="5" t="s">
        <v>32</v>
      </c>
      <c r="S130" t="e">
        <f>VLOOKUP(I130,TDS!$A$1:$C$70,4,FALSE)</f>
        <v>#N/A</v>
      </c>
    </row>
    <row r="131" spans="1:19" x14ac:dyDescent="0.35">
      <c r="A131" s="6">
        <v>100222362</v>
      </c>
      <c r="B131" s="5" t="s">
        <v>28</v>
      </c>
      <c r="C131" s="5" t="s">
        <v>29</v>
      </c>
      <c r="D131" s="5" t="s">
        <v>56</v>
      </c>
      <c r="E131" s="7">
        <v>45734</v>
      </c>
      <c r="F131" s="6">
        <v>1800000087</v>
      </c>
      <c r="G131" s="5" t="s">
        <v>63</v>
      </c>
      <c r="H131" s="5" t="s">
        <v>60</v>
      </c>
      <c r="I131" s="9">
        <v>246788410082</v>
      </c>
      <c r="J131" s="5" t="s">
        <v>33</v>
      </c>
      <c r="K131" s="5" t="s">
        <v>41</v>
      </c>
      <c r="L131" s="8">
        <v>40</v>
      </c>
      <c r="M131" s="5" t="s">
        <v>34</v>
      </c>
      <c r="N131" s="8">
        <v>3467.65</v>
      </c>
      <c r="O131" s="5" t="s">
        <v>166</v>
      </c>
      <c r="P131" s="7">
        <v>45734</v>
      </c>
      <c r="Q131" s="7"/>
      <c r="R131" s="5" t="s">
        <v>32</v>
      </c>
      <c r="S131" t="e">
        <f>VLOOKUP(I131,TDS!$A$1:$C$70,4,FALSE)</f>
        <v>#N/A</v>
      </c>
    </row>
    <row r="132" spans="1:19" x14ac:dyDescent="0.35">
      <c r="A132" s="6">
        <v>100222362</v>
      </c>
      <c r="B132" s="5" t="s">
        <v>28</v>
      </c>
      <c r="C132" s="5" t="s">
        <v>29</v>
      </c>
      <c r="D132" s="5" t="s">
        <v>56</v>
      </c>
      <c r="E132" s="7">
        <v>45734</v>
      </c>
      <c r="F132" s="6">
        <v>1800000090</v>
      </c>
      <c r="G132" s="5" t="s">
        <v>63</v>
      </c>
      <c r="H132" s="5" t="s">
        <v>60</v>
      </c>
      <c r="I132" s="9">
        <v>246788410085</v>
      </c>
      <c r="J132" s="5" t="s">
        <v>33</v>
      </c>
      <c r="K132" s="5" t="s">
        <v>41</v>
      </c>
      <c r="L132" s="8">
        <v>1324</v>
      </c>
      <c r="M132" s="5" t="s">
        <v>34</v>
      </c>
      <c r="N132" s="8">
        <v>114779.23</v>
      </c>
      <c r="O132" s="5" t="s">
        <v>167</v>
      </c>
      <c r="P132" s="7">
        <v>45734</v>
      </c>
      <c r="Q132" s="7"/>
      <c r="R132" s="5" t="s">
        <v>32</v>
      </c>
      <c r="S132" t="e">
        <f>VLOOKUP(I132,TDS!$A$1:$C$70,4,FALSE)</f>
        <v>#N/A</v>
      </c>
    </row>
    <row r="133" spans="1:19" x14ac:dyDescent="0.35">
      <c r="A133" s="6">
        <v>100222362</v>
      </c>
      <c r="B133" s="5" t="s">
        <v>28</v>
      </c>
      <c r="C133" s="5" t="s">
        <v>29</v>
      </c>
      <c r="D133" s="5" t="s">
        <v>56</v>
      </c>
      <c r="E133" s="7">
        <v>45734</v>
      </c>
      <c r="F133" s="6">
        <v>1800000091</v>
      </c>
      <c r="G133" s="5" t="s">
        <v>63</v>
      </c>
      <c r="H133" s="5" t="s">
        <v>60</v>
      </c>
      <c r="I133" s="9">
        <v>246788410086</v>
      </c>
      <c r="J133" s="5" t="s">
        <v>33</v>
      </c>
      <c r="K133" s="5" t="s">
        <v>41</v>
      </c>
      <c r="L133" s="8">
        <v>0.5</v>
      </c>
      <c r="M133" s="5" t="s">
        <v>34</v>
      </c>
      <c r="N133" s="8">
        <v>43.35</v>
      </c>
      <c r="O133" s="5" t="s">
        <v>168</v>
      </c>
      <c r="P133" s="7">
        <v>45734</v>
      </c>
      <c r="Q133" s="7"/>
      <c r="R133" s="5" t="s">
        <v>32</v>
      </c>
      <c r="S133" t="e">
        <f>VLOOKUP(I133,TDS!$A$1:$C$70,4,FALSE)</f>
        <v>#N/A</v>
      </c>
    </row>
    <row r="134" spans="1:19" x14ac:dyDescent="0.35">
      <c r="A134" s="6">
        <v>100222362</v>
      </c>
      <c r="B134" s="5" t="s">
        <v>28</v>
      </c>
      <c r="C134" s="5" t="s">
        <v>29</v>
      </c>
      <c r="D134" s="5" t="s">
        <v>56</v>
      </c>
      <c r="E134" s="7">
        <v>45734</v>
      </c>
      <c r="F134" s="6">
        <v>1800000096</v>
      </c>
      <c r="G134" s="5" t="s">
        <v>63</v>
      </c>
      <c r="H134" s="5" t="s">
        <v>60</v>
      </c>
      <c r="I134" s="9">
        <v>246788410088</v>
      </c>
      <c r="J134" s="5" t="s">
        <v>33</v>
      </c>
      <c r="K134" s="5" t="s">
        <v>41</v>
      </c>
      <c r="L134" s="8">
        <v>10</v>
      </c>
      <c r="M134" s="5" t="s">
        <v>34</v>
      </c>
      <c r="N134" s="8">
        <v>866.91</v>
      </c>
      <c r="O134" s="5" t="s">
        <v>169</v>
      </c>
      <c r="P134" s="7">
        <v>45734</v>
      </c>
      <c r="Q134" s="7"/>
      <c r="R134" s="5" t="s">
        <v>32</v>
      </c>
      <c r="S134" t="e">
        <f>VLOOKUP(I134,TDS!$A$1:$C$70,4,FALSE)</f>
        <v>#N/A</v>
      </c>
    </row>
    <row r="135" spans="1:19" x14ac:dyDescent="0.35">
      <c r="A135" s="6">
        <v>100222362</v>
      </c>
      <c r="B135" s="5" t="s">
        <v>28</v>
      </c>
      <c r="C135" s="5" t="s">
        <v>29</v>
      </c>
      <c r="D135" s="5" t="s">
        <v>56</v>
      </c>
      <c r="E135" s="7">
        <v>45734</v>
      </c>
      <c r="F135" s="6">
        <v>1800000097</v>
      </c>
      <c r="G135" s="5" t="s">
        <v>63</v>
      </c>
      <c r="H135" s="5" t="s">
        <v>60</v>
      </c>
      <c r="I135" s="9">
        <v>246788410089</v>
      </c>
      <c r="J135" s="5" t="s">
        <v>33</v>
      </c>
      <c r="K135" s="5" t="s">
        <v>41</v>
      </c>
      <c r="L135" s="8">
        <v>0.63</v>
      </c>
      <c r="M135" s="5" t="s">
        <v>34</v>
      </c>
      <c r="N135" s="8">
        <v>54.62</v>
      </c>
      <c r="O135" s="5" t="s">
        <v>170</v>
      </c>
      <c r="P135" s="7">
        <v>45734</v>
      </c>
      <c r="Q135" s="7"/>
      <c r="R135" s="5" t="s">
        <v>32</v>
      </c>
      <c r="S135" t="e">
        <f>VLOOKUP(I135,TDS!$A$1:$C$70,4,FALSE)</f>
        <v>#N/A</v>
      </c>
    </row>
    <row r="136" spans="1:19" x14ac:dyDescent="0.35">
      <c r="A136" s="6">
        <v>100222362</v>
      </c>
      <c r="B136" s="5" t="s">
        <v>28</v>
      </c>
      <c r="C136" s="5" t="s">
        <v>29</v>
      </c>
      <c r="D136" s="5" t="s">
        <v>56</v>
      </c>
      <c r="E136" s="7">
        <v>45734</v>
      </c>
      <c r="F136" s="6">
        <v>1800000093</v>
      </c>
      <c r="G136" s="5" t="s">
        <v>63</v>
      </c>
      <c r="H136" s="5" t="s">
        <v>60</v>
      </c>
      <c r="I136" s="9">
        <v>246788410091</v>
      </c>
      <c r="J136" s="5" t="s">
        <v>33</v>
      </c>
      <c r="K136" s="5" t="s">
        <v>41</v>
      </c>
      <c r="L136" s="8">
        <v>31.2</v>
      </c>
      <c r="M136" s="5" t="s">
        <v>34</v>
      </c>
      <c r="N136" s="8">
        <v>2704.77</v>
      </c>
      <c r="O136" s="5" t="s">
        <v>171</v>
      </c>
      <c r="P136" s="7">
        <v>45734</v>
      </c>
      <c r="Q136" s="7"/>
      <c r="R136" s="5" t="s">
        <v>32</v>
      </c>
      <c r="S136" t="e">
        <f>VLOOKUP(I136,TDS!$A$1:$C$70,4,FALSE)</f>
        <v>#N/A</v>
      </c>
    </row>
    <row r="137" spans="1:19" x14ac:dyDescent="0.35">
      <c r="A137" s="6">
        <v>100222362</v>
      </c>
      <c r="B137" s="5" t="s">
        <v>28</v>
      </c>
      <c r="C137" s="5" t="s">
        <v>29</v>
      </c>
      <c r="D137" s="5" t="s">
        <v>56</v>
      </c>
      <c r="E137" s="7">
        <v>45734</v>
      </c>
      <c r="F137" s="6">
        <v>1800000094</v>
      </c>
      <c r="G137" s="5" t="s">
        <v>63</v>
      </c>
      <c r="H137" s="5" t="s">
        <v>60</v>
      </c>
      <c r="I137" s="9">
        <v>246788410092</v>
      </c>
      <c r="J137" s="5" t="s">
        <v>33</v>
      </c>
      <c r="K137" s="5" t="s">
        <v>41</v>
      </c>
      <c r="L137" s="8">
        <v>1.9</v>
      </c>
      <c r="M137" s="5" t="s">
        <v>34</v>
      </c>
      <c r="N137" s="8">
        <v>164.71</v>
      </c>
      <c r="O137" s="5" t="s">
        <v>172</v>
      </c>
      <c r="P137" s="7">
        <v>45734</v>
      </c>
      <c r="Q137" s="7"/>
      <c r="R137" s="5" t="s">
        <v>32</v>
      </c>
      <c r="S137" t="e">
        <f>VLOOKUP(I137,TDS!$A$1:$C$70,4,FALSE)</f>
        <v>#N/A</v>
      </c>
    </row>
    <row r="138" spans="1:19" x14ac:dyDescent="0.35">
      <c r="A138" s="6">
        <v>100222362</v>
      </c>
      <c r="B138" s="5" t="s">
        <v>28</v>
      </c>
      <c r="C138" s="5" t="s">
        <v>29</v>
      </c>
      <c r="D138" s="5" t="s">
        <v>56</v>
      </c>
      <c r="E138" s="7">
        <v>45734</v>
      </c>
      <c r="F138" s="6">
        <v>1800000098</v>
      </c>
      <c r="G138" s="5" t="s">
        <v>63</v>
      </c>
      <c r="H138" s="5" t="s">
        <v>60</v>
      </c>
      <c r="I138" s="9">
        <v>246788410093</v>
      </c>
      <c r="J138" s="5" t="s">
        <v>33</v>
      </c>
      <c r="K138" s="5" t="s">
        <v>41</v>
      </c>
      <c r="L138" s="8">
        <v>14</v>
      </c>
      <c r="M138" s="5" t="s">
        <v>34</v>
      </c>
      <c r="N138" s="8">
        <v>1213.68</v>
      </c>
      <c r="O138" s="5" t="s">
        <v>173</v>
      </c>
      <c r="P138" s="7">
        <v>45734</v>
      </c>
      <c r="Q138" s="7"/>
      <c r="R138" s="5" t="s">
        <v>32</v>
      </c>
      <c r="S138" t="e">
        <f>VLOOKUP(I138,TDS!$A$1:$C$70,4,FALSE)</f>
        <v>#N/A</v>
      </c>
    </row>
    <row r="139" spans="1:19" x14ac:dyDescent="0.35">
      <c r="A139" s="6">
        <v>100222362</v>
      </c>
      <c r="B139" s="5" t="s">
        <v>28</v>
      </c>
      <c r="C139" s="5" t="s">
        <v>29</v>
      </c>
      <c r="D139" s="5" t="s">
        <v>56</v>
      </c>
      <c r="E139" s="7">
        <v>45735</v>
      </c>
      <c r="F139" s="6">
        <v>1800000103</v>
      </c>
      <c r="G139" s="5" t="s">
        <v>63</v>
      </c>
      <c r="H139" s="5" t="s">
        <v>60</v>
      </c>
      <c r="I139" s="9">
        <v>246788410097</v>
      </c>
      <c r="J139" s="5" t="s">
        <v>33</v>
      </c>
      <c r="K139" s="5" t="s">
        <v>41</v>
      </c>
      <c r="L139" s="8">
        <v>12</v>
      </c>
      <c r="M139" s="5" t="s">
        <v>34</v>
      </c>
      <c r="N139" s="8">
        <v>1040.3</v>
      </c>
      <c r="O139" s="5" t="s">
        <v>174</v>
      </c>
      <c r="P139" s="7">
        <v>45735</v>
      </c>
      <c r="Q139" s="7"/>
      <c r="R139" s="5" t="s">
        <v>32</v>
      </c>
      <c r="S139" t="e">
        <f>VLOOKUP(I139,TDS!$A$1:$C$70,4,FALSE)</f>
        <v>#N/A</v>
      </c>
    </row>
    <row r="140" spans="1:19" x14ac:dyDescent="0.35">
      <c r="A140" s="6">
        <v>100222362</v>
      </c>
      <c r="B140" s="5" t="s">
        <v>28</v>
      </c>
      <c r="C140" s="5" t="s">
        <v>29</v>
      </c>
      <c r="D140" s="5" t="s">
        <v>56</v>
      </c>
      <c r="E140" s="7">
        <v>45735</v>
      </c>
      <c r="F140" s="6">
        <v>1800000104</v>
      </c>
      <c r="G140" s="5" t="s">
        <v>63</v>
      </c>
      <c r="H140" s="5" t="s">
        <v>60</v>
      </c>
      <c r="I140" s="9">
        <v>246788410098</v>
      </c>
      <c r="J140" s="5" t="s">
        <v>33</v>
      </c>
      <c r="K140" s="5" t="s">
        <v>41</v>
      </c>
      <c r="L140" s="8">
        <v>5.2</v>
      </c>
      <c r="M140" s="5" t="s">
        <v>34</v>
      </c>
      <c r="N140" s="8">
        <v>450.79</v>
      </c>
      <c r="O140" s="5" t="s">
        <v>175</v>
      </c>
      <c r="P140" s="7">
        <v>45735</v>
      </c>
      <c r="Q140" s="7"/>
      <c r="R140" s="5" t="s">
        <v>32</v>
      </c>
      <c r="S140" t="e">
        <f>VLOOKUP(I140,TDS!$A$1:$C$70,4,FALSE)</f>
        <v>#N/A</v>
      </c>
    </row>
    <row r="141" spans="1:19" x14ac:dyDescent="0.35">
      <c r="A141" s="6">
        <v>100222362</v>
      </c>
      <c r="B141" s="5" t="s">
        <v>28</v>
      </c>
      <c r="C141" s="5" t="s">
        <v>29</v>
      </c>
      <c r="D141" s="5" t="s">
        <v>56</v>
      </c>
      <c r="E141" s="7">
        <v>45735</v>
      </c>
      <c r="F141" s="6">
        <v>1800000107</v>
      </c>
      <c r="G141" s="5" t="s">
        <v>63</v>
      </c>
      <c r="H141" s="5" t="s">
        <v>60</v>
      </c>
      <c r="I141" s="9">
        <v>246788410101</v>
      </c>
      <c r="J141" s="5" t="s">
        <v>33</v>
      </c>
      <c r="K141" s="5" t="s">
        <v>41</v>
      </c>
      <c r="L141" s="8">
        <v>1.1200000000000001</v>
      </c>
      <c r="M141" s="5" t="s">
        <v>34</v>
      </c>
      <c r="N141" s="8">
        <v>97.09</v>
      </c>
      <c r="O141" s="5" t="s">
        <v>172</v>
      </c>
      <c r="P141" s="7">
        <v>45735</v>
      </c>
      <c r="Q141" s="7"/>
      <c r="R141" s="5" t="s">
        <v>32</v>
      </c>
      <c r="S141" t="e">
        <f>VLOOKUP(I141,TDS!$A$1:$C$70,4,FALSE)</f>
        <v>#N/A</v>
      </c>
    </row>
    <row r="142" spans="1:19" x14ac:dyDescent="0.35">
      <c r="A142" s="6">
        <v>100222362</v>
      </c>
      <c r="B142" s="5" t="s">
        <v>28</v>
      </c>
      <c r="C142" s="5" t="s">
        <v>29</v>
      </c>
      <c r="D142" s="5" t="s">
        <v>56</v>
      </c>
      <c r="E142" s="7">
        <v>45735</v>
      </c>
      <c r="F142" s="6">
        <v>1800000108</v>
      </c>
      <c r="G142" s="5" t="s">
        <v>63</v>
      </c>
      <c r="H142" s="5" t="s">
        <v>60</v>
      </c>
      <c r="I142" s="9">
        <v>246788410102</v>
      </c>
      <c r="J142" s="5" t="s">
        <v>33</v>
      </c>
      <c r="K142" s="5" t="s">
        <v>41</v>
      </c>
      <c r="L142" s="8">
        <v>56</v>
      </c>
      <c r="M142" s="5" t="s">
        <v>34</v>
      </c>
      <c r="N142" s="8">
        <v>4854.71</v>
      </c>
      <c r="O142" s="5" t="s">
        <v>176</v>
      </c>
      <c r="P142" s="7">
        <v>45735</v>
      </c>
      <c r="Q142" s="7"/>
      <c r="R142" s="5" t="s">
        <v>32</v>
      </c>
      <c r="S142" t="e">
        <f>VLOOKUP(I142,TDS!$A$1:$C$70,4,FALSE)</f>
        <v>#N/A</v>
      </c>
    </row>
    <row r="143" spans="1:19" x14ac:dyDescent="0.35">
      <c r="A143" s="6">
        <v>100222362</v>
      </c>
      <c r="B143" s="5" t="s">
        <v>28</v>
      </c>
      <c r="C143" s="5" t="s">
        <v>29</v>
      </c>
      <c r="D143" s="5" t="s">
        <v>56</v>
      </c>
      <c r="E143" s="7">
        <v>45735</v>
      </c>
      <c r="F143" s="6">
        <v>1800000109</v>
      </c>
      <c r="G143" s="5" t="s">
        <v>63</v>
      </c>
      <c r="H143" s="5" t="s">
        <v>60</v>
      </c>
      <c r="I143" s="9">
        <v>246788410103</v>
      </c>
      <c r="J143" s="5" t="s">
        <v>33</v>
      </c>
      <c r="K143" s="5" t="s">
        <v>41</v>
      </c>
      <c r="L143" s="8">
        <v>24</v>
      </c>
      <c r="M143" s="5" t="s">
        <v>34</v>
      </c>
      <c r="N143" s="8">
        <v>2080.59</v>
      </c>
      <c r="O143" s="5" t="s">
        <v>177</v>
      </c>
      <c r="P143" s="7">
        <v>45735</v>
      </c>
      <c r="Q143" s="7"/>
      <c r="R143" s="5" t="s">
        <v>32</v>
      </c>
      <c r="S143" t="e">
        <f>VLOOKUP(I143,TDS!$A$1:$C$70,4,FALSE)</f>
        <v>#N/A</v>
      </c>
    </row>
    <row r="144" spans="1:19" x14ac:dyDescent="0.35">
      <c r="A144" s="6">
        <v>100222362</v>
      </c>
      <c r="B144" s="5" t="s">
        <v>28</v>
      </c>
      <c r="C144" s="5" t="s">
        <v>29</v>
      </c>
      <c r="D144" s="5" t="s">
        <v>56</v>
      </c>
      <c r="E144" s="7">
        <v>45735</v>
      </c>
      <c r="F144" s="6">
        <v>1800000112</v>
      </c>
      <c r="G144" s="5" t="s">
        <v>63</v>
      </c>
      <c r="H144" s="5" t="s">
        <v>60</v>
      </c>
      <c r="I144" s="9">
        <v>246788410106</v>
      </c>
      <c r="J144" s="5" t="s">
        <v>33</v>
      </c>
      <c r="K144" s="5" t="s">
        <v>41</v>
      </c>
      <c r="L144" s="8">
        <v>24</v>
      </c>
      <c r="M144" s="5" t="s">
        <v>34</v>
      </c>
      <c r="N144" s="8">
        <v>2080.59</v>
      </c>
      <c r="O144" s="5" t="s">
        <v>178</v>
      </c>
      <c r="P144" s="7">
        <v>45735</v>
      </c>
      <c r="Q144" s="7"/>
      <c r="R144" s="5" t="s">
        <v>32</v>
      </c>
      <c r="S144" t="e">
        <f>VLOOKUP(I144,TDS!$A$1:$C$70,4,FALSE)</f>
        <v>#N/A</v>
      </c>
    </row>
    <row r="145" spans="1:19" x14ac:dyDescent="0.35">
      <c r="A145" s="6">
        <v>100222362</v>
      </c>
      <c r="B145" s="5" t="s">
        <v>28</v>
      </c>
      <c r="C145" s="5" t="s">
        <v>29</v>
      </c>
      <c r="D145" s="5" t="s">
        <v>56</v>
      </c>
      <c r="E145" s="7">
        <v>45735</v>
      </c>
      <c r="F145" s="6">
        <v>1800000113</v>
      </c>
      <c r="G145" s="5" t="s">
        <v>63</v>
      </c>
      <c r="H145" s="5" t="s">
        <v>60</v>
      </c>
      <c r="I145" s="9">
        <v>246788410107</v>
      </c>
      <c r="J145" s="5" t="s">
        <v>33</v>
      </c>
      <c r="K145" s="5" t="s">
        <v>41</v>
      </c>
      <c r="L145" s="8">
        <v>68.22</v>
      </c>
      <c r="M145" s="5" t="s">
        <v>34</v>
      </c>
      <c r="N145" s="8">
        <v>5914.08</v>
      </c>
      <c r="O145" s="5" t="s">
        <v>179</v>
      </c>
      <c r="P145" s="7">
        <v>45735</v>
      </c>
      <c r="Q145" s="7"/>
      <c r="R145" s="5" t="s">
        <v>32</v>
      </c>
      <c r="S145" t="e">
        <f>VLOOKUP(I145,TDS!$A$1:$C$70,4,FALSE)</f>
        <v>#N/A</v>
      </c>
    </row>
    <row r="146" spans="1:19" x14ac:dyDescent="0.35">
      <c r="A146" s="6">
        <v>100222362</v>
      </c>
      <c r="B146" s="5" t="s">
        <v>28</v>
      </c>
      <c r="C146" s="5" t="s">
        <v>29</v>
      </c>
      <c r="D146" s="5" t="s">
        <v>56</v>
      </c>
      <c r="E146" s="7">
        <v>45735</v>
      </c>
      <c r="F146" s="6">
        <v>1800000114</v>
      </c>
      <c r="G146" s="5" t="s">
        <v>63</v>
      </c>
      <c r="H146" s="5" t="s">
        <v>60</v>
      </c>
      <c r="I146" s="9">
        <v>246788410108</v>
      </c>
      <c r="J146" s="5" t="s">
        <v>33</v>
      </c>
      <c r="K146" s="5" t="s">
        <v>41</v>
      </c>
      <c r="L146" s="8">
        <v>0.5</v>
      </c>
      <c r="M146" s="5" t="s">
        <v>34</v>
      </c>
      <c r="N146" s="8">
        <v>43.35</v>
      </c>
      <c r="O146" s="5" t="s">
        <v>170</v>
      </c>
      <c r="P146" s="7">
        <v>45735</v>
      </c>
      <c r="Q146" s="7"/>
      <c r="R146" s="5" t="s">
        <v>32</v>
      </c>
      <c r="S146" t="e">
        <f>VLOOKUP(I146,TDS!$A$1:$C$70,4,FALSE)</f>
        <v>#N/A</v>
      </c>
    </row>
    <row r="147" spans="1:19" x14ac:dyDescent="0.35">
      <c r="A147" s="6">
        <v>100222362</v>
      </c>
      <c r="B147" s="5" t="s">
        <v>28</v>
      </c>
      <c r="C147" s="5" t="s">
        <v>29</v>
      </c>
      <c r="D147" s="5" t="s">
        <v>56</v>
      </c>
      <c r="E147" s="7">
        <v>45735</v>
      </c>
      <c r="F147" s="6">
        <v>1800000115</v>
      </c>
      <c r="G147" s="5" t="s">
        <v>63</v>
      </c>
      <c r="H147" s="5" t="s">
        <v>60</v>
      </c>
      <c r="I147" s="9">
        <v>246788410109</v>
      </c>
      <c r="J147" s="5" t="s">
        <v>33</v>
      </c>
      <c r="K147" s="5" t="s">
        <v>41</v>
      </c>
      <c r="L147" s="8">
        <v>2342.8000000000002</v>
      </c>
      <c r="M147" s="5" t="s">
        <v>34</v>
      </c>
      <c r="N147" s="8">
        <v>203100.28</v>
      </c>
      <c r="O147" s="5" t="s">
        <v>180</v>
      </c>
      <c r="P147" s="7">
        <v>45735</v>
      </c>
      <c r="Q147" s="7"/>
      <c r="R147" s="5" t="s">
        <v>32</v>
      </c>
      <c r="S147" t="e">
        <f>VLOOKUP(I147,TDS!$A$1:$C$70,4,FALSE)</f>
        <v>#N/A</v>
      </c>
    </row>
    <row r="148" spans="1:19" x14ac:dyDescent="0.35">
      <c r="A148" s="6">
        <v>100222362</v>
      </c>
      <c r="B148" s="5" t="s">
        <v>28</v>
      </c>
      <c r="C148" s="5" t="s">
        <v>29</v>
      </c>
      <c r="D148" s="5" t="s">
        <v>56</v>
      </c>
      <c r="E148" s="7">
        <v>45735</v>
      </c>
      <c r="F148" s="6">
        <v>1800000116</v>
      </c>
      <c r="G148" s="5" t="s">
        <v>63</v>
      </c>
      <c r="H148" s="5" t="s">
        <v>60</v>
      </c>
      <c r="I148" s="9">
        <v>246788410110</v>
      </c>
      <c r="J148" s="5" t="s">
        <v>33</v>
      </c>
      <c r="K148" s="5" t="s">
        <v>41</v>
      </c>
      <c r="L148" s="8">
        <v>456</v>
      </c>
      <c r="M148" s="5" t="s">
        <v>34</v>
      </c>
      <c r="N148" s="8">
        <v>39531.21</v>
      </c>
      <c r="O148" s="5" t="s">
        <v>181</v>
      </c>
      <c r="P148" s="7">
        <v>45735</v>
      </c>
      <c r="Q148" s="7"/>
      <c r="R148" s="5" t="s">
        <v>32</v>
      </c>
      <c r="S148" t="e">
        <f>VLOOKUP(I148,TDS!$A$1:$C$70,4,FALSE)</f>
        <v>#N/A</v>
      </c>
    </row>
    <row r="149" spans="1:19" x14ac:dyDescent="0.35">
      <c r="A149" s="6">
        <v>100222362</v>
      </c>
      <c r="B149" s="5" t="s">
        <v>28</v>
      </c>
      <c r="C149" s="5" t="s">
        <v>29</v>
      </c>
      <c r="D149" s="5" t="s">
        <v>56</v>
      </c>
      <c r="E149" s="7">
        <v>45735</v>
      </c>
      <c r="F149" s="6">
        <v>1800000117</v>
      </c>
      <c r="G149" s="5" t="s">
        <v>63</v>
      </c>
      <c r="H149" s="5" t="s">
        <v>60</v>
      </c>
      <c r="I149" s="9">
        <v>246788410111</v>
      </c>
      <c r="J149" s="5" t="s">
        <v>33</v>
      </c>
      <c r="K149" s="5" t="s">
        <v>41</v>
      </c>
      <c r="L149" s="8">
        <v>14</v>
      </c>
      <c r="M149" s="5" t="s">
        <v>34</v>
      </c>
      <c r="N149" s="8">
        <v>1213.68</v>
      </c>
      <c r="O149" s="5" t="s">
        <v>182</v>
      </c>
      <c r="P149" s="7">
        <v>45735</v>
      </c>
      <c r="Q149" s="7"/>
      <c r="R149" s="5" t="s">
        <v>32</v>
      </c>
      <c r="S149" t="e">
        <f>VLOOKUP(I149,TDS!$A$1:$C$70,4,FALSE)</f>
        <v>#N/A</v>
      </c>
    </row>
    <row r="150" spans="1:19" x14ac:dyDescent="0.35">
      <c r="A150" s="6">
        <v>100222362</v>
      </c>
      <c r="B150" s="5" t="s">
        <v>28</v>
      </c>
      <c r="C150" s="5" t="s">
        <v>29</v>
      </c>
      <c r="D150" s="5" t="s">
        <v>56</v>
      </c>
      <c r="E150" s="7">
        <v>45735</v>
      </c>
      <c r="F150" s="6">
        <v>1800000118</v>
      </c>
      <c r="G150" s="5" t="s">
        <v>63</v>
      </c>
      <c r="H150" s="5" t="s">
        <v>60</v>
      </c>
      <c r="I150" s="9">
        <v>246788410112</v>
      </c>
      <c r="J150" s="5" t="s">
        <v>33</v>
      </c>
      <c r="K150" s="5" t="s">
        <v>41</v>
      </c>
      <c r="L150" s="8">
        <v>1</v>
      </c>
      <c r="M150" s="5" t="s">
        <v>34</v>
      </c>
      <c r="N150" s="8">
        <v>86.69</v>
      </c>
      <c r="O150" s="5" t="s">
        <v>183</v>
      </c>
      <c r="P150" s="7">
        <v>45735</v>
      </c>
      <c r="Q150" s="7"/>
      <c r="R150" s="5" t="s">
        <v>32</v>
      </c>
      <c r="S150" t="e">
        <f>VLOOKUP(I150,TDS!$A$1:$C$70,4,FALSE)</f>
        <v>#N/A</v>
      </c>
    </row>
    <row r="151" spans="1:19" x14ac:dyDescent="0.35">
      <c r="A151" s="6">
        <v>100222362</v>
      </c>
      <c r="B151" s="5" t="s">
        <v>28</v>
      </c>
      <c r="C151" s="5" t="s">
        <v>29</v>
      </c>
      <c r="D151" s="5" t="s">
        <v>56</v>
      </c>
      <c r="E151" s="7">
        <v>45735</v>
      </c>
      <c r="F151" s="6">
        <v>1800000120</v>
      </c>
      <c r="G151" s="5" t="s">
        <v>63</v>
      </c>
      <c r="H151" s="5" t="s">
        <v>60</v>
      </c>
      <c r="I151" s="9">
        <v>246788410114</v>
      </c>
      <c r="J151" s="5" t="s">
        <v>33</v>
      </c>
      <c r="K151" s="5" t="s">
        <v>41</v>
      </c>
      <c r="L151" s="8">
        <v>52.7</v>
      </c>
      <c r="M151" s="5" t="s">
        <v>34</v>
      </c>
      <c r="N151" s="8">
        <v>4568.63</v>
      </c>
      <c r="O151" s="5" t="s">
        <v>184</v>
      </c>
      <c r="P151" s="7">
        <v>45735</v>
      </c>
      <c r="Q151" s="7"/>
      <c r="R151" s="5" t="s">
        <v>32</v>
      </c>
      <c r="S151" t="e">
        <f>VLOOKUP(I151,TDS!$A$1:$C$70,4,FALSE)</f>
        <v>#N/A</v>
      </c>
    </row>
    <row r="152" spans="1:19" x14ac:dyDescent="0.35">
      <c r="A152" s="6">
        <v>100222362</v>
      </c>
      <c r="B152" s="5" t="s">
        <v>28</v>
      </c>
      <c r="C152" s="5" t="s">
        <v>29</v>
      </c>
      <c r="D152" s="5" t="s">
        <v>56</v>
      </c>
      <c r="E152" s="7">
        <v>45735</v>
      </c>
      <c r="F152" s="6">
        <v>1800000121</v>
      </c>
      <c r="G152" s="5" t="s">
        <v>63</v>
      </c>
      <c r="H152" s="5" t="s">
        <v>60</v>
      </c>
      <c r="I152" s="9">
        <v>246788410115</v>
      </c>
      <c r="J152" s="5" t="s">
        <v>33</v>
      </c>
      <c r="K152" s="5" t="s">
        <v>41</v>
      </c>
      <c r="L152" s="8">
        <v>2293.63</v>
      </c>
      <c r="M152" s="5" t="s">
        <v>34</v>
      </c>
      <c r="N152" s="8">
        <v>198837.67</v>
      </c>
      <c r="O152" s="5" t="s">
        <v>185</v>
      </c>
      <c r="P152" s="7">
        <v>45735</v>
      </c>
      <c r="Q152" s="7"/>
      <c r="R152" s="5" t="s">
        <v>32</v>
      </c>
      <c r="S152" t="e">
        <f>VLOOKUP(I152,TDS!$A$1:$C$70,4,FALSE)</f>
        <v>#N/A</v>
      </c>
    </row>
    <row r="153" spans="1:19" x14ac:dyDescent="0.35">
      <c r="A153" s="6">
        <v>100222362</v>
      </c>
      <c r="B153" s="5" t="s">
        <v>28</v>
      </c>
      <c r="C153" s="5" t="s">
        <v>29</v>
      </c>
      <c r="D153" s="5" t="s">
        <v>56</v>
      </c>
      <c r="E153" s="7">
        <v>45735</v>
      </c>
      <c r="F153" s="6">
        <v>1800000122</v>
      </c>
      <c r="G153" s="5" t="s">
        <v>63</v>
      </c>
      <c r="H153" s="5" t="s">
        <v>60</v>
      </c>
      <c r="I153" s="9">
        <v>246788410116</v>
      </c>
      <c r="J153" s="5" t="s">
        <v>33</v>
      </c>
      <c r="K153" s="5" t="s">
        <v>41</v>
      </c>
      <c r="L153" s="8">
        <v>2273.6799999999998</v>
      </c>
      <c r="M153" s="5" t="s">
        <v>34</v>
      </c>
      <c r="N153" s="8">
        <v>197108.18</v>
      </c>
      <c r="O153" s="5" t="s">
        <v>186</v>
      </c>
      <c r="P153" s="7">
        <v>45735</v>
      </c>
      <c r="Q153" s="7"/>
      <c r="R153" s="5" t="s">
        <v>32</v>
      </c>
      <c r="S153" t="e">
        <f>VLOOKUP(I153,TDS!$A$1:$C$70,4,FALSE)</f>
        <v>#N/A</v>
      </c>
    </row>
    <row r="154" spans="1:19" x14ac:dyDescent="0.35">
      <c r="A154" s="6">
        <v>100222362</v>
      </c>
      <c r="B154" s="5" t="s">
        <v>28</v>
      </c>
      <c r="C154" s="5" t="s">
        <v>29</v>
      </c>
      <c r="D154" s="5" t="s">
        <v>56</v>
      </c>
      <c r="E154" s="7">
        <v>45735</v>
      </c>
      <c r="F154" s="6">
        <v>1800000123</v>
      </c>
      <c r="G154" s="5" t="s">
        <v>63</v>
      </c>
      <c r="H154" s="5" t="s">
        <v>60</v>
      </c>
      <c r="I154" s="9">
        <v>246788410117</v>
      </c>
      <c r="J154" s="5" t="s">
        <v>33</v>
      </c>
      <c r="K154" s="5" t="s">
        <v>41</v>
      </c>
      <c r="L154" s="8">
        <v>66.73</v>
      </c>
      <c r="M154" s="5" t="s">
        <v>34</v>
      </c>
      <c r="N154" s="8">
        <v>5784.91</v>
      </c>
      <c r="O154" s="5" t="s">
        <v>187</v>
      </c>
      <c r="P154" s="7">
        <v>45735</v>
      </c>
      <c r="Q154" s="7"/>
      <c r="R154" s="5" t="s">
        <v>32</v>
      </c>
      <c r="S154" t="e">
        <f>VLOOKUP(I154,TDS!$A$1:$C$70,4,FALSE)</f>
        <v>#N/A</v>
      </c>
    </row>
    <row r="155" spans="1:19" x14ac:dyDescent="0.35">
      <c r="A155" s="6">
        <v>100222362</v>
      </c>
      <c r="B155" s="5" t="s">
        <v>28</v>
      </c>
      <c r="C155" s="5" t="s">
        <v>29</v>
      </c>
      <c r="D155" s="5" t="s">
        <v>56</v>
      </c>
      <c r="E155" s="7">
        <v>45735</v>
      </c>
      <c r="F155" s="6">
        <v>1800000124</v>
      </c>
      <c r="G155" s="5" t="s">
        <v>63</v>
      </c>
      <c r="H155" s="5" t="s">
        <v>60</v>
      </c>
      <c r="I155" s="9">
        <v>246788410118</v>
      </c>
      <c r="J155" s="5" t="s">
        <v>33</v>
      </c>
      <c r="K155" s="5" t="s">
        <v>41</v>
      </c>
      <c r="L155" s="8">
        <v>149.72999999999999</v>
      </c>
      <c r="M155" s="5" t="s">
        <v>34</v>
      </c>
      <c r="N155" s="8">
        <v>12980.28</v>
      </c>
      <c r="O155" s="5" t="s">
        <v>188</v>
      </c>
      <c r="P155" s="7">
        <v>45735</v>
      </c>
      <c r="Q155" s="7"/>
      <c r="R155" s="5" t="s">
        <v>32</v>
      </c>
      <c r="S155" t="e">
        <f>VLOOKUP(I155,TDS!$A$1:$C$70,4,FALSE)</f>
        <v>#N/A</v>
      </c>
    </row>
    <row r="156" spans="1:19" x14ac:dyDescent="0.35">
      <c r="A156" s="6">
        <v>100222362</v>
      </c>
      <c r="B156" s="5" t="s">
        <v>28</v>
      </c>
      <c r="C156" s="5" t="s">
        <v>29</v>
      </c>
      <c r="D156" s="5" t="s">
        <v>56</v>
      </c>
      <c r="E156" s="7">
        <v>45735</v>
      </c>
      <c r="F156" s="6">
        <v>1800000125</v>
      </c>
      <c r="G156" s="5" t="s">
        <v>63</v>
      </c>
      <c r="H156" s="5" t="s">
        <v>60</v>
      </c>
      <c r="I156" s="9">
        <v>246788410119</v>
      </c>
      <c r="J156" s="5" t="s">
        <v>33</v>
      </c>
      <c r="K156" s="5" t="s">
        <v>41</v>
      </c>
      <c r="L156" s="8">
        <v>102.97</v>
      </c>
      <c r="M156" s="5" t="s">
        <v>34</v>
      </c>
      <c r="N156" s="8">
        <v>8926.6</v>
      </c>
      <c r="O156" s="5" t="s">
        <v>189</v>
      </c>
      <c r="P156" s="7">
        <v>45735</v>
      </c>
      <c r="Q156" s="7"/>
      <c r="R156" s="5" t="s">
        <v>32</v>
      </c>
      <c r="S156" t="e">
        <f>VLOOKUP(I156,TDS!$A$1:$C$70,4,FALSE)</f>
        <v>#N/A</v>
      </c>
    </row>
    <row r="157" spans="1:19" x14ac:dyDescent="0.35">
      <c r="A157" s="6">
        <v>100222362</v>
      </c>
      <c r="B157" s="5" t="s">
        <v>28</v>
      </c>
      <c r="C157" s="5" t="s">
        <v>29</v>
      </c>
      <c r="D157" s="5" t="s">
        <v>65</v>
      </c>
      <c r="E157" s="7">
        <v>45924</v>
      </c>
      <c r="F157" s="6">
        <v>1800000516</v>
      </c>
      <c r="G157" s="5" t="s">
        <v>63</v>
      </c>
      <c r="H157" s="5" t="s">
        <v>60</v>
      </c>
      <c r="I157" s="9">
        <v>256788410391</v>
      </c>
      <c r="J157" s="5" t="s">
        <v>33</v>
      </c>
      <c r="K157" s="5" t="s">
        <v>41</v>
      </c>
      <c r="L157" s="8">
        <v>9</v>
      </c>
      <c r="M157" s="5" t="s">
        <v>34</v>
      </c>
      <c r="N157" s="8">
        <v>774.01</v>
      </c>
      <c r="O157" s="5" t="s">
        <v>109</v>
      </c>
      <c r="P157" s="7">
        <v>45924</v>
      </c>
      <c r="Q157" s="7"/>
      <c r="R157" s="5" t="s">
        <v>32</v>
      </c>
      <c r="S157" t="e">
        <f>VLOOKUP(I157,TDS!$A$1:$C$70,4,FALSE)</f>
        <v>#N/A</v>
      </c>
    </row>
    <row r="158" spans="1:19" x14ac:dyDescent="0.35">
      <c r="A158" s="6">
        <v>100222362</v>
      </c>
      <c r="B158" s="5" t="s">
        <v>28</v>
      </c>
      <c r="C158" s="5" t="s">
        <v>29</v>
      </c>
      <c r="D158" s="5" t="s">
        <v>55</v>
      </c>
      <c r="E158" s="7">
        <v>45981</v>
      </c>
      <c r="F158" s="6">
        <v>1800000595</v>
      </c>
      <c r="G158" s="5" t="s">
        <v>63</v>
      </c>
      <c r="H158" s="5" t="s">
        <v>60</v>
      </c>
      <c r="I158" s="9">
        <v>256788410460</v>
      </c>
      <c r="J158" s="5" t="s">
        <v>33</v>
      </c>
      <c r="K158" s="5" t="s">
        <v>41</v>
      </c>
      <c r="L158" s="8">
        <v>78.319999999999993</v>
      </c>
      <c r="M158" s="5" t="s">
        <v>34</v>
      </c>
      <c r="N158" s="8">
        <v>6892.43</v>
      </c>
      <c r="O158" s="5" t="s">
        <v>190</v>
      </c>
      <c r="P158" s="7">
        <v>45981</v>
      </c>
      <c r="Q158" s="7"/>
      <c r="R158" s="5" t="s">
        <v>32</v>
      </c>
      <c r="S158" t="e">
        <f>VLOOKUP(I158,TDS!$A$1:$C$70,4,FALSE)</f>
        <v>#N/A</v>
      </c>
    </row>
    <row r="159" spans="1:19" x14ac:dyDescent="0.35">
      <c r="A159" s="6">
        <v>100222362</v>
      </c>
      <c r="B159" s="5" t="s">
        <v>28</v>
      </c>
      <c r="C159" s="5" t="s">
        <v>29</v>
      </c>
      <c r="D159" s="5" t="s">
        <v>55</v>
      </c>
      <c r="E159" s="7">
        <v>45981</v>
      </c>
      <c r="F159" s="6">
        <v>1800000597</v>
      </c>
      <c r="G159" s="5" t="s">
        <v>63</v>
      </c>
      <c r="H159" s="5" t="s">
        <v>60</v>
      </c>
      <c r="I159" s="9">
        <v>256788410462</v>
      </c>
      <c r="J159" s="5" t="s">
        <v>33</v>
      </c>
      <c r="K159" s="5" t="s">
        <v>41</v>
      </c>
      <c r="L159" s="8">
        <v>13.52</v>
      </c>
      <c r="M159" s="5" t="s">
        <v>34</v>
      </c>
      <c r="N159" s="8">
        <v>1189.81</v>
      </c>
      <c r="O159" s="5" t="s">
        <v>191</v>
      </c>
      <c r="P159" s="7">
        <v>45981</v>
      </c>
      <c r="Q159" s="7"/>
      <c r="R159" s="5" t="s">
        <v>32</v>
      </c>
      <c r="S159" t="e">
        <f>VLOOKUP(I159,TDS!$A$1:$C$70,4,FALSE)</f>
        <v>#N/A</v>
      </c>
    </row>
    <row r="160" spans="1:19" x14ac:dyDescent="0.35">
      <c r="A160" s="6">
        <v>100222362</v>
      </c>
      <c r="B160" s="5" t="s">
        <v>28</v>
      </c>
      <c r="C160" s="5" t="s">
        <v>29</v>
      </c>
      <c r="D160" s="5" t="s">
        <v>30</v>
      </c>
      <c r="E160" s="7">
        <v>45769</v>
      </c>
      <c r="F160" s="6">
        <v>1800007591</v>
      </c>
      <c r="G160" s="5" t="s">
        <v>63</v>
      </c>
      <c r="H160" s="5" t="s">
        <v>60</v>
      </c>
      <c r="I160" s="9">
        <v>256779412482</v>
      </c>
      <c r="J160" s="5" t="s">
        <v>33</v>
      </c>
      <c r="K160" s="5" t="s">
        <v>41</v>
      </c>
      <c r="L160" s="8">
        <v>94.08</v>
      </c>
      <c r="M160" s="5" t="s">
        <v>34</v>
      </c>
      <c r="N160" s="8">
        <v>8177.6</v>
      </c>
      <c r="O160" s="5" t="s">
        <v>136</v>
      </c>
      <c r="P160" s="7">
        <v>45769</v>
      </c>
      <c r="Q160" s="7"/>
      <c r="R160" s="5" t="s">
        <v>32</v>
      </c>
      <c r="S160" t="e">
        <f>VLOOKUP(I160,TDS!$A$1:$C$70,4,FALSE)</f>
        <v>#N/A</v>
      </c>
    </row>
    <row r="161" spans="1:19" x14ac:dyDescent="0.35">
      <c r="A161" s="6">
        <v>100222362</v>
      </c>
      <c r="B161" s="5" t="s">
        <v>28</v>
      </c>
      <c r="C161" s="5" t="s">
        <v>29</v>
      </c>
      <c r="D161" s="5" t="s">
        <v>30</v>
      </c>
      <c r="E161" s="7">
        <v>45769</v>
      </c>
      <c r="F161" s="6">
        <v>1800007607</v>
      </c>
      <c r="G161" s="5" t="s">
        <v>63</v>
      </c>
      <c r="H161" s="5" t="s">
        <v>60</v>
      </c>
      <c r="I161" s="9">
        <v>256779412498</v>
      </c>
      <c r="J161" s="5" t="s">
        <v>33</v>
      </c>
      <c r="K161" s="5" t="s">
        <v>41</v>
      </c>
      <c r="L161" s="8">
        <v>25.32</v>
      </c>
      <c r="M161" s="5" t="s">
        <v>34</v>
      </c>
      <c r="N161" s="8">
        <v>2200.86</v>
      </c>
      <c r="O161" s="5" t="s">
        <v>136</v>
      </c>
      <c r="P161" s="7">
        <v>45769</v>
      </c>
      <c r="Q161" s="7"/>
      <c r="R161" s="5" t="s">
        <v>32</v>
      </c>
      <c r="S161" t="e">
        <f>VLOOKUP(I161,TDS!$A$1:$C$70,4,FALSE)</f>
        <v>#N/A</v>
      </c>
    </row>
    <row r="162" spans="1:19" x14ac:dyDescent="0.35">
      <c r="A162" s="6">
        <v>100222362</v>
      </c>
      <c r="B162" s="5" t="s">
        <v>28</v>
      </c>
      <c r="C162" s="5" t="s">
        <v>29</v>
      </c>
      <c r="D162" s="5" t="s">
        <v>30</v>
      </c>
      <c r="E162" s="7">
        <v>45769</v>
      </c>
      <c r="F162" s="6">
        <v>1800000190</v>
      </c>
      <c r="G162" s="5" t="s">
        <v>63</v>
      </c>
      <c r="H162" s="5" t="s">
        <v>60</v>
      </c>
      <c r="I162" s="9">
        <v>256788410065</v>
      </c>
      <c r="J162" s="5" t="s">
        <v>33</v>
      </c>
      <c r="K162" s="5" t="s">
        <v>41</v>
      </c>
      <c r="L162" s="8">
        <v>24.38</v>
      </c>
      <c r="M162" s="5" t="s">
        <v>34</v>
      </c>
      <c r="N162" s="8">
        <v>2119.15</v>
      </c>
      <c r="O162" s="5" t="s">
        <v>192</v>
      </c>
      <c r="P162" s="7">
        <v>45769</v>
      </c>
      <c r="Q162" s="7"/>
      <c r="R162" s="5" t="s">
        <v>32</v>
      </c>
      <c r="S162" t="e">
        <f>VLOOKUP(I162,TDS!$A$1:$C$70,4,FALSE)</f>
        <v>#N/A</v>
      </c>
    </row>
    <row r="163" spans="1:19" x14ac:dyDescent="0.35">
      <c r="A163" s="6">
        <v>100222362</v>
      </c>
      <c r="B163" s="5" t="s">
        <v>28</v>
      </c>
      <c r="C163" s="5" t="s">
        <v>29</v>
      </c>
      <c r="D163" s="5" t="s">
        <v>30</v>
      </c>
      <c r="E163" s="7">
        <v>45769</v>
      </c>
      <c r="F163" s="6">
        <v>1800000287</v>
      </c>
      <c r="G163" s="5" t="s">
        <v>63</v>
      </c>
      <c r="H163" s="5" t="s">
        <v>60</v>
      </c>
      <c r="I163" s="9">
        <v>256788410162</v>
      </c>
      <c r="J163" s="5" t="s">
        <v>33</v>
      </c>
      <c r="K163" s="5" t="s">
        <v>41</v>
      </c>
      <c r="L163" s="8">
        <v>5.46</v>
      </c>
      <c r="M163" s="5" t="s">
        <v>34</v>
      </c>
      <c r="N163" s="8">
        <v>474.59</v>
      </c>
      <c r="O163" s="5" t="s">
        <v>193</v>
      </c>
      <c r="P163" s="7">
        <v>45769</v>
      </c>
      <c r="Q163" s="7"/>
      <c r="R163" s="5" t="s">
        <v>32</v>
      </c>
      <c r="S163" t="e">
        <f>VLOOKUP(I163,TDS!$A$1:$C$70,4,FALSE)</f>
        <v>#N/A</v>
      </c>
    </row>
    <row r="164" spans="1:19" x14ac:dyDescent="0.35">
      <c r="A164" s="6">
        <v>100222362</v>
      </c>
      <c r="B164" s="5" t="s">
        <v>28</v>
      </c>
      <c r="C164" s="5" t="s">
        <v>29</v>
      </c>
      <c r="D164" s="5" t="s">
        <v>30</v>
      </c>
      <c r="E164" s="7">
        <v>45769</v>
      </c>
      <c r="F164" s="6">
        <v>1800000288</v>
      </c>
      <c r="G164" s="5" t="s">
        <v>63</v>
      </c>
      <c r="H164" s="5" t="s">
        <v>60</v>
      </c>
      <c r="I164" s="9">
        <v>256788410163</v>
      </c>
      <c r="J164" s="5" t="s">
        <v>33</v>
      </c>
      <c r="K164" s="5" t="s">
        <v>41</v>
      </c>
      <c r="L164" s="8">
        <v>3.5</v>
      </c>
      <c r="M164" s="5" t="s">
        <v>34</v>
      </c>
      <c r="N164" s="8">
        <v>304.23</v>
      </c>
      <c r="O164" s="5" t="s">
        <v>193</v>
      </c>
      <c r="P164" s="7">
        <v>45769</v>
      </c>
      <c r="Q164" s="7"/>
      <c r="R164" s="5" t="s">
        <v>32</v>
      </c>
      <c r="S164" t="e">
        <f>VLOOKUP(I164,TDS!$A$1:$C$70,4,FALSE)</f>
        <v>#N/A</v>
      </c>
    </row>
    <row r="165" spans="1:19" x14ac:dyDescent="0.35">
      <c r="A165" s="6">
        <v>100222362</v>
      </c>
      <c r="B165" s="5" t="s">
        <v>28</v>
      </c>
      <c r="C165" s="5" t="s">
        <v>29</v>
      </c>
      <c r="D165" s="5" t="s">
        <v>30</v>
      </c>
      <c r="E165" s="7">
        <v>45769</v>
      </c>
      <c r="F165" s="6">
        <v>1800000289</v>
      </c>
      <c r="G165" s="5" t="s">
        <v>63</v>
      </c>
      <c r="H165" s="5" t="s">
        <v>60</v>
      </c>
      <c r="I165" s="9">
        <v>256788410164</v>
      </c>
      <c r="J165" s="5" t="s">
        <v>33</v>
      </c>
      <c r="K165" s="5" t="s">
        <v>41</v>
      </c>
      <c r="L165" s="8">
        <v>5.6</v>
      </c>
      <c r="M165" s="5" t="s">
        <v>34</v>
      </c>
      <c r="N165" s="8">
        <v>486.76</v>
      </c>
      <c r="O165" s="5" t="s">
        <v>193</v>
      </c>
      <c r="P165" s="7">
        <v>45769</v>
      </c>
      <c r="Q165" s="7"/>
      <c r="R165" s="5" t="s">
        <v>32</v>
      </c>
      <c r="S165" t="e">
        <f>VLOOKUP(I165,TDS!$A$1:$C$70,4,FALSE)</f>
        <v>#N/A</v>
      </c>
    </row>
    <row r="166" spans="1:19" x14ac:dyDescent="0.35">
      <c r="A166" s="6">
        <v>100222362</v>
      </c>
      <c r="B166" s="5" t="s">
        <v>28</v>
      </c>
      <c r="C166" s="5" t="s">
        <v>29</v>
      </c>
      <c r="D166" s="5" t="s">
        <v>30</v>
      </c>
      <c r="E166" s="7">
        <v>45769</v>
      </c>
      <c r="F166" s="6">
        <v>1800000290</v>
      </c>
      <c r="G166" s="5" t="s">
        <v>63</v>
      </c>
      <c r="H166" s="5" t="s">
        <v>60</v>
      </c>
      <c r="I166" s="9">
        <v>256788410165</v>
      </c>
      <c r="J166" s="5" t="s">
        <v>33</v>
      </c>
      <c r="K166" s="5" t="s">
        <v>41</v>
      </c>
      <c r="L166" s="8">
        <v>5.6</v>
      </c>
      <c r="M166" s="5" t="s">
        <v>34</v>
      </c>
      <c r="N166" s="8">
        <v>486.76</v>
      </c>
      <c r="O166" s="5" t="s">
        <v>193</v>
      </c>
      <c r="P166" s="7">
        <v>45769</v>
      </c>
      <c r="Q166" s="7"/>
      <c r="R166" s="5" t="s">
        <v>32</v>
      </c>
      <c r="S166" t="e">
        <f>VLOOKUP(I166,TDS!$A$1:$C$70,4,FALSE)</f>
        <v>#N/A</v>
      </c>
    </row>
    <row r="167" spans="1:19" x14ac:dyDescent="0.35">
      <c r="A167" s="6">
        <v>100222362</v>
      </c>
      <c r="B167" s="5" t="s">
        <v>28</v>
      </c>
      <c r="C167" s="5" t="s">
        <v>29</v>
      </c>
      <c r="D167" s="5" t="s">
        <v>30</v>
      </c>
      <c r="E167" s="7">
        <v>45769</v>
      </c>
      <c r="F167" s="6">
        <v>1800000291</v>
      </c>
      <c r="G167" s="5" t="s">
        <v>63</v>
      </c>
      <c r="H167" s="5" t="s">
        <v>60</v>
      </c>
      <c r="I167" s="9">
        <v>256788410166</v>
      </c>
      <c r="J167" s="5" t="s">
        <v>33</v>
      </c>
      <c r="K167" s="5" t="s">
        <v>41</v>
      </c>
      <c r="L167" s="8">
        <v>11.6</v>
      </c>
      <c r="M167" s="5" t="s">
        <v>34</v>
      </c>
      <c r="N167" s="8">
        <v>1008.29</v>
      </c>
      <c r="O167" s="5" t="s">
        <v>193</v>
      </c>
      <c r="P167" s="7">
        <v>45769</v>
      </c>
      <c r="Q167" s="7"/>
      <c r="R167" s="5" t="s">
        <v>32</v>
      </c>
      <c r="S167" t="e">
        <f>VLOOKUP(I167,TDS!$A$1:$C$70,4,FALSE)</f>
        <v>#N/A</v>
      </c>
    </row>
    <row r="168" spans="1:19" x14ac:dyDescent="0.35">
      <c r="A168" s="6">
        <v>100222362</v>
      </c>
      <c r="B168" s="5" t="s">
        <v>28</v>
      </c>
      <c r="C168" s="5" t="s">
        <v>29</v>
      </c>
      <c r="D168" s="5" t="s">
        <v>30</v>
      </c>
      <c r="E168" s="7">
        <v>45769</v>
      </c>
      <c r="F168" s="6">
        <v>1800000328</v>
      </c>
      <c r="G168" s="5" t="s">
        <v>63</v>
      </c>
      <c r="H168" s="5" t="s">
        <v>60</v>
      </c>
      <c r="I168" s="9">
        <v>256788410203</v>
      </c>
      <c r="J168" s="5" t="s">
        <v>33</v>
      </c>
      <c r="K168" s="5" t="s">
        <v>41</v>
      </c>
      <c r="L168" s="8">
        <v>80.67</v>
      </c>
      <c r="M168" s="5" t="s">
        <v>34</v>
      </c>
      <c r="N168" s="8">
        <v>7011.98</v>
      </c>
      <c r="O168" s="5" t="s">
        <v>194</v>
      </c>
      <c r="P168" s="7">
        <v>45769</v>
      </c>
      <c r="Q168" s="7"/>
      <c r="R168" s="5" t="s">
        <v>32</v>
      </c>
      <c r="S168" t="e">
        <f>VLOOKUP(I168,TDS!$A$1:$C$70,4,FALSE)</f>
        <v>#N/A</v>
      </c>
    </row>
    <row r="169" spans="1:19" x14ac:dyDescent="0.35">
      <c r="A169" s="6">
        <v>100222362</v>
      </c>
      <c r="B169" s="5" t="s">
        <v>28</v>
      </c>
      <c r="C169" s="5" t="s">
        <v>29</v>
      </c>
      <c r="D169" s="5" t="s">
        <v>30</v>
      </c>
      <c r="E169" s="7">
        <v>45769</v>
      </c>
      <c r="F169" s="6">
        <v>1800000330</v>
      </c>
      <c r="G169" s="5" t="s">
        <v>63</v>
      </c>
      <c r="H169" s="5" t="s">
        <v>60</v>
      </c>
      <c r="I169" s="9">
        <v>256788410205</v>
      </c>
      <c r="J169" s="5" t="s">
        <v>33</v>
      </c>
      <c r="K169" s="5" t="s">
        <v>41</v>
      </c>
      <c r="L169" s="8">
        <v>99.12</v>
      </c>
      <c r="M169" s="5" t="s">
        <v>34</v>
      </c>
      <c r="N169" s="8">
        <v>8615.69</v>
      </c>
      <c r="O169" s="5" t="s">
        <v>195</v>
      </c>
      <c r="P169" s="7">
        <v>45769</v>
      </c>
      <c r="Q169" s="7"/>
      <c r="R169" s="5" t="s">
        <v>32</v>
      </c>
      <c r="S169" t="e">
        <f>VLOOKUP(I169,TDS!$A$1:$C$70,4,FALSE)</f>
        <v>#N/A</v>
      </c>
    </row>
    <row r="170" spans="1:19" x14ac:dyDescent="0.35">
      <c r="A170" s="6">
        <v>100222362</v>
      </c>
      <c r="B170" s="5" t="s">
        <v>28</v>
      </c>
      <c r="C170" s="5" t="s">
        <v>29</v>
      </c>
      <c r="D170" s="5" t="s">
        <v>30</v>
      </c>
      <c r="E170" s="7">
        <v>45769</v>
      </c>
      <c r="F170" s="6">
        <v>1800000331</v>
      </c>
      <c r="G170" s="5" t="s">
        <v>63</v>
      </c>
      <c r="H170" s="5" t="s">
        <v>60</v>
      </c>
      <c r="I170" s="9">
        <v>256788410206</v>
      </c>
      <c r="J170" s="5" t="s">
        <v>33</v>
      </c>
      <c r="K170" s="5" t="s">
        <v>41</v>
      </c>
      <c r="L170" s="8">
        <v>10803.4</v>
      </c>
      <c r="M170" s="5" t="s">
        <v>34</v>
      </c>
      <c r="N170" s="8">
        <v>939051.19</v>
      </c>
      <c r="O170" s="5" t="s">
        <v>196</v>
      </c>
      <c r="P170" s="7">
        <v>45769</v>
      </c>
      <c r="Q170" s="7"/>
      <c r="R170" s="5" t="s">
        <v>32</v>
      </c>
      <c r="S170" t="e">
        <f>VLOOKUP(I170,TDS!$A$1:$C$70,4,FALSE)</f>
        <v>#N/A</v>
      </c>
    </row>
    <row r="171" spans="1:19" x14ac:dyDescent="0.35">
      <c r="A171" s="6">
        <v>100222362</v>
      </c>
      <c r="B171" s="5" t="s">
        <v>28</v>
      </c>
      <c r="C171" s="5" t="s">
        <v>29</v>
      </c>
      <c r="D171" s="5" t="s">
        <v>65</v>
      </c>
      <c r="E171" s="7">
        <v>45918</v>
      </c>
      <c r="F171" s="6">
        <v>1800000498</v>
      </c>
      <c r="G171" s="5" t="s">
        <v>63</v>
      </c>
      <c r="H171" s="5" t="s">
        <v>60</v>
      </c>
      <c r="I171" s="9">
        <v>256788410373</v>
      </c>
      <c r="J171" s="5" t="s">
        <v>33</v>
      </c>
      <c r="K171" s="5" t="s">
        <v>41</v>
      </c>
      <c r="L171" s="8">
        <v>472</v>
      </c>
      <c r="M171" s="5" t="s">
        <v>34</v>
      </c>
      <c r="N171" s="8">
        <v>41306.76</v>
      </c>
      <c r="O171" s="5" t="s">
        <v>197</v>
      </c>
      <c r="P171" s="7">
        <v>45918</v>
      </c>
      <c r="Q171" s="7"/>
      <c r="R171" s="5" t="s">
        <v>32</v>
      </c>
      <c r="S171" t="e">
        <f>VLOOKUP(I171,TDS!$A$1:$C$70,4,FALSE)</f>
        <v>#N/A</v>
      </c>
    </row>
    <row r="172" spans="1:19" x14ac:dyDescent="0.35">
      <c r="A172" s="6">
        <v>100222362</v>
      </c>
      <c r="B172" s="5" t="s">
        <v>28</v>
      </c>
      <c r="C172" s="5" t="s">
        <v>29</v>
      </c>
      <c r="D172" s="5" t="s">
        <v>65</v>
      </c>
      <c r="E172" s="7">
        <v>45918</v>
      </c>
      <c r="F172" s="6">
        <v>1800000500</v>
      </c>
      <c r="G172" s="5" t="s">
        <v>63</v>
      </c>
      <c r="H172" s="5" t="s">
        <v>60</v>
      </c>
      <c r="I172" s="9">
        <v>256788410375</v>
      </c>
      <c r="J172" s="5" t="s">
        <v>33</v>
      </c>
      <c r="K172" s="5" t="s">
        <v>41</v>
      </c>
      <c r="L172" s="8">
        <v>200</v>
      </c>
      <c r="M172" s="5" t="s">
        <v>34</v>
      </c>
      <c r="N172" s="8">
        <v>17502.87</v>
      </c>
      <c r="O172" s="5" t="s">
        <v>197</v>
      </c>
      <c r="P172" s="7">
        <v>45918</v>
      </c>
      <c r="Q172" s="7"/>
      <c r="R172" s="5" t="s">
        <v>32</v>
      </c>
      <c r="S172" t="e">
        <f>VLOOKUP(I172,TDS!$A$1:$C$70,4,FALSE)</f>
        <v>#N/A</v>
      </c>
    </row>
    <row r="173" spans="1:19" x14ac:dyDescent="0.35">
      <c r="A173" s="6">
        <v>100222362</v>
      </c>
      <c r="B173" s="5" t="s">
        <v>28</v>
      </c>
      <c r="C173" s="5" t="s">
        <v>29</v>
      </c>
      <c r="D173" s="5" t="s">
        <v>65</v>
      </c>
      <c r="E173" s="7">
        <v>45918</v>
      </c>
      <c r="F173" s="6">
        <v>1800000501</v>
      </c>
      <c r="G173" s="5" t="s">
        <v>63</v>
      </c>
      <c r="H173" s="5" t="s">
        <v>60</v>
      </c>
      <c r="I173" s="9">
        <v>256788410376</v>
      </c>
      <c r="J173" s="5" t="s">
        <v>33</v>
      </c>
      <c r="K173" s="5" t="s">
        <v>41</v>
      </c>
      <c r="L173" s="8">
        <v>1125.6400000000001</v>
      </c>
      <c r="M173" s="5" t="s">
        <v>34</v>
      </c>
      <c r="N173" s="8">
        <v>98509.63</v>
      </c>
      <c r="O173" s="5" t="s">
        <v>198</v>
      </c>
      <c r="P173" s="7">
        <v>45918</v>
      </c>
      <c r="Q173" s="7"/>
      <c r="R173" s="5" t="s">
        <v>32</v>
      </c>
      <c r="S173" t="e">
        <f>VLOOKUP(I173,TDS!$A$1:$C$70,4,FALSE)</f>
        <v>#N/A</v>
      </c>
    </row>
    <row r="174" spans="1:19" x14ac:dyDescent="0.35">
      <c r="A174" s="6">
        <v>100222362</v>
      </c>
      <c r="B174" s="5" t="s">
        <v>28</v>
      </c>
      <c r="C174" s="5" t="s">
        <v>29</v>
      </c>
      <c r="D174" s="5" t="s">
        <v>65</v>
      </c>
      <c r="E174" s="7">
        <v>45918</v>
      </c>
      <c r="F174" s="6">
        <v>1800000503</v>
      </c>
      <c r="G174" s="5" t="s">
        <v>63</v>
      </c>
      <c r="H174" s="5" t="s">
        <v>60</v>
      </c>
      <c r="I174" s="9">
        <v>256788410378</v>
      </c>
      <c r="J174" s="5" t="s">
        <v>33</v>
      </c>
      <c r="K174" s="5" t="s">
        <v>41</v>
      </c>
      <c r="L174" s="8">
        <v>46</v>
      </c>
      <c r="M174" s="5" t="s">
        <v>34</v>
      </c>
      <c r="N174" s="8">
        <v>4025.66</v>
      </c>
      <c r="O174" s="5" t="s">
        <v>199</v>
      </c>
      <c r="P174" s="7">
        <v>45918</v>
      </c>
      <c r="Q174" s="7"/>
      <c r="R174" s="5" t="s">
        <v>32</v>
      </c>
      <c r="S174" t="e">
        <f>VLOOKUP(I174,TDS!$A$1:$C$70,4,FALSE)</f>
        <v>#N/A</v>
      </c>
    </row>
    <row r="175" spans="1:19" x14ac:dyDescent="0.35">
      <c r="A175" s="6">
        <v>100222362</v>
      </c>
      <c r="B175" s="5" t="s">
        <v>28</v>
      </c>
      <c r="C175" s="5" t="s">
        <v>29</v>
      </c>
      <c r="D175" s="5" t="s">
        <v>162</v>
      </c>
      <c r="E175" s="7">
        <v>45996</v>
      </c>
      <c r="F175" s="6">
        <v>1800000601</v>
      </c>
      <c r="G175" s="5" t="s">
        <v>63</v>
      </c>
      <c r="H175" s="5" t="s">
        <v>60</v>
      </c>
      <c r="I175" s="9">
        <v>256788410474</v>
      </c>
      <c r="J175" s="5" t="s">
        <v>33</v>
      </c>
      <c r="K175" s="5" t="s">
        <v>41</v>
      </c>
      <c r="L175" s="8">
        <v>238</v>
      </c>
      <c r="M175" s="5" t="s">
        <v>34</v>
      </c>
      <c r="N175" s="8">
        <v>21110.63</v>
      </c>
      <c r="O175" s="5" t="s">
        <v>200</v>
      </c>
      <c r="P175" s="7">
        <v>45996</v>
      </c>
      <c r="Q175" s="7"/>
      <c r="R175" s="5" t="s">
        <v>32</v>
      </c>
      <c r="S175" t="e">
        <f>VLOOKUP(I175,TDS!$A$1:$C$70,4,FALSE)</f>
        <v>#N/A</v>
      </c>
    </row>
    <row r="176" spans="1:19" x14ac:dyDescent="0.35">
      <c r="A176" s="6">
        <v>100222362</v>
      </c>
      <c r="B176" s="5" t="s">
        <v>28</v>
      </c>
      <c r="C176" s="5" t="s">
        <v>29</v>
      </c>
      <c r="D176" s="5" t="s">
        <v>162</v>
      </c>
      <c r="E176" s="7">
        <v>45996</v>
      </c>
      <c r="F176" s="6">
        <v>1800000602</v>
      </c>
      <c r="G176" s="5" t="s">
        <v>63</v>
      </c>
      <c r="H176" s="5" t="s">
        <v>60</v>
      </c>
      <c r="I176" s="9">
        <v>256788410475</v>
      </c>
      <c r="J176" s="5" t="s">
        <v>33</v>
      </c>
      <c r="K176" s="5" t="s">
        <v>41</v>
      </c>
      <c r="L176" s="8">
        <v>40</v>
      </c>
      <c r="M176" s="5" t="s">
        <v>34</v>
      </c>
      <c r="N176" s="8">
        <v>3548.01</v>
      </c>
      <c r="O176" s="5" t="s">
        <v>201</v>
      </c>
      <c r="P176" s="7">
        <v>45996</v>
      </c>
      <c r="Q176" s="7"/>
      <c r="R176" s="5" t="s">
        <v>32</v>
      </c>
      <c r="S176" t="e">
        <f>VLOOKUP(I176,TDS!$A$1:$C$70,4,FALSE)</f>
        <v>#N/A</v>
      </c>
    </row>
    <row r="177" spans="1:19" x14ac:dyDescent="0.35">
      <c r="A177" s="6">
        <v>100222362</v>
      </c>
      <c r="B177" s="5" t="s">
        <v>28</v>
      </c>
      <c r="C177" s="5" t="s">
        <v>29</v>
      </c>
      <c r="D177" s="5" t="s">
        <v>162</v>
      </c>
      <c r="E177" s="7">
        <v>45996</v>
      </c>
      <c r="F177" s="6">
        <v>1800000603</v>
      </c>
      <c r="G177" s="5" t="s">
        <v>63</v>
      </c>
      <c r="H177" s="5" t="s">
        <v>60</v>
      </c>
      <c r="I177" s="9">
        <v>256788410476</v>
      </c>
      <c r="J177" s="5" t="s">
        <v>33</v>
      </c>
      <c r="K177" s="5" t="s">
        <v>41</v>
      </c>
      <c r="L177" s="8">
        <v>200</v>
      </c>
      <c r="M177" s="5" t="s">
        <v>34</v>
      </c>
      <c r="N177" s="8">
        <v>17740.03</v>
      </c>
      <c r="O177" s="5" t="s">
        <v>200</v>
      </c>
      <c r="P177" s="7">
        <v>45996</v>
      </c>
      <c r="Q177" s="7"/>
      <c r="R177" s="5" t="s">
        <v>32</v>
      </c>
      <c r="S177" t="e">
        <f>VLOOKUP(I177,TDS!$A$1:$C$70,4,FALSE)</f>
        <v>#N/A</v>
      </c>
    </row>
    <row r="178" spans="1:19" x14ac:dyDescent="0.35">
      <c r="A178" s="6">
        <v>100222362</v>
      </c>
      <c r="B178" s="5" t="s">
        <v>28</v>
      </c>
      <c r="C178" s="5" t="s">
        <v>29</v>
      </c>
      <c r="D178" s="5" t="s">
        <v>162</v>
      </c>
      <c r="E178" s="7">
        <v>45996</v>
      </c>
      <c r="F178" s="6">
        <v>1800000604</v>
      </c>
      <c r="G178" s="5" t="s">
        <v>63</v>
      </c>
      <c r="H178" s="5" t="s">
        <v>60</v>
      </c>
      <c r="I178" s="9">
        <v>256788410477</v>
      </c>
      <c r="J178" s="5" t="s">
        <v>33</v>
      </c>
      <c r="K178" s="5" t="s">
        <v>41</v>
      </c>
      <c r="L178" s="8">
        <v>6.6</v>
      </c>
      <c r="M178" s="5" t="s">
        <v>34</v>
      </c>
      <c r="N178" s="8">
        <v>585.41999999999996</v>
      </c>
      <c r="O178" s="5" t="s">
        <v>202</v>
      </c>
      <c r="P178" s="7">
        <v>45996</v>
      </c>
      <c r="Q178" s="7"/>
      <c r="R178" s="5" t="s">
        <v>32</v>
      </c>
      <c r="S178" t="e">
        <f>VLOOKUP(I178,TDS!$A$1:$C$70,4,FALSE)</f>
        <v>#N/A</v>
      </c>
    </row>
    <row r="179" spans="1:19" x14ac:dyDescent="0.35">
      <c r="A179" s="6">
        <v>100222362</v>
      </c>
      <c r="B179" s="5" t="s">
        <v>28</v>
      </c>
      <c r="C179" s="5" t="s">
        <v>29</v>
      </c>
      <c r="D179" s="5" t="s">
        <v>162</v>
      </c>
      <c r="E179" s="7">
        <v>45996</v>
      </c>
      <c r="F179" s="6">
        <v>1800000606</v>
      </c>
      <c r="G179" s="5" t="s">
        <v>63</v>
      </c>
      <c r="H179" s="5" t="s">
        <v>60</v>
      </c>
      <c r="I179" s="9">
        <v>256788410479</v>
      </c>
      <c r="J179" s="5" t="s">
        <v>33</v>
      </c>
      <c r="K179" s="5" t="s">
        <v>41</v>
      </c>
      <c r="L179" s="8">
        <v>250.24</v>
      </c>
      <c r="M179" s="5" t="s">
        <v>34</v>
      </c>
      <c r="N179" s="8">
        <v>22196.32</v>
      </c>
      <c r="O179" s="5" t="s">
        <v>203</v>
      </c>
      <c r="P179" s="7">
        <v>45996</v>
      </c>
      <c r="Q179" s="7"/>
      <c r="R179" s="5" t="s">
        <v>32</v>
      </c>
      <c r="S179" t="e">
        <f>VLOOKUP(I179,TDS!$A$1:$C$70,4,FALSE)</f>
        <v>#N/A</v>
      </c>
    </row>
    <row r="180" spans="1:19" x14ac:dyDescent="0.35">
      <c r="A180" s="6">
        <v>100222362</v>
      </c>
      <c r="B180" s="5" t="s">
        <v>28</v>
      </c>
      <c r="C180" s="5" t="s">
        <v>29</v>
      </c>
      <c r="D180" s="5" t="s">
        <v>38</v>
      </c>
      <c r="E180" s="7">
        <v>45709</v>
      </c>
      <c r="F180" s="6">
        <v>1800000041</v>
      </c>
      <c r="G180" s="5" t="s">
        <v>63</v>
      </c>
      <c r="H180" s="5" t="s">
        <v>60</v>
      </c>
      <c r="I180" s="9">
        <v>246788410024</v>
      </c>
      <c r="J180" s="5" t="s">
        <v>33</v>
      </c>
      <c r="K180" s="5" t="s">
        <v>41</v>
      </c>
      <c r="L180" s="8">
        <v>3980.4</v>
      </c>
      <c r="M180" s="5" t="s">
        <v>34</v>
      </c>
      <c r="N180" s="8">
        <v>343523.09</v>
      </c>
      <c r="O180" s="5" t="s">
        <v>204</v>
      </c>
      <c r="P180" s="7">
        <v>45709</v>
      </c>
      <c r="Q180" s="7"/>
      <c r="R180" s="5" t="s">
        <v>32</v>
      </c>
      <c r="S180" t="e">
        <f>VLOOKUP(I180,TDS!$A$1:$C$70,4,FALSE)</f>
        <v>#N/A</v>
      </c>
    </row>
    <row r="181" spans="1:19" x14ac:dyDescent="0.35">
      <c r="A181" s="6">
        <v>100222362</v>
      </c>
      <c r="B181" s="5" t="s">
        <v>28</v>
      </c>
      <c r="C181" s="5" t="s">
        <v>29</v>
      </c>
      <c r="D181" s="5" t="s">
        <v>47</v>
      </c>
      <c r="E181" s="7">
        <v>45937</v>
      </c>
      <c r="F181" s="6">
        <v>1800000554</v>
      </c>
      <c r="G181" s="5" t="s">
        <v>63</v>
      </c>
      <c r="H181" s="5" t="s">
        <v>60</v>
      </c>
      <c r="I181" s="9">
        <v>256788410429</v>
      </c>
      <c r="J181" s="5" t="s">
        <v>33</v>
      </c>
      <c r="K181" s="5" t="s">
        <v>41</v>
      </c>
      <c r="L181" s="8">
        <v>2.25</v>
      </c>
      <c r="M181" s="5" t="s">
        <v>34</v>
      </c>
      <c r="N181" s="8">
        <v>198.43</v>
      </c>
      <c r="O181" s="5" t="s">
        <v>205</v>
      </c>
      <c r="P181" s="7">
        <v>45937</v>
      </c>
      <c r="Q181" s="7"/>
      <c r="R181" s="5" t="s">
        <v>32</v>
      </c>
      <c r="S181" t="e">
        <f>VLOOKUP(I181,TDS!$A$1:$C$70,4,FALSE)</f>
        <v>#N/A</v>
      </c>
    </row>
    <row r="182" spans="1:19" x14ac:dyDescent="0.35">
      <c r="A182" s="6">
        <v>100222362</v>
      </c>
      <c r="B182" s="5" t="s">
        <v>28</v>
      </c>
      <c r="C182" s="5" t="s">
        <v>29</v>
      </c>
      <c r="D182" s="5" t="s">
        <v>47</v>
      </c>
      <c r="E182" s="7">
        <v>45937</v>
      </c>
      <c r="F182" s="6">
        <v>1800000555</v>
      </c>
      <c r="G182" s="5" t="s">
        <v>63</v>
      </c>
      <c r="H182" s="5" t="s">
        <v>60</v>
      </c>
      <c r="I182" s="9">
        <v>256788410430</v>
      </c>
      <c r="J182" s="5" t="s">
        <v>33</v>
      </c>
      <c r="K182" s="5" t="s">
        <v>41</v>
      </c>
      <c r="L182" s="8">
        <v>2</v>
      </c>
      <c r="M182" s="5" t="s">
        <v>34</v>
      </c>
      <c r="N182" s="8">
        <v>176.38</v>
      </c>
      <c r="O182" s="5" t="s">
        <v>206</v>
      </c>
      <c r="P182" s="7">
        <v>45937</v>
      </c>
      <c r="Q182" s="7"/>
      <c r="R182" s="5" t="s">
        <v>32</v>
      </c>
      <c r="S182" t="e">
        <f>VLOOKUP(I182,TDS!$A$1:$C$70,4,FALSE)</f>
        <v>#N/A</v>
      </c>
    </row>
    <row r="183" spans="1:19" x14ac:dyDescent="0.35">
      <c r="A183" s="6">
        <v>100222362</v>
      </c>
      <c r="B183" s="5" t="s">
        <v>28</v>
      </c>
      <c r="C183" s="5" t="s">
        <v>29</v>
      </c>
      <c r="D183" s="5" t="s">
        <v>90</v>
      </c>
      <c r="E183" s="7">
        <v>45857</v>
      </c>
      <c r="F183" s="6">
        <v>1800000388</v>
      </c>
      <c r="G183" s="5" t="s">
        <v>63</v>
      </c>
      <c r="H183" s="5" t="s">
        <v>60</v>
      </c>
      <c r="I183" s="9">
        <v>256788410264</v>
      </c>
      <c r="J183" s="5" t="s">
        <v>33</v>
      </c>
      <c r="K183" s="5" t="s">
        <v>41</v>
      </c>
      <c r="L183" s="8">
        <v>4.6399999999999997</v>
      </c>
      <c r="M183" s="5" t="s">
        <v>34</v>
      </c>
      <c r="N183" s="8">
        <v>399.04</v>
      </c>
      <c r="O183" s="5" t="s">
        <v>207</v>
      </c>
      <c r="P183" s="7">
        <v>45857</v>
      </c>
      <c r="Q183" s="7"/>
      <c r="R183" s="5" t="s">
        <v>32</v>
      </c>
      <c r="S183" t="e">
        <f>VLOOKUP(I183,TDS!$A$1:$C$70,4,FALSE)</f>
        <v>#N/A</v>
      </c>
    </row>
    <row r="184" spans="1:19" x14ac:dyDescent="0.35">
      <c r="A184" s="6">
        <v>100222362</v>
      </c>
      <c r="B184" s="5" t="s">
        <v>28</v>
      </c>
      <c r="C184" s="5" t="s">
        <v>29</v>
      </c>
      <c r="D184" s="5" t="s">
        <v>80</v>
      </c>
      <c r="E184" s="7">
        <v>45787</v>
      </c>
      <c r="F184" s="6">
        <v>1800008358</v>
      </c>
      <c r="G184" s="5" t="s">
        <v>63</v>
      </c>
      <c r="H184" s="5" t="s">
        <v>60</v>
      </c>
      <c r="I184" s="9">
        <v>256779413241</v>
      </c>
      <c r="J184" s="5" t="s">
        <v>33</v>
      </c>
      <c r="K184" s="5" t="s">
        <v>41</v>
      </c>
      <c r="L184" s="8">
        <v>1054.79</v>
      </c>
      <c r="M184" s="5" t="s">
        <v>34</v>
      </c>
      <c r="N184" s="8">
        <v>90694.75</v>
      </c>
      <c r="O184" s="5" t="s">
        <v>208</v>
      </c>
      <c r="P184" s="7">
        <v>45787</v>
      </c>
      <c r="Q184" s="7"/>
      <c r="R184" s="5" t="s">
        <v>32</v>
      </c>
      <c r="S184" t="e">
        <f>VLOOKUP(I184,TDS!$A$1:$C$70,4,FALSE)</f>
        <v>#N/A</v>
      </c>
    </row>
    <row r="185" spans="1:19" x14ac:dyDescent="0.35">
      <c r="A185" s="6">
        <v>100222362</v>
      </c>
      <c r="B185" s="5" t="s">
        <v>28</v>
      </c>
      <c r="C185" s="5" t="s">
        <v>29</v>
      </c>
      <c r="D185" s="5" t="s">
        <v>80</v>
      </c>
      <c r="E185" s="7">
        <v>45787</v>
      </c>
      <c r="F185" s="6">
        <v>1800000332</v>
      </c>
      <c r="G185" s="5" t="s">
        <v>63</v>
      </c>
      <c r="H185" s="5" t="s">
        <v>60</v>
      </c>
      <c r="I185" s="9">
        <v>256788410207</v>
      </c>
      <c r="J185" s="5" t="s">
        <v>33</v>
      </c>
      <c r="K185" s="5" t="s">
        <v>41</v>
      </c>
      <c r="L185" s="8">
        <v>96.66</v>
      </c>
      <c r="M185" s="5" t="s">
        <v>34</v>
      </c>
      <c r="N185" s="8">
        <v>8311.18</v>
      </c>
      <c r="O185" s="5" t="s">
        <v>209</v>
      </c>
      <c r="P185" s="7">
        <v>45787</v>
      </c>
      <c r="Q185" s="7"/>
      <c r="R185" s="5" t="s">
        <v>32</v>
      </c>
      <c r="S185" t="e">
        <f>VLOOKUP(I185,TDS!$A$1:$C$70,4,FALSE)</f>
        <v>#N/A</v>
      </c>
    </row>
    <row r="186" spans="1:19" x14ac:dyDescent="0.35">
      <c r="A186" s="6">
        <v>100222362</v>
      </c>
      <c r="B186" s="5" t="s">
        <v>28</v>
      </c>
      <c r="C186" s="5" t="s">
        <v>29</v>
      </c>
      <c r="D186" s="5" t="s">
        <v>80</v>
      </c>
      <c r="E186" s="7">
        <v>45787</v>
      </c>
      <c r="F186" s="6">
        <v>1800000333</v>
      </c>
      <c r="G186" s="5" t="s">
        <v>63</v>
      </c>
      <c r="H186" s="5" t="s">
        <v>60</v>
      </c>
      <c r="I186" s="9">
        <v>256788410208</v>
      </c>
      <c r="J186" s="5" t="s">
        <v>33</v>
      </c>
      <c r="K186" s="5" t="s">
        <v>41</v>
      </c>
      <c r="L186" s="8">
        <v>75</v>
      </c>
      <c r="M186" s="5" t="s">
        <v>34</v>
      </c>
      <c r="N186" s="8">
        <v>6448.78</v>
      </c>
      <c r="O186" s="5" t="s">
        <v>210</v>
      </c>
      <c r="P186" s="7">
        <v>45787</v>
      </c>
      <c r="Q186" s="7"/>
      <c r="R186" s="5" t="s">
        <v>32</v>
      </c>
      <c r="S186" t="e">
        <f>VLOOKUP(I186,TDS!$A$1:$C$70,4,FALSE)</f>
        <v>#N/A</v>
      </c>
    </row>
    <row r="187" spans="1:19" x14ac:dyDescent="0.35">
      <c r="A187" s="6">
        <v>100222362</v>
      </c>
      <c r="B187" s="5" t="s">
        <v>28</v>
      </c>
      <c r="C187" s="5" t="s">
        <v>29</v>
      </c>
      <c r="D187" s="5" t="s">
        <v>80</v>
      </c>
      <c r="E187" s="7">
        <v>45787</v>
      </c>
      <c r="F187" s="6">
        <v>1800000340</v>
      </c>
      <c r="G187" s="5" t="s">
        <v>63</v>
      </c>
      <c r="H187" s="5" t="s">
        <v>60</v>
      </c>
      <c r="I187" s="9">
        <v>256788410215</v>
      </c>
      <c r="J187" s="5" t="s">
        <v>33</v>
      </c>
      <c r="K187" s="5" t="s">
        <v>41</v>
      </c>
      <c r="L187" s="8">
        <v>2336.5100000000002</v>
      </c>
      <c r="M187" s="5" t="s">
        <v>34</v>
      </c>
      <c r="N187" s="8">
        <v>200901.77</v>
      </c>
      <c r="O187" s="5" t="s">
        <v>211</v>
      </c>
      <c r="P187" s="7">
        <v>45787</v>
      </c>
      <c r="Q187" s="7"/>
      <c r="R187" s="5" t="s">
        <v>32</v>
      </c>
      <c r="S187" t="e">
        <f>VLOOKUP(I187,TDS!$A$1:$C$70,4,FALSE)</f>
        <v>#N/A</v>
      </c>
    </row>
    <row r="188" spans="1:19" x14ac:dyDescent="0.35">
      <c r="A188" s="6">
        <v>100222362</v>
      </c>
      <c r="B188" s="5" t="s">
        <v>28</v>
      </c>
      <c r="C188" s="5" t="s">
        <v>29</v>
      </c>
      <c r="D188" s="5" t="s">
        <v>47</v>
      </c>
      <c r="E188" s="7">
        <v>45948</v>
      </c>
      <c r="F188" s="6">
        <v>1800000561</v>
      </c>
      <c r="G188" s="5" t="s">
        <v>63</v>
      </c>
      <c r="H188" s="5" t="s">
        <v>60</v>
      </c>
      <c r="I188" s="9">
        <v>256788410432</v>
      </c>
      <c r="J188" s="5" t="s">
        <v>33</v>
      </c>
      <c r="K188" s="5" t="s">
        <v>41</v>
      </c>
      <c r="L188" s="8">
        <v>393.41</v>
      </c>
      <c r="M188" s="5" t="s">
        <v>34</v>
      </c>
      <c r="N188" s="8">
        <v>34695.129999999997</v>
      </c>
      <c r="O188" s="5" t="s">
        <v>212</v>
      </c>
      <c r="P188" s="7">
        <v>45948</v>
      </c>
      <c r="Q188" s="7"/>
      <c r="R188" s="5" t="s">
        <v>32</v>
      </c>
      <c r="S188" t="e">
        <f>VLOOKUP(I188,TDS!$A$1:$C$70,4,FALSE)</f>
        <v>#N/A</v>
      </c>
    </row>
    <row r="189" spans="1:19" x14ac:dyDescent="0.35">
      <c r="A189" s="6">
        <v>100222362</v>
      </c>
      <c r="B189" s="5" t="s">
        <v>28</v>
      </c>
      <c r="C189" s="5" t="s">
        <v>29</v>
      </c>
      <c r="D189" s="5" t="s">
        <v>47</v>
      </c>
      <c r="E189" s="7">
        <v>45948</v>
      </c>
      <c r="F189" s="6">
        <v>1800000562</v>
      </c>
      <c r="G189" s="5" t="s">
        <v>63</v>
      </c>
      <c r="H189" s="5" t="s">
        <v>60</v>
      </c>
      <c r="I189" s="9">
        <v>256788410433</v>
      </c>
      <c r="J189" s="5" t="s">
        <v>33</v>
      </c>
      <c r="K189" s="5" t="s">
        <v>41</v>
      </c>
      <c r="L189" s="8">
        <v>20.39</v>
      </c>
      <c r="M189" s="5" t="s">
        <v>34</v>
      </c>
      <c r="N189" s="8">
        <v>1798.21</v>
      </c>
      <c r="O189" s="5" t="s">
        <v>213</v>
      </c>
      <c r="P189" s="7">
        <v>45948</v>
      </c>
      <c r="Q189" s="7"/>
      <c r="R189" s="5" t="s">
        <v>32</v>
      </c>
      <c r="S189" t="e">
        <f>VLOOKUP(I189,TDS!$A$1:$C$70,4,FALSE)</f>
        <v>#N/A</v>
      </c>
    </row>
    <row r="190" spans="1:19" x14ac:dyDescent="0.35">
      <c r="A190" s="6">
        <v>100222362</v>
      </c>
      <c r="B190" s="5" t="s">
        <v>28</v>
      </c>
      <c r="C190" s="5" t="s">
        <v>29</v>
      </c>
      <c r="D190" s="5" t="s">
        <v>76</v>
      </c>
      <c r="E190" s="7">
        <v>45815</v>
      </c>
      <c r="F190" s="6">
        <v>1800009486</v>
      </c>
      <c r="G190" s="5" t="s">
        <v>63</v>
      </c>
      <c r="H190" s="5" t="s">
        <v>60</v>
      </c>
      <c r="I190" s="9">
        <v>256779414250</v>
      </c>
      <c r="J190" s="5" t="s">
        <v>33</v>
      </c>
      <c r="K190" s="5" t="s">
        <v>41</v>
      </c>
      <c r="L190" s="8">
        <v>10597.07</v>
      </c>
      <c r="M190" s="5" t="s">
        <v>34</v>
      </c>
      <c r="N190" s="8">
        <v>905951.78</v>
      </c>
      <c r="O190" s="5" t="s">
        <v>214</v>
      </c>
      <c r="P190" s="7">
        <v>45815</v>
      </c>
      <c r="Q190" s="7"/>
      <c r="R190" s="5" t="s">
        <v>32</v>
      </c>
      <c r="S190" t="e">
        <f>VLOOKUP(I190,TDS!$A$1:$C$70,4,FALSE)</f>
        <v>#N/A</v>
      </c>
    </row>
    <row r="191" spans="1:19" x14ac:dyDescent="0.35">
      <c r="A191" s="6">
        <v>100222362</v>
      </c>
      <c r="B191" s="5" t="s">
        <v>28</v>
      </c>
      <c r="C191" s="5" t="s">
        <v>29</v>
      </c>
      <c r="D191" s="5" t="s">
        <v>47</v>
      </c>
      <c r="E191" s="7">
        <v>45936</v>
      </c>
      <c r="F191" s="6">
        <v>1800000552</v>
      </c>
      <c r="G191" s="5" t="s">
        <v>63</v>
      </c>
      <c r="H191" s="5" t="s">
        <v>60</v>
      </c>
      <c r="I191" s="9">
        <v>256788410427</v>
      </c>
      <c r="J191" s="5" t="s">
        <v>33</v>
      </c>
      <c r="K191" s="5" t="s">
        <v>41</v>
      </c>
      <c r="L191" s="8">
        <v>11372.78</v>
      </c>
      <c r="M191" s="5" t="s">
        <v>34</v>
      </c>
      <c r="N191" s="8">
        <v>1002974.23</v>
      </c>
      <c r="O191" s="5" t="s">
        <v>215</v>
      </c>
      <c r="P191" s="7">
        <v>45936</v>
      </c>
      <c r="Q191" s="7"/>
      <c r="R191" s="5" t="s">
        <v>32</v>
      </c>
      <c r="S191" t="e">
        <f>VLOOKUP(I191,TDS!$A$1:$C$70,4,FALSE)</f>
        <v>#N/A</v>
      </c>
    </row>
    <row r="192" spans="1:19" x14ac:dyDescent="0.35">
      <c r="A192" s="6">
        <v>100222362</v>
      </c>
      <c r="B192" s="5" t="s">
        <v>28</v>
      </c>
      <c r="C192" s="5" t="s">
        <v>29</v>
      </c>
      <c r="D192" s="5" t="s">
        <v>47</v>
      </c>
      <c r="E192" s="7">
        <v>45935</v>
      </c>
      <c r="F192" s="6">
        <v>1800000536</v>
      </c>
      <c r="G192" s="5" t="s">
        <v>63</v>
      </c>
      <c r="H192" s="5" t="s">
        <v>60</v>
      </c>
      <c r="I192" s="9">
        <v>256788410409</v>
      </c>
      <c r="J192" s="5" t="s">
        <v>33</v>
      </c>
      <c r="K192" s="5" t="s">
        <v>41</v>
      </c>
      <c r="L192" s="8">
        <v>1211.9000000000001</v>
      </c>
      <c r="M192" s="5" t="s">
        <v>34</v>
      </c>
      <c r="N192" s="8">
        <v>106878.39</v>
      </c>
      <c r="O192" s="5" t="s">
        <v>216</v>
      </c>
      <c r="P192" s="7">
        <v>45935</v>
      </c>
      <c r="Q192" s="7"/>
      <c r="R192" s="5" t="s">
        <v>32</v>
      </c>
      <c r="S192" t="e">
        <f>VLOOKUP(I192,TDS!$A$1:$C$70,4,FALSE)</f>
        <v>#N/A</v>
      </c>
    </row>
    <row r="193" spans="1:19" x14ac:dyDescent="0.35">
      <c r="A193" s="6">
        <v>100222362</v>
      </c>
      <c r="B193" s="5" t="s">
        <v>28</v>
      </c>
      <c r="C193" s="5" t="s">
        <v>29</v>
      </c>
      <c r="D193" s="5" t="s">
        <v>47</v>
      </c>
      <c r="E193" s="7">
        <v>45935</v>
      </c>
      <c r="F193" s="6">
        <v>1800000537</v>
      </c>
      <c r="G193" s="5" t="s">
        <v>63</v>
      </c>
      <c r="H193" s="5" t="s">
        <v>60</v>
      </c>
      <c r="I193" s="9">
        <v>256788410410</v>
      </c>
      <c r="J193" s="5" t="s">
        <v>33</v>
      </c>
      <c r="K193" s="5" t="s">
        <v>41</v>
      </c>
      <c r="L193" s="8">
        <v>40</v>
      </c>
      <c r="M193" s="5" t="s">
        <v>34</v>
      </c>
      <c r="N193" s="8">
        <v>3527.63</v>
      </c>
      <c r="O193" s="5" t="s">
        <v>217</v>
      </c>
      <c r="P193" s="7">
        <v>45935</v>
      </c>
      <c r="Q193" s="7"/>
      <c r="R193" s="5" t="s">
        <v>32</v>
      </c>
      <c r="S193" t="e">
        <f>VLOOKUP(I193,TDS!$A$1:$C$70,4,FALSE)</f>
        <v>#N/A</v>
      </c>
    </row>
    <row r="194" spans="1:19" x14ac:dyDescent="0.35">
      <c r="A194" s="6">
        <v>100222362</v>
      </c>
      <c r="B194" s="5" t="s">
        <v>28</v>
      </c>
      <c r="C194" s="5" t="s">
        <v>29</v>
      </c>
      <c r="D194" s="5" t="s">
        <v>47</v>
      </c>
      <c r="E194" s="7">
        <v>45935</v>
      </c>
      <c r="F194" s="6">
        <v>1800000538</v>
      </c>
      <c r="G194" s="5" t="s">
        <v>63</v>
      </c>
      <c r="H194" s="5" t="s">
        <v>60</v>
      </c>
      <c r="I194" s="9">
        <v>256788410411</v>
      </c>
      <c r="J194" s="5" t="s">
        <v>33</v>
      </c>
      <c r="K194" s="5" t="s">
        <v>41</v>
      </c>
      <c r="L194" s="8">
        <v>11.26</v>
      </c>
      <c r="M194" s="5" t="s">
        <v>34</v>
      </c>
      <c r="N194" s="8">
        <v>993.03</v>
      </c>
      <c r="O194" s="5" t="s">
        <v>218</v>
      </c>
      <c r="P194" s="7">
        <v>45935</v>
      </c>
      <c r="Q194" s="7"/>
      <c r="R194" s="5" t="s">
        <v>32</v>
      </c>
      <c r="S194" t="e">
        <f>VLOOKUP(I194,TDS!$A$1:$C$70,4,FALSE)</f>
        <v>#N/A</v>
      </c>
    </row>
    <row r="195" spans="1:19" x14ac:dyDescent="0.35">
      <c r="A195" s="6">
        <v>100222362</v>
      </c>
      <c r="B195" s="5" t="s">
        <v>28</v>
      </c>
      <c r="C195" s="5" t="s">
        <v>29</v>
      </c>
      <c r="D195" s="5" t="s">
        <v>47</v>
      </c>
      <c r="E195" s="7">
        <v>45935</v>
      </c>
      <c r="F195" s="6">
        <v>1800000534</v>
      </c>
      <c r="G195" s="5" t="s">
        <v>63</v>
      </c>
      <c r="H195" s="5" t="s">
        <v>60</v>
      </c>
      <c r="I195" s="9">
        <v>256788410413</v>
      </c>
      <c r="J195" s="5" t="s">
        <v>33</v>
      </c>
      <c r="K195" s="5" t="s">
        <v>41</v>
      </c>
      <c r="L195" s="8">
        <v>8</v>
      </c>
      <c r="M195" s="5" t="s">
        <v>34</v>
      </c>
      <c r="N195" s="8">
        <v>705.53</v>
      </c>
      <c r="O195" s="5" t="s">
        <v>219</v>
      </c>
      <c r="P195" s="7">
        <v>45935</v>
      </c>
      <c r="Q195" s="7"/>
      <c r="R195" s="5" t="s">
        <v>32</v>
      </c>
      <c r="S195" t="e">
        <f>VLOOKUP(I195,TDS!$A$1:$C$70,4,FALSE)</f>
        <v>#N/A</v>
      </c>
    </row>
    <row r="196" spans="1:19" x14ac:dyDescent="0.35">
      <c r="A196" s="6">
        <v>100222362</v>
      </c>
      <c r="B196" s="5" t="s">
        <v>28</v>
      </c>
      <c r="C196" s="5" t="s">
        <v>29</v>
      </c>
      <c r="D196" s="5" t="s">
        <v>47</v>
      </c>
      <c r="E196" s="7">
        <v>45935</v>
      </c>
      <c r="F196" s="6">
        <v>1800000539</v>
      </c>
      <c r="G196" s="5" t="s">
        <v>63</v>
      </c>
      <c r="H196" s="5" t="s">
        <v>60</v>
      </c>
      <c r="I196" s="9">
        <v>256788410414</v>
      </c>
      <c r="J196" s="5" t="s">
        <v>33</v>
      </c>
      <c r="K196" s="5" t="s">
        <v>41</v>
      </c>
      <c r="L196" s="8">
        <v>1119.04</v>
      </c>
      <c r="M196" s="5" t="s">
        <v>34</v>
      </c>
      <c r="N196" s="8">
        <v>98689</v>
      </c>
      <c r="O196" s="5" t="s">
        <v>220</v>
      </c>
      <c r="P196" s="7">
        <v>45935</v>
      </c>
      <c r="Q196" s="7"/>
      <c r="R196" s="5" t="s">
        <v>32</v>
      </c>
      <c r="S196" t="e">
        <f>VLOOKUP(I196,TDS!$A$1:$C$70,4,FALSE)</f>
        <v>#N/A</v>
      </c>
    </row>
    <row r="197" spans="1:19" x14ac:dyDescent="0.35">
      <c r="A197" s="6">
        <v>100222362</v>
      </c>
      <c r="B197" s="5" t="s">
        <v>28</v>
      </c>
      <c r="C197" s="5" t="s">
        <v>29</v>
      </c>
      <c r="D197" s="5" t="s">
        <v>47</v>
      </c>
      <c r="E197" s="7">
        <v>45935</v>
      </c>
      <c r="F197" s="6">
        <v>1800000540</v>
      </c>
      <c r="G197" s="5" t="s">
        <v>63</v>
      </c>
      <c r="H197" s="5" t="s">
        <v>60</v>
      </c>
      <c r="I197" s="9">
        <v>256788410415</v>
      </c>
      <c r="J197" s="5" t="s">
        <v>33</v>
      </c>
      <c r="K197" s="5" t="s">
        <v>41</v>
      </c>
      <c r="L197" s="8">
        <v>47.84</v>
      </c>
      <c r="M197" s="5" t="s">
        <v>34</v>
      </c>
      <c r="N197" s="8">
        <v>4219.05</v>
      </c>
      <c r="O197" s="5" t="s">
        <v>221</v>
      </c>
      <c r="P197" s="7">
        <v>45935</v>
      </c>
      <c r="Q197" s="7"/>
      <c r="R197" s="5" t="s">
        <v>32</v>
      </c>
      <c r="S197" t="e">
        <f>VLOOKUP(I197,TDS!$A$1:$C$70,4,FALSE)</f>
        <v>#N/A</v>
      </c>
    </row>
    <row r="198" spans="1:19" x14ac:dyDescent="0.35">
      <c r="A198" s="6">
        <v>100222362</v>
      </c>
      <c r="B198" s="5" t="s">
        <v>28</v>
      </c>
      <c r="C198" s="5" t="s">
        <v>29</v>
      </c>
      <c r="D198" s="5" t="s">
        <v>47</v>
      </c>
      <c r="E198" s="7">
        <v>45935</v>
      </c>
      <c r="F198" s="6">
        <v>1800000545</v>
      </c>
      <c r="G198" s="5" t="s">
        <v>63</v>
      </c>
      <c r="H198" s="5" t="s">
        <v>60</v>
      </c>
      <c r="I198" s="9">
        <v>256788410420</v>
      </c>
      <c r="J198" s="5" t="s">
        <v>33</v>
      </c>
      <c r="K198" s="5" t="s">
        <v>41</v>
      </c>
      <c r="L198" s="8">
        <v>75</v>
      </c>
      <c r="M198" s="5" t="s">
        <v>34</v>
      </c>
      <c r="N198" s="8">
        <v>6614.31</v>
      </c>
      <c r="O198" s="5" t="s">
        <v>222</v>
      </c>
      <c r="P198" s="7">
        <v>45935</v>
      </c>
      <c r="Q198" s="7"/>
      <c r="R198" s="5" t="s">
        <v>32</v>
      </c>
      <c r="S198" t="e">
        <f>VLOOKUP(I198,TDS!$A$1:$C$70,4,FALSE)</f>
        <v>#N/A</v>
      </c>
    </row>
    <row r="199" spans="1:19" x14ac:dyDescent="0.35">
      <c r="A199" s="6">
        <v>100222362</v>
      </c>
      <c r="B199" s="5" t="s">
        <v>28</v>
      </c>
      <c r="C199" s="5" t="s">
        <v>29</v>
      </c>
      <c r="D199" s="5" t="s">
        <v>47</v>
      </c>
      <c r="E199" s="7">
        <v>45935</v>
      </c>
      <c r="F199" s="6">
        <v>1800000556</v>
      </c>
      <c r="G199" s="5" t="s">
        <v>63</v>
      </c>
      <c r="H199" s="5" t="s">
        <v>60</v>
      </c>
      <c r="I199" s="9">
        <v>256788410431</v>
      </c>
      <c r="J199" s="5" t="s">
        <v>33</v>
      </c>
      <c r="K199" s="5" t="s">
        <v>41</v>
      </c>
      <c r="L199" s="8">
        <v>250.08</v>
      </c>
      <c r="M199" s="5" t="s">
        <v>34</v>
      </c>
      <c r="N199" s="8">
        <v>22054.75</v>
      </c>
      <c r="O199" s="5" t="s">
        <v>223</v>
      </c>
      <c r="P199" s="7">
        <v>45935</v>
      </c>
      <c r="Q199" s="7"/>
      <c r="R199" s="5" t="s">
        <v>32</v>
      </c>
      <c r="S199" t="e">
        <f>VLOOKUP(I199,TDS!$A$1:$C$70,4,FALSE)</f>
        <v>#N/A</v>
      </c>
    </row>
    <row r="200" spans="1:19" x14ac:dyDescent="0.35">
      <c r="A200" s="6">
        <v>100222362</v>
      </c>
      <c r="B200" s="5" t="s">
        <v>28</v>
      </c>
      <c r="C200" s="5" t="s">
        <v>29</v>
      </c>
      <c r="D200" s="5" t="s">
        <v>47</v>
      </c>
      <c r="E200" s="7">
        <v>45935</v>
      </c>
      <c r="F200" s="6">
        <v>1800000542</v>
      </c>
      <c r="G200" s="5" t="s">
        <v>63</v>
      </c>
      <c r="H200" s="5" t="s">
        <v>60</v>
      </c>
      <c r="I200" s="9">
        <v>256788410417</v>
      </c>
      <c r="J200" s="5" t="s">
        <v>33</v>
      </c>
      <c r="K200" s="5" t="s">
        <v>41</v>
      </c>
      <c r="L200" s="8">
        <v>1211.9000000000001</v>
      </c>
      <c r="M200" s="5" t="s">
        <v>34</v>
      </c>
      <c r="N200" s="8">
        <v>106878.39</v>
      </c>
      <c r="O200" s="5" t="s">
        <v>216</v>
      </c>
      <c r="P200" s="7">
        <v>45935</v>
      </c>
      <c r="Q200" s="7">
        <v>45976</v>
      </c>
      <c r="R200" s="5" t="s">
        <v>62</v>
      </c>
      <c r="S200" t="e">
        <f>VLOOKUP(I200,TDS!$A$1:$C$70,4,FALSE)</f>
        <v>#N/A</v>
      </c>
    </row>
    <row r="201" spans="1:19" x14ac:dyDescent="0.35">
      <c r="A201" s="6">
        <v>100222362</v>
      </c>
      <c r="B201" s="5" t="s">
        <v>28</v>
      </c>
      <c r="C201" s="5" t="s">
        <v>29</v>
      </c>
      <c r="D201" s="5" t="s">
        <v>47</v>
      </c>
      <c r="E201" s="7">
        <v>45935</v>
      </c>
      <c r="F201" s="6">
        <v>1800000543</v>
      </c>
      <c r="G201" s="5" t="s">
        <v>63</v>
      </c>
      <c r="H201" s="5" t="s">
        <v>60</v>
      </c>
      <c r="I201" s="9">
        <v>256788410418</v>
      </c>
      <c r="J201" s="5" t="s">
        <v>33</v>
      </c>
      <c r="K201" s="5" t="s">
        <v>41</v>
      </c>
      <c r="L201" s="8">
        <v>40</v>
      </c>
      <c r="M201" s="5" t="s">
        <v>34</v>
      </c>
      <c r="N201" s="8">
        <v>3527.63</v>
      </c>
      <c r="O201" s="5" t="s">
        <v>217</v>
      </c>
      <c r="P201" s="7">
        <v>45935</v>
      </c>
      <c r="Q201" s="7">
        <v>45976</v>
      </c>
      <c r="R201" s="5" t="s">
        <v>62</v>
      </c>
      <c r="S201" t="e">
        <f>VLOOKUP(I201,TDS!$A$1:$C$70,4,FALSE)</f>
        <v>#N/A</v>
      </c>
    </row>
    <row r="202" spans="1:19" x14ac:dyDescent="0.35">
      <c r="A202" s="6">
        <v>100222362</v>
      </c>
      <c r="B202" s="5" t="s">
        <v>28</v>
      </c>
      <c r="C202" s="5" t="s">
        <v>29</v>
      </c>
      <c r="D202" s="5" t="s">
        <v>47</v>
      </c>
      <c r="E202" s="7">
        <v>45935</v>
      </c>
      <c r="F202" s="6">
        <v>1800000544</v>
      </c>
      <c r="G202" s="5" t="s">
        <v>63</v>
      </c>
      <c r="H202" s="5" t="s">
        <v>60</v>
      </c>
      <c r="I202" s="9">
        <v>256788410419</v>
      </c>
      <c r="J202" s="5" t="s">
        <v>33</v>
      </c>
      <c r="K202" s="5" t="s">
        <v>41</v>
      </c>
      <c r="L202" s="8">
        <v>11.26</v>
      </c>
      <c r="M202" s="5" t="s">
        <v>34</v>
      </c>
      <c r="N202" s="8">
        <v>993.03</v>
      </c>
      <c r="O202" s="5" t="s">
        <v>218</v>
      </c>
      <c r="P202" s="7">
        <v>45935</v>
      </c>
      <c r="Q202" s="7">
        <v>45976</v>
      </c>
      <c r="R202" s="5" t="s">
        <v>62</v>
      </c>
      <c r="S202" t="e">
        <f>VLOOKUP(I202,TDS!$A$1:$C$70,4,FALSE)</f>
        <v>#N/A</v>
      </c>
    </row>
    <row r="203" spans="1:19" x14ac:dyDescent="0.35">
      <c r="A203" s="6">
        <v>100222362</v>
      </c>
      <c r="B203" s="5" t="s">
        <v>28</v>
      </c>
      <c r="C203" s="5" t="s">
        <v>29</v>
      </c>
      <c r="D203" s="5" t="s">
        <v>65</v>
      </c>
      <c r="E203" s="7">
        <v>45906</v>
      </c>
      <c r="F203" s="6">
        <v>1800000478</v>
      </c>
      <c r="G203" s="5" t="s">
        <v>63</v>
      </c>
      <c r="H203" s="5" t="s">
        <v>60</v>
      </c>
      <c r="I203" s="9">
        <v>256788410357</v>
      </c>
      <c r="J203" s="5" t="s">
        <v>33</v>
      </c>
      <c r="K203" s="5" t="s">
        <v>41</v>
      </c>
      <c r="L203" s="8">
        <v>11371.82</v>
      </c>
      <c r="M203" s="5" t="s">
        <v>34</v>
      </c>
      <c r="N203" s="8">
        <v>995197.21</v>
      </c>
      <c r="O203" s="5" t="s">
        <v>224</v>
      </c>
      <c r="P203" s="7">
        <v>45906</v>
      </c>
      <c r="Q203" s="7"/>
      <c r="R203" s="5" t="s">
        <v>32</v>
      </c>
      <c r="S203" t="e">
        <f>VLOOKUP(I203,TDS!$A$1:$C$70,4,FALSE)</f>
        <v>#N/A</v>
      </c>
    </row>
    <row r="204" spans="1:19" x14ac:dyDescent="0.35">
      <c r="A204" s="6">
        <v>100222362</v>
      </c>
      <c r="B204" s="5" t="s">
        <v>28</v>
      </c>
      <c r="C204" s="5" t="s">
        <v>225</v>
      </c>
      <c r="D204" s="5" t="s">
        <v>35</v>
      </c>
      <c r="E204" s="7">
        <v>46027</v>
      </c>
      <c r="F204" s="6">
        <v>1800000621</v>
      </c>
      <c r="G204" s="5" t="s">
        <v>63</v>
      </c>
      <c r="H204" s="5" t="s">
        <v>60</v>
      </c>
      <c r="I204" s="9">
        <v>256788410483</v>
      </c>
      <c r="J204" s="5" t="s">
        <v>33</v>
      </c>
      <c r="K204" s="5" t="s">
        <v>41</v>
      </c>
      <c r="L204" s="8">
        <v>63.04</v>
      </c>
      <c r="M204" s="5" t="s">
        <v>34</v>
      </c>
      <c r="N204" s="8">
        <v>5720.45</v>
      </c>
      <c r="O204" s="5" t="s">
        <v>226</v>
      </c>
      <c r="P204" s="7">
        <v>46027</v>
      </c>
      <c r="Q204" s="7"/>
      <c r="R204" s="5" t="s">
        <v>32</v>
      </c>
      <c r="S204" t="e">
        <f>VLOOKUP(I204,TDS!$A$1:$C$70,4,FALSE)</f>
        <v>#N/A</v>
      </c>
    </row>
    <row r="205" spans="1:19" x14ac:dyDescent="0.35">
      <c r="A205" s="6">
        <v>100222362</v>
      </c>
      <c r="B205" s="5" t="s">
        <v>28</v>
      </c>
      <c r="C205" s="5" t="s">
        <v>225</v>
      </c>
      <c r="D205" s="5" t="s">
        <v>35</v>
      </c>
      <c r="E205" s="7">
        <v>46027</v>
      </c>
      <c r="F205" s="6">
        <v>1800000623</v>
      </c>
      <c r="G205" s="5" t="s">
        <v>63</v>
      </c>
      <c r="H205" s="5" t="s">
        <v>227</v>
      </c>
      <c r="I205" s="9">
        <v>256788410485</v>
      </c>
      <c r="J205" s="5" t="s">
        <v>33</v>
      </c>
      <c r="K205" s="5" t="s">
        <v>41</v>
      </c>
      <c r="L205" s="8">
        <v>348.86</v>
      </c>
      <c r="M205" s="5" t="s">
        <v>34</v>
      </c>
      <c r="N205" s="8">
        <v>31656.65</v>
      </c>
      <c r="O205" s="5" t="s">
        <v>226</v>
      </c>
      <c r="P205" s="7">
        <v>46027</v>
      </c>
      <c r="Q205" s="7"/>
      <c r="R205" s="5" t="s">
        <v>32</v>
      </c>
      <c r="S205" t="e">
        <f>VLOOKUP(I205,TDS!$A$1:$C$70,4,FALSE)</f>
        <v>#N/A</v>
      </c>
    </row>
    <row r="206" spans="1:19" x14ac:dyDescent="0.35">
      <c r="A206" s="6">
        <v>100222362</v>
      </c>
      <c r="B206" s="5" t="s">
        <v>28</v>
      </c>
      <c r="C206" s="5" t="s">
        <v>225</v>
      </c>
      <c r="D206" s="5" t="s">
        <v>35</v>
      </c>
      <c r="E206" s="7">
        <v>46027</v>
      </c>
      <c r="F206" s="6">
        <v>1800000619</v>
      </c>
      <c r="G206" s="5" t="s">
        <v>63</v>
      </c>
      <c r="H206" s="5" t="s">
        <v>60</v>
      </c>
      <c r="I206" s="9">
        <v>256788410487</v>
      </c>
      <c r="J206" s="5" t="s">
        <v>33</v>
      </c>
      <c r="K206" s="5" t="s">
        <v>41</v>
      </c>
      <c r="L206" s="8">
        <v>52</v>
      </c>
      <c r="M206" s="5" t="s">
        <v>34</v>
      </c>
      <c r="N206" s="8">
        <v>4718.6400000000003</v>
      </c>
      <c r="O206" s="5" t="s">
        <v>228</v>
      </c>
      <c r="P206" s="7">
        <v>46027</v>
      </c>
      <c r="Q206" s="7"/>
      <c r="R206" s="5" t="s">
        <v>32</v>
      </c>
      <c r="S206" t="e">
        <f>VLOOKUP(I206,TDS!$A$1:$C$70,4,FALSE)</f>
        <v>#N/A</v>
      </c>
    </row>
    <row r="207" spans="1:19" x14ac:dyDescent="0.35">
      <c r="A207" s="6">
        <v>100222362</v>
      </c>
      <c r="B207" s="5" t="s">
        <v>28</v>
      </c>
      <c r="C207" s="5" t="s">
        <v>225</v>
      </c>
      <c r="D207" s="5" t="s">
        <v>35</v>
      </c>
      <c r="E207" s="7">
        <v>46027</v>
      </c>
      <c r="F207" s="6">
        <v>1800000625</v>
      </c>
      <c r="G207" s="5" t="s">
        <v>63</v>
      </c>
      <c r="H207" s="5" t="s">
        <v>60</v>
      </c>
      <c r="I207" s="9">
        <v>256788410490</v>
      </c>
      <c r="J207" s="5" t="s">
        <v>33</v>
      </c>
      <c r="K207" s="5" t="s">
        <v>41</v>
      </c>
      <c r="L207" s="8">
        <v>94</v>
      </c>
      <c r="M207" s="5" t="s">
        <v>34</v>
      </c>
      <c r="N207" s="8">
        <v>8529.86</v>
      </c>
      <c r="O207" s="5" t="s">
        <v>229</v>
      </c>
      <c r="P207" s="7">
        <v>46027</v>
      </c>
      <c r="Q207" s="7"/>
      <c r="R207" s="5" t="s">
        <v>32</v>
      </c>
      <c r="S207" t="e">
        <f>VLOOKUP(I207,TDS!$A$1:$C$70,4,FALSE)</f>
        <v>#N/A</v>
      </c>
    </row>
    <row r="208" spans="1:19" x14ac:dyDescent="0.35">
      <c r="A208" s="6">
        <v>100222362</v>
      </c>
      <c r="B208" s="5" t="s">
        <v>28</v>
      </c>
      <c r="C208" s="5" t="s">
        <v>225</v>
      </c>
      <c r="D208" s="5" t="s">
        <v>35</v>
      </c>
      <c r="E208" s="7">
        <v>46034</v>
      </c>
      <c r="F208" s="6">
        <v>1800000635</v>
      </c>
      <c r="G208" s="5" t="s">
        <v>63</v>
      </c>
      <c r="H208" s="5" t="s">
        <v>60</v>
      </c>
      <c r="I208" s="9">
        <v>256788410492</v>
      </c>
      <c r="J208" s="5" t="s">
        <v>33</v>
      </c>
      <c r="K208" s="5" t="s">
        <v>41</v>
      </c>
      <c r="L208" s="8">
        <v>476</v>
      </c>
      <c r="M208" s="5" t="s">
        <v>34</v>
      </c>
      <c r="N208" s="8">
        <v>43193.73</v>
      </c>
      <c r="O208" s="5" t="s">
        <v>230</v>
      </c>
      <c r="P208" s="7">
        <v>46034</v>
      </c>
      <c r="Q208" s="7"/>
      <c r="R208" s="5" t="s">
        <v>32</v>
      </c>
      <c r="S208" t="e">
        <f>VLOOKUP(I208,TDS!$A$1:$C$70,4,FALSE)</f>
        <v>#N/A</v>
      </c>
    </row>
    <row r="209" spans="1:19" x14ac:dyDescent="0.35">
      <c r="A209" s="6">
        <v>100222362</v>
      </c>
      <c r="B209" s="5" t="s">
        <v>28</v>
      </c>
      <c r="C209" s="5" t="s">
        <v>225</v>
      </c>
      <c r="D209" s="5" t="s">
        <v>35</v>
      </c>
      <c r="E209" s="7">
        <v>46034</v>
      </c>
      <c r="F209" s="6">
        <v>1800000638</v>
      </c>
      <c r="G209" s="5" t="s">
        <v>63</v>
      </c>
      <c r="H209" s="5" t="s">
        <v>60</v>
      </c>
      <c r="I209" s="9">
        <v>256788410495</v>
      </c>
      <c r="J209" s="5" t="s">
        <v>33</v>
      </c>
      <c r="K209" s="5" t="s">
        <v>41</v>
      </c>
      <c r="L209" s="8">
        <v>49.49</v>
      </c>
      <c r="M209" s="5" t="s">
        <v>34</v>
      </c>
      <c r="N209" s="8">
        <v>4490.88</v>
      </c>
      <c r="O209" s="5" t="s">
        <v>231</v>
      </c>
      <c r="P209" s="7">
        <v>46034</v>
      </c>
      <c r="Q209" s="7"/>
      <c r="R209" s="5" t="s">
        <v>32</v>
      </c>
      <c r="S209" t="e">
        <f>VLOOKUP(I209,TDS!$A$1:$C$70,4,FALSE)</f>
        <v>#N/A</v>
      </c>
    </row>
    <row r="210" spans="1:19" x14ac:dyDescent="0.35">
      <c r="A210" s="6">
        <v>100222362</v>
      </c>
      <c r="B210" s="5" t="s">
        <v>28</v>
      </c>
      <c r="C210" s="5" t="s">
        <v>225</v>
      </c>
      <c r="D210" s="5" t="s">
        <v>35</v>
      </c>
      <c r="E210" s="7">
        <v>46034</v>
      </c>
      <c r="F210" s="6">
        <v>1800000641</v>
      </c>
      <c r="G210" s="5" t="s">
        <v>63</v>
      </c>
      <c r="H210" s="5" t="s">
        <v>60</v>
      </c>
      <c r="I210" s="9">
        <v>256788410498</v>
      </c>
      <c r="J210" s="5" t="s">
        <v>33</v>
      </c>
      <c r="K210" s="5" t="s">
        <v>41</v>
      </c>
      <c r="L210" s="8">
        <v>181.44</v>
      </c>
      <c r="M210" s="5" t="s">
        <v>34</v>
      </c>
      <c r="N210" s="8">
        <v>16464.439999999999</v>
      </c>
      <c r="O210" s="5" t="s">
        <v>232</v>
      </c>
      <c r="P210" s="7">
        <v>46034</v>
      </c>
      <c r="Q210" s="7"/>
      <c r="R210" s="5" t="s">
        <v>32</v>
      </c>
      <c r="S210" t="e">
        <f>VLOOKUP(I210,TDS!$A$1:$C$70,4,FALSE)</f>
        <v>#N/A</v>
      </c>
    </row>
    <row r="211" spans="1:19" x14ac:dyDescent="0.35">
      <c r="A211" s="6">
        <v>100222362</v>
      </c>
      <c r="B211" s="5" t="s">
        <v>28</v>
      </c>
      <c r="C211" s="5" t="s">
        <v>225</v>
      </c>
      <c r="D211" s="5" t="s">
        <v>35</v>
      </c>
      <c r="E211" s="7">
        <v>46034</v>
      </c>
      <c r="F211" s="6">
        <v>1800000642</v>
      </c>
      <c r="G211" s="5" t="s">
        <v>63</v>
      </c>
      <c r="H211" s="5" t="s">
        <v>60</v>
      </c>
      <c r="I211" s="9">
        <v>256788410499</v>
      </c>
      <c r="J211" s="5" t="s">
        <v>33</v>
      </c>
      <c r="K211" s="5" t="s">
        <v>41</v>
      </c>
      <c r="L211" s="8">
        <v>53</v>
      </c>
      <c r="M211" s="5" t="s">
        <v>34</v>
      </c>
      <c r="N211" s="8">
        <v>4809.3900000000003</v>
      </c>
      <c r="O211" s="5" t="s">
        <v>233</v>
      </c>
      <c r="P211" s="7">
        <v>46034</v>
      </c>
      <c r="Q211" s="7"/>
      <c r="R211" s="5" t="s">
        <v>32</v>
      </c>
      <c r="S211" t="e">
        <f>VLOOKUP(I211,TDS!$A$1:$C$70,4,FALSE)</f>
        <v>#N/A</v>
      </c>
    </row>
    <row r="212" spans="1:19" x14ac:dyDescent="0.35">
      <c r="A212" s="6">
        <v>100222362</v>
      </c>
      <c r="B212" s="5" t="s">
        <v>28</v>
      </c>
      <c r="C212" s="5" t="s">
        <v>225</v>
      </c>
      <c r="D212" s="5" t="s">
        <v>35</v>
      </c>
      <c r="E212" s="7">
        <v>46028</v>
      </c>
      <c r="F212" s="6">
        <v>1800016633</v>
      </c>
      <c r="G212" s="5" t="s">
        <v>63</v>
      </c>
      <c r="H212" s="5" t="s">
        <v>234</v>
      </c>
      <c r="I212" s="9">
        <v>256779440254</v>
      </c>
      <c r="J212" s="5" t="s">
        <v>33</v>
      </c>
      <c r="K212" s="5" t="s">
        <v>41</v>
      </c>
      <c r="L212" s="8">
        <v>2.0299999999999998</v>
      </c>
      <c r="M212" s="5" t="s">
        <v>34</v>
      </c>
      <c r="N212" s="8">
        <v>184.21</v>
      </c>
      <c r="O212" s="5" t="s">
        <v>235</v>
      </c>
      <c r="P212" s="7">
        <v>46028</v>
      </c>
      <c r="Q212" s="7"/>
      <c r="R212" s="5" t="s">
        <v>32</v>
      </c>
      <c r="S212" t="e">
        <f>VLOOKUP(I212,TDS!$A$1:$C$70,4,FALSE)</f>
        <v>#N/A</v>
      </c>
    </row>
    <row r="213" spans="1:19" x14ac:dyDescent="0.35">
      <c r="A213" s="6">
        <v>100222362</v>
      </c>
      <c r="B213" s="5" t="s">
        <v>28</v>
      </c>
      <c r="C213" s="5" t="s">
        <v>225</v>
      </c>
      <c r="D213" s="5" t="s">
        <v>35</v>
      </c>
      <c r="E213" s="7">
        <v>46034</v>
      </c>
      <c r="F213" s="6">
        <v>1800000647</v>
      </c>
      <c r="G213" s="5" t="s">
        <v>63</v>
      </c>
      <c r="H213" s="5" t="s">
        <v>236</v>
      </c>
      <c r="I213" s="9">
        <v>256788410500</v>
      </c>
      <c r="J213" s="5" t="s">
        <v>33</v>
      </c>
      <c r="K213" s="5" t="s">
        <v>41</v>
      </c>
      <c r="L213" s="8">
        <v>32</v>
      </c>
      <c r="M213" s="5" t="s">
        <v>34</v>
      </c>
      <c r="N213" s="8">
        <v>2903.78</v>
      </c>
      <c r="O213" s="5" t="s">
        <v>237</v>
      </c>
      <c r="P213" s="7">
        <v>46034</v>
      </c>
      <c r="Q213" s="7"/>
      <c r="R213" s="5" t="s">
        <v>32</v>
      </c>
      <c r="S213" t="e">
        <f>VLOOKUP(I213,TDS!$A$1:$C$70,4,FALSE)</f>
        <v>#N/A</v>
      </c>
    </row>
    <row r="214" spans="1:19" x14ac:dyDescent="0.35">
      <c r="A214" s="6">
        <v>100222362</v>
      </c>
      <c r="B214" s="5" t="s">
        <v>28</v>
      </c>
      <c r="C214" s="5" t="s">
        <v>225</v>
      </c>
      <c r="D214" s="5" t="s">
        <v>35</v>
      </c>
      <c r="E214" s="7">
        <v>46034</v>
      </c>
      <c r="F214" s="6">
        <v>1800000626</v>
      </c>
      <c r="G214" s="5" t="s">
        <v>63</v>
      </c>
      <c r="H214" s="5" t="s">
        <v>238</v>
      </c>
      <c r="I214" s="9">
        <v>256788410502</v>
      </c>
      <c r="J214" s="5" t="s">
        <v>33</v>
      </c>
      <c r="K214" s="5" t="s">
        <v>41</v>
      </c>
      <c r="L214" s="8">
        <v>3980.5</v>
      </c>
      <c r="M214" s="5" t="s">
        <v>34</v>
      </c>
      <c r="N214" s="8">
        <v>361203.07</v>
      </c>
      <c r="O214" s="5" t="s">
        <v>239</v>
      </c>
      <c r="P214" s="7">
        <v>46034</v>
      </c>
      <c r="Q214" s="7"/>
      <c r="R214" s="5" t="s">
        <v>32</v>
      </c>
      <c r="S214" t="e">
        <f>VLOOKUP(I214,TDS!$A$1:$C$70,4,FALSE)</f>
        <v>#N/A</v>
      </c>
    </row>
    <row r="215" spans="1:19" x14ac:dyDescent="0.35">
      <c r="A215" s="6">
        <v>100222362</v>
      </c>
      <c r="B215" s="5" t="s">
        <v>28</v>
      </c>
      <c r="C215" s="5" t="s">
        <v>225</v>
      </c>
      <c r="D215" s="5" t="s">
        <v>35</v>
      </c>
      <c r="E215" s="7">
        <v>46028</v>
      </c>
      <c r="F215" s="6">
        <v>1800000643</v>
      </c>
      <c r="G215" s="5" t="s">
        <v>63</v>
      </c>
      <c r="H215" s="5" t="s">
        <v>60</v>
      </c>
      <c r="I215" s="9">
        <v>256788410503</v>
      </c>
      <c r="J215" s="5" t="s">
        <v>33</v>
      </c>
      <c r="K215" s="5" t="s">
        <v>41</v>
      </c>
      <c r="L215" s="8">
        <v>994.98</v>
      </c>
      <c r="M215" s="5" t="s">
        <v>34</v>
      </c>
      <c r="N215" s="8">
        <v>90287.61</v>
      </c>
      <c r="O215" s="5" t="s">
        <v>240</v>
      </c>
      <c r="P215" s="7">
        <v>46028</v>
      </c>
      <c r="Q215" s="7"/>
      <c r="R215" s="5" t="s">
        <v>32</v>
      </c>
      <c r="S215" t="e">
        <f>VLOOKUP(I215,TDS!$A$1:$C$70,4,FALSE)</f>
        <v>#N/A</v>
      </c>
    </row>
    <row r="216" spans="1:19" x14ac:dyDescent="0.35">
      <c r="A216" s="6">
        <v>100222362</v>
      </c>
      <c r="B216" s="5" t="s">
        <v>28</v>
      </c>
      <c r="C216" s="5" t="s">
        <v>225</v>
      </c>
      <c r="D216" s="5" t="s">
        <v>35</v>
      </c>
      <c r="E216" s="7">
        <v>46034</v>
      </c>
      <c r="F216" s="6">
        <v>1800000627</v>
      </c>
      <c r="G216" s="5" t="s">
        <v>63</v>
      </c>
      <c r="H216" s="5" t="s">
        <v>241</v>
      </c>
      <c r="I216" s="9">
        <v>256788410507</v>
      </c>
      <c r="J216" s="5" t="s">
        <v>33</v>
      </c>
      <c r="K216" s="5" t="s">
        <v>41</v>
      </c>
      <c r="L216" s="8">
        <v>75</v>
      </c>
      <c r="M216" s="5" t="s">
        <v>34</v>
      </c>
      <c r="N216" s="8">
        <v>6805.74</v>
      </c>
      <c r="O216" s="5" t="s">
        <v>242</v>
      </c>
      <c r="P216" s="7">
        <v>46034</v>
      </c>
      <c r="Q216" s="7"/>
      <c r="R216" s="5" t="s">
        <v>32</v>
      </c>
      <c r="S216" t="e">
        <f>VLOOKUP(I216,TDS!$A$1:$C$70,4,FALSE)</f>
        <v>#N/A</v>
      </c>
    </row>
    <row r="217" spans="1:19" x14ac:dyDescent="0.35">
      <c r="A217" s="6">
        <v>100222362</v>
      </c>
      <c r="B217" s="5" t="s">
        <v>28</v>
      </c>
      <c r="C217" s="5" t="s">
        <v>225</v>
      </c>
      <c r="D217" s="5" t="s">
        <v>35</v>
      </c>
      <c r="E217" s="7">
        <v>46034</v>
      </c>
      <c r="F217" s="6">
        <v>1800000649</v>
      </c>
      <c r="G217" s="5" t="s">
        <v>63</v>
      </c>
      <c r="H217" s="5" t="s">
        <v>243</v>
      </c>
      <c r="I217" s="9">
        <v>256788410514</v>
      </c>
      <c r="J217" s="5" t="s">
        <v>33</v>
      </c>
      <c r="K217" s="5" t="s">
        <v>41</v>
      </c>
      <c r="L217" s="8">
        <v>63.04</v>
      </c>
      <c r="M217" s="5" t="s">
        <v>34</v>
      </c>
      <c r="N217" s="8">
        <v>5720.45</v>
      </c>
      <c r="O217" s="5" t="s">
        <v>226</v>
      </c>
      <c r="P217" s="7">
        <v>46034</v>
      </c>
      <c r="Q217" s="7"/>
      <c r="R217" s="5" t="s">
        <v>32</v>
      </c>
      <c r="S217" t="e">
        <f>VLOOKUP(I217,TDS!$A$1:$C$70,4,FALSE)</f>
        <v>#N/A</v>
      </c>
    </row>
    <row r="218" spans="1:19" x14ac:dyDescent="0.35">
      <c r="A218" s="6">
        <v>100222362</v>
      </c>
      <c r="B218" s="5" t="s">
        <v>28</v>
      </c>
      <c r="C218" s="5" t="s">
        <v>225</v>
      </c>
      <c r="D218" s="5" t="s">
        <v>35</v>
      </c>
      <c r="E218" s="7">
        <v>46041</v>
      </c>
      <c r="F218" s="6">
        <v>1600000272</v>
      </c>
      <c r="G218" s="5" t="s">
        <v>84</v>
      </c>
      <c r="H218" s="5" t="s">
        <v>244</v>
      </c>
      <c r="I218" s="9">
        <v>256788420148</v>
      </c>
      <c r="J218" s="5" t="s">
        <v>33</v>
      </c>
      <c r="K218" s="5" t="s">
        <v>41</v>
      </c>
      <c r="L218" s="8">
        <v>-25125.9</v>
      </c>
      <c r="M218" s="5" t="s">
        <v>34</v>
      </c>
      <c r="N218" s="8">
        <v>-2280003.06</v>
      </c>
      <c r="O218" s="5" t="s">
        <v>245</v>
      </c>
      <c r="P218" s="7">
        <v>46041</v>
      </c>
      <c r="Q218" s="7"/>
      <c r="R218" s="5" t="s">
        <v>32</v>
      </c>
      <c r="S218" t="e">
        <f>VLOOKUP(I218,TDS!$A$1:$C$70,4,FALSE)</f>
        <v>#N/A</v>
      </c>
    </row>
    <row r="219" spans="1:19" x14ac:dyDescent="0.35">
      <c r="A219" s="6">
        <v>100222362</v>
      </c>
      <c r="B219" s="5" t="s">
        <v>28</v>
      </c>
      <c r="C219" s="5" t="s">
        <v>225</v>
      </c>
      <c r="D219" s="5" t="s">
        <v>35</v>
      </c>
      <c r="E219" s="7">
        <v>46041</v>
      </c>
      <c r="F219" s="6">
        <v>1600000273</v>
      </c>
      <c r="G219" s="5" t="s">
        <v>84</v>
      </c>
      <c r="H219" s="5" t="s">
        <v>244</v>
      </c>
      <c r="I219" s="9">
        <v>256788420149</v>
      </c>
      <c r="J219" s="5" t="s">
        <v>33</v>
      </c>
      <c r="K219" s="5" t="s">
        <v>34</v>
      </c>
      <c r="L219" s="8">
        <v>-72465</v>
      </c>
      <c r="M219" s="5" t="s">
        <v>34</v>
      </c>
      <c r="N219" s="8">
        <v>-72465</v>
      </c>
      <c r="O219" s="5" t="s">
        <v>246</v>
      </c>
      <c r="P219" s="7">
        <v>46041</v>
      </c>
      <c r="Q219" s="7"/>
      <c r="R219" s="5" t="s">
        <v>32</v>
      </c>
      <c r="S219" t="e">
        <f>VLOOKUP(I219,TDS!$A$1:$C$70,4,FALSE)</f>
        <v>#N/A</v>
      </c>
    </row>
    <row r="220" spans="1:19" x14ac:dyDescent="0.35">
      <c r="A220" s="6">
        <v>100222362</v>
      </c>
      <c r="B220" s="5" t="s">
        <v>28</v>
      </c>
      <c r="C220" s="5" t="s">
        <v>225</v>
      </c>
      <c r="D220" s="5" t="s">
        <v>35</v>
      </c>
      <c r="E220" s="7">
        <v>46028</v>
      </c>
      <c r="F220" s="6">
        <v>1600000274</v>
      </c>
      <c r="G220" s="5" t="s">
        <v>84</v>
      </c>
      <c r="H220" s="5" t="s">
        <v>247</v>
      </c>
      <c r="I220" s="9">
        <v>256788420150</v>
      </c>
      <c r="J220" s="5" t="s">
        <v>33</v>
      </c>
      <c r="K220" s="5" t="s">
        <v>41</v>
      </c>
      <c r="L220" s="8">
        <v>-53</v>
      </c>
      <c r="M220" s="5" t="s">
        <v>34</v>
      </c>
      <c r="N220" s="8">
        <v>-4809.3900000000003</v>
      </c>
      <c r="O220" s="5" t="s">
        <v>248</v>
      </c>
      <c r="P220" s="7">
        <v>46028</v>
      </c>
      <c r="Q220" s="7"/>
      <c r="R220" s="5" t="s">
        <v>32</v>
      </c>
      <c r="S220" t="e">
        <f>VLOOKUP(I220,TDS!$A$1:$C$70,4,FALSE)</f>
        <v>#N/A</v>
      </c>
    </row>
    <row r="221" spans="1:19" x14ac:dyDescent="0.35">
      <c r="A221" s="11" t="s">
        <v>32</v>
      </c>
      <c r="B221" s="10" t="s">
        <v>32</v>
      </c>
      <c r="C221" s="10" t="s">
        <v>32</v>
      </c>
      <c r="D221" s="10" t="s">
        <v>32</v>
      </c>
      <c r="E221" s="12"/>
      <c r="F221" s="11" t="s">
        <v>32</v>
      </c>
      <c r="G221" s="10" t="s">
        <v>32</v>
      </c>
      <c r="H221" s="10" t="s">
        <v>32</v>
      </c>
      <c r="I221" s="13" t="s">
        <v>32</v>
      </c>
      <c r="J221" s="10" t="s">
        <v>33</v>
      </c>
      <c r="K221" s="10" t="s">
        <v>34</v>
      </c>
      <c r="L221" s="14">
        <v>-9572465</v>
      </c>
      <c r="M221" s="10" t="s">
        <v>34</v>
      </c>
      <c r="N221" s="14">
        <v>4079553.42</v>
      </c>
      <c r="O221" s="10" t="s">
        <v>32</v>
      </c>
      <c r="P221" s="12"/>
      <c r="Q221" s="12"/>
      <c r="R221" s="10" t="s">
        <v>32</v>
      </c>
      <c r="S221" t="e">
        <f>VLOOKUP(I221,TDS!$A$1:$C$70,4,FALSE)</f>
        <v>#N/A</v>
      </c>
    </row>
    <row r="222" spans="1:19" x14ac:dyDescent="0.35">
      <c r="A222" s="11" t="s">
        <v>32</v>
      </c>
      <c r="B222" s="10" t="s">
        <v>32</v>
      </c>
      <c r="C222" s="10" t="s">
        <v>32</v>
      </c>
      <c r="D222" s="10" t="s">
        <v>32</v>
      </c>
      <c r="E222" s="12"/>
      <c r="F222" s="11" t="s">
        <v>32</v>
      </c>
      <c r="G222" s="10" t="s">
        <v>32</v>
      </c>
      <c r="H222" s="10" t="s">
        <v>32</v>
      </c>
      <c r="I222" s="13" t="s">
        <v>32</v>
      </c>
      <c r="J222" s="10" t="s">
        <v>32</v>
      </c>
      <c r="K222" s="10" t="s">
        <v>41</v>
      </c>
      <c r="L222" s="14">
        <v>158148.89000000001</v>
      </c>
      <c r="M222" s="10" t="s">
        <v>32</v>
      </c>
      <c r="N222" s="15"/>
      <c r="O222" s="10" t="s">
        <v>32</v>
      </c>
      <c r="P222" s="12"/>
      <c r="Q222" s="12"/>
      <c r="R222" s="10" t="s">
        <v>32</v>
      </c>
      <c r="S222" t="e">
        <f>VLOOKUP(I222,TDS!$A$1:$C$70,4,FALSE)</f>
        <v>#N/A</v>
      </c>
    </row>
    <row r="223" spans="1:19" x14ac:dyDescent="0.35">
      <c r="A223" s="17" t="s">
        <v>32</v>
      </c>
      <c r="B223" s="16" t="s">
        <v>32</v>
      </c>
      <c r="C223" s="16" t="s">
        <v>32</v>
      </c>
      <c r="D223" s="16" t="s">
        <v>32</v>
      </c>
      <c r="E223" s="18"/>
      <c r="F223" s="17" t="s">
        <v>32</v>
      </c>
      <c r="G223" s="16" t="s">
        <v>32</v>
      </c>
      <c r="H223" s="16" t="s">
        <v>32</v>
      </c>
      <c r="I223" s="19" t="s">
        <v>32</v>
      </c>
      <c r="J223" s="16" t="s">
        <v>32</v>
      </c>
      <c r="K223" s="16" t="s">
        <v>34</v>
      </c>
      <c r="L223" s="20">
        <v>-9572465</v>
      </c>
      <c r="M223" s="16" t="s">
        <v>34</v>
      </c>
      <c r="N223" s="20">
        <v>4079553.42</v>
      </c>
      <c r="O223" s="16" t="s">
        <v>32</v>
      </c>
      <c r="P223" s="18"/>
      <c r="Q223" s="18"/>
      <c r="R223" s="16" t="s">
        <v>32</v>
      </c>
      <c r="S223" t="e">
        <f>VLOOKUP(I223,TDS!$A$1:$C$70,4,FALSE)</f>
        <v>#N/A</v>
      </c>
    </row>
    <row r="224" spans="1:19" x14ac:dyDescent="0.35">
      <c r="A224" s="17" t="s">
        <v>32</v>
      </c>
      <c r="B224" s="16" t="s">
        <v>32</v>
      </c>
      <c r="C224" s="16" t="s">
        <v>32</v>
      </c>
      <c r="D224" s="16" t="s">
        <v>32</v>
      </c>
      <c r="E224" s="18"/>
      <c r="F224" s="17" t="s">
        <v>32</v>
      </c>
      <c r="G224" s="16" t="s">
        <v>32</v>
      </c>
      <c r="H224" s="16" t="s">
        <v>32</v>
      </c>
      <c r="I224" s="19" t="s">
        <v>32</v>
      </c>
      <c r="J224" s="16" t="s">
        <v>32</v>
      </c>
      <c r="K224" s="16" t="s">
        <v>41</v>
      </c>
      <c r="L224" s="20">
        <v>158148.89000000001</v>
      </c>
      <c r="M224" s="16" t="s">
        <v>32</v>
      </c>
      <c r="N224" s="21"/>
      <c r="O224" s="16" t="s">
        <v>32</v>
      </c>
      <c r="P224" s="18"/>
      <c r="Q224" s="18"/>
      <c r="R224" s="16" t="s">
        <v>32</v>
      </c>
      <c r="S224" t="e">
        <f>VLOOKUP(I224,TDS!$A$1:$C$70,4,FALSE)</f>
        <v>#N/A</v>
      </c>
    </row>
  </sheetData>
  <autoFilter ref="A1:V1" xr:uid="{8EE11057-34DF-4098-8969-E55B9EC990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420-1503-4E68-A825-9D8E863D5DD7}">
  <dimension ref="A1:D70"/>
  <sheetViews>
    <sheetView workbookViewId="0">
      <selection activeCell="C6" sqref="C6"/>
    </sheetView>
  </sheetViews>
  <sheetFormatPr defaultRowHeight="14.5" x14ac:dyDescent="0.35"/>
  <cols>
    <col min="1" max="1" width="7.26953125" bestFit="1" customWidth="1"/>
    <col min="2" max="2" width="35.54296875" bestFit="1" customWidth="1"/>
    <col min="3" max="3" width="31.08984375" customWidth="1"/>
    <col min="4" max="4" width="8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246788410024</v>
      </c>
      <c r="D2">
        <v>34560</v>
      </c>
    </row>
    <row r="3" spans="1:4" x14ac:dyDescent="0.35">
      <c r="A3" t="s">
        <v>4</v>
      </c>
      <c r="B3" t="s">
        <v>5</v>
      </c>
      <c r="C3">
        <v>246788410005</v>
      </c>
      <c r="D3">
        <v>638</v>
      </c>
    </row>
    <row r="4" spans="1:4" x14ac:dyDescent="0.35">
      <c r="A4" t="s">
        <v>4</v>
      </c>
      <c r="B4" t="s">
        <v>5</v>
      </c>
      <c r="C4">
        <v>246788410009</v>
      </c>
      <c r="D4">
        <v>638</v>
      </c>
    </row>
    <row r="5" spans="1:4" x14ac:dyDescent="0.35">
      <c r="A5" t="s">
        <v>4</v>
      </c>
      <c r="B5" t="s">
        <v>5</v>
      </c>
      <c r="C5">
        <v>246788410013</v>
      </c>
      <c r="D5">
        <v>638</v>
      </c>
    </row>
    <row r="6" spans="1:4" x14ac:dyDescent="0.35">
      <c r="A6" t="s">
        <v>4</v>
      </c>
      <c r="B6" t="s">
        <v>5</v>
      </c>
      <c r="C6">
        <v>246788410015</v>
      </c>
      <c r="D6">
        <v>638</v>
      </c>
    </row>
    <row r="7" spans="1:4" x14ac:dyDescent="0.35">
      <c r="A7" t="s">
        <v>4</v>
      </c>
      <c r="B7" t="s">
        <v>5</v>
      </c>
      <c r="C7">
        <v>246788410017</v>
      </c>
      <c r="D7">
        <v>638</v>
      </c>
    </row>
    <row r="8" spans="1:4" x14ac:dyDescent="0.35">
      <c r="A8" t="s">
        <v>4</v>
      </c>
      <c r="B8" t="s">
        <v>5</v>
      </c>
      <c r="C8">
        <v>246788410019</v>
      </c>
      <c r="D8">
        <v>638</v>
      </c>
    </row>
    <row r="9" spans="1:4" x14ac:dyDescent="0.35">
      <c r="A9" t="s">
        <v>4</v>
      </c>
      <c r="B9" t="s">
        <v>5</v>
      </c>
      <c r="C9">
        <v>246788410021</v>
      </c>
      <c r="D9">
        <v>638</v>
      </c>
    </row>
    <row r="10" spans="1:4" x14ac:dyDescent="0.35">
      <c r="A10" t="s">
        <v>4</v>
      </c>
      <c r="B10" t="s">
        <v>5</v>
      </c>
      <c r="C10">
        <v>246788410044</v>
      </c>
      <c r="D10">
        <v>4061</v>
      </c>
    </row>
    <row r="11" spans="1:4" x14ac:dyDescent="0.35">
      <c r="A11" t="s">
        <v>4</v>
      </c>
      <c r="B11" t="s">
        <v>5</v>
      </c>
      <c r="C11">
        <v>246788410039</v>
      </c>
      <c r="D11">
        <v>9072</v>
      </c>
    </row>
    <row r="12" spans="1:4" x14ac:dyDescent="0.35">
      <c r="A12" t="s">
        <v>4</v>
      </c>
      <c r="B12" t="s">
        <v>5</v>
      </c>
      <c r="C12">
        <v>246788410040</v>
      </c>
      <c r="D12">
        <v>1129</v>
      </c>
    </row>
    <row r="13" spans="1:4" x14ac:dyDescent="0.35">
      <c r="A13" t="s">
        <v>4</v>
      </c>
      <c r="B13" t="s">
        <v>5</v>
      </c>
      <c r="C13">
        <v>246788410042</v>
      </c>
      <c r="D13">
        <v>38022</v>
      </c>
    </row>
    <row r="14" spans="1:4" x14ac:dyDescent="0.35">
      <c r="A14" t="s">
        <v>4</v>
      </c>
      <c r="B14" t="s">
        <v>5</v>
      </c>
      <c r="C14">
        <v>246788410043</v>
      </c>
      <c r="D14">
        <v>23478</v>
      </c>
    </row>
    <row r="15" spans="1:4" x14ac:dyDescent="0.35">
      <c r="A15" t="s">
        <v>4</v>
      </c>
      <c r="B15" t="s">
        <v>5</v>
      </c>
      <c r="C15">
        <v>246788410045</v>
      </c>
      <c r="D15">
        <v>7151</v>
      </c>
    </row>
    <row r="16" spans="1:4" x14ac:dyDescent="0.35">
      <c r="A16" t="s">
        <v>4</v>
      </c>
      <c r="B16" t="s">
        <v>5</v>
      </c>
      <c r="C16">
        <v>246788410046</v>
      </c>
      <c r="D16">
        <v>35442</v>
      </c>
    </row>
    <row r="17" spans="1:4" x14ac:dyDescent="0.35">
      <c r="A17" t="s">
        <v>4</v>
      </c>
      <c r="B17" t="s">
        <v>5</v>
      </c>
      <c r="C17">
        <v>246788410079</v>
      </c>
      <c r="D17">
        <v>541</v>
      </c>
    </row>
    <row r="18" spans="1:4" x14ac:dyDescent="0.35">
      <c r="A18" t="s">
        <v>4</v>
      </c>
      <c r="B18" t="s">
        <v>5</v>
      </c>
      <c r="C18">
        <v>246788410118</v>
      </c>
      <c r="D18">
        <v>1282</v>
      </c>
    </row>
    <row r="19" spans="1:4" x14ac:dyDescent="0.35">
      <c r="A19" t="s">
        <v>4</v>
      </c>
      <c r="B19" t="s">
        <v>5</v>
      </c>
      <c r="C19">
        <v>246788410117</v>
      </c>
      <c r="D19">
        <v>571</v>
      </c>
    </row>
    <row r="20" spans="1:4" x14ac:dyDescent="0.35">
      <c r="A20" t="s">
        <v>4</v>
      </c>
      <c r="B20" t="s">
        <v>5</v>
      </c>
      <c r="C20">
        <v>246788410115</v>
      </c>
      <c r="D20">
        <v>19872</v>
      </c>
    </row>
    <row r="21" spans="1:4" x14ac:dyDescent="0.35">
      <c r="A21" t="s">
        <v>4</v>
      </c>
      <c r="B21" t="s">
        <v>5</v>
      </c>
      <c r="C21">
        <v>246788410116</v>
      </c>
      <c r="D21">
        <v>19872</v>
      </c>
    </row>
    <row r="22" spans="1:4" x14ac:dyDescent="0.35">
      <c r="A22" t="s">
        <v>4</v>
      </c>
      <c r="B22" t="s">
        <v>5</v>
      </c>
      <c r="C22">
        <v>256788410221</v>
      </c>
      <c r="D22">
        <v>89120</v>
      </c>
    </row>
    <row r="23" spans="1:4" x14ac:dyDescent="0.35">
      <c r="A23" t="s">
        <v>4</v>
      </c>
      <c r="B23" t="s">
        <v>5</v>
      </c>
      <c r="C23">
        <v>256788410001</v>
      </c>
      <c r="D23">
        <v>94637</v>
      </c>
    </row>
    <row r="24" spans="1:4" x14ac:dyDescent="0.35">
      <c r="A24" t="s">
        <v>4</v>
      </c>
      <c r="B24" t="s">
        <v>5</v>
      </c>
      <c r="C24">
        <v>256788410002</v>
      </c>
      <c r="D24">
        <v>86304</v>
      </c>
    </row>
    <row r="25" spans="1:4" x14ac:dyDescent="0.35">
      <c r="A25" t="s">
        <v>4</v>
      </c>
      <c r="B25" t="s">
        <v>5</v>
      </c>
      <c r="C25">
        <v>256788410206</v>
      </c>
      <c r="D25">
        <v>93905</v>
      </c>
    </row>
    <row r="26" spans="1:4" x14ac:dyDescent="0.35">
      <c r="A26" t="s">
        <v>4</v>
      </c>
      <c r="B26" t="s">
        <v>5</v>
      </c>
      <c r="C26">
        <v>256788410004</v>
      </c>
      <c r="D26">
        <v>24219</v>
      </c>
    </row>
    <row r="27" spans="1:4" x14ac:dyDescent="0.35">
      <c r="A27" t="s">
        <v>4</v>
      </c>
      <c r="B27" t="s">
        <v>5</v>
      </c>
      <c r="C27">
        <v>256788410009</v>
      </c>
      <c r="D27">
        <v>25509</v>
      </c>
    </row>
    <row r="28" spans="1:4" x14ac:dyDescent="0.35">
      <c r="A28" t="s">
        <v>4</v>
      </c>
      <c r="B28" t="s">
        <v>5</v>
      </c>
      <c r="C28">
        <v>256788410013</v>
      </c>
      <c r="D28">
        <v>25516</v>
      </c>
    </row>
    <row r="29" spans="1:4" x14ac:dyDescent="0.35">
      <c r="A29" t="s">
        <v>4</v>
      </c>
      <c r="B29" t="s">
        <v>5</v>
      </c>
      <c r="C29">
        <v>256788410016</v>
      </c>
      <c r="D29">
        <v>34588</v>
      </c>
    </row>
    <row r="30" spans="1:4" x14ac:dyDescent="0.35">
      <c r="A30" t="s">
        <v>4</v>
      </c>
      <c r="B30" t="s">
        <v>5</v>
      </c>
      <c r="C30">
        <v>256788410215</v>
      </c>
      <c r="D30">
        <v>20090</v>
      </c>
    </row>
    <row r="31" spans="1:4" x14ac:dyDescent="0.35">
      <c r="A31" t="s">
        <v>4</v>
      </c>
      <c r="B31" t="s">
        <v>6</v>
      </c>
      <c r="C31">
        <v>256788410357</v>
      </c>
      <c r="D31">
        <v>99519.72</v>
      </c>
    </row>
    <row r="32" spans="1:4" x14ac:dyDescent="0.35">
      <c r="A32" t="s">
        <v>4</v>
      </c>
      <c r="B32" t="s">
        <v>7</v>
      </c>
      <c r="C32">
        <v>246788410114</v>
      </c>
      <c r="D32">
        <v>91.37</v>
      </c>
    </row>
    <row r="33" spans="1:4" x14ac:dyDescent="0.35">
      <c r="A33" t="s">
        <v>4</v>
      </c>
      <c r="B33" t="s">
        <v>7</v>
      </c>
      <c r="C33">
        <v>256788410065</v>
      </c>
      <c r="D33">
        <v>42.38</v>
      </c>
    </row>
    <row r="34" spans="1:4" x14ac:dyDescent="0.35">
      <c r="A34" t="s">
        <v>8</v>
      </c>
      <c r="B34" t="s">
        <v>5</v>
      </c>
      <c r="C34">
        <v>246788410060</v>
      </c>
      <c r="D34">
        <v>62</v>
      </c>
    </row>
    <row r="35" spans="1:4" x14ac:dyDescent="0.35">
      <c r="A35" t="s">
        <v>8</v>
      </c>
      <c r="B35" t="s">
        <v>5</v>
      </c>
      <c r="C35">
        <v>246788410061</v>
      </c>
      <c r="D35">
        <v>44</v>
      </c>
    </row>
    <row r="36" spans="1:4" x14ac:dyDescent="0.35">
      <c r="A36" t="s">
        <v>8</v>
      </c>
      <c r="B36" t="s">
        <v>5</v>
      </c>
      <c r="C36">
        <v>246788410062</v>
      </c>
      <c r="D36">
        <v>44</v>
      </c>
    </row>
    <row r="37" spans="1:4" x14ac:dyDescent="0.35">
      <c r="A37" t="s">
        <v>8</v>
      </c>
      <c r="B37" t="s">
        <v>5</v>
      </c>
      <c r="C37">
        <v>246788410063</v>
      </c>
      <c r="D37">
        <v>40</v>
      </c>
    </row>
    <row r="38" spans="1:4" x14ac:dyDescent="0.35">
      <c r="A38" t="s">
        <v>8</v>
      </c>
      <c r="B38" t="s">
        <v>5</v>
      </c>
      <c r="C38">
        <v>246788410064</v>
      </c>
      <c r="D38">
        <v>40</v>
      </c>
    </row>
    <row r="39" spans="1:4" x14ac:dyDescent="0.35">
      <c r="A39" t="s">
        <v>8</v>
      </c>
      <c r="B39" t="s">
        <v>5</v>
      </c>
      <c r="C39">
        <v>246788410065</v>
      </c>
      <c r="D39">
        <v>40</v>
      </c>
    </row>
    <row r="40" spans="1:4" x14ac:dyDescent="0.35">
      <c r="A40" t="s">
        <v>8</v>
      </c>
      <c r="B40" t="s">
        <v>5</v>
      </c>
      <c r="C40">
        <v>246788410001</v>
      </c>
      <c r="D40">
        <v>129</v>
      </c>
    </row>
    <row r="41" spans="1:4" x14ac:dyDescent="0.35">
      <c r="A41" t="s">
        <v>8</v>
      </c>
      <c r="B41" t="s">
        <v>5</v>
      </c>
      <c r="C41">
        <v>246779414916</v>
      </c>
      <c r="D41">
        <v>13</v>
      </c>
    </row>
    <row r="42" spans="1:4" x14ac:dyDescent="0.35">
      <c r="A42" t="s">
        <v>8</v>
      </c>
      <c r="B42" t="s">
        <v>5</v>
      </c>
      <c r="C42">
        <v>246779414917</v>
      </c>
      <c r="D42">
        <v>21</v>
      </c>
    </row>
    <row r="43" spans="1:4" x14ac:dyDescent="0.35">
      <c r="A43" t="s">
        <v>8</v>
      </c>
      <c r="B43" t="s">
        <v>5</v>
      </c>
      <c r="C43">
        <v>256779410198</v>
      </c>
      <c r="D43">
        <v>6</v>
      </c>
    </row>
    <row r="44" spans="1:4" x14ac:dyDescent="0.35">
      <c r="A44" t="s">
        <v>8</v>
      </c>
      <c r="B44" t="s">
        <v>5</v>
      </c>
      <c r="C44">
        <v>256779412482</v>
      </c>
      <c r="D44">
        <v>164</v>
      </c>
    </row>
    <row r="45" spans="1:4" x14ac:dyDescent="0.35">
      <c r="A45" t="s">
        <v>8</v>
      </c>
      <c r="B45" t="s">
        <v>5</v>
      </c>
      <c r="C45">
        <v>256779412498</v>
      </c>
      <c r="D45">
        <v>44</v>
      </c>
    </row>
    <row r="46" spans="1:4" x14ac:dyDescent="0.35">
      <c r="A46" t="s">
        <v>8</v>
      </c>
      <c r="B46" t="s">
        <v>5</v>
      </c>
      <c r="C46">
        <v>256779412015</v>
      </c>
      <c r="D46">
        <v>150</v>
      </c>
    </row>
    <row r="47" spans="1:4" x14ac:dyDescent="0.35">
      <c r="A47" t="s">
        <v>8</v>
      </c>
      <c r="B47" t="s">
        <v>5</v>
      </c>
      <c r="C47">
        <v>256779412058</v>
      </c>
      <c r="D47">
        <v>328</v>
      </c>
    </row>
    <row r="48" spans="1:4" x14ac:dyDescent="0.35">
      <c r="A48" t="s">
        <v>8</v>
      </c>
      <c r="B48" t="s">
        <v>5</v>
      </c>
      <c r="C48">
        <v>256779412096</v>
      </c>
      <c r="D48">
        <v>29</v>
      </c>
    </row>
    <row r="49" spans="1:4" x14ac:dyDescent="0.35">
      <c r="A49" t="s">
        <v>8</v>
      </c>
      <c r="B49" t="s">
        <v>5</v>
      </c>
      <c r="C49">
        <v>256779413241</v>
      </c>
      <c r="D49">
        <v>1814</v>
      </c>
    </row>
    <row r="50" spans="1:4" x14ac:dyDescent="0.35">
      <c r="A50" t="s">
        <v>8</v>
      </c>
      <c r="B50" t="s">
        <v>5</v>
      </c>
      <c r="C50">
        <v>246788410109</v>
      </c>
      <c r="D50">
        <v>4062</v>
      </c>
    </row>
    <row r="51" spans="1:4" x14ac:dyDescent="0.35">
      <c r="A51" t="s">
        <v>8</v>
      </c>
      <c r="B51" t="s">
        <v>5</v>
      </c>
      <c r="C51">
        <v>246788410085</v>
      </c>
      <c r="D51">
        <v>2296</v>
      </c>
    </row>
    <row r="52" spans="1:4" x14ac:dyDescent="0.35">
      <c r="A52" t="s">
        <v>8</v>
      </c>
      <c r="B52" t="s">
        <v>5</v>
      </c>
      <c r="C52">
        <v>256788410027</v>
      </c>
      <c r="D52">
        <v>296</v>
      </c>
    </row>
    <row r="53" spans="1:4" x14ac:dyDescent="0.35">
      <c r="A53" t="s">
        <v>8</v>
      </c>
      <c r="B53" t="s">
        <v>7</v>
      </c>
      <c r="C53">
        <v>256788410259</v>
      </c>
      <c r="D53">
        <v>129</v>
      </c>
    </row>
    <row r="54" spans="1:4" x14ac:dyDescent="0.35">
      <c r="A54" t="s">
        <v>8</v>
      </c>
      <c r="B54" t="s">
        <v>7</v>
      </c>
      <c r="C54">
        <v>256788410264</v>
      </c>
      <c r="D54">
        <v>7.98</v>
      </c>
    </row>
    <row r="55" spans="1:4" x14ac:dyDescent="0.35">
      <c r="A55" t="s">
        <v>8</v>
      </c>
      <c r="B55" t="s">
        <v>7</v>
      </c>
      <c r="C55">
        <v>256788410265</v>
      </c>
      <c r="D55">
        <v>2597.25</v>
      </c>
    </row>
    <row r="56" spans="1:4" x14ac:dyDescent="0.35">
      <c r="A56" t="s">
        <v>8</v>
      </c>
      <c r="B56" t="s">
        <v>7</v>
      </c>
      <c r="C56">
        <v>256779416953</v>
      </c>
      <c r="D56">
        <v>3.75</v>
      </c>
    </row>
    <row r="57" spans="1:4" x14ac:dyDescent="0.35">
      <c r="A57" t="s">
        <v>8</v>
      </c>
      <c r="B57" t="s">
        <v>7</v>
      </c>
      <c r="C57">
        <v>256788410353</v>
      </c>
      <c r="D57">
        <v>175.03</v>
      </c>
    </row>
    <row r="58" spans="1:4" x14ac:dyDescent="0.35">
      <c r="A58" t="s">
        <v>8</v>
      </c>
      <c r="B58" t="s">
        <v>7</v>
      </c>
      <c r="C58">
        <v>256788410354</v>
      </c>
      <c r="D58">
        <v>21.91</v>
      </c>
    </row>
    <row r="59" spans="1:4" x14ac:dyDescent="0.35">
      <c r="A59" t="s">
        <v>8</v>
      </c>
      <c r="B59" t="s">
        <v>7</v>
      </c>
      <c r="C59">
        <v>256788410355</v>
      </c>
      <c r="D59">
        <v>23.91</v>
      </c>
    </row>
    <row r="60" spans="1:4" x14ac:dyDescent="0.35">
      <c r="A60" t="s">
        <v>8</v>
      </c>
      <c r="B60" t="s">
        <v>7</v>
      </c>
      <c r="C60">
        <v>256788410358</v>
      </c>
      <c r="D60">
        <v>19796.09</v>
      </c>
    </row>
    <row r="61" spans="1:4" x14ac:dyDescent="0.35">
      <c r="A61" t="s">
        <v>8</v>
      </c>
      <c r="B61" t="s">
        <v>7</v>
      </c>
      <c r="C61">
        <v>256788410359</v>
      </c>
      <c r="D61">
        <v>221.55</v>
      </c>
    </row>
    <row r="62" spans="1:4" x14ac:dyDescent="0.35">
      <c r="A62" t="s">
        <v>8</v>
      </c>
      <c r="B62" t="s">
        <v>7</v>
      </c>
      <c r="C62">
        <v>256788410360</v>
      </c>
      <c r="D62">
        <v>609.47</v>
      </c>
    </row>
    <row r="63" spans="1:4" x14ac:dyDescent="0.35">
      <c r="A63" t="s">
        <v>8</v>
      </c>
      <c r="B63" t="s">
        <v>7</v>
      </c>
      <c r="C63">
        <v>256788410361</v>
      </c>
      <c r="D63">
        <v>45.51</v>
      </c>
    </row>
    <row r="64" spans="1:4" x14ac:dyDescent="0.35">
      <c r="A64" t="s">
        <v>8</v>
      </c>
      <c r="B64" t="s">
        <v>7</v>
      </c>
      <c r="C64">
        <v>256788410363</v>
      </c>
      <c r="D64">
        <v>398.61</v>
      </c>
    </row>
    <row r="65" spans="1:4" x14ac:dyDescent="0.35">
      <c r="A65" t="s">
        <v>8</v>
      </c>
      <c r="B65" t="s">
        <v>7</v>
      </c>
      <c r="C65">
        <v>256788410364</v>
      </c>
      <c r="D65">
        <v>656.36</v>
      </c>
    </row>
    <row r="66" spans="1:4" x14ac:dyDescent="0.35">
      <c r="A66" t="s">
        <v>8</v>
      </c>
      <c r="B66" t="s">
        <v>7</v>
      </c>
      <c r="C66">
        <v>256788410162</v>
      </c>
      <c r="D66">
        <v>9.49</v>
      </c>
    </row>
    <row r="67" spans="1:4" x14ac:dyDescent="0.35">
      <c r="A67" t="s">
        <v>8</v>
      </c>
      <c r="B67" t="s">
        <v>7</v>
      </c>
      <c r="C67">
        <v>256788410163</v>
      </c>
      <c r="D67">
        <v>6.08</v>
      </c>
    </row>
    <row r="68" spans="1:4" x14ac:dyDescent="0.35">
      <c r="A68" t="s">
        <v>8</v>
      </c>
      <c r="B68" t="s">
        <v>7</v>
      </c>
      <c r="C68">
        <v>256788410164</v>
      </c>
      <c r="D68">
        <v>9.74</v>
      </c>
    </row>
    <row r="69" spans="1:4" x14ac:dyDescent="0.35">
      <c r="A69" t="s">
        <v>8</v>
      </c>
      <c r="B69" t="s">
        <v>7</v>
      </c>
      <c r="C69">
        <v>256788410165</v>
      </c>
      <c r="D69">
        <v>9.74</v>
      </c>
    </row>
    <row r="70" spans="1:4" x14ac:dyDescent="0.35">
      <c r="A70" t="s">
        <v>8</v>
      </c>
      <c r="B70" t="s">
        <v>9</v>
      </c>
      <c r="C70">
        <v>256788410166</v>
      </c>
      <c r="D70">
        <v>20.170000000000002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opLeftCell="A43" zoomScale="115" zoomScaleNormal="115" workbookViewId="0">
      <selection activeCell="J57" sqref="J57"/>
    </sheetView>
  </sheetViews>
  <sheetFormatPr defaultRowHeight="14.5" x14ac:dyDescent="0.35"/>
  <cols>
    <col min="1" max="1" width="35.54296875" bestFit="1" customWidth="1"/>
    <col min="2" max="2" width="18.7265625" bestFit="1" customWidth="1"/>
    <col min="3" max="3" width="7.453125" bestFit="1" customWidth="1"/>
    <col min="4" max="4" width="7.26953125" bestFit="1" customWidth="1"/>
    <col min="5" max="5" width="11.1796875" bestFit="1" customWidth="1"/>
    <col min="6" max="6" width="11.453125" bestFit="1" customWidth="1"/>
  </cols>
  <sheetData>
    <row r="1" spans="1:6" x14ac:dyDescent="0.35">
      <c r="A1" s="1" t="s">
        <v>1</v>
      </c>
      <c r="B1" s="1" t="s">
        <v>2</v>
      </c>
      <c r="C1" s="2" t="s">
        <v>3</v>
      </c>
      <c r="D1" s="1" t="s">
        <v>0</v>
      </c>
    </row>
    <row r="2" spans="1:6" x14ac:dyDescent="0.35">
      <c r="A2" s="1" t="s">
        <v>5</v>
      </c>
      <c r="B2" s="27">
        <v>246788410024</v>
      </c>
      <c r="C2" s="2">
        <v>34560</v>
      </c>
      <c r="D2" s="1" t="s">
        <v>4</v>
      </c>
      <c r="E2" cm="1">
        <f t="array" ref="E2:F2">VLOOKUP(B2,'LEDGER FINAL'!H3:$R$221,{3,7},0)</f>
        <v>1800000041</v>
      </c>
      <c r="F2" s="24">
        <v>343523.09</v>
      </c>
    </row>
    <row r="3" spans="1:6" x14ac:dyDescent="0.35">
      <c r="A3" s="1" t="s">
        <v>5</v>
      </c>
      <c r="B3" s="27">
        <v>246788410005</v>
      </c>
      <c r="C3" s="2">
        <v>638</v>
      </c>
      <c r="D3" s="1" t="s">
        <v>4</v>
      </c>
      <c r="E3" cm="1">
        <f t="array" ref="E3:F3">VLOOKUP(B3,'LEDGER FINAL'!H4:$R$221,{3,7},0)</f>
        <v>1800000006</v>
      </c>
      <c r="F3" s="24">
        <v>6472.77</v>
      </c>
    </row>
    <row r="4" spans="1:6" x14ac:dyDescent="0.35">
      <c r="A4" s="1" t="s">
        <v>5</v>
      </c>
      <c r="B4" s="27">
        <v>246788410009</v>
      </c>
      <c r="C4" s="2">
        <v>638</v>
      </c>
      <c r="D4" s="1" t="s">
        <v>4</v>
      </c>
      <c r="E4" cm="1">
        <f t="array" ref="E4:F4">VLOOKUP(B4,'LEDGER FINAL'!H5:$R$221,{3,7},0)</f>
        <v>1800000022</v>
      </c>
      <c r="F4" s="24">
        <v>6472.77</v>
      </c>
    </row>
    <row r="5" spans="1:6" x14ac:dyDescent="0.35">
      <c r="A5" s="1" t="s">
        <v>5</v>
      </c>
      <c r="B5" s="27">
        <v>246788410013</v>
      </c>
      <c r="C5" s="2">
        <v>638</v>
      </c>
      <c r="D5" s="1" t="s">
        <v>4</v>
      </c>
      <c r="E5" cm="1">
        <f t="array" ref="E5:F5">VLOOKUP(B5,'LEDGER FINAL'!H6:$R$221,{3,7},0)</f>
        <v>1800000018</v>
      </c>
      <c r="F5" s="24">
        <v>6472.77</v>
      </c>
    </row>
    <row r="6" spans="1:6" x14ac:dyDescent="0.35">
      <c r="A6" s="1" t="s">
        <v>5</v>
      </c>
      <c r="B6" s="27">
        <v>246788410015</v>
      </c>
      <c r="C6" s="2">
        <v>638</v>
      </c>
      <c r="D6" s="1" t="s">
        <v>4</v>
      </c>
      <c r="E6" cm="1">
        <f t="array" ref="E6:F6">VLOOKUP(B6,'LEDGER FINAL'!H7:$R$221,{3,7},0)</f>
        <v>1800000010</v>
      </c>
      <c r="F6" s="24">
        <v>6472.77</v>
      </c>
    </row>
    <row r="7" spans="1:6" x14ac:dyDescent="0.35">
      <c r="A7" s="1" t="s">
        <v>5</v>
      </c>
      <c r="B7" s="27">
        <v>246788410017</v>
      </c>
      <c r="C7" s="2">
        <v>638</v>
      </c>
      <c r="D7" s="1" t="s">
        <v>4</v>
      </c>
      <c r="E7" cm="1">
        <f t="array" ref="E7:F7">VLOOKUP(B7,'LEDGER FINAL'!H8:$R$221,{3,7},0)</f>
        <v>1800000012</v>
      </c>
      <c r="F7" s="24">
        <v>6472.77</v>
      </c>
    </row>
    <row r="8" spans="1:6" x14ac:dyDescent="0.35">
      <c r="A8" s="1" t="s">
        <v>5</v>
      </c>
      <c r="B8" s="27">
        <v>246788410019</v>
      </c>
      <c r="C8" s="2">
        <v>638</v>
      </c>
      <c r="D8" s="1" t="s">
        <v>4</v>
      </c>
      <c r="E8" cm="1">
        <f t="array" ref="E8:F8">VLOOKUP(B8,'LEDGER FINAL'!H9:$R$221,{3,7},0)</f>
        <v>1800000029</v>
      </c>
      <c r="F8" s="24">
        <v>6472.77</v>
      </c>
    </row>
    <row r="9" spans="1:6" x14ac:dyDescent="0.35">
      <c r="A9" s="1" t="s">
        <v>5</v>
      </c>
      <c r="B9" s="27">
        <v>246788410021</v>
      </c>
      <c r="C9" s="2">
        <v>638</v>
      </c>
      <c r="D9" s="1" t="s">
        <v>4</v>
      </c>
      <c r="E9" cm="1">
        <f t="array" ref="E9:F9">VLOOKUP(B9,'LEDGER FINAL'!H10:$R$221,{3,7},0)</f>
        <v>1800000033</v>
      </c>
      <c r="F9" s="24">
        <v>6472.77</v>
      </c>
    </row>
    <row r="10" spans="1:6" x14ac:dyDescent="0.35">
      <c r="A10" s="1" t="s">
        <v>5</v>
      </c>
      <c r="B10" s="27">
        <v>246788410044</v>
      </c>
      <c r="C10" s="2">
        <v>4061</v>
      </c>
      <c r="D10" s="1" t="s">
        <v>4</v>
      </c>
      <c r="E10" cm="1">
        <f t="array" ref="E10:F10">VLOOKUP(B10,'LEDGER FINAL'!H11:$R$221,{3,7},0)</f>
        <v>1800000049</v>
      </c>
      <c r="F10" s="24">
        <v>41112.46</v>
      </c>
    </row>
    <row r="11" spans="1:6" x14ac:dyDescent="0.35">
      <c r="A11" s="1" t="s">
        <v>5</v>
      </c>
      <c r="B11" s="27">
        <v>246788410039</v>
      </c>
      <c r="C11" s="2">
        <v>9072</v>
      </c>
      <c r="D11" s="1" t="s">
        <v>4</v>
      </c>
      <c r="E11" cm="1">
        <f t="array" ref="E11:F11">VLOOKUP(B11,'LEDGER FINAL'!H12:$R$221,{3,7},0)</f>
        <v>1800000045</v>
      </c>
      <c r="F11" s="24">
        <v>90565.49</v>
      </c>
    </row>
    <row r="12" spans="1:6" x14ac:dyDescent="0.35">
      <c r="A12" s="1" t="s">
        <v>5</v>
      </c>
      <c r="B12" s="27">
        <v>246788410040</v>
      </c>
      <c r="C12" s="2">
        <v>1129</v>
      </c>
      <c r="D12" s="1" t="s">
        <v>4</v>
      </c>
      <c r="E12" cm="1">
        <f t="array" ref="E12:F12">VLOOKUP(B12,'LEDGER FINAL'!H13:$R$221,{3,7},0)</f>
        <v>1800000046</v>
      </c>
      <c r="F12" s="24">
        <v>11268.13</v>
      </c>
    </row>
    <row r="13" spans="1:6" x14ac:dyDescent="0.35">
      <c r="A13" s="1" t="s">
        <v>5</v>
      </c>
      <c r="B13" s="27">
        <v>246788410042</v>
      </c>
      <c r="C13" s="2">
        <v>38022</v>
      </c>
      <c r="D13" s="1" t="s">
        <v>4</v>
      </c>
      <c r="E13" cm="1">
        <f t="array" ref="E13:F13">VLOOKUP(B13,'LEDGER FINAL'!H14:$R$221,{3,7},0)</f>
        <v>1800000047</v>
      </c>
      <c r="F13" s="24">
        <v>383273.33</v>
      </c>
    </row>
    <row r="14" spans="1:6" x14ac:dyDescent="0.35">
      <c r="A14" s="1" t="s">
        <v>5</v>
      </c>
      <c r="B14" s="27">
        <v>246788410043</v>
      </c>
      <c r="C14" s="2">
        <v>23478</v>
      </c>
      <c r="D14" s="1" t="s">
        <v>4</v>
      </c>
      <c r="E14" cm="1">
        <f t="array" ref="E14:F14">VLOOKUP(B14,'LEDGER FINAL'!H15:$R$221,{3,7},0)</f>
        <v>1800000048</v>
      </c>
      <c r="F14" s="24">
        <v>236668.01</v>
      </c>
    </row>
    <row r="15" spans="1:6" x14ac:dyDescent="0.35">
      <c r="A15" s="1" t="s">
        <v>5</v>
      </c>
      <c r="B15" s="27">
        <v>246788410045</v>
      </c>
      <c r="C15" s="2">
        <v>7151</v>
      </c>
      <c r="D15" s="1" t="s">
        <v>4</v>
      </c>
      <c r="E15" cm="1">
        <f t="array" ref="E15:F15">VLOOKUP(B15,'LEDGER FINAL'!H16:$R$221,{3,7},0)</f>
        <v>1800000050</v>
      </c>
      <c r="F15" s="24">
        <v>72928.160000000003</v>
      </c>
    </row>
    <row r="16" spans="1:6" x14ac:dyDescent="0.35">
      <c r="A16" s="1" t="s">
        <v>5</v>
      </c>
      <c r="B16" s="27">
        <v>246788410046</v>
      </c>
      <c r="C16" s="2">
        <v>35442</v>
      </c>
      <c r="D16" s="1" t="s">
        <v>4</v>
      </c>
      <c r="E16" cm="1">
        <f t="array" ref="E16:F16">VLOOKUP(B16,'LEDGER FINAL'!H17:$R$221,{3,7},0)</f>
        <v>1800000051</v>
      </c>
      <c r="F16" s="24">
        <v>361473.08</v>
      </c>
    </row>
    <row r="17" spans="1:6" x14ac:dyDescent="0.35">
      <c r="A17" s="1" t="s">
        <v>5</v>
      </c>
      <c r="B17" s="27">
        <v>246788410079</v>
      </c>
      <c r="C17" s="2">
        <v>541</v>
      </c>
      <c r="D17" s="1" t="s">
        <v>4</v>
      </c>
      <c r="E17" cm="1">
        <f t="array" ref="E17:F17">VLOOKUP(B17,'LEDGER FINAL'!H18:$R$221,{3,7},0)</f>
        <v>1800000084</v>
      </c>
      <c r="F17" s="24">
        <v>6501.84</v>
      </c>
    </row>
    <row r="18" spans="1:6" x14ac:dyDescent="0.35">
      <c r="A18" s="1" t="s">
        <v>5</v>
      </c>
      <c r="B18" s="27">
        <v>246788410118</v>
      </c>
      <c r="C18" s="2">
        <v>1282</v>
      </c>
      <c r="D18" s="1" t="s">
        <v>4</v>
      </c>
      <c r="E18" cm="1">
        <f t="array" ref="E18:F18">VLOOKUP(B18,'LEDGER FINAL'!H19:$R$221,{3,7},0)</f>
        <v>1800000124</v>
      </c>
      <c r="F18" s="24">
        <v>12980.28</v>
      </c>
    </row>
    <row r="19" spans="1:6" x14ac:dyDescent="0.35">
      <c r="A19" s="1" t="s">
        <v>5</v>
      </c>
      <c r="B19" s="27">
        <v>246788410117</v>
      </c>
      <c r="C19" s="2">
        <v>571</v>
      </c>
      <c r="D19" s="1" t="s">
        <v>4</v>
      </c>
      <c r="E19" cm="1">
        <f t="array" ref="E19:F19">VLOOKUP(B19,'LEDGER FINAL'!H20:$R$221,{3,7},0)</f>
        <v>1800000123</v>
      </c>
      <c r="F19" s="24">
        <v>5784.91</v>
      </c>
    </row>
    <row r="20" spans="1:6" x14ac:dyDescent="0.35">
      <c r="A20" s="1" t="s">
        <v>5</v>
      </c>
      <c r="B20" s="27">
        <v>246788410115</v>
      </c>
      <c r="C20" s="2">
        <v>19872</v>
      </c>
      <c r="D20" s="1" t="s">
        <v>4</v>
      </c>
      <c r="E20" cm="1">
        <f t="array" ref="E20:F20">VLOOKUP(B20,'LEDGER FINAL'!H21:$R$221,{3,7},0)</f>
        <v>1800000121</v>
      </c>
      <c r="F20" s="24">
        <v>198837.67</v>
      </c>
    </row>
    <row r="21" spans="1:6" x14ac:dyDescent="0.35">
      <c r="A21" s="1" t="s">
        <v>5</v>
      </c>
      <c r="B21" s="27">
        <v>246788410116</v>
      </c>
      <c r="C21" s="2">
        <v>19872</v>
      </c>
      <c r="D21" s="1" t="s">
        <v>4</v>
      </c>
      <c r="E21" cm="1">
        <f t="array" ref="E21:F21">VLOOKUP(B21,'LEDGER FINAL'!H22:$R$221,{3,7},0)</f>
        <v>1800000122</v>
      </c>
      <c r="F21" s="24">
        <v>197108.18</v>
      </c>
    </row>
    <row r="22" spans="1:6" x14ac:dyDescent="0.35">
      <c r="A22" s="1" t="s">
        <v>5</v>
      </c>
      <c r="B22" s="27">
        <v>256788410221</v>
      </c>
      <c r="C22" s="2">
        <v>89120</v>
      </c>
      <c r="D22" s="1" t="s">
        <v>4</v>
      </c>
      <c r="E22" cm="1">
        <f t="array" ref="E22:F22">VLOOKUP(B22,'LEDGER FINAL'!H23:$R$221,{3,7},0)</f>
        <v>1800000346</v>
      </c>
      <c r="F22" s="24">
        <v>891196.98</v>
      </c>
    </row>
    <row r="23" spans="1:6" x14ac:dyDescent="0.35">
      <c r="A23" s="1" t="s">
        <v>5</v>
      </c>
      <c r="B23" s="27">
        <v>256788410001</v>
      </c>
      <c r="C23" s="2">
        <v>94637</v>
      </c>
      <c r="D23" s="1" t="s">
        <v>4</v>
      </c>
      <c r="E23" cm="1">
        <f t="array" ref="E23:F23">VLOOKUP(B23,'LEDGER FINAL'!H24:$R$221,{3,7},0)</f>
        <v>1800000126</v>
      </c>
      <c r="F23" s="24">
        <v>946367.4</v>
      </c>
    </row>
    <row r="24" spans="1:6" x14ac:dyDescent="0.35">
      <c r="A24" s="1" t="s">
        <v>5</v>
      </c>
      <c r="B24" s="27">
        <v>256788410002</v>
      </c>
      <c r="C24" s="2">
        <v>86304</v>
      </c>
      <c r="D24" s="1" t="s">
        <v>4</v>
      </c>
      <c r="E24" cm="1">
        <f t="array" ref="E24:F24">VLOOKUP(B24,'LEDGER FINAL'!H25:$R$221,{3,7},0)</f>
        <v>1800000127</v>
      </c>
      <c r="F24" s="24">
        <v>863037.19</v>
      </c>
    </row>
    <row r="25" spans="1:6" x14ac:dyDescent="0.35">
      <c r="A25" s="1" t="s">
        <v>5</v>
      </c>
      <c r="B25" s="27">
        <v>256788410206</v>
      </c>
      <c r="C25" s="2">
        <v>93905</v>
      </c>
      <c r="D25" s="1" t="s">
        <v>4</v>
      </c>
      <c r="E25" cm="1">
        <f t="array" ref="E25:F25">VLOOKUP(B25,'LEDGER FINAL'!H26:$R$221,{3,7},0)</f>
        <v>1800000331</v>
      </c>
      <c r="F25" s="24">
        <v>939051.19</v>
      </c>
    </row>
    <row r="26" spans="1:6" x14ac:dyDescent="0.35">
      <c r="A26" s="1" t="s">
        <v>5</v>
      </c>
      <c r="B26" s="27">
        <v>256788410004</v>
      </c>
      <c r="C26" s="2">
        <v>24219</v>
      </c>
      <c r="D26" s="1" t="s">
        <v>4</v>
      </c>
      <c r="E26" cm="1">
        <f t="array" ref="E26:F26">VLOOKUP(B26,'LEDGER FINAL'!H27:$R$221,{3,7},0)</f>
        <v>1800000129</v>
      </c>
      <c r="F26" s="24">
        <v>242188.53</v>
      </c>
    </row>
    <row r="27" spans="1:6" x14ac:dyDescent="0.35">
      <c r="A27" s="1" t="s">
        <v>5</v>
      </c>
      <c r="B27" s="27">
        <v>256788410009</v>
      </c>
      <c r="C27" s="2">
        <v>25509</v>
      </c>
      <c r="D27" s="1" t="s">
        <v>4</v>
      </c>
      <c r="E27" cm="1">
        <f t="array" ref="E27:F27">VLOOKUP(B27,'LEDGER FINAL'!H28:$R$221,{3,7},0)</f>
        <v>1800000134</v>
      </c>
      <c r="F27" s="24">
        <v>255085.99</v>
      </c>
    </row>
    <row r="28" spans="1:6" x14ac:dyDescent="0.35">
      <c r="A28" s="1" t="s">
        <v>5</v>
      </c>
      <c r="B28" s="27">
        <v>256788410013</v>
      </c>
      <c r="C28" s="2">
        <v>25516</v>
      </c>
      <c r="D28" s="1" t="s">
        <v>4</v>
      </c>
      <c r="E28" cm="1">
        <f t="array" ref="E28:F28">VLOOKUP(B28,'LEDGER FINAL'!H29:$R$221,{3,7},0)</f>
        <v>1800000138</v>
      </c>
      <c r="F28" s="24">
        <v>255163.35</v>
      </c>
    </row>
    <row r="29" spans="1:6" x14ac:dyDescent="0.35">
      <c r="A29" s="1" t="s">
        <v>5</v>
      </c>
      <c r="B29" s="27">
        <v>256788410016</v>
      </c>
      <c r="C29" s="2">
        <v>34588</v>
      </c>
      <c r="D29" s="1" t="s">
        <v>4</v>
      </c>
      <c r="E29" cm="1">
        <f t="array" ref="E29:F29">VLOOKUP(B29,'LEDGER FINAL'!H30:$R$221,{3,7},0)</f>
        <v>1800000141</v>
      </c>
      <c r="F29" s="24">
        <v>345879.31</v>
      </c>
    </row>
    <row r="30" spans="1:6" x14ac:dyDescent="0.35">
      <c r="A30" s="1" t="s">
        <v>5</v>
      </c>
      <c r="B30" s="27">
        <v>256788410215</v>
      </c>
      <c r="C30" s="2">
        <v>20090</v>
      </c>
      <c r="D30" s="1" t="s">
        <v>4</v>
      </c>
      <c r="E30" cm="1">
        <f t="array" ref="E30:F30">VLOOKUP(B30,'LEDGER FINAL'!H31:$R$221,{3,7},0)</f>
        <v>1800000340</v>
      </c>
      <c r="F30" s="24">
        <v>200901.77</v>
      </c>
    </row>
    <row r="31" spans="1:6" x14ac:dyDescent="0.35">
      <c r="A31" s="1" t="s">
        <v>6</v>
      </c>
      <c r="B31" s="27">
        <v>256788410357</v>
      </c>
      <c r="C31" s="2">
        <v>99519.72</v>
      </c>
      <c r="D31" s="1" t="s">
        <v>4</v>
      </c>
      <c r="E31" cm="1">
        <f t="array" ref="E31:F31">VLOOKUP(B31,'LEDGER FINAL'!H32:$R$221,{3,7},0)</f>
        <v>1800000478</v>
      </c>
      <c r="F31" s="24">
        <v>995197.21</v>
      </c>
    </row>
    <row r="32" spans="1:6" x14ac:dyDescent="0.35">
      <c r="A32" s="1" t="s">
        <v>7</v>
      </c>
      <c r="B32" s="27">
        <v>246788410114</v>
      </c>
      <c r="C32" s="2">
        <v>91.37</v>
      </c>
      <c r="D32" s="1" t="s">
        <v>4</v>
      </c>
      <c r="E32" cm="1">
        <f t="array" ref="E32:F32">VLOOKUP(B32,'LEDGER FINAL'!H33:$R$221,{3,7},0)</f>
        <v>1800000120</v>
      </c>
      <c r="F32" s="24">
        <v>4568.63</v>
      </c>
    </row>
    <row r="33" spans="1:6" x14ac:dyDescent="0.35">
      <c r="A33" s="1" t="s">
        <v>7</v>
      </c>
      <c r="B33" s="27">
        <v>256788410065</v>
      </c>
      <c r="C33" s="2">
        <v>42.38</v>
      </c>
      <c r="D33" s="1" t="s">
        <v>4</v>
      </c>
      <c r="E33" cm="1">
        <f t="array" ref="E33:F33">VLOOKUP(B33,'LEDGER FINAL'!H34:$R$221,{3,7},0)</f>
        <v>1800000190</v>
      </c>
      <c r="F33" s="24">
        <v>2119.15</v>
      </c>
    </row>
    <row r="34" spans="1:6" x14ac:dyDescent="0.35">
      <c r="A34" s="1" t="s">
        <v>5</v>
      </c>
      <c r="B34" s="27">
        <v>246788410060</v>
      </c>
      <c r="C34" s="2">
        <v>62</v>
      </c>
      <c r="D34" s="1" t="s">
        <v>8</v>
      </c>
      <c r="E34" cm="1">
        <f t="array" ref="E34:F34">VLOOKUP(B34,'LEDGER FINAL'!H35:$R$221,{3,7},0)</f>
        <v>1800000065</v>
      </c>
      <c r="F34" s="24">
        <v>3224.91</v>
      </c>
    </row>
    <row r="35" spans="1:6" x14ac:dyDescent="0.35">
      <c r="A35" s="1" t="s">
        <v>5</v>
      </c>
      <c r="B35" s="27">
        <v>246788410061</v>
      </c>
      <c r="C35" s="2">
        <v>44</v>
      </c>
      <c r="D35" s="1" t="s">
        <v>8</v>
      </c>
      <c r="E35" cm="1">
        <f t="array" ref="E35:F35">VLOOKUP(B35,'LEDGER FINAL'!H36:$R$221,{3,7},0)</f>
        <v>1800000066</v>
      </c>
      <c r="F35" s="24">
        <v>2273.91</v>
      </c>
    </row>
    <row r="36" spans="1:6" x14ac:dyDescent="0.35">
      <c r="A36" s="1" t="s">
        <v>5</v>
      </c>
      <c r="B36" s="27">
        <v>246788410062</v>
      </c>
      <c r="C36" s="2">
        <v>44</v>
      </c>
      <c r="D36" s="1" t="s">
        <v>8</v>
      </c>
      <c r="E36" cm="1">
        <f t="array" ref="E36:F36">VLOOKUP(B36,'LEDGER FINAL'!H37:$R$221,{3,7},0)</f>
        <v>1800000067</v>
      </c>
      <c r="F36" s="24">
        <v>2273.91</v>
      </c>
    </row>
    <row r="37" spans="1:6" x14ac:dyDescent="0.35">
      <c r="A37" s="1" t="s">
        <v>5</v>
      </c>
      <c r="B37" s="27">
        <v>246788410063</v>
      </c>
      <c r="C37" s="2">
        <v>40</v>
      </c>
      <c r="D37" s="1" t="s">
        <v>8</v>
      </c>
      <c r="E37" cm="1">
        <f t="array" ref="E37:F37">VLOOKUP(B37,'LEDGER FINAL'!H38:$R$221,{3,7},0)</f>
        <v>1800000068</v>
      </c>
      <c r="F37" s="24">
        <v>2067.59</v>
      </c>
    </row>
    <row r="38" spans="1:6" x14ac:dyDescent="0.35">
      <c r="A38" s="1" t="s">
        <v>5</v>
      </c>
      <c r="B38" s="27">
        <v>246788410064</v>
      </c>
      <c r="C38" s="2">
        <v>40</v>
      </c>
      <c r="D38" s="1" t="s">
        <v>8</v>
      </c>
      <c r="E38" cm="1">
        <f t="array" ref="E38:F38">VLOOKUP(B38,'LEDGER FINAL'!H39:$R$221,{3,7},0)</f>
        <v>1800000069</v>
      </c>
      <c r="F38" s="24">
        <v>2069.3200000000002</v>
      </c>
    </row>
    <row r="39" spans="1:6" x14ac:dyDescent="0.35">
      <c r="A39" s="1" t="s">
        <v>5</v>
      </c>
      <c r="B39" s="27">
        <v>246788410065</v>
      </c>
      <c r="C39" s="2">
        <v>40</v>
      </c>
      <c r="D39" s="1" t="s">
        <v>8</v>
      </c>
      <c r="E39" cm="1">
        <f t="array" ref="E39:F39">VLOOKUP(B39,'LEDGER FINAL'!H40:$R$221,{3,7},0)</f>
        <v>1800000070</v>
      </c>
      <c r="F39" s="24">
        <v>2048.5100000000002</v>
      </c>
    </row>
    <row r="40" spans="1:6" x14ac:dyDescent="0.35">
      <c r="A40" s="1" t="s">
        <v>5</v>
      </c>
      <c r="B40" s="27">
        <v>246788410001</v>
      </c>
      <c r="C40" s="2">
        <v>129</v>
      </c>
      <c r="D40" s="1" t="s">
        <v>8</v>
      </c>
      <c r="E40" cm="1">
        <f t="array" ref="E40:F40">VLOOKUP(B40,'LEDGER FINAL'!H41:$R$221,{3,7},0)</f>
        <v>1800000000</v>
      </c>
      <c r="F40" s="24">
        <v>6472.77</v>
      </c>
    </row>
    <row r="41" spans="1:6" x14ac:dyDescent="0.35">
      <c r="A41" s="1" t="s">
        <v>5</v>
      </c>
      <c r="B41" s="27">
        <v>246779414916</v>
      </c>
      <c r="C41" s="2">
        <v>13</v>
      </c>
      <c r="D41" s="1" t="s">
        <v>8</v>
      </c>
      <c r="E41" cm="1">
        <f t="array" ref="E41:F41">VLOOKUP(B41,'LEDGER FINAL'!H42:$R$221,{3,7},0)</f>
        <v>1800005048</v>
      </c>
      <c r="F41" s="24">
        <v>629.38</v>
      </c>
    </row>
    <row r="42" spans="1:6" x14ac:dyDescent="0.35">
      <c r="A42" s="1" t="s">
        <v>5</v>
      </c>
      <c r="B42" s="27">
        <v>246779414917</v>
      </c>
      <c r="C42" s="2">
        <v>21</v>
      </c>
      <c r="D42" s="1" t="s">
        <v>8</v>
      </c>
      <c r="E42" cm="1">
        <f t="array" ref="E42:F42">VLOOKUP(B42,'LEDGER FINAL'!H43:$R$221,{3,7},0)</f>
        <v>1800005049</v>
      </c>
      <c r="F42" s="24">
        <v>1040.3</v>
      </c>
    </row>
    <row r="43" spans="1:6" x14ac:dyDescent="0.35">
      <c r="A43" s="1" t="s">
        <v>5</v>
      </c>
      <c r="B43" s="27">
        <v>256779410198</v>
      </c>
      <c r="C43" s="2">
        <v>6</v>
      </c>
      <c r="D43" s="1" t="s">
        <v>8</v>
      </c>
      <c r="E43" cm="1">
        <f t="array" ref="E43:F43">VLOOKUP(B43,'LEDGER FINAL'!H44:$R$221,{3,7},0)</f>
        <v>1800005306</v>
      </c>
      <c r="F43" s="24">
        <v>299.88</v>
      </c>
    </row>
    <row r="44" spans="1:6" x14ac:dyDescent="0.35">
      <c r="A44" s="1" t="s">
        <v>5</v>
      </c>
      <c r="B44" s="27">
        <v>256779412482</v>
      </c>
      <c r="C44" s="2">
        <v>164</v>
      </c>
      <c r="D44" s="1" t="s">
        <v>8</v>
      </c>
      <c r="E44" cm="1">
        <f t="array" ref="E44:F44">VLOOKUP(B44,'LEDGER FINAL'!H45:$R$221,{3,7},0)</f>
        <v>1800007591</v>
      </c>
      <c r="F44" s="24">
        <v>8177.6</v>
      </c>
    </row>
    <row r="45" spans="1:6" x14ac:dyDescent="0.35">
      <c r="A45" s="1" t="s">
        <v>5</v>
      </c>
      <c r="B45" s="27">
        <v>256779412498</v>
      </c>
      <c r="C45" s="2">
        <v>44</v>
      </c>
      <c r="D45" s="1" t="s">
        <v>8</v>
      </c>
      <c r="E45" cm="1">
        <f t="array" ref="E45:F45">VLOOKUP(B45,'LEDGER FINAL'!H46:$R$221,{3,7},0)</f>
        <v>1800007607</v>
      </c>
      <c r="F45" s="24">
        <v>2200.86</v>
      </c>
    </row>
    <row r="46" spans="1:6" x14ac:dyDescent="0.35">
      <c r="A46" s="1" t="s">
        <v>5</v>
      </c>
      <c r="B46" s="27">
        <v>256779412015</v>
      </c>
      <c r="C46" s="2">
        <v>150</v>
      </c>
      <c r="D46" s="1" t="s">
        <v>8</v>
      </c>
      <c r="E46" t="e" cm="1">
        <f t="array" ref="E46">VLOOKUP(B46,'LEDGER FINAL'!H47:$R$221,{3,7},0)</f>
        <v>#N/A</v>
      </c>
    </row>
    <row r="47" spans="1:6" x14ac:dyDescent="0.35">
      <c r="A47" s="1" t="s">
        <v>5</v>
      </c>
      <c r="B47" s="27">
        <v>256779412058</v>
      </c>
      <c r="C47" s="2">
        <v>328</v>
      </c>
      <c r="D47" s="1" t="s">
        <v>8</v>
      </c>
      <c r="E47" t="e" cm="1">
        <f t="array" ref="E47">VLOOKUP(B47,'LEDGER FINAL'!H48:$R$221,{3,7},0)</f>
        <v>#N/A</v>
      </c>
    </row>
    <row r="48" spans="1:6" x14ac:dyDescent="0.35">
      <c r="A48" s="1" t="s">
        <v>5</v>
      </c>
      <c r="B48" s="27">
        <v>256779412096</v>
      </c>
      <c r="C48" s="2">
        <v>29</v>
      </c>
      <c r="D48" s="1" t="s">
        <v>8</v>
      </c>
      <c r="E48" t="e" cm="1">
        <f t="array" ref="E48">VLOOKUP(B48,'LEDGER FINAL'!H49:$R$221,{3,7},0)</f>
        <v>#N/A</v>
      </c>
    </row>
    <row r="49" spans="1:6" x14ac:dyDescent="0.35">
      <c r="A49" s="1" t="s">
        <v>5</v>
      </c>
      <c r="B49" s="27">
        <v>256779413241</v>
      </c>
      <c r="C49" s="2">
        <v>1814</v>
      </c>
      <c r="D49" s="1" t="s">
        <v>8</v>
      </c>
      <c r="E49" cm="1">
        <f t="array" ref="E49:F49">VLOOKUP(B49,'LEDGER FINAL'!H50:$R$221,{3,7},0)</f>
        <v>1800008358</v>
      </c>
      <c r="F49">
        <v>90694.75</v>
      </c>
    </row>
    <row r="50" spans="1:6" x14ac:dyDescent="0.35">
      <c r="A50" s="1" t="s">
        <v>5</v>
      </c>
      <c r="B50" s="27">
        <v>246788410109</v>
      </c>
      <c r="C50" s="2">
        <v>4062</v>
      </c>
      <c r="D50" s="1" t="s">
        <v>8</v>
      </c>
      <c r="E50" cm="1">
        <f t="array" ref="E50:F50">VLOOKUP(B50,'LEDGER FINAL'!H51:$R$221,{3,7},0)</f>
        <v>1800000115</v>
      </c>
      <c r="F50">
        <v>203100.28</v>
      </c>
    </row>
    <row r="51" spans="1:6" x14ac:dyDescent="0.35">
      <c r="A51" s="1" t="s">
        <v>5</v>
      </c>
      <c r="B51" s="27">
        <v>246788410085</v>
      </c>
      <c r="C51" s="2">
        <v>2296</v>
      </c>
      <c r="D51" s="1" t="s">
        <v>8</v>
      </c>
      <c r="E51" cm="1">
        <f t="array" ref="E51:F51">VLOOKUP(B51,'LEDGER FINAL'!H52:$R$221,{3,7},0)</f>
        <v>1800000090</v>
      </c>
      <c r="F51">
        <v>114779.23</v>
      </c>
    </row>
    <row r="52" spans="1:6" x14ac:dyDescent="0.35">
      <c r="A52" s="1" t="s">
        <v>5</v>
      </c>
      <c r="B52" s="27">
        <v>256788410027</v>
      </c>
      <c r="C52" s="2">
        <v>296</v>
      </c>
      <c r="D52" s="1" t="s">
        <v>8</v>
      </c>
      <c r="E52" t="e" cm="1">
        <f t="array" ref="E52">VLOOKUP(B52,'LEDGER FINAL'!H53:$R$221,{3,7},0)</f>
        <v>#N/A</v>
      </c>
    </row>
    <row r="53" spans="1:6" x14ac:dyDescent="0.35">
      <c r="A53" s="1" t="s">
        <v>7</v>
      </c>
      <c r="B53" s="27">
        <v>256788410259</v>
      </c>
      <c r="C53" s="2">
        <v>129</v>
      </c>
      <c r="D53" s="1" t="s">
        <v>8</v>
      </c>
      <c r="E53" t="e" cm="1">
        <f t="array" ref="E53">VLOOKUP(B53,'LEDGER FINAL'!H54:$R$221,{3,7},0)</f>
        <v>#N/A</v>
      </c>
    </row>
    <row r="54" spans="1:6" x14ac:dyDescent="0.35">
      <c r="A54" s="1" t="s">
        <v>7</v>
      </c>
      <c r="B54" s="27">
        <v>256788410264</v>
      </c>
      <c r="C54" s="2">
        <v>7.98</v>
      </c>
      <c r="D54" s="1" t="s">
        <v>8</v>
      </c>
      <c r="E54" cm="1">
        <f t="array" ref="E54:F54">VLOOKUP(B54,'LEDGER FINAL'!H55:$R$221,{3,7},0)</f>
        <v>1800000388</v>
      </c>
      <c r="F54">
        <v>399.04</v>
      </c>
    </row>
    <row r="55" spans="1:6" x14ac:dyDescent="0.35">
      <c r="A55" s="1" t="s">
        <v>7</v>
      </c>
      <c r="B55" s="27">
        <v>256788410265</v>
      </c>
      <c r="C55" s="2">
        <v>2597.25</v>
      </c>
      <c r="D55" s="1" t="s">
        <v>8</v>
      </c>
      <c r="E55" cm="1">
        <f t="array" ref="E55:F55">VLOOKUP(B55,'LEDGER FINAL'!H56:$R$221,{3,7},0)</f>
        <v>1800000389</v>
      </c>
      <c r="F55">
        <v>129862.73</v>
      </c>
    </row>
    <row r="56" spans="1:6" x14ac:dyDescent="0.35">
      <c r="A56" s="1" t="s">
        <v>7</v>
      </c>
      <c r="B56" s="27">
        <v>256779416953</v>
      </c>
      <c r="C56" s="2">
        <v>3.75</v>
      </c>
      <c r="D56" s="1" t="s">
        <v>8</v>
      </c>
      <c r="E56" t="e" cm="1">
        <f t="array" ref="E56">VLOOKUP(B56,'LEDGER FINAL'!H57:$R$221,{3,7},0)</f>
        <v>#N/A</v>
      </c>
    </row>
    <row r="57" spans="1:6" x14ac:dyDescent="0.35">
      <c r="A57" s="1" t="s">
        <v>7</v>
      </c>
      <c r="B57" s="27">
        <v>256788410353</v>
      </c>
      <c r="C57" s="2">
        <v>175.03</v>
      </c>
      <c r="D57" s="1" t="s">
        <v>8</v>
      </c>
      <c r="E57" t="e" cm="1">
        <f t="array" ref="E57">VLOOKUP(B57,'LEDGER FINAL'!H58:$R$221,{3,7},0)</f>
        <v>#N/A</v>
      </c>
    </row>
    <row r="58" spans="1:6" x14ac:dyDescent="0.35">
      <c r="A58" s="1" t="s">
        <v>7</v>
      </c>
      <c r="B58" s="27">
        <v>256788410354</v>
      </c>
      <c r="C58" s="2">
        <v>21.91</v>
      </c>
      <c r="D58" s="1" t="s">
        <v>8</v>
      </c>
      <c r="E58" t="e" cm="1">
        <f t="array" ref="E58">VLOOKUP(B58,'LEDGER FINAL'!H59:$R$221,{3,7},0)</f>
        <v>#N/A</v>
      </c>
    </row>
    <row r="59" spans="1:6" x14ac:dyDescent="0.35">
      <c r="A59" s="1" t="s">
        <v>7</v>
      </c>
      <c r="B59" s="27">
        <v>256788410355</v>
      </c>
      <c r="C59" s="2">
        <v>23.91</v>
      </c>
      <c r="D59" s="1" t="s">
        <v>8</v>
      </c>
      <c r="E59" t="e" cm="1">
        <f t="array" ref="E59">VLOOKUP(B59,'LEDGER FINAL'!H60:$R$221,{3,7},0)</f>
        <v>#N/A</v>
      </c>
    </row>
    <row r="60" spans="1:6" x14ac:dyDescent="0.35">
      <c r="A60" s="1" t="s">
        <v>7</v>
      </c>
      <c r="B60" s="27">
        <v>256788410358</v>
      </c>
      <c r="C60" s="2">
        <v>19796.09</v>
      </c>
      <c r="D60" s="1" t="s">
        <v>8</v>
      </c>
      <c r="E60" t="e" cm="1">
        <f t="array" ref="E60">VLOOKUP(B60,'LEDGER FINAL'!H61:$R$221,{3,7},0)</f>
        <v>#N/A</v>
      </c>
    </row>
    <row r="61" spans="1:6" x14ac:dyDescent="0.35">
      <c r="A61" s="1" t="s">
        <v>7</v>
      </c>
      <c r="B61" s="27">
        <v>256788410359</v>
      </c>
      <c r="C61" s="2">
        <v>221.55</v>
      </c>
      <c r="D61" s="1" t="s">
        <v>8</v>
      </c>
      <c r="E61" t="e" cm="1">
        <f t="array" ref="E61">VLOOKUP(B61,'LEDGER FINAL'!H62:$R$221,{3,7},0)</f>
        <v>#N/A</v>
      </c>
    </row>
    <row r="62" spans="1:6" x14ac:dyDescent="0.35">
      <c r="A62" s="1" t="s">
        <v>7</v>
      </c>
      <c r="B62" s="27">
        <v>256788410360</v>
      </c>
      <c r="C62" s="2">
        <v>609.47</v>
      </c>
      <c r="D62" s="1" t="s">
        <v>8</v>
      </c>
      <c r="E62" t="e" cm="1">
        <f t="array" ref="E62">VLOOKUP(B62,'LEDGER FINAL'!H63:$R$221,{3,7},0)</f>
        <v>#N/A</v>
      </c>
    </row>
    <row r="63" spans="1:6" x14ac:dyDescent="0.35">
      <c r="A63" s="1" t="s">
        <v>7</v>
      </c>
      <c r="B63" s="27">
        <v>256788410361</v>
      </c>
      <c r="C63" s="2">
        <v>45.51</v>
      </c>
      <c r="D63" s="1" t="s">
        <v>8</v>
      </c>
      <c r="E63" t="e" cm="1">
        <f t="array" ref="E63">VLOOKUP(B63,'LEDGER FINAL'!H64:$R$221,{3,7},0)</f>
        <v>#N/A</v>
      </c>
    </row>
    <row r="64" spans="1:6" x14ac:dyDescent="0.35">
      <c r="A64" s="1" t="s">
        <v>7</v>
      </c>
      <c r="B64" s="27">
        <v>256788410363</v>
      </c>
      <c r="C64" s="2">
        <v>398.61</v>
      </c>
      <c r="D64" s="1" t="s">
        <v>8</v>
      </c>
      <c r="E64" t="e" cm="1">
        <f t="array" ref="E64">VLOOKUP(B64,'LEDGER FINAL'!H65:$R$221,{3,7},0)</f>
        <v>#N/A</v>
      </c>
    </row>
    <row r="65" spans="1:6" x14ac:dyDescent="0.35">
      <c r="A65" s="1" t="s">
        <v>7</v>
      </c>
      <c r="B65" s="27">
        <v>256788410364</v>
      </c>
      <c r="C65" s="2">
        <v>656.36</v>
      </c>
      <c r="D65" s="1" t="s">
        <v>8</v>
      </c>
      <c r="E65" t="e" cm="1">
        <f t="array" ref="E65">VLOOKUP(B65,'LEDGER FINAL'!H66:$R$221,{3,7},0)</f>
        <v>#N/A</v>
      </c>
    </row>
    <row r="66" spans="1:6" x14ac:dyDescent="0.35">
      <c r="A66" s="1" t="s">
        <v>7</v>
      </c>
      <c r="B66" s="27">
        <v>256788410162</v>
      </c>
      <c r="C66" s="2">
        <v>9.49</v>
      </c>
      <c r="D66" s="1" t="s">
        <v>8</v>
      </c>
      <c r="E66" cm="1">
        <f t="array" ref="E66:F66">VLOOKUP(B66,'LEDGER FINAL'!H67:$R$221,{3,7},0)</f>
        <v>1800000287</v>
      </c>
      <c r="F66">
        <v>474.59</v>
      </c>
    </row>
    <row r="67" spans="1:6" x14ac:dyDescent="0.35">
      <c r="A67" s="1" t="s">
        <v>7</v>
      </c>
      <c r="B67" s="27">
        <v>256788410163</v>
      </c>
      <c r="C67" s="2">
        <v>6.08</v>
      </c>
      <c r="D67" s="1" t="s">
        <v>8</v>
      </c>
      <c r="E67" cm="1">
        <f t="array" ref="E67:F67">VLOOKUP(B67,'LEDGER FINAL'!H68:$R$221,{3,7},0)</f>
        <v>1800000288</v>
      </c>
      <c r="F67">
        <v>304.23</v>
      </c>
    </row>
    <row r="68" spans="1:6" x14ac:dyDescent="0.35">
      <c r="A68" s="1" t="s">
        <v>7</v>
      </c>
      <c r="B68" s="27">
        <v>256788410164</v>
      </c>
      <c r="C68" s="2">
        <v>9.74</v>
      </c>
      <c r="D68" s="1" t="s">
        <v>8</v>
      </c>
      <c r="E68" cm="1">
        <f t="array" ref="E68:F68">VLOOKUP(B68,'LEDGER FINAL'!H69:$R$221,{3,7},0)</f>
        <v>1800000289</v>
      </c>
      <c r="F68">
        <v>486.76</v>
      </c>
    </row>
    <row r="69" spans="1:6" x14ac:dyDescent="0.35">
      <c r="A69" s="1" t="s">
        <v>7</v>
      </c>
      <c r="B69" s="27">
        <v>256788410165</v>
      </c>
      <c r="C69" s="2">
        <v>9.74</v>
      </c>
      <c r="D69" s="1" t="s">
        <v>8</v>
      </c>
      <c r="E69" cm="1">
        <f t="array" ref="E69:F69">VLOOKUP(B69,'LEDGER FINAL'!H70:$R$221,{3,7},0)</f>
        <v>1800000290</v>
      </c>
      <c r="F69">
        <v>486.76</v>
      </c>
    </row>
    <row r="70" spans="1:6" x14ac:dyDescent="0.35">
      <c r="A70" s="1" t="s">
        <v>9</v>
      </c>
      <c r="B70" s="27">
        <v>256788410166</v>
      </c>
      <c r="C70" s="2">
        <v>20.170000000000002</v>
      </c>
      <c r="D70" s="1" t="s">
        <v>8</v>
      </c>
      <c r="E70" cm="1">
        <f t="array" ref="E70:F70">VLOOKUP(B70,'LEDGER FINAL'!H71:$R$221,{3,7},0)</f>
        <v>1800000291</v>
      </c>
      <c r="F70">
        <v>1008.29</v>
      </c>
    </row>
  </sheetData>
  <autoFilter ref="A1:F70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F5BB-F441-42D5-B95A-D88AEEB291EC}">
  <dimension ref="A1:T136"/>
  <sheetViews>
    <sheetView tabSelected="1" topLeftCell="A92" workbookViewId="0">
      <selection activeCell="G116" sqref="G116"/>
    </sheetView>
  </sheetViews>
  <sheetFormatPr defaultRowHeight="14.5" x14ac:dyDescent="0.35"/>
  <cols>
    <col min="1" max="1" width="5" customWidth="1"/>
    <col min="2" max="2" width="15.453125" bestFit="1" customWidth="1"/>
    <col min="3" max="3" width="16.81640625" bestFit="1" customWidth="1"/>
    <col min="4" max="4" width="8.36328125" customWidth="1"/>
    <col min="5" max="5" width="7.7265625" customWidth="1"/>
    <col min="6" max="6" width="11.81640625" customWidth="1"/>
    <col min="7" max="7" width="34.6328125" customWidth="1"/>
    <col min="8" max="8" width="18.90625" customWidth="1"/>
    <col min="9" max="9" width="5.453125" customWidth="1"/>
    <col min="10" max="10" width="35.54296875" bestFit="1" customWidth="1"/>
    <col min="11" max="11" width="15.453125" bestFit="1" customWidth="1"/>
    <col min="12" max="12" width="8.54296875" customWidth="1"/>
    <col min="13" max="13" width="8.90625" customWidth="1"/>
  </cols>
  <sheetData>
    <row r="1" spans="1:20" ht="19.5" customHeight="1" x14ac:dyDescent="0.35">
      <c r="A1" s="34" t="s">
        <v>251</v>
      </c>
      <c r="B1" s="34"/>
      <c r="C1" s="34"/>
      <c r="D1" s="34"/>
      <c r="E1" s="34"/>
      <c r="F1" s="34"/>
      <c r="G1" s="34"/>
      <c r="H1" s="34"/>
      <c r="I1" s="31"/>
      <c r="J1" s="34" t="s">
        <v>250</v>
      </c>
      <c r="K1" s="34"/>
      <c r="L1" s="34"/>
      <c r="M1" s="34"/>
      <c r="N1" s="28"/>
      <c r="O1" s="28"/>
    </row>
    <row r="2" spans="1:20" s="30" customFormat="1" x14ac:dyDescent="0.35">
      <c r="A2" s="33" t="s">
        <v>16</v>
      </c>
      <c r="B2" s="33" t="s">
        <v>18</v>
      </c>
      <c r="C2" s="33" t="s">
        <v>15</v>
      </c>
      <c r="D2" s="33" t="s">
        <v>20</v>
      </c>
      <c r="E2" s="33" t="s">
        <v>21</v>
      </c>
      <c r="F2" s="33" t="s">
        <v>23</v>
      </c>
      <c r="G2" s="33" t="s">
        <v>24</v>
      </c>
      <c r="H2" s="33" t="s">
        <v>25</v>
      </c>
      <c r="J2" s="32" t="s">
        <v>1</v>
      </c>
      <c r="K2" s="33" t="s">
        <v>18</v>
      </c>
      <c r="L2" s="32" t="s">
        <v>252</v>
      </c>
      <c r="M2" s="32" t="s">
        <v>249</v>
      </c>
    </row>
    <row r="3" spans="1:20" x14ac:dyDescent="0.35">
      <c r="A3" s="1" t="s">
        <v>63</v>
      </c>
      <c r="B3" s="25">
        <v>256788410349</v>
      </c>
      <c r="C3" s="1">
        <v>1800000477</v>
      </c>
      <c r="D3" s="1" t="s">
        <v>41</v>
      </c>
      <c r="E3" s="2">
        <v>100</v>
      </c>
      <c r="F3" s="2">
        <v>8603.01</v>
      </c>
      <c r="G3" s="1" t="s">
        <v>64</v>
      </c>
      <c r="H3" s="29">
        <v>45889</v>
      </c>
      <c r="I3" s="23"/>
      <c r="J3" s="1" t="s">
        <v>5</v>
      </c>
      <c r="K3" s="25">
        <v>256779412015</v>
      </c>
      <c r="L3" s="2">
        <v>150</v>
      </c>
      <c r="M3" s="1" t="s">
        <v>8</v>
      </c>
    </row>
    <row r="4" spans="1:20" x14ac:dyDescent="0.35">
      <c r="A4" s="1" t="s">
        <v>63</v>
      </c>
      <c r="B4" s="25">
        <v>256788410322</v>
      </c>
      <c r="C4" s="1">
        <v>1800000447</v>
      </c>
      <c r="D4" s="1" t="s">
        <v>41</v>
      </c>
      <c r="E4" s="2">
        <v>75</v>
      </c>
      <c r="F4" s="2">
        <v>6452.26</v>
      </c>
      <c r="G4" s="1" t="s">
        <v>75</v>
      </c>
      <c r="H4" s="29">
        <v>45870</v>
      </c>
      <c r="I4" s="23"/>
      <c r="J4" s="1" t="s">
        <v>5</v>
      </c>
      <c r="K4" s="25">
        <v>256779412058</v>
      </c>
      <c r="L4" s="2">
        <v>328</v>
      </c>
      <c r="M4" s="1" t="s">
        <v>8</v>
      </c>
      <c r="N4" s="35"/>
      <c r="O4" s="35"/>
      <c r="P4" s="35"/>
      <c r="Q4" s="35"/>
      <c r="R4" s="35"/>
      <c r="S4" s="35"/>
      <c r="T4" s="35"/>
    </row>
    <row r="5" spans="1:20" x14ac:dyDescent="0.35">
      <c r="A5" s="1" t="s">
        <v>63</v>
      </c>
      <c r="B5" s="25">
        <v>256788410228</v>
      </c>
      <c r="C5" s="1">
        <v>1800000353</v>
      </c>
      <c r="D5" s="1" t="s">
        <v>41</v>
      </c>
      <c r="E5" s="2">
        <v>75</v>
      </c>
      <c r="F5" s="2">
        <v>6411.81</v>
      </c>
      <c r="G5" s="1" t="s">
        <v>77</v>
      </c>
      <c r="H5" s="29">
        <v>45818</v>
      </c>
      <c r="I5" s="23"/>
      <c r="J5" s="1" t="s">
        <v>5</v>
      </c>
      <c r="K5" s="25">
        <v>256779412096</v>
      </c>
      <c r="L5" s="2">
        <v>29</v>
      </c>
      <c r="M5" s="1" t="s">
        <v>8</v>
      </c>
    </row>
    <row r="6" spans="1:20" x14ac:dyDescent="0.35">
      <c r="A6" s="1" t="s">
        <v>63</v>
      </c>
      <c r="B6" s="25">
        <v>256788410379</v>
      </c>
      <c r="C6" s="1">
        <v>1800000504</v>
      </c>
      <c r="D6" s="1" t="s">
        <v>41</v>
      </c>
      <c r="E6" s="2">
        <v>53.78</v>
      </c>
      <c r="F6" s="2">
        <v>4706.5200000000004</v>
      </c>
      <c r="G6" s="1" t="s">
        <v>78</v>
      </c>
      <c r="H6" s="29">
        <v>45917</v>
      </c>
      <c r="I6" s="23"/>
      <c r="J6" s="1" t="s">
        <v>5</v>
      </c>
      <c r="K6" s="25">
        <v>256788410027</v>
      </c>
      <c r="L6" s="2">
        <v>296</v>
      </c>
      <c r="M6" s="1" t="s">
        <v>8</v>
      </c>
    </row>
    <row r="7" spans="1:20" x14ac:dyDescent="0.35">
      <c r="A7" s="1" t="s">
        <v>63</v>
      </c>
      <c r="B7" s="25">
        <v>256788410382</v>
      </c>
      <c r="C7" s="1">
        <v>1800000507</v>
      </c>
      <c r="D7" s="1" t="s">
        <v>41</v>
      </c>
      <c r="E7" s="2">
        <v>102.14</v>
      </c>
      <c r="F7" s="2">
        <v>8938.7099999999991</v>
      </c>
      <c r="G7" s="1" t="s">
        <v>79</v>
      </c>
      <c r="H7" s="29">
        <v>45917</v>
      </c>
      <c r="I7" s="23"/>
      <c r="J7" s="1" t="s">
        <v>7</v>
      </c>
      <c r="K7" s="25">
        <v>256788410259</v>
      </c>
      <c r="L7" s="2">
        <v>129</v>
      </c>
      <c r="M7" s="1" t="s">
        <v>8</v>
      </c>
    </row>
    <row r="8" spans="1:20" x14ac:dyDescent="0.35">
      <c r="A8" s="1" t="s">
        <v>63</v>
      </c>
      <c r="B8" s="25">
        <v>256788410216</v>
      </c>
      <c r="C8" s="1">
        <v>1800000341</v>
      </c>
      <c r="D8" s="1" t="s">
        <v>41</v>
      </c>
      <c r="E8" s="2">
        <v>8.4499999999999993</v>
      </c>
      <c r="F8" s="2">
        <v>726.56</v>
      </c>
      <c r="G8" s="1" t="s">
        <v>81</v>
      </c>
      <c r="H8" s="29">
        <v>45785</v>
      </c>
      <c r="I8" s="23"/>
      <c r="J8" s="1" t="s">
        <v>7</v>
      </c>
      <c r="K8" s="25">
        <v>256779416953</v>
      </c>
      <c r="L8" s="2">
        <v>3.75</v>
      </c>
      <c r="M8" s="1" t="s">
        <v>8</v>
      </c>
    </row>
    <row r="9" spans="1:20" x14ac:dyDescent="0.35">
      <c r="A9" s="1" t="s">
        <v>63</v>
      </c>
      <c r="B9" s="25">
        <v>256788410217</v>
      </c>
      <c r="C9" s="1">
        <v>1800000342</v>
      </c>
      <c r="D9" s="1" t="s">
        <v>41</v>
      </c>
      <c r="E9" s="2">
        <v>37.659999999999997</v>
      </c>
      <c r="F9" s="2">
        <v>3238.15</v>
      </c>
      <c r="G9" s="1" t="s">
        <v>82</v>
      </c>
      <c r="H9" s="29">
        <v>45785</v>
      </c>
      <c r="I9" s="23"/>
      <c r="J9" s="1" t="s">
        <v>7</v>
      </c>
      <c r="K9" s="25">
        <v>256788410353</v>
      </c>
      <c r="L9" s="2">
        <v>175.03</v>
      </c>
      <c r="M9" s="1" t="s">
        <v>8</v>
      </c>
    </row>
    <row r="10" spans="1:20" x14ac:dyDescent="0.35">
      <c r="A10" s="1" t="s">
        <v>63</v>
      </c>
      <c r="B10" s="25">
        <v>256788410218</v>
      </c>
      <c r="C10" s="1">
        <v>1800000343</v>
      </c>
      <c r="D10" s="1" t="s">
        <v>41</v>
      </c>
      <c r="E10" s="2">
        <v>13.18</v>
      </c>
      <c r="F10" s="2">
        <v>1133.27</v>
      </c>
      <c r="G10" s="1" t="s">
        <v>83</v>
      </c>
      <c r="H10" s="29">
        <v>45785</v>
      </c>
      <c r="I10" s="23"/>
      <c r="J10" s="1" t="s">
        <v>7</v>
      </c>
      <c r="K10" s="25">
        <v>256788410354</v>
      </c>
      <c r="L10" s="2">
        <v>21.91</v>
      </c>
      <c r="M10" s="1" t="s">
        <v>8</v>
      </c>
    </row>
    <row r="11" spans="1:20" x14ac:dyDescent="0.35">
      <c r="A11" s="1" t="s">
        <v>84</v>
      </c>
      <c r="B11" s="25">
        <v>256788420141</v>
      </c>
      <c r="C11" s="1">
        <v>1600000261</v>
      </c>
      <c r="D11" s="1" t="s">
        <v>41</v>
      </c>
      <c r="E11" s="2">
        <v>-1211.9000000000001</v>
      </c>
      <c r="F11" s="2">
        <v>-106878.39</v>
      </c>
      <c r="G11" s="1" t="s">
        <v>85</v>
      </c>
      <c r="H11" s="29">
        <v>45947</v>
      </c>
      <c r="I11" s="23"/>
      <c r="J11" s="1" t="s">
        <v>7</v>
      </c>
      <c r="K11" s="25">
        <v>256788410355</v>
      </c>
      <c r="L11" s="2">
        <v>23.91</v>
      </c>
      <c r="M11" s="1" t="s">
        <v>8</v>
      </c>
    </row>
    <row r="12" spans="1:20" x14ac:dyDescent="0.35">
      <c r="A12" s="1" t="s">
        <v>84</v>
      </c>
      <c r="B12" s="25">
        <v>256788420142</v>
      </c>
      <c r="C12" s="1">
        <v>1600000262</v>
      </c>
      <c r="D12" s="1" t="s">
        <v>41</v>
      </c>
      <c r="E12" s="2">
        <v>-40</v>
      </c>
      <c r="F12" s="2">
        <v>-3527.63</v>
      </c>
      <c r="G12" s="1" t="s">
        <v>86</v>
      </c>
      <c r="H12" s="29">
        <v>45947</v>
      </c>
      <c r="I12" s="23"/>
      <c r="J12" s="1" t="s">
        <v>7</v>
      </c>
      <c r="K12" s="25">
        <v>256788410358</v>
      </c>
      <c r="L12" s="2">
        <v>19796.09</v>
      </c>
      <c r="M12" s="1" t="s">
        <v>8</v>
      </c>
    </row>
    <row r="13" spans="1:20" x14ac:dyDescent="0.35">
      <c r="A13" s="1" t="s">
        <v>84</v>
      </c>
      <c r="B13" s="25">
        <v>256788420143</v>
      </c>
      <c r="C13" s="1">
        <v>1600000263</v>
      </c>
      <c r="D13" s="1" t="s">
        <v>41</v>
      </c>
      <c r="E13" s="2">
        <v>-11.26</v>
      </c>
      <c r="F13" s="2">
        <v>-993.03</v>
      </c>
      <c r="G13" s="1" t="s">
        <v>87</v>
      </c>
      <c r="H13" s="29">
        <v>45947</v>
      </c>
      <c r="I13" s="23"/>
      <c r="J13" s="1" t="s">
        <v>7</v>
      </c>
      <c r="K13" s="25">
        <v>256788410359</v>
      </c>
      <c r="L13" s="2">
        <v>221.55</v>
      </c>
      <c r="M13" s="1" t="s">
        <v>8</v>
      </c>
    </row>
    <row r="14" spans="1:20" x14ac:dyDescent="0.35">
      <c r="A14" s="1" t="s">
        <v>63</v>
      </c>
      <c r="B14" s="25">
        <v>256788410243</v>
      </c>
      <c r="C14" s="1">
        <v>1800000368</v>
      </c>
      <c r="D14" s="1" t="s">
        <v>41</v>
      </c>
      <c r="E14" s="2">
        <v>30</v>
      </c>
      <c r="F14" s="2">
        <v>2580.02</v>
      </c>
      <c r="G14" s="1" t="s">
        <v>91</v>
      </c>
      <c r="H14" s="29">
        <v>45847</v>
      </c>
      <c r="I14" s="23"/>
      <c r="J14" s="1" t="s">
        <v>7</v>
      </c>
      <c r="K14" s="25">
        <v>256788410360</v>
      </c>
      <c r="L14" s="2">
        <v>609.47</v>
      </c>
      <c r="M14" s="1" t="s">
        <v>8</v>
      </c>
    </row>
    <row r="15" spans="1:20" x14ac:dyDescent="0.35">
      <c r="A15" s="1" t="s">
        <v>63</v>
      </c>
      <c r="B15" s="25">
        <v>256779415275</v>
      </c>
      <c r="C15" s="1">
        <v>1800010515</v>
      </c>
      <c r="D15" s="1" t="s">
        <v>41</v>
      </c>
      <c r="E15" s="2">
        <v>86.04</v>
      </c>
      <c r="F15" s="2">
        <v>7399.5</v>
      </c>
      <c r="G15" s="1" t="s">
        <v>102</v>
      </c>
      <c r="H15" s="29">
        <v>45842</v>
      </c>
      <c r="I15" s="23"/>
      <c r="J15" s="1" t="s">
        <v>7</v>
      </c>
      <c r="K15" s="25">
        <v>256788410361</v>
      </c>
      <c r="L15" s="2">
        <v>45.51</v>
      </c>
      <c r="M15" s="1" t="s">
        <v>8</v>
      </c>
    </row>
    <row r="16" spans="1:20" x14ac:dyDescent="0.35">
      <c r="A16" s="1" t="s">
        <v>63</v>
      </c>
      <c r="B16" s="25">
        <v>256788410233</v>
      </c>
      <c r="C16" s="1">
        <v>1800000358</v>
      </c>
      <c r="D16" s="1" t="s">
        <v>41</v>
      </c>
      <c r="E16" s="2">
        <v>10350.540000000001</v>
      </c>
      <c r="F16" s="2">
        <v>890153.37</v>
      </c>
      <c r="G16" s="1" t="s">
        <v>103</v>
      </c>
      <c r="H16" s="29">
        <v>45842</v>
      </c>
      <c r="I16" s="23"/>
      <c r="J16" s="1" t="s">
        <v>7</v>
      </c>
      <c r="K16" s="25">
        <v>256788410363</v>
      </c>
      <c r="L16" s="2">
        <v>398.61</v>
      </c>
      <c r="M16" s="1" t="s">
        <v>8</v>
      </c>
    </row>
    <row r="17" spans="1:13" x14ac:dyDescent="0.35">
      <c r="A17" s="1" t="s">
        <v>63</v>
      </c>
      <c r="B17" s="25">
        <v>256788410235</v>
      </c>
      <c r="C17" s="1">
        <v>1800000360</v>
      </c>
      <c r="D17" s="1" t="s">
        <v>41</v>
      </c>
      <c r="E17" s="2">
        <v>2323.12</v>
      </c>
      <c r="F17" s="2">
        <v>199789.88</v>
      </c>
      <c r="G17" s="1" t="s">
        <v>104</v>
      </c>
      <c r="H17" s="29">
        <v>45842</v>
      </c>
      <c r="I17" s="23"/>
      <c r="J17" s="1" t="s">
        <v>7</v>
      </c>
      <c r="K17" s="25">
        <v>256788410364</v>
      </c>
      <c r="L17" s="2">
        <v>656.36</v>
      </c>
      <c r="M17" s="1" t="s">
        <v>8</v>
      </c>
    </row>
    <row r="18" spans="1:13" x14ac:dyDescent="0.35">
      <c r="A18" s="1" t="s">
        <v>63</v>
      </c>
      <c r="B18" s="25">
        <v>256788410237</v>
      </c>
      <c r="C18" s="1">
        <v>1800000362</v>
      </c>
      <c r="D18" s="1" t="s">
        <v>41</v>
      </c>
      <c r="E18" s="2">
        <v>75</v>
      </c>
      <c r="F18" s="2">
        <v>6450.05</v>
      </c>
      <c r="G18" s="1" t="s">
        <v>105</v>
      </c>
      <c r="H18" s="29">
        <v>45842</v>
      </c>
      <c r="I18" s="23"/>
    </row>
    <row r="19" spans="1:13" x14ac:dyDescent="0.35">
      <c r="A19" s="1" t="s">
        <v>63</v>
      </c>
      <c r="B19" s="25">
        <v>256788410255</v>
      </c>
      <c r="C19" s="1">
        <v>1800000380</v>
      </c>
      <c r="D19" s="1" t="s">
        <v>41</v>
      </c>
      <c r="E19" s="2">
        <v>14</v>
      </c>
      <c r="F19" s="2">
        <v>1204.01</v>
      </c>
      <c r="G19" s="1" t="s">
        <v>106</v>
      </c>
      <c r="H19" s="29">
        <v>45842</v>
      </c>
      <c r="I19" s="23"/>
    </row>
    <row r="20" spans="1:13" x14ac:dyDescent="0.35">
      <c r="A20" s="1" t="s">
        <v>63</v>
      </c>
      <c r="B20" s="25">
        <v>256788410257</v>
      </c>
      <c r="C20" s="1">
        <v>1800000382</v>
      </c>
      <c r="D20" s="1" t="s">
        <v>41</v>
      </c>
      <c r="E20" s="2">
        <v>67.760000000000005</v>
      </c>
      <c r="F20" s="2">
        <v>5827.41</v>
      </c>
      <c r="G20" s="1" t="s">
        <v>107</v>
      </c>
      <c r="H20" s="29">
        <v>45842</v>
      </c>
      <c r="I20" s="23"/>
    </row>
    <row r="21" spans="1:13" x14ac:dyDescent="0.35">
      <c r="A21" s="1" t="s">
        <v>63</v>
      </c>
      <c r="B21" s="25">
        <v>256788410258</v>
      </c>
      <c r="C21" s="1">
        <v>1800000383</v>
      </c>
      <c r="D21" s="1" t="s">
        <v>41</v>
      </c>
      <c r="E21" s="2">
        <v>17</v>
      </c>
      <c r="F21" s="2">
        <v>1462.01</v>
      </c>
      <c r="G21" s="1" t="s">
        <v>108</v>
      </c>
      <c r="H21" s="29">
        <v>45842</v>
      </c>
      <c r="I21" s="23"/>
    </row>
    <row r="22" spans="1:13" x14ac:dyDescent="0.35">
      <c r="A22" s="1" t="s">
        <v>63</v>
      </c>
      <c r="B22" s="25">
        <v>256788410267</v>
      </c>
      <c r="C22" s="1">
        <v>1800000391</v>
      </c>
      <c r="D22" s="1" t="s">
        <v>41</v>
      </c>
      <c r="E22" s="2">
        <v>9</v>
      </c>
      <c r="F22" s="2">
        <v>774.01</v>
      </c>
      <c r="G22" s="1" t="s">
        <v>109</v>
      </c>
      <c r="H22" s="29">
        <v>45842</v>
      </c>
      <c r="I22" s="23"/>
    </row>
    <row r="23" spans="1:13" x14ac:dyDescent="0.35">
      <c r="A23" s="1" t="s">
        <v>63</v>
      </c>
      <c r="B23" s="25">
        <v>256788410441</v>
      </c>
      <c r="C23" s="1">
        <v>1800000576</v>
      </c>
      <c r="D23" s="1" t="s">
        <v>41</v>
      </c>
      <c r="E23" s="2">
        <v>75</v>
      </c>
      <c r="F23" s="2">
        <v>6600.25</v>
      </c>
      <c r="G23" s="1" t="s">
        <v>110</v>
      </c>
      <c r="H23" s="29">
        <v>45966</v>
      </c>
      <c r="I23" s="23"/>
    </row>
    <row r="24" spans="1:13" x14ac:dyDescent="0.35">
      <c r="A24" s="1" t="s">
        <v>63</v>
      </c>
      <c r="B24" s="25">
        <v>256788410448</v>
      </c>
      <c r="C24" s="1">
        <v>1800000587</v>
      </c>
      <c r="D24" s="1" t="s">
        <v>41</v>
      </c>
      <c r="E24" s="2">
        <v>70</v>
      </c>
      <c r="F24" s="2">
        <v>6160.24</v>
      </c>
      <c r="G24" s="1" t="s">
        <v>111</v>
      </c>
      <c r="H24" s="29">
        <v>45966</v>
      </c>
      <c r="I24" s="23"/>
    </row>
    <row r="25" spans="1:13" x14ac:dyDescent="0.35">
      <c r="A25" s="1" t="s">
        <v>63</v>
      </c>
      <c r="B25" s="25">
        <v>256788410449</v>
      </c>
      <c r="C25" s="1">
        <v>1800000588</v>
      </c>
      <c r="D25" s="1" t="s">
        <v>41</v>
      </c>
      <c r="E25" s="2">
        <v>70</v>
      </c>
      <c r="F25" s="2">
        <v>6160.24</v>
      </c>
      <c r="G25" s="1" t="s">
        <v>111</v>
      </c>
      <c r="H25" s="29">
        <v>45966</v>
      </c>
      <c r="I25" s="23"/>
    </row>
    <row r="26" spans="1:13" x14ac:dyDescent="0.35">
      <c r="A26" s="1" t="s">
        <v>63</v>
      </c>
      <c r="B26" s="25">
        <v>256788410450</v>
      </c>
      <c r="C26" s="1">
        <v>1800000589</v>
      </c>
      <c r="D26" s="1" t="s">
        <v>41</v>
      </c>
      <c r="E26" s="2">
        <v>70</v>
      </c>
      <c r="F26" s="2">
        <v>6160.24</v>
      </c>
      <c r="G26" s="1" t="s">
        <v>111</v>
      </c>
      <c r="H26" s="29">
        <v>45966</v>
      </c>
      <c r="I26" s="23"/>
    </row>
    <row r="27" spans="1:13" x14ac:dyDescent="0.35">
      <c r="A27" s="1" t="s">
        <v>63</v>
      </c>
      <c r="B27" s="25">
        <v>256788410451</v>
      </c>
      <c r="C27" s="1">
        <v>1800000590</v>
      </c>
      <c r="D27" s="1" t="s">
        <v>41</v>
      </c>
      <c r="E27" s="2">
        <v>70</v>
      </c>
      <c r="F27" s="2">
        <v>6160.24</v>
      </c>
      <c r="G27" s="1" t="s">
        <v>111</v>
      </c>
      <c r="H27" s="29">
        <v>45966</v>
      </c>
      <c r="I27" s="23"/>
    </row>
    <row r="28" spans="1:13" x14ac:dyDescent="0.35">
      <c r="A28" s="1" t="s">
        <v>63</v>
      </c>
      <c r="B28" s="25">
        <v>256788410452</v>
      </c>
      <c r="C28" s="1">
        <v>1800000591</v>
      </c>
      <c r="D28" s="1" t="s">
        <v>41</v>
      </c>
      <c r="E28" s="2">
        <v>65.31</v>
      </c>
      <c r="F28" s="2">
        <v>5747.5</v>
      </c>
      <c r="G28" s="1" t="s">
        <v>112</v>
      </c>
      <c r="H28" s="29">
        <v>45966</v>
      </c>
      <c r="I28" s="23"/>
    </row>
    <row r="29" spans="1:13" x14ac:dyDescent="0.35">
      <c r="A29" s="1" t="s">
        <v>63</v>
      </c>
      <c r="B29" s="25">
        <v>256788410453</v>
      </c>
      <c r="C29" s="1">
        <v>1800000592</v>
      </c>
      <c r="D29" s="1" t="s">
        <v>41</v>
      </c>
      <c r="E29" s="2">
        <v>31.56</v>
      </c>
      <c r="F29" s="2">
        <v>2777.39</v>
      </c>
      <c r="G29" s="1" t="s">
        <v>113</v>
      </c>
      <c r="H29" s="29">
        <v>45966</v>
      </c>
      <c r="I29" s="23"/>
    </row>
    <row r="30" spans="1:13" x14ac:dyDescent="0.35">
      <c r="A30" s="1" t="s">
        <v>63</v>
      </c>
      <c r="B30" s="25">
        <v>256788410454</v>
      </c>
      <c r="C30" s="1">
        <v>1800000585</v>
      </c>
      <c r="D30" s="1" t="s">
        <v>41</v>
      </c>
      <c r="E30" s="2">
        <v>4547.2</v>
      </c>
      <c r="F30" s="2">
        <v>400169.02</v>
      </c>
      <c r="G30" s="1" t="s">
        <v>114</v>
      </c>
      <c r="H30" s="29">
        <v>45966</v>
      </c>
      <c r="I30" s="23"/>
    </row>
    <row r="31" spans="1:13" x14ac:dyDescent="0.35">
      <c r="A31" s="1" t="s">
        <v>63</v>
      </c>
      <c r="B31" s="25">
        <v>256788410455</v>
      </c>
      <c r="C31" s="1">
        <v>1800000593</v>
      </c>
      <c r="D31" s="1" t="s">
        <v>41</v>
      </c>
      <c r="E31" s="2">
        <v>338</v>
      </c>
      <c r="F31" s="2">
        <v>29745.15</v>
      </c>
      <c r="G31" s="1" t="s">
        <v>115</v>
      </c>
      <c r="H31" s="29">
        <v>45966</v>
      </c>
      <c r="I31" s="23"/>
    </row>
    <row r="32" spans="1:13" x14ac:dyDescent="0.35">
      <c r="A32" s="1" t="s">
        <v>63</v>
      </c>
      <c r="B32" s="25">
        <v>256788410457</v>
      </c>
      <c r="C32" s="1">
        <v>1800000584</v>
      </c>
      <c r="D32" s="1" t="s">
        <v>41</v>
      </c>
      <c r="E32" s="2">
        <v>93</v>
      </c>
      <c r="F32" s="2">
        <v>8184.32</v>
      </c>
      <c r="G32" s="1" t="s">
        <v>116</v>
      </c>
      <c r="H32" s="29">
        <v>45966</v>
      </c>
      <c r="I32" s="23"/>
    </row>
    <row r="33" spans="1:9" x14ac:dyDescent="0.35">
      <c r="A33" s="1" t="s">
        <v>63</v>
      </c>
      <c r="B33" s="25">
        <v>256788410458</v>
      </c>
      <c r="C33" s="1">
        <v>1800000586</v>
      </c>
      <c r="D33" s="1" t="s">
        <v>41</v>
      </c>
      <c r="E33" s="2">
        <v>103.89</v>
      </c>
      <c r="F33" s="2">
        <v>9142.67</v>
      </c>
      <c r="G33" s="1" t="s">
        <v>117</v>
      </c>
      <c r="H33" s="29">
        <v>45966</v>
      </c>
      <c r="I33" s="23"/>
    </row>
    <row r="34" spans="1:9" x14ac:dyDescent="0.35">
      <c r="A34" s="1" t="s">
        <v>63</v>
      </c>
      <c r="B34" s="25">
        <v>256788410332</v>
      </c>
      <c r="C34" s="1">
        <v>1800000466</v>
      </c>
      <c r="D34" s="1" t="s">
        <v>41</v>
      </c>
      <c r="E34" s="2">
        <v>443.76</v>
      </c>
      <c r="F34" s="2">
        <v>38176.730000000003</v>
      </c>
      <c r="G34" s="1" t="s">
        <v>103</v>
      </c>
      <c r="H34" s="29">
        <v>45877</v>
      </c>
      <c r="I34" s="23"/>
    </row>
    <row r="35" spans="1:9" x14ac:dyDescent="0.35">
      <c r="A35" s="1" t="s">
        <v>63</v>
      </c>
      <c r="B35" s="25">
        <v>256788410335</v>
      </c>
      <c r="C35" s="1">
        <v>1800000469</v>
      </c>
      <c r="D35" s="1" t="s">
        <v>41</v>
      </c>
      <c r="E35" s="2">
        <v>73.67</v>
      </c>
      <c r="F35" s="2">
        <v>6337.84</v>
      </c>
      <c r="G35" s="1" t="s">
        <v>118</v>
      </c>
      <c r="H35" s="29">
        <v>45877</v>
      </c>
      <c r="I35" s="23"/>
    </row>
    <row r="36" spans="1:9" x14ac:dyDescent="0.35">
      <c r="A36" s="1" t="s">
        <v>63</v>
      </c>
      <c r="B36" s="25">
        <v>256788410336</v>
      </c>
      <c r="C36" s="1">
        <v>1800000470</v>
      </c>
      <c r="D36" s="1" t="s">
        <v>41</v>
      </c>
      <c r="E36" s="2">
        <v>11976.87</v>
      </c>
      <c r="F36" s="2">
        <v>1030371.56</v>
      </c>
      <c r="G36" s="1" t="s">
        <v>119</v>
      </c>
      <c r="H36" s="29">
        <v>45877</v>
      </c>
      <c r="I36" s="23"/>
    </row>
    <row r="37" spans="1:9" x14ac:dyDescent="0.35">
      <c r="A37" s="1" t="s">
        <v>63</v>
      </c>
      <c r="B37" s="25">
        <v>256788410338</v>
      </c>
      <c r="C37" s="1">
        <v>1800000457</v>
      </c>
      <c r="D37" s="1" t="s">
        <v>41</v>
      </c>
      <c r="E37" s="2">
        <v>607.84</v>
      </c>
      <c r="F37" s="2">
        <v>52292.55</v>
      </c>
      <c r="G37" s="1" t="s">
        <v>120</v>
      </c>
      <c r="H37" s="29">
        <v>45877</v>
      </c>
      <c r="I37" s="23"/>
    </row>
    <row r="38" spans="1:9" x14ac:dyDescent="0.35">
      <c r="A38" s="1" t="s">
        <v>63</v>
      </c>
      <c r="B38" s="25">
        <v>256788410339</v>
      </c>
      <c r="C38" s="1">
        <v>1800000458</v>
      </c>
      <c r="D38" s="1" t="s">
        <v>41</v>
      </c>
      <c r="E38" s="2">
        <v>400</v>
      </c>
      <c r="F38" s="2">
        <v>34412.050000000003</v>
      </c>
      <c r="G38" s="1" t="s">
        <v>120</v>
      </c>
      <c r="H38" s="29">
        <v>45877</v>
      </c>
      <c r="I38" s="23"/>
    </row>
    <row r="39" spans="1:9" x14ac:dyDescent="0.35">
      <c r="A39" s="1" t="s">
        <v>63</v>
      </c>
      <c r="B39" s="25">
        <v>256788410340</v>
      </c>
      <c r="C39" s="1">
        <v>1800000459</v>
      </c>
      <c r="D39" s="1" t="s">
        <v>41</v>
      </c>
      <c r="E39" s="2">
        <v>90</v>
      </c>
      <c r="F39" s="2">
        <v>7742.71</v>
      </c>
      <c r="G39" s="1" t="s">
        <v>121</v>
      </c>
      <c r="H39" s="29">
        <v>45877</v>
      </c>
      <c r="I39" s="23"/>
    </row>
    <row r="40" spans="1:9" x14ac:dyDescent="0.35">
      <c r="A40" s="1" t="s">
        <v>63</v>
      </c>
      <c r="B40" s="25">
        <v>256788410341</v>
      </c>
      <c r="C40" s="1">
        <v>1800000460</v>
      </c>
      <c r="D40" s="1" t="s">
        <v>41</v>
      </c>
      <c r="E40" s="2">
        <v>31.3</v>
      </c>
      <c r="F40" s="2">
        <v>2692.74</v>
      </c>
      <c r="G40" s="1" t="s">
        <v>122</v>
      </c>
      <c r="H40" s="29">
        <v>45877</v>
      </c>
      <c r="I40" s="23"/>
    </row>
    <row r="41" spans="1:9" x14ac:dyDescent="0.35">
      <c r="A41" s="1" t="s">
        <v>63</v>
      </c>
      <c r="B41" s="25">
        <v>256788410342</v>
      </c>
      <c r="C41" s="1">
        <v>1800000461</v>
      </c>
      <c r="D41" s="1" t="s">
        <v>41</v>
      </c>
      <c r="E41" s="2">
        <v>2269.79</v>
      </c>
      <c r="F41" s="2">
        <v>195270.31</v>
      </c>
      <c r="G41" s="1" t="s">
        <v>123</v>
      </c>
      <c r="H41" s="29">
        <v>45877</v>
      </c>
      <c r="I41" s="23"/>
    </row>
    <row r="42" spans="1:9" x14ac:dyDescent="0.35">
      <c r="A42" s="1" t="s">
        <v>63</v>
      </c>
      <c r="B42" s="25">
        <v>256788410343</v>
      </c>
      <c r="C42" s="1">
        <v>1800000462</v>
      </c>
      <c r="D42" s="1" t="s">
        <v>41</v>
      </c>
      <c r="E42" s="2">
        <v>18.52</v>
      </c>
      <c r="F42" s="2">
        <v>1593.28</v>
      </c>
      <c r="G42" s="1" t="s">
        <v>124</v>
      </c>
      <c r="H42" s="29">
        <v>45877</v>
      </c>
      <c r="I42" s="23"/>
    </row>
    <row r="43" spans="1:9" x14ac:dyDescent="0.35">
      <c r="A43" s="1" t="s">
        <v>63</v>
      </c>
      <c r="B43" s="25">
        <v>256788410346</v>
      </c>
      <c r="C43" s="1">
        <v>1800000465</v>
      </c>
      <c r="D43" s="1" t="s">
        <v>41</v>
      </c>
      <c r="E43" s="2">
        <v>73.67</v>
      </c>
      <c r="F43" s="2">
        <v>6337.84</v>
      </c>
      <c r="G43" s="1" t="s">
        <v>118</v>
      </c>
      <c r="H43" s="29">
        <v>45877</v>
      </c>
      <c r="I43" s="23"/>
    </row>
    <row r="44" spans="1:9" x14ac:dyDescent="0.35">
      <c r="A44" s="1" t="s">
        <v>63</v>
      </c>
      <c r="B44" s="25">
        <v>256788410347</v>
      </c>
      <c r="C44" s="1">
        <v>1800000472</v>
      </c>
      <c r="D44" s="1" t="s">
        <v>41</v>
      </c>
      <c r="E44" s="2">
        <v>393.73</v>
      </c>
      <c r="F44" s="2">
        <v>33872.639999999999</v>
      </c>
      <c r="G44" s="1" t="s">
        <v>125</v>
      </c>
      <c r="H44" s="29">
        <v>45877</v>
      </c>
      <c r="I44" s="23"/>
    </row>
    <row r="45" spans="1:9" x14ac:dyDescent="0.35">
      <c r="A45" s="1" t="s">
        <v>63</v>
      </c>
      <c r="B45" s="25">
        <v>256788410225</v>
      </c>
      <c r="C45" s="1">
        <v>1800000350</v>
      </c>
      <c r="D45" s="1" t="s">
        <v>41</v>
      </c>
      <c r="E45" s="2">
        <v>111.13</v>
      </c>
      <c r="F45" s="2">
        <v>9500.59</v>
      </c>
      <c r="G45" s="1" t="s">
        <v>126</v>
      </c>
      <c r="H45" s="29">
        <v>45812</v>
      </c>
      <c r="I45" s="23"/>
    </row>
    <row r="46" spans="1:9" x14ac:dyDescent="0.35">
      <c r="A46" s="1" t="s">
        <v>63</v>
      </c>
      <c r="B46" s="25">
        <v>256788410226</v>
      </c>
      <c r="C46" s="1">
        <v>1800000351</v>
      </c>
      <c r="D46" s="1" t="s">
        <v>41</v>
      </c>
      <c r="E46" s="2">
        <v>223.31</v>
      </c>
      <c r="F46" s="2">
        <v>19090.95</v>
      </c>
      <c r="G46" s="1" t="s">
        <v>127</v>
      </c>
      <c r="H46" s="29">
        <v>45812</v>
      </c>
      <c r="I46" s="23"/>
    </row>
    <row r="47" spans="1:9" x14ac:dyDescent="0.35">
      <c r="A47" s="1" t="s">
        <v>63</v>
      </c>
      <c r="B47" s="25">
        <v>256788410227</v>
      </c>
      <c r="C47" s="1">
        <v>1800000352</v>
      </c>
      <c r="D47" s="1" t="s">
        <v>41</v>
      </c>
      <c r="E47" s="2">
        <v>27.61</v>
      </c>
      <c r="F47" s="2">
        <v>2360.4</v>
      </c>
      <c r="G47" s="1" t="s">
        <v>128</v>
      </c>
      <c r="H47" s="29">
        <v>45812</v>
      </c>
      <c r="I47" s="23"/>
    </row>
    <row r="48" spans="1:9" x14ac:dyDescent="0.35">
      <c r="A48" s="1" t="s">
        <v>84</v>
      </c>
      <c r="B48" s="25">
        <v>256788420001</v>
      </c>
      <c r="C48" s="1">
        <v>1600000113</v>
      </c>
      <c r="D48" s="1" t="s">
        <v>41</v>
      </c>
      <c r="E48" s="2">
        <v>-75</v>
      </c>
      <c r="F48" s="2">
        <v>-6448.78</v>
      </c>
      <c r="G48" s="1" t="s">
        <v>129</v>
      </c>
      <c r="H48" s="29">
        <v>45793</v>
      </c>
      <c r="I48" s="23"/>
    </row>
    <row r="49" spans="1:9" x14ac:dyDescent="0.35">
      <c r="A49" s="1" t="s">
        <v>84</v>
      </c>
      <c r="B49" s="25">
        <v>256788420005</v>
      </c>
      <c r="C49" s="1">
        <v>1600000117</v>
      </c>
      <c r="D49" s="1" t="s">
        <v>41</v>
      </c>
      <c r="E49" s="2">
        <v>-75</v>
      </c>
      <c r="F49" s="2">
        <v>-6448.78</v>
      </c>
      <c r="G49" s="1" t="s">
        <v>130</v>
      </c>
      <c r="H49" s="29">
        <v>45793</v>
      </c>
      <c r="I49" s="23"/>
    </row>
    <row r="50" spans="1:9" x14ac:dyDescent="0.35">
      <c r="A50" s="1" t="s">
        <v>63</v>
      </c>
      <c r="B50" s="25">
        <v>246788410059</v>
      </c>
      <c r="C50" s="1">
        <v>1800000064</v>
      </c>
      <c r="D50" s="1" t="s">
        <v>41</v>
      </c>
      <c r="E50" s="2">
        <v>25.75</v>
      </c>
      <c r="F50" s="2">
        <v>2232.3000000000002</v>
      </c>
      <c r="G50" s="1" t="s">
        <v>134</v>
      </c>
      <c r="H50" s="29">
        <v>45729</v>
      </c>
      <c r="I50" s="23"/>
    </row>
    <row r="51" spans="1:9" x14ac:dyDescent="0.35">
      <c r="A51" s="1" t="s">
        <v>63</v>
      </c>
      <c r="B51" s="25">
        <v>256788410348</v>
      </c>
      <c r="C51" s="1">
        <v>1800000476</v>
      </c>
      <c r="D51" s="1" t="s">
        <v>41</v>
      </c>
      <c r="E51" s="2">
        <v>20.57</v>
      </c>
      <c r="F51" s="2">
        <v>1769.64</v>
      </c>
      <c r="G51" s="1" t="s">
        <v>140</v>
      </c>
      <c r="H51" s="29">
        <v>45889</v>
      </c>
      <c r="I51" s="23"/>
    </row>
    <row r="52" spans="1:9" x14ac:dyDescent="0.35">
      <c r="A52" s="1" t="s">
        <v>63</v>
      </c>
      <c r="B52" s="25">
        <v>256788410350</v>
      </c>
      <c r="C52" s="1">
        <v>1800000473</v>
      </c>
      <c r="D52" s="1" t="s">
        <v>41</v>
      </c>
      <c r="E52" s="2">
        <v>141.91</v>
      </c>
      <c r="F52" s="2">
        <v>12208.53</v>
      </c>
      <c r="G52" s="1" t="s">
        <v>141</v>
      </c>
      <c r="H52" s="29">
        <v>45889</v>
      </c>
      <c r="I52" s="23"/>
    </row>
    <row r="53" spans="1:9" x14ac:dyDescent="0.35">
      <c r="A53" s="1" t="s">
        <v>63</v>
      </c>
      <c r="B53" s="25">
        <v>256788410352</v>
      </c>
      <c r="C53" s="1">
        <v>1800000475</v>
      </c>
      <c r="D53" s="1" t="s">
        <v>41</v>
      </c>
      <c r="E53" s="2">
        <v>342.84</v>
      </c>
      <c r="F53" s="2">
        <v>29494.57</v>
      </c>
      <c r="G53" s="1" t="s">
        <v>142</v>
      </c>
      <c r="H53" s="29">
        <v>45889</v>
      </c>
      <c r="I53" s="23"/>
    </row>
    <row r="54" spans="1:9" x14ac:dyDescent="0.35">
      <c r="A54" s="1" t="s">
        <v>84</v>
      </c>
      <c r="B54" s="25">
        <v>246788420003</v>
      </c>
      <c r="C54" s="1">
        <v>1600000004</v>
      </c>
      <c r="D54" s="1" t="s">
        <v>41</v>
      </c>
      <c r="E54" s="2">
        <v>-75</v>
      </c>
      <c r="F54" s="2">
        <v>-6472.77</v>
      </c>
      <c r="G54" s="1" t="s">
        <v>143</v>
      </c>
      <c r="H54" s="29">
        <v>45707</v>
      </c>
      <c r="I54" s="23"/>
    </row>
    <row r="55" spans="1:9" x14ac:dyDescent="0.35">
      <c r="A55" s="1" t="s">
        <v>84</v>
      </c>
      <c r="B55" s="25">
        <v>256788420122</v>
      </c>
      <c r="C55" s="1">
        <v>1600000242</v>
      </c>
      <c r="D55" s="1" t="s">
        <v>41</v>
      </c>
      <c r="E55" s="2">
        <v>-9</v>
      </c>
      <c r="F55" s="2">
        <v>-774.01</v>
      </c>
      <c r="G55" s="1" t="s">
        <v>148</v>
      </c>
      <c r="H55" s="29">
        <v>45923</v>
      </c>
      <c r="I55" s="23"/>
    </row>
    <row r="56" spans="1:9" x14ac:dyDescent="0.35">
      <c r="A56" s="1" t="s">
        <v>63</v>
      </c>
      <c r="B56" s="25">
        <v>256788410459</v>
      </c>
      <c r="C56" s="1">
        <v>1800000594</v>
      </c>
      <c r="D56" s="1" t="s">
        <v>41</v>
      </c>
      <c r="E56" s="2">
        <v>8006.66</v>
      </c>
      <c r="F56" s="2">
        <v>704613.22</v>
      </c>
      <c r="G56" s="1" t="s">
        <v>114</v>
      </c>
      <c r="H56" s="29">
        <v>45973</v>
      </c>
      <c r="I56" s="23"/>
    </row>
    <row r="57" spans="1:9" x14ac:dyDescent="0.35">
      <c r="A57" s="1" t="s">
        <v>84</v>
      </c>
      <c r="B57" s="25">
        <v>256788420147</v>
      </c>
      <c r="C57" s="1">
        <v>1600000270</v>
      </c>
      <c r="D57" s="1" t="s">
        <v>41</v>
      </c>
      <c r="E57" s="2">
        <v>-4547.2</v>
      </c>
      <c r="F57" s="2">
        <v>-400169.02</v>
      </c>
      <c r="G57" s="1" t="s">
        <v>149</v>
      </c>
      <c r="H57" s="29">
        <v>45973</v>
      </c>
      <c r="I57" s="23"/>
    </row>
    <row r="58" spans="1:9" x14ac:dyDescent="0.35">
      <c r="A58" s="1" t="s">
        <v>63</v>
      </c>
      <c r="B58" s="25">
        <v>256779414346</v>
      </c>
      <c r="C58" s="1">
        <v>1800009582</v>
      </c>
      <c r="D58" s="1" t="s">
        <v>41</v>
      </c>
      <c r="E58" s="2">
        <v>2322.04</v>
      </c>
      <c r="F58" s="2">
        <v>198513.01</v>
      </c>
      <c r="G58" s="1" t="s">
        <v>150</v>
      </c>
      <c r="H58" s="29">
        <v>45821</v>
      </c>
      <c r="I58" s="23"/>
    </row>
    <row r="59" spans="1:9" x14ac:dyDescent="0.35">
      <c r="A59" s="1" t="s">
        <v>63</v>
      </c>
      <c r="B59" s="25">
        <v>256788410220</v>
      </c>
      <c r="C59" s="1">
        <v>1800000345</v>
      </c>
      <c r="D59" s="1" t="s">
        <v>41</v>
      </c>
      <c r="E59" s="2">
        <v>67.2</v>
      </c>
      <c r="F59" s="2">
        <v>5778.1</v>
      </c>
      <c r="G59" s="1" t="s">
        <v>151</v>
      </c>
      <c r="H59" s="29">
        <v>45797</v>
      </c>
      <c r="I59" s="23"/>
    </row>
    <row r="60" spans="1:9" x14ac:dyDescent="0.35">
      <c r="A60" s="1" t="s">
        <v>63</v>
      </c>
      <c r="B60" s="25">
        <v>256788410435</v>
      </c>
      <c r="C60" s="1">
        <v>1800000558</v>
      </c>
      <c r="D60" s="1" t="s">
        <v>41</v>
      </c>
      <c r="E60" s="2">
        <v>38</v>
      </c>
      <c r="F60" s="2">
        <v>3351.25</v>
      </c>
      <c r="G60" s="1" t="s">
        <v>153</v>
      </c>
      <c r="H60" s="29">
        <v>45950</v>
      </c>
      <c r="I60" s="23"/>
    </row>
    <row r="61" spans="1:9" x14ac:dyDescent="0.35">
      <c r="A61" s="1" t="s">
        <v>63</v>
      </c>
      <c r="B61" s="25">
        <v>256788410437</v>
      </c>
      <c r="C61" s="1">
        <v>1800000560</v>
      </c>
      <c r="D61" s="1" t="s">
        <v>41</v>
      </c>
      <c r="E61" s="2">
        <v>346.14</v>
      </c>
      <c r="F61" s="2">
        <v>30526.35</v>
      </c>
      <c r="G61" s="1" t="s">
        <v>154</v>
      </c>
      <c r="H61" s="29">
        <v>45950</v>
      </c>
      <c r="I61" s="23"/>
    </row>
    <row r="62" spans="1:9" x14ac:dyDescent="0.35">
      <c r="A62" s="1" t="s">
        <v>63</v>
      </c>
      <c r="B62" s="25">
        <v>256788410003</v>
      </c>
      <c r="C62" s="1">
        <v>1800000128</v>
      </c>
      <c r="D62" s="1" t="s">
        <v>41</v>
      </c>
      <c r="E62" s="2">
        <v>4.5</v>
      </c>
      <c r="F62" s="2">
        <v>391.15</v>
      </c>
      <c r="G62" s="1" t="s">
        <v>157</v>
      </c>
      <c r="H62" s="29">
        <v>45749</v>
      </c>
      <c r="I62" s="23"/>
    </row>
    <row r="63" spans="1:9" x14ac:dyDescent="0.35">
      <c r="A63" s="1" t="s">
        <v>63</v>
      </c>
      <c r="B63" s="25">
        <v>256788410019</v>
      </c>
      <c r="C63" s="1">
        <v>1800000144</v>
      </c>
      <c r="D63" s="1" t="s">
        <v>41</v>
      </c>
      <c r="E63" s="2">
        <v>75</v>
      </c>
      <c r="F63" s="2">
        <v>6519.14</v>
      </c>
      <c r="G63" s="1" t="s">
        <v>138</v>
      </c>
      <c r="H63" s="29">
        <v>45749</v>
      </c>
      <c r="I63" s="23"/>
    </row>
    <row r="64" spans="1:9" x14ac:dyDescent="0.35">
      <c r="A64" s="1" t="s">
        <v>63</v>
      </c>
      <c r="B64" s="25">
        <v>256788410023</v>
      </c>
      <c r="C64" s="1">
        <v>1800000148</v>
      </c>
      <c r="D64" s="1" t="s">
        <v>41</v>
      </c>
      <c r="E64" s="2">
        <v>75</v>
      </c>
      <c r="F64" s="2">
        <v>6519.14</v>
      </c>
      <c r="G64" s="1" t="s">
        <v>139</v>
      </c>
      <c r="H64" s="29">
        <v>45749</v>
      </c>
      <c r="I64" s="23"/>
    </row>
    <row r="65" spans="1:9" x14ac:dyDescent="0.35">
      <c r="A65" s="1" t="s">
        <v>63</v>
      </c>
      <c r="B65" s="25">
        <v>256788410465</v>
      </c>
      <c r="C65" s="1">
        <v>1800000608</v>
      </c>
      <c r="D65" s="1" t="s">
        <v>41</v>
      </c>
      <c r="E65" s="2">
        <v>3385.09</v>
      </c>
      <c r="F65" s="2">
        <v>300257.96000000002</v>
      </c>
      <c r="G65" s="1" t="s">
        <v>163</v>
      </c>
      <c r="H65" s="29">
        <v>45995</v>
      </c>
      <c r="I65" s="23"/>
    </row>
    <row r="66" spans="1:9" x14ac:dyDescent="0.35">
      <c r="A66" s="1" t="s">
        <v>63</v>
      </c>
      <c r="B66" s="25">
        <v>256788410466</v>
      </c>
      <c r="C66" s="1">
        <v>1800000609</v>
      </c>
      <c r="D66" s="1" t="s">
        <v>41</v>
      </c>
      <c r="E66" s="2">
        <v>75</v>
      </c>
      <c r="F66" s="2">
        <v>6652.51</v>
      </c>
      <c r="G66" s="1" t="s">
        <v>164</v>
      </c>
      <c r="H66" s="29">
        <v>45995</v>
      </c>
      <c r="I66" s="23"/>
    </row>
    <row r="67" spans="1:9" x14ac:dyDescent="0.35">
      <c r="A67" s="1" t="s">
        <v>63</v>
      </c>
      <c r="B67" s="25">
        <v>246788410081</v>
      </c>
      <c r="C67" s="1">
        <v>1800000086</v>
      </c>
      <c r="D67" s="1" t="s">
        <v>41</v>
      </c>
      <c r="E67" s="2">
        <v>2</v>
      </c>
      <c r="F67" s="2">
        <v>173.38</v>
      </c>
      <c r="G67" s="1" t="s">
        <v>166</v>
      </c>
      <c r="H67" s="29">
        <v>45734</v>
      </c>
      <c r="I67" s="23"/>
    </row>
    <row r="68" spans="1:9" x14ac:dyDescent="0.35">
      <c r="A68" s="1" t="s">
        <v>63</v>
      </c>
      <c r="B68" s="25">
        <v>246788410082</v>
      </c>
      <c r="C68" s="1">
        <v>1800000087</v>
      </c>
      <c r="D68" s="1" t="s">
        <v>41</v>
      </c>
      <c r="E68" s="2">
        <v>40</v>
      </c>
      <c r="F68" s="2">
        <v>3467.65</v>
      </c>
      <c r="G68" s="1" t="s">
        <v>166</v>
      </c>
      <c r="H68" s="29">
        <v>45734</v>
      </c>
      <c r="I68" s="23"/>
    </row>
    <row r="69" spans="1:9" x14ac:dyDescent="0.35">
      <c r="A69" s="1" t="s">
        <v>63</v>
      </c>
      <c r="B69" s="25">
        <v>246788410086</v>
      </c>
      <c r="C69" s="1">
        <v>1800000091</v>
      </c>
      <c r="D69" s="1" t="s">
        <v>41</v>
      </c>
      <c r="E69" s="2">
        <v>0.5</v>
      </c>
      <c r="F69" s="2">
        <v>43.35</v>
      </c>
      <c r="G69" s="1" t="s">
        <v>168</v>
      </c>
      <c r="H69" s="29">
        <v>45734</v>
      </c>
      <c r="I69" s="23"/>
    </row>
    <row r="70" spans="1:9" x14ac:dyDescent="0.35">
      <c r="A70" s="1" t="s">
        <v>63</v>
      </c>
      <c r="B70" s="25">
        <v>246788410088</v>
      </c>
      <c r="C70" s="1">
        <v>1800000096</v>
      </c>
      <c r="D70" s="1" t="s">
        <v>41</v>
      </c>
      <c r="E70" s="2">
        <v>10</v>
      </c>
      <c r="F70" s="2">
        <v>866.91</v>
      </c>
      <c r="G70" s="1" t="s">
        <v>169</v>
      </c>
      <c r="H70" s="29">
        <v>45734</v>
      </c>
      <c r="I70" s="23"/>
    </row>
    <row r="71" spans="1:9" x14ac:dyDescent="0.35">
      <c r="A71" s="1" t="s">
        <v>63</v>
      </c>
      <c r="B71" s="25">
        <v>246788410089</v>
      </c>
      <c r="C71" s="1">
        <v>1800000097</v>
      </c>
      <c r="D71" s="1" t="s">
        <v>41</v>
      </c>
      <c r="E71" s="2">
        <v>0.63</v>
      </c>
      <c r="F71" s="2">
        <v>54.62</v>
      </c>
      <c r="G71" s="1" t="s">
        <v>170</v>
      </c>
      <c r="H71" s="29">
        <v>45734</v>
      </c>
      <c r="I71" s="23"/>
    </row>
    <row r="72" spans="1:9" x14ac:dyDescent="0.35">
      <c r="A72" s="1" t="s">
        <v>63</v>
      </c>
      <c r="B72" s="25">
        <v>246788410091</v>
      </c>
      <c r="C72" s="1">
        <v>1800000093</v>
      </c>
      <c r="D72" s="1" t="s">
        <v>41</v>
      </c>
      <c r="E72" s="2">
        <v>31.2</v>
      </c>
      <c r="F72" s="2">
        <v>2704.77</v>
      </c>
      <c r="G72" s="1" t="s">
        <v>171</v>
      </c>
      <c r="H72" s="29">
        <v>45734</v>
      </c>
      <c r="I72" s="23"/>
    </row>
    <row r="73" spans="1:9" x14ac:dyDescent="0.35">
      <c r="A73" s="1" t="s">
        <v>63</v>
      </c>
      <c r="B73" s="25">
        <v>246788410092</v>
      </c>
      <c r="C73" s="1">
        <v>1800000094</v>
      </c>
      <c r="D73" s="1" t="s">
        <v>41</v>
      </c>
      <c r="E73" s="2">
        <v>1.9</v>
      </c>
      <c r="F73" s="2">
        <v>164.71</v>
      </c>
      <c r="G73" s="1" t="s">
        <v>172</v>
      </c>
      <c r="H73" s="29">
        <v>45734</v>
      </c>
      <c r="I73" s="23"/>
    </row>
    <row r="74" spans="1:9" x14ac:dyDescent="0.35">
      <c r="A74" s="1" t="s">
        <v>63</v>
      </c>
      <c r="B74" s="25">
        <v>246788410093</v>
      </c>
      <c r="C74" s="1">
        <v>1800000098</v>
      </c>
      <c r="D74" s="1" t="s">
        <v>41</v>
      </c>
      <c r="E74" s="2">
        <v>14</v>
      </c>
      <c r="F74" s="2">
        <v>1213.68</v>
      </c>
      <c r="G74" s="1" t="s">
        <v>173</v>
      </c>
      <c r="H74" s="29">
        <v>45734</v>
      </c>
      <c r="I74" s="23"/>
    </row>
    <row r="75" spans="1:9" x14ac:dyDescent="0.35">
      <c r="A75" s="1" t="s">
        <v>63</v>
      </c>
      <c r="B75" s="25">
        <v>246788410097</v>
      </c>
      <c r="C75" s="1">
        <v>1800000103</v>
      </c>
      <c r="D75" s="1" t="s">
        <v>41</v>
      </c>
      <c r="E75" s="2">
        <v>12</v>
      </c>
      <c r="F75" s="2">
        <v>1040.3</v>
      </c>
      <c r="G75" s="1" t="s">
        <v>174</v>
      </c>
      <c r="H75" s="29">
        <v>45735</v>
      </c>
      <c r="I75" s="23"/>
    </row>
    <row r="76" spans="1:9" x14ac:dyDescent="0.35">
      <c r="A76" s="1" t="s">
        <v>63</v>
      </c>
      <c r="B76" s="25">
        <v>246788410098</v>
      </c>
      <c r="C76" s="1">
        <v>1800000104</v>
      </c>
      <c r="D76" s="1" t="s">
        <v>41</v>
      </c>
      <c r="E76" s="2">
        <v>5.2</v>
      </c>
      <c r="F76" s="2">
        <v>450.79</v>
      </c>
      <c r="G76" s="1" t="s">
        <v>175</v>
      </c>
      <c r="H76" s="29">
        <v>45735</v>
      </c>
      <c r="I76" s="23"/>
    </row>
    <row r="77" spans="1:9" x14ac:dyDescent="0.35">
      <c r="A77" s="1" t="s">
        <v>63</v>
      </c>
      <c r="B77" s="25">
        <v>246788410101</v>
      </c>
      <c r="C77" s="1">
        <v>1800000107</v>
      </c>
      <c r="D77" s="1" t="s">
        <v>41</v>
      </c>
      <c r="E77" s="2">
        <v>1.1200000000000001</v>
      </c>
      <c r="F77" s="2">
        <v>97.09</v>
      </c>
      <c r="G77" s="1" t="s">
        <v>172</v>
      </c>
      <c r="H77" s="29">
        <v>45735</v>
      </c>
      <c r="I77" s="23"/>
    </row>
    <row r="78" spans="1:9" x14ac:dyDescent="0.35">
      <c r="A78" s="1" t="s">
        <v>63</v>
      </c>
      <c r="B78" s="25">
        <v>246788410102</v>
      </c>
      <c r="C78" s="1">
        <v>1800000108</v>
      </c>
      <c r="D78" s="1" t="s">
        <v>41</v>
      </c>
      <c r="E78" s="2">
        <v>56</v>
      </c>
      <c r="F78" s="2">
        <v>4854.71</v>
      </c>
      <c r="G78" s="1" t="s">
        <v>176</v>
      </c>
      <c r="H78" s="29">
        <v>45735</v>
      </c>
      <c r="I78" s="23"/>
    </row>
    <row r="79" spans="1:9" x14ac:dyDescent="0.35">
      <c r="A79" s="1" t="s">
        <v>63</v>
      </c>
      <c r="B79" s="25">
        <v>246788410103</v>
      </c>
      <c r="C79" s="1">
        <v>1800000109</v>
      </c>
      <c r="D79" s="1" t="s">
        <v>41</v>
      </c>
      <c r="E79" s="2">
        <v>24</v>
      </c>
      <c r="F79" s="2">
        <v>2080.59</v>
      </c>
      <c r="G79" s="1" t="s">
        <v>177</v>
      </c>
      <c r="H79" s="29">
        <v>45735</v>
      </c>
      <c r="I79" s="23"/>
    </row>
    <row r="80" spans="1:9" x14ac:dyDescent="0.35">
      <c r="A80" s="1" t="s">
        <v>63</v>
      </c>
      <c r="B80" s="25">
        <v>246788410106</v>
      </c>
      <c r="C80" s="1">
        <v>1800000112</v>
      </c>
      <c r="D80" s="1" t="s">
        <v>41</v>
      </c>
      <c r="E80" s="2">
        <v>24</v>
      </c>
      <c r="F80" s="2">
        <v>2080.59</v>
      </c>
      <c r="G80" s="1" t="s">
        <v>178</v>
      </c>
      <c r="H80" s="29">
        <v>45735</v>
      </c>
      <c r="I80" s="23"/>
    </row>
    <row r="81" spans="1:9" x14ac:dyDescent="0.35">
      <c r="A81" s="1" t="s">
        <v>63</v>
      </c>
      <c r="B81" s="25">
        <v>246788410107</v>
      </c>
      <c r="C81" s="1">
        <v>1800000113</v>
      </c>
      <c r="D81" s="1" t="s">
        <v>41</v>
      </c>
      <c r="E81" s="2">
        <v>68.22</v>
      </c>
      <c r="F81" s="2">
        <v>5914.08</v>
      </c>
      <c r="G81" s="1" t="s">
        <v>179</v>
      </c>
      <c r="H81" s="29">
        <v>45735</v>
      </c>
      <c r="I81" s="23"/>
    </row>
    <row r="82" spans="1:9" x14ac:dyDescent="0.35">
      <c r="A82" s="1" t="s">
        <v>63</v>
      </c>
      <c r="B82" s="25">
        <v>246788410108</v>
      </c>
      <c r="C82" s="1">
        <v>1800000114</v>
      </c>
      <c r="D82" s="1" t="s">
        <v>41</v>
      </c>
      <c r="E82" s="2">
        <v>0.5</v>
      </c>
      <c r="F82" s="2">
        <v>43.35</v>
      </c>
      <c r="G82" s="1" t="s">
        <v>170</v>
      </c>
      <c r="H82" s="29">
        <v>45735</v>
      </c>
      <c r="I82" s="23"/>
    </row>
    <row r="83" spans="1:9" x14ac:dyDescent="0.35">
      <c r="A83" s="1" t="s">
        <v>63</v>
      </c>
      <c r="B83" s="25">
        <v>246788410110</v>
      </c>
      <c r="C83" s="1">
        <v>1800000116</v>
      </c>
      <c r="D83" s="1" t="s">
        <v>41</v>
      </c>
      <c r="E83" s="2">
        <v>456</v>
      </c>
      <c r="F83" s="2">
        <v>39531.21</v>
      </c>
      <c r="G83" s="1" t="s">
        <v>181</v>
      </c>
      <c r="H83" s="29">
        <v>45735</v>
      </c>
      <c r="I83" s="23"/>
    </row>
    <row r="84" spans="1:9" x14ac:dyDescent="0.35">
      <c r="A84" s="1" t="s">
        <v>63</v>
      </c>
      <c r="B84" s="25">
        <v>246788410111</v>
      </c>
      <c r="C84" s="1">
        <v>1800000117</v>
      </c>
      <c r="D84" s="1" t="s">
        <v>41</v>
      </c>
      <c r="E84" s="2">
        <v>14</v>
      </c>
      <c r="F84" s="2">
        <v>1213.68</v>
      </c>
      <c r="G84" s="1" t="s">
        <v>182</v>
      </c>
      <c r="H84" s="29">
        <v>45735</v>
      </c>
      <c r="I84" s="23"/>
    </row>
    <row r="85" spans="1:9" x14ac:dyDescent="0.35">
      <c r="A85" s="1" t="s">
        <v>63</v>
      </c>
      <c r="B85" s="25">
        <v>246788410112</v>
      </c>
      <c r="C85" s="1">
        <v>1800000118</v>
      </c>
      <c r="D85" s="1" t="s">
        <v>41</v>
      </c>
      <c r="E85" s="2">
        <v>1</v>
      </c>
      <c r="F85" s="2">
        <v>86.69</v>
      </c>
      <c r="G85" s="1" t="s">
        <v>183</v>
      </c>
      <c r="H85" s="29">
        <v>45735</v>
      </c>
      <c r="I85" s="23"/>
    </row>
    <row r="86" spans="1:9" x14ac:dyDescent="0.35">
      <c r="A86" s="1" t="s">
        <v>63</v>
      </c>
      <c r="B86" s="25">
        <v>246788410119</v>
      </c>
      <c r="C86" s="1">
        <v>1800000125</v>
      </c>
      <c r="D86" s="1" t="s">
        <v>41</v>
      </c>
      <c r="E86" s="2">
        <v>102.97</v>
      </c>
      <c r="F86" s="2">
        <v>8926.6</v>
      </c>
      <c r="G86" s="1" t="s">
        <v>189</v>
      </c>
      <c r="H86" s="29">
        <v>45735</v>
      </c>
      <c r="I86" s="23"/>
    </row>
    <row r="87" spans="1:9" x14ac:dyDescent="0.35">
      <c r="A87" s="1" t="s">
        <v>63</v>
      </c>
      <c r="B87" s="25">
        <v>256788410391</v>
      </c>
      <c r="C87" s="1">
        <v>1800000516</v>
      </c>
      <c r="D87" s="1" t="s">
        <v>41</v>
      </c>
      <c r="E87" s="2">
        <v>9</v>
      </c>
      <c r="F87" s="2">
        <v>774.01</v>
      </c>
      <c r="G87" s="1" t="s">
        <v>109</v>
      </c>
      <c r="H87" s="29">
        <v>45924</v>
      </c>
      <c r="I87" s="23"/>
    </row>
    <row r="88" spans="1:9" x14ac:dyDescent="0.35">
      <c r="A88" s="1" t="s">
        <v>63</v>
      </c>
      <c r="B88" s="25">
        <v>256788410460</v>
      </c>
      <c r="C88" s="1">
        <v>1800000595</v>
      </c>
      <c r="D88" s="1" t="s">
        <v>41</v>
      </c>
      <c r="E88" s="2">
        <v>78.319999999999993</v>
      </c>
      <c r="F88" s="2">
        <v>6892.43</v>
      </c>
      <c r="G88" s="1" t="s">
        <v>190</v>
      </c>
      <c r="H88" s="29">
        <v>45981</v>
      </c>
      <c r="I88" s="23"/>
    </row>
    <row r="89" spans="1:9" x14ac:dyDescent="0.35">
      <c r="A89" s="1" t="s">
        <v>63</v>
      </c>
      <c r="B89" s="25">
        <v>256788410462</v>
      </c>
      <c r="C89" s="1">
        <v>1800000597</v>
      </c>
      <c r="D89" s="1" t="s">
        <v>41</v>
      </c>
      <c r="E89" s="2">
        <v>13.52</v>
      </c>
      <c r="F89" s="2">
        <v>1189.81</v>
      </c>
      <c r="G89" s="1" t="s">
        <v>191</v>
      </c>
      <c r="H89" s="29">
        <v>45981</v>
      </c>
      <c r="I89" s="23"/>
    </row>
    <row r="90" spans="1:9" x14ac:dyDescent="0.35">
      <c r="A90" s="1" t="s">
        <v>63</v>
      </c>
      <c r="B90" s="25">
        <v>256788410203</v>
      </c>
      <c r="C90" s="1">
        <v>1800000328</v>
      </c>
      <c r="D90" s="1" t="s">
        <v>41</v>
      </c>
      <c r="E90" s="2">
        <v>80.67</v>
      </c>
      <c r="F90" s="2">
        <v>7011.98</v>
      </c>
      <c r="G90" s="1" t="s">
        <v>194</v>
      </c>
      <c r="H90" s="29">
        <v>45769</v>
      </c>
      <c r="I90" s="23"/>
    </row>
    <row r="91" spans="1:9" x14ac:dyDescent="0.35">
      <c r="A91" s="1" t="s">
        <v>63</v>
      </c>
      <c r="B91" s="25">
        <v>256788410205</v>
      </c>
      <c r="C91" s="1">
        <v>1800000330</v>
      </c>
      <c r="D91" s="1" t="s">
        <v>41</v>
      </c>
      <c r="E91" s="2">
        <v>99.12</v>
      </c>
      <c r="F91" s="2">
        <v>8615.69</v>
      </c>
      <c r="G91" s="1" t="s">
        <v>195</v>
      </c>
      <c r="H91" s="29">
        <v>45769</v>
      </c>
      <c r="I91" s="23"/>
    </row>
    <row r="92" spans="1:9" x14ac:dyDescent="0.35">
      <c r="A92" s="1" t="s">
        <v>63</v>
      </c>
      <c r="B92" s="25">
        <v>256788410373</v>
      </c>
      <c r="C92" s="1">
        <v>1800000498</v>
      </c>
      <c r="D92" s="1" t="s">
        <v>41</v>
      </c>
      <c r="E92" s="2">
        <v>472</v>
      </c>
      <c r="F92" s="2">
        <v>41306.76</v>
      </c>
      <c r="G92" s="1" t="s">
        <v>197</v>
      </c>
      <c r="H92" s="29">
        <v>45918</v>
      </c>
      <c r="I92" s="23"/>
    </row>
    <row r="93" spans="1:9" x14ac:dyDescent="0.35">
      <c r="A93" s="1" t="s">
        <v>63</v>
      </c>
      <c r="B93" s="25">
        <v>256788410375</v>
      </c>
      <c r="C93" s="1">
        <v>1800000500</v>
      </c>
      <c r="D93" s="1" t="s">
        <v>41</v>
      </c>
      <c r="E93" s="2">
        <v>200</v>
      </c>
      <c r="F93" s="2">
        <v>17502.87</v>
      </c>
      <c r="G93" s="1" t="s">
        <v>197</v>
      </c>
      <c r="H93" s="29">
        <v>45918</v>
      </c>
      <c r="I93" s="23"/>
    </row>
    <row r="94" spans="1:9" x14ac:dyDescent="0.35">
      <c r="A94" s="1" t="s">
        <v>63</v>
      </c>
      <c r="B94" s="25">
        <v>256788410376</v>
      </c>
      <c r="C94" s="1">
        <v>1800000501</v>
      </c>
      <c r="D94" s="1" t="s">
        <v>41</v>
      </c>
      <c r="E94" s="2">
        <v>1125.6400000000001</v>
      </c>
      <c r="F94" s="2">
        <v>98509.63</v>
      </c>
      <c r="G94" s="1" t="s">
        <v>198</v>
      </c>
      <c r="H94" s="29">
        <v>45918</v>
      </c>
      <c r="I94" s="23"/>
    </row>
    <row r="95" spans="1:9" x14ac:dyDescent="0.35">
      <c r="A95" s="1" t="s">
        <v>63</v>
      </c>
      <c r="B95" s="25">
        <v>256788410378</v>
      </c>
      <c r="C95" s="1">
        <v>1800000503</v>
      </c>
      <c r="D95" s="1" t="s">
        <v>41</v>
      </c>
      <c r="E95" s="2">
        <v>46</v>
      </c>
      <c r="F95" s="2">
        <v>4025.66</v>
      </c>
      <c r="G95" s="1" t="s">
        <v>199</v>
      </c>
      <c r="H95" s="29">
        <v>45918</v>
      </c>
      <c r="I95" s="23"/>
    </row>
    <row r="96" spans="1:9" x14ac:dyDescent="0.35">
      <c r="A96" s="1" t="s">
        <v>63</v>
      </c>
      <c r="B96" s="25">
        <v>256788410474</v>
      </c>
      <c r="C96" s="1">
        <v>1800000601</v>
      </c>
      <c r="D96" s="1" t="s">
        <v>41</v>
      </c>
      <c r="E96" s="2">
        <v>238</v>
      </c>
      <c r="F96" s="2">
        <v>21110.63</v>
      </c>
      <c r="G96" s="1" t="s">
        <v>200</v>
      </c>
      <c r="H96" s="29">
        <v>45996</v>
      </c>
      <c r="I96" s="23"/>
    </row>
    <row r="97" spans="1:9" x14ac:dyDescent="0.35">
      <c r="A97" s="1" t="s">
        <v>63</v>
      </c>
      <c r="B97" s="25">
        <v>256788410475</v>
      </c>
      <c r="C97" s="1">
        <v>1800000602</v>
      </c>
      <c r="D97" s="1" t="s">
        <v>41</v>
      </c>
      <c r="E97" s="2">
        <v>40</v>
      </c>
      <c r="F97" s="2">
        <v>3548.01</v>
      </c>
      <c r="G97" s="1" t="s">
        <v>201</v>
      </c>
      <c r="H97" s="29">
        <v>45996</v>
      </c>
      <c r="I97" s="23"/>
    </row>
    <row r="98" spans="1:9" x14ac:dyDescent="0.35">
      <c r="A98" s="1" t="s">
        <v>63</v>
      </c>
      <c r="B98" s="25">
        <v>256788410476</v>
      </c>
      <c r="C98" s="1">
        <v>1800000603</v>
      </c>
      <c r="D98" s="1" t="s">
        <v>41</v>
      </c>
      <c r="E98" s="2">
        <v>200</v>
      </c>
      <c r="F98" s="2">
        <v>17740.03</v>
      </c>
      <c r="G98" s="1" t="s">
        <v>200</v>
      </c>
      <c r="H98" s="29">
        <v>45996</v>
      </c>
      <c r="I98" s="23"/>
    </row>
    <row r="99" spans="1:9" x14ac:dyDescent="0.35">
      <c r="A99" s="1" t="s">
        <v>63</v>
      </c>
      <c r="B99" s="25">
        <v>256788410477</v>
      </c>
      <c r="C99" s="1">
        <v>1800000604</v>
      </c>
      <c r="D99" s="1" t="s">
        <v>41</v>
      </c>
      <c r="E99" s="2">
        <v>6.6</v>
      </c>
      <c r="F99" s="2">
        <v>585.41999999999996</v>
      </c>
      <c r="G99" s="1" t="s">
        <v>202</v>
      </c>
      <c r="H99" s="29">
        <v>45996</v>
      </c>
      <c r="I99" s="23"/>
    </row>
    <row r="100" spans="1:9" x14ac:dyDescent="0.35">
      <c r="A100" s="1" t="s">
        <v>63</v>
      </c>
      <c r="B100" s="25">
        <v>256788410479</v>
      </c>
      <c r="C100" s="1">
        <v>1800000606</v>
      </c>
      <c r="D100" s="1" t="s">
        <v>41</v>
      </c>
      <c r="E100" s="2">
        <v>250.24</v>
      </c>
      <c r="F100" s="2">
        <v>22196.32</v>
      </c>
      <c r="G100" s="1" t="s">
        <v>203</v>
      </c>
      <c r="H100" s="29">
        <v>45996</v>
      </c>
      <c r="I100" s="23"/>
    </row>
    <row r="101" spans="1:9" x14ac:dyDescent="0.35">
      <c r="A101" s="1" t="s">
        <v>63</v>
      </c>
      <c r="B101" s="25">
        <v>256788410429</v>
      </c>
      <c r="C101" s="1">
        <v>1800000554</v>
      </c>
      <c r="D101" s="1" t="s">
        <v>41</v>
      </c>
      <c r="E101" s="2">
        <v>2.25</v>
      </c>
      <c r="F101" s="2">
        <v>198.43</v>
      </c>
      <c r="G101" s="1" t="s">
        <v>205</v>
      </c>
      <c r="H101" s="29">
        <v>45937</v>
      </c>
      <c r="I101" s="23"/>
    </row>
    <row r="102" spans="1:9" x14ac:dyDescent="0.35">
      <c r="A102" s="1" t="s">
        <v>63</v>
      </c>
      <c r="B102" s="25">
        <v>256788410430</v>
      </c>
      <c r="C102" s="1">
        <v>1800000555</v>
      </c>
      <c r="D102" s="1" t="s">
        <v>41</v>
      </c>
      <c r="E102" s="2">
        <v>2</v>
      </c>
      <c r="F102" s="2">
        <v>176.38</v>
      </c>
      <c r="G102" s="1" t="s">
        <v>206</v>
      </c>
      <c r="H102" s="29">
        <v>45937</v>
      </c>
      <c r="I102" s="23"/>
    </row>
    <row r="103" spans="1:9" x14ac:dyDescent="0.35">
      <c r="A103" s="1" t="s">
        <v>63</v>
      </c>
      <c r="B103" s="25">
        <v>256788410207</v>
      </c>
      <c r="C103" s="1">
        <v>1800000332</v>
      </c>
      <c r="D103" s="1" t="s">
        <v>41</v>
      </c>
      <c r="E103" s="2">
        <v>96.66</v>
      </c>
      <c r="F103" s="2">
        <v>8311.18</v>
      </c>
      <c r="G103" s="1" t="s">
        <v>209</v>
      </c>
      <c r="H103" s="29">
        <v>45787</v>
      </c>
      <c r="I103" s="23"/>
    </row>
    <row r="104" spans="1:9" x14ac:dyDescent="0.35">
      <c r="A104" s="1" t="s">
        <v>63</v>
      </c>
      <c r="B104" s="25">
        <v>256788410208</v>
      </c>
      <c r="C104" s="1">
        <v>1800000333</v>
      </c>
      <c r="D104" s="1" t="s">
        <v>41</v>
      </c>
      <c r="E104" s="2">
        <v>75</v>
      </c>
      <c r="F104" s="2">
        <v>6448.78</v>
      </c>
      <c r="G104" s="1" t="s">
        <v>210</v>
      </c>
      <c r="H104" s="29">
        <v>45787</v>
      </c>
      <c r="I104" s="23"/>
    </row>
    <row r="105" spans="1:9" x14ac:dyDescent="0.35">
      <c r="A105" s="1" t="s">
        <v>63</v>
      </c>
      <c r="B105" s="25">
        <v>256788410432</v>
      </c>
      <c r="C105" s="1">
        <v>1800000561</v>
      </c>
      <c r="D105" s="1" t="s">
        <v>41</v>
      </c>
      <c r="E105" s="2">
        <v>393.41</v>
      </c>
      <c r="F105" s="2">
        <v>34695.129999999997</v>
      </c>
      <c r="G105" s="1" t="s">
        <v>212</v>
      </c>
      <c r="H105" s="29">
        <v>45948</v>
      </c>
      <c r="I105" s="23"/>
    </row>
    <row r="106" spans="1:9" x14ac:dyDescent="0.35">
      <c r="A106" s="1" t="s">
        <v>63</v>
      </c>
      <c r="B106" s="25">
        <v>256788410433</v>
      </c>
      <c r="C106" s="1">
        <v>1800000562</v>
      </c>
      <c r="D106" s="1" t="s">
        <v>41</v>
      </c>
      <c r="E106" s="2">
        <v>20.39</v>
      </c>
      <c r="F106" s="2">
        <v>1798.21</v>
      </c>
      <c r="G106" s="1" t="s">
        <v>213</v>
      </c>
      <c r="H106" s="29">
        <v>45948</v>
      </c>
      <c r="I106" s="23"/>
    </row>
    <row r="107" spans="1:9" x14ac:dyDescent="0.35">
      <c r="A107" s="1" t="s">
        <v>63</v>
      </c>
      <c r="B107" s="25">
        <v>256779414250</v>
      </c>
      <c r="C107" s="1">
        <v>1800009486</v>
      </c>
      <c r="D107" s="1" t="s">
        <v>41</v>
      </c>
      <c r="E107" s="2">
        <v>10597.07</v>
      </c>
      <c r="F107" s="2">
        <v>905951.78</v>
      </c>
      <c r="G107" s="1" t="s">
        <v>214</v>
      </c>
      <c r="H107" s="29">
        <v>45815</v>
      </c>
      <c r="I107" s="23"/>
    </row>
    <row r="108" spans="1:9" x14ac:dyDescent="0.35">
      <c r="A108" s="1" t="s">
        <v>63</v>
      </c>
      <c r="B108" s="25">
        <v>256788410427</v>
      </c>
      <c r="C108" s="1">
        <v>1800000552</v>
      </c>
      <c r="D108" s="1" t="s">
        <v>41</v>
      </c>
      <c r="E108" s="2">
        <v>11372.78</v>
      </c>
      <c r="F108" s="2">
        <v>1002974.23</v>
      </c>
      <c r="G108" s="1" t="s">
        <v>215</v>
      </c>
      <c r="H108" s="29">
        <v>45936</v>
      </c>
      <c r="I108" s="23"/>
    </row>
    <row r="109" spans="1:9" x14ac:dyDescent="0.35">
      <c r="A109" s="1" t="s">
        <v>63</v>
      </c>
      <c r="B109" s="25">
        <v>256788410409</v>
      </c>
      <c r="C109" s="1">
        <v>1800000536</v>
      </c>
      <c r="D109" s="1" t="s">
        <v>41</v>
      </c>
      <c r="E109" s="2">
        <v>1211.9000000000001</v>
      </c>
      <c r="F109" s="2">
        <v>106878.39</v>
      </c>
      <c r="G109" s="1" t="s">
        <v>216</v>
      </c>
      <c r="H109" s="29">
        <v>45935</v>
      </c>
      <c r="I109" s="23"/>
    </row>
    <row r="110" spans="1:9" x14ac:dyDescent="0.35">
      <c r="A110" s="1" t="s">
        <v>63</v>
      </c>
      <c r="B110" s="25">
        <v>256788410410</v>
      </c>
      <c r="C110" s="1">
        <v>1800000537</v>
      </c>
      <c r="D110" s="1" t="s">
        <v>41</v>
      </c>
      <c r="E110" s="2">
        <v>40</v>
      </c>
      <c r="F110" s="2">
        <v>3527.63</v>
      </c>
      <c r="G110" s="1" t="s">
        <v>217</v>
      </c>
      <c r="H110" s="29">
        <v>45935</v>
      </c>
      <c r="I110" s="23"/>
    </row>
    <row r="111" spans="1:9" x14ac:dyDescent="0.35">
      <c r="A111" s="1" t="s">
        <v>63</v>
      </c>
      <c r="B111" s="25">
        <v>256788410411</v>
      </c>
      <c r="C111" s="1">
        <v>1800000538</v>
      </c>
      <c r="D111" s="1" t="s">
        <v>41</v>
      </c>
      <c r="E111" s="2">
        <v>11.26</v>
      </c>
      <c r="F111" s="2">
        <v>993.03</v>
      </c>
      <c r="G111" s="1" t="s">
        <v>218</v>
      </c>
      <c r="H111" s="29">
        <v>45935</v>
      </c>
      <c r="I111" s="23"/>
    </row>
    <row r="112" spans="1:9" x14ac:dyDescent="0.35">
      <c r="A112" s="1" t="s">
        <v>63</v>
      </c>
      <c r="B112" s="25">
        <v>256788410413</v>
      </c>
      <c r="C112" s="1">
        <v>1800000534</v>
      </c>
      <c r="D112" s="1" t="s">
        <v>41</v>
      </c>
      <c r="E112" s="2">
        <v>8</v>
      </c>
      <c r="F112" s="2">
        <v>705.53</v>
      </c>
      <c r="G112" s="1" t="s">
        <v>219</v>
      </c>
      <c r="H112" s="29">
        <v>45935</v>
      </c>
      <c r="I112" s="23"/>
    </row>
    <row r="113" spans="1:9" x14ac:dyDescent="0.35">
      <c r="A113" s="1" t="s">
        <v>63</v>
      </c>
      <c r="B113" s="25">
        <v>256788410414</v>
      </c>
      <c r="C113" s="1">
        <v>1800000539</v>
      </c>
      <c r="D113" s="1" t="s">
        <v>41</v>
      </c>
      <c r="E113" s="2">
        <v>1119.04</v>
      </c>
      <c r="F113" s="2">
        <v>98689</v>
      </c>
      <c r="G113" s="1" t="s">
        <v>220</v>
      </c>
      <c r="H113" s="29">
        <v>45935</v>
      </c>
      <c r="I113" s="23"/>
    </row>
    <row r="114" spans="1:9" x14ac:dyDescent="0.35">
      <c r="A114" s="1" t="s">
        <v>63</v>
      </c>
      <c r="B114" s="25">
        <v>256788410415</v>
      </c>
      <c r="C114" s="1">
        <v>1800000540</v>
      </c>
      <c r="D114" s="1" t="s">
        <v>41</v>
      </c>
      <c r="E114" s="2">
        <v>47.84</v>
      </c>
      <c r="F114" s="2">
        <v>4219.05</v>
      </c>
      <c r="G114" s="1" t="s">
        <v>221</v>
      </c>
      <c r="H114" s="29">
        <v>45935</v>
      </c>
      <c r="I114" s="23"/>
    </row>
    <row r="115" spans="1:9" x14ac:dyDescent="0.35">
      <c r="A115" s="1" t="s">
        <v>63</v>
      </c>
      <c r="B115" s="25">
        <v>256788410420</v>
      </c>
      <c r="C115" s="1">
        <v>1800000545</v>
      </c>
      <c r="D115" s="1" t="s">
        <v>41</v>
      </c>
      <c r="E115" s="2">
        <v>75</v>
      </c>
      <c r="F115" s="2">
        <v>6614.31</v>
      </c>
      <c r="G115" s="1" t="s">
        <v>222</v>
      </c>
      <c r="H115" s="29">
        <v>45935</v>
      </c>
      <c r="I115" s="23"/>
    </row>
    <row r="116" spans="1:9" x14ac:dyDescent="0.35">
      <c r="A116" s="1" t="s">
        <v>63</v>
      </c>
      <c r="B116" s="25">
        <v>256788410431</v>
      </c>
      <c r="C116" s="1">
        <v>1800000556</v>
      </c>
      <c r="D116" s="1" t="s">
        <v>41</v>
      </c>
      <c r="E116" s="2">
        <v>250.08</v>
      </c>
      <c r="F116" s="2">
        <v>22054.75</v>
      </c>
      <c r="G116" s="1" t="s">
        <v>223</v>
      </c>
      <c r="H116" s="29">
        <v>45935</v>
      </c>
      <c r="I116" s="23"/>
    </row>
    <row r="117" spans="1:9" x14ac:dyDescent="0.35">
      <c r="A117" s="1" t="s">
        <v>63</v>
      </c>
      <c r="B117" s="25">
        <v>256788410417</v>
      </c>
      <c r="C117" s="1">
        <v>1800000542</v>
      </c>
      <c r="D117" s="1" t="s">
        <v>41</v>
      </c>
      <c r="E117" s="2">
        <v>1211.9000000000001</v>
      </c>
      <c r="F117" s="2">
        <v>106878.39</v>
      </c>
      <c r="G117" s="1" t="s">
        <v>216</v>
      </c>
      <c r="H117" s="29">
        <v>45935</v>
      </c>
      <c r="I117" s="23"/>
    </row>
    <row r="118" spans="1:9" x14ac:dyDescent="0.35">
      <c r="A118" s="1" t="s">
        <v>63</v>
      </c>
      <c r="B118" s="25">
        <v>256788410418</v>
      </c>
      <c r="C118" s="1">
        <v>1800000543</v>
      </c>
      <c r="D118" s="1" t="s">
        <v>41</v>
      </c>
      <c r="E118" s="2">
        <v>40</v>
      </c>
      <c r="F118" s="2">
        <v>3527.63</v>
      </c>
      <c r="G118" s="1" t="s">
        <v>217</v>
      </c>
      <c r="H118" s="29">
        <v>45935</v>
      </c>
      <c r="I118" s="23"/>
    </row>
    <row r="119" spans="1:9" x14ac:dyDescent="0.35">
      <c r="A119" s="1" t="s">
        <v>63</v>
      </c>
      <c r="B119" s="25">
        <v>256788410419</v>
      </c>
      <c r="C119" s="1">
        <v>1800000544</v>
      </c>
      <c r="D119" s="1" t="s">
        <v>41</v>
      </c>
      <c r="E119" s="2">
        <v>11.26</v>
      </c>
      <c r="F119" s="2">
        <v>993.03</v>
      </c>
      <c r="G119" s="1" t="s">
        <v>218</v>
      </c>
      <c r="H119" s="29">
        <v>45935</v>
      </c>
      <c r="I119" s="23"/>
    </row>
    <row r="120" spans="1:9" x14ac:dyDescent="0.35">
      <c r="A120" s="1" t="s">
        <v>63</v>
      </c>
      <c r="B120" s="25">
        <v>256788410483</v>
      </c>
      <c r="C120" s="1">
        <v>1800000621</v>
      </c>
      <c r="D120" s="1" t="s">
        <v>41</v>
      </c>
      <c r="E120" s="2">
        <v>63.04</v>
      </c>
      <c r="F120" s="2">
        <v>5720.45</v>
      </c>
      <c r="G120" s="1" t="s">
        <v>226</v>
      </c>
      <c r="H120" s="29">
        <v>46027</v>
      </c>
      <c r="I120" s="23"/>
    </row>
    <row r="121" spans="1:9" x14ac:dyDescent="0.35">
      <c r="A121" s="1" t="s">
        <v>63</v>
      </c>
      <c r="B121" s="25">
        <v>256788410485</v>
      </c>
      <c r="C121" s="1">
        <v>1800000623</v>
      </c>
      <c r="D121" s="1" t="s">
        <v>41</v>
      </c>
      <c r="E121" s="2">
        <v>348.86</v>
      </c>
      <c r="F121" s="2">
        <v>31656.65</v>
      </c>
      <c r="G121" s="1" t="s">
        <v>226</v>
      </c>
      <c r="H121" s="29">
        <v>46027</v>
      </c>
      <c r="I121" s="23"/>
    </row>
    <row r="122" spans="1:9" x14ac:dyDescent="0.35">
      <c r="A122" s="1" t="s">
        <v>63</v>
      </c>
      <c r="B122" s="25">
        <v>256788410487</v>
      </c>
      <c r="C122" s="1">
        <v>1800000619</v>
      </c>
      <c r="D122" s="1" t="s">
        <v>41</v>
      </c>
      <c r="E122" s="2">
        <v>52</v>
      </c>
      <c r="F122" s="2">
        <v>4718.6400000000003</v>
      </c>
      <c r="G122" s="1" t="s">
        <v>228</v>
      </c>
      <c r="H122" s="29">
        <v>46027</v>
      </c>
      <c r="I122" s="23"/>
    </row>
    <row r="123" spans="1:9" x14ac:dyDescent="0.35">
      <c r="A123" s="1" t="s">
        <v>63</v>
      </c>
      <c r="B123" s="25">
        <v>256788410490</v>
      </c>
      <c r="C123" s="1">
        <v>1800000625</v>
      </c>
      <c r="D123" s="1" t="s">
        <v>41</v>
      </c>
      <c r="E123" s="2">
        <v>94</v>
      </c>
      <c r="F123" s="2">
        <v>8529.86</v>
      </c>
      <c r="G123" s="1" t="s">
        <v>229</v>
      </c>
      <c r="H123" s="29">
        <v>46027</v>
      </c>
      <c r="I123" s="23"/>
    </row>
    <row r="124" spans="1:9" x14ac:dyDescent="0.35">
      <c r="A124" s="1" t="s">
        <v>63</v>
      </c>
      <c r="B124" s="25">
        <v>256788410492</v>
      </c>
      <c r="C124" s="1">
        <v>1800000635</v>
      </c>
      <c r="D124" s="1" t="s">
        <v>41</v>
      </c>
      <c r="E124" s="2">
        <v>476</v>
      </c>
      <c r="F124" s="2">
        <v>43193.73</v>
      </c>
      <c r="G124" s="1" t="s">
        <v>230</v>
      </c>
      <c r="H124" s="29">
        <v>46034</v>
      </c>
      <c r="I124" s="23"/>
    </row>
    <row r="125" spans="1:9" x14ac:dyDescent="0.35">
      <c r="A125" s="1" t="s">
        <v>63</v>
      </c>
      <c r="B125" s="25">
        <v>256788410495</v>
      </c>
      <c r="C125" s="1">
        <v>1800000638</v>
      </c>
      <c r="D125" s="1" t="s">
        <v>41</v>
      </c>
      <c r="E125" s="2">
        <v>49.49</v>
      </c>
      <c r="F125" s="2">
        <v>4490.88</v>
      </c>
      <c r="G125" s="1" t="s">
        <v>231</v>
      </c>
      <c r="H125" s="29">
        <v>46034</v>
      </c>
      <c r="I125" s="23"/>
    </row>
    <row r="126" spans="1:9" x14ac:dyDescent="0.35">
      <c r="A126" s="1" t="s">
        <v>63</v>
      </c>
      <c r="B126" s="25">
        <v>256788410498</v>
      </c>
      <c r="C126" s="1">
        <v>1800000641</v>
      </c>
      <c r="D126" s="1" t="s">
        <v>41</v>
      </c>
      <c r="E126" s="2">
        <v>181.44</v>
      </c>
      <c r="F126" s="2">
        <v>16464.439999999999</v>
      </c>
      <c r="G126" s="1" t="s">
        <v>232</v>
      </c>
      <c r="H126" s="29">
        <v>46034</v>
      </c>
      <c r="I126" s="23"/>
    </row>
    <row r="127" spans="1:9" x14ac:dyDescent="0.35">
      <c r="A127" s="1" t="s">
        <v>63</v>
      </c>
      <c r="B127" s="25">
        <v>256788410499</v>
      </c>
      <c r="C127" s="1">
        <v>1800000642</v>
      </c>
      <c r="D127" s="1" t="s">
        <v>41</v>
      </c>
      <c r="E127" s="2">
        <v>53</v>
      </c>
      <c r="F127" s="2">
        <v>4809.3900000000003</v>
      </c>
      <c r="G127" s="1" t="s">
        <v>233</v>
      </c>
      <c r="H127" s="29">
        <v>46034</v>
      </c>
      <c r="I127" s="23"/>
    </row>
    <row r="128" spans="1:9" x14ac:dyDescent="0.35">
      <c r="A128" s="1" t="s">
        <v>63</v>
      </c>
      <c r="B128" s="25">
        <v>256779440254</v>
      </c>
      <c r="C128" s="1">
        <v>1800016633</v>
      </c>
      <c r="D128" s="1" t="s">
        <v>41</v>
      </c>
      <c r="E128" s="2">
        <v>2.0299999999999998</v>
      </c>
      <c r="F128" s="2">
        <v>184.21</v>
      </c>
      <c r="G128" s="1" t="s">
        <v>235</v>
      </c>
      <c r="H128" s="29">
        <v>46028</v>
      </c>
      <c r="I128" s="23"/>
    </row>
    <row r="129" spans="1:9" x14ac:dyDescent="0.35">
      <c r="A129" s="1" t="s">
        <v>63</v>
      </c>
      <c r="B129" s="25">
        <v>256788410500</v>
      </c>
      <c r="C129" s="1">
        <v>1800000647</v>
      </c>
      <c r="D129" s="1" t="s">
        <v>41</v>
      </c>
      <c r="E129" s="2">
        <v>32</v>
      </c>
      <c r="F129" s="2">
        <v>2903.78</v>
      </c>
      <c r="G129" s="1" t="s">
        <v>237</v>
      </c>
      <c r="H129" s="29">
        <v>46034</v>
      </c>
      <c r="I129" s="23"/>
    </row>
    <row r="130" spans="1:9" x14ac:dyDescent="0.35">
      <c r="A130" s="1" t="s">
        <v>63</v>
      </c>
      <c r="B130" s="25">
        <v>256788410502</v>
      </c>
      <c r="C130" s="1">
        <v>1800000626</v>
      </c>
      <c r="D130" s="1" t="s">
        <v>41</v>
      </c>
      <c r="E130" s="2">
        <v>3980.5</v>
      </c>
      <c r="F130" s="2">
        <v>361203.07</v>
      </c>
      <c r="G130" s="1" t="s">
        <v>239</v>
      </c>
      <c r="H130" s="29">
        <v>46034</v>
      </c>
      <c r="I130" s="23"/>
    </row>
    <row r="131" spans="1:9" x14ac:dyDescent="0.35">
      <c r="A131" s="1" t="s">
        <v>63</v>
      </c>
      <c r="B131" s="25">
        <v>256788410503</v>
      </c>
      <c r="C131" s="1">
        <v>1800000643</v>
      </c>
      <c r="D131" s="1" t="s">
        <v>41</v>
      </c>
      <c r="E131" s="2">
        <v>994.98</v>
      </c>
      <c r="F131" s="2">
        <v>90287.61</v>
      </c>
      <c r="G131" s="1" t="s">
        <v>240</v>
      </c>
      <c r="H131" s="29">
        <v>46028</v>
      </c>
      <c r="I131" s="23"/>
    </row>
    <row r="132" spans="1:9" x14ac:dyDescent="0.35">
      <c r="A132" s="1" t="s">
        <v>63</v>
      </c>
      <c r="B132" s="25">
        <v>256788410507</v>
      </c>
      <c r="C132" s="1">
        <v>1800000627</v>
      </c>
      <c r="D132" s="1" t="s">
        <v>41</v>
      </c>
      <c r="E132" s="2">
        <v>75</v>
      </c>
      <c r="F132" s="2">
        <v>6805.74</v>
      </c>
      <c r="G132" s="1" t="s">
        <v>242</v>
      </c>
      <c r="H132" s="29">
        <v>46034</v>
      </c>
      <c r="I132" s="23"/>
    </row>
    <row r="133" spans="1:9" x14ac:dyDescent="0.35">
      <c r="A133" s="1" t="s">
        <v>63</v>
      </c>
      <c r="B133" s="25">
        <v>256788410514</v>
      </c>
      <c r="C133" s="1">
        <v>1800000649</v>
      </c>
      <c r="D133" s="1" t="s">
        <v>41</v>
      </c>
      <c r="E133" s="2">
        <v>63.04</v>
      </c>
      <c r="F133" s="2">
        <v>5720.45</v>
      </c>
      <c r="G133" s="1" t="s">
        <v>226</v>
      </c>
      <c r="H133" s="29">
        <v>46034</v>
      </c>
      <c r="I133" s="23"/>
    </row>
    <row r="134" spans="1:9" x14ac:dyDescent="0.35">
      <c r="A134" s="1" t="s">
        <v>84</v>
      </c>
      <c r="B134" s="25">
        <v>256788420148</v>
      </c>
      <c r="C134" s="1">
        <v>1600000272</v>
      </c>
      <c r="D134" s="1" t="s">
        <v>41</v>
      </c>
      <c r="E134" s="2">
        <v>-25125.9</v>
      </c>
      <c r="F134" s="2">
        <v>-2280003.06</v>
      </c>
      <c r="G134" s="1" t="s">
        <v>245</v>
      </c>
      <c r="H134" s="29">
        <v>46041</v>
      </c>
      <c r="I134" s="23"/>
    </row>
    <row r="135" spans="1:9" x14ac:dyDescent="0.35">
      <c r="A135" s="1" t="s">
        <v>84</v>
      </c>
      <c r="B135" s="25">
        <v>256788420149</v>
      </c>
      <c r="C135" s="1">
        <v>1600000273</v>
      </c>
      <c r="D135" s="1" t="s">
        <v>34</v>
      </c>
      <c r="E135" s="2">
        <v>-72465</v>
      </c>
      <c r="F135" s="2">
        <v>-72465</v>
      </c>
      <c r="G135" s="1" t="s">
        <v>246</v>
      </c>
      <c r="H135" s="29">
        <v>46041</v>
      </c>
      <c r="I135" s="23"/>
    </row>
    <row r="136" spans="1:9" x14ac:dyDescent="0.35">
      <c r="A136" s="1" t="s">
        <v>84</v>
      </c>
      <c r="B136" s="25">
        <v>256788420150</v>
      </c>
      <c r="C136" s="1">
        <v>1600000274</v>
      </c>
      <c r="D136" s="1" t="s">
        <v>41</v>
      </c>
      <c r="E136" s="2">
        <v>-53</v>
      </c>
      <c r="F136" s="2">
        <v>-4809.3900000000003</v>
      </c>
      <c r="G136" s="1" t="s">
        <v>248</v>
      </c>
      <c r="H136" s="29">
        <v>46028</v>
      </c>
      <c r="I136" s="23"/>
    </row>
  </sheetData>
  <mergeCells count="3">
    <mergeCell ref="A1:H1"/>
    <mergeCell ref="N4:T4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LEDGER FINAL</vt:lpstr>
      <vt:lpstr>LEDGER</vt:lpstr>
      <vt:lpstr>Sheet3</vt:lpstr>
      <vt:lpstr>TDS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BMCA-C-16</dc:creator>
  <cp:lastModifiedBy>BMCA-C-16</cp:lastModifiedBy>
  <dcterms:created xsi:type="dcterms:W3CDTF">2015-06-05T18:17:20Z</dcterms:created>
  <dcterms:modified xsi:type="dcterms:W3CDTF">2026-01-27T06:31:42Z</dcterms:modified>
</cp:coreProperties>
</file>