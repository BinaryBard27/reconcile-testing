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MCA-C-16\Desktop\Capital Land\6. Onnsynex20260121163145\"/>
    </mc:Choice>
  </mc:AlternateContent>
  <xr:revisionPtr revIDLastSave="0" documentId="13_ncr:1_{AF26DF5A-CE97-4EB6-8C44-07E599E6F226}" xr6:coauthVersionLast="47" xr6:coauthVersionMax="47" xr10:uidLastSave="{00000000-0000-0000-0000-000000000000}"/>
  <bookViews>
    <workbookView xWindow="-110" yWindow="-110" windowWidth="21820" windowHeight="13900" activeTab="1" xr2:uid="{5C8BAAF2-58EB-4419-BE5A-26F2DDACF7D1}"/>
  </bookViews>
  <sheets>
    <sheet name="Query" sheetId="3" r:id="rId1"/>
    <sheet name="Mis Reco" sheetId="8" r:id="rId2"/>
    <sheet name="Bilings from MIS" sheetId="1" r:id="rId3"/>
    <sheet name="Ledger" sheetId="5" r:id="rId4"/>
    <sheet name="26AS VS Clinet ledger" sheetId="4" r:id="rId5"/>
    <sheet name="26AS" sheetId="6" r:id="rId6"/>
  </sheets>
  <definedNames>
    <definedName name="_xlnm._FilterDatabase" localSheetId="2" hidden="1">'Bilings from MIS'!$A$24:$E$57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8" l="1"/>
  <c r="L20" i="8"/>
  <c r="I20" i="8"/>
  <c r="C20" i="8"/>
  <c r="Y4" i="8" l="1"/>
  <c r="Z19" i="8"/>
  <c r="Z18" i="8"/>
  <c r="Z17" i="8"/>
  <c r="Z16" i="8"/>
  <c r="Z15" i="8"/>
  <c r="Z14" i="8"/>
  <c r="Z13" i="8"/>
  <c r="Z12" i="8"/>
  <c r="Z11" i="8"/>
  <c r="Z10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P19" i="8"/>
  <c r="Y19" i="8" s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6" i="6"/>
  <c r="J6" i="6"/>
  <c r="I6" i="6"/>
  <c r="V18" i="1"/>
  <c r="P57" i="1"/>
  <c r="C57" i="1"/>
  <c r="D56" i="1"/>
  <c r="D55" i="1"/>
  <c r="J4" i="4"/>
  <c r="J5" i="4"/>
  <c r="J6" i="4"/>
  <c r="J3" i="4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25" i="1"/>
  <c r="Y20" i="8" l="1"/>
  <c r="D57" i="1"/>
</calcChain>
</file>

<file path=xl/sharedStrings.xml><?xml version="1.0" encoding="utf-8"?>
<sst xmlns="http://schemas.openxmlformats.org/spreadsheetml/2006/main" count="321" uniqueCount="74">
  <si>
    <t>Aug</t>
  </si>
  <si>
    <t>Month</t>
  </si>
  <si>
    <t>Variable</t>
  </si>
  <si>
    <t>Fixed</t>
  </si>
  <si>
    <t>Oct</t>
  </si>
  <si>
    <t>Nov</t>
  </si>
  <si>
    <t>Dec</t>
  </si>
  <si>
    <t>Jan</t>
  </si>
  <si>
    <t>Feb</t>
  </si>
  <si>
    <t>May</t>
  </si>
  <si>
    <t>USD</t>
  </si>
  <si>
    <t>INR</t>
  </si>
  <si>
    <t>EX Rate</t>
  </si>
  <si>
    <t>Onnsynex - Storage</t>
  </si>
  <si>
    <t>Onnsynex - VAS</t>
  </si>
  <si>
    <t>Sr.No</t>
  </si>
  <si>
    <t>Par</t>
  </si>
  <si>
    <t>Remark</t>
  </si>
  <si>
    <t>FY 2024-25</t>
  </si>
  <si>
    <t>FY 2025-26</t>
  </si>
  <si>
    <t>Document Type</t>
  </si>
  <si>
    <t>Document Date</t>
  </si>
  <si>
    <t>Sum of Company Code Currency Value</t>
  </si>
  <si>
    <t>DA</t>
  </si>
  <si>
    <t xml:space="preserve">DR </t>
  </si>
  <si>
    <t>Invoice</t>
  </si>
  <si>
    <t>DG</t>
  </si>
  <si>
    <t>CR note</t>
  </si>
  <si>
    <t>DZ</t>
  </si>
  <si>
    <t>Customer payt</t>
  </si>
  <si>
    <t xml:space="preserve">DA </t>
  </si>
  <si>
    <t>Down Payt</t>
  </si>
  <si>
    <t>DR</t>
  </si>
  <si>
    <t>DY</t>
  </si>
  <si>
    <t>XC</t>
  </si>
  <si>
    <t>As per 26 AS</t>
  </si>
  <si>
    <t>As per Client Ledger</t>
  </si>
  <si>
    <t>Section</t>
  </si>
  <si>
    <t>Amount Paid / Credited(Rs.)</t>
  </si>
  <si>
    <t>Tax Deducted(Rs.)</t>
  </si>
  <si>
    <t>194I(b)</t>
  </si>
  <si>
    <t>194C</t>
  </si>
  <si>
    <t>Financial Year</t>
  </si>
  <si>
    <t>Date</t>
  </si>
  <si>
    <t>Row Labels</t>
  </si>
  <si>
    <t>Grand Total</t>
  </si>
  <si>
    <t>Sum of Amount Paid / Credited(Rs.)</t>
  </si>
  <si>
    <t>Sum of Tax Deducted(Rs.)</t>
  </si>
  <si>
    <t>Amount</t>
  </si>
  <si>
    <t>TDS</t>
  </si>
  <si>
    <t>Diffrence</t>
  </si>
  <si>
    <t>Inbound</t>
  </si>
  <si>
    <t>Outbound</t>
  </si>
  <si>
    <t>Total USD</t>
  </si>
  <si>
    <t>Onnsynex transport</t>
  </si>
  <si>
    <t>Ex rate</t>
  </si>
  <si>
    <t>Onnsynex - CY-CY</t>
  </si>
  <si>
    <t>Onnsynex - CY longstanding</t>
  </si>
  <si>
    <t>Sum of USD</t>
  </si>
  <si>
    <t>Sum of INR</t>
  </si>
  <si>
    <t>Type</t>
  </si>
  <si>
    <t>2024</t>
  </si>
  <si>
    <t>2025</t>
  </si>
  <si>
    <t>Sep</t>
  </si>
  <si>
    <t>Mar</t>
  </si>
  <si>
    <t>Apr</t>
  </si>
  <si>
    <t>Jun</t>
  </si>
  <si>
    <t>Jul</t>
  </si>
  <si>
    <t>Total</t>
  </si>
  <si>
    <t>Particulars</t>
  </si>
  <si>
    <t>Sales</t>
  </si>
  <si>
    <t>Credit Note</t>
  </si>
  <si>
    <t>Net sales</t>
  </si>
  <si>
    <t>Onnsynex transport/handling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</si>
</sst>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&quot;Yes&quot;;&quot;Yes&quot;;&quot;No&quot;"/>
    <numFmt numFmtId="167" formatCode="[$-409]dd\-mmm\-yy;@"/>
    <numFmt numFmtId="168" formatCode="_ &quot;Rs.&quot;\ * #,##0.00_ ;_ &quot;Rs.&quot;\ * \-#,##0.00_ ;_ &quot;Rs.&quot;\ * &quot;-&quot;??_ ;_ @_ "/>
    <numFmt numFmtId="169" formatCode="[$-409]General"/>
    <numFmt numFmtId="170" formatCode="[$-4009]General"/>
    <numFmt numFmtId="171" formatCode="[$USD]\ #,##0.0000"/>
    <numFmt numFmtId="172" formatCode="d/mmm/yy;@"/>
    <numFmt numFmtId="173" formatCode="yyyy/mm/dd;@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FF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0"/>
      <color indexed="8"/>
      <name val="Arial"/>
      <family val="2"/>
    </font>
    <font>
      <sz val="13"/>
      <color indexed="8"/>
      <name val="Calibri"/>
      <family val="2"/>
    </font>
    <font>
      <sz val="10"/>
      <color rgb="FF000000"/>
      <name val="Arial"/>
      <family val="2"/>
    </font>
    <font>
      <sz val="12"/>
      <name val="宋体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58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b/>
      <sz val="18"/>
      <color indexed="57"/>
      <name val="Cambria"/>
      <family val="2"/>
    </font>
    <font>
      <sz val="11"/>
      <color indexed="8"/>
      <name val="Calibri"/>
      <family val="2"/>
      <charset val="1"/>
    </font>
    <font>
      <sz val="10"/>
      <color indexed="0"/>
      <name val="Arial"/>
      <family val="2"/>
    </font>
    <font>
      <sz val="10"/>
      <name val="Arial"/>
      <family val="2"/>
      <charset val="1"/>
    </font>
    <font>
      <b/>
      <sz val="14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10"/>
      <name val="Arial"/>
      <family val="2"/>
    </font>
    <font>
      <sz val="11"/>
      <color theme="1"/>
      <name val="Arial"/>
      <family val="2"/>
    </font>
    <font>
      <sz val="10"/>
      <name val="Arial Cyr"/>
      <charset val="204"/>
    </font>
    <font>
      <sz val="11"/>
      <name val="돋움"/>
      <family val="3"/>
      <charset val="129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44"/>
        <bgColor indexed="27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22"/>
        <bgColor indexed="51"/>
      </patternFill>
    </fill>
    <fill>
      <patternFill patternType="solid">
        <fgColor indexed="27"/>
        <bgColor indexed="44"/>
      </patternFill>
    </fill>
    <fill>
      <patternFill patternType="solid">
        <fgColor indexed="55"/>
        <bgColor indexed="23"/>
      </patternFill>
    </fill>
    <fill>
      <patternFill patternType="solid">
        <fgColor indexed="49"/>
        <bgColor indexed="21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36"/>
      </patternFill>
    </fill>
    <fill>
      <patternFill patternType="solid">
        <fgColor indexed="45"/>
        <bgColor indexed="46"/>
      </patternFill>
    </fill>
    <fill>
      <patternFill patternType="solid">
        <fgColor indexed="9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rgb="FF0070C0"/>
        <bgColor indexed="64"/>
      </patternFill>
    </fill>
    <fill>
      <patternFill patternType="solid">
        <fgColor indexed="47"/>
        <bgColor indexed="6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68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20" fillId="34" borderId="11" applyBorder="0" applyAlignment="0">
      <alignment horizontal="center"/>
    </xf>
    <xf numFmtId="0" fontId="21" fillId="4" borderId="0" applyNumberFormat="0" applyBorder="0" applyAlignment="0" applyProtection="0"/>
    <xf numFmtId="0" fontId="41" fillId="46" borderId="27" applyNumberFormat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4" fillId="0" borderId="0">
      <alignment vertical="top"/>
    </xf>
    <xf numFmtId="0" fontId="22" fillId="0" borderId="0"/>
    <xf numFmtId="0" fontId="22" fillId="0" borderId="0"/>
    <xf numFmtId="43" fontId="1" fillId="0" borderId="0" applyFont="0" applyFill="0" applyBorder="0" applyAlignment="0" applyProtection="0"/>
    <xf numFmtId="0" fontId="1" fillId="0" borderId="0"/>
    <xf numFmtId="167" fontId="1" fillId="0" borderId="0"/>
    <xf numFmtId="0" fontId="1" fillId="0" borderId="0"/>
    <xf numFmtId="0" fontId="22" fillId="0" borderId="0"/>
    <xf numFmtId="0" fontId="22" fillId="0" borderId="0"/>
    <xf numFmtId="0" fontId="25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25" fillId="0" borderId="0"/>
    <xf numFmtId="0" fontId="22" fillId="0" borderId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27" fillId="0" borderId="0">
      <alignment vertical="center"/>
    </xf>
    <xf numFmtId="0" fontId="26" fillId="0" borderId="0"/>
    <xf numFmtId="0" fontId="27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 applyFont="0" applyFill="0" applyBorder="0" applyAlignment="0" applyProtection="0"/>
    <xf numFmtId="0" fontId="22" fillId="0" borderId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46" borderId="12" applyNumberFormat="0" applyAlignment="0" applyProtection="0"/>
    <xf numFmtId="0" fontId="31" fillId="46" borderId="12" applyNumberFormat="0" applyAlignment="0" applyProtection="0"/>
    <xf numFmtId="0" fontId="31" fillId="46" borderId="12" applyNumberFormat="0" applyAlignment="0" applyProtection="0"/>
    <xf numFmtId="0" fontId="32" fillId="40" borderId="13" applyNumberFormat="0" applyAlignment="0" applyProtection="0"/>
    <xf numFmtId="0" fontId="32" fillId="40" borderId="13" applyNumberFormat="0" applyAlignment="0" applyProtection="0"/>
    <xf numFmtId="0" fontId="32" fillId="40" borderId="13" applyNumberFormat="0" applyAlignment="0" applyProtection="0"/>
    <xf numFmtId="0" fontId="28" fillId="0" borderId="0"/>
    <xf numFmtId="0" fontId="44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36" borderId="12" applyNumberFormat="0" applyAlignment="0" applyProtection="0"/>
    <xf numFmtId="0" fontId="38" fillId="36" borderId="12" applyNumberFormat="0" applyAlignment="0" applyProtection="0"/>
    <xf numFmtId="0" fontId="38" fillId="36" borderId="12" applyNumberFormat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22" fillId="0" borderId="0"/>
    <xf numFmtId="0" fontId="45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2" fillId="37" borderId="18" applyNumberFormat="0" applyAlignment="0" applyProtection="0"/>
    <xf numFmtId="0" fontId="22" fillId="37" borderId="18" applyNumberFormat="0" applyAlignment="0" applyProtection="0"/>
    <xf numFmtId="0" fontId="22" fillId="37" borderId="18" applyNumberFormat="0" applyAlignment="0" applyProtection="0"/>
    <xf numFmtId="0" fontId="41" fillId="46" borderId="19" applyNumberFormat="0" applyAlignment="0" applyProtection="0"/>
    <xf numFmtId="0" fontId="41" fillId="46" borderId="19" applyNumberFormat="0" applyAlignment="0" applyProtection="0"/>
    <xf numFmtId="0" fontId="41" fillId="46" borderId="19" applyNumberFormat="0" applyAlignment="0" applyProtection="0"/>
    <xf numFmtId="0" fontId="28" fillId="0" borderId="0">
      <alignment horizontal="left"/>
    </xf>
    <xf numFmtId="0" fontId="28" fillId="0" borderId="0" applyNumberFormat="0" applyFill="0" applyBorder="0" applyProtection="0">
      <alignment horizontal="left"/>
    </xf>
    <xf numFmtId="0" fontId="28" fillId="0" borderId="0"/>
    <xf numFmtId="0" fontId="28" fillId="0" borderId="0" applyNumberFormat="0" applyFill="0" applyBorder="0" applyAlignment="0" applyProtection="0"/>
    <xf numFmtId="0" fontId="28" fillId="0" borderId="0"/>
    <xf numFmtId="0" fontId="28" fillId="0" borderId="0" applyNumberFormat="0" applyFill="0" applyBorder="0" applyAlignment="0" applyProtection="0"/>
    <xf numFmtId="0" fontId="42" fillId="0" borderId="0"/>
    <xf numFmtId="0" fontId="42" fillId="0" borderId="0" applyNumberFormat="0" applyFill="0" applyBorder="0" applyAlignment="0" applyProtection="0"/>
    <xf numFmtId="0" fontId="42" fillId="0" borderId="0">
      <alignment horizontal="left"/>
    </xf>
    <xf numFmtId="0" fontId="42" fillId="0" borderId="0" applyNumberFormat="0" applyFill="0" applyBorder="0" applyProtection="0">
      <alignment horizontal="left"/>
    </xf>
    <xf numFmtId="0" fontId="28" fillId="0" borderId="0"/>
    <xf numFmtId="0" fontId="28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46" fillId="0" borderId="0"/>
    <xf numFmtId="43" fontId="22" fillId="0" borderId="0" applyFill="0" applyBorder="0" applyAlignment="0" applyProtection="0"/>
    <xf numFmtId="43" fontId="22" fillId="0" borderId="0" applyFont="0" applyFill="0" applyBorder="0" applyAlignment="0" applyProtection="0"/>
    <xf numFmtId="168" fontId="22" fillId="0" borderId="0" applyFill="0" applyBorder="0" applyAlignment="0" applyProtection="0"/>
    <xf numFmtId="170" fontId="19" fillId="0" borderId="0"/>
    <xf numFmtId="169" fontId="19" fillId="0" borderId="0"/>
    <xf numFmtId="0" fontId="22" fillId="0" borderId="0"/>
    <xf numFmtId="0" fontId="28" fillId="0" borderId="0"/>
    <xf numFmtId="0" fontId="44" fillId="0" borderId="0"/>
    <xf numFmtId="0" fontId="27" fillId="0" borderId="0">
      <alignment vertical="center"/>
    </xf>
    <xf numFmtId="0" fontId="22" fillId="0" borderId="0"/>
    <xf numFmtId="0" fontId="47" fillId="48" borderId="10">
      <alignment horizontal="center" vertical="center"/>
    </xf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8" fillId="4" borderId="0" applyNumberFormat="0" applyBorder="0" applyAlignment="0" applyProtection="0"/>
    <xf numFmtId="0" fontId="1" fillId="28" borderId="0" applyNumberFormat="0" applyBorder="0" applyAlignment="0" applyProtection="0"/>
    <xf numFmtId="0" fontId="2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22" fillId="0" borderId="0"/>
    <xf numFmtId="0" fontId="1" fillId="12" borderId="0" applyNumberFormat="0" applyBorder="0" applyAlignment="0" applyProtection="0"/>
    <xf numFmtId="0" fontId="1" fillId="8" borderId="8" applyNumberFormat="0" applyFont="0" applyAlignment="0" applyProtection="0"/>
    <xf numFmtId="0" fontId="2" fillId="0" borderId="0" applyNumberFormat="0" applyFill="0" applyBorder="0" applyAlignment="0" applyProtection="0"/>
    <xf numFmtId="0" fontId="22" fillId="0" borderId="0"/>
    <xf numFmtId="0" fontId="48" fillId="0" borderId="0"/>
    <xf numFmtId="0" fontId="22" fillId="0" borderId="0"/>
    <xf numFmtId="0" fontId="22" fillId="0" borderId="0"/>
    <xf numFmtId="0" fontId="1" fillId="32" borderId="0" applyNumberFormat="0" applyBorder="0" applyAlignment="0" applyProtection="0"/>
    <xf numFmtId="0" fontId="49" fillId="49" borderId="0" applyNumberFormat="0" applyBorder="0" applyAlignment="0" applyProtection="0"/>
    <xf numFmtId="0" fontId="50" fillId="0" borderId="0"/>
    <xf numFmtId="0" fontId="51" fillId="0" borderId="0"/>
    <xf numFmtId="171" fontId="22" fillId="0" borderId="0"/>
    <xf numFmtId="0" fontId="22" fillId="0" borderId="0"/>
    <xf numFmtId="172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7" fillId="0" borderId="0"/>
    <xf numFmtId="166" fontId="1" fillId="0" borderId="0" applyFont="0" applyFill="0" applyBorder="0" applyAlignment="0" applyProtection="0"/>
    <xf numFmtId="0" fontId="52" fillId="0" borderId="0"/>
    <xf numFmtId="0" fontId="22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7" fillId="48" borderId="10">
      <alignment horizontal="center" vertical="center"/>
    </xf>
    <xf numFmtId="0" fontId="42" fillId="0" borderId="28" applyNumberFormat="0" applyFill="0" applyAlignment="0" applyProtection="0"/>
    <xf numFmtId="0" fontId="38" fillId="36" borderId="25" applyNumberFormat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1" fillId="46" borderId="27" applyNumberFormat="0" applyAlignment="0" applyProtection="0"/>
    <xf numFmtId="0" fontId="41" fillId="46" borderId="27" applyNumberFormat="0" applyAlignment="0" applyProtection="0"/>
    <xf numFmtId="0" fontId="22" fillId="37" borderId="26" applyNumberFormat="0" applyAlignment="0" applyProtection="0"/>
    <xf numFmtId="0" fontId="22" fillId="37" borderId="26" applyNumberFormat="0" applyAlignment="0" applyProtection="0"/>
    <xf numFmtId="0" fontId="38" fillId="36" borderId="25" applyNumberFormat="0" applyAlignment="0" applyProtection="0"/>
    <xf numFmtId="0" fontId="31" fillId="46" borderId="25" applyNumberFormat="0" applyAlignment="0" applyProtection="0"/>
    <xf numFmtId="0" fontId="31" fillId="46" borderId="25" applyNumberFormat="0" applyAlignment="0" applyProtection="0"/>
    <xf numFmtId="0" fontId="31" fillId="46" borderId="25" applyNumberFormat="0" applyAlignment="0" applyProtection="0"/>
    <xf numFmtId="0" fontId="31" fillId="46" borderId="21" applyNumberFormat="0" applyAlignment="0" applyProtection="0"/>
    <xf numFmtId="0" fontId="31" fillId="46" borderId="21" applyNumberFormat="0" applyAlignment="0" applyProtection="0"/>
    <xf numFmtId="0" fontId="31" fillId="46" borderId="21" applyNumberFormat="0" applyAlignment="0" applyProtection="0"/>
    <xf numFmtId="0" fontId="38" fillId="36" borderId="21" applyNumberFormat="0" applyAlignment="0" applyProtection="0"/>
    <xf numFmtId="0" fontId="38" fillId="36" borderId="21" applyNumberFormat="0" applyAlignment="0" applyProtection="0"/>
    <xf numFmtId="0" fontId="38" fillId="36" borderId="21" applyNumberFormat="0" applyAlignment="0" applyProtection="0"/>
    <xf numFmtId="0" fontId="22" fillId="37" borderId="22" applyNumberFormat="0" applyAlignment="0" applyProtection="0"/>
    <xf numFmtId="0" fontId="22" fillId="37" borderId="22" applyNumberFormat="0" applyAlignment="0" applyProtection="0"/>
    <xf numFmtId="0" fontId="22" fillId="37" borderId="22" applyNumberFormat="0" applyAlignment="0" applyProtection="0"/>
    <xf numFmtId="0" fontId="41" fillId="46" borderId="23" applyNumberFormat="0" applyAlignment="0" applyProtection="0"/>
    <xf numFmtId="0" fontId="41" fillId="46" borderId="23" applyNumberFormat="0" applyAlignment="0" applyProtection="0"/>
    <xf numFmtId="0" fontId="41" fillId="46" borderId="23" applyNumberFormat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22" fillId="37" borderId="26" applyNumberFormat="0" applyAlignment="0" applyProtection="0"/>
    <xf numFmtId="0" fontId="38" fillId="36" borderId="2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62">
    <xf numFmtId="0" fontId="0" fillId="0" borderId="0" xfId="0"/>
    <xf numFmtId="164" fontId="16" fillId="0" borderId="0" xfId="1" applyNumberFormat="1" applyFont="1"/>
    <xf numFmtId="164" fontId="0" fillId="0" borderId="0" xfId="1" applyNumberFormat="1" applyFont="1"/>
    <xf numFmtId="164" fontId="0" fillId="0" borderId="10" xfId="1" applyNumberFormat="1" applyFont="1" applyFill="1" applyBorder="1"/>
    <xf numFmtId="164" fontId="18" fillId="33" borderId="10" xfId="1" applyNumberFormat="1" applyFont="1" applyFill="1" applyBorder="1" applyAlignment="1">
      <alignment horizontal="center" vertical="center"/>
    </xf>
    <xf numFmtId="164" fontId="1" fillId="50" borderId="10" xfId="1" applyNumberFormat="1" applyFont="1" applyFill="1" applyBorder="1"/>
    <xf numFmtId="14" fontId="16" fillId="0" borderId="10" xfId="1" applyNumberFormat="1" applyFont="1" applyFill="1" applyBorder="1"/>
    <xf numFmtId="43" fontId="1" fillId="50" borderId="10" xfId="1" applyFont="1" applyFill="1" applyBorder="1"/>
    <xf numFmtId="164" fontId="16" fillId="0" borderId="0" xfId="1" applyNumberFormat="1" applyFont="1" applyAlignment="1">
      <alignment horizontal="center"/>
    </xf>
    <xf numFmtId="14" fontId="0" fillId="0" borderId="0" xfId="1" applyNumberFormat="1" applyFont="1"/>
    <xf numFmtId="164" fontId="0" fillId="0" borderId="0" xfId="1" applyNumberFormat="1" applyFont="1" applyFill="1"/>
    <xf numFmtId="43" fontId="0" fillId="0" borderId="0" xfId="1" applyFont="1" applyFill="1"/>
    <xf numFmtId="0" fontId="0" fillId="0" borderId="10" xfId="0" applyBorder="1"/>
    <xf numFmtId="43" fontId="0" fillId="0" borderId="0" xfId="1" applyFont="1"/>
    <xf numFmtId="43" fontId="0" fillId="0" borderId="10" xfId="1" applyFont="1" applyFill="1" applyBorder="1"/>
    <xf numFmtId="164" fontId="0" fillId="0" borderId="10" xfId="1" applyNumberFormat="1" applyFont="1" applyBorder="1"/>
    <xf numFmtId="164" fontId="0" fillId="0" borderId="10" xfId="0" applyNumberFormat="1" applyBorder="1"/>
    <xf numFmtId="164" fontId="0" fillId="0" borderId="0" xfId="0" applyNumberFormat="1"/>
    <xf numFmtId="0" fontId="22" fillId="0" borderId="0" xfId="208" applyAlignment="1">
      <alignment vertical="top"/>
    </xf>
    <xf numFmtId="14" fontId="22" fillId="0" borderId="0" xfId="208" applyNumberFormat="1" applyAlignment="1">
      <alignment vertical="top"/>
    </xf>
    <xf numFmtId="4" fontId="22" fillId="0" borderId="0" xfId="208" applyNumberFormat="1" applyAlignment="1">
      <alignment vertical="top"/>
    </xf>
    <xf numFmtId="164" fontId="1" fillId="0" borderId="10" xfId="1" applyNumberFormat="1" applyFont="1" applyFill="1" applyBorder="1"/>
    <xf numFmtId="15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 indent="1"/>
    </xf>
    <xf numFmtId="164" fontId="1" fillId="51" borderId="10" xfId="1" applyNumberFormat="1" applyFont="1" applyFill="1" applyBorder="1"/>
    <xf numFmtId="164" fontId="0" fillId="51" borderId="10" xfId="1" applyNumberFormat="1" applyFont="1" applyFill="1" applyBorder="1"/>
    <xf numFmtId="0" fontId="0" fillId="51" borderId="10" xfId="0" applyFill="1" applyBorder="1"/>
    <xf numFmtId="164" fontId="1" fillId="52" borderId="10" xfId="1" applyNumberFormat="1" applyFont="1" applyFill="1" applyBorder="1"/>
    <xf numFmtId="164" fontId="0" fillId="52" borderId="10" xfId="1" applyNumberFormat="1" applyFont="1" applyFill="1" applyBorder="1"/>
    <xf numFmtId="0" fontId="0" fillId="52" borderId="10" xfId="0" applyFill="1" applyBorder="1"/>
    <xf numFmtId="164" fontId="1" fillId="53" borderId="10" xfId="1" applyNumberFormat="1" applyFont="1" applyFill="1" applyBorder="1"/>
    <xf numFmtId="164" fontId="0" fillId="53" borderId="10" xfId="1" applyNumberFormat="1" applyFont="1" applyFill="1" applyBorder="1"/>
    <xf numFmtId="0" fontId="0" fillId="53" borderId="10" xfId="0" applyFill="1" applyBorder="1"/>
    <xf numFmtId="0" fontId="0" fillId="50" borderId="10" xfId="0" applyFill="1" applyBorder="1"/>
    <xf numFmtId="17" fontId="0" fillId="0" borderId="10" xfId="0" applyNumberFormat="1" applyBorder="1"/>
    <xf numFmtId="0" fontId="16" fillId="0" borderId="10" xfId="0" applyFont="1" applyBorder="1"/>
    <xf numFmtId="43" fontId="0" fillId="0" borderId="10" xfId="365" applyFont="1" applyBorder="1"/>
    <xf numFmtId="2" fontId="0" fillId="0" borderId="10" xfId="0" applyNumberFormat="1" applyBorder="1"/>
    <xf numFmtId="0" fontId="0" fillId="0" borderId="0" xfId="0" applyAlignment="1">
      <alignment horizontal="left"/>
    </xf>
    <xf numFmtId="43" fontId="0" fillId="0" borderId="0" xfId="1" applyFont="1" applyFill="1" applyBorder="1"/>
    <xf numFmtId="164" fontId="1" fillId="0" borderId="10" xfId="366" applyNumberFormat="1" applyFont="1" applyBorder="1"/>
    <xf numFmtId="164" fontId="0" fillId="0" borderId="10" xfId="366" applyNumberFormat="1" applyFont="1" applyBorder="1"/>
    <xf numFmtId="164" fontId="16" fillId="0" borderId="0" xfId="1" applyNumberFormat="1" applyFont="1" applyAlignment="1"/>
    <xf numFmtId="0" fontId="16" fillId="0" borderId="0" xfId="0" applyFont="1"/>
    <xf numFmtId="43" fontId="0" fillId="0" borderId="0" xfId="365" applyFont="1" applyBorder="1"/>
    <xf numFmtId="14" fontId="0" fillId="0" borderId="0" xfId="0" applyNumberFormat="1" applyAlignment="1">
      <alignment horizontal="left"/>
    </xf>
    <xf numFmtId="173" fontId="0" fillId="0" borderId="10" xfId="0" applyNumberFormat="1" applyBorder="1"/>
    <xf numFmtId="0" fontId="16" fillId="50" borderId="10" xfId="0" applyFont="1" applyFill="1" applyBorder="1"/>
    <xf numFmtId="164" fontId="16" fillId="50" borderId="10" xfId="1" applyNumberFormat="1" applyFont="1" applyFill="1" applyBorder="1"/>
    <xf numFmtId="164" fontId="16" fillId="0" borderId="10" xfId="1" applyNumberFormat="1" applyFont="1" applyBorder="1"/>
    <xf numFmtId="164" fontId="22" fillId="0" borderId="10" xfId="1" applyNumberFormat="1" applyFont="1" applyBorder="1" applyAlignment="1">
      <alignment vertical="top"/>
    </xf>
    <xf numFmtId="164" fontId="16" fillId="0" borderId="0" xfId="1" applyNumberFormat="1" applyFont="1" applyBorder="1" applyAlignment="1">
      <alignment horizontal="center"/>
    </xf>
    <xf numFmtId="164" fontId="16" fillId="0" borderId="0" xfId="1" applyNumberFormat="1" applyFont="1" applyBorder="1"/>
    <xf numFmtId="164" fontId="16" fillId="0" borderId="0" xfId="1" applyNumberFormat="1" applyFont="1" applyFill="1" applyBorder="1"/>
    <xf numFmtId="164" fontId="16" fillId="0" borderId="0" xfId="0" applyNumberFormat="1" applyFont="1"/>
    <xf numFmtId="164" fontId="16" fillId="0" borderId="10" xfId="1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64" fontId="16" fillId="0" borderId="0" xfId="1" applyNumberFormat="1" applyFont="1" applyAlignment="1">
      <alignment horizontal="center"/>
    </xf>
    <xf numFmtId="164" fontId="16" fillId="51" borderId="10" xfId="1" applyNumberFormat="1" applyFont="1" applyFill="1" applyBorder="1" applyAlignment="1">
      <alignment horizontal="center"/>
    </xf>
    <xf numFmtId="164" fontId="16" fillId="52" borderId="10" xfId="1" applyNumberFormat="1" applyFont="1" applyFill="1" applyBorder="1" applyAlignment="1">
      <alignment horizontal="center"/>
    </xf>
    <xf numFmtId="164" fontId="16" fillId="53" borderId="10" xfId="1" applyNumberFormat="1" applyFont="1" applyFill="1" applyBorder="1" applyAlignment="1">
      <alignment horizontal="center"/>
    </xf>
  </cellXfs>
  <cellStyles count="368">
    <cellStyle name=" 1" xfId="48" xr:uid="{8E81DB88-6064-4941-86D4-0473ED8E4BC2}"/>
    <cellStyle name="20% - Accent1" xfId="19" builtinId="30" customBuiltin="1"/>
    <cellStyle name="20% - Accent1 2" xfId="60" xr:uid="{4966B63D-6CAA-43B6-AAC9-847E96714858}"/>
    <cellStyle name="20% - Accent1 2 2" xfId="99" xr:uid="{BA8D0A78-9211-4F2E-8FB6-3D950FEEFFC4}"/>
    <cellStyle name="20% - Accent1 3" xfId="87" xr:uid="{040EDB1C-2AD5-459C-8C2D-F9C6717592F5}"/>
    <cellStyle name="20% - Accent1 3 2" xfId="100" xr:uid="{61A1496B-DF87-4139-8356-E4F2ACBA4163}"/>
    <cellStyle name="20% - Accent1 4" xfId="98" xr:uid="{4360DAE5-75C3-44E7-8173-B3DB69C4D705}"/>
    <cellStyle name="20% - Accent2" xfId="22" builtinId="34" customBuiltin="1"/>
    <cellStyle name="20% - Accent2 2" xfId="62" xr:uid="{3E1654CA-7C3F-4718-87BD-093D3C3DB06D}"/>
    <cellStyle name="20% - Accent2 2 2" xfId="102" xr:uid="{B0557929-2925-485B-AB26-5E00255AD000}"/>
    <cellStyle name="20% - Accent2 3" xfId="86" xr:uid="{BF35301C-2130-4282-8266-8267C8D7DF4B}"/>
    <cellStyle name="20% - Accent2 3 2" xfId="103" xr:uid="{286CA42C-C103-438C-84D4-D9AD6B76E303}"/>
    <cellStyle name="20% - Accent2 4" xfId="101" xr:uid="{CB9B3FDC-65B9-4F6A-9340-89B96BA8D218}"/>
    <cellStyle name="20% - Accent3" xfId="25" builtinId="38" customBuiltin="1"/>
    <cellStyle name="20% - Accent3 2" xfId="64" xr:uid="{7CB65593-1117-4BEC-8611-7AB6C81FCC0B}"/>
    <cellStyle name="20% - Accent3 2 2" xfId="105" xr:uid="{24105059-520B-4E7D-8E6F-174EA82908D0}"/>
    <cellStyle name="20% - Accent3 3" xfId="85" xr:uid="{84833540-60C5-4EBE-BCB9-B8A4A096A457}"/>
    <cellStyle name="20% - Accent3 3 2" xfId="106" xr:uid="{4CBFF8A7-FCDA-4EAE-B7CE-3D3A653DB0AA}"/>
    <cellStyle name="20% - Accent3 4" xfId="104" xr:uid="{056E44B0-E871-4509-82A1-4FEA20A5D254}"/>
    <cellStyle name="20% - Accent4" xfId="28" builtinId="42" customBuiltin="1"/>
    <cellStyle name="20% - Accent4 2" xfId="66" xr:uid="{E3ECB6FB-7F69-46AB-8558-22080F505137}"/>
    <cellStyle name="20% - Accent4 2 2" xfId="108" xr:uid="{430EFF1A-C2FF-43CA-8856-93942D747446}"/>
    <cellStyle name="20% - Accent4 3" xfId="76" xr:uid="{D844A2D5-3268-4F14-A725-28F4F19B105E}"/>
    <cellStyle name="20% - Accent4 3 2" xfId="109" xr:uid="{F31F8427-D769-413F-B42E-8B3F9C4746AF}"/>
    <cellStyle name="20% - Accent4 4" xfId="107" xr:uid="{2BA9CB3F-1DA3-439A-B361-7590300B7C0B}"/>
    <cellStyle name="20% - Accent5" xfId="31" builtinId="46" customBuiltin="1"/>
    <cellStyle name="20% - Accent5 2" xfId="68" xr:uid="{90D69971-A0AE-4F09-8CE1-606ACD87E842}"/>
    <cellStyle name="20% - Accent5 2 2" xfId="111" xr:uid="{65431ABD-C6A0-4401-B7A2-41B39822CCFA}"/>
    <cellStyle name="20% - Accent5 3" xfId="74" xr:uid="{6418A3E1-AB5D-4FA1-B882-A84E601A2F6D}"/>
    <cellStyle name="20% - Accent5 3 2" xfId="112" xr:uid="{2B5D8AAE-CA66-4FA1-8A17-E0572C0A7FCA}"/>
    <cellStyle name="20% - Accent5 4" xfId="110" xr:uid="{93123B51-F922-4259-88B6-A07F48F53934}"/>
    <cellStyle name="20% - Accent6" xfId="34" builtinId="50" customBuiltin="1"/>
    <cellStyle name="20% - Accent6 2" xfId="70" xr:uid="{3D819B35-83CF-444A-80E0-192138D7EBC9}"/>
    <cellStyle name="20% - Accent6 2 2" xfId="114" xr:uid="{ADC7C984-4D09-4D67-ABD2-3697846ECD93}"/>
    <cellStyle name="20% - Accent6 3" xfId="81" xr:uid="{45758F47-3D7D-4D8E-A83F-E3F813AE65DF}"/>
    <cellStyle name="20% - Accent6 3 2" xfId="115" xr:uid="{2C24EF94-7A26-41D1-A6F8-456635D14235}"/>
    <cellStyle name="20% - Accent6 4" xfId="113" xr:uid="{6960A9B5-378D-4419-A363-F14DBE2B0141}"/>
    <cellStyle name="40% - Accent1" xfId="20" builtinId="31" customBuiltin="1"/>
    <cellStyle name="40% - Accent1 2" xfId="61" xr:uid="{B93AB763-B191-4AAE-B4F3-1D2CBA760391}"/>
    <cellStyle name="40% - Accent1 2 2" xfId="117" xr:uid="{E9AC5181-D5BB-4618-9ECA-56ACD3264FD9}"/>
    <cellStyle name="40% - Accent1 3" xfId="79" xr:uid="{D5853D3B-9CE9-4B00-952D-C561E1852A85}"/>
    <cellStyle name="40% - Accent1 3 2" xfId="118" xr:uid="{881D9531-D2A1-499C-BB78-41734C5157CE}"/>
    <cellStyle name="40% - Accent1 4" xfId="116" xr:uid="{D00B86EB-06D8-4925-8810-37041BD328F2}"/>
    <cellStyle name="40% - Accent2" xfId="23" builtinId="35" customBuiltin="1"/>
    <cellStyle name="40% - Accent2 2" xfId="63" xr:uid="{DE09DB3F-A080-4DFE-8CE1-E4B8B7D98B22}"/>
    <cellStyle name="40% - Accent2 2 2" xfId="120" xr:uid="{9D56905C-C11D-42CD-8143-770AD8B2EC59}"/>
    <cellStyle name="40% - Accent2 3" xfId="82" xr:uid="{F0E48047-065C-418F-BC22-6853EDF1A7F7}"/>
    <cellStyle name="40% - Accent2 3 2" xfId="121" xr:uid="{1A79D653-B994-4EB1-8B83-C7903C359E54}"/>
    <cellStyle name="40% - Accent2 4" xfId="119" xr:uid="{2ECDC49A-B18E-466A-AF87-6696498BBABD}"/>
    <cellStyle name="40% - Accent3" xfId="26" builtinId="39" customBuiltin="1"/>
    <cellStyle name="40% - Accent3 2" xfId="65" xr:uid="{1856524D-61F6-4885-B4A2-60E21B409F6F}"/>
    <cellStyle name="40% - Accent3 2 2" xfId="123" xr:uid="{F679D795-D54D-4BBF-97DC-6A51E78067FA}"/>
    <cellStyle name="40% - Accent3 3" xfId="73" xr:uid="{B06C2E98-51A7-4EC9-AFD4-6B4430EDFA51}"/>
    <cellStyle name="40% - Accent3 3 2" xfId="124" xr:uid="{E7D5C2A5-EF1F-48B7-9E1D-C803EDD2C386}"/>
    <cellStyle name="40% - Accent3 4" xfId="122" xr:uid="{5816347F-05F4-4D15-98BC-5CCEB45E96B5}"/>
    <cellStyle name="40% - Accent4" xfId="29" builtinId="43" customBuiltin="1"/>
    <cellStyle name="40% - Accent4 2" xfId="67" xr:uid="{FC89D880-0A7B-4474-8EE8-2C9A00F949D2}"/>
    <cellStyle name="40% - Accent4 2 2" xfId="126" xr:uid="{66441DF8-28CD-4D5E-9BC0-7D6904BB4970}"/>
    <cellStyle name="40% - Accent4 3" xfId="80" xr:uid="{4784AEF2-F73F-458E-899B-BFB6553F45FA}"/>
    <cellStyle name="40% - Accent4 3 2" xfId="127" xr:uid="{2EEEE63B-6FE5-416C-9004-E34D4C723126}"/>
    <cellStyle name="40% - Accent4 4" xfId="125" xr:uid="{0F98472B-C379-4347-83DE-6B4440019065}"/>
    <cellStyle name="40% - Accent5" xfId="32" builtinId="47" customBuiltin="1"/>
    <cellStyle name="40% - Accent5 2" xfId="69" xr:uid="{6C5F0F64-91BC-4880-A4D1-E0EE59EC8A32}"/>
    <cellStyle name="40% - Accent5 2 2" xfId="129" xr:uid="{61C282A3-46AF-4606-A755-2B5099B848F6}"/>
    <cellStyle name="40% - Accent5 3" xfId="72" xr:uid="{1CD9756F-BB93-48A1-B675-192E4ADC6DC2}"/>
    <cellStyle name="40% - Accent5 3 2" xfId="130" xr:uid="{1DCF27AE-2F4C-4AD4-8617-A9A17CA9AAE2}"/>
    <cellStyle name="40% - Accent5 4" xfId="128" xr:uid="{984EA8A5-7640-4737-A8FB-AA29D7CA02C7}"/>
    <cellStyle name="40% - Accent6" xfId="35" builtinId="51" customBuiltin="1"/>
    <cellStyle name="40% - Accent6 2" xfId="71" xr:uid="{4254E8A6-8BF2-4129-B31C-E82EB4748C00}"/>
    <cellStyle name="40% - Accent6 2 2" xfId="132" xr:uid="{892D963D-CD3A-4862-A4B7-D59C424CE964}"/>
    <cellStyle name="40% - Accent6 3" xfId="83" xr:uid="{5B2281E7-6FF2-48DD-A834-F0F6ECCC5EB5}"/>
    <cellStyle name="40% - Accent6 3 2" xfId="133" xr:uid="{9039E42F-B392-4F57-A0F3-74F0840EB6D6}"/>
    <cellStyle name="40% - Accent6 4" xfId="131" xr:uid="{63458F12-0566-43E6-8551-B46867ED23E9}"/>
    <cellStyle name="60% - Accent1 2" xfId="135" xr:uid="{EFE604FC-CAD8-450B-A72E-0D32B28FF162}"/>
    <cellStyle name="60% - Accent1 2 2" xfId="287" xr:uid="{8ED5D698-5AB2-4897-AA0E-0B80774E439E}"/>
    <cellStyle name="60% - Accent1 3" xfId="136" xr:uid="{33BFBD03-47FF-4900-9955-86C28FA27359}"/>
    <cellStyle name="60% - Accent1 4" xfId="134" xr:uid="{B423AC56-7338-4D46-BE34-5D97AF4B93CD}"/>
    <cellStyle name="60% - Accent1 5" xfId="40" xr:uid="{36F71CB4-0402-4F10-90D1-7E7CC627841B}"/>
    <cellStyle name="60% - Accent2 2" xfId="138" xr:uid="{E998628B-B8BD-4C3B-9402-1BF398C1537D}"/>
    <cellStyle name="60% - Accent2 2 2" xfId="264" xr:uid="{D1C4410D-FCE3-4557-91C8-CA980E8E7F4B}"/>
    <cellStyle name="60% - Accent2 3" xfId="139" xr:uid="{01B39A9C-6FE9-4450-8939-25685F1B1514}"/>
    <cellStyle name="60% - Accent2 4" xfId="137" xr:uid="{F1269E0F-681C-47F7-8163-E2B21F6228EA}"/>
    <cellStyle name="60% - Accent2 5" xfId="41" xr:uid="{7B66A540-E4AB-4AEF-A135-963710527064}"/>
    <cellStyle name="60% - Accent3 2" xfId="141" xr:uid="{8BFE25A0-C57C-452D-8E5E-7D217EE8375C}"/>
    <cellStyle name="60% - Accent3 2 2" xfId="284" xr:uid="{6CB96177-910A-4033-821C-0B9151CFC5F4}"/>
    <cellStyle name="60% - Accent3 3" xfId="142" xr:uid="{CEAADF05-A245-4F35-9390-A03781D31486}"/>
    <cellStyle name="60% - Accent3 4" xfId="140" xr:uid="{82F13E44-B67B-48C1-A201-9B39DCC502AF}"/>
    <cellStyle name="60% - Accent3 5" xfId="42" xr:uid="{FD2BFD62-AAD9-4526-810B-F79E8469F852}"/>
    <cellStyle name="60% - Accent4 2" xfId="144" xr:uid="{9EB37F00-5AC4-4461-B0B1-EA2D6145E7D1}"/>
    <cellStyle name="60% - Accent4 2 2" xfId="263" xr:uid="{3C2F2794-1D09-4559-83EA-67FA89EB16ED}"/>
    <cellStyle name="60% - Accent4 3" xfId="145" xr:uid="{88B31ED4-C56D-455A-8801-3F249EE15FD9}"/>
    <cellStyle name="60% - Accent4 4" xfId="143" xr:uid="{3DB1CEC7-1346-4E6D-8491-C4FEF25C12B6}"/>
    <cellStyle name="60% - Accent4 5" xfId="43" xr:uid="{1E5EF28E-6C9A-4773-A471-69C894BFDBF8}"/>
    <cellStyle name="60% - Accent5 2" xfId="147" xr:uid="{81C030CE-1ACC-477A-994E-9627B72DEEE9}"/>
    <cellStyle name="60% - Accent5 2 2" xfId="266" xr:uid="{72965DB1-513F-4B81-8203-FE6F727D7802}"/>
    <cellStyle name="60% - Accent5 3" xfId="148" xr:uid="{F697DAB6-A162-4059-8C24-3B2E1BB67CB4}"/>
    <cellStyle name="60% - Accent5 4" xfId="146" xr:uid="{B3F1D150-822D-41B9-AFFC-5ACA9A488593}"/>
    <cellStyle name="60% - Accent5 5" xfId="44" xr:uid="{7A8E1CB8-88A4-4932-BA1E-3E77A1128E2B}"/>
    <cellStyle name="60% - Accent6 2" xfId="150" xr:uid="{CFF2ACD3-48E5-4430-A103-9A033FEEE296}"/>
    <cellStyle name="60% - Accent6 2 2" xfId="294" xr:uid="{A0785347-402B-40D1-9289-C0CDA6081298}"/>
    <cellStyle name="60% - Accent6 3" xfId="151" xr:uid="{075ACCB6-3C7A-454D-B8E3-72520A1F1709}"/>
    <cellStyle name="60% - Accent6 4" xfId="149" xr:uid="{E90E2F80-989F-47FB-A8C5-32D01C7C1366}"/>
    <cellStyle name="60% - Accent6 5" xfId="45" xr:uid="{043ED049-7AC9-4984-916D-73D49E6E885C}"/>
    <cellStyle name="Accent1" xfId="18" builtinId="29" customBuiltin="1"/>
    <cellStyle name="Accent1 2" xfId="153" xr:uid="{A1B0F8AB-8625-4C2A-98D6-01039EC62360}"/>
    <cellStyle name="Accent1 3" xfId="154" xr:uid="{1825CAEC-84C0-46DD-89B6-EA2FC839793E}"/>
    <cellStyle name="Accent1 4" xfId="152" xr:uid="{6DCD2E86-21B5-49FF-A773-25158BBCE5D0}"/>
    <cellStyle name="Accent2" xfId="21" builtinId="33" customBuiltin="1"/>
    <cellStyle name="Accent2 2" xfId="156" xr:uid="{AC6FBE3E-CD22-49ED-8F39-618C4B43986E}"/>
    <cellStyle name="Accent2 3" xfId="157" xr:uid="{329F0DC3-B2BE-4D20-87A8-B78ABF419C05}"/>
    <cellStyle name="Accent2 4" xfId="155" xr:uid="{5BAC7DB2-4208-4E2F-98F4-EAD7C2C82D74}"/>
    <cellStyle name="Accent3" xfId="24" builtinId="37" customBuiltin="1"/>
    <cellStyle name="Accent3 2" xfId="159" xr:uid="{EBC9A0AB-CD91-42EA-AE3E-38CCE1F6665D}"/>
    <cellStyle name="Accent3 3" xfId="160" xr:uid="{602A286F-DE8E-44A5-9B55-165DA0A3C473}"/>
    <cellStyle name="Accent3 4" xfId="158" xr:uid="{38101572-60AB-4ED7-94EF-6B54B63598DA}"/>
    <cellStyle name="Accent4" xfId="27" builtinId="41" customBuiltin="1"/>
    <cellStyle name="Accent4 2" xfId="162" xr:uid="{CE9446DF-2BF4-4F2F-B068-F6A7738CAD62}"/>
    <cellStyle name="Accent4 3" xfId="163" xr:uid="{57B963A7-07FF-416C-832F-C0C7A7612D71}"/>
    <cellStyle name="Accent4 4" xfId="161" xr:uid="{238429A2-30A5-40B6-801B-3B84E8315B08}"/>
    <cellStyle name="Accent5" xfId="30" builtinId="45" customBuiltin="1"/>
    <cellStyle name="Accent5 2" xfId="165" xr:uid="{AD55A0E7-B7CE-4B2B-A4F4-725089934D96}"/>
    <cellStyle name="Accent5 3" xfId="166" xr:uid="{54A89852-5295-4C71-997B-ECB88239C964}"/>
    <cellStyle name="Accent5 4" xfId="164" xr:uid="{ACB1D55A-B8A9-49C3-8C44-9157725BACE8}"/>
    <cellStyle name="Accent6" xfId="33" builtinId="49" customBuiltin="1"/>
    <cellStyle name="Accent6 2" xfId="168" xr:uid="{E543EA1A-EE88-4DB3-951C-E583A698C1D8}"/>
    <cellStyle name="Accent6 3" xfId="169" xr:uid="{4AFB4B44-44AF-420F-BECD-B33949F641AF}"/>
    <cellStyle name="Accent6 4" xfId="167" xr:uid="{BFB3CB13-F479-4E92-9942-AB497006752D}"/>
    <cellStyle name="Bad" xfId="8" builtinId="27" customBuiltin="1"/>
    <cellStyle name="Bad 2" xfId="171" xr:uid="{8A18328B-579E-4986-AB8C-F845F11B1E4F}"/>
    <cellStyle name="Bad 3" xfId="172" xr:uid="{94F99FB5-C3CE-4C37-8827-B5517D23FAF6}"/>
    <cellStyle name="Bad 4" xfId="170" xr:uid="{A7EB25B6-52E8-4FE9-B0BD-6D7BF07D0473}"/>
    <cellStyle name="Calculation" xfId="11" builtinId="22" customBuiltin="1"/>
    <cellStyle name="Calculation 2" xfId="174" xr:uid="{9CE77C19-C618-4DB2-8377-5DBA962B7A18}"/>
    <cellStyle name="Calculation 2 2" xfId="349" xr:uid="{BA441A0C-008F-46B9-9014-976CC91ECADC}"/>
    <cellStyle name="Calculation 2 3" xfId="347" xr:uid="{F4AF3B31-ABFD-4E28-B8E1-0D97637A5CB3}"/>
    <cellStyle name="Calculation 3" xfId="175" xr:uid="{157CFFA5-EC33-4429-8DBD-2AFDC42F14BB}"/>
    <cellStyle name="Calculation 3 2" xfId="350" xr:uid="{D6D166DF-49AE-404C-A06C-F975CBDFD9A3}"/>
    <cellStyle name="Calculation 3 3" xfId="346" xr:uid="{29C8DD27-B6DA-440F-9BF9-9FDE9C92165F}"/>
    <cellStyle name="Calculation 4" xfId="173" xr:uid="{7AB92195-6CDD-47BE-9CE5-50638B88190A}"/>
    <cellStyle name="Calculation 4 2" xfId="348" xr:uid="{965F0DB6-2A9A-469D-B699-7B4B3DD89C46}"/>
    <cellStyle name="Calculation 4 3" xfId="345" xr:uid="{6534F04E-0F5E-4B51-9EC6-159C439F05FB}"/>
    <cellStyle name="Check Cell" xfId="13" builtinId="23" customBuiltin="1"/>
    <cellStyle name="Check Cell 2" xfId="177" xr:uid="{303DDC3A-AFB2-4BAC-AF2C-400BFC867BFB}"/>
    <cellStyle name="Check Cell 3" xfId="178" xr:uid="{DF6214E5-71D7-444B-A1D0-A9FE581F6B01}"/>
    <cellStyle name="Check Cell 4" xfId="176" xr:uid="{AC4BEEAB-19FD-4ACF-890C-186A37C6FDFA}"/>
    <cellStyle name="Comma" xfId="1" builtinId="3"/>
    <cellStyle name="Comma 10" xfId="96" xr:uid="{FEF62327-569B-4E1F-A366-8C7C3621F8D8}"/>
    <cellStyle name="Comma 10 2" xfId="325" xr:uid="{5E50DBBA-D4BD-43D4-B45E-DEB8D9C97D95}"/>
    <cellStyle name="Comma 10 2 2" xfId="324" xr:uid="{0B82E5A1-6BB1-4F94-BDDD-43E0E8F8D008}"/>
    <cellStyle name="Comma 10 2 3" xfId="330" xr:uid="{C1D37D25-5D83-4142-9DC1-CEE9425790D3}"/>
    <cellStyle name="Comma 10 2 4" xfId="331" xr:uid="{882F4D76-D413-4E4A-9374-E0B1DD8FD08E}"/>
    <cellStyle name="Comma 10 3" xfId="328" xr:uid="{862559EE-AA8F-45F8-871D-086C4C7D1CEF}"/>
    <cellStyle name="Comma 10 4" xfId="329" xr:uid="{29273DC0-47CF-4F00-9E3D-0B4AB5395934}"/>
    <cellStyle name="Comma 10 5" xfId="310" xr:uid="{620EDBA3-3149-4F60-9AA1-BCDB73238249}"/>
    <cellStyle name="Comma 10 6" xfId="305" xr:uid="{AD9DE7BA-74B9-48AF-B94F-38F689007B5B}"/>
    <cellStyle name="Comma 11" xfId="311" xr:uid="{8F581A9F-4DE8-486F-9B7B-01B404C5A6DB}"/>
    <cellStyle name="Comma 11 2 3" xfId="312" xr:uid="{FD015015-ECEA-4655-AF81-D1EB35A83185}"/>
    <cellStyle name="Comma 11 2 3 3 2" xfId="313" xr:uid="{520F2430-618B-4250-93FF-4693DDA54B53}"/>
    <cellStyle name="Comma 11 2 3 3 2 4" xfId="314" xr:uid="{C970156F-4D93-4793-A0FD-A4C03D22DA7E}"/>
    <cellStyle name="Comma 11 2 3 3 2 4 3" xfId="320" xr:uid="{F419D380-869A-4E49-A647-EB0C39EB1756}"/>
    <cellStyle name="Comma 11 2 3 3 2 4 4" xfId="317" xr:uid="{C01369A1-E791-4EE6-9927-5258E8EE92B7}"/>
    <cellStyle name="Comma 11 2 3 3 2 4 4 4" xfId="309" xr:uid="{0D8A414C-8399-4128-855C-6399F326F452}"/>
    <cellStyle name="Comma 11 2 3 3 2 4 4 4 2" xfId="323" xr:uid="{713085B7-03A2-497B-8472-66A480E9022A}"/>
    <cellStyle name="Comma 11 2 3 3 2 4 4 4 3" xfId="326" xr:uid="{9559C180-48B2-4814-BE6D-C2DE2415694E}"/>
    <cellStyle name="Comma 11 2 3 3 2 4 4 4 4" xfId="327" xr:uid="{FDA2A508-AD26-4544-9142-4F9E9EE4A17A}"/>
    <cellStyle name="Comma 11 2 5" xfId="316" xr:uid="{48F56F60-B41D-44D8-AAFD-AC1EA1A8CECA}"/>
    <cellStyle name="Comma 11 2 5 3" xfId="322" xr:uid="{46C55EB6-2878-4E6D-8E83-CAA72B904A2C}"/>
    <cellStyle name="Comma 11 2 5 4" xfId="319" xr:uid="{755CEAC6-D7B2-4ECB-B313-1CBDEB690100}"/>
    <cellStyle name="Comma 2" xfId="36" xr:uid="{101ACD6F-8B73-453C-90CF-3BA581ACC511}"/>
    <cellStyle name="Comma 2 2" xfId="250" xr:uid="{8BBCFA67-0BA5-4C1F-A6A4-AA0BD3589BB0}"/>
    <cellStyle name="Comma 2 2 3 2 4 2 4 11" xfId="299" xr:uid="{E7857BD0-B9E9-4712-89BB-9037983B5C27}"/>
    <cellStyle name="Comma 2 2 3 2 4 2 4 11 4 2" xfId="300" xr:uid="{3B007D49-E534-4855-B5F6-BBC594B4EE49}"/>
    <cellStyle name="Comma 2 2 3 2 4 2 4 11 6" xfId="298" xr:uid="{BCDEB1B1-E88F-4B63-94E5-254A62016642}"/>
    <cellStyle name="Comma 2 2 3 2 4 2 4 11 6 2" xfId="307" xr:uid="{12852AA4-C799-4122-99AF-7037FE1C8C4A}"/>
    <cellStyle name="Comma 2 3" xfId="253" xr:uid="{BE44BF12-41F2-4054-ABA5-A4DACB0D1A3B}"/>
    <cellStyle name="Comma 2 3 2" xfId="277" xr:uid="{0E4014A7-A00D-4F12-B63D-8AFD4EB20D72}"/>
    <cellStyle name="Comma 2 4" xfId="274" xr:uid="{3D5FFF4D-CBCC-4D4D-B93A-4E699AE047B1}"/>
    <cellStyle name="Comma 2 5" xfId="268" xr:uid="{85D5ADFC-09F4-4CB2-AF88-B374A2B234C5}"/>
    <cellStyle name="Comma 2 6" xfId="302" xr:uid="{6854F8BA-0AA9-4584-85D3-D748C038B5AA}"/>
    <cellStyle name="Comma 2 6 2" xfId="333" xr:uid="{A460EF64-7289-4EC2-8813-BCDF983DB740}"/>
    <cellStyle name="Comma 2 7" xfId="332" xr:uid="{F55D7A18-6A15-4C08-9C15-153AB2E55417}"/>
    <cellStyle name="Comma 2 7 2" xfId="334" xr:uid="{027F4603-2C2D-47D4-B112-90DDEA7FA793}"/>
    <cellStyle name="Comma 2 8" xfId="51" xr:uid="{D3492E61-1B72-4FD8-B89D-DD7FE0BA09BD}"/>
    <cellStyle name="Comma 2 9" xfId="366" xr:uid="{686DED33-96D6-4BFE-AA3D-594F937390A4}"/>
    <cellStyle name="Comma 29" xfId="308" xr:uid="{963F666F-9957-4966-A88D-ADD6CB3E2651}"/>
    <cellStyle name="Comma 3" xfId="252" xr:uid="{FCD3B87E-4F89-4750-8DC1-DD5E610B4467}"/>
    <cellStyle name="Comma 4" xfId="365" xr:uid="{C3202397-DD38-4C5D-8018-02874DA5FDF4}"/>
    <cellStyle name="Comma 5" xfId="315" xr:uid="{F87D9F32-62B8-4CBC-8A37-EF37FBA890F0}"/>
    <cellStyle name="Comma 5 3" xfId="321" xr:uid="{1073ABF2-8BD9-4B6D-9770-019326597939}"/>
    <cellStyle name="Comma 5 4" xfId="318" xr:uid="{68906EDF-649D-4146-8A1C-98B07459B120}"/>
    <cellStyle name="Comma 6" xfId="367" xr:uid="{CB7A0F4A-93C5-4580-A38D-DF1674ED5A6E}"/>
    <cellStyle name="ConditionalStyle_134" xfId="295" xr:uid="{AE454860-E89B-449E-B4A8-4DD2DBB74EA6}"/>
    <cellStyle name="Currency 2" xfId="254" xr:uid="{0C0D3DED-AD89-44D8-801E-BF4A27D7FC62}"/>
    <cellStyle name="Excel Built-in Normal" xfId="179" xr:uid="{86E91474-0986-43E4-9B8A-05AEE21D5538}"/>
    <cellStyle name="Excel Built-in Normal 1" xfId="180" xr:uid="{25D4F364-8EE8-471F-ADDD-0571DD712C64}"/>
    <cellStyle name="Excel Built-in Normal 1 1 1" xfId="256" xr:uid="{6DD0121B-A8C2-4AFA-A494-887B25917538}"/>
    <cellStyle name="Excel Built-in Normal 1 2" xfId="259" xr:uid="{AAFFAD14-8C55-4DF4-A633-AF27148640E2}"/>
    <cellStyle name="Excel Built-in Normal 1 3" xfId="255" xr:uid="{F5971752-115E-498D-AEB9-C1E328F5C3E6}"/>
    <cellStyle name="Excel Built-in Normal 2" xfId="258" xr:uid="{77A29507-6DEF-4C1A-A33C-AB9F68F50638}"/>
    <cellStyle name="Excel Built-in Normal 3" xfId="251" xr:uid="{D01C8FF5-ED52-4B31-94DC-27F6B27771F7}"/>
    <cellStyle name="Explanatory Text" xfId="16" builtinId="53" customBuiltin="1"/>
    <cellStyle name="Explanatory Text 2" xfId="182" xr:uid="{A99EB45C-4BBE-440C-B2D6-B078B332D1A5}"/>
    <cellStyle name="Explanatory Text 3" xfId="183" xr:uid="{26061B13-ABC4-4618-824D-3F2F5A6FF2C3}"/>
    <cellStyle name="Explanatory Text 4" xfId="181" xr:uid="{9C8A5C3D-805A-4636-B801-432C6B1D4120}"/>
    <cellStyle name="Good" xfId="7" builtinId="26" customBuiltin="1"/>
    <cellStyle name="Good 2" xfId="185" xr:uid="{2CAF5EBE-E513-4D98-8C49-4D324AB632D9}"/>
    <cellStyle name="Good 3" xfId="186" xr:uid="{6F4E7129-428D-49FE-A641-859BEEACF69D}"/>
    <cellStyle name="Good 4" xfId="184" xr:uid="{7B522658-04B6-4D38-BFF5-790D9E91D816}"/>
    <cellStyle name="Heading 1" xfId="3" builtinId="16" customBuiltin="1"/>
    <cellStyle name="Heading 1 2" xfId="188" xr:uid="{BA43DA8B-FCEF-4098-B5BF-162E182F22D8}"/>
    <cellStyle name="Heading 1 3" xfId="189" xr:uid="{FF60D040-065E-48BB-858E-CC6C185368DA}"/>
    <cellStyle name="Heading 1 4" xfId="187" xr:uid="{5B1ACB10-3994-4773-829E-8E5A1EA00DC0}"/>
    <cellStyle name="Heading 2" xfId="4" builtinId="17" customBuiltin="1"/>
    <cellStyle name="Heading 2 2" xfId="191" xr:uid="{3CCE15DE-5A46-4AD9-A914-AD65547A20AF}"/>
    <cellStyle name="Heading 2 3" xfId="192" xr:uid="{49C30EA3-9B34-4122-BE9A-41520F3C4458}"/>
    <cellStyle name="Heading 2 4" xfId="190" xr:uid="{A894E4BA-B691-4212-B603-88E791E15EFA}"/>
    <cellStyle name="Heading 3" xfId="5" builtinId="18" customBuiltin="1"/>
    <cellStyle name="Heading 3 2" xfId="194" xr:uid="{15DFCA0B-E53F-4DB9-A1F3-FF91D1F59B11}"/>
    <cellStyle name="Heading 3 3" xfId="195" xr:uid="{B1CB9ACE-B9CF-4C59-86BD-0272AF4FE76D}"/>
    <cellStyle name="Heading 3 4" xfId="193" xr:uid="{9CDF43A5-D854-4EC4-8DA7-E01D410C7783}"/>
    <cellStyle name="Heading 4" xfId="6" builtinId="19" customBuiltin="1"/>
    <cellStyle name="Heading 4 2" xfId="197" xr:uid="{944F0ED0-C348-4C24-AAAC-CD8CB0883E6A}"/>
    <cellStyle name="Heading 4 3" xfId="198" xr:uid="{DC79FE2A-CD27-4EF3-8852-B1238460E320}"/>
    <cellStyle name="Heading 4 4" xfId="196" xr:uid="{32DBD1CA-3EFE-4888-AA62-1F9061ADFE33}"/>
    <cellStyle name="Input" xfId="9" builtinId="20" customBuiltin="1"/>
    <cellStyle name="Input 2" xfId="200" xr:uid="{8E48424B-8D2C-4401-89C7-2843280CA3C2}"/>
    <cellStyle name="Input 2 2" xfId="352" xr:uid="{650715ED-0FB7-42A2-BE21-078326784AB6}"/>
    <cellStyle name="Input 2 3" xfId="344" xr:uid="{B2804312-DBE1-4388-AB84-77172D9E4F9D}"/>
    <cellStyle name="Input 3" xfId="201" xr:uid="{19B42218-2F54-4D40-8CB2-729DF1ACCEEE}"/>
    <cellStyle name="Input 3 2" xfId="353" xr:uid="{B52E8B63-92FC-40FF-9986-FFC3931FB47B}"/>
    <cellStyle name="Input 3 3" xfId="337" xr:uid="{9AB07529-AA3A-4E6B-9A8B-AA8270DFDD1D}"/>
    <cellStyle name="Input 4" xfId="199" xr:uid="{F85219FD-6CD7-4095-BB7A-A1A91ADFF1EB}"/>
    <cellStyle name="Input 4 2" xfId="351" xr:uid="{94EFC8F8-733D-4F71-A094-9322E284F43D}"/>
    <cellStyle name="Input 4 3" xfId="364" xr:uid="{265E7E7F-C2E1-4E69-B4AB-98EBD7D68668}"/>
    <cellStyle name="Linked Cell" xfId="12" builtinId="24" customBuiltin="1"/>
    <cellStyle name="Linked Cell 2" xfId="203" xr:uid="{5DFFFC93-B542-4446-B404-50196A88668D}"/>
    <cellStyle name="Linked Cell 3" xfId="204" xr:uid="{DAEBD869-3ECB-46C1-A8D9-2F5CC2831F46}"/>
    <cellStyle name="Linked Cell 4" xfId="202" xr:uid="{9DF808AD-233E-4666-8B32-C57A12FB8EAE}"/>
    <cellStyle name="Neutral 2" xfId="206" xr:uid="{C108F77D-3D2B-446E-854F-246C1DD7601D}"/>
    <cellStyle name="Neutral 2 2" xfId="265" xr:uid="{355CE96B-5AD3-4A2A-9F8A-0A15EABBBD1D}"/>
    <cellStyle name="Neutral 3" xfId="207" xr:uid="{98C58974-950E-4157-972D-EEF80A617A4F}"/>
    <cellStyle name="Neutral 4" xfId="205" xr:uid="{CA91B990-5E55-4D3C-804F-F5FB78BAAE22}"/>
    <cellStyle name="Neutral 5" xfId="38" xr:uid="{AF5E95C5-CA1D-47FD-832F-BF80A29B0FF3}"/>
    <cellStyle name="Normal" xfId="0" builtinId="0"/>
    <cellStyle name="Normal 10" xfId="208" xr:uid="{9F03125C-DA7E-43D7-9745-E116DD3E4E7B}"/>
    <cellStyle name="Normal 10 2" xfId="285" xr:uid="{EBD4BF2C-12CB-49F7-B441-680B7E86A5FB}"/>
    <cellStyle name="Normal 11" xfId="209" xr:uid="{25D8C33A-E689-4C65-998C-0033C7B9D90E}"/>
    <cellStyle name="Normal 11 2" xfId="286" xr:uid="{293AF1CB-66CC-4C29-98B9-434D10660836}"/>
    <cellStyle name="Normal 11 3" xfId="269" xr:uid="{B8F38251-AAC2-4363-B9E5-549D2BF41A4B}"/>
    <cellStyle name="Normal 12" xfId="210" xr:uid="{849774C4-4C43-4AF0-A16B-9C64E56C6A2A}"/>
    <cellStyle name="Normal 12 2" xfId="290" xr:uid="{EE016C12-A4D3-463D-ACC3-886050281DDA}"/>
    <cellStyle name="Normal 125" xfId="303" xr:uid="{3338F20E-9E27-4ADA-AD4E-1A190FCA1E20}"/>
    <cellStyle name="Normal 13" xfId="97" xr:uid="{30636D8F-EB55-420B-8246-B8A8894BE2B1}"/>
    <cellStyle name="Normal 2" xfId="46" xr:uid="{CA8589AB-99F3-4DD1-B1B8-0B678A89FB92}"/>
    <cellStyle name="Normal 2 2" xfId="55" xr:uid="{1D2C1B06-B2EE-4809-ADAA-9F490C6C9685}"/>
    <cellStyle name="Normal 2 2 2" xfId="278" xr:uid="{2D91D47E-DB63-4D07-B61C-DBF770FD43A5}"/>
    <cellStyle name="Normal 2 3" xfId="52" xr:uid="{92182E9A-1A9A-4D28-A09D-13FDF6144AF7}"/>
    <cellStyle name="Normal 2 3 2" xfId="260" xr:uid="{860C2B2A-C875-48B8-A1B5-9F26E11FBE6F}"/>
    <cellStyle name="Normal 2 3 2 2" xfId="291" xr:uid="{3A99D995-F6A1-4A21-A032-E406313378EC}"/>
    <cellStyle name="Normal 2 4" xfId="77" xr:uid="{0BFF61C9-97B3-4998-B0FE-42687BFE9070}"/>
    <cellStyle name="Normal 2 5" xfId="78" xr:uid="{904E592A-DC29-4515-A198-1FA16E5D7881}"/>
    <cellStyle name="Normal 2 6" xfId="90" xr:uid="{A7C6DECD-1683-4AAD-BC3E-704DD0C1CC16}"/>
    <cellStyle name="Normal 2 7" xfId="211" xr:uid="{13B85BCC-A097-404B-AE0D-C27A504724CD}"/>
    <cellStyle name="Normal 2 8" xfId="257" xr:uid="{F3F56F84-20A4-4947-82AE-E76DA7636D0E}"/>
    <cellStyle name="Normal 3" xfId="49" xr:uid="{460904CA-A3A1-464B-8D64-E1C191522D38}"/>
    <cellStyle name="Normal 3 2" xfId="53" xr:uid="{EBCE6390-6795-4D19-B266-86F8C677F717}"/>
    <cellStyle name="Normal 3 2 2" xfId="293" xr:uid="{4C9200A3-32C6-4F03-AFF3-EDE00EBA36D6}"/>
    <cellStyle name="Normal 3 2 3" xfId="279" xr:uid="{2FEEF443-1165-4105-A1A9-E56E6CF6DCFE}"/>
    <cellStyle name="Normal 3 2 4" xfId="270" xr:uid="{B08566FD-E1EF-4F51-9478-678B118331B3}"/>
    <cellStyle name="Normal 3 3" xfId="88" xr:uid="{0E9EEE4D-54A2-4405-9F77-759EC6B7F76B}"/>
    <cellStyle name="Normal 3 3 2" xfId="292" xr:uid="{A3D14203-251F-4F95-AB96-30A9CDAFD5E8}"/>
    <cellStyle name="Normal 3 4" xfId="212" xr:uid="{A3DC790E-27B3-4260-9B07-87FCDEA37FFD}"/>
    <cellStyle name="Normal 3 4 2" xfId="275" xr:uid="{EA376E70-F401-41EA-8395-1388A2713ACC}"/>
    <cellStyle name="Normal 4" xfId="50" xr:uid="{CFA446F3-A2D0-49C7-8282-99B44E93B879}"/>
    <cellStyle name="Normal 4 2" xfId="54" xr:uid="{92727936-B980-4BEB-B3AB-453DE1CBF47D}"/>
    <cellStyle name="Normal 4 2 2" xfId="93" xr:uid="{4E6DE283-0225-4D67-8155-A314F9CEA037}"/>
    <cellStyle name="Normal 4 2 3" xfId="272" xr:uid="{68BBF589-17A4-45A3-9F59-23B6D6281A7E}"/>
    <cellStyle name="Normal 4 3" xfId="91" xr:uid="{FAF8C593-03F7-4B66-89C5-DFD45DD7922F}"/>
    <cellStyle name="Normal 4 3 2" xfId="271" xr:uid="{5783ADC8-CE1A-44D2-BB4B-3FEB170C0295}"/>
    <cellStyle name="Normal 4 4" xfId="213" xr:uid="{E47EC449-1F8B-4FDA-A5D2-9E90EA6EFA93}"/>
    <cellStyle name="Normal 4 5" xfId="282" xr:uid="{0639E78C-FE1E-4CFC-AEEB-6B504B65F3B8}"/>
    <cellStyle name="Normal 4 6" xfId="296" xr:uid="{1622E49B-BD96-4B6E-BBB5-42C20DBBDC79}"/>
    <cellStyle name="Normal 5" xfId="58" xr:uid="{EBC37332-66E3-4D03-8FA8-1B2D97042156}"/>
    <cellStyle name="Normal 5 2" xfId="92" xr:uid="{3CE036A5-ADD0-4BA4-A515-DE1CC6A36EB8}"/>
    <cellStyle name="Normal 5 2 2" xfId="95" xr:uid="{8E5BF7FE-1451-439D-876E-66DF51C18C07}"/>
    <cellStyle name="Normal 5 2 3" xfId="273" xr:uid="{740CF60B-F53F-4EE9-9060-21987DA40C49}"/>
    <cellStyle name="Normal 5 3" xfId="94" xr:uid="{80A5738F-B71B-4BF3-BBFF-C48CF10A1950}"/>
    <cellStyle name="Normal 5 3 2" xfId="276" xr:uid="{BE0228D7-9AE0-4C58-9499-F9C16F41B5A3}"/>
    <cellStyle name="Normal 5 4" xfId="214" xr:uid="{19553A84-AF35-4B30-ACF0-526C3DC4EDD3}"/>
    <cellStyle name="Normal 5 5" xfId="261" xr:uid="{DC34856C-35C5-495C-A6BE-D88CE4205373}"/>
    <cellStyle name="Normal 6" xfId="56" xr:uid="{38E3F846-773B-4DCE-82EC-30FB232E6511}"/>
    <cellStyle name="Normal 6 2" xfId="215" xr:uid="{C17CDBF2-3424-4FB8-870F-A4CE78106A43}"/>
    <cellStyle name="Normal 6 2 2" xfId="280" xr:uid="{B7447845-7B0B-4D55-8594-15A1442123C8}"/>
    <cellStyle name="Normal 7" xfId="57" xr:uid="{57A2B437-3AAD-4EC2-B78C-6D238F774885}"/>
    <cellStyle name="Normal 7 2" xfId="217" xr:uid="{5E6B23F8-9B4F-4D83-AC43-1B7F42018F82}"/>
    <cellStyle name="Normal 7 3" xfId="216" xr:uid="{6C0EDEEB-33BD-420A-9533-E31E3C2511B7}"/>
    <cellStyle name="Normal 7 4" xfId="281" xr:uid="{E9A8B867-C412-47C3-B7C8-5DD8AF6E4808}"/>
    <cellStyle name="Normal 74" xfId="301" xr:uid="{3894D139-E260-43BF-A299-F81F7150EF78}"/>
    <cellStyle name="Normal 8" xfId="75" xr:uid="{5136B987-F887-4758-B0F2-3342FB9B2747}"/>
    <cellStyle name="Normal 8 2" xfId="219" xr:uid="{78FF57AB-AC8B-4305-98FF-A581C41312C9}"/>
    <cellStyle name="Normal 8 3" xfId="218" xr:uid="{3D3E6A63-8E61-49F4-A6C7-EDC1857D1376}"/>
    <cellStyle name="Normal 9" xfId="89" xr:uid="{1B1A17DD-1B3F-45E8-AF0A-7E04D1660086}"/>
    <cellStyle name="Normal 9 2" xfId="221" xr:uid="{5E31ABF7-413D-40BA-BD31-B5CCF0A645A6}"/>
    <cellStyle name="Normal 9 3" xfId="222" xr:uid="{6673B94F-8A99-4A37-9366-1E3CE4A21741}"/>
    <cellStyle name="Normal 9 4" xfId="220" xr:uid="{D43E80AB-DEC8-4F3E-AB8C-C359BB635B4C}"/>
    <cellStyle name="Normal 9 5" xfId="283" xr:uid="{330D04C5-15A1-4554-B09D-ED5C2631FD26}"/>
    <cellStyle name="Note" xfId="15" builtinId="10" customBuiltin="1"/>
    <cellStyle name="Note 2" xfId="59" xr:uid="{B7072562-B0D3-44E9-9743-0C44F5F4C0C8}"/>
    <cellStyle name="Note 2 2" xfId="224" xr:uid="{CBA0E286-757F-4C69-87DE-3D3ECDF5EBB3}"/>
    <cellStyle name="Note 2 2 2" xfId="355" xr:uid="{21EC164E-2B64-47C3-A3EB-BA5A0D8B8F89}"/>
    <cellStyle name="Note 2 2 3" xfId="363" xr:uid="{68B23072-FAEA-4FFF-B46C-24DF41F00465}"/>
    <cellStyle name="Note 3" xfId="84" xr:uid="{527E1B3C-9578-4731-BAFC-AC7AC339CA16}"/>
    <cellStyle name="Note 3 2" xfId="225" xr:uid="{E0D17BC1-F275-419C-9A38-07DB88FB75D5}"/>
    <cellStyle name="Note 3 2 2" xfId="356" xr:uid="{1735C662-192B-4D55-82B8-B75CB1E00C08}"/>
    <cellStyle name="Note 3 2 3" xfId="342" xr:uid="{9FCED97D-10F3-4FF4-A016-DBF70AE57C9F}"/>
    <cellStyle name="Note 4" xfId="223" xr:uid="{6F893D84-0211-4C05-81CA-334476D0B0F1}"/>
    <cellStyle name="Note 4 2" xfId="288" xr:uid="{8D6BAF77-97BC-4A0D-92AA-1F39BE920BE7}"/>
    <cellStyle name="Note 4 3" xfId="354" xr:uid="{40B13452-091C-4C50-985F-25F97AB673F8}"/>
    <cellStyle name="Note 4 4" xfId="343" xr:uid="{72235CFF-C6DE-403D-A3E4-C53487D214B8}"/>
    <cellStyle name="Output" xfId="10" builtinId="21" customBuiltin="1"/>
    <cellStyle name="Output 2" xfId="227" xr:uid="{0C3CA3F6-67B9-4812-BE77-FA47D77F3C25}"/>
    <cellStyle name="Output 2 2" xfId="358" xr:uid="{C8F240BB-12A2-430A-AF30-6818F318CB78}"/>
    <cellStyle name="Output 2 3" xfId="340" xr:uid="{EFF37CA3-F600-4868-97A0-6A9E9ACC02A1}"/>
    <cellStyle name="Output 3" xfId="228" xr:uid="{C5EEF4A9-CE76-4C7F-84FE-32DF3A2F2C89}"/>
    <cellStyle name="Output 3 2" xfId="359" xr:uid="{F957B5D1-A64A-4258-8F96-56C5411EB9EC}"/>
    <cellStyle name="Output 3 3" xfId="341" xr:uid="{B7DC13D2-2FE6-4F8B-AD28-97AD7EBDFF78}"/>
    <cellStyle name="Output 4" xfId="226" xr:uid="{3AABD9F5-D635-4367-974D-D441748C8E99}"/>
    <cellStyle name="Output 4 2" xfId="357" xr:uid="{E64C9661-24A3-43D1-9676-63E36824EFE6}"/>
    <cellStyle name="Output 4 3" xfId="39" xr:uid="{5DFF0A56-C975-4870-9749-DD6F6EF56D8C}"/>
    <cellStyle name="Pivot Table Category" xfId="229" xr:uid="{026602ED-7542-409A-9EAE-A1915B7247AF}"/>
    <cellStyle name="Pivot Table Category 2" xfId="230" xr:uid="{60CA0DE2-2F96-4669-8C3F-0561754EADAB}"/>
    <cellStyle name="Pivot Table Corner" xfId="231" xr:uid="{E876642F-97E3-4606-AA1B-0131D7F45CA5}"/>
    <cellStyle name="Pivot Table Corner 2" xfId="232" xr:uid="{2EA3886E-9C27-4066-BB48-4994D17E4FB3}"/>
    <cellStyle name="Pivot Table Field" xfId="233" xr:uid="{BEC62C58-5576-441E-BCCA-83373AF4E749}"/>
    <cellStyle name="Pivot Table Field 2" xfId="234" xr:uid="{CFAB615A-59C5-4F0B-BFA6-3534B4A1646C}"/>
    <cellStyle name="Pivot Table Result" xfId="235" xr:uid="{9B1FE88E-C462-4E7F-A20D-2F8452A60FBF}"/>
    <cellStyle name="Pivot Table Result 2" xfId="236" xr:uid="{F23505FF-B16E-40FA-A2C4-5D3BA45C2237}"/>
    <cellStyle name="Pivot Table Title" xfId="237" xr:uid="{6616711E-691E-4398-AA5A-D707F3AB86E3}"/>
    <cellStyle name="Pivot Table Title 2" xfId="238" xr:uid="{9B4FC203-F206-4D79-AD44-7607118A5FF5}"/>
    <cellStyle name="Pivot Table Value" xfId="239" xr:uid="{A1A6A070-F556-4050-98F5-4AEB68ACF0D0}"/>
    <cellStyle name="Pivot Table Value 2" xfId="240" xr:uid="{0A58906F-EF20-44E1-A3DA-8331254046BB}"/>
    <cellStyle name="Style 1" xfId="262" xr:uid="{DD8C64B4-4673-4B4E-8ABA-BDE3EDE8089A}"/>
    <cellStyle name="Style 1 2" xfId="335" xr:uid="{C4FB55D6-0703-452F-9254-C3BA9F6E3752}"/>
    <cellStyle name="Style 2" xfId="37" xr:uid="{C0D80B7B-A43C-4804-8C5D-DE959AEF4471}"/>
    <cellStyle name="Title" xfId="2" builtinId="15" customBuiltin="1"/>
    <cellStyle name="Title 2" xfId="242" xr:uid="{C8F50908-A7D8-44C4-84B6-750A9B5A88F4}"/>
    <cellStyle name="Title 2 2" xfId="267" xr:uid="{68A3ABE8-304D-4222-AC19-0A59580CF0F9}"/>
    <cellStyle name="Title 3" xfId="243" xr:uid="{9F540392-3E35-4EDD-BB6B-8C8507F7D7BC}"/>
    <cellStyle name="Title 4" xfId="241" xr:uid="{7F0E700D-7EDC-472C-A13C-C7F25D5D95D5}"/>
    <cellStyle name="Title 5" xfId="289" xr:uid="{D0A061BD-5F98-46BB-990D-8C3299C50F05}"/>
    <cellStyle name="Title 6" xfId="47" xr:uid="{9B0C63E6-FF2D-4D0D-8234-3DF005F1A6DB}"/>
    <cellStyle name="Total" xfId="17" builtinId="25" customBuiltin="1"/>
    <cellStyle name="Total 2" xfId="245" xr:uid="{875B13E7-59E5-4C34-AACC-64211E6D1792}"/>
    <cellStyle name="Total 2 2" xfId="361" xr:uid="{1953DEB4-2055-4E82-A236-A96B4FF1B2AB}"/>
    <cellStyle name="Total 2 3" xfId="338" xr:uid="{9F5D0A1E-0BB3-4531-BAF2-54DAB92B7FEA}"/>
    <cellStyle name="Total 3" xfId="246" xr:uid="{F336FC40-5FAB-4E7B-8F79-7B24A1834DA5}"/>
    <cellStyle name="Total 3 2" xfId="362" xr:uid="{7037A110-97DD-4CE1-8BE1-5A41937FABDD}"/>
    <cellStyle name="Total 3 3" xfId="339" xr:uid="{2EC2046D-76EC-47CC-8743-B43A16D43D06}"/>
    <cellStyle name="Total 4" xfId="244" xr:uid="{77879B45-A857-4697-93C4-A812B7779D45}"/>
    <cellStyle name="Total 4 2" xfId="360" xr:uid="{8DC8A3A6-F992-4B35-ABCC-F703E410AD52}"/>
    <cellStyle name="Total 4 3" xfId="336" xr:uid="{0DC636C3-CCAB-4F2E-B366-DC19531EE176}"/>
    <cellStyle name="Warning Text" xfId="14" builtinId="11" customBuiltin="1"/>
    <cellStyle name="Warning Text 2" xfId="248" xr:uid="{1B741003-FB9A-4D97-8ED2-2CC4D253DAF7}"/>
    <cellStyle name="Warning Text 3" xfId="249" xr:uid="{A3E4C8FD-C93A-4E85-84CC-A564816F0596}"/>
    <cellStyle name="Warning Text 4" xfId="247" xr:uid="{0C353797-80FC-40A3-A5E4-D1FAD0B1094B}"/>
    <cellStyle name="Обычный_Лист1" xfId="297" xr:uid="{EC852860-3C40-40E3-80EF-4506F8C1F084}"/>
    <cellStyle name="표준_MEDICA 2008 전시품 선적안내서" xfId="306" xr:uid="{689408AF-533D-4AB9-94F9-A12A5E633D21}"/>
    <cellStyle name="常规_沙特货运清单" xfId="304" xr:uid="{481662AE-F58B-4B7F-B3EB-1ED8361C296B}"/>
  </cellStyles>
  <dxfs count="1"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Onnsynex%20Ledger%206799%20&amp;%206788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4.482909143517" createdVersion="8" refreshedVersion="8" minRefreshableVersion="3" recordCount="219" xr:uid="{2393E1BB-B7A1-4C7C-AD78-E5A82F9E6320}">
  <cacheSource type="worksheet">
    <worksheetSource ref="A1:AG220" sheet="Sheet1" r:id="rId2"/>
  </cacheSource>
  <cacheFields count="39">
    <cacheField name="Cleared Item" numFmtId="0">
      <sharedItems/>
    </cacheField>
    <cacheField name="Company Code" numFmtId="0">
      <sharedItems containsSemiMixedTypes="0" containsString="0" containsNumber="1" containsInteger="1" minValue="6779" maxValue="6788"/>
    </cacheField>
    <cacheField name="Customer" numFmtId="0">
      <sharedItems containsSemiMixedTypes="0" containsString="0" containsNumber="1" containsInteger="1" minValue="100222362" maxValue="100222362"/>
    </cacheField>
    <cacheField name="Customer Account: Name 1" numFmtId="0">
      <sharedItems/>
    </cacheField>
    <cacheField name="Fiscal Year" numFmtId="0">
      <sharedItems/>
    </cacheField>
    <cacheField name="Posting period" numFmtId="0">
      <sharedItems/>
    </cacheField>
    <cacheField name="Posting Date" numFmtId="14">
      <sharedItems containsSemiMixedTypes="0" containsNonDate="0" containsDate="1" containsString="0" minDate="2025-02-13T00:00:00" maxDate="2026-01-20T00:00:00" count="59">
        <d v="2025-04-11T00:00:00"/>
        <d v="2025-02-17T00:00:00"/>
        <d v="2025-08-20T00:00:00"/>
        <d v="2025-10-01T00:00:00"/>
        <d v="2025-10-29T00:00:00"/>
        <d v="2025-02-13T00:00:00"/>
        <d v="2025-03-28T00:00:00"/>
        <d v="2025-04-01T00:00:00"/>
        <d v="2025-11-15T00:00:00"/>
        <d v="2025-09-04T00:00:00"/>
        <d v="2025-04-04T00:00:00"/>
        <d v="2025-03-06T00:00:00"/>
        <d v="2025-03-03T00:00:00"/>
        <d v="2025-08-01T00:00:00"/>
        <d v="2025-06-10T00:00:00"/>
        <d v="2025-09-17T00:00:00"/>
        <d v="2025-05-08T00:00:00"/>
        <d v="2025-10-17T00:00:00"/>
        <d v="2025-04-16T00:00:00"/>
        <d v="2025-07-09T00:00:00"/>
        <d v="2025-07-04T00:00:00"/>
        <d v="2025-11-05T00:00:00"/>
        <d v="2025-08-08T00:00:00"/>
        <d v="2025-06-04T00:00:00"/>
        <d v="2025-05-16T00:00:00"/>
        <d v="2025-05-28T00:00:00"/>
        <d v="2025-07-18T00:00:00"/>
        <d v="2025-03-13T00:00:00"/>
        <d v="2025-03-20T00:00:00"/>
        <d v="2025-02-20T00:00:00"/>
        <d v="2025-02-19T00:00:00"/>
        <d v="2025-09-23T00:00:00"/>
        <d v="2025-11-12T00:00:00"/>
        <d v="2025-06-13T00:00:00"/>
        <d v="2025-05-20T00:00:00"/>
        <d v="2025-04-03T00:00:00"/>
        <d v="2025-10-20T00:00:00"/>
        <d v="2025-04-02T00:00:00"/>
        <d v="2025-12-04T00:00:00"/>
        <d v="2025-03-18T00:00:00"/>
        <d v="2025-03-19T00:00:00"/>
        <d v="2025-09-24T00:00:00"/>
        <d v="2025-11-20T00:00:00"/>
        <d v="2025-04-22T00:00:00"/>
        <d v="2025-09-18T00:00:00"/>
        <d v="2025-12-05T00:00:00"/>
        <d v="2025-02-21T00:00:00"/>
        <d v="2025-10-07T00:00:00"/>
        <d v="2025-07-19T00:00:00"/>
        <d v="2025-05-10T00:00:00"/>
        <d v="2025-10-18T00:00:00"/>
        <d v="2025-06-07T00:00:00"/>
        <d v="2025-10-06T00:00:00"/>
        <d v="2025-10-05T00:00:00"/>
        <d v="2025-09-06T00:00:00"/>
        <d v="2026-01-05T00:00:00"/>
        <d v="2026-01-12T00:00:00"/>
        <d v="2026-01-06T00:00:00"/>
        <d v="2026-01-19T00:00:00"/>
      </sharedItems>
      <fieldGroup par="35"/>
    </cacheField>
    <cacheField name="Document Number" numFmtId="0">
      <sharedItems containsSemiMixedTypes="0" containsString="0" containsNumber="1" containsInteger="1" minValue="1400000001" maxValue="7000000131"/>
    </cacheField>
    <cacheField name="Document Type" numFmtId="0">
      <sharedItems count="6">
        <s v="DA"/>
        <s v="DY"/>
        <s v="DZ"/>
        <s v="XC"/>
        <s v="DR"/>
        <s v="DG"/>
      </sharedItems>
    </cacheField>
    <cacheField name="Document Date" numFmtId="14">
      <sharedItems containsSemiMixedTypes="0" containsNonDate="0" containsDate="1" containsString="0" minDate="2025-02-13T00:00:00" maxDate="2026-01-20T00:00:00" count="58">
        <d v="2025-04-11T00:00:00"/>
        <d v="2025-02-17T00:00:00"/>
        <d v="2025-08-20T00:00:00"/>
        <d v="2025-10-01T00:00:00"/>
        <d v="2025-10-29T00:00:00"/>
        <d v="2025-02-13T00:00:00"/>
        <d v="2025-03-27T00:00:00"/>
        <d v="2025-11-15T00:00:00"/>
        <d v="2025-09-04T00:00:00"/>
        <d v="2025-04-04T00:00:00"/>
        <d v="2025-03-06T00:00:00"/>
        <d v="2025-03-03T00:00:00"/>
        <d v="2025-08-01T00:00:00"/>
        <d v="2025-06-10T00:00:00"/>
        <d v="2025-09-17T00:00:00"/>
        <d v="2025-05-08T00:00:00"/>
        <d v="2025-10-17T00:00:00"/>
        <d v="2025-04-16T00:00:00"/>
        <d v="2025-07-09T00:00:00"/>
        <d v="2025-07-04T00:00:00"/>
        <d v="2025-11-05T00:00:00"/>
        <d v="2025-08-08T00:00:00"/>
        <d v="2025-06-04T00:00:00"/>
        <d v="2025-05-16T00:00:00"/>
        <d v="2025-05-28T00:00:00"/>
        <d v="2025-07-18T00:00:00"/>
        <d v="2025-03-13T00:00:00"/>
        <d v="2025-03-20T00:00:00"/>
        <d v="2025-02-20T00:00:00"/>
        <d v="2025-02-19T00:00:00"/>
        <d v="2025-09-23T00:00:00"/>
        <d v="2025-11-12T00:00:00"/>
        <d v="2025-06-13T00:00:00"/>
        <d v="2025-05-20T00:00:00"/>
        <d v="2025-04-03T00:00:00"/>
        <d v="2025-10-20T00:00:00"/>
        <d v="2025-04-02T00:00:00"/>
        <d v="2025-12-04T00:00:00"/>
        <d v="2025-03-18T00:00:00"/>
        <d v="2025-03-19T00:00:00"/>
        <d v="2025-09-24T00:00:00"/>
        <d v="2025-11-20T00:00:00"/>
        <d v="2025-04-22T00:00:00"/>
        <d v="2025-09-18T00:00:00"/>
        <d v="2025-12-05T00:00:00"/>
        <d v="2025-02-21T00:00:00"/>
        <d v="2025-10-07T00:00:00"/>
        <d v="2025-07-19T00:00:00"/>
        <d v="2025-05-10T00:00:00"/>
        <d v="2025-10-18T00:00:00"/>
        <d v="2025-06-07T00:00:00"/>
        <d v="2025-10-06T00:00:00"/>
        <d v="2025-10-05T00:00:00"/>
        <d v="2025-09-06T00:00:00"/>
        <d v="2026-01-05T00:00:00"/>
        <d v="2026-01-12T00:00:00"/>
        <d v="2026-01-06T00:00:00"/>
        <d v="2026-01-19T00:00:00"/>
      </sharedItems>
      <fieldGroup par="38"/>
    </cacheField>
    <cacheField name="Entry Date" numFmtId="14">
      <sharedItems containsSemiMixedTypes="0" containsNonDate="0" containsDate="1" containsString="0" minDate="2025-02-13T00:00:00" maxDate="2026-01-22T00:00:00"/>
    </cacheField>
    <cacheField name="Document Header Text" numFmtId="0">
      <sharedItems/>
    </cacheField>
    <cacheField name="Invoice No" numFmtId="0">
      <sharedItems containsMixedTypes="1" containsNumber="1" containsInteger="1" minValue="246779414916" maxValue="256788420150"/>
    </cacheField>
    <cacheField name="G/L Account" numFmtId="0">
      <sharedItems/>
    </cacheField>
    <cacheField name="G/L Account: Short Text" numFmtId="0">
      <sharedItems/>
    </cacheField>
    <cacheField name="Special G/L Ind." numFmtId="0">
      <sharedItems/>
    </cacheField>
    <cacheField name="Posting Key" numFmtId="0">
      <sharedItems/>
    </cacheField>
    <cacheField name="Document Currency Key" numFmtId="0">
      <sharedItems/>
    </cacheField>
    <cacheField name="Document Currency Value" numFmtId="4">
      <sharedItems containsSemiMixedTypes="0" containsString="0" containsNumber="1" minValue="-5000000" maxValue="11976.87"/>
    </cacheField>
    <cacheField name="Company Code Currency Key" numFmtId="0">
      <sharedItems/>
    </cacheField>
    <cacheField name="Company Code Currency Value" numFmtId="4">
      <sharedItems containsSemiMixedTypes="0" containsString="0" containsNumber="1" minValue="-5000000" maxValue="1030371.56"/>
    </cacheField>
    <cacheField name="Tax Code" numFmtId="0">
      <sharedItems/>
    </cacheField>
    <cacheField name="Profit Center" numFmtId="0">
      <sharedItems/>
    </cacheField>
    <cacheField name="Trading Partner No." numFmtId="0">
      <sharedItems/>
    </cacheField>
    <cacheField name="Assignment" numFmtId="0">
      <sharedItems/>
    </cacheField>
    <cacheField name="Item" numFmtId="0">
      <sharedItems/>
    </cacheField>
    <cacheField name="Text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Baseline Payment Dte" numFmtId="14">
      <sharedItems containsSemiMixedTypes="0" containsNonDate="0" containsDate="1" containsString="0" minDate="2025-02-13T00:00:00" maxDate="2026-01-20T00:00:00"/>
    </cacheField>
    <cacheField name="Clearing Date" numFmtId="14">
      <sharedItems containsNonDate="0" containsDate="1" containsString="0" containsBlank="1" minDate="2025-02-19T00:00:00" maxDate="2025-11-16T00:00:00"/>
    </cacheField>
    <cacheField name="Clearing Document" numFmtId="0">
      <sharedItems/>
    </cacheField>
    <cacheField name="Months (Posting Date)" numFmtId="0" databaseField="0">
      <fieldGroup base="6">
        <rangePr groupBy="months" startDate="2025-02-13T00:00:00" endDate="2026-01-20T00:00:00"/>
        <groupItems count="14">
          <s v="&lt;13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1-2026"/>
        </groupItems>
      </fieldGroup>
    </cacheField>
    <cacheField name="Quarters (Posting Date)" numFmtId="0" databaseField="0">
      <fieldGroup base="6">
        <rangePr groupBy="quarters" startDate="2025-02-13T00:00:00" endDate="2026-01-20T00:00:00"/>
        <groupItems count="6">
          <s v="&lt;13-02-2025"/>
          <s v="Qtr1"/>
          <s v="Qtr2"/>
          <s v="Qtr3"/>
          <s v="Qtr4"/>
          <s v="&gt;20-01-2026"/>
        </groupItems>
      </fieldGroup>
    </cacheField>
    <cacheField name="Years (Posting Date)" numFmtId="0" databaseField="0">
      <fieldGroup base="6">
        <rangePr groupBy="years" startDate="2025-02-13T00:00:00" endDate="2026-01-20T00:00:00"/>
        <groupItems count="4">
          <s v="&lt;13-02-2025"/>
          <s v="2025"/>
          <s v="2026"/>
          <s v="&gt;20-01-2026"/>
        </groupItems>
      </fieldGroup>
    </cacheField>
    <cacheField name="Months (Document Date)" numFmtId="0" databaseField="0">
      <fieldGroup base="9">
        <rangePr groupBy="months" startDate="2025-02-13T00:00:00" endDate="2026-01-20T00:00:00"/>
        <groupItems count="14">
          <s v="&lt;13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1-2026"/>
        </groupItems>
      </fieldGroup>
    </cacheField>
    <cacheField name="Quarters (Document Date)" numFmtId="0" databaseField="0">
      <fieldGroup base="9">
        <rangePr groupBy="quarters" startDate="2025-02-13T00:00:00" endDate="2026-01-20T00:00:00"/>
        <groupItems count="6">
          <s v="&lt;13-02-2025"/>
          <s v="Qtr1"/>
          <s v="Qtr2"/>
          <s v="Qtr3"/>
          <s v="Qtr4"/>
          <s v="&gt;20-01-2026"/>
        </groupItems>
      </fieldGroup>
    </cacheField>
    <cacheField name="Years (Document Date)" numFmtId="0" databaseField="0">
      <fieldGroup base="9">
        <rangePr groupBy="years" startDate="2025-02-13T00:00:00" endDate="2026-01-20T00:00:00"/>
        <groupItems count="4">
          <s v="&lt;13-02-2025"/>
          <s v="2025"/>
          <s v="2026"/>
          <s v="&gt;20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4.682863773145" createdVersion="8" refreshedVersion="8" minRefreshableVersion="3" recordCount="67" xr:uid="{7391ACD9-59E0-4D10-B119-4C74D275B653}">
  <cacheSource type="worksheet">
    <worksheetSource ref="A1:E68" sheet="26AS"/>
  </cacheSource>
  <cacheFields count="5">
    <cacheField name="Financial Year" numFmtId="0">
      <sharedItems count="3">
        <s v="FY 2024-25"/>
        <s v="FY 2025-26"/>
        <s v="2025-26" u="1"/>
      </sharedItems>
    </cacheField>
    <cacheField name="Section" numFmtId="0">
      <sharedItems count="2">
        <s v="194I(b)"/>
        <s v="194C"/>
      </sharedItems>
    </cacheField>
    <cacheField name="Date" numFmtId="15">
      <sharedItems containsSemiMixedTypes="0" containsNonDate="0" containsDate="1" containsString="0" minDate="2025-03-01T00:00:00" maxDate="2025-09-07T00:00:00"/>
    </cacheField>
    <cacheField name="Amount Paid / Credited(Rs.)" numFmtId="0">
      <sharedItems containsSemiMixedTypes="0" containsString="0" containsNumber="1" minValue="187.5" maxValue="995197"/>
    </cacheField>
    <cacheField name="Tax Deducted(Rs.)" numFmtId="0">
      <sharedItems containsSemiMixedTypes="0" containsString="0" containsNumber="1" containsInteger="1" minValue="4" maxValue="995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4.738085648147" createdVersion="8" refreshedVersion="8" minRefreshableVersion="3" recordCount="32" xr:uid="{FE7631CB-E3D4-4249-85B1-B384A921F4DF}">
  <cacheSource type="worksheet">
    <worksheetSource ref="N24:R56" sheet="Bilings from MIS"/>
  </cacheSource>
  <cacheFields count="4">
    <cacheField name="Month" numFmtId="14">
      <sharedItems containsNonDate="0" containsDate="1" containsMixedTypes="1" minDate="2024-08-01T00:00:00" maxDate="2025-11-02T00:00:00" count="28"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s v="Aug" u="1"/>
        <s v="Sept" u="1"/>
        <s v="Oct" u="1"/>
        <s v="Nov" u="1"/>
        <s v="Dec" u="1"/>
        <s v="Jan" u="1"/>
        <s v="Feb" u="1"/>
        <s v="March" u="1"/>
        <s v="April" u="1"/>
        <s v="May" u="1"/>
        <s v="June" u="1"/>
        <s v="July" u="1"/>
      </sharedItems>
    </cacheField>
    <cacheField name="USD" numFmtId="0">
      <sharedItems containsString="0" containsBlank="1" containsNumber="1" minValue="2.25" maxValue="102"/>
    </cacheField>
    <cacheField name="INR" numFmtId="164">
      <sharedItems containsString="0" containsBlank="1" containsNumber="1" containsInteger="1" minValue="200" maxValue="89710"/>
    </cacheField>
    <cacheField name="EX Ra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4.750952430557" createdVersion="8" refreshedVersion="8" minRefreshableVersion="3" recordCount="32" xr:uid="{841DFDB4-53E4-4D97-9EDB-193A15E5D8C4}">
  <cacheSource type="worksheet">
    <worksheetSource ref="A24:E56" sheet="Bilings from MIS"/>
  </cacheSource>
  <cacheFields count="8">
    <cacheField name="Month" numFmtId="14">
      <sharedItems containsSemiMixedTypes="0" containsNonDate="0" containsDate="1" containsString="0" minDate="2024-08-01T00:00:00" maxDate="2025-11-02T00:00:00" count="16"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</sharedItems>
      <fieldGroup par="7"/>
    </cacheField>
    <cacheField name="Type" numFmtId="164">
      <sharedItems/>
    </cacheField>
    <cacheField name="USD" numFmtId="0">
      <sharedItems containsSemiMixedTypes="0" containsString="0" containsNumber="1" minValue="75" maxValue="11976.87"/>
    </cacheField>
    <cacheField name="INR" numFmtId="164">
      <sharedItems containsSemiMixedTypes="0" containsString="0" containsNumber="1" minValue="6394.5" maxValue="1048574.9685000001"/>
    </cacheField>
    <cacheField name="EX Rate" numFmtId="0">
      <sharedItems containsSemiMixedTypes="0" containsString="0" containsNumber="1" minValue="85.26" maxValue="89.46"/>
    </cacheField>
    <cacheField name="Months (Month)" numFmtId="0" databaseField="0">
      <fieldGroup base="0">
        <rangePr groupBy="months" startDate="2024-08-01T00:00:00" endDate="2025-11-02T00:00:00"/>
        <groupItems count="14">
          <s v="&lt;01-08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1-2025"/>
        </groupItems>
      </fieldGroup>
    </cacheField>
    <cacheField name="Quarters (Month)" numFmtId="0" databaseField="0">
      <fieldGroup base="0">
        <rangePr groupBy="quarters" startDate="2024-08-01T00:00:00" endDate="2025-11-02T00:00:00"/>
        <groupItems count="6">
          <s v="&lt;01-08-2024"/>
          <s v="Qtr1"/>
          <s v="Qtr2"/>
          <s v="Qtr3"/>
          <s v="Qtr4"/>
          <s v="&gt;02-11-2025"/>
        </groupItems>
      </fieldGroup>
    </cacheField>
    <cacheField name="Years (Month)" numFmtId="0" databaseField="0">
      <fieldGroup base="0">
        <rangePr groupBy="years" startDate="2024-08-01T00:00:00" endDate="2025-11-02T00:00:00"/>
        <groupItems count="4">
          <s v="&lt;01-08-2024"/>
          <s v="2024"/>
          <s v="2025"/>
          <s v="&gt;02-1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s v="Selected"/>
    <n v="6788"/>
    <n v="100222362"/>
    <s v="ONNSYNEX VENTURES PRIVATE LIMITED"/>
    <s v="2025"/>
    <s v="4"/>
    <x v="0"/>
    <n v="1600000012"/>
    <x v="0"/>
    <x v="0"/>
    <d v="2025-04-11T00:00:00"/>
    <s v=""/>
    <s v=""/>
    <s v="212100"/>
    <s v="Trade Debtors (Ctrl)"/>
    <s v=""/>
    <s v="07"/>
    <s v="INR"/>
    <n v="1"/>
    <s v="INR"/>
    <n v="1"/>
    <s v=""/>
    <s v="6788224500"/>
    <s v=""/>
    <s v=""/>
    <s v="1"/>
    <s v="Overpayment"/>
    <s v=""/>
    <s v=""/>
    <s v=""/>
    <d v="2025-04-11T00:00:00"/>
    <d v="2025-04-11T00:00:00"/>
    <s v="1600000012"/>
  </r>
  <r>
    <s v="Selected"/>
    <n v="6788"/>
    <n v="100222362"/>
    <s v="ONNSYNEX VENTURES PRIVATE LIMITED"/>
    <s v="2025"/>
    <s v="4"/>
    <x v="0"/>
    <n v="1600000012"/>
    <x v="0"/>
    <x v="0"/>
    <d v="2025-04-11T00:00:00"/>
    <s v=""/>
    <s v=""/>
    <s v="212100"/>
    <s v="Trade Debtors (Ctrl)"/>
    <s v=""/>
    <s v="17"/>
    <s v="INR"/>
    <n v="-1"/>
    <s v="INR"/>
    <n v="-1"/>
    <s v=""/>
    <s v="6788224500"/>
    <s v=""/>
    <s v=""/>
    <s v="2"/>
    <s v="Overpayment"/>
    <s v=""/>
    <s v=""/>
    <s v=""/>
    <d v="2025-04-11T00:00:00"/>
    <d v="2025-04-11T00:00:00"/>
    <s v="1600000012"/>
  </r>
  <r>
    <s v="Selected"/>
    <n v="6788"/>
    <n v="100222362"/>
    <s v="ONNSYNEX VENTURES PRIVATE LIMITED"/>
    <s v="2025"/>
    <s v="2"/>
    <x v="1"/>
    <n v="1400000001"/>
    <x v="1"/>
    <x v="1"/>
    <d v="2025-02-19T00:00:00"/>
    <s v="Na"/>
    <s v=""/>
    <s v="212100"/>
    <s v="Trade Debtors (Ctrl)"/>
    <s v=""/>
    <s v="08"/>
    <s v="USD"/>
    <n v="75"/>
    <s v="INR"/>
    <n v="6472.77"/>
    <s v=""/>
    <s v="6788224500"/>
    <s v=""/>
    <s v=""/>
    <s v="1"/>
    <s v=""/>
    <s v=""/>
    <s v=""/>
    <s v=""/>
    <d v="2025-02-17T00:00:00"/>
    <d v="2025-02-19T00:00:00"/>
    <s v="1400000001"/>
  </r>
  <r>
    <s v="Selected"/>
    <n v="6788"/>
    <n v="100222362"/>
    <s v="ONNSYNEX VENTURES PRIVATE LIMITED"/>
    <s v="2025"/>
    <s v="2"/>
    <x v="1"/>
    <n v="1400000001"/>
    <x v="1"/>
    <x v="1"/>
    <d v="2025-02-19T00:00:00"/>
    <s v="Na"/>
    <s v=""/>
    <s v="212100"/>
    <s v="Trade Debtors (Ctrl)"/>
    <s v=""/>
    <s v="15"/>
    <s v="USD"/>
    <n v="-75"/>
    <s v="INR"/>
    <n v="-6472.77"/>
    <s v=""/>
    <s v="6788224500"/>
    <s v=""/>
    <s v=""/>
    <s v="2"/>
    <s v=""/>
    <s v=""/>
    <s v=""/>
    <s v=""/>
    <d v="2025-02-17T00:00:00"/>
    <d v="2025-02-19T00:00:00"/>
    <s v="1400000001"/>
  </r>
  <r>
    <s v="Not Selected"/>
    <n v="6788"/>
    <n v="100222362"/>
    <s v="ONNSYNEX VENTURES PRIVATE LIMITED"/>
    <s v="2025"/>
    <s v="8"/>
    <x v="2"/>
    <n v="1400000026"/>
    <x v="2"/>
    <x v="2"/>
    <d v="2025-08-20T00:00:00"/>
    <s v="RBINR52025071152142380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08-20T00:00:00"/>
    <m/>
    <s v=""/>
  </r>
  <r>
    <s v="Not Selected"/>
    <n v="6788"/>
    <n v="100222362"/>
    <s v="ONNSYNEX VENTURES PRIVATE LIMITED"/>
    <s v="2025"/>
    <s v="8"/>
    <x v="2"/>
    <n v="1400000027"/>
    <x v="2"/>
    <x v="2"/>
    <d v="2025-08-20T00:00:00"/>
    <s v="RBINR52025071152144290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08-20T00:00:00"/>
    <m/>
    <s v=""/>
  </r>
  <r>
    <s v="Not Selected"/>
    <n v="6788"/>
    <n v="100222362"/>
    <s v="ONNSYNEX VENTURES PRIVATE LIMITED"/>
    <s v="2025"/>
    <s v="10"/>
    <x v="3"/>
    <n v="1400000043"/>
    <x v="2"/>
    <x v="3"/>
    <d v="2025-09-25T00:00:00"/>
    <s v="HDFCR52025091059694776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3"/>
    <n v="1400000044"/>
    <x v="2"/>
    <x v="3"/>
    <d v="2025-09-25T00:00:00"/>
    <s v="HDFCR52025091059714564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3"/>
    <n v="1400000045"/>
    <x v="2"/>
    <x v="3"/>
    <d v="2025-09-25T00:00:00"/>
    <s v="HDFCR52025091059694771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3"/>
    <n v="1400000046"/>
    <x v="2"/>
    <x v="3"/>
    <d v="2025-09-25T00:00:00"/>
    <s v="RBINR52025091011436663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4"/>
    <n v="1400000055"/>
    <x v="2"/>
    <x v="4"/>
    <d v="2025-10-29T00:00:00"/>
    <s v="FDX3H9MYLVYP"/>
    <s v=""/>
    <s v="212100"/>
    <s v="Trade Debtors (Ctrl)"/>
    <s v=""/>
    <s v="15"/>
    <s v="INR"/>
    <n v="-5000000"/>
    <s v="INR"/>
    <n v="-5000000"/>
    <s v=""/>
    <s v="6788220000"/>
    <s v=""/>
    <s v=""/>
    <s v="2"/>
    <s v=""/>
    <s v=""/>
    <s v=""/>
    <s v=""/>
    <d v="2025-10-29T00:00:00"/>
    <m/>
    <s v=""/>
  </r>
  <r>
    <s v="Selected"/>
    <n v="6788"/>
    <n v="100222362"/>
    <s v="ONNSYNEX VENTURES PRIVATE LIMITED"/>
    <s v="2025"/>
    <s v="2"/>
    <x v="5"/>
    <n v="7000000036"/>
    <x v="3"/>
    <x v="5"/>
    <d v="2025-02-13T00:00:00"/>
    <s v="6788ZP25000006"/>
    <s v="6788ZP25000006"/>
    <s v="212100"/>
    <s v="Trade Debtors (Ctrl)"/>
    <s v=""/>
    <s v="11"/>
    <s v="INR"/>
    <n v="-1"/>
    <s v="INR"/>
    <n v="-1"/>
    <s v=""/>
    <s v="6788224500"/>
    <s v=""/>
    <s v="6788ZP25000006"/>
    <s v="1"/>
    <s v="Overpayment"/>
    <s v="100222362"/>
    <s v=""/>
    <s v="100222362"/>
    <d v="2025-02-13T00:00:00"/>
    <d v="2025-04-11T00:00:00"/>
    <s v="1600000012"/>
  </r>
  <r>
    <s v="Selected"/>
    <n v="6788"/>
    <n v="100222362"/>
    <s v="ONNSYNEX VENTURES PRIVATE LIMITED"/>
    <s v="2025"/>
    <s v="3"/>
    <x v="6"/>
    <n v="7000000128"/>
    <x v="3"/>
    <x v="5"/>
    <d v="2025-03-28T00:00:00"/>
    <s v="6788ZR25000006"/>
    <s v="6788ZR25000006"/>
    <s v="212100"/>
    <s v="Trade Debtors (Ctrl)"/>
    <s v=""/>
    <s v="01"/>
    <s v="INR"/>
    <n v="1"/>
    <s v="INR"/>
    <n v="1"/>
    <s v=""/>
    <s v="6788224500"/>
    <s v=""/>
    <s v="6788ZP25000006"/>
    <s v="57"/>
    <s v="Overpayment"/>
    <s v="100222362"/>
    <s v=""/>
    <s v="100222362"/>
    <d v="2025-02-13T00:00:00"/>
    <d v="2025-04-11T00:00:00"/>
    <s v="1600000012"/>
  </r>
  <r>
    <s v="Not Selected"/>
    <n v="6788"/>
    <n v="100222362"/>
    <s v="ONNSYNEX VENTURES PRIVATE LIMITED"/>
    <s v="2025"/>
    <s v="4"/>
    <x v="7"/>
    <n v="7000000131"/>
    <x v="3"/>
    <x v="6"/>
    <d v="2025-04-02T00:00:00"/>
    <s v="6788ZP25000117"/>
    <s v="6788ZP25000117"/>
    <s v="212100"/>
    <s v="Trade Debtors (Ctrl)"/>
    <s v=""/>
    <s v="11"/>
    <s v="INR"/>
    <n v="-1500000"/>
    <s v="INR"/>
    <n v="-1500000"/>
    <s v=""/>
    <s v="6788220000"/>
    <s v=""/>
    <s v="6788ZP25000117"/>
    <s v="1"/>
    <s v="as per SME conformation parked as overpayment"/>
    <s v="100222362"/>
    <s v=""/>
    <s v="100222362"/>
    <d v="2025-03-27T00:00:00"/>
    <m/>
    <s v=""/>
  </r>
  <r>
    <s v="Selected"/>
    <n v="6788"/>
    <n v="100222362"/>
    <s v="ONNSYNEX VENTURES PRIVATE LIMITED"/>
    <s v="2025"/>
    <s v="11"/>
    <x v="8"/>
    <n v="1400000084"/>
    <x v="1"/>
    <x v="7"/>
    <d v="2025-11-15T00:00:00"/>
    <s v="Na"/>
    <s v="KNOCK OFF ENTRY"/>
    <s v="212100"/>
    <s v="Trade Debtors (Ctrl)"/>
    <s v=""/>
    <s v="08"/>
    <s v="USD"/>
    <n v="150"/>
    <s v="INR"/>
    <n v="12897.56"/>
    <s v=""/>
    <s v="6788224500"/>
    <s v=""/>
    <s v=""/>
    <s v="1"/>
    <s v=""/>
    <s v=""/>
    <s v=""/>
    <s v=""/>
    <d v="2025-11-15T00:00:00"/>
    <d v="2025-11-15T00:00:00"/>
    <s v="1400000084"/>
  </r>
  <r>
    <s v="Selected"/>
    <n v="6788"/>
    <n v="100222362"/>
    <s v="ONNSYNEX VENTURES PRIVATE LIMITED"/>
    <s v="2025"/>
    <s v="11"/>
    <x v="8"/>
    <n v="1400000084"/>
    <x v="1"/>
    <x v="7"/>
    <d v="2025-11-15T00:00:00"/>
    <s v="Na"/>
    <s v="KNOCK OFF ENTRY"/>
    <s v="212100"/>
    <s v="Trade Debtors (Ctrl)"/>
    <s v=""/>
    <s v="15"/>
    <s v="USD"/>
    <n v="-150"/>
    <s v="INR"/>
    <n v="-13038.28"/>
    <s v=""/>
    <s v="6788224500"/>
    <s v=""/>
    <s v=""/>
    <s v="2"/>
    <s v=""/>
    <s v=""/>
    <s v=""/>
    <s v=""/>
    <d v="2025-11-15T00:00:00"/>
    <d v="2025-11-15T00:00:00"/>
    <s v="1400000084"/>
  </r>
  <r>
    <s v="Not Selected"/>
    <n v="6788"/>
    <n v="100222362"/>
    <s v="ONNSYNEX VENTURES PRIVATE LIMITED"/>
    <s v="2025"/>
    <s v="8"/>
    <x v="2"/>
    <n v="1800000477"/>
    <x v="4"/>
    <x v="2"/>
    <d v="2025-08-22T00:00:00"/>
    <s v="Na"/>
    <n v="256788410349"/>
    <s v="212100"/>
    <s v="Trade Debtors (Ctrl)"/>
    <s v=""/>
    <s v="01"/>
    <s v="USD"/>
    <n v="100"/>
    <s v="INR"/>
    <n v="8603.01"/>
    <s v="O0"/>
    <s v="6788224500"/>
    <s v=""/>
    <s v="NA"/>
    <s v="1"/>
    <s v="INTRA 1-15 Aug 25"/>
    <s v=""/>
    <s v=""/>
    <s v=""/>
    <d v="2025-08-20T00:00:00"/>
    <m/>
    <s v=""/>
  </r>
  <r>
    <s v="Not Selected"/>
    <n v="6788"/>
    <n v="100222362"/>
    <s v="ONNSYNEX VENTURES PRIVATE LIMITED"/>
    <s v="2025"/>
    <s v="9"/>
    <x v="9"/>
    <n v="1800000479"/>
    <x v="4"/>
    <x v="8"/>
    <d v="2025-09-09T00:00:00"/>
    <s v="Na"/>
    <n v="256788410353"/>
    <s v="212100"/>
    <s v="Trade Debtors (Ctrl)"/>
    <s v=""/>
    <s v="01"/>
    <s v="USD"/>
    <n v="100"/>
    <s v="INR"/>
    <n v="8751.43"/>
    <s v="O0"/>
    <s v="6788224500"/>
    <s v=""/>
    <s v="NA"/>
    <s v="1"/>
    <s v="Intra 16-31 Aug 25"/>
    <s v=""/>
    <s v=""/>
    <s v=""/>
    <d v="2025-09-04T00:00:00"/>
    <m/>
    <s v=""/>
  </r>
  <r>
    <s v="Not Selected"/>
    <n v="6788"/>
    <n v="100222362"/>
    <s v="ONNSYNEX VENTURES PRIVATE LIMITED"/>
    <s v="2025"/>
    <s v="4"/>
    <x v="10"/>
    <n v="1800000152"/>
    <x v="4"/>
    <x v="9"/>
    <d v="2025-04-09T00:00:00"/>
    <s v="Na"/>
    <n v="256788410027"/>
    <s v="212100"/>
    <s v="Trade Debtors (Ctrl)"/>
    <s v=""/>
    <s v="01"/>
    <s v="USD"/>
    <n v="170"/>
    <s v="INR"/>
    <n v="14776.71"/>
    <s v="O0"/>
    <s v=""/>
    <s v=""/>
    <s v="NA"/>
    <s v="1"/>
    <s v="Transportation Inbound charges for Jan 25"/>
    <s v=""/>
    <s v=""/>
    <s v=""/>
    <d v="2025-04-08T00:00:00"/>
    <m/>
    <s v=""/>
  </r>
  <r>
    <s v="Not Selected"/>
    <n v="6788"/>
    <n v="100222362"/>
    <s v="ONNSYNEX VENTURES PRIVATE LIMITED"/>
    <s v="2025"/>
    <s v="3"/>
    <x v="11"/>
    <n v="1800000050"/>
    <x v="4"/>
    <x v="10"/>
    <d v="2025-03-06T00:00:00"/>
    <s v="Na"/>
    <n v="246788410045"/>
    <s v="212100"/>
    <s v="Trade Debtors (Ctrl)"/>
    <s v=""/>
    <s v="01"/>
    <s v="USD"/>
    <n v="841.24"/>
    <s v="INR"/>
    <n v="72928.160000000003"/>
    <s v="O0"/>
    <s v="6788224500"/>
    <s v=""/>
    <s v="NA"/>
    <s v="1"/>
    <s v="Storage Charges for the month of November 2024"/>
    <s v=""/>
    <s v=""/>
    <s v=""/>
    <d v="2025-03-06T00:00:00"/>
    <m/>
    <s v=""/>
  </r>
  <r>
    <s v="Not Selected"/>
    <n v="6788"/>
    <n v="100222362"/>
    <s v="ONNSYNEX VENTURES PRIVATE LIMITED"/>
    <s v="2025"/>
    <s v="3"/>
    <x v="11"/>
    <n v="1800000051"/>
    <x v="4"/>
    <x v="10"/>
    <d v="2025-03-06T00:00:00"/>
    <s v="Na"/>
    <n v="246788410046"/>
    <s v="212100"/>
    <s v="Trade Debtors (Ctrl)"/>
    <s v=""/>
    <s v="01"/>
    <s v="USD"/>
    <n v="4169.66"/>
    <s v="INR"/>
    <n v="361473.08"/>
    <s v="O0"/>
    <s v="6788224500"/>
    <s v=""/>
    <s v="NA"/>
    <s v="1"/>
    <s v="Storage Charges for the month of December 2024"/>
    <s v=""/>
    <s v=""/>
    <s v=""/>
    <d v="2025-03-06T00:00:00"/>
    <m/>
    <s v=""/>
  </r>
  <r>
    <s v="Not Selected"/>
    <n v="6788"/>
    <n v="100222362"/>
    <s v="ONNSYNEX VENTURES PRIVATE LIMITED"/>
    <s v="2025"/>
    <s v="3"/>
    <x v="12"/>
    <n v="1800000045"/>
    <x v="4"/>
    <x v="11"/>
    <d v="2025-03-03T00:00:00"/>
    <s v="Na"/>
    <n v="246788410039"/>
    <s v="212100"/>
    <s v="Trade Debtors (Ctrl)"/>
    <s v=""/>
    <s v="01"/>
    <s v="USD"/>
    <n v="1044.69"/>
    <s v="INR"/>
    <n v="90565.49"/>
    <s v="O0"/>
    <s v="6788224500"/>
    <s v=""/>
    <s v="NA"/>
    <s v="1"/>
    <s v="CY-CY Ground Rent charges for Oct 2024. Exchange c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6"/>
    <x v="4"/>
    <x v="11"/>
    <d v="2025-03-03T00:00:00"/>
    <s v="Na"/>
    <n v="246788410040"/>
    <s v="212100"/>
    <s v="Trade Debtors (Ctrl)"/>
    <s v=""/>
    <s v="01"/>
    <s v="USD"/>
    <n v="129.97999999999999"/>
    <s v="INR"/>
    <n v="11268.13"/>
    <s v="O0"/>
    <s v="6788224500"/>
    <s v=""/>
    <s v="NA"/>
    <s v="1"/>
    <s v="CY-CY Ground Rent charges for Dec 2024. Exchange c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7"/>
    <x v="4"/>
    <x v="11"/>
    <d v="2025-03-03T00:00:00"/>
    <s v="Na"/>
    <n v="246788410042"/>
    <s v="212100"/>
    <s v="Trade Debtors (Ctrl)"/>
    <s v=""/>
    <s v="01"/>
    <s v="USD"/>
    <n v="4421.13"/>
    <s v="INR"/>
    <n v="383273.33"/>
    <s v="O0"/>
    <s v="6788224500"/>
    <s v=""/>
    <s v="NA"/>
    <s v="1"/>
    <s v="Storage Charges for the month of August, 2024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8"/>
    <x v="4"/>
    <x v="11"/>
    <d v="2025-03-03T00:00:00"/>
    <s v="Na"/>
    <n v="246788410043"/>
    <s v="212100"/>
    <s v="Trade Debtors (Ctrl)"/>
    <s v=""/>
    <s v="01"/>
    <s v="USD"/>
    <n v="2730.01"/>
    <s v="INR"/>
    <n v="236668.01"/>
    <s v="O0"/>
    <s v="6788224500"/>
    <s v=""/>
    <s v="NA"/>
    <s v="1"/>
    <s v="Storage Charges for the month of September, 2024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9"/>
    <x v="4"/>
    <x v="11"/>
    <d v="2025-03-03T00:00:00"/>
    <s v="Na"/>
    <n v="246788410044"/>
    <s v="212100"/>
    <s v="Trade Debtors (Ctrl)"/>
    <s v=""/>
    <s v="01"/>
    <s v="USD"/>
    <n v="474.24"/>
    <s v="INR"/>
    <n v="41112.46"/>
    <s v="O0"/>
    <s v="6788224500"/>
    <s v=""/>
    <s v="NA"/>
    <s v="1"/>
    <s v="Storage Charges for the month of October, 2024"/>
    <s v=""/>
    <s v=""/>
    <s v=""/>
    <d v="2025-03-03T00:00:00"/>
    <m/>
    <s v=""/>
  </r>
  <r>
    <s v="Not Selected"/>
    <n v="6788"/>
    <n v="100222362"/>
    <s v="ONNSYNEX VENTURES PRIVATE LIMITED"/>
    <s v="2025"/>
    <s v="8"/>
    <x v="13"/>
    <n v="1800000447"/>
    <x v="4"/>
    <x v="12"/>
    <d v="2025-08-01T00:00:00"/>
    <s v="Na"/>
    <n v="256788410322"/>
    <s v="212100"/>
    <s v="Trade Debtors (Ctrl)"/>
    <s v=""/>
    <s v="01"/>
    <s v="USD"/>
    <n v="75"/>
    <s v="INR"/>
    <n v="6452.26"/>
    <s v="O0"/>
    <s v="6788224500"/>
    <s v=""/>
    <s v="NA"/>
    <s v="1"/>
    <s v="Fixed Storage Charges for August 2025"/>
    <s v=""/>
    <s v=""/>
    <s v=""/>
    <d v="2025-08-01T00:00:00"/>
    <m/>
    <s v=""/>
  </r>
  <r>
    <s v="Not Selected"/>
    <n v="6788"/>
    <n v="100222362"/>
    <s v="ONNSYNEX VENTURES PRIVATE LIMITED"/>
    <s v="2025"/>
    <s v="6"/>
    <x v="14"/>
    <n v="1800000353"/>
    <x v="4"/>
    <x v="13"/>
    <d v="2025-06-17T00:00:00"/>
    <s v="Na"/>
    <n v="256788410228"/>
    <s v="212100"/>
    <s v="Trade Debtors (Ctrl)"/>
    <s v=""/>
    <s v="01"/>
    <s v="USD"/>
    <n v="75"/>
    <s v="INR"/>
    <n v="6411.81"/>
    <s v="O0"/>
    <s v="6788224500"/>
    <s v=""/>
    <s v="NA"/>
    <s v="1"/>
    <s v="Fixed Storage Charges fo JUNE 2025"/>
    <s v=""/>
    <s v=""/>
    <s v=""/>
    <d v="2025-06-10T00:00:00"/>
    <m/>
    <s v=""/>
  </r>
  <r>
    <s v="Not Selected"/>
    <n v="6788"/>
    <n v="100222362"/>
    <s v="ONNSYNEX VENTURES PRIVATE LIMITED"/>
    <s v="2025"/>
    <s v="9"/>
    <x v="15"/>
    <n v="1800000504"/>
    <x v="4"/>
    <x v="14"/>
    <d v="2025-09-24T00:00:00"/>
    <s v="Na"/>
    <n v="256788410379"/>
    <s v="212100"/>
    <s v="Trade Debtors (Ctrl)"/>
    <s v=""/>
    <s v="01"/>
    <s v="USD"/>
    <n v="53.78"/>
    <s v="INR"/>
    <n v="4706.5200000000004"/>
    <s v="O0"/>
    <s v="6788224500"/>
    <s v=""/>
    <s v="2103775"/>
    <s v="1"/>
    <s v="VAS Activity - Feb 25, Ex Rate. 87.40"/>
    <s v=""/>
    <s v=""/>
    <s v=""/>
    <d v="2025-09-17T00:00:00"/>
    <m/>
    <s v=""/>
  </r>
  <r>
    <s v="Not Selected"/>
    <n v="6788"/>
    <n v="100222362"/>
    <s v="ONNSYNEX VENTURES PRIVATE LIMITED"/>
    <s v="2025"/>
    <s v="9"/>
    <x v="15"/>
    <n v="1800000507"/>
    <x v="4"/>
    <x v="14"/>
    <d v="2025-09-24T00:00:00"/>
    <s v="Na"/>
    <n v="256788410382"/>
    <s v="212100"/>
    <s v="Trade Debtors (Ctrl)"/>
    <s v=""/>
    <s v="01"/>
    <s v="USD"/>
    <n v="102.14"/>
    <s v="INR"/>
    <n v="8938.7099999999991"/>
    <s v="O0"/>
    <s v="6788224500"/>
    <s v=""/>
    <s v="2102526"/>
    <s v="1"/>
    <s v="VAS -1-15 Sept-25"/>
    <s v=""/>
    <s v=""/>
    <s v=""/>
    <d v="2025-09-17T00:00:00"/>
    <m/>
    <s v=""/>
  </r>
  <r>
    <s v="Not Selected"/>
    <n v="6788"/>
    <n v="100222362"/>
    <s v="ONNSYNEX VENTURES PRIVATE LIMITED"/>
    <s v="2025"/>
    <s v="5"/>
    <x v="16"/>
    <n v="1800000341"/>
    <x v="4"/>
    <x v="15"/>
    <d v="2025-05-23T00:00:00"/>
    <s v="Na"/>
    <n v="256788410216"/>
    <s v="212100"/>
    <s v="Trade Debtors (Ctrl)"/>
    <s v=""/>
    <s v="01"/>
    <s v="USD"/>
    <n v="8.4499999999999993"/>
    <s v="INR"/>
    <n v="726.56"/>
    <s v="O0"/>
    <s v="6788224500"/>
    <s v=""/>
    <s v="NA"/>
    <s v="1"/>
    <s v="Inbound chgs - 01 - 15 Apr 25"/>
    <s v=""/>
    <s v=""/>
    <s v=""/>
    <d v="2025-05-08T00:00:00"/>
    <m/>
    <s v=""/>
  </r>
  <r>
    <s v="Not Selected"/>
    <n v="6788"/>
    <n v="100222362"/>
    <s v="ONNSYNEX VENTURES PRIVATE LIMITED"/>
    <s v="2025"/>
    <s v="5"/>
    <x v="16"/>
    <n v="1800000342"/>
    <x v="4"/>
    <x v="15"/>
    <d v="2025-05-23T00:00:00"/>
    <s v="Na"/>
    <n v="256788410217"/>
    <s v="212100"/>
    <s v="Trade Debtors (Ctrl)"/>
    <s v=""/>
    <s v="01"/>
    <s v="USD"/>
    <n v="37.659999999999997"/>
    <s v="INR"/>
    <n v="3238.15"/>
    <s v="O0"/>
    <s v="6788224500"/>
    <s v=""/>
    <s v="NA"/>
    <s v="1"/>
    <s v="Outbound chgs - 01 - 15 Apr 25"/>
    <s v=""/>
    <s v=""/>
    <s v=""/>
    <d v="2025-05-08T00:00:00"/>
    <m/>
    <s v=""/>
  </r>
  <r>
    <s v="Not Selected"/>
    <n v="6788"/>
    <n v="100222362"/>
    <s v="ONNSYNEX VENTURES PRIVATE LIMITED"/>
    <s v="2025"/>
    <s v="5"/>
    <x v="16"/>
    <n v="1800000343"/>
    <x v="4"/>
    <x v="15"/>
    <d v="2025-05-23T00:00:00"/>
    <s v="Na"/>
    <n v="256788410218"/>
    <s v="212100"/>
    <s v="Trade Debtors (Ctrl)"/>
    <s v=""/>
    <s v="01"/>
    <s v="USD"/>
    <n v="13.18"/>
    <s v="INR"/>
    <n v="1133.27"/>
    <s v="O0"/>
    <s v="6788224500"/>
    <s v=""/>
    <s v="NA"/>
    <s v="1"/>
    <s v="Outbound chgs - 16 - 30 Apr 25"/>
    <s v=""/>
    <s v=""/>
    <s v=""/>
    <d v="2025-05-08T00:00:00"/>
    <m/>
    <s v=""/>
  </r>
  <r>
    <s v="Selected"/>
    <n v="6788"/>
    <n v="100222362"/>
    <s v="ONNSYNEX VENTURES PRIVATE LIMITED"/>
    <s v="2025"/>
    <s v="10"/>
    <x v="17"/>
    <n v="1600000261"/>
    <x v="5"/>
    <x v="16"/>
    <d v="2025-10-23T00:00:00"/>
    <s v="Na"/>
    <n v="256788420141"/>
    <s v="212100"/>
    <s v="Trade Debtors (Ctrl)"/>
    <s v=""/>
    <s v="11"/>
    <s v="USD"/>
    <n v="-1211.9000000000001"/>
    <s v="INR"/>
    <n v="-106878.39"/>
    <s v="O0"/>
    <s v="6788224500"/>
    <s v=""/>
    <s v="2117487"/>
    <s v="1"/>
    <s v="Credit note raised against 256788410417"/>
    <s v=""/>
    <s v=""/>
    <s v=""/>
    <d v="2025-10-17T00:00:00"/>
    <d v="2025-11-15T00:00:00"/>
    <s v="1400000084"/>
  </r>
  <r>
    <s v="Selected"/>
    <n v="6788"/>
    <n v="100222362"/>
    <s v="ONNSYNEX VENTURES PRIVATE LIMITED"/>
    <s v="2025"/>
    <s v="10"/>
    <x v="17"/>
    <n v="1600000262"/>
    <x v="5"/>
    <x v="16"/>
    <d v="2025-10-23T00:00:00"/>
    <s v="Na"/>
    <n v="256788420142"/>
    <s v="212100"/>
    <s v="Trade Debtors (Ctrl)"/>
    <s v=""/>
    <s v="11"/>
    <s v="USD"/>
    <n v="-40"/>
    <s v="INR"/>
    <n v="-3527.63"/>
    <s v="O0"/>
    <s v="6788224500"/>
    <s v=""/>
    <s v="2117487"/>
    <s v="1"/>
    <s v="Credit note raised against 256788410418"/>
    <s v=""/>
    <s v=""/>
    <s v=""/>
    <d v="2025-10-17T00:00:00"/>
    <d v="2025-11-15T00:00:00"/>
    <s v="1400000084"/>
  </r>
  <r>
    <s v="Selected"/>
    <n v="6788"/>
    <n v="100222362"/>
    <s v="ONNSYNEX VENTURES PRIVATE LIMITED"/>
    <s v="2025"/>
    <s v="10"/>
    <x v="17"/>
    <n v="1600000263"/>
    <x v="5"/>
    <x v="16"/>
    <d v="2025-10-23T00:00:00"/>
    <s v="Na"/>
    <n v="256788420143"/>
    <s v="212100"/>
    <s v="Trade Debtors (Ctrl)"/>
    <s v=""/>
    <s v="11"/>
    <s v="USD"/>
    <n v="-11.26"/>
    <s v="INR"/>
    <n v="-993.03"/>
    <s v="O0"/>
    <s v="6788224500"/>
    <s v=""/>
    <s v="2117487"/>
    <s v="1"/>
    <s v="Credit note raised against 256788410419"/>
    <s v=""/>
    <s v=""/>
    <s v=""/>
    <d v="2025-10-17T00:00:00"/>
    <d v="2025-11-15T00:00:00"/>
    <s v="1400000084"/>
  </r>
  <r>
    <s v="Not Selected"/>
    <n v="6779"/>
    <n v="100222362"/>
    <s v="ONNSYNEX VENTURES PRIVATE LIMITED"/>
    <s v="2025"/>
    <s v="4"/>
    <x v="18"/>
    <n v="1800007124"/>
    <x v="4"/>
    <x v="17"/>
    <d v="2025-04-17T00:00:00"/>
    <s v="Na"/>
    <n v="256779412015"/>
    <s v="212100"/>
    <s v="Trade Debtors (Ctrl)"/>
    <s v=""/>
    <s v="01"/>
    <s v="USD"/>
    <n v="86.56"/>
    <s v="INR"/>
    <n v="7523.95"/>
    <s v="O0"/>
    <s v="6779224500"/>
    <s v=""/>
    <s v="NA"/>
    <s v="1"/>
    <s v="VAS Activity - Jan 25, Ex Rate. 86.64"/>
    <s v=""/>
    <s v=""/>
    <s v=""/>
    <d v="2025-04-16T00:00:00"/>
    <m/>
    <s v=""/>
  </r>
  <r>
    <s v="Not Selected"/>
    <n v="6779"/>
    <n v="100222362"/>
    <s v="ONNSYNEX VENTURES PRIVATE LIMITED"/>
    <s v="2025"/>
    <s v="4"/>
    <x v="18"/>
    <n v="1800007167"/>
    <x v="4"/>
    <x v="17"/>
    <d v="2025-04-17T00:00:00"/>
    <s v="Na"/>
    <n v="256779412058"/>
    <s v="212100"/>
    <s v="Trade Debtors (Ctrl)"/>
    <s v=""/>
    <s v="01"/>
    <s v="USD"/>
    <n v="188.84"/>
    <s v="INR"/>
    <n v="16414.32"/>
    <s v="O0"/>
    <s v="6779224500"/>
    <s v=""/>
    <s v="NA"/>
    <s v="1"/>
    <s v="VAS Activity - Feb 25, Ex Rate. 87.40"/>
    <s v=""/>
    <s v=""/>
    <s v=""/>
    <d v="2025-04-16T00:00:00"/>
    <m/>
    <s v=""/>
  </r>
  <r>
    <s v="Not Selected"/>
    <n v="6779"/>
    <n v="100222362"/>
    <s v="ONNSYNEX VENTURES PRIVATE LIMITED"/>
    <s v="2025"/>
    <s v="4"/>
    <x v="18"/>
    <n v="1800007205"/>
    <x v="4"/>
    <x v="17"/>
    <d v="2025-04-17T00:00:00"/>
    <s v="Na"/>
    <n v="256779412096"/>
    <s v="212100"/>
    <s v="Trade Debtors (Ctrl)"/>
    <s v=""/>
    <s v="01"/>
    <s v="USD"/>
    <n v="16.829999999999998"/>
    <s v="INR"/>
    <n v="1462.89"/>
    <s v="O0"/>
    <s v="6779224500"/>
    <s v=""/>
    <s v="NA"/>
    <s v="1"/>
    <s v="VAS Activity - Mar 25, 16-31, Ex Rate. 85.58"/>
    <s v=""/>
    <s v=""/>
    <s v=""/>
    <d v="2025-04-16T00:00:00"/>
    <m/>
    <s v=""/>
  </r>
  <r>
    <s v="Not Selected"/>
    <n v="6788"/>
    <n v="100222362"/>
    <s v="ONNSYNEX VENTURES PRIVATE LIMITED"/>
    <s v="2025"/>
    <s v="7"/>
    <x v="19"/>
    <n v="1800000368"/>
    <x v="4"/>
    <x v="18"/>
    <d v="2025-07-09T00:00:00"/>
    <s v="Na"/>
    <n v="256788410243"/>
    <s v="212100"/>
    <s v="Trade Debtors (Ctrl)"/>
    <s v=""/>
    <s v="01"/>
    <s v="USD"/>
    <n v="30"/>
    <s v="INR"/>
    <n v="2580.02"/>
    <s v="O0"/>
    <s v="6788224500"/>
    <s v=""/>
    <s v="NA"/>
    <s v="1"/>
    <s v="CY - WH Destuff Charges fo MAY 2025"/>
    <s v=""/>
    <s v=""/>
    <s v=""/>
    <d v="2025-07-09T00:00:00"/>
    <m/>
    <s v=""/>
  </r>
  <r>
    <s v="Not Selected"/>
    <n v="6788"/>
    <n v="100222362"/>
    <s v="ONNSYNEX VENTURES PRIVATE LIMITED"/>
    <s v="2025"/>
    <s v="7"/>
    <x v="19"/>
    <n v="1800000384"/>
    <x v="4"/>
    <x v="18"/>
    <d v="2025-07-09T00:00:00"/>
    <s v="Na"/>
    <n v="256788410259"/>
    <s v="212100"/>
    <s v="Trade Debtors (Ctrl)"/>
    <s v=""/>
    <s v="01"/>
    <s v="USD"/>
    <n v="75"/>
    <s v="INR"/>
    <n v="6450.05"/>
    <s v="O0"/>
    <s v="6788224500"/>
    <s v=""/>
    <s v="NA"/>
    <s v="1"/>
    <s v="Fixed Rental charges for April 2025"/>
    <s v=""/>
    <s v=""/>
    <s v=""/>
    <d v="2025-07-09T00:00:00"/>
    <m/>
    <s v=""/>
  </r>
  <r>
    <s v="Not Selected"/>
    <n v="6779"/>
    <n v="100222362"/>
    <s v="ONNSYNEX VENTURES PRIVATE LIMITED"/>
    <s v="2025"/>
    <s v="9"/>
    <x v="9"/>
    <n v="1800012496"/>
    <x v="4"/>
    <x v="8"/>
    <d v="2025-09-08T00:00:00"/>
    <s v="Na"/>
    <n v="256779416953"/>
    <s v="212100"/>
    <s v="Trade Debtors (Ctrl)"/>
    <s v=""/>
    <s v="01"/>
    <s v="USD"/>
    <n v="2.14"/>
    <s v="INR"/>
    <n v="187.28"/>
    <s v="O0"/>
    <s v="6779224501"/>
    <s v=""/>
    <s v="NA"/>
    <s v="1"/>
    <s v="CODC Out chgs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0"/>
    <x v="4"/>
    <x v="8"/>
    <d v="2025-09-09T00:00:00"/>
    <s v="Na"/>
    <n v="256788410354"/>
    <s v="212100"/>
    <s v="Trade Debtors (Ctrl)"/>
    <s v=""/>
    <s v="01"/>
    <s v="USD"/>
    <n v="12.52"/>
    <s v="INR"/>
    <n v="1095.68"/>
    <s v="O0"/>
    <s v="6788224500"/>
    <s v=""/>
    <s v="NA"/>
    <s v="1"/>
    <s v="VAS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1"/>
    <x v="4"/>
    <x v="8"/>
    <d v="2025-09-09T00:00:00"/>
    <s v="Na"/>
    <n v="256788410355"/>
    <s v="212100"/>
    <s v="Trade Debtors (Ctrl)"/>
    <s v=""/>
    <s v="01"/>
    <s v="USD"/>
    <n v="13.66"/>
    <s v="INR"/>
    <n v="1195.45"/>
    <s v="O0"/>
    <s v="6788224500"/>
    <s v=""/>
    <s v="NA"/>
    <s v="1"/>
    <s v="WEIGHMENT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3"/>
    <x v="4"/>
    <x v="8"/>
    <d v="2025-09-09T00:00:00"/>
    <s v="Na"/>
    <n v="256788410358"/>
    <s v="212100"/>
    <s v="Trade Debtors (Ctrl)"/>
    <s v=""/>
    <s v="01"/>
    <s v="USD"/>
    <n v="2262.04"/>
    <s v="INR"/>
    <n v="197960.92"/>
    <s v="O0"/>
    <s v="6788224500"/>
    <s v=""/>
    <s v="NA"/>
    <s v="1"/>
    <s v="CY Ground rent Chgs - 01 - 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8"/>
    <x v="4"/>
    <x v="8"/>
    <d v="2025-09-09T00:00:00"/>
    <s v="Na"/>
    <n v="256788410359"/>
    <s v="212100"/>
    <s v="Trade Debtors (Ctrl)"/>
    <s v=""/>
    <s v="01"/>
    <s v="USD"/>
    <n v="126.58"/>
    <s v="INR"/>
    <n v="11077.56"/>
    <s v="O0"/>
    <s v="6788224500"/>
    <s v=""/>
    <s v="NA"/>
    <s v="1"/>
    <s v="Empty Lolo Chgs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4"/>
    <x v="4"/>
    <x v="8"/>
    <d v="2025-09-09T00:00:00"/>
    <s v="Na"/>
    <n v="256788410360"/>
    <s v="212100"/>
    <s v="Trade Debtors (Ctrl)"/>
    <s v=""/>
    <s v="01"/>
    <s v="USD"/>
    <n v="348.21"/>
    <s v="INR"/>
    <n v="30473.360000000001"/>
    <s v="O0"/>
    <s v="6788224500"/>
    <s v=""/>
    <s v="NA"/>
    <s v="1"/>
    <s v="PORT SSR Chgs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5"/>
    <x v="4"/>
    <x v="8"/>
    <d v="2025-09-09T00:00:00"/>
    <s v="Na"/>
    <n v="256788410361"/>
    <s v="212100"/>
    <s v="Trade Debtors (Ctrl)"/>
    <s v=""/>
    <s v="01"/>
    <s v="USD"/>
    <n v="26"/>
    <s v="INR"/>
    <n v="2275.37"/>
    <s v="O0"/>
    <s v="6788224500"/>
    <s v=""/>
    <s v="NA"/>
    <s v="1"/>
    <s v="LCL chgs - 16 - 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7"/>
    <x v="4"/>
    <x v="8"/>
    <d v="2025-09-09T00:00:00"/>
    <s v="Na"/>
    <n v="256788410363"/>
    <s v="212100"/>
    <s v="Trade Debtors (Ctrl)"/>
    <s v=""/>
    <s v="01"/>
    <s v="USD"/>
    <n v="227.74"/>
    <s v="INR"/>
    <n v="19930.509999999998"/>
    <s v="O0"/>
    <s v="6788224500"/>
    <s v=""/>
    <s v="NA"/>
    <s v="1"/>
    <s v="Transportation Out chgs - 16 - 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9"/>
    <x v="4"/>
    <x v="8"/>
    <d v="2025-09-09T00:00:00"/>
    <s v="Na"/>
    <n v="256788410364"/>
    <s v="212100"/>
    <s v="Trade Debtors (Ctrl)"/>
    <s v=""/>
    <s v="01"/>
    <s v="USD"/>
    <n v="75"/>
    <s v="INR"/>
    <n v="6563.57"/>
    <s v="O0"/>
    <s v="6788224500"/>
    <s v=""/>
    <s v="2097259"/>
    <s v="1"/>
    <s v="Fixed Storage Charges for September 2025"/>
    <s v=""/>
    <s v=""/>
    <s v=""/>
    <d v="2025-09-04T00:00:00"/>
    <m/>
    <s v=""/>
  </r>
  <r>
    <s v="Not Selected"/>
    <n v="6779"/>
    <n v="100222362"/>
    <s v="ONNSYNEX VENTURES PRIVATE LIMITED"/>
    <s v="2025"/>
    <s v="7"/>
    <x v="20"/>
    <n v="1800010515"/>
    <x v="4"/>
    <x v="19"/>
    <d v="2025-07-09T00:00:00"/>
    <s v="Na"/>
    <n v="256779415275"/>
    <s v="212100"/>
    <s v="Trade Debtors (Ctrl)"/>
    <s v=""/>
    <s v="01"/>
    <s v="USD"/>
    <n v="86.04"/>
    <s v="INR"/>
    <n v="7399.5"/>
    <s v="O0"/>
    <s v="6779224500"/>
    <s v=""/>
    <s v=""/>
    <s v="1"/>
    <s v="VAS - 16-30 June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58"/>
    <x v="4"/>
    <x v="19"/>
    <d v="2025-07-09T00:00:00"/>
    <s v="Na"/>
    <n v="256788410233"/>
    <s v="212100"/>
    <s v="Trade Debtors (Ctrl)"/>
    <s v=""/>
    <s v="01"/>
    <s v="USD"/>
    <n v="10350.540000000001"/>
    <s v="INR"/>
    <n v="890153.37"/>
    <s v="O0"/>
    <s v="6788224500"/>
    <s v=""/>
    <s v="NA"/>
    <s v="1"/>
    <s v="Unit Storage - 1-30 June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60"/>
    <x v="4"/>
    <x v="19"/>
    <d v="2025-07-09T00:00:00"/>
    <s v="Na"/>
    <n v="256788410235"/>
    <s v="212100"/>
    <s v="Trade Debtors (Ctrl)"/>
    <s v=""/>
    <s v="01"/>
    <s v="USD"/>
    <n v="2323.12"/>
    <s v="INR"/>
    <n v="199789.88"/>
    <s v="O0"/>
    <s v="6788224500"/>
    <s v=""/>
    <s v="NA"/>
    <s v="1"/>
    <s v="CY Ground rent Chgs - 01 - 30 June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62"/>
    <x v="4"/>
    <x v="19"/>
    <d v="2025-07-09T00:00:00"/>
    <s v="Na"/>
    <n v="256788410237"/>
    <s v="212100"/>
    <s v="Trade Debtors (Ctrl)"/>
    <s v=""/>
    <s v="01"/>
    <s v="USD"/>
    <n v="75"/>
    <s v="INR"/>
    <n v="6450.05"/>
    <s v="O0"/>
    <s v="6788224500"/>
    <s v=""/>
    <s v="NA"/>
    <s v="1"/>
    <s v="Fixed Storage Charges fo JULY 20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80"/>
    <x v="4"/>
    <x v="19"/>
    <d v="2025-07-09T00:00:00"/>
    <s v="Na"/>
    <n v="256788410255"/>
    <s v="212100"/>
    <s v="Trade Debtors (Ctrl)"/>
    <s v=""/>
    <s v="01"/>
    <s v="USD"/>
    <n v="14"/>
    <s v="INR"/>
    <n v="1204.01"/>
    <s v="O0"/>
    <s v="6788224500"/>
    <s v=""/>
    <s v="NA"/>
    <s v="1"/>
    <s v="LCL Chgs - 01 - 15 JUN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82"/>
    <x v="4"/>
    <x v="19"/>
    <d v="2025-07-09T00:00:00"/>
    <s v="Na"/>
    <n v="256788410257"/>
    <s v="212100"/>
    <s v="Trade Debtors (Ctrl)"/>
    <s v=""/>
    <s v="01"/>
    <s v="USD"/>
    <n v="67.760000000000005"/>
    <s v="INR"/>
    <n v="5827.41"/>
    <s v="O0"/>
    <s v="6788224500"/>
    <s v=""/>
    <s v="NA"/>
    <s v="1"/>
    <s v="Outbound chgs - 01 - 15 JUN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83"/>
    <x v="4"/>
    <x v="19"/>
    <d v="2025-07-09T00:00:00"/>
    <s v="Na"/>
    <n v="256788410258"/>
    <s v="212100"/>
    <s v="Trade Debtors (Ctrl)"/>
    <s v=""/>
    <s v="01"/>
    <s v="USD"/>
    <n v="17"/>
    <s v="INR"/>
    <n v="1462.01"/>
    <s v="O0"/>
    <s v="6788224500"/>
    <s v=""/>
    <s v="NA"/>
    <s v="1"/>
    <s v="Outbound chgs - 16 - 30 JUN 25"/>
    <s v=""/>
    <s v=""/>
    <s v=""/>
    <d v="2025-07-04T00:00:00"/>
    <m/>
    <s v=""/>
  </r>
  <r>
    <s v="Selected"/>
    <n v="6788"/>
    <n v="100222362"/>
    <s v="ONNSYNEX VENTURES PRIVATE LIMITED"/>
    <s v="2025"/>
    <s v="7"/>
    <x v="20"/>
    <n v="1800000391"/>
    <x v="4"/>
    <x v="19"/>
    <d v="2025-07-25T00:00:00"/>
    <s v="Na"/>
    <n v="256788410267"/>
    <s v="212100"/>
    <s v="Trade Debtors (Ctrl)"/>
    <s v=""/>
    <s v="01"/>
    <s v="USD"/>
    <n v="9"/>
    <s v="INR"/>
    <n v="774.01"/>
    <s v="O0"/>
    <s v="6788224500"/>
    <s v=""/>
    <s v="NA"/>
    <s v="1"/>
    <s v="Outbound chgs - 01 - 15 JUL 25"/>
    <s v=""/>
    <s v=""/>
    <s v=""/>
    <d v="2025-07-04T00:00:00"/>
    <d v="2025-11-15T00:00:00"/>
    <s v="1400000084"/>
  </r>
  <r>
    <s v="Not Selected"/>
    <n v="6788"/>
    <n v="100222362"/>
    <s v="ONNSYNEX VENTURES PRIVATE LIMITED"/>
    <s v="2025"/>
    <s v="11"/>
    <x v="21"/>
    <n v="1800000576"/>
    <x v="4"/>
    <x v="20"/>
    <d v="2025-11-05T00:00:00"/>
    <s v="Na"/>
    <n v="256788410441"/>
    <s v="212100"/>
    <s v="Trade Debtors (Ctrl)"/>
    <s v=""/>
    <s v="01"/>
    <s v="USD"/>
    <n v="75"/>
    <s v="INR"/>
    <n v="6600.25"/>
    <s v="O0"/>
    <s v="6788224500"/>
    <s v=""/>
    <s v="2123155"/>
    <s v="1"/>
    <s v="Fixed Storage Charges for November 20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7"/>
    <x v="4"/>
    <x v="20"/>
    <d v="2025-11-06T00:00:00"/>
    <s v="Na"/>
    <n v="256788410448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8"/>
    <x v="4"/>
    <x v="20"/>
    <d v="2025-11-06T00:00:00"/>
    <s v="Na"/>
    <n v="256788410449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9"/>
    <x v="4"/>
    <x v="20"/>
    <d v="2025-11-06T00:00:00"/>
    <s v="Na"/>
    <n v="256788410450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0"/>
    <x v="4"/>
    <x v="20"/>
    <d v="2025-11-06T00:00:00"/>
    <s v="Na"/>
    <n v="256788410451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1"/>
    <x v="4"/>
    <x v="20"/>
    <d v="2025-11-06T00:00:00"/>
    <s v="Na"/>
    <n v="256788410452"/>
    <s v="212100"/>
    <s v="Trade Debtors (Ctrl)"/>
    <s v=""/>
    <s v="01"/>
    <s v="USD"/>
    <n v="65.31"/>
    <s v="INR"/>
    <n v="5747.5"/>
    <s v="O0"/>
    <s v="6788224500"/>
    <s v=""/>
    <s v="2123383"/>
    <s v="1"/>
    <s v="VAS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2"/>
    <x v="4"/>
    <x v="20"/>
    <d v="2025-11-06T00:00:00"/>
    <s v="Na"/>
    <n v="256788410453"/>
    <s v="212100"/>
    <s v="Trade Debtors (Ctrl)"/>
    <s v=""/>
    <s v="01"/>
    <s v="USD"/>
    <n v="31.56"/>
    <s v="INR"/>
    <n v="2777.39"/>
    <s v="O0"/>
    <s v="6788224500"/>
    <s v=""/>
    <s v="2123383"/>
    <s v="1"/>
    <s v="WEIGHTMENT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5"/>
    <x v="4"/>
    <x v="20"/>
    <d v="2025-11-06T00:00:00"/>
    <s v="Na"/>
    <n v="256788410454"/>
    <s v="212100"/>
    <s v="Trade Debtors (Ctrl)"/>
    <s v=""/>
    <s v="01"/>
    <s v="USD"/>
    <n v="4547.2"/>
    <s v="INR"/>
    <n v="400169.02"/>
    <s v="O0"/>
    <s v="6788224500"/>
    <s v=""/>
    <s v="2123386"/>
    <s v="1"/>
    <s v="Unit-Storage-1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3"/>
    <x v="4"/>
    <x v="20"/>
    <d v="2025-11-06T00:00:00"/>
    <s v="Na"/>
    <n v="256788410455"/>
    <s v="212100"/>
    <s v="Trade Debtors (Ctrl)"/>
    <s v=""/>
    <s v="01"/>
    <s v="USD"/>
    <n v="338"/>
    <s v="INR"/>
    <n v="29745.15"/>
    <s v="O0"/>
    <s v="6788224500"/>
    <s v=""/>
    <s v="2123411"/>
    <s v="1"/>
    <s v="Outbound chgs - 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4"/>
    <x v="4"/>
    <x v="20"/>
    <d v="2025-11-06T00:00:00"/>
    <s v="Na"/>
    <n v="256788410457"/>
    <s v="212100"/>
    <s v="Trade Debtors (Ctrl)"/>
    <s v=""/>
    <s v="01"/>
    <s v="USD"/>
    <n v="93"/>
    <s v="INR"/>
    <n v="8184.32"/>
    <s v="O0"/>
    <s v="6788224500"/>
    <s v=""/>
    <s v="NA"/>
    <s v="1"/>
    <s v="LCL chgs - 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6"/>
    <x v="4"/>
    <x v="20"/>
    <d v="2025-11-06T00:00:00"/>
    <s v="Na"/>
    <n v="256788410458"/>
    <s v="212100"/>
    <s v="Trade Debtors (Ctrl)"/>
    <s v=""/>
    <s v="01"/>
    <s v="USD"/>
    <n v="103.89"/>
    <s v="INR"/>
    <n v="9142.67"/>
    <s v="O0"/>
    <s v="6788224500"/>
    <s v=""/>
    <s v="NA"/>
    <s v="1"/>
    <s v="Empty Lolo Chgs Oct 25"/>
    <s v=""/>
    <s v=""/>
    <s v=""/>
    <d v="2025-11-05T00:00:00"/>
    <m/>
    <s v=""/>
  </r>
  <r>
    <s v="Not Selected"/>
    <n v="6788"/>
    <n v="100222362"/>
    <s v="ONNSYNEX VENTURES PRIVATE LIMITED"/>
    <s v="2025"/>
    <s v="8"/>
    <x v="22"/>
    <n v="1800000466"/>
    <x v="4"/>
    <x v="21"/>
    <d v="2025-08-08T00:00:00"/>
    <s v="Na"/>
    <n v="256788410332"/>
    <s v="212100"/>
    <s v="Trade Debtors (Ctrl)"/>
    <s v=""/>
    <s v="01"/>
    <s v="USD"/>
    <n v="443.76"/>
    <s v="INR"/>
    <n v="38176.730000000003"/>
    <s v="O0"/>
    <s v="6788224500"/>
    <s v=""/>
    <s v="NA"/>
    <s v="1"/>
    <s v="Unit Storage - 1-30 June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9"/>
    <x v="4"/>
    <x v="21"/>
    <d v="2025-08-08T00:00:00"/>
    <s v="Na"/>
    <n v="256788410335"/>
    <s v="212100"/>
    <s v="Trade Debtors (Ctrl)"/>
    <s v=""/>
    <s v="01"/>
    <s v="USD"/>
    <n v="73.67"/>
    <s v="INR"/>
    <n v="6337.84"/>
    <s v="O0"/>
    <s v="6788224500"/>
    <s v=""/>
    <s v="NA"/>
    <s v="1"/>
    <s v="VAS 16-31 July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70"/>
    <x v="4"/>
    <x v="21"/>
    <d v="2025-08-08T00:00:00"/>
    <s v="Na"/>
    <n v="256788410336"/>
    <s v="212100"/>
    <s v="Trade Debtors (Ctrl)"/>
    <s v=""/>
    <s v="01"/>
    <s v="USD"/>
    <n v="11976.87"/>
    <s v="INR"/>
    <n v="1030371.56"/>
    <s v="O0"/>
    <s v="6788224500"/>
    <s v=""/>
    <s v="NA"/>
    <s v="1"/>
    <s v="Unit Storage - 1-31 July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57"/>
    <x v="4"/>
    <x v="21"/>
    <d v="2025-08-08T00:00:00"/>
    <s v="Na"/>
    <n v="256788410338"/>
    <s v="212100"/>
    <s v="Trade Debtors (Ctrl)"/>
    <s v=""/>
    <s v="01"/>
    <s v="USD"/>
    <n v="607.84"/>
    <s v="INR"/>
    <n v="52292.55"/>
    <s v="O0"/>
    <s v="6788224500"/>
    <s v=""/>
    <s v="NA"/>
    <s v="1"/>
    <s v="Transportation IN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58"/>
    <x v="4"/>
    <x v="21"/>
    <d v="2025-08-08T00:00:00"/>
    <s v="Na"/>
    <n v="256788410339"/>
    <s v="212100"/>
    <s v="Trade Debtors (Ctrl)"/>
    <s v=""/>
    <s v="01"/>
    <s v="USD"/>
    <n v="400"/>
    <s v="INR"/>
    <n v="34412.050000000003"/>
    <s v="O0"/>
    <s v="6788224500"/>
    <s v=""/>
    <s v="NA"/>
    <s v="1"/>
    <s v="Transportation IN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59"/>
    <x v="4"/>
    <x v="21"/>
    <d v="2025-08-08T00:00:00"/>
    <s v="Na"/>
    <n v="256788410340"/>
    <s v="212100"/>
    <s v="Trade Debtors (Ctrl)"/>
    <s v=""/>
    <s v="01"/>
    <s v="USD"/>
    <n v="90"/>
    <s v="INR"/>
    <n v="7742.71"/>
    <s v="O0"/>
    <s v="6788224500"/>
    <s v=""/>
    <s v="NA"/>
    <s v="1"/>
    <s v="Scanning 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0"/>
    <x v="4"/>
    <x v="21"/>
    <d v="2025-08-08T00:00:00"/>
    <s v="Na"/>
    <n v="256788410341"/>
    <s v="212100"/>
    <s v="Trade Debtors (Ctrl)"/>
    <s v=""/>
    <s v="01"/>
    <s v="USD"/>
    <n v="31.3"/>
    <s v="INR"/>
    <n v="2692.74"/>
    <s v="O0"/>
    <s v="6788224500"/>
    <s v=""/>
    <s v="NA"/>
    <s v="1"/>
    <s v="Empty Lolo  Chgs - 01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1"/>
    <x v="4"/>
    <x v="21"/>
    <d v="2025-08-08T00:00:00"/>
    <s v="Na"/>
    <n v="256788410342"/>
    <s v="212100"/>
    <s v="Trade Debtors (Ctrl)"/>
    <s v=""/>
    <s v="01"/>
    <s v="USD"/>
    <n v="2269.79"/>
    <s v="INR"/>
    <n v="195270.31"/>
    <s v="O0"/>
    <s v="6788224500"/>
    <s v=""/>
    <s v="NA"/>
    <s v="1"/>
    <s v="CY Grd Rent Chgs - 01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2"/>
    <x v="4"/>
    <x v="21"/>
    <d v="2025-08-08T00:00:00"/>
    <s v="Na"/>
    <n v="256788410343"/>
    <s v="212100"/>
    <s v="Trade Debtors (Ctrl)"/>
    <s v=""/>
    <s v="01"/>
    <s v="USD"/>
    <n v="18.52"/>
    <s v="INR"/>
    <n v="1593.28"/>
    <s v="O0"/>
    <s v="6788224500"/>
    <s v=""/>
    <s v="NA"/>
    <s v="1"/>
    <s v="Outbound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5"/>
    <x v="4"/>
    <x v="21"/>
    <d v="2025-08-08T00:00:00"/>
    <s v="Na"/>
    <n v="256788410346"/>
    <s v="212100"/>
    <s v="Trade Debtors (Ctrl)"/>
    <s v=""/>
    <s v="01"/>
    <s v="USD"/>
    <n v="73.67"/>
    <s v="INR"/>
    <n v="6337.84"/>
    <s v="O0"/>
    <s v="6788224500"/>
    <s v=""/>
    <s v="NA"/>
    <s v="1"/>
    <s v="VAS 16-31 July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72"/>
    <x v="4"/>
    <x v="21"/>
    <d v="2025-08-08T00:00:00"/>
    <s v="Na"/>
    <n v="256788410347"/>
    <s v="212100"/>
    <s v="Trade Debtors (Ctrl)"/>
    <s v=""/>
    <s v="01"/>
    <s v="USD"/>
    <n v="393.73"/>
    <s v="INR"/>
    <n v="33872.639999999999"/>
    <s v="O0"/>
    <s v="6788224500"/>
    <s v=""/>
    <s v="NA"/>
    <s v="1"/>
    <s v="PORT SSR Chgs July 25"/>
    <s v=""/>
    <s v=""/>
    <s v=""/>
    <d v="2025-08-08T00:00:00"/>
    <m/>
    <s v=""/>
  </r>
  <r>
    <s v="Not Selected"/>
    <n v="6788"/>
    <n v="100222362"/>
    <s v="ONNSYNEX VENTURES PRIVATE LIMITED"/>
    <s v="2025"/>
    <s v="6"/>
    <x v="23"/>
    <n v="1800000350"/>
    <x v="4"/>
    <x v="22"/>
    <d v="2025-06-09T00:00:00"/>
    <s v="Na"/>
    <n v="256788410225"/>
    <s v="212100"/>
    <s v="Trade Debtors (Ctrl)"/>
    <s v=""/>
    <s v="01"/>
    <s v="USD"/>
    <n v="111.13"/>
    <s v="INR"/>
    <n v="9500.59"/>
    <s v="O0"/>
    <s v="6788224500"/>
    <s v=""/>
    <s v="NA"/>
    <s v="1"/>
    <s v="PORT SSR Chgs - 16 - 31 May 25"/>
    <s v=""/>
    <s v=""/>
    <s v=""/>
    <d v="2025-06-04T00:00:00"/>
    <m/>
    <s v=""/>
  </r>
  <r>
    <s v="Not Selected"/>
    <n v="6788"/>
    <n v="100222362"/>
    <s v="ONNSYNEX VENTURES PRIVATE LIMITED"/>
    <s v="2025"/>
    <s v="6"/>
    <x v="23"/>
    <n v="1800000351"/>
    <x v="4"/>
    <x v="22"/>
    <d v="2025-06-09T00:00:00"/>
    <s v="Na"/>
    <n v="256788410226"/>
    <s v="212100"/>
    <s v="Trade Debtors (Ctrl)"/>
    <s v=""/>
    <s v="01"/>
    <s v="USD"/>
    <n v="223.31"/>
    <s v="INR"/>
    <n v="19090.95"/>
    <s v="O0"/>
    <s v="6788224500"/>
    <s v=""/>
    <s v="NA"/>
    <s v="1"/>
    <s v="Transportation In Chgs -16-31 MAY 25"/>
    <s v=""/>
    <s v=""/>
    <s v=""/>
    <d v="2025-06-04T00:00:00"/>
    <m/>
    <s v=""/>
  </r>
  <r>
    <s v="Not Selected"/>
    <n v="6788"/>
    <n v="100222362"/>
    <s v="ONNSYNEX VENTURES PRIVATE LIMITED"/>
    <s v="2025"/>
    <s v="6"/>
    <x v="23"/>
    <n v="1800000352"/>
    <x v="4"/>
    <x v="22"/>
    <d v="2025-06-13T00:00:00"/>
    <s v="Na"/>
    <n v="256788410227"/>
    <s v="212100"/>
    <s v="Trade Debtors (Ctrl)"/>
    <s v=""/>
    <s v="01"/>
    <s v="USD"/>
    <n v="27.61"/>
    <s v="INR"/>
    <n v="2360.4"/>
    <s v="O0"/>
    <s v="6788224500"/>
    <s v=""/>
    <s v="NA"/>
    <s v="1"/>
    <s v="Empty Lolo Chgs - 01 - 31 MAY 25"/>
    <s v=""/>
    <s v=""/>
    <s v=""/>
    <d v="2025-06-04T00:00:00"/>
    <m/>
    <s v=""/>
  </r>
  <r>
    <s v="Selected"/>
    <n v="6788"/>
    <n v="100222362"/>
    <s v="ONNSYNEX VENTURES PRIVATE LIMITED"/>
    <s v="2025"/>
    <s v="5"/>
    <x v="24"/>
    <n v="1600000113"/>
    <x v="5"/>
    <x v="23"/>
    <d v="2025-05-23T00:00:00"/>
    <s v="Na"/>
    <n v="256788420001"/>
    <s v="212100"/>
    <s v="Trade Debtors (Ctrl)"/>
    <s v=""/>
    <s v="11"/>
    <s v="USD"/>
    <n v="-75"/>
    <s v="INR"/>
    <n v="-6448.78"/>
    <s v="O0"/>
    <s v="6788224500"/>
    <s v=""/>
    <s v="NA"/>
    <s v="1"/>
    <s v="Credit note raised agaisnt INV_256788410019"/>
    <s v=""/>
    <s v=""/>
    <s v=""/>
    <d v="2025-05-16T00:00:00"/>
    <d v="2025-11-15T00:00:00"/>
    <s v="1400000084"/>
  </r>
  <r>
    <s v="Selected"/>
    <n v="6788"/>
    <n v="100222362"/>
    <s v="ONNSYNEX VENTURES PRIVATE LIMITED"/>
    <s v="2025"/>
    <s v="5"/>
    <x v="24"/>
    <n v="1600000117"/>
    <x v="5"/>
    <x v="23"/>
    <d v="2025-05-23T00:00:00"/>
    <s v="Na"/>
    <n v="256788420005"/>
    <s v="212100"/>
    <s v="Trade Debtors (Ctrl)"/>
    <s v=""/>
    <s v="11"/>
    <s v="USD"/>
    <n v="-75"/>
    <s v="INR"/>
    <n v="-6448.78"/>
    <s v="O0"/>
    <s v="6788224500"/>
    <s v=""/>
    <s v="NA"/>
    <s v="1"/>
    <s v="Credit note raised agaisnt INV_256788410023"/>
    <s v=""/>
    <s v=""/>
    <s v=""/>
    <d v="2025-05-16T00:00:00"/>
    <d v="2025-11-15T00:00:00"/>
    <s v="1400000084"/>
  </r>
  <r>
    <s v="Selected"/>
    <n v="6788"/>
    <n v="100222362"/>
    <s v="ONNSYNEX VENTURES PRIVATE LIMITED"/>
    <s v="2025"/>
    <s v="2"/>
    <x v="1"/>
    <n v="1800000000"/>
    <x v="4"/>
    <x v="1"/>
    <d v="2025-02-17T00:00:00"/>
    <s v="Na"/>
    <n v="246788410001"/>
    <s v="212100"/>
    <s v="Trade Debtors (Ctrl)"/>
    <s v=""/>
    <s v="01"/>
    <s v="USD"/>
    <n v="75"/>
    <s v="INR"/>
    <n v="6472.77"/>
    <s v="O0"/>
    <s v="6788224500"/>
    <s v=""/>
    <s v="NA"/>
    <s v="1"/>
    <s v="Fixed Rental charges for Aug 2024"/>
    <s v=""/>
    <s v=""/>
    <s v=""/>
    <d v="2025-02-17T00:00:00"/>
    <d v="2025-02-19T00:00:00"/>
    <s v="1400000001"/>
  </r>
  <r>
    <s v="Not Selected"/>
    <n v="6788"/>
    <n v="100222362"/>
    <s v="ONNSYNEX VENTURES PRIVATE LIMITED"/>
    <s v="2025"/>
    <s v="5"/>
    <x v="25"/>
    <n v="1800000346"/>
    <x v="4"/>
    <x v="24"/>
    <d v="2025-05-28T00:00:00"/>
    <s v="Na"/>
    <n v="256788410221"/>
    <s v="212100"/>
    <s v="Trade Debtors (Ctrl)"/>
    <s v=""/>
    <s v="01"/>
    <s v="USD"/>
    <n v="10364.719999999999"/>
    <s v="INR"/>
    <n v="891196.98"/>
    <s v="O0"/>
    <s v="6788224500"/>
    <s v=""/>
    <s v="NA"/>
    <s v="1"/>
    <s v="Storage Chgs - 01 - 31 Apr 25"/>
    <s v=""/>
    <s v=""/>
    <s v=""/>
    <d v="2025-05-28T00:00:00"/>
    <m/>
    <s v=""/>
  </r>
  <r>
    <s v="Not Selected"/>
    <n v="6788"/>
    <n v="100222362"/>
    <s v="ONNSYNEX VENTURES PRIVATE LIMITED"/>
    <s v="2025"/>
    <s v="7"/>
    <x v="26"/>
    <n v="1800000389"/>
    <x v="4"/>
    <x v="25"/>
    <d v="2025-07-25T00:00:00"/>
    <s v="Na"/>
    <n v="256788410265"/>
    <s v="212100"/>
    <s v="Trade Debtors (Ctrl)"/>
    <s v=""/>
    <s v="01"/>
    <s v="USD"/>
    <n v="1510.02"/>
    <s v="INR"/>
    <n v="129862.73"/>
    <s v="O0"/>
    <s v="6788224500"/>
    <s v=""/>
    <s v="NA"/>
    <s v="1"/>
    <s v="CODC Transport Chgs - 01 - 15 July 25"/>
    <s v=""/>
    <s v=""/>
    <s v=""/>
    <d v="2025-07-18T00:00:00"/>
    <m/>
    <s v=""/>
  </r>
  <r>
    <s v="Not Selected"/>
    <n v="6788"/>
    <n v="100222362"/>
    <s v="ONNSYNEX VENTURES PRIVATE LIMITED"/>
    <s v="2025"/>
    <s v="3"/>
    <x v="27"/>
    <n v="1800000064"/>
    <x v="4"/>
    <x v="26"/>
    <d v="2025-03-14T00:00:00"/>
    <s v="Na"/>
    <n v="246788410059"/>
    <s v="212100"/>
    <s v="Trade Debtors (Ctrl)"/>
    <s v=""/>
    <s v="01"/>
    <s v="USD"/>
    <n v="25.75"/>
    <s v="INR"/>
    <n v="2232.3000000000002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5"/>
    <x v="4"/>
    <x v="26"/>
    <d v="2025-03-14T00:00:00"/>
    <s v="Na"/>
    <n v="246788410060"/>
    <s v="212100"/>
    <s v="Trade Debtors (Ctrl)"/>
    <s v=""/>
    <s v="01"/>
    <s v="USD"/>
    <n v="37.200000000000003"/>
    <s v="INR"/>
    <n v="3224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6"/>
    <x v="4"/>
    <x v="26"/>
    <d v="2025-03-14T00:00:00"/>
    <s v="Na"/>
    <n v="246788410061"/>
    <s v="212100"/>
    <s v="Trade Debtors (Ctrl)"/>
    <s v=""/>
    <s v="01"/>
    <s v="USD"/>
    <n v="26.23"/>
    <s v="INR"/>
    <n v="2273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7"/>
    <x v="4"/>
    <x v="26"/>
    <d v="2025-03-14T00:00:00"/>
    <s v="Na"/>
    <n v="246788410062"/>
    <s v="212100"/>
    <s v="Trade Debtors (Ctrl)"/>
    <s v=""/>
    <s v="01"/>
    <s v="USD"/>
    <n v="26.23"/>
    <s v="INR"/>
    <n v="2273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8"/>
    <x v="4"/>
    <x v="26"/>
    <d v="2025-03-14T00:00:00"/>
    <s v="Na"/>
    <n v="246788410063"/>
    <s v="212100"/>
    <s v="Trade Debtors (Ctrl)"/>
    <s v=""/>
    <s v="01"/>
    <s v="USD"/>
    <n v="23.85"/>
    <s v="INR"/>
    <n v="2067.59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9"/>
    <x v="4"/>
    <x v="26"/>
    <d v="2025-03-14T00:00:00"/>
    <s v="Na"/>
    <n v="246788410064"/>
    <s v="212100"/>
    <s v="Trade Debtors (Ctrl)"/>
    <s v=""/>
    <s v="01"/>
    <s v="USD"/>
    <n v="23.87"/>
    <s v="INR"/>
    <n v="2069.3200000000002"/>
    <s v="O0"/>
    <s v="6788224500"/>
    <s v=""/>
    <s v="NA"/>
    <s v="1"/>
    <s v="VAS Activity Charges for the month of September, 2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70"/>
    <x v="4"/>
    <x v="26"/>
    <d v="2025-03-14T00:00:00"/>
    <s v="Na"/>
    <n v="246788410065"/>
    <s v="212100"/>
    <s v="Trade Debtors (Ctrl)"/>
    <s v=""/>
    <s v="01"/>
    <s v="USD"/>
    <n v="23.63"/>
    <s v="INR"/>
    <n v="2048.5100000000002"/>
    <s v="O0"/>
    <s v="6788224500"/>
    <s v=""/>
    <s v="NA"/>
    <s v="1"/>
    <s v="VAS Activity Charges for the month of September, 2"/>
    <s v=""/>
    <s v=""/>
    <s v=""/>
    <d v="2025-03-13T00:00:00"/>
    <m/>
    <s v=""/>
  </r>
  <r>
    <s v="Not Selected"/>
    <n v="6779"/>
    <n v="100222362"/>
    <s v="ONNSYNEX VENTURES PRIVATE LIMITED"/>
    <s v="2025"/>
    <s v="3"/>
    <x v="28"/>
    <n v="1800005048"/>
    <x v="4"/>
    <x v="27"/>
    <d v="2025-03-21T00:00:00"/>
    <s v="Na"/>
    <n v="246779414916"/>
    <s v="212100"/>
    <s v="Trade Debtors (Ctrl)"/>
    <s v=""/>
    <s v="01"/>
    <s v="USD"/>
    <n v="7.26"/>
    <s v="INR"/>
    <n v="629.38"/>
    <s v="O0"/>
    <s v="6779224500"/>
    <s v=""/>
    <s v="NA"/>
    <s v="1"/>
    <s v="Inbound Handling charges for Feb 2025"/>
    <s v=""/>
    <s v=""/>
    <s v=""/>
    <d v="2025-03-20T00:00:00"/>
    <m/>
    <s v=""/>
  </r>
  <r>
    <s v="Not Selected"/>
    <n v="6779"/>
    <n v="100222362"/>
    <s v="ONNSYNEX VENTURES PRIVATE LIMITED"/>
    <s v="2025"/>
    <s v="3"/>
    <x v="28"/>
    <n v="1800005049"/>
    <x v="4"/>
    <x v="27"/>
    <d v="2025-03-21T00:00:00"/>
    <s v="Na"/>
    <n v="246779414917"/>
    <s v="212100"/>
    <s v="Trade Debtors (Ctrl)"/>
    <s v=""/>
    <s v="01"/>
    <s v="USD"/>
    <n v="12"/>
    <s v="INR"/>
    <n v="1040.3"/>
    <s v="O0"/>
    <s v="6779224500"/>
    <s v=""/>
    <s v="NA"/>
    <s v="1"/>
    <s v="LCL Movement Charges for Feb 2025"/>
    <s v=""/>
    <s v=""/>
    <s v=""/>
    <d v="2025-03-20T00:00:00"/>
    <m/>
    <s v=""/>
  </r>
  <r>
    <s v="Not Selected"/>
    <n v="6788"/>
    <n v="100222362"/>
    <s v="ONNSYNEX VENTURES PRIVATE LIMITED"/>
    <s v="2025"/>
    <s v="2"/>
    <x v="29"/>
    <n v="1800000029"/>
    <x v="4"/>
    <x v="28"/>
    <d v="2025-02-20T00:00:00"/>
    <s v="Na"/>
    <n v="246788410019"/>
    <s v="212100"/>
    <s v="Trade Debtors (Ctrl)"/>
    <s v=""/>
    <s v="01"/>
    <s v="USD"/>
    <n v="75"/>
    <s v="INR"/>
    <n v="6472.77"/>
    <s v="O0"/>
    <s v="6788224500"/>
    <s v=""/>
    <s v="NA"/>
    <s v="1"/>
    <s v="Fixed Rental charges for Feb 2025"/>
    <s v=""/>
    <s v=""/>
    <s v=""/>
    <d v="2025-02-20T00:00:00"/>
    <m/>
    <s v=""/>
  </r>
  <r>
    <s v="Not Selected"/>
    <n v="6788"/>
    <n v="100222362"/>
    <s v="ONNSYNEX VENTURES PRIVATE LIMITED"/>
    <s v="2025"/>
    <s v="2"/>
    <x v="29"/>
    <n v="1800000033"/>
    <x v="4"/>
    <x v="28"/>
    <d v="2025-02-20T00:00:00"/>
    <s v="Na"/>
    <n v="246788410021"/>
    <s v="212100"/>
    <s v="Trade Debtors (Ctrl)"/>
    <s v=""/>
    <s v="01"/>
    <s v="USD"/>
    <n v="75"/>
    <s v="INR"/>
    <n v="6472.77"/>
    <s v="O0"/>
    <s v="6788224500"/>
    <s v=""/>
    <s v="NA"/>
    <s v="1"/>
    <s v="Fixed Rental charges for Jan 2025"/>
    <s v=""/>
    <s v=""/>
    <s v=""/>
    <d v="2025-02-20T00:00:00"/>
    <m/>
    <s v=""/>
  </r>
  <r>
    <s v="Not Selected"/>
    <n v="6788"/>
    <n v="100222362"/>
    <s v="ONNSYNEX VENTURES PRIVATE LIMITED"/>
    <s v="2025"/>
    <s v="8"/>
    <x v="2"/>
    <n v="1800000476"/>
    <x v="4"/>
    <x v="2"/>
    <d v="2025-08-22T00:00:00"/>
    <s v="Na"/>
    <n v="256788410348"/>
    <s v="212100"/>
    <s v="Trade Debtors (Ctrl)"/>
    <s v=""/>
    <s v="01"/>
    <s v="USD"/>
    <n v="20.57"/>
    <s v="INR"/>
    <n v="1769.64"/>
    <s v="O0"/>
    <s v="6788224500"/>
    <s v=""/>
    <s v="NA"/>
    <s v="1"/>
    <s v="Weighment-1-15 Aug 25"/>
    <s v=""/>
    <s v=""/>
    <s v=""/>
    <d v="2025-08-20T00:00:00"/>
    <m/>
    <s v=""/>
  </r>
  <r>
    <s v="Not Selected"/>
    <n v="6788"/>
    <n v="100222362"/>
    <s v="ONNSYNEX VENTURES PRIVATE LIMITED"/>
    <s v="2025"/>
    <s v="8"/>
    <x v="2"/>
    <n v="1800000473"/>
    <x v="4"/>
    <x v="2"/>
    <d v="2025-08-22T00:00:00"/>
    <s v="Na"/>
    <n v="256788410350"/>
    <s v="212100"/>
    <s v="Trade Debtors (Ctrl)"/>
    <s v=""/>
    <s v="01"/>
    <s v="USD"/>
    <n v="141.91"/>
    <s v="INR"/>
    <n v="12208.53"/>
    <s v="O0"/>
    <s v="6788224500"/>
    <s v=""/>
    <s v="NA"/>
    <s v="1"/>
    <s v="LCL chgs - 01 - 15 AUG 25"/>
    <s v=""/>
    <s v=""/>
    <s v=""/>
    <d v="2025-08-20T00:00:00"/>
    <m/>
    <s v=""/>
  </r>
  <r>
    <s v="Not Selected"/>
    <n v="6788"/>
    <n v="100222362"/>
    <s v="ONNSYNEX VENTURES PRIVATE LIMITED"/>
    <s v="2025"/>
    <s v="8"/>
    <x v="2"/>
    <n v="1800000475"/>
    <x v="4"/>
    <x v="2"/>
    <d v="2025-08-22T00:00:00"/>
    <s v="Na"/>
    <n v="256788410352"/>
    <s v="212100"/>
    <s v="Trade Debtors (Ctrl)"/>
    <s v=""/>
    <s v="01"/>
    <s v="USD"/>
    <n v="342.84"/>
    <s v="INR"/>
    <n v="29494.57"/>
    <s v="O0"/>
    <s v="6788224500"/>
    <s v=""/>
    <s v="NA"/>
    <s v="1"/>
    <s v="Outbound chgs - 01- 15 AUG 25"/>
    <s v=""/>
    <s v=""/>
    <s v=""/>
    <d v="2025-08-20T00:00:00"/>
    <m/>
    <s v=""/>
  </r>
  <r>
    <s v="Selected"/>
    <n v="6788"/>
    <n v="100222362"/>
    <s v="ONNSYNEX VENTURES PRIVATE LIMITED"/>
    <s v="2025"/>
    <s v="2"/>
    <x v="30"/>
    <n v="1600000004"/>
    <x v="5"/>
    <x v="29"/>
    <d v="2025-02-19T00:00:00"/>
    <s v="Na"/>
    <n v="246788420003"/>
    <s v="212100"/>
    <s v="Trade Debtors (Ctrl)"/>
    <s v=""/>
    <s v="11"/>
    <s v="USD"/>
    <n v="-75"/>
    <s v="INR"/>
    <n v="-6472.77"/>
    <s v="O0"/>
    <s v="6788224500"/>
    <s v=""/>
    <s v="NA"/>
    <s v="1"/>
    <s v="Credit note raise against INV#1800000000"/>
    <s v=""/>
    <s v=""/>
    <s v=""/>
    <d v="2025-02-19T00:00:00"/>
    <d v="2025-02-19T00:00:00"/>
    <s v="1400000001"/>
  </r>
  <r>
    <s v="Not Selected"/>
    <n v="6788"/>
    <n v="100222362"/>
    <s v="ONNSYNEX VENTURES PRIVATE LIMITED"/>
    <s v="2025"/>
    <s v="2"/>
    <x v="30"/>
    <n v="1800000006"/>
    <x v="4"/>
    <x v="29"/>
    <d v="2025-02-19T00:00:00"/>
    <s v="Na"/>
    <n v="246788410005"/>
    <s v="212100"/>
    <s v="Trade Debtors (Ctrl)"/>
    <s v=""/>
    <s v="01"/>
    <s v="USD"/>
    <n v="75"/>
    <s v="INR"/>
    <n v="6472.77"/>
    <s v="O0"/>
    <s v="6788224500"/>
    <s v=""/>
    <s v="NA"/>
    <s v="1"/>
    <s v="Fixed Rental charges for Aug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22"/>
    <x v="4"/>
    <x v="29"/>
    <d v="2025-02-19T00:00:00"/>
    <s v="Na"/>
    <n v="246788410009"/>
    <s v="212100"/>
    <s v="Trade Debtors (Ctrl)"/>
    <s v=""/>
    <s v="01"/>
    <s v="USD"/>
    <n v="75"/>
    <s v="INR"/>
    <n v="6472.77"/>
    <s v="O0"/>
    <s v="6788224500"/>
    <s v=""/>
    <s v="NA"/>
    <s v="1"/>
    <s v="Fixed Rental charges for Sept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18"/>
    <x v="4"/>
    <x v="29"/>
    <d v="2025-02-19T00:00:00"/>
    <s v="Na"/>
    <n v="246788410013"/>
    <s v="212100"/>
    <s v="Trade Debtors (Ctrl)"/>
    <s v=""/>
    <s v="01"/>
    <s v="USD"/>
    <n v="75"/>
    <s v="INR"/>
    <n v="6472.77"/>
    <s v="O0"/>
    <s v="6788224500"/>
    <s v=""/>
    <s v="NA"/>
    <s v="1"/>
    <s v="Fixed Rental charges for Oct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10"/>
    <x v="4"/>
    <x v="29"/>
    <d v="2025-02-19T00:00:00"/>
    <s v="Na"/>
    <n v="246788410015"/>
    <s v="212100"/>
    <s v="Trade Debtors (Ctrl)"/>
    <s v=""/>
    <s v="01"/>
    <s v="USD"/>
    <n v="75"/>
    <s v="INR"/>
    <n v="6472.77"/>
    <s v="O0"/>
    <s v="6788224500"/>
    <s v=""/>
    <s v="NA"/>
    <s v="1"/>
    <s v="Fixed Rental charges for Nov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12"/>
    <x v="4"/>
    <x v="29"/>
    <d v="2025-02-19T00:00:00"/>
    <s v="Na"/>
    <n v="246788410017"/>
    <s v="212100"/>
    <s v="Trade Debtors (Ctrl)"/>
    <s v=""/>
    <s v="01"/>
    <s v="USD"/>
    <n v="75"/>
    <s v="INR"/>
    <n v="6472.77"/>
    <s v="O0"/>
    <s v="6788224500"/>
    <s v=""/>
    <s v="NA"/>
    <s v="1"/>
    <s v="Fixed Rental charges for Dec 2024"/>
    <s v=""/>
    <s v=""/>
    <s v=""/>
    <d v="2025-02-19T00:00:00"/>
    <m/>
    <s v=""/>
  </r>
  <r>
    <s v="Selected"/>
    <n v="6788"/>
    <n v="100222362"/>
    <s v="ONNSYNEX VENTURES PRIVATE LIMITED"/>
    <s v="2025"/>
    <s v="9"/>
    <x v="31"/>
    <n v="1600000242"/>
    <x v="5"/>
    <x v="30"/>
    <d v="2025-09-24T00:00:00"/>
    <s v="Na"/>
    <n v="256788420122"/>
    <s v="212100"/>
    <s v="Trade Debtors (Ctrl)"/>
    <s v=""/>
    <s v="11"/>
    <s v="USD"/>
    <n v="-9"/>
    <s v="INR"/>
    <n v="-774.01"/>
    <s v="O0"/>
    <s v="6788224500"/>
    <s v=""/>
    <s v="2104196"/>
    <s v="1"/>
    <s v="Credit note raised against INV_256788410267"/>
    <s v=""/>
    <s v=""/>
    <s v=""/>
    <d v="2025-09-23T00:00:00"/>
    <d v="2025-11-15T00:00:00"/>
    <s v="1400000084"/>
  </r>
  <r>
    <s v="Not Selected"/>
    <n v="6788"/>
    <n v="100222362"/>
    <s v="ONNSYNEX VENTURES PRIVATE LIMITED"/>
    <s v="2025"/>
    <s v="11"/>
    <x v="32"/>
    <n v="1800000594"/>
    <x v="4"/>
    <x v="31"/>
    <d v="2025-11-12T00:00:00"/>
    <s v="Na"/>
    <n v="256788410459"/>
    <s v="212100"/>
    <s v="Trade Debtors (Ctrl)"/>
    <s v=""/>
    <s v="01"/>
    <s v="USD"/>
    <n v="8006.66"/>
    <s v="INR"/>
    <n v="704613.22"/>
    <s v="O0"/>
    <s v="6788224500"/>
    <s v=""/>
    <s v="2125273"/>
    <s v="1"/>
    <s v="Unit-Storage-1-31 Oct 25"/>
    <s v=""/>
    <s v=""/>
    <s v=""/>
    <d v="2025-11-12T00:00:00"/>
    <m/>
    <s v=""/>
  </r>
  <r>
    <s v="Not Selected"/>
    <n v="6788"/>
    <n v="100222362"/>
    <s v="ONNSYNEX VENTURES PRIVATE LIMITED"/>
    <s v="2025"/>
    <s v="11"/>
    <x v="32"/>
    <n v="1600000270"/>
    <x v="5"/>
    <x v="31"/>
    <d v="2025-11-13T00:00:00"/>
    <s v="Na"/>
    <n v="256788420147"/>
    <s v="212100"/>
    <s v="Trade Debtors (Ctrl)"/>
    <s v=""/>
    <s v="11"/>
    <s v="USD"/>
    <n v="-4547.2"/>
    <s v="INR"/>
    <n v="-400169.02"/>
    <s v="O0"/>
    <s v="6788224500"/>
    <s v=""/>
    <s v="2125274"/>
    <s v="1"/>
    <s v="Credit note against - 256788410454"/>
    <s v=""/>
    <s v=""/>
    <s v=""/>
    <d v="2025-11-12T00:00:00"/>
    <m/>
    <s v=""/>
  </r>
  <r>
    <s v="Not Selected"/>
    <n v="6779"/>
    <n v="100222362"/>
    <s v="ONNSYNEX VENTURES PRIVATE LIMITED"/>
    <s v="2025"/>
    <s v="6"/>
    <x v="33"/>
    <n v="1800009582"/>
    <x v="4"/>
    <x v="32"/>
    <d v="2025-06-17T00:00:00"/>
    <s v="Na"/>
    <n v="256779414346"/>
    <s v="212100"/>
    <s v="Trade Debtors (Ctrl)"/>
    <s v=""/>
    <s v="01"/>
    <s v="USD"/>
    <n v="2322.04"/>
    <s v="INR"/>
    <n v="198513.01"/>
    <s v="O0"/>
    <s v="6779224500"/>
    <s v=""/>
    <s v="NA"/>
    <s v="1"/>
    <s v="CY Longstanding - March 25,16-31"/>
    <s v=""/>
    <s v=""/>
    <s v=""/>
    <d v="2025-06-13T00:00:00"/>
    <m/>
    <s v=""/>
  </r>
  <r>
    <s v="Not Selected"/>
    <n v="6788"/>
    <n v="100222362"/>
    <s v="ONNSYNEX VENTURES PRIVATE LIMITED"/>
    <s v="2025"/>
    <s v="5"/>
    <x v="34"/>
    <n v="1800000345"/>
    <x v="4"/>
    <x v="33"/>
    <d v="2025-05-23T00:00:00"/>
    <s v="Na"/>
    <n v="256788410220"/>
    <s v="212100"/>
    <s v="Trade Debtors (Ctrl)"/>
    <s v=""/>
    <s v="01"/>
    <s v="USD"/>
    <n v="67.2"/>
    <s v="INR"/>
    <n v="5778.1"/>
    <s v="O0"/>
    <s v="6788224500"/>
    <s v=""/>
    <s v="NA"/>
    <s v="1"/>
    <s v="Outbound chgs - 01 - 15 May 25"/>
    <s v=""/>
    <s v=""/>
    <s v=""/>
    <d v="2025-05-20T00:00:00"/>
    <m/>
    <s v=""/>
  </r>
  <r>
    <s v="Not Selected"/>
    <n v="6779"/>
    <n v="100222362"/>
    <s v="ONNSYNEX VENTURES PRIVATE LIMITED"/>
    <s v="2025"/>
    <s v="4"/>
    <x v="35"/>
    <n v="1800005306"/>
    <x v="4"/>
    <x v="34"/>
    <d v="2025-04-05T00:00:00"/>
    <s v="Na"/>
    <n v="256779410198"/>
    <s v="212100"/>
    <s v="Trade Debtors (Ctrl)"/>
    <s v=""/>
    <s v="01"/>
    <s v="USD"/>
    <n v="3.45"/>
    <s v="INR"/>
    <n v="299.88"/>
    <s v="O0"/>
    <s v=""/>
    <s v=""/>
    <s v="NA"/>
    <s v="1"/>
    <s v="VAS Activity -1 -15 Mar 25, Ex Rate. 87.01"/>
    <s v=""/>
    <s v=""/>
    <s v=""/>
    <d v="2025-04-03T00:00:00"/>
    <m/>
    <s v=""/>
  </r>
  <r>
    <s v="Not Selected"/>
    <n v="6788"/>
    <n v="100222362"/>
    <s v="ONNSYNEX VENTURES PRIVATE LIMITED"/>
    <s v="2025"/>
    <s v="10"/>
    <x v="36"/>
    <n v="1800000558"/>
    <x v="4"/>
    <x v="35"/>
    <d v="2025-10-21T00:00:00"/>
    <s v="Na"/>
    <n v="256788410435"/>
    <s v="212100"/>
    <s v="Trade Debtors (Ctrl)"/>
    <s v=""/>
    <s v="01"/>
    <s v="USD"/>
    <n v="38"/>
    <s v="INR"/>
    <n v="3351.25"/>
    <s v="O0"/>
    <s v="6788224500"/>
    <s v=""/>
    <s v="2114882"/>
    <s v="1"/>
    <s v="LCL chgs - 01 -15 OCT 25"/>
    <s v=""/>
    <s v=""/>
    <s v=""/>
    <d v="2025-10-20T00:00:00"/>
    <m/>
    <s v=""/>
  </r>
  <r>
    <s v="Not Selected"/>
    <n v="6788"/>
    <n v="100222362"/>
    <s v="ONNSYNEX VENTURES PRIVATE LIMITED"/>
    <s v="2025"/>
    <s v="10"/>
    <x v="36"/>
    <n v="1800000560"/>
    <x v="4"/>
    <x v="35"/>
    <d v="2025-10-21T00:00:00"/>
    <s v="Na"/>
    <n v="256788410437"/>
    <s v="212100"/>
    <s v="Trade Debtors (Ctrl)"/>
    <s v=""/>
    <s v="01"/>
    <s v="USD"/>
    <n v="346.14"/>
    <s v="INR"/>
    <n v="30526.35"/>
    <s v="O0"/>
    <s v="6788224500"/>
    <s v=""/>
    <s v="2114884"/>
    <s v="1"/>
    <s v="Outbound chgs - 01 - 15 OCT 25"/>
    <s v=""/>
    <s v=""/>
    <s v=""/>
    <d v="2025-10-20T00:00:00"/>
    <m/>
    <s v=""/>
  </r>
  <r>
    <s v="Not Selected"/>
    <n v="6788"/>
    <n v="100222362"/>
    <s v="ONNSYNEX VENTURES PRIVATE LIMITED"/>
    <s v="2025"/>
    <s v="4"/>
    <x v="37"/>
    <n v="1800000126"/>
    <x v="4"/>
    <x v="36"/>
    <d v="2025-04-05T00:00:00"/>
    <s v="Na"/>
    <n v="256788410001"/>
    <s v="212100"/>
    <s v="Trade Debtors (Ctrl)"/>
    <s v=""/>
    <s v="01"/>
    <s v="USD"/>
    <n v="10887.57"/>
    <s v="INR"/>
    <n v="946367.4"/>
    <s v="O0"/>
    <s v=""/>
    <s v=""/>
    <s v="NA"/>
    <s v="1"/>
    <s v="Storage Charges Jan, 25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27"/>
    <x v="4"/>
    <x v="36"/>
    <d v="2025-04-05T00:00:00"/>
    <s v="Na"/>
    <n v="256788410002"/>
    <s v="212100"/>
    <s v="Trade Debtors (Ctrl)"/>
    <s v=""/>
    <s v="01"/>
    <s v="USD"/>
    <n v="9928.89"/>
    <s v="INR"/>
    <n v="863037.19"/>
    <s v="O0"/>
    <s v=""/>
    <s v=""/>
    <s v="NA"/>
    <s v="1"/>
    <s v="Storage Charges Feb, 25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28"/>
    <x v="4"/>
    <x v="36"/>
    <d v="2025-04-05T00:00:00"/>
    <s v="Na"/>
    <n v="256788410003"/>
    <s v="212100"/>
    <s v="Trade Debtors (Ctrl)"/>
    <s v=""/>
    <s v="01"/>
    <s v="USD"/>
    <n v="4.5"/>
    <s v="INR"/>
    <n v="391.15"/>
    <s v="O0"/>
    <s v=""/>
    <s v=""/>
    <s v="NA"/>
    <s v="1"/>
    <s v="Outbound Handling charges for Jan 2025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29"/>
    <x v="4"/>
    <x v="36"/>
    <d v="2025-04-05T00:00:00"/>
    <s v="Na"/>
    <n v="256788410004"/>
    <s v="212100"/>
    <s v="Trade Debtors (Ctrl)"/>
    <s v=""/>
    <s v="01"/>
    <s v="USD"/>
    <n v="2786.28"/>
    <s v="INR"/>
    <n v="242188.53"/>
    <s v="O0"/>
    <s v=""/>
    <s v=""/>
    <s v="NA"/>
    <s v="1"/>
    <s v="CY Longstanding Ground Rent charges for Dec 2024.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34"/>
    <x v="4"/>
    <x v="36"/>
    <d v="2025-04-05T00:00:00"/>
    <s v="Na"/>
    <n v="256788410009"/>
    <s v="212100"/>
    <s v="Trade Debtors (Ctrl)"/>
    <s v=""/>
    <s v="01"/>
    <s v="USD"/>
    <n v="2934.66"/>
    <s v="INR"/>
    <n v="255085.99"/>
    <s v="O0"/>
    <s v=""/>
    <s v=""/>
    <s v="NA"/>
    <s v="1"/>
    <s v="CY Longstanding Ground Rent charges for Nov 2024.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38"/>
    <x v="4"/>
    <x v="36"/>
    <d v="2025-04-05T00:00:00"/>
    <s v="Na"/>
    <n v="256788410013"/>
    <s v="212100"/>
    <s v="Trade Debtors (Ctrl)"/>
    <s v=""/>
    <s v="01"/>
    <s v="USD"/>
    <n v="2935.55"/>
    <s v="INR"/>
    <n v="255163.35"/>
    <s v="O0"/>
    <s v=""/>
    <s v=""/>
    <s v="NA"/>
    <s v="1"/>
    <s v="CY Longstanding Ground Rent charges for Oct 2024.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41"/>
    <x v="4"/>
    <x v="36"/>
    <d v="2025-04-05T00:00:00"/>
    <s v="Na"/>
    <n v="256788410016"/>
    <s v="212100"/>
    <s v="Trade Debtors (Ctrl)"/>
    <s v=""/>
    <s v="01"/>
    <s v="USD"/>
    <n v="3979.2"/>
    <s v="INR"/>
    <n v="345879.31"/>
    <s v="O0"/>
    <s v=""/>
    <s v=""/>
    <s v="NA"/>
    <s v="1"/>
    <s v="CY Longstanding Ground Rent charges for Sept 2024."/>
    <s v=""/>
    <s v=""/>
    <s v=""/>
    <d v="2025-04-02T00:00:00"/>
    <m/>
    <s v=""/>
  </r>
  <r>
    <s v="Selected"/>
    <n v="6788"/>
    <n v="100222362"/>
    <s v="ONNSYNEX VENTURES PRIVATE LIMITED"/>
    <s v="2025"/>
    <s v="4"/>
    <x v="37"/>
    <n v="1800000144"/>
    <x v="4"/>
    <x v="36"/>
    <d v="2025-04-05T00:00:00"/>
    <s v="Na"/>
    <n v="256788410019"/>
    <s v="212100"/>
    <s v="Trade Debtors (Ctrl)"/>
    <s v=""/>
    <s v="01"/>
    <s v="USD"/>
    <n v="75"/>
    <s v="INR"/>
    <n v="6519.14"/>
    <s v="O0"/>
    <s v=""/>
    <s v=""/>
    <s v="NA"/>
    <s v="1"/>
    <s v="Fixed Rental charges for Feb 2025"/>
    <s v=""/>
    <s v=""/>
    <s v=""/>
    <d v="2025-04-02T00:00:00"/>
    <d v="2025-11-15T00:00:00"/>
    <s v="1400000084"/>
  </r>
  <r>
    <s v="Selected"/>
    <n v="6788"/>
    <n v="100222362"/>
    <s v="ONNSYNEX VENTURES PRIVATE LIMITED"/>
    <s v="2025"/>
    <s v="4"/>
    <x v="37"/>
    <n v="1800000148"/>
    <x v="4"/>
    <x v="36"/>
    <d v="2025-04-05T00:00:00"/>
    <s v="Na"/>
    <n v="256788410023"/>
    <s v="212100"/>
    <s v="Trade Debtors (Ctrl)"/>
    <s v=""/>
    <s v="01"/>
    <s v="USD"/>
    <n v="75"/>
    <s v="INR"/>
    <n v="6519.14"/>
    <s v="O0"/>
    <s v=""/>
    <s v=""/>
    <s v="NA"/>
    <s v="1"/>
    <s v="Fixed Rental charges for Jan 2025"/>
    <s v=""/>
    <s v=""/>
    <s v=""/>
    <d v="2025-04-02T00:00:00"/>
    <d v="2025-11-15T00:00:00"/>
    <s v="1400000084"/>
  </r>
  <r>
    <s v="Not Selected"/>
    <n v="6788"/>
    <n v="100222362"/>
    <s v="ONNSYNEX VENTURES PRIVATE LIMITED"/>
    <s v="2025"/>
    <s v="12"/>
    <x v="38"/>
    <n v="1800000608"/>
    <x v="4"/>
    <x v="37"/>
    <d v="2025-12-09T00:00:00"/>
    <s v="Na"/>
    <n v="256788410465"/>
    <s v="212100"/>
    <s v="Trade Debtors (Ctrl)"/>
    <s v=""/>
    <s v="01"/>
    <s v="USD"/>
    <n v="3385.09"/>
    <s v="INR"/>
    <n v="300257.96000000002"/>
    <s v="O0"/>
    <s v="6788224500"/>
    <s v=""/>
    <s v="2139801"/>
    <s v="1"/>
    <s v="Unit-Storage-1-30 Nov 25"/>
    <s v=""/>
    <s v=""/>
    <s v=""/>
    <d v="2025-12-04T00:00:00"/>
    <m/>
    <s v=""/>
  </r>
  <r>
    <s v="Not Selected"/>
    <n v="6788"/>
    <n v="100222362"/>
    <s v="ONNSYNEX VENTURES PRIVATE LIMITED"/>
    <s v="2025"/>
    <s v="12"/>
    <x v="38"/>
    <n v="1800000609"/>
    <x v="4"/>
    <x v="37"/>
    <d v="2025-12-09T00:00:00"/>
    <s v="Na"/>
    <n v="256788410466"/>
    <s v="212100"/>
    <s v="Trade Debtors (Ctrl)"/>
    <s v=""/>
    <s v="01"/>
    <s v="USD"/>
    <n v="75"/>
    <s v="INR"/>
    <n v="6652.51"/>
    <s v="O0"/>
    <s v="6788224500"/>
    <s v=""/>
    <s v="2139802"/>
    <s v="1"/>
    <s v="Fixed Storage Charges for December 2025"/>
    <s v=""/>
    <s v=""/>
    <s v=""/>
    <d v="2025-12-04T00:00:00"/>
    <m/>
    <s v=""/>
  </r>
  <r>
    <s v="Not Selected"/>
    <n v="6788"/>
    <n v="100222362"/>
    <s v="ONNSYNEX VENTURES PRIVATE LIMITED"/>
    <s v="2025"/>
    <s v="3"/>
    <x v="39"/>
    <n v="1800000084"/>
    <x v="4"/>
    <x v="38"/>
    <d v="2025-03-19T00:00:00"/>
    <s v="Na"/>
    <n v="246788410079"/>
    <s v="212100"/>
    <s v="Trade Debtors (Ctrl)"/>
    <s v=""/>
    <s v="01"/>
    <s v="USD"/>
    <n v="75"/>
    <s v="INR"/>
    <n v="6501.84"/>
    <s v="O0"/>
    <s v="6788224500"/>
    <s v=""/>
    <s v="NA"/>
    <s v="1"/>
    <s v="Fixed Rental charges for March 2025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86"/>
    <x v="4"/>
    <x v="38"/>
    <d v="2025-03-19T00:00:00"/>
    <s v="Na"/>
    <n v="246788410081"/>
    <s v="212100"/>
    <s v="Trade Debtors (Ctrl)"/>
    <s v=""/>
    <s v="01"/>
    <s v="USD"/>
    <n v="2"/>
    <s v="INR"/>
    <n v="173.38"/>
    <s v="O0"/>
    <s v="6788224500"/>
    <s v=""/>
    <s v="NA"/>
    <s v="1"/>
    <s v="Outbound Handling charges for Feb 2025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87"/>
    <x v="4"/>
    <x v="38"/>
    <d v="2025-03-19T00:00:00"/>
    <s v="Na"/>
    <n v="246788410082"/>
    <s v="212100"/>
    <s v="Trade Debtors (Ctrl)"/>
    <s v=""/>
    <s v="01"/>
    <s v="USD"/>
    <n v="40"/>
    <s v="INR"/>
    <n v="3467.65"/>
    <s v="O0"/>
    <s v="6788224500"/>
    <s v=""/>
    <s v="NA"/>
    <s v="1"/>
    <s v="Outbound Handling charges for Feb 2025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0"/>
    <x v="4"/>
    <x v="38"/>
    <d v="2025-03-19T00:00:00"/>
    <s v="Na"/>
    <n v="246788410085"/>
    <s v="212100"/>
    <s v="Trade Debtors (Ctrl)"/>
    <s v=""/>
    <s v="01"/>
    <s v="USD"/>
    <n v="1324"/>
    <s v="INR"/>
    <n v="114779.23"/>
    <s v="O0"/>
    <s v="6788224500"/>
    <s v=""/>
    <s v="NA"/>
    <s v="1"/>
    <s v="Outbound Handling charges for Sep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1"/>
    <x v="4"/>
    <x v="38"/>
    <d v="2025-03-19T00:00:00"/>
    <s v="Na"/>
    <n v="246788410086"/>
    <s v="212100"/>
    <s v="Trade Debtors (Ctrl)"/>
    <s v=""/>
    <s v="01"/>
    <s v="USD"/>
    <n v="0.5"/>
    <s v="INR"/>
    <n v="43.35"/>
    <s v="O0"/>
    <s v="6788224500"/>
    <s v=""/>
    <s v="NA"/>
    <s v="1"/>
    <s v="Loose Loading Handling charges for Sep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6"/>
    <x v="4"/>
    <x v="38"/>
    <d v="2025-03-19T00:00:00"/>
    <s v="Na"/>
    <n v="246788410088"/>
    <s v="212100"/>
    <s v="Trade Debtors (Ctrl)"/>
    <s v=""/>
    <s v="01"/>
    <s v="USD"/>
    <n v="10"/>
    <s v="INR"/>
    <n v="866.91"/>
    <s v="O0"/>
    <s v="6788224500"/>
    <s v=""/>
    <s v="NA"/>
    <s v="1"/>
    <s v="Outbound Handling charges for Nov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7"/>
    <x v="4"/>
    <x v="38"/>
    <d v="2025-03-19T00:00:00"/>
    <s v="Na"/>
    <n v="246788410089"/>
    <s v="212100"/>
    <s v="Trade Debtors (Ctrl)"/>
    <s v=""/>
    <s v="01"/>
    <s v="USD"/>
    <n v="0.63"/>
    <s v="INR"/>
    <n v="54.62"/>
    <s v="O0"/>
    <s v="6788224500"/>
    <s v=""/>
    <s v="NA"/>
    <s v="1"/>
    <s v="Loose handling Charges for Nov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3"/>
    <x v="4"/>
    <x v="38"/>
    <d v="2025-03-19T00:00:00"/>
    <s v="Na"/>
    <n v="246788410091"/>
    <s v="212100"/>
    <s v="Trade Debtors (Ctrl)"/>
    <s v=""/>
    <s v="01"/>
    <s v="USD"/>
    <n v="31.2"/>
    <s v="INR"/>
    <n v="2704.77"/>
    <s v="O0"/>
    <s v="6788224500"/>
    <s v=""/>
    <s v="NA"/>
    <s v="1"/>
    <s v="Outbound Handling charges for Oct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4"/>
    <x v="4"/>
    <x v="38"/>
    <d v="2025-03-19T00:00:00"/>
    <s v="Na"/>
    <n v="246788410092"/>
    <s v="212100"/>
    <s v="Trade Debtors (Ctrl)"/>
    <s v=""/>
    <s v="01"/>
    <s v="USD"/>
    <n v="1.9"/>
    <s v="INR"/>
    <n v="164.71"/>
    <s v="O0"/>
    <s v="6788224500"/>
    <s v=""/>
    <s v="NA"/>
    <s v="1"/>
    <s v="Loose handling Charges for Oct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8"/>
    <x v="4"/>
    <x v="38"/>
    <d v="2025-03-19T00:00:00"/>
    <s v="Na"/>
    <n v="246788410093"/>
    <s v="212100"/>
    <s v="Trade Debtors (Ctrl)"/>
    <s v=""/>
    <s v="01"/>
    <s v="USD"/>
    <n v="14"/>
    <s v="INR"/>
    <n v="1213.68"/>
    <s v="O0"/>
    <s v="6788224500"/>
    <s v=""/>
    <s v="NA"/>
    <s v="1"/>
    <s v="Outbound Handling charges for Dec 2024"/>
    <s v=""/>
    <s v=""/>
    <s v=""/>
    <d v="2025-03-18T00:00:00"/>
    <m/>
    <s v=""/>
  </r>
  <r>
    <s v="Not Selected"/>
    <n v="6788"/>
    <n v="100222362"/>
    <s v="ONNSYNEX VENTURES PRIVATE LIMITED"/>
    <s v="2025"/>
    <s v="3"/>
    <x v="40"/>
    <n v="1800000103"/>
    <x v="4"/>
    <x v="39"/>
    <d v="2025-03-19T00:00:00"/>
    <s v="Na"/>
    <n v="246788410097"/>
    <s v="212100"/>
    <s v="Trade Debtors (Ctrl)"/>
    <s v=""/>
    <s v="01"/>
    <s v="USD"/>
    <n v="12"/>
    <s v="INR"/>
    <n v="1040.3"/>
    <s v="O0"/>
    <s v="6788224500"/>
    <s v=""/>
    <s v="NA"/>
    <s v="1"/>
    <s v="Inbound Handling charges for Sep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4"/>
    <x v="4"/>
    <x v="39"/>
    <d v="2025-03-19T00:00:00"/>
    <s v="Na"/>
    <n v="246788410098"/>
    <s v="212100"/>
    <s v="Trade Debtors (Ctrl)"/>
    <s v=""/>
    <s v="01"/>
    <s v="USD"/>
    <n v="5.2"/>
    <s v="INR"/>
    <n v="450.79"/>
    <s v="O0"/>
    <s v="6788224500"/>
    <s v=""/>
    <s v="NA"/>
    <s v="1"/>
    <s v="LCL charges for Sep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7"/>
    <x v="4"/>
    <x v="39"/>
    <d v="2025-03-19T00:00:00"/>
    <s v="Na"/>
    <n v="246788410101"/>
    <s v="212100"/>
    <s v="Trade Debtors (Ctrl)"/>
    <s v=""/>
    <s v="01"/>
    <s v="USD"/>
    <n v="1.1200000000000001"/>
    <s v="INR"/>
    <n v="97.09"/>
    <s v="O0"/>
    <s v="6788224500"/>
    <s v=""/>
    <s v="NA"/>
    <s v="1"/>
    <s v="Loose handling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8"/>
    <x v="4"/>
    <x v="39"/>
    <d v="2025-03-19T00:00:00"/>
    <s v="Na"/>
    <n v="246788410102"/>
    <s v="212100"/>
    <s v="Trade Debtors (Ctrl)"/>
    <s v=""/>
    <s v="01"/>
    <s v="USD"/>
    <n v="56"/>
    <s v="INR"/>
    <n v="4854.71"/>
    <s v="O0"/>
    <s v="6788224500"/>
    <s v=""/>
    <s v="NA"/>
    <s v="1"/>
    <s v="Inbound Handling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9"/>
    <x v="4"/>
    <x v="39"/>
    <d v="2025-03-19T00:00:00"/>
    <s v="Na"/>
    <n v="246788410103"/>
    <s v="212100"/>
    <s v="Trade Debtors (Ctrl)"/>
    <s v=""/>
    <s v="01"/>
    <s v="USD"/>
    <n v="24"/>
    <s v="INR"/>
    <n v="2080.59"/>
    <s v="O0"/>
    <s v="6788224500"/>
    <s v=""/>
    <s v="NA"/>
    <s v="1"/>
    <s v="LCL Movement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2"/>
    <x v="4"/>
    <x v="39"/>
    <d v="2025-03-19T00:00:00"/>
    <s v="Na"/>
    <n v="246788410106"/>
    <s v="212100"/>
    <s v="Trade Debtors (Ctrl)"/>
    <s v=""/>
    <s v="01"/>
    <s v="USD"/>
    <n v="24"/>
    <s v="INR"/>
    <n v="2080.59"/>
    <s v="O0"/>
    <s v="6788224500"/>
    <s v=""/>
    <s v="NA"/>
    <s v="1"/>
    <s v="LCL Movement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3"/>
    <x v="4"/>
    <x v="39"/>
    <d v="2025-03-19T00:00:00"/>
    <s v="Na"/>
    <n v="246788410107"/>
    <s v="212100"/>
    <s v="Trade Debtors (Ctrl)"/>
    <s v=""/>
    <s v="01"/>
    <s v="USD"/>
    <n v="68.22"/>
    <s v="INR"/>
    <n v="5914.08"/>
    <s v="O0"/>
    <s v="6788224500"/>
    <s v=""/>
    <s v="NA"/>
    <s v="1"/>
    <s v="Inbound Handling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4"/>
    <x v="4"/>
    <x v="39"/>
    <d v="2025-03-19T00:00:00"/>
    <s v="Na"/>
    <n v="246788410108"/>
    <s v="212100"/>
    <s v="Trade Debtors (Ctrl)"/>
    <s v=""/>
    <s v="01"/>
    <s v="USD"/>
    <n v="0.5"/>
    <s v="INR"/>
    <n v="43.35"/>
    <s v="O0"/>
    <s v="6788224500"/>
    <s v=""/>
    <s v="NA"/>
    <s v="1"/>
    <s v="Loose handling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5"/>
    <x v="4"/>
    <x v="39"/>
    <d v="2025-03-19T00:00:00"/>
    <s v="Na"/>
    <n v="246788410109"/>
    <s v="212100"/>
    <s v="Trade Debtors (Ctrl)"/>
    <s v=""/>
    <s v="01"/>
    <s v="USD"/>
    <n v="2342.8000000000002"/>
    <s v="INR"/>
    <n v="203100.28"/>
    <s v="O0"/>
    <s v="6788224500"/>
    <s v=""/>
    <s v="NA"/>
    <s v="1"/>
    <s v="Inbound Handling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6"/>
    <x v="4"/>
    <x v="39"/>
    <d v="2025-03-19T00:00:00"/>
    <s v="Na"/>
    <n v="246788410110"/>
    <s v="212100"/>
    <s v="Trade Debtors (Ctrl)"/>
    <s v=""/>
    <s v="01"/>
    <s v="USD"/>
    <n v="456"/>
    <s v="INR"/>
    <n v="39531.21"/>
    <s v="O0"/>
    <s v="6788224500"/>
    <s v=""/>
    <s v="NA"/>
    <s v="1"/>
    <s v="LCL Movement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7"/>
    <x v="4"/>
    <x v="39"/>
    <d v="2025-03-19T00:00:00"/>
    <s v="Na"/>
    <n v="246788410111"/>
    <s v="212100"/>
    <s v="Trade Debtors (Ctrl)"/>
    <s v=""/>
    <s v="01"/>
    <s v="USD"/>
    <n v="14"/>
    <s v="INR"/>
    <n v="1213.68"/>
    <s v="O0"/>
    <s v="6788224500"/>
    <s v=""/>
    <s v="NA"/>
    <s v="1"/>
    <s v="Inbound Handling charges for Jan 2025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8"/>
    <x v="4"/>
    <x v="39"/>
    <d v="2025-03-19T00:00:00"/>
    <s v="Na"/>
    <n v="246788410112"/>
    <s v="212100"/>
    <s v="Trade Debtors (Ctrl)"/>
    <s v=""/>
    <s v="01"/>
    <s v="USD"/>
    <n v="1"/>
    <s v="INR"/>
    <n v="86.69"/>
    <s v="O0"/>
    <s v="6788224500"/>
    <s v=""/>
    <s v="NA"/>
    <s v="1"/>
    <s v="Loose handling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0"/>
    <x v="4"/>
    <x v="39"/>
    <d v="2025-03-19T00:00:00"/>
    <s v="Na"/>
    <n v="246788410114"/>
    <s v="212100"/>
    <s v="Trade Debtors (Ctrl)"/>
    <s v=""/>
    <s v="01"/>
    <s v="USD"/>
    <n v="52.7"/>
    <s v="INR"/>
    <n v="4568.63"/>
    <s v="O0"/>
    <s v="6788224500"/>
    <s v=""/>
    <s v="NA"/>
    <s v="1"/>
    <s v="Port SSR Charges - Shifting for Aug to Dec,24. Exc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1"/>
    <x v="4"/>
    <x v="39"/>
    <d v="2025-03-19T00:00:00"/>
    <s v="Na"/>
    <n v="246788410115"/>
    <s v="212100"/>
    <s v="Trade Debtors (Ctrl)"/>
    <s v=""/>
    <s v="01"/>
    <s v="USD"/>
    <n v="2293.63"/>
    <s v="INR"/>
    <n v="198837.67"/>
    <s v="O0"/>
    <s v="6788224500"/>
    <s v=""/>
    <s v="NA"/>
    <s v="1"/>
    <s v="Ground Rent Jan 25 Exch Rate 86.6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2"/>
    <x v="4"/>
    <x v="39"/>
    <d v="2025-03-19T00:00:00"/>
    <s v="Na"/>
    <n v="246788410116"/>
    <s v="212100"/>
    <s v="Trade Debtors (Ctrl)"/>
    <s v=""/>
    <s v="01"/>
    <s v="USD"/>
    <n v="2273.6799999999998"/>
    <s v="INR"/>
    <n v="197108.18"/>
    <s v="O0"/>
    <s v="6788224500"/>
    <s v=""/>
    <s v="NA"/>
    <s v="1"/>
    <s v="Ground Rent Feb 25 Exch Rate 87.40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3"/>
    <x v="4"/>
    <x v="39"/>
    <d v="2025-03-19T00:00:00"/>
    <s v="Na"/>
    <n v="246788410117"/>
    <s v="212100"/>
    <s v="Trade Debtors (Ctrl)"/>
    <s v=""/>
    <s v="01"/>
    <s v="USD"/>
    <n v="66.73"/>
    <s v="INR"/>
    <n v="5784.91"/>
    <s v="O0"/>
    <s v="6788224500"/>
    <s v=""/>
    <s v="NA"/>
    <s v="1"/>
    <s v="Ground Rent Jan 1-15 Exch Rate 85.62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4"/>
    <x v="4"/>
    <x v="39"/>
    <d v="2025-03-19T00:00:00"/>
    <s v="Na"/>
    <n v="246788410118"/>
    <s v="212100"/>
    <s v="Trade Debtors (Ctrl)"/>
    <s v=""/>
    <s v="01"/>
    <s v="USD"/>
    <n v="149.72999999999999"/>
    <s v="INR"/>
    <n v="12980.28"/>
    <s v="O0"/>
    <s v="6788224500"/>
    <s v=""/>
    <s v="NA"/>
    <s v="1"/>
    <s v="Ground Rent Jan 16-31 Exch Rate 85.62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5"/>
    <x v="4"/>
    <x v="39"/>
    <d v="2025-03-19T00:00:00"/>
    <s v="Na"/>
    <n v="246788410119"/>
    <s v="212100"/>
    <s v="Trade Debtors (Ctrl)"/>
    <s v=""/>
    <s v="01"/>
    <s v="USD"/>
    <n v="102.97"/>
    <s v="INR"/>
    <n v="8926.6"/>
    <s v="O0"/>
    <s v="6788224500"/>
    <s v=""/>
    <s v="NA"/>
    <s v="1"/>
    <s v="Detention Charges for FEB 2025 Exch. Rate 87.40"/>
    <s v=""/>
    <s v=""/>
    <s v=""/>
    <d v="2025-03-19T00:00:00"/>
    <m/>
    <s v=""/>
  </r>
  <r>
    <s v="Not Selected"/>
    <n v="6788"/>
    <n v="100222362"/>
    <s v="ONNSYNEX VENTURES PRIVATE LIMITED"/>
    <s v="2025"/>
    <s v="9"/>
    <x v="41"/>
    <n v="1800000516"/>
    <x v="4"/>
    <x v="40"/>
    <d v="2025-09-26T00:00:00"/>
    <s v="Na"/>
    <n v="256788410391"/>
    <s v="212100"/>
    <s v="Trade Debtors (Ctrl)"/>
    <s v=""/>
    <s v="01"/>
    <s v="USD"/>
    <n v="9"/>
    <s v="INR"/>
    <n v="774.01"/>
    <s v="O0"/>
    <s v="6788224500"/>
    <s v=""/>
    <s v="2105240"/>
    <s v="1"/>
    <s v="Outbound chgs - 01 - 15 JUL 25"/>
    <s v=""/>
    <s v=""/>
    <s v=""/>
    <d v="2025-09-24T00:00:00"/>
    <m/>
    <s v=""/>
  </r>
  <r>
    <s v="Not Selected"/>
    <n v="6788"/>
    <n v="100222362"/>
    <s v="ONNSYNEX VENTURES PRIVATE LIMITED"/>
    <s v="2025"/>
    <s v="11"/>
    <x v="42"/>
    <n v="1800000595"/>
    <x v="4"/>
    <x v="41"/>
    <d v="2025-11-21T00:00:00"/>
    <s v="Na"/>
    <n v="256788410460"/>
    <s v="212100"/>
    <s v="Trade Debtors (Ctrl)"/>
    <s v=""/>
    <s v="01"/>
    <s v="USD"/>
    <n v="78.319999999999993"/>
    <s v="INR"/>
    <n v="6892.43"/>
    <s v="O0"/>
    <s v="6788224500"/>
    <s v=""/>
    <s v="2130553"/>
    <s v="1"/>
    <s v="VAS-Nov 1-15, 2025"/>
    <s v=""/>
    <s v=""/>
    <s v=""/>
    <d v="2025-11-20T00:00:00"/>
    <m/>
    <s v=""/>
  </r>
  <r>
    <s v="Not Selected"/>
    <n v="6788"/>
    <n v="100222362"/>
    <s v="ONNSYNEX VENTURES PRIVATE LIMITED"/>
    <s v="2025"/>
    <s v="11"/>
    <x v="42"/>
    <n v="1800000597"/>
    <x v="4"/>
    <x v="41"/>
    <d v="2025-11-21T00:00:00"/>
    <s v="Na"/>
    <n v="256788410462"/>
    <s v="212100"/>
    <s v="Trade Debtors (Ctrl)"/>
    <s v=""/>
    <s v="01"/>
    <s v="USD"/>
    <n v="13.52"/>
    <s v="INR"/>
    <n v="1189.81"/>
    <s v="O0"/>
    <s v="6788224500"/>
    <s v=""/>
    <s v="2130553"/>
    <s v="1"/>
    <s v="Weighment-Nov 1-15, 2025"/>
    <s v=""/>
    <s v=""/>
    <s v=""/>
    <d v="2025-11-20T00:00:00"/>
    <m/>
    <s v=""/>
  </r>
  <r>
    <s v="Not Selected"/>
    <n v="6779"/>
    <n v="100222362"/>
    <s v="ONNSYNEX VENTURES PRIVATE LIMITED"/>
    <s v="2025"/>
    <s v="4"/>
    <x v="43"/>
    <n v="1800007591"/>
    <x v="4"/>
    <x v="42"/>
    <d v="2025-04-23T00:00:00"/>
    <s v="Na"/>
    <n v="256779412482"/>
    <s v="212100"/>
    <s v="Trade Debtors (Ctrl)"/>
    <s v=""/>
    <s v="01"/>
    <s v="USD"/>
    <n v="94.08"/>
    <s v="INR"/>
    <n v="8177.6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n v="6779"/>
    <n v="100222362"/>
    <s v="ONNSYNEX VENTURES PRIVATE LIMITED"/>
    <s v="2025"/>
    <s v="4"/>
    <x v="43"/>
    <n v="1800007607"/>
    <x v="4"/>
    <x v="42"/>
    <d v="2025-04-23T00:00:00"/>
    <s v="Na"/>
    <n v="256779412498"/>
    <s v="212100"/>
    <s v="Trade Debtors (Ctrl)"/>
    <s v=""/>
    <s v="01"/>
    <s v="USD"/>
    <n v="25.32"/>
    <s v="INR"/>
    <n v="2200.86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190"/>
    <x v="4"/>
    <x v="42"/>
    <d v="2025-04-24T00:00:00"/>
    <s v="Na"/>
    <n v="256788410065"/>
    <s v="212100"/>
    <s v="Trade Debtors (Ctrl)"/>
    <s v=""/>
    <s v="01"/>
    <s v="USD"/>
    <n v="24.38"/>
    <s v="INR"/>
    <n v="2119.15"/>
    <s v="O0"/>
    <s v="6788224500"/>
    <s v=""/>
    <s v="NA"/>
    <s v="1"/>
    <s v="Inbound Handling Charges Aug 20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87"/>
    <x v="4"/>
    <x v="42"/>
    <d v="2025-04-24T00:00:00"/>
    <s v="Na"/>
    <n v="256788410162"/>
    <s v="212100"/>
    <s v="Trade Debtors (Ctrl)"/>
    <s v=""/>
    <s v="01"/>
    <s v="USD"/>
    <n v="5.46"/>
    <s v="INR"/>
    <n v="474.59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88"/>
    <x v="4"/>
    <x v="42"/>
    <d v="2025-04-24T00:00:00"/>
    <s v="Na"/>
    <n v="256788410163"/>
    <s v="212100"/>
    <s v="Trade Debtors (Ctrl)"/>
    <s v=""/>
    <s v="01"/>
    <s v="USD"/>
    <n v="3.5"/>
    <s v="INR"/>
    <n v="304.23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89"/>
    <x v="4"/>
    <x v="42"/>
    <d v="2025-04-24T00:00:00"/>
    <s v="Na"/>
    <n v="256788410164"/>
    <s v="212100"/>
    <s v="Trade Debtors (Ctrl)"/>
    <s v=""/>
    <s v="01"/>
    <s v="USD"/>
    <n v="5.6"/>
    <s v="INR"/>
    <n v="486.76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90"/>
    <x v="4"/>
    <x v="42"/>
    <d v="2025-04-24T00:00:00"/>
    <s v="Na"/>
    <n v="256788410165"/>
    <s v="212100"/>
    <s v="Trade Debtors (Ctrl)"/>
    <s v=""/>
    <s v="01"/>
    <s v="USD"/>
    <n v="5.6"/>
    <s v="INR"/>
    <n v="486.76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91"/>
    <x v="4"/>
    <x v="42"/>
    <d v="2025-04-24T00:00:00"/>
    <s v="Na"/>
    <n v="256788410166"/>
    <s v="212100"/>
    <s v="Trade Debtors (Ctrl)"/>
    <s v=""/>
    <s v="01"/>
    <s v="USD"/>
    <n v="11.6"/>
    <s v="INR"/>
    <n v="1008.29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328"/>
    <x v="4"/>
    <x v="42"/>
    <d v="2025-04-24T00:00:00"/>
    <s v="Na"/>
    <n v="256788410203"/>
    <s v="212100"/>
    <s v="Trade Debtors (Ctrl)"/>
    <s v=""/>
    <s v="01"/>
    <s v="USD"/>
    <n v="80.67"/>
    <s v="INR"/>
    <n v="7011.98"/>
    <s v="O0"/>
    <s v="6788224500"/>
    <s v=""/>
    <s v="NA"/>
    <s v="1"/>
    <s v="Inbound Handling charges for 31 Mar 2025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330"/>
    <x v="4"/>
    <x v="42"/>
    <d v="2025-04-24T00:00:00"/>
    <s v="Na"/>
    <n v="256788410205"/>
    <s v="212100"/>
    <s v="Trade Debtors (Ctrl)"/>
    <s v=""/>
    <s v="01"/>
    <s v="USD"/>
    <n v="99.12"/>
    <s v="INR"/>
    <n v="8615.69"/>
    <s v="O0"/>
    <s v="6788224500"/>
    <s v=""/>
    <s v="NA"/>
    <s v="1"/>
    <s v="Outbound Handling charges for 31 Mar 2025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331"/>
    <x v="4"/>
    <x v="42"/>
    <d v="2025-04-24T00:00:00"/>
    <s v="Na"/>
    <n v="256788410206"/>
    <s v="212100"/>
    <s v="Trade Debtors (Ctrl)"/>
    <s v=""/>
    <s v="01"/>
    <s v="USD"/>
    <n v="10803.4"/>
    <s v="INR"/>
    <n v="939051.19"/>
    <s v="O0"/>
    <s v="6788224500"/>
    <s v=""/>
    <s v="NA"/>
    <s v="1"/>
    <s v="Storage Charges March, 25"/>
    <s v=""/>
    <s v=""/>
    <s v=""/>
    <d v="2025-04-22T00:00:00"/>
    <m/>
    <s v=""/>
  </r>
  <r>
    <s v="Not Selected"/>
    <n v="6788"/>
    <n v="100222362"/>
    <s v="ONNSYNEX VENTURES PRIVATE LIMITED"/>
    <s v="2025"/>
    <s v="9"/>
    <x v="44"/>
    <n v="1800000498"/>
    <x v="4"/>
    <x v="43"/>
    <d v="2025-09-22T00:00:00"/>
    <s v="Na"/>
    <n v="256788410373"/>
    <s v="212100"/>
    <s v="Trade Debtors (Ctrl)"/>
    <s v=""/>
    <s v="01"/>
    <s v="USD"/>
    <n v="472"/>
    <s v="INR"/>
    <n v="41306.76"/>
    <s v="O0"/>
    <s v="6788224500"/>
    <s v=""/>
    <s v="2102481"/>
    <s v="1"/>
    <s v="Transportation IN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x v="44"/>
    <n v="1800000500"/>
    <x v="4"/>
    <x v="43"/>
    <d v="2025-09-22T00:00:00"/>
    <s v="Na"/>
    <n v="256788410375"/>
    <s v="212100"/>
    <s v="Trade Debtors (Ctrl)"/>
    <s v=""/>
    <s v="01"/>
    <s v="USD"/>
    <n v="200"/>
    <s v="INR"/>
    <n v="17502.87"/>
    <s v="O0"/>
    <s v="6788224500"/>
    <s v=""/>
    <s v="2102481"/>
    <s v="1"/>
    <s v="Transportation IN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x v="44"/>
    <n v="1800000501"/>
    <x v="4"/>
    <x v="43"/>
    <d v="2025-09-22T00:00:00"/>
    <s v="Na"/>
    <n v="256788410376"/>
    <s v="212100"/>
    <s v="Trade Debtors (Ctrl)"/>
    <s v=""/>
    <s v="01"/>
    <s v="USD"/>
    <n v="1125.6400000000001"/>
    <s v="INR"/>
    <n v="98509.63"/>
    <s v="O0"/>
    <s v="6788224500"/>
    <s v=""/>
    <s v="2102475"/>
    <s v="1"/>
    <s v="CY Ground rent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x v="44"/>
    <n v="1800000503"/>
    <x v="4"/>
    <x v="43"/>
    <d v="2025-09-22T00:00:00"/>
    <s v="Na"/>
    <n v="256788410378"/>
    <s v="212100"/>
    <s v="Trade Debtors (Ctrl)"/>
    <s v=""/>
    <s v="01"/>
    <s v="USD"/>
    <n v="46"/>
    <s v="INR"/>
    <n v="4025.66"/>
    <s v="O0"/>
    <s v="6788224500"/>
    <s v=""/>
    <s v="2102482"/>
    <s v="1"/>
    <s v="Transportation Out chgs - 01 - 15 SEP 25"/>
    <s v=""/>
    <s v=""/>
    <s v=""/>
    <d v="2025-09-18T00:00:00"/>
    <m/>
    <s v=""/>
  </r>
  <r>
    <s v="Not Selected"/>
    <n v="6788"/>
    <n v="100222362"/>
    <s v="ONNSYNEX VENTURES PRIVATE LIMITED"/>
    <s v="2025"/>
    <s v="12"/>
    <x v="45"/>
    <n v="1800000601"/>
    <x v="4"/>
    <x v="44"/>
    <d v="2025-12-09T00:00:00"/>
    <s v="Na"/>
    <n v="256788410474"/>
    <s v="212100"/>
    <s v="Trade Debtors (Ctrl)"/>
    <s v=""/>
    <s v="01"/>
    <s v="USD"/>
    <n v="238"/>
    <s v="INR"/>
    <n v="21110.63"/>
    <s v="O0"/>
    <s v="6788224500"/>
    <s v=""/>
    <s v="2140085"/>
    <s v="1"/>
    <s v="Transportation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2"/>
    <x v="4"/>
    <x v="44"/>
    <d v="2025-12-09T00:00:00"/>
    <s v="Na"/>
    <n v="256788410475"/>
    <s v="212100"/>
    <s v="Trade Debtors (Ctrl)"/>
    <s v=""/>
    <s v="01"/>
    <s v="USD"/>
    <n v="40"/>
    <s v="INR"/>
    <n v="3548.01"/>
    <s v="O0"/>
    <s v="6788224500"/>
    <s v=""/>
    <s v="2140085"/>
    <s v="1"/>
    <s v="Sacnning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3"/>
    <x v="4"/>
    <x v="44"/>
    <d v="2025-12-09T00:00:00"/>
    <s v="Na"/>
    <n v="256788410476"/>
    <s v="212100"/>
    <s v="Trade Debtors (Ctrl)"/>
    <s v=""/>
    <s v="01"/>
    <s v="USD"/>
    <n v="200"/>
    <s v="INR"/>
    <n v="17740.03"/>
    <s v="O0"/>
    <s v="6788224500"/>
    <s v=""/>
    <s v="2140085"/>
    <s v="1"/>
    <s v="Transportation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4"/>
    <x v="4"/>
    <x v="44"/>
    <d v="2025-12-09T00:00:00"/>
    <s v="Na"/>
    <n v="256788410477"/>
    <s v="212100"/>
    <s v="Trade Debtors (Ctrl)"/>
    <s v=""/>
    <s v="01"/>
    <s v="USD"/>
    <n v="6.6"/>
    <s v="INR"/>
    <n v="585.41999999999996"/>
    <s v="O0"/>
    <s v="6788224500"/>
    <s v=""/>
    <s v="2140085"/>
    <s v="1"/>
    <s v="Empty Lolo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6"/>
    <x v="4"/>
    <x v="44"/>
    <d v="2025-12-09T00:00:00"/>
    <s v="Na"/>
    <n v="256788410479"/>
    <s v="212100"/>
    <s v="Trade Debtors (Ctrl)"/>
    <s v=""/>
    <s v="01"/>
    <s v="USD"/>
    <n v="250.24"/>
    <s v="INR"/>
    <n v="22196.32"/>
    <s v="O0"/>
    <s v="6788224500"/>
    <s v=""/>
    <s v="2140089"/>
    <s v="1"/>
    <s v="Outbound chgs - 16 -30 NOV 25"/>
    <s v=""/>
    <s v=""/>
    <s v=""/>
    <d v="2025-12-05T00:00:00"/>
    <m/>
    <s v=""/>
  </r>
  <r>
    <s v="Not Selected"/>
    <n v="6788"/>
    <n v="100222362"/>
    <s v="ONNSYNEX VENTURES PRIVATE LIMITED"/>
    <s v="2025"/>
    <s v="2"/>
    <x v="46"/>
    <n v="1800000041"/>
    <x v="4"/>
    <x v="45"/>
    <d v="2025-02-25T00:00:00"/>
    <s v="Na"/>
    <n v="246788410024"/>
    <s v="212100"/>
    <s v="Trade Debtors (Ctrl)"/>
    <s v=""/>
    <s v="01"/>
    <s v="USD"/>
    <n v="3980.4"/>
    <s v="INR"/>
    <n v="343523.09"/>
    <s v="O0"/>
    <s v="6788224500"/>
    <s v=""/>
    <s v="NA"/>
    <s v="1"/>
    <s v="CY Longstanding Ground Rent charges for Aug 2024"/>
    <s v=""/>
    <s v=""/>
    <s v=""/>
    <d v="2025-02-21T00:00:00"/>
    <m/>
    <s v=""/>
  </r>
  <r>
    <s v="Not Selected"/>
    <n v="6788"/>
    <n v="100222362"/>
    <s v="ONNSYNEX VENTURES PRIVATE LIMITED"/>
    <s v="2025"/>
    <s v="10"/>
    <x v="47"/>
    <n v="1800000554"/>
    <x v="4"/>
    <x v="46"/>
    <d v="2025-10-09T00:00:00"/>
    <s v="Na"/>
    <n v="256788410429"/>
    <s v="212100"/>
    <s v="Trade Debtors (Ctrl)"/>
    <s v=""/>
    <s v="01"/>
    <s v="USD"/>
    <n v="2.25"/>
    <s v="INR"/>
    <n v="198.43"/>
    <s v="O0"/>
    <s v="6788224500"/>
    <s v=""/>
    <s v="2110800"/>
    <s v="1"/>
    <s v="VAS-16-30 Sept 25"/>
    <s v=""/>
    <s v=""/>
    <s v=""/>
    <d v="2025-10-07T00:00:00"/>
    <m/>
    <s v=""/>
  </r>
  <r>
    <s v="Not Selected"/>
    <n v="6788"/>
    <n v="100222362"/>
    <s v="ONNSYNEX VENTURES PRIVATE LIMITED"/>
    <s v="2025"/>
    <s v="10"/>
    <x v="47"/>
    <n v="1800000555"/>
    <x v="4"/>
    <x v="46"/>
    <d v="2025-10-10T00:00:00"/>
    <s v="Na"/>
    <n v="256788410430"/>
    <s v="212100"/>
    <s v="Trade Debtors (Ctrl)"/>
    <s v=""/>
    <s v="01"/>
    <s v="USD"/>
    <n v="2"/>
    <s v="INR"/>
    <n v="176.38"/>
    <s v="O0"/>
    <s v="6788224500"/>
    <s v=""/>
    <s v="2110862"/>
    <s v="1"/>
    <s v="CODC Out chgs -16-30 Sep 25"/>
    <s v=""/>
    <s v=""/>
    <s v=""/>
    <d v="2025-10-07T00:00:00"/>
    <m/>
    <s v=""/>
  </r>
  <r>
    <s v="Not Selected"/>
    <n v="6788"/>
    <n v="100222362"/>
    <s v="ONNSYNEX VENTURES PRIVATE LIMITED"/>
    <s v="2025"/>
    <s v="7"/>
    <x v="48"/>
    <n v="1800000388"/>
    <x v="4"/>
    <x v="47"/>
    <d v="2025-07-25T00:00:00"/>
    <s v="Na"/>
    <n v="256788410264"/>
    <s v="212100"/>
    <s v="Trade Debtors (Ctrl)"/>
    <s v=""/>
    <s v="01"/>
    <s v="USD"/>
    <n v="4.6399999999999997"/>
    <s v="INR"/>
    <n v="399.04"/>
    <s v="O0"/>
    <s v="6788224500"/>
    <s v=""/>
    <s v="NA"/>
    <s v="1"/>
    <s v="VAS - 1-15 July 25"/>
    <s v=""/>
    <s v=""/>
    <s v=""/>
    <d v="2025-07-19T00:00:00"/>
    <m/>
    <s v=""/>
  </r>
  <r>
    <s v="Not Selected"/>
    <n v="6779"/>
    <n v="100222362"/>
    <s v="ONNSYNEX VENTURES PRIVATE LIMITED"/>
    <s v="2025"/>
    <s v="5"/>
    <x v="49"/>
    <n v="1800008358"/>
    <x v="4"/>
    <x v="48"/>
    <d v="2025-05-15T00:00:00"/>
    <s v="Na"/>
    <n v="256779413241"/>
    <s v="212100"/>
    <s v="Trade Debtors (Ctrl)"/>
    <s v=""/>
    <s v="01"/>
    <s v="USD"/>
    <n v="1054.79"/>
    <s v="INR"/>
    <n v="90694.75"/>
    <s v="O0"/>
    <s v="6779224500"/>
    <s v=""/>
    <s v="NA"/>
    <s v="1"/>
    <s v="VAS - 16-30 April 25, Ex.Rate-85.05"/>
    <s v=""/>
    <s v=""/>
    <s v=""/>
    <d v="2025-05-10T00:00:00"/>
    <m/>
    <s v=""/>
  </r>
  <r>
    <s v="Not Selected"/>
    <n v="6788"/>
    <n v="100222362"/>
    <s v="ONNSYNEX VENTURES PRIVATE LIMITED"/>
    <s v="2025"/>
    <s v="5"/>
    <x v="49"/>
    <n v="1800000332"/>
    <x v="4"/>
    <x v="48"/>
    <d v="2025-05-23T00:00:00"/>
    <s v="Na"/>
    <n v="256788410207"/>
    <s v="212100"/>
    <s v="Trade Debtors (Ctrl)"/>
    <s v=""/>
    <s v="01"/>
    <s v="USD"/>
    <n v="96.66"/>
    <s v="INR"/>
    <n v="8311.18"/>
    <s v="O0"/>
    <s v="6788224500"/>
    <s v=""/>
    <s v="NA"/>
    <s v="1"/>
    <s v="CODC LCL Chgs - 16 - 30 Apr 25"/>
    <s v=""/>
    <s v=""/>
    <s v=""/>
    <d v="2025-05-10T00:00:00"/>
    <m/>
    <s v=""/>
  </r>
  <r>
    <s v="Not Selected"/>
    <n v="6788"/>
    <n v="100222362"/>
    <s v="ONNSYNEX VENTURES PRIVATE LIMITED"/>
    <s v="2025"/>
    <s v="5"/>
    <x v="49"/>
    <n v="1800000333"/>
    <x v="4"/>
    <x v="48"/>
    <d v="2025-05-23T00:00:00"/>
    <s v="Na"/>
    <n v="256788410208"/>
    <s v="212100"/>
    <s v="Trade Debtors (Ctrl)"/>
    <s v=""/>
    <s v="01"/>
    <s v="USD"/>
    <n v="75"/>
    <s v="INR"/>
    <n v="6448.78"/>
    <s v="O0"/>
    <s v="6788224500"/>
    <s v=""/>
    <s v="NA"/>
    <s v="1"/>
    <s v="Fixed Storage Charges fo MAY 2025"/>
    <s v=""/>
    <s v=""/>
    <s v=""/>
    <d v="2025-05-10T00:00:00"/>
    <m/>
    <s v=""/>
  </r>
  <r>
    <s v="Not Selected"/>
    <n v="6788"/>
    <n v="100222362"/>
    <s v="ONNSYNEX VENTURES PRIVATE LIMITED"/>
    <s v="2025"/>
    <s v="5"/>
    <x v="49"/>
    <n v="1800000340"/>
    <x v="4"/>
    <x v="48"/>
    <d v="2025-05-23T00:00:00"/>
    <s v="Na"/>
    <n v="256788410215"/>
    <s v="212100"/>
    <s v="Trade Debtors (Ctrl)"/>
    <s v=""/>
    <s v="01"/>
    <s v="USD"/>
    <n v="2336.5100000000002"/>
    <s v="INR"/>
    <n v="200901.77"/>
    <s v="O0"/>
    <s v="6788224500"/>
    <s v=""/>
    <s v="NA"/>
    <s v="1"/>
    <s v="CY Ground rent Chgs - 01 - 30 Apr 25"/>
    <s v=""/>
    <s v=""/>
    <s v=""/>
    <d v="2025-05-10T00:00:00"/>
    <m/>
    <s v=""/>
  </r>
  <r>
    <s v="Not Selected"/>
    <n v="6788"/>
    <n v="100222362"/>
    <s v="ONNSYNEX VENTURES PRIVATE LIMITED"/>
    <s v="2025"/>
    <s v="10"/>
    <x v="50"/>
    <n v="1800000561"/>
    <x v="4"/>
    <x v="49"/>
    <d v="2025-10-21T00:00:00"/>
    <s v="Na"/>
    <n v="256788410432"/>
    <s v="212100"/>
    <s v="Trade Debtors (Ctrl)"/>
    <s v=""/>
    <s v="01"/>
    <s v="USD"/>
    <n v="393.41"/>
    <s v="INR"/>
    <n v="34695.129999999997"/>
    <s v="O0"/>
    <s v="6788224500"/>
    <s v=""/>
    <s v="2114863"/>
    <s v="1"/>
    <s v="VAS  -1-15 Oct 2025"/>
    <s v=""/>
    <s v=""/>
    <s v=""/>
    <d v="2025-10-18T00:00:00"/>
    <m/>
    <s v=""/>
  </r>
  <r>
    <s v="Not Selected"/>
    <n v="6788"/>
    <n v="100222362"/>
    <s v="ONNSYNEX VENTURES PRIVATE LIMITED"/>
    <s v="2025"/>
    <s v="10"/>
    <x v="50"/>
    <n v="1800000562"/>
    <x v="4"/>
    <x v="49"/>
    <d v="2025-10-21T00:00:00"/>
    <s v="Na"/>
    <n v="256788410433"/>
    <s v="212100"/>
    <s v="Trade Debtors (Ctrl)"/>
    <s v=""/>
    <s v="01"/>
    <s v="USD"/>
    <n v="20.39"/>
    <s v="INR"/>
    <n v="1798.21"/>
    <s v="O0"/>
    <s v="6788224500"/>
    <s v=""/>
    <s v="2114863"/>
    <s v="1"/>
    <s v="Weighment  -1-15 Oct 2025"/>
    <s v=""/>
    <s v=""/>
    <s v=""/>
    <d v="2025-10-18T00:00:00"/>
    <m/>
    <s v=""/>
  </r>
  <r>
    <s v="Not Selected"/>
    <n v="6779"/>
    <n v="100222362"/>
    <s v="ONNSYNEX VENTURES PRIVATE LIMITED"/>
    <s v="2025"/>
    <s v="6"/>
    <x v="51"/>
    <n v="1800009486"/>
    <x v="4"/>
    <x v="50"/>
    <d v="2025-06-09T00:00:00"/>
    <s v="Na"/>
    <n v="256779414250"/>
    <s v="212100"/>
    <s v="Trade Debtors (Ctrl)"/>
    <s v=""/>
    <s v="01"/>
    <s v="USD"/>
    <n v="10597.07"/>
    <s v="INR"/>
    <n v="905951.78"/>
    <s v="O0"/>
    <s v="6779224500"/>
    <s v=""/>
    <s v="NA"/>
    <s v="1"/>
    <s v="Unit storage -1-31 May 25"/>
    <s v=""/>
    <s v=""/>
    <s v=""/>
    <d v="2025-06-07T00:00:00"/>
    <m/>
    <s v=""/>
  </r>
  <r>
    <s v="Not Selected"/>
    <n v="6788"/>
    <n v="100222362"/>
    <s v="ONNSYNEX VENTURES PRIVATE LIMITED"/>
    <s v="2025"/>
    <s v="10"/>
    <x v="52"/>
    <n v="1800000552"/>
    <x v="4"/>
    <x v="51"/>
    <d v="2025-10-07T00:00:00"/>
    <s v="Na"/>
    <n v="256788410427"/>
    <s v="212100"/>
    <s v="Trade Debtors (Ctrl)"/>
    <s v=""/>
    <s v="01"/>
    <s v="USD"/>
    <n v="11372.78"/>
    <s v="INR"/>
    <n v="1002974.23"/>
    <s v="O0"/>
    <s v="6788224500"/>
    <s v=""/>
    <s v="2110510"/>
    <s v="1"/>
    <s v="Unit-Storage-1-30 Sept 25"/>
    <s v=""/>
    <s v=""/>
    <s v=""/>
    <d v="2025-10-06T00:00:00"/>
    <m/>
    <s v=""/>
  </r>
  <r>
    <s v="Not Selected"/>
    <n v="6788"/>
    <n v="100222362"/>
    <s v="ONNSYNEX VENTURES PRIVATE LIMITED"/>
    <s v="2025"/>
    <s v="10"/>
    <x v="53"/>
    <n v="1800000536"/>
    <x v="4"/>
    <x v="52"/>
    <d v="2025-10-07T00:00:00"/>
    <s v="Na"/>
    <n v="256788410409"/>
    <s v="212100"/>
    <s v="Trade Debtors (Ctrl)"/>
    <s v=""/>
    <s v="01"/>
    <s v="USD"/>
    <n v="1211.9000000000001"/>
    <s v="INR"/>
    <n v="106878.39"/>
    <s v="O0"/>
    <s v="6788224500"/>
    <s v=""/>
    <s v="2110501"/>
    <s v="1"/>
    <s v="Transportation IN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7"/>
    <x v="4"/>
    <x v="52"/>
    <d v="2025-10-07T00:00:00"/>
    <s v="Na"/>
    <n v="256788410410"/>
    <s v="212100"/>
    <s v="Trade Debtors (Ctrl)"/>
    <s v=""/>
    <s v="01"/>
    <s v="USD"/>
    <n v="40"/>
    <s v="INR"/>
    <n v="3527.63"/>
    <s v="O0"/>
    <s v="6788224500"/>
    <s v=""/>
    <s v="2110501"/>
    <s v="1"/>
    <s v="Scanning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8"/>
    <x v="4"/>
    <x v="52"/>
    <d v="2025-10-07T00:00:00"/>
    <s v="Na"/>
    <n v="256788410411"/>
    <s v="212100"/>
    <s v="Trade Debtors (Ctrl)"/>
    <s v=""/>
    <s v="01"/>
    <s v="USD"/>
    <n v="11.26"/>
    <s v="INR"/>
    <n v="993.03"/>
    <s v="O0"/>
    <s v="6788224500"/>
    <s v=""/>
    <s v="2110501"/>
    <s v="1"/>
    <s v="Bond Stamp Paper Chgs 01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4"/>
    <x v="4"/>
    <x v="52"/>
    <d v="2025-10-07T00:00:00"/>
    <s v="Na"/>
    <n v="256788410413"/>
    <s v="212100"/>
    <s v="Trade Debtors (Ctrl)"/>
    <s v=""/>
    <s v="01"/>
    <s v="USD"/>
    <n v="8"/>
    <s v="INR"/>
    <n v="705.53"/>
    <s v="O0"/>
    <s v="6788224500"/>
    <s v=""/>
    <s v="2110502"/>
    <s v="1"/>
    <s v="Outbound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9"/>
    <x v="4"/>
    <x v="52"/>
    <d v="2025-10-07T00:00:00"/>
    <s v="Na"/>
    <n v="256788410414"/>
    <s v="212100"/>
    <s v="Trade Debtors (Ctrl)"/>
    <s v=""/>
    <s v="01"/>
    <s v="USD"/>
    <n v="1119.04"/>
    <s v="INR"/>
    <n v="98689"/>
    <s v="O0"/>
    <s v="6788224500"/>
    <s v=""/>
    <s v="2110488"/>
    <s v="1"/>
    <s v="CY Ground rent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40"/>
    <x v="4"/>
    <x v="52"/>
    <d v="2025-10-07T00:00:00"/>
    <s v="Na"/>
    <n v="256788410415"/>
    <s v="212100"/>
    <s v="Trade Debtors (Ctrl)"/>
    <s v=""/>
    <s v="01"/>
    <s v="USD"/>
    <n v="47.84"/>
    <s v="INR"/>
    <n v="4219.05"/>
    <s v="O0"/>
    <s v="6788224500"/>
    <s v=""/>
    <s v="2110494"/>
    <s v="1"/>
    <s v="Empty Lolo Chgs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45"/>
    <x v="4"/>
    <x v="52"/>
    <d v="2025-10-07T00:00:00"/>
    <s v="Na"/>
    <n v="256788410420"/>
    <s v="212100"/>
    <s v="Trade Debtors (Ctrl)"/>
    <s v=""/>
    <s v="01"/>
    <s v="USD"/>
    <n v="75"/>
    <s v="INR"/>
    <n v="6614.31"/>
    <s v="O0"/>
    <s v="6788224500"/>
    <s v=""/>
    <s v="2110505"/>
    <s v="1"/>
    <s v="Fixed Storage Charges for October 20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56"/>
    <x v="4"/>
    <x v="52"/>
    <d v="2025-10-10T00:00:00"/>
    <s v="Na"/>
    <n v="256788410431"/>
    <s v="212100"/>
    <s v="Trade Debtors (Ctrl)"/>
    <s v=""/>
    <s v="01"/>
    <s v="USD"/>
    <n v="250.08"/>
    <s v="INR"/>
    <n v="22054.75"/>
    <s v="O0"/>
    <s v="6788224500"/>
    <s v=""/>
    <s v="2110980"/>
    <s v="1"/>
    <s v="PORT SSR Chgs Sep 25"/>
    <s v=""/>
    <s v=""/>
    <s v=""/>
    <d v="2025-10-05T00:00:00"/>
    <m/>
    <s v=""/>
  </r>
  <r>
    <s v="Selected"/>
    <n v="6788"/>
    <n v="100222362"/>
    <s v="ONNSYNEX VENTURES PRIVATE LIMITED"/>
    <s v="2025"/>
    <s v="10"/>
    <x v="53"/>
    <n v="1800000542"/>
    <x v="4"/>
    <x v="52"/>
    <d v="2025-10-07T00:00:00"/>
    <s v="Na"/>
    <n v="256788410417"/>
    <s v="212100"/>
    <s v="Trade Debtors (Ctrl)"/>
    <s v=""/>
    <s v="01"/>
    <s v="USD"/>
    <n v="1211.9000000000001"/>
    <s v="INR"/>
    <n v="106878.39"/>
    <s v="O0"/>
    <s v="6788224500"/>
    <s v=""/>
    <s v="2110500"/>
    <s v="1"/>
    <s v="Transportation IN chgs - 16 - 30 SEP 25"/>
    <s v=""/>
    <s v=""/>
    <s v=""/>
    <d v="2025-10-05T00:00:00"/>
    <d v="2025-11-15T00:00:00"/>
    <s v="1400000084"/>
  </r>
  <r>
    <s v="Selected"/>
    <n v="6788"/>
    <n v="100222362"/>
    <s v="ONNSYNEX VENTURES PRIVATE LIMITED"/>
    <s v="2025"/>
    <s v="10"/>
    <x v="53"/>
    <n v="1800000543"/>
    <x v="4"/>
    <x v="52"/>
    <d v="2025-10-07T00:00:00"/>
    <s v="Na"/>
    <n v="256788410418"/>
    <s v="212100"/>
    <s v="Trade Debtors (Ctrl)"/>
    <s v=""/>
    <s v="01"/>
    <s v="USD"/>
    <n v="40"/>
    <s v="INR"/>
    <n v="3527.63"/>
    <s v="O0"/>
    <s v="6788224500"/>
    <s v=""/>
    <s v="2110500"/>
    <s v="1"/>
    <s v="Scanning chgs - 16 - 30 SEP 25"/>
    <s v=""/>
    <s v=""/>
    <s v=""/>
    <d v="2025-10-05T00:00:00"/>
    <d v="2025-11-15T00:00:00"/>
    <s v="1400000084"/>
  </r>
  <r>
    <s v="Selected"/>
    <n v="6788"/>
    <n v="100222362"/>
    <s v="ONNSYNEX VENTURES PRIVATE LIMITED"/>
    <s v="2025"/>
    <s v="10"/>
    <x v="53"/>
    <n v="1800000544"/>
    <x v="4"/>
    <x v="52"/>
    <d v="2025-10-07T00:00:00"/>
    <s v="Na"/>
    <n v="256788410419"/>
    <s v="212100"/>
    <s v="Trade Debtors (Ctrl)"/>
    <s v=""/>
    <s v="01"/>
    <s v="USD"/>
    <n v="11.26"/>
    <s v="INR"/>
    <n v="993.03"/>
    <s v="O0"/>
    <s v="6788224500"/>
    <s v=""/>
    <s v="2110500"/>
    <s v="1"/>
    <s v="Bond Stamp Paper Chgs 01 - 30 Sep 25"/>
    <s v=""/>
    <s v=""/>
    <s v=""/>
    <d v="2025-10-05T00:00:00"/>
    <d v="2025-11-15T00:00:00"/>
    <s v="1400000084"/>
  </r>
  <r>
    <s v="Not Selected"/>
    <n v="6788"/>
    <n v="100222362"/>
    <s v="ONNSYNEX VENTURES PRIVATE LIMITED"/>
    <s v="2025"/>
    <s v="9"/>
    <x v="54"/>
    <n v="1800000478"/>
    <x v="4"/>
    <x v="53"/>
    <d v="2025-09-09T00:00:00"/>
    <s v="Na"/>
    <n v="256788410357"/>
    <s v="212100"/>
    <s v="Trade Debtors (Ctrl)"/>
    <s v=""/>
    <s v="01"/>
    <s v="USD"/>
    <n v="11371.82"/>
    <s v="INR"/>
    <n v="995197.21"/>
    <s v="O0"/>
    <s v="6788224500"/>
    <s v=""/>
    <s v="NA"/>
    <s v="1"/>
    <s v="Unit-Storage-1-31 Aug 25"/>
    <s v=""/>
    <s v=""/>
    <s v=""/>
    <d v="2025-09-06T00:00:00"/>
    <m/>
    <s v=""/>
  </r>
  <r>
    <s v="Not Selected"/>
    <n v="6788"/>
    <n v="100222362"/>
    <s v="ONNSYNEX VENTURES PRIVATE LIMITED"/>
    <s v="2026"/>
    <s v="1"/>
    <x v="55"/>
    <n v="1800000621"/>
    <x v="4"/>
    <x v="54"/>
    <d v="2026-01-05T00:00:00"/>
    <s v="Na"/>
    <n v="256788410483"/>
    <s v="212100"/>
    <s v="Trade Debtors (Ctrl)"/>
    <s v=""/>
    <s v="01"/>
    <s v="USD"/>
    <n v="63.04"/>
    <s v="INR"/>
    <n v="5720.45"/>
    <s v="O0"/>
    <s v="6788224500"/>
    <s v=""/>
    <s v="2150026"/>
    <s v="1"/>
    <s v="VAS - NOV 25,16-30"/>
    <s v=""/>
    <s v=""/>
    <s v=""/>
    <d v="2026-01-05T00:00:00"/>
    <m/>
    <s v=""/>
  </r>
  <r>
    <s v="Not Selected"/>
    <n v="6788"/>
    <n v="100222362"/>
    <s v="ONNSYNEX VENTURES PRIVATE LIMITED"/>
    <s v="2026"/>
    <s v="1"/>
    <x v="55"/>
    <n v="1800000623"/>
    <x v="4"/>
    <x v="54"/>
    <d v="2026-01-05T00:00:00"/>
    <s v="2150004"/>
    <n v="256788410485"/>
    <s v="212100"/>
    <s v="Trade Debtors (Ctrl)"/>
    <s v=""/>
    <s v="01"/>
    <s v="USD"/>
    <n v="348.86"/>
    <s v="INR"/>
    <n v="31656.65"/>
    <s v="O0"/>
    <s v="6788224500"/>
    <s v=""/>
    <s v="NA"/>
    <s v="1"/>
    <s v="VAS - NOV 25,16-30"/>
    <s v=""/>
    <s v=""/>
    <s v=""/>
    <d v="2026-01-05T00:00:00"/>
    <m/>
    <s v=""/>
  </r>
  <r>
    <s v="Not Selected"/>
    <n v="6788"/>
    <n v="100222362"/>
    <s v="ONNSYNEX VENTURES PRIVATE LIMITED"/>
    <s v="2026"/>
    <s v="1"/>
    <x v="55"/>
    <n v="1800000619"/>
    <x v="4"/>
    <x v="54"/>
    <d v="2026-01-05T00:00:00"/>
    <s v="Na"/>
    <n v="256788410487"/>
    <s v="212100"/>
    <s v="Trade Debtors (Ctrl)"/>
    <s v=""/>
    <s v="01"/>
    <s v="USD"/>
    <n v="52"/>
    <s v="INR"/>
    <n v="4718.6400000000003"/>
    <s v="O0"/>
    <s v="6788224500"/>
    <s v=""/>
    <s v="2156420"/>
    <s v="1"/>
    <s v="Outbound chgs - 01 -15 DEC 25"/>
    <s v=""/>
    <s v=""/>
    <s v=""/>
    <d v="2026-01-05T00:00:00"/>
    <m/>
    <s v=""/>
  </r>
  <r>
    <s v="Not Selected"/>
    <n v="6788"/>
    <n v="100222362"/>
    <s v="ONNSYNEX VENTURES PRIVATE LIMITED"/>
    <s v="2026"/>
    <s v="1"/>
    <x v="55"/>
    <n v="1800000625"/>
    <x v="4"/>
    <x v="54"/>
    <d v="2026-01-05T00:00:00"/>
    <s v="Na"/>
    <n v="256788410490"/>
    <s v="212100"/>
    <s v="Trade Debtors (Ctrl)"/>
    <s v=""/>
    <s v="01"/>
    <s v="USD"/>
    <n v="94"/>
    <s v="INR"/>
    <n v="8529.86"/>
    <s v="O0"/>
    <s v="6788224500"/>
    <s v=""/>
    <s v="2156418"/>
    <s v="1"/>
    <s v="LCL chgs - 01 -15 DEC 25"/>
    <s v=""/>
    <s v=""/>
    <s v=""/>
    <d v="2026-01-05T00:00:00"/>
    <m/>
    <s v=""/>
  </r>
  <r>
    <s v="Not Selected"/>
    <n v="6788"/>
    <n v="100222362"/>
    <s v="ONNSYNEX VENTURES PRIVATE LIMITED"/>
    <s v="2026"/>
    <s v="1"/>
    <x v="56"/>
    <n v="1800000635"/>
    <x v="4"/>
    <x v="55"/>
    <d v="2026-01-13T00:00:00"/>
    <s v="Na"/>
    <n v="256788410492"/>
    <s v="212100"/>
    <s v="Trade Debtors (Ctrl)"/>
    <s v=""/>
    <s v="01"/>
    <s v="USD"/>
    <n v="476"/>
    <s v="INR"/>
    <n v="43193.73"/>
    <s v="O0"/>
    <s v="6788224500"/>
    <s v=""/>
    <s v="2158405"/>
    <s v="1"/>
    <s v="Transportation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38"/>
    <x v="4"/>
    <x v="55"/>
    <d v="2026-01-13T00:00:00"/>
    <s v="Na"/>
    <n v="256788410495"/>
    <s v="212100"/>
    <s v="Trade Debtors (Ctrl)"/>
    <s v=""/>
    <s v="01"/>
    <s v="USD"/>
    <n v="49.49"/>
    <s v="INR"/>
    <n v="4490.88"/>
    <s v="O0"/>
    <s v="6788224500"/>
    <s v=""/>
    <s v="2158405"/>
    <s v="1"/>
    <s v="Empty Lolo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41"/>
    <x v="4"/>
    <x v="55"/>
    <d v="2026-01-13T00:00:00"/>
    <s v="Na"/>
    <n v="256788410498"/>
    <s v="212100"/>
    <s v="Trade Debtors (Ctrl)"/>
    <s v=""/>
    <s v="01"/>
    <s v="USD"/>
    <n v="181.44"/>
    <s v="INR"/>
    <n v="16464.439999999999"/>
    <s v="O0"/>
    <s v="6788224500"/>
    <s v=""/>
    <s v="2158405"/>
    <s v="1"/>
    <s v="PORT SSR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42"/>
    <x v="4"/>
    <x v="55"/>
    <d v="2026-01-13T00:00:00"/>
    <s v="Na"/>
    <n v="256788410499"/>
    <s v="212100"/>
    <s v="Trade Debtors (Ctrl)"/>
    <s v=""/>
    <s v="01"/>
    <s v="USD"/>
    <n v="53"/>
    <s v="INR"/>
    <n v="4809.3900000000003"/>
    <s v="O0"/>
    <s v="6788224500"/>
    <s v=""/>
    <s v="2158405"/>
    <s v="1"/>
    <s v="LCL Gate  chgs - 16 -31 DEC 25"/>
    <s v=""/>
    <s v=""/>
    <s v=""/>
    <d v="2026-01-12T00:00:00"/>
    <m/>
    <s v=""/>
  </r>
  <r>
    <s v="Not Selected"/>
    <n v="6779"/>
    <n v="100222362"/>
    <s v="ONNSYNEX VENTURES PRIVATE LIMITED"/>
    <s v="2026"/>
    <s v="1"/>
    <x v="57"/>
    <n v="1800016633"/>
    <x v="4"/>
    <x v="56"/>
    <d v="2026-01-13T00:00:00"/>
    <s v="2158402"/>
    <n v="256779440254"/>
    <s v="212100"/>
    <s v="Trade Debtors (Ctrl)"/>
    <s v=""/>
    <s v="01"/>
    <s v="USD"/>
    <n v="2.0299999999999998"/>
    <s v="INR"/>
    <n v="184.21"/>
    <s v="O0"/>
    <s v="6779224500"/>
    <s v=""/>
    <s v="NA"/>
    <s v="1"/>
    <s v="CODC Out chgs -16-31 DEC 25"/>
    <s v=""/>
    <s v=""/>
    <s v=""/>
    <d v="2026-01-06T00:00:00"/>
    <m/>
    <s v=""/>
  </r>
  <r>
    <s v="Not Selected"/>
    <n v="6788"/>
    <n v="100222362"/>
    <s v="ONNSYNEX VENTURES PRIVATE LIMITED"/>
    <s v="2026"/>
    <s v="1"/>
    <x v="56"/>
    <n v="1800000647"/>
    <x v="4"/>
    <x v="55"/>
    <d v="2026-01-13T00:00:00"/>
    <s v="2158407"/>
    <n v="256788410500"/>
    <s v="212100"/>
    <s v="Trade Debtors (Ctrl)"/>
    <s v=""/>
    <s v="01"/>
    <s v="USD"/>
    <n v="32"/>
    <s v="INR"/>
    <n v="2903.78"/>
    <s v="O0"/>
    <s v="6788224500"/>
    <s v=""/>
    <s v="NA"/>
    <s v="1"/>
    <s v="Outbound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26"/>
    <x v="4"/>
    <x v="55"/>
    <d v="2026-01-13T00:00:00"/>
    <s v="2158409"/>
    <n v="256788410502"/>
    <s v="212100"/>
    <s v="Trade Debtors (Ctrl)"/>
    <s v=""/>
    <s v="01"/>
    <s v="USD"/>
    <n v="3980.5"/>
    <s v="INR"/>
    <n v="361203.07"/>
    <s v="O0"/>
    <s v="6788224500"/>
    <s v=""/>
    <s v="NA"/>
    <s v="1"/>
    <s v="Unit-Storage-1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7"/>
    <n v="1800000643"/>
    <x v="4"/>
    <x v="56"/>
    <d v="2026-01-13T00:00:00"/>
    <s v="Na"/>
    <n v="256788410503"/>
    <s v="212100"/>
    <s v="Trade Debtors (Ctrl)"/>
    <s v=""/>
    <s v="01"/>
    <s v="USD"/>
    <n v="994.98"/>
    <s v="INR"/>
    <n v="90287.61"/>
    <s v="O0"/>
    <s v="6788224500"/>
    <s v=""/>
    <s v="2158637"/>
    <s v="1"/>
    <s v="VAS-Dec 25 - 16-31"/>
    <s v=""/>
    <s v=""/>
    <s v=""/>
    <d v="2026-01-06T00:00:00"/>
    <m/>
    <s v=""/>
  </r>
  <r>
    <s v="Not Selected"/>
    <n v="6788"/>
    <n v="100222362"/>
    <s v="ONNSYNEX VENTURES PRIVATE LIMITED"/>
    <s v="2026"/>
    <s v="1"/>
    <x v="56"/>
    <n v="1800000627"/>
    <x v="4"/>
    <x v="55"/>
    <d v="2026-01-13T00:00:00"/>
    <s v="2158668"/>
    <n v="256788410507"/>
    <s v="212100"/>
    <s v="Trade Debtors (Ctrl)"/>
    <s v=""/>
    <s v="01"/>
    <s v="USD"/>
    <n v="75"/>
    <s v="INR"/>
    <n v="6805.74"/>
    <s v="O0"/>
    <s v="6788224500"/>
    <s v=""/>
    <s v="NA"/>
    <s v="1"/>
    <s v="Fixed Storage Charges for January 2026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49"/>
    <x v="4"/>
    <x v="55"/>
    <d v="2026-01-13T00:00:00"/>
    <s v="2159218"/>
    <n v="256788410514"/>
    <s v="212100"/>
    <s v="Trade Debtors (Ctrl)"/>
    <s v=""/>
    <s v="01"/>
    <s v="USD"/>
    <n v="63.04"/>
    <s v="INR"/>
    <n v="5720.45"/>
    <s v="O0"/>
    <s v="6788224500"/>
    <s v=""/>
    <s v="NA"/>
    <s v="1"/>
    <s v="VAS - NOV 25,16-30"/>
    <s v=""/>
    <s v=""/>
    <s v=""/>
    <d v="2026-01-12T00:00:00"/>
    <m/>
    <s v=""/>
  </r>
  <r>
    <s v="Not Selected"/>
    <n v="6788"/>
    <n v="100222362"/>
    <s v="ONNSYNEX VENTURES PRIVATE LIMITED"/>
    <s v="2026"/>
    <s v="1"/>
    <x v="58"/>
    <n v="1600000272"/>
    <x v="5"/>
    <x v="57"/>
    <d v="2026-01-19T00:00:00"/>
    <s v="2160778"/>
    <n v="256788420148"/>
    <s v="212100"/>
    <s v="Trade Debtors (Ctrl)"/>
    <s v=""/>
    <s v="11"/>
    <s v="USD"/>
    <n v="-25125.9"/>
    <s v="INR"/>
    <n v="-2280003.06"/>
    <s v="O0"/>
    <s v="6788224500"/>
    <s v=""/>
    <s v="NA"/>
    <s v="1"/>
    <s v="CN against IBC Storage &amp; IBC LCL Charges"/>
    <s v=""/>
    <s v=""/>
    <s v=""/>
    <d v="2026-01-19T00:00:00"/>
    <m/>
    <s v=""/>
  </r>
  <r>
    <s v="Not Selected"/>
    <n v="6788"/>
    <n v="100222362"/>
    <s v="ONNSYNEX VENTURES PRIVATE LIMITED"/>
    <s v="2026"/>
    <s v="1"/>
    <x v="58"/>
    <n v="1600000273"/>
    <x v="5"/>
    <x v="57"/>
    <d v="2026-01-19T00:00:00"/>
    <s v="2160778"/>
    <n v="256788420149"/>
    <s v="212100"/>
    <s v="Trade Debtors (Ctrl)"/>
    <s v=""/>
    <s v="11"/>
    <s v="INR"/>
    <n v="-72465"/>
    <s v="INR"/>
    <n v="-72465"/>
    <s v="O0"/>
    <s v="6788224500"/>
    <s v=""/>
    <s v="NA"/>
    <s v="1"/>
    <s v="CN against ISO Tank CY Storage Charges"/>
    <s v=""/>
    <s v=""/>
    <s v=""/>
    <d v="2026-01-19T00:00:00"/>
    <m/>
    <s v=""/>
  </r>
  <r>
    <s v="Not Selected"/>
    <n v="6788"/>
    <n v="100222362"/>
    <s v="ONNSYNEX VENTURES PRIVATE LIMITED"/>
    <s v="2026"/>
    <s v="1"/>
    <x v="57"/>
    <n v="1600000274"/>
    <x v="5"/>
    <x v="56"/>
    <d v="2026-01-21T00:00:00"/>
    <s v="2160781"/>
    <n v="256788420150"/>
    <s v="212100"/>
    <s v="Trade Debtors (Ctrl)"/>
    <s v=""/>
    <s v="11"/>
    <s v="USD"/>
    <n v="-53"/>
    <s v="INR"/>
    <n v="-4809.3900000000003"/>
    <s v="O0"/>
    <s v="6788224500"/>
    <s v=""/>
    <s v="NA"/>
    <s v="1"/>
    <s v="CN Against LCL &amp; Inbound chgs - 16 -31 DEC 25"/>
    <s v=""/>
    <s v=""/>
    <s v=""/>
    <d v="2026-01-06T00:00:00"/>
    <m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d v="2025-03-19T00:00:00"/>
    <n v="12820"/>
    <n v="1282"/>
  </r>
  <r>
    <x v="0"/>
    <x v="0"/>
    <d v="2025-03-19T00:00:00"/>
    <n v="198720"/>
    <n v="19872"/>
  </r>
  <r>
    <x v="0"/>
    <x v="0"/>
    <d v="2025-03-19T00:00:00"/>
    <n v="198720"/>
    <n v="19872"/>
  </r>
  <r>
    <x v="0"/>
    <x v="0"/>
    <d v="2025-03-19T00:00:00"/>
    <n v="5710"/>
    <n v="571"/>
  </r>
  <r>
    <x v="0"/>
    <x v="0"/>
    <d v="2025-03-18T00:00:00"/>
    <n v="5410"/>
    <n v="541"/>
  </r>
  <r>
    <x v="0"/>
    <x v="1"/>
    <d v="2025-03-17T00:00:00"/>
    <n v="6450"/>
    <n v="129"/>
  </r>
  <r>
    <x v="0"/>
    <x v="1"/>
    <d v="2025-03-13T00:00:00"/>
    <n v="2000"/>
    <n v="40"/>
  </r>
  <r>
    <x v="0"/>
    <x v="1"/>
    <d v="2025-03-13T00:00:00"/>
    <n v="2000"/>
    <n v="40"/>
  </r>
  <r>
    <x v="0"/>
    <x v="1"/>
    <d v="2025-03-13T00:00:00"/>
    <n v="2000"/>
    <n v="40"/>
  </r>
  <r>
    <x v="0"/>
    <x v="1"/>
    <d v="2025-03-13T00:00:00"/>
    <n v="2200"/>
    <n v="44"/>
  </r>
  <r>
    <x v="0"/>
    <x v="1"/>
    <d v="2025-03-13T00:00:00"/>
    <n v="2200"/>
    <n v="44"/>
  </r>
  <r>
    <x v="0"/>
    <x v="1"/>
    <d v="2025-03-13T00:00:00"/>
    <n v="3100"/>
    <n v="62"/>
  </r>
  <r>
    <x v="0"/>
    <x v="0"/>
    <d v="2025-03-06T00:00:00"/>
    <n v="354420"/>
    <n v="35442"/>
  </r>
  <r>
    <x v="0"/>
    <x v="0"/>
    <d v="2025-03-06T00:00:00"/>
    <n v="71510"/>
    <n v="7151"/>
  </r>
  <r>
    <x v="0"/>
    <x v="0"/>
    <d v="2025-03-03T00:00:00"/>
    <n v="40610"/>
    <n v="4061"/>
  </r>
  <r>
    <x v="0"/>
    <x v="0"/>
    <d v="2025-03-03T00:00:00"/>
    <n v="234780"/>
    <n v="23478"/>
  </r>
  <r>
    <x v="0"/>
    <x v="0"/>
    <d v="2025-03-03T00:00:00"/>
    <n v="380220"/>
    <n v="38022"/>
  </r>
  <r>
    <x v="0"/>
    <x v="0"/>
    <d v="2025-03-03T00:00:00"/>
    <n v="11290"/>
    <n v="1129"/>
  </r>
  <r>
    <x v="0"/>
    <x v="0"/>
    <d v="2025-03-03T00:00:00"/>
    <n v="90720"/>
    <n v="9072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345600"/>
    <n v="34560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6380"/>
    <n v="638"/>
  </r>
  <r>
    <x v="1"/>
    <x v="1"/>
    <d v="2025-09-06T00:00:00"/>
    <n v="474.5"/>
    <n v="9"/>
  </r>
  <r>
    <x v="1"/>
    <x v="0"/>
    <d v="2025-09-06T00:00:00"/>
    <n v="995197"/>
    <n v="99519"/>
  </r>
  <r>
    <x v="1"/>
    <x v="1"/>
    <d v="2025-09-06T00:00:00"/>
    <n v="1008.5"/>
    <n v="20"/>
  </r>
  <r>
    <x v="1"/>
    <x v="1"/>
    <d v="2025-09-06T00:00:00"/>
    <n v="487"/>
    <n v="10"/>
  </r>
  <r>
    <x v="1"/>
    <x v="1"/>
    <d v="2025-09-06T00:00:00"/>
    <n v="487"/>
    <n v="10"/>
  </r>
  <r>
    <x v="1"/>
    <x v="1"/>
    <d v="2025-09-06T00:00:00"/>
    <n v="304"/>
    <n v="6"/>
  </r>
  <r>
    <x v="1"/>
    <x v="1"/>
    <d v="2025-09-04T00:00:00"/>
    <n v="32818"/>
    <n v="656"/>
  </r>
  <r>
    <x v="1"/>
    <x v="1"/>
    <d v="2025-09-04T00:00:00"/>
    <n v="19930.5"/>
    <n v="399"/>
  </r>
  <r>
    <x v="1"/>
    <x v="1"/>
    <d v="2025-09-04T00:00:00"/>
    <n v="2275.5"/>
    <n v="46"/>
  </r>
  <r>
    <x v="1"/>
    <x v="1"/>
    <d v="2025-09-04T00:00:00"/>
    <n v="8751.5"/>
    <n v="175"/>
  </r>
  <r>
    <x v="1"/>
    <x v="1"/>
    <d v="2025-09-04T00:00:00"/>
    <n v="989804.5"/>
    <n v="19796"/>
  </r>
  <r>
    <x v="1"/>
    <x v="1"/>
    <d v="2025-09-04T00:00:00"/>
    <n v="1195.5"/>
    <n v="24"/>
  </r>
  <r>
    <x v="1"/>
    <x v="1"/>
    <d v="2025-09-04T00:00:00"/>
    <n v="11077.5"/>
    <n v="222"/>
  </r>
  <r>
    <x v="1"/>
    <x v="1"/>
    <d v="2025-09-04T00:00:00"/>
    <n v="30473.5"/>
    <n v="609"/>
  </r>
  <r>
    <x v="1"/>
    <x v="1"/>
    <d v="2025-09-04T00:00:00"/>
    <n v="187.5"/>
    <n v="4"/>
  </r>
  <r>
    <x v="1"/>
    <x v="1"/>
    <d v="2025-09-04T00:00:00"/>
    <n v="1095.5"/>
    <n v="22"/>
  </r>
  <r>
    <x v="1"/>
    <x v="1"/>
    <d v="2025-09-01T00:00:00"/>
    <n v="6450"/>
    <n v="129"/>
  </r>
  <r>
    <x v="1"/>
    <x v="1"/>
    <d v="2025-09-01T00:00:00"/>
    <n v="129862.5"/>
    <n v="2597"/>
  </r>
  <r>
    <x v="1"/>
    <x v="1"/>
    <d v="2025-09-01T00:00:00"/>
    <n v="399"/>
    <n v="8"/>
  </r>
  <r>
    <x v="1"/>
    <x v="1"/>
    <d v="2025-06-01T00:00:00"/>
    <n v="90700"/>
    <n v="1814"/>
  </r>
  <r>
    <x v="1"/>
    <x v="0"/>
    <d v="2025-06-01T00:00:00"/>
    <n v="200900"/>
    <n v="20090"/>
  </r>
  <r>
    <x v="1"/>
    <x v="0"/>
    <d v="2025-06-01T00:00:00"/>
    <n v="345880"/>
    <n v="34588"/>
  </r>
  <r>
    <x v="1"/>
    <x v="0"/>
    <d v="2025-06-01T00:00:00"/>
    <n v="255160"/>
    <n v="25516"/>
  </r>
  <r>
    <x v="1"/>
    <x v="0"/>
    <d v="2025-06-01T00:00:00"/>
    <n v="255090"/>
    <n v="25509"/>
  </r>
  <r>
    <x v="1"/>
    <x v="0"/>
    <d v="2025-06-01T00:00:00"/>
    <n v="242190"/>
    <n v="24219"/>
  </r>
  <r>
    <x v="1"/>
    <x v="0"/>
    <d v="2025-06-01T00:00:00"/>
    <n v="939050"/>
    <n v="93905"/>
  </r>
  <r>
    <x v="1"/>
    <x v="1"/>
    <d v="2025-06-01T00:00:00"/>
    <n v="1050"/>
    <n v="21"/>
  </r>
  <r>
    <x v="1"/>
    <x v="1"/>
    <d v="2025-06-01T00:00:00"/>
    <n v="650"/>
    <n v="13"/>
  </r>
  <r>
    <x v="1"/>
    <x v="1"/>
    <d v="2025-06-01T00:00:00"/>
    <n v="7500"/>
    <n v="150"/>
  </r>
  <r>
    <x v="1"/>
    <x v="1"/>
    <d v="2025-06-01T00:00:00"/>
    <n v="2200"/>
    <n v="44"/>
  </r>
  <r>
    <x v="1"/>
    <x v="1"/>
    <d v="2025-06-01T00:00:00"/>
    <n v="14800"/>
    <n v="296"/>
  </r>
  <r>
    <x v="1"/>
    <x v="1"/>
    <d v="2025-06-01T00:00:00"/>
    <n v="114800"/>
    <n v="2296"/>
  </r>
  <r>
    <x v="1"/>
    <x v="1"/>
    <d v="2025-06-01T00:00:00"/>
    <n v="8200"/>
    <n v="164"/>
  </r>
  <r>
    <x v="1"/>
    <x v="1"/>
    <d v="2025-06-01T00:00:00"/>
    <n v="300"/>
    <n v="6"/>
  </r>
  <r>
    <x v="1"/>
    <x v="1"/>
    <d v="2025-06-01T00:00:00"/>
    <n v="1450"/>
    <n v="29"/>
  </r>
  <r>
    <x v="1"/>
    <x v="1"/>
    <d v="2025-06-01T00:00:00"/>
    <n v="16400"/>
    <n v="328"/>
  </r>
  <r>
    <x v="1"/>
    <x v="1"/>
    <d v="2025-06-01T00:00:00"/>
    <n v="203100"/>
    <n v="4062"/>
  </r>
  <r>
    <x v="1"/>
    <x v="0"/>
    <d v="2025-05-31T00:00:00"/>
    <n v="946370"/>
    <n v="94637"/>
  </r>
  <r>
    <x v="1"/>
    <x v="0"/>
    <d v="2025-05-31T00:00:00"/>
    <n v="863040"/>
    <n v="86304"/>
  </r>
  <r>
    <x v="1"/>
    <x v="0"/>
    <d v="2025-05-28T00:00:00"/>
    <n v="891200"/>
    <n v="89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m/>
    <m/>
    <m/>
  </r>
  <r>
    <x v="0"/>
    <m/>
    <m/>
    <m/>
  </r>
  <r>
    <x v="1"/>
    <m/>
    <m/>
    <m/>
  </r>
  <r>
    <x v="1"/>
    <m/>
    <m/>
    <m/>
  </r>
  <r>
    <x v="2"/>
    <m/>
    <n v="6840"/>
    <m/>
  </r>
  <r>
    <x v="2"/>
    <m/>
    <m/>
    <m/>
  </r>
  <r>
    <x v="3"/>
    <m/>
    <n v="25533"/>
    <m/>
  </r>
  <r>
    <x v="3"/>
    <m/>
    <m/>
    <m/>
  </r>
  <r>
    <x v="4"/>
    <m/>
    <n v="4740"/>
    <m/>
  </r>
  <r>
    <x v="4"/>
    <m/>
    <m/>
    <m/>
  </r>
  <r>
    <x v="5"/>
    <m/>
    <n v="7500"/>
    <m/>
  </r>
  <r>
    <x v="5"/>
    <m/>
    <m/>
    <m/>
  </r>
  <r>
    <x v="6"/>
    <m/>
    <n v="1200"/>
    <m/>
  </r>
  <r>
    <x v="6"/>
    <m/>
    <m/>
    <m/>
  </r>
  <r>
    <x v="7"/>
    <m/>
    <n v="300"/>
    <m/>
  </r>
  <r>
    <x v="7"/>
    <m/>
    <m/>
    <m/>
  </r>
  <r>
    <x v="8"/>
    <m/>
    <n v="89710"/>
    <m/>
  </r>
  <r>
    <x v="8"/>
    <m/>
    <m/>
    <m/>
  </r>
  <r>
    <x v="9"/>
    <m/>
    <n v="9840"/>
    <m/>
  </r>
  <r>
    <x v="9"/>
    <m/>
    <n v="360"/>
    <m/>
  </r>
  <r>
    <x v="10"/>
    <m/>
    <m/>
    <m/>
  </r>
  <r>
    <x v="10"/>
    <m/>
    <n v="7360"/>
    <m/>
  </r>
  <r>
    <x v="11"/>
    <m/>
    <m/>
    <m/>
  </r>
  <r>
    <x v="11"/>
    <n v="73.67"/>
    <n v="6450"/>
    <m/>
  </r>
  <r>
    <x v="12"/>
    <n v="20.57"/>
    <n v="1900"/>
    <m/>
  </r>
  <r>
    <x v="12"/>
    <m/>
    <m/>
    <m/>
  </r>
  <r>
    <x v="13"/>
    <n v="102"/>
    <n v="9016"/>
    <m/>
  </r>
  <r>
    <x v="13"/>
    <n v="2.25"/>
    <n v="200"/>
    <m/>
  </r>
  <r>
    <x v="14"/>
    <m/>
    <n v="5795"/>
    <m/>
  </r>
  <r>
    <x v="14"/>
    <m/>
    <m/>
    <m/>
  </r>
  <r>
    <x v="15"/>
    <n v="91.841334234843373"/>
    <n v="8150"/>
    <m/>
  </r>
  <r>
    <x v="15"/>
    <n v="63.044936284372902"/>
    <n v="564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Variable"/>
    <n v="4346"/>
    <n v="373756"/>
    <n v="86"/>
  </r>
  <r>
    <x v="0"/>
    <s v="Fixed"/>
    <n v="75"/>
    <n v="6450"/>
    <n v="86"/>
  </r>
  <r>
    <x v="1"/>
    <s v="Variable"/>
    <n v="2655.01"/>
    <n v="228330.86000000002"/>
    <n v="86"/>
  </r>
  <r>
    <x v="1"/>
    <s v="Fixed"/>
    <n v="75"/>
    <n v="6450"/>
    <n v="86"/>
  </r>
  <r>
    <x v="2"/>
    <s v="Variable"/>
    <n v="399.24"/>
    <n v="34039.202400000002"/>
    <n v="85.26"/>
  </r>
  <r>
    <x v="2"/>
    <s v="Fixed"/>
    <n v="75"/>
    <n v="6394.5"/>
    <n v="85.26"/>
  </r>
  <r>
    <x v="3"/>
    <s v="Variable"/>
    <n v="766.2368399999998"/>
    <n v="65605.198240799989"/>
    <n v="85.62"/>
  </r>
  <r>
    <x v="3"/>
    <s v="Fixed"/>
    <n v="75"/>
    <n v="6421.5"/>
    <n v="85.62"/>
  </r>
  <r>
    <x v="4"/>
    <s v="Variable"/>
    <n v="4094.6588099999999"/>
    <n v="350584.68731220003"/>
    <n v="85.62"/>
  </r>
  <r>
    <x v="4"/>
    <s v="Fixed"/>
    <n v="75"/>
    <n v="6421.5"/>
    <n v="85.62"/>
  </r>
  <r>
    <x v="5"/>
    <s v="Variable"/>
    <n v="10812.573810000002"/>
    <n v="940693.92147000018"/>
    <n v="87"/>
  </r>
  <r>
    <x v="5"/>
    <s v="Fixed"/>
    <n v="75"/>
    <n v="6525"/>
    <n v="87"/>
  </r>
  <r>
    <x v="6"/>
    <s v="Variable"/>
    <n v="9853.8922799999982"/>
    <n v="861230.18527199992"/>
    <n v="87.4"/>
  </r>
  <r>
    <x v="6"/>
    <s v="Fixed"/>
    <n v="75"/>
    <n v="6555"/>
    <n v="87.4"/>
  </r>
  <r>
    <x v="7"/>
    <s v="Variable"/>
    <n v="10803.4"/>
    <n v="944217.16"/>
    <n v="87.4"/>
  </r>
  <r>
    <x v="7"/>
    <s v="Fixed"/>
    <n v="75"/>
    <n v="6555"/>
    <n v="87.4"/>
  </r>
  <r>
    <x v="8"/>
    <s v="Variable"/>
    <n v="10364.719999999999"/>
    <n v="887012.73759999988"/>
    <n v="85.58"/>
  </r>
  <r>
    <x v="8"/>
    <s v="Fixed"/>
    <n v="75"/>
    <n v="6418.5"/>
    <n v="85.58"/>
  </r>
  <r>
    <x v="9"/>
    <s v="Variable"/>
    <n v="10597.07"/>
    <n v="905943.51429999992"/>
    <n v="85.49"/>
  </r>
  <r>
    <x v="9"/>
    <s v="Fixed"/>
    <n v="75"/>
    <n v="6411.75"/>
    <n v="85.49"/>
  </r>
  <r>
    <x v="10"/>
    <s v="Variable"/>
    <n v="10350.542370000001"/>
    <n v="885385.39432980015"/>
    <n v="85.54"/>
  </r>
  <r>
    <x v="10"/>
    <s v="Fixed"/>
    <n v="75"/>
    <n v="6415.5000000000009"/>
    <n v="85.54"/>
  </r>
  <r>
    <x v="11"/>
    <s v="Variable"/>
    <n v="11976.87"/>
    <n v="1048574.9685000001"/>
    <n v="87.55"/>
  </r>
  <r>
    <x v="11"/>
    <s v="Fixed"/>
    <n v="75"/>
    <n v="6566.25"/>
    <n v="87.55"/>
  </r>
  <r>
    <x v="12"/>
    <s v="Variable"/>
    <n v="11371.82"/>
    <n v="999014.38699999987"/>
    <n v="87.85"/>
  </r>
  <r>
    <x v="12"/>
    <s v="Fixed"/>
    <n v="75"/>
    <n v="6581.25"/>
    <n v="87.75"/>
  </r>
  <r>
    <x v="13"/>
    <s v="Variable"/>
    <n v="11372.780772150922"/>
    <n v="1009789.2047592804"/>
    <n v="88.79"/>
  </r>
  <r>
    <x v="13"/>
    <s v="Fixed"/>
    <n v="75"/>
    <n v="6659.2500000000009"/>
    <n v="88.79"/>
  </r>
  <r>
    <x v="14"/>
    <s v="Variable"/>
    <n v="8006.6606100000008"/>
    <n v="710383.75662770111"/>
    <n v="88.724100000000007"/>
  </r>
  <r>
    <x v="14"/>
    <s v="Fixed"/>
    <n v="75"/>
    <n v="6654.3075000000008"/>
    <n v="88.724100000000007"/>
  </r>
  <r>
    <x v="15"/>
    <s v="Variable"/>
    <n v="3460.0881600000002"/>
    <n v="309539.48679360002"/>
    <n v="89.46"/>
  </r>
  <r>
    <x v="15"/>
    <s v="Fixed"/>
    <n v="75"/>
    <n v="6709.4999999999991"/>
    <n v="89.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10433-FA6A-4C56-A0B4-5E1D5CB571C4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21" firstHeaderRow="0" firstDataRow="1" firstDataCol="1"/>
  <pivotFields count="8"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dataField="1" numFmtId="16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7"/>
    <field x="5"/>
    <field x="0"/>
  </rowFields>
  <rowItems count="19">
    <i>
      <x v="1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D" fld="2" baseField="0" baseItem="0"/>
    <dataField name="Sum of INR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AC450-FA5B-463A-9D31-C3DBA41F357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P19" firstHeaderRow="0" firstDataRow="1" firstDataCol="1"/>
  <pivotFields count="4">
    <pivotField axis="axisRow" showAll="0">
      <items count="29">
        <item m="1" x="23"/>
        <item m="1" x="24"/>
        <item m="1" x="26"/>
        <item m="1" x="27"/>
        <item m="1" x="21"/>
        <item m="1" x="22"/>
        <item m="1" x="25"/>
        <item m="1" x="16"/>
        <item m="1" x="18"/>
        <item m="1" x="19"/>
        <item m="1" x="20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  <pivotField dataField="1" showAll="0"/>
    <pivotField showAll="0"/>
  </pivotFields>
  <rowFields count="1">
    <field x="0"/>
  </rowFields>
  <rowItems count="17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D" fld="1" baseField="0" baseItem="0"/>
    <dataField name="Sum of IN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E28AA-3110-40B8-8ED3-77322AF904E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66" firstHeaderRow="1" firstDataRow="1" firstDataCol="2"/>
  <pivotFields count="39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59">
        <item x="5"/>
        <item x="1"/>
        <item x="30"/>
        <item x="29"/>
        <item x="46"/>
        <item x="12"/>
        <item x="11"/>
        <item x="27"/>
        <item x="39"/>
        <item x="40"/>
        <item x="28"/>
        <item x="6"/>
        <item x="7"/>
        <item x="37"/>
        <item x="35"/>
        <item x="10"/>
        <item x="0"/>
        <item x="18"/>
        <item x="43"/>
        <item x="16"/>
        <item x="49"/>
        <item x="24"/>
        <item x="34"/>
        <item x="25"/>
        <item x="23"/>
        <item x="51"/>
        <item x="14"/>
        <item x="33"/>
        <item x="20"/>
        <item x="19"/>
        <item x="26"/>
        <item x="48"/>
        <item x="13"/>
        <item x="22"/>
        <item x="2"/>
        <item x="9"/>
        <item x="54"/>
        <item x="15"/>
        <item x="44"/>
        <item x="31"/>
        <item x="41"/>
        <item x="3"/>
        <item x="53"/>
        <item x="52"/>
        <item x="47"/>
        <item x="17"/>
        <item x="50"/>
        <item x="36"/>
        <item x="4"/>
        <item x="21"/>
        <item x="32"/>
        <item x="8"/>
        <item x="42"/>
        <item x="38"/>
        <item x="45"/>
        <item x="55"/>
        <item x="57"/>
        <item x="56"/>
        <item x="58"/>
      </items>
    </pivotField>
    <pivotField compact="0" outline="0" showAll="0" defaultSubtotal="0"/>
    <pivotField axis="axisRow" compact="0" outline="0" showAll="0" defaultSubtotal="0">
      <items count="6">
        <item x="0"/>
        <item x="5"/>
        <item x="4"/>
        <item x="1"/>
        <item x="2"/>
        <item x="3"/>
      </items>
    </pivotField>
    <pivotField axis="axisRow" compact="0" numFmtId="14" outline="0" showAll="0" defaultSubtotal="0">
      <items count="58">
        <item x="5"/>
        <item x="1"/>
        <item x="29"/>
        <item x="28"/>
        <item x="45"/>
        <item x="11"/>
        <item x="10"/>
        <item x="26"/>
        <item x="38"/>
        <item x="39"/>
        <item x="27"/>
        <item x="6"/>
        <item x="36"/>
        <item x="34"/>
        <item x="9"/>
        <item x="0"/>
        <item x="17"/>
        <item x="42"/>
        <item x="15"/>
        <item x="48"/>
        <item x="23"/>
        <item x="33"/>
        <item x="24"/>
        <item x="22"/>
        <item x="50"/>
        <item x="13"/>
        <item x="32"/>
        <item x="19"/>
        <item x="18"/>
        <item x="25"/>
        <item x="47"/>
        <item x="12"/>
        <item x="21"/>
        <item x="2"/>
        <item x="8"/>
        <item x="53"/>
        <item x="14"/>
        <item x="43"/>
        <item x="30"/>
        <item x="40"/>
        <item x="3"/>
        <item x="52"/>
        <item x="51"/>
        <item x="46"/>
        <item x="16"/>
        <item x="49"/>
        <item x="35"/>
        <item x="4"/>
        <item x="20"/>
        <item x="31"/>
        <item x="7"/>
        <item x="41"/>
        <item x="37"/>
        <item x="44"/>
        <item x="54"/>
        <item x="56"/>
        <item x="55"/>
        <item x="57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4">
        <item sd="0" x="0"/>
        <item sd="0" x="1"/>
        <item sd="0" x="2"/>
        <item sd="0" x="3"/>
      </items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4">
        <item sd="0" x="0"/>
        <item sd="0" x="1"/>
        <item sd="0" x="2"/>
        <item sd="0" x="3"/>
      </items>
    </pivotField>
  </pivotFields>
  <rowFields count="2">
    <field x="8"/>
    <field x="9"/>
  </rowFields>
  <rowItems count="63">
    <i>
      <x/>
      <x v="15"/>
    </i>
    <i>
      <x v="1"/>
      <x v="2"/>
    </i>
    <i r="1">
      <x v="20"/>
    </i>
    <i r="1">
      <x v="38"/>
    </i>
    <i r="1">
      <x v="44"/>
    </i>
    <i r="1">
      <x v="49"/>
    </i>
    <i r="1">
      <x v="55"/>
    </i>
    <i r="1">
      <x v="57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9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>
      <x v="3"/>
      <x v="1"/>
    </i>
    <i r="1">
      <x v="50"/>
    </i>
    <i>
      <x v="4"/>
      <x v="33"/>
    </i>
    <i r="1">
      <x v="40"/>
    </i>
    <i r="1">
      <x v="47"/>
    </i>
    <i>
      <x v="5"/>
      <x/>
    </i>
    <i r="1">
      <x v="11"/>
    </i>
  </rowItems>
  <colItems count="1">
    <i/>
  </colItems>
  <dataFields count="1">
    <dataField name="Sum of Company Code Currency Value" fld="2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855B9-8020-4E0C-8B2D-146D8624730A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1:J5" firstHeaderRow="0" firstDataRow="1" firstDataCol="2"/>
  <pivotFields count="5">
    <pivotField axis="axisRow" compact="0" outline="0" showAll="0" defaultSubtotal="0">
      <items count="3">
        <item m="1" x="2"/>
        <item x="0"/>
        <item x="1"/>
      </items>
    </pivotField>
    <pivotField axis="axisRow" compact="0" outline="0" showAll="0" defaultSubtotal="0">
      <items count="2">
        <item x="1"/>
        <item x="0"/>
      </items>
    </pivotField>
    <pivotField compact="0" numFmtId="15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4">
    <i>
      <x v="1"/>
      <x/>
    </i>
    <i r="1">
      <x v="1"/>
    </i>
    <i>
      <x v="2"/>
      <x/>
    </i>
    <i r="1">
      <x v="1"/>
    </i>
  </rowItems>
  <colFields count="1">
    <field x="-2"/>
  </colFields>
  <colItems count="2">
    <i>
      <x/>
    </i>
    <i i="1">
      <x v="1"/>
    </i>
  </colItems>
  <dataFields count="2">
    <dataField name="Sum of Amount Paid / Credited(Rs.)" fld="3" baseField="0" baseItem="0"/>
    <dataField name="Sum of Tax Deducted(Rs.)" fld="4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1AE6-7247-4676-9CA3-B4EED2460A93}">
  <dimension ref="A1:C1"/>
  <sheetViews>
    <sheetView workbookViewId="0"/>
  </sheetViews>
  <sheetFormatPr defaultRowHeight="14.5"/>
  <cols>
    <col min="1" max="1" width="5.36328125" style="12" bestFit="1" customWidth="1"/>
    <col min="2" max="2" width="21.7265625" style="12" customWidth="1"/>
    <col min="3" max="3" width="11" style="12" customWidth="1"/>
  </cols>
  <sheetData>
    <row r="1" spans="1:3">
      <c r="A1" s="36" t="s">
        <v>15</v>
      </c>
      <c r="B1" s="36" t="s">
        <v>16</v>
      </c>
      <c r="C1" s="3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CE34-7B29-4FF6-9F29-225431032B89}">
  <dimension ref="A2:AE20"/>
  <sheetViews>
    <sheetView tabSelected="1" zoomScale="63" workbookViewId="0">
      <selection activeCell="A3" sqref="A2:C19"/>
    </sheetView>
  </sheetViews>
  <sheetFormatPr defaultRowHeight="14.5"/>
  <cols>
    <col min="1" max="1" width="10.08984375" bestFit="1" customWidth="1"/>
    <col min="2" max="2" width="9.7265625" bestFit="1" customWidth="1"/>
    <col min="3" max="3" width="12.1796875" bestFit="1" customWidth="1"/>
    <col min="5" max="5" width="10.08984375" bestFit="1" customWidth="1"/>
    <col min="6" max="8" width="8.81640625" bestFit="1" customWidth="1"/>
    <col min="9" max="9" width="11.1796875" bestFit="1" customWidth="1"/>
    <col min="11" max="11" width="10.08984375" bestFit="1" customWidth="1"/>
    <col min="12" max="12" width="9.7265625" bestFit="1" customWidth="1"/>
    <col min="14" max="14" width="7.1796875" bestFit="1" customWidth="1"/>
    <col min="15" max="15" width="4.54296875" customWidth="1"/>
    <col min="16" max="16" width="10.08984375" bestFit="1" customWidth="1"/>
    <col min="17" max="17" width="6.7265625" bestFit="1" customWidth="1"/>
    <col min="25" max="25" width="12.6328125" bestFit="1" customWidth="1"/>
    <col min="26" max="26" width="12.6328125" customWidth="1"/>
    <col min="28" max="28" width="11.08984375" bestFit="1" customWidth="1"/>
    <col min="29" max="29" width="14.6328125" bestFit="1" customWidth="1"/>
    <col min="30" max="30" width="12.54296875" bestFit="1" customWidth="1"/>
    <col min="31" max="31" width="14.6328125" bestFit="1" customWidth="1"/>
  </cols>
  <sheetData>
    <row r="2" spans="1:31" s="44" customFormat="1">
      <c r="A2" s="57" t="s">
        <v>13</v>
      </c>
      <c r="B2" s="57"/>
      <c r="C2" s="57"/>
      <c r="E2" s="57" t="s">
        <v>73</v>
      </c>
      <c r="F2" s="57"/>
      <c r="G2" s="57"/>
      <c r="H2" s="57"/>
      <c r="I2" s="57"/>
      <c r="K2" s="56" t="s">
        <v>14</v>
      </c>
      <c r="L2" s="56"/>
      <c r="M2" s="43"/>
      <c r="N2" s="56" t="s">
        <v>57</v>
      </c>
      <c r="O2" s="56"/>
      <c r="P2" s="56"/>
      <c r="Q2" s="56"/>
      <c r="S2" s="56" t="s">
        <v>56</v>
      </c>
      <c r="T2" s="56"/>
      <c r="U2" s="56"/>
      <c r="W2" s="56" t="s">
        <v>68</v>
      </c>
      <c r="X2" s="56"/>
      <c r="Y2" s="56"/>
      <c r="Z2" s="52"/>
      <c r="AB2" s="57"/>
      <c r="AC2" s="57"/>
      <c r="AD2" s="57"/>
      <c r="AE2" s="57"/>
    </row>
    <row r="3" spans="1:31" s="44" customFormat="1">
      <c r="A3" s="48" t="s">
        <v>1</v>
      </c>
      <c r="B3" s="48" t="s">
        <v>10</v>
      </c>
      <c r="C3" s="48" t="s">
        <v>11</v>
      </c>
      <c r="E3" s="48" t="s">
        <v>1</v>
      </c>
      <c r="F3" s="48" t="s">
        <v>51</v>
      </c>
      <c r="G3" s="48" t="s">
        <v>52</v>
      </c>
      <c r="H3" s="48" t="s">
        <v>10</v>
      </c>
      <c r="I3" s="48" t="s">
        <v>11</v>
      </c>
      <c r="K3" s="48" t="s">
        <v>1</v>
      </c>
      <c r="L3" s="48" t="s">
        <v>11</v>
      </c>
      <c r="N3" s="48" t="s">
        <v>1</v>
      </c>
      <c r="O3" s="48" t="s">
        <v>10</v>
      </c>
      <c r="P3" s="48" t="s">
        <v>11</v>
      </c>
      <c r="Q3" s="48" t="s">
        <v>55</v>
      </c>
      <c r="S3" s="48" t="s">
        <v>1</v>
      </c>
      <c r="T3" s="48" t="s">
        <v>10</v>
      </c>
      <c r="U3" s="48" t="s">
        <v>11</v>
      </c>
      <c r="W3" s="48" t="s">
        <v>1</v>
      </c>
      <c r="X3" s="48" t="s">
        <v>10</v>
      </c>
      <c r="Y3" s="49" t="s">
        <v>11</v>
      </c>
      <c r="Z3" s="54"/>
      <c r="AB3" s="51" t="s">
        <v>69</v>
      </c>
      <c r="AC3" s="51" t="s">
        <v>70</v>
      </c>
      <c r="AD3" s="51" t="s">
        <v>71</v>
      </c>
      <c r="AE3" s="51" t="s">
        <v>72</v>
      </c>
    </row>
    <row r="4" spans="1:31">
      <c r="A4" s="47">
        <v>45505</v>
      </c>
      <c r="B4" s="15">
        <v>4421</v>
      </c>
      <c r="C4" s="15">
        <v>380206</v>
      </c>
      <c r="E4" s="47">
        <v>45505</v>
      </c>
      <c r="F4" s="15">
        <v>24.375999999999998</v>
      </c>
      <c r="G4" s="15">
        <v>31.762499999999999</v>
      </c>
      <c r="H4" s="15">
        <v>56.138499999999993</v>
      </c>
      <c r="I4" s="15">
        <v>4771.7724999999991</v>
      </c>
      <c r="K4" s="47">
        <v>45505</v>
      </c>
      <c r="L4" s="15"/>
      <c r="N4" s="35">
        <v>45505</v>
      </c>
      <c r="O4" s="12"/>
      <c r="P4" s="41">
        <v>345600</v>
      </c>
      <c r="Q4" s="12"/>
      <c r="S4" s="36"/>
      <c r="T4" s="36"/>
      <c r="U4" s="36"/>
      <c r="W4" s="35">
        <v>45505</v>
      </c>
      <c r="X4" s="36"/>
      <c r="Y4" s="50">
        <f>C4+I4+L4+P4+U4</f>
        <v>730577.77249999996</v>
      </c>
      <c r="Z4" s="53"/>
      <c r="AB4" s="15"/>
      <c r="AC4" s="15"/>
      <c r="AD4" s="15"/>
      <c r="AE4" s="15"/>
    </row>
    <row r="5" spans="1:31">
      <c r="A5" s="47">
        <v>45536</v>
      </c>
      <c r="B5" s="15">
        <v>2730.01</v>
      </c>
      <c r="C5" s="15">
        <v>234780.86000000002</v>
      </c>
      <c r="E5" s="47">
        <v>45536</v>
      </c>
      <c r="F5" s="15">
        <v>17.2</v>
      </c>
      <c r="G5" s="15">
        <v>1324.5</v>
      </c>
      <c r="H5" s="15">
        <v>1341.7</v>
      </c>
      <c r="I5" s="15">
        <v>114044.5</v>
      </c>
      <c r="K5" s="47">
        <v>45536</v>
      </c>
      <c r="L5" s="15"/>
      <c r="N5" s="35">
        <v>45536</v>
      </c>
      <c r="O5" s="12"/>
      <c r="P5" s="41">
        <v>345600</v>
      </c>
      <c r="Q5" s="12"/>
      <c r="S5" s="36"/>
      <c r="T5" s="36"/>
      <c r="U5" s="36"/>
      <c r="W5" s="35">
        <v>45536</v>
      </c>
      <c r="X5" s="36"/>
      <c r="Y5" s="50">
        <f t="shared" ref="Y5:Y19" si="0">C5+I5+L5+P5+U5</f>
        <v>694425.36</v>
      </c>
      <c r="Z5" s="53"/>
      <c r="AB5" s="15"/>
      <c r="AC5" s="15"/>
      <c r="AD5" s="15"/>
      <c r="AE5" s="15"/>
    </row>
    <row r="6" spans="1:31">
      <c r="A6" s="47">
        <v>45566</v>
      </c>
      <c r="B6" s="15">
        <v>474.24</v>
      </c>
      <c r="C6" s="15">
        <v>40433.702400000002</v>
      </c>
      <c r="E6" s="47">
        <v>45566</v>
      </c>
      <c r="F6" s="15">
        <v>81.12</v>
      </c>
      <c r="G6" s="15">
        <v>33.094999999999999</v>
      </c>
      <c r="H6" s="15">
        <v>114.215</v>
      </c>
      <c r="I6" s="15">
        <v>9708.2749999999996</v>
      </c>
      <c r="K6" s="47">
        <v>45566</v>
      </c>
      <c r="L6" s="15">
        <v>6840</v>
      </c>
      <c r="N6" s="35">
        <v>45566</v>
      </c>
      <c r="O6" s="12"/>
      <c r="P6" s="42">
        <v>254880</v>
      </c>
      <c r="Q6" s="12"/>
      <c r="S6" s="35">
        <v>45566</v>
      </c>
      <c r="T6" s="12"/>
      <c r="U6" s="15">
        <v>90720</v>
      </c>
      <c r="W6" s="35">
        <v>45566</v>
      </c>
      <c r="X6" s="12"/>
      <c r="Y6" s="50">
        <f t="shared" si="0"/>
        <v>402581.97739999997</v>
      </c>
      <c r="Z6" s="53"/>
      <c r="AB6" s="15"/>
      <c r="AC6" s="15"/>
      <c r="AD6" s="15"/>
      <c r="AE6" s="15"/>
    </row>
    <row r="7" spans="1:31">
      <c r="A7" s="47">
        <v>45597</v>
      </c>
      <c r="B7" s="15">
        <v>841.2368399999998</v>
      </c>
      <c r="C7" s="15">
        <v>72026.698240799989</v>
      </c>
      <c r="E7" s="47">
        <v>45597</v>
      </c>
      <c r="F7" s="15"/>
      <c r="G7" s="15">
        <v>10.24</v>
      </c>
      <c r="H7" s="15">
        <v>10.24</v>
      </c>
      <c r="I7" s="15">
        <v>870.4</v>
      </c>
      <c r="K7" s="47">
        <v>45597</v>
      </c>
      <c r="L7" s="15">
        <v>25533</v>
      </c>
      <c r="N7" s="35">
        <v>45597</v>
      </c>
      <c r="O7" s="12"/>
      <c r="P7" s="42">
        <v>254880</v>
      </c>
      <c r="Q7" s="12"/>
      <c r="S7" s="35"/>
      <c r="T7" s="12"/>
      <c r="U7" s="15"/>
      <c r="W7" s="35">
        <v>45597</v>
      </c>
      <c r="X7" s="12"/>
      <c r="Y7" s="50">
        <f t="shared" si="0"/>
        <v>353310.09824079997</v>
      </c>
      <c r="Z7" s="53"/>
      <c r="AB7" s="15"/>
      <c r="AC7" s="15"/>
      <c r="AD7" s="15"/>
      <c r="AE7" s="15"/>
    </row>
    <row r="8" spans="1:31">
      <c r="A8" s="47">
        <v>45627</v>
      </c>
      <c r="B8" s="15">
        <v>4169.6588099999999</v>
      </c>
      <c r="C8" s="15">
        <v>357006.18731220003</v>
      </c>
      <c r="E8" s="47">
        <v>45627</v>
      </c>
      <c r="F8" s="15">
        <v>2798.7999999999993</v>
      </c>
      <c r="G8" s="15">
        <v>15</v>
      </c>
      <c r="H8" s="15">
        <v>2813.7999999999993</v>
      </c>
      <c r="I8" s="15">
        <v>239172.99999999994</v>
      </c>
      <c r="K8" s="47">
        <v>45627</v>
      </c>
      <c r="L8" s="15">
        <v>4740</v>
      </c>
      <c r="N8" s="35">
        <v>45627</v>
      </c>
      <c r="O8" s="12"/>
      <c r="P8" s="42">
        <v>241920</v>
      </c>
      <c r="Q8" s="12"/>
      <c r="S8" s="35"/>
      <c r="T8" s="12"/>
      <c r="U8" s="15"/>
      <c r="W8" s="35">
        <v>45627</v>
      </c>
      <c r="X8" s="12"/>
      <c r="Y8" s="50">
        <f t="shared" si="0"/>
        <v>842839.18731219997</v>
      </c>
      <c r="Z8" s="53"/>
      <c r="AB8" s="15"/>
      <c r="AC8" s="15"/>
      <c r="AD8" s="15"/>
      <c r="AE8" s="15"/>
    </row>
    <row r="9" spans="1:31">
      <c r="A9" s="47">
        <v>45658</v>
      </c>
      <c r="B9" s="15">
        <v>10887.573810000002</v>
      </c>
      <c r="C9" s="15">
        <v>947218.92147000018</v>
      </c>
      <c r="E9" s="47">
        <v>45658</v>
      </c>
      <c r="F9" s="15">
        <v>4.5</v>
      </c>
      <c r="G9" s="15">
        <v>14</v>
      </c>
      <c r="H9" s="15">
        <v>18.5</v>
      </c>
      <c r="I9" s="15">
        <v>1572.5</v>
      </c>
      <c r="K9" s="47">
        <v>45658</v>
      </c>
      <c r="L9" s="15">
        <v>7500</v>
      </c>
      <c r="N9" s="35">
        <v>45658</v>
      </c>
      <c r="O9" s="12"/>
      <c r="P9" s="42">
        <v>198720</v>
      </c>
      <c r="Q9" s="12"/>
      <c r="S9" s="35">
        <v>45658</v>
      </c>
      <c r="T9" s="12"/>
      <c r="U9" s="15">
        <v>18534.2</v>
      </c>
      <c r="W9" s="35">
        <v>45658</v>
      </c>
      <c r="X9" s="12"/>
      <c r="Y9" s="50">
        <f t="shared" si="0"/>
        <v>1173545.6214700001</v>
      </c>
      <c r="Z9" s="53"/>
      <c r="AB9" s="15"/>
      <c r="AC9" s="15"/>
      <c r="AD9" s="15"/>
      <c r="AE9" s="15"/>
    </row>
    <row r="10" spans="1:31">
      <c r="A10" s="47">
        <v>45689</v>
      </c>
      <c r="B10" s="15">
        <v>9928.8922799999982</v>
      </c>
      <c r="C10" s="15">
        <v>867785.18527199992</v>
      </c>
      <c r="E10" s="47">
        <v>45689</v>
      </c>
      <c r="F10" s="15">
        <v>42</v>
      </c>
      <c r="G10" s="15">
        <v>119.4</v>
      </c>
      <c r="H10" s="15">
        <v>161.4</v>
      </c>
      <c r="I10" s="15">
        <v>13719</v>
      </c>
      <c r="K10" s="47">
        <v>45689</v>
      </c>
      <c r="L10" s="15">
        <v>1200</v>
      </c>
      <c r="N10" s="35">
        <v>45689</v>
      </c>
      <c r="O10" s="12"/>
      <c r="P10" s="42">
        <v>0</v>
      </c>
      <c r="Q10" s="12"/>
      <c r="S10" s="12"/>
      <c r="T10" s="12"/>
      <c r="U10" s="12"/>
      <c r="W10" s="35">
        <v>45689</v>
      </c>
      <c r="X10" s="12"/>
      <c r="Y10" s="50">
        <f t="shared" si="0"/>
        <v>882704.18527199992</v>
      </c>
      <c r="Z10" s="53">
        <f>SUM(Y4:Y10)</f>
        <v>5079984.202194999</v>
      </c>
      <c r="AB10" s="51" t="s">
        <v>8</v>
      </c>
      <c r="AC10" s="51">
        <v>395305.25</v>
      </c>
      <c r="AD10" s="51">
        <v>-6472.77</v>
      </c>
      <c r="AE10" s="51">
        <v>388832.48</v>
      </c>
    </row>
    <row r="11" spans="1:31">
      <c r="A11" s="47">
        <v>45717</v>
      </c>
      <c r="B11" s="15">
        <v>10878.4</v>
      </c>
      <c r="C11" s="15">
        <v>950772.16</v>
      </c>
      <c r="E11" s="47">
        <v>45717</v>
      </c>
      <c r="F11" s="15">
        <v>0</v>
      </c>
      <c r="G11" s="15">
        <v>96.039999999999992</v>
      </c>
      <c r="H11" s="15">
        <v>96.039999999999992</v>
      </c>
      <c r="I11" s="15">
        <v>8163.4</v>
      </c>
      <c r="K11" s="47">
        <v>45717</v>
      </c>
      <c r="L11" s="15">
        <v>300</v>
      </c>
      <c r="N11" s="35">
        <v>45717</v>
      </c>
      <c r="O11" s="12"/>
      <c r="P11" s="42">
        <v>198720</v>
      </c>
      <c r="Q11" s="12"/>
      <c r="S11" s="12"/>
      <c r="T11" s="12"/>
      <c r="U11" s="12"/>
      <c r="W11" s="35">
        <v>45717</v>
      </c>
      <c r="X11" s="12"/>
      <c r="Y11" s="50">
        <f t="shared" si="0"/>
        <v>1157955.56</v>
      </c>
      <c r="Z11" s="53">
        <f>Y11</f>
        <v>1157955.56</v>
      </c>
      <c r="AB11" s="51" t="s">
        <v>64</v>
      </c>
      <c r="AC11" s="51">
        <v>2033818.5599999998</v>
      </c>
      <c r="AD11" s="51"/>
      <c r="AE11" s="51">
        <v>2033818.5599999998</v>
      </c>
    </row>
    <row r="12" spans="1:31">
      <c r="A12" s="47">
        <v>45748</v>
      </c>
      <c r="B12" s="15">
        <v>10439.719999999999</v>
      </c>
      <c r="C12" s="15">
        <v>893431.23759999988</v>
      </c>
      <c r="E12" s="47">
        <v>45748</v>
      </c>
      <c r="F12" s="15">
        <v>37.655999999999999</v>
      </c>
      <c r="G12" s="15">
        <v>13.175000000000001</v>
      </c>
      <c r="H12" s="15">
        <v>50.831000000000003</v>
      </c>
      <c r="I12" s="15">
        <v>4320.6350000000002</v>
      </c>
      <c r="K12" s="47">
        <v>45748</v>
      </c>
      <c r="L12" s="15">
        <v>89710</v>
      </c>
      <c r="N12" s="35">
        <v>45748</v>
      </c>
      <c r="O12" s="12"/>
      <c r="P12" s="42">
        <v>198720</v>
      </c>
      <c r="Q12" s="12"/>
      <c r="S12" s="12"/>
      <c r="T12" s="12"/>
      <c r="U12" s="12"/>
      <c r="W12" s="35">
        <v>45748</v>
      </c>
      <c r="X12" s="12"/>
      <c r="Y12" s="50">
        <f t="shared" si="0"/>
        <v>1186181.8725999999</v>
      </c>
      <c r="Z12" s="53">
        <f t="shared" ref="Z12:Z19" si="1">Y12</f>
        <v>1186181.8725999999</v>
      </c>
      <c r="AB12" s="51" t="s">
        <v>65</v>
      </c>
      <c r="AC12" s="51">
        <v>3931566.0500000003</v>
      </c>
      <c r="AD12" s="51"/>
      <c r="AE12" s="51">
        <v>3931566.0500000003</v>
      </c>
    </row>
    <row r="13" spans="1:31">
      <c r="A13" s="47">
        <v>45778</v>
      </c>
      <c r="B13" s="15">
        <v>10672.07</v>
      </c>
      <c r="C13" s="15">
        <v>912355.26429999992</v>
      </c>
      <c r="E13" s="47">
        <v>45778</v>
      </c>
      <c r="F13" s="15">
        <v>223.3125</v>
      </c>
      <c r="G13" s="15">
        <v>67.191999999999993</v>
      </c>
      <c r="H13" s="15">
        <v>290.50450000000001</v>
      </c>
      <c r="I13" s="15">
        <v>24692.8825</v>
      </c>
      <c r="K13" s="47">
        <v>45778</v>
      </c>
      <c r="L13" s="15">
        <v>10200</v>
      </c>
      <c r="N13" s="35">
        <v>45778</v>
      </c>
      <c r="O13" s="12"/>
      <c r="P13" s="42">
        <v>198720</v>
      </c>
      <c r="Q13" s="12"/>
      <c r="S13" s="12"/>
      <c r="T13" s="12"/>
      <c r="U13" s="12"/>
      <c r="W13" s="35">
        <v>45778</v>
      </c>
      <c r="X13" s="12"/>
      <c r="Y13" s="50">
        <f t="shared" si="0"/>
        <v>1145968.1467999998</v>
      </c>
      <c r="Z13" s="53">
        <f t="shared" si="1"/>
        <v>1145968.1467999998</v>
      </c>
      <c r="AB13" s="51" t="s">
        <v>9</v>
      </c>
      <c r="AC13" s="51">
        <v>1208429.54</v>
      </c>
      <c r="AD13" s="51">
        <v>-12897.56</v>
      </c>
      <c r="AE13" s="51">
        <v>1195531.98</v>
      </c>
    </row>
    <row r="14" spans="1:31">
      <c r="A14" s="47">
        <v>45809</v>
      </c>
      <c r="B14" s="15">
        <v>10425.542370000001</v>
      </c>
      <c r="C14" s="15">
        <v>891800.89432980015</v>
      </c>
      <c r="E14" s="47">
        <v>45809</v>
      </c>
      <c r="F14" s="15">
        <v>17</v>
      </c>
      <c r="G14" s="15">
        <v>67.759999999999991</v>
      </c>
      <c r="H14" s="15">
        <v>84.759999999999991</v>
      </c>
      <c r="I14" s="15">
        <v>7204.5999999999995</v>
      </c>
      <c r="K14" s="47">
        <v>45809</v>
      </c>
      <c r="L14" s="15">
        <v>7360</v>
      </c>
      <c r="N14" s="35">
        <v>45809</v>
      </c>
      <c r="O14" s="12"/>
      <c r="P14" s="42">
        <v>198719.94480000003</v>
      </c>
      <c r="Q14" s="12"/>
      <c r="S14" s="12"/>
      <c r="T14" s="12"/>
      <c r="U14" s="12"/>
      <c r="W14" s="35">
        <v>45809</v>
      </c>
      <c r="X14" s="12"/>
      <c r="Y14" s="50">
        <f t="shared" si="0"/>
        <v>1105085.4391298001</v>
      </c>
      <c r="Z14" s="53">
        <f t="shared" si="1"/>
        <v>1105085.4391298001</v>
      </c>
      <c r="AB14" s="51" t="s">
        <v>66</v>
      </c>
      <c r="AC14" s="51">
        <v>1141828.54</v>
      </c>
      <c r="AD14" s="51"/>
      <c r="AE14" s="51">
        <v>1141828.54</v>
      </c>
    </row>
    <row r="15" spans="1:31">
      <c r="A15" s="47">
        <v>45839</v>
      </c>
      <c r="B15" s="15">
        <v>12051.87</v>
      </c>
      <c r="C15" s="15">
        <v>1055141.2185</v>
      </c>
      <c r="E15" s="47">
        <v>45839</v>
      </c>
      <c r="F15" s="15">
        <v>626.36249999999995</v>
      </c>
      <c r="G15" s="15">
        <v>9</v>
      </c>
      <c r="H15" s="15">
        <v>635.36249999999995</v>
      </c>
      <c r="I15" s="15">
        <v>54005.812499999993</v>
      </c>
      <c r="K15" s="47">
        <v>45839</v>
      </c>
      <c r="L15" s="15">
        <v>6450</v>
      </c>
      <c r="N15" s="35">
        <v>45839</v>
      </c>
      <c r="O15" s="12"/>
      <c r="P15" s="42">
        <v>0</v>
      </c>
      <c r="Q15" s="12"/>
      <c r="S15" s="12"/>
      <c r="T15" s="12"/>
      <c r="U15" s="12"/>
      <c r="W15" s="35">
        <v>45839</v>
      </c>
      <c r="X15" s="12"/>
      <c r="Y15" s="50">
        <f t="shared" si="0"/>
        <v>1115597.031</v>
      </c>
      <c r="Z15" s="53">
        <f t="shared" si="1"/>
        <v>1115597.031</v>
      </c>
      <c r="AB15" s="51" t="s">
        <v>67</v>
      </c>
      <c r="AC15" s="51">
        <v>1252352.08</v>
      </c>
      <c r="AD15" s="51"/>
      <c r="AE15" s="51">
        <v>1252352.08</v>
      </c>
    </row>
    <row r="16" spans="1:31">
      <c r="A16" s="47">
        <v>45870</v>
      </c>
      <c r="B16" s="15">
        <v>11446.82</v>
      </c>
      <c r="C16" s="15">
        <v>1005595.6369999999</v>
      </c>
      <c r="E16" s="47">
        <v>45870</v>
      </c>
      <c r="F16" s="15">
        <v>484.74849999999998</v>
      </c>
      <c r="G16" s="15">
        <v>26</v>
      </c>
      <c r="H16" s="15">
        <v>510.74849999999998</v>
      </c>
      <c r="I16" s="15">
        <v>43413.622499999998</v>
      </c>
      <c r="K16" s="47">
        <v>45870</v>
      </c>
      <c r="L16" s="15">
        <v>1900</v>
      </c>
      <c r="N16" s="35">
        <v>45870</v>
      </c>
      <c r="O16" s="12"/>
      <c r="P16" s="42">
        <v>198719.94480000003</v>
      </c>
      <c r="Q16" s="12"/>
      <c r="S16" s="12"/>
      <c r="T16" s="12"/>
      <c r="U16" s="12"/>
      <c r="W16" s="35">
        <v>45870</v>
      </c>
      <c r="X16" s="12"/>
      <c r="Y16" s="50">
        <f t="shared" si="0"/>
        <v>1249629.2042999999</v>
      </c>
      <c r="Z16" s="53">
        <f t="shared" si="1"/>
        <v>1249629.2042999999</v>
      </c>
      <c r="AB16" s="51" t="s">
        <v>0</v>
      </c>
      <c r="AC16" s="51">
        <v>1467628.2600000002</v>
      </c>
      <c r="AD16" s="51"/>
      <c r="AE16" s="51">
        <v>1467628.2600000002</v>
      </c>
    </row>
    <row r="17" spans="1:31">
      <c r="A17" s="47">
        <v>45901</v>
      </c>
      <c r="B17" s="15">
        <v>11447.780772150922</v>
      </c>
      <c r="C17" s="15">
        <v>1016448.4547592804</v>
      </c>
      <c r="E17" s="47">
        <v>45901</v>
      </c>
      <c r="F17" s="15">
        <v>1211.9007999999999</v>
      </c>
      <c r="G17" s="15">
        <v>480</v>
      </c>
      <c r="H17" s="15">
        <v>1691.9007999999999</v>
      </c>
      <c r="I17" s="15">
        <v>143811.568</v>
      </c>
      <c r="K17" s="47">
        <v>45901</v>
      </c>
      <c r="L17" s="15">
        <v>9216</v>
      </c>
      <c r="N17" s="35">
        <v>45901</v>
      </c>
      <c r="O17" s="12"/>
      <c r="P17" s="42">
        <v>99360</v>
      </c>
      <c r="Q17" s="12"/>
      <c r="S17" s="12"/>
      <c r="T17" s="12"/>
      <c r="U17" s="12"/>
      <c r="W17" s="35">
        <v>45901</v>
      </c>
      <c r="X17" s="12"/>
      <c r="Y17" s="50">
        <f t="shared" si="0"/>
        <v>1268836.0227592804</v>
      </c>
      <c r="Z17" s="53">
        <f t="shared" si="1"/>
        <v>1268836.0227592804</v>
      </c>
      <c r="AB17" s="51" t="s">
        <v>63</v>
      </c>
      <c r="AC17" s="51">
        <v>1450472.4999999998</v>
      </c>
      <c r="AD17" s="51">
        <v>-774.01</v>
      </c>
      <c r="AE17" s="51">
        <v>1449698.4899999998</v>
      </c>
    </row>
    <row r="18" spans="1:31">
      <c r="A18" s="47">
        <v>45931</v>
      </c>
      <c r="B18" s="15">
        <v>8081.6606100000008</v>
      </c>
      <c r="C18" s="15">
        <v>717038.0641277011</v>
      </c>
      <c r="E18" s="47">
        <v>45931</v>
      </c>
      <c r="F18" s="15">
        <v>38</v>
      </c>
      <c r="G18" s="15">
        <v>684.14</v>
      </c>
      <c r="H18" s="15">
        <v>722.14</v>
      </c>
      <c r="I18" s="15">
        <v>61381.9</v>
      </c>
      <c r="K18" s="47">
        <v>45931</v>
      </c>
      <c r="L18" s="15">
        <v>5795</v>
      </c>
      <c r="N18" s="35">
        <v>45931</v>
      </c>
      <c r="O18" s="12"/>
      <c r="P18" s="16"/>
      <c r="Q18" s="12"/>
      <c r="S18" s="12"/>
      <c r="T18" s="12"/>
      <c r="U18" s="12"/>
      <c r="W18" s="35">
        <v>45931</v>
      </c>
      <c r="X18" s="12"/>
      <c r="Y18" s="50">
        <f t="shared" si="0"/>
        <v>784214.96412770113</v>
      </c>
      <c r="Z18" s="53">
        <f t="shared" si="1"/>
        <v>784214.96412770113</v>
      </c>
      <c r="AB18" s="51" t="s">
        <v>4</v>
      </c>
      <c r="AC18" s="51">
        <v>1428800.7200000002</v>
      </c>
      <c r="AD18" s="51">
        <v>-111399.05</v>
      </c>
      <c r="AE18" s="51">
        <v>1317401.6700000002</v>
      </c>
    </row>
    <row r="19" spans="1:31">
      <c r="A19" s="47">
        <v>45962</v>
      </c>
      <c r="B19" s="15">
        <v>3535.0881599999998</v>
      </c>
      <c r="C19" s="15">
        <v>316248.98679360002</v>
      </c>
      <c r="E19" s="47">
        <v>45962</v>
      </c>
      <c r="F19" s="15">
        <v>250.24</v>
      </c>
      <c r="G19" s="15">
        <v>238</v>
      </c>
      <c r="H19" s="15">
        <v>488.24</v>
      </c>
      <c r="I19" s="15">
        <v>41500.400000000001</v>
      </c>
      <c r="K19" s="47">
        <v>45962</v>
      </c>
      <c r="L19" s="15">
        <v>13790</v>
      </c>
      <c r="N19" s="35">
        <v>45962</v>
      </c>
      <c r="O19" s="12">
        <v>200</v>
      </c>
      <c r="P19" s="15">
        <f>O19*Q19</f>
        <v>17892</v>
      </c>
      <c r="Q19" s="12">
        <v>89.46</v>
      </c>
      <c r="S19" s="12"/>
      <c r="T19" s="12"/>
      <c r="U19" s="12"/>
      <c r="W19" s="35">
        <v>45962</v>
      </c>
      <c r="X19" s="12"/>
      <c r="Y19" s="50">
        <f t="shared" si="0"/>
        <v>389431.38679360005</v>
      </c>
      <c r="Z19" s="53">
        <f t="shared" si="1"/>
        <v>389431.38679360005</v>
      </c>
      <c r="AB19" s="51" t="s">
        <v>5</v>
      </c>
      <c r="AC19" s="51">
        <v>1199702.72</v>
      </c>
      <c r="AD19" s="51">
        <v>-400169.02</v>
      </c>
      <c r="AE19" s="51">
        <v>799533.7</v>
      </c>
    </row>
    <row r="20" spans="1:31">
      <c r="C20" s="55">
        <f>SUM(C4:C19)</f>
        <v>10658289.472105382</v>
      </c>
      <c r="I20" s="55">
        <f>SUM(I4:I19)</f>
        <v>772354.26799999992</v>
      </c>
      <c r="L20" s="55">
        <f>SUM(L6:L19)</f>
        <v>190534</v>
      </c>
      <c r="P20" s="55">
        <f>SUM(P4:P19)</f>
        <v>2752451.8896000003</v>
      </c>
      <c r="Y20" s="55">
        <f>SUM(Y4:Y19)</f>
        <v>14482883.82970538</v>
      </c>
      <c r="Z20" s="17"/>
      <c r="AB20" s="51"/>
      <c r="AC20" s="51">
        <v>15509904.220000001</v>
      </c>
      <c r="AD20" s="51">
        <v>-531712.41</v>
      </c>
      <c r="AE20" s="51">
        <v>14978191.809999999</v>
      </c>
    </row>
  </sheetData>
  <mergeCells count="7">
    <mergeCell ref="W2:Y2"/>
    <mergeCell ref="AB2:AE2"/>
    <mergeCell ref="A2:C2"/>
    <mergeCell ref="E2:I2"/>
    <mergeCell ref="K2:L2"/>
    <mergeCell ref="N2:Q2"/>
    <mergeCell ref="S2:U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E256-0DA1-4BE0-8F43-51F09A9F32C4}">
  <dimension ref="A1:AB74"/>
  <sheetViews>
    <sheetView topLeftCell="H1" zoomScale="55" zoomScaleNormal="115" workbookViewId="0">
      <selection activeCell="T38" sqref="T38"/>
    </sheetView>
  </sheetViews>
  <sheetFormatPr defaultRowHeight="14.5"/>
  <cols>
    <col min="1" max="1" width="19.81640625" style="9" bestFit="1" customWidth="1"/>
    <col min="2" max="2" width="16.36328125" style="2" bestFit="1" customWidth="1"/>
    <col min="3" max="4" width="15.26953125" style="13" bestFit="1" customWidth="1"/>
    <col min="5" max="5" width="15" style="11" bestFit="1" customWidth="1"/>
    <col min="6" max="6" width="12.81640625" style="10" bestFit="1" customWidth="1"/>
    <col min="7" max="7" width="9" style="10" bestFit="1" customWidth="1"/>
    <col min="8" max="8" width="10.453125" style="10" bestFit="1" customWidth="1"/>
    <col min="9" max="9" width="12.453125" style="10" bestFit="1" customWidth="1"/>
    <col min="10" max="10" width="13.08984375" style="10" bestFit="1" customWidth="1"/>
    <col min="11" max="11" width="11.81640625" style="10" bestFit="1" customWidth="1"/>
    <col min="12" max="12" width="9" style="10" customWidth="1"/>
    <col min="13" max="13" width="8.7265625" style="10"/>
    <col min="14" max="14" width="15" style="10" bestFit="1" customWidth="1"/>
    <col min="15" max="15" width="16.36328125" style="10" bestFit="1" customWidth="1"/>
    <col min="16" max="16" width="14.36328125" style="10" bestFit="1" customWidth="1"/>
    <col min="17" max="17" width="10.08984375" style="10" customWidth="1"/>
    <col min="18" max="18" width="9.6328125" style="10" bestFit="1" customWidth="1"/>
    <col min="19" max="19" width="12.90625" style="10" bestFit="1" customWidth="1"/>
    <col min="20" max="20" width="9" style="10" bestFit="1" customWidth="1"/>
    <col min="21" max="21" width="6.54296875" style="10" bestFit="1" customWidth="1"/>
    <col min="22" max="22" width="9.6328125" style="10" bestFit="1" customWidth="1"/>
    <col min="23" max="23" width="9.36328125" style="10" bestFit="1" customWidth="1"/>
    <col min="24" max="24" width="8.7265625" style="10"/>
    <col min="25" max="25" width="9" style="10" bestFit="1" customWidth="1"/>
    <col min="26" max="26" width="6.54296875" style="10" bestFit="1" customWidth="1"/>
    <col min="27" max="27" width="8.08984375" style="10" bestFit="1" customWidth="1"/>
    <col min="28" max="16384" width="8.7265625" style="10"/>
  </cols>
  <sheetData>
    <row r="1" spans="1:28">
      <c r="G1" s="58" t="s">
        <v>54</v>
      </c>
      <c r="H1" s="58"/>
      <c r="I1" s="58"/>
      <c r="J1" s="58"/>
      <c r="K1" s="8"/>
      <c r="L1" s="8"/>
      <c r="T1" s="58" t="s">
        <v>57</v>
      </c>
      <c r="U1" s="58"/>
      <c r="V1" s="58"/>
      <c r="W1" s="58"/>
      <c r="Y1" s="58" t="s">
        <v>56</v>
      </c>
      <c r="Z1" s="58"/>
      <c r="AA1" s="58"/>
      <c r="AB1" s="43"/>
    </row>
    <row r="2" spans="1:28">
      <c r="A2" s="23" t="s">
        <v>44</v>
      </c>
      <c r="B2" t="s">
        <v>58</v>
      </c>
      <c r="C2" t="s">
        <v>59</v>
      </c>
      <c r="D2"/>
      <c r="G2" s="36" t="s">
        <v>1</v>
      </c>
      <c r="H2" s="36" t="s">
        <v>51</v>
      </c>
      <c r="I2" s="36" t="s">
        <v>52</v>
      </c>
      <c r="J2" s="36" t="s">
        <v>53</v>
      </c>
      <c r="K2" s="44"/>
      <c r="L2" s="44"/>
      <c r="N2" s="23" t="s">
        <v>44</v>
      </c>
      <c r="O2" t="s">
        <v>58</v>
      </c>
      <c r="P2" t="s">
        <v>59</v>
      </c>
      <c r="Q2"/>
      <c r="T2" s="36" t="s">
        <v>1</v>
      </c>
      <c r="U2" s="36" t="s">
        <v>10</v>
      </c>
      <c r="V2" s="36" t="s">
        <v>11</v>
      </c>
      <c r="W2" s="36" t="s">
        <v>55</v>
      </c>
      <c r="Y2" s="36" t="s">
        <v>1</v>
      </c>
      <c r="Z2" s="36" t="s">
        <v>10</v>
      </c>
      <c r="AA2" s="36" t="s">
        <v>11</v>
      </c>
    </row>
    <row r="3" spans="1:28">
      <c r="A3" s="39" t="s">
        <v>61</v>
      </c>
      <c r="B3">
        <v>12636.145649999999</v>
      </c>
      <c r="C3" s="17">
        <v>1084453.447953</v>
      </c>
      <c r="D3"/>
      <c r="F3" s="40"/>
      <c r="G3" s="35">
        <v>45505</v>
      </c>
      <c r="H3" s="37">
        <v>24.375999999999998</v>
      </c>
      <c r="I3" s="37">
        <v>31.762499999999999</v>
      </c>
      <c r="J3" s="37">
        <v>56.138499999999993</v>
      </c>
      <c r="K3" s="45">
        <f>J3*85</f>
        <v>4771.7724999999991</v>
      </c>
      <c r="L3" s="45"/>
      <c r="N3" s="46">
        <v>45505</v>
      </c>
      <c r="O3"/>
      <c r="P3"/>
      <c r="Q3"/>
      <c r="T3" s="35">
        <v>45505</v>
      </c>
      <c r="U3" s="12"/>
      <c r="V3" s="41">
        <v>345600</v>
      </c>
      <c r="W3" s="12"/>
      <c r="Y3" s="35">
        <v>45566</v>
      </c>
      <c r="Z3" s="12"/>
      <c r="AA3" s="15">
        <v>90720</v>
      </c>
    </row>
    <row r="4" spans="1:28">
      <c r="A4" s="24" t="s">
        <v>0</v>
      </c>
      <c r="B4">
        <v>4421</v>
      </c>
      <c r="C4" s="17">
        <v>380206</v>
      </c>
      <c r="D4"/>
      <c r="F4" s="40"/>
      <c r="G4" s="35">
        <v>45536</v>
      </c>
      <c r="H4" s="37">
        <v>17.2</v>
      </c>
      <c r="I4" s="37">
        <v>1324.5</v>
      </c>
      <c r="J4" s="37">
        <v>1341.7</v>
      </c>
      <c r="K4" s="45">
        <f t="shared" ref="K4:K18" si="0">J4*85</f>
        <v>114044.5</v>
      </c>
      <c r="L4" s="45"/>
      <c r="N4" s="46">
        <v>45536</v>
      </c>
      <c r="O4"/>
      <c r="P4"/>
      <c r="Q4"/>
      <c r="T4" s="35">
        <v>45536</v>
      </c>
      <c r="U4" s="12"/>
      <c r="V4" s="41">
        <v>345600</v>
      </c>
      <c r="W4" s="12"/>
      <c r="Y4" s="35">
        <v>45658</v>
      </c>
      <c r="Z4" s="12"/>
      <c r="AA4" s="15">
        <v>18534.2</v>
      </c>
    </row>
    <row r="5" spans="1:28">
      <c r="A5" s="24" t="s">
        <v>63</v>
      </c>
      <c r="B5">
        <v>2730.01</v>
      </c>
      <c r="C5" s="17">
        <v>234780.86000000002</v>
      </c>
      <c r="D5"/>
      <c r="F5" s="40"/>
      <c r="G5" s="35">
        <v>45566</v>
      </c>
      <c r="H5" s="37">
        <v>81.12</v>
      </c>
      <c r="I5" s="37">
        <v>33.094999999999999</v>
      </c>
      <c r="J5" s="37">
        <v>114.215</v>
      </c>
      <c r="K5" s="45">
        <f t="shared" si="0"/>
        <v>9708.2749999999996</v>
      </c>
      <c r="L5" s="45"/>
      <c r="N5" s="46">
        <v>45566</v>
      </c>
      <c r="O5"/>
      <c r="P5">
        <v>6840</v>
      </c>
      <c r="Q5"/>
      <c r="T5" s="35">
        <v>45566</v>
      </c>
      <c r="U5" s="12"/>
      <c r="V5" s="42">
        <v>254880</v>
      </c>
      <c r="W5" s="12"/>
    </row>
    <row r="6" spans="1:28">
      <c r="A6" s="24" t="s">
        <v>4</v>
      </c>
      <c r="B6">
        <v>474.24</v>
      </c>
      <c r="C6" s="17">
        <v>40433.702400000002</v>
      </c>
      <c r="D6"/>
      <c r="F6" s="40"/>
      <c r="G6" s="35">
        <v>45597</v>
      </c>
      <c r="H6" s="37"/>
      <c r="I6" s="37">
        <v>10.24</v>
      </c>
      <c r="J6" s="37">
        <v>10.24</v>
      </c>
      <c r="K6" s="45">
        <f t="shared" si="0"/>
        <v>870.4</v>
      </c>
      <c r="L6" s="45"/>
      <c r="N6" s="46">
        <v>45597</v>
      </c>
      <c r="O6"/>
      <c r="P6">
        <v>25533</v>
      </c>
      <c r="Q6"/>
      <c r="T6" s="35">
        <v>45597</v>
      </c>
      <c r="U6" s="12"/>
      <c r="V6" s="42">
        <v>254880</v>
      </c>
      <c r="W6" s="12"/>
    </row>
    <row r="7" spans="1:28">
      <c r="A7" s="24" t="s">
        <v>5</v>
      </c>
      <c r="B7">
        <v>841.2368399999998</v>
      </c>
      <c r="C7" s="17">
        <v>72026.698240799989</v>
      </c>
      <c r="D7"/>
      <c r="F7" s="40"/>
      <c r="G7" s="35">
        <v>45627</v>
      </c>
      <c r="H7" s="37">
        <v>2798.7999999999993</v>
      </c>
      <c r="I7" s="37">
        <v>15</v>
      </c>
      <c r="J7" s="37">
        <v>2813.7999999999993</v>
      </c>
      <c r="K7" s="45">
        <f t="shared" si="0"/>
        <v>239172.99999999994</v>
      </c>
      <c r="L7" s="45"/>
      <c r="N7" s="46">
        <v>45627</v>
      </c>
      <c r="O7"/>
      <c r="P7">
        <v>4740</v>
      </c>
      <c r="Q7"/>
      <c r="T7" s="35">
        <v>45627</v>
      </c>
      <c r="U7" s="12"/>
      <c r="V7" s="42">
        <v>241920</v>
      </c>
      <c r="W7" s="12"/>
    </row>
    <row r="8" spans="1:28">
      <c r="A8" s="24" t="s">
        <v>6</v>
      </c>
      <c r="B8">
        <v>4169.6588099999999</v>
      </c>
      <c r="C8" s="17">
        <v>357006.18731220003</v>
      </c>
      <c r="D8"/>
      <c r="F8" s="40"/>
      <c r="G8" s="35">
        <v>45658</v>
      </c>
      <c r="H8" s="37">
        <v>4.5</v>
      </c>
      <c r="I8" s="37">
        <v>14</v>
      </c>
      <c r="J8" s="37">
        <v>18.5</v>
      </c>
      <c r="K8" s="45">
        <f t="shared" si="0"/>
        <v>1572.5</v>
      </c>
      <c r="L8" s="45"/>
      <c r="N8" s="46">
        <v>45658</v>
      </c>
      <c r="O8"/>
      <c r="P8">
        <v>7500</v>
      </c>
      <c r="Q8"/>
      <c r="T8" s="35">
        <v>45658</v>
      </c>
      <c r="U8" s="12"/>
      <c r="V8" s="42">
        <v>198720</v>
      </c>
      <c r="W8" s="12"/>
    </row>
    <row r="9" spans="1:28">
      <c r="A9" s="39" t="s">
        <v>62</v>
      </c>
      <c r="B9">
        <v>109795.41800215094</v>
      </c>
      <c r="C9" s="17">
        <v>9573836.0241523813</v>
      </c>
      <c r="D9"/>
      <c r="F9" s="40"/>
      <c r="G9" s="35">
        <v>45689</v>
      </c>
      <c r="H9" s="37">
        <v>42</v>
      </c>
      <c r="I9" s="37">
        <v>119.4</v>
      </c>
      <c r="J9" s="37">
        <v>161.4</v>
      </c>
      <c r="K9" s="45">
        <f t="shared" si="0"/>
        <v>13719</v>
      </c>
      <c r="L9" s="45"/>
      <c r="N9" s="46">
        <v>45689</v>
      </c>
      <c r="O9"/>
      <c r="P9">
        <v>1200</v>
      </c>
      <c r="Q9"/>
      <c r="T9" s="35">
        <v>45689</v>
      </c>
      <c r="U9" s="12"/>
      <c r="V9" s="42">
        <v>0</v>
      </c>
      <c r="W9" s="12"/>
    </row>
    <row r="10" spans="1:28">
      <c r="A10" s="24" t="s">
        <v>7</v>
      </c>
      <c r="B10">
        <v>10887.573810000002</v>
      </c>
      <c r="C10" s="17">
        <v>947218.92147000018</v>
      </c>
      <c r="D10"/>
      <c r="F10" s="40"/>
      <c r="G10" s="35">
        <v>45717</v>
      </c>
      <c r="H10" s="37">
        <v>0</v>
      </c>
      <c r="I10" s="37">
        <v>96.039999999999992</v>
      </c>
      <c r="J10" s="37">
        <v>96.039999999999992</v>
      </c>
      <c r="K10" s="45">
        <f t="shared" si="0"/>
        <v>8163.4</v>
      </c>
      <c r="L10" s="45"/>
      <c r="N10" s="46">
        <v>45717</v>
      </c>
      <c r="O10"/>
      <c r="P10">
        <v>300</v>
      </c>
      <c r="Q10"/>
      <c r="T10" s="35">
        <v>45717</v>
      </c>
      <c r="U10" s="12"/>
      <c r="V10" s="42">
        <v>198720</v>
      </c>
      <c r="W10" s="12"/>
    </row>
    <row r="11" spans="1:28">
      <c r="A11" s="24" t="s">
        <v>8</v>
      </c>
      <c r="B11">
        <v>9928.8922799999982</v>
      </c>
      <c r="C11" s="17">
        <v>867785.18527199992</v>
      </c>
      <c r="D11"/>
      <c r="F11" s="40"/>
      <c r="G11" s="35">
        <v>45748</v>
      </c>
      <c r="H11" s="37">
        <v>37.655999999999999</v>
      </c>
      <c r="I11" s="37">
        <v>13.175000000000001</v>
      </c>
      <c r="J11" s="37">
        <v>50.831000000000003</v>
      </c>
      <c r="K11" s="45">
        <f t="shared" si="0"/>
        <v>4320.6350000000002</v>
      </c>
      <c r="L11" s="45"/>
      <c r="N11" s="46">
        <v>45748</v>
      </c>
      <c r="O11"/>
      <c r="P11">
        <v>89710</v>
      </c>
      <c r="Q11"/>
      <c r="T11" s="35">
        <v>45748</v>
      </c>
      <c r="U11" s="12"/>
      <c r="V11" s="42">
        <v>198720</v>
      </c>
      <c r="W11" s="12"/>
    </row>
    <row r="12" spans="1:28">
      <c r="A12" s="24" t="s">
        <v>64</v>
      </c>
      <c r="B12">
        <v>10878.4</v>
      </c>
      <c r="C12" s="17">
        <v>950772.16</v>
      </c>
      <c r="D12"/>
      <c r="F12" s="40"/>
      <c r="G12" s="35">
        <v>45778</v>
      </c>
      <c r="H12" s="37">
        <v>223.3125</v>
      </c>
      <c r="I12" s="37">
        <v>67.191999999999993</v>
      </c>
      <c r="J12" s="37">
        <v>290.50450000000001</v>
      </c>
      <c r="K12" s="45">
        <f t="shared" si="0"/>
        <v>24692.8825</v>
      </c>
      <c r="L12" s="45"/>
      <c r="N12" s="46">
        <v>45778</v>
      </c>
      <c r="O12"/>
      <c r="P12">
        <v>10200</v>
      </c>
      <c r="Q12"/>
      <c r="T12" s="35">
        <v>45778</v>
      </c>
      <c r="U12" s="12"/>
      <c r="V12" s="42">
        <v>198720</v>
      </c>
      <c r="W12" s="12"/>
    </row>
    <row r="13" spans="1:28">
      <c r="A13" s="24" t="s">
        <v>65</v>
      </c>
      <c r="B13">
        <v>10439.719999999999</v>
      </c>
      <c r="C13" s="17">
        <v>893431.23759999988</v>
      </c>
      <c r="D13"/>
      <c r="F13" s="40"/>
      <c r="G13" s="35">
        <v>45809</v>
      </c>
      <c r="H13" s="37">
        <v>17</v>
      </c>
      <c r="I13" s="37">
        <v>67.759999999999991</v>
      </c>
      <c r="J13" s="37">
        <v>84.759999999999991</v>
      </c>
      <c r="K13" s="45">
        <f t="shared" si="0"/>
        <v>7204.5999999999995</v>
      </c>
      <c r="L13" s="45"/>
      <c r="N13" s="46">
        <v>45809</v>
      </c>
      <c r="O13"/>
      <c r="P13">
        <v>7360</v>
      </c>
      <c r="Q13"/>
      <c r="T13" s="35">
        <v>45809</v>
      </c>
      <c r="U13" s="12"/>
      <c r="V13" s="42">
        <v>198719.94480000003</v>
      </c>
      <c r="W13" s="12"/>
    </row>
    <row r="14" spans="1:28">
      <c r="A14" s="24" t="s">
        <v>9</v>
      </c>
      <c r="B14">
        <v>10672.07</v>
      </c>
      <c r="C14" s="17">
        <v>912355.26429999992</v>
      </c>
      <c r="D14"/>
      <c r="F14" s="40"/>
      <c r="G14" s="35">
        <v>45839</v>
      </c>
      <c r="H14" s="37">
        <v>626.36249999999995</v>
      </c>
      <c r="I14" s="37">
        <v>9</v>
      </c>
      <c r="J14" s="37">
        <v>635.36249999999995</v>
      </c>
      <c r="K14" s="45">
        <f t="shared" si="0"/>
        <v>54005.812499999993</v>
      </c>
      <c r="L14" s="45"/>
      <c r="N14" s="46">
        <v>45839</v>
      </c>
      <c r="O14">
        <v>73.67</v>
      </c>
      <c r="P14">
        <v>6450</v>
      </c>
      <c r="Q14"/>
      <c r="T14" s="35">
        <v>45839</v>
      </c>
      <c r="U14" s="12"/>
      <c r="V14" s="42">
        <v>0</v>
      </c>
      <c r="W14" s="12"/>
    </row>
    <row r="15" spans="1:28">
      <c r="A15" s="24" t="s">
        <v>66</v>
      </c>
      <c r="B15">
        <v>10425.542370000001</v>
      </c>
      <c r="C15" s="17">
        <v>891800.89432980015</v>
      </c>
      <c r="D15"/>
      <c r="F15" s="40"/>
      <c r="G15" s="35">
        <v>45870</v>
      </c>
      <c r="H15" s="37">
        <v>484.74849999999998</v>
      </c>
      <c r="I15" s="37">
        <v>26</v>
      </c>
      <c r="J15" s="37">
        <v>510.74849999999998</v>
      </c>
      <c r="K15" s="45">
        <f t="shared" si="0"/>
        <v>43413.622499999998</v>
      </c>
      <c r="L15" s="45"/>
      <c r="N15" s="46">
        <v>45870</v>
      </c>
      <c r="O15">
        <v>20.57</v>
      </c>
      <c r="P15">
        <v>1900</v>
      </c>
      <c r="Q15"/>
      <c r="T15" s="35">
        <v>45870</v>
      </c>
      <c r="U15" s="12"/>
      <c r="V15" s="42">
        <v>198719.94480000003</v>
      </c>
      <c r="W15" s="12"/>
    </row>
    <row r="16" spans="1:28">
      <c r="A16" s="24" t="s">
        <v>67</v>
      </c>
      <c r="B16">
        <v>12051.87</v>
      </c>
      <c r="C16" s="17">
        <v>1055141.2185</v>
      </c>
      <c r="F16" s="40"/>
      <c r="G16" s="35">
        <v>45901</v>
      </c>
      <c r="H16" s="37">
        <v>1211.9007999999999</v>
      </c>
      <c r="I16" s="37">
        <v>480</v>
      </c>
      <c r="J16" s="37">
        <v>1691.9007999999999</v>
      </c>
      <c r="K16" s="45">
        <f t="shared" si="0"/>
        <v>143811.568</v>
      </c>
      <c r="L16" s="45"/>
      <c r="N16" s="46">
        <v>45901</v>
      </c>
      <c r="O16">
        <v>104.25</v>
      </c>
      <c r="P16">
        <v>9216</v>
      </c>
      <c r="Q16"/>
      <c r="T16" s="35">
        <v>45901</v>
      </c>
      <c r="U16" s="12"/>
      <c r="V16" s="42">
        <v>99360</v>
      </c>
      <c r="W16" s="12"/>
    </row>
    <row r="17" spans="1:23">
      <c r="A17" s="24" t="s">
        <v>0</v>
      </c>
      <c r="B17">
        <v>11446.82</v>
      </c>
      <c r="C17" s="17">
        <v>1005595.6369999999</v>
      </c>
      <c r="F17" s="40"/>
      <c r="G17" s="35">
        <v>45931</v>
      </c>
      <c r="H17" s="37">
        <v>38</v>
      </c>
      <c r="I17" s="37">
        <v>684.14</v>
      </c>
      <c r="J17" s="37">
        <v>722.14</v>
      </c>
      <c r="K17" s="45">
        <f t="shared" si="0"/>
        <v>61381.9</v>
      </c>
      <c r="L17" s="45"/>
      <c r="N17" s="46">
        <v>45931</v>
      </c>
      <c r="O17"/>
      <c r="P17">
        <v>5795</v>
      </c>
      <c r="Q17"/>
      <c r="T17" s="35">
        <v>45931</v>
      </c>
      <c r="U17" s="12"/>
      <c r="V17" s="16"/>
      <c r="W17" s="12"/>
    </row>
    <row r="18" spans="1:23">
      <c r="A18" s="24" t="s">
        <v>63</v>
      </c>
      <c r="B18">
        <v>11447.780772150922</v>
      </c>
      <c r="C18" s="17">
        <v>1016448.4547592804</v>
      </c>
      <c r="F18" s="40"/>
      <c r="G18" s="35">
        <v>45962</v>
      </c>
      <c r="H18" s="12">
        <v>250.24</v>
      </c>
      <c r="I18" s="37">
        <v>238</v>
      </c>
      <c r="J18" s="37">
        <v>488.24</v>
      </c>
      <c r="K18" s="45">
        <f t="shared" si="0"/>
        <v>41500.400000000001</v>
      </c>
      <c r="L18" s="45"/>
      <c r="N18" s="46">
        <v>45962</v>
      </c>
      <c r="O18">
        <v>154.88627051921628</v>
      </c>
      <c r="P18">
        <v>13790</v>
      </c>
      <c r="Q18"/>
      <c r="T18" s="35">
        <v>45962</v>
      </c>
      <c r="U18" s="12">
        <v>200</v>
      </c>
      <c r="V18" s="15">
        <f>U18*W18</f>
        <v>17892</v>
      </c>
      <c r="W18" s="12">
        <v>89.46</v>
      </c>
    </row>
    <row r="19" spans="1:23">
      <c r="A19" s="24" t="s">
        <v>4</v>
      </c>
      <c r="B19">
        <v>8081.6606100000008</v>
      </c>
      <c r="C19" s="17">
        <v>717038.0641277011</v>
      </c>
      <c r="N19" s="39" t="s">
        <v>45</v>
      </c>
      <c r="O19">
        <v>353.37627051921629</v>
      </c>
      <c r="P19">
        <v>190534</v>
      </c>
      <c r="Q19"/>
    </row>
    <row r="20" spans="1:23">
      <c r="A20" s="24" t="s">
        <v>5</v>
      </c>
      <c r="B20">
        <v>3535.0881600000002</v>
      </c>
      <c r="C20" s="17">
        <v>316248.98679360002</v>
      </c>
    </row>
    <row r="21" spans="1:23">
      <c r="A21" s="39" t="s">
        <v>45</v>
      </c>
      <c r="B21">
        <v>122431.56365215093</v>
      </c>
      <c r="C21" s="17">
        <v>10658289.472105382</v>
      </c>
    </row>
    <row r="22" spans="1:23">
      <c r="A22"/>
    </row>
    <row r="23" spans="1:23">
      <c r="A23" s="58" t="s">
        <v>13</v>
      </c>
      <c r="B23" s="58"/>
      <c r="C23" s="58"/>
      <c r="D23" s="58"/>
      <c r="E23" s="58"/>
      <c r="N23" s="58" t="s">
        <v>14</v>
      </c>
      <c r="O23" s="58"/>
      <c r="P23" s="58"/>
      <c r="Q23" s="58"/>
      <c r="R23" s="58"/>
    </row>
    <row r="24" spans="1:23">
      <c r="A24" s="5" t="s">
        <v>1</v>
      </c>
      <c r="B24" s="5" t="s">
        <v>60</v>
      </c>
      <c r="C24" s="7" t="s">
        <v>10</v>
      </c>
      <c r="D24" s="7" t="s">
        <v>11</v>
      </c>
      <c r="E24" s="7" t="s">
        <v>12</v>
      </c>
      <c r="N24" s="5" t="s">
        <v>1</v>
      </c>
      <c r="O24" s="7" t="s">
        <v>10</v>
      </c>
      <c r="P24" s="7" t="s">
        <v>11</v>
      </c>
      <c r="Q24" s="7"/>
      <c r="R24" s="7" t="s">
        <v>12</v>
      </c>
    </row>
    <row r="25" spans="1:23">
      <c r="A25" s="6">
        <v>45505</v>
      </c>
      <c r="B25" s="3" t="s">
        <v>2</v>
      </c>
      <c r="C25" s="3">
        <v>4346</v>
      </c>
      <c r="D25" s="3">
        <f>C25*E25</f>
        <v>373756</v>
      </c>
      <c r="E25" s="14">
        <v>86</v>
      </c>
      <c r="N25" s="6">
        <v>45505</v>
      </c>
      <c r="O25" s="3"/>
      <c r="P25" s="3"/>
      <c r="Q25" s="3"/>
      <c r="R25" s="14"/>
    </row>
    <row r="26" spans="1:23">
      <c r="A26" s="6">
        <v>45505</v>
      </c>
      <c r="B26" s="3" t="s">
        <v>3</v>
      </c>
      <c r="C26" s="3">
        <v>75</v>
      </c>
      <c r="D26" s="3">
        <f t="shared" ref="D26:D56" si="1">C26*E26</f>
        <v>6450</v>
      </c>
      <c r="E26" s="14">
        <v>86</v>
      </c>
      <c r="N26" s="6">
        <v>45505</v>
      </c>
      <c r="O26" s="3"/>
      <c r="P26" s="3"/>
      <c r="Q26" s="3"/>
      <c r="R26" s="14"/>
    </row>
    <row r="27" spans="1:23">
      <c r="A27" s="6">
        <v>45536</v>
      </c>
      <c r="B27" s="3" t="s">
        <v>2</v>
      </c>
      <c r="C27" s="3">
        <v>2655.01</v>
      </c>
      <c r="D27" s="3">
        <f t="shared" si="1"/>
        <v>228330.86000000002</v>
      </c>
      <c r="E27" s="14">
        <v>86</v>
      </c>
      <c r="N27" s="6">
        <v>45536</v>
      </c>
      <c r="O27" s="3"/>
      <c r="P27" s="3"/>
      <c r="Q27" s="3"/>
      <c r="R27" s="14"/>
    </row>
    <row r="28" spans="1:23">
      <c r="A28" s="6">
        <v>45536</v>
      </c>
      <c r="B28" s="3" t="s">
        <v>3</v>
      </c>
      <c r="C28" s="3">
        <v>75</v>
      </c>
      <c r="D28" s="3">
        <f t="shared" si="1"/>
        <v>6450</v>
      </c>
      <c r="E28" s="14">
        <v>86</v>
      </c>
      <c r="N28" s="6">
        <v>45536</v>
      </c>
      <c r="O28" s="3"/>
      <c r="P28" s="3"/>
      <c r="Q28" s="3"/>
      <c r="R28" s="14"/>
    </row>
    <row r="29" spans="1:23">
      <c r="A29" s="6">
        <v>45566</v>
      </c>
      <c r="B29" s="3" t="s">
        <v>2</v>
      </c>
      <c r="C29" s="3">
        <v>399.24</v>
      </c>
      <c r="D29" s="3">
        <f t="shared" si="1"/>
        <v>34039.202400000002</v>
      </c>
      <c r="E29" s="14">
        <v>85.26</v>
      </c>
      <c r="N29" s="6">
        <v>45566</v>
      </c>
      <c r="O29" s="3"/>
      <c r="P29" s="3">
        <v>6840</v>
      </c>
      <c r="Q29" s="3"/>
      <c r="R29" s="14"/>
    </row>
    <row r="30" spans="1:23">
      <c r="A30" s="6">
        <v>45566</v>
      </c>
      <c r="B30" s="3" t="s">
        <v>3</v>
      </c>
      <c r="C30" s="3">
        <v>75</v>
      </c>
      <c r="D30" s="3">
        <f t="shared" si="1"/>
        <v>6394.5</v>
      </c>
      <c r="E30" s="14">
        <v>85.26</v>
      </c>
      <c r="N30" s="6">
        <v>45566</v>
      </c>
      <c r="O30" s="3"/>
      <c r="P30" s="3"/>
      <c r="Q30" s="3"/>
      <c r="R30" s="14"/>
    </row>
    <row r="31" spans="1:23">
      <c r="A31" s="6">
        <v>45597</v>
      </c>
      <c r="B31" s="3" t="s">
        <v>2</v>
      </c>
      <c r="C31" s="3">
        <v>766.2368399999998</v>
      </c>
      <c r="D31" s="3">
        <f t="shared" si="1"/>
        <v>65605.198240799989</v>
      </c>
      <c r="E31" s="14">
        <v>85.62</v>
      </c>
      <c r="N31" s="6">
        <v>45597</v>
      </c>
      <c r="O31" s="3"/>
      <c r="P31" s="3">
        <v>25533</v>
      </c>
      <c r="Q31" s="3"/>
      <c r="R31" s="14"/>
    </row>
    <row r="32" spans="1:23">
      <c r="A32" s="6">
        <v>45597</v>
      </c>
      <c r="B32" s="3" t="s">
        <v>3</v>
      </c>
      <c r="C32" s="3">
        <v>75</v>
      </c>
      <c r="D32" s="3">
        <f t="shared" si="1"/>
        <v>6421.5</v>
      </c>
      <c r="E32" s="14">
        <v>85.62</v>
      </c>
      <c r="N32" s="6">
        <v>45597</v>
      </c>
      <c r="O32" s="3"/>
      <c r="P32" s="3"/>
      <c r="Q32" s="3"/>
      <c r="R32" s="14"/>
    </row>
    <row r="33" spans="1:18">
      <c r="A33" s="6">
        <v>45627</v>
      </c>
      <c r="B33" s="3" t="s">
        <v>2</v>
      </c>
      <c r="C33" s="3">
        <v>4094.6588099999999</v>
      </c>
      <c r="D33" s="3">
        <f t="shared" si="1"/>
        <v>350584.68731220003</v>
      </c>
      <c r="E33" s="14">
        <v>85.62</v>
      </c>
      <c r="N33" s="6">
        <v>45627</v>
      </c>
      <c r="O33" s="3"/>
      <c r="P33" s="4">
        <v>4740</v>
      </c>
      <c r="Q33" s="4"/>
      <c r="R33" s="14"/>
    </row>
    <row r="34" spans="1:18">
      <c r="A34" s="6">
        <v>45627</v>
      </c>
      <c r="B34" s="3" t="s">
        <v>3</v>
      </c>
      <c r="C34" s="3">
        <v>75</v>
      </c>
      <c r="D34" s="3">
        <f t="shared" si="1"/>
        <v>6421.5</v>
      </c>
      <c r="E34" s="14">
        <v>85.62</v>
      </c>
      <c r="N34" s="6">
        <v>45627</v>
      </c>
      <c r="O34" s="3"/>
      <c r="P34" s="3"/>
      <c r="Q34" s="3"/>
      <c r="R34" s="14"/>
    </row>
    <row r="35" spans="1:18">
      <c r="A35" s="6">
        <v>45658</v>
      </c>
      <c r="B35" s="3" t="s">
        <v>2</v>
      </c>
      <c r="C35" s="3">
        <v>10812.573810000002</v>
      </c>
      <c r="D35" s="3">
        <f t="shared" si="1"/>
        <v>940693.92147000018</v>
      </c>
      <c r="E35" s="14">
        <v>87</v>
      </c>
      <c r="N35" s="6">
        <v>45658</v>
      </c>
      <c r="O35" s="3"/>
      <c r="P35" s="3">
        <v>7500</v>
      </c>
      <c r="Q35" s="3"/>
      <c r="R35" s="14"/>
    </row>
    <row r="36" spans="1:18">
      <c r="A36" s="6">
        <v>45658</v>
      </c>
      <c r="B36" s="3" t="s">
        <v>3</v>
      </c>
      <c r="C36" s="3">
        <v>75</v>
      </c>
      <c r="D36" s="3">
        <f t="shared" si="1"/>
        <v>6525</v>
      </c>
      <c r="E36" s="14">
        <v>87</v>
      </c>
      <c r="N36" s="6">
        <v>45658</v>
      </c>
      <c r="O36" s="3"/>
      <c r="P36" s="3"/>
      <c r="Q36" s="3"/>
      <c r="R36" s="14"/>
    </row>
    <row r="37" spans="1:18">
      <c r="A37" s="6">
        <v>45689</v>
      </c>
      <c r="B37" s="3" t="s">
        <v>2</v>
      </c>
      <c r="C37" s="3">
        <v>9853.8922799999982</v>
      </c>
      <c r="D37" s="3">
        <f t="shared" si="1"/>
        <v>861230.18527199992</v>
      </c>
      <c r="E37" s="14">
        <v>87.4</v>
      </c>
      <c r="N37" s="6">
        <v>45689</v>
      </c>
      <c r="O37" s="3"/>
      <c r="P37" s="15">
        <v>1200</v>
      </c>
      <c r="Q37" s="15"/>
      <c r="R37" s="14"/>
    </row>
    <row r="38" spans="1:18">
      <c r="A38" s="6">
        <v>45689</v>
      </c>
      <c r="B38" s="3" t="s">
        <v>3</v>
      </c>
      <c r="C38" s="3">
        <v>75</v>
      </c>
      <c r="D38" s="3">
        <f t="shared" si="1"/>
        <v>6555</v>
      </c>
      <c r="E38" s="14">
        <v>87.4</v>
      </c>
      <c r="N38" s="6">
        <v>45689</v>
      </c>
      <c r="O38" s="3"/>
      <c r="P38" s="3"/>
      <c r="Q38" s="3"/>
      <c r="R38" s="14"/>
    </row>
    <row r="39" spans="1:18">
      <c r="A39" s="6">
        <v>45717</v>
      </c>
      <c r="B39" s="3" t="s">
        <v>2</v>
      </c>
      <c r="C39" s="3">
        <v>10803.4</v>
      </c>
      <c r="D39" s="3">
        <f t="shared" si="1"/>
        <v>944217.16</v>
      </c>
      <c r="E39" s="14">
        <v>87.4</v>
      </c>
      <c r="N39" s="6">
        <v>45717</v>
      </c>
      <c r="O39" s="3"/>
      <c r="P39" s="3">
        <v>300</v>
      </c>
      <c r="Q39" s="3"/>
      <c r="R39" s="14"/>
    </row>
    <row r="40" spans="1:18">
      <c r="A40" s="6">
        <v>45717</v>
      </c>
      <c r="B40" s="3" t="s">
        <v>3</v>
      </c>
      <c r="C40" s="3">
        <v>75</v>
      </c>
      <c r="D40" s="3">
        <f t="shared" si="1"/>
        <v>6555</v>
      </c>
      <c r="E40" s="14">
        <v>87.4</v>
      </c>
      <c r="N40" s="6">
        <v>45717</v>
      </c>
      <c r="O40" s="3"/>
      <c r="P40" s="3"/>
      <c r="Q40" s="3"/>
      <c r="R40" s="14"/>
    </row>
    <row r="41" spans="1:18">
      <c r="A41" s="6">
        <v>45748</v>
      </c>
      <c r="B41" s="3" t="s">
        <v>2</v>
      </c>
      <c r="C41" s="3">
        <v>10364.719999999999</v>
      </c>
      <c r="D41" s="3">
        <f t="shared" si="1"/>
        <v>887012.73759999988</v>
      </c>
      <c r="E41" s="14">
        <v>85.58</v>
      </c>
      <c r="N41" s="6">
        <v>45748</v>
      </c>
      <c r="O41" s="3"/>
      <c r="P41" s="3">
        <v>89710</v>
      </c>
      <c r="Q41" s="3"/>
      <c r="R41" s="14"/>
    </row>
    <row r="42" spans="1:18">
      <c r="A42" s="6">
        <v>45748</v>
      </c>
      <c r="B42" s="3" t="s">
        <v>3</v>
      </c>
      <c r="C42" s="3">
        <v>75</v>
      </c>
      <c r="D42" s="3">
        <f t="shared" si="1"/>
        <v>6418.5</v>
      </c>
      <c r="E42" s="14">
        <v>85.58</v>
      </c>
      <c r="N42" s="6">
        <v>45748</v>
      </c>
      <c r="O42" s="3"/>
      <c r="P42" s="3"/>
      <c r="Q42" s="3"/>
      <c r="R42" s="14"/>
    </row>
    <row r="43" spans="1:18">
      <c r="A43" s="6">
        <v>45778</v>
      </c>
      <c r="B43" s="3" t="s">
        <v>2</v>
      </c>
      <c r="C43" s="3">
        <v>10597.07</v>
      </c>
      <c r="D43" s="3">
        <f t="shared" si="1"/>
        <v>905943.51429999992</v>
      </c>
      <c r="E43" s="14">
        <v>85.49</v>
      </c>
      <c r="N43" s="6">
        <v>45778</v>
      </c>
      <c r="O43" s="3"/>
      <c r="P43" s="3">
        <v>9840</v>
      </c>
      <c r="Q43" s="3"/>
      <c r="R43" s="14"/>
    </row>
    <row r="44" spans="1:18">
      <c r="A44" s="6">
        <v>45778</v>
      </c>
      <c r="B44" s="3" t="s">
        <v>3</v>
      </c>
      <c r="C44" s="3">
        <v>75</v>
      </c>
      <c r="D44" s="3">
        <f t="shared" si="1"/>
        <v>6411.75</v>
      </c>
      <c r="E44" s="14">
        <v>85.49</v>
      </c>
      <c r="N44" s="6">
        <v>45778</v>
      </c>
      <c r="O44" s="3"/>
      <c r="P44" s="3">
        <v>360</v>
      </c>
      <c r="Q44" s="3"/>
      <c r="R44" s="14"/>
    </row>
    <row r="45" spans="1:18">
      <c r="A45" s="6">
        <v>45809</v>
      </c>
      <c r="B45" s="3" t="s">
        <v>2</v>
      </c>
      <c r="C45" s="3">
        <v>10350.542370000001</v>
      </c>
      <c r="D45" s="3">
        <f t="shared" si="1"/>
        <v>885385.39432980015</v>
      </c>
      <c r="E45" s="14">
        <v>85.54</v>
      </c>
      <c r="N45" s="6">
        <v>45809</v>
      </c>
      <c r="O45" s="3"/>
      <c r="P45" s="3"/>
      <c r="Q45" s="3"/>
      <c r="R45" s="14"/>
    </row>
    <row r="46" spans="1:18">
      <c r="A46" s="6">
        <v>45809</v>
      </c>
      <c r="B46" s="3" t="s">
        <v>3</v>
      </c>
      <c r="C46" s="3">
        <v>75</v>
      </c>
      <c r="D46" s="3">
        <f t="shared" si="1"/>
        <v>6415.5000000000009</v>
      </c>
      <c r="E46" s="14">
        <v>85.54</v>
      </c>
      <c r="N46" s="6">
        <v>45809</v>
      </c>
      <c r="O46" s="3"/>
      <c r="P46" s="3">
        <v>7360</v>
      </c>
      <c r="Q46" s="3"/>
      <c r="R46" s="14"/>
    </row>
    <row r="47" spans="1:18">
      <c r="A47" s="6">
        <v>45839</v>
      </c>
      <c r="B47" s="3" t="s">
        <v>2</v>
      </c>
      <c r="C47" s="3">
        <v>11976.87</v>
      </c>
      <c r="D47" s="3">
        <f t="shared" si="1"/>
        <v>1048574.9685000001</v>
      </c>
      <c r="E47" s="14">
        <v>87.55</v>
      </c>
      <c r="N47" s="6">
        <v>45839</v>
      </c>
      <c r="O47" s="3"/>
      <c r="P47" s="3"/>
      <c r="Q47" s="3"/>
      <c r="R47" s="14"/>
    </row>
    <row r="48" spans="1:18">
      <c r="A48" s="6">
        <v>45839</v>
      </c>
      <c r="B48" s="3" t="s">
        <v>3</v>
      </c>
      <c r="C48" s="3">
        <v>75</v>
      </c>
      <c r="D48" s="3">
        <f t="shared" si="1"/>
        <v>6566.25</v>
      </c>
      <c r="E48" s="14">
        <v>87.55</v>
      </c>
      <c r="N48" s="6">
        <v>45839</v>
      </c>
      <c r="O48" s="3">
        <v>73.67</v>
      </c>
      <c r="P48" s="3">
        <v>6450</v>
      </c>
      <c r="Q48" s="3"/>
      <c r="R48" s="14"/>
    </row>
    <row r="49" spans="1:18">
      <c r="A49" s="6">
        <v>45870</v>
      </c>
      <c r="B49" s="3" t="s">
        <v>2</v>
      </c>
      <c r="C49" s="3">
        <v>11371.82</v>
      </c>
      <c r="D49" s="3">
        <f t="shared" si="1"/>
        <v>999014.38699999987</v>
      </c>
      <c r="E49" s="14">
        <v>87.85</v>
      </c>
      <c r="N49" s="6">
        <v>45870</v>
      </c>
      <c r="O49" s="3">
        <v>20.57</v>
      </c>
      <c r="P49" s="3">
        <v>1900</v>
      </c>
      <c r="Q49" s="3"/>
      <c r="R49" s="14"/>
    </row>
    <row r="50" spans="1:18">
      <c r="A50" s="6">
        <v>45870</v>
      </c>
      <c r="B50" s="3" t="s">
        <v>3</v>
      </c>
      <c r="C50" s="3">
        <v>75</v>
      </c>
      <c r="D50" s="3">
        <f t="shared" si="1"/>
        <v>6581.25</v>
      </c>
      <c r="E50" s="14">
        <v>87.75</v>
      </c>
      <c r="N50" s="6">
        <v>45870</v>
      </c>
      <c r="O50" s="3"/>
      <c r="P50" s="3"/>
      <c r="Q50" s="3"/>
      <c r="R50" s="14"/>
    </row>
    <row r="51" spans="1:18">
      <c r="A51" s="6">
        <v>45901</v>
      </c>
      <c r="B51" s="3" t="s">
        <v>2</v>
      </c>
      <c r="C51" s="3">
        <v>11372.780772150922</v>
      </c>
      <c r="D51" s="3">
        <f t="shared" si="1"/>
        <v>1009789.2047592804</v>
      </c>
      <c r="E51" s="14">
        <v>88.79</v>
      </c>
      <c r="N51" s="6">
        <v>45901</v>
      </c>
      <c r="O51" s="3">
        <v>102</v>
      </c>
      <c r="P51" s="3">
        <v>9016</v>
      </c>
      <c r="Q51" s="3"/>
      <c r="R51" s="14"/>
    </row>
    <row r="52" spans="1:18">
      <c r="A52" s="6">
        <v>45901</v>
      </c>
      <c r="B52" s="3" t="s">
        <v>3</v>
      </c>
      <c r="C52" s="3">
        <v>75</v>
      </c>
      <c r="D52" s="3">
        <f t="shared" si="1"/>
        <v>6659.2500000000009</v>
      </c>
      <c r="E52" s="14">
        <v>88.79</v>
      </c>
      <c r="N52" s="6">
        <v>45901</v>
      </c>
      <c r="O52" s="3">
        <v>2.25</v>
      </c>
      <c r="P52" s="3">
        <v>200</v>
      </c>
      <c r="Q52" s="3"/>
      <c r="R52" s="14"/>
    </row>
    <row r="53" spans="1:18">
      <c r="A53" s="6">
        <v>45931</v>
      </c>
      <c r="B53" s="3" t="s">
        <v>2</v>
      </c>
      <c r="C53" s="3">
        <v>8006.6606100000008</v>
      </c>
      <c r="D53" s="3">
        <f t="shared" si="1"/>
        <v>710383.75662770111</v>
      </c>
      <c r="E53" s="14">
        <v>88.724100000000007</v>
      </c>
      <c r="N53" s="6">
        <v>45931</v>
      </c>
      <c r="O53" s="3"/>
      <c r="P53" s="3">
        <v>5795</v>
      </c>
      <c r="Q53" s="3"/>
      <c r="R53" s="14"/>
    </row>
    <row r="54" spans="1:18">
      <c r="A54" s="6">
        <v>45931</v>
      </c>
      <c r="B54" s="3" t="s">
        <v>3</v>
      </c>
      <c r="C54" s="3">
        <v>75</v>
      </c>
      <c r="D54" s="3">
        <f t="shared" si="1"/>
        <v>6654.3075000000008</v>
      </c>
      <c r="E54" s="14">
        <v>88.724100000000007</v>
      </c>
      <c r="N54" s="6">
        <v>45931</v>
      </c>
      <c r="O54" s="3"/>
      <c r="P54" s="3"/>
      <c r="Q54" s="3"/>
      <c r="R54" s="14"/>
    </row>
    <row r="55" spans="1:18">
      <c r="A55" s="6">
        <v>45962</v>
      </c>
      <c r="B55" s="3" t="s">
        <v>2</v>
      </c>
      <c r="C55" s="38">
        <v>3460.0881600000002</v>
      </c>
      <c r="D55" s="3">
        <f t="shared" si="1"/>
        <v>309539.48679360002</v>
      </c>
      <c r="E55" s="12">
        <v>89.46</v>
      </c>
      <c r="N55" s="6">
        <v>45962</v>
      </c>
      <c r="O55" s="38">
        <v>91.841334234843373</v>
      </c>
      <c r="P55" s="21">
        <v>8150</v>
      </c>
      <c r="Q55" s="21"/>
      <c r="R55" s="3"/>
    </row>
    <row r="56" spans="1:18">
      <c r="A56" s="6">
        <v>45962</v>
      </c>
      <c r="B56" s="3" t="s">
        <v>3</v>
      </c>
      <c r="C56" s="12">
        <v>75</v>
      </c>
      <c r="D56" s="3">
        <f t="shared" si="1"/>
        <v>6709.4999999999991</v>
      </c>
      <c r="E56" s="12">
        <v>89.46</v>
      </c>
      <c r="N56" s="6">
        <v>45962</v>
      </c>
      <c r="O56" s="38">
        <v>63.044936284372902</v>
      </c>
      <c r="P56" s="21">
        <v>5640</v>
      </c>
      <c r="Q56" s="21"/>
      <c r="R56" s="3"/>
    </row>
    <row r="57" spans="1:18">
      <c r="C57" s="1">
        <f>SUM(C25:C56)</f>
        <v>122431.56365215093</v>
      </c>
      <c r="D57" s="1">
        <f>SUM(D25:D56)</f>
        <v>10658289.472105382</v>
      </c>
      <c r="P57" s="10">
        <f>SUM(P25:P56)</f>
        <v>190534</v>
      </c>
    </row>
    <row r="59" spans="1:18">
      <c r="A59" s="2"/>
      <c r="B59" s="13"/>
      <c r="D59" s="11"/>
    </row>
    <row r="60" spans="1:18">
      <c r="A60" s="2"/>
      <c r="B60" s="13"/>
      <c r="D60" s="11"/>
    </row>
    <row r="61" spans="1:18">
      <c r="A61" s="2"/>
      <c r="B61" s="13"/>
      <c r="D61" s="11"/>
    </row>
    <row r="62" spans="1:18">
      <c r="A62" s="2"/>
      <c r="B62" s="13"/>
      <c r="D62" s="11"/>
    </row>
    <row r="63" spans="1:18">
      <c r="A63" s="2"/>
      <c r="B63" s="13"/>
      <c r="D63" s="11"/>
    </row>
    <row r="64" spans="1:18">
      <c r="A64" s="2"/>
      <c r="B64" s="13"/>
      <c r="D64" s="11"/>
    </row>
    <row r="65" spans="1:4">
      <c r="A65" s="2"/>
      <c r="B65" s="13"/>
      <c r="D65" s="11"/>
    </row>
    <row r="66" spans="1:4">
      <c r="A66" s="2"/>
      <c r="B66" s="13"/>
      <c r="D66" s="11"/>
    </row>
    <row r="67" spans="1:4">
      <c r="A67" s="2"/>
      <c r="B67" s="13"/>
      <c r="D67" s="11"/>
    </row>
    <row r="68" spans="1:4">
      <c r="A68" s="2"/>
      <c r="B68" s="13"/>
      <c r="D68" s="11"/>
    </row>
    <row r="69" spans="1:4">
      <c r="A69" s="2"/>
      <c r="B69" s="13"/>
      <c r="D69" s="11"/>
    </row>
    <row r="70" spans="1:4">
      <c r="A70" s="2"/>
      <c r="B70" s="13"/>
      <c r="D70" s="11"/>
    </row>
    <row r="71" spans="1:4">
      <c r="A71" s="2"/>
      <c r="B71" s="13"/>
      <c r="D71" s="11"/>
    </row>
    <row r="72" spans="1:4">
      <c r="A72" s="2"/>
      <c r="B72" s="13"/>
      <c r="D72" s="11"/>
    </row>
    <row r="73" spans="1:4">
      <c r="A73" s="2"/>
      <c r="B73" s="13"/>
      <c r="D73" s="11"/>
    </row>
    <row r="74" spans="1:4">
      <c r="A74" s="2"/>
      <c r="B74" s="13"/>
      <c r="D74" s="11"/>
    </row>
  </sheetData>
  <autoFilter ref="A24:E57" xr:uid="{A89DE256-0DA1-4BE0-8F43-51F09A9F32C4}"/>
  <mergeCells count="5">
    <mergeCell ref="A23:E23"/>
    <mergeCell ref="N23:R23"/>
    <mergeCell ref="G1:J1"/>
    <mergeCell ref="T1:W1"/>
    <mergeCell ref="Y1:A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701E-5562-4B22-B4B1-A0A7EB30E097}">
  <dimension ref="A3:G66"/>
  <sheetViews>
    <sheetView topLeftCell="A30" workbookViewId="0">
      <selection activeCell="B66" sqref="B66"/>
    </sheetView>
  </sheetViews>
  <sheetFormatPr defaultRowHeight="12.5"/>
  <cols>
    <col min="1" max="1" width="13" style="18" bestFit="1" customWidth="1"/>
    <col min="2" max="2" width="16.36328125" style="18" bestFit="1" customWidth="1"/>
    <col min="3" max="3" width="34.81640625" style="18" bestFit="1" customWidth="1"/>
    <col min="4" max="4" width="33.36328125" style="18" bestFit="1" customWidth="1"/>
    <col min="5" max="6" width="8.7265625" style="18"/>
    <col min="7" max="7" width="12.54296875" style="18" bestFit="1" customWidth="1"/>
    <col min="8" max="16384" width="8.7265625" style="18"/>
  </cols>
  <sheetData>
    <row r="3" spans="1:7">
      <c r="A3" s="18" t="s">
        <v>20</v>
      </c>
      <c r="B3" s="18" t="s">
        <v>21</v>
      </c>
      <c r="C3" s="18" t="s">
        <v>22</v>
      </c>
    </row>
    <row r="4" spans="1:7">
      <c r="A4" s="18" t="s">
        <v>23</v>
      </c>
      <c r="B4" s="19">
        <v>45758</v>
      </c>
      <c r="C4" s="20">
        <v>0</v>
      </c>
      <c r="F4" s="18" t="s">
        <v>24</v>
      </c>
      <c r="G4" s="18" t="s">
        <v>25</v>
      </c>
    </row>
    <row r="5" spans="1:7">
      <c r="A5" s="18" t="s">
        <v>26</v>
      </c>
      <c r="B5" s="19">
        <v>45707</v>
      </c>
      <c r="C5" s="20">
        <v>-6472.77</v>
      </c>
      <c r="F5" s="18" t="s">
        <v>26</v>
      </c>
      <c r="G5" s="18" t="s">
        <v>27</v>
      </c>
    </row>
    <row r="6" spans="1:7">
      <c r="B6" s="19">
        <v>45793</v>
      </c>
      <c r="C6" s="20">
        <v>-12897.56</v>
      </c>
      <c r="F6" s="18" t="s">
        <v>28</v>
      </c>
      <c r="G6" s="18" t="s">
        <v>29</v>
      </c>
    </row>
    <row r="7" spans="1:7">
      <c r="B7" s="19">
        <v>45923</v>
      </c>
      <c r="C7" s="20">
        <v>-774.01</v>
      </c>
      <c r="F7" s="18" t="s">
        <v>30</v>
      </c>
      <c r="G7" s="18" t="s">
        <v>31</v>
      </c>
    </row>
    <row r="8" spans="1:7">
      <c r="B8" s="19">
        <v>45947</v>
      </c>
      <c r="C8" s="20">
        <v>-111399.05</v>
      </c>
    </row>
    <row r="9" spans="1:7">
      <c r="B9" s="19">
        <v>45973</v>
      </c>
      <c r="C9" s="20">
        <v>-400169.02</v>
      </c>
    </row>
    <row r="10" spans="1:7">
      <c r="B10" s="19">
        <v>46028</v>
      </c>
      <c r="C10" s="20">
        <v>-4809.3900000000003</v>
      </c>
    </row>
    <row r="11" spans="1:7">
      <c r="B11" s="19">
        <v>46041</v>
      </c>
      <c r="C11" s="20">
        <v>-2352468.06</v>
      </c>
    </row>
    <row r="12" spans="1:7">
      <c r="A12" s="18" t="s">
        <v>32</v>
      </c>
      <c r="B12" s="19">
        <v>45705</v>
      </c>
      <c r="C12" s="20">
        <v>6472.77</v>
      </c>
    </row>
    <row r="13" spans="1:7">
      <c r="B13" s="19">
        <v>45707</v>
      </c>
      <c r="C13" s="20">
        <v>32363.850000000002</v>
      </c>
    </row>
    <row r="14" spans="1:7">
      <c r="B14" s="19">
        <v>45708</v>
      </c>
      <c r="C14" s="20">
        <v>12945.54</v>
      </c>
    </row>
    <row r="15" spans="1:7">
      <c r="B15" s="19">
        <v>45709</v>
      </c>
      <c r="C15" s="20">
        <v>343523.09</v>
      </c>
    </row>
    <row r="16" spans="1:7">
      <c r="B16" s="19">
        <v>45719</v>
      </c>
      <c r="C16" s="20">
        <v>762887.41999999993</v>
      </c>
    </row>
    <row r="17" spans="2:3">
      <c r="B17" s="19">
        <v>45722</v>
      </c>
      <c r="C17" s="20">
        <v>434401.24</v>
      </c>
    </row>
    <row r="18" spans="2:3">
      <c r="B18" s="19">
        <v>45729</v>
      </c>
      <c r="C18" s="20">
        <v>16190.449999999999</v>
      </c>
    </row>
    <row r="19" spans="2:3">
      <c r="B19" s="19">
        <v>45734</v>
      </c>
      <c r="C19" s="20">
        <v>129970.14</v>
      </c>
    </row>
    <row r="20" spans="2:3">
      <c r="B20" s="19">
        <v>45735</v>
      </c>
      <c r="C20" s="20">
        <v>688699.63000000012</v>
      </c>
    </row>
    <row r="21" spans="2:3">
      <c r="B21" s="19">
        <v>45736</v>
      </c>
      <c r="C21" s="20">
        <v>1669.6799999999998</v>
      </c>
    </row>
    <row r="22" spans="2:3">
      <c r="B22" s="19">
        <v>45749</v>
      </c>
      <c r="C22" s="20">
        <v>2921151.2</v>
      </c>
    </row>
    <row r="23" spans="2:3">
      <c r="B23" s="19">
        <v>45750</v>
      </c>
      <c r="C23" s="20">
        <v>299.88</v>
      </c>
    </row>
    <row r="24" spans="2:3">
      <c r="B24" s="19">
        <v>45751</v>
      </c>
      <c r="C24" s="20">
        <v>14776.71</v>
      </c>
    </row>
    <row r="25" spans="2:3">
      <c r="B25" s="19">
        <v>45763</v>
      </c>
      <c r="C25" s="20">
        <v>25401.16</v>
      </c>
    </row>
    <row r="26" spans="2:3">
      <c r="B26" s="19">
        <v>45769</v>
      </c>
      <c r="C26" s="20">
        <v>969937.1</v>
      </c>
    </row>
    <row r="27" spans="2:3">
      <c r="B27" s="19">
        <v>45785</v>
      </c>
      <c r="C27" s="20">
        <v>5097.9799999999996</v>
      </c>
    </row>
    <row r="28" spans="2:3">
      <c r="B28" s="19">
        <v>45787</v>
      </c>
      <c r="C28" s="20">
        <v>306356.47999999998</v>
      </c>
    </row>
    <row r="29" spans="2:3">
      <c r="B29" s="19">
        <v>45797</v>
      </c>
      <c r="C29" s="20">
        <v>5778.1</v>
      </c>
    </row>
    <row r="30" spans="2:3">
      <c r="B30" s="19">
        <v>45805</v>
      </c>
      <c r="C30" s="20">
        <v>891196.98</v>
      </c>
    </row>
    <row r="31" spans="2:3">
      <c r="B31" s="19">
        <v>45812</v>
      </c>
      <c r="C31" s="20">
        <v>30951.940000000002</v>
      </c>
    </row>
    <row r="32" spans="2:3">
      <c r="B32" s="19">
        <v>45815</v>
      </c>
      <c r="C32" s="20">
        <v>905951.78</v>
      </c>
    </row>
    <row r="33" spans="2:3">
      <c r="B33" s="19">
        <v>45818</v>
      </c>
      <c r="C33" s="20">
        <v>6411.81</v>
      </c>
    </row>
    <row r="34" spans="2:3">
      <c r="B34" s="19">
        <v>45821</v>
      </c>
      <c r="C34" s="20">
        <v>198513.01</v>
      </c>
    </row>
    <row r="35" spans="2:3">
      <c r="B35" s="19">
        <v>45842</v>
      </c>
      <c r="C35" s="20">
        <v>1113060.24</v>
      </c>
    </row>
    <row r="36" spans="2:3">
      <c r="B36" s="19">
        <v>45847</v>
      </c>
      <c r="C36" s="20">
        <v>9030.07</v>
      </c>
    </row>
    <row r="37" spans="2:3">
      <c r="B37" s="19">
        <v>45856</v>
      </c>
      <c r="C37" s="20">
        <v>129862.73</v>
      </c>
    </row>
    <row r="38" spans="2:3">
      <c r="B38" s="19">
        <v>45857</v>
      </c>
      <c r="C38" s="20">
        <v>399.04</v>
      </c>
    </row>
    <row r="39" spans="2:3">
      <c r="B39" s="19">
        <v>45870</v>
      </c>
      <c r="C39" s="20">
        <v>6452.26</v>
      </c>
    </row>
    <row r="40" spans="2:3">
      <c r="B40" s="19">
        <v>45877</v>
      </c>
      <c r="C40" s="20">
        <v>1409100.2500000002</v>
      </c>
    </row>
    <row r="41" spans="2:3">
      <c r="B41" s="19">
        <v>45889</v>
      </c>
      <c r="C41" s="20">
        <v>52075.75</v>
      </c>
    </row>
    <row r="42" spans="2:3">
      <c r="B42" s="19">
        <v>45904</v>
      </c>
      <c r="C42" s="20">
        <v>279511.13</v>
      </c>
    </row>
    <row r="43" spans="2:3">
      <c r="B43" s="19">
        <v>45906</v>
      </c>
      <c r="C43" s="20">
        <v>995197.21</v>
      </c>
    </row>
    <row r="44" spans="2:3">
      <c r="B44" s="19">
        <v>45917</v>
      </c>
      <c r="C44" s="20">
        <v>13645.23</v>
      </c>
    </row>
    <row r="45" spans="2:3">
      <c r="B45" s="19">
        <v>45918</v>
      </c>
      <c r="C45" s="20">
        <v>161344.92000000001</v>
      </c>
    </row>
    <row r="46" spans="2:3">
      <c r="B46" s="19">
        <v>45924</v>
      </c>
      <c r="C46" s="20">
        <v>774.01</v>
      </c>
    </row>
    <row r="47" spans="2:3">
      <c r="B47" s="19">
        <v>45935</v>
      </c>
      <c r="C47" s="20">
        <v>355080.74000000005</v>
      </c>
    </row>
    <row r="48" spans="2:3">
      <c r="B48" s="19">
        <v>45936</v>
      </c>
      <c r="C48" s="20">
        <v>1002974.23</v>
      </c>
    </row>
    <row r="49" spans="1:3">
      <c r="B49" s="19">
        <v>45937</v>
      </c>
      <c r="C49" s="20">
        <v>374.81</v>
      </c>
    </row>
    <row r="50" spans="1:3">
      <c r="B50" s="19">
        <v>45948</v>
      </c>
      <c r="C50" s="20">
        <v>36493.339999999997</v>
      </c>
    </row>
    <row r="51" spans="1:3">
      <c r="B51" s="19">
        <v>45950</v>
      </c>
      <c r="C51" s="20">
        <v>33877.599999999999</v>
      </c>
    </row>
    <row r="52" spans="1:3">
      <c r="B52" s="19">
        <v>45966</v>
      </c>
      <c r="C52" s="20">
        <v>487007.26</v>
      </c>
    </row>
    <row r="53" spans="1:3">
      <c r="B53" s="19">
        <v>45973</v>
      </c>
      <c r="C53" s="20">
        <v>704613.22</v>
      </c>
    </row>
    <row r="54" spans="1:3">
      <c r="B54" s="19">
        <v>45981</v>
      </c>
      <c r="C54" s="20">
        <v>8082.24</v>
      </c>
    </row>
    <row r="55" spans="1:3">
      <c r="B55" s="19">
        <v>45995</v>
      </c>
      <c r="C55" s="20">
        <v>306910.47000000003</v>
      </c>
    </row>
    <row r="56" spans="1:3">
      <c r="B56" s="19">
        <v>45996</v>
      </c>
      <c r="C56" s="20">
        <v>65180.409999999996</v>
      </c>
    </row>
    <row r="57" spans="1:3">
      <c r="B57" s="19">
        <v>46027</v>
      </c>
      <c r="C57" s="20">
        <v>50625.599999999999</v>
      </c>
    </row>
    <row r="58" spans="1:3">
      <c r="B58" s="19">
        <v>46028</v>
      </c>
      <c r="C58" s="20">
        <v>90471.82</v>
      </c>
    </row>
    <row r="59" spans="1:3">
      <c r="B59" s="19">
        <v>46034</v>
      </c>
      <c r="C59" s="20">
        <v>445591.48000000004</v>
      </c>
    </row>
    <row r="60" spans="1:3">
      <c r="A60" s="18" t="s">
        <v>33</v>
      </c>
      <c r="B60" s="19">
        <v>45705</v>
      </c>
      <c r="C60" s="20">
        <v>0</v>
      </c>
    </row>
    <row r="61" spans="1:3">
      <c r="B61" s="19">
        <v>45976</v>
      </c>
      <c r="C61" s="20">
        <v>-140.72000000000116</v>
      </c>
    </row>
    <row r="62" spans="1:3">
      <c r="A62" s="18" t="s">
        <v>28</v>
      </c>
      <c r="B62" s="19">
        <v>45889</v>
      </c>
      <c r="C62" s="20">
        <v>-1000000</v>
      </c>
    </row>
    <row r="63" spans="1:3">
      <c r="B63" s="19">
        <v>45931</v>
      </c>
      <c r="C63" s="20">
        <v>-2000000</v>
      </c>
    </row>
    <row r="64" spans="1:3">
      <c r="B64" s="19">
        <v>45959</v>
      </c>
      <c r="C64" s="20">
        <v>-5000000</v>
      </c>
    </row>
    <row r="65" spans="1:3">
      <c r="A65" s="18" t="s">
        <v>34</v>
      </c>
      <c r="B65" s="19">
        <v>45701</v>
      </c>
      <c r="C65" s="20">
        <v>0</v>
      </c>
    </row>
    <row r="66" spans="1:3">
      <c r="B66" s="19">
        <v>45743</v>
      </c>
      <c r="C66" s="20">
        <v>-1500000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D622-4CBC-478B-9507-5FB7A7EACF49}">
  <dimension ref="A1:J6"/>
  <sheetViews>
    <sheetView showGridLines="0" workbookViewId="0">
      <selection activeCell="H5" sqref="A5:XFD5"/>
    </sheetView>
  </sheetViews>
  <sheetFormatPr defaultRowHeight="14.5"/>
  <cols>
    <col min="1" max="1" width="12.26953125" bestFit="1" customWidth="1"/>
    <col min="2" max="2" width="7.7265625" bestFit="1" customWidth="1"/>
    <col min="3" max="3" width="31.7265625" bestFit="1" customWidth="1"/>
    <col min="4" max="4" width="23.36328125" bestFit="1" customWidth="1"/>
    <col min="5" max="5" width="21.7265625" bestFit="1" customWidth="1"/>
    <col min="6" max="6" width="22.453125" bestFit="1" customWidth="1"/>
    <col min="7" max="7" width="12.90625" bestFit="1" customWidth="1"/>
    <col min="8" max="8" width="8.453125" customWidth="1"/>
    <col min="9" max="9" width="17.90625" customWidth="1"/>
    <col min="10" max="10" width="17.26953125" customWidth="1"/>
  </cols>
  <sheetData>
    <row r="1" spans="1:10">
      <c r="A1" s="34"/>
      <c r="B1" s="59" t="s">
        <v>35</v>
      </c>
      <c r="C1" s="59"/>
      <c r="D1" s="59"/>
      <c r="E1" s="60" t="s">
        <v>36</v>
      </c>
      <c r="F1" s="60"/>
      <c r="G1" s="60"/>
      <c r="H1" s="61" t="s">
        <v>50</v>
      </c>
      <c r="I1" s="61"/>
      <c r="J1" s="61"/>
    </row>
    <row r="2" spans="1:10">
      <c r="A2" s="34" t="s">
        <v>42</v>
      </c>
      <c r="B2" s="25" t="s">
        <v>37</v>
      </c>
      <c r="C2" s="25" t="s">
        <v>48</v>
      </c>
      <c r="D2" s="25" t="s">
        <v>49</v>
      </c>
      <c r="E2" s="28" t="s">
        <v>37</v>
      </c>
      <c r="F2" s="28" t="s">
        <v>48</v>
      </c>
      <c r="G2" s="28" t="s">
        <v>49</v>
      </c>
      <c r="H2" s="31" t="s">
        <v>37</v>
      </c>
      <c r="I2" s="31" t="s">
        <v>48</v>
      </c>
      <c r="J2" s="31" t="s">
        <v>49</v>
      </c>
    </row>
    <row r="3" spans="1:10">
      <c r="A3" s="34" t="s">
        <v>18</v>
      </c>
      <c r="B3" s="26" t="s">
        <v>41</v>
      </c>
      <c r="C3" s="25">
        <v>19950</v>
      </c>
      <c r="D3" s="25">
        <v>399</v>
      </c>
      <c r="E3" s="29" t="s">
        <v>41</v>
      </c>
      <c r="F3" s="28"/>
      <c r="G3" s="28">
        <v>399</v>
      </c>
      <c r="H3" s="32" t="s">
        <v>41</v>
      </c>
      <c r="I3" s="31"/>
      <c r="J3" s="31">
        <f>G3-D3</f>
        <v>0</v>
      </c>
    </row>
    <row r="4" spans="1:10">
      <c r="A4" s="34" t="s">
        <v>18</v>
      </c>
      <c r="B4" s="26" t="s">
        <v>40</v>
      </c>
      <c r="C4" s="25">
        <v>1995190</v>
      </c>
      <c r="D4" s="25">
        <v>199519</v>
      </c>
      <c r="E4" s="29" t="s">
        <v>40</v>
      </c>
      <c r="F4" s="28"/>
      <c r="G4" s="28">
        <v>199519</v>
      </c>
      <c r="H4" s="32" t="s">
        <v>40</v>
      </c>
      <c r="I4" s="31"/>
      <c r="J4" s="31">
        <f>G4-D4</f>
        <v>0</v>
      </c>
    </row>
    <row r="5" spans="1:10">
      <c r="A5" s="34" t="s">
        <v>19</v>
      </c>
      <c r="B5" s="27" t="s">
        <v>41</v>
      </c>
      <c r="C5" s="25">
        <v>1698232</v>
      </c>
      <c r="D5" s="25">
        <v>33965</v>
      </c>
      <c r="E5" s="30" t="s">
        <v>41</v>
      </c>
      <c r="F5" s="28"/>
      <c r="G5" s="28">
        <v>33944.47</v>
      </c>
      <c r="H5" s="33" t="s">
        <v>41</v>
      </c>
      <c r="I5" s="31"/>
      <c r="J5" s="31">
        <f t="shared" ref="J5" si="0">G5-D5</f>
        <v>-20.529999999998836</v>
      </c>
    </row>
    <row r="6" spans="1:10">
      <c r="A6" s="34" t="s">
        <v>19</v>
      </c>
      <c r="B6" s="26" t="s">
        <v>40</v>
      </c>
      <c r="C6" s="25">
        <v>5934077</v>
      </c>
      <c r="D6" s="25">
        <v>593407</v>
      </c>
      <c r="E6" s="29" t="s">
        <v>40</v>
      </c>
      <c r="F6" s="28"/>
      <c r="G6" s="28">
        <v>593541.47</v>
      </c>
      <c r="H6" s="32" t="s">
        <v>40</v>
      </c>
      <c r="I6" s="31"/>
      <c r="J6" s="31">
        <f>G6-D6</f>
        <v>134.46999999997206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90A0-540C-4702-A53C-529776A01F37}">
  <dimension ref="A1:K69"/>
  <sheetViews>
    <sheetView workbookViewId="0">
      <selection activeCell="K6" sqref="K6"/>
    </sheetView>
  </sheetViews>
  <sheetFormatPr defaultRowHeight="14.5"/>
  <cols>
    <col min="1" max="1" width="12.26953125" bestFit="1" customWidth="1"/>
    <col min="2" max="2" width="6.81640625" bestFit="1" customWidth="1"/>
    <col min="3" max="3" width="9.7265625" bestFit="1" customWidth="1"/>
    <col min="4" max="4" width="24.36328125" bestFit="1" customWidth="1"/>
    <col min="5" max="5" width="16" bestFit="1" customWidth="1"/>
    <col min="7" max="7" width="12.36328125" bestFit="1" customWidth="1"/>
    <col min="8" max="8" width="9.1796875" bestFit="1" customWidth="1"/>
    <col min="9" max="9" width="31.08984375" bestFit="1" customWidth="1"/>
    <col min="10" max="10" width="22.54296875" bestFit="1" customWidth="1"/>
    <col min="11" max="11" width="9.6328125" bestFit="1" customWidth="1"/>
  </cols>
  <sheetData>
    <row r="1" spans="1:11">
      <c r="A1" s="12" t="s">
        <v>42</v>
      </c>
      <c r="B1" s="12" t="s">
        <v>37</v>
      </c>
      <c r="C1" s="12" t="s">
        <v>43</v>
      </c>
      <c r="D1" s="12" t="s">
        <v>38</v>
      </c>
      <c r="E1" s="12" t="s">
        <v>39</v>
      </c>
      <c r="G1" s="23" t="s">
        <v>42</v>
      </c>
      <c r="H1" s="23" t="s">
        <v>37</v>
      </c>
      <c r="I1" t="s">
        <v>46</v>
      </c>
      <c r="J1" t="s">
        <v>47</v>
      </c>
    </row>
    <row r="2" spans="1:11">
      <c r="A2" s="12" t="s">
        <v>18</v>
      </c>
      <c r="B2" s="12" t="s">
        <v>40</v>
      </c>
      <c r="C2" s="22">
        <v>45735</v>
      </c>
      <c r="D2" s="15">
        <v>12820</v>
      </c>
      <c r="E2" s="15">
        <v>1282</v>
      </c>
      <c r="G2" t="s">
        <v>18</v>
      </c>
      <c r="H2" t="s">
        <v>41</v>
      </c>
      <c r="I2" s="17">
        <v>19950</v>
      </c>
      <c r="J2" s="17">
        <v>399</v>
      </c>
    </row>
    <row r="3" spans="1:11">
      <c r="A3" s="12" t="s">
        <v>18</v>
      </c>
      <c r="B3" s="12" t="s">
        <v>40</v>
      </c>
      <c r="C3" s="22">
        <v>45735</v>
      </c>
      <c r="D3" s="15">
        <v>198720</v>
      </c>
      <c r="E3" s="15">
        <v>19872</v>
      </c>
      <c r="H3" t="s">
        <v>40</v>
      </c>
      <c r="I3" s="17">
        <v>1995190</v>
      </c>
      <c r="J3" s="17">
        <v>199519</v>
      </c>
    </row>
    <row r="4" spans="1:11">
      <c r="A4" s="12" t="s">
        <v>18</v>
      </c>
      <c r="B4" s="12" t="s">
        <v>40</v>
      </c>
      <c r="C4" s="22">
        <v>45735</v>
      </c>
      <c r="D4" s="15">
        <v>198720</v>
      </c>
      <c r="E4" s="15">
        <v>19872</v>
      </c>
      <c r="G4" t="s">
        <v>19</v>
      </c>
      <c r="H4" t="s">
        <v>41</v>
      </c>
      <c r="I4" s="17">
        <v>1698232</v>
      </c>
      <c r="J4" s="17">
        <v>33965</v>
      </c>
    </row>
    <row r="5" spans="1:11">
      <c r="A5" s="12" t="s">
        <v>18</v>
      </c>
      <c r="B5" s="12" t="s">
        <v>40</v>
      </c>
      <c r="C5" s="22">
        <v>45735</v>
      </c>
      <c r="D5" s="15">
        <v>5710</v>
      </c>
      <c r="E5" s="15">
        <v>571</v>
      </c>
      <c r="H5" t="s">
        <v>40</v>
      </c>
      <c r="I5" s="17">
        <v>5934077</v>
      </c>
      <c r="J5" s="17">
        <v>593407</v>
      </c>
    </row>
    <row r="6" spans="1:11">
      <c r="A6" s="12" t="s">
        <v>18</v>
      </c>
      <c r="B6" s="12" t="s">
        <v>40</v>
      </c>
      <c r="C6" s="22">
        <v>45734</v>
      </c>
      <c r="D6" s="15">
        <v>5410</v>
      </c>
      <c r="E6" s="15">
        <v>541</v>
      </c>
      <c r="I6" s="17">
        <f>SUM(I2:I5)</f>
        <v>9647449</v>
      </c>
      <c r="J6" s="17">
        <f>SUM(J2:J5)</f>
        <v>827290</v>
      </c>
      <c r="K6" s="17">
        <f>I6-J6</f>
        <v>8820159</v>
      </c>
    </row>
    <row r="7" spans="1:11">
      <c r="A7" s="12" t="s">
        <v>18</v>
      </c>
      <c r="B7" s="12" t="s">
        <v>41</v>
      </c>
      <c r="C7" s="22">
        <v>45733</v>
      </c>
      <c r="D7" s="15">
        <v>6450</v>
      </c>
      <c r="E7" s="15">
        <v>129</v>
      </c>
    </row>
    <row r="8" spans="1:11">
      <c r="A8" s="12" t="s">
        <v>18</v>
      </c>
      <c r="B8" s="12" t="s">
        <v>41</v>
      </c>
      <c r="C8" s="22">
        <v>45729</v>
      </c>
      <c r="D8" s="15">
        <v>2000</v>
      </c>
      <c r="E8" s="15">
        <v>40</v>
      </c>
    </row>
    <row r="9" spans="1:11">
      <c r="A9" s="12" t="s">
        <v>18</v>
      </c>
      <c r="B9" s="12" t="s">
        <v>41</v>
      </c>
      <c r="C9" s="22">
        <v>45729</v>
      </c>
      <c r="D9" s="15">
        <v>2000</v>
      </c>
      <c r="E9" s="15">
        <v>40</v>
      </c>
    </row>
    <row r="10" spans="1:11">
      <c r="A10" s="12" t="s">
        <v>18</v>
      </c>
      <c r="B10" s="12" t="s">
        <v>41</v>
      </c>
      <c r="C10" s="22">
        <v>45729</v>
      </c>
      <c r="D10" s="15">
        <v>2000</v>
      </c>
      <c r="E10" s="15">
        <v>40</v>
      </c>
    </row>
    <row r="11" spans="1:11">
      <c r="A11" s="12" t="s">
        <v>18</v>
      </c>
      <c r="B11" s="12" t="s">
        <v>41</v>
      </c>
      <c r="C11" s="22">
        <v>45729</v>
      </c>
      <c r="D11" s="15">
        <v>2200</v>
      </c>
      <c r="E11" s="15">
        <v>44</v>
      </c>
    </row>
    <row r="12" spans="1:11">
      <c r="A12" s="12" t="s">
        <v>18</v>
      </c>
      <c r="B12" s="12" t="s">
        <v>41</v>
      </c>
      <c r="C12" s="22">
        <v>45729</v>
      </c>
      <c r="D12" s="15">
        <v>2200</v>
      </c>
      <c r="E12" s="15">
        <v>44</v>
      </c>
    </row>
    <row r="13" spans="1:11">
      <c r="A13" s="12" t="s">
        <v>18</v>
      </c>
      <c r="B13" s="12" t="s">
        <v>41</v>
      </c>
      <c r="C13" s="22">
        <v>45729</v>
      </c>
      <c r="D13" s="15">
        <v>3100</v>
      </c>
      <c r="E13" s="15">
        <v>62</v>
      </c>
    </row>
    <row r="14" spans="1:11">
      <c r="A14" s="12" t="s">
        <v>18</v>
      </c>
      <c r="B14" s="12" t="s">
        <v>40</v>
      </c>
      <c r="C14" s="22">
        <v>45722</v>
      </c>
      <c r="D14" s="15">
        <v>354420</v>
      </c>
      <c r="E14" s="15">
        <v>35442</v>
      </c>
    </row>
    <row r="15" spans="1:11">
      <c r="A15" s="12" t="s">
        <v>18</v>
      </c>
      <c r="B15" s="12" t="s">
        <v>40</v>
      </c>
      <c r="C15" s="22">
        <v>45722</v>
      </c>
      <c r="D15" s="15">
        <v>71510</v>
      </c>
      <c r="E15" s="15">
        <v>7151</v>
      </c>
    </row>
    <row r="16" spans="1:11">
      <c r="A16" s="12" t="s">
        <v>18</v>
      </c>
      <c r="B16" s="12" t="s">
        <v>40</v>
      </c>
      <c r="C16" s="22">
        <v>45719</v>
      </c>
      <c r="D16" s="15">
        <v>40610</v>
      </c>
      <c r="E16" s="15">
        <v>4061</v>
      </c>
    </row>
    <row r="17" spans="1:5">
      <c r="A17" s="12" t="s">
        <v>18</v>
      </c>
      <c r="B17" s="12" t="s">
        <v>40</v>
      </c>
      <c r="C17" s="22">
        <v>45719</v>
      </c>
      <c r="D17" s="15">
        <v>234780</v>
      </c>
      <c r="E17" s="15">
        <v>23478</v>
      </c>
    </row>
    <row r="18" spans="1:5">
      <c r="A18" s="12" t="s">
        <v>18</v>
      </c>
      <c r="B18" s="12" t="s">
        <v>40</v>
      </c>
      <c r="C18" s="22">
        <v>45719</v>
      </c>
      <c r="D18" s="15">
        <v>380220</v>
      </c>
      <c r="E18" s="15">
        <v>38022</v>
      </c>
    </row>
    <row r="19" spans="1:5">
      <c r="A19" s="12" t="s">
        <v>18</v>
      </c>
      <c r="B19" s="12" t="s">
        <v>40</v>
      </c>
      <c r="C19" s="22">
        <v>45719</v>
      </c>
      <c r="D19" s="15">
        <v>11290</v>
      </c>
      <c r="E19" s="15">
        <v>1129</v>
      </c>
    </row>
    <row r="20" spans="1:5">
      <c r="A20" s="12" t="s">
        <v>18</v>
      </c>
      <c r="B20" s="12" t="s">
        <v>40</v>
      </c>
      <c r="C20" s="22">
        <v>45719</v>
      </c>
      <c r="D20" s="15">
        <v>90720</v>
      </c>
      <c r="E20" s="15">
        <v>9072</v>
      </c>
    </row>
    <row r="21" spans="1:5">
      <c r="A21" s="12" t="s">
        <v>18</v>
      </c>
      <c r="B21" s="12" t="s">
        <v>40</v>
      </c>
      <c r="C21" s="22">
        <v>45717</v>
      </c>
      <c r="D21" s="15">
        <v>6380</v>
      </c>
      <c r="E21" s="15">
        <v>638</v>
      </c>
    </row>
    <row r="22" spans="1:5">
      <c r="A22" s="12" t="s">
        <v>18</v>
      </c>
      <c r="B22" s="12" t="s">
        <v>40</v>
      </c>
      <c r="C22" s="22">
        <v>45717</v>
      </c>
      <c r="D22" s="15">
        <v>6380</v>
      </c>
      <c r="E22" s="15">
        <v>638</v>
      </c>
    </row>
    <row r="23" spans="1:5">
      <c r="A23" s="12" t="s">
        <v>18</v>
      </c>
      <c r="B23" s="12" t="s">
        <v>40</v>
      </c>
      <c r="C23" s="22">
        <v>45717</v>
      </c>
      <c r="D23" s="15">
        <v>6380</v>
      </c>
      <c r="E23" s="15">
        <v>638</v>
      </c>
    </row>
    <row r="24" spans="1:5">
      <c r="A24" s="12" t="s">
        <v>18</v>
      </c>
      <c r="B24" s="12" t="s">
        <v>40</v>
      </c>
      <c r="C24" s="22">
        <v>45717</v>
      </c>
      <c r="D24" s="15">
        <v>6380</v>
      </c>
      <c r="E24" s="15">
        <v>638</v>
      </c>
    </row>
    <row r="25" spans="1:5">
      <c r="A25" s="12" t="s">
        <v>18</v>
      </c>
      <c r="B25" s="12" t="s">
        <v>40</v>
      </c>
      <c r="C25" s="22">
        <v>45717</v>
      </c>
      <c r="D25" s="15">
        <v>345600</v>
      </c>
      <c r="E25" s="15">
        <v>34560</v>
      </c>
    </row>
    <row r="26" spans="1:5">
      <c r="A26" s="12" t="s">
        <v>18</v>
      </c>
      <c r="B26" s="12" t="s">
        <v>40</v>
      </c>
      <c r="C26" s="22">
        <v>45717</v>
      </c>
      <c r="D26" s="15">
        <v>6380</v>
      </c>
      <c r="E26" s="15">
        <v>638</v>
      </c>
    </row>
    <row r="27" spans="1:5">
      <c r="A27" s="12" t="s">
        <v>18</v>
      </c>
      <c r="B27" s="12" t="s">
        <v>40</v>
      </c>
      <c r="C27" s="22">
        <v>45717</v>
      </c>
      <c r="D27" s="15">
        <v>6380</v>
      </c>
      <c r="E27" s="15">
        <v>638</v>
      </c>
    </row>
    <row r="28" spans="1:5">
      <c r="A28" s="12" t="s">
        <v>18</v>
      </c>
      <c r="B28" s="12" t="s">
        <v>40</v>
      </c>
      <c r="C28" s="22">
        <v>45717</v>
      </c>
      <c r="D28" s="15">
        <v>6380</v>
      </c>
      <c r="E28" s="15">
        <v>638</v>
      </c>
    </row>
    <row r="29" spans="1:5">
      <c r="A29" s="12" t="s">
        <v>19</v>
      </c>
      <c r="B29" s="12" t="s">
        <v>41</v>
      </c>
      <c r="C29" s="22">
        <v>45906</v>
      </c>
      <c r="D29" s="12">
        <v>474.5</v>
      </c>
      <c r="E29" s="12">
        <v>9</v>
      </c>
    </row>
    <row r="30" spans="1:5">
      <c r="A30" s="12" t="s">
        <v>19</v>
      </c>
      <c r="B30" s="12" t="s">
        <v>40</v>
      </c>
      <c r="C30" s="22">
        <v>45906</v>
      </c>
      <c r="D30" s="12">
        <v>995197</v>
      </c>
      <c r="E30" s="12">
        <v>99519</v>
      </c>
    </row>
    <row r="31" spans="1:5">
      <c r="A31" s="12" t="s">
        <v>19</v>
      </c>
      <c r="B31" s="12" t="s">
        <v>41</v>
      </c>
      <c r="C31" s="22">
        <v>45906</v>
      </c>
      <c r="D31" s="12">
        <v>1008.5</v>
      </c>
      <c r="E31" s="12">
        <v>20</v>
      </c>
    </row>
    <row r="32" spans="1:5">
      <c r="A32" s="12" t="s">
        <v>19</v>
      </c>
      <c r="B32" s="12" t="s">
        <v>41</v>
      </c>
      <c r="C32" s="22">
        <v>45906</v>
      </c>
      <c r="D32" s="12">
        <v>487</v>
      </c>
      <c r="E32" s="12">
        <v>10</v>
      </c>
    </row>
    <row r="33" spans="1:5">
      <c r="A33" s="12" t="s">
        <v>19</v>
      </c>
      <c r="B33" s="12" t="s">
        <v>41</v>
      </c>
      <c r="C33" s="22">
        <v>45906</v>
      </c>
      <c r="D33" s="12">
        <v>487</v>
      </c>
      <c r="E33" s="12">
        <v>10</v>
      </c>
    </row>
    <row r="34" spans="1:5">
      <c r="A34" s="12" t="s">
        <v>19</v>
      </c>
      <c r="B34" s="12" t="s">
        <v>41</v>
      </c>
      <c r="C34" s="22">
        <v>45906</v>
      </c>
      <c r="D34" s="12">
        <v>304</v>
      </c>
      <c r="E34" s="12">
        <v>6</v>
      </c>
    </row>
    <row r="35" spans="1:5">
      <c r="A35" s="12" t="s">
        <v>19</v>
      </c>
      <c r="B35" s="12" t="s">
        <v>41</v>
      </c>
      <c r="C35" s="22">
        <v>45904</v>
      </c>
      <c r="D35" s="12">
        <v>32818</v>
      </c>
      <c r="E35" s="12">
        <v>656</v>
      </c>
    </row>
    <row r="36" spans="1:5">
      <c r="A36" s="12" t="s">
        <v>19</v>
      </c>
      <c r="B36" s="12" t="s">
        <v>41</v>
      </c>
      <c r="C36" s="22">
        <v>45904</v>
      </c>
      <c r="D36" s="12">
        <v>19930.5</v>
      </c>
      <c r="E36" s="12">
        <v>399</v>
      </c>
    </row>
    <row r="37" spans="1:5">
      <c r="A37" s="12" t="s">
        <v>19</v>
      </c>
      <c r="B37" s="12" t="s">
        <v>41</v>
      </c>
      <c r="C37" s="22">
        <v>45904</v>
      </c>
      <c r="D37" s="12">
        <v>2275.5</v>
      </c>
      <c r="E37" s="12">
        <v>46</v>
      </c>
    </row>
    <row r="38" spans="1:5">
      <c r="A38" s="12" t="s">
        <v>19</v>
      </c>
      <c r="B38" s="12" t="s">
        <v>41</v>
      </c>
      <c r="C38" s="22">
        <v>45904</v>
      </c>
      <c r="D38" s="12">
        <v>8751.5</v>
      </c>
      <c r="E38" s="12">
        <v>175</v>
      </c>
    </row>
    <row r="39" spans="1:5">
      <c r="A39" s="12" t="s">
        <v>19</v>
      </c>
      <c r="B39" s="12" t="s">
        <v>41</v>
      </c>
      <c r="C39" s="22">
        <v>45904</v>
      </c>
      <c r="D39" s="12">
        <v>989804.5</v>
      </c>
      <c r="E39" s="12">
        <v>19796</v>
      </c>
    </row>
    <row r="40" spans="1:5">
      <c r="A40" s="12" t="s">
        <v>19</v>
      </c>
      <c r="B40" s="12" t="s">
        <v>41</v>
      </c>
      <c r="C40" s="22">
        <v>45904</v>
      </c>
      <c r="D40" s="12">
        <v>1195.5</v>
      </c>
      <c r="E40" s="12">
        <v>24</v>
      </c>
    </row>
    <row r="41" spans="1:5">
      <c r="A41" s="12" t="s">
        <v>19</v>
      </c>
      <c r="B41" s="12" t="s">
        <v>41</v>
      </c>
      <c r="C41" s="22">
        <v>45904</v>
      </c>
      <c r="D41" s="12">
        <v>11077.5</v>
      </c>
      <c r="E41" s="12">
        <v>222</v>
      </c>
    </row>
    <row r="42" spans="1:5">
      <c r="A42" s="12" t="s">
        <v>19</v>
      </c>
      <c r="B42" s="12" t="s">
        <v>41</v>
      </c>
      <c r="C42" s="22">
        <v>45904</v>
      </c>
      <c r="D42" s="12">
        <v>30473.5</v>
      </c>
      <c r="E42" s="12">
        <v>609</v>
      </c>
    </row>
    <row r="43" spans="1:5">
      <c r="A43" s="12" t="s">
        <v>19</v>
      </c>
      <c r="B43" s="12" t="s">
        <v>41</v>
      </c>
      <c r="C43" s="22">
        <v>45904</v>
      </c>
      <c r="D43" s="12">
        <v>187.5</v>
      </c>
      <c r="E43" s="12">
        <v>4</v>
      </c>
    </row>
    <row r="44" spans="1:5">
      <c r="A44" s="12" t="s">
        <v>19</v>
      </c>
      <c r="B44" s="12" t="s">
        <v>41</v>
      </c>
      <c r="C44" s="22">
        <v>45904</v>
      </c>
      <c r="D44" s="12">
        <v>1095.5</v>
      </c>
      <c r="E44" s="12">
        <v>22</v>
      </c>
    </row>
    <row r="45" spans="1:5">
      <c r="A45" s="12" t="s">
        <v>19</v>
      </c>
      <c r="B45" s="12" t="s">
        <v>41</v>
      </c>
      <c r="C45" s="22">
        <v>45901</v>
      </c>
      <c r="D45" s="12">
        <v>6450</v>
      </c>
      <c r="E45" s="12">
        <v>129</v>
      </c>
    </row>
    <row r="46" spans="1:5">
      <c r="A46" s="12" t="s">
        <v>19</v>
      </c>
      <c r="B46" s="12" t="s">
        <v>41</v>
      </c>
      <c r="C46" s="22">
        <v>45901</v>
      </c>
      <c r="D46" s="12">
        <v>129862.5</v>
      </c>
      <c r="E46" s="12">
        <v>2597</v>
      </c>
    </row>
    <row r="47" spans="1:5">
      <c r="A47" s="12" t="s">
        <v>19</v>
      </c>
      <c r="B47" s="12" t="s">
        <v>41</v>
      </c>
      <c r="C47" s="22">
        <v>45901</v>
      </c>
      <c r="D47" s="12">
        <v>399</v>
      </c>
      <c r="E47" s="12">
        <v>8</v>
      </c>
    </row>
    <row r="48" spans="1:5">
      <c r="A48" s="12" t="s">
        <v>19</v>
      </c>
      <c r="B48" s="12" t="s">
        <v>41</v>
      </c>
      <c r="C48" s="22">
        <v>45809</v>
      </c>
      <c r="D48" s="12">
        <v>90700</v>
      </c>
      <c r="E48" s="12">
        <v>1814</v>
      </c>
    </row>
    <row r="49" spans="1:5">
      <c r="A49" s="12" t="s">
        <v>19</v>
      </c>
      <c r="B49" s="12" t="s">
        <v>40</v>
      </c>
      <c r="C49" s="22">
        <v>45809</v>
      </c>
      <c r="D49" s="12">
        <v>200900</v>
      </c>
      <c r="E49" s="12">
        <v>20090</v>
      </c>
    </row>
    <row r="50" spans="1:5">
      <c r="A50" s="12" t="s">
        <v>19</v>
      </c>
      <c r="B50" s="12" t="s">
        <v>40</v>
      </c>
      <c r="C50" s="22">
        <v>45809</v>
      </c>
      <c r="D50" s="12">
        <v>345880</v>
      </c>
      <c r="E50" s="12">
        <v>34588</v>
      </c>
    </row>
    <row r="51" spans="1:5">
      <c r="A51" s="12" t="s">
        <v>19</v>
      </c>
      <c r="B51" s="12" t="s">
        <v>40</v>
      </c>
      <c r="C51" s="22">
        <v>45809</v>
      </c>
      <c r="D51" s="12">
        <v>255160</v>
      </c>
      <c r="E51" s="12">
        <v>25516</v>
      </c>
    </row>
    <row r="52" spans="1:5">
      <c r="A52" s="12" t="s">
        <v>19</v>
      </c>
      <c r="B52" s="12" t="s">
        <v>40</v>
      </c>
      <c r="C52" s="22">
        <v>45809</v>
      </c>
      <c r="D52" s="12">
        <v>255090</v>
      </c>
      <c r="E52" s="12">
        <v>25509</v>
      </c>
    </row>
    <row r="53" spans="1:5">
      <c r="A53" s="12" t="s">
        <v>19</v>
      </c>
      <c r="B53" s="12" t="s">
        <v>40</v>
      </c>
      <c r="C53" s="22">
        <v>45809</v>
      </c>
      <c r="D53" s="12">
        <v>242190</v>
      </c>
      <c r="E53" s="12">
        <v>24219</v>
      </c>
    </row>
    <row r="54" spans="1:5">
      <c r="A54" s="12" t="s">
        <v>19</v>
      </c>
      <c r="B54" s="12" t="s">
        <v>40</v>
      </c>
      <c r="C54" s="22">
        <v>45809</v>
      </c>
      <c r="D54" s="12">
        <v>939050</v>
      </c>
      <c r="E54" s="12">
        <v>93905</v>
      </c>
    </row>
    <row r="55" spans="1:5">
      <c r="A55" s="12" t="s">
        <v>19</v>
      </c>
      <c r="B55" s="12" t="s">
        <v>41</v>
      </c>
      <c r="C55" s="22">
        <v>45809</v>
      </c>
      <c r="D55" s="12">
        <v>1050</v>
      </c>
      <c r="E55" s="12">
        <v>21</v>
      </c>
    </row>
    <row r="56" spans="1:5">
      <c r="A56" s="12" t="s">
        <v>19</v>
      </c>
      <c r="B56" s="12" t="s">
        <v>41</v>
      </c>
      <c r="C56" s="22">
        <v>45809</v>
      </c>
      <c r="D56" s="12">
        <v>650</v>
      </c>
      <c r="E56" s="12">
        <v>13</v>
      </c>
    </row>
    <row r="57" spans="1:5">
      <c r="A57" s="12" t="s">
        <v>19</v>
      </c>
      <c r="B57" s="12" t="s">
        <v>41</v>
      </c>
      <c r="C57" s="22">
        <v>45809</v>
      </c>
      <c r="D57" s="12">
        <v>7500</v>
      </c>
      <c r="E57" s="12">
        <v>150</v>
      </c>
    </row>
    <row r="58" spans="1:5">
      <c r="A58" s="12" t="s">
        <v>19</v>
      </c>
      <c r="B58" s="12" t="s">
        <v>41</v>
      </c>
      <c r="C58" s="22">
        <v>45809</v>
      </c>
      <c r="D58" s="12">
        <v>2200</v>
      </c>
      <c r="E58" s="12">
        <v>44</v>
      </c>
    </row>
    <row r="59" spans="1:5">
      <c r="A59" s="12" t="s">
        <v>19</v>
      </c>
      <c r="B59" s="12" t="s">
        <v>41</v>
      </c>
      <c r="C59" s="22">
        <v>45809</v>
      </c>
      <c r="D59" s="12">
        <v>14800</v>
      </c>
      <c r="E59" s="12">
        <v>296</v>
      </c>
    </row>
    <row r="60" spans="1:5">
      <c r="A60" s="12" t="s">
        <v>19</v>
      </c>
      <c r="B60" s="12" t="s">
        <v>41</v>
      </c>
      <c r="C60" s="22">
        <v>45809</v>
      </c>
      <c r="D60" s="12">
        <v>114800</v>
      </c>
      <c r="E60" s="12">
        <v>2296</v>
      </c>
    </row>
    <row r="61" spans="1:5">
      <c r="A61" s="12" t="s">
        <v>19</v>
      </c>
      <c r="B61" s="12" t="s">
        <v>41</v>
      </c>
      <c r="C61" s="22">
        <v>45809</v>
      </c>
      <c r="D61" s="12">
        <v>8200</v>
      </c>
      <c r="E61" s="12">
        <v>164</v>
      </c>
    </row>
    <row r="62" spans="1:5">
      <c r="A62" s="12" t="s">
        <v>19</v>
      </c>
      <c r="B62" s="12" t="s">
        <v>41</v>
      </c>
      <c r="C62" s="22">
        <v>45809</v>
      </c>
      <c r="D62" s="12">
        <v>300</v>
      </c>
      <c r="E62" s="12">
        <v>6</v>
      </c>
    </row>
    <row r="63" spans="1:5">
      <c r="A63" s="12" t="s">
        <v>19</v>
      </c>
      <c r="B63" s="12" t="s">
        <v>41</v>
      </c>
      <c r="C63" s="22">
        <v>45809</v>
      </c>
      <c r="D63" s="12">
        <v>1450</v>
      </c>
      <c r="E63" s="12">
        <v>29</v>
      </c>
    </row>
    <row r="64" spans="1:5">
      <c r="A64" s="12" t="s">
        <v>19</v>
      </c>
      <c r="B64" s="12" t="s">
        <v>41</v>
      </c>
      <c r="C64" s="22">
        <v>45809</v>
      </c>
      <c r="D64" s="12">
        <v>16400</v>
      </c>
      <c r="E64" s="12">
        <v>328</v>
      </c>
    </row>
    <row r="65" spans="1:5">
      <c r="A65" s="12" t="s">
        <v>19</v>
      </c>
      <c r="B65" s="12" t="s">
        <v>41</v>
      </c>
      <c r="C65" s="22">
        <v>45809</v>
      </c>
      <c r="D65" s="12">
        <v>203100</v>
      </c>
      <c r="E65" s="12">
        <v>4062</v>
      </c>
    </row>
    <row r="66" spans="1:5">
      <c r="A66" s="12" t="s">
        <v>19</v>
      </c>
      <c r="B66" s="12" t="s">
        <v>40</v>
      </c>
      <c r="C66" s="22">
        <v>45808</v>
      </c>
      <c r="D66" s="12">
        <v>946370</v>
      </c>
      <c r="E66" s="12">
        <v>94637</v>
      </c>
    </row>
    <row r="67" spans="1:5">
      <c r="A67" s="12" t="s">
        <v>19</v>
      </c>
      <c r="B67" s="12" t="s">
        <v>40</v>
      </c>
      <c r="C67" s="22">
        <v>45808</v>
      </c>
      <c r="D67" s="12">
        <v>863040</v>
      </c>
      <c r="E67" s="12">
        <v>86304</v>
      </c>
    </row>
    <row r="68" spans="1:5">
      <c r="A68" s="12" t="s">
        <v>19</v>
      </c>
      <c r="B68" s="12" t="s">
        <v>40</v>
      </c>
      <c r="C68" s="22">
        <v>45805</v>
      </c>
      <c r="D68" s="12">
        <v>891200</v>
      </c>
      <c r="E68" s="12">
        <v>89120</v>
      </c>
    </row>
    <row r="69" spans="1:5">
      <c r="D69" s="17"/>
      <c r="E6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Query</vt:lpstr>
      <vt:lpstr>Mis Reco</vt:lpstr>
      <vt:lpstr>Bilings from MIS</vt:lpstr>
      <vt:lpstr>Ledger</vt:lpstr>
      <vt:lpstr>26AS VS Clinet ledger</vt:lpstr>
      <vt:lpstr>26AS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BMCA-C-16</dc:creator>
  <cp:lastModifiedBy>BMCA-C-16</cp:lastModifiedBy>
  <dcterms:created xsi:type="dcterms:W3CDTF">2026-01-22T06:10:12Z</dcterms:created>
  <dcterms:modified xsi:type="dcterms:W3CDTF">2026-01-23T10:01:58Z</dcterms:modified>
</cp:coreProperties>
</file>