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 (K)\1. Tax and assurance\Capital Land\3. ASHLAND SPECIALITY CHEMICAL\"/>
    </mc:Choice>
  </mc:AlternateContent>
  <xr:revisionPtr revIDLastSave="0" documentId="13_ncr:1_{AEDA2DAA-D308-404C-9531-4D566B018D8C}" xr6:coauthVersionLast="47" xr6:coauthVersionMax="47" xr10:uidLastSave="{00000000-0000-0000-0000-000000000000}"/>
  <bookViews>
    <workbookView xWindow="-110" yWindow="-110" windowWidth="21820" windowHeight="14020" xr2:uid="{E84C0727-339A-413C-8BB0-8DA65DAEAA55}"/>
  </bookViews>
  <sheets>
    <sheet name="Sheet1" sheetId="1" r:id="rId1"/>
  </sheets>
  <definedNames>
    <definedName name="_xlnm._FilterDatabase" localSheetId="0" hidden="1">Sheet1!$A$1:$G$19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9" i="1" l="1"/>
</calcChain>
</file>

<file path=xl/sharedStrings.xml><?xml version="1.0" encoding="utf-8"?>
<sst xmlns="http://schemas.openxmlformats.org/spreadsheetml/2006/main" count="58" uniqueCount="25">
  <si>
    <t>Document Number</t>
  </si>
  <si>
    <t>Document Type</t>
  </si>
  <si>
    <t>Document Date</t>
  </si>
  <si>
    <t>Reference</t>
  </si>
  <si>
    <t>Document Currency Key</t>
  </si>
  <si>
    <t>Document Currency Value</t>
  </si>
  <si>
    <t>Text</t>
  </si>
  <si>
    <t>DR</t>
  </si>
  <si>
    <t>USD</t>
  </si>
  <si>
    <t>BOE handling charges</t>
  </si>
  <si>
    <t>CMAU8274168-Port SSR Storage Jan 2025. Exch rate -</t>
  </si>
  <si>
    <t>CY Longstanding Transportation chgs for 31 MAR 202</t>
  </si>
  <si>
    <t>Detention Charges for JAN 2025 Exch. Rate 86.60</t>
  </si>
  <si>
    <t>GATU4442400-Port SSR Storage Jan 2025. Exch rate -</t>
  </si>
  <si>
    <t>ONEU1598927-Port SSR Shifting Jan 2025. Exch rate</t>
  </si>
  <si>
    <t>ONEU1598927-Port SSR Storage Jan 2025. Exch rate -</t>
  </si>
  <si>
    <t>Outbound chgs - 16 - 31 Dec 25</t>
  </si>
  <si>
    <t>Port SSR Charges - Shifting for Aug to Dec,24. Exc</t>
  </si>
  <si>
    <t>PORT SSR Chgs Apr  to June 25</t>
  </si>
  <si>
    <t>PORT SSR Chgs Dec 25</t>
  </si>
  <si>
    <t>Transportation Inbound charges for Dec 2024</t>
  </si>
  <si>
    <t>VAS  -1-15 Oct 2025</t>
  </si>
  <si>
    <t>VAS - Weighment-1-15 Jan 2026</t>
  </si>
  <si>
    <t>VAS 16-31 May 25 Ex.85.48</t>
  </si>
  <si>
    <t>Weighment  -1-15 Oct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</si>
</sst>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43" fontId="0" fillId="0" borderId="1" xfId="1" applyFont="1" applyBorder="1" applyAlignment="1">
      <alignment horizontal="right" vertical="top"/>
    </xf>
    <xf numFmtId="43" fontId="2" fillId="0" borderId="0" xfId="0" applyNumberFormat="1" applyFont="1"/>
    <xf numFmtId="0" fontId="0" fillId="0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728D4-9EE1-4CF2-B4BC-635A8103A7A1}">
  <dimension ref="A1:G19"/>
  <sheetViews>
    <sheetView tabSelected="1" workbookViewId="0">
      <selection activeCell="B1" sqref="B1"/>
    </sheetView>
  </sheetViews>
  <sheetFormatPr defaultRowHeight="14.5" x14ac:dyDescent="0.35"/>
  <cols>
    <col min="1" max="1" width="16.81640625" bestFit="1" customWidth="1"/>
    <col min="2" max="2" width="9.26953125" customWidth="1"/>
    <col min="3" max="3" width="13.90625" bestFit="1" customWidth="1"/>
    <col min="4" max="4" width="12.90625" bestFit="1" customWidth="1"/>
    <col min="5" max="5" width="12" customWidth="1"/>
    <col min="6" max="6" width="13.7265625" customWidth="1"/>
    <col min="7" max="7" width="45.36328125" bestFit="1" customWidth="1"/>
    <col min="8" max="16384" width="8.7265625" style="8"/>
  </cols>
  <sheetData>
    <row r="1" spans="1:7" ht="39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 x14ac:dyDescent="0.35">
      <c r="A2" s="3">
        <v>1800012797</v>
      </c>
      <c r="B2" s="3" t="s">
        <v>7</v>
      </c>
      <c r="C2" s="4">
        <v>45920</v>
      </c>
      <c r="D2" s="5">
        <v>256779417478</v>
      </c>
      <c r="E2" s="3" t="s">
        <v>8</v>
      </c>
      <c r="F2" s="6">
        <v>1002.2</v>
      </c>
      <c r="G2" s="3" t="s">
        <v>9</v>
      </c>
    </row>
    <row r="3" spans="1:7" x14ac:dyDescent="0.35">
      <c r="A3" s="3">
        <v>1800003244</v>
      </c>
      <c r="B3" s="3" t="s">
        <v>7</v>
      </c>
      <c r="C3" s="4">
        <v>45735</v>
      </c>
      <c r="D3" s="5">
        <v>246779413111</v>
      </c>
      <c r="E3" s="3" t="s">
        <v>8</v>
      </c>
      <c r="F3" s="6">
        <v>13.77</v>
      </c>
      <c r="G3" s="3" t="s">
        <v>10</v>
      </c>
    </row>
    <row r="4" spans="1:7" x14ac:dyDescent="0.35">
      <c r="A4" s="3">
        <v>1800006828</v>
      </c>
      <c r="B4" s="3" t="s">
        <v>7</v>
      </c>
      <c r="C4" s="4">
        <v>45763</v>
      </c>
      <c r="D4" s="5">
        <v>256779411719</v>
      </c>
      <c r="E4" s="3" t="s">
        <v>8</v>
      </c>
      <c r="F4" s="6">
        <v>488.03</v>
      </c>
      <c r="G4" s="3" t="s">
        <v>11</v>
      </c>
    </row>
    <row r="5" spans="1:7" x14ac:dyDescent="0.35">
      <c r="A5" s="3">
        <v>1800003944</v>
      </c>
      <c r="B5" s="3" t="s">
        <v>7</v>
      </c>
      <c r="C5" s="4">
        <v>45736</v>
      </c>
      <c r="D5" s="5">
        <v>246779413973</v>
      </c>
      <c r="E5" s="3" t="s">
        <v>8</v>
      </c>
      <c r="F5" s="6">
        <v>123.56</v>
      </c>
      <c r="G5" s="3" t="s">
        <v>12</v>
      </c>
    </row>
    <row r="6" spans="1:7" x14ac:dyDescent="0.35">
      <c r="A6" s="3">
        <v>1800003245</v>
      </c>
      <c r="B6" s="3" t="s">
        <v>7</v>
      </c>
      <c r="C6" s="4">
        <v>45735</v>
      </c>
      <c r="D6" s="5">
        <v>246779413112</v>
      </c>
      <c r="E6" s="3" t="s">
        <v>8</v>
      </c>
      <c r="F6" s="6">
        <v>13.77</v>
      </c>
      <c r="G6" s="3" t="s">
        <v>13</v>
      </c>
    </row>
    <row r="7" spans="1:7" x14ac:dyDescent="0.35">
      <c r="A7" s="3">
        <v>1800003241</v>
      </c>
      <c r="B7" s="3" t="s">
        <v>7</v>
      </c>
      <c r="C7" s="4">
        <v>45735</v>
      </c>
      <c r="D7" s="5">
        <v>246779413108</v>
      </c>
      <c r="E7" s="3" t="s">
        <v>8</v>
      </c>
      <c r="F7" s="6">
        <v>78.12</v>
      </c>
      <c r="G7" s="3" t="s">
        <v>14</v>
      </c>
    </row>
    <row r="8" spans="1:7" x14ac:dyDescent="0.35">
      <c r="A8" s="3">
        <v>1800003242</v>
      </c>
      <c r="B8" s="3" t="s">
        <v>7</v>
      </c>
      <c r="C8" s="4">
        <v>45735</v>
      </c>
      <c r="D8" s="5">
        <v>246779413109</v>
      </c>
      <c r="E8" s="3" t="s">
        <v>8</v>
      </c>
      <c r="F8" s="6">
        <v>166.09</v>
      </c>
      <c r="G8" s="3" t="s">
        <v>15</v>
      </c>
    </row>
    <row r="9" spans="1:7" x14ac:dyDescent="0.35">
      <c r="A9" s="3">
        <v>1800003243</v>
      </c>
      <c r="B9" s="3" t="s">
        <v>7</v>
      </c>
      <c r="C9" s="4">
        <v>45735</v>
      </c>
      <c r="D9" s="5">
        <v>246779413110</v>
      </c>
      <c r="E9" s="3" t="s">
        <v>8</v>
      </c>
      <c r="F9" s="6">
        <v>76.72</v>
      </c>
      <c r="G9" s="3" t="s">
        <v>15</v>
      </c>
    </row>
    <row r="10" spans="1:7" x14ac:dyDescent="0.35">
      <c r="A10" s="3">
        <v>1800016374</v>
      </c>
      <c r="B10" s="3" t="s">
        <v>7</v>
      </c>
      <c r="C10" s="4">
        <v>46034</v>
      </c>
      <c r="D10" s="5">
        <v>256779450541</v>
      </c>
      <c r="E10" s="3" t="s">
        <v>8</v>
      </c>
      <c r="F10" s="6">
        <v>1568.64</v>
      </c>
      <c r="G10" s="3" t="s">
        <v>16</v>
      </c>
    </row>
    <row r="11" spans="1:7" x14ac:dyDescent="0.35">
      <c r="A11" s="3">
        <v>1800013204</v>
      </c>
      <c r="B11" s="3" t="s">
        <v>7</v>
      </c>
      <c r="C11" s="4">
        <v>45924</v>
      </c>
      <c r="D11" s="5">
        <v>256779417820</v>
      </c>
      <c r="E11" s="3" t="s">
        <v>8</v>
      </c>
      <c r="F11" s="6">
        <v>131.74</v>
      </c>
      <c r="G11" s="3" t="s">
        <v>17</v>
      </c>
    </row>
    <row r="12" spans="1:7" x14ac:dyDescent="0.35">
      <c r="A12" s="3">
        <v>1800010753</v>
      </c>
      <c r="B12" s="3" t="s">
        <v>7</v>
      </c>
      <c r="C12" s="4">
        <v>45856</v>
      </c>
      <c r="D12" s="5">
        <v>256779415415</v>
      </c>
      <c r="E12" s="3" t="s">
        <v>8</v>
      </c>
      <c r="F12" s="6">
        <v>340.75</v>
      </c>
      <c r="G12" s="3" t="s">
        <v>18</v>
      </c>
    </row>
    <row r="13" spans="1:7" x14ac:dyDescent="0.35">
      <c r="A13" s="3">
        <v>1800016264</v>
      </c>
      <c r="B13" s="3" t="s">
        <v>7</v>
      </c>
      <c r="C13" s="4">
        <v>46028</v>
      </c>
      <c r="D13" s="5">
        <v>256779450428</v>
      </c>
      <c r="E13" s="3" t="s">
        <v>8</v>
      </c>
      <c r="F13" s="6">
        <v>832.95</v>
      </c>
      <c r="G13" s="3" t="s">
        <v>19</v>
      </c>
    </row>
    <row r="14" spans="1:7" x14ac:dyDescent="0.35">
      <c r="A14" s="3">
        <v>1800005314</v>
      </c>
      <c r="B14" s="3" t="s">
        <v>7</v>
      </c>
      <c r="C14" s="4">
        <v>45750</v>
      </c>
      <c r="D14" s="5">
        <v>256779410206</v>
      </c>
      <c r="E14" s="3" t="s">
        <v>8</v>
      </c>
      <c r="F14" s="6">
        <v>346.96</v>
      </c>
      <c r="G14" s="3" t="s">
        <v>20</v>
      </c>
    </row>
    <row r="15" spans="1:7" x14ac:dyDescent="0.35">
      <c r="A15" s="3">
        <v>1800017209</v>
      </c>
      <c r="B15" s="3" t="s">
        <v>7</v>
      </c>
      <c r="C15" s="4">
        <v>46059</v>
      </c>
      <c r="D15" s="5">
        <v>256779451039</v>
      </c>
      <c r="E15" s="3" t="s">
        <v>8</v>
      </c>
      <c r="F15" s="6">
        <v>59.58</v>
      </c>
      <c r="G15" s="3" t="s">
        <v>21</v>
      </c>
    </row>
    <row r="16" spans="1:7" x14ac:dyDescent="0.35">
      <c r="A16" s="3">
        <v>1800017138</v>
      </c>
      <c r="B16" s="3" t="s">
        <v>7</v>
      </c>
      <c r="C16" s="4">
        <v>46049</v>
      </c>
      <c r="D16" s="5">
        <v>256779451016</v>
      </c>
      <c r="E16" s="3" t="s">
        <v>8</v>
      </c>
      <c r="F16" s="6">
        <v>26.61</v>
      </c>
      <c r="G16" s="3" t="s">
        <v>22</v>
      </c>
    </row>
    <row r="17" spans="1:7" x14ac:dyDescent="0.35">
      <c r="A17" s="3">
        <v>1800011241</v>
      </c>
      <c r="B17" s="3" t="s">
        <v>7</v>
      </c>
      <c r="C17" s="4">
        <v>45863</v>
      </c>
      <c r="D17" s="5">
        <v>256779415973</v>
      </c>
      <c r="E17" s="3" t="s">
        <v>8</v>
      </c>
      <c r="F17" s="6">
        <v>448.06</v>
      </c>
      <c r="G17" s="3" t="s">
        <v>23</v>
      </c>
    </row>
    <row r="18" spans="1:7" x14ac:dyDescent="0.35">
      <c r="A18" s="3">
        <v>1800017223</v>
      </c>
      <c r="B18" s="3" t="s">
        <v>7</v>
      </c>
      <c r="C18" s="4">
        <v>46059</v>
      </c>
      <c r="D18" s="5">
        <v>256779451053</v>
      </c>
      <c r="E18" s="3" t="s">
        <v>8</v>
      </c>
      <c r="F18" s="6">
        <v>27.18</v>
      </c>
      <c r="G18" s="3" t="s">
        <v>24</v>
      </c>
    </row>
    <row r="19" spans="1:7" x14ac:dyDescent="0.35">
      <c r="F19" s="7">
        <f>SUM(F2:F18)</f>
        <v>5744.73</v>
      </c>
    </row>
  </sheetData>
  <autoFilter ref="A1:G19" xr:uid="{1B2728D4-9EE1-4CF2-B4BC-635A8103A7A1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2026-04-15T07:06:08Z</dcterms:created>
  <dcterms:modified xsi:type="dcterms:W3CDTF">2026-04-28T10:28:23Z</dcterms:modified>
</cp:coreProperties>
</file>