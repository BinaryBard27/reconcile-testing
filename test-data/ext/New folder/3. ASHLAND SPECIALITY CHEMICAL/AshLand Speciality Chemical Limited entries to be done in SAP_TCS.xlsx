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 (K)\1. Tax and assurance\Capital Land\3. ASHLAND SPECIALITY CHEMICAL\"/>
    </mc:Choice>
  </mc:AlternateContent>
  <xr:revisionPtr revIDLastSave="0" documentId="13_ncr:1_{CEC340B3-0352-47FF-85EA-817F9AA80F7C}" xr6:coauthVersionLast="47" xr6:coauthVersionMax="47" xr10:uidLastSave="{00000000-0000-0000-0000-000000000000}"/>
  <bookViews>
    <workbookView xWindow="-108" yWindow="-108" windowWidth="23256" windowHeight="12576" xr2:uid="{08CFC468-C01E-4E8D-9ECE-339AEB54932C}"/>
  </bookViews>
  <sheets>
    <sheet name="Knocking Off Entries" sheetId="1" r:id="rId1"/>
  </sheets>
  <definedNames>
    <definedName name="_xlnm._FilterDatabase" localSheetId="0" hidden="1">'Knocking Off Entries'!$A$1:$S$102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1" i="1" l="1"/>
  <c r="N101" i="1"/>
  <c r="R100" i="1" l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01" i="1" l="1"/>
  <c r="Q101" i="1"/>
</calcChain>
</file>

<file path=xl/sharedStrings.xml><?xml version="1.0" encoding="utf-8"?>
<sst xmlns="http://schemas.openxmlformats.org/spreadsheetml/2006/main" count="617" uniqueCount="31">
  <si>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</si>
  <si>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</si>
  <si>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</si>
  <si>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</si>
  <si>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</si>
  <si>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</si>
  <si>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</si>
  <si>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</si>
  <si>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</si>
  <si>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</si>
  <si>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</si>
  <si>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</si>
  <si>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</si>
  <si>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</si>
  <si>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</si>
  <si>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</si>
  <si>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</si>
  <si>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USD</t>
  </si>
  <si>
    <t>DR</t>
  </si>
  <si>
    <t>INR</t>
  </si>
  <si>
    <t>Company Code Currency Value</t>
  </si>
  <si>
    <t>Company Code Currency Key</t>
  </si>
  <si>
    <t>NA</t>
  </si>
  <si>
    <t>Exchange gain/loss</t>
  </si>
  <si>
    <t>ASHLAND SPECIALITY CHEMICAL</t>
  </si>
  <si>
    <t>DZ</t>
  </si>
  <si>
    <t/>
  </si>
  <si>
    <t>DG</t>
  </si>
  <si>
    <t>Payment</t>
  </si>
  <si>
    <t>Credit Note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</si>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</sst>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Border="1" applyAlignment="1">
      <alignment vertical="top"/>
    </xf>
    <xf numFmtId="43" fontId="0" fillId="2" borderId="1" xfId="1" applyFont="1" applyFill="1" applyBorder="1" applyAlignment="1">
      <alignment horizontal="left" vertical="top" wrapText="1"/>
    </xf>
    <xf numFmtId="43" fontId="0" fillId="3" borderId="1" xfId="1" applyFont="1" applyFill="1" applyBorder="1" applyAlignment="1">
      <alignment horizontal="left" vertical="top"/>
    </xf>
    <xf numFmtId="43" fontId="0" fillId="0" borderId="0" xfId="1" applyFont="1" applyAlignment="1">
      <alignment horizontal="left" vertical="top"/>
    </xf>
    <xf numFmtId="0" fontId="0" fillId="0" borderId="1" xfId="0" applyNumberFormat="1" applyBorder="1" applyAlignment="1">
      <alignment vertical="top"/>
    </xf>
    <xf numFmtId="164" fontId="0" fillId="0" borderId="1" xfId="1" applyNumberFormat="1" applyFont="1" applyFill="1" applyBorder="1" applyAlignment="1">
      <alignment horizontal="left" vertical="top" wrapText="1"/>
    </xf>
    <xf numFmtId="164" fontId="0" fillId="0" borderId="1" xfId="1" applyNumberFormat="1" applyFont="1" applyFill="1" applyBorder="1" applyAlignment="1">
      <alignment vertical="top" wrapText="1"/>
    </xf>
    <xf numFmtId="164" fontId="0" fillId="3" borderId="1" xfId="1" applyNumberFormat="1" applyFont="1" applyFill="1" applyBorder="1" applyAlignment="1">
      <alignment vertical="top"/>
    </xf>
    <xf numFmtId="164" fontId="0" fillId="3" borderId="1" xfId="1" applyNumberFormat="1" applyFont="1" applyFill="1" applyBorder="1" applyAlignment="1">
      <alignment horizontal="left" vertical="top"/>
    </xf>
    <xf numFmtId="43" fontId="0" fillId="2" borderId="1" xfId="1" applyFont="1" applyFill="1" applyBorder="1" applyAlignment="1">
      <alignment vertical="top" wrapText="1"/>
    </xf>
    <xf numFmtId="43" fontId="0" fillId="3" borderId="1" xfId="1" applyFont="1" applyFill="1" applyBorder="1" applyAlignment="1">
      <alignment vertical="top"/>
    </xf>
    <xf numFmtId="43" fontId="0" fillId="0" borderId="0" xfId="1" applyFont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3" fontId="0" fillId="0" borderId="1" xfId="1" applyFont="1" applyBorder="1" applyAlignment="1">
      <alignment horizontal="right" vertical="top"/>
    </xf>
    <xf numFmtId="14" fontId="0" fillId="0" borderId="1" xfId="0" applyNumberFormat="1" applyBorder="1" applyAlignment="1">
      <alignment vertical="top"/>
    </xf>
    <xf numFmtId="43" fontId="0" fillId="0" borderId="1" xfId="1" applyFon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S201"/>
  <sheetViews>
    <sheetView tabSelected="1" topLeftCell="G85" zoomScale="85" zoomScaleNormal="85" workbookViewId="0">
      <selection activeCell="G104" sqref="G104"/>
    </sheetView>
  </sheetViews>
  <sheetFormatPr defaultColWidth="8.81640625" defaultRowHeight="12.5" x14ac:dyDescent="0.25"/>
  <cols>
    <col min="1" max="1" width="15.54296875" style="3" bestFit="1" customWidth="1"/>
    <col min="2" max="2" width="10.81640625" style="3" bestFit="1" customWidth="1"/>
    <col min="3" max="3" width="25.26953125" style="3" bestFit="1" customWidth="1"/>
    <col min="4" max="4" width="13.36328125" style="3" bestFit="1" customWidth="1"/>
    <col min="5" max="5" width="17.90625" style="3" bestFit="1" customWidth="1"/>
    <col min="6" max="6" width="13.453125" style="3" bestFit="1" customWidth="1"/>
    <col min="7" max="7" width="15.54296875" style="3" bestFit="1" customWidth="1"/>
    <col min="8" max="8" width="11.6328125" style="3" bestFit="1" customWidth="1"/>
    <col min="9" max="9" width="21.6328125" style="3" bestFit="1" customWidth="1"/>
    <col min="10" max="10" width="13" style="3" bestFit="1" customWidth="1"/>
    <col min="11" max="11" width="13.26953125" style="3" bestFit="1" customWidth="1"/>
    <col min="12" max="12" width="15.453125" style="3" bestFit="1" customWidth="1"/>
    <col min="13" max="13" width="20.36328125" style="3" bestFit="1" customWidth="1"/>
    <col min="14" max="14" width="21.81640625" style="18" bestFit="1" customWidth="1"/>
    <col min="15" max="15" width="24.81640625" style="3" bestFit="1" customWidth="1"/>
    <col min="16" max="16" width="26.36328125" style="10" bestFit="1" customWidth="1"/>
    <col min="17" max="17" width="12.54296875" style="10" bestFit="1" customWidth="1"/>
    <col min="18" max="18" width="12.1796875" style="10" bestFit="1" customWidth="1"/>
    <col min="19" max="19" width="16.1796875" style="3" bestFit="1" customWidth="1"/>
    <col min="20" max="20" width="8.81640625" style="7"/>
    <col min="21" max="21" width="9.08984375" style="7" bestFit="1" customWidth="1"/>
    <col min="22" max="16384" width="8.81640625" style="7"/>
  </cols>
  <sheetData>
    <row r="1" spans="1:19" s="3" customFormat="1" ht="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6" t="s">
        <v>13</v>
      </c>
      <c r="O1" s="2" t="s">
        <v>21</v>
      </c>
      <c r="P1" s="8" t="s">
        <v>20</v>
      </c>
      <c r="Q1" s="8" t="s">
        <v>14</v>
      </c>
      <c r="R1" s="8" t="s">
        <v>15</v>
      </c>
      <c r="S1" s="2" t="s">
        <v>16</v>
      </c>
    </row>
    <row r="2" spans="1:19" s="6" customFormat="1" x14ac:dyDescent="0.25">
      <c r="A2" s="19">
        <v>6779</v>
      </c>
      <c r="B2" s="19">
        <v>100222426</v>
      </c>
      <c r="C2" s="19" t="s">
        <v>24</v>
      </c>
      <c r="D2" s="20">
        <v>45891</v>
      </c>
      <c r="E2" s="19">
        <v>1400000999</v>
      </c>
      <c r="F2" s="19" t="s">
        <v>25</v>
      </c>
      <c r="G2" s="20">
        <v>45891</v>
      </c>
      <c r="H2" s="20">
        <v>45891</v>
      </c>
      <c r="I2" s="19" t="s">
        <v>26</v>
      </c>
      <c r="J2" s="11">
        <v>212100</v>
      </c>
      <c r="K2" s="19" t="s">
        <v>26</v>
      </c>
      <c r="L2" s="24"/>
      <c r="M2" s="19" t="s">
        <v>17</v>
      </c>
      <c r="N2" s="21">
        <v>-123953.28</v>
      </c>
      <c r="O2" s="19" t="s">
        <v>19</v>
      </c>
      <c r="P2" s="21">
        <v>-10774244.689999999</v>
      </c>
      <c r="Q2" s="12"/>
      <c r="R2" s="12">
        <f>P2</f>
        <v>-10774244.689999999</v>
      </c>
      <c r="S2" s="13" t="s">
        <v>28</v>
      </c>
    </row>
    <row r="3" spans="1:19" s="6" customFormat="1" x14ac:dyDescent="0.25">
      <c r="A3" s="11">
        <v>6779</v>
      </c>
      <c r="B3" s="11">
        <v>100222426</v>
      </c>
      <c r="C3" s="19" t="s">
        <v>24</v>
      </c>
      <c r="D3" s="22">
        <v>45736</v>
      </c>
      <c r="E3" s="11">
        <v>1800003964</v>
      </c>
      <c r="F3" s="19" t="s">
        <v>18</v>
      </c>
      <c r="G3" s="22">
        <v>45736</v>
      </c>
      <c r="H3" s="22">
        <v>45737</v>
      </c>
      <c r="I3" s="19" t="s">
        <v>22</v>
      </c>
      <c r="J3" s="11">
        <v>212100</v>
      </c>
      <c r="K3" s="19"/>
      <c r="L3" s="24">
        <v>246779413820</v>
      </c>
      <c r="M3" s="19" t="s">
        <v>17</v>
      </c>
      <c r="N3" s="23">
        <v>354</v>
      </c>
      <c r="O3" s="19" t="s">
        <v>19</v>
      </c>
      <c r="P3" s="23">
        <v>30688.71</v>
      </c>
      <c r="Q3" s="12"/>
      <c r="R3" s="12">
        <f t="shared" ref="R3:R23" si="0">P3</f>
        <v>30688.71</v>
      </c>
      <c r="S3" s="25" t="s">
        <v>30</v>
      </c>
    </row>
    <row r="4" spans="1:19" s="6" customFormat="1" x14ac:dyDescent="0.25">
      <c r="A4" s="11">
        <v>6779</v>
      </c>
      <c r="B4" s="11">
        <v>100222426</v>
      </c>
      <c r="C4" s="19" t="s">
        <v>24</v>
      </c>
      <c r="D4" s="22">
        <v>45736</v>
      </c>
      <c r="E4" s="11">
        <v>1800004211</v>
      </c>
      <c r="F4" s="19" t="s">
        <v>18</v>
      </c>
      <c r="G4" s="22">
        <v>45736</v>
      </c>
      <c r="H4" s="22">
        <v>45737</v>
      </c>
      <c r="I4" s="19" t="s">
        <v>22</v>
      </c>
      <c r="J4" s="11">
        <v>212100</v>
      </c>
      <c r="K4" s="19"/>
      <c r="L4" s="24">
        <v>246779414079</v>
      </c>
      <c r="M4" s="19" t="s">
        <v>17</v>
      </c>
      <c r="N4" s="23">
        <v>169.92</v>
      </c>
      <c r="O4" s="19" t="s">
        <v>19</v>
      </c>
      <c r="P4" s="23">
        <v>14730.58</v>
      </c>
      <c r="Q4" s="12"/>
      <c r="R4" s="12">
        <f t="shared" si="0"/>
        <v>14730.58</v>
      </c>
      <c r="S4" s="25" t="s">
        <v>30</v>
      </c>
    </row>
    <row r="5" spans="1:19" s="6" customFormat="1" x14ac:dyDescent="0.25">
      <c r="A5" s="11">
        <v>6779</v>
      </c>
      <c r="B5" s="11">
        <v>100222426</v>
      </c>
      <c r="C5" s="19" t="s">
        <v>24</v>
      </c>
      <c r="D5" s="22">
        <v>45762</v>
      </c>
      <c r="E5" s="11">
        <v>1800006096</v>
      </c>
      <c r="F5" s="19" t="s">
        <v>18</v>
      </c>
      <c r="G5" s="22">
        <v>45762</v>
      </c>
      <c r="H5" s="22">
        <v>45763</v>
      </c>
      <c r="I5" s="19" t="s">
        <v>22</v>
      </c>
      <c r="J5" s="11">
        <v>212100</v>
      </c>
      <c r="K5" s="19"/>
      <c r="L5" s="24">
        <v>256779410987</v>
      </c>
      <c r="M5" s="19" t="s">
        <v>17</v>
      </c>
      <c r="N5" s="23">
        <v>223.67</v>
      </c>
      <c r="O5" s="19" t="s">
        <v>19</v>
      </c>
      <c r="P5" s="23">
        <v>19441.8</v>
      </c>
      <c r="Q5" s="12"/>
      <c r="R5" s="12">
        <f t="shared" si="0"/>
        <v>19441.8</v>
      </c>
      <c r="S5" s="25" t="s">
        <v>30</v>
      </c>
    </row>
    <row r="6" spans="1:19" s="6" customFormat="1" x14ac:dyDescent="0.25">
      <c r="A6" s="11">
        <v>6779</v>
      </c>
      <c r="B6" s="11">
        <v>100222426</v>
      </c>
      <c r="C6" s="19" t="s">
        <v>24</v>
      </c>
      <c r="D6" s="22">
        <v>45762</v>
      </c>
      <c r="E6" s="11">
        <v>1800006092</v>
      </c>
      <c r="F6" s="19" t="s">
        <v>18</v>
      </c>
      <c r="G6" s="22">
        <v>45762</v>
      </c>
      <c r="H6" s="22">
        <v>45763</v>
      </c>
      <c r="I6" s="19" t="s">
        <v>22</v>
      </c>
      <c r="J6" s="11">
        <v>212100</v>
      </c>
      <c r="K6" s="19"/>
      <c r="L6" s="24">
        <v>256779410983</v>
      </c>
      <c r="M6" s="19" t="s">
        <v>17</v>
      </c>
      <c r="N6" s="23">
        <v>392.35</v>
      </c>
      <c r="O6" s="19" t="s">
        <v>19</v>
      </c>
      <c r="P6" s="23">
        <v>34103.78</v>
      </c>
      <c r="Q6" s="12"/>
      <c r="R6" s="12">
        <f t="shared" si="0"/>
        <v>34103.78</v>
      </c>
      <c r="S6" s="25" t="s">
        <v>30</v>
      </c>
    </row>
    <row r="7" spans="1:19" s="6" customFormat="1" x14ac:dyDescent="0.25">
      <c r="A7" s="11">
        <v>6779</v>
      </c>
      <c r="B7" s="11">
        <v>100222426</v>
      </c>
      <c r="C7" s="19" t="s">
        <v>24</v>
      </c>
      <c r="D7" s="22">
        <v>45762</v>
      </c>
      <c r="E7" s="11">
        <v>1800006093</v>
      </c>
      <c r="F7" s="19" t="s">
        <v>18</v>
      </c>
      <c r="G7" s="22">
        <v>45762</v>
      </c>
      <c r="H7" s="22">
        <v>45763</v>
      </c>
      <c r="I7" s="19" t="s">
        <v>22</v>
      </c>
      <c r="J7" s="11">
        <v>212100</v>
      </c>
      <c r="K7" s="19"/>
      <c r="L7" s="24">
        <v>256779410984</v>
      </c>
      <c r="M7" s="19" t="s">
        <v>17</v>
      </c>
      <c r="N7" s="23">
        <v>200.6</v>
      </c>
      <c r="O7" s="19" t="s">
        <v>19</v>
      </c>
      <c r="P7" s="23">
        <v>17436.52</v>
      </c>
      <c r="Q7" s="12"/>
      <c r="R7" s="12">
        <f t="shared" si="0"/>
        <v>17436.52</v>
      </c>
      <c r="S7" s="25" t="s">
        <v>30</v>
      </c>
    </row>
    <row r="8" spans="1:19" s="6" customFormat="1" x14ac:dyDescent="0.25">
      <c r="A8" s="11">
        <v>6779</v>
      </c>
      <c r="B8" s="11">
        <v>100222426</v>
      </c>
      <c r="C8" s="19" t="s">
        <v>24</v>
      </c>
      <c r="D8" s="22">
        <v>45762</v>
      </c>
      <c r="E8" s="11">
        <v>1800006094</v>
      </c>
      <c r="F8" s="19" t="s">
        <v>18</v>
      </c>
      <c r="G8" s="22">
        <v>45762</v>
      </c>
      <c r="H8" s="22">
        <v>45763</v>
      </c>
      <c r="I8" s="19" t="s">
        <v>22</v>
      </c>
      <c r="J8" s="11">
        <v>212100</v>
      </c>
      <c r="K8" s="19"/>
      <c r="L8" s="24">
        <v>256779410985</v>
      </c>
      <c r="M8" s="19" t="s">
        <v>17</v>
      </c>
      <c r="N8" s="23">
        <v>106.2</v>
      </c>
      <c r="O8" s="19" t="s">
        <v>19</v>
      </c>
      <c r="P8" s="23">
        <v>9231.1</v>
      </c>
      <c r="Q8" s="12"/>
      <c r="R8" s="12">
        <f t="shared" si="0"/>
        <v>9231.1</v>
      </c>
      <c r="S8" s="25" t="s">
        <v>30</v>
      </c>
    </row>
    <row r="9" spans="1:19" s="6" customFormat="1" x14ac:dyDescent="0.25">
      <c r="A9" s="11">
        <v>6779</v>
      </c>
      <c r="B9" s="11">
        <v>100222426</v>
      </c>
      <c r="C9" s="19" t="s">
        <v>24</v>
      </c>
      <c r="D9" s="22">
        <v>45762</v>
      </c>
      <c r="E9" s="11">
        <v>1800006095</v>
      </c>
      <c r="F9" s="19" t="s">
        <v>18</v>
      </c>
      <c r="G9" s="22">
        <v>45762</v>
      </c>
      <c r="H9" s="22">
        <v>45763</v>
      </c>
      <c r="I9" s="19" t="s">
        <v>22</v>
      </c>
      <c r="J9" s="11">
        <v>212100</v>
      </c>
      <c r="K9" s="19"/>
      <c r="L9" s="24">
        <v>256779410986</v>
      </c>
      <c r="M9" s="19" t="s">
        <v>17</v>
      </c>
      <c r="N9" s="23">
        <v>82.6</v>
      </c>
      <c r="O9" s="19" t="s">
        <v>19</v>
      </c>
      <c r="P9" s="23">
        <v>7179.74</v>
      </c>
      <c r="Q9" s="12"/>
      <c r="R9" s="12">
        <f t="shared" si="0"/>
        <v>7179.74</v>
      </c>
      <c r="S9" s="25" t="s">
        <v>30</v>
      </c>
    </row>
    <row r="10" spans="1:19" s="6" customFormat="1" x14ac:dyDescent="0.25">
      <c r="A10" s="11">
        <v>6779</v>
      </c>
      <c r="B10" s="11">
        <v>100222426</v>
      </c>
      <c r="C10" s="19" t="s">
        <v>24</v>
      </c>
      <c r="D10" s="22">
        <v>45762</v>
      </c>
      <c r="E10" s="11">
        <v>1800006097</v>
      </c>
      <c r="F10" s="19" t="s">
        <v>18</v>
      </c>
      <c r="G10" s="22">
        <v>45762</v>
      </c>
      <c r="H10" s="22">
        <v>45763</v>
      </c>
      <c r="I10" s="19" t="s">
        <v>22</v>
      </c>
      <c r="J10" s="11">
        <v>212100</v>
      </c>
      <c r="K10" s="19"/>
      <c r="L10" s="24">
        <v>256779410988</v>
      </c>
      <c r="M10" s="19" t="s">
        <v>17</v>
      </c>
      <c r="N10" s="23">
        <v>330.4</v>
      </c>
      <c r="O10" s="19" t="s">
        <v>19</v>
      </c>
      <c r="P10" s="23">
        <v>28718.97</v>
      </c>
      <c r="Q10" s="12"/>
      <c r="R10" s="12">
        <f t="shared" si="0"/>
        <v>28718.97</v>
      </c>
      <c r="S10" s="25" t="s">
        <v>30</v>
      </c>
    </row>
    <row r="11" spans="1:19" s="6" customFormat="1" x14ac:dyDescent="0.25">
      <c r="A11" s="11">
        <v>6779</v>
      </c>
      <c r="B11" s="11">
        <v>100222426</v>
      </c>
      <c r="C11" s="19" t="s">
        <v>24</v>
      </c>
      <c r="D11" s="22">
        <v>45762</v>
      </c>
      <c r="E11" s="11">
        <v>1800006098</v>
      </c>
      <c r="F11" s="19" t="s">
        <v>18</v>
      </c>
      <c r="G11" s="22">
        <v>45762</v>
      </c>
      <c r="H11" s="22">
        <v>45763</v>
      </c>
      <c r="I11" s="19" t="s">
        <v>22</v>
      </c>
      <c r="J11" s="11">
        <v>212100</v>
      </c>
      <c r="K11" s="19"/>
      <c r="L11" s="24">
        <v>256779410989</v>
      </c>
      <c r="M11" s="19" t="s">
        <v>17</v>
      </c>
      <c r="N11" s="23">
        <v>82.6</v>
      </c>
      <c r="O11" s="19" t="s">
        <v>19</v>
      </c>
      <c r="P11" s="23">
        <v>7179.74</v>
      </c>
      <c r="Q11" s="12"/>
      <c r="R11" s="12">
        <f t="shared" si="0"/>
        <v>7179.74</v>
      </c>
      <c r="S11" s="25" t="s">
        <v>30</v>
      </c>
    </row>
    <row r="12" spans="1:19" s="6" customFormat="1" x14ac:dyDescent="0.25">
      <c r="A12" s="11">
        <v>6779</v>
      </c>
      <c r="B12" s="11">
        <v>100222426</v>
      </c>
      <c r="C12" s="19" t="s">
        <v>24</v>
      </c>
      <c r="D12" s="22">
        <v>45762</v>
      </c>
      <c r="E12" s="11">
        <v>1800006099</v>
      </c>
      <c r="F12" s="19" t="s">
        <v>18</v>
      </c>
      <c r="G12" s="22">
        <v>45762</v>
      </c>
      <c r="H12" s="22">
        <v>45763</v>
      </c>
      <c r="I12" s="19" t="s">
        <v>22</v>
      </c>
      <c r="J12" s="11">
        <v>212100</v>
      </c>
      <c r="K12" s="19"/>
      <c r="L12" s="24">
        <v>256779410990</v>
      </c>
      <c r="M12" s="19" t="s">
        <v>17</v>
      </c>
      <c r="N12" s="23">
        <v>194.7</v>
      </c>
      <c r="O12" s="19" t="s">
        <v>19</v>
      </c>
      <c r="P12" s="23">
        <v>16923.68</v>
      </c>
      <c r="Q12" s="12"/>
      <c r="R12" s="12">
        <f t="shared" si="0"/>
        <v>16923.68</v>
      </c>
      <c r="S12" s="25" t="s">
        <v>30</v>
      </c>
    </row>
    <row r="13" spans="1:19" s="6" customFormat="1" x14ac:dyDescent="0.25">
      <c r="A13" s="11">
        <v>6779</v>
      </c>
      <c r="B13" s="11">
        <v>100222426</v>
      </c>
      <c r="C13" s="19" t="s">
        <v>24</v>
      </c>
      <c r="D13" s="22">
        <v>45763</v>
      </c>
      <c r="E13" s="11">
        <v>1800006322</v>
      </c>
      <c r="F13" s="19" t="s">
        <v>18</v>
      </c>
      <c r="G13" s="22">
        <v>45763</v>
      </c>
      <c r="H13" s="22">
        <v>45763</v>
      </c>
      <c r="I13" s="19" t="s">
        <v>22</v>
      </c>
      <c r="J13" s="11">
        <v>212100</v>
      </c>
      <c r="K13" s="19"/>
      <c r="L13" s="24">
        <v>256779411213</v>
      </c>
      <c r="M13" s="19" t="s">
        <v>17</v>
      </c>
      <c r="N13" s="23">
        <v>66.08</v>
      </c>
      <c r="O13" s="19" t="s">
        <v>19</v>
      </c>
      <c r="P13" s="23">
        <v>5743.79</v>
      </c>
      <c r="Q13" s="12"/>
      <c r="R13" s="12">
        <f t="shared" si="0"/>
        <v>5743.79</v>
      </c>
      <c r="S13" s="25" t="s">
        <v>30</v>
      </c>
    </row>
    <row r="14" spans="1:19" s="6" customFormat="1" x14ac:dyDescent="0.25">
      <c r="A14" s="11">
        <v>6779</v>
      </c>
      <c r="B14" s="11">
        <v>100222426</v>
      </c>
      <c r="C14" s="19" t="s">
        <v>24</v>
      </c>
      <c r="D14" s="22">
        <v>45842</v>
      </c>
      <c r="E14" s="11">
        <v>1800010077</v>
      </c>
      <c r="F14" s="19" t="s">
        <v>18</v>
      </c>
      <c r="G14" s="22">
        <v>45842</v>
      </c>
      <c r="H14" s="22">
        <v>45846</v>
      </c>
      <c r="I14" s="19" t="s">
        <v>22</v>
      </c>
      <c r="J14" s="11">
        <v>212100</v>
      </c>
      <c r="K14" s="19"/>
      <c r="L14" s="24">
        <v>256779414841</v>
      </c>
      <c r="M14" s="19" t="s">
        <v>17</v>
      </c>
      <c r="N14" s="23">
        <v>165.16</v>
      </c>
      <c r="O14" s="19" t="s">
        <v>19</v>
      </c>
      <c r="P14" s="23">
        <v>14203.87</v>
      </c>
      <c r="Q14" s="12"/>
      <c r="R14" s="12">
        <f t="shared" si="0"/>
        <v>14203.87</v>
      </c>
      <c r="S14" s="25" t="s">
        <v>30</v>
      </c>
    </row>
    <row r="15" spans="1:19" s="6" customFormat="1" x14ac:dyDescent="0.25">
      <c r="A15" s="11">
        <v>6779</v>
      </c>
      <c r="B15" s="11">
        <v>100222426</v>
      </c>
      <c r="C15" s="19" t="s">
        <v>24</v>
      </c>
      <c r="D15" s="22">
        <v>45729</v>
      </c>
      <c r="E15" s="11">
        <v>1800001388</v>
      </c>
      <c r="F15" s="19" t="s">
        <v>18</v>
      </c>
      <c r="G15" s="22">
        <v>45729</v>
      </c>
      <c r="H15" s="22">
        <v>45731</v>
      </c>
      <c r="I15" s="19" t="s">
        <v>22</v>
      </c>
      <c r="J15" s="11">
        <v>212100</v>
      </c>
      <c r="K15" s="19"/>
      <c r="L15" s="24">
        <v>246779411256</v>
      </c>
      <c r="M15" s="19" t="s">
        <v>17</v>
      </c>
      <c r="N15" s="23">
        <v>220</v>
      </c>
      <c r="O15" s="19" t="s">
        <v>19</v>
      </c>
      <c r="P15" s="23">
        <v>19072.080000000002</v>
      </c>
      <c r="Q15" s="12"/>
      <c r="R15" s="12">
        <f t="shared" si="0"/>
        <v>19072.080000000002</v>
      </c>
      <c r="S15" s="25" t="s">
        <v>30</v>
      </c>
    </row>
    <row r="16" spans="1:19" s="6" customFormat="1" x14ac:dyDescent="0.25">
      <c r="A16" s="11">
        <v>6779</v>
      </c>
      <c r="B16" s="11">
        <v>100222426</v>
      </c>
      <c r="C16" s="19" t="s">
        <v>24</v>
      </c>
      <c r="D16" s="22">
        <v>45736</v>
      </c>
      <c r="E16" s="11">
        <v>1800004212</v>
      </c>
      <c r="F16" s="19" t="s">
        <v>18</v>
      </c>
      <c r="G16" s="22">
        <v>45736</v>
      </c>
      <c r="H16" s="22">
        <v>45737</v>
      </c>
      <c r="I16" s="19" t="s">
        <v>22</v>
      </c>
      <c r="J16" s="11">
        <v>212100</v>
      </c>
      <c r="K16" s="19"/>
      <c r="L16" s="24">
        <v>246779414080</v>
      </c>
      <c r="M16" s="19" t="s">
        <v>17</v>
      </c>
      <c r="N16" s="23">
        <v>519.20000000000005</v>
      </c>
      <c r="O16" s="19" t="s">
        <v>19</v>
      </c>
      <c r="P16" s="23">
        <v>45010.1</v>
      </c>
      <c r="Q16" s="12"/>
      <c r="R16" s="12">
        <f t="shared" si="0"/>
        <v>45010.1</v>
      </c>
      <c r="S16" s="25" t="s">
        <v>30</v>
      </c>
    </row>
    <row r="17" spans="1:19" s="6" customFormat="1" x14ac:dyDescent="0.25">
      <c r="A17" s="11">
        <v>6779</v>
      </c>
      <c r="B17" s="11">
        <v>100222426</v>
      </c>
      <c r="C17" s="19" t="s">
        <v>24</v>
      </c>
      <c r="D17" s="22">
        <v>45729</v>
      </c>
      <c r="E17" s="11">
        <v>1800001441</v>
      </c>
      <c r="F17" s="19" t="s">
        <v>18</v>
      </c>
      <c r="G17" s="22">
        <v>45729</v>
      </c>
      <c r="H17" s="22">
        <v>45733</v>
      </c>
      <c r="I17" s="19" t="s">
        <v>22</v>
      </c>
      <c r="J17" s="11">
        <v>212100</v>
      </c>
      <c r="K17" s="19"/>
      <c r="L17" s="24">
        <v>246779411305</v>
      </c>
      <c r="M17" s="19" t="s">
        <v>17</v>
      </c>
      <c r="N17" s="23">
        <v>135</v>
      </c>
      <c r="O17" s="19" t="s">
        <v>19</v>
      </c>
      <c r="P17" s="23">
        <v>11703.32</v>
      </c>
      <c r="Q17" s="12"/>
      <c r="R17" s="12">
        <f t="shared" si="0"/>
        <v>11703.32</v>
      </c>
      <c r="S17" s="25" t="s">
        <v>30</v>
      </c>
    </row>
    <row r="18" spans="1:19" s="6" customFormat="1" x14ac:dyDescent="0.25">
      <c r="A18" s="11">
        <v>6779</v>
      </c>
      <c r="B18" s="11">
        <v>100222426</v>
      </c>
      <c r="C18" s="19" t="s">
        <v>24</v>
      </c>
      <c r="D18" s="22">
        <v>45736</v>
      </c>
      <c r="E18" s="11">
        <v>1800004475</v>
      </c>
      <c r="F18" s="19" t="s">
        <v>18</v>
      </c>
      <c r="G18" s="22">
        <v>45736</v>
      </c>
      <c r="H18" s="22">
        <v>45737</v>
      </c>
      <c r="I18" s="19" t="s">
        <v>22</v>
      </c>
      <c r="J18" s="11">
        <v>212100</v>
      </c>
      <c r="K18" s="19"/>
      <c r="L18" s="24">
        <v>246779414343</v>
      </c>
      <c r="M18" s="19" t="s">
        <v>17</v>
      </c>
      <c r="N18" s="23">
        <v>118</v>
      </c>
      <c r="O18" s="19" t="s">
        <v>19</v>
      </c>
      <c r="P18" s="23">
        <v>10229.57</v>
      </c>
      <c r="Q18" s="12"/>
      <c r="R18" s="12">
        <f t="shared" si="0"/>
        <v>10229.57</v>
      </c>
      <c r="S18" s="25" t="s">
        <v>30</v>
      </c>
    </row>
    <row r="19" spans="1:19" s="6" customFormat="1" x14ac:dyDescent="0.25">
      <c r="A19" s="11">
        <v>6779</v>
      </c>
      <c r="B19" s="11">
        <v>100222426</v>
      </c>
      <c r="C19" s="19" t="s">
        <v>24</v>
      </c>
      <c r="D19" s="22">
        <v>45736</v>
      </c>
      <c r="E19" s="11">
        <v>1800004473</v>
      </c>
      <c r="F19" s="19" t="s">
        <v>18</v>
      </c>
      <c r="G19" s="22">
        <v>45736</v>
      </c>
      <c r="H19" s="22">
        <v>45737</v>
      </c>
      <c r="I19" s="19" t="s">
        <v>22</v>
      </c>
      <c r="J19" s="11">
        <v>212100</v>
      </c>
      <c r="K19" s="19"/>
      <c r="L19" s="24">
        <v>246779414341</v>
      </c>
      <c r="M19" s="19" t="s">
        <v>17</v>
      </c>
      <c r="N19" s="23">
        <v>761.12</v>
      </c>
      <c r="O19" s="19" t="s">
        <v>19</v>
      </c>
      <c r="P19" s="23">
        <v>65982.45</v>
      </c>
      <c r="Q19" s="12"/>
      <c r="R19" s="12">
        <f t="shared" si="0"/>
        <v>65982.45</v>
      </c>
      <c r="S19" s="25" t="s">
        <v>30</v>
      </c>
    </row>
    <row r="20" spans="1:19" s="6" customFormat="1" x14ac:dyDescent="0.25">
      <c r="A20" s="11">
        <v>6779</v>
      </c>
      <c r="B20" s="11">
        <v>100222426</v>
      </c>
      <c r="C20" s="19" t="s">
        <v>24</v>
      </c>
      <c r="D20" s="22">
        <v>45736</v>
      </c>
      <c r="E20" s="11">
        <v>1800004761</v>
      </c>
      <c r="F20" s="19" t="s">
        <v>18</v>
      </c>
      <c r="G20" s="22">
        <v>45736</v>
      </c>
      <c r="H20" s="22">
        <v>45737</v>
      </c>
      <c r="I20" s="19" t="s">
        <v>22</v>
      </c>
      <c r="J20" s="11">
        <v>212100</v>
      </c>
      <c r="K20" s="19"/>
      <c r="L20" s="24">
        <v>246779414629</v>
      </c>
      <c r="M20" s="19" t="s">
        <v>17</v>
      </c>
      <c r="N20" s="23">
        <v>23.6</v>
      </c>
      <c r="O20" s="19" t="s">
        <v>19</v>
      </c>
      <c r="P20" s="23">
        <v>2045.91</v>
      </c>
      <c r="Q20" s="12"/>
      <c r="R20" s="12">
        <f t="shared" si="0"/>
        <v>2045.91</v>
      </c>
      <c r="S20" s="25" t="s">
        <v>30</v>
      </c>
    </row>
    <row r="21" spans="1:19" s="6" customFormat="1" x14ac:dyDescent="0.25">
      <c r="A21" s="11">
        <v>6779</v>
      </c>
      <c r="B21" s="11">
        <v>100222426</v>
      </c>
      <c r="C21" s="19" t="s">
        <v>24</v>
      </c>
      <c r="D21" s="22">
        <v>45733</v>
      </c>
      <c r="E21" s="11">
        <v>1800002200</v>
      </c>
      <c r="F21" s="19" t="s">
        <v>18</v>
      </c>
      <c r="G21" s="22">
        <v>45733</v>
      </c>
      <c r="H21" s="22">
        <v>45734</v>
      </c>
      <c r="I21" s="19" t="s">
        <v>22</v>
      </c>
      <c r="J21" s="11">
        <v>212100</v>
      </c>
      <c r="K21" s="19"/>
      <c r="L21" s="24">
        <v>246779411865</v>
      </c>
      <c r="M21" s="19" t="s">
        <v>17</v>
      </c>
      <c r="N21" s="23">
        <v>17.75</v>
      </c>
      <c r="O21" s="19" t="s">
        <v>19</v>
      </c>
      <c r="P21" s="23">
        <v>1538.77</v>
      </c>
      <c r="Q21" s="12"/>
      <c r="R21" s="12">
        <f t="shared" si="0"/>
        <v>1538.77</v>
      </c>
      <c r="S21" s="25" t="s">
        <v>30</v>
      </c>
    </row>
    <row r="22" spans="1:19" s="6" customFormat="1" x14ac:dyDescent="0.25">
      <c r="A22" s="11">
        <v>6779</v>
      </c>
      <c r="B22" s="11">
        <v>100222426</v>
      </c>
      <c r="C22" s="19" t="s">
        <v>24</v>
      </c>
      <c r="D22" s="22">
        <v>45733</v>
      </c>
      <c r="E22" s="11">
        <v>1800002201</v>
      </c>
      <c r="F22" s="19" t="s">
        <v>18</v>
      </c>
      <c r="G22" s="22">
        <v>45733</v>
      </c>
      <c r="H22" s="22">
        <v>45734</v>
      </c>
      <c r="I22" s="19" t="s">
        <v>22</v>
      </c>
      <c r="J22" s="11">
        <v>212100</v>
      </c>
      <c r="K22" s="19"/>
      <c r="L22" s="24">
        <v>246779411866</v>
      </c>
      <c r="M22" s="19" t="s">
        <v>17</v>
      </c>
      <c r="N22" s="23">
        <v>17.75</v>
      </c>
      <c r="O22" s="19" t="s">
        <v>19</v>
      </c>
      <c r="P22" s="23">
        <v>1538.77</v>
      </c>
      <c r="Q22" s="12"/>
      <c r="R22" s="12">
        <f t="shared" si="0"/>
        <v>1538.77</v>
      </c>
      <c r="S22" s="25" t="s">
        <v>30</v>
      </c>
    </row>
    <row r="23" spans="1:19" s="6" customFormat="1" x14ac:dyDescent="0.25">
      <c r="A23" s="11">
        <v>6779</v>
      </c>
      <c r="B23" s="11">
        <v>100222426</v>
      </c>
      <c r="C23" s="19" t="s">
        <v>24</v>
      </c>
      <c r="D23" s="22">
        <v>45733</v>
      </c>
      <c r="E23" s="11">
        <v>1800002202</v>
      </c>
      <c r="F23" s="19" t="s">
        <v>18</v>
      </c>
      <c r="G23" s="22">
        <v>45733</v>
      </c>
      <c r="H23" s="22">
        <v>45734</v>
      </c>
      <c r="I23" s="19" t="s">
        <v>22</v>
      </c>
      <c r="J23" s="11">
        <v>212100</v>
      </c>
      <c r="K23" s="19"/>
      <c r="L23" s="24">
        <v>246779411867</v>
      </c>
      <c r="M23" s="19" t="s">
        <v>17</v>
      </c>
      <c r="N23" s="23">
        <v>23.67</v>
      </c>
      <c r="O23" s="19" t="s">
        <v>19</v>
      </c>
      <c r="P23" s="23">
        <v>2051.98</v>
      </c>
      <c r="Q23" s="12"/>
      <c r="R23" s="12">
        <f t="shared" si="0"/>
        <v>2051.98</v>
      </c>
      <c r="S23" s="25" t="s">
        <v>30</v>
      </c>
    </row>
    <row r="24" spans="1:19" s="6" customFormat="1" x14ac:dyDescent="0.25">
      <c r="A24" s="11">
        <v>6779</v>
      </c>
      <c r="B24" s="11">
        <v>100222426</v>
      </c>
      <c r="C24" s="19" t="s">
        <v>24</v>
      </c>
      <c r="D24" s="22">
        <v>45733</v>
      </c>
      <c r="E24" s="11">
        <v>1800002204</v>
      </c>
      <c r="F24" s="19" t="s">
        <v>18</v>
      </c>
      <c r="G24" s="22">
        <v>45733</v>
      </c>
      <c r="H24" s="22">
        <v>45734</v>
      </c>
      <c r="I24" s="19" t="s">
        <v>22</v>
      </c>
      <c r="J24" s="11">
        <v>212100</v>
      </c>
      <c r="K24" s="19"/>
      <c r="L24" s="24">
        <v>246779411869</v>
      </c>
      <c r="M24" s="19" t="s">
        <v>17</v>
      </c>
      <c r="N24" s="23">
        <v>11.84</v>
      </c>
      <c r="O24" s="19" t="s">
        <v>19</v>
      </c>
      <c r="P24" s="23">
        <v>1026.42</v>
      </c>
      <c r="Q24" s="12"/>
      <c r="R24" s="12">
        <f>P24</f>
        <v>1026.42</v>
      </c>
      <c r="S24" s="25" t="s">
        <v>30</v>
      </c>
    </row>
    <row r="25" spans="1:19" s="6" customFormat="1" x14ac:dyDescent="0.25">
      <c r="A25" s="11">
        <v>6779</v>
      </c>
      <c r="B25" s="11">
        <v>100222426</v>
      </c>
      <c r="C25" s="19" t="s">
        <v>24</v>
      </c>
      <c r="D25" s="22">
        <v>45733</v>
      </c>
      <c r="E25" s="11">
        <v>1800002205</v>
      </c>
      <c r="F25" s="19" t="s">
        <v>18</v>
      </c>
      <c r="G25" s="22">
        <v>45733</v>
      </c>
      <c r="H25" s="22">
        <v>45734</v>
      </c>
      <c r="I25" s="19" t="s">
        <v>22</v>
      </c>
      <c r="J25" s="11">
        <v>212100</v>
      </c>
      <c r="K25" s="19"/>
      <c r="L25" s="24">
        <v>246779411870</v>
      </c>
      <c r="M25" s="19" t="s">
        <v>17</v>
      </c>
      <c r="N25" s="23">
        <v>1.18</v>
      </c>
      <c r="O25" s="19" t="s">
        <v>19</v>
      </c>
      <c r="P25" s="23">
        <v>102.3</v>
      </c>
      <c r="Q25" s="12"/>
      <c r="R25" s="12">
        <f>P25</f>
        <v>102.3</v>
      </c>
      <c r="S25" s="25" t="s">
        <v>30</v>
      </c>
    </row>
    <row r="26" spans="1:19" s="6" customFormat="1" x14ac:dyDescent="0.25">
      <c r="A26" s="11">
        <v>6779</v>
      </c>
      <c r="B26" s="11">
        <v>100222426</v>
      </c>
      <c r="C26" s="19" t="s">
        <v>24</v>
      </c>
      <c r="D26" s="22">
        <v>45733</v>
      </c>
      <c r="E26" s="11">
        <v>1800002206</v>
      </c>
      <c r="F26" s="19" t="s">
        <v>18</v>
      </c>
      <c r="G26" s="22">
        <v>45733</v>
      </c>
      <c r="H26" s="22">
        <v>45734</v>
      </c>
      <c r="I26" s="19" t="s">
        <v>22</v>
      </c>
      <c r="J26" s="11">
        <v>212100</v>
      </c>
      <c r="K26" s="19"/>
      <c r="L26" s="24">
        <v>246779411871</v>
      </c>
      <c r="M26" s="19" t="s">
        <v>17</v>
      </c>
      <c r="N26" s="23">
        <v>17.75</v>
      </c>
      <c r="O26" s="19" t="s">
        <v>19</v>
      </c>
      <c r="P26" s="23">
        <v>1538.77</v>
      </c>
      <c r="Q26" s="12"/>
      <c r="R26" s="12">
        <f>P26</f>
        <v>1538.77</v>
      </c>
      <c r="S26" s="25" t="s">
        <v>30</v>
      </c>
    </row>
    <row r="27" spans="1:19" s="6" customFormat="1" x14ac:dyDescent="0.25">
      <c r="A27" s="11">
        <v>6779</v>
      </c>
      <c r="B27" s="11">
        <v>100222426</v>
      </c>
      <c r="C27" s="19" t="s">
        <v>24</v>
      </c>
      <c r="D27" s="22">
        <v>45733</v>
      </c>
      <c r="E27" s="11">
        <v>1800002207</v>
      </c>
      <c r="F27" s="19" t="s">
        <v>18</v>
      </c>
      <c r="G27" s="22">
        <v>45733</v>
      </c>
      <c r="H27" s="22">
        <v>45734</v>
      </c>
      <c r="I27" s="19" t="s">
        <v>22</v>
      </c>
      <c r="J27" s="11">
        <v>212100</v>
      </c>
      <c r="K27" s="19"/>
      <c r="L27" s="24">
        <v>246779411872</v>
      </c>
      <c r="M27" s="19" t="s">
        <v>17</v>
      </c>
      <c r="N27" s="23">
        <v>18.940000000000001</v>
      </c>
      <c r="O27" s="19" t="s">
        <v>19</v>
      </c>
      <c r="P27" s="23">
        <v>1641.93</v>
      </c>
      <c r="Q27" s="12"/>
      <c r="R27" s="12">
        <f>P27</f>
        <v>1641.93</v>
      </c>
      <c r="S27" s="25" t="s">
        <v>30</v>
      </c>
    </row>
    <row r="28" spans="1:19" s="6" customFormat="1" x14ac:dyDescent="0.25">
      <c r="A28" s="11">
        <v>6779</v>
      </c>
      <c r="B28" s="11">
        <v>100222426</v>
      </c>
      <c r="C28" s="19" t="s">
        <v>24</v>
      </c>
      <c r="D28" s="22">
        <v>45733</v>
      </c>
      <c r="E28" s="11">
        <v>1800002208</v>
      </c>
      <c r="F28" s="19" t="s">
        <v>18</v>
      </c>
      <c r="G28" s="22">
        <v>45733</v>
      </c>
      <c r="H28" s="22">
        <v>45734</v>
      </c>
      <c r="I28" s="19" t="s">
        <v>22</v>
      </c>
      <c r="J28" s="11">
        <v>212100</v>
      </c>
      <c r="K28" s="19"/>
      <c r="L28" s="24">
        <v>246779411873</v>
      </c>
      <c r="M28" s="19" t="s">
        <v>17</v>
      </c>
      <c r="N28" s="23">
        <v>16.57</v>
      </c>
      <c r="O28" s="19" t="s">
        <v>19</v>
      </c>
      <c r="P28" s="23">
        <v>1436.47</v>
      </c>
      <c r="Q28" s="12"/>
      <c r="R28" s="12">
        <f>P28</f>
        <v>1436.47</v>
      </c>
      <c r="S28" s="25" t="s">
        <v>30</v>
      </c>
    </row>
    <row r="29" spans="1:19" s="6" customFormat="1" x14ac:dyDescent="0.25">
      <c r="A29" s="11">
        <v>6779</v>
      </c>
      <c r="B29" s="11">
        <v>100222426</v>
      </c>
      <c r="C29" s="19" t="s">
        <v>24</v>
      </c>
      <c r="D29" s="22">
        <v>45729</v>
      </c>
      <c r="E29" s="11">
        <v>1800001430</v>
      </c>
      <c r="F29" s="19" t="s">
        <v>18</v>
      </c>
      <c r="G29" s="22">
        <v>45729</v>
      </c>
      <c r="H29" s="22">
        <v>45733</v>
      </c>
      <c r="I29" s="19" t="s">
        <v>22</v>
      </c>
      <c r="J29" s="11">
        <v>212100</v>
      </c>
      <c r="K29" s="19"/>
      <c r="L29" s="24">
        <v>246779411319</v>
      </c>
      <c r="M29" s="19" t="s">
        <v>17</v>
      </c>
      <c r="N29" s="23">
        <v>120</v>
      </c>
      <c r="O29" s="19" t="s">
        <v>19</v>
      </c>
      <c r="P29" s="23">
        <v>10402.950000000001</v>
      </c>
      <c r="Q29" s="12"/>
      <c r="R29" s="12">
        <f>P29</f>
        <v>10402.950000000001</v>
      </c>
      <c r="S29" s="25" t="s">
        <v>30</v>
      </c>
    </row>
    <row r="30" spans="1:19" s="6" customFormat="1" x14ac:dyDescent="0.25">
      <c r="A30" s="11">
        <v>6779</v>
      </c>
      <c r="B30" s="11">
        <v>100222426</v>
      </c>
      <c r="C30" s="19" t="s">
        <v>24</v>
      </c>
      <c r="D30" s="22">
        <v>45763</v>
      </c>
      <c r="E30" s="11">
        <v>1800006855</v>
      </c>
      <c r="F30" s="19" t="s">
        <v>18</v>
      </c>
      <c r="G30" s="22">
        <v>45763</v>
      </c>
      <c r="H30" s="22">
        <v>45764</v>
      </c>
      <c r="I30" s="19" t="s">
        <v>22</v>
      </c>
      <c r="J30" s="11">
        <v>212100</v>
      </c>
      <c r="K30" s="19"/>
      <c r="L30" s="24">
        <v>256779411746</v>
      </c>
      <c r="M30" s="19" t="s">
        <v>17</v>
      </c>
      <c r="N30" s="23">
        <v>141.6</v>
      </c>
      <c r="O30" s="19" t="s">
        <v>19</v>
      </c>
      <c r="P30" s="23">
        <v>12308.13</v>
      </c>
      <c r="Q30" s="12"/>
      <c r="R30" s="12">
        <f>P30</f>
        <v>12308.13</v>
      </c>
      <c r="S30" s="25" t="s">
        <v>30</v>
      </c>
    </row>
    <row r="31" spans="1:19" s="6" customFormat="1" x14ac:dyDescent="0.25">
      <c r="A31" s="11">
        <v>6779</v>
      </c>
      <c r="B31" s="11">
        <v>100222426</v>
      </c>
      <c r="C31" s="19" t="s">
        <v>24</v>
      </c>
      <c r="D31" s="22">
        <v>45733</v>
      </c>
      <c r="E31" s="11">
        <v>1800001878</v>
      </c>
      <c r="F31" s="19" t="s">
        <v>18</v>
      </c>
      <c r="G31" s="22">
        <v>45733</v>
      </c>
      <c r="H31" s="22">
        <v>45733</v>
      </c>
      <c r="I31" s="19" t="s">
        <v>22</v>
      </c>
      <c r="J31" s="11">
        <v>212100</v>
      </c>
      <c r="K31" s="19"/>
      <c r="L31" s="24">
        <v>246779411543</v>
      </c>
      <c r="M31" s="19" t="s">
        <v>17</v>
      </c>
      <c r="N31" s="23">
        <v>17.899999999999999</v>
      </c>
      <c r="O31" s="19" t="s">
        <v>19</v>
      </c>
      <c r="P31" s="23">
        <v>1551.77</v>
      </c>
      <c r="Q31" s="12"/>
      <c r="R31" s="12">
        <f>P31</f>
        <v>1551.77</v>
      </c>
      <c r="S31" s="25" t="s">
        <v>30</v>
      </c>
    </row>
    <row r="32" spans="1:19" s="6" customFormat="1" x14ac:dyDescent="0.25">
      <c r="A32" s="11">
        <v>6779</v>
      </c>
      <c r="B32" s="11">
        <v>100222426</v>
      </c>
      <c r="C32" s="19" t="s">
        <v>24</v>
      </c>
      <c r="D32" s="22">
        <v>45733</v>
      </c>
      <c r="E32" s="11">
        <v>1800001879</v>
      </c>
      <c r="F32" s="19" t="s">
        <v>18</v>
      </c>
      <c r="G32" s="22">
        <v>45733</v>
      </c>
      <c r="H32" s="22">
        <v>45733</v>
      </c>
      <c r="I32" s="19" t="s">
        <v>22</v>
      </c>
      <c r="J32" s="11">
        <v>212100</v>
      </c>
      <c r="K32" s="19"/>
      <c r="L32" s="24">
        <v>246779411544</v>
      </c>
      <c r="M32" s="19" t="s">
        <v>17</v>
      </c>
      <c r="N32" s="23">
        <v>17.899999999999999</v>
      </c>
      <c r="O32" s="19" t="s">
        <v>19</v>
      </c>
      <c r="P32" s="23">
        <v>1551.77</v>
      </c>
      <c r="Q32" s="12"/>
      <c r="R32" s="12">
        <f>P32</f>
        <v>1551.77</v>
      </c>
      <c r="S32" s="25" t="s">
        <v>30</v>
      </c>
    </row>
    <row r="33" spans="1:19" s="6" customFormat="1" x14ac:dyDescent="0.25">
      <c r="A33" s="11">
        <v>6779</v>
      </c>
      <c r="B33" s="11">
        <v>100222426</v>
      </c>
      <c r="C33" s="19" t="s">
        <v>24</v>
      </c>
      <c r="D33" s="22">
        <v>45733</v>
      </c>
      <c r="E33" s="11">
        <v>1800001880</v>
      </c>
      <c r="F33" s="19" t="s">
        <v>18</v>
      </c>
      <c r="G33" s="22">
        <v>45733</v>
      </c>
      <c r="H33" s="22">
        <v>45733</v>
      </c>
      <c r="I33" s="19" t="s">
        <v>22</v>
      </c>
      <c r="J33" s="11">
        <v>212100</v>
      </c>
      <c r="K33" s="19"/>
      <c r="L33" s="24">
        <v>246779411545</v>
      </c>
      <c r="M33" s="19" t="s">
        <v>17</v>
      </c>
      <c r="N33" s="23">
        <v>38.19</v>
      </c>
      <c r="O33" s="19" t="s">
        <v>19</v>
      </c>
      <c r="P33" s="23">
        <v>3310.74</v>
      </c>
      <c r="Q33" s="12"/>
      <c r="R33" s="12">
        <f>P33</f>
        <v>3310.74</v>
      </c>
      <c r="S33" s="25" t="s">
        <v>30</v>
      </c>
    </row>
    <row r="34" spans="1:19" s="6" customFormat="1" x14ac:dyDescent="0.25">
      <c r="A34" s="11">
        <v>6779</v>
      </c>
      <c r="B34" s="11">
        <v>100222426</v>
      </c>
      <c r="C34" s="19" t="s">
        <v>24</v>
      </c>
      <c r="D34" s="22">
        <v>45729</v>
      </c>
      <c r="E34" s="11">
        <v>1800001454</v>
      </c>
      <c r="F34" s="19" t="s">
        <v>18</v>
      </c>
      <c r="G34" s="22">
        <v>45729</v>
      </c>
      <c r="H34" s="22">
        <v>45733</v>
      </c>
      <c r="I34" s="19" t="s">
        <v>22</v>
      </c>
      <c r="J34" s="11">
        <v>212100</v>
      </c>
      <c r="K34" s="19"/>
      <c r="L34" s="24">
        <v>246779411286</v>
      </c>
      <c r="M34" s="19" t="s">
        <v>17</v>
      </c>
      <c r="N34" s="23">
        <v>670</v>
      </c>
      <c r="O34" s="19" t="s">
        <v>19</v>
      </c>
      <c r="P34" s="23">
        <v>58083.14</v>
      </c>
      <c r="Q34" s="12"/>
      <c r="R34" s="12">
        <f>P34</f>
        <v>58083.14</v>
      </c>
      <c r="S34" s="25" t="s">
        <v>30</v>
      </c>
    </row>
    <row r="35" spans="1:19" s="6" customFormat="1" x14ac:dyDescent="0.25">
      <c r="A35" s="11">
        <v>6779</v>
      </c>
      <c r="B35" s="11">
        <v>100222426</v>
      </c>
      <c r="C35" s="19" t="s">
        <v>24</v>
      </c>
      <c r="D35" s="22">
        <v>45737</v>
      </c>
      <c r="E35" s="11">
        <v>1800004384</v>
      </c>
      <c r="F35" s="19" t="s">
        <v>18</v>
      </c>
      <c r="G35" s="22">
        <v>45737</v>
      </c>
      <c r="H35" s="22">
        <v>45737</v>
      </c>
      <c r="I35" s="19" t="s">
        <v>22</v>
      </c>
      <c r="J35" s="11">
        <v>212100</v>
      </c>
      <c r="K35" s="19"/>
      <c r="L35" s="24">
        <v>246779414252</v>
      </c>
      <c r="M35" s="19" t="s">
        <v>17</v>
      </c>
      <c r="N35" s="23">
        <v>70.8</v>
      </c>
      <c r="O35" s="19" t="s">
        <v>19</v>
      </c>
      <c r="P35" s="23">
        <v>6137.74</v>
      </c>
      <c r="Q35" s="12"/>
      <c r="R35" s="12">
        <f>P35</f>
        <v>6137.74</v>
      </c>
      <c r="S35" s="25" t="s">
        <v>30</v>
      </c>
    </row>
    <row r="36" spans="1:19" s="6" customFormat="1" x14ac:dyDescent="0.25">
      <c r="A36" s="11">
        <v>6779</v>
      </c>
      <c r="B36" s="11">
        <v>100222426</v>
      </c>
      <c r="C36" s="19" t="s">
        <v>24</v>
      </c>
      <c r="D36" s="22">
        <v>45737</v>
      </c>
      <c r="E36" s="11">
        <v>1800004383</v>
      </c>
      <c r="F36" s="19" t="s">
        <v>18</v>
      </c>
      <c r="G36" s="22">
        <v>45737</v>
      </c>
      <c r="H36" s="22">
        <v>45737</v>
      </c>
      <c r="I36" s="19" t="s">
        <v>22</v>
      </c>
      <c r="J36" s="11">
        <v>212100</v>
      </c>
      <c r="K36" s="19"/>
      <c r="L36" s="24">
        <v>246779414251</v>
      </c>
      <c r="M36" s="19" t="s">
        <v>17</v>
      </c>
      <c r="N36" s="23">
        <v>28.32</v>
      </c>
      <c r="O36" s="19" t="s">
        <v>19</v>
      </c>
      <c r="P36" s="23">
        <v>2455.1</v>
      </c>
      <c r="Q36" s="12"/>
      <c r="R36" s="12">
        <f>P36</f>
        <v>2455.1</v>
      </c>
      <c r="S36" s="25" t="s">
        <v>30</v>
      </c>
    </row>
    <row r="37" spans="1:19" s="6" customFormat="1" x14ac:dyDescent="0.25">
      <c r="A37" s="11">
        <v>6779</v>
      </c>
      <c r="B37" s="11">
        <v>100222426</v>
      </c>
      <c r="C37" s="19" t="s">
        <v>24</v>
      </c>
      <c r="D37" s="22">
        <v>45737</v>
      </c>
      <c r="E37" s="11">
        <v>1800004382</v>
      </c>
      <c r="F37" s="19" t="s">
        <v>18</v>
      </c>
      <c r="G37" s="22">
        <v>45737</v>
      </c>
      <c r="H37" s="22">
        <v>45737</v>
      </c>
      <c r="I37" s="19" t="s">
        <v>22</v>
      </c>
      <c r="J37" s="11">
        <v>212100</v>
      </c>
      <c r="K37" s="19"/>
      <c r="L37" s="24">
        <v>246779414250</v>
      </c>
      <c r="M37" s="19" t="s">
        <v>17</v>
      </c>
      <c r="N37" s="23">
        <v>459.91</v>
      </c>
      <c r="O37" s="19" t="s">
        <v>19</v>
      </c>
      <c r="P37" s="23">
        <v>39870.18</v>
      </c>
      <c r="Q37" s="12"/>
      <c r="R37" s="12">
        <f>P37</f>
        <v>39870.18</v>
      </c>
      <c r="S37" s="25" t="s">
        <v>30</v>
      </c>
    </row>
    <row r="38" spans="1:19" s="6" customFormat="1" x14ac:dyDescent="0.25">
      <c r="A38" s="11">
        <v>6779</v>
      </c>
      <c r="B38" s="11">
        <v>100222426</v>
      </c>
      <c r="C38" s="19" t="s">
        <v>24</v>
      </c>
      <c r="D38" s="22">
        <v>45736</v>
      </c>
      <c r="E38" s="11">
        <v>1800004686</v>
      </c>
      <c r="F38" s="19" t="s">
        <v>18</v>
      </c>
      <c r="G38" s="22">
        <v>45736</v>
      </c>
      <c r="H38" s="22">
        <v>45737</v>
      </c>
      <c r="I38" s="19" t="s">
        <v>22</v>
      </c>
      <c r="J38" s="11">
        <v>212100</v>
      </c>
      <c r="K38" s="19"/>
      <c r="L38" s="24">
        <v>246779414554</v>
      </c>
      <c r="M38" s="19" t="s">
        <v>17</v>
      </c>
      <c r="N38" s="23">
        <v>94.4</v>
      </c>
      <c r="O38" s="19" t="s">
        <v>19</v>
      </c>
      <c r="P38" s="23">
        <v>8183.65</v>
      </c>
      <c r="Q38" s="12"/>
      <c r="R38" s="12">
        <f>P38</f>
        <v>8183.65</v>
      </c>
      <c r="S38" s="25" t="s">
        <v>30</v>
      </c>
    </row>
    <row r="39" spans="1:19" s="6" customFormat="1" x14ac:dyDescent="0.25">
      <c r="A39" s="11">
        <v>6779</v>
      </c>
      <c r="B39" s="11">
        <v>100222426</v>
      </c>
      <c r="C39" s="19" t="s">
        <v>24</v>
      </c>
      <c r="D39" s="22">
        <v>45733</v>
      </c>
      <c r="E39" s="11">
        <v>1800001993</v>
      </c>
      <c r="F39" s="19" t="s">
        <v>18</v>
      </c>
      <c r="G39" s="22">
        <v>45733</v>
      </c>
      <c r="H39" s="22">
        <v>45734</v>
      </c>
      <c r="I39" s="19" t="s">
        <v>22</v>
      </c>
      <c r="J39" s="11">
        <v>212100</v>
      </c>
      <c r="K39" s="19"/>
      <c r="L39" s="24">
        <v>246779411658</v>
      </c>
      <c r="M39" s="19" t="s">
        <v>17</v>
      </c>
      <c r="N39" s="23">
        <v>149.84</v>
      </c>
      <c r="O39" s="19" t="s">
        <v>19</v>
      </c>
      <c r="P39" s="23">
        <v>12989.82</v>
      </c>
      <c r="Q39" s="12"/>
      <c r="R39" s="12">
        <f>P39</f>
        <v>12989.82</v>
      </c>
      <c r="S39" s="25" t="s">
        <v>30</v>
      </c>
    </row>
    <row r="40" spans="1:19" s="6" customFormat="1" x14ac:dyDescent="0.25">
      <c r="A40" s="11">
        <v>6779</v>
      </c>
      <c r="B40" s="11">
        <v>100222426</v>
      </c>
      <c r="C40" s="19" t="s">
        <v>24</v>
      </c>
      <c r="D40" s="22">
        <v>45733</v>
      </c>
      <c r="E40" s="11">
        <v>1800001994</v>
      </c>
      <c r="F40" s="19" t="s">
        <v>18</v>
      </c>
      <c r="G40" s="22">
        <v>45733</v>
      </c>
      <c r="H40" s="22">
        <v>45734</v>
      </c>
      <c r="I40" s="19" t="s">
        <v>22</v>
      </c>
      <c r="J40" s="11">
        <v>212100</v>
      </c>
      <c r="K40" s="19"/>
      <c r="L40" s="24">
        <v>246779411659</v>
      </c>
      <c r="M40" s="19" t="s">
        <v>17</v>
      </c>
      <c r="N40" s="23">
        <v>17.84</v>
      </c>
      <c r="O40" s="19" t="s">
        <v>19</v>
      </c>
      <c r="P40" s="23">
        <v>1546.57</v>
      </c>
      <c r="Q40" s="12"/>
      <c r="R40" s="12">
        <f>P40</f>
        <v>1546.57</v>
      </c>
      <c r="S40" s="25" t="s">
        <v>30</v>
      </c>
    </row>
    <row r="41" spans="1:19" s="6" customFormat="1" x14ac:dyDescent="0.25">
      <c r="A41" s="11">
        <v>6779</v>
      </c>
      <c r="B41" s="11">
        <v>100222426</v>
      </c>
      <c r="C41" s="19" t="s">
        <v>24</v>
      </c>
      <c r="D41" s="22">
        <v>45733</v>
      </c>
      <c r="E41" s="11">
        <v>1800001995</v>
      </c>
      <c r="F41" s="19" t="s">
        <v>18</v>
      </c>
      <c r="G41" s="22">
        <v>45733</v>
      </c>
      <c r="H41" s="22">
        <v>45734</v>
      </c>
      <c r="I41" s="19" t="s">
        <v>22</v>
      </c>
      <c r="J41" s="11">
        <v>212100</v>
      </c>
      <c r="K41" s="19"/>
      <c r="L41" s="24">
        <v>246779411660</v>
      </c>
      <c r="M41" s="19" t="s">
        <v>17</v>
      </c>
      <c r="N41" s="23">
        <v>11.89</v>
      </c>
      <c r="O41" s="19" t="s">
        <v>19</v>
      </c>
      <c r="P41" s="23">
        <v>1030.76</v>
      </c>
      <c r="Q41" s="12"/>
      <c r="R41" s="12">
        <f>P41</f>
        <v>1030.76</v>
      </c>
      <c r="S41" s="25" t="s">
        <v>30</v>
      </c>
    </row>
    <row r="42" spans="1:19" s="6" customFormat="1" x14ac:dyDescent="0.25">
      <c r="A42" s="11">
        <v>6779</v>
      </c>
      <c r="B42" s="11">
        <v>100222426</v>
      </c>
      <c r="C42" s="19" t="s">
        <v>24</v>
      </c>
      <c r="D42" s="22">
        <v>45733</v>
      </c>
      <c r="E42" s="11">
        <v>1800001996</v>
      </c>
      <c r="F42" s="19" t="s">
        <v>18</v>
      </c>
      <c r="G42" s="22">
        <v>45733</v>
      </c>
      <c r="H42" s="22">
        <v>45734</v>
      </c>
      <c r="I42" s="19" t="s">
        <v>22</v>
      </c>
      <c r="J42" s="11">
        <v>212100</v>
      </c>
      <c r="K42" s="19"/>
      <c r="L42" s="24">
        <v>246779411661</v>
      </c>
      <c r="M42" s="19" t="s">
        <v>17</v>
      </c>
      <c r="N42" s="23">
        <v>0.95</v>
      </c>
      <c r="O42" s="19" t="s">
        <v>19</v>
      </c>
      <c r="P42" s="23">
        <v>82.36</v>
      </c>
      <c r="Q42" s="12"/>
      <c r="R42" s="12">
        <f>P42</f>
        <v>82.36</v>
      </c>
      <c r="S42" s="25" t="s">
        <v>30</v>
      </c>
    </row>
    <row r="43" spans="1:19" s="6" customFormat="1" x14ac:dyDescent="0.25">
      <c r="A43" s="11">
        <v>6779</v>
      </c>
      <c r="B43" s="11">
        <v>100222426</v>
      </c>
      <c r="C43" s="19" t="s">
        <v>24</v>
      </c>
      <c r="D43" s="22">
        <v>45733</v>
      </c>
      <c r="E43" s="11">
        <v>1800001997</v>
      </c>
      <c r="F43" s="19" t="s">
        <v>18</v>
      </c>
      <c r="G43" s="22">
        <v>45733</v>
      </c>
      <c r="H43" s="22">
        <v>45734</v>
      </c>
      <c r="I43" s="19" t="s">
        <v>22</v>
      </c>
      <c r="J43" s="11">
        <v>212100</v>
      </c>
      <c r="K43" s="19"/>
      <c r="L43" s="24">
        <v>246779411662</v>
      </c>
      <c r="M43" s="19" t="s">
        <v>17</v>
      </c>
      <c r="N43" s="23">
        <v>6.54</v>
      </c>
      <c r="O43" s="19" t="s">
        <v>19</v>
      </c>
      <c r="P43" s="23">
        <v>566.96</v>
      </c>
      <c r="Q43" s="12"/>
      <c r="R43" s="12">
        <f>P43</f>
        <v>566.96</v>
      </c>
      <c r="S43" s="25" t="s">
        <v>30</v>
      </c>
    </row>
    <row r="44" spans="1:19" s="6" customFormat="1" x14ac:dyDescent="0.25">
      <c r="A44" s="11">
        <v>6779</v>
      </c>
      <c r="B44" s="11">
        <v>100222426</v>
      </c>
      <c r="C44" s="19" t="s">
        <v>24</v>
      </c>
      <c r="D44" s="22">
        <v>45733</v>
      </c>
      <c r="E44" s="11">
        <v>1800001998</v>
      </c>
      <c r="F44" s="19" t="s">
        <v>18</v>
      </c>
      <c r="G44" s="22">
        <v>45733</v>
      </c>
      <c r="H44" s="22">
        <v>45734</v>
      </c>
      <c r="I44" s="19" t="s">
        <v>22</v>
      </c>
      <c r="J44" s="11">
        <v>212100</v>
      </c>
      <c r="K44" s="19"/>
      <c r="L44" s="24">
        <v>246779411663</v>
      </c>
      <c r="M44" s="19" t="s">
        <v>17</v>
      </c>
      <c r="N44" s="23">
        <v>66.599999999999994</v>
      </c>
      <c r="O44" s="19" t="s">
        <v>19</v>
      </c>
      <c r="P44" s="23">
        <v>5773.64</v>
      </c>
      <c r="Q44" s="12"/>
      <c r="R44" s="12">
        <f>P44</f>
        <v>5773.64</v>
      </c>
      <c r="S44" s="25" t="s">
        <v>30</v>
      </c>
    </row>
    <row r="45" spans="1:19" s="6" customFormat="1" x14ac:dyDescent="0.25">
      <c r="A45" s="11">
        <v>6779</v>
      </c>
      <c r="B45" s="11">
        <v>100222426</v>
      </c>
      <c r="C45" s="19" t="s">
        <v>24</v>
      </c>
      <c r="D45" s="22">
        <v>45736</v>
      </c>
      <c r="E45" s="11">
        <v>1800004474</v>
      </c>
      <c r="F45" s="19" t="s">
        <v>18</v>
      </c>
      <c r="G45" s="22">
        <v>45736</v>
      </c>
      <c r="H45" s="22">
        <v>45737</v>
      </c>
      <c r="I45" s="19" t="s">
        <v>22</v>
      </c>
      <c r="J45" s="11">
        <v>212100</v>
      </c>
      <c r="K45" s="19"/>
      <c r="L45" s="24">
        <v>246779414342</v>
      </c>
      <c r="M45" s="19" t="s">
        <v>17</v>
      </c>
      <c r="N45" s="23">
        <v>198.24</v>
      </c>
      <c r="O45" s="19" t="s">
        <v>19</v>
      </c>
      <c r="P45" s="23">
        <v>17185.68</v>
      </c>
      <c r="Q45" s="12"/>
      <c r="R45" s="12">
        <f>P45</f>
        <v>17185.68</v>
      </c>
      <c r="S45" s="25" t="s">
        <v>30</v>
      </c>
    </row>
    <row r="46" spans="1:19" s="6" customFormat="1" x14ac:dyDescent="0.25">
      <c r="A46" s="11">
        <v>6779</v>
      </c>
      <c r="B46" s="11">
        <v>100222426</v>
      </c>
      <c r="C46" s="19" t="s">
        <v>24</v>
      </c>
      <c r="D46" s="22">
        <v>45763</v>
      </c>
      <c r="E46" s="11">
        <v>1800006854</v>
      </c>
      <c r="F46" s="19" t="s">
        <v>18</v>
      </c>
      <c r="G46" s="22">
        <v>45763</v>
      </c>
      <c r="H46" s="22">
        <v>45764</v>
      </c>
      <c r="I46" s="19" t="s">
        <v>22</v>
      </c>
      <c r="J46" s="11">
        <v>212100</v>
      </c>
      <c r="K46" s="19"/>
      <c r="L46" s="24">
        <v>256779411745</v>
      </c>
      <c r="M46" s="19" t="s">
        <v>17</v>
      </c>
      <c r="N46" s="23">
        <v>169.92</v>
      </c>
      <c r="O46" s="19" t="s">
        <v>19</v>
      </c>
      <c r="P46" s="23">
        <v>14769.76</v>
      </c>
      <c r="Q46" s="12"/>
      <c r="R46" s="12">
        <f>P46</f>
        <v>14769.76</v>
      </c>
      <c r="S46" s="25" t="s">
        <v>30</v>
      </c>
    </row>
    <row r="47" spans="1:19" s="6" customFormat="1" x14ac:dyDescent="0.25">
      <c r="A47" s="11">
        <v>6779</v>
      </c>
      <c r="B47" s="11">
        <v>100222426</v>
      </c>
      <c r="C47" s="19" t="s">
        <v>24</v>
      </c>
      <c r="D47" s="22">
        <v>45763</v>
      </c>
      <c r="E47" s="11">
        <v>1800006940</v>
      </c>
      <c r="F47" s="19" t="s">
        <v>18</v>
      </c>
      <c r="G47" s="22">
        <v>45763</v>
      </c>
      <c r="H47" s="22">
        <v>45764</v>
      </c>
      <c r="I47" s="19" t="s">
        <v>22</v>
      </c>
      <c r="J47" s="11">
        <v>212100</v>
      </c>
      <c r="K47" s="19"/>
      <c r="L47" s="24">
        <v>256779411831</v>
      </c>
      <c r="M47" s="19" t="s">
        <v>17</v>
      </c>
      <c r="N47" s="23">
        <v>23.6</v>
      </c>
      <c r="O47" s="19" t="s">
        <v>19</v>
      </c>
      <c r="P47" s="23">
        <v>2051.35</v>
      </c>
      <c r="Q47" s="12"/>
      <c r="R47" s="12">
        <f>P47</f>
        <v>2051.35</v>
      </c>
      <c r="S47" s="25" t="s">
        <v>30</v>
      </c>
    </row>
    <row r="48" spans="1:19" s="6" customFormat="1" x14ac:dyDescent="0.25">
      <c r="A48" s="11">
        <v>6779</v>
      </c>
      <c r="B48" s="11">
        <v>100222426</v>
      </c>
      <c r="C48" s="19" t="s">
        <v>24</v>
      </c>
      <c r="D48" s="22">
        <v>45733</v>
      </c>
      <c r="E48" s="11">
        <v>1800002332</v>
      </c>
      <c r="F48" s="19" t="s">
        <v>18</v>
      </c>
      <c r="G48" s="22">
        <v>45733</v>
      </c>
      <c r="H48" s="22">
        <v>45734</v>
      </c>
      <c r="I48" s="19" t="s">
        <v>22</v>
      </c>
      <c r="J48" s="11">
        <v>212100</v>
      </c>
      <c r="K48" s="19"/>
      <c r="L48" s="24">
        <v>246779411997</v>
      </c>
      <c r="M48" s="19" t="s">
        <v>17</v>
      </c>
      <c r="N48" s="23">
        <v>23.36</v>
      </c>
      <c r="O48" s="19" t="s">
        <v>19</v>
      </c>
      <c r="P48" s="23">
        <v>2025.11</v>
      </c>
      <c r="Q48" s="12"/>
      <c r="R48" s="12">
        <f>P48</f>
        <v>2025.11</v>
      </c>
      <c r="S48" s="25" t="s">
        <v>30</v>
      </c>
    </row>
    <row r="49" spans="1:19" s="6" customFormat="1" x14ac:dyDescent="0.25">
      <c r="A49" s="11">
        <v>6779</v>
      </c>
      <c r="B49" s="11">
        <v>100222426</v>
      </c>
      <c r="C49" s="19" t="s">
        <v>24</v>
      </c>
      <c r="D49" s="22">
        <v>45733</v>
      </c>
      <c r="E49" s="11">
        <v>1800002333</v>
      </c>
      <c r="F49" s="19" t="s">
        <v>18</v>
      </c>
      <c r="G49" s="22">
        <v>45733</v>
      </c>
      <c r="H49" s="22">
        <v>45734</v>
      </c>
      <c r="I49" s="19" t="s">
        <v>22</v>
      </c>
      <c r="J49" s="11">
        <v>212100</v>
      </c>
      <c r="K49" s="19"/>
      <c r="L49" s="24">
        <v>246779411998</v>
      </c>
      <c r="M49" s="19" t="s">
        <v>17</v>
      </c>
      <c r="N49" s="23">
        <v>25.69</v>
      </c>
      <c r="O49" s="19" t="s">
        <v>19</v>
      </c>
      <c r="P49" s="23">
        <v>2227.1</v>
      </c>
      <c r="Q49" s="12"/>
      <c r="R49" s="12">
        <f>P49</f>
        <v>2227.1</v>
      </c>
      <c r="S49" s="25" t="s">
        <v>30</v>
      </c>
    </row>
    <row r="50" spans="1:19" s="6" customFormat="1" x14ac:dyDescent="0.25">
      <c r="A50" s="11">
        <v>6779</v>
      </c>
      <c r="B50" s="11">
        <v>100222426</v>
      </c>
      <c r="C50" s="19" t="s">
        <v>24</v>
      </c>
      <c r="D50" s="22">
        <v>45733</v>
      </c>
      <c r="E50" s="11">
        <v>1800002334</v>
      </c>
      <c r="F50" s="19" t="s">
        <v>18</v>
      </c>
      <c r="G50" s="22">
        <v>45733</v>
      </c>
      <c r="H50" s="22">
        <v>45734</v>
      </c>
      <c r="I50" s="19" t="s">
        <v>22</v>
      </c>
      <c r="J50" s="11">
        <v>212100</v>
      </c>
      <c r="K50" s="19"/>
      <c r="L50" s="24">
        <v>246779411999</v>
      </c>
      <c r="M50" s="19" t="s">
        <v>17</v>
      </c>
      <c r="N50" s="23">
        <v>6.42</v>
      </c>
      <c r="O50" s="19" t="s">
        <v>19</v>
      </c>
      <c r="P50" s="23">
        <v>556.55999999999995</v>
      </c>
      <c r="Q50" s="12"/>
      <c r="R50" s="12">
        <f>P50</f>
        <v>556.55999999999995</v>
      </c>
      <c r="S50" s="25" t="s">
        <v>30</v>
      </c>
    </row>
    <row r="51" spans="1:19" s="6" customFormat="1" x14ac:dyDescent="0.25">
      <c r="A51" s="11">
        <v>6779</v>
      </c>
      <c r="B51" s="11">
        <v>100222426</v>
      </c>
      <c r="C51" s="19" t="s">
        <v>24</v>
      </c>
      <c r="D51" s="22">
        <v>45729</v>
      </c>
      <c r="E51" s="11">
        <v>1800001417</v>
      </c>
      <c r="F51" s="19" t="s">
        <v>18</v>
      </c>
      <c r="G51" s="22">
        <v>45729</v>
      </c>
      <c r="H51" s="22">
        <v>45733</v>
      </c>
      <c r="I51" s="19" t="s">
        <v>22</v>
      </c>
      <c r="J51" s="11">
        <v>212100</v>
      </c>
      <c r="K51" s="19"/>
      <c r="L51" s="24">
        <v>246779411330</v>
      </c>
      <c r="M51" s="19" t="s">
        <v>17</v>
      </c>
      <c r="N51" s="23">
        <v>85</v>
      </c>
      <c r="O51" s="19" t="s">
        <v>19</v>
      </c>
      <c r="P51" s="23">
        <v>7368.76</v>
      </c>
      <c r="Q51" s="12"/>
      <c r="R51" s="12">
        <f>P51</f>
        <v>7368.76</v>
      </c>
      <c r="S51" s="25" t="s">
        <v>30</v>
      </c>
    </row>
    <row r="52" spans="1:19" s="6" customFormat="1" x14ac:dyDescent="0.25">
      <c r="A52" s="11">
        <v>6779</v>
      </c>
      <c r="B52" s="11">
        <v>100222426</v>
      </c>
      <c r="C52" s="19" t="s">
        <v>24</v>
      </c>
      <c r="D52" s="22">
        <v>45736</v>
      </c>
      <c r="E52" s="11">
        <v>1800004554</v>
      </c>
      <c r="F52" s="19" t="s">
        <v>18</v>
      </c>
      <c r="G52" s="22">
        <v>45736</v>
      </c>
      <c r="H52" s="22">
        <v>45737</v>
      </c>
      <c r="I52" s="19" t="s">
        <v>22</v>
      </c>
      <c r="J52" s="11">
        <v>212100</v>
      </c>
      <c r="K52" s="19"/>
      <c r="L52" s="24">
        <v>246779414422</v>
      </c>
      <c r="M52" s="19" t="s">
        <v>17</v>
      </c>
      <c r="N52" s="23">
        <v>520.44000000000005</v>
      </c>
      <c r="O52" s="19" t="s">
        <v>19</v>
      </c>
      <c r="P52" s="23">
        <v>45117.599999999999</v>
      </c>
      <c r="Q52" s="12"/>
      <c r="R52" s="12">
        <f>P52</f>
        <v>45117.599999999999</v>
      </c>
      <c r="S52" s="25" t="s">
        <v>30</v>
      </c>
    </row>
    <row r="53" spans="1:19" s="6" customFormat="1" x14ac:dyDescent="0.25">
      <c r="A53" s="11">
        <v>6779</v>
      </c>
      <c r="B53" s="11">
        <v>100222426</v>
      </c>
      <c r="C53" s="19" t="s">
        <v>24</v>
      </c>
      <c r="D53" s="22">
        <v>45736</v>
      </c>
      <c r="E53" s="11">
        <v>1800004556</v>
      </c>
      <c r="F53" s="19" t="s">
        <v>18</v>
      </c>
      <c r="G53" s="22">
        <v>45736</v>
      </c>
      <c r="H53" s="22">
        <v>45737</v>
      </c>
      <c r="I53" s="19" t="s">
        <v>22</v>
      </c>
      <c r="J53" s="11">
        <v>212100</v>
      </c>
      <c r="K53" s="19"/>
      <c r="L53" s="24">
        <v>246779414424</v>
      </c>
      <c r="M53" s="19" t="s">
        <v>17</v>
      </c>
      <c r="N53" s="23">
        <v>118</v>
      </c>
      <c r="O53" s="19" t="s">
        <v>19</v>
      </c>
      <c r="P53" s="23">
        <v>10229.57</v>
      </c>
      <c r="Q53" s="12"/>
      <c r="R53" s="12">
        <f>P53</f>
        <v>10229.57</v>
      </c>
      <c r="S53" s="25" t="s">
        <v>30</v>
      </c>
    </row>
    <row r="54" spans="1:19" s="6" customFormat="1" x14ac:dyDescent="0.25">
      <c r="A54" s="11">
        <v>6779</v>
      </c>
      <c r="B54" s="11">
        <v>100222426</v>
      </c>
      <c r="C54" s="19" t="s">
        <v>24</v>
      </c>
      <c r="D54" s="22">
        <v>45736</v>
      </c>
      <c r="E54" s="11">
        <v>1800004555</v>
      </c>
      <c r="F54" s="19" t="s">
        <v>18</v>
      </c>
      <c r="G54" s="22">
        <v>45736</v>
      </c>
      <c r="H54" s="22">
        <v>45737</v>
      </c>
      <c r="I54" s="19" t="s">
        <v>22</v>
      </c>
      <c r="J54" s="11">
        <v>212100</v>
      </c>
      <c r="K54" s="19"/>
      <c r="L54" s="24">
        <v>246779414423</v>
      </c>
      <c r="M54" s="19" t="s">
        <v>17</v>
      </c>
      <c r="N54" s="23">
        <v>420</v>
      </c>
      <c r="O54" s="19" t="s">
        <v>19</v>
      </c>
      <c r="P54" s="23">
        <v>36410.33</v>
      </c>
      <c r="Q54" s="12"/>
      <c r="R54" s="12">
        <f>P54</f>
        <v>36410.33</v>
      </c>
      <c r="S54" s="25" t="s">
        <v>30</v>
      </c>
    </row>
    <row r="55" spans="1:19" s="6" customFormat="1" x14ac:dyDescent="0.25">
      <c r="A55" s="11">
        <v>6779</v>
      </c>
      <c r="B55" s="11">
        <v>100222426</v>
      </c>
      <c r="C55" s="19" t="s">
        <v>24</v>
      </c>
      <c r="D55" s="22">
        <v>45736</v>
      </c>
      <c r="E55" s="11">
        <v>1800004144</v>
      </c>
      <c r="F55" s="19" t="s">
        <v>18</v>
      </c>
      <c r="G55" s="22">
        <v>45736</v>
      </c>
      <c r="H55" s="22">
        <v>45737</v>
      </c>
      <c r="I55" s="19" t="s">
        <v>22</v>
      </c>
      <c r="J55" s="11">
        <v>212100</v>
      </c>
      <c r="K55" s="19"/>
      <c r="L55" s="24">
        <v>246779414012</v>
      </c>
      <c r="M55" s="19" t="s">
        <v>17</v>
      </c>
      <c r="N55" s="23">
        <v>72.89</v>
      </c>
      <c r="O55" s="19" t="s">
        <v>19</v>
      </c>
      <c r="P55" s="23">
        <v>6318.93</v>
      </c>
      <c r="Q55" s="12"/>
      <c r="R55" s="12">
        <f>P55</f>
        <v>6318.93</v>
      </c>
      <c r="S55" s="25" t="s">
        <v>30</v>
      </c>
    </row>
    <row r="56" spans="1:19" s="6" customFormat="1" x14ac:dyDescent="0.25">
      <c r="A56" s="11">
        <v>6779</v>
      </c>
      <c r="B56" s="11">
        <v>100222426</v>
      </c>
      <c r="C56" s="19" t="s">
        <v>24</v>
      </c>
      <c r="D56" s="22">
        <v>45736</v>
      </c>
      <c r="E56" s="11">
        <v>1800004145</v>
      </c>
      <c r="F56" s="19" t="s">
        <v>18</v>
      </c>
      <c r="G56" s="22">
        <v>45736</v>
      </c>
      <c r="H56" s="22">
        <v>45737</v>
      </c>
      <c r="I56" s="19" t="s">
        <v>22</v>
      </c>
      <c r="J56" s="11">
        <v>212100</v>
      </c>
      <c r="K56" s="19"/>
      <c r="L56" s="24">
        <v>246779414013</v>
      </c>
      <c r="M56" s="19" t="s">
        <v>17</v>
      </c>
      <c r="N56" s="23">
        <v>81.040000000000006</v>
      </c>
      <c r="O56" s="19" t="s">
        <v>19</v>
      </c>
      <c r="P56" s="23">
        <v>7025.46</v>
      </c>
      <c r="Q56" s="12"/>
      <c r="R56" s="12">
        <f>P56</f>
        <v>7025.46</v>
      </c>
      <c r="S56" s="25" t="s">
        <v>30</v>
      </c>
    </row>
    <row r="57" spans="1:19" s="6" customFormat="1" x14ac:dyDescent="0.25">
      <c r="A57" s="11">
        <v>6779</v>
      </c>
      <c r="B57" s="11">
        <v>100222426</v>
      </c>
      <c r="C57" s="19" t="s">
        <v>24</v>
      </c>
      <c r="D57" s="22">
        <v>45736</v>
      </c>
      <c r="E57" s="11">
        <v>1800004551</v>
      </c>
      <c r="F57" s="19" t="s">
        <v>18</v>
      </c>
      <c r="G57" s="22">
        <v>45736</v>
      </c>
      <c r="H57" s="22">
        <v>45737</v>
      </c>
      <c r="I57" s="19" t="s">
        <v>22</v>
      </c>
      <c r="J57" s="11">
        <v>212100</v>
      </c>
      <c r="K57" s="19"/>
      <c r="L57" s="24">
        <v>246779414419</v>
      </c>
      <c r="M57" s="19" t="s">
        <v>17</v>
      </c>
      <c r="N57" s="23">
        <v>1003.1</v>
      </c>
      <c r="O57" s="19" t="s">
        <v>19</v>
      </c>
      <c r="P57" s="23">
        <v>86960</v>
      </c>
      <c r="Q57" s="12"/>
      <c r="R57" s="12">
        <f>P57</f>
        <v>86960</v>
      </c>
      <c r="S57" s="25" t="s">
        <v>30</v>
      </c>
    </row>
    <row r="58" spans="1:19" s="6" customFormat="1" x14ac:dyDescent="0.25">
      <c r="A58" s="11">
        <v>6779</v>
      </c>
      <c r="B58" s="11">
        <v>100222426</v>
      </c>
      <c r="C58" s="19" t="s">
        <v>24</v>
      </c>
      <c r="D58" s="22">
        <v>45736</v>
      </c>
      <c r="E58" s="11">
        <v>1800004553</v>
      </c>
      <c r="F58" s="19" t="s">
        <v>18</v>
      </c>
      <c r="G58" s="22">
        <v>45736</v>
      </c>
      <c r="H58" s="22">
        <v>45737</v>
      </c>
      <c r="I58" s="19" t="s">
        <v>22</v>
      </c>
      <c r="J58" s="11">
        <v>212100</v>
      </c>
      <c r="K58" s="19"/>
      <c r="L58" s="24">
        <v>246779414421</v>
      </c>
      <c r="M58" s="19" t="s">
        <v>17</v>
      </c>
      <c r="N58" s="23">
        <v>169.92</v>
      </c>
      <c r="O58" s="19" t="s">
        <v>19</v>
      </c>
      <c r="P58" s="23">
        <v>14730.58</v>
      </c>
      <c r="Q58" s="12"/>
      <c r="R58" s="12">
        <f>P58</f>
        <v>14730.58</v>
      </c>
      <c r="S58" s="25" t="s">
        <v>30</v>
      </c>
    </row>
    <row r="59" spans="1:19" s="6" customFormat="1" x14ac:dyDescent="0.25">
      <c r="A59" s="11">
        <v>6779</v>
      </c>
      <c r="B59" s="11">
        <v>100222426</v>
      </c>
      <c r="C59" s="19" t="s">
        <v>24</v>
      </c>
      <c r="D59" s="22">
        <v>45736</v>
      </c>
      <c r="E59" s="11">
        <v>1800004552</v>
      </c>
      <c r="F59" s="19" t="s">
        <v>18</v>
      </c>
      <c r="G59" s="22">
        <v>45736</v>
      </c>
      <c r="H59" s="22">
        <v>45737</v>
      </c>
      <c r="I59" s="19" t="s">
        <v>22</v>
      </c>
      <c r="J59" s="11">
        <v>212100</v>
      </c>
      <c r="K59" s="19"/>
      <c r="L59" s="24">
        <v>246779414420</v>
      </c>
      <c r="M59" s="19" t="s">
        <v>17</v>
      </c>
      <c r="N59" s="23">
        <v>212.4</v>
      </c>
      <c r="O59" s="19" t="s">
        <v>19</v>
      </c>
      <c r="P59" s="23">
        <v>18413.22</v>
      </c>
      <c r="Q59" s="12"/>
      <c r="R59" s="12">
        <f>P59</f>
        <v>18413.22</v>
      </c>
      <c r="S59" s="25" t="s">
        <v>30</v>
      </c>
    </row>
    <row r="60" spans="1:19" s="6" customFormat="1" x14ac:dyDescent="0.25">
      <c r="A60" s="11">
        <v>6779</v>
      </c>
      <c r="B60" s="11">
        <v>100222426</v>
      </c>
      <c r="C60" s="19" t="s">
        <v>24</v>
      </c>
      <c r="D60" s="22">
        <v>45736</v>
      </c>
      <c r="E60" s="11">
        <v>1800004837</v>
      </c>
      <c r="F60" s="19" t="s">
        <v>18</v>
      </c>
      <c r="G60" s="22">
        <v>45736</v>
      </c>
      <c r="H60" s="22">
        <v>45737</v>
      </c>
      <c r="I60" s="19" t="s">
        <v>22</v>
      </c>
      <c r="J60" s="11">
        <v>212100</v>
      </c>
      <c r="K60" s="19"/>
      <c r="L60" s="24">
        <v>246779414705</v>
      </c>
      <c r="M60" s="19" t="s">
        <v>17</v>
      </c>
      <c r="N60" s="23">
        <v>218.93</v>
      </c>
      <c r="O60" s="19" t="s">
        <v>19</v>
      </c>
      <c r="P60" s="23">
        <v>18979.32</v>
      </c>
      <c r="Q60" s="12"/>
      <c r="R60" s="12">
        <f>P60</f>
        <v>18979.32</v>
      </c>
      <c r="S60" s="25" t="s">
        <v>30</v>
      </c>
    </row>
    <row r="61" spans="1:19" s="6" customFormat="1" x14ac:dyDescent="0.25">
      <c r="A61" s="11">
        <v>6779</v>
      </c>
      <c r="B61" s="11">
        <v>100222426</v>
      </c>
      <c r="C61" s="19" t="s">
        <v>24</v>
      </c>
      <c r="D61" s="22">
        <v>45763</v>
      </c>
      <c r="E61" s="11">
        <v>1800007103</v>
      </c>
      <c r="F61" s="19" t="s">
        <v>18</v>
      </c>
      <c r="G61" s="22">
        <v>45763</v>
      </c>
      <c r="H61" s="22">
        <v>45764</v>
      </c>
      <c r="I61" s="19" t="s">
        <v>22</v>
      </c>
      <c r="J61" s="11">
        <v>212100</v>
      </c>
      <c r="K61" s="19"/>
      <c r="L61" s="24">
        <v>256779411994</v>
      </c>
      <c r="M61" s="19" t="s">
        <v>17</v>
      </c>
      <c r="N61" s="23">
        <v>146.81</v>
      </c>
      <c r="O61" s="19" t="s">
        <v>19</v>
      </c>
      <c r="P61" s="23">
        <v>12760.99</v>
      </c>
      <c r="Q61" s="12"/>
      <c r="R61" s="12">
        <f>P61</f>
        <v>12760.99</v>
      </c>
      <c r="S61" s="25" t="s">
        <v>30</v>
      </c>
    </row>
    <row r="62" spans="1:19" s="6" customFormat="1" x14ac:dyDescent="0.25">
      <c r="A62" s="11">
        <v>6779</v>
      </c>
      <c r="B62" s="11">
        <v>100222426</v>
      </c>
      <c r="C62" s="19" t="s">
        <v>24</v>
      </c>
      <c r="D62" s="22">
        <v>45736</v>
      </c>
      <c r="E62" s="11">
        <v>1800003977</v>
      </c>
      <c r="F62" s="19" t="s">
        <v>18</v>
      </c>
      <c r="G62" s="22">
        <v>45736</v>
      </c>
      <c r="H62" s="22">
        <v>45737</v>
      </c>
      <c r="I62" s="19" t="s">
        <v>22</v>
      </c>
      <c r="J62" s="11">
        <v>212100</v>
      </c>
      <c r="K62" s="19"/>
      <c r="L62" s="24">
        <v>246779413833</v>
      </c>
      <c r="M62" s="19" t="s">
        <v>17</v>
      </c>
      <c r="N62" s="23">
        <v>346.96</v>
      </c>
      <c r="O62" s="19" t="s">
        <v>19</v>
      </c>
      <c r="P62" s="23">
        <v>30078.400000000001</v>
      </c>
      <c r="Q62" s="12"/>
      <c r="R62" s="12">
        <f>P62</f>
        <v>30078.400000000001</v>
      </c>
      <c r="S62" s="25" t="s">
        <v>30</v>
      </c>
    </row>
    <row r="63" spans="1:19" s="6" customFormat="1" x14ac:dyDescent="0.25">
      <c r="A63" s="11">
        <v>6779</v>
      </c>
      <c r="B63" s="11">
        <v>100222426</v>
      </c>
      <c r="C63" s="19" t="s">
        <v>24</v>
      </c>
      <c r="D63" s="22">
        <v>45736</v>
      </c>
      <c r="E63" s="11">
        <v>1800004210</v>
      </c>
      <c r="F63" s="19" t="s">
        <v>18</v>
      </c>
      <c r="G63" s="22">
        <v>45736</v>
      </c>
      <c r="H63" s="22">
        <v>45737</v>
      </c>
      <c r="I63" s="19" t="s">
        <v>22</v>
      </c>
      <c r="J63" s="11">
        <v>212100</v>
      </c>
      <c r="K63" s="19"/>
      <c r="L63" s="24">
        <v>246779414078</v>
      </c>
      <c r="M63" s="19" t="s">
        <v>17</v>
      </c>
      <c r="N63" s="23">
        <v>3021.49</v>
      </c>
      <c r="O63" s="19" t="s">
        <v>19</v>
      </c>
      <c r="P63" s="23">
        <v>261936.78</v>
      </c>
      <c r="Q63" s="12"/>
      <c r="R63" s="12">
        <f>P63</f>
        <v>261936.78</v>
      </c>
      <c r="S63" s="25" t="s">
        <v>30</v>
      </c>
    </row>
    <row r="64" spans="1:19" s="6" customFormat="1" x14ac:dyDescent="0.25">
      <c r="A64" s="11">
        <v>6779</v>
      </c>
      <c r="B64" s="11">
        <v>100222426</v>
      </c>
      <c r="C64" s="19" t="s">
        <v>24</v>
      </c>
      <c r="D64" s="22">
        <v>45736</v>
      </c>
      <c r="E64" s="11">
        <v>1800004836</v>
      </c>
      <c r="F64" s="19" t="s">
        <v>18</v>
      </c>
      <c r="G64" s="22">
        <v>45736</v>
      </c>
      <c r="H64" s="22">
        <v>45737</v>
      </c>
      <c r="I64" s="19" t="s">
        <v>22</v>
      </c>
      <c r="J64" s="11">
        <v>212100</v>
      </c>
      <c r="K64" s="19"/>
      <c r="L64" s="24">
        <v>246779414704</v>
      </c>
      <c r="M64" s="19" t="s">
        <v>17</v>
      </c>
      <c r="N64" s="23">
        <v>768.32</v>
      </c>
      <c r="O64" s="19" t="s">
        <v>19</v>
      </c>
      <c r="P64" s="23">
        <v>66606.63</v>
      </c>
      <c r="Q64" s="12"/>
      <c r="R64" s="12">
        <f>P64</f>
        <v>66606.63</v>
      </c>
      <c r="S64" s="25" t="s">
        <v>30</v>
      </c>
    </row>
    <row r="65" spans="1:19" s="6" customFormat="1" x14ac:dyDescent="0.25">
      <c r="A65" s="11">
        <v>6779</v>
      </c>
      <c r="B65" s="11">
        <v>100222426</v>
      </c>
      <c r="C65" s="19" t="s">
        <v>24</v>
      </c>
      <c r="D65" s="22">
        <v>45736</v>
      </c>
      <c r="E65" s="11">
        <v>1800004935</v>
      </c>
      <c r="F65" s="19" t="s">
        <v>18</v>
      </c>
      <c r="G65" s="22">
        <v>45736</v>
      </c>
      <c r="H65" s="22">
        <v>45737</v>
      </c>
      <c r="I65" s="19" t="s">
        <v>22</v>
      </c>
      <c r="J65" s="11">
        <v>212100</v>
      </c>
      <c r="K65" s="19"/>
      <c r="L65" s="24">
        <v>246779414803</v>
      </c>
      <c r="M65" s="19" t="s">
        <v>17</v>
      </c>
      <c r="N65" s="23">
        <v>17.7</v>
      </c>
      <c r="O65" s="19" t="s">
        <v>19</v>
      </c>
      <c r="P65" s="23">
        <v>1534.44</v>
      </c>
      <c r="Q65" s="12"/>
      <c r="R65" s="12">
        <f>P65</f>
        <v>1534.44</v>
      </c>
      <c r="S65" s="25" t="s">
        <v>30</v>
      </c>
    </row>
    <row r="66" spans="1:19" s="6" customFormat="1" x14ac:dyDescent="0.25">
      <c r="A66" s="11">
        <v>6779</v>
      </c>
      <c r="B66" s="11">
        <v>100222426</v>
      </c>
      <c r="C66" s="19" t="s">
        <v>24</v>
      </c>
      <c r="D66" s="22">
        <v>45736</v>
      </c>
      <c r="E66" s="11">
        <v>1800004936</v>
      </c>
      <c r="F66" s="19" t="s">
        <v>18</v>
      </c>
      <c r="G66" s="22">
        <v>45736</v>
      </c>
      <c r="H66" s="22">
        <v>45737</v>
      </c>
      <c r="I66" s="19" t="s">
        <v>22</v>
      </c>
      <c r="J66" s="11">
        <v>212100</v>
      </c>
      <c r="K66" s="19"/>
      <c r="L66" s="24">
        <v>246779414804</v>
      </c>
      <c r="M66" s="19" t="s">
        <v>17</v>
      </c>
      <c r="N66" s="23">
        <v>109.15</v>
      </c>
      <c r="O66" s="19" t="s">
        <v>19</v>
      </c>
      <c r="P66" s="23">
        <v>9462.35</v>
      </c>
      <c r="Q66" s="12"/>
      <c r="R66" s="12">
        <f>P66</f>
        <v>9462.35</v>
      </c>
      <c r="S66" s="25" t="s">
        <v>30</v>
      </c>
    </row>
    <row r="67" spans="1:19" s="6" customFormat="1" x14ac:dyDescent="0.25">
      <c r="A67" s="11">
        <v>6779</v>
      </c>
      <c r="B67" s="11">
        <v>100222426</v>
      </c>
      <c r="C67" s="19" t="s">
        <v>24</v>
      </c>
      <c r="D67" s="22">
        <v>45736</v>
      </c>
      <c r="E67" s="11">
        <v>1800004937</v>
      </c>
      <c r="F67" s="19" t="s">
        <v>18</v>
      </c>
      <c r="G67" s="22">
        <v>45736</v>
      </c>
      <c r="H67" s="22">
        <v>45737</v>
      </c>
      <c r="I67" s="19" t="s">
        <v>22</v>
      </c>
      <c r="J67" s="11">
        <v>212100</v>
      </c>
      <c r="K67" s="19"/>
      <c r="L67" s="24">
        <v>246779414805</v>
      </c>
      <c r="M67" s="19" t="s">
        <v>17</v>
      </c>
      <c r="N67" s="23">
        <v>8.85</v>
      </c>
      <c r="O67" s="19" t="s">
        <v>19</v>
      </c>
      <c r="P67" s="23">
        <v>767.22</v>
      </c>
      <c r="Q67" s="12"/>
      <c r="R67" s="12">
        <f>P67</f>
        <v>767.22</v>
      </c>
      <c r="S67" s="25" t="s">
        <v>30</v>
      </c>
    </row>
    <row r="68" spans="1:19" s="6" customFormat="1" x14ac:dyDescent="0.25">
      <c r="A68" s="11">
        <v>6779</v>
      </c>
      <c r="B68" s="11">
        <v>100222426</v>
      </c>
      <c r="C68" s="19" t="s">
        <v>24</v>
      </c>
      <c r="D68" s="22">
        <v>45736</v>
      </c>
      <c r="E68" s="11">
        <v>1800004938</v>
      </c>
      <c r="F68" s="19" t="s">
        <v>18</v>
      </c>
      <c r="G68" s="22">
        <v>45736</v>
      </c>
      <c r="H68" s="22">
        <v>45737</v>
      </c>
      <c r="I68" s="19" t="s">
        <v>22</v>
      </c>
      <c r="J68" s="11">
        <v>212100</v>
      </c>
      <c r="K68" s="19"/>
      <c r="L68" s="24">
        <v>246779414806</v>
      </c>
      <c r="M68" s="19" t="s">
        <v>17</v>
      </c>
      <c r="N68" s="23">
        <v>203.55</v>
      </c>
      <c r="O68" s="19" t="s">
        <v>19</v>
      </c>
      <c r="P68" s="23">
        <v>17646.009999999998</v>
      </c>
      <c r="Q68" s="12"/>
      <c r="R68" s="12">
        <f>P68</f>
        <v>17646.009999999998</v>
      </c>
      <c r="S68" s="25" t="s">
        <v>30</v>
      </c>
    </row>
    <row r="69" spans="1:19" s="6" customFormat="1" x14ac:dyDescent="0.25">
      <c r="A69" s="11">
        <v>6779</v>
      </c>
      <c r="B69" s="11">
        <v>100222426</v>
      </c>
      <c r="C69" s="19" t="s">
        <v>24</v>
      </c>
      <c r="D69" s="22">
        <v>45736</v>
      </c>
      <c r="E69" s="11">
        <v>1800004939</v>
      </c>
      <c r="F69" s="19" t="s">
        <v>18</v>
      </c>
      <c r="G69" s="22">
        <v>45736</v>
      </c>
      <c r="H69" s="22">
        <v>45737</v>
      </c>
      <c r="I69" s="19" t="s">
        <v>22</v>
      </c>
      <c r="J69" s="11">
        <v>212100</v>
      </c>
      <c r="K69" s="19"/>
      <c r="L69" s="24">
        <v>246779414807</v>
      </c>
      <c r="M69" s="19" t="s">
        <v>17</v>
      </c>
      <c r="N69" s="23">
        <v>9.4</v>
      </c>
      <c r="O69" s="19" t="s">
        <v>19</v>
      </c>
      <c r="P69" s="23">
        <v>814.9</v>
      </c>
      <c r="Q69" s="12"/>
      <c r="R69" s="12">
        <f>P69</f>
        <v>814.9</v>
      </c>
      <c r="S69" s="25" t="s">
        <v>30</v>
      </c>
    </row>
    <row r="70" spans="1:19" s="6" customFormat="1" x14ac:dyDescent="0.25">
      <c r="A70" s="11">
        <v>6779</v>
      </c>
      <c r="B70" s="11">
        <v>100222426</v>
      </c>
      <c r="C70" s="19" t="s">
        <v>24</v>
      </c>
      <c r="D70" s="22">
        <v>45763</v>
      </c>
      <c r="E70" s="11">
        <v>1800006939</v>
      </c>
      <c r="F70" s="19" t="s">
        <v>18</v>
      </c>
      <c r="G70" s="22">
        <v>45763</v>
      </c>
      <c r="H70" s="22">
        <v>45764</v>
      </c>
      <c r="I70" s="19" t="s">
        <v>22</v>
      </c>
      <c r="J70" s="11">
        <v>212100</v>
      </c>
      <c r="K70" s="19"/>
      <c r="L70" s="24">
        <v>256779411830</v>
      </c>
      <c r="M70" s="19" t="s">
        <v>17</v>
      </c>
      <c r="N70" s="23">
        <v>1362.36</v>
      </c>
      <c r="O70" s="19" t="s">
        <v>19</v>
      </c>
      <c r="P70" s="23">
        <v>118418.81</v>
      </c>
      <c r="Q70" s="12"/>
      <c r="R70" s="12">
        <f>P70</f>
        <v>118418.81</v>
      </c>
      <c r="S70" s="25" t="s">
        <v>30</v>
      </c>
    </row>
    <row r="71" spans="1:19" s="6" customFormat="1" x14ac:dyDescent="0.25">
      <c r="A71" s="11">
        <v>6779</v>
      </c>
      <c r="B71" s="11">
        <v>100222426</v>
      </c>
      <c r="C71" s="19" t="s">
        <v>24</v>
      </c>
      <c r="D71" s="22">
        <v>45763</v>
      </c>
      <c r="E71" s="11">
        <v>1800006853</v>
      </c>
      <c r="F71" s="19" t="s">
        <v>18</v>
      </c>
      <c r="G71" s="22">
        <v>45763</v>
      </c>
      <c r="H71" s="22">
        <v>45764</v>
      </c>
      <c r="I71" s="19" t="s">
        <v>22</v>
      </c>
      <c r="J71" s="11">
        <v>212100</v>
      </c>
      <c r="K71" s="19"/>
      <c r="L71" s="24">
        <v>256779411744</v>
      </c>
      <c r="M71" s="19" t="s">
        <v>17</v>
      </c>
      <c r="N71" s="23">
        <v>1015.85</v>
      </c>
      <c r="O71" s="19" t="s">
        <v>19</v>
      </c>
      <c r="P71" s="23">
        <v>88299.53</v>
      </c>
      <c r="Q71" s="12"/>
      <c r="R71" s="12">
        <f>P71</f>
        <v>88299.53</v>
      </c>
      <c r="S71" s="25" t="s">
        <v>30</v>
      </c>
    </row>
    <row r="72" spans="1:19" s="6" customFormat="1" x14ac:dyDescent="0.25">
      <c r="A72" s="11">
        <v>6779</v>
      </c>
      <c r="B72" s="11">
        <v>100222426</v>
      </c>
      <c r="C72" s="19" t="s">
        <v>24</v>
      </c>
      <c r="D72" s="22">
        <v>45736</v>
      </c>
      <c r="E72" s="11">
        <v>1800004687</v>
      </c>
      <c r="F72" s="19" t="s">
        <v>18</v>
      </c>
      <c r="G72" s="22">
        <v>45736</v>
      </c>
      <c r="H72" s="22">
        <v>45737</v>
      </c>
      <c r="I72" s="19" t="s">
        <v>22</v>
      </c>
      <c r="J72" s="11">
        <v>212100</v>
      </c>
      <c r="K72" s="19"/>
      <c r="L72" s="24">
        <v>246779414555</v>
      </c>
      <c r="M72" s="19" t="s">
        <v>17</v>
      </c>
      <c r="N72" s="23">
        <v>1548.45</v>
      </c>
      <c r="O72" s="19" t="s">
        <v>19</v>
      </c>
      <c r="P72" s="23">
        <v>134237.07999999999</v>
      </c>
      <c r="Q72" s="12"/>
      <c r="R72" s="12">
        <f>P72</f>
        <v>134237.07999999999</v>
      </c>
      <c r="S72" s="25" t="s">
        <v>30</v>
      </c>
    </row>
    <row r="73" spans="1:19" s="6" customFormat="1" x14ac:dyDescent="0.25">
      <c r="A73" s="11">
        <v>6779</v>
      </c>
      <c r="B73" s="11">
        <v>100222426</v>
      </c>
      <c r="C73" s="19" t="s">
        <v>24</v>
      </c>
      <c r="D73" s="22">
        <v>45763</v>
      </c>
      <c r="E73" s="11">
        <v>1800006323</v>
      </c>
      <c r="F73" s="19" t="s">
        <v>18</v>
      </c>
      <c r="G73" s="22">
        <v>45763</v>
      </c>
      <c r="H73" s="22">
        <v>45763</v>
      </c>
      <c r="I73" s="19" t="s">
        <v>22</v>
      </c>
      <c r="J73" s="11">
        <v>212100</v>
      </c>
      <c r="K73" s="19"/>
      <c r="L73" s="24">
        <v>256779411214</v>
      </c>
      <c r="M73" s="19" t="s">
        <v>17</v>
      </c>
      <c r="N73" s="23">
        <v>11.8</v>
      </c>
      <c r="O73" s="19" t="s">
        <v>19</v>
      </c>
      <c r="P73" s="23">
        <v>1025.68</v>
      </c>
      <c r="Q73" s="12"/>
      <c r="R73" s="12">
        <f>P73</f>
        <v>1025.68</v>
      </c>
      <c r="S73" s="25" t="s">
        <v>30</v>
      </c>
    </row>
    <row r="74" spans="1:19" s="6" customFormat="1" x14ac:dyDescent="0.25">
      <c r="A74" s="11">
        <v>6779</v>
      </c>
      <c r="B74" s="11">
        <v>100222426</v>
      </c>
      <c r="C74" s="19" t="s">
        <v>24</v>
      </c>
      <c r="D74" s="22">
        <v>45763</v>
      </c>
      <c r="E74" s="11">
        <v>1800006324</v>
      </c>
      <c r="F74" s="19" t="s">
        <v>18</v>
      </c>
      <c r="G74" s="22">
        <v>45763</v>
      </c>
      <c r="H74" s="22">
        <v>45763</v>
      </c>
      <c r="I74" s="19" t="s">
        <v>22</v>
      </c>
      <c r="J74" s="11">
        <v>212100</v>
      </c>
      <c r="K74" s="19"/>
      <c r="L74" s="24">
        <v>256779411215</v>
      </c>
      <c r="M74" s="19" t="s">
        <v>17</v>
      </c>
      <c r="N74" s="23">
        <v>46.87</v>
      </c>
      <c r="O74" s="19" t="s">
        <v>19</v>
      </c>
      <c r="P74" s="23">
        <v>4074.03</v>
      </c>
      <c r="Q74" s="12"/>
      <c r="R74" s="12">
        <f>P74</f>
        <v>4074.03</v>
      </c>
      <c r="S74" s="25" t="s">
        <v>30</v>
      </c>
    </row>
    <row r="75" spans="1:19" s="6" customFormat="1" x14ac:dyDescent="0.25">
      <c r="A75" s="11">
        <v>6779</v>
      </c>
      <c r="B75" s="11">
        <v>100222426</v>
      </c>
      <c r="C75" s="19" t="s">
        <v>24</v>
      </c>
      <c r="D75" s="22">
        <v>45763</v>
      </c>
      <c r="E75" s="11">
        <v>1800006325</v>
      </c>
      <c r="F75" s="19" t="s">
        <v>18</v>
      </c>
      <c r="G75" s="22">
        <v>45763</v>
      </c>
      <c r="H75" s="22">
        <v>45763</v>
      </c>
      <c r="I75" s="19" t="s">
        <v>22</v>
      </c>
      <c r="J75" s="11">
        <v>212100</v>
      </c>
      <c r="K75" s="19"/>
      <c r="L75" s="24">
        <v>256779411216</v>
      </c>
      <c r="M75" s="19" t="s">
        <v>17</v>
      </c>
      <c r="N75" s="23">
        <v>91.45</v>
      </c>
      <c r="O75" s="19" t="s">
        <v>19</v>
      </c>
      <c r="P75" s="23">
        <v>7949</v>
      </c>
      <c r="Q75" s="12"/>
      <c r="R75" s="12">
        <f>P75</f>
        <v>7949</v>
      </c>
      <c r="S75" s="25" t="s">
        <v>30</v>
      </c>
    </row>
    <row r="76" spans="1:19" s="6" customFormat="1" x14ac:dyDescent="0.25">
      <c r="A76" s="11">
        <v>6779</v>
      </c>
      <c r="B76" s="11">
        <v>100222426</v>
      </c>
      <c r="C76" s="19" t="s">
        <v>24</v>
      </c>
      <c r="D76" s="22">
        <v>45763</v>
      </c>
      <c r="E76" s="11">
        <v>1800006326</v>
      </c>
      <c r="F76" s="19" t="s">
        <v>18</v>
      </c>
      <c r="G76" s="22">
        <v>45763</v>
      </c>
      <c r="H76" s="22">
        <v>45763</v>
      </c>
      <c r="I76" s="19" t="s">
        <v>22</v>
      </c>
      <c r="J76" s="11">
        <v>212100</v>
      </c>
      <c r="K76" s="19"/>
      <c r="L76" s="24">
        <v>256779411217</v>
      </c>
      <c r="M76" s="19" t="s">
        <v>17</v>
      </c>
      <c r="N76" s="23">
        <v>91.45</v>
      </c>
      <c r="O76" s="19" t="s">
        <v>19</v>
      </c>
      <c r="P76" s="23">
        <v>7949</v>
      </c>
      <c r="Q76" s="12"/>
      <c r="R76" s="12">
        <f>P76</f>
        <v>7949</v>
      </c>
      <c r="S76" s="25" t="s">
        <v>30</v>
      </c>
    </row>
    <row r="77" spans="1:19" s="6" customFormat="1" x14ac:dyDescent="0.25">
      <c r="A77" s="11">
        <v>6779</v>
      </c>
      <c r="B77" s="11">
        <v>100222426</v>
      </c>
      <c r="C77" s="19" t="s">
        <v>24</v>
      </c>
      <c r="D77" s="22">
        <v>45763</v>
      </c>
      <c r="E77" s="11">
        <v>1800006327</v>
      </c>
      <c r="F77" s="19" t="s">
        <v>18</v>
      </c>
      <c r="G77" s="22">
        <v>45763</v>
      </c>
      <c r="H77" s="22">
        <v>45763</v>
      </c>
      <c r="I77" s="19" t="s">
        <v>22</v>
      </c>
      <c r="J77" s="11">
        <v>212100</v>
      </c>
      <c r="K77" s="19"/>
      <c r="L77" s="24">
        <v>256779411218</v>
      </c>
      <c r="M77" s="19" t="s">
        <v>17</v>
      </c>
      <c r="N77" s="23">
        <v>110.7</v>
      </c>
      <c r="O77" s="19" t="s">
        <v>19</v>
      </c>
      <c r="P77" s="23">
        <v>9622.25</v>
      </c>
      <c r="Q77" s="12"/>
      <c r="R77" s="12">
        <f>P77</f>
        <v>9622.25</v>
      </c>
      <c r="S77" s="25" t="s">
        <v>30</v>
      </c>
    </row>
    <row r="78" spans="1:19" s="6" customFormat="1" x14ac:dyDescent="0.25">
      <c r="A78" s="11">
        <v>6779</v>
      </c>
      <c r="B78" s="11">
        <v>100222426</v>
      </c>
      <c r="C78" s="19" t="s">
        <v>24</v>
      </c>
      <c r="D78" s="22">
        <v>45763</v>
      </c>
      <c r="E78" s="11">
        <v>1800006328</v>
      </c>
      <c r="F78" s="19" t="s">
        <v>18</v>
      </c>
      <c r="G78" s="22">
        <v>45763</v>
      </c>
      <c r="H78" s="22">
        <v>45763</v>
      </c>
      <c r="I78" s="19" t="s">
        <v>22</v>
      </c>
      <c r="J78" s="11">
        <v>212100</v>
      </c>
      <c r="K78" s="19"/>
      <c r="L78" s="24">
        <v>256779411219</v>
      </c>
      <c r="M78" s="19" t="s">
        <v>17</v>
      </c>
      <c r="N78" s="23">
        <v>35.4</v>
      </c>
      <c r="O78" s="19" t="s">
        <v>19</v>
      </c>
      <c r="P78" s="23">
        <v>3077.03</v>
      </c>
      <c r="Q78" s="12"/>
      <c r="R78" s="12">
        <f>P78</f>
        <v>3077.03</v>
      </c>
      <c r="S78" s="25" t="s">
        <v>30</v>
      </c>
    </row>
    <row r="79" spans="1:19" s="6" customFormat="1" x14ac:dyDescent="0.25">
      <c r="A79" s="11">
        <v>6779</v>
      </c>
      <c r="B79" s="11">
        <v>100222426</v>
      </c>
      <c r="C79" s="19" t="s">
        <v>24</v>
      </c>
      <c r="D79" s="22">
        <v>45763</v>
      </c>
      <c r="E79" s="11">
        <v>1800006329</v>
      </c>
      <c r="F79" s="19" t="s">
        <v>18</v>
      </c>
      <c r="G79" s="22">
        <v>45763</v>
      </c>
      <c r="H79" s="22">
        <v>45763</v>
      </c>
      <c r="I79" s="19" t="s">
        <v>22</v>
      </c>
      <c r="J79" s="11">
        <v>212100</v>
      </c>
      <c r="K79" s="19"/>
      <c r="L79" s="24">
        <v>256779411220</v>
      </c>
      <c r="M79" s="19" t="s">
        <v>17</v>
      </c>
      <c r="N79" s="23">
        <v>44.25</v>
      </c>
      <c r="O79" s="19" t="s">
        <v>19</v>
      </c>
      <c r="P79" s="23">
        <v>3846.29</v>
      </c>
      <c r="Q79" s="12"/>
      <c r="R79" s="12">
        <f>P79</f>
        <v>3846.29</v>
      </c>
      <c r="S79" s="25" t="s">
        <v>30</v>
      </c>
    </row>
    <row r="80" spans="1:19" s="6" customFormat="1" x14ac:dyDescent="0.25">
      <c r="A80" s="11">
        <v>6779</v>
      </c>
      <c r="B80" s="11">
        <v>100222426</v>
      </c>
      <c r="C80" s="19" t="s">
        <v>24</v>
      </c>
      <c r="D80" s="22">
        <v>45763</v>
      </c>
      <c r="E80" s="11">
        <v>1800006331</v>
      </c>
      <c r="F80" s="19" t="s">
        <v>18</v>
      </c>
      <c r="G80" s="22">
        <v>45763</v>
      </c>
      <c r="H80" s="22">
        <v>45763</v>
      </c>
      <c r="I80" s="19" t="s">
        <v>22</v>
      </c>
      <c r="J80" s="11">
        <v>212100</v>
      </c>
      <c r="K80" s="19"/>
      <c r="L80" s="24">
        <v>256779411222</v>
      </c>
      <c r="M80" s="19" t="s">
        <v>17</v>
      </c>
      <c r="N80" s="23">
        <v>105.43</v>
      </c>
      <c r="O80" s="19" t="s">
        <v>19</v>
      </c>
      <c r="P80" s="23">
        <v>9164.17</v>
      </c>
      <c r="Q80" s="12"/>
      <c r="R80" s="12">
        <f t="shared" ref="R80:R100" si="1">P80</f>
        <v>9164.17</v>
      </c>
      <c r="S80" s="25" t="s">
        <v>30</v>
      </c>
    </row>
    <row r="81" spans="1:19" s="6" customFormat="1" x14ac:dyDescent="0.25">
      <c r="A81" s="11">
        <v>6779</v>
      </c>
      <c r="B81" s="11">
        <v>100222426</v>
      </c>
      <c r="C81" s="19" t="s">
        <v>24</v>
      </c>
      <c r="D81" s="22">
        <v>45763</v>
      </c>
      <c r="E81" s="11">
        <v>1800006332</v>
      </c>
      <c r="F81" s="19" t="s">
        <v>18</v>
      </c>
      <c r="G81" s="22">
        <v>45763</v>
      </c>
      <c r="H81" s="22">
        <v>45763</v>
      </c>
      <c r="I81" s="19" t="s">
        <v>22</v>
      </c>
      <c r="J81" s="11">
        <v>212100</v>
      </c>
      <c r="K81" s="19"/>
      <c r="L81" s="24">
        <v>256779411223</v>
      </c>
      <c r="M81" s="19" t="s">
        <v>17</v>
      </c>
      <c r="N81" s="23">
        <v>85.55</v>
      </c>
      <c r="O81" s="19" t="s">
        <v>19</v>
      </c>
      <c r="P81" s="23">
        <v>7436.16</v>
      </c>
      <c r="Q81" s="12"/>
      <c r="R81" s="12">
        <f t="shared" si="1"/>
        <v>7436.16</v>
      </c>
      <c r="S81" s="25" t="s">
        <v>30</v>
      </c>
    </row>
    <row r="82" spans="1:19" s="6" customFormat="1" x14ac:dyDescent="0.25">
      <c r="A82" s="11">
        <v>6779</v>
      </c>
      <c r="B82" s="11">
        <v>100222426</v>
      </c>
      <c r="C82" s="19" t="s">
        <v>24</v>
      </c>
      <c r="D82" s="22">
        <v>45763</v>
      </c>
      <c r="E82" s="11">
        <v>1800006333</v>
      </c>
      <c r="F82" s="19" t="s">
        <v>18</v>
      </c>
      <c r="G82" s="22">
        <v>45763</v>
      </c>
      <c r="H82" s="22">
        <v>45763</v>
      </c>
      <c r="I82" s="19" t="s">
        <v>22</v>
      </c>
      <c r="J82" s="11">
        <v>212100</v>
      </c>
      <c r="K82" s="19"/>
      <c r="L82" s="24">
        <v>256779411224</v>
      </c>
      <c r="M82" s="19" t="s">
        <v>17</v>
      </c>
      <c r="N82" s="23">
        <v>54.47</v>
      </c>
      <c r="O82" s="19" t="s">
        <v>19</v>
      </c>
      <c r="P82" s="23">
        <v>4734.63</v>
      </c>
      <c r="Q82" s="12"/>
      <c r="R82" s="12">
        <f t="shared" si="1"/>
        <v>4734.63</v>
      </c>
      <c r="S82" s="25" t="s">
        <v>30</v>
      </c>
    </row>
    <row r="83" spans="1:19" s="6" customFormat="1" x14ac:dyDescent="0.25">
      <c r="A83" s="11">
        <v>6779</v>
      </c>
      <c r="B83" s="11">
        <v>100222426</v>
      </c>
      <c r="C83" s="19" t="s">
        <v>24</v>
      </c>
      <c r="D83" s="22">
        <v>45763</v>
      </c>
      <c r="E83" s="11">
        <v>1800006334</v>
      </c>
      <c r="F83" s="19" t="s">
        <v>18</v>
      </c>
      <c r="G83" s="22">
        <v>45763</v>
      </c>
      <c r="H83" s="22">
        <v>45763</v>
      </c>
      <c r="I83" s="19" t="s">
        <v>22</v>
      </c>
      <c r="J83" s="11">
        <v>212100</v>
      </c>
      <c r="K83" s="19"/>
      <c r="L83" s="24">
        <v>256779411225</v>
      </c>
      <c r="M83" s="19" t="s">
        <v>17</v>
      </c>
      <c r="N83" s="23">
        <v>66</v>
      </c>
      <c r="O83" s="19" t="s">
        <v>19</v>
      </c>
      <c r="P83" s="23">
        <v>5736.84</v>
      </c>
      <c r="Q83" s="12"/>
      <c r="R83" s="12">
        <f t="shared" si="1"/>
        <v>5736.84</v>
      </c>
      <c r="S83" s="25" t="s">
        <v>30</v>
      </c>
    </row>
    <row r="84" spans="1:19" s="6" customFormat="1" x14ac:dyDescent="0.25">
      <c r="A84" s="11">
        <v>6779</v>
      </c>
      <c r="B84" s="11">
        <v>100222426</v>
      </c>
      <c r="C84" s="19" t="s">
        <v>24</v>
      </c>
      <c r="D84" s="22">
        <v>45763</v>
      </c>
      <c r="E84" s="11">
        <v>1800006335</v>
      </c>
      <c r="F84" s="19" t="s">
        <v>18</v>
      </c>
      <c r="G84" s="22">
        <v>45763</v>
      </c>
      <c r="H84" s="22">
        <v>45763</v>
      </c>
      <c r="I84" s="19" t="s">
        <v>22</v>
      </c>
      <c r="J84" s="11">
        <v>212100</v>
      </c>
      <c r="K84" s="19"/>
      <c r="L84" s="24">
        <v>256779411226</v>
      </c>
      <c r="M84" s="19" t="s">
        <v>17</v>
      </c>
      <c r="N84" s="23">
        <v>112.1</v>
      </c>
      <c r="O84" s="19" t="s">
        <v>19</v>
      </c>
      <c r="P84" s="23">
        <v>9743.94</v>
      </c>
      <c r="Q84" s="12"/>
      <c r="R84" s="12">
        <f t="shared" si="1"/>
        <v>9743.94</v>
      </c>
      <c r="S84" s="25" t="s">
        <v>30</v>
      </c>
    </row>
    <row r="85" spans="1:19" s="6" customFormat="1" x14ac:dyDescent="0.25">
      <c r="A85" s="11">
        <v>6779</v>
      </c>
      <c r="B85" s="11">
        <v>100222426</v>
      </c>
      <c r="C85" s="19" t="s">
        <v>24</v>
      </c>
      <c r="D85" s="22">
        <v>45763</v>
      </c>
      <c r="E85" s="11">
        <v>1800006336</v>
      </c>
      <c r="F85" s="19" t="s">
        <v>18</v>
      </c>
      <c r="G85" s="22">
        <v>45763</v>
      </c>
      <c r="H85" s="22">
        <v>45763</v>
      </c>
      <c r="I85" s="19" t="s">
        <v>22</v>
      </c>
      <c r="J85" s="11">
        <v>212100</v>
      </c>
      <c r="K85" s="19"/>
      <c r="L85" s="24">
        <v>256779411227</v>
      </c>
      <c r="M85" s="19" t="s">
        <v>17</v>
      </c>
      <c r="N85" s="23">
        <v>2.95</v>
      </c>
      <c r="O85" s="19" t="s">
        <v>19</v>
      </c>
      <c r="P85" s="23">
        <v>256.42</v>
      </c>
      <c r="Q85" s="12"/>
      <c r="R85" s="12">
        <f t="shared" si="1"/>
        <v>256.42</v>
      </c>
      <c r="S85" s="25" t="s">
        <v>30</v>
      </c>
    </row>
    <row r="86" spans="1:19" s="6" customFormat="1" x14ac:dyDescent="0.25">
      <c r="A86" s="11">
        <v>6779</v>
      </c>
      <c r="B86" s="11">
        <v>100222426</v>
      </c>
      <c r="C86" s="19" t="s">
        <v>24</v>
      </c>
      <c r="D86" s="22">
        <v>45763</v>
      </c>
      <c r="E86" s="11">
        <v>1800006337</v>
      </c>
      <c r="F86" s="19" t="s">
        <v>18</v>
      </c>
      <c r="G86" s="22">
        <v>45763</v>
      </c>
      <c r="H86" s="22">
        <v>45763</v>
      </c>
      <c r="I86" s="19" t="s">
        <v>22</v>
      </c>
      <c r="J86" s="11">
        <v>212100</v>
      </c>
      <c r="K86" s="19"/>
      <c r="L86" s="24">
        <v>256779411228</v>
      </c>
      <c r="M86" s="19" t="s">
        <v>17</v>
      </c>
      <c r="N86" s="23">
        <v>44.25</v>
      </c>
      <c r="O86" s="19" t="s">
        <v>19</v>
      </c>
      <c r="P86" s="23">
        <v>3846.29</v>
      </c>
      <c r="Q86" s="12"/>
      <c r="R86" s="12">
        <f t="shared" si="1"/>
        <v>3846.29</v>
      </c>
      <c r="S86" s="25" t="s">
        <v>30</v>
      </c>
    </row>
    <row r="87" spans="1:19" s="6" customFormat="1" x14ac:dyDescent="0.25">
      <c r="A87" s="11">
        <v>6779</v>
      </c>
      <c r="B87" s="11">
        <v>100222426</v>
      </c>
      <c r="C87" s="19" t="s">
        <v>24</v>
      </c>
      <c r="D87" s="22">
        <v>45763</v>
      </c>
      <c r="E87" s="11">
        <v>1800006338</v>
      </c>
      <c r="F87" s="19" t="s">
        <v>18</v>
      </c>
      <c r="G87" s="22">
        <v>45763</v>
      </c>
      <c r="H87" s="22">
        <v>45763</v>
      </c>
      <c r="I87" s="19" t="s">
        <v>22</v>
      </c>
      <c r="J87" s="11">
        <v>212100</v>
      </c>
      <c r="K87" s="19"/>
      <c r="L87" s="24">
        <v>256779411229</v>
      </c>
      <c r="M87" s="19" t="s">
        <v>17</v>
      </c>
      <c r="N87" s="23">
        <v>103.25</v>
      </c>
      <c r="O87" s="19" t="s">
        <v>19</v>
      </c>
      <c r="P87" s="23">
        <v>8974.68</v>
      </c>
      <c r="Q87" s="12"/>
      <c r="R87" s="12">
        <f t="shared" si="1"/>
        <v>8974.68</v>
      </c>
      <c r="S87" s="25" t="s">
        <v>30</v>
      </c>
    </row>
    <row r="88" spans="1:19" s="6" customFormat="1" x14ac:dyDescent="0.25">
      <c r="A88" s="11">
        <v>6779</v>
      </c>
      <c r="B88" s="11">
        <v>100222426</v>
      </c>
      <c r="C88" s="19" t="s">
        <v>24</v>
      </c>
      <c r="D88" s="22">
        <v>45763</v>
      </c>
      <c r="E88" s="11">
        <v>1800006339</v>
      </c>
      <c r="F88" s="19" t="s">
        <v>18</v>
      </c>
      <c r="G88" s="22">
        <v>45763</v>
      </c>
      <c r="H88" s="22">
        <v>45763</v>
      </c>
      <c r="I88" s="19" t="s">
        <v>22</v>
      </c>
      <c r="J88" s="11">
        <v>212100</v>
      </c>
      <c r="K88" s="19"/>
      <c r="L88" s="24">
        <v>256779411230</v>
      </c>
      <c r="M88" s="19" t="s">
        <v>17</v>
      </c>
      <c r="N88" s="23">
        <v>29.38</v>
      </c>
      <c r="O88" s="19" t="s">
        <v>19</v>
      </c>
      <c r="P88" s="23">
        <v>2553.7600000000002</v>
      </c>
      <c r="Q88" s="12"/>
      <c r="R88" s="12">
        <f t="shared" si="1"/>
        <v>2553.7600000000002</v>
      </c>
      <c r="S88" s="25" t="s">
        <v>30</v>
      </c>
    </row>
    <row r="89" spans="1:19" s="6" customFormat="1" x14ac:dyDescent="0.25">
      <c r="A89" s="11">
        <v>6779</v>
      </c>
      <c r="B89" s="11">
        <v>100222426</v>
      </c>
      <c r="C89" s="19" t="s">
        <v>24</v>
      </c>
      <c r="D89" s="22">
        <v>45763</v>
      </c>
      <c r="E89" s="11">
        <v>1800006340</v>
      </c>
      <c r="F89" s="19" t="s">
        <v>18</v>
      </c>
      <c r="G89" s="22">
        <v>45763</v>
      </c>
      <c r="H89" s="22">
        <v>45763</v>
      </c>
      <c r="I89" s="19" t="s">
        <v>22</v>
      </c>
      <c r="J89" s="11">
        <v>212100</v>
      </c>
      <c r="K89" s="19"/>
      <c r="L89" s="24">
        <v>256779411231</v>
      </c>
      <c r="M89" s="19" t="s">
        <v>17</v>
      </c>
      <c r="N89" s="23">
        <v>5.9</v>
      </c>
      <c r="O89" s="19" t="s">
        <v>19</v>
      </c>
      <c r="P89" s="23">
        <v>512.84</v>
      </c>
      <c r="Q89" s="12"/>
      <c r="R89" s="12">
        <f t="shared" si="1"/>
        <v>512.84</v>
      </c>
      <c r="S89" s="25" t="s">
        <v>30</v>
      </c>
    </row>
    <row r="90" spans="1:19" s="6" customFormat="1" x14ac:dyDescent="0.25">
      <c r="A90" s="11">
        <v>6779</v>
      </c>
      <c r="B90" s="11">
        <v>100222426</v>
      </c>
      <c r="C90" s="19" t="s">
        <v>24</v>
      </c>
      <c r="D90" s="22">
        <v>45763</v>
      </c>
      <c r="E90" s="11">
        <v>1800006341</v>
      </c>
      <c r="F90" s="19" t="s">
        <v>18</v>
      </c>
      <c r="G90" s="22">
        <v>45763</v>
      </c>
      <c r="H90" s="22">
        <v>45763</v>
      </c>
      <c r="I90" s="19" t="s">
        <v>22</v>
      </c>
      <c r="J90" s="11">
        <v>212100</v>
      </c>
      <c r="K90" s="19"/>
      <c r="L90" s="24">
        <v>256779411232</v>
      </c>
      <c r="M90" s="19" t="s">
        <v>17</v>
      </c>
      <c r="N90" s="23">
        <v>35.4</v>
      </c>
      <c r="O90" s="19" t="s">
        <v>19</v>
      </c>
      <c r="P90" s="23">
        <v>3077.03</v>
      </c>
      <c r="Q90" s="12"/>
      <c r="R90" s="12">
        <f t="shared" si="1"/>
        <v>3077.03</v>
      </c>
      <c r="S90" s="25" t="s">
        <v>30</v>
      </c>
    </row>
    <row r="91" spans="1:19" s="6" customFormat="1" x14ac:dyDescent="0.25">
      <c r="A91" s="11">
        <v>6779</v>
      </c>
      <c r="B91" s="11">
        <v>100222426</v>
      </c>
      <c r="C91" s="19" t="s">
        <v>24</v>
      </c>
      <c r="D91" s="22">
        <v>45763</v>
      </c>
      <c r="E91" s="11">
        <v>1800006342</v>
      </c>
      <c r="F91" s="19" t="s">
        <v>18</v>
      </c>
      <c r="G91" s="22">
        <v>45763</v>
      </c>
      <c r="H91" s="22">
        <v>45763</v>
      </c>
      <c r="I91" s="19" t="s">
        <v>22</v>
      </c>
      <c r="J91" s="11">
        <v>212100</v>
      </c>
      <c r="K91" s="19"/>
      <c r="L91" s="24">
        <v>256779411233</v>
      </c>
      <c r="M91" s="19" t="s">
        <v>17</v>
      </c>
      <c r="N91" s="23">
        <v>20.96</v>
      </c>
      <c r="O91" s="19" t="s">
        <v>19</v>
      </c>
      <c r="P91" s="23">
        <v>1821.88</v>
      </c>
      <c r="Q91" s="12"/>
      <c r="R91" s="12">
        <f t="shared" si="1"/>
        <v>1821.88</v>
      </c>
      <c r="S91" s="25" t="s">
        <v>30</v>
      </c>
    </row>
    <row r="92" spans="1:19" s="6" customFormat="1" x14ac:dyDescent="0.25">
      <c r="A92" s="11">
        <v>6779</v>
      </c>
      <c r="B92" s="11">
        <v>100222426</v>
      </c>
      <c r="C92" s="19" t="s">
        <v>24</v>
      </c>
      <c r="D92" s="22">
        <v>45736</v>
      </c>
      <c r="E92" s="11">
        <v>1800004760</v>
      </c>
      <c r="F92" s="19" t="s">
        <v>18</v>
      </c>
      <c r="G92" s="22">
        <v>45736</v>
      </c>
      <c r="H92" s="22">
        <v>45737</v>
      </c>
      <c r="I92" s="19" t="s">
        <v>22</v>
      </c>
      <c r="J92" s="11">
        <v>212100</v>
      </c>
      <c r="K92" s="19"/>
      <c r="L92" s="24">
        <v>246779414628</v>
      </c>
      <c r="M92" s="19" t="s">
        <v>17</v>
      </c>
      <c r="N92" s="23">
        <v>1838.27</v>
      </c>
      <c r="O92" s="19" t="s">
        <v>19</v>
      </c>
      <c r="P92" s="23">
        <v>159361.94</v>
      </c>
      <c r="Q92" s="12"/>
      <c r="R92" s="12">
        <f t="shared" si="1"/>
        <v>159361.94</v>
      </c>
      <c r="S92" s="25" t="s">
        <v>30</v>
      </c>
    </row>
    <row r="93" spans="1:19" s="6" customFormat="1" x14ac:dyDescent="0.25">
      <c r="A93" s="11">
        <v>6779</v>
      </c>
      <c r="B93" s="11">
        <v>100222426</v>
      </c>
      <c r="C93" s="19" t="s">
        <v>24</v>
      </c>
      <c r="D93" s="22">
        <v>45736</v>
      </c>
      <c r="E93" s="11">
        <v>1800004306</v>
      </c>
      <c r="F93" s="19" t="s">
        <v>18</v>
      </c>
      <c r="G93" s="22">
        <v>45736</v>
      </c>
      <c r="H93" s="22">
        <v>45737</v>
      </c>
      <c r="I93" s="19" t="s">
        <v>22</v>
      </c>
      <c r="J93" s="11">
        <v>212100</v>
      </c>
      <c r="K93" s="19"/>
      <c r="L93" s="24">
        <v>246779414174</v>
      </c>
      <c r="M93" s="19" t="s">
        <v>17</v>
      </c>
      <c r="N93" s="23">
        <v>976.39</v>
      </c>
      <c r="O93" s="19" t="s">
        <v>19</v>
      </c>
      <c r="P93" s="23">
        <v>84644.479999999996</v>
      </c>
      <c r="Q93" s="12"/>
      <c r="R93" s="12">
        <f t="shared" si="1"/>
        <v>84644.479999999996</v>
      </c>
      <c r="S93" s="25" t="s">
        <v>30</v>
      </c>
    </row>
    <row r="94" spans="1:19" s="6" customFormat="1" x14ac:dyDescent="0.25">
      <c r="A94" s="11">
        <v>6779</v>
      </c>
      <c r="B94" s="11">
        <v>100222426</v>
      </c>
      <c r="C94" s="19" t="s">
        <v>24</v>
      </c>
      <c r="D94" s="22">
        <v>45751</v>
      </c>
      <c r="E94" s="11">
        <v>1800005708</v>
      </c>
      <c r="F94" s="19" t="s">
        <v>18</v>
      </c>
      <c r="G94" s="22">
        <v>45751</v>
      </c>
      <c r="H94" s="22">
        <v>45752</v>
      </c>
      <c r="I94" s="19" t="s">
        <v>22</v>
      </c>
      <c r="J94" s="11">
        <v>212100</v>
      </c>
      <c r="K94" s="19"/>
      <c r="L94" s="24">
        <v>256779410600</v>
      </c>
      <c r="M94" s="19" t="s">
        <v>17</v>
      </c>
      <c r="N94" s="23">
        <v>15887.63</v>
      </c>
      <c r="O94" s="19" t="s">
        <v>19</v>
      </c>
      <c r="P94" s="23">
        <v>1380981.72</v>
      </c>
      <c r="Q94" s="12"/>
      <c r="R94" s="12">
        <f t="shared" si="1"/>
        <v>1380981.72</v>
      </c>
      <c r="S94" s="25" t="s">
        <v>30</v>
      </c>
    </row>
    <row r="95" spans="1:19" s="6" customFormat="1" x14ac:dyDescent="0.25">
      <c r="A95" s="11">
        <v>6779</v>
      </c>
      <c r="B95" s="11">
        <v>100222426</v>
      </c>
      <c r="C95" s="19" t="s">
        <v>24</v>
      </c>
      <c r="D95" s="22">
        <v>45768</v>
      </c>
      <c r="E95" s="11">
        <v>1800007300</v>
      </c>
      <c r="F95" s="19" t="s">
        <v>18</v>
      </c>
      <c r="G95" s="22">
        <v>45768</v>
      </c>
      <c r="H95" s="22">
        <v>45769</v>
      </c>
      <c r="I95" s="19" t="s">
        <v>22</v>
      </c>
      <c r="J95" s="11">
        <v>212100</v>
      </c>
      <c r="K95" s="19"/>
      <c r="L95" s="24">
        <v>256779412191</v>
      </c>
      <c r="M95" s="19" t="s">
        <v>17</v>
      </c>
      <c r="N95" s="23">
        <v>19567.14</v>
      </c>
      <c r="O95" s="19" t="s">
        <v>19</v>
      </c>
      <c r="P95" s="23">
        <v>1700811.42</v>
      </c>
      <c r="Q95" s="12"/>
      <c r="R95" s="12">
        <f t="shared" si="1"/>
        <v>1700811.42</v>
      </c>
      <c r="S95" s="25" t="s">
        <v>30</v>
      </c>
    </row>
    <row r="96" spans="1:19" s="6" customFormat="1" x14ac:dyDescent="0.25">
      <c r="A96" s="11">
        <v>6779</v>
      </c>
      <c r="B96" s="11">
        <v>100222426</v>
      </c>
      <c r="C96" s="19" t="s">
        <v>24</v>
      </c>
      <c r="D96" s="22">
        <v>45768</v>
      </c>
      <c r="E96" s="11">
        <v>1800007459</v>
      </c>
      <c r="F96" s="19" t="s">
        <v>18</v>
      </c>
      <c r="G96" s="22">
        <v>45768</v>
      </c>
      <c r="H96" s="22">
        <v>45769</v>
      </c>
      <c r="I96" s="19" t="s">
        <v>22</v>
      </c>
      <c r="J96" s="11">
        <v>212100</v>
      </c>
      <c r="K96" s="19"/>
      <c r="L96" s="24">
        <v>256779412350</v>
      </c>
      <c r="M96" s="19" t="s">
        <v>17</v>
      </c>
      <c r="N96" s="23">
        <v>22667.75</v>
      </c>
      <c r="O96" s="19" t="s">
        <v>19</v>
      </c>
      <c r="P96" s="23">
        <v>1970322.09</v>
      </c>
      <c r="Q96" s="12"/>
      <c r="R96" s="12">
        <f t="shared" si="1"/>
        <v>1970322.09</v>
      </c>
      <c r="S96" s="25" t="s">
        <v>30</v>
      </c>
    </row>
    <row r="97" spans="1:19" s="6" customFormat="1" x14ac:dyDescent="0.25">
      <c r="A97" s="11">
        <v>6779</v>
      </c>
      <c r="B97" s="11">
        <v>100222426</v>
      </c>
      <c r="C97" s="19" t="s">
        <v>24</v>
      </c>
      <c r="D97" s="22">
        <v>45734</v>
      </c>
      <c r="E97" s="11">
        <v>1800002534</v>
      </c>
      <c r="F97" s="19" t="s">
        <v>18</v>
      </c>
      <c r="G97" s="22">
        <v>45734</v>
      </c>
      <c r="H97" s="22">
        <v>45735</v>
      </c>
      <c r="I97" s="19" t="s">
        <v>22</v>
      </c>
      <c r="J97" s="11">
        <v>212100</v>
      </c>
      <c r="K97" s="19"/>
      <c r="L97" s="24">
        <v>246779412401</v>
      </c>
      <c r="M97" s="19" t="s">
        <v>17</v>
      </c>
      <c r="N97" s="23">
        <v>23761.19</v>
      </c>
      <c r="O97" s="19" t="s">
        <v>19</v>
      </c>
      <c r="P97" s="23">
        <v>2059887.5</v>
      </c>
      <c r="Q97" s="12"/>
      <c r="R97" s="12">
        <f t="shared" si="1"/>
        <v>2059887.5</v>
      </c>
      <c r="S97" s="25" t="s">
        <v>30</v>
      </c>
    </row>
    <row r="98" spans="1:19" s="6" customFormat="1" x14ac:dyDescent="0.25">
      <c r="A98" s="11">
        <v>6779</v>
      </c>
      <c r="B98" s="11">
        <v>100222426</v>
      </c>
      <c r="C98" s="19" t="s">
        <v>24</v>
      </c>
      <c r="D98" s="22">
        <v>45734</v>
      </c>
      <c r="E98" s="11">
        <v>1800002539</v>
      </c>
      <c r="F98" s="19" t="s">
        <v>18</v>
      </c>
      <c r="G98" s="22">
        <v>45734</v>
      </c>
      <c r="H98" s="22">
        <v>45735</v>
      </c>
      <c r="I98" s="19" t="s">
        <v>22</v>
      </c>
      <c r="J98" s="11">
        <v>212100</v>
      </c>
      <c r="K98" s="19"/>
      <c r="L98" s="24">
        <v>246779412406</v>
      </c>
      <c r="M98" s="19" t="s">
        <v>17</v>
      </c>
      <c r="N98" s="23">
        <v>19515.21</v>
      </c>
      <c r="O98" s="19" t="s">
        <v>19</v>
      </c>
      <c r="P98" s="23">
        <v>1691798.14</v>
      </c>
      <c r="Q98" s="12"/>
      <c r="R98" s="12">
        <f t="shared" si="1"/>
        <v>1691798.14</v>
      </c>
      <c r="S98" s="25" t="s">
        <v>30</v>
      </c>
    </row>
    <row r="99" spans="1:19" s="6" customFormat="1" x14ac:dyDescent="0.25">
      <c r="A99" s="11">
        <v>6779</v>
      </c>
      <c r="B99" s="11">
        <v>100222426</v>
      </c>
      <c r="C99" s="19" t="s">
        <v>24</v>
      </c>
      <c r="D99" s="22">
        <v>45768</v>
      </c>
      <c r="E99" s="11">
        <v>1800007489</v>
      </c>
      <c r="F99" s="19" t="s">
        <v>18</v>
      </c>
      <c r="G99" s="22">
        <v>45768</v>
      </c>
      <c r="H99" s="22">
        <v>45769</v>
      </c>
      <c r="I99" s="19" t="s">
        <v>22</v>
      </c>
      <c r="J99" s="11">
        <v>212100</v>
      </c>
      <c r="K99" s="19"/>
      <c r="L99" s="24">
        <v>256779412380</v>
      </c>
      <c r="M99" s="19" t="s">
        <v>17</v>
      </c>
      <c r="N99" s="23">
        <v>16559.87</v>
      </c>
      <c r="O99" s="19" t="s">
        <v>19</v>
      </c>
      <c r="P99" s="23">
        <v>1439414.04</v>
      </c>
      <c r="Q99" s="12"/>
      <c r="R99" s="12">
        <f t="shared" si="1"/>
        <v>1439414.04</v>
      </c>
      <c r="S99" s="25" t="s">
        <v>30</v>
      </c>
    </row>
    <row r="100" spans="1:19" s="6" customFormat="1" x14ac:dyDescent="0.25">
      <c r="A100" s="11">
        <v>6779</v>
      </c>
      <c r="B100" s="11">
        <v>100222426</v>
      </c>
      <c r="C100" s="19" t="s">
        <v>24</v>
      </c>
      <c r="D100" s="20">
        <v>46104</v>
      </c>
      <c r="E100" s="11">
        <v>1600002953</v>
      </c>
      <c r="F100" s="19" t="s">
        <v>27</v>
      </c>
      <c r="G100" s="20">
        <v>46104</v>
      </c>
      <c r="H100" s="20">
        <v>46104</v>
      </c>
      <c r="I100" s="19" t="s">
        <v>22</v>
      </c>
      <c r="J100" s="11">
        <v>212100</v>
      </c>
      <c r="K100" s="19"/>
      <c r="L100" s="24">
        <v>256779422423</v>
      </c>
      <c r="M100" s="19" t="s">
        <v>17</v>
      </c>
      <c r="N100" s="21">
        <v>-16009</v>
      </c>
      <c r="O100" s="19" t="s">
        <v>19</v>
      </c>
      <c r="P100" s="21">
        <v>-1450364.81</v>
      </c>
      <c r="Q100" s="12"/>
      <c r="R100" s="12">
        <f t="shared" si="1"/>
        <v>-1450364.81</v>
      </c>
      <c r="S100" s="13" t="s">
        <v>29</v>
      </c>
    </row>
    <row r="101" spans="1:19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 t="s">
        <v>15</v>
      </c>
      <c r="M101" s="4" t="s">
        <v>17</v>
      </c>
      <c r="N101" s="17">
        <f>SUM(N2:N100)</f>
        <v>-9.9999999998544808E-2</v>
      </c>
      <c r="O101" s="14"/>
      <c r="P101" s="9">
        <f>SUM(P2:P100)</f>
        <v>-72707.380000002915</v>
      </c>
      <c r="Q101" s="15">
        <f>SUM(Q2:Q100)</f>
        <v>0</v>
      </c>
      <c r="R101" s="15">
        <f>SUM(R2:R100)</f>
        <v>-72707.380000002915</v>
      </c>
      <c r="S101" s="14" t="s">
        <v>23</v>
      </c>
    </row>
    <row r="102" spans="1:19" x14ac:dyDescent="0.25">
      <c r="O102" s="10"/>
      <c r="R102" s="3"/>
      <c r="S102" s="7"/>
    </row>
    <row r="103" spans="1:19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pans="1:19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201" spans="1:19" x14ac:dyDescent="0.25">
      <c r="K201" s="7"/>
    </row>
  </sheetData>
  <autoFilter ref="A1:S102" xr:uid="{9A64DEA2-5E90-4A7E-AC04-18C4F62A052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Knocking Off 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Neuroy Gonsalves</cp:lastModifiedBy>
  <dcterms:created xsi:type="dcterms:W3CDTF">2026-01-19T10:42:57Z</dcterms:created>
  <dcterms:modified xsi:type="dcterms:W3CDTF">2026-04-14T09:11:24Z</dcterms:modified>
</cp:coreProperties>
</file>