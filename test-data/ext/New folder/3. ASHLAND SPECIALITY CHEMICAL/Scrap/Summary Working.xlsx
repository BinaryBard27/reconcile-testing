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3. ASHLAND SPECIALITY CHEMICAL\"/>
    </mc:Choice>
  </mc:AlternateContent>
  <xr:revisionPtr revIDLastSave="0" documentId="13_ncr:1_{46801CAB-4406-4467-B41A-A0F3F28C08A9}" xr6:coauthVersionLast="47" xr6:coauthVersionMax="47" xr10:uidLastSave="{00000000-0000-0000-0000-000000000000}"/>
  <bookViews>
    <workbookView xWindow="-110" yWindow="-110" windowWidth="21820" windowHeight="14020" tabRatio="970" activeTab="3" xr2:uid="{434139C1-374A-4103-B7BC-F3D36FF7F0DB}"/>
  </bookViews>
  <sheets>
    <sheet name="Summary" sheetId="10" r:id="rId1"/>
    <sheet name="Invoice No Ref" sheetId="22" r:id="rId2"/>
    <sheet name="Payment Reco" sheetId="24" r:id="rId3"/>
    <sheet name="Invoices Not in customer books" sheetId="18" r:id="rId4"/>
    <sheet name="CN not in Ascendus Books" sheetId="26" r:id="rId5"/>
    <sheet name="Sheet1" sheetId="27" r:id="rId6"/>
    <sheet name="Sheet2" sheetId="28" r:id="rId7"/>
    <sheet name="invoice not in Ascendus Books" sheetId="25" r:id="rId8"/>
    <sheet name="Duplicate CN in Ascendus Books" sheetId="21" r:id="rId9"/>
    <sheet name="Diffrence in Customer Books" sheetId="19" r:id="rId10"/>
    <sheet name="Ascendus data" sheetId="16" r:id="rId11"/>
    <sheet name="Customer Data" sheetId="17" r:id="rId12"/>
    <sheet name="Pivot - customer data" sheetId="8" state="hidden" r:id="rId13"/>
    <sheet name="Asendus Data" sheetId="1" state="hidden" r:id="rId14"/>
    <sheet name="Ascendus Pivot" sheetId="13" state="hidden" r:id="rId15"/>
  </sheets>
  <definedNames>
    <definedName name="_xlnm._FilterDatabase" localSheetId="10" hidden="1">'Ascendus data'!$A$1:$AJ$300</definedName>
    <definedName name="_xlnm._FilterDatabase" localSheetId="13" hidden="1">'Asendus Data'!$C$1:$S$1</definedName>
    <definedName name="_xlnm._FilterDatabase" localSheetId="11" hidden="1">'Customer Data'!$A$1:$M$191</definedName>
    <definedName name="_xlnm._FilterDatabase" localSheetId="7" hidden="1">'invoice not in Ascendus Books'!$G$25:$H$26</definedName>
    <definedName name="_xlnm._FilterDatabase" localSheetId="3" hidden="1">'Invoices Not in customer books'!$A$3:$G$29</definedName>
    <definedName name="_xlnm._FilterDatabase" localSheetId="2" hidden="1">'Payment Reco'!$A$2:$D$13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" i="18" l="1"/>
  <c r="B6" i="10" s="1"/>
  <c r="J13" i="28"/>
  <c r="K13" i="28" s="1"/>
  <c r="J12" i="28"/>
  <c r="K12" i="28" s="1"/>
  <c r="J11" i="28"/>
  <c r="K11" i="28" s="1"/>
  <c r="J10" i="28"/>
  <c r="K10" i="28" s="1"/>
  <c r="J9" i="28"/>
  <c r="K9" i="28" s="1"/>
  <c r="J8" i="28"/>
  <c r="K8" i="28" s="1"/>
  <c r="J7" i="28"/>
  <c r="K7" i="28" s="1"/>
  <c r="J6" i="28"/>
  <c r="K6" i="28" s="1"/>
  <c r="J5" i="28"/>
  <c r="K5" i="28" s="1"/>
  <c r="J4" i="28"/>
  <c r="K4" i="28" s="1"/>
  <c r="J3" i="28"/>
  <c r="K3" i="28" s="1"/>
  <c r="B11" i="10"/>
  <c r="B9" i="10"/>
  <c r="B8" i="10"/>
  <c r="F193" i="17"/>
  <c r="B5" i="10"/>
  <c r="T296" i="16"/>
  <c r="B13" i="10" s="1"/>
  <c r="H10" i="19"/>
  <c r="I10" i="19" s="1"/>
  <c r="Q10" i="19" s="1"/>
  <c r="H9" i="19"/>
  <c r="I9" i="19" s="1"/>
  <c r="Q9" i="19" s="1"/>
  <c r="H8" i="19"/>
  <c r="I8" i="19" s="1"/>
  <c r="Q8" i="19" s="1"/>
  <c r="H7" i="19"/>
  <c r="I7" i="19" s="1"/>
  <c r="Q7" i="19" s="1"/>
  <c r="H6" i="19"/>
  <c r="I6" i="19" s="1"/>
  <c r="Q6" i="19" s="1"/>
  <c r="H5" i="19"/>
  <c r="I5" i="19" s="1"/>
  <c r="Q5" i="19" s="1"/>
  <c r="H4" i="19"/>
  <c r="I4" i="19" s="1"/>
  <c r="Q4" i="19" s="1"/>
  <c r="H3" i="19"/>
  <c r="I3" i="19" s="1"/>
  <c r="Q3" i="19" s="1"/>
  <c r="H2" i="19"/>
  <c r="I2" i="19" s="1"/>
  <c r="Q2" i="19" s="1"/>
  <c r="L7" i="24"/>
  <c r="L14" i="24"/>
  <c r="L13" i="24"/>
  <c r="L12" i="24"/>
  <c r="L11" i="24"/>
  <c r="L10" i="24"/>
  <c r="L9" i="24"/>
  <c r="L8" i="24"/>
  <c r="L6" i="24"/>
  <c r="L5" i="24"/>
  <c r="L4" i="24"/>
  <c r="L3" i="24"/>
  <c r="I56" i="17"/>
  <c r="J56" i="17" s="1"/>
  <c r="E41" i="25"/>
  <c r="B7" i="10" s="1"/>
  <c r="R295" i="16"/>
  <c r="AB295" i="16" s="1"/>
  <c r="R294" i="16"/>
  <c r="AB294" i="16" s="1"/>
  <c r="R293" i="16"/>
  <c r="AB293" i="16" s="1"/>
  <c r="R292" i="16"/>
  <c r="AB292" i="16" s="1"/>
  <c r="R291" i="16"/>
  <c r="AB291" i="16" s="1"/>
  <c r="R269" i="16"/>
  <c r="AB269" i="16" s="1"/>
  <c r="R268" i="16"/>
  <c r="AB268" i="16" s="1"/>
  <c r="R267" i="16"/>
  <c r="AB267" i="16" s="1"/>
  <c r="R266" i="16"/>
  <c r="AB266" i="16" s="1"/>
  <c r="R265" i="16"/>
  <c r="AB265" i="16" s="1"/>
  <c r="R257" i="16"/>
  <c r="AB257" i="16" s="1"/>
  <c r="R248" i="16"/>
  <c r="AB248" i="16" s="1"/>
  <c r="R247" i="16"/>
  <c r="AB247" i="16" s="1"/>
  <c r="R246" i="16"/>
  <c r="AB246" i="16" s="1"/>
  <c r="R243" i="16"/>
  <c r="AB243" i="16" s="1"/>
  <c r="R242" i="16"/>
  <c r="AB242" i="16" s="1"/>
  <c r="R241" i="16"/>
  <c r="AB241" i="16" s="1"/>
  <c r="R240" i="16"/>
  <c r="AB240" i="16" s="1"/>
  <c r="R237" i="16"/>
  <c r="AB237" i="16" s="1"/>
  <c r="R236" i="16"/>
  <c r="AB236" i="16" s="1"/>
  <c r="R235" i="16"/>
  <c r="AB235" i="16" s="1"/>
  <c r="R224" i="16"/>
  <c r="AB224" i="16" s="1"/>
  <c r="R223" i="16"/>
  <c r="AB223" i="16" s="1"/>
  <c r="R222" i="16"/>
  <c r="AB222" i="16" s="1"/>
  <c r="R213" i="16"/>
  <c r="AB213" i="16" s="1"/>
  <c r="R212" i="16"/>
  <c r="AB212" i="16" s="1"/>
  <c r="R211" i="16"/>
  <c r="AB211" i="16" s="1"/>
  <c r="R187" i="16"/>
  <c r="AB187" i="16" s="1"/>
  <c r="R186" i="16"/>
  <c r="AB186" i="16" s="1"/>
  <c r="R185" i="16"/>
  <c r="AB185" i="16" s="1"/>
  <c r="R184" i="16"/>
  <c r="AB184" i="16" s="1"/>
  <c r="R183" i="16"/>
  <c r="AB183" i="16" s="1"/>
  <c r="R180" i="16"/>
  <c r="AB180" i="16" s="1"/>
  <c r="R179" i="16"/>
  <c r="AB179" i="16" s="1"/>
  <c r="R178" i="16"/>
  <c r="AB178" i="16" s="1"/>
  <c r="R177" i="16"/>
  <c r="AB177" i="16" s="1"/>
  <c r="R176" i="16"/>
  <c r="AB176" i="16" s="1"/>
  <c r="R175" i="16"/>
  <c r="AB175" i="16" s="1"/>
  <c r="R174" i="16"/>
  <c r="AB174" i="16" s="1"/>
  <c r="R173" i="16"/>
  <c r="AB173" i="16" s="1"/>
  <c r="R172" i="16"/>
  <c r="AB172" i="16" s="1"/>
  <c r="R160" i="16"/>
  <c r="AB160" i="16" s="1"/>
  <c r="R159" i="16"/>
  <c r="AB159" i="16" s="1"/>
  <c r="R156" i="16"/>
  <c r="AB156" i="16" s="1"/>
  <c r="R155" i="16"/>
  <c r="AB155" i="16" s="1"/>
  <c r="R154" i="16"/>
  <c r="AB154" i="16" s="1"/>
  <c r="R153" i="16"/>
  <c r="AB153" i="16" s="1"/>
  <c r="R152" i="16"/>
  <c r="AB152" i="16" s="1"/>
  <c r="R149" i="16"/>
  <c r="AB149" i="16" s="1"/>
  <c r="AC149" i="16" s="1"/>
  <c r="R148" i="16"/>
  <c r="AB148" i="16" s="1"/>
  <c r="AC148" i="16" s="1"/>
  <c r="R147" i="16"/>
  <c r="AB147" i="16" s="1"/>
  <c r="AC147" i="16" s="1"/>
  <c r="R144" i="16"/>
  <c r="AB144" i="16" s="1"/>
  <c r="R138" i="16"/>
  <c r="AB138" i="16" s="1"/>
  <c r="R137" i="16"/>
  <c r="AB137" i="16" s="1"/>
  <c r="R136" i="16"/>
  <c r="AB136" i="16" s="1"/>
  <c r="R135" i="16"/>
  <c r="AB135" i="16" s="1"/>
  <c r="R134" i="16"/>
  <c r="AB134" i="16" s="1"/>
  <c r="R133" i="16"/>
  <c r="AB133" i="16" s="1"/>
  <c r="R132" i="16"/>
  <c r="AB132" i="16" s="1"/>
  <c r="AC132" i="16" s="1"/>
  <c r="R131" i="16"/>
  <c r="AB131" i="16" s="1"/>
  <c r="AC131" i="16" s="1"/>
  <c r="R130" i="16"/>
  <c r="AB130" i="16" s="1"/>
  <c r="AC130" i="16" s="1"/>
  <c r="R129" i="16"/>
  <c r="AB129" i="16" s="1"/>
  <c r="AC129" i="16" s="1"/>
  <c r="R128" i="16"/>
  <c r="AB128" i="16" s="1"/>
  <c r="AC128" i="16" s="1"/>
  <c r="R117" i="16"/>
  <c r="AB117" i="16" s="1"/>
  <c r="R116" i="16"/>
  <c r="AB116" i="16" s="1"/>
  <c r="R113" i="16"/>
  <c r="AB113" i="16" s="1"/>
  <c r="AC113" i="16" s="1"/>
  <c r="R112" i="16"/>
  <c r="AB112" i="16" s="1"/>
  <c r="R111" i="16"/>
  <c r="AB111" i="16" s="1"/>
  <c r="AC111" i="16" s="1"/>
  <c r="R110" i="16"/>
  <c r="AB110" i="16" s="1"/>
  <c r="AC110" i="16" s="1"/>
  <c r="R109" i="16"/>
  <c r="AB109" i="16" s="1"/>
  <c r="AC109" i="16" s="1"/>
  <c r="R108" i="16"/>
  <c r="AB108" i="16" s="1"/>
  <c r="AC108" i="16" s="1"/>
  <c r="R107" i="16"/>
  <c r="AB107" i="16" s="1"/>
  <c r="AC107" i="16" s="1"/>
  <c r="R106" i="16"/>
  <c r="AB106" i="16" s="1"/>
  <c r="R105" i="16"/>
  <c r="AB105" i="16" s="1"/>
  <c r="R104" i="16"/>
  <c r="AB104" i="16" s="1"/>
  <c r="R103" i="16"/>
  <c r="AB103" i="16" s="1"/>
  <c r="R102" i="16"/>
  <c r="AB102" i="16" s="1"/>
  <c r="R101" i="16"/>
  <c r="AB101" i="16" s="1"/>
  <c r="R100" i="16"/>
  <c r="AB100" i="16" s="1"/>
  <c r="AC100" i="16" s="1"/>
  <c r="R99" i="16"/>
  <c r="AB99" i="16" s="1"/>
  <c r="AC99" i="16" s="1"/>
  <c r="R98" i="16"/>
  <c r="AB98" i="16" s="1"/>
  <c r="AC98" i="16" s="1"/>
  <c r="R97" i="16"/>
  <c r="AB97" i="16" s="1"/>
  <c r="AC97" i="16" s="1"/>
  <c r="R96" i="16"/>
  <c r="AB96" i="16" s="1"/>
  <c r="R95" i="16"/>
  <c r="AB95" i="16" s="1"/>
  <c r="AC95" i="16" s="1"/>
  <c r="R94" i="16"/>
  <c r="AB94" i="16" s="1"/>
  <c r="AC94" i="16" s="1"/>
  <c r="R93" i="16"/>
  <c r="AB93" i="16" s="1"/>
  <c r="AC93" i="16" s="1"/>
  <c r="R92" i="16"/>
  <c r="AB92" i="16" s="1"/>
  <c r="AC92" i="16" s="1"/>
  <c r="R91" i="16"/>
  <c r="AB91" i="16" s="1"/>
  <c r="AC91" i="16" s="1"/>
  <c r="R90" i="16"/>
  <c r="AB90" i="16" s="1"/>
  <c r="R89" i="16"/>
  <c r="AB89" i="16" s="1"/>
  <c r="R88" i="16"/>
  <c r="AB88" i="16" s="1"/>
  <c r="AC88" i="16" s="1"/>
  <c r="R87" i="16"/>
  <c r="AB87" i="16" s="1"/>
  <c r="AC87" i="16" s="1"/>
  <c r="R86" i="16"/>
  <c r="AB86" i="16" s="1"/>
  <c r="AC86" i="16" s="1"/>
  <c r="R85" i="16"/>
  <c r="AB85" i="16" s="1"/>
  <c r="AC85" i="16" s="1"/>
  <c r="R84" i="16"/>
  <c r="AB84" i="16" s="1"/>
  <c r="AC84" i="16" s="1"/>
  <c r="R83" i="16"/>
  <c r="AB83" i="16" s="1"/>
  <c r="AC83" i="16" s="1"/>
  <c r="R82" i="16"/>
  <c r="AB82" i="16" s="1"/>
  <c r="R79" i="16"/>
  <c r="AB79" i="16" s="1"/>
  <c r="R78" i="16"/>
  <c r="AB78" i="16" s="1"/>
  <c r="R77" i="16"/>
  <c r="AB77" i="16" s="1"/>
  <c r="R76" i="16"/>
  <c r="AB76" i="16" s="1"/>
  <c r="R75" i="16"/>
  <c r="AB75" i="16" s="1"/>
  <c r="R74" i="16"/>
  <c r="AB74" i="16" s="1"/>
  <c r="R73" i="16"/>
  <c r="AB73" i="16" s="1"/>
  <c r="R72" i="16"/>
  <c r="AB72" i="16" s="1"/>
  <c r="R71" i="16"/>
  <c r="AB71" i="16" s="1"/>
  <c r="R70" i="16"/>
  <c r="AB70" i="16" s="1"/>
  <c r="R69" i="16"/>
  <c r="AB69" i="16" s="1"/>
  <c r="R68" i="16"/>
  <c r="AB68" i="16" s="1"/>
  <c r="R67" i="16"/>
  <c r="AB67" i="16" s="1"/>
  <c r="R66" i="16"/>
  <c r="AB66" i="16" s="1"/>
  <c r="R65" i="16"/>
  <c r="AB65" i="16" s="1"/>
  <c r="R64" i="16"/>
  <c r="AB64" i="16" s="1"/>
  <c r="R63" i="16"/>
  <c r="AB63" i="16" s="1"/>
  <c r="R62" i="16"/>
  <c r="AB62" i="16" s="1"/>
  <c r="R60" i="16"/>
  <c r="AB60" i="16" s="1"/>
  <c r="R59" i="16"/>
  <c r="AB59" i="16" s="1"/>
  <c r="R58" i="16"/>
  <c r="AB58" i="16" s="1"/>
  <c r="R57" i="16"/>
  <c r="AB57" i="16" s="1"/>
  <c r="R50" i="16"/>
  <c r="AB50" i="16" s="1"/>
  <c r="R49" i="16"/>
  <c r="AB49" i="16" s="1"/>
  <c r="AC49" i="16" s="1"/>
  <c r="R48" i="16"/>
  <c r="AB48" i="16" s="1"/>
  <c r="AC48" i="16" s="1"/>
  <c r="R47" i="16"/>
  <c r="AB47" i="16" s="1"/>
  <c r="AC47" i="16" s="1"/>
  <c r="R46" i="16"/>
  <c r="AB46" i="16" s="1"/>
  <c r="R45" i="16"/>
  <c r="AB45" i="16" s="1"/>
  <c r="AC45" i="16" s="1"/>
  <c r="R44" i="16"/>
  <c r="AB44" i="16" s="1"/>
  <c r="R43" i="16"/>
  <c r="AB43" i="16" s="1"/>
  <c r="R42" i="16"/>
  <c r="AB42" i="16" s="1"/>
  <c r="R41" i="16"/>
  <c r="AB41" i="16" s="1"/>
  <c r="R40" i="16"/>
  <c r="AB40" i="16" s="1"/>
  <c r="R39" i="16"/>
  <c r="AB39" i="16" s="1"/>
  <c r="R38" i="16"/>
  <c r="AB38" i="16" s="1"/>
  <c r="R37" i="16"/>
  <c r="AB37" i="16" s="1"/>
  <c r="R36" i="16"/>
  <c r="AB36" i="16" s="1"/>
  <c r="R35" i="16"/>
  <c r="AB35" i="16" s="1"/>
  <c r="R34" i="16"/>
  <c r="AB34" i="16" s="1"/>
  <c r="R33" i="16"/>
  <c r="AB33" i="16" s="1"/>
  <c r="R32" i="16"/>
  <c r="AB32" i="16" s="1"/>
  <c r="R31" i="16"/>
  <c r="AB31" i="16" s="1"/>
  <c r="R30" i="16"/>
  <c r="AB30" i="16" s="1"/>
  <c r="R29" i="16"/>
  <c r="AB29" i="16" s="1"/>
  <c r="R28" i="16"/>
  <c r="AB28" i="16" s="1"/>
  <c r="R27" i="16"/>
  <c r="AB27" i="16" s="1"/>
  <c r="R26" i="16"/>
  <c r="AB26" i="16" s="1"/>
  <c r="R25" i="16"/>
  <c r="AB25" i="16" s="1"/>
  <c r="R24" i="16"/>
  <c r="AB24" i="16" s="1"/>
  <c r="R23" i="16"/>
  <c r="AB23" i="16" s="1"/>
  <c r="R22" i="16"/>
  <c r="AB22" i="16" s="1"/>
  <c r="R21" i="16"/>
  <c r="AB21" i="16" s="1"/>
  <c r="R20" i="16"/>
  <c r="AB20" i="16" s="1"/>
  <c r="R19" i="16"/>
  <c r="AB19" i="16" s="1"/>
  <c r="R18" i="16"/>
  <c r="AB18" i="16" s="1"/>
  <c r="R17" i="16"/>
  <c r="AB17" i="16" s="1"/>
  <c r="R16" i="16"/>
  <c r="AB16" i="16" s="1"/>
  <c r="R15" i="16"/>
  <c r="AB15" i="16" s="1"/>
  <c r="R14" i="16"/>
  <c r="AB14" i="16" s="1"/>
  <c r="R13" i="16"/>
  <c r="AB13" i="16" s="1"/>
  <c r="AC13" i="16" s="1"/>
  <c r="R12" i="16"/>
  <c r="AB12" i="16" s="1"/>
  <c r="AC12" i="16" s="1"/>
  <c r="R11" i="16"/>
  <c r="AB11" i="16" s="1"/>
  <c r="R10" i="16"/>
  <c r="AB10" i="16" s="1"/>
  <c r="AC10" i="16" s="1"/>
  <c r="R9" i="16"/>
  <c r="AB9" i="16" s="1"/>
  <c r="AC9" i="16" s="1"/>
  <c r="R8" i="16"/>
  <c r="AB8" i="16" s="1"/>
  <c r="R7" i="16"/>
  <c r="AB7" i="16" s="1"/>
  <c r="R6" i="16"/>
  <c r="AB6" i="16" s="1"/>
  <c r="R5" i="16"/>
  <c r="AB5" i="16" s="1"/>
  <c r="R4" i="16"/>
  <c r="AB4" i="16" s="1"/>
  <c r="R3" i="16"/>
  <c r="AB3" i="16" s="1"/>
  <c r="R2" i="16"/>
  <c r="AB2" i="16" s="1"/>
  <c r="I55" i="17" l="1"/>
  <c r="J55" i="17" s="1"/>
  <c r="Q11" i="19"/>
  <c r="B10" i="10" s="1"/>
  <c r="B12" i="10" s="1"/>
  <c r="B15" i="10" s="1"/>
  <c r="I9" i="17"/>
  <c r="J9" i="17" s="1"/>
  <c r="I21" i="17"/>
  <c r="J21" i="17" s="1"/>
  <c r="I33" i="17"/>
  <c r="J33" i="17" s="1"/>
  <c r="I45" i="17"/>
  <c r="J45" i="17" s="1"/>
  <c r="I121" i="17"/>
  <c r="J121" i="17" s="1"/>
  <c r="I10" i="17"/>
  <c r="J10" i="17" s="1"/>
  <c r="I22" i="17"/>
  <c r="J22" i="17" s="1"/>
  <c r="I34" i="17"/>
  <c r="J34" i="17" s="1"/>
  <c r="I46" i="17"/>
  <c r="J46" i="17" s="1"/>
  <c r="I130" i="17"/>
  <c r="J130" i="17" s="1"/>
  <c r="I11" i="17"/>
  <c r="J11" i="17" s="1"/>
  <c r="I23" i="17"/>
  <c r="J23" i="17" s="1"/>
  <c r="I35" i="17"/>
  <c r="J35" i="17" s="1"/>
  <c r="I47" i="17"/>
  <c r="J47" i="17" s="1"/>
  <c r="I143" i="17"/>
  <c r="J143" i="17" s="1"/>
  <c r="I12" i="17"/>
  <c r="J12" i="17" s="1"/>
  <c r="I24" i="17"/>
  <c r="J24" i="17" s="1"/>
  <c r="I36" i="17"/>
  <c r="J36" i="17" s="1"/>
  <c r="I48" i="17"/>
  <c r="J48" i="17" s="1"/>
  <c r="I146" i="17"/>
  <c r="J146" i="17" s="1"/>
  <c r="I2" i="17"/>
  <c r="J2" i="17" s="1"/>
  <c r="I13" i="17"/>
  <c r="J13" i="17" s="1"/>
  <c r="I25" i="17"/>
  <c r="J25" i="17" s="1"/>
  <c r="I37" i="17"/>
  <c r="J37" i="17" s="1"/>
  <c r="I49" i="17"/>
  <c r="J49" i="17" s="1"/>
  <c r="I147" i="17"/>
  <c r="J147" i="17" s="1"/>
  <c r="I14" i="17"/>
  <c r="J14" i="17" s="1"/>
  <c r="I26" i="17"/>
  <c r="J26" i="17" s="1"/>
  <c r="I38" i="17"/>
  <c r="J38" i="17" s="1"/>
  <c r="I50" i="17"/>
  <c r="J50" i="17" s="1"/>
  <c r="I163" i="17"/>
  <c r="J163" i="17" s="1"/>
  <c r="I3" i="17"/>
  <c r="J3" i="17" s="1"/>
  <c r="I15" i="17"/>
  <c r="J15" i="17" s="1"/>
  <c r="I27" i="17"/>
  <c r="J27" i="17" s="1"/>
  <c r="I39" i="17"/>
  <c r="J39" i="17" s="1"/>
  <c r="I51" i="17"/>
  <c r="J51" i="17" s="1"/>
  <c r="I176" i="17"/>
  <c r="J176" i="17" s="1"/>
  <c r="I4" i="17"/>
  <c r="J4" i="17" s="1"/>
  <c r="I16" i="17"/>
  <c r="J16" i="17" s="1"/>
  <c r="I28" i="17"/>
  <c r="J28" i="17" s="1"/>
  <c r="I40" i="17"/>
  <c r="J40" i="17" s="1"/>
  <c r="I52" i="17"/>
  <c r="J52" i="17" s="1"/>
  <c r="I191" i="17"/>
  <c r="J191" i="17" s="1"/>
  <c r="I5" i="17"/>
  <c r="J5" i="17" s="1"/>
  <c r="I17" i="17"/>
  <c r="J17" i="17" s="1"/>
  <c r="I29" i="17"/>
  <c r="J29" i="17" s="1"/>
  <c r="I41" i="17"/>
  <c r="J41" i="17" s="1"/>
  <c r="I53" i="17"/>
  <c r="J53" i="17" s="1"/>
  <c r="I6" i="17"/>
  <c r="J6" i="17" s="1"/>
  <c r="I18" i="17"/>
  <c r="J18" i="17" s="1"/>
  <c r="I30" i="17"/>
  <c r="J30" i="17" s="1"/>
  <c r="I42" i="17"/>
  <c r="J42" i="17" s="1"/>
  <c r="I54" i="17"/>
  <c r="J54" i="17" s="1"/>
  <c r="I7" i="17"/>
  <c r="J7" i="17" s="1"/>
  <c r="I19" i="17"/>
  <c r="J19" i="17" s="1"/>
  <c r="I31" i="17"/>
  <c r="J31" i="17" s="1"/>
  <c r="I43" i="17"/>
  <c r="J43" i="17" s="1"/>
  <c r="I79" i="17"/>
  <c r="J79" i="17" s="1"/>
  <c r="I8" i="17"/>
  <c r="J8" i="17" s="1"/>
  <c r="I20" i="17"/>
  <c r="J20" i="17" s="1"/>
  <c r="I32" i="17"/>
  <c r="J32" i="17" s="1"/>
  <c r="I44" i="17"/>
  <c r="J44" i="17" s="1"/>
  <c r="I99" i="17"/>
  <c r="J99" i="17" s="1"/>
  <c r="I78" i="17" l="1"/>
  <c r="J78" i="17" s="1"/>
  <c r="I190" i="17"/>
  <c r="J190" i="17" s="1"/>
  <c r="I189" i="17"/>
  <c r="J189" i="17" s="1"/>
  <c r="I188" i="17"/>
  <c r="J188" i="17" s="1"/>
  <c r="I187" i="17"/>
  <c r="J187" i="17" s="1"/>
  <c r="I186" i="17"/>
  <c r="J186" i="17" s="1"/>
  <c r="I185" i="17"/>
  <c r="J185" i="17" s="1"/>
  <c r="I184" i="17"/>
  <c r="J184" i="17" s="1"/>
  <c r="I183" i="17"/>
  <c r="J183" i="17" s="1"/>
  <c r="I182" i="17"/>
  <c r="J182" i="17" s="1"/>
  <c r="I181" i="17"/>
  <c r="J181" i="17" s="1"/>
  <c r="I180" i="17"/>
  <c r="J180" i="17" s="1"/>
  <c r="I179" i="17"/>
  <c r="J179" i="17" s="1"/>
  <c r="I178" i="17"/>
  <c r="J178" i="17" s="1"/>
  <c r="I177" i="17"/>
  <c r="J177" i="17" s="1"/>
  <c r="I175" i="17"/>
  <c r="J175" i="17" s="1"/>
  <c r="I174" i="17"/>
  <c r="J174" i="17" s="1"/>
  <c r="I173" i="17"/>
  <c r="J173" i="17" s="1"/>
  <c r="I172" i="17"/>
  <c r="J172" i="17" s="1"/>
  <c r="I171" i="17"/>
  <c r="J171" i="17" s="1"/>
  <c r="I170" i="17"/>
  <c r="J170" i="17" s="1"/>
  <c r="I169" i="17"/>
  <c r="J169" i="17" s="1"/>
  <c r="I168" i="17"/>
  <c r="J168" i="17" s="1"/>
  <c r="I167" i="17"/>
  <c r="J167" i="17" s="1"/>
  <c r="I166" i="17"/>
  <c r="J166" i="17" s="1"/>
  <c r="I165" i="17"/>
  <c r="J165" i="17" s="1"/>
  <c r="I164" i="17"/>
  <c r="J164" i="17" s="1"/>
  <c r="I162" i="17"/>
  <c r="J162" i="17" s="1"/>
  <c r="I161" i="17"/>
  <c r="J161" i="17" s="1"/>
  <c r="I160" i="17"/>
  <c r="J160" i="17" s="1"/>
  <c r="I159" i="17"/>
  <c r="J159" i="17" s="1"/>
  <c r="I158" i="17"/>
  <c r="J158" i="17" s="1"/>
  <c r="I157" i="17"/>
  <c r="J157" i="17" s="1"/>
  <c r="I156" i="17"/>
  <c r="J156" i="17" s="1"/>
  <c r="I155" i="17"/>
  <c r="J155" i="17" s="1"/>
  <c r="I154" i="17"/>
  <c r="J154" i="17" s="1"/>
  <c r="I153" i="17"/>
  <c r="J153" i="17" s="1"/>
  <c r="I152" i="17"/>
  <c r="J152" i="17" s="1"/>
  <c r="I151" i="17"/>
  <c r="J151" i="17" s="1"/>
  <c r="I150" i="17"/>
  <c r="J150" i="17" s="1"/>
  <c r="I149" i="17"/>
  <c r="J149" i="17" s="1"/>
  <c r="I148" i="17"/>
  <c r="J148" i="17" s="1"/>
  <c r="I145" i="17"/>
  <c r="J145" i="17" s="1"/>
  <c r="I144" i="17"/>
  <c r="J144" i="17" s="1"/>
  <c r="I142" i="17"/>
  <c r="J142" i="17" s="1"/>
  <c r="I141" i="17"/>
  <c r="J141" i="17" s="1"/>
  <c r="I140" i="17"/>
  <c r="J140" i="17" s="1"/>
  <c r="I139" i="17"/>
  <c r="J139" i="17" s="1"/>
  <c r="I138" i="17"/>
  <c r="J138" i="17" s="1"/>
  <c r="I137" i="17"/>
  <c r="J137" i="17" s="1"/>
  <c r="I136" i="17"/>
  <c r="J136" i="17" s="1"/>
  <c r="I135" i="17"/>
  <c r="J135" i="17" s="1"/>
  <c r="I134" i="17"/>
  <c r="J134" i="17" s="1"/>
  <c r="I133" i="17"/>
  <c r="J133" i="17" s="1"/>
  <c r="I132" i="17"/>
  <c r="J132" i="17" s="1"/>
  <c r="I131" i="17"/>
  <c r="J131" i="17" s="1"/>
  <c r="I129" i="17"/>
  <c r="J129" i="17" s="1"/>
  <c r="I128" i="17"/>
  <c r="J128" i="17" s="1"/>
  <c r="I127" i="17"/>
  <c r="J127" i="17" s="1"/>
  <c r="I126" i="17"/>
  <c r="J126" i="17" s="1"/>
  <c r="I125" i="17"/>
  <c r="J125" i="17" s="1"/>
  <c r="I124" i="17"/>
  <c r="J124" i="17" s="1"/>
  <c r="I123" i="17"/>
  <c r="J123" i="17" s="1"/>
  <c r="I122" i="17"/>
  <c r="J122" i="17" s="1"/>
  <c r="I120" i="17"/>
  <c r="J120" i="17" s="1"/>
  <c r="I119" i="17"/>
  <c r="J119" i="17" s="1"/>
  <c r="I118" i="17"/>
  <c r="J118" i="17" s="1"/>
  <c r="I117" i="17"/>
  <c r="J117" i="17" s="1"/>
  <c r="I116" i="17"/>
  <c r="J116" i="17" s="1"/>
  <c r="I115" i="17"/>
  <c r="J115" i="17" s="1"/>
  <c r="I114" i="17"/>
  <c r="J114" i="17" s="1"/>
  <c r="I113" i="17"/>
  <c r="J113" i="17" s="1"/>
  <c r="I112" i="17"/>
  <c r="J112" i="17" s="1"/>
  <c r="I111" i="17"/>
  <c r="J111" i="17" s="1"/>
  <c r="I110" i="17"/>
  <c r="J110" i="17" s="1"/>
  <c r="I109" i="17"/>
  <c r="J109" i="17" s="1"/>
  <c r="I108" i="17"/>
  <c r="J108" i="17" s="1"/>
  <c r="I107" i="17"/>
  <c r="J107" i="17" s="1"/>
  <c r="I106" i="17"/>
  <c r="J106" i="17" s="1"/>
  <c r="I105" i="17"/>
  <c r="J105" i="17" s="1"/>
  <c r="I104" i="17"/>
  <c r="J104" i="17" s="1"/>
  <c r="I103" i="17"/>
  <c r="J103" i="17" s="1"/>
  <c r="I102" i="17"/>
  <c r="J102" i="17" s="1"/>
  <c r="I101" i="17"/>
  <c r="J101" i="17" s="1"/>
  <c r="I100" i="17"/>
  <c r="J100" i="17" s="1"/>
  <c r="I98" i="17"/>
  <c r="J98" i="17" s="1"/>
  <c r="I97" i="17"/>
  <c r="J97" i="17" s="1"/>
  <c r="I96" i="17"/>
  <c r="J96" i="17" s="1"/>
  <c r="I95" i="17"/>
  <c r="J95" i="17" s="1"/>
  <c r="I94" i="17"/>
  <c r="J94" i="17" s="1"/>
  <c r="I93" i="17"/>
  <c r="J93" i="17" s="1"/>
  <c r="I92" i="17"/>
  <c r="J92" i="17" s="1"/>
  <c r="I91" i="17"/>
  <c r="J91" i="17" s="1"/>
  <c r="I90" i="17"/>
  <c r="J90" i="17" s="1"/>
  <c r="I89" i="17"/>
  <c r="J89" i="17" s="1"/>
  <c r="I88" i="17"/>
  <c r="J88" i="17" s="1"/>
  <c r="I87" i="17"/>
  <c r="J87" i="17" s="1"/>
  <c r="I86" i="17"/>
  <c r="J86" i="17" s="1"/>
  <c r="I85" i="17"/>
  <c r="J85" i="17" s="1"/>
  <c r="I84" i="17"/>
  <c r="J84" i="17" s="1"/>
  <c r="I83" i="17"/>
  <c r="J83" i="17" s="1"/>
  <c r="I82" i="17"/>
  <c r="J82" i="17" s="1"/>
  <c r="I81" i="17"/>
  <c r="J81" i="17" s="1"/>
  <c r="I80" i="17"/>
  <c r="J80" i="17" s="1"/>
  <c r="I77" i="17"/>
  <c r="J77" i="17" s="1"/>
  <c r="I76" i="17"/>
  <c r="J76" i="17" s="1"/>
  <c r="I75" i="17"/>
  <c r="J75" i="17" s="1"/>
  <c r="I74" i="17"/>
  <c r="J74" i="17" s="1"/>
  <c r="I73" i="17"/>
  <c r="J73" i="17" s="1"/>
  <c r="I72" i="17"/>
  <c r="J72" i="17" s="1"/>
  <c r="I71" i="17"/>
  <c r="J71" i="17" s="1"/>
  <c r="I70" i="17"/>
  <c r="J70" i="17" s="1"/>
  <c r="I69" i="17"/>
  <c r="J69" i="17" s="1"/>
  <c r="I68" i="17"/>
  <c r="J68" i="17" s="1"/>
  <c r="I67" i="17"/>
  <c r="J67" i="17" s="1"/>
  <c r="I66" i="17"/>
  <c r="J66" i="17" s="1"/>
  <c r="I65" i="17"/>
  <c r="J65" i="17" s="1"/>
  <c r="I64" i="17"/>
  <c r="J64" i="17" s="1"/>
  <c r="I63" i="17"/>
  <c r="J63" i="17" s="1"/>
  <c r="I62" i="17"/>
  <c r="J62" i="17" s="1"/>
  <c r="I61" i="17"/>
  <c r="J61" i="17" s="1"/>
  <c r="I60" i="17"/>
  <c r="J60" i="17" s="1"/>
  <c r="I59" i="17"/>
  <c r="J59" i="17" s="1"/>
  <c r="I58" i="17"/>
  <c r="J58" i="17" s="1"/>
  <c r="I57" i="17"/>
  <c r="J57" i="17" s="1"/>
  <c r="AB51" i="16"/>
  <c r="AC51" i="16" s="1"/>
  <c r="AB52" i="16"/>
  <c r="AC52" i="16" s="1"/>
  <c r="AB53" i="16"/>
  <c r="AC53" i="16" s="1"/>
  <c r="AB54" i="16"/>
  <c r="AC54" i="16" s="1"/>
  <c r="AB55" i="16"/>
  <c r="AC55" i="16" s="1"/>
  <c r="AB56" i="16"/>
  <c r="AC56" i="16" s="1"/>
  <c r="AB61" i="16"/>
  <c r="AC61" i="16" s="1"/>
  <c r="AB80" i="16"/>
  <c r="AC80" i="16" s="1"/>
  <c r="AB81" i="16"/>
  <c r="AC81" i="16" s="1"/>
  <c r="AB114" i="16"/>
  <c r="AC114" i="16" s="1"/>
  <c r="AB115" i="16"/>
  <c r="AC115" i="16" s="1"/>
  <c r="AB118" i="16"/>
  <c r="AC118" i="16" s="1"/>
  <c r="AB119" i="16"/>
  <c r="AC119" i="16" s="1"/>
  <c r="AB120" i="16"/>
  <c r="AC120" i="16" s="1"/>
  <c r="AB121" i="16"/>
  <c r="AC121" i="16" s="1"/>
  <c r="AB122" i="16"/>
  <c r="AC122" i="16" s="1"/>
  <c r="AB123" i="16"/>
  <c r="AC123" i="16" s="1"/>
  <c r="AB124" i="16"/>
  <c r="AC124" i="16" s="1"/>
  <c r="AB125" i="16"/>
  <c r="AC125" i="16" s="1"/>
  <c r="AB126" i="16"/>
  <c r="AC126" i="16" s="1"/>
  <c r="AB127" i="16"/>
  <c r="AC127" i="16" s="1"/>
  <c r="AB139" i="16"/>
  <c r="AC139" i="16" s="1"/>
  <c r="AB140" i="16"/>
  <c r="AC140" i="16" s="1"/>
  <c r="AB141" i="16"/>
  <c r="AC141" i="16" s="1"/>
  <c r="AB142" i="16"/>
  <c r="AC142" i="16" s="1"/>
  <c r="AB143" i="16"/>
  <c r="AC143" i="16" s="1"/>
  <c r="AB145" i="16"/>
  <c r="AC145" i="16" s="1"/>
  <c r="AB146" i="16"/>
  <c r="AC146" i="16" s="1"/>
  <c r="AB150" i="16"/>
  <c r="AC150" i="16" s="1"/>
  <c r="AB151" i="16"/>
  <c r="AC151" i="16" s="1"/>
  <c r="AB157" i="16"/>
  <c r="AC157" i="16" s="1"/>
  <c r="AB158" i="16"/>
  <c r="AC158" i="16" s="1"/>
  <c r="AB161" i="16"/>
  <c r="AC161" i="16" s="1"/>
  <c r="AB162" i="16"/>
  <c r="AC162" i="16" s="1"/>
  <c r="AB163" i="16"/>
  <c r="AC163" i="16" s="1"/>
  <c r="AB164" i="16"/>
  <c r="AC164" i="16" s="1"/>
  <c r="AB165" i="16"/>
  <c r="AC165" i="16" s="1"/>
  <c r="AB166" i="16"/>
  <c r="AC166" i="16" s="1"/>
  <c r="AB167" i="16"/>
  <c r="AC167" i="16" s="1"/>
  <c r="AB168" i="16"/>
  <c r="AC168" i="16" s="1"/>
  <c r="AB169" i="16"/>
  <c r="AC169" i="16" s="1"/>
  <c r="AB170" i="16"/>
  <c r="AC170" i="16" s="1"/>
  <c r="AB171" i="16"/>
  <c r="AC171" i="16" s="1"/>
  <c r="AB181" i="16"/>
  <c r="AC181" i="16" s="1"/>
  <c r="AB182" i="16"/>
  <c r="AC182" i="16" s="1"/>
  <c r="AB188" i="16"/>
  <c r="AC188" i="16" s="1"/>
  <c r="AB189" i="16"/>
  <c r="AC189" i="16" s="1"/>
  <c r="AB190" i="16"/>
  <c r="AC190" i="16" s="1"/>
  <c r="AB191" i="16"/>
  <c r="AC191" i="16" s="1"/>
  <c r="AB192" i="16"/>
  <c r="AC192" i="16" s="1"/>
  <c r="AB193" i="16"/>
  <c r="AC193" i="16" s="1"/>
  <c r="AB194" i="16"/>
  <c r="AC194" i="16" s="1"/>
  <c r="AB195" i="16"/>
  <c r="AC195" i="16" s="1"/>
  <c r="AB196" i="16"/>
  <c r="AC196" i="16" s="1"/>
  <c r="AB197" i="16"/>
  <c r="AC197" i="16" s="1"/>
  <c r="AB198" i="16"/>
  <c r="AC198" i="16" s="1"/>
  <c r="AB199" i="16"/>
  <c r="AC199" i="16" s="1"/>
  <c r="AB200" i="16"/>
  <c r="AC200" i="16" s="1"/>
  <c r="AB201" i="16"/>
  <c r="AC201" i="16" s="1"/>
  <c r="AB202" i="16"/>
  <c r="AC202" i="16" s="1"/>
  <c r="AB203" i="16"/>
  <c r="AC203" i="16" s="1"/>
  <c r="AB204" i="16"/>
  <c r="AC204" i="16" s="1"/>
  <c r="AB205" i="16"/>
  <c r="AC205" i="16" s="1"/>
  <c r="AB206" i="16"/>
  <c r="AC206" i="16" s="1"/>
  <c r="AB207" i="16"/>
  <c r="AC207" i="16" s="1"/>
  <c r="AB208" i="16"/>
  <c r="AC208" i="16" s="1"/>
  <c r="AB209" i="16"/>
  <c r="AC209" i="16" s="1"/>
  <c r="AB210" i="16"/>
  <c r="AC210" i="16" s="1"/>
  <c r="AB214" i="16"/>
  <c r="AC214" i="16" s="1"/>
  <c r="AB215" i="16"/>
  <c r="AC215" i="16" s="1"/>
  <c r="AB216" i="16"/>
  <c r="AC216" i="16" s="1"/>
  <c r="AB217" i="16"/>
  <c r="AC217" i="16" s="1"/>
  <c r="AB218" i="16"/>
  <c r="AC218" i="16" s="1"/>
  <c r="AB219" i="16"/>
  <c r="AC219" i="16" s="1"/>
  <c r="AB220" i="16"/>
  <c r="AC220" i="16" s="1"/>
  <c r="AB221" i="16"/>
  <c r="AC221" i="16" s="1"/>
  <c r="AB225" i="16"/>
  <c r="AC225" i="16" s="1"/>
  <c r="AB226" i="16"/>
  <c r="AC226" i="16" s="1"/>
  <c r="AB227" i="16"/>
  <c r="AC227" i="16" s="1"/>
  <c r="AB228" i="16"/>
  <c r="AC228" i="16" s="1"/>
  <c r="AB229" i="16"/>
  <c r="AC229" i="16" s="1"/>
  <c r="AB230" i="16"/>
  <c r="AC230" i="16" s="1"/>
  <c r="AB231" i="16"/>
  <c r="AC231" i="16" s="1"/>
  <c r="AB232" i="16"/>
  <c r="AC232" i="16" s="1"/>
  <c r="AB233" i="16"/>
  <c r="AC233" i="16" s="1"/>
  <c r="AB234" i="16"/>
  <c r="AC234" i="16" s="1"/>
  <c r="AB238" i="16"/>
  <c r="AC238" i="16" s="1"/>
  <c r="AB239" i="16"/>
  <c r="AC239" i="16" s="1"/>
  <c r="AB244" i="16"/>
  <c r="AC244" i="16" s="1"/>
  <c r="AB245" i="16"/>
  <c r="AC245" i="16" s="1"/>
  <c r="AB249" i="16"/>
  <c r="AC249" i="16" s="1"/>
  <c r="AB250" i="16"/>
  <c r="AC250" i="16" s="1"/>
  <c r="AB251" i="16"/>
  <c r="AC251" i="16" s="1"/>
  <c r="AB252" i="16"/>
  <c r="AC252" i="16" s="1"/>
  <c r="AB253" i="16"/>
  <c r="AC253" i="16" s="1"/>
  <c r="AB254" i="16"/>
  <c r="AC254" i="16" s="1"/>
  <c r="AB255" i="16"/>
  <c r="AC255" i="16" s="1"/>
  <c r="AB256" i="16"/>
  <c r="AC256" i="16" s="1"/>
  <c r="AB258" i="16"/>
  <c r="AC258" i="16" s="1"/>
  <c r="AB259" i="16"/>
  <c r="AC259" i="16" s="1"/>
  <c r="AB260" i="16"/>
  <c r="AC260" i="16" s="1"/>
  <c r="AB261" i="16"/>
  <c r="AC261" i="16" s="1"/>
  <c r="AB262" i="16"/>
  <c r="AC262" i="16" s="1"/>
  <c r="AB263" i="16"/>
  <c r="AC263" i="16" s="1"/>
  <c r="AB264" i="16"/>
  <c r="AC264" i="16" s="1"/>
  <c r="AB270" i="16"/>
  <c r="AC270" i="16" s="1"/>
  <c r="AB271" i="16"/>
  <c r="AC271" i="16" s="1"/>
  <c r="AB272" i="16"/>
  <c r="AC272" i="16" s="1"/>
  <c r="AB273" i="16"/>
  <c r="AC273" i="16" s="1"/>
  <c r="AB274" i="16"/>
  <c r="AC274" i="16" s="1"/>
  <c r="AB275" i="16"/>
  <c r="AC275" i="16" s="1"/>
  <c r="AB276" i="16"/>
  <c r="AC276" i="16" s="1"/>
  <c r="AB277" i="16"/>
  <c r="AC277" i="16" s="1"/>
  <c r="AB278" i="16"/>
  <c r="AC278" i="16" s="1"/>
  <c r="AB279" i="16"/>
  <c r="AC279" i="16" s="1"/>
  <c r="AB280" i="16"/>
  <c r="AC280" i="16" s="1"/>
  <c r="AB281" i="16"/>
  <c r="AC281" i="16" s="1"/>
  <c r="AB282" i="16"/>
  <c r="AC282" i="16" s="1"/>
  <c r="AB283" i="16"/>
  <c r="AC283" i="16" s="1"/>
  <c r="AB284" i="16"/>
  <c r="AC284" i="16" s="1"/>
  <c r="AB285" i="16"/>
  <c r="AC285" i="16" s="1"/>
  <c r="AB286" i="16"/>
  <c r="AC286" i="16" s="1"/>
  <c r="AB287" i="16"/>
  <c r="AC287" i="16" s="1"/>
  <c r="AB288" i="16"/>
  <c r="AC288" i="16" s="1"/>
  <c r="AB289" i="16"/>
  <c r="AC289" i="16" s="1"/>
  <c r="AB290" i="16"/>
  <c r="AC290" i="16" s="1"/>
  <c r="W295" i="16"/>
  <c r="W294" i="16"/>
  <c r="W293" i="16"/>
  <c r="W292" i="16"/>
  <c r="W291" i="16"/>
  <c r="W290" i="16"/>
  <c r="W289" i="16"/>
  <c r="W288" i="16"/>
  <c r="W287" i="16"/>
  <c r="W286" i="16"/>
  <c r="W285" i="16"/>
  <c r="W284" i="16"/>
  <c r="W283" i="16"/>
  <c r="W282" i="16"/>
  <c r="W281" i="16"/>
  <c r="W280" i="16"/>
  <c r="W279" i="16"/>
  <c r="W278" i="16"/>
  <c r="W277" i="16"/>
  <c r="W276" i="16"/>
  <c r="W275" i="16"/>
  <c r="W274" i="16"/>
  <c r="W273" i="16"/>
  <c r="W272" i="16"/>
  <c r="W271" i="16"/>
  <c r="W270" i="16"/>
  <c r="W269" i="16"/>
  <c r="W268" i="16"/>
  <c r="W267" i="16"/>
  <c r="W266" i="16"/>
  <c r="W265" i="16"/>
  <c r="W264" i="16"/>
  <c r="W263" i="16"/>
  <c r="W262" i="16"/>
  <c r="W261" i="16"/>
  <c r="W260" i="16"/>
  <c r="W259" i="16"/>
  <c r="W258" i="16"/>
  <c r="W257" i="16"/>
  <c r="W256" i="16"/>
  <c r="W255" i="16"/>
  <c r="W254" i="16"/>
  <c r="W253" i="16"/>
  <c r="W252" i="16"/>
  <c r="W251" i="16"/>
  <c r="W250" i="16"/>
  <c r="W249" i="16"/>
  <c r="W248" i="16"/>
  <c r="W247" i="16"/>
  <c r="W246" i="16"/>
  <c r="W245" i="16"/>
  <c r="W244" i="16"/>
  <c r="W243" i="16"/>
  <c r="W242" i="16"/>
  <c r="W241" i="16"/>
  <c r="W240" i="16"/>
  <c r="W239" i="16"/>
  <c r="W238" i="16"/>
  <c r="W237" i="16"/>
  <c r="W236" i="16"/>
  <c r="W235" i="16"/>
  <c r="W234" i="16"/>
  <c r="W233" i="16"/>
  <c r="W232" i="16"/>
  <c r="W231" i="16"/>
  <c r="W230" i="16"/>
  <c r="W229" i="16"/>
  <c r="W228" i="16"/>
  <c r="W227" i="16"/>
  <c r="W226" i="16"/>
  <c r="W225" i="16"/>
  <c r="W224" i="16"/>
  <c r="W223" i="16"/>
  <c r="W222" i="16"/>
  <c r="W221" i="16"/>
  <c r="W220" i="16"/>
  <c r="W219" i="16"/>
  <c r="W218" i="16"/>
  <c r="W217" i="16"/>
  <c r="W216" i="16"/>
  <c r="W215" i="16"/>
  <c r="W214" i="16"/>
  <c r="W213" i="16"/>
  <c r="W212" i="16"/>
  <c r="W211" i="16"/>
  <c r="W210" i="16"/>
  <c r="W209" i="16"/>
  <c r="W208" i="16"/>
  <c r="W207" i="16"/>
  <c r="W206" i="16"/>
  <c r="W205" i="16"/>
  <c r="W204" i="16"/>
  <c r="W203" i="16"/>
  <c r="W202" i="16"/>
  <c r="W201" i="16"/>
  <c r="W200" i="16"/>
  <c r="W199" i="16"/>
  <c r="W198" i="16"/>
  <c r="W197" i="16"/>
  <c r="W196" i="16"/>
  <c r="W195" i="16"/>
  <c r="W194" i="16"/>
  <c r="W193" i="16"/>
  <c r="W192" i="16"/>
  <c r="W191" i="16"/>
  <c r="W190" i="16"/>
  <c r="W189" i="16"/>
  <c r="W188" i="16"/>
  <c r="W187" i="16"/>
  <c r="W186" i="16"/>
  <c r="W185" i="16"/>
  <c r="W184" i="16"/>
  <c r="W183" i="16"/>
  <c r="W182" i="16"/>
  <c r="W181" i="16"/>
  <c r="W180" i="16"/>
  <c r="W179" i="16"/>
  <c r="W178" i="16"/>
  <c r="W177" i="16"/>
  <c r="W176" i="16"/>
  <c r="W175" i="16"/>
  <c r="W174" i="16"/>
  <c r="W173" i="16"/>
  <c r="W172" i="16"/>
  <c r="W171" i="16"/>
  <c r="W170" i="16"/>
  <c r="W169" i="16"/>
  <c r="W168" i="16"/>
  <c r="W167" i="16"/>
  <c r="W166" i="16"/>
  <c r="W165" i="16"/>
  <c r="W164" i="16"/>
  <c r="W163" i="16"/>
  <c r="W162" i="16"/>
  <c r="W161" i="16"/>
  <c r="W160" i="16"/>
  <c r="W159" i="16"/>
  <c r="W158" i="16"/>
  <c r="W157" i="16"/>
  <c r="W156" i="16"/>
  <c r="W155" i="16"/>
  <c r="W154" i="16"/>
  <c r="W153" i="16"/>
  <c r="W152" i="16"/>
  <c r="W151" i="16"/>
  <c r="W150" i="16"/>
  <c r="W149" i="16"/>
  <c r="W148" i="16"/>
  <c r="W147" i="16"/>
  <c r="W146" i="16"/>
  <c r="W145" i="16"/>
  <c r="W144" i="16"/>
  <c r="W143" i="16"/>
  <c r="W142" i="16"/>
  <c r="W141" i="16"/>
  <c r="W140" i="16"/>
  <c r="W139" i="16"/>
  <c r="W138" i="16"/>
  <c r="W137" i="16"/>
  <c r="W136" i="16"/>
  <c r="W135" i="16"/>
  <c r="W134" i="16"/>
  <c r="W133" i="16"/>
  <c r="W132" i="16"/>
  <c r="W131" i="16"/>
  <c r="W130" i="16"/>
  <c r="W129" i="16"/>
  <c r="W128" i="16"/>
  <c r="W127" i="16"/>
  <c r="W126" i="16"/>
  <c r="W125" i="16"/>
  <c r="W124" i="16"/>
  <c r="W123" i="16"/>
  <c r="W122" i="16"/>
  <c r="W121" i="16"/>
  <c r="W120" i="16"/>
  <c r="W119" i="16"/>
  <c r="W118" i="16"/>
  <c r="W117" i="16"/>
  <c r="W116" i="16"/>
  <c r="W115" i="16"/>
  <c r="W114" i="16"/>
  <c r="W113" i="16"/>
  <c r="W112" i="16"/>
  <c r="W111" i="16"/>
  <c r="W110" i="16"/>
  <c r="W109" i="16"/>
  <c r="W108" i="16"/>
  <c r="W107" i="16"/>
  <c r="W106" i="16"/>
  <c r="W105" i="16"/>
  <c r="W104" i="16"/>
  <c r="W103" i="16"/>
  <c r="W102" i="16"/>
  <c r="W101" i="16"/>
  <c r="W100" i="16"/>
  <c r="W99" i="16"/>
  <c r="W98" i="16"/>
  <c r="W97" i="16"/>
  <c r="W96" i="16"/>
  <c r="W95" i="16"/>
  <c r="W94" i="16"/>
  <c r="W93" i="16"/>
  <c r="W92" i="16"/>
  <c r="W91" i="16"/>
  <c r="W90" i="16"/>
  <c r="W89" i="16"/>
  <c r="W88" i="16"/>
  <c r="W87" i="16"/>
  <c r="W86" i="16"/>
  <c r="W85" i="16"/>
  <c r="W84" i="16"/>
  <c r="W83" i="16"/>
  <c r="W82" i="16"/>
  <c r="W81" i="16"/>
  <c r="W80" i="16"/>
  <c r="W79" i="16"/>
  <c r="W78" i="16"/>
  <c r="W77" i="16"/>
  <c r="W76" i="16"/>
  <c r="W75" i="16"/>
  <c r="W74" i="16"/>
  <c r="W73" i="16"/>
  <c r="W72" i="16"/>
  <c r="W71" i="16"/>
  <c r="W70" i="16"/>
  <c r="W69" i="16"/>
  <c r="W68" i="16"/>
  <c r="W67" i="16"/>
  <c r="W66" i="16"/>
  <c r="W65" i="16"/>
  <c r="W64" i="16"/>
  <c r="W63" i="16"/>
  <c r="W62" i="16"/>
  <c r="W61" i="16"/>
  <c r="W60" i="16"/>
  <c r="W59" i="16"/>
  <c r="W58" i="16"/>
  <c r="W57" i="16"/>
  <c r="W56" i="16"/>
  <c r="W55" i="16"/>
  <c r="W54" i="16"/>
  <c r="W53" i="16"/>
  <c r="W52" i="16"/>
  <c r="W51" i="16"/>
  <c r="W50" i="16"/>
  <c r="W49" i="16"/>
  <c r="W48" i="16"/>
  <c r="W47" i="16"/>
  <c r="W46" i="16"/>
  <c r="W45" i="16"/>
  <c r="W44" i="16"/>
  <c r="W43" i="16"/>
  <c r="W42" i="16"/>
  <c r="W41" i="16"/>
  <c r="W40" i="16"/>
  <c r="W39" i="16"/>
  <c r="W38" i="16"/>
  <c r="W37" i="16"/>
  <c r="W36" i="16"/>
  <c r="W35" i="16"/>
  <c r="W34" i="16"/>
  <c r="W33" i="16"/>
  <c r="W32" i="16"/>
  <c r="W31" i="16"/>
  <c r="W30" i="16"/>
  <c r="W29" i="16"/>
  <c r="W28" i="16"/>
  <c r="W27" i="16"/>
  <c r="W26" i="16"/>
  <c r="W25" i="16"/>
  <c r="W24" i="16"/>
  <c r="W23" i="16"/>
  <c r="W22" i="16"/>
  <c r="W21" i="16"/>
  <c r="W20" i="16"/>
  <c r="W19" i="16"/>
  <c r="W18" i="16"/>
  <c r="W17" i="16"/>
  <c r="W16" i="16"/>
  <c r="W15" i="16"/>
  <c r="W14" i="16"/>
  <c r="W13" i="16"/>
  <c r="W12" i="16"/>
  <c r="W11" i="16"/>
  <c r="W10" i="16"/>
  <c r="W9" i="16"/>
  <c r="W8" i="16"/>
  <c r="W7" i="16"/>
  <c r="W6" i="16"/>
  <c r="W5" i="16"/>
  <c r="W4" i="16"/>
  <c r="W3" i="16"/>
  <c r="W2" i="16"/>
  <c r="D32" i="8" l="1"/>
  <c r="C32" i="8"/>
  <c r="B32" i="8"/>
  <c r="H17" i="13"/>
  <c r="G17" i="13"/>
  <c r="F17" i="13"/>
  <c r="E17" i="13"/>
  <c r="D17" i="13"/>
  <c r="C17" i="13"/>
</calcChain>
</file>

<file path=xl/sharedStrings.xml><?xml version="1.0" encoding="utf-8"?>
<sst xmlns="http://schemas.openxmlformats.org/spreadsheetml/2006/main" count="10354" uniqueCount="852">
  <si>
    <t>Cleared/Open Items Symbol</t>
  </si>
  <si>
    <t>Document Number</t>
  </si>
  <si>
    <t xml:space="preserve">Invoice 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</si>
  <si>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</si>
  <si>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</si>
  <si>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</si>
  <si>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</si>
  <si>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</si>
  <si>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</si>
  <si>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Amount in USD</t>
  </si>
  <si>
    <t>Clearing Document</t>
  </si>
  <si>
    <t>Text</t>
  </si>
  <si>
    <t>Customer</t>
  </si>
  <si>
    <t>Posting Date</t>
  </si>
  <si>
    <t>Tax Code</t>
  </si>
  <si>
    <t>Processor</t>
  </si>
  <si>
    <t>Contract Number</t>
  </si>
  <si>
    <t>G/L Account</t>
  </si>
  <si>
    <t/>
  </si>
  <si>
    <t>DZ</t>
  </si>
  <si>
    <t>INR</t>
  </si>
  <si>
    <t>100222426</t>
  </si>
  <si>
    <t>212100</t>
  </si>
  <si>
    <t>DR</t>
  </si>
  <si>
    <t>BOE handling charges</t>
  </si>
  <si>
    <t>O0</t>
  </si>
  <si>
    <t>DG</t>
  </si>
  <si>
    <t>Credit Note Raised against INV_246779413054</t>
  </si>
  <si>
    <t>Port SSR Charges - Shifting for Aug to Dec,24. Exc</t>
  </si>
  <si>
    <t>Storage -WH 09- 16-31 OCT 25</t>
  </si>
  <si>
    <t>VAS-Nov 1-15, 2025</t>
  </si>
  <si>
    <t>Weighment-Nov 1-15, 2025</t>
  </si>
  <si>
    <t>Storage -WH 09- 1-30 Nov 25</t>
  </si>
  <si>
    <t>Scanning  Chgs - 16 - 30 Nov 25</t>
  </si>
  <si>
    <t>Bond Stamp Paper Chgs Nov 25</t>
  </si>
  <si>
    <t>Transportation In Chgs - 16 - 30 NOV 25</t>
  </si>
  <si>
    <t>Outbound chgs - 16 - 30 Nov 25</t>
  </si>
  <si>
    <t>Empty Lolo Chgs - 01 - 31 NOV 25</t>
  </si>
  <si>
    <t>PORT SSR Chgs Nov 25</t>
  </si>
  <si>
    <t>VAS DEC 25 -1-15</t>
  </si>
  <si>
    <t>Scanning Charges for the month of August, 2024</t>
  </si>
  <si>
    <t>Scanning Charges for the month of December, 2024</t>
  </si>
  <si>
    <t>Scanning Charges for the month of November, 2024</t>
  </si>
  <si>
    <t>Scanning Charges for the month of October, 2024</t>
  </si>
  <si>
    <t>Scanning Charges for the month of September, 2024</t>
  </si>
  <si>
    <t>VAS Activity Charges for the month of September, 2</t>
  </si>
  <si>
    <t>VAS Activity Charges for the month of October, 24</t>
  </si>
  <si>
    <t>VAS Activity Charges for the month of November, 24</t>
  </si>
  <si>
    <t>VAS Activity Charges for the month of December, 24</t>
  </si>
  <si>
    <t>Storage charges for OCT 2024</t>
  </si>
  <si>
    <t>Storage charges for Sept 2024</t>
  </si>
  <si>
    <t>ONEU1598927-Port SSR Shifting Jan 2025. Exch rate</t>
  </si>
  <si>
    <t>ONEU1598927-Port SSR Storage Jan 2025. Exch rate -</t>
  </si>
  <si>
    <t>CMAU8274168-Port SSR Storage Jan 2025. Exch rate -</t>
  </si>
  <si>
    <t>GATU4442400-Port SSR Storage Jan 2025. Exch rate -</t>
  </si>
  <si>
    <t>Detention Charges for JAN 2025 Exch. Rate 86.60</t>
  </si>
  <si>
    <t>Scanning Charges for the month of Jan 2025</t>
  </si>
  <si>
    <t>Transportation Inbound Jan 25</t>
  </si>
  <si>
    <t>Inbound Handling charges for Jan 2025</t>
  </si>
  <si>
    <t>Inbound Handling charges for Sep 2024</t>
  </si>
  <si>
    <t>LCL charges for Sep 2024</t>
  </si>
  <si>
    <t>Cy-WH Destuff charges for Sep 2024</t>
  </si>
  <si>
    <t>Outbound Handling charges for Sep 2024</t>
  </si>
  <si>
    <t>Inbound Handling charges for Oct 2024</t>
  </si>
  <si>
    <t>LCL Movement Charges for Oct 2024</t>
  </si>
  <si>
    <t>CY-MOVEMENT CHARGES for Oct 2024</t>
  </si>
  <si>
    <t>Inbound Handling charges for Nov 2024</t>
  </si>
  <si>
    <t>LCL Movement Charges for Nov 2024</t>
  </si>
  <si>
    <t>CY-MOVEMENT CHARGES for Nov 2024</t>
  </si>
  <si>
    <t>Loose Unloading charges for Jan 2025</t>
  </si>
  <si>
    <t>LCL charges for Jan 2025</t>
  </si>
  <si>
    <t>Transportation Inbound charges for Jan 2025</t>
  </si>
  <si>
    <t>Empty Cont Outbound charges for Jan 2025</t>
  </si>
  <si>
    <t>Cy-WH Destuff charges for Jan 2025</t>
  </si>
  <si>
    <t>Outbound Handling charges for Oct 2024</t>
  </si>
  <si>
    <t>Outbound Handling charges for Nov 2024</t>
  </si>
  <si>
    <t>Outbound Handling charges for Jan 2025</t>
  </si>
  <si>
    <t>Loose Loading Handling charges for Jan 2025</t>
  </si>
  <si>
    <t>Transportation Inbound charges for Dec 2024</t>
  </si>
  <si>
    <t>Storage charges for Jan 2025</t>
  </si>
  <si>
    <t>CY Destuff Charges August 2024</t>
  </si>
  <si>
    <t>Transportation In Charges August 2024</t>
  </si>
  <si>
    <t>Outbound Handling Charges Aug 2024</t>
  </si>
  <si>
    <t>CY Longstanding Transportation chgs for 31 MAR 202</t>
  </si>
  <si>
    <t>Inbound Handling charges for Dec 2024</t>
  </si>
  <si>
    <t>Loose Unloading charges for Dec 2024</t>
  </si>
  <si>
    <t>Cy-WH Destuff charges for Dec 2024</t>
  </si>
  <si>
    <t>Outbound Handling charges for Dec 2024</t>
  </si>
  <si>
    <t>CY - CY charges for Dec 2024</t>
  </si>
  <si>
    <t>VAS Activity - Jan 25, Ex Rate. 86.64</t>
  </si>
  <si>
    <t>Storage Charges for Aug 2024</t>
  </si>
  <si>
    <t>Storage Charges for December 2024</t>
  </si>
  <si>
    <t>VAS- 1-31 Aug-24,</t>
  </si>
  <si>
    <t>PORT SSR Chgs Apr  to June 25</t>
  </si>
  <si>
    <t>VAS 16-31 May 25 Ex.85.48</t>
  </si>
  <si>
    <t>Empty Lolo Chgs - 01 - 31 DEC 25</t>
  </si>
  <si>
    <t>PORT SSR Chgs Dec 25</t>
  </si>
  <si>
    <t>Transportation In Chgs - 16 - 31 Dec 25</t>
  </si>
  <si>
    <t>Outbound chgs - 16 - 31 Dec 25</t>
  </si>
  <si>
    <t>Transportation In Chgs - 16 - 31 DEC 25</t>
  </si>
  <si>
    <t>Storage -WH 09- 1-31 DEC 25</t>
  </si>
  <si>
    <t>VAS-Dec 25 - 16-31</t>
  </si>
  <si>
    <t>VAS - NOV 25,16-30</t>
  </si>
  <si>
    <t>Weighment -NOV 25,16-30</t>
  </si>
  <si>
    <t>Reference</t>
  </si>
  <si>
    <t>Document currency</t>
  </si>
  <si>
    <t>Amount in doc. curr.</t>
  </si>
  <si>
    <t>Amount in local currency</t>
  </si>
  <si>
    <t>Clearing date</t>
  </si>
  <si>
    <t>KR</t>
  </si>
  <si>
    <t>USD</t>
  </si>
  <si>
    <t>Scanning Charges-Jan25</t>
  </si>
  <si>
    <t>LCL Charges-Sep24</t>
  </si>
  <si>
    <t>Transportation Inbound charges-Aug24</t>
  </si>
  <si>
    <t>CY Destuff Charges-Aug24</t>
  </si>
  <si>
    <t>CY Movement Charges-Aug24</t>
  </si>
  <si>
    <t>VAS Activity Charges-Aug24</t>
  </si>
  <si>
    <t>Scanning Charges-Aug24</t>
  </si>
  <si>
    <t>CY Destuff Charges-Sep24</t>
  </si>
  <si>
    <t>Scanning Charges-Oct24</t>
  </si>
  <si>
    <t>CY Destuff Charges-Nov24</t>
  </si>
  <si>
    <t>Inbound Handling Charges-Nov24</t>
  </si>
  <si>
    <t>CY Movement Charges-Nov24</t>
  </si>
  <si>
    <t>VAS Activity Charges-Nov24</t>
  </si>
  <si>
    <t>Scanning Charges-Nov24</t>
  </si>
  <si>
    <t>CY Destuff Charges-Dec24</t>
  </si>
  <si>
    <t>VAS Activity Charges-Sep24</t>
  </si>
  <si>
    <t>Scanning Charges-Sep24</t>
  </si>
  <si>
    <t>CY Destuff Charges-Oct24</t>
  </si>
  <si>
    <t>LCL Charges-Oct24</t>
  </si>
  <si>
    <t>Inbound Handling Charges-Oct24</t>
  </si>
  <si>
    <t>CY Movement Charges-oct24</t>
  </si>
  <si>
    <t>VAS Activity Charges-Oct24</t>
  </si>
  <si>
    <t>LCL Charges-Nov24</t>
  </si>
  <si>
    <t>LCL Charges-Dec24</t>
  </si>
  <si>
    <t>CY Movement Charges-Dec24</t>
  </si>
  <si>
    <t>VAS Activity Charges-Dec24</t>
  </si>
  <si>
    <t>Scanning Charges- Dec24</t>
  </si>
  <si>
    <t>Transportation Inbound Charges - jan25</t>
  </si>
  <si>
    <t>CY Destuff Charges-Jan25</t>
  </si>
  <si>
    <t>Empty Movement Charges-Jan25</t>
  </si>
  <si>
    <t>LCL Charges-Jan25</t>
  </si>
  <si>
    <t>Loose Unloading Charges-Jan25</t>
  </si>
  <si>
    <t>CY Movement Charges-Jan25</t>
  </si>
  <si>
    <t>Loose Loading Charges- jan25</t>
  </si>
  <si>
    <t>VAS Activity Charges -Jan25</t>
  </si>
  <si>
    <t>Transportation Inbound ( CY LONG STANDING )Jan25</t>
  </si>
  <si>
    <t>Inbound Handling Charges-Sep24</t>
  </si>
  <si>
    <t>Inbound Handling Charges-Aug24</t>
  </si>
  <si>
    <t>Outbound Handling Charges-Jan25</t>
  </si>
  <si>
    <t>Inbound Handling Charges-Jan25</t>
  </si>
  <si>
    <t>Outbound Handling Charges-Dec24</t>
  </si>
  <si>
    <t>Inbound Handling Charges-Dec24</t>
  </si>
  <si>
    <t>Outbound Handling Charges-Oct24</t>
  </si>
  <si>
    <t>Outbound Handling Charges-Aug24</t>
  </si>
  <si>
    <t>Outbound Handling Charges-Nov24</t>
  </si>
  <si>
    <t>Outbound Handling Charges-Sep24</t>
  </si>
  <si>
    <t>RE</t>
  </si>
  <si>
    <t>Storage Charges Jan25</t>
  </si>
  <si>
    <t>Storage Charges Aug24</t>
  </si>
  <si>
    <t>Storage Charges Sep24</t>
  </si>
  <si>
    <t>Storage Charges Oct24</t>
  </si>
  <si>
    <t>Storage Charges Nov24</t>
  </si>
  <si>
    <t>Storage Charges Dec24</t>
  </si>
  <si>
    <t>KG</t>
  </si>
  <si>
    <t>ASCEN20250102</t>
  </si>
  <si>
    <t>CN against detention-Aug24-Dec24</t>
  </si>
  <si>
    <t>2025</t>
  </si>
  <si>
    <t>Mar</t>
  </si>
  <si>
    <t>Apr</t>
  </si>
  <si>
    <t>Jul</t>
  </si>
  <si>
    <t>Aug</t>
  </si>
  <si>
    <t>Sep</t>
  </si>
  <si>
    <t>Nov</t>
  </si>
  <si>
    <t>Dec</t>
  </si>
  <si>
    <t>2026</t>
  </si>
  <si>
    <t>Jan</t>
  </si>
  <si>
    <t>Years</t>
  </si>
  <si>
    <t>Values</t>
  </si>
  <si>
    <t>Feb</t>
  </si>
  <si>
    <t>Sum of Amount in doc. curr.</t>
  </si>
  <si>
    <t>Months</t>
  </si>
  <si>
    <t>Total</t>
  </si>
  <si>
    <t>Vlookup</t>
  </si>
  <si>
    <t>SSR charges - Feb 25</t>
  </si>
  <si>
    <t>Empty Lolo charges - Feb 25</t>
  </si>
  <si>
    <t>Scanning charges - Feb 25</t>
  </si>
  <si>
    <t>Handling charges- Feb 25</t>
  </si>
  <si>
    <t>Inbound Handling charges- Feb 25</t>
  </si>
  <si>
    <t>CY- Movement charges - Feb 25</t>
  </si>
  <si>
    <t>Transportation charges - Feb 25</t>
  </si>
  <si>
    <t>Outbound Handling charges- Feb 25</t>
  </si>
  <si>
    <t>Empty cont out charges- Feb 25</t>
  </si>
  <si>
    <t>VAS Activity Charges-Feb.25</t>
  </si>
  <si>
    <t>Inbound handling Feb'25</t>
  </si>
  <si>
    <t>Inbound handling Charges Feb25</t>
  </si>
  <si>
    <t>CY - WH DESTUFF Feb'25</t>
  </si>
  <si>
    <t>Transportation charges - Feb25</t>
  </si>
  <si>
    <t>Inbound handling</t>
  </si>
  <si>
    <t>Transportation</t>
  </si>
  <si>
    <t>Storage Charges Feb 25</t>
  </si>
  <si>
    <t>HPCU2278439-Port SSR Shifting Mar 2025.</t>
  </si>
  <si>
    <t>TCNU6507209-Port SSR Shifting Mar 2025.</t>
  </si>
  <si>
    <t>VAS Activity</t>
  </si>
  <si>
    <t>Loose unloading charges Mar 2025</t>
  </si>
  <si>
    <t>LCL charges - March 2025</t>
  </si>
  <si>
    <t>Transportation Inbound charges- Mar 25</t>
  </si>
  <si>
    <t>Outbound charges- Mar 25</t>
  </si>
  <si>
    <t>CY - Destuff charges - March 2025</t>
  </si>
  <si>
    <t>Inbound Handling charges- Mar 25</t>
  </si>
  <si>
    <t>VAS Activity Charges-Mar.25</t>
  </si>
  <si>
    <t>Detention charges - 15th March 25</t>
  </si>
  <si>
    <t>Empty Lolo charges - Mar 25</t>
  </si>
  <si>
    <t>SSR charges - Mar 2025</t>
  </si>
  <si>
    <t>Storage Charges March'25</t>
  </si>
  <si>
    <t>Outbound Handling charges- Mar 25</t>
  </si>
  <si>
    <t>Inbound Handling charges</t>
  </si>
  <si>
    <t>Outbound chgs&amp;Loose chgs-  01 - 15 MAY 25</t>
  </si>
  <si>
    <t>VAS -1-15 May 25</t>
  </si>
  <si>
    <t>Transportation In Chgs - 01 -15 MAY 25</t>
  </si>
  <si>
    <t>PORT SSR Chgs - 16 - 31 May 25</t>
  </si>
  <si>
    <t>Transportation In Chgs - 16 - 31 May 25</t>
  </si>
  <si>
    <t>Empty Lolo Chgs - 01 - 31 MAY 25</t>
  </si>
  <si>
    <t>Scanning  Chgs - 16 - 31 May 25</t>
  </si>
  <si>
    <t>Transportation In Chgs - 01 - 15 Apr 25</t>
  </si>
  <si>
    <t>Inbound chgs &amp; LCL Chgs- 01 - 15 Apr 25</t>
  </si>
  <si>
    <t>Inbound chgs - 01 - 15 Apr 25</t>
  </si>
  <si>
    <t>Outbound chg &amp; Loose chgs- 01 - 15 Apr 25</t>
  </si>
  <si>
    <t>VAS - 16-30 April 25</t>
  </si>
  <si>
    <t>Detention Chgs - 16 - 30 Apr 25</t>
  </si>
  <si>
    <t>Empty Lolo Chgs - 01 - 31 Apr 25</t>
  </si>
  <si>
    <t>Storage 16-30 April-25</t>
  </si>
  <si>
    <t>Storage 1-15 April-25</t>
  </si>
  <si>
    <t>Storage-May-25</t>
  </si>
  <si>
    <t>Outbound chgs&amp;Loose chgs- 16 - 31 MAY 25</t>
  </si>
  <si>
    <t>Outbound chg &amp; Loose chgs-16 - 30 Apr 25</t>
  </si>
  <si>
    <t>Transportation In Chgs - 16-31 MAY 25</t>
  </si>
  <si>
    <t>Inbound chgs -16 - 30 Apr 25</t>
  </si>
  <si>
    <t>Storage 1-31 May-25</t>
  </si>
  <si>
    <t>VAS - 16-30 June 25</t>
  </si>
  <si>
    <t>VAS 1-15 June 25, Exch 86.10</t>
  </si>
  <si>
    <t>Empty Lolo Chgs - 01 - 30 JUN 25</t>
  </si>
  <si>
    <t>PORT SSR Chgs June 25</t>
  </si>
  <si>
    <t>Bond Stamp Paper Chgs</t>
  </si>
  <si>
    <t>Outbound/Loose chgs 16-30 June 25</t>
  </si>
  <si>
    <t>Transportation/inbound chgs 16-30 JUNE 25</t>
  </si>
  <si>
    <t>Scanning  Chgs - 16 - 31 Jul 25</t>
  </si>
  <si>
    <t>Detention Chgs - 01 - 31 JUL 25</t>
  </si>
  <si>
    <t>Empty Lolo Chgs - 01 - 31 JUL 25</t>
  </si>
  <si>
    <t>Bond Stamp Paper Chgs 16 - 31 Jul 25</t>
  </si>
  <si>
    <t>VAS 16-31 July 25</t>
  </si>
  <si>
    <t>PORT SSR Chgs July 25</t>
  </si>
  <si>
    <t>Storage 01-30 June25</t>
  </si>
  <si>
    <t>Storage 01-31 July25</t>
  </si>
  <si>
    <t>Outbound chgs &amp; Loose Chgs - 16 - 31 Jul 25</t>
  </si>
  <si>
    <t>Transportation In Chgs - 16 - 31 JUL 25</t>
  </si>
  <si>
    <t>Weighment-Aug 25, 1-31</t>
  </si>
  <si>
    <t>VAS -1-31 Aug 25</t>
  </si>
  <si>
    <t>Bond Stamp Paper Chgs 01 - 31 Aug 25</t>
  </si>
  <si>
    <t>Scanning  Chgs - 16 - 31 Aug 25</t>
  </si>
  <si>
    <t>PORT SSR Chgs Aug 25</t>
  </si>
  <si>
    <t>Empty Lolo Chgs - 01 - 31 AUG 25</t>
  </si>
  <si>
    <t>Detention Chgs - 01 - 31 AUG 25</t>
  </si>
  <si>
    <t>Outbound chgs - 16 - 31 Aug 25 WH 09</t>
  </si>
  <si>
    <t>Transportation In Chgs - 16 - 31 AUG 25</t>
  </si>
  <si>
    <t>Transportation In Chgs - 16 - 31 Aug 25</t>
  </si>
  <si>
    <t>Weighment-16-30 Sept 25</t>
  </si>
  <si>
    <t>VAS-1-30 Sept 25</t>
  </si>
  <si>
    <t>Bond Stamp Paper Chgs 01 - 30 Sep 25</t>
  </si>
  <si>
    <t>Empty Lolo Chgs - 01 - 30 SEP 25</t>
  </si>
  <si>
    <t>PORT SSR Chgs Sep 25</t>
  </si>
  <si>
    <t>Transportation In Chgs - 16 - 30 SEP 25</t>
  </si>
  <si>
    <t>Outbound chgs - 16 - 30 Sep 25</t>
  </si>
  <si>
    <t>Bond Stamp Paper Chgs Oct 25</t>
  </si>
  <si>
    <t>PORT SSR Chgs Oct 25</t>
  </si>
  <si>
    <t>Empty Lolo Chgs - 01 - 31 OCT 25</t>
  </si>
  <si>
    <t>Scanning  Chgs - 16 - 31 Oct 25</t>
  </si>
  <si>
    <t>Transportation In Chgs - 16 - 31 Oct 25 ( CY - Lon</t>
  </si>
  <si>
    <t>VAS-16 -31 Oct 25</t>
  </si>
  <si>
    <t>Storage 01-30- Sep25</t>
  </si>
  <si>
    <t>Storage 01-31- Aug25</t>
  </si>
  <si>
    <t>Outbound chgs - 16 - 30 Oct 25 WH 09</t>
  </si>
  <si>
    <t>Inbound chgs - 16 - 31 OCT 25 ( WH 09 )</t>
  </si>
  <si>
    <t>Cleared Item</t>
  </si>
  <si>
    <t>Company Code</t>
  </si>
  <si>
    <t>Customer Account: Name 1</t>
  </si>
  <si>
    <t>Fiscal Year</t>
  </si>
  <si>
    <t>Posting period</t>
  </si>
  <si>
    <t>Entry Date</t>
  </si>
  <si>
    <t>Document Header Text</t>
  </si>
  <si>
    <t>G/L Account: Short Text</t>
  </si>
  <si>
    <t>Posting Key</t>
  </si>
  <si>
    <t>Document Currency Key</t>
  </si>
  <si>
    <t>Document Currency Value</t>
  </si>
  <si>
    <t>Company Code Currency Key</t>
  </si>
  <si>
    <t>Company Code Currency Value</t>
  </si>
  <si>
    <t>Selected</t>
  </si>
  <si>
    <t>6779</t>
  </si>
  <si>
    <t>ASHLAND SPECIALITY CHEMICAL</t>
  </si>
  <si>
    <t>4</t>
  </si>
  <si>
    <t>Trade Debtors (Ctrl)</t>
  </si>
  <si>
    <t>1</t>
  </si>
  <si>
    <t>2</t>
  </si>
  <si>
    <t>7</t>
  </si>
  <si>
    <t>1400000284</t>
  </si>
  <si>
    <t>2025062400636248</t>
  </si>
  <si>
    <t>15</t>
  </si>
  <si>
    <t>Not Selected</t>
  </si>
  <si>
    <t>8</t>
  </si>
  <si>
    <t>1400000999</t>
  </si>
  <si>
    <t>3</t>
  </si>
  <si>
    <t>11</t>
  </si>
  <si>
    <t>01</t>
  </si>
  <si>
    <t>1400000158</t>
  </si>
  <si>
    <t>DY</t>
  </si>
  <si>
    <t>NA</t>
  </si>
  <si>
    <t>KNOCK OFF ENTRY</t>
  </si>
  <si>
    <t>1800003187</t>
  </si>
  <si>
    <t>Port SSR Charges - Shifting for Aug to Dec,24.</t>
  </si>
  <si>
    <t>1400001878</t>
  </si>
  <si>
    <t>08</t>
  </si>
  <si>
    <t>1800004475</t>
  </si>
  <si>
    <t>1800004556</t>
  </si>
  <si>
    <t>1800006323</t>
  </si>
  <si>
    <t>1800003964</t>
  </si>
  <si>
    <t>1800005708</t>
  </si>
  <si>
    <t>1800001878</t>
  </si>
  <si>
    <t>1800001879</t>
  </si>
  <si>
    <t>1800001880</t>
  </si>
  <si>
    <t>1800001993</t>
  </si>
  <si>
    <t>1800001994</t>
  </si>
  <si>
    <t>1800001995</t>
  </si>
  <si>
    <t>1800001996</t>
  </si>
  <si>
    <t>1800001997</t>
  </si>
  <si>
    <t>1800001998</t>
  </si>
  <si>
    <t>1800002200</t>
  </si>
  <si>
    <t>1800002201</t>
  </si>
  <si>
    <t>1800002206</t>
  </si>
  <si>
    <t>1800002207</t>
  </si>
  <si>
    <t>1800002332</t>
  </si>
  <si>
    <t>1800002333</t>
  </si>
  <si>
    <t>1800002334</t>
  </si>
  <si>
    <t>1800002202</t>
  </si>
  <si>
    <t>1800002203</t>
  </si>
  <si>
    <t>1800002204</t>
  </si>
  <si>
    <t>1800002205</t>
  </si>
  <si>
    <t>1800002208</t>
  </si>
  <si>
    <t>1800006092</t>
  </si>
  <si>
    <t>1800006093</t>
  </si>
  <si>
    <t>1800006094</t>
  </si>
  <si>
    <t>1800006095</t>
  </si>
  <si>
    <t>1800006096</t>
  </si>
  <si>
    <t>1800006097</t>
  </si>
  <si>
    <t>1800006098</t>
  </si>
  <si>
    <t>1800006099</t>
  </si>
  <si>
    <t>10</t>
  </si>
  <si>
    <t>1600002447</t>
  </si>
  <si>
    <t>Credit note raised against 256779418050</t>
  </si>
  <si>
    <t>1800006828</t>
  </si>
  <si>
    <t>1800006853</t>
  </si>
  <si>
    <t>1800006854</t>
  </si>
  <si>
    <t>1800006855</t>
  </si>
  <si>
    <t>1800006939</t>
  </si>
  <si>
    <t>1800006940</t>
  </si>
  <si>
    <t>1800007103</t>
  </si>
  <si>
    <t>1800006838</t>
  </si>
  <si>
    <t>Detention charges for 15 Mar 2025</t>
  </si>
  <si>
    <t>1800006843</t>
  </si>
  <si>
    <t>Empty Lolo chgs for 16 to 31 Mar 25 Exch. Rate 85.</t>
  </si>
  <si>
    <t>1800007033</t>
  </si>
  <si>
    <t>FCIU6188174-Port SSR Shifting Mar 2025. Exch rate</t>
  </si>
  <si>
    <t>1800007034</t>
  </si>
  <si>
    <t>HPCU2278439-Port SSR Shifting Mar 2025. Exch rate</t>
  </si>
  <si>
    <t>1800007035</t>
  </si>
  <si>
    <t>TCNU6507209-Port SSR Shifting Mar 2025. Exch rate</t>
  </si>
  <si>
    <t>1800007188</t>
  </si>
  <si>
    <t>VAS Activity - Mar 25, 16-31, Ex Rate. 85.58</t>
  </si>
  <si>
    <t>1800006324</t>
  </si>
  <si>
    <t>1800006330</t>
  </si>
  <si>
    <t>1800006332</t>
  </si>
  <si>
    <t>1800006336</t>
  </si>
  <si>
    <t>1800005959</t>
  </si>
  <si>
    <t>Storage charges for March 2025</t>
  </si>
  <si>
    <t>1800006322</t>
  </si>
  <si>
    <t>1800006325</t>
  </si>
  <si>
    <t>1800006326</t>
  </si>
  <si>
    <t>1800006327</t>
  </si>
  <si>
    <t>1800006328</t>
  </si>
  <si>
    <t>1800006329</t>
  </si>
  <si>
    <t>1800006331</t>
  </si>
  <si>
    <t>1800006333</t>
  </si>
  <si>
    <t>1800006334</t>
  </si>
  <si>
    <t>1800006335</t>
  </si>
  <si>
    <t>1800006337</t>
  </si>
  <si>
    <t>1800006338</t>
  </si>
  <si>
    <t>1800006339</t>
  </si>
  <si>
    <t>1800006340</t>
  </si>
  <si>
    <t>1800006341</t>
  </si>
  <si>
    <t>1800006342</t>
  </si>
  <si>
    <t>1800011241</t>
  </si>
  <si>
    <t>1800010077</t>
  </si>
  <si>
    <t>1800014423</t>
  </si>
  <si>
    <t>1800014424</t>
  </si>
  <si>
    <t>1800010753</t>
  </si>
  <si>
    <t>1800001388</t>
  </si>
  <si>
    <t>1800001454</t>
  </si>
  <si>
    <t>1800001441</t>
  </si>
  <si>
    <t>1800001430</t>
  </si>
  <si>
    <t>1800001417</t>
  </si>
  <si>
    <t>1800003977</t>
  </si>
  <si>
    <t>1800003944</t>
  </si>
  <si>
    <t>1800004144</t>
  </si>
  <si>
    <t>1800004210</t>
  </si>
  <si>
    <t>1800004211</t>
  </si>
  <si>
    <t>1800004212</t>
  </si>
  <si>
    <t>1800004473</t>
  </si>
  <si>
    <t>1800004474</t>
  </si>
  <si>
    <t>1800004551</t>
  </si>
  <si>
    <t>1800004552</t>
  </si>
  <si>
    <t>1800004553</t>
  </si>
  <si>
    <t>1800004554</t>
  </si>
  <si>
    <t>1800004555</t>
  </si>
  <si>
    <t>1800004935</t>
  </si>
  <si>
    <t>1800004936</t>
  </si>
  <si>
    <t>1800004937</t>
  </si>
  <si>
    <t>1800004938</t>
  </si>
  <si>
    <t>1800004939</t>
  </si>
  <si>
    <t>1800004145</t>
  </si>
  <si>
    <t>1800004306</t>
  </si>
  <si>
    <t>1800004686</t>
  </si>
  <si>
    <t>1800004687</t>
  </si>
  <si>
    <t>1800004760</t>
  </si>
  <si>
    <t>1800004761</t>
  </si>
  <si>
    <t>1800004836</t>
  </si>
  <si>
    <t>1800004837</t>
  </si>
  <si>
    <t>12</t>
  </si>
  <si>
    <t>1800015380</t>
  </si>
  <si>
    <t>1800015390</t>
  </si>
  <si>
    <t>9</t>
  </si>
  <si>
    <t>1600002320</t>
  </si>
  <si>
    <t>1800005314</t>
  </si>
  <si>
    <t>1800005079</t>
  </si>
  <si>
    <t>Inbound Handling charges for Mar 2025</t>
  </si>
  <si>
    <t>1800005080</t>
  </si>
  <si>
    <t>Loose Unloading charges for Mar 2025</t>
  </si>
  <si>
    <t>1800005081</t>
  </si>
  <si>
    <t>LCL charges for Mar 2025</t>
  </si>
  <si>
    <t>1800005082</t>
  </si>
  <si>
    <t>Transportation Inbound charges for Mar 2025</t>
  </si>
  <si>
    <t>1800005083</t>
  </si>
  <si>
    <t>Empty Cont. Outbound charges for Mar 2025</t>
  </si>
  <si>
    <t>1800005084</t>
  </si>
  <si>
    <t>Cy-WH Destuff charges for Mar 2025</t>
  </si>
  <si>
    <t>1800005150</t>
  </si>
  <si>
    <t>Outbound Handling charges for Mar 25</t>
  </si>
  <si>
    <t>1800005151</t>
  </si>
  <si>
    <t>Loose loading Handling charges for Mar 25</t>
  </si>
  <si>
    <t>1800005288</t>
  </si>
  <si>
    <t>VAS Activity -1 -15 Mar 25, Ex Rate. 87.01</t>
  </si>
  <si>
    <t>1800005492</t>
  </si>
  <si>
    <t>1800007300</t>
  </si>
  <si>
    <t>1800007459</t>
  </si>
  <si>
    <t>1800007489</t>
  </si>
  <si>
    <t>1800002534</t>
  </si>
  <si>
    <t>1800002539</t>
  </si>
  <si>
    <t>1800003241</t>
  </si>
  <si>
    <t>1800003242</t>
  </si>
  <si>
    <t>1800003243</t>
  </si>
  <si>
    <t>1800003244</t>
  </si>
  <si>
    <t>1800003245</t>
  </si>
  <si>
    <t>1800013204</t>
  </si>
  <si>
    <t>1800014902</t>
  </si>
  <si>
    <t>1800014910</t>
  </si>
  <si>
    <t>1800007703</t>
  </si>
  <si>
    <t>Inbound Handling charges for 31 Mar 2025</t>
  </si>
  <si>
    <t>1800007736</t>
  </si>
  <si>
    <t>Outbound Handling charges for 31 Mar 25</t>
  </si>
  <si>
    <t>1800015252</t>
  </si>
  <si>
    <t>5</t>
  </si>
  <si>
    <t>1600001370</t>
  </si>
  <si>
    <t>Credit Note against 246779413054</t>
  </si>
  <si>
    <t>1800015173</t>
  </si>
  <si>
    <t>1800015174</t>
  </si>
  <si>
    <t>1800004382</t>
  </si>
  <si>
    <t>1800004383</t>
  </si>
  <si>
    <t>1800004384</t>
  </si>
  <si>
    <t>1800015438</t>
  </si>
  <si>
    <t>1800015460</t>
  </si>
  <si>
    <t>1800012797</t>
  </si>
  <si>
    <t>1800013403</t>
  </si>
  <si>
    <t>1400002336</t>
  </si>
  <si>
    <t>T54SWIC284726</t>
  </si>
  <si>
    <t>1800011946</t>
  </si>
  <si>
    <t>Storage 1-15 Aug-25,WH-9</t>
  </si>
  <si>
    <t>1800011947</t>
  </si>
  <si>
    <t>1800012322</t>
  </si>
  <si>
    <t>WH 09- Storage - 16-31 Aug 25</t>
  </si>
  <si>
    <t>1800012323</t>
  </si>
  <si>
    <t>1800013001</t>
  </si>
  <si>
    <t>Storage -WH 09- 1-15 Sep 25</t>
  </si>
  <si>
    <t>1800013002</t>
  </si>
  <si>
    <t>1800013655</t>
  </si>
  <si>
    <t>Storage -WH 09- 16-30 Sep 25</t>
  </si>
  <si>
    <t>1800013656</t>
  </si>
  <si>
    <t>1800014351</t>
  </si>
  <si>
    <t>1800014381</t>
  </si>
  <si>
    <t>Transportation In Chgs - 16 - 31 OCT 25</t>
  </si>
  <si>
    <t>1800014496</t>
  </si>
  <si>
    <t>1800014593</t>
  </si>
  <si>
    <t>1800014605</t>
  </si>
  <si>
    <t>1800014696</t>
  </si>
  <si>
    <t>Transportation In Chgs - 16 - 31 Oct 25</t>
  </si>
  <si>
    <t>1800014713</t>
  </si>
  <si>
    <t>2123630</t>
  </si>
  <si>
    <t>1800014736</t>
  </si>
  <si>
    <t>1800015716</t>
  </si>
  <si>
    <t>1800015839</t>
  </si>
  <si>
    <t>2156396</t>
  </si>
  <si>
    <t>1800016238</t>
  </si>
  <si>
    <t>2158323</t>
  </si>
  <si>
    <t>1800016264</t>
  </si>
  <si>
    <t>2158342</t>
  </si>
  <si>
    <t>1800016362</t>
  </si>
  <si>
    <t>2158390</t>
  </si>
  <si>
    <t>1800016464</t>
  </si>
  <si>
    <t>2158404</t>
  </si>
  <si>
    <t>1800016374</t>
  </si>
  <si>
    <t>2158406</t>
  </si>
  <si>
    <t>1800016710</t>
  </si>
  <si>
    <t>2158408</t>
  </si>
  <si>
    <t>1800016711</t>
  </si>
  <si>
    <t>1800016733</t>
  </si>
  <si>
    <t>2158639</t>
  </si>
  <si>
    <t>1800016800</t>
  </si>
  <si>
    <t>2159212</t>
  </si>
  <si>
    <t>1800016811</t>
  </si>
  <si>
    <t>1400002443</t>
  </si>
  <si>
    <t>2025061600109202</t>
  </si>
  <si>
    <t>1400000132</t>
  </si>
  <si>
    <t>1800003369</t>
  </si>
  <si>
    <t>MRKU0979720-Port SSR Storage Feb 2025. Exch rate -</t>
  </si>
  <si>
    <t>1800003370</t>
  </si>
  <si>
    <t>INLU2108293-Port SSR Storage Feb 2025. Exch rate -</t>
  </si>
  <si>
    <t>1800003371</t>
  </si>
  <si>
    <t>CRSU1392514-Port SSR Storage Feb 2025. Exch rate -</t>
  </si>
  <si>
    <t>1800003372</t>
  </si>
  <si>
    <t>CMAU6628679-Port SSR Storage Feb 2025. Exch rate -</t>
  </si>
  <si>
    <t>1800003771</t>
  </si>
  <si>
    <t>Empty Lolo charges for Feb 2025 Exch. Rate 87.40</t>
  </si>
  <si>
    <t>1800003955</t>
  </si>
  <si>
    <t>Scanning Charges for the month of Feb 2025</t>
  </si>
  <si>
    <t>1800004613</t>
  </si>
  <si>
    <t>Loose handling Charges for Feb 2025</t>
  </si>
  <si>
    <t>1800004614</t>
  </si>
  <si>
    <t>Inbound Handling charges for Feb 2025</t>
  </si>
  <si>
    <t>1800004615</t>
  </si>
  <si>
    <t>CY- MOVEMENT CHARGES for Feb 2025</t>
  </si>
  <si>
    <t>1800004616</t>
  </si>
  <si>
    <t>Transportation Charges for Feb 2025</t>
  </si>
  <si>
    <t>1800004887</t>
  </si>
  <si>
    <t>Outbound Handling charges for Feb 2025</t>
  </si>
  <si>
    <t>1800004888</t>
  </si>
  <si>
    <t>1800005832</t>
  </si>
  <si>
    <t>Storage charges for Feb 2025</t>
  </si>
  <si>
    <t>1800007099</t>
  </si>
  <si>
    <t>Empty Cont Out charges for 28 Feb 2025</t>
  </si>
  <si>
    <t>1800007143</t>
  </si>
  <si>
    <t>VAS Activity - Feb 25, Ex Rate. 87.40</t>
  </si>
  <si>
    <t>1800007619</t>
  </si>
  <si>
    <t>1800007626</t>
  </si>
  <si>
    <t>1800007630</t>
  </si>
  <si>
    <t>1800007631</t>
  </si>
  <si>
    <t>1800007652</t>
  </si>
  <si>
    <t>1800007653</t>
  </si>
  <si>
    <t>1800007693</t>
  </si>
  <si>
    <t>1800013169</t>
  </si>
  <si>
    <t>1400002444</t>
  </si>
  <si>
    <t>2025091500128550</t>
  </si>
  <si>
    <t>1400001228</t>
  </si>
  <si>
    <t>6</t>
  </si>
  <si>
    <t>1800009318</t>
  </si>
  <si>
    <t>Storage 1-31 May-25,WH-9</t>
  </si>
  <si>
    <t>1800009963</t>
  </si>
  <si>
    <t>1800010104</t>
  </si>
  <si>
    <t>Transportation In Chgs -16 - 30 JUN 25</t>
  </si>
  <si>
    <t>1800010136</t>
  </si>
  <si>
    <t>1800010234</t>
  </si>
  <si>
    <t>Outbound chgs - 16 - 30 Jun 25</t>
  </si>
  <si>
    <t>1800010269</t>
  </si>
  <si>
    <t>1800010282</t>
  </si>
  <si>
    <t>1800010471</t>
  </si>
  <si>
    <t>1400002445</t>
  </si>
  <si>
    <t>2025092400555090</t>
  </si>
  <si>
    <t>1400001328</t>
  </si>
  <si>
    <t>1800010392</t>
  </si>
  <si>
    <t>Storage 01-30 June-25,WH-9</t>
  </si>
  <si>
    <t>1800010393</t>
  </si>
  <si>
    <t>1800011451</t>
  </si>
  <si>
    <t>Storage 1-31 July -25,WH-9</t>
  </si>
  <si>
    <t>1800011452</t>
  </si>
  <si>
    <t>1800011627</t>
  </si>
  <si>
    <t>1800011796</t>
  </si>
  <si>
    <t>1800011802</t>
  </si>
  <si>
    <t>1800011820</t>
  </si>
  <si>
    <t>1800011836</t>
  </si>
  <si>
    <t>1800011847</t>
  </si>
  <si>
    <t>1400002446</t>
  </si>
  <si>
    <t>T54SWIC277247</t>
  </si>
  <si>
    <t>1400001510</t>
  </si>
  <si>
    <t>1800011671</t>
  </si>
  <si>
    <t>Outbound chgs - 16 - 31 Jul 25</t>
  </si>
  <si>
    <t>1800011760</t>
  </si>
  <si>
    <t>1400002447</t>
  </si>
  <si>
    <t>T54SWIC278365</t>
  </si>
  <si>
    <t>1400001577</t>
  </si>
  <si>
    <t>1800012098</t>
  </si>
  <si>
    <t>VAS-Aug 25, 1-15</t>
  </si>
  <si>
    <t>1800012101</t>
  </si>
  <si>
    <t>Weighment-Aug 25, 1-15</t>
  </si>
  <si>
    <t>1800012498</t>
  </si>
  <si>
    <t>VAS -16-31 Aug 25</t>
  </si>
  <si>
    <t>1400002448</t>
  </si>
  <si>
    <t>T54SWIC280198</t>
  </si>
  <si>
    <t>1400001930</t>
  </si>
  <si>
    <t>1800012563</t>
  </si>
  <si>
    <t>1800012570</t>
  </si>
  <si>
    <t>1800012575</t>
  </si>
  <si>
    <t>1800012591</t>
  </si>
  <si>
    <t>Scanning  Chgs - 16 - 31 Aug 25</t>
  </si>
  <si>
    <t>1800012596</t>
  </si>
  <si>
    <t>1800012606</t>
  </si>
  <si>
    <t>1800012625</t>
  </si>
  <si>
    <t>1800012654</t>
  </si>
  <si>
    <t>Outbound chgs - 16 - 31 Aug 25</t>
  </si>
  <si>
    <t>1800012828</t>
  </si>
  <si>
    <t>VAS -1-15 Sept-25</t>
  </si>
  <si>
    <t>1800013286</t>
  </si>
  <si>
    <t>1800013314</t>
  </si>
  <si>
    <t>1800013357</t>
  </si>
  <si>
    <t>1800013480</t>
  </si>
  <si>
    <t>1800013489</t>
  </si>
  <si>
    <t>1800013605</t>
  </si>
  <si>
    <t>VAS-16-30 Sept 25</t>
  </si>
  <si>
    <t>1800013621</t>
  </si>
  <si>
    <t>1400002466</t>
  </si>
  <si>
    <t>2025081400574583</t>
  </si>
  <si>
    <t>1400001008</t>
  </si>
  <si>
    <t>1800007796</t>
  </si>
  <si>
    <t>1800007830</t>
  </si>
  <si>
    <t>1800007980</t>
  </si>
  <si>
    <t>LCL Chgs - 01 - 15 Apr 25</t>
  </si>
  <si>
    <t>1800007981</t>
  </si>
  <si>
    <t>CY - WH Destuff Chgs - 01 - 15 Apr 25</t>
  </si>
  <si>
    <t>1800008009</t>
  </si>
  <si>
    <t>Outbound chgs - 01 - 15 Apr 25</t>
  </si>
  <si>
    <t>1800008340</t>
  </si>
  <si>
    <t>VAS - 16-30 April 25, Ex.Rate-85.05</t>
  </si>
  <si>
    <t>1800008491</t>
  </si>
  <si>
    <t>1800008493</t>
  </si>
  <si>
    <t>1800008525</t>
  </si>
  <si>
    <t>Transportation In Chgs - 16 - 30 Apr 25</t>
  </si>
  <si>
    <t>1800008563</t>
  </si>
  <si>
    <t>Outbound chgs - 16 - 30 Apr 25</t>
  </si>
  <si>
    <t>1800008699</t>
  </si>
  <si>
    <t>Outbound chgs - 01 - 15 MAY 25</t>
  </si>
  <si>
    <t>1800008808</t>
  </si>
  <si>
    <t>Storage 16-30 April-25-WH09</t>
  </si>
  <si>
    <t>1800009056</t>
  </si>
  <si>
    <t>VAS -1-15 May 25, Ex.rate 85.43</t>
  </si>
  <si>
    <t>1800009101</t>
  </si>
  <si>
    <t>1800009317</t>
  </si>
  <si>
    <t>1800009404</t>
  </si>
  <si>
    <t>1800009417</t>
  </si>
  <si>
    <t>Outbound chgs - 16 - 31 MAY 25</t>
  </si>
  <si>
    <t>1800009491</t>
  </si>
  <si>
    <t>1800009501</t>
  </si>
  <si>
    <t>1800009517</t>
  </si>
  <si>
    <t>1800009528</t>
  </si>
  <si>
    <t>Transportation In Chgs -16-31 MAY 25</t>
  </si>
  <si>
    <t>1800016812</t>
  </si>
  <si>
    <t>2159534</t>
  </si>
  <si>
    <t>Storage -WH 09- 16-30 Apr 25</t>
  </si>
  <si>
    <t>1800017122</t>
  </si>
  <si>
    <t>2163425</t>
  </si>
  <si>
    <t>VAS-1-15 Jan 2026</t>
  </si>
  <si>
    <t>1800017138</t>
  </si>
  <si>
    <t>VAS - Weighment-1-15 Jan 2026</t>
  </si>
  <si>
    <t>1800017209</t>
  </si>
  <si>
    <t>2170886</t>
  </si>
  <si>
    <t>VAS  -1-15 Oct 2025</t>
  </si>
  <si>
    <t>1800017223</t>
  </si>
  <si>
    <t>Weighment  -1-15 Oct 2025</t>
  </si>
  <si>
    <t>May</t>
  </si>
  <si>
    <t>Jun</t>
  </si>
  <si>
    <t>Oct</t>
  </si>
  <si>
    <t>Sum of Company Code Currency Value</t>
  </si>
  <si>
    <t>Sum of Document Currency Value</t>
  </si>
  <si>
    <t>DG-Credit Note</t>
  </si>
  <si>
    <t>DR-Sales</t>
  </si>
  <si>
    <t>DZ-Payment</t>
  </si>
  <si>
    <t>Sum of Amount in local currency</t>
  </si>
  <si>
    <t>Reconciliation of Ledger as on 31st January 2026</t>
  </si>
  <si>
    <t>Particulars</t>
  </si>
  <si>
    <t>Amount</t>
  </si>
  <si>
    <t>Add: Invoices not recorded in customer books</t>
  </si>
  <si>
    <t>Derived balance</t>
  </si>
  <si>
    <t>Balance as per Ascent</t>
  </si>
  <si>
    <t>Difference</t>
  </si>
  <si>
    <t>Balance as per Ashland</t>
  </si>
  <si>
    <t>Profit Center</t>
  </si>
  <si>
    <t>Trading Partner No.</t>
  </si>
  <si>
    <t>Assignment</t>
  </si>
  <si>
    <t>Item</t>
  </si>
  <si>
    <t>Reference Key 1</t>
  </si>
  <si>
    <t>Reference Key 2</t>
  </si>
  <si>
    <t>Reference Key 3</t>
  </si>
  <si>
    <t>Baseline Payment Dte</t>
  </si>
  <si>
    <t>Clearing Date</t>
  </si>
  <si>
    <t>6779224500</t>
  </si>
  <si>
    <t>6779220000</t>
  </si>
  <si>
    <t>6779224501</t>
  </si>
  <si>
    <t>2117487</t>
  </si>
  <si>
    <t>2123396</t>
  </si>
  <si>
    <t>2140080</t>
  </si>
  <si>
    <t>2140083</t>
  </si>
  <si>
    <t>2104190</t>
  </si>
  <si>
    <t>2104588</t>
  </si>
  <si>
    <t>2130554</t>
  </si>
  <si>
    <t>2140088</t>
  </si>
  <si>
    <t>2139040</t>
  </si>
  <si>
    <t>2140456</t>
  </si>
  <si>
    <t>2140458</t>
  </si>
  <si>
    <t>2102577</t>
  </si>
  <si>
    <t>2110503</t>
  </si>
  <si>
    <t>2102533</t>
  </si>
  <si>
    <t>2110822</t>
  </si>
  <si>
    <t>2123409</t>
  </si>
  <si>
    <t>2123410</t>
  </si>
  <si>
    <t>2123408</t>
  </si>
  <si>
    <t>2123415</t>
  </si>
  <si>
    <t>2123406</t>
  </si>
  <si>
    <t>2123648</t>
  </si>
  <si>
    <t>2139808</t>
  </si>
  <si>
    <t>2102484</t>
  </si>
  <si>
    <t>2096996</t>
  </si>
  <si>
    <t>2102532</t>
  </si>
  <si>
    <t>2110493</t>
  </si>
  <si>
    <t>2110504</t>
  </si>
  <si>
    <t>2110497</t>
  </si>
  <si>
    <t>2110981</t>
  </si>
  <si>
    <t>2110803</t>
  </si>
  <si>
    <t>6779IV124000285</t>
  </si>
  <si>
    <t>6779IV124000244</t>
  </si>
  <si>
    <t>6779IV124000235</t>
  </si>
  <si>
    <t>6779IV124000236</t>
  </si>
  <si>
    <t>6779IV124000238</t>
  </si>
  <si>
    <t>6779IV124000240</t>
  </si>
  <si>
    <t>6779IV124000241</t>
  </si>
  <si>
    <t>6779IV124000243</t>
  </si>
  <si>
    <t>6779IV124000256</t>
  </si>
  <si>
    <t>6779IV124000258</t>
  </si>
  <si>
    <t>6779IV124000260</t>
  </si>
  <si>
    <t>6779IV124000261</t>
  </si>
  <si>
    <t>6779IV124000263</t>
  </si>
  <si>
    <t>6779IV124000264</t>
  </si>
  <si>
    <t>6779IV124000267</t>
  </si>
  <si>
    <t>6779IV124000247</t>
  </si>
  <si>
    <t>6779IV124000248</t>
  </si>
  <si>
    <t>6779IV124000250</t>
  </si>
  <si>
    <t>6779IV124000251</t>
  </si>
  <si>
    <t>6779IV124000252</t>
  </si>
  <si>
    <t>6779IV124000253</t>
  </si>
  <si>
    <t>6779IV124000255</t>
  </si>
  <si>
    <t>6779IV124000259</t>
  </si>
  <si>
    <t>6779IV124000268</t>
  </si>
  <si>
    <t>6779IV124000270</t>
  </si>
  <si>
    <t>6779IV124000272</t>
  </si>
  <si>
    <t>6779IV124000273</t>
  </si>
  <si>
    <t>6779IV124000275</t>
  </si>
  <si>
    <t>6779IV124000276</t>
  </si>
  <si>
    <t>6779IV124000277</t>
  </si>
  <si>
    <t>6779IV124000278</t>
  </si>
  <si>
    <t>6779IV124000280</t>
  </si>
  <si>
    <t>6779IV124000281</t>
  </si>
  <si>
    <t>6779IV124000283</t>
  </si>
  <si>
    <t>6779IV124000284</t>
  </si>
  <si>
    <t>6779IV124000286</t>
  </si>
  <si>
    <t>6779IV124000245</t>
  </si>
  <si>
    <t>6779IV124000237</t>
  </si>
  <si>
    <t>6779IV124000282</t>
  </si>
  <si>
    <t>6779IV124000279</t>
  </si>
  <si>
    <t>6779IV124000271</t>
  </si>
  <si>
    <t>6779IV124000269</t>
  </si>
  <si>
    <t>6779IV124000254</t>
  </si>
  <si>
    <t>6779IV124000239</t>
  </si>
  <si>
    <t>6779IV124000262</t>
  </si>
  <si>
    <t>6779IV124000246</t>
  </si>
  <si>
    <t>6779IV124000274</t>
  </si>
  <si>
    <t>6779IV124000234</t>
  </si>
  <si>
    <t>6779IV124000242</t>
  </si>
  <si>
    <t>6779IV124000249</t>
  </si>
  <si>
    <t>6779IV124000257</t>
  </si>
  <si>
    <t>6779IV124000265</t>
  </si>
  <si>
    <t>ZP</t>
  </si>
  <si>
    <t>Empty Lolo Chgs - 01 - 30 NOV 25</t>
  </si>
  <si>
    <t>Weighment-Nov 1-30, 2025</t>
  </si>
  <si>
    <t>VAS-Nov 1-30, 2025</t>
  </si>
  <si>
    <t>Scanning  Chgs - 1- 30 Nov 25</t>
  </si>
  <si>
    <t>Transportation Out chgs - 1- 30 Nov 25 WH 09</t>
  </si>
  <si>
    <t>Transportation In Chgs - 1- 30 NOV 25 ( WH 09 )</t>
  </si>
  <si>
    <t>VAS Nov-25, 1-30</t>
  </si>
  <si>
    <t>Weightment-Nov 25, 1-30</t>
  </si>
  <si>
    <t>Storage WH-Nov25</t>
  </si>
  <si>
    <t>Storage -WH OCT 25</t>
  </si>
  <si>
    <t>Storage WH-OCT25</t>
  </si>
  <si>
    <t>Payment</t>
  </si>
  <si>
    <t>Closing Balance</t>
  </si>
  <si>
    <t>Ascendus Ledger</t>
  </si>
  <si>
    <t>Customer Ledger</t>
  </si>
  <si>
    <t>New Ref</t>
  </si>
  <si>
    <t>Difference invoice raised in Ascendus books</t>
  </si>
  <si>
    <t>Document No</t>
  </si>
  <si>
    <t>Doc Type</t>
  </si>
  <si>
    <t>Date</t>
  </si>
  <si>
    <t>Net Diffrence</t>
  </si>
  <si>
    <t>UnderBooked in customer's Books</t>
  </si>
  <si>
    <t>OverBooked in customer's Books</t>
  </si>
  <si>
    <t>Remarks</t>
  </si>
  <si>
    <t>Different invoice no in Ascendus books</t>
  </si>
  <si>
    <t xml:space="preserve">Customer Code </t>
  </si>
  <si>
    <t xml:space="preserve">Payment Date </t>
  </si>
  <si>
    <t>Currency</t>
  </si>
  <si>
    <t>Recd Amount</t>
  </si>
  <si>
    <t xml:space="preserve">UTR Details </t>
  </si>
  <si>
    <t>T54SWIC292175</t>
  </si>
  <si>
    <t>As Per Bank Details</t>
  </si>
  <si>
    <t>As per Ascendus Ledger</t>
  </si>
  <si>
    <t>Clearing Doc No</t>
  </si>
  <si>
    <t>As Per Customer ledger</t>
  </si>
  <si>
    <t>Payment Not in Books</t>
  </si>
  <si>
    <t>Difference Due to Bank Charges</t>
  </si>
  <si>
    <t>Add: CN not recorded in Ascendus Books</t>
  </si>
  <si>
    <t>Less: Invoice not recorded in Ascendus Books</t>
  </si>
  <si>
    <t>44872.17C</t>
  </si>
  <si>
    <t>Add: Diffrence in Payment recorded in both books</t>
  </si>
  <si>
    <t>Less: Duplicate CN in Ascendus Books</t>
  </si>
  <si>
    <t>Add: Diffrence in Invoice Amount in both Books</t>
  </si>
  <si>
    <t>As Per Customer</t>
  </si>
  <si>
    <t>As per CL</t>
  </si>
  <si>
    <t>256779410983 to 256779410990</t>
  </si>
  <si>
    <t>246779414012/246779414013/246779414019</t>
  </si>
  <si>
    <t>256779411213 To 256779411233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</si>
</sst>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mm/d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0" fillId="0" borderId="0" xfId="0" pivotButton="1"/>
    <xf numFmtId="0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vertical="top" indent="2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2" xfId="0" applyNumberFormat="1" applyBorder="1" applyAlignment="1">
      <alignment vertical="top"/>
    </xf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164" fontId="0" fillId="0" borderId="4" xfId="1" applyNumberFormat="1" applyFont="1" applyBorder="1"/>
    <xf numFmtId="164" fontId="0" fillId="0" borderId="6" xfId="1" applyNumberFormat="1" applyFont="1" applyBorder="1"/>
    <xf numFmtId="0" fontId="0" fillId="0" borderId="7" xfId="1" applyNumberFormat="1" applyFont="1" applyBorder="1"/>
    <xf numFmtId="0" fontId="0" fillId="0" borderId="12" xfId="1" applyNumberFormat="1" applyFont="1" applyBorder="1"/>
    <xf numFmtId="164" fontId="0" fillId="0" borderId="13" xfId="1" applyNumberFormat="1" applyFont="1" applyBorder="1"/>
    <xf numFmtId="164" fontId="0" fillId="0" borderId="12" xfId="1" applyNumberFormat="1" applyFont="1" applyBorder="1"/>
    <xf numFmtId="164" fontId="0" fillId="0" borderId="14" xfId="1" applyNumberFormat="1" applyFont="1" applyBorder="1"/>
    <xf numFmtId="0" fontId="0" fillId="0" borderId="17" xfId="1" applyNumberFormat="1" applyFont="1" applyBorder="1"/>
    <xf numFmtId="164" fontId="0" fillId="0" borderId="18" xfId="1" applyNumberFormat="1" applyFont="1" applyBorder="1"/>
    <xf numFmtId="164" fontId="0" fillId="0" borderId="17" xfId="1" applyNumberFormat="1" applyFont="1" applyBorder="1"/>
    <xf numFmtId="164" fontId="0" fillId="0" borderId="19" xfId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20" xfId="0" applyNumberFormat="1" applyFont="1" applyBorder="1"/>
    <xf numFmtId="164" fontId="2" fillId="0" borderId="21" xfId="0" applyNumberFormat="1" applyFont="1" applyBorder="1"/>
    <xf numFmtId="164" fontId="2" fillId="0" borderId="22" xfId="0" applyNumberFormat="1" applyFont="1" applyBorder="1"/>
    <xf numFmtId="0" fontId="0" fillId="0" borderId="0" xfId="0" applyBorder="1"/>
    <xf numFmtId="164" fontId="0" fillId="0" borderId="0" xfId="1" applyNumberFormat="1" applyFont="1" applyBorder="1"/>
    <xf numFmtId="164" fontId="0" fillId="0" borderId="0" xfId="0" applyNumberFormat="1" applyBorder="1"/>
    <xf numFmtId="1" fontId="0" fillId="0" borderId="1" xfId="0" applyNumberFormat="1" applyBorder="1" applyAlignment="1">
      <alignment vertical="top"/>
    </xf>
    <xf numFmtId="0" fontId="2" fillId="0" borderId="15" xfId="2" applyFont="1" applyBorder="1"/>
    <xf numFmtId="43" fontId="0" fillId="0" borderId="24" xfId="3" applyFont="1" applyBorder="1"/>
    <xf numFmtId="43" fontId="2" fillId="0" borderId="15" xfId="3" applyFont="1" applyBorder="1"/>
    <xf numFmtId="43" fontId="2" fillId="0" borderId="3" xfId="1" applyFont="1" applyBorder="1"/>
    <xf numFmtId="0" fontId="1" fillId="0" borderId="0" xfId="2"/>
    <xf numFmtId="4" fontId="0" fillId="0" borderId="0" xfId="0" applyNumberFormat="1"/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43" fontId="0" fillId="0" borderId="2" xfId="1" applyFont="1" applyBorder="1" applyAlignment="1">
      <alignment vertical="top"/>
    </xf>
    <xf numFmtId="1" fontId="0" fillId="0" borderId="2" xfId="0" applyNumberFormat="1" applyBorder="1" applyAlignment="1">
      <alignment vertical="top"/>
    </xf>
    <xf numFmtId="1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0" borderId="0" xfId="0" applyAlignment="1"/>
    <xf numFmtId="0" fontId="0" fillId="6" borderId="1" xfId="0" applyFill="1" applyBorder="1" applyAlignment="1">
      <alignment vertical="top"/>
    </xf>
    <xf numFmtId="14" fontId="0" fillId="6" borderId="1" xfId="0" applyNumberFormat="1" applyFill="1" applyBorder="1" applyAlignment="1">
      <alignment horizontal="right" vertical="top"/>
    </xf>
    <xf numFmtId="1" fontId="0" fillId="6" borderId="1" xfId="0" applyNumberFormat="1" applyFill="1" applyBorder="1" applyAlignment="1">
      <alignment vertical="top"/>
    </xf>
    <xf numFmtId="4" fontId="0" fillId="6" borderId="1" xfId="0" applyNumberFormat="1" applyFill="1" applyBorder="1" applyAlignment="1">
      <alignment horizontal="right" vertical="top"/>
    </xf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1" fontId="0" fillId="0" borderId="0" xfId="0" applyNumberFormat="1" applyFill="1" applyAlignment="1">
      <alignment vertical="top"/>
    </xf>
    <xf numFmtId="4" fontId="0" fillId="0" borderId="0" xfId="0" applyNumberFormat="1" applyFill="1" applyAlignment="1">
      <alignment horizontal="right" vertical="top"/>
    </xf>
    <xf numFmtId="0" fontId="0" fillId="0" borderId="0" xfId="0" applyFill="1"/>
    <xf numFmtId="0" fontId="0" fillId="5" borderId="14" xfId="0" applyFill="1" applyBorder="1" applyAlignment="1">
      <alignment vertical="top"/>
    </xf>
    <xf numFmtId="0" fontId="0" fillId="5" borderId="15" xfId="0" applyFill="1" applyBorder="1" applyAlignment="1"/>
    <xf numFmtId="0" fontId="0" fillId="5" borderId="28" xfId="0" applyFill="1" applyBorder="1" applyAlignment="1"/>
    <xf numFmtId="0" fontId="0" fillId="5" borderId="16" xfId="0" applyFill="1" applyBorder="1" applyAlignment="1"/>
    <xf numFmtId="0" fontId="0" fillId="5" borderId="29" xfId="0" applyFill="1" applyBorder="1" applyAlignment="1">
      <alignment vertical="top"/>
    </xf>
    <xf numFmtId="0" fontId="0" fillId="6" borderId="27" xfId="0" applyFill="1" applyBorder="1" applyAlignment="1">
      <alignment vertical="top"/>
    </xf>
    <xf numFmtId="0" fontId="0" fillId="0" borderId="27" xfId="0" applyBorder="1" applyAlignment="1">
      <alignment vertical="top"/>
    </xf>
    <xf numFmtId="0" fontId="0" fillId="5" borderId="12" xfId="0" applyFill="1" applyBorder="1" applyAlignment="1">
      <alignment vertical="top"/>
    </xf>
    <xf numFmtId="0" fontId="0" fillId="5" borderId="13" xfId="0" applyFill="1" applyBorder="1" applyAlignment="1">
      <alignment vertical="top"/>
    </xf>
    <xf numFmtId="0" fontId="0" fillId="6" borderId="7" xfId="0" applyFill="1" applyBorder="1" applyAlignment="1">
      <alignment vertical="top"/>
    </xf>
    <xf numFmtId="0" fontId="0" fillId="6" borderId="8" xfId="0" applyFill="1" applyBorder="1" applyAlignment="1">
      <alignment vertical="top"/>
    </xf>
    <xf numFmtId="0" fontId="0" fillId="0" borderId="9" xfId="0" applyBorder="1" applyAlignment="1">
      <alignment vertical="top"/>
    </xf>
    <xf numFmtId="14" fontId="0" fillId="0" borderId="10" xfId="0" applyNumberFormat="1" applyBorder="1" applyAlignment="1">
      <alignment horizontal="right" vertical="top"/>
    </xf>
    <xf numFmtId="1" fontId="0" fillId="0" borderId="10" xfId="0" applyNumberFormat="1" applyBorder="1" applyAlignment="1">
      <alignment vertical="top"/>
    </xf>
    <xf numFmtId="4" fontId="0" fillId="0" borderId="10" xfId="0" applyNumberFormat="1" applyBorder="1" applyAlignment="1">
      <alignment horizontal="right" vertical="top"/>
    </xf>
    <xf numFmtId="0" fontId="0" fillId="0" borderId="11" xfId="0" applyBorder="1" applyAlignment="1">
      <alignment vertical="top"/>
    </xf>
    <xf numFmtId="1" fontId="0" fillId="0" borderId="0" xfId="0" applyNumberFormat="1" applyBorder="1"/>
    <xf numFmtId="43" fontId="0" fillId="0" borderId="1" xfId="1" applyFont="1" applyBorder="1" applyAlignment="1">
      <alignment horizontal="right" vertical="top"/>
    </xf>
    <xf numFmtId="0" fontId="0" fillId="0" borderId="1" xfId="0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43" fontId="0" fillId="0" borderId="1" xfId="0" applyNumberFormat="1" applyBorder="1"/>
    <xf numFmtId="43" fontId="2" fillId="0" borderId="0" xfId="0" applyNumberFormat="1" applyFont="1"/>
    <xf numFmtId="43" fontId="0" fillId="0" borderId="0" xfId="1" applyFont="1"/>
    <xf numFmtId="0" fontId="0" fillId="8" borderId="1" xfId="0" applyFill="1" applyBorder="1"/>
    <xf numFmtId="164" fontId="0" fillId="8" borderId="1" xfId="1" applyNumberFormat="1" applyFont="1" applyFill="1" applyBorder="1"/>
    <xf numFmtId="0" fontId="0" fillId="8" borderId="1" xfId="0" applyNumberFormat="1" applyFill="1" applyBorder="1"/>
    <xf numFmtId="0" fontId="0" fillId="9" borderId="1" xfId="0" applyFill="1" applyBorder="1" applyAlignment="1">
      <alignment vertical="top"/>
    </xf>
    <xf numFmtId="1" fontId="0" fillId="9" borderId="1" xfId="0" applyNumberFormat="1" applyFill="1" applyBorder="1" applyAlignment="1">
      <alignment vertical="top"/>
    </xf>
    <xf numFmtId="14" fontId="0" fillId="9" borderId="7" xfId="0" applyNumberFormat="1" applyFill="1" applyBorder="1" applyAlignment="1">
      <alignment horizontal="right" vertical="top"/>
    </xf>
    <xf numFmtId="3" fontId="0" fillId="9" borderId="8" xfId="0" applyNumberFormat="1" applyFill="1" applyBorder="1" applyAlignment="1">
      <alignment horizontal="right" vertical="top"/>
    </xf>
    <xf numFmtId="14" fontId="0" fillId="9" borderId="9" xfId="0" applyNumberFormat="1" applyFill="1" applyBorder="1" applyAlignment="1">
      <alignment horizontal="right" vertical="top"/>
    </xf>
    <xf numFmtId="1" fontId="0" fillId="9" borderId="10" xfId="0" applyNumberFormat="1" applyFill="1" applyBorder="1" applyAlignment="1">
      <alignment vertical="top"/>
    </xf>
    <xf numFmtId="0" fontId="0" fillId="9" borderId="10" xfId="0" applyFill="1" applyBorder="1" applyAlignment="1">
      <alignment vertical="top"/>
    </xf>
    <xf numFmtId="3" fontId="0" fillId="9" borderId="11" xfId="0" applyNumberFormat="1" applyFill="1" applyBorder="1" applyAlignment="1">
      <alignment horizontal="right" vertical="top"/>
    </xf>
    <xf numFmtId="0" fontId="0" fillId="0" borderId="1" xfId="0" applyFill="1" applyBorder="1"/>
    <xf numFmtId="164" fontId="0" fillId="0" borderId="1" xfId="1" applyNumberFormat="1" applyFont="1" applyFill="1" applyBorder="1"/>
    <xf numFmtId="0" fontId="0" fillId="0" borderId="27" xfId="0" applyFill="1" applyBorder="1"/>
    <xf numFmtId="14" fontId="0" fillId="0" borderId="1" xfId="0" applyNumberFormat="1" applyFill="1" applyBorder="1"/>
    <xf numFmtId="165" fontId="3" fillId="0" borderId="1" xfId="0" applyNumberFormat="1" applyFont="1" applyFill="1" applyBorder="1"/>
    <xf numFmtId="3" fontId="0" fillId="0" borderId="0" xfId="0" applyNumberFormat="1" applyFill="1"/>
    <xf numFmtId="164" fontId="0" fillId="0" borderId="0" xfId="1" applyNumberFormat="1" applyFont="1" applyFill="1"/>
    <xf numFmtId="0" fontId="0" fillId="0" borderId="0" xfId="0" applyFill="1" applyBorder="1"/>
    <xf numFmtId="164" fontId="0" fillId="0" borderId="0" xfId="1" applyNumberFormat="1" applyFont="1" applyFill="1" applyBorder="1"/>
    <xf numFmtId="0" fontId="0" fillId="0" borderId="0" xfId="0" applyFill="1" applyBorder="1" applyAlignment="1">
      <alignment vertical="top"/>
    </xf>
    <xf numFmtId="3" fontId="0" fillId="0" borderId="0" xfId="0" applyNumberFormat="1" applyFill="1" applyBorder="1"/>
    <xf numFmtId="1" fontId="0" fillId="0" borderId="26" xfId="0" applyNumberFormat="1" applyFill="1" applyBorder="1" applyAlignment="1">
      <alignment horizontal="left"/>
    </xf>
    <xf numFmtId="0" fontId="0" fillId="0" borderId="26" xfId="0" applyFill="1" applyBorder="1"/>
    <xf numFmtId="1" fontId="0" fillId="0" borderId="26" xfId="0" applyNumberFormat="1" applyFill="1" applyBorder="1"/>
    <xf numFmtId="0" fontId="0" fillId="0" borderId="0" xfId="0" applyNumberFormat="1" applyFill="1" applyBorder="1"/>
    <xf numFmtId="0" fontId="0" fillId="0" borderId="0" xfId="0" applyFill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3" fontId="0" fillId="9" borderId="8" xfId="0" applyNumberForma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1" applyNumberFormat="1" applyFont="1" applyFill="1" applyBorder="1"/>
    <xf numFmtId="0" fontId="0" fillId="10" borderId="1" xfId="0" applyFill="1" applyBorder="1"/>
    <xf numFmtId="43" fontId="0" fillId="0" borderId="2" xfId="0" applyNumberFormat="1" applyBorder="1" applyAlignment="1">
      <alignment vertical="top"/>
    </xf>
    <xf numFmtId="43" fontId="1" fillId="0" borderId="0" xfId="1"/>
    <xf numFmtId="164" fontId="0" fillId="0" borderId="23" xfId="1" applyNumberFormat="1" applyFont="1" applyBorder="1"/>
    <xf numFmtId="164" fontId="0" fillId="0" borderId="25" xfId="1" applyNumberFormat="1" applyFont="1" applyBorder="1"/>
    <xf numFmtId="164" fontId="2" fillId="0" borderId="3" xfId="1" applyNumberFormat="1" applyFont="1" applyBorder="1"/>
    <xf numFmtId="43" fontId="0" fillId="0" borderId="30" xfId="3" applyFont="1" applyBorder="1"/>
    <xf numFmtId="164" fontId="0" fillId="0" borderId="31" xfId="1" applyNumberFormat="1" applyFont="1" applyBorder="1"/>
    <xf numFmtId="0" fontId="0" fillId="0" borderId="1" xfId="0" applyFill="1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0" fontId="0" fillId="6" borderId="1" xfId="0" applyNumberFormat="1" applyFill="1" applyBorder="1" applyAlignment="1">
      <alignment vertical="top"/>
    </xf>
    <xf numFmtId="0" fontId="0" fillId="6" borderId="1" xfId="0" applyFill="1" applyBorder="1"/>
    <xf numFmtId="0" fontId="2" fillId="0" borderId="15" xfId="2" applyFont="1" applyBorder="1" applyAlignment="1">
      <alignment horizontal="center"/>
    </xf>
    <xf numFmtId="0" fontId="2" fillId="0" borderId="16" xfId="2" applyFont="1" applyBorder="1" applyAlignment="1">
      <alignment horizontal="center"/>
    </xf>
    <xf numFmtId="0" fontId="0" fillId="7" borderId="2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0" xfId="0" applyBorder="1" applyAlignment="1">
      <alignment vertical="center"/>
    </xf>
    <xf numFmtId="43" fontId="0" fillId="0" borderId="0" xfId="1" applyFont="1" applyBorder="1"/>
    <xf numFmtId="4" fontId="0" fillId="0" borderId="0" xfId="0" applyNumberFormat="1" applyBorder="1"/>
    <xf numFmtId="0" fontId="0" fillId="2" borderId="19" xfId="0" applyFill="1" applyBorder="1" applyAlignment="1">
      <alignment vertical="center" wrapText="1"/>
    </xf>
    <xf numFmtId="0" fontId="0" fillId="2" borderId="19" xfId="0" applyFill="1" applyBorder="1" applyAlignment="1">
      <alignment vertical="center"/>
    </xf>
    <xf numFmtId="0" fontId="0" fillId="0" borderId="14" xfId="0" applyBorder="1" applyAlignment="1">
      <alignment vertical="top"/>
    </xf>
    <xf numFmtId="0" fontId="0" fillId="0" borderId="14" xfId="0" applyNumberFormat="1" applyBorder="1" applyAlignment="1">
      <alignment vertical="top"/>
    </xf>
    <xf numFmtId="14" fontId="0" fillId="0" borderId="14" xfId="0" applyNumberFormat="1" applyBorder="1" applyAlignment="1">
      <alignment horizontal="right" vertical="top"/>
    </xf>
    <xf numFmtId="1" fontId="0" fillId="0" borderId="14" xfId="0" applyNumberFormat="1" applyBorder="1" applyAlignment="1">
      <alignment vertical="top"/>
    </xf>
    <xf numFmtId="4" fontId="0" fillId="0" borderId="14" xfId="0" applyNumberFormat="1" applyBorder="1" applyAlignment="1">
      <alignment horizontal="right" vertical="top"/>
    </xf>
    <xf numFmtId="0" fontId="0" fillId="2" borderId="32" xfId="0" applyFill="1" applyBorder="1" applyAlignment="1">
      <alignment vertical="center"/>
    </xf>
    <xf numFmtId="43" fontId="0" fillId="6" borderId="26" xfId="1" applyFont="1" applyFill="1" applyBorder="1"/>
    <xf numFmtId="43" fontId="0" fillId="0" borderId="26" xfId="1" applyFont="1" applyBorder="1"/>
    <xf numFmtId="1" fontId="0" fillId="0" borderId="1" xfId="0" applyNumberFormat="1" applyBorder="1"/>
    <xf numFmtId="43" fontId="0" fillId="0" borderId="0" xfId="1" applyFont="1" applyFill="1" applyBorder="1" applyAlignment="1">
      <alignment vertical="center"/>
    </xf>
    <xf numFmtId="9" fontId="0" fillId="0" borderId="0" xfId="4" applyFont="1" applyFill="1" applyBorder="1" applyAlignment="1">
      <alignment vertical="center"/>
    </xf>
    <xf numFmtId="0" fontId="0" fillId="6" borderId="26" xfId="0" applyFill="1" applyBorder="1"/>
    <xf numFmtId="0" fontId="0" fillId="11" borderId="33" xfId="0" applyFill="1" applyBorder="1" applyAlignment="1">
      <alignment horizontal="center"/>
    </xf>
    <xf numFmtId="0" fontId="0" fillId="0" borderId="26" xfId="0" applyBorder="1"/>
  </cellXfs>
  <cellStyles count="5">
    <cellStyle name="Comma" xfId="1" builtinId="3"/>
    <cellStyle name="Comma 2" xfId="3" xr:uid="{57E64A57-ABDF-4693-8CDA-EB191209C1F2}"/>
    <cellStyle name="Normal" xfId="0" builtinId="0"/>
    <cellStyle name="Normal 2" xfId="2" xr:uid="{6B6651FA-337E-4072-9FD9-8F3E873FD9B8}"/>
    <cellStyle name="Percent" xfId="4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9B66FF57-DC3C-43B2-8349-AE2CE2241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E182A063-DBE2-41A5-BCA5-478A688A6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CF821CFA-99A0-4349-A86A-51935E8DC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988978C6-6255-44BF-9AA1-212D382E3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A3E68662-96FF-4FEA-9083-AA6480AF3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2F8CEFB1-B444-49D1-BBE5-426EAC2C6A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C28CE423-0ACF-4451-9439-39CF2FD0E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00BB3761-852D-47ED-99B1-113E3A35F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E7E183BB-7A1D-43A4-96D3-139359AB9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5ECDA719-07E3-490E-967D-ADF9871AC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6FC2D561-F45F-4643-9EFB-A77A7981F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2963EE88-CE86-46E4-8D06-E34A2064C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D4FBD443-EB90-4F21-9A7E-8F1F45D21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9CCA1CF5-E898-4129-A9CC-C3E7E09EFC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7479A074-6467-46C8-BFF4-229A4FE79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E1D87233-0380-476D-B00E-CDCFAF1DA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93673047-1AA8-4659-9726-4C6D23675B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79175DB1-F1C9-4E83-8BDE-BEBEF563B8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AD872954-19D3-4B28-815B-A936C7C40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0FE79816-B569-4EC8-A76C-DEFB4FF23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81B8F3C8-79C7-4BA1-9085-3C83488FA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F84D6B74-5CDC-4C0D-8E4B-504ADF525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507D4FCD-C6ED-4A3D-9B54-42C404050C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B2B4A6CE-3360-40BD-9382-3815476E3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4E8F5F9F-CF4F-430D-A9F6-38D6F79FA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78EDE770-0D9F-4AF1-B533-FDF13260B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E893CCD-C9B4-4BB8-8D4E-2B338A436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FEA81004-8789-4E0F-88F8-10BD7B04D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8A42BAB8-E078-4495-840D-DA57CB0CF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3162EFFC-341E-4F07-B36C-471E02DC9B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FE7C6DBB-2F76-4E93-B762-9314ADE44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464B667B-BB2A-4A1F-8E31-242BF41D6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703E404D-1FCD-4641-B93E-0DD66C2A8A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DA3B89EB-1225-4E94-926F-778F7595D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BBAE5201-B632-42A0-A3A5-DBC6179B8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5E14EB81-60D9-4AC0-9129-D1BF77A3A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9FB4FCAE-7744-493E-8B98-0CEBED33C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C8AF4FEA-4FDA-4E73-A484-41BAF020D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4C063787-6DC8-4A25-8443-036ECDC8E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8FCC4BD5-5F77-47BC-8BDF-5153A98EA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358ED7F-4BDA-4E24-8E9D-67CEB1388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2A46876E-F3AB-4C7D-BF11-FE0566944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94636056-2934-45E8-9D38-55C7044A12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5A3DD2EE-5F7E-43FF-9BF6-171312F6B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409C2940-1889-4010-B2A4-169DBB2B1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5D6CAF04-0A95-4193-A9C2-F6A4541B3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16475D52-4F62-42B3-9648-0D38B44C1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9AD0C030-0E68-42FF-8260-9DEE9F2E4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92FD6FF0-D0A7-493E-8EDB-8F5CC921E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FBC9CF47-B848-433A-B75F-5045276D2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BE5A3B8-F69C-4707-AA29-5DF96540C2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62A83069-F12E-4651-8FDC-E3535B6C1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9778F8B8-5B37-41BF-B764-4E1058EF6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2EF0632F-E433-4F5F-B356-825BF507D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FD44F837-5FB8-4D8E-A446-8F43E47D0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223F0EFB-008D-47B6-A20D-3BBB124D7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AF51CDA1-8B41-4908-B9BF-3D4952195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292944D8-DBC5-4A00-A9EF-DD37E8CF8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6BA72932-ABA6-4901-ADBE-033759D34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3BB52777-D1DC-4809-9E6B-74351B530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62CA69EF-ECE2-43AB-9DD3-E6B6A51BA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B5096C0B-87F7-4A4D-B8B9-7C826BF80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77CAC3BB-C186-4293-AFA1-4E0743F06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E7B0058D-AB36-44CE-8531-5C9BC2791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35413FD9-5B29-4E56-AC07-6F55281F6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19CD783F-411D-448E-A75B-6ABA8D9A1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F2FEC3F5-07FB-4E63-93C2-BFFF596B4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BD404F8E-FB3D-4056-AEEF-08F0F1331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25C3BC0D-B92B-459B-ADAD-4893381DA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94AC788D-DE7A-455A-846A-6AB7D0FE7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9C55F3A2-8050-4EFE-B683-422850B3F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AF12C6B1-EE1B-4BB4-A485-3055D71D9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24CB1D3E-FF5C-4326-9FA3-77D923E97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1B0F6EA0-934D-4380-B27E-766D0E0BE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968C978D-463C-4724-81AF-5FD048C45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F12CEF7D-F94B-41B7-9276-62836E792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5BB6BA-7E82-4E40-914A-75A8E5EBB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4C75427F-8E08-48FB-AD46-F567ACF08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EB2A6668-4158-4D33-B2AE-50F9B4AB9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CB74C6CA-1E2F-4A1A-A20B-7455544E66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2733CCA0-FCA6-4C0E-BD7A-7DEE2D8B2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E36EEE73-39DB-48D3-B7C2-BB021C33D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5BA2688B-3868-4B83-90C8-1E268FCDC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010C9D55-6CCD-43F4-BDD6-C9DD83F674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F9E483BB-DF66-47AF-983B-2C7B6F9E0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CD5E1B77-66F2-4ED9-9194-835B5DBF6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A582C8FC-1EC6-4390-AE14-2C1DA0FCB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80269A68-0BD5-4060-8A0A-9CD4D83A7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E0AF3FDA-058B-446D-8404-4DC06C4CB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1FFD912E-3AE1-4845-9DC1-A5DD76592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3431E6EB-87CA-4031-846C-C3456BFF5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7E5CEFC4-93CA-4CF8-858C-0D8FE4D26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4F2E3685-9CAD-4C2E-ADFD-CB5A59CF9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B624DBB2-F9B7-4246-B14A-65017A6087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74FAD0B9-48C6-4C95-9959-1F7E1052E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20614D5A-6ACE-496B-AB78-E7ABEB330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76E61741-8C57-4108-B2C0-05ED77460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874C8E68-C7FD-49F3-A481-E44669FF11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DD4E483E-4532-4AF3-9B1C-271A8DF5C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3FD60421-65A2-4399-AD19-99BCA2FBB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B42BA025-8FE8-4AD0-B505-AC972CB94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89497265-94C0-44C4-B511-E971A3E174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DF9726E1-09DD-4D7F-B3AD-E044E54A66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7DEDA7F1-2F5F-4D23-9A9B-2B2953ADF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5E54FB5D-8026-4F4E-85A4-5DA329BE2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71CCB964-BE0A-45EB-85F9-BA5F13E58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988A6821-E44F-49B8-AC82-611E1330D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109" name="Picture@AG\QOverdue@" descr="@AG\QOverdue@">
          <a:extLst>
            <a:ext uri="{FF2B5EF4-FFF2-40B4-BE49-F238E27FC236}">
              <a16:creationId xmlns:a16="http://schemas.microsoft.com/office/drawing/2014/main" id="{DE6CED08-DD6A-42EB-8735-B504F0C44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FF701F24-DB27-420E-BF19-153C488A7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111" name="Picture@AG\QOverdue@" descr="@AG\QOverdue@">
          <a:extLst>
            <a:ext uri="{FF2B5EF4-FFF2-40B4-BE49-F238E27FC236}">
              <a16:creationId xmlns:a16="http://schemas.microsoft.com/office/drawing/2014/main" id="{25407778-8AFF-4735-8578-DFDECD07F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34F75A7C-5091-48FB-8F25-96416E6F38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113" name="Picture@AG\QOverdue@" descr="@AG\QOverdue@">
          <a:extLst>
            <a:ext uri="{FF2B5EF4-FFF2-40B4-BE49-F238E27FC236}">
              <a16:creationId xmlns:a16="http://schemas.microsoft.com/office/drawing/2014/main" id="{F7208D2F-1AF3-4B0C-8613-C0693FF6B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43C2EDE7-100E-468F-8CCF-257899144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115" name="Picture@AG\QOverdue@" descr="@AG\QOverdue@">
          <a:extLst>
            <a:ext uri="{FF2B5EF4-FFF2-40B4-BE49-F238E27FC236}">
              <a16:creationId xmlns:a16="http://schemas.microsoft.com/office/drawing/2014/main" id="{A73D9B44-A11F-4FF2-8249-010D8D1D8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EC5C3C8E-4F91-4107-B639-64F656636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117" name="Picture@AG\QOverdue@" descr="@AG\QOverdue@">
          <a:extLst>
            <a:ext uri="{FF2B5EF4-FFF2-40B4-BE49-F238E27FC236}">
              <a16:creationId xmlns:a16="http://schemas.microsoft.com/office/drawing/2014/main" id="{390498C2-3F7A-47B3-9710-67ADC3B59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D0372F51-263F-47CC-A4FC-E515BBFEF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6BDC204D-E0F3-43BF-A971-1678D9471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C97A7EF7-A0F4-4C8A-ADDC-47CF52893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121" name="Picture@AG\QOverdue@" descr="@AG\QOverdue@">
          <a:extLst>
            <a:ext uri="{FF2B5EF4-FFF2-40B4-BE49-F238E27FC236}">
              <a16:creationId xmlns:a16="http://schemas.microsoft.com/office/drawing/2014/main" id="{EF11EA0B-99CD-4931-86C9-DF6FB41BDB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5533372-10E4-4BB0-B14B-FF8A3827A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123" name="Picture@AG\QOverdue@" descr="@AG\QOverdue@">
          <a:extLst>
            <a:ext uri="{FF2B5EF4-FFF2-40B4-BE49-F238E27FC236}">
              <a16:creationId xmlns:a16="http://schemas.microsoft.com/office/drawing/2014/main" id="{B4368FA0-D13A-4425-A7DE-4B49F12EA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4079B6EE-2468-49BB-91A4-FF99DFD53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125" name="Picture@AG\QOverdue@" descr="@AG\QOverdue@">
          <a:extLst>
            <a:ext uri="{FF2B5EF4-FFF2-40B4-BE49-F238E27FC236}">
              <a16:creationId xmlns:a16="http://schemas.microsoft.com/office/drawing/2014/main" id="{9673664C-E1A2-495B-8869-45F443ACF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D50C557C-2F8B-46BF-AB67-423981EE3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A32E1E84-4366-42AA-8F46-17C4F21D0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416F3AA7-4970-4811-B1D7-EBD67CA7D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5D6E32BC-0715-4BF6-8E0F-DD9587742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D91586D6-D0BC-4B9A-BCFA-9F4D2D8C1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7D8A696C-F8D8-466B-B773-BE0244DBC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F630DA1B-D4E3-4B81-AE97-90FF58A52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BDF44710-E780-4CA7-928A-337F603F94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4680B425-06D3-4426-8110-7C6D9A044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6718C9EC-D1E7-49E2-9EB0-237A4E36F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8542AE54-4FE6-4247-BCF5-9CA4A555F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A867AC9D-A744-4EA9-B660-AC243E5DE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EE108C7E-A8A4-423B-B044-AB251E727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9C118855-5922-47B4-A46F-E87984A7B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C20B3726-DB1E-4EE8-8338-A57430D79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5B0B1666-ECE0-41B9-A3F7-6B745893C2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D666B2D3-4DA1-46EE-989A-D92BB1C85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FDD90290-0143-42BD-A837-E4A86E62B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3B55739A-1378-4873-B1D2-CBC2263C2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CD0BDFAB-59DA-423D-8331-10BA9621A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E9637E65-1337-4EF0-967D-2A5D41E09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4EB1C824-4764-4719-AE8F-E6318BBF3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6A33C8D4-2A89-47FC-AC49-BD6FE340C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40B7C881-A39F-41EA-8616-071816635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FB9D494B-3C33-4D11-8618-467D937D4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2930C927-EE71-49ED-A47D-388169325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C6BE194-895A-4319-83DB-6C7729A093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452D8B1C-8E53-4D63-B7A1-0C19F48C2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D64B6BA2-B1FC-4B49-85FB-FDEF6BA7B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1D9461BB-1BBE-4561-8742-0826AF974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62BC7ABB-8D68-40B1-AA52-A17EC1C5DB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D4A6DD72-40C6-413B-8D31-832910DF1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964C951-7AA3-48EF-8F97-A90F459AE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5AB5E9BD-B3A1-45D9-AE2D-10C4DBA33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18F00036-D8B9-4093-9475-6C3AF7C6C8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7E637579-2FEE-4712-BB9A-E83FA6277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8621F648-9CC5-4FCB-BF45-2F9E54417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F4182EAF-DD91-44AD-BA15-FEEF77084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6C9A0166-2846-47B4-8B35-C0B29FC5C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6F8F8F02-3C91-4E56-9D55-E5F735E42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C8883C20-FBE1-4A5D-9BE6-A88E553BD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2492D632-FC90-426D-96DC-BC169D60B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A45DFDB2-396A-4D3B-9CA6-49E650BBE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A0C18828-CE71-4FF0-99DD-5D57C3AFD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1D977CE5-BD42-42DC-B494-FA75AD68F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4C177272-C4D4-44D9-A6DC-08C2270F8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89CE30F5-0CAB-439B-8D0A-02C98F595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C4542185-D785-4806-B436-57715DC16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CD66B8E7-CC01-422A-8DB3-4E1C97734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911A4843-8FBB-4904-BFD6-8BAACEF50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A508911F-5A1E-4B2D-9F28-73267C55E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076C7893-412E-4497-95A4-E339BC4D0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4993BC6-6679-46B5-AE71-6C5DC404E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501022A0-CE98-454D-97FE-18AEE420A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9EFC3740-D1DC-4628-A315-2884A90D4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8E306676-3B70-4D9C-B259-BF4A59390E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2794BBEF-771A-4465-823A-A37EF60B1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4DE55225-DA6C-48DA-8ECE-0F70A7309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77BC4969-72AB-47B4-9CB1-FD6214AA3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190C8242-9C4A-4436-AF37-8F0EAFC0A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5CF791D9-6F64-4B1B-A91F-5C858F4EA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E790809D-2C99-4558-913C-618BCD630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D8036D2B-4538-4749-AD61-83B846E62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AEF0EB0E-5A22-4BB6-A93C-62E0CE963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BB50C77-11DA-47BF-AC22-C7979B2E7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CADA77E9-F053-47FB-88E4-DA013FAEF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359FE2ED-6BC2-4A3C-8187-5F925454A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CE030F95-47B0-43FE-9A01-1BA5A67EF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2994FE3A-E302-49EB-AE83-E207F2DBC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C25BE26E-50FB-45D0-8647-6258048EE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43EB590D-E368-425C-9745-D3C7A1647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8B649819-EE26-4FFD-AE7A-E44D63014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2CF89E25-B272-480A-ACBD-FFF575802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A38FDDC0-71E1-4D4C-8C6E-11494A2D3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B17AEDD2-F054-4E5F-B2D1-B9CFB2D0F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623E7503-623C-4E01-9B95-54F932624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C4608ADD-CC43-48F9-86EB-764494513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9BD5CB54-C88C-492B-BF04-52686A0BE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6C6CCE6A-85D6-4CBF-B5C4-25E8D4262B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4AD9E11B-6089-4EAA-B59D-EFFF85221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8DDB6DB8-FB3C-4CB6-89CD-4CFB821A4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5701FBDF-3AE9-4985-927E-A5F1456D1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266A455-934F-44E4-8926-0AB2A646D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D255EE00-EFA5-4161-B974-37FF31B14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511C2445-4BCE-4539-BD7A-E071D8332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3396A284-E18F-490C-939F-AB4B5A06A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1DC46CC-ADDA-40B7-9226-D33D04B775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61EFF9C3-BEE4-4A4C-B898-5D774122A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FE8392A8-B58B-4B20-BAA5-921D22217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21B94A90-E40A-4518-8E88-5FEE2A288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7820CC9-E987-48D5-BF40-DB48DA528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889343E3-DA9D-4619-B505-8B2A8F5ED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8EFF0B64-0DAB-4324-8ADC-C931E0B3B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4B3489AB-4527-414A-B3E3-CD4DF92B9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A8CC8E99-D5C6-4BA7-A08D-2D4EFC581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DCDAAA76-DBAE-499C-A038-131B9905B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7C6C2704-30FA-450E-8794-6BB3171DC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E8CCFB8B-6485-4C39-A82B-3292F0C43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D825348A-AB98-4340-AEB9-8B7D83DE82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294DA40C-6966-4F0B-AEB3-8F7CE7288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D4BB2129-3339-4147-8702-CEAD77C21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B1AD3644-F2E5-48A7-8AD1-C9CFCDD79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A66FC911-AF35-4FE6-934A-77928F8E7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725EE64D-CF27-4EDE-8BB7-D97C89089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EFE256AC-BF22-4605-B352-339247D085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6E971F89-4622-4483-B1BE-FFC865FC9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984932ED-84C4-49F1-B6BE-0A225E388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06E2AA7C-9064-4C35-8F9A-19D1D2397D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98B4B659-48DE-41DD-84E4-703167C11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B77F0D31-D09D-4D02-9E19-D71FF8E4C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DAAC2394-E8D1-431C-BFB1-6827C8649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8F8DA32C-AEAB-4146-864E-57F6637F3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5E053684-21A5-4A73-A5E6-146575AFD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8990780E-250C-48FE-9711-DD4F5F7B3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2E273F37-2D06-4D25-89BA-C758128A6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D04B2603-4714-41D6-8FED-5CC80C2C6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3F2D37-33EF-4358-94E5-B27077611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EBC2E9EB-FB2F-4732-B15B-8E3CA4DD5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BAD78EA7-023E-4C12-BFF1-95D17C13B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81A8A454-BFAB-47FF-BE3A-783BF6AF1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FFC22F73-BCD1-4CC3-8FDE-354333DC6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E2E76485-275F-44C2-AAC9-AA7EB14AB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920E1B56-84EC-43C7-B1DD-F678CF795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65706484-0703-41B7-859C-86D2F5434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6EDFAC02-3869-4101-8C44-37FCFB68A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22CD07E9-877C-40C8-92C3-3AD4E714D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EE6191D1-DFFC-4800-B4B7-E273876FD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D813A36D-59CD-4056-B5B2-439BA220E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D2DA0D07-5D65-4304-B104-A1217C801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255" name="Picture@1V\QDue@" descr="@1V\QDue@">
          <a:extLst>
            <a:ext uri="{FF2B5EF4-FFF2-40B4-BE49-F238E27FC236}">
              <a16:creationId xmlns:a16="http://schemas.microsoft.com/office/drawing/2014/main" id="{B23393F2-C849-447D-8E49-BA92C90FF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94B06B5-DD16-4BF0-9DDD-F942FCB6D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257" name="Picture@1V\QDue@" descr="@1V\QDue@">
          <a:extLst>
            <a:ext uri="{FF2B5EF4-FFF2-40B4-BE49-F238E27FC236}">
              <a16:creationId xmlns:a16="http://schemas.microsoft.com/office/drawing/2014/main" id="{685AD698-F19B-4B97-BFA6-3071EC6C2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62728F58-46B4-4DA8-B871-74D3814529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259" name="Picture@1V\QDue@" descr="@1V\QDue@">
          <a:extLst>
            <a:ext uri="{FF2B5EF4-FFF2-40B4-BE49-F238E27FC236}">
              <a16:creationId xmlns:a16="http://schemas.microsoft.com/office/drawing/2014/main" id="{FD329567-249E-4131-A47A-B38A5E9C8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C7B8DF69-4012-46CD-8931-DD9C60968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261" name="Picture@FR\QNot due@" descr="@FR\QNot due@">
          <a:extLst>
            <a:ext uri="{FF2B5EF4-FFF2-40B4-BE49-F238E27FC236}">
              <a16:creationId xmlns:a16="http://schemas.microsoft.com/office/drawing/2014/main" id="{41DB0469-0C56-4497-9FB8-BB9B7835B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7F306DE8-7CDB-4A82-8BAC-A169A9B74F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263" name="Picture@1V\QDue@" descr="@1V\QDue@">
          <a:extLst>
            <a:ext uri="{FF2B5EF4-FFF2-40B4-BE49-F238E27FC236}">
              <a16:creationId xmlns:a16="http://schemas.microsoft.com/office/drawing/2014/main" id="{B8AADB22-D31C-4D14-A7A3-3B064F21BD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CB59DDDF-203A-4C82-877E-5824F656C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265" name="Picture@1V\QDue@" descr="@1V\QDue@">
          <a:extLst>
            <a:ext uri="{FF2B5EF4-FFF2-40B4-BE49-F238E27FC236}">
              <a16:creationId xmlns:a16="http://schemas.microsoft.com/office/drawing/2014/main" id="{4906CA7B-3589-4D8E-A476-5E1DDBC8D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2FF6BF15-19CD-4DB4-83D7-7CB1FDFB2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267" name="Picture@1V\QDue@" descr="@1V\QDue@">
          <a:extLst>
            <a:ext uri="{FF2B5EF4-FFF2-40B4-BE49-F238E27FC236}">
              <a16:creationId xmlns:a16="http://schemas.microsoft.com/office/drawing/2014/main" id="{32707AE0-8ACC-4680-99C9-D8E7B4019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CEA8CCE0-7ED6-4928-9BD0-1ACF8C5D5B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269" name="Picture@FR\QNot due@" descr="@FR\QNot due@">
          <a:extLst>
            <a:ext uri="{FF2B5EF4-FFF2-40B4-BE49-F238E27FC236}">
              <a16:creationId xmlns:a16="http://schemas.microsoft.com/office/drawing/2014/main" id="{B7B03214-F614-4D88-A08C-60BEE968C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D46D6777-7EB1-453C-A95B-B12B1037E6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271" name="Picture@FR\QNot due@" descr="@FR\QNot due@">
          <a:extLst>
            <a:ext uri="{FF2B5EF4-FFF2-40B4-BE49-F238E27FC236}">
              <a16:creationId xmlns:a16="http://schemas.microsoft.com/office/drawing/2014/main" id="{0762A731-865A-4AFD-8755-8479A96B7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ACEA49C0-3DE4-44EB-98AE-3D37854AF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273" name="Picture@FR\QNot due@" descr="@FR\QNot due@">
          <a:extLst>
            <a:ext uri="{FF2B5EF4-FFF2-40B4-BE49-F238E27FC236}">
              <a16:creationId xmlns:a16="http://schemas.microsoft.com/office/drawing/2014/main" id="{D1D7DD6D-9502-45DC-A291-30CA75C44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65.661332754629" createdVersion="7" refreshedVersion="7" minRefreshableVersion="3" recordCount="165" xr:uid="{B1A5ED8B-CE1F-4002-89A9-0734C42C8456}">
  <cacheSource type="worksheet">
    <worksheetSource ref="A1:M167" sheet="Customer Data"/>
  </cacheSource>
  <cacheFields count="18">
    <cacheField name="Supplier" numFmtId="0">
      <sharedItems/>
    </cacheField>
    <cacheField name="Suppler Name" numFmtId="0">
      <sharedItems/>
    </cacheField>
    <cacheField name="Document Type" numFmtId="0">
      <sharedItems count="3">
        <s v="KR"/>
        <s v="RE"/>
        <s v="KG"/>
      </sharedItems>
    </cacheField>
    <cacheField name="Document Number" numFmtId="0">
      <sharedItems containsSemiMixedTypes="0" containsString="0" containsNumber="1" containsInteger="1" minValue="1700001171" maxValue="5100013429"/>
    </cacheField>
    <cacheField name="Document Date" numFmtId="14">
      <sharedItems containsSemiMixedTypes="0" containsNonDate="0" containsDate="1" containsString="0" minDate="2025-02-14T00:00:00" maxDate="2025-11-06T00:00:00" count="28">
        <d v="2025-02-14T00:00:00"/>
        <d v="2025-03-13T00:00:00"/>
        <d v="2025-03-19T00:00:00"/>
        <d v="2025-03-20T00:00:00"/>
        <d v="2025-04-16T00:00:00"/>
        <d v="2025-04-22T00:00:00"/>
        <d v="2025-04-04T00:00:00"/>
        <d v="2025-04-03T00:00:00"/>
        <d v="2025-05-20T00:00:00"/>
        <d v="2025-06-04T00:00:00"/>
        <d v="2025-04-23T00:00:00"/>
        <d v="2025-05-10T00:00:00"/>
        <d v="2025-05-16T00:00:00"/>
        <d v="2025-05-05T00:00:00"/>
        <d v="2025-04-24T00:00:00"/>
        <d v="2025-06-05T00:00:00"/>
        <d v="2025-07-04T00:00:00"/>
        <d v="2025-06-19T00:00:00"/>
        <d v="2025-08-08T00:00:00"/>
        <d v="2025-07-05T00:00:00"/>
        <d v="2025-08-20T00:00:00"/>
        <d v="2025-09-04T00:00:00"/>
        <d v="2025-10-07T00:00:00"/>
        <d v="2025-10-08T00:00:00"/>
        <d v="2025-10-05T00:00:00"/>
        <d v="2025-11-05T00:00:00"/>
        <d v="2025-10-06T00:00:00"/>
        <d v="2025-11-03T00:00:00"/>
      </sharedItems>
      <fieldGroup par="17" base="4">
        <rangePr groupBy="days" startDate="2025-02-14T00:00:00" endDate="2025-11-06T00:00:00"/>
        <groupItems count="368">
          <s v="&lt;14-02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-11-2025"/>
        </groupItems>
      </fieldGroup>
    </cacheField>
    <cacheField name="Reference" numFmtId="1">
      <sharedItems containsMixedTypes="1" containsNumber="1" containsInteger="1" minValue="246779413236" maxValue="256779419239"/>
    </cacheField>
    <cacheField name="Posting Date" numFmtId="14">
      <sharedItems containsSemiMixedTypes="0" containsNonDate="0" containsDate="1" containsString="0" minDate="2025-03-10T00:00:00" maxDate="2025-12-16T00:00:00"/>
    </cacheField>
    <cacheField name="Net due date" numFmtId="14">
      <sharedItems containsSemiMixedTypes="0" containsNonDate="0" containsDate="1" containsString="0" minDate="2025-03-13T00:00:00" maxDate="2025-12-06T00:00:00"/>
    </cacheField>
    <cacheField name="Document currency" numFmtId="0">
      <sharedItems/>
    </cacheField>
    <cacheField name="Amount in doc. curr." numFmtId="4">
      <sharedItems containsSemiMixedTypes="0" containsString="0" containsNumber="1" minValue="-23761.19" maxValue="16009"/>
    </cacheField>
    <cacheField name="Local Currency" numFmtId="0">
      <sharedItems/>
    </cacheField>
    <cacheField name="Amount in local currency" numFmtId="4">
      <sharedItems containsSemiMixedTypes="0" containsString="0" containsNumber="1" minValue="-23761.19" maxValue="16009"/>
    </cacheField>
    <cacheField name="Clearing Document" numFmtId="0">
      <sharedItems containsSemiMixedTypes="0" containsString="0" containsNumber="1" containsInteger="1" minValue="2000002627" maxValue="2000002884"/>
    </cacheField>
    <cacheField name="Clearing date" numFmtId="14">
      <sharedItems containsSemiMixedTypes="0" containsNonDate="0" containsDate="1" containsString="0" minDate="2025-04-04T00:00:00" maxDate="2025-12-25T00:00:00"/>
    </cacheField>
    <cacheField name="Text" numFmtId="0">
      <sharedItems/>
    </cacheField>
    <cacheField name="Tax Code" numFmtId="0">
      <sharedItems/>
    </cacheField>
    <cacheField name="G/L Account" numFmtId="0">
      <sharedItems/>
    </cacheField>
    <cacheField name="Months" numFmtId="0" databaseField="0">
      <fieldGroup base="4">
        <rangePr groupBy="months" startDate="2025-02-14T00:00:00" endDate="2025-11-06T00:00:00"/>
        <groupItems count="14">
          <s v="&lt;14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2185365"/>
    <s v="ASCENDAS PANVEL FTWZ PRIVATE LIMITE"/>
    <x v="0"/>
    <n v="1900008116"/>
    <x v="0"/>
    <s v="6779IV124000285"/>
    <d v="2025-03-10T00:00:00"/>
    <d v="2025-03-16T00:00:00"/>
    <s v="USD"/>
    <n v="-200"/>
    <s v="USD"/>
    <n v="-200"/>
    <n v="2000002627"/>
    <d v="2025-04-04T00:00:00"/>
    <s v="Scanning Charges-Jan25"/>
    <s v="PO"/>
    <s v="212100"/>
  </r>
  <r>
    <s v="2185365"/>
    <s v="ASCENDAS PANVEL FTWZ PRIVATE LIMITE"/>
    <x v="0"/>
    <n v="1900008117"/>
    <x v="0"/>
    <s v="6779IV124000244"/>
    <d v="2025-03-10T00:00:00"/>
    <d v="2025-03-16T00:00:00"/>
    <s v="USD"/>
    <n v="-169.92"/>
    <s v="USD"/>
    <n v="-169.92"/>
    <n v="2000002627"/>
    <d v="2025-04-04T00:00:00"/>
    <s v="LCL Charges-Sep24"/>
    <s v="PO"/>
    <s v="212100"/>
  </r>
  <r>
    <s v="2185365"/>
    <s v="ASCENDAS PANVEL FTWZ PRIVATE LIMITE"/>
    <x v="0"/>
    <n v="1900008118"/>
    <x v="0"/>
    <s v="6779IV124000235"/>
    <d v="2025-03-10T00:00:00"/>
    <d v="2025-03-16T00:00:00"/>
    <s v="USD"/>
    <n v="-141.07"/>
    <s v="USD"/>
    <n v="-141.07"/>
    <n v="2000002627"/>
    <d v="2025-04-04T00:00:00"/>
    <s v="Transportation Inbound charges-Aug24"/>
    <s v="PO"/>
    <s v="212100"/>
  </r>
  <r>
    <s v="2185365"/>
    <s v="ASCENDAS PANVEL FTWZ PRIVATE LIMITE"/>
    <x v="0"/>
    <n v="1900008119"/>
    <x v="0"/>
    <s v="6779IV124000236"/>
    <d v="2025-03-10T00:00:00"/>
    <d v="2025-03-16T00:00:00"/>
    <s v="USD"/>
    <n v="-236"/>
    <s v="USD"/>
    <n v="-236"/>
    <n v="2000002627"/>
    <d v="2025-04-04T00:00:00"/>
    <s v="CY Destuff Charges-Aug24"/>
    <s v="PO"/>
    <s v="212100"/>
  </r>
  <r>
    <s v="2185365"/>
    <s v="ASCENDAS PANVEL FTWZ PRIVATE LIMITE"/>
    <x v="0"/>
    <n v="1900008120"/>
    <x v="0"/>
    <s v="6779IV124000238"/>
    <d v="2025-03-10T00:00:00"/>
    <d v="2025-03-16T00:00:00"/>
    <s v="USD"/>
    <n v="-23.6"/>
    <s v="USD"/>
    <n v="-23.6"/>
    <n v="2000002627"/>
    <d v="2025-04-04T00:00:00"/>
    <s v="CY Movement Charges-Aug24"/>
    <s v="PO"/>
    <s v="212100"/>
  </r>
  <r>
    <s v="2185365"/>
    <s v="ASCENDAS PANVEL FTWZ PRIVATE LIMITE"/>
    <x v="0"/>
    <n v="1900008121"/>
    <x v="0"/>
    <s v="6779IV124000240"/>
    <d v="2025-03-10T00:00:00"/>
    <d v="2025-03-16T00:00:00"/>
    <s v="USD"/>
    <n v="-165.16"/>
    <s v="USD"/>
    <n v="-165.16"/>
    <n v="2000002627"/>
    <d v="2025-04-04T00:00:00"/>
    <s v="VAS Activity Charges-Aug24"/>
    <s v="PO"/>
    <s v="212100"/>
  </r>
  <r>
    <s v="2185365"/>
    <s v="ASCENDAS PANVEL FTWZ PRIVATE LIMITE"/>
    <x v="0"/>
    <n v="1900008122"/>
    <x v="0"/>
    <s v="6779IV124000241"/>
    <d v="2025-03-10T00:00:00"/>
    <d v="2025-03-16T00:00:00"/>
    <s v="USD"/>
    <n v="-220"/>
    <s v="USD"/>
    <n v="-220"/>
    <n v="2000002627"/>
    <d v="2025-04-04T00:00:00"/>
    <s v="Scanning Charges-Aug24"/>
    <s v="PO"/>
    <s v="212100"/>
  </r>
  <r>
    <s v="2185365"/>
    <s v="ASCENDAS PANVEL FTWZ PRIVATE LIMITE"/>
    <x v="0"/>
    <n v="1900008123"/>
    <x v="0"/>
    <s v="6779IV124000243"/>
    <d v="2025-03-10T00:00:00"/>
    <d v="2025-03-16T00:00:00"/>
    <s v="USD"/>
    <n v="-519.20000000000005"/>
    <s v="USD"/>
    <n v="-519.20000000000005"/>
    <n v="2000002627"/>
    <d v="2025-04-04T00:00:00"/>
    <s v="CY Destuff Charges-Sep24"/>
    <s v="PO"/>
    <s v="212100"/>
  </r>
  <r>
    <s v="2185365"/>
    <s v="ASCENDAS PANVEL FTWZ PRIVATE LIMITE"/>
    <x v="0"/>
    <n v="1900008124"/>
    <x v="0"/>
    <s v="6779IV124000256"/>
    <d v="2025-03-10T00:00:00"/>
    <d v="2025-03-16T00:00:00"/>
    <s v="USD"/>
    <n v="-135"/>
    <s v="USD"/>
    <n v="-135"/>
    <n v="2000002627"/>
    <d v="2025-04-04T00:00:00"/>
    <s v="Scanning Charges-Oct24"/>
    <s v="PO"/>
    <s v="212100"/>
  </r>
  <r>
    <s v="2185365"/>
    <s v="ASCENDAS PANVEL FTWZ PRIVATE LIMITE"/>
    <x v="0"/>
    <n v="1900008125"/>
    <x v="0"/>
    <s v="6779IV124000258"/>
    <d v="2025-03-10T00:00:00"/>
    <d v="2025-03-16T00:00:00"/>
    <s v="USD"/>
    <n v="-118"/>
    <s v="USD"/>
    <n v="-118"/>
    <n v="2000002627"/>
    <d v="2025-04-04T00:00:00"/>
    <s v="CY Destuff Charges-Nov24"/>
    <s v="PO"/>
    <s v="212100"/>
  </r>
  <r>
    <s v="2185365"/>
    <s v="ASCENDAS PANVEL FTWZ PRIVATE LIMITE"/>
    <x v="0"/>
    <n v="1900008126"/>
    <x v="0"/>
    <s v="6779IV124000260"/>
    <d v="2025-03-10T00:00:00"/>
    <d v="2025-03-16T00:00:00"/>
    <s v="USD"/>
    <n v="-761.12"/>
    <s v="USD"/>
    <n v="-761.12"/>
    <n v="2000002627"/>
    <d v="2025-04-04T00:00:00"/>
    <s v="Inbound Handling Charges-Nov24"/>
    <s v="PO"/>
    <s v="212100"/>
  </r>
  <r>
    <s v="2185365"/>
    <s v="ASCENDAS PANVEL FTWZ PRIVATE LIMITE"/>
    <x v="0"/>
    <n v="1900008127"/>
    <x v="0"/>
    <s v="6779IV124000261"/>
    <d v="2025-03-10T00:00:00"/>
    <d v="2025-03-16T00:00:00"/>
    <s v="USD"/>
    <n v="-23.6"/>
    <s v="USD"/>
    <n v="-23.6"/>
    <n v="2000002627"/>
    <d v="2025-04-04T00:00:00"/>
    <s v="CY Movement Charges-Nov24"/>
    <s v="PO"/>
    <s v="212100"/>
  </r>
  <r>
    <s v="2185365"/>
    <s v="ASCENDAS PANVEL FTWZ PRIVATE LIMITE"/>
    <x v="0"/>
    <n v="1900008128"/>
    <x v="0"/>
    <s v="6779IV124000263"/>
    <d v="2025-03-10T00:00:00"/>
    <d v="2025-03-16T00:00:00"/>
    <s v="USD"/>
    <n v="-135.81"/>
    <s v="USD"/>
    <n v="-135.81"/>
    <n v="2000002627"/>
    <d v="2025-04-04T00:00:00"/>
    <s v="VAS Activity Charges-Nov24"/>
    <s v="PO"/>
    <s v="212100"/>
  </r>
  <r>
    <s v="2185365"/>
    <s v="ASCENDAS PANVEL FTWZ PRIVATE LIMITE"/>
    <x v="0"/>
    <n v="1900008129"/>
    <x v="0"/>
    <s v="6779IV124000264"/>
    <d v="2025-03-10T00:00:00"/>
    <d v="2025-03-16T00:00:00"/>
    <s v="USD"/>
    <n v="-120"/>
    <s v="USD"/>
    <n v="-120"/>
    <n v="2000002627"/>
    <d v="2025-04-04T00:00:00"/>
    <s v="Scanning Charges-Nov24"/>
    <s v="PO"/>
    <s v="212100"/>
  </r>
  <r>
    <s v="2185365"/>
    <s v="ASCENDAS PANVEL FTWZ PRIVATE LIMITE"/>
    <x v="0"/>
    <n v="1900008130"/>
    <x v="0"/>
    <s v="6779IV124000267"/>
    <d v="2025-03-10T00:00:00"/>
    <d v="2025-03-16T00:00:00"/>
    <s v="USD"/>
    <n v="-141.6"/>
    <s v="USD"/>
    <n v="-141.6"/>
    <n v="2000002627"/>
    <d v="2025-04-04T00:00:00"/>
    <s v="CY Destuff Charges-Dec24"/>
    <s v="PO"/>
    <s v="212100"/>
  </r>
  <r>
    <s v="2185365"/>
    <s v="ASCENDAS PANVEL FTWZ PRIVATE LIMITE"/>
    <x v="0"/>
    <n v="1900008131"/>
    <x v="0"/>
    <s v="6779IV124000247"/>
    <d v="2025-03-10T00:00:00"/>
    <d v="2025-03-16T00:00:00"/>
    <s v="USD"/>
    <n v="-71.36"/>
    <s v="USD"/>
    <n v="-71.36"/>
    <n v="2000002627"/>
    <d v="2025-04-04T00:00:00"/>
    <s v="VAS Activity Charges-Sep24"/>
    <s v="PO"/>
    <s v="212100"/>
  </r>
  <r>
    <s v="2185365"/>
    <s v="ASCENDAS PANVEL FTWZ PRIVATE LIMITE"/>
    <x v="0"/>
    <n v="1900008132"/>
    <x v="0"/>
    <s v="6779IV124000248"/>
    <d v="2025-03-10T00:00:00"/>
    <d v="2025-03-16T00:00:00"/>
    <s v="USD"/>
    <n v="-670"/>
    <s v="USD"/>
    <n v="-670"/>
    <n v="2000002627"/>
    <d v="2025-04-04T00:00:00"/>
    <s v="Scanning Charges-Sep24"/>
    <s v="PO"/>
    <s v="212100"/>
  </r>
  <r>
    <s v="2185365"/>
    <s v="ASCENDAS PANVEL FTWZ PRIVATE LIMITE"/>
    <x v="0"/>
    <n v="1900008133"/>
    <x v="0"/>
    <s v="6779IV124000250"/>
    <d v="2025-03-10T00:00:00"/>
    <d v="2025-03-16T00:00:00"/>
    <s v="USD"/>
    <n v="-70.8"/>
    <s v="USD"/>
    <n v="-70.8"/>
    <n v="2000002627"/>
    <d v="2025-04-04T00:00:00"/>
    <s v="CY Destuff Charges-Oct24"/>
    <s v="PO"/>
    <s v="212100"/>
  </r>
  <r>
    <s v="2185365"/>
    <s v="ASCENDAS PANVEL FTWZ PRIVATE LIMITE"/>
    <x v="0"/>
    <n v="1900008134"/>
    <x v="0"/>
    <s v="6779IV124000251"/>
    <d v="2025-03-10T00:00:00"/>
    <d v="2025-03-16T00:00:00"/>
    <s v="USD"/>
    <n v="-28.32"/>
    <s v="USD"/>
    <n v="-28.32"/>
    <n v="2000002627"/>
    <d v="2025-04-04T00:00:00"/>
    <s v="LCL Charges-Oct24"/>
    <s v="PO"/>
    <s v="212100"/>
  </r>
  <r>
    <s v="2185365"/>
    <s v="ASCENDAS PANVEL FTWZ PRIVATE LIMITE"/>
    <x v="0"/>
    <n v="1900008135"/>
    <x v="0"/>
    <s v="6779IV124000252"/>
    <d v="2025-03-10T00:00:00"/>
    <d v="2025-03-16T00:00:00"/>
    <s v="USD"/>
    <n v="-459.91"/>
    <s v="USD"/>
    <n v="-459.91"/>
    <n v="2000002627"/>
    <d v="2025-04-04T00:00:00"/>
    <s v="Inbound Handling Charges-Oct24"/>
    <s v="PO"/>
    <s v="212100"/>
  </r>
  <r>
    <s v="2185365"/>
    <s v="ASCENDAS PANVEL FTWZ PRIVATE LIMITE"/>
    <x v="0"/>
    <n v="1900008136"/>
    <x v="0"/>
    <s v="6779IV124000253"/>
    <d v="2025-03-10T00:00:00"/>
    <d v="2025-03-16T00:00:00"/>
    <s v="USD"/>
    <n v="-94.4"/>
    <s v="USD"/>
    <n v="-94.4"/>
    <n v="2000002627"/>
    <d v="2025-04-04T00:00:00"/>
    <s v="CY Movement Charges-oct24"/>
    <s v="PO"/>
    <s v="212100"/>
  </r>
  <r>
    <s v="2185365"/>
    <s v="ASCENDAS PANVEL FTWZ PRIVATE LIMITE"/>
    <x v="0"/>
    <n v="1900008137"/>
    <x v="0"/>
    <s v="6779IV124000255"/>
    <d v="2025-03-10T00:00:00"/>
    <d v="2025-03-16T00:00:00"/>
    <s v="USD"/>
    <n v="-245.49"/>
    <s v="USD"/>
    <n v="-245.49"/>
    <n v="2000002627"/>
    <d v="2025-04-04T00:00:00"/>
    <s v="VAS Activity Charges-Oct24"/>
    <s v="PO"/>
    <s v="212100"/>
  </r>
  <r>
    <s v="2185365"/>
    <s v="ASCENDAS PANVEL FTWZ PRIVATE LIMITE"/>
    <x v="0"/>
    <n v="1900008138"/>
    <x v="0"/>
    <s v="6779IV124000259"/>
    <d v="2025-03-10T00:00:00"/>
    <d v="2025-03-16T00:00:00"/>
    <s v="USD"/>
    <n v="-198.24"/>
    <s v="USD"/>
    <n v="-198.24"/>
    <n v="2000002627"/>
    <d v="2025-04-04T00:00:00"/>
    <s v="LCL Charges-Nov24"/>
    <s v="PO"/>
    <s v="212100"/>
  </r>
  <r>
    <s v="2185365"/>
    <s v="ASCENDAS PANVEL FTWZ PRIVATE LIMITE"/>
    <x v="0"/>
    <n v="1900008139"/>
    <x v="0"/>
    <s v="6779IV124000268"/>
    <d v="2025-03-10T00:00:00"/>
    <d v="2025-03-16T00:00:00"/>
    <s v="USD"/>
    <n v="-169.92"/>
    <s v="USD"/>
    <n v="-169.92"/>
    <n v="2000002627"/>
    <d v="2025-04-04T00:00:00"/>
    <s v="LCL Charges-Dec24"/>
    <s v="PO"/>
    <s v="212100"/>
  </r>
  <r>
    <s v="2185365"/>
    <s v="ASCENDAS PANVEL FTWZ PRIVATE LIMITE"/>
    <x v="0"/>
    <n v="1900008140"/>
    <x v="0"/>
    <s v="6779IV124000270"/>
    <d v="2025-03-10T00:00:00"/>
    <d v="2025-03-16T00:00:00"/>
    <s v="USD"/>
    <n v="-23.6"/>
    <s v="USD"/>
    <n v="-23.6"/>
    <n v="2000002627"/>
    <d v="2025-04-04T00:00:00"/>
    <s v="CY Movement Charges-Dec24"/>
    <s v="PO"/>
    <s v="212100"/>
  </r>
  <r>
    <s v="2185365"/>
    <s v="ASCENDAS PANVEL FTWZ PRIVATE LIMITE"/>
    <x v="0"/>
    <n v="1900008141"/>
    <x v="0"/>
    <s v="6779IV124000272"/>
    <d v="2025-03-10T00:00:00"/>
    <d v="2025-03-16T00:00:00"/>
    <s v="USD"/>
    <n v="-54.67"/>
    <s v="USD"/>
    <n v="-54.67"/>
    <n v="2000002627"/>
    <d v="2025-04-04T00:00:00"/>
    <s v="VAS Activity Charges-Dec24"/>
    <s v="PO"/>
    <s v="212100"/>
  </r>
  <r>
    <s v="2185365"/>
    <s v="ASCENDAS PANVEL FTWZ PRIVATE LIMITE"/>
    <x v="0"/>
    <n v="1900008142"/>
    <x v="0"/>
    <s v="6779IV124000273"/>
    <d v="2025-03-10T00:00:00"/>
    <d v="2025-03-16T00:00:00"/>
    <s v="USD"/>
    <n v="-85"/>
    <s v="USD"/>
    <n v="-85"/>
    <n v="2000002627"/>
    <d v="2025-04-04T00:00:00"/>
    <s v="Scanning Charges- Dec24"/>
    <s v="PO"/>
    <s v="212100"/>
  </r>
  <r>
    <s v="2185365"/>
    <s v="ASCENDAS PANVEL FTWZ PRIVATE LIMITE"/>
    <x v="0"/>
    <n v="1900008143"/>
    <x v="0"/>
    <s v="6779IV124000275"/>
    <d v="2025-03-10T00:00:00"/>
    <d v="2025-03-16T00:00:00"/>
    <s v="USD"/>
    <n v="-520.44000000000005"/>
    <s v="USD"/>
    <n v="-520.44000000000005"/>
    <n v="2000002627"/>
    <d v="2025-04-04T00:00:00"/>
    <s v="Transportation Inbound Charges - jan25"/>
    <s v="PO"/>
    <s v="212100"/>
  </r>
  <r>
    <s v="2185365"/>
    <s v="ASCENDAS PANVEL FTWZ PRIVATE LIMITE"/>
    <x v="0"/>
    <n v="1900008144"/>
    <x v="0"/>
    <s v="6779IV124000276"/>
    <d v="2025-03-10T00:00:00"/>
    <d v="2025-03-16T00:00:00"/>
    <s v="USD"/>
    <n v="-118"/>
    <s v="USD"/>
    <n v="-118"/>
    <n v="2000002627"/>
    <d v="2025-04-04T00:00:00"/>
    <s v="CY Destuff Charges-Jan25"/>
    <s v="PO"/>
    <s v="212100"/>
  </r>
  <r>
    <s v="2185365"/>
    <s v="ASCENDAS PANVEL FTWZ PRIVATE LIMITE"/>
    <x v="0"/>
    <n v="1900008145"/>
    <x v="0"/>
    <s v="6779IV124000277"/>
    <d v="2025-03-10T00:00:00"/>
    <d v="2025-03-16T00:00:00"/>
    <s v="USD"/>
    <n v="-420"/>
    <s v="USD"/>
    <n v="-420"/>
    <n v="2000002627"/>
    <d v="2025-04-04T00:00:00"/>
    <s v="Empty Movement Charges-Jan25"/>
    <s v="PO"/>
    <s v="212100"/>
  </r>
  <r>
    <s v="2185365"/>
    <s v="ASCENDAS PANVEL FTWZ PRIVATE LIMITE"/>
    <x v="0"/>
    <n v="1900008146"/>
    <x v="0"/>
    <s v="6779IV124000278"/>
    <d v="2025-03-10T00:00:00"/>
    <d v="2025-03-16T00:00:00"/>
    <s v="USD"/>
    <n v="-226.56"/>
    <s v="USD"/>
    <n v="-226.56"/>
    <n v="2000002627"/>
    <d v="2025-04-04T00:00:00"/>
    <s v="LCL Charges-Jan25"/>
    <s v="PO"/>
    <s v="212100"/>
  </r>
  <r>
    <s v="2185365"/>
    <s v="ASCENDAS PANVEL FTWZ PRIVATE LIMITE"/>
    <x v="0"/>
    <n v="1900008147"/>
    <x v="0"/>
    <s v="6779IV124000280"/>
    <d v="2025-03-10T00:00:00"/>
    <d v="2025-03-16T00:00:00"/>
    <s v="USD"/>
    <n v="-212.4"/>
    <s v="USD"/>
    <n v="-212.4"/>
    <n v="2000002627"/>
    <d v="2025-04-04T00:00:00"/>
    <s v="Loose Unloading Charges-Jan25"/>
    <s v="PO"/>
    <s v="212100"/>
  </r>
  <r>
    <s v="2185365"/>
    <s v="ASCENDAS PANVEL FTWZ PRIVATE LIMITE"/>
    <x v="0"/>
    <n v="1900008148"/>
    <x v="0"/>
    <s v="6779IV124000281"/>
    <d v="2025-03-10T00:00:00"/>
    <d v="2025-03-16T00:00:00"/>
    <s v="USD"/>
    <n v="-23.6"/>
    <s v="USD"/>
    <n v="-23.6"/>
    <n v="2000002627"/>
    <d v="2025-04-04T00:00:00"/>
    <s v="CY Movement Charges-Jan25"/>
    <s v="PO"/>
    <s v="212100"/>
  </r>
  <r>
    <s v="2185365"/>
    <s v="ASCENDAS PANVEL FTWZ PRIVATE LIMITE"/>
    <x v="0"/>
    <n v="1900008149"/>
    <x v="0"/>
    <s v="6779IV124000283"/>
    <d v="2025-03-10T00:00:00"/>
    <d v="2025-03-16T00:00:00"/>
    <s v="USD"/>
    <n v="-218.93"/>
    <s v="USD"/>
    <n v="-218.93"/>
    <n v="2000002627"/>
    <d v="2025-04-04T00:00:00"/>
    <s v="Loose Loading Charges- jan25"/>
    <s v="PO"/>
    <s v="212100"/>
  </r>
  <r>
    <s v="2185365"/>
    <s v="ASCENDAS PANVEL FTWZ PRIVATE LIMITE"/>
    <x v="0"/>
    <n v="1900008150"/>
    <x v="0"/>
    <s v="6779IV124000284"/>
    <d v="2025-03-10T00:00:00"/>
    <d v="2025-03-16T00:00:00"/>
    <s v="USD"/>
    <n v="-219.71"/>
    <s v="USD"/>
    <n v="-219.71"/>
    <n v="2000002627"/>
    <d v="2025-04-04T00:00:00"/>
    <s v="VAS Activity Charges -Jan25"/>
    <s v="PO"/>
    <s v="212100"/>
  </r>
  <r>
    <s v="2185365"/>
    <s v="ASCENDAS PANVEL FTWZ PRIVATE LIMITE"/>
    <x v="0"/>
    <n v="1900008151"/>
    <x v="0"/>
    <s v="6779IV124000286"/>
    <d v="2025-03-10T00:00:00"/>
    <d v="2025-03-16T00:00:00"/>
    <s v="USD"/>
    <n v="-346.96"/>
    <s v="USD"/>
    <n v="-346.96"/>
    <n v="2000002627"/>
    <d v="2025-04-04T00:00:00"/>
    <s v="Transportation Inbound ( CY LONG STANDING )Jan25"/>
    <s v="PO"/>
    <s v="212100"/>
  </r>
  <r>
    <s v="2185365"/>
    <s v="ASCENDAS PANVEL FTWZ PRIVATE LIMITE"/>
    <x v="0"/>
    <n v="1900008158"/>
    <x v="0"/>
    <s v="6779IV124000245"/>
    <d v="2025-03-18T00:00:00"/>
    <d v="2025-03-16T00:00:00"/>
    <s v="USD"/>
    <n v="-3021.49"/>
    <s v="USD"/>
    <n v="-3021.49"/>
    <n v="2000002627"/>
    <d v="2025-04-04T00:00:00"/>
    <s v="Inbound Handling Charges-Sep24"/>
    <s v="PO"/>
    <s v="212100"/>
  </r>
  <r>
    <s v="2185365"/>
    <s v="ASCENDAS PANVEL FTWZ PRIVATE LIMITE"/>
    <x v="0"/>
    <n v="1900008159"/>
    <x v="0"/>
    <s v="6779IV124000237"/>
    <d v="2025-03-18T00:00:00"/>
    <d v="2025-03-16T00:00:00"/>
    <s v="USD"/>
    <n v="-1236.05"/>
    <s v="USD"/>
    <n v="-1236.05"/>
    <n v="2000002627"/>
    <d v="2025-04-04T00:00:00"/>
    <s v="Inbound Handling Charges-Aug24"/>
    <s v="PO"/>
    <s v="212100"/>
  </r>
  <r>
    <s v="2185365"/>
    <s v="ASCENDAS PANVEL FTWZ PRIVATE LIMITE"/>
    <x v="0"/>
    <n v="1900008160"/>
    <x v="0"/>
    <s v="6779IV124000282"/>
    <d v="2025-03-18T00:00:00"/>
    <d v="2025-03-16T00:00:00"/>
    <s v="USD"/>
    <n v="-1093.3599999999999"/>
    <s v="USD"/>
    <n v="-1093.3599999999999"/>
    <n v="2000002627"/>
    <d v="2025-04-04T00:00:00"/>
    <s v="Outbound Handling Charges-Jan25"/>
    <s v="PO"/>
    <s v="212100"/>
  </r>
  <r>
    <s v="2185365"/>
    <s v="ASCENDAS PANVEL FTWZ PRIVATE LIMITE"/>
    <x v="0"/>
    <n v="1900008161"/>
    <x v="0"/>
    <s v="6779IV124000279"/>
    <d v="2025-03-18T00:00:00"/>
    <d v="2025-03-16T00:00:00"/>
    <s v="USD"/>
    <n v="-1100.3900000000001"/>
    <s v="USD"/>
    <n v="-1100.3900000000001"/>
    <n v="2000002627"/>
    <d v="2025-04-04T00:00:00"/>
    <s v="Inbound Handling Charges-Jan25"/>
    <s v="PO"/>
    <s v="212100"/>
  </r>
  <r>
    <s v="2185365"/>
    <s v="ASCENDAS PANVEL FTWZ PRIVATE LIMITE"/>
    <x v="0"/>
    <n v="1900008162"/>
    <x v="0"/>
    <s v="6779IV124000271"/>
    <d v="2025-03-18T00:00:00"/>
    <d v="2025-03-16T00:00:00"/>
    <s v="USD"/>
    <n v="-1362.36"/>
    <s v="USD"/>
    <n v="-1362.36"/>
    <n v="2000002627"/>
    <d v="2025-04-04T00:00:00"/>
    <s v="Outbound Handling Charges-Dec24"/>
    <s v="PO"/>
    <s v="212100"/>
  </r>
  <r>
    <s v="2185365"/>
    <s v="ASCENDAS PANVEL FTWZ PRIVATE LIMITE"/>
    <x v="0"/>
    <n v="1900008163"/>
    <x v="0"/>
    <s v="6779IV124000269"/>
    <d v="2025-03-18T00:00:00"/>
    <d v="2025-03-16T00:00:00"/>
    <s v="USD"/>
    <n v="-1015.85"/>
    <s v="USD"/>
    <n v="-1015.85"/>
    <n v="2000002627"/>
    <d v="2025-04-04T00:00:00"/>
    <s v="Inbound Handling Charges-Dec24"/>
    <s v="PO"/>
    <s v="212100"/>
  </r>
  <r>
    <s v="2185365"/>
    <s v="ASCENDAS PANVEL FTWZ PRIVATE LIMITE"/>
    <x v="0"/>
    <n v="1900008164"/>
    <x v="0"/>
    <s v="6779IV124000254"/>
    <d v="2025-03-18T00:00:00"/>
    <d v="2025-03-16T00:00:00"/>
    <s v="USD"/>
    <n v="-1548.45"/>
    <s v="USD"/>
    <n v="-1548.45"/>
    <n v="2000002627"/>
    <d v="2025-04-04T00:00:00"/>
    <s v="Outbound Handling Charges-Oct24"/>
    <s v="PO"/>
    <s v="212100"/>
  </r>
  <r>
    <s v="2185365"/>
    <s v="ASCENDAS PANVEL FTWZ PRIVATE LIMITE"/>
    <x v="0"/>
    <n v="1900008165"/>
    <x v="0"/>
    <s v="6779IV124000239"/>
    <d v="2025-03-18T00:00:00"/>
    <d v="2025-03-16T00:00:00"/>
    <s v="USD"/>
    <n v="-1142.99"/>
    <s v="USD"/>
    <n v="-1142.99"/>
    <n v="2000002627"/>
    <d v="2025-04-04T00:00:00"/>
    <s v="Outbound Handling Charges-Aug24"/>
    <s v="PO"/>
    <s v="212100"/>
  </r>
  <r>
    <s v="2185365"/>
    <s v="ASCENDAS PANVEL FTWZ PRIVATE LIMITE"/>
    <x v="0"/>
    <n v="1900008166"/>
    <x v="0"/>
    <s v="6779IV124000262"/>
    <d v="2025-03-18T00:00:00"/>
    <d v="2025-03-16T00:00:00"/>
    <s v="USD"/>
    <n v="-1838.27"/>
    <s v="USD"/>
    <n v="-1838.27"/>
    <n v="2000002627"/>
    <d v="2025-04-04T00:00:00"/>
    <s v="Outbound Handling Charges-Nov24"/>
    <s v="PO"/>
    <s v="212100"/>
  </r>
  <r>
    <s v="2185365"/>
    <s v="ASCENDAS PANVEL FTWZ PRIVATE LIMITE"/>
    <x v="0"/>
    <n v="1900008167"/>
    <x v="0"/>
    <s v="6779IV124000246"/>
    <d v="2025-03-18T00:00:00"/>
    <d v="2025-03-16T00:00:00"/>
    <s v="USD"/>
    <n v="-976.39"/>
    <s v="USD"/>
    <n v="-976.39"/>
    <n v="2000002627"/>
    <d v="2025-04-04T00:00:00"/>
    <s v="Outbound Handling Charges-Sep24"/>
    <s v="PO"/>
    <s v="212100"/>
  </r>
  <r>
    <s v="2185365"/>
    <s v="ASCENDAS PANVEL FTWZ PRIVATE LIMITE"/>
    <x v="1"/>
    <n v="5100012792"/>
    <x v="0"/>
    <s v="6779IV124000274"/>
    <d v="2025-03-25T00:00:00"/>
    <d v="2025-03-16T00:00:00"/>
    <s v="USD"/>
    <n v="-15887.63"/>
    <s v="USD"/>
    <n v="-15887.63"/>
    <n v="2000002627"/>
    <d v="2025-04-04T00:00:00"/>
    <s v="Storage Charges Jan25"/>
    <s v="PO"/>
    <s v="212100"/>
  </r>
  <r>
    <s v="2185365"/>
    <s v="ASCENDAS PANVEL FTWZ PRIVATE LIMITE"/>
    <x v="1"/>
    <n v="5100012793"/>
    <x v="0"/>
    <s v="6779IV124000234"/>
    <d v="2025-03-25T00:00:00"/>
    <d v="2025-03-16T00:00:00"/>
    <s v="USD"/>
    <n v="-19671.64"/>
    <s v="USD"/>
    <n v="-19671.64"/>
    <n v="2000002627"/>
    <d v="2025-04-04T00:00:00"/>
    <s v="Storage Charges Aug24"/>
    <s v="PO"/>
    <s v="212100"/>
  </r>
  <r>
    <s v="2185365"/>
    <s v="ASCENDAS PANVEL FTWZ PRIVATE LIMITE"/>
    <x v="1"/>
    <n v="5100012794"/>
    <x v="0"/>
    <s v="6779IV124000242"/>
    <d v="2025-03-25T00:00:00"/>
    <d v="2025-03-16T00:00:00"/>
    <s v="USD"/>
    <n v="-22667.75"/>
    <s v="USD"/>
    <n v="-22667.75"/>
    <n v="2000002627"/>
    <d v="2025-04-04T00:00:00"/>
    <s v="Storage Charges Sep24"/>
    <s v="PO"/>
    <s v="212100"/>
  </r>
  <r>
    <s v="2185365"/>
    <s v="ASCENDAS PANVEL FTWZ PRIVATE LIMITE"/>
    <x v="1"/>
    <n v="5100012795"/>
    <x v="0"/>
    <s v="6779IV124000249"/>
    <d v="2025-03-25T00:00:00"/>
    <d v="2025-03-16T00:00:00"/>
    <s v="USD"/>
    <n v="-23761.19"/>
    <s v="USD"/>
    <n v="-23761.19"/>
    <n v="2000002627"/>
    <d v="2025-04-04T00:00:00"/>
    <s v="Storage Charges Oct24"/>
    <s v="PO"/>
    <s v="212100"/>
  </r>
  <r>
    <s v="2185365"/>
    <s v="ASCENDAS PANVEL FTWZ PRIVATE LIMITE"/>
    <x v="1"/>
    <n v="5100012796"/>
    <x v="0"/>
    <s v="6779IV124000257"/>
    <d v="2025-03-25T00:00:00"/>
    <d v="2025-03-16T00:00:00"/>
    <s v="USD"/>
    <n v="-19515.21"/>
    <s v="USD"/>
    <n v="-19515.21"/>
    <n v="2000002627"/>
    <d v="2025-04-04T00:00:00"/>
    <s v="Storage Charges Nov24"/>
    <s v="PO"/>
    <s v="212100"/>
  </r>
  <r>
    <s v="2185365"/>
    <s v="ASCENDAS PANVEL FTWZ PRIVATE LIMITE"/>
    <x v="1"/>
    <n v="5100012797"/>
    <x v="0"/>
    <s v="6779IV124000265"/>
    <d v="2025-03-25T00:00:00"/>
    <d v="2025-03-16T00:00:00"/>
    <s v="USD"/>
    <n v="-16559.87"/>
    <s v="USD"/>
    <n v="-16559.87"/>
    <n v="2000002627"/>
    <d v="2025-04-04T00:00:00"/>
    <s v="Storage Charges Dec24"/>
    <s v="PO"/>
    <s v="212100"/>
  </r>
  <r>
    <s v="2185365"/>
    <s v="ASCENDAS PANVEL FTWZ PRIVATE LIMITE"/>
    <x v="2"/>
    <n v="1700001171"/>
    <x v="1"/>
    <s v="ASCEN20250102"/>
    <d v="2025-03-28T00:00:00"/>
    <d v="2025-03-13T00:00:00"/>
    <s v="USD"/>
    <n v="16009"/>
    <s v="USD"/>
    <n v="16009"/>
    <n v="2000002627"/>
    <d v="2025-04-04T00:00:00"/>
    <s v="CN against detention-Aug24-Dec24"/>
    <s v="PO"/>
    <s v="212100"/>
  </r>
  <r>
    <s v="2185365"/>
    <s v="ASCENDAS PANVEL FTWZ PRIVATE LIMITE"/>
    <x v="0"/>
    <n v="1900008240"/>
    <x v="2"/>
    <n v="246779413236"/>
    <d v="2025-06-10T00:00:00"/>
    <d v="2025-04-18T00:00:00"/>
    <s v="USD"/>
    <n v="-36.380000000000003"/>
    <s v="USD"/>
    <n v="-36.380000000000003"/>
    <n v="2000002693"/>
    <d v="2025-06-16T00:00:00"/>
    <s v="SSR charges - Feb 25"/>
    <s v="PO"/>
    <s v="212100"/>
  </r>
  <r>
    <s v="2185365"/>
    <s v="ASCENDAS PANVEL FTWZ PRIVATE LIMITE"/>
    <x v="0"/>
    <n v="1900008241"/>
    <x v="2"/>
    <n v="246779413237"/>
    <d v="2025-06-10T00:00:00"/>
    <d v="2025-04-18T00:00:00"/>
    <s v="USD"/>
    <n v="-27.3"/>
    <s v="USD"/>
    <n v="-27.3"/>
    <n v="2000002693"/>
    <d v="2025-06-16T00:00:00"/>
    <s v="SSR charges - Feb 25"/>
    <s v="PO"/>
    <s v="212100"/>
  </r>
  <r>
    <s v="2185365"/>
    <s v="ASCENDAS PANVEL FTWZ PRIVATE LIMITE"/>
    <x v="0"/>
    <n v="1900008242"/>
    <x v="2"/>
    <n v="246779413238"/>
    <d v="2025-06-10T00:00:00"/>
    <d v="2025-04-18T00:00:00"/>
    <s v="USD"/>
    <n v="-20.47"/>
    <s v="USD"/>
    <n v="-20.47"/>
    <n v="2000002693"/>
    <d v="2025-06-16T00:00:00"/>
    <s v="SSR charges - Feb 25"/>
    <s v="PO"/>
    <s v="212100"/>
  </r>
  <r>
    <s v="2185365"/>
    <s v="ASCENDAS PANVEL FTWZ PRIVATE LIMITE"/>
    <x v="0"/>
    <n v="1900008243"/>
    <x v="2"/>
    <n v="246779413239"/>
    <d v="2025-06-10T00:00:00"/>
    <d v="2025-04-18T00:00:00"/>
    <s v="USD"/>
    <n v="-68.239999999999995"/>
    <s v="USD"/>
    <n v="-68.239999999999995"/>
    <n v="2000002693"/>
    <d v="2025-06-16T00:00:00"/>
    <s v="SSR charges - Feb 25"/>
    <s v="PO"/>
    <s v="212100"/>
  </r>
  <r>
    <s v="2185365"/>
    <s v="ASCENDAS PANVEL FTWZ PRIVATE LIMITE"/>
    <x v="0"/>
    <n v="1900008244"/>
    <x v="3"/>
    <n v="246779413638"/>
    <d v="2025-06-10T00:00:00"/>
    <d v="2025-04-19T00:00:00"/>
    <s v="USD"/>
    <n v="-59.41"/>
    <s v="USD"/>
    <n v="-59.41"/>
    <n v="2000002693"/>
    <d v="2025-06-16T00:00:00"/>
    <s v="Empty Lolo charges - Feb 25"/>
    <s v="PO"/>
    <s v="212100"/>
  </r>
  <r>
    <s v="2185365"/>
    <s v="ASCENDAS PANVEL FTWZ PRIVATE LIMITE"/>
    <x v="0"/>
    <n v="1900008245"/>
    <x v="3"/>
    <n v="246779413811"/>
    <d v="2025-06-10T00:00:00"/>
    <d v="2025-04-19T00:00:00"/>
    <s v="USD"/>
    <n v="-200.6"/>
    <s v="USD"/>
    <n v="-200.6"/>
    <n v="2000002693"/>
    <d v="2025-06-16T00:00:00"/>
    <s v="Scanning charges - Feb 25"/>
    <s v="PO"/>
    <s v="212100"/>
  </r>
  <r>
    <s v="2185365"/>
    <s v="ASCENDAS PANVEL FTWZ PRIVATE LIMITE"/>
    <x v="0"/>
    <n v="1900008246"/>
    <x v="3"/>
    <n v="246779414481"/>
    <d v="2025-06-10T00:00:00"/>
    <d v="2025-04-19T00:00:00"/>
    <s v="USD"/>
    <n v="-42.48"/>
    <s v="USD"/>
    <n v="-42.48"/>
    <n v="2000002693"/>
    <d v="2025-06-16T00:00:00"/>
    <s v="Handling charges- Feb 25"/>
    <s v="PO"/>
    <s v="212100"/>
  </r>
  <r>
    <s v="2185365"/>
    <s v="ASCENDAS PANVEL FTWZ PRIVATE LIMITE"/>
    <x v="0"/>
    <n v="1900008247"/>
    <x v="3"/>
    <n v="246779414482"/>
    <d v="2025-06-10T00:00:00"/>
    <d v="2025-04-19T00:00:00"/>
    <s v="USD"/>
    <n v="-177"/>
    <s v="USD"/>
    <n v="-177"/>
    <n v="2000002693"/>
    <d v="2025-06-16T00:00:00"/>
    <s v="Inbound Handling charges- Feb 25"/>
    <s v="PO"/>
    <s v="212100"/>
  </r>
  <r>
    <s v="2185365"/>
    <s v="ASCENDAS PANVEL FTWZ PRIVATE LIMITE"/>
    <x v="0"/>
    <n v="1900008248"/>
    <x v="3"/>
    <n v="246779414483"/>
    <d v="2025-06-10T00:00:00"/>
    <d v="2025-04-19T00:00:00"/>
    <s v="USD"/>
    <n v="-23.6"/>
    <s v="USD"/>
    <n v="-23.6"/>
    <n v="2000002693"/>
    <d v="2025-06-16T00:00:00"/>
    <s v="CY- Movement charges - Feb 25"/>
    <s v="PO"/>
    <s v="212100"/>
  </r>
  <r>
    <s v="2185365"/>
    <s v="ASCENDAS PANVEL FTWZ PRIVATE LIMITE"/>
    <x v="0"/>
    <n v="1900008249"/>
    <x v="3"/>
    <n v="246779414484"/>
    <d v="2025-06-10T00:00:00"/>
    <d v="2025-04-19T00:00:00"/>
    <s v="USD"/>
    <n v="-173.48"/>
    <s v="USD"/>
    <n v="-173.48"/>
    <n v="2000002693"/>
    <d v="2025-06-16T00:00:00"/>
    <s v="Transportation charges - Feb 25"/>
    <s v="PO"/>
    <s v="212100"/>
  </r>
  <r>
    <s v="2185365"/>
    <s v="ASCENDAS PANVEL FTWZ PRIVATE LIMITE"/>
    <x v="0"/>
    <n v="1900008250"/>
    <x v="3"/>
    <n v="246779414755"/>
    <d v="2025-06-10T00:00:00"/>
    <d v="2025-04-19T00:00:00"/>
    <s v="USD"/>
    <n v="-419.36"/>
    <s v="USD"/>
    <n v="-419.36"/>
    <n v="2000002693"/>
    <d v="2025-06-16T00:00:00"/>
    <s v="Outbound Handling charges- Feb 25"/>
    <s v="PO"/>
    <s v="212100"/>
  </r>
  <r>
    <s v="2185365"/>
    <s v="ASCENDAS PANVEL FTWZ PRIVATE LIMITE"/>
    <x v="0"/>
    <n v="1900008251"/>
    <x v="3"/>
    <n v="246779414756"/>
    <d v="2025-06-10T00:00:00"/>
    <d v="2025-04-19T00:00:00"/>
    <s v="USD"/>
    <n v="-81.209999999999994"/>
    <s v="USD"/>
    <n v="-81.209999999999994"/>
    <n v="2000002693"/>
    <d v="2025-06-16T00:00:00"/>
    <s v="Handling charges- Feb 25"/>
    <s v="PO"/>
    <s v="212100"/>
  </r>
  <r>
    <s v="2185365"/>
    <s v="ASCENDAS PANVEL FTWZ PRIVATE LIMITE"/>
    <x v="0"/>
    <n v="1900008252"/>
    <x v="4"/>
    <n v="256779411990"/>
    <d v="2025-06-10T00:00:00"/>
    <d v="2025-05-16T00:00:00"/>
    <s v="USD"/>
    <n v="-84"/>
    <s v="USD"/>
    <n v="-84"/>
    <n v="2000002693"/>
    <d v="2025-06-16T00:00:00"/>
    <s v="Empty cont out charges- Feb 25"/>
    <s v="PO"/>
    <s v="212100"/>
  </r>
  <r>
    <s v="2185365"/>
    <s v="ASCENDAS PANVEL FTWZ PRIVATE LIMITE"/>
    <x v="0"/>
    <n v="1900008253"/>
    <x v="4"/>
    <n v="256779412034"/>
    <d v="2025-06-10T00:00:00"/>
    <d v="2025-05-16T00:00:00"/>
    <s v="USD"/>
    <n v="-117.05"/>
    <s v="USD"/>
    <n v="-117.05"/>
    <n v="2000002693"/>
    <d v="2025-06-16T00:00:00"/>
    <s v="VAS Activity Charges-Feb.25"/>
    <s v="PO"/>
    <s v="212100"/>
  </r>
  <r>
    <s v="2185365"/>
    <s v="ASCENDAS PANVEL FTWZ PRIVATE LIMITE"/>
    <x v="0"/>
    <n v="1900008254"/>
    <x v="5"/>
    <n v="256779412510"/>
    <d v="2025-06-10T00:00:00"/>
    <d v="2025-05-22T00:00:00"/>
    <s v="USD"/>
    <n v="-330.03"/>
    <s v="USD"/>
    <n v="-330.03"/>
    <n v="2000002693"/>
    <d v="2025-06-16T00:00:00"/>
    <s v="Inbound handling Feb'25"/>
    <s v=""/>
    <s v="212100"/>
  </r>
  <r>
    <s v="2185365"/>
    <s v="ASCENDAS PANVEL FTWZ PRIVATE LIMITE"/>
    <x v="0"/>
    <n v="1900008255"/>
    <x v="5"/>
    <n v="256779412517"/>
    <d v="2025-06-10T00:00:00"/>
    <d v="2025-05-22T00:00:00"/>
    <s v="USD"/>
    <n v="-262.18"/>
    <s v="USD"/>
    <n v="-262.18"/>
    <n v="2000002693"/>
    <d v="2025-06-16T00:00:00"/>
    <s v="Inbound handling Charges Feb25"/>
    <s v="PO"/>
    <s v="212100"/>
  </r>
  <r>
    <s v="2185365"/>
    <s v="ASCENDAS PANVEL FTWZ PRIVATE LIMITE"/>
    <x v="0"/>
    <n v="1900008256"/>
    <x v="5"/>
    <n v="256779412521"/>
    <d v="2025-06-10T00:00:00"/>
    <d v="2025-05-22T00:00:00"/>
    <s v="USD"/>
    <n v="-171.87"/>
    <s v="USD"/>
    <n v="-171.87"/>
    <n v="2000002693"/>
    <d v="2025-06-16T00:00:00"/>
    <s v="Inbound handling Charges Feb25"/>
    <s v="PO"/>
    <s v="212100"/>
  </r>
  <r>
    <s v="2185365"/>
    <s v="ASCENDAS PANVEL FTWZ PRIVATE LIMITE"/>
    <x v="0"/>
    <n v="1900008257"/>
    <x v="5"/>
    <n v="256779412522"/>
    <d v="2025-06-10T00:00:00"/>
    <d v="2025-05-22T00:00:00"/>
    <s v="USD"/>
    <n v="-310.27"/>
    <s v="USD"/>
    <n v="-310.27"/>
    <n v="2000002693"/>
    <d v="2025-06-16T00:00:00"/>
    <s v="CY - WH DESTUFF Feb'25"/>
    <s v="PO"/>
    <s v="212100"/>
  </r>
  <r>
    <s v="2185365"/>
    <s v="ASCENDAS PANVEL FTWZ PRIVATE LIMITE"/>
    <x v="0"/>
    <n v="1900008258"/>
    <x v="5"/>
    <n v="256779412543"/>
    <d v="2025-06-10T00:00:00"/>
    <d v="2025-05-22T00:00:00"/>
    <s v="USD"/>
    <n v="-310.27"/>
    <s v="USD"/>
    <n v="-310.27"/>
    <n v="2000002693"/>
    <d v="2025-06-16T00:00:00"/>
    <s v="Transportation charges - Feb25"/>
    <s v=""/>
    <s v="212100"/>
  </r>
  <r>
    <s v="2185365"/>
    <s v="ASCENDAS PANVEL FTWZ PRIVATE LIMITE"/>
    <x v="0"/>
    <n v="1900008259"/>
    <x v="5"/>
    <n v="256779412584"/>
    <d v="2025-06-10T00:00:00"/>
    <d v="2025-05-22T00:00:00"/>
    <s v="USD"/>
    <n v="-503.51"/>
    <s v="USD"/>
    <n v="-503.51"/>
    <n v="2000002693"/>
    <d v="2025-06-16T00:00:00"/>
    <s v="Inbound handling"/>
    <s v="PO"/>
    <s v="212100"/>
  </r>
  <r>
    <s v="2185365"/>
    <s v="ASCENDAS PANVEL FTWZ PRIVATE LIMITE"/>
    <x v="0"/>
    <n v="1900008260"/>
    <x v="5"/>
    <n v="256779412544"/>
    <d v="2025-06-10T00:00:00"/>
    <d v="2025-05-22T00:00:00"/>
    <s v="USD"/>
    <n v="-500.56"/>
    <s v="USD"/>
    <n v="-500.56"/>
    <n v="2000002693"/>
    <d v="2025-06-16T00:00:00"/>
    <s v="Transportation"/>
    <s v="PO"/>
    <s v="212100"/>
  </r>
  <r>
    <s v="2185365"/>
    <s v="ASCENDAS PANVEL FTWZ PRIVATE LIMITE"/>
    <x v="1"/>
    <n v="5100012941"/>
    <x v="6"/>
    <n v="256779410724"/>
    <d v="2025-06-10T00:00:00"/>
    <d v="2025-05-04T00:00:00"/>
    <s v="USD"/>
    <n v="-14302.59"/>
    <s v="USD"/>
    <n v="-14302.59"/>
    <n v="2000002693"/>
    <d v="2025-06-16T00:00:00"/>
    <s v="Storage Charges Feb 25"/>
    <s v="PO"/>
    <s v="212100"/>
  </r>
  <r>
    <s v="2185365"/>
    <s v="ASCENDAS PANVEL FTWZ PRIVATE LIMITE"/>
    <x v="0"/>
    <n v="1900008262"/>
    <x v="3"/>
    <n v="246779413847"/>
    <d v="2025-06-11T00:00:00"/>
    <d v="2025-04-19T00:00:00"/>
    <s v="USD"/>
    <n v="-950.61"/>
    <s v="USD"/>
    <n v="-950.61"/>
    <n v="2000002693"/>
    <d v="2025-06-16T00:00:00"/>
    <s v="Outbound Handling charges- Feb 25"/>
    <s v="PO"/>
    <s v="212100"/>
  </r>
  <r>
    <s v="2185365"/>
    <s v="ASCENDAS PANVEL FTWZ PRIVATE LIMITE"/>
    <x v="0"/>
    <n v="1900008270"/>
    <x v="4"/>
    <n v="256779411925"/>
    <d v="2025-06-18T00:00:00"/>
    <d v="2025-05-16T00:00:00"/>
    <s v="USD"/>
    <n v="-3.48"/>
    <s v="USD"/>
    <n v="-3.48"/>
    <n v="2000002708"/>
    <d v="2025-06-25T00:00:00"/>
    <s v="HPCU2278439-Port SSR Shifting Mar 2025."/>
    <s v="PO"/>
    <s v="212100"/>
  </r>
  <r>
    <s v="2185365"/>
    <s v="ASCENDAS PANVEL FTWZ PRIVATE LIMITE"/>
    <x v="0"/>
    <n v="1900008271"/>
    <x v="4"/>
    <n v="256779411926"/>
    <d v="2025-06-18T00:00:00"/>
    <d v="2025-05-16T00:00:00"/>
    <s v="USD"/>
    <n v="-13.94"/>
    <s v="USD"/>
    <n v="-13.94"/>
    <n v="2000002708"/>
    <d v="2025-06-25T00:00:00"/>
    <s v="TCNU6507209-Port SSR Shifting Mar 2025."/>
    <s v="PO"/>
    <s v="212100"/>
  </r>
  <r>
    <s v="2185365"/>
    <s v="ASCENDAS PANVEL FTWZ PRIVATE LIMITE"/>
    <x v="0"/>
    <n v="1900008272"/>
    <x v="4"/>
    <n v="256779412079"/>
    <d v="2025-06-18T00:00:00"/>
    <d v="2025-05-16T00:00:00"/>
    <s v="USD"/>
    <n v="-116.73"/>
    <s v="USD"/>
    <n v="-116.73"/>
    <n v="2000002708"/>
    <d v="2025-06-25T00:00:00"/>
    <s v="VAS Activity"/>
    <s v="PO"/>
    <s v="212100"/>
  </r>
  <r>
    <s v="2185365"/>
    <s v="ASCENDAS PANVEL FTWZ PRIVATE LIMITE"/>
    <x v="0"/>
    <n v="1900008273"/>
    <x v="7"/>
    <n v="256779410026"/>
    <d v="2025-06-18T00:00:00"/>
    <d v="2025-05-03T00:00:00"/>
    <s v="USD"/>
    <n v="-45.68"/>
    <s v="USD"/>
    <n v="-45.68"/>
    <n v="2000002708"/>
    <d v="2025-06-25T00:00:00"/>
    <s v="Loose unloading charges Mar 2025"/>
    <s v="PO"/>
    <s v="212100"/>
  </r>
  <r>
    <s v="2185365"/>
    <s v="ASCENDAS PANVEL FTWZ PRIVATE LIMITE"/>
    <x v="0"/>
    <n v="1900008274"/>
    <x v="7"/>
    <n v="256779410027"/>
    <d v="2025-06-18T00:00:00"/>
    <d v="2025-05-03T00:00:00"/>
    <s v="USD"/>
    <n v="-56.64"/>
    <s v="USD"/>
    <n v="-56.64"/>
    <n v="2000002708"/>
    <d v="2025-06-25T00:00:00"/>
    <s v="LCL charges - March 2025"/>
    <s v="PO"/>
    <s v="212100"/>
  </r>
  <r>
    <s v="2185365"/>
    <s v="ASCENDAS PANVEL FTWZ PRIVATE LIMITE"/>
    <x v="0"/>
    <n v="1900008275"/>
    <x v="7"/>
    <n v="256779410028"/>
    <d v="2025-06-18T00:00:00"/>
    <d v="2025-05-03T00:00:00"/>
    <s v="USD"/>
    <n v="-455.62"/>
    <s v="USD"/>
    <n v="-455.62"/>
    <n v="2000002708"/>
    <d v="2025-06-25T00:00:00"/>
    <s v="Transportation Inbound charges- Mar 25"/>
    <s v="PO"/>
    <s v="212100"/>
  </r>
  <r>
    <s v="2185365"/>
    <s v="ASCENDAS PANVEL FTWZ PRIVATE LIMITE"/>
    <x v="0"/>
    <n v="1900008276"/>
    <x v="7"/>
    <n v="256779410029"/>
    <d v="2025-06-18T00:00:00"/>
    <d v="2025-05-03T00:00:00"/>
    <s v="USD"/>
    <n v="-210"/>
    <s v="USD"/>
    <n v="-210"/>
    <n v="2000002708"/>
    <d v="2025-06-25T00:00:00"/>
    <s v="Outbound charges- Mar 25"/>
    <s v="PO"/>
    <s v="212100"/>
  </r>
  <r>
    <s v="2185365"/>
    <s v="ASCENDAS PANVEL FTWZ PRIVATE LIMITE"/>
    <x v="0"/>
    <n v="1900008277"/>
    <x v="7"/>
    <n v="256779410030"/>
    <d v="2025-06-18T00:00:00"/>
    <d v="2025-05-03T00:00:00"/>
    <s v="USD"/>
    <n v="-70.8"/>
    <s v="USD"/>
    <n v="-70.8"/>
    <n v="2000002708"/>
    <d v="2025-06-25T00:00:00"/>
    <s v="CY - Destuff charges - March 2025"/>
    <s v="PO"/>
    <s v="212100"/>
  </r>
  <r>
    <s v="2185365"/>
    <s v="ASCENDAS PANVEL FTWZ PRIVATE LIMITE"/>
    <x v="0"/>
    <n v="1900008278"/>
    <x v="7"/>
    <n v="256779410097"/>
    <d v="2025-06-18T00:00:00"/>
    <d v="2025-05-03T00:00:00"/>
    <s v="USD"/>
    <n v="-191.18"/>
    <s v="USD"/>
    <n v="-191.18"/>
    <n v="2000002708"/>
    <d v="2025-06-25T00:00:00"/>
    <s v="Inbound Handling charges- Mar 25"/>
    <s v="PO"/>
    <s v="212100"/>
  </r>
  <r>
    <s v="2185365"/>
    <s v="ASCENDAS PANVEL FTWZ PRIVATE LIMITE"/>
    <x v="0"/>
    <n v="1900008279"/>
    <x v="7"/>
    <n v="256779410025"/>
    <d v="2025-06-18T00:00:00"/>
    <d v="2025-05-03T00:00:00"/>
    <s v="USD"/>
    <n v="-407.28"/>
    <s v="USD"/>
    <n v="-407.28"/>
    <n v="2000002708"/>
    <d v="2025-06-25T00:00:00"/>
    <s v="Inbound Handling charges- Mar 25"/>
    <s v="PO"/>
    <s v="212100"/>
  </r>
  <r>
    <s v="2185365"/>
    <s v="ASCENDAS PANVEL FTWZ PRIVATE LIMITE"/>
    <x v="0"/>
    <n v="1900008280"/>
    <x v="7"/>
    <n v="256779410180"/>
    <d v="2025-06-18T00:00:00"/>
    <d v="2025-05-03T00:00:00"/>
    <s v="USD"/>
    <n v="-68.150000000000006"/>
    <s v="USD"/>
    <n v="-68.150000000000006"/>
    <n v="2000002708"/>
    <d v="2025-06-25T00:00:00"/>
    <s v="VAS Activity Charges-Mar.25"/>
    <s v="PO"/>
    <s v="212100"/>
  </r>
  <r>
    <s v="2185365"/>
    <s v="ASCENDAS PANVEL FTWZ PRIVATE LIMITE"/>
    <x v="0"/>
    <n v="1900008281"/>
    <x v="4"/>
    <n v="256779411729"/>
    <d v="2025-06-18T00:00:00"/>
    <d v="2025-05-16T00:00:00"/>
    <s v="USD"/>
    <n v="-51.12"/>
    <s v="USD"/>
    <n v="-51.12"/>
    <n v="2000002708"/>
    <d v="2025-06-25T00:00:00"/>
    <s v="Detention charges - 15th March 25"/>
    <s v="PO"/>
    <s v="212100"/>
  </r>
  <r>
    <s v="2185365"/>
    <s v="ASCENDAS PANVEL FTWZ PRIVATE LIMITE"/>
    <x v="0"/>
    <n v="1900008282"/>
    <x v="4"/>
    <n v="256779411734"/>
    <d v="2025-06-18T00:00:00"/>
    <d v="2025-05-16T00:00:00"/>
    <s v="USD"/>
    <n v="-49.58"/>
    <s v="USD"/>
    <n v="-49.58"/>
    <n v="2000002708"/>
    <d v="2025-06-25T00:00:00"/>
    <s v="Empty Lolo charges - Mar 25"/>
    <s v="PO"/>
    <s v="212100"/>
  </r>
  <r>
    <s v="2185365"/>
    <s v="ASCENDAS PANVEL FTWZ PRIVATE LIMITE"/>
    <x v="0"/>
    <n v="1900008283"/>
    <x v="4"/>
    <n v="256779411924"/>
    <d v="2025-06-18T00:00:00"/>
    <d v="2025-05-16T00:00:00"/>
    <s v="USD"/>
    <n v="-13.94"/>
    <s v="USD"/>
    <n v="-13.94"/>
    <n v="2000002708"/>
    <d v="2025-06-25T00:00:00"/>
    <s v="SSR charges - Mar 2025"/>
    <s v="PO"/>
    <s v="212100"/>
  </r>
  <r>
    <s v="2185365"/>
    <s v="ASCENDAS PANVEL FTWZ PRIVATE LIMITE"/>
    <x v="1"/>
    <n v="5100012957"/>
    <x v="7"/>
    <n v="256779410384"/>
    <d v="2025-06-18T00:00:00"/>
    <d v="2025-05-03T00:00:00"/>
    <s v="USD"/>
    <n v="-6963.96"/>
    <s v="USD"/>
    <n v="-6963.96"/>
    <n v="2000002708"/>
    <d v="2025-06-25T00:00:00"/>
    <s v="Storage Charges March'25"/>
    <s v="PO"/>
    <s v="212100"/>
  </r>
  <r>
    <s v="2185365"/>
    <s v="ASCENDAS PANVEL FTWZ PRIVATE LIMITE"/>
    <x v="1"/>
    <n v="5100012958"/>
    <x v="4"/>
    <n v="256779410850"/>
    <d v="2025-06-18T00:00:00"/>
    <d v="2025-05-16T00:00:00"/>
    <s v="USD"/>
    <n v="-6562.84"/>
    <s v="USD"/>
    <n v="-6562.84"/>
    <n v="2000002708"/>
    <d v="2025-06-25T00:00:00"/>
    <s v="Storage Charges March'25"/>
    <s v="PO"/>
    <s v="212100"/>
  </r>
  <r>
    <s v="2185365"/>
    <s v="ASCENDAS PANVEL FTWZ PRIVATE LIMITE"/>
    <x v="0"/>
    <n v="1900008288"/>
    <x v="5"/>
    <n v="256779412627"/>
    <d v="2025-06-20T00:00:00"/>
    <d v="2025-05-22T00:00:00"/>
    <s v="USD"/>
    <n v="-1786.99"/>
    <s v="USD"/>
    <n v="-1786.99"/>
    <n v="2000002708"/>
    <d v="2025-06-25T00:00:00"/>
    <s v="Outbound Handling charges- Mar 25"/>
    <s v="PO"/>
    <s v="212100"/>
  </r>
  <r>
    <s v="2185365"/>
    <s v="ASCENDAS PANVEL FTWZ PRIVATE LIMITE"/>
    <x v="0"/>
    <n v="1900008289"/>
    <x v="7"/>
    <n v="256779410096"/>
    <d v="2025-06-20T00:00:00"/>
    <d v="2025-05-03T00:00:00"/>
    <s v="USD"/>
    <n v="-936.54"/>
    <s v="USD"/>
    <n v="-936.54"/>
    <n v="2000002708"/>
    <d v="2025-06-25T00:00:00"/>
    <s v="LCL charges - March 2025"/>
    <s v="PO"/>
    <s v="212100"/>
  </r>
  <r>
    <s v="2185365"/>
    <s v="ASCENDAS PANVEL FTWZ PRIVATE LIMITE"/>
    <x v="0"/>
    <n v="1900008290"/>
    <x v="5"/>
    <n v="256779412594"/>
    <d v="2025-06-20T00:00:00"/>
    <d v="2025-05-22T00:00:00"/>
    <s v="USD"/>
    <n v="-1779.06"/>
    <s v="USD"/>
    <n v="-1779.06"/>
    <n v="2000002708"/>
    <d v="2025-06-25T00:00:00"/>
    <s v="Inbound Handling charges"/>
    <s v="PO"/>
    <s v="212100"/>
  </r>
  <r>
    <s v="2185365"/>
    <s v="ASCENDAS PANVEL FTWZ PRIVATE LIMITE"/>
    <x v="0"/>
    <n v="1900008320"/>
    <x v="8"/>
    <n v="256779413463"/>
    <d v="2025-07-24T00:00:00"/>
    <d v="2025-06-19T00:00:00"/>
    <s v="USD"/>
    <n v="-297.43"/>
    <s v="USD"/>
    <n v="-297.43"/>
    <n v="2000002752"/>
    <d v="2025-08-15T00:00:00"/>
    <s v="Outbound chgs&amp;Loose chgs-  01 - 15 MAY 25"/>
    <s v="PO"/>
    <s v="212100"/>
  </r>
  <r>
    <s v="2185365"/>
    <s v="ASCENDAS PANVEL FTWZ PRIVATE LIMITE"/>
    <x v="0"/>
    <n v="1900008321"/>
    <x v="8"/>
    <n v="256779413820"/>
    <d v="2025-07-24T00:00:00"/>
    <d v="2025-06-19T00:00:00"/>
    <s v="USD"/>
    <n v="-41.55"/>
    <s v="USD"/>
    <n v="-41.55"/>
    <n v="2000002752"/>
    <d v="2025-08-15T00:00:00"/>
    <s v="VAS -1-15 May 25"/>
    <s v="PO"/>
    <s v="212100"/>
  </r>
  <r>
    <s v="2185365"/>
    <s v="ASCENDAS PANVEL FTWZ PRIVATE LIMITE"/>
    <x v="0"/>
    <n v="1900008322"/>
    <x v="8"/>
    <n v="256779413865"/>
    <d v="2025-07-24T00:00:00"/>
    <d v="2025-06-19T00:00:00"/>
    <s v="USD"/>
    <n v="-452.8"/>
    <s v="USD"/>
    <n v="-452.8"/>
    <n v="2000002752"/>
    <d v="2025-08-15T00:00:00"/>
    <s v="Transportation In Chgs - 01 -15 MAY 25"/>
    <s v="PO"/>
    <s v="212100"/>
  </r>
  <r>
    <s v="2185365"/>
    <s v="ASCENDAS PANVEL FTWZ PRIVATE LIMITE"/>
    <x v="0"/>
    <n v="1900008323"/>
    <x v="9"/>
    <n v="256779414168"/>
    <d v="2025-07-24T00:00:00"/>
    <d v="2025-07-04T00:00:00"/>
    <s v="USD"/>
    <n v="-376.19"/>
    <s v="USD"/>
    <n v="-376.19"/>
    <n v="2000002752"/>
    <d v="2025-08-15T00:00:00"/>
    <s v="PORT SSR Chgs - 16 - 31 May 25"/>
    <s v="PO"/>
    <s v="212100"/>
  </r>
  <r>
    <s v="2185365"/>
    <s v="ASCENDAS PANVEL FTWZ PRIVATE LIMITE"/>
    <x v="0"/>
    <n v="1900008324"/>
    <x v="9"/>
    <n v="256779414255"/>
    <d v="2025-07-24T00:00:00"/>
    <d v="2025-07-04T00:00:00"/>
    <s v="USD"/>
    <n v="-520.44000000000005"/>
    <s v="USD"/>
    <n v="-520.44000000000005"/>
    <n v="2000002752"/>
    <d v="2025-08-15T00:00:00"/>
    <s v="Transportation In Chgs - 16 - 31 May 25"/>
    <s v="PO"/>
    <s v="212100"/>
  </r>
  <r>
    <s v="2185365"/>
    <s v="ASCENDAS PANVEL FTWZ PRIVATE LIMITE"/>
    <x v="0"/>
    <n v="1900008325"/>
    <x v="9"/>
    <n v="256779414265"/>
    <d v="2025-07-24T00:00:00"/>
    <d v="2025-07-04T00:00:00"/>
    <s v="USD"/>
    <n v="-149.11000000000001"/>
    <s v="USD"/>
    <n v="-149.11000000000001"/>
    <n v="2000002752"/>
    <d v="2025-08-15T00:00:00"/>
    <s v="Empty Lolo Chgs - 01 - 31 MAY 25"/>
    <s v="PO"/>
    <s v="212100"/>
  </r>
  <r>
    <s v="2185365"/>
    <s v="ASCENDAS PANVEL FTWZ PRIVATE LIMITE"/>
    <x v="0"/>
    <n v="1900008326"/>
    <x v="9"/>
    <n v="256779414281"/>
    <d v="2025-07-24T00:00:00"/>
    <d v="2025-07-04T00:00:00"/>
    <s v="USD"/>
    <n v="-59"/>
    <s v="USD"/>
    <n v="-59"/>
    <n v="2000002752"/>
    <d v="2025-08-15T00:00:00"/>
    <s v="Scanning  Chgs - 16 - 31 May 25"/>
    <s v="PO"/>
    <s v="212100"/>
  </r>
  <r>
    <s v="2185365"/>
    <s v="ASCENDAS PANVEL FTWZ PRIVATE LIMITE"/>
    <x v="0"/>
    <n v="1900008327"/>
    <x v="10"/>
    <n v="256779412687"/>
    <d v="2025-07-24T00:00:00"/>
    <d v="2025-05-23T00:00:00"/>
    <s v="USD"/>
    <n v="-488.03"/>
    <s v="USD"/>
    <n v="-488.03"/>
    <n v="2000002752"/>
    <d v="2025-08-15T00:00:00"/>
    <s v="Transportation In Chgs - 01 - 15 Apr 25"/>
    <s v="PO"/>
    <s v="212100"/>
  </r>
  <r>
    <s v="2185365"/>
    <s v="ASCENDAS PANVEL FTWZ PRIVATE LIMITE"/>
    <x v="0"/>
    <n v="1900008328"/>
    <x v="10"/>
    <n v="256779412871"/>
    <d v="2025-07-24T00:00:00"/>
    <d v="2025-05-23T00:00:00"/>
    <s v="USD"/>
    <n v="-118.31"/>
    <s v="USD"/>
    <n v="-118.31"/>
    <n v="2000002752"/>
    <d v="2025-08-15T00:00:00"/>
    <s v="Inbound chgs &amp; LCL Chgs- 01 - 15 Apr 25"/>
    <s v="PO"/>
    <s v="212100"/>
  </r>
  <r>
    <s v="2185365"/>
    <s v="ASCENDAS PANVEL FTWZ PRIVATE LIMITE"/>
    <x v="0"/>
    <n v="1900008329"/>
    <x v="10"/>
    <n v="256779412872"/>
    <d v="2025-07-24T00:00:00"/>
    <d v="2025-05-23T00:00:00"/>
    <s v="USD"/>
    <n v="-852.86"/>
    <s v="USD"/>
    <n v="-852.86"/>
    <n v="2000002752"/>
    <d v="2025-08-15T00:00:00"/>
    <s v="Inbound chgs - 01 - 15 Apr 25"/>
    <s v="PO"/>
    <s v="212100"/>
  </r>
  <r>
    <s v="2185365"/>
    <s v="ASCENDAS PANVEL FTWZ PRIVATE LIMITE"/>
    <x v="0"/>
    <n v="1900008330"/>
    <x v="10"/>
    <n v="256779412900"/>
    <d v="2025-07-24T00:00:00"/>
    <d v="2025-05-23T00:00:00"/>
    <s v="USD"/>
    <n v="-455.8"/>
    <s v="USD"/>
    <n v="-455.8"/>
    <n v="2000002752"/>
    <d v="2025-08-15T00:00:00"/>
    <s v="Outbound chg &amp; Loose chgs- 01 - 15 Apr 25"/>
    <s v="PO"/>
    <s v="212100"/>
  </r>
  <r>
    <s v="2185365"/>
    <s v="ASCENDAS PANVEL FTWZ PRIVATE LIMITE"/>
    <x v="0"/>
    <n v="1900008331"/>
    <x v="11"/>
    <n v="256779413223"/>
    <d v="2025-07-24T00:00:00"/>
    <d v="2025-06-09T00:00:00"/>
    <s v="USD"/>
    <n v="-109.35"/>
    <s v="USD"/>
    <n v="-109.35"/>
    <n v="2000002752"/>
    <d v="2025-08-15T00:00:00"/>
    <s v="VAS - 16-30 April 25"/>
    <s v="PO"/>
    <s v="212100"/>
  </r>
  <r>
    <s v="2185365"/>
    <s v="ASCENDAS PANVEL FTWZ PRIVATE LIMITE"/>
    <x v="0"/>
    <n v="1900008332"/>
    <x v="12"/>
    <n v="256779413259"/>
    <d v="2025-07-24T00:00:00"/>
    <d v="2025-06-15T00:00:00"/>
    <s v="USD"/>
    <n v="-18.809999999999999"/>
    <s v="USD"/>
    <n v="-18.809999999999999"/>
    <n v="2000002752"/>
    <d v="2025-08-15T00:00:00"/>
    <s v="Detention Chgs - 16 - 30 Apr 25"/>
    <s v="PO"/>
    <s v="212100"/>
  </r>
  <r>
    <s v="2185365"/>
    <s v="ASCENDAS PANVEL FTWZ PRIVATE LIMITE"/>
    <x v="0"/>
    <n v="1900008333"/>
    <x v="12"/>
    <n v="256779413261"/>
    <d v="2025-07-24T00:00:00"/>
    <d v="2025-06-15T00:00:00"/>
    <s v="USD"/>
    <n v="-191.49"/>
    <s v="USD"/>
    <n v="-191.49"/>
    <n v="2000002752"/>
    <d v="2025-08-15T00:00:00"/>
    <s v="Empty Lolo Chgs - 01 - 31 Apr 25"/>
    <s v="PO"/>
    <s v="212100"/>
  </r>
  <r>
    <s v="2185365"/>
    <s v="ASCENDAS PANVEL FTWZ PRIVATE LIMITE"/>
    <x v="1"/>
    <n v="5100013078"/>
    <x v="13"/>
    <n v="256779413572"/>
    <d v="2025-07-25T00:00:00"/>
    <d v="2025-06-04T00:00:00"/>
    <s v="USD"/>
    <n v="-6237.23"/>
    <s v="USD"/>
    <n v="-6237.23"/>
    <n v="2000002752"/>
    <d v="2025-08-15T00:00:00"/>
    <s v="Storage 16-30 April-25"/>
    <s v="PO"/>
    <s v="212100"/>
  </r>
  <r>
    <s v="2185365"/>
    <s v="ASCENDAS PANVEL FTWZ PRIVATE LIMITE"/>
    <x v="1"/>
    <n v="5100013079"/>
    <x v="14"/>
    <n v="256779412721"/>
    <d v="2025-07-25T00:00:00"/>
    <d v="2025-05-24T00:00:00"/>
    <s v="USD"/>
    <n v="-5874.03"/>
    <s v="USD"/>
    <n v="-5874.03"/>
    <n v="2000002752"/>
    <d v="2025-08-15T00:00:00"/>
    <s v="Storage 1-15 April-25"/>
    <s v="PO"/>
    <s v="212100"/>
  </r>
  <r>
    <s v="2185365"/>
    <s v="ASCENDAS PANVEL FTWZ PRIVATE LIMITE"/>
    <x v="1"/>
    <n v="5100013080"/>
    <x v="15"/>
    <n v="256779414081"/>
    <d v="2025-07-25T00:00:00"/>
    <d v="2025-07-05T00:00:00"/>
    <s v="USD"/>
    <n v="-10336.02"/>
    <s v="USD"/>
    <n v="-10336.02"/>
    <n v="2000002752"/>
    <d v="2025-08-15T00:00:00"/>
    <s v="Storage-May-25"/>
    <s v="PO"/>
    <s v="212100"/>
  </r>
  <r>
    <s v="2185365"/>
    <s v="ASCENDAS PANVEL FTWZ PRIVATE LIMITE"/>
    <x v="0"/>
    <n v="1900008335"/>
    <x v="9"/>
    <n v="256779414181"/>
    <d v="2025-07-30T00:00:00"/>
    <d v="2025-07-04T00:00:00"/>
    <s v="USD"/>
    <n v="-914.7"/>
    <s v="USD"/>
    <n v="-914.7"/>
    <n v="2000002752"/>
    <d v="2025-08-15T00:00:00"/>
    <s v="Outbound chgs&amp;Loose chgs- 16 - 31 MAY 25"/>
    <s v="PO"/>
    <s v="212100"/>
  </r>
  <r>
    <s v="2185365"/>
    <s v="ASCENDAS PANVEL FTWZ PRIVATE LIMITE"/>
    <x v="0"/>
    <n v="1900008336"/>
    <x v="12"/>
    <n v="256779413327"/>
    <d v="2025-07-30T00:00:00"/>
    <d v="2025-06-15T00:00:00"/>
    <s v="USD"/>
    <n v="-1174.06"/>
    <s v="USD"/>
    <n v="-1174.06"/>
    <n v="2000002752"/>
    <d v="2025-08-15T00:00:00"/>
    <s v="Outbound chg &amp; Loose chgs-16 - 30 Apr 25"/>
    <s v="PO"/>
    <s v="212100"/>
  </r>
  <r>
    <s v="2185365"/>
    <s v="ASCENDAS PANVEL FTWZ PRIVATE LIMITE"/>
    <x v="0"/>
    <n v="1900008337"/>
    <x v="9"/>
    <n v="256779414292"/>
    <d v="2025-07-30T00:00:00"/>
    <d v="2025-07-04T00:00:00"/>
    <s v="USD"/>
    <n v="-2771.81"/>
    <s v="USD"/>
    <n v="-2771.81"/>
    <n v="2000002752"/>
    <d v="2025-08-15T00:00:00"/>
    <s v="Transportation In Chgs - 16-31 MAY 25"/>
    <s v="PO"/>
    <s v="212100"/>
  </r>
  <r>
    <s v="2185365"/>
    <s v="ASCENDAS PANVEL FTWZ PRIVATE LIMITE"/>
    <x v="0"/>
    <n v="1900008338"/>
    <x v="12"/>
    <n v="256779413289"/>
    <d v="2025-07-30T00:00:00"/>
    <d v="2025-06-15T00:00:00"/>
    <s v="USD"/>
    <n v="-3196.12"/>
    <s v="USD"/>
    <n v="-3196.12"/>
    <n v="2000002752"/>
    <d v="2025-08-15T00:00:00"/>
    <s v="Inbound chgs -16 - 30 Apr 25"/>
    <s v="PO"/>
    <s v="212100"/>
  </r>
  <r>
    <s v="2185365"/>
    <s v="ASCENDAS PANVEL FTWZ PRIVATE LIMITE"/>
    <x v="1"/>
    <n v="5100013131"/>
    <x v="15"/>
    <n v="256779414082"/>
    <d v="2025-08-21T00:00:00"/>
    <d v="2025-07-05T00:00:00"/>
    <s v="USD"/>
    <n v="-2321.64"/>
    <s v="USD"/>
    <n v="-2321.64"/>
    <n v="2000002776"/>
    <d v="2025-09-15T00:00:00"/>
    <s v="Storage 1-31 May-25"/>
    <s v="PO"/>
    <s v="212100"/>
  </r>
  <r>
    <s v="2185365"/>
    <s v="ASCENDAS PANVEL FTWZ PRIVATE LIMITE"/>
    <x v="0"/>
    <n v="1900008359"/>
    <x v="16"/>
    <n v="256779415231"/>
    <d v="2025-08-25T00:00:00"/>
    <d v="2025-08-03T00:00:00"/>
    <s v="USD"/>
    <n v="-17.54"/>
    <s v="USD"/>
    <n v="-17.54"/>
    <n v="2000002776"/>
    <d v="2025-09-15T00:00:00"/>
    <s v="VAS - 16-30 June 25"/>
    <s v="PO"/>
    <s v="212100"/>
  </r>
  <r>
    <s v="2185365"/>
    <s v="ASCENDAS PANVEL FTWZ PRIVATE LIMITE"/>
    <x v="0"/>
    <n v="1900008360"/>
    <x v="17"/>
    <n v="256779414727"/>
    <d v="2025-08-25T00:00:00"/>
    <d v="2025-07-19T00:00:00"/>
    <s v="USD"/>
    <n v="-49.94"/>
    <s v="USD"/>
    <n v="-49.94"/>
    <n v="2000002776"/>
    <d v="2025-09-15T00:00:00"/>
    <s v="VAS 1-15 June 25, Exch 86.10"/>
    <s v="PO"/>
    <s v="212100"/>
  </r>
  <r>
    <s v="2185365"/>
    <s v="ASCENDAS PANVEL FTWZ PRIVATE LIMITE"/>
    <x v="0"/>
    <n v="1900008361"/>
    <x v="16"/>
    <n v="256779414896"/>
    <d v="2025-08-25T00:00:00"/>
    <d v="2025-08-03T00:00:00"/>
    <s v="USD"/>
    <n v="-182.09"/>
    <s v="USD"/>
    <n v="-182.09"/>
    <n v="2000002776"/>
    <d v="2025-09-15T00:00:00"/>
    <s v="Empty Lolo Chgs - 01 - 30 JUN 25"/>
    <s v="PO"/>
    <s v="212100"/>
  </r>
  <r>
    <s v="2185365"/>
    <s v="ASCENDAS PANVEL FTWZ PRIVATE LIMITE"/>
    <x v="0"/>
    <n v="1900008362"/>
    <x v="16"/>
    <n v="256779415029"/>
    <d v="2025-08-25T00:00:00"/>
    <d v="2025-08-03T00:00:00"/>
    <s v="USD"/>
    <n v="-56.41"/>
    <s v="USD"/>
    <n v="-56.41"/>
    <n v="2000002776"/>
    <d v="2025-09-15T00:00:00"/>
    <s v="PORT SSR Chgs June 25"/>
    <s v="PO"/>
    <s v="212100"/>
  </r>
  <r>
    <s v="2185365"/>
    <s v="ASCENDAS PANVEL FTWZ PRIVATE LIMITE"/>
    <x v="0"/>
    <n v="1900008363"/>
    <x v="16"/>
    <n v="256779415042"/>
    <d v="2025-08-25T00:00:00"/>
    <d v="2025-08-03T00:00:00"/>
    <s v="USD"/>
    <n v="-32.15"/>
    <s v="USD"/>
    <n v="-32.15"/>
    <n v="2000002776"/>
    <d v="2025-09-15T00:00:00"/>
    <s v="Bond Stamp Paper Chgs"/>
    <s v="PO"/>
    <s v="212100"/>
  </r>
  <r>
    <s v="2185365"/>
    <s v="ASCENDAS PANVEL FTWZ PRIVATE LIMITE"/>
    <x v="0"/>
    <n v="1900008365"/>
    <x v="16"/>
    <n v="256779414994"/>
    <d v="2025-08-25T00:00:00"/>
    <d v="2025-08-03T00:00:00"/>
    <s v="USD"/>
    <n v="-1081.83"/>
    <s v="USD"/>
    <n v="-1081.83"/>
    <n v="2000002776"/>
    <d v="2025-09-15T00:00:00"/>
    <s v="Outbound/Loose chgs 16-30 June 25"/>
    <s v="PO"/>
    <s v="212100"/>
  </r>
  <r>
    <s v="2185365"/>
    <s v="ASCENDAS PANVEL FTWZ PRIVATE LIMITE"/>
    <x v="0"/>
    <n v="1900008366"/>
    <x v="16"/>
    <n v="256779414864"/>
    <d v="2025-08-25T00:00:00"/>
    <d v="2025-08-03T00:00:00"/>
    <s v="USD"/>
    <n v="-3008.54"/>
    <s v="USD"/>
    <n v="-3008.54"/>
    <n v="2000002776"/>
    <d v="2025-09-15T00:00:00"/>
    <s v="Transportation/inbound chgs 16-30 JUNE 25"/>
    <s v="PO"/>
    <s v="212100"/>
  </r>
  <r>
    <s v="2185365"/>
    <s v="ASCENDAS PANVEL FTWZ PRIVATE LIMITE"/>
    <x v="0"/>
    <n v="1900008385"/>
    <x v="18"/>
    <n v="256779416099"/>
    <d v="2025-09-18T00:00:00"/>
    <d v="2025-09-07T00:00:00"/>
    <s v="USD"/>
    <n v="-277.3"/>
    <s v="USD"/>
    <n v="-277.3"/>
    <n v="2000002790"/>
    <d v="2025-09-25T00:00:00"/>
    <s v="Scanning  Chgs - 16 - 31 Jul 25"/>
    <s v="PO"/>
    <s v="212100"/>
  </r>
  <r>
    <s v="2185365"/>
    <s v="ASCENDAS PANVEL FTWZ PRIVATE LIMITE"/>
    <x v="0"/>
    <n v="1900008386"/>
    <x v="18"/>
    <n v="256779416105"/>
    <d v="2025-09-18T00:00:00"/>
    <d v="2025-09-07T00:00:00"/>
    <s v="USD"/>
    <n v="-46.6"/>
    <s v="USD"/>
    <n v="-46.6"/>
    <n v="2000002790"/>
    <d v="2025-09-25T00:00:00"/>
    <s v="Detention Chgs - 01 - 31 JUL 25"/>
    <s v="PO"/>
    <s v="212100"/>
  </r>
  <r>
    <s v="2185365"/>
    <s v="ASCENDAS PANVEL FTWZ PRIVATE LIMITE"/>
    <x v="0"/>
    <n v="1900008387"/>
    <x v="18"/>
    <n v="256779416129"/>
    <d v="2025-09-18T00:00:00"/>
    <d v="2025-09-07T00:00:00"/>
    <s v="USD"/>
    <n v="-160.55000000000001"/>
    <s v="USD"/>
    <n v="-160.55000000000001"/>
    <n v="2000002790"/>
    <d v="2025-09-25T00:00:00"/>
    <s v="Empty Lolo Chgs - 01 - 31 JUL 25"/>
    <s v="PO"/>
    <s v="212100"/>
  </r>
  <r>
    <s v="2185365"/>
    <s v="ASCENDAS PANVEL FTWZ PRIVATE LIMITE"/>
    <x v="0"/>
    <n v="1900008388"/>
    <x v="18"/>
    <n v="256779416145"/>
    <d v="2025-09-18T00:00:00"/>
    <d v="2025-09-07T00:00:00"/>
    <s v="USD"/>
    <n v="-188.46"/>
    <s v="USD"/>
    <n v="-188.46"/>
    <n v="2000002790"/>
    <d v="2025-09-25T00:00:00"/>
    <s v="Bond Stamp Paper Chgs 16 - 31 Jul 25"/>
    <s v="PO"/>
    <s v="212100"/>
  </r>
  <r>
    <s v="2185365"/>
    <s v="ASCENDAS PANVEL FTWZ PRIVATE LIMITE"/>
    <x v="0"/>
    <n v="1900008389"/>
    <x v="18"/>
    <n v="256779416477"/>
    <d v="2025-09-18T00:00:00"/>
    <d v="2025-09-07T00:00:00"/>
    <s v="USD"/>
    <n v="-45.69"/>
    <s v="USD"/>
    <n v="-45.69"/>
    <n v="2000002790"/>
    <d v="2025-09-25T00:00:00"/>
    <s v="VAS 16-31 July 25"/>
    <s v="PO"/>
    <s v="212100"/>
  </r>
  <r>
    <s v="2185365"/>
    <s v="ASCENDAS PANVEL FTWZ PRIVATE LIMITE"/>
    <x v="0"/>
    <n v="1900008390"/>
    <x v="18"/>
    <n v="256779416498"/>
    <d v="2025-09-18T00:00:00"/>
    <d v="2025-09-07T00:00:00"/>
    <s v="USD"/>
    <n v="-548.34"/>
    <s v="USD"/>
    <n v="-548.34"/>
    <n v="2000002790"/>
    <d v="2025-09-25T00:00:00"/>
    <s v="PORT SSR Chgs July 25"/>
    <s v="PO"/>
    <s v="212100"/>
  </r>
  <r>
    <s v="2185365"/>
    <s v="ASCENDAS PANVEL FTWZ PRIVATE LIMITE"/>
    <x v="1"/>
    <n v="5100013195"/>
    <x v="19"/>
    <n v="256779415152"/>
    <d v="2025-09-18T00:00:00"/>
    <d v="2025-08-04T00:00:00"/>
    <s v="USD"/>
    <n v="-9905.27"/>
    <s v="USD"/>
    <n v="-9905.27"/>
    <n v="2000002790"/>
    <d v="2025-09-25T00:00:00"/>
    <s v="Storage 01-30 June25"/>
    <s v="PO"/>
    <s v="212100"/>
  </r>
  <r>
    <s v="2185365"/>
    <s v="ASCENDAS PANVEL FTWZ PRIVATE LIMITE"/>
    <x v="1"/>
    <n v="5100013199"/>
    <x v="18"/>
    <n v="256779416302"/>
    <d v="2025-09-19T00:00:00"/>
    <d v="2025-09-07T00:00:00"/>
    <s v="USD"/>
    <n v="-5299.43"/>
    <s v="USD"/>
    <n v="-5299.43"/>
    <n v="2000002790"/>
    <d v="2025-09-25T00:00:00"/>
    <s v="Storage 01-31 July25"/>
    <s v="PO"/>
    <s v="212100"/>
  </r>
  <r>
    <s v="2185365"/>
    <s v="ASCENDAS PANVEL FTWZ PRIVATE LIMITE"/>
    <x v="1"/>
    <n v="5100013200"/>
    <x v="19"/>
    <n v="256779415153"/>
    <d v="2025-09-19T00:00:00"/>
    <d v="2025-08-04T00:00:00"/>
    <s v="USD"/>
    <n v="-4354.62"/>
    <s v="USD"/>
    <n v="-4354.62"/>
    <n v="2000002790"/>
    <d v="2025-09-25T00:00:00"/>
    <s v="Storage 01-30 June25"/>
    <s v="PO"/>
    <s v="212100"/>
  </r>
  <r>
    <s v="2185365"/>
    <s v="ASCENDAS PANVEL FTWZ PRIVATE LIMITE"/>
    <x v="1"/>
    <n v="5100013203"/>
    <x v="18"/>
    <n v="256779416301"/>
    <d v="2025-09-22T00:00:00"/>
    <d v="2025-09-07T00:00:00"/>
    <s v="USD"/>
    <n v="-8709.89"/>
    <s v="USD"/>
    <n v="-8709.89"/>
    <n v="2000002790"/>
    <d v="2025-09-25T00:00:00"/>
    <s v="Storage 01-31 July25"/>
    <s v="PO"/>
    <s v="212100"/>
  </r>
  <r>
    <s v="2185365"/>
    <s v="ASCENDAS PANVEL FTWZ PRIVATE LIMITE"/>
    <x v="0"/>
    <n v="1900008398"/>
    <x v="18"/>
    <n v="256779416189"/>
    <d v="2025-09-25T00:00:00"/>
    <d v="2025-09-07T00:00:00"/>
    <s v="USD"/>
    <n v="-2574.62"/>
    <s v="USD"/>
    <n v="-2574.62"/>
    <n v="2000002809"/>
    <d v="2025-10-15T00:00:00"/>
    <s v="Outbound chgs &amp; Loose Chgs - 16 - 31 Jul 25"/>
    <s v="PO"/>
    <s v="212100"/>
  </r>
  <r>
    <s v="2185365"/>
    <s v="ASCENDAS PANVEL FTWZ PRIVATE LIMITE"/>
    <x v="0"/>
    <n v="1900008399"/>
    <x v="18"/>
    <n v="256779416151"/>
    <d v="2025-09-25T00:00:00"/>
    <d v="2025-09-07T00:00:00"/>
    <s v="USD"/>
    <n v="-5735.37"/>
    <s v="USD"/>
    <n v="-5735.37"/>
    <n v="2000002809"/>
    <d v="2025-10-15T00:00:00"/>
    <s v="Transportation In Chgs - 16 - 31 JUL 25"/>
    <s v="PO"/>
    <s v="212100"/>
  </r>
  <r>
    <s v="2185365"/>
    <s v="ASCENDAS PANVEL FTWZ PRIVATE LIMITE"/>
    <x v="0"/>
    <n v="1900008420"/>
    <x v="20"/>
    <n v="256779416792"/>
    <d v="2025-10-15T00:00:00"/>
    <d v="2025-09-19T00:00:00"/>
    <s v="USD"/>
    <n v="-13.72"/>
    <s v="USD"/>
    <n v="-13.72"/>
    <n v="2000002815"/>
    <d v="2025-10-24T00:00:00"/>
    <s v="Weighment-Aug 25, 1-31"/>
    <s v="PO"/>
    <s v="212100"/>
  </r>
  <r>
    <s v="2185365"/>
    <s v="ASCENDAS PANVEL FTWZ PRIVATE LIMITE"/>
    <x v="0"/>
    <n v="1900008421"/>
    <x v="21"/>
    <n v="256779417102"/>
    <d v="2025-10-15T00:00:00"/>
    <d v="2025-10-04T00:00:00"/>
    <s v="USD"/>
    <n v="-66.22"/>
    <s v="USD"/>
    <n v="-66.22"/>
    <n v="2000002815"/>
    <d v="2025-10-24T00:00:00"/>
    <s v="VAS -1-31 Aug 25"/>
    <s v="PO"/>
    <s v="212100"/>
  </r>
  <r>
    <s v="2185365"/>
    <s v="ASCENDAS PANVEL FTWZ PRIVATE LIMITE"/>
    <x v="0"/>
    <n v="1900008431"/>
    <x v="21"/>
    <n v="256779417254"/>
    <d v="2025-10-30T00:00:00"/>
    <d v="2025-10-04T00:00:00"/>
    <s v="USD"/>
    <n v="-51.22"/>
    <s v="USD"/>
    <n v="-51.22"/>
    <n v="2000002840"/>
    <d v="2025-11-14T00:00:00"/>
    <s v="Bond Stamp Paper Chgs 01 - 31 Aug 25"/>
    <s v="PO"/>
    <s v="212100"/>
  </r>
  <r>
    <s v="2185365"/>
    <s v="ASCENDAS PANVEL FTWZ PRIVATE LIMITE"/>
    <x v="0"/>
    <n v="1900008432"/>
    <x v="21"/>
    <n v="256779417249"/>
    <d v="2025-10-30T00:00:00"/>
    <d v="2025-10-04T00:00:00"/>
    <s v="USD"/>
    <n v="-59"/>
    <s v="USD"/>
    <n v="-59"/>
    <n v="2000002840"/>
    <d v="2025-11-14T00:00:00"/>
    <s v="Scanning  Chgs - 16 - 31 Aug 25"/>
    <s v="PO"/>
    <s v="212100"/>
  </r>
  <r>
    <s v="2185365"/>
    <s v="ASCENDAS PANVEL FTWZ PRIVATE LIMITE"/>
    <x v="0"/>
    <n v="1900008433"/>
    <x v="21"/>
    <n v="256779417233"/>
    <d v="2025-10-30T00:00:00"/>
    <d v="2025-10-04T00:00:00"/>
    <s v="USD"/>
    <n v="-710.32"/>
    <s v="USD"/>
    <n v="-710.32"/>
    <n v="2000002840"/>
    <d v="2025-11-14T00:00:00"/>
    <s v="PORT SSR Chgs Aug 25"/>
    <s v="PO"/>
    <s v="212100"/>
  </r>
  <r>
    <s v="2185365"/>
    <s v="ASCENDAS PANVEL FTWZ PRIVATE LIMITE"/>
    <x v="0"/>
    <n v="1900008434"/>
    <x v="21"/>
    <n v="256779417193"/>
    <d v="2025-10-30T00:00:00"/>
    <d v="2025-10-04T00:00:00"/>
    <s v="USD"/>
    <n v="-620.1"/>
    <s v="USD"/>
    <n v="-620.1"/>
    <n v="2000002840"/>
    <d v="2025-11-14T00:00:00"/>
    <s v="Empty Lolo Chgs - 01 - 31 AUG 25"/>
    <s v="PO"/>
    <s v="212100"/>
  </r>
  <r>
    <s v="2185365"/>
    <s v="ASCENDAS PANVEL FTWZ PRIVATE LIMITE"/>
    <x v="0"/>
    <n v="1900008435"/>
    <x v="21"/>
    <n v="256779417189"/>
    <d v="2025-10-30T00:00:00"/>
    <d v="2025-10-04T00:00:00"/>
    <s v="USD"/>
    <n v="-24.9"/>
    <s v="USD"/>
    <n v="-24.9"/>
    <n v="2000002840"/>
    <d v="2025-11-14T00:00:00"/>
    <s v="Detention Chgs - 01 - 31 AUG 25"/>
    <s v="PO"/>
    <s v="212100"/>
  </r>
  <r>
    <s v="2185365"/>
    <s v="ASCENDAS PANVEL FTWZ PRIVATE LIMITE"/>
    <x v="0"/>
    <n v="1900008436"/>
    <x v="21"/>
    <n v="256779417294"/>
    <d v="2025-10-31T00:00:00"/>
    <d v="2025-10-04T00:00:00"/>
    <s v="USD"/>
    <n v="-2063.13"/>
    <s v="USD"/>
    <n v="-2063.13"/>
    <n v="2000002840"/>
    <d v="2025-11-14T00:00:00"/>
    <s v="Outbound chgs - 16 - 31 Aug 25 WH 09"/>
    <s v="PO"/>
    <s v="212100"/>
  </r>
  <r>
    <s v="2185365"/>
    <s v="ASCENDAS PANVEL FTWZ PRIVATE LIMITE"/>
    <x v="0"/>
    <n v="1900008437"/>
    <x v="21"/>
    <n v="256779417265"/>
    <d v="2025-10-31T00:00:00"/>
    <d v="2025-10-04T00:00:00"/>
    <s v="USD"/>
    <n v="-4958.09"/>
    <s v="USD"/>
    <n v="-4958.09"/>
    <n v="2000002840"/>
    <d v="2025-11-14T00:00:00"/>
    <s v="Transportation In Chgs - 16 - 31 AUG 25"/>
    <s v="PO"/>
    <s v="212100"/>
  </r>
  <r>
    <s v="2185365"/>
    <s v="ASCENDAS PANVEL FTWZ PRIVATE LIMITE"/>
    <x v="0"/>
    <n v="1900008438"/>
    <x v="21"/>
    <n v="256779417182"/>
    <d v="2025-11-03T00:00:00"/>
    <d v="2025-10-04T00:00:00"/>
    <s v="USD"/>
    <n v="-985.4"/>
    <s v="USD"/>
    <n v="-985.4"/>
    <n v="2000002840"/>
    <d v="2025-11-14T00:00:00"/>
    <s v="Transportation In Chgs - 16 - 31 Aug 25"/>
    <s v="PO"/>
    <s v="212100"/>
  </r>
  <r>
    <s v="2185365"/>
    <s v="ASCENDAS PANVEL FTWZ PRIVATE LIMITE"/>
    <x v="0"/>
    <n v="1900008450"/>
    <x v="22"/>
    <n v="256779418145"/>
    <d v="2025-11-07T00:00:00"/>
    <d v="2025-11-06T00:00:00"/>
    <s v="USD"/>
    <n v="-54.06"/>
    <s v="USD"/>
    <n v="-54.06"/>
    <n v="2000002840"/>
    <d v="2025-11-14T00:00:00"/>
    <s v="Weighment-16-30 Sept 25"/>
    <s v="PO"/>
    <s v="212100"/>
  </r>
  <r>
    <s v="2185365"/>
    <s v="ASCENDAS PANVEL FTWZ PRIVATE LIMITE"/>
    <x v="0"/>
    <n v="1900008451"/>
    <x v="22"/>
    <n v="256779418129"/>
    <d v="2025-11-07T00:00:00"/>
    <d v="2025-11-06T00:00:00"/>
    <s v="USD"/>
    <n v="-122.94"/>
    <s v="USD"/>
    <n v="-122.94"/>
    <n v="2000002840"/>
    <d v="2025-11-14T00:00:00"/>
    <s v="VAS-1-30 Sept 25"/>
    <s v="PO"/>
    <s v="212100"/>
  </r>
  <r>
    <s v="2185365"/>
    <s v="ASCENDAS PANVEL FTWZ PRIVATE LIMITE"/>
    <x v="0"/>
    <n v="1900008452"/>
    <x v="23"/>
    <n v="256779418096"/>
    <d v="2025-11-07T00:00:00"/>
    <d v="2025-11-07T00:00:00"/>
    <s v="USD"/>
    <n v="-67.58"/>
    <s v="USD"/>
    <n v="-67.58"/>
    <n v="2000002840"/>
    <d v="2025-11-14T00:00:00"/>
    <s v="Bond Stamp Paper Chgs 01 - 30 Sep 25"/>
    <s v="PO"/>
    <s v="212100"/>
  </r>
  <r>
    <s v="2185365"/>
    <s v="ASCENDAS PANVEL FTWZ PRIVATE LIMITE"/>
    <x v="0"/>
    <n v="1900008453"/>
    <x v="24"/>
    <n v="256779417882"/>
    <d v="2025-11-07T00:00:00"/>
    <d v="2025-11-04T00:00:00"/>
    <s v="USD"/>
    <n v="-603.79999999999995"/>
    <s v="USD"/>
    <n v="-603.79999999999995"/>
    <n v="2000002840"/>
    <d v="2025-11-14T00:00:00"/>
    <s v="Empty Lolo Chgs - 01 - 30 SEP 25"/>
    <s v="PO"/>
    <s v="212100"/>
  </r>
  <r>
    <s v="2185365"/>
    <s v="ASCENDAS PANVEL FTWZ PRIVATE LIMITE"/>
    <x v="0"/>
    <n v="1900008454"/>
    <x v="24"/>
    <n v="256779418379"/>
    <d v="2025-11-07T00:00:00"/>
    <d v="2025-11-04T00:00:00"/>
    <s v="USD"/>
    <n v="-1379.83"/>
    <s v="USD"/>
    <n v="-1379.83"/>
    <n v="2000002840"/>
    <d v="2025-11-14T00:00:00"/>
    <s v="PORT SSR Chgs Sep 25"/>
    <s v="PO"/>
    <s v="212100"/>
  </r>
  <r>
    <s v="2185365"/>
    <s v="ASCENDAS PANVEL FTWZ PRIVATE LIMITE"/>
    <x v="0"/>
    <n v="1900008455"/>
    <x v="24"/>
    <n v="256779417910"/>
    <d v="2025-11-07T00:00:00"/>
    <d v="2025-11-04T00:00:00"/>
    <s v="USD"/>
    <n v="-7291.31"/>
    <s v="USD"/>
    <n v="-7291.31"/>
    <n v="2000002840"/>
    <d v="2025-11-14T00:00:00"/>
    <s v="Transportation In Chgs - 16 - 30 SEP 25"/>
    <s v="PO"/>
    <s v="212100"/>
  </r>
  <r>
    <s v="2185365"/>
    <s v="ASCENDAS PANVEL FTWZ PRIVATE LIMITE"/>
    <x v="0"/>
    <n v="1900008456"/>
    <x v="24"/>
    <n v="256779417953"/>
    <d v="2025-11-07T00:00:00"/>
    <d v="2025-11-04T00:00:00"/>
    <s v="USD"/>
    <n v="-3981.8"/>
    <s v="USD"/>
    <n v="-3981.8"/>
    <n v="2000002840"/>
    <d v="2025-11-14T00:00:00"/>
    <s v="Outbound chgs - 16 - 30 Sep 25"/>
    <s v="PO"/>
    <s v="212100"/>
  </r>
  <r>
    <s v="2185365"/>
    <s v="ASCENDAS PANVEL FTWZ PRIVATE LIMITE"/>
    <x v="0"/>
    <n v="1900008479"/>
    <x v="25"/>
    <n v="256779419239"/>
    <d v="2025-12-12T00:00:00"/>
    <d v="2025-12-05T00:00:00"/>
    <s v="USD"/>
    <n v="-67.62"/>
    <s v="USD"/>
    <n v="-67.62"/>
    <n v="2000002884"/>
    <d v="2025-12-24T00:00:00"/>
    <s v="Bond Stamp Paper Chgs Oct 25"/>
    <s v="PO"/>
    <s v="212100"/>
  </r>
  <r>
    <s v="2185365"/>
    <s v="ASCENDAS PANVEL FTWZ PRIVATE LIMITE"/>
    <x v="0"/>
    <n v="1900008480"/>
    <x v="25"/>
    <n v="256779419214"/>
    <d v="2025-12-12T00:00:00"/>
    <d v="2025-12-05T00:00:00"/>
    <s v="USD"/>
    <n v="-485.95"/>
    <s v="USD"/>
    <n v="-485.95"/>
    <n v="2000002884"/>
    <d v="2025-12-24T00:00:00"/>
    <s v="PORT SSR Chgs Oct 25"/>
    <s v="PO"/>
    <s v="212100"/>
  </r>
  <r>
    <s v="2185365"/>
    <s v="ASCENDAS PANVEL FTWZ PRIVATE LIMITE"/>
    <x v="0"/>
    <n v="1900008481"/>
    <x v="25"/>
    <n v="256779419187"/>
    <d v="2025-12-12T00:00:00"/>
    <d v="2025-12-05T00:00:00"/>
    <s v="USD"/>
    <n v="-503.26"/>
    <s v="USD"/>
    <n v="-503.26"/>
    <n v="2000002884"/>
    <d v="2025-12-24T00:00:00"/>
    <s v="Empty Lolo Chgs - 01 - 31 OCT 25"/>
    <s v="PO"/>
    <s v="212100"/>
  </r>
  <r>
    <s v="2185365"/>
    <s v="ASCENDAS PANVEL FTWZ PRIVATE LIMITE"/>
    <x v="0"/>
    <n v="1900008482"/>
    <x v="25"/>
    <n v="256779419092"/>
    <d v="2025-12-12T00:00:00"/>
    <d v="2025-12-05T00:00:00"/>
    <s v="USD"/>
    <n v="-41.3"/>
    <s v="USD"/>
    <n v="-41.3"/>
    <n v="2000002884"/>
    <d v="2025-12-24T00:00:00"/>
    <s v="Scanning  Chgs - 16 - 31 Oct 25"/>
    <s v="PO"/>
    <s v="212100"/>
  </r>
  <r>
    <s v="2185365"/>
    <s v="ASCENDAS PANVEL FTWZ PRIVATE LIMITE"/>
    <x v="0"/>
    <n v="1900008483"/>
    <x v="25"/>
    <n v="256779419078"/>
    <d v="2025-12-12T00:00:00"/>
    <d v="2025-12-05T00:00:00"/>
    <s v="USD"/>
    <n v="-394.16"/>
    <s v="USD"/>
    <n v="-394.16"/>
    <n v="2000002884"/>
    <d v="2025-12-24T00:00:00"/>
    <s v="Transportation In Chgs - 16 - 31 Oct 25 ( CY - Lon"/>
    <s v="PO"/>
    <s v="212100"/>
  </r>
  <r>
    <s v="2185365"/>
    <s v="ASCENDAS PANVEL FTWZ PRIVATE LIMITE"/>
    <x v="0"/>
    <n v="1900008484"/>
    <x v="25"/>
    <n v="256779418840"/>
    <d v="2025-12-12T00:00:00"/>
    <d v="2025-12-05T00:00:00"/>
    <s v="USD"/>
    <n v="-15.78"/>
    <s v="USD"/>
    <n v="-15.78"/>
    <n v="2000002884"/>
    <d v="2025-12-24T00:00:00"/>
    <s v="VAS-16 -31 Oct 25"/>
    <s v="PO"/>
    <s v="212100"/>
  </r>
  <r>
    <s v="2185365"/>
    <s v="ASCENDAS PANVEL FTWZ PRIVATE LIMITE"/>
    <x v="1"/>
    <n v="5100013426"/>
    <x v="26"/>
    <n v="256779418216"/>
    <d v="2025-12-12T00:00:00"/>
    <d v="2025-11-05T00:00:00"/>
    <s v="USD"/>
    <n v="-8093.39"/>
    <s v="USD"/>
    <n v="-8093.39"/>
    <n v="2000002884"/>
    <d v="2025-12-24T00:00:00"/>
    <s v="Storage 01-30- Sep25"/>
    <s v="PO"/>
    <s v="212100"/>
  </r>
  <r>
    <s v="2185365"/>
    <s v="ASCENDAS PANVEL FTWZ PRIVATE LIMITE"/>
    <x v="1"/>
    <n v="5100013427"/>
    <x v="21"/>
    <n v="256779416959"/>
    <d v="2025-12-12T00:00:00"/>
    <d v="2025-10-04T00:00:00"/>
    <s v="USD"/>
    <n v="-5587.13"/>
    <s v="USD"/>
    <n v="-5587.13"/>
    <n v="2000002884"/>
    <d v="2025-12-24T00:00:00"/>
    <s v="Storage 01-31- Aug25"/>
    <s v="PO"/>
    <s v="212100"/>
  </r>
  <r>
    <s v="2185365"/>
    <s v="ASCENDAS PANVEL FTWZ PRIVATE LIMITE"/>
    <x v="1"/>
    <n v="5100013428"/>
    <x v="21"/>
    <n v="256779416958"/>
    <d v="2025-12-12T00:00:00"/>
    <d v="2025-10-04T00:00:00"/>
    <s v="USD"/>
    <n v="-6712.26"/>
    <s v="USD"/>
    <n v="-6712.26"/>
    <n v="2000002884"/>
    <d v="2025-12-24T00:00:00"/>
    <s v="Storage 01-31- Aug25"/>
    <s v="PO"/>
    <s v="212100"/>
  </r>
  <r>
    <s v="2185365"/>
    <s v="ASCENDAS PANVEL FTWZ PRIVATE LIMITE"/>
    <x v="1"/>
    <n v="5100013429"/>
    <x v="26"/>
    <n v="256779418217"/>
    <d v="2025-12-12T00:00:00"/>
    <d v="2025-11-05T00:00:00"/>
    <s v="USD"/>
    <n v="-6196.45"/>
    <s v="USD"/>
    <n v="-6196.45"/>
    <n v="2000002884"/>
    <d v="2025-12-24T00:00:00"/>
    <s v="Storage 01-30- Sep25"/>
    <s v="PO"/>
    <s v="212100"/>
  </r>
  <r>
    <s v="2185365"/>
    <s v="ASCENDAS PANVEL FTWZ PRIVATE LIMITE"/>
    <x v="0"/>
    <n v="1900008485"/>
    <x v="25"/>
    <n v="256779419145"/>
    <d v="2025-12-15T00:00:00"/>
    <d v="2025-12-05T00:00:00"/>
    <s v="USD"/>
    <n v="-2892.9"/>
    <s v="USD"/>
    <n v="-2892.9"/>
    <n v="2000002884"/>
    <d v="2025-12-24T00:00:00"/>
    <s v="Outbound chgs - 16 - 30 Oct 25 WH 09"/>
    <s v="PO"/>
    <s v="212100"/>
  </r>
  <r>
    <s v="2185365"/>
    <s v="ASCENDAS PANVEL FTWZ PRIVATE LIMITE"/>
    <x v="0"/>
    <n v="1900008486"/>
    <x v="27"/>
    <n v="256779419103"/>
    <d v="2025-12-15T00:00:00"/>
    <d v="2025-12-03T00:00:00"/>
    <s v="USD"/>
    <n v="-6342.78"/>
    <s v="USD"/>
    <n v="-6342.78"/>
    <n v="2000002884"/>
    <d v="2025-12-24T00:00:00"/>
    <s v="Inbound chgs - 16 - 31 OCT 25 ( WH 09 )"/>
    <s v="PO"/>
    <s v="212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CAF5E-6D45-4B43-AC81-999271167769}" name="PivotTable2" cacheId="0" dataPosition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4:H16" firstHeaderRow="1" firstDataRow="3" firstDataCol="2"/>
  <pivotFields count="18">
    <pivotField compact="0" outline="0" showAll="0" defaultSubtotal="0"/>
    <pivotField compact="0" outline="0" showAll="0" defaultSubtotal="0"/>
    <pivotField axis="axisCol" compact="0" outline="0" showAll="0" defaultSubtotal="0">
      <items count="3">
        <item x="2"/>
        <item x="0"/>
        <item x="1"/>
      </items>
    </pivotField>
    <pivotField compact="0" outline="0" showAll="0" defaultSubtotal="0"/>
    <pivotField axis="axisRow" compact="0" numFmtId="14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7"/>
    <field x="4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2">
    <field x="-2"/>
    <field x="2"/>
  </colFields>
  <colItems count="6">
    <i>
      <x/>
      <x/>
    </i>
    <i r="1">
      <x v="1"/>
    </i>
    <i r="1">
      <x v="2"/>
    </i>
    <i i="1">
      <x v="1"/>
      <x/>
    </i>
    <i r="1" i="1">
      <x v="1"/>
    </i>
    <i r="1" i="1">
      <x v="2"/>
    </i>
  </colItems>
  <dataFields count="2">
    <dataField name="Sum of Amount in doc. curr." fld="9" baseField="0" baseItem="0"/>
    <dataField name="Sum of Amount in local currenc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4707-2FC9-4C20-8087-C40A77BE398B}">
  <dimension ref="A2:B16"/>
  <sheetViews>
    <sheetView workbookViewId="0">
      <selection activeCell="B15" sqref="B15"/>
    </sheetView>
  </sheetViews>
  <sheetFormatPr defaultRowHeight="14.5" x14ac:dyDescent="0.35"/>
  <cols>
    <col min="1" max="1" width="44.08984375" bestFit="1" customWidth="1"/>
    <col min="2" max="2" width="13.08984375" style="95" bestFit="1" customWidth="1"/>
  </cols>
  <sheetData>
    <row r="2" spans="1:2" ht="15" thickBot="1" x14ac:dyDescent="0.4"/>
    <row r="3" spans="1:2" ht="15" thickBot="1" x14ac:dyDescent="0.4">
      <c r="A3" s="148" t="s">
        <v>701</v>
      </c>
      <c r="B3" s="149"/>
    </row>
    <row r="4" spans="1:2" ht="15" thickBot="1" x14ac:dyDescent="0.4">
      <c r="A4" s="43" t="s">
        <v>702</v>
      </c>
      <c r="B4" s="46" t="s">
        <v>9</v>
      </c>
    </row>
    <row r="5" spans="1:2" x14ac:dyDescent="0.35">
      <c r="A5" s="44" t="s">
        <v>708</v>
      </c>
      <c r="B5" s="139">
        <f>'Customer Data'!F192</f>
        <v>0</v>
      </c>
    </row>
    <row r="6" spans="1:2" x14ac:dyDescent="0.35">
      <c r="A6" s="44" t="s">
        <v>704</v>
      </c>
      <c r="B6" s="140">
        <f>'Invoices Not in customer books'!F30</f>
        <v>34851.14</v>
      </c>
    </row>
    <row r="7" spans="1:2" x14ac:dyDescent="0.35">
      <c r="A7" s="44" t="s">
        <v>842</v>
      </c>
      <c r="B7" s="140">
        <f>'invoice not in Ascendus Books'!E41</f>
        <v>0</v>
      </c>
    </row>
    <row r="8" spans="1:2" x14ac:dyDescent="0.35">
      <c r="A8" s="44" t="s">
        <v>841</v>
      </c>
      <c r="B8" s="140">
        <f>'CN not in Ascendus Books'!F2</f>
        <v>16009</v>
      </c>
    </row>
    <row r="9" spans="1:2" x14ac:dyDescent="0.35">
      <c r="A9" s="44" t="s">
        <v>844</v>
      </c>
      <c r="B9" s="140">
        <f>'Payment Reco'!L14</f>
        <v>44897.47</v>
      </c>
    </row>
    <row r="10" spans="1:2" x14ac:dyDescent="0.35">
      <c r="A10" s="44" t="s">
        <v>846</v>
      </c>
      <c r="B10" s="140">
        <f>'Diffrence in Customer Books'!Q11</f>
        <v>49.5</v>
      </c>
    </row>
    <row r="11" spans="1:2" x14ac:dyDescent="0.35">
      <c r="A11" s="44" t="s">
        <v>845</v>
      </c>
      <c r="B11" s="140">
        <f>'Duplicate CN in Ascendus Books'!F2</f>
        <v>-131.74</v>
      </c>
    </row>
    <row r="12" spans="1:2" x14ac:dyDescent="0.35">
      <c r="A12" s="44" t="s">
        <v>705</v>
      </c>
      <c r="B12" s="140">
        <f>SUM(B5:B11)</f>
        <v>95675.37</v>
      </c>
    </row>
    <row r="13" spans="1:2" x14ac:dyDescent="0.35">
      <c r="A13" s="44" t="s">
        <v>706</v>
      </c>
      <c r="B13" s="140">
        <f>'Ascendus data'!T296</f>
        <v>95447.699999999895</v>
      </c>
    </row>
    <row r="14" spans="1:2" ht="15" thickBot="1" x14ac:dyDescent="0.4">
      <c r="A14" s="142"/>
      <c r="B14" s="143"/>
    </row>
    <row r="15" spans="1:2" ht="15" thickBot="1" x14ac:dyDescent="0.4">
      <c r="A15" s="45" t="s">
        <v>707</v>
      </c>
      <c r="B15" s="141">
        <f>B12-B13</f>
        <v>227.67000000010012</v>
      </c>
    </row>
    <row r="16" spans="1:2" x14ac:dyDescent="0.35">
      <c r="A16" s="47"/>
      <c r="B16" s="138"/>
    </row>
  </sheetData>
  <mergeCells count="1"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A32D-9F21-4F99-B575-83D7A5047F43}">
  <dimension ref="A1:L39"/>
  <sheetViews>
    <sheetView topLeftCell="A31" zoomScaleNormal="100" workbookViewId="0">
      <selection activeCell="B43" sqref="B43"/>
    </sheetView>
  </sheetViews>
  <sheetFormatPr defaultRowHeight="14.5" x14ac:dyDescent="0.35"/>
  <cols>
    <col min="1" max="1" width="4.36328125" customWidth="1"/>
    <col min="2" max="2" width="13.90625" bestFit="1" customWidth="1"/>
    <col min="3" max="3" width="12.90625" bestFit="1" customWidth="1"/>
    <col min="4" max="4" width="9" customWidth="1"/>
    <col min="5" max="5" width="44.7265625" bestFit="1" customWidth="1"/>
    <col min="6" max="6" width="3.90625" customWidth="1"/>
    <col min="7" max="7" width="10.6328125" customWidth="1"/>
    <col min="8" max="8" width="11.26953125" customWidth="1"/>
    <col min="9" max="9" width="15.54296875" bestFit="1" customWidth="1"/>
    <col min="10" max="10" width="10.453125" customWidth="1"/>
    <col min="11" max="11" width="40.453125" customWidth="1"/>
  </cols>
  <sheetData>
    <row r="1" spans="1:12" ht="15" thickBot="1" x14ac:dyDescent="0.4">
      <c r="A1" s="74" t="s">
        <v>817</v>
      </c>
      <c r="B1" s="75"/>
      <c r="C1" s="75"/>
      <c r="D1" s="75"/>
      <c r="E1" s="76"/>
      <c r="F1" s="75" t="s">
        <v>818</v>
      </c>
      <c r="G1" s="75"/>
      <c r="H1" s="75"/>
      <c r="I1" s="75"/>
      <c r="J1" s="75"/>
      <c r="K1" s="76"/>
    </row>
    <row r="2" spans="1:12" x14ac:dyDescent="0.35">
      <c r="A2" s="80" t="s">
        <v>3</v>
      </c>
      <c r="B2" s="73" t="s">
        <v>4</v>
      </c>
      <c r="C2" s="73" t="s">
        <v>104</v>
      </c>
      <c r="D2" s="73" t="s">
        <v>293</v>
      </c>
      <c r="E2" s="81" t="s">
        <v>11</v>
      </c>
      <c r="F2" s="77" t="s">
        <v>3</v>
      </c>
      <c r="G2" s="73" t="s">
        <v>1</v>
      </c>
      <c r="H2" s="73" t="s">
        <v>4</v>
      </c>
      <c r="I2" s="73" t="s">
        <v>104</v>
      </c>
      <c r="J2" s="73" t="s">
        <v>106</v>
      </c>
      <c r="K2" s="73" t="s">
        <v>11</v>
      </c>
    </row>
    <row r="3" spans="1:12" x14ac:dyDescent="0.35">
      <c r="A3" s="82" t="s">
        <v>23</v>
      </c>
      <c r="B3" s="65">
        <v>45763</v>
      </c>
      <c r="C3" s="66">
        <v>256779411831</v>
      </c>
      <c r="D3" s="67">
        <v>23.6</v>
      </c>
      <c r="E3" s="83" t="s">
        <v>88</v>
      </c>
      <c r="F3" s="78" t="s">
        <v>109</v>
      </c>
      <c r="G3" s="64">
        <v>1900008140</v>
      </c>
      <c r="H3" s="65">
        <v>45702</v>
      </c>
      <c r="I3" s="66" t="s">
        <v>775</v>
      </c>
      <c r="J3" s="67">
        <v>-23.6</v>
      </c>
      <c r="K3" s="64" t="s">
        <v>135</v>
      </c>
      <c r="L3" s="48"/>
    </row>
    <row r="4" spans="1:12" x14ac:dyDescent="0.35">
      <c r="A4" s="82" t="s">
        <v>23</v>
      </c>
      <c r="B4" s="65">
        <v>45736</v>
      </c>
      <c r="C4" s="66">
        <v>246779414629</v>
      </c>
      <c r="D4" s="67">
        <v>23.6</v>
      </c>
      <c r="E4" s="83" t="s">
        <v>68</v>
      </c>
      <c r="F4" s="78" t="s">
        <v>109</v>
      </c>
      <c r="G4" s="64">
        <v>1900008127</v>
      </c>
      <c r="H4" s="65">
        <v>45702</v>
      </c>
      <c r="I4" s="66" t="s">
        <v>762</v>
      </c>
      <c r="J4" s="67">
        <v>-23.6</v>
      </c>
      <c r="K4" s="64" t="s">
        <v>122</v>
      </c>
      <c r="L4" s="48"/>
    </row>
    <row r="5" spans="1:12" x14ac:dyDescent="0.35">
      <c r="A5" s="82" t="s">
        <v>23</v>
      </c>
      <c r="B5" s="65">
        <v>45737</v>
      </c>
      <c r="C5" s="66">
        <v>246779414251</v>
      </c>
      <c r="D5" s="67">
        <v>28.32</v>
      </c>
      <c r="E5" s="83" t="s">
        <v>64</v>
      </c>
      <c r="F5" s="78" t="s">
        <v>109</v>
      </c>
      <c r="G5" s="64">
        <v>1900008134</v>
      </c>
      <c r="H5" s="65">
        <v>45702</v>
      </c>
      <c r="I5" s="66" t="s">
        <v>769</v>
      </c>
      <c r="J5" s="67">
        <v>-28.32</v>
      </c>
      <c r="K5" s="64" t="s">
        <v>129</v>
      </c>
      <c r="L5" s="48"/>
    </row>
    <row r="6" spans="1:12" x14ac:dyDescent="0.35">
      <c r="A6" s="82" t="s">
        <v>23</v>
      </c>
      <c r="B6" s="65">
        <v>45737</v>
      </c>
      <c r="C6" s="66">
        <v>246779414252</v>
      </c>
      <c r="D6" s="67">
        <v>70.8</v>
      </c>
      <c r="E6" s="83" t="s">
        <v>65</v>
      </c>
      <c r="F6" s="78" t="s">
        <v>109</v>
      </c>
      <c r="G6" s="64">
        <v>1900008133</v>
      </c>
      <c r="H6" s="65">
        <v>45702</v>
      </c>
      <c r="I6" s="66" t="s">
        <v>768</v>
      </c>
      <c r="J6" s="67">
        <v>-70.8</v>
      </c>
      <c r="K6" s="64" t="s">
        <v>128</v>
      </c>
      <c r="L6" s="48"/>
    </row>
    <row r="7" spans="1:12" x14ac:dyDescent="0.35">
      <c r="A7" s="82" t="s">
        <v>23</v>
      </c>
      <c r="B7" s="65">
        <v>45729</v>
      </c>
      <c r="C7" s="66">
        <v>246779411330</v>
      </c>
      <c r="D7" s="67">
        <v>85</v>
      </c>
      <c r="E7" s="83" t="s">
        <v>41</v>
      </c>
      <c r="F7" s="78" t="s">
        <v>109</v>
      </c>
      <c r="G7" s="64">
        <v>1900008142</v>
      </c>
      <c r="H7" s="65">
        <v>45702</v>
      </c>
      <c r="I7" s="66" t="s">
        <v>777</v>
      </c>
      <c r="J7" s="67">
        <v>-85</v>
      </c>
      <c r="K7" s="64" t="s">
        <v>137</v>
      </c>
      <c r="L7" s="48"/>
    </row>
    <row r="8" spans="1:12" x14ac:dyDescent="0.35">
      <c r="A8" s="82" t="s">
        <v>23</v>
      </c>
      <c r="B8" s="65">
        <v>45736</v>
      </c>
      <c r="C8" s="66">
        <v>246779414554</v>
      </c>
      <c r="D8" s="67">
        <v>94.4</v>
      </c>
      <c r="E8" s="83" t="s">
        <v>65</v>
      </c>
      <c r="F8" s="78" t="s">
        <v>109</v>
      </c>
      <c r="G8" s="64">
        <v>1900008136</v>
      </c>
      <c r="H8" s="65">
        <v>45702</v>
      </c>
      <c r="I8" s="66" t="s">
        <v>771</v>
      </c>
      <c r="J8" s="67">
        <v>-94.4</v>
      </c>
      <c r="K8" s="64" t="s">
        <v>131</v>
      </c>
      <c r="L8" s="48"/>
    </row>
    <row r="9" spans="1:12" x14ac:dyDescent="0.35">
      <c r="A9" s="82" t="s">
        <v>23</v>
      </c>
      <c r="B9" s="65">
        <v>45736</v>
      </c>
      <c r="C9" s="66">
        <v>246779414343</v>
      </c>
      <c r="D9" s="67">
        <v>118</v>
      </c>
      <c r="E9" s="83" t="s">
        <v>68</v>
      </c>
      <c r="F9" s="78" t="s">
        <v>109</v>
      </c>
      <c r="G9" s="64">
        <v>1900008125</v>
      </c>
      <c r="H9" s="65">
        <v>45702</v>
      </c>
      <c r="I9" s="66" t="s">
        <v>760</v>
      </c>
      <c r="J9" s="67">
        <v>-118</v>
      </c>
      <c r="K9" s="64" t="s">
        <v>120</v>
      </c>
      <c r="L9" s="48"/>
    </row>
    <row r="10" spans="1:12" x14ac:dyDescent="0.35">
      <c r="A10" s="82" t="s">
        <v>23</v>
      </c>
      <c r="B10" s="65">
        <v>45736</v>
      </c>
      <c r="C10" s="66">
        <v>246779414424</v>
      </c>
      <c r="D10" s="67">
        <v>118</v>
      </c>
      <c r="E10" s="83" t="s">
        <v>73</v>
      </c>
      <c r="F10" s="78" t="s">
        <v>109</v>
      </c>
      <c r="G10" s="64">
        <v>1900008144</v>
      </c>
      <c r="H10" s="65">
        <v>45702</v>
      </c>
      <c r="I10" s="66" t="s">
        <v>779</v>
      </c>
      <c r="J10" s="67">
        <v>-118</v>
      </c>
      <c r="K10" s="64" t="s">
        <v>139</v>
      </c>
      <c r="L10" s="48"/>
    </row>
    <row r="11" spans="1:12" x14ac:dyDescent="0.35">
      <c r="A11" s="82" t="s">
        <v>23</v>
      </c>
      <c r="B11" s="65">
        <v>45729</v>
      </c>
      <c r="C11" s="66">
        <v>246779411319</v>
      </c>
      <c r="D11" s="67">
        <v>120</v>
      </c>
      <c r="E11" s="83" t="s">
        <v>42</v>
      </c>
      <c r="F11" s="78" t="s">
        <v>109</v>
      </c>
      <c r="G11" s="64">
        <v>1900008129</v>
      </c>
      <c r="H11" s="65">
        <v>45702</v>
      </c>
      <c r="I11" s="66" t="s">
        <v>764</v>
      </c>
      <c r="J11" s="67">
        <v>-120</v>
      </c>
      <c r="K11" s="64" t="s">
        <v>124</v>
      </c>
      <c r="L11" s="48"/>
    </row>
    <row r="12" spans="1:12" x14ac:dyDescent="0.35">
      <c r="A12" s="82" t="s">
        <v>23</v>
      </c>
      <c r="B12" s="65">
        <v>45729</v>
      </c>
      <c r="C12" s="66">
        <v>246779411305</v>
      </c>
      <c r="D12" s="67">
        <v>135</v>
      </c>
      <c r="E12" s="83" t="s">
        <v>43</v>
      </c>
      <c r="F12" s="78" t="s">
        <v>109</v>
      </c>
      <c r="G12" s="64">
        <v>1900008124</v>
      </c>
      <c r="H12" s="65">
        <v>45702</v>
      </c>
      <c r="I12" s="66" t="s">
        <v>759</v>
      </c>
      <c r="J12" s="67">
        <v>-135</v>
      </c>
      <c r="K12" s="64" t="s">
        <v>119</v>
      </c>
      <c r="L12" s="48"/>
    </row>
    <row r="13" spans="1:12" x14ac:dyDescent="0.35">
      <c r="A13" s="82" t="s">
        <v>23</v>
      </c>
      <c r="B13" s="65">
        <v>45763</v>
      </c>
      <c r="C13" s="66">
        <v>256779411746</v>
      </c>
      <c r="D13" s="67">
        <v>141.6</v>
      </c>
      <c r="E13" s="83" t="s">
        <v>86</v>
      </c>
      <c r="F13" s="78" t="s">
        <v>109</v>
      </c>
      <c r="G13" s="64">
        <v>1900008130</v>
      </c>
      <c r="H13" s="65">
        <v>45702</v>
      </c>
      <c r="I13" s="66" t="s">
        <v>765</v>
      </c>
      <c r="J13" s="67">
        <v>-141.6</v>
      </c>
      <c r="K13" s="64" t="s">
        <v>125</v>
      </c>
      <c r="L13" s="48"/>
    </row>
    <row r="14" spans="1:12" x14ac:dyDescent="0.35">
      <c r="A14" s="82" t="s">
        <v>23</v>
      </c>
      <c r="B14" s="65">
        <v>45736</v>
      </c>
      <c r="C14" s="66">
        <v>246779414079</v>
      </c>
      <c r="D14" s="67">
        <v>169.92</v>
      </c>
      <c r="E14" s="83" t="s">
        <v>60</v>
      </c>
      <c r="F14" s="78" t="s">
        <v>109</v>
      </c>
      <c r="G14" s="64">
        <v>1900008117</v>
      </c>
      <c r="H14" s="65">
        <v>45702</v>
      </c>
      <c r="I14" s="66" t="s">
        <v>752</v>
      </c>
      <c r="J14" s="67">
        <v>-169.92</v>
      </c>
      <c r="K14" s="64" t="s">
        <v>112</v>
      </c>
      <c r="L14" s="48"/>
    </row>
    <row r="15" spans="1:12" x14ac:dyDescent="0.35">
      <c r="A15" s="82" t="s">
        <v>23</v>
      </c>
      <c r="B15" s="65">
        <v>45736</v>
      </c>
      <c r="C15" s="66">
        <v>246779414421</v>
      </c>
      <c r="D15" s="67">
        <v>169.92</v>
      </c>
      <c r="E15" s="83" t="s">
        <v>70</v>
      </c>
      <c r="F15" s="78" t="s">
        <v>109</v>
      </c>
      <c r="G15" s="64">
        <v>1900008139</v>
      </c>
      <c r="H15" s="65">
        <v>45702</v>
      </c>
      <c r="I15" s="66" t="s">
        <v>774</v>
      </c>
      <c r="J15" s="67">
        <v>-169.92</v>
      </c>
      <c r="K15" s="64" t="s">
        <v>134</v>
      </c>
      <c r="L15" s="48"/>
    </row>
    <row r="16" spans="1:12" x14ac:dyDescent="0.35">
      <c r="A16" s="82" t="s">
        <v>23</v>
      </c>
      <c r="B16" s="65">
        <v>45736</v>
      </c>
      <c r="C16" s="66">
        <v>246779414342</v>
      </c>
      <c r="D16" s="67">
        <v>198.24</v>
      </c>
      <c r="E16" s="83" t="s">
        <v>67</v>
      </c>
      <c r="F16" s="78" t="s">
        <v>109</v>
      </c>
      <c r="G16" s="64">
        <v>1900008138</v>
      </c>
      <c r="H16" s="65">
        <v>45702</v>
      </c>
      <c r="I16" s="66" t="s">
        <v>773</v>
      </c>
      <c r="J16" s="67">
        <v>-198.24</v>
      </c>
      <c r="K16" s="64" t="s">
        <v>133</v>
      </c>
      <c r="L16" s="48"/>
    </row>
    <row r="17" spans="1:12" x14ac:dyDescent="0.35">
      <c r="A17" s="82" t="s">
        <v>23</v>
      </c>
      <c r="B17" s="65">
        <v>45736</v>
      </c>
      <c r="C17" s="66">
        <v>246779414420</v>
      </c>
      <c r="D17" s="67">
        <v>212.4</v>
      </c>
      <c r="E17" s="83" t="s">
        <v>69</v>
      </c>
      <c r="F17" s="78" t="s">
        <v>109</v>
      </c>
      <c r="G17" s="64">
        <v>1900008147</v>
      </c>
      <c r="H17" s="65">
        <v>45702</v>
      </c>
      <c r="I17" s="66" t="s">
        <v>782</v>
      </c>
      <c r="J17" s="67">
        <v>-212.4</v>
      </c>
      <c r="K17" s="64" t="s">
        <v>142</v>
      </c>
      <c r="L17" s="48"/>
    </row>
    <row r="18" spans="1:12" x14ac:dyDescent="0.35">
      <c r="A18" s="82" t="s">
        <v>23</v>
      </c>
      <c r="B18" s="65">
        <v>45736</v>
      </c>
      <c r="C18" s="66">
        <v>246779414705</v>
      </c>
      <c r="D18" s="67">
        <v>218.93</v>
      </c>
      <c r="E18" s="83" t="s">
        <v>77</v>
      </c>
      <c r="F18" s="78" t="s">
        <v>109</v>
      </c>
      <c r="G18" s="64">
        <v>1900008149</v>
      </c>
      <c r="H18" s="65">
        <v>45702</v>
      </c>
      <c r="I18" s="66" t="s">
        <v>784</v>
      </c>
      <c r="J18" s="67">
        <v>-218.93</v>
      </c>
      <c r="K18" s="64" t="s">
        <v>144</v>
      </c>
      <c r="L18" s="48"/>
    </row>
    <row r="19" spans="1:12" x14ac:dyDescent="0.35">
      <c r="A19" s="82" t="s">
        <v>23</v>
      </c>
      <c r="B19" s="65">
        <v>45729</v>
      </c>
      <c r="C19" s="66">
        <v>246779411256</v>
      </c>
      <c r="D19" s="67">
        <v>220</v>
      </c>
      <c r="E19" s="83" t="s">
        <v>40</v>
      </c>
      <c r="F19" s="78" t="s">
        <v>109</v>
      </c>
      <c r="G19" s="64">
        <v>1900008122</v>
      </c>
      <c r="H19" s="65">
        <v>45702</v>
      </c>
      <c r="I19" s="66" t="s">
        <v>757</v>
      </c>
      <c r="J19" s="67">
        <v>-220</v>
      </c>
      <c r="K19" s="64" t="s">
        <v>117</v>
      </c>
      <c r="L19" s="48"/>
    </row>
    <row r="20" spans="1:12" x14ac:dyDescent="0.35">
      <c r="A20" s="82" t="s">
        <v>23</v>
      </c>
      <c r="B20" s="65">
        <v>45736</v>
      </c>
      <c r="C20" s="66">
        <v>246779413833</v>
      </c>
      <c r="D20" s="67">
        <v>346.96</v>
      </c>
      <c r="E20" s="83" t="s">
        <v>57</v>
      </c>
      <c r="F20" s="78" t="s">
        <v>109</v>
      </c>
      <c r="G20" s="64">
        <v>1900008151</v>
      </c>
      <c r="H20" s="65">
        <v>45702</v>
      </c>
      <c r="I20" s="66" t="s">
        <v>786</v>
      </c>
      <c r="J20" s="67">
        <v>-346.96</v>
      </c>
      <c r="K20" s="64" t="s">
        <v>146</v>
      </c>
      <c r="L20" s="48"/>
    </row>
    <row r="21" spans="1:12" x14ac:dyDescent="0.35">
      <c r="A21" s="82" t="s">
        <v>23</v>
      </c>
      <c r="B21" s="65">
        <v>45736</v>
      </c>
      <c r="C21" s="66">
        <v>246779414423</v>
      </c>
      <c r="D21" s="67">
        <v>420</v>
      </c>
      <c r="E21" s="83" t="s">
        <v>72</v>
      </c>
      <c r="F21" s="78" t="s">
        <v>109</v>
      </c>
      <c r="G21" s="64">
        <v>1900008145</v>
      </c>
      <c r="H21" s="65">
        <v>45702</v>
      </c>
      <c r="I21" s="66" t="s">
        <v>780</v>
      </c>
      <c r="J21" s="67">
        <v>-420</v>
      </c>
      <c r="K21" s="64" t="s">
        <v>140</v>
      </c>
      <c r="L21" s="48"/>
    </row>
    <row r="22" spans="1:12" x14ac:dyDescent="0.35">
      <c r="A22" s="82" t="s">
        <v>23</v>
      </c>
      <c r="B22" s="65">
        <v>45737</v>
      </c>
      <c r="C22" s="66">
        <v>246779414250</v>
      </c>
      <c r="D22" s="67">
        <v>459.91</v>
      </c>
      <c r="E22" s="83" t="s">
        <v>63</v>
      </c>
      <c r="F22" s="78" t="s">
        <v>109</v>
      </c>
      <c r="G22" s="64">
        <v>1900008135</v>
      </c>
      <c r="H22" s="65">
        <v>45702</v>
      </c>
      <c r="I22" s="66" t="s">
        <v>770</v>
      </c>
      <c r="J22" s="67">
        <v>-459.91</v>
      </c>
      <c r="K22" s="64" t="s">
        <v>130</v>
      </c>
      <c r="L22" s="48"/>
    </row>
    <row r="23" spans="1:12" x14ac:dyDescent="0.35">
      <c r="A23" s="82" t="s">
        <v>23</v>
      </c>
      <c r="B23" s="65">
        <v>45736</v>
      </c>
      <c r="C23" s="66">
        <v>246779414080</v>
      </c>
      <c r="D23" s="67">
        <v>519.20000000000005</v>
      </c>
      <c r="E23" s="83" t="s">
        <v>61</v>
      </c>
      <c r="F23" s="78" t="s">
        <v>109</v>
      </c>
      <c r="G23" s="64">
        <v>1900008123</v>
      </c>
      <c r="H23" s="65">
        <v>45702</v>
      </c>
      <c r="I23" s="66" t="s">
        <v>758</v>
      </c>
      <c r="J23" s="67">
        <v>-519.20000000000005</v>
      </c>
      <c r="K23" s="64" t="s">
        <v>118</v>
      </c>
      <c r="L23" s="48"/>
    </row>
    <row r="24" spans="1:12" x14ac:dyDescent="0.35">
      <c r="A24" s="82" t="s">
        <v>23</v>
      </c>
      <c r="B24" s="65">
        <v>45736</v>
      </c>
      <c r="C24" s="66">
        <v>246779414422</v>
      </c>
      <c r="D24" s="67">
        <v>520.44000000000005</v>
      </c>
      <c r="E24" s="83" t="s">
        <v>71</v>
      </c>
      <c r="F24" s="78" t="s">
        <v>109</v>
      </c>
      <c r="G24" s="64">
        <v>1900008143</v>
      </c>
      <c r="H24" s="65">
        <v>45702</v>
      </c>
      <c r="I24" s="66" t="s">
        <v>778</v>
      </c>
      <c r="J24" s="67">
        <v>-520.44000000000005</v>
      </c>
      <c r="K24" s="64" t="s">
        <v>138</v>
      </c>
      <c r="L24" s="48"/>
    </row>
    <row r="25" spans="1:12" x14ac:dyDescent="0.35">
      <c r="A25" s="82" t="s">
        <v>23</v>
      </c>
      <c r="B25" s="65">
        <v>45729</v>
      </c>
      <c r="C25" s="66">
        <v>246779411286</v>
      </c>
      <c r="D25" s="67">
        <v>670</v>
      </c>
      <c r="E25" s="83" t="s">
        <v>44</v>
      </c>
      <c r="F25" s="78" t="s">
        <v>109</v>
      </c>
      <c r="G25" s="64">
        <v>1900008132</v>
      </c>
      <c r="H25" s="65">
        <v>45702</v>
      </c>
      <c r="I25" s="66" t="s">
        <v>767</v>
      </c>
      <c r="J25" s="67">
        <v>-670</v>
      </c>
      <c r="K25" s="64" t="s">
        <v>127</v>
      </c>
      <c r="L25" s="48"/>
    </row>
    <row r="26" spans="1:12" x14ac:dyDescent="0.35">
      <c r="A26" s="82" t="s">
        <v>23</v>
      </c>
      <c r="B26" s="65">
        <v>45736</v>
      </c>
      <c r="C26" s="66">
        <v>246779414341</v>
      </c>
      <c r="D26" s="67">
        <v>761.12</v>
      </c>
      <c r="E26" s="83" t="s">
        <v>66</v>
      </c>
      <c r="F26" s="78" t="s">
        <v>109</v>
      </c>
      <c r="G26" s="64">
        <v>1900008126</v>
      </c>
      <c r="H26" s="65">
        <v>45702</v>
      </c>
      <c r="I26" s="66" t="s">
        <v>761</v>
      </c>
      <c r="J26" s="67">
        <v>-761.12</v>
      </c>
      <c r="K26" s="64" t="s">
        <v>121</v>
      </c>
      <c r="L26" s="48"/>
    </row>
    <row r="27" spans="1:12" x14ac:dyDescent="0.35">
      <c r="A27" s="82" t="s">
        <v>23</v>
      </c>
      <c r="B27" s="65">
        <v>45736</v>
      </c>
      <c r="C27" s="66">
        <v>246779414174</v>
      </c>
      <c r="D27" s="67">
        <v>976.39</v>
      </c>
      <c r="E27" s="83" t="s">
        <v>62</v>
      </c>
      <c r="F27" s="78" t="s">
        <v>109</v>
      </c>
      <c r="G27" s="64">
        <v>1900008167</v>
      </c>
      <c r="H27" s="65">
        <v>45702</v>
      </c>
      <c r="I27" s="66" t="s">
        <v>796</v>
      </c>
      <c r="J27" s="67">
        <v>-976.39</v>
      </c>
      <c r="K27" s="64" t="s">
        <v>156</v>
      </c>
      <c r="L27" s="48"/>
    </row>
    <row r="28" spans="1:12" x14ac:dyDescent="0.35">
      <c r="A28" s="82" t="s">
        <v>23</v>
      </c>
      <c r="B28" s="65">
        <v>45763</v>
      </c>
      <c r="C28" s="66">
        <v>256779411744</v>
      </c>
      <c r="D28" s="67">
        <v>1015.85</v>
      </c>
      <c r="E28" s="83" t="s">
        <v>84</v>
      </c>
      <c r="F28" s="78" t="s">
        <v>109</v>
      </c>
      <c r="G28" s="64">
        <v>1900008163</v>
      </c>
      <c r="H28" s="65">
        <v>45702</v>
      </c>
      <c r="I28" s="66" t="s">
        <v>792</v>
      </c>
      <c r="J28" s="67">
        <v>-1015.85</v>
      </c>
      <c r="K28" s="64" t="s">
        <v>152</v>
      </c>
      <c r="L28" s="48"/>
    </row>
    <row r="29" spans="1:12" x14ac:dyDescent="0.35">
      <c r="A29" s="82" t="s">
        <v>23</v>
      </c>
      <c r="B29" s="65">
        <v>45763</v>
      </c>
      <c r="C29" s="66">
        <v>256779411830</v>
      </c>
      <c r="D29" s="67">
        <v>1362.36</v>
      </c>
      <c r="E29" s="83" t="s">
        <v>87</v>
      </c>
      <c r="F29" s="78" t="s">
        <v>109</v>
      </c>
      <c r="G29" s="64">
        <v>1900008162</v>
      </c>
      <c r="H29" s="65">
        <v>45702</v>
      </c>
      <c r="I29" s="66" t="s">
        <v>791</v>
      </c>
      <c r="J29" s="67">
        <v>-1362.36</v>
      </c>
      <c r="K29" s="64" t="s">
        <v>151</v>
      </c>
      <c r="L29" s="48"/>
    </row>
    <row r="30" spans="1:12" x14ac:dyDescent="0.35">
      <c r="A30" s="82" t="s">
        <v>23</v>
      </c>
      <c r="B30" s="65">
        <v>45736</v>
      </c>
      <c r="C30" s="66">
        <v>246779414555</v>
      </c>
      <c r="D30" s="67">
        <v>1548.45</v>
      </c>
      <c r="E30" s="83" t="s">
        <v>74</v>
      </c>
      <c r="F30" s="78" t="s">
        <v>109</v>
      </c>
      <c r="G30" s="64">
        <v>1900008164</v>
      </c>
      <c r="H30" s="65">
        <v>45702</v>
      </c>
      <c r="I30" s="66" t="s">
        <v>793</v>
      </c>
      <c r="J30" s="67">
        <v>-1548.45</v>
      </c>
      <c r="K30" s="64" t="s">
        <v>153</v>
      </c>
      <c r="L30" s="48"/>
    </row>
    <row r="31" spans="1:12" x14ac:dyDescent="0.35">
      <c r="A31" s="82" t="s">
        <v>23</v>
      </c>
      <c r="B31" s="65">
        <v>45736</v>
      </c>
      <c r="C31" s="66">
        <v>246779414628</v>
      </c>
      <c r="D31" s="67">
        <v>1838.27</v>
      </c>
      <c r="E31" s="83" t="s">
        <v>75</v>
      </c>
      <c r="F31" s="78" t="s">
        <v>109</v>
      </c>
      <c r="G31" s="64">
        <v>1900008166</v>
      </c>
      <c r="H31" s="65">
        <v>45702</v>
      </c>
      <c r="I31" s="66" t="s">
        <v>795</v>
      </c>
      <c r="J31" s="67">
        <v>-1838.27</v>
      </c>
      <c r="K31" s="64" t="s">
        <v>155</v>
      </c>
      <c r="L31" s="48"/>
    </row>
    <row r="32" spans="1:12" x14ac:dyDescent="0.35">
      <c r="A32" s="82" t="s">
        <v>23</v>
      </c>
      <c r="B32" s="65">
        <v>45736</v>
      </c>
      <c r="C32" s="66">
        <v>246779414078</v>
      </c>
      <c r="D32" s="67">
        <v>3021.49</v>
      </c>
      <c r="E32" s="83" t="s">
        <v>59</v>
      </c>
      <c r="F32" s="78" t="s">
        <v>109</v>
      </c>
      <c r="G32" s="64">
        <v>1900008158</v>
      </c>
      <c r="H32" s="65">
        <v>45702</v>
      </c>
      <c r="I32" s="66" t="s">
        <v>787</v>
      </c>
      <c r="J32" s="67">
        <v>-3021.49</v>
      </c>
      <c r="K32" s="64" t="s">
        <v>147</v>
      </c>
      <c r="L32" s="48"/>
    </row>
    <row r="33" spans="1:12" x14ac:dyDescent="0.35">
      <c r="A33" s="82" t="s">
        <v>23</v>
      </c>
      <c r="B33" s="65">
        <v>45751</v>
      </c>
      <c r="C33" s="66">
        <v>256779410600</v>
      </c>
      <c r="D33" s="67">
        <v>15887.63</v>
      </c>
      <c r="E33" s="83" t="s">
        <v>79</v>
      </c>
      <c r="F33" s="78" t="s">
        <v>157</v>
      </c>
      <c r="G33" s="64">
        <v>5100012792</v>
      </c>
      <c r="H33" s="65">
        <v>45702</v>
      </c>
      <c r="I33" s="66" t="s">
        <v>797</v>
      </c>
      <c r="J33" s="67">
        <v>-15887.63</v>
      </c>
      <c r="K33" s="64" t="s">
        <v>158</v>
      </c>
      <c r="L33" s="48"/>
    </row>
    <row r="34" spans="1:12" x14ac:dyDescent="0.35">
      <c r="A34" s="82" t="s">
        <v>23</v>
      </c>
      <c r="B34" s="65">
        <v>45768</v>
      </c>
      <c r="C34" s="66">
        <v>256779412380</v>
      </c>
      <c r="D34" s="67">
        <v>16559.87</v>
      </c>
      <c r="E34" s="83" t="s">
        <v>91</v>
      </c>
      <c r="F34" s="78" t="s">
        <v>157</v>
      </c>
      <c r="G34" s="64">
        <v>5100012797</v>
      </c>
      <c r="H34" s="65">
        <v>45702</v>
      </c>
      <c r="I34" s="66" t="s">
        <v>802</v>
      </c>
      <c r="J34" s="67">
        <v>-16559.87</v>
      </c>
      <c r="K34" s="64" t="s">
        <v>163</v>
      </c>
      <c r="L34" s="48"/>
    </row>
    <row r="35" spans="1:12" x14ac:dyDescent="0.35">
      <c r="A35" s="82" t="s">
        <v>23</v>
      </c>
      <c r="B35" s="65">
        <v>45734</v>
      </c>
      <c r="C35" s="66">
        <v>246779412406</v>
      </c>
      <c r="D35" s="67">
        <v>19515.21</v>
      </c>
      <c r="E35" s="83" t="s">
        <v>50</v>
      </c>
      <c r="F35" s="78" t="s">
        <v>157</v>
      </c>
      <c r="G35" s="64">
        <v>5100012796</v>
      </c>
      <c r="H35" s="65">
        <v>45702</v>
      </c>
      <c r="I35" s="66" t="s">
        <v>801</v>
      </c>
      <c r="J35" s="67">
        <v>-19515.21</v>
      </c>
      <c r="K35" s="64" t="s">
        <v>162</v>
      </c>
      <c r="L35" s="48"/>
    </row>
    <row r="36" spans="1:12" x14ac:dyDescent="0.35">
      <c r="A36" s="82" t="s">
        <v>23</v>
      </c>
      <c r="B36" s="65">
        <v>45768</v>
      </c>
      <c r="C36" s="66">
        <v>256779412191</v>
      </c>
      <c r="D36" s="67">
        <v>19567.14</v>
      </c>
      <c r="E36" s="83" t="s">
        <v>90</v>
      </c>
      <c r="F36" s="78" t="s">
        <v>157</v>
      </c>
      <c r="G36" s="64">
        <v>5100012793</v>
      </c>
      <c r="H36" s="65">
        <v>45702</v>
      </c>
      <c r="I36" s="66" t="s">
        <v>798</v>
      </c>
      <c r="J36" s="67">
        <v>-19671.64</v>
      </c>
      <c r="K36" s="64" t="s">
        <v>159</v>
      </c>
      <c r="L36" s="48"/>
    </row>
    <row r="37" spans="1:12" x14ac:dyDescent="0.35">
      <c r="A37" s="82" t="s">
        <v>23</v>
      </c>
      <c r="B37" s="65">
        <v>45768</v>
      </c>
      <c r="C37" s="66">
        <v>256779412350</v>
      </c>
      <c r="D37" s="67">
        <v>22667.75</v>
      </c>
      <c r="E37" s="83" t="s">
        <v>50</v>
      </c>
      <c r="F37" s="78" t="s">
        <v>157</v>
      </c>
      <c r="G37" s="64">
        <v>5100012794</v>
      </c>
      <c r="H37" s="65">
        <v>45702</v>
      </c>
      <c r="I37" s="66" t="s">
        <v>799</v>
      </c>
      <c r="J37" s="67">
        <v>-22667.75</v>
      </c>
      <c r="K37" s="64" t="s">
        <v>160</v>
      </c>
      <c r="L37" s="48"/>
    </row>
    <row r="38" spans="1:12" x14ac:dyDescent="0.35">
      <c r="A38" s="82" t="s">
        <v>23</v>
      </c>
      <c r="B38" s="65">
        <v>45734</v>
      </c>
      <c r="C38" s="66">
        <v>246779412401</v>
      </c>
      <c r="D38" s="67">
        <v>23761.19</v>
      </c>
      <c r="E38" s="83" t="s">
        <v>49</v>
      </c>
      <c r="F38" s="78" t="s">
        <v>157</v>
      </c>
      <c r="G38" s="64">
        <v>5100012795</v>
      </c>
      <c r="H38" s="65">
        <v>45702</v>
      </c>
      <c r="I38" s="66" t="s">
        <v>800</v>
      </c>
      <c r="J38" s="67">
        <v>-23761.19</v>
      </c>
      <c r="K38" s="64" t="s">
        <v>161</v>
      </c>
      <c r="L38" s="48"/>
    </row>
    <row r="39" spans="1:12" ht="15" thickBot="1" x14ac:dyDescent="0.4">
      <c r="A39" s="84" t="s">
        <v>23</v>
      </c>
      <c r="B39" s="85">
        <v>45736</v>
      </c>
      <c r="C39" s="86">
        <v>246779413820</v>
      </c>
      <c r="D39" s="87">
        <v>354</v>
      </c>
      <c r="E39" s="88" t="s">
        <v>56</v>
      </c>
      <c r="F39" s="79" t="s">
        <v>109</v>
      </c>
      <c r="G39" s="12"/>
      <c r="H39" s="13">
        <v>45702</v>
      </c>
      <c r="I39" s="42" t="s">
        <v>751</v>
      </c>
      <c r="J39" s="14">
        <v>-200</v>
      </c>
      <c r="K39" s="12" t="s">
        <v>111</v>
      </c>
    </row>
  </sheetData>
  <conditionalFormatting sqref="C2">
    <cfRule type="duplicateValues" dxfId="3" priority="2"/>
  </conditionalFormatting>
  <conditionalFormatting sqref="C39">
    <cfRule type="duplicateValues" dxfId="2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529C-BE23-4CD5-91E7-AF2832825B56}">
  <dimension ref="A1:M18"/>
  <sheetViews>
    <sheetView zoomScaleNormal="100" workbookViewId="0">
      <selection activeCell="L22" sqref="L22"/>
    </sheetView>
  </sheetViews>
  <sheetFormatPr defaultRowHeight="14.5" x14ac:dyDescent="0.35"/>
  <cols>
    <col min="1" max="1" width="16.81640625" style="72" bestFit="1" customWidth="1"/>
    <col min="2" max="2" width="9.1796875" style="72" bestFit="1" customWidth="1"/>
    <col min="3" max="3" width="13.90625" style="72" bestFit="1" customWidth="1"/>
    <col min="4" max="4" width="14.08984375" style="112" bestFit="1" customWidth="1"/>
    <col min="5" max="5" width="14.26953125" style="72" hidden="1" customWidth="1"/>
    <col min="6" max="6" width="13.26953125" style="72" hidden="1" customWidth="1"/>
    <col min="7" max="7" width="8.26953125" style="72" hidden="1" customWidth="1"/>
    <col min="8" max="8" width="12.08984375" style="113" hidden="1" customWidth="1"/>
    <col min="9" max="9" width="17" style="72" hidden="1" customWidth="1"/>
    <col min="10" max="10" width="14.08984375" style="114" bestFit="1" customWidth="1"/>
    <col min="11" max="11" width="22.08984375" style="115" customWidth="1"/>
    <col min="12" max="12" width="10.26953125" style="113" customWidth="1"/>
    <col min="13" max="13" width="27.453125" style="72" bestFit="1" customWidth="1"/>
    <col min="14" max="16384" width="8.7265625" style="72"/>
  </cols>
  <sheetData>
    <row r="1" spans="1:13" s="122" customFormat="1" x14ac:dyDescent="0.35">
      <c r="A1" s="153" t="s">
        <v>838</v>
      </c>
      <c r="B1" s="154"/>
      <c r="C1" s="154"/>
      <c r="D1" s="155"/>
      <c r="E1" s="150" t="s">
        <v>835</v>
      </c>
      <c r="F1" s="151"/>
      <c r="G1" s="151"/>
      <c r="H1" s="151"/>
      <c r="I1" s="152"/>
      <c r="J1" s="156" t="s">
        <v>836</v>
      </c>
      <c r="K1" s="156"/>
      <c r="L1" s="133"/>
      <c r="M1" s="134"/>
    </row>
    <row r="2" spans="1:13" s="122" customFormat="1" ht="29" x14ac:dyDescent="0.35">
      <c r="A2" s="123" t="s">
        <v>4</v>
      </c>
      <c r="B2" s="124" t="s">
        <v>104</v>
      </c>
      <c r="C2" s="125" t="s">
        <v>105</v>
      </c>
      <c r="D2" s="126" t="s">
        <v>106</v>
      </c>
      <c r="E2" s="127" t="s">
        <v>829</v>
      </c>
      <c r="F2" s="128" t="s">
        <v>830</v>
      </c>
      <c r="G2" s="128" t="s">
        <v>831</v>
      </c>
      <c r="H2" s="129" t="s">
        <v>832</v>
      </c>
      <c r="I2" s="130" t="s">
        <v>833</v>
      </c>
      <c r="J2" s="131" t="s">
        <v>837</v>
      </c>
      <c r="K2" s="132" t="s">
        <v>703</v>
      </c>
      <c r="L2" s="133" t="s">
        <v>707</v>
      </c>
      <c r="M2" s="134" t="s">
        <v>827</v>
      </c>
    </row>
    <row r="3" spans="1:13" x14ac:dyDescent="0.35">
      <c r="A3" s="101">
        <v>45751</v>
      </c>
      <c r="B3" s="99" t="s">
        <v>815</v>
      </c>
      <c r="C3" s="99" t="s">
        <v>110</v>
      </c>
      <c r="D3" s="102">
        <v>123978.28</v>
      </c>
      <c r="E3" s="109">
        <v>100222426</v>
      </c>
      <c r="F3" s="110">
        <v>45751</v>
      </c>
      <c r="G3" s="107" t="s">
        <v>110</v>
      </c>
      <c r="H3" s="108">
        <v>123953.28</v>
      </c>
      <c r="I3" s="118">
        <v>2025040300577960</v>
      </c>
      <c r="J3" s="96"/>
      <c r="K3" s="97">
        <v>-123953.28</v>
      </c>
      <c r="L3" s="135">
        <f>K3+D3</f>
        <v>25</v>
      </c>
      <c r="M3" s="136" t="s">
        <v>840</v>
      </c>
    </row>
    <row r="4" spans="1:13" x14ac:dyDescent="0.35">
      <c r="A4" s="101">
        <v>46097</v>
      </c>
      <c r="B4" s="100" t="s">
        <v>815</v>
      </c>
      <c r="C4" s="99" t="s">
        <v>110</v>
      </c>
      <c r="D4" s="102">
        <v>44872.17</v>
      </c>
      <c r="E4" s="109">
        <v>100222426</v>
      </c>
      <c r="F4" s="110">
        <v>46097</v>
      </c>
      <c r="G4" s="107" t="s">
        <v>110</v>
      </c>
      <c r="H4" s="108">
        <v>44847.17</v>
      </c>
      <c r="I4" s="119" t="s">
        <v>834</v>
      </c>
      <c r="J4" s="96"/>
      <c r="K4" s="97"/>
      <c r="L4" s="135">
        <f t="shared" ref="L4:L13" si="0">K4+D4</f>
        <v>44872.17</v>
      </c>
      <c r="M4" s="136" t="s">
        <v>839</v>
      </c>
    </row>
    <row r="5" spans="1:13" x14ac:dyDescent="0.35">
      <c r="A5" s="101">
        <v>46015</v>
      </c>
      <c r="B5" s="100" t="s">
        <v>815</v>
      </c>
      <c r="C5" s="99" t="s">
        <v>110</v>
      </c>
      <c r="D5" s="102">
        <v>37332.980000000003</v>
      </c>
      <c r="E5" s="109">
        <v>100222426</v>
      </c>
      <c r="F5" s="111">
        <v>46015</v>
      </c>
      <c r="G5" s="107" t="s">
        <v>110</v>
      </c>
      <c r="H5" s="108">
        <v>37307.980000000003</v>
      </c>
      <c r="I5" s="119" t="s">
        <v>491</v>
      </c>
      <c r="J5" s="98">
        <v>1400002336</v>
      </c>
      <c r="K5" s="97">
        <v>-37332.980000000003</v>
      </c>
      <c r="L5" s="135">
        <f t="shared" si="0"/>
        <v>0</v>
      </c>
      <c r="M5" s="136"/>
    </row>
    <row r="6" spans="1:13" x14ac:dyDescent="0.35">
      <c r="A6" s="101">
        <v>45884</v>
      </c>
      <c r="B6" s="100" t="s">
        <v>815</v>
      </c>
      <c r="C6" s="99" t="s">
        <v>110</v>
      </c>
      <c r="D6" s="102">
        <v>34635.14</v>
      </c>
      <c r="E6" s="109">
        <v>100222426</v>
      </c>
      <c r="F6" s="110">
        <v>45887</v>
      </c>
      <c r="G6" s="107" t="s">
        <v>110</v>
      </c>
      <c r="H6" s="108">
        <v>34610.14</v>
      </c>
      <c r="I6" s="118">
        <v>2025081400574580</v>
      </c>
      <c r="J6" s="98">
        <v>1400002466</v>
      </c>
      <c r="K6" s="97">
        <v>-34635.14</v>
      </c>
      <c r="L6" s="135">
        <f t="shared" si="0"/>
        <v>0</v>
      </c>
      <c r="M6" s="136"/>
    </row>
    <row r="7" spans="1:13" x14ac:dyDescent="0.35">
      <c r="A7" s="101">
        <v>45925</v>
      </c>
      <c r="B7" s="100" t="s">
        <v>815</v>
      </c>
      <c r="C7" s="99" t="s">
        <v>110</v>
      </c>
      <c r="D7" s="102">
        <v>29536.15</v>
      </c>
      <c r="E7" s="109">
        <v>100222426</v>
      </c>
      <c r="F7" s="110">
        <v>45925</v>
      </c>
      <c r="G7" s="107" t="s">
        <v>110</v>
      </c>
      <c r="H7" s="108">
        <v>29511.15</v>
      </c>
      <c r="I7" s="118">
        <v>2025092400555090</v>
      </c>
      <c r="J7" s="98">
        <v>1400002445</v>
      </c>
      <c r="K7" s="97">
        <v>-29535.85</v>
      </c>
      <c r="L7" s="135">
        <f t="shared" si="0"/>
        <v>0.30000000000291038</v>
      </c>
      <c r="M7" s="136"/>
    </row>
    <row r="8" spans="1:13" x14ac:dyDescent="0.35">
      <c r="A8" s="101">
        <v>45975</v>
      </c>
      <c r="B8" s="100" t="s">
        <v>815</v>
      </c>
      <c r="C8" s="99" t="s">
        <v>110</v>
      </c>
      <c r="D8" s="102">
        <v>22973.48</v>
      </c>
      <c r="E8" s="109">
        <v>100222426</v>
      </c>
      <c r="F8" s="110">
        <v>45975</v>
      </c>
      <c r="G8" s="107" t="s">
        <v>110</v>
      </c>
      <c r="H8" s="108">
        <v>22948.48</v>
      </c>
      <c r="I8" s="120">
        <v>2025111300614060</v>
      </c>
      <c r="J8" s="98">
        <v>1400002448</v>
      </c>
      <c r="K8" s="97">
        <v>-22973.48</v>
      </c>
      <c r="L8" s="135">
        <f t="shared" si="0"/>
        <v>0</v>
      </c>
      <c r="M8" s="136"/>
    </row>
    <row r="9" spans="1:13" x14ac:dyDescent="0.35">
      <c r="A9" s="101">
        <v>45833</v>
      </c>
      <c r="B9" s="100" t="s">
        <v>815</v>
      </c>
      <c r="C9" s="99" t="s">
        <v>110</v>
      </c>
      <c r="D9" s="102">
        <v>19783.53</v>
      </c>
      <c r="E9" s="109">
        <v>100222426</v>
      </c>
      <c r="F9" s="110">
        <v>45833</v>
      </c>
      <c r="G9" s="107" t="s">
        <v>110</v>
      </c>
      <c r="H9" s="108">
        <v>19758.53</v>
      </c>
      <c r="I9" s="118">
        <v>2025062400636240</v>
      </c>
      <c r="J9" s="98">
        <v>1400000284</v>
      </c>
      <c r="K9" s="97">
        <v>-19783.53</v>
      </c>
      <c r="L9" s="135">
        <f t="shared" si="0"/>
        <v>0</v>
      </c>
      <c r="M9" s="136"/>
    </row>
    <row r="10" spans="1:13" x14ac:dyDescent="0.35">
      <c r="A10" s="101">
        <v>45824</v>
      </c>
      <c r="B10" s="100" t="s">
        <v>815</v>
      </c>
      <c r="C10" s="99" t="s">
        <v>110</v>
      </c>
      <c r="D10" s="102">
        <v>19172.47</v>
      </c>
      <c r="E10" s="109">
        <v>100222426</v>
      </c>
      <c r="F10" s="110">
        <v>45824</v>
      </c>
      <c r="G10" s="107" t="s">
        <v>110</v>
      </c>
      <c r="H10" s="108">
        <v>19147.47</v>
      </c>
      <c r="I10" s="118">
        <v>2025061600109200</v>
      </c>
      <c r="J10" s="98">
        <v>1400002443</v>
      </c>
      <c r="K10" s="97">
        <v>-19172.47</v>
      </c>
      <c r="L10" s="135">
        <f t="shared" si="0"/>
        <v>0</v>
      </c>
      <c r="M10" s="136"/>
    </row>
    <row r="11" spans="1:13" x14ac:dyDescent="0.35">
      <c r="A11" s="101">
        <v>45945</v>
      </c>
      <c r="B11" s="100" t="s">
        <v>815</v>
      </c>
      <c r="C11" s="99" t="s">
        <v>110</v>
      </c>
      <c r="D11" s="102">
        <v>8309.99</v>
      </c>
      <c r="E11" s="109">
        <v>100222426</v>
      </c>
      <c r="F11" s="110">
        <v>45945</v>
      </c>
      <c r="G11" s="107" t="s">
        <v>110</v>
      </c>
      <c r="H11" s="108">
        <v>8284.99</v>
      </c>
      <c r="I11" s="120">
        <v>2025101400947840</v>
      </c>
      <c r="J11" s="98">
        <v>1400002446</v>
      </c>
      <c r="K11" s="97">
        <v>-8309.99</v>
      </c>
      <c r="L11" s="135">
        <f t="shared" si="0"/>
        <v>0</v>
      </c>
      <c r="M11" s="136"/>
    </row>
    <row r="12" spans="1:13" x14ac:dyDescent="0.35">
      <c r="A12" s="101">
        <v>45915</v>
      </c>
      <c r="B12" s="100" t="s">
        <v>815</v>
      </c>
      <c r="C12" s="99" t="s">
        <v>110</v>
      </c>
      <c r="D12" s="102">
        <v>6750.14</v>
      </c>
      <c r="E12" s="109">
        <v>100222426</v>
      </c>
      <c r="F12" s="110">
        <v>45915</v>
      </c>
      <c r="G12" s="107" t="s">
        <v>110</v>
      </c>
      <c r="H12" s="108">
        <v>6725.14</v>
      </c>
      <c r="I12" s="118">
        <v>2025091500128550</v>
      </c>
      <c r="J12" s="98">
        <v>1400002444</v>
      </c>
      <c r="K12" s="97">
        <v>-6750.14</v>
      </c>
      <c r="L12" s="135">
        <f t="shared" si="0"/>
        <v>0</v>
      </c>
      <c r="M12" s="136"/>
    </row>
    <row r="13" spans="1:13" ht="15" thickBot="1" x14ac:dyDescent="0.4">
      <c r="A13" s="103">
        <v>45954</v>
      </c>
      <c r="B13" s="104" t="s">
        <v>815</v>
      </c>
      <c r="C13" s="105" t="s">
        <v>110</v>
      </c>
      <c r="D13" s="106">
        <v>79.94</v>
      </c>
      <c r="E13" s="109">
        <v>100222426</v>
      </c>
      <c r="F13" s="110">
        <v>45954</v>
      </c>
      <c r="G13" s="107" t="s">
        <v>110</v>
      </c>
      <c r="H13" s="108">
        <v>79.94</v>
      </c>
      <c r="I13" s="120">
        <v>2025102300615360</v>
      </c>
      <c r="J13" s="98">
        <v>1400002447</v>
      </c>
      <c r="K13" s="97">
        <v>-79.94</v>
      </c>
      <c r="L13" s="135">
        <f t="shared" si="0"/>
        <v>0</v>
      </c>
      <c r="M13" s="136"/>
    </row>
    <row r="14" spans="1:13" x14ac:dyDescent="0.35">
      <c r="J14" s="121"/>
      <c r="L14" s="113">
        <f>SUM(L3:L13)</f>
        <v>44897.47</v>
      </c>
    </row>
    <row r="15" spans="1:13" x14ac:dyDescent="0.35">
      <c r="E15" s="114"/>
      <c r="F15" s="114"/>
      <c r="G15" s="114"/>
      <c r="H15" s="115"/>
      <c r="I15" s="114"/>
    </row>
    <row r="17" spans="1:6" x14ac:dyDescent="0.35">
      <c r="A17" s="116"/>
      <c r="B17" s="116"/>
      <c r="C17" s="114"/>
      <c r="D17" s="117"/>
      <c r="E17" s="114"/>
      <c r="F17" s="116"/>
    </row>
    <row r="18" spans="1:6" x14ac:dyDescent="0.35">
      <c r="A18" s="114"/>
      <c r="B18" s="114"/>
      <c r="C18" s="114"/>
      <c r="D18" s="117"/>
      <c r="E18" s="114"/>
      <c r="F18" s="114"/>
    </row>
  </sheetData>
  <autoFilter ref="A2:D13" xr:uid="{95D0529C-BE23-4CD5-91E7-AF2832825B56}">
    <sortState xmlns:xlrd2="http://schemas.microsoft.com/office/spreadsheetml/2017/richdata2" ref="A3:D13">
      <sortCondition descending="1" ref="D2:D13"/>
    </sortState>
  </autoFilter>
  <mergeCells count="3">
    <mergeCell ref="E1:I1"/>
    <mergeCell ref="A1:D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1A1F-FA70-4719-9386-6F2F9B08D8B3}">
  <dimension ref="A3:G30"/>
  <sheetViews>
    <sheetView tabSelected="1" topLeftCell="A3" workbookViewId="0">
      <selection activeCell="A29" sqref="A4:A29"/>
    </sheetView>
  </sheetViews>
  <sheetFormatPr defaultRowHeight="14.5" x14ac:dyDescent="0.35"/>
  <cols>
    <col min="1" max="1" width="16.81640625" bestFit="1" customWidth="1"/>
    <col min="2" max="2" width="9.453125" bestFit="1" customWidth="1"/>
    <col min="3" max="3" width="13.90625" bestFit="1" customWidth="1"/>
    <col min="4" max="4" width="12.90625" bestFit="1" customWidth="1"/>
    <col min="5" max="5" width="9.453125" bestFit="1" customWidth="1"/>
    <col min="6" max="6" width="9.7265625" bestFit="1" customWidth="1"/>
    <col min="7" max="7" width="45.36328125" bestFit="1" customWidth="1"/>
  </cols>
  <sheetData>
    <row r="3" spans="1:7" ht="43.5" x14ac:dyDescent="0.35">
      <c r="A3" s="1" t="s">
        <v>1</v>
      </c>
      <c r="B3" s="2" t="s">
        <v>3</v>
      </c>
      <c r="C3" s="1" t="s">
        <v>4</v>
      </c>
      <c r="D3" s="1" t="s">
        <v>104</v>
      </c>
      <c r="E3" s="2" t="s">
        <v>292</v>
      </c>
      <c r="F3" s="2" t="s">
        <v>293</v>
      </c>
      <c r="G3" s="1" t="s">
        <v>11</v>
      </c>
    </row>
    <row r="4" spans="1:7" x14ac:dyDescent="0.35">
      <c r="A4" s="145">
        <v>1800012797</v>
      </c>
      <c r="B4" s="12" t="s">
        <v>23</v>
      </c>
      <c r="C4" s="13">
        <v>45920</v>
      </c>
      <c r="D4" s="42">
        <v>256779417478</v>
      </c>
      <c r="E4" s="12" t="s">
        <v>110</v>
      </c>
      <c r="F4" s="90">
        <v>1002.2</v>
      </c>
      <c r="G4" s="12" t="s">
        <v>24</v>
      </c>
    </row>
    <row r="5" spans="1:7" x14ac:dyDescent="0.35">
      <c r="A5" s="145">
        <v>1800003244</v>
      </c>
      <c r="B5" s="12" t="s">
        <v>23</v>
      </c>
      <c r="C5" s="13">
        <v>45735</v>
      </c>
      <c r="D5" s="42">
        <v>246779413111</v>
      </c>
      <c r="E5" s="12" t="s">
        <v>110</v>
      </c>
      <c r="F5" s="90">
        <v>13.77</v>
      </c>
      <c r="G5" s="12" t="s">
        <v>53</v>
      </c>
    </row>
    <row r="6" spans="1:7" x14ac:dyDescent="0.35">
      <c r="A6" s="145">
        <v>1800006828</v>
      </c>
      <c r="B6" s="12" t="s">
        <v>23</v>
      </c>
      <c r="C6" s="13">
        <v>45763</v>
      </c>
      <c r="D6" s="42">
        <v>256779411719</v>
      </c>
      <c r="E6" s="12" t="s">
        <v>110</v>
      </c>
      <c r="F6" s="90">
        <v>488.03</v>
      </c>
      <c r="G6" s="12" t="s">
        <v>83</v>
      </c>
    </row>
    <row r="7" spans="1:7" x14ac:dyDescent="0.35">
      <c r="A7" s="145">
        <v>1800003944</v>
      </c>
      <c r="B7" s="12" t="s">
        <v>23</v>
      </c>
      <c r="C7" s="13">
        <v>45736</v>
      </c>
      <c r="D7" s="42">
        <v>246779413973</v>
      </c>
      <c r="E7" s="12" t="s">
        <v>110</v>
      </c>
      <c r="F7" s="90">
        <v>123.56</v>
      </c>
      <c r="G7" s="12" t="s">
        <v>55</v>
      </c>
    </row>
    <row r="8" spans="1:7" x14ac:dyDescent="0.35">
      <c r="A8" s="145">
        <v>1800016238</v>
      </c>
      <c r="B8" s="12" t="s">
        <v>23</v>
      </c>
      <c r="C8" s="13">
        <v>46028</v>
      </c>
      <c r="D8" s="42">
        <v>256779450410</v>
      </c>
      <c r="E8" s="12" t="s">
        <v>110</v>
      </c>
      <c r="F8" s="90">
        <v>833.03</v>
      </c>
      <c r="G8" s="12" t="s">
        <v>95</v>
      </c>
    </row>
    <row r="9" spans="1:7" x14ac:dyDescent="0.35">
      <c r="A9" s="145">
        <v>1800003245</v>
      </c>
      <c r="B9" s="12" t="s">
        <v>23</v>
      </c>
      <c r="C9" s="13">
        <v>45735</v>
      </c>
      <c r="D9" s="42">
        <v>246779413112</v>
      </c>
      <c r="E9" s="12" t="s">
        <v>110</v>
      </c>
      <c r="F9" s="90">
        <v>13.77</v>
      </c>
      <c r="G9" s="12" t="s">
        <v>54</v>
      </c>
    </row>
    <row r="10" spans="1:7" x14ac:dyDescent="0.35">
      <c r="A10" s="145">
        <v>1800006854</v>
      </c>
      <c r="B10" s="12" t="s">
        <v>23</v>
      </c>
      <c r="C10" s="13">
        <v>45763</v>
      </c>
      <c r="D10" s="42">
        <v>256779411745</v>
      </c>
      <c r="E10" s="12" t="s">
        <v>110</v>
      </c>
      <c r="F10" s="90">
        <v>169.92</v>
      </c>
      <c r="G10" s="12" t="s">
        <v>85</v>
      </c>
    </row>
    <row r="11" spans="1:7" x14ac:dyDescent="0.35">
      <c r="A11" s="145">
        <v>1800003241</v>
      </c>
      <c r="B11" s="12" t="s">
        <v>23</v>
      </c>
      <c r="C11" s="13">
        <v>45735</v>
      </c>
      <c r="D11" s="42">
        <v>246779413108</v>
      </c>
      <c r="E11" s="12" t="s">
        <v>110</v>
      </c>
      <c r="F11" s="90">
        <v>78.12</v>
      </c>
      <c r="G11" s="12" t="s">
        <v>51</v>
      </c>
    </row>
    <row r="12" spans="1:7" x14ac:dyDescent="0.35">
      <c r="A12" s="145">
        <v>1800003242</v>
      </c>
      <c r="B12" s="12" t="s">
        <v>23</v>
      </c>
      <c r="C12" s="13">
        <v>45735</v>
      </c>
      <c r="D12" s="42">
        <v>246779413109</v>
      </c>
      <c r="E12" s="12" t="s">
        <v>110</v>
      </c>
      <c r="F12" s="90">
        <v>166.09</v>
      </c>
      <c r="G12" s="12" t="s">
        <v>52</v>
      </c>
    </row>
    <row r="13" spans="1:7" x14ac:dyDescent="0.35">
      <c r="A13" s="145">
        <v>1800003243</v>
      </c>
      <c r="B13" s="12" t="s">
        <v>23</v>
      </c>
      <c r="C13" s="13">
        <v>45735</v>
      </c>
      <c r="D13" s="42">
        <v>246779413110</v>
      </c>
      <c r="E13" s="12" t="s">
        <v>110</v>
      </c>
      <c r="F13" s="90">
        <v>76.72</v>
      </c>
      <c r="G13" s="12" t="s">
        <v>52</v>
      </c>
    </row>
    <row r="14" spans="1:7" x14ac:dyDescent="0.35">
      <c r="A14" s="145">
        <v>1800016374</v>
      </c>
      <c r="B14" s="12" t="s">
        <v>23</v>
      </c>
      <c r="C14" s="13">
        <v>46034</v>
      </c>
      <c r="D14" s="42">
        <v>256779450541</v>
      </c>
      <c r="E14" s="12" t="s">
        <v>110</v>
      </c>
      <c r="F14" s="90">
        <v>1568.64</v>
      </c>
      <c r="G14" s="12" t="s">
        <v>98</v>
      </c>
    </row>
    <row r="15" spans="1:7" x14ac:dyDescent="0.35">
      <c r="A15" s="145">
        <v>1800013204</v>
      </c>
      <c r="B15" s="12" t="s">
        <v>23</v>
      </c>
      <c r="C15" s="13">
        <v>45924</v>
      </c>
      <c r="D15" s="42">
        <v>256779417820</v>
      </c>
      <c r="E15" s="12" t="s">
        <v>110</v>
      </c>
      <c r="F15" s="90">
        <v>131.74</v>
      </c>
      <c r="G15" s="12" t="s">
        <v>28</v>
      </c>
    </row>
    <row r="16" spans="1:7" x14ac:dyDescent="0.35">
      <c r="A16" s="145">
        <v>1800010753</v>
      </c>
      <c r="B16" s="12" t="s">
        <v>23</v>
      </c>
      <c r="C16" s="13">
        <v>45856</v>
      </c>
      <c r="D16" s="42">
        <v>256779415415</v>
      </c>
      <c r="E16" s="12" t="s">
        <v>110</v>
      </c>
      <c r="F16" s="90">
        <v>340.75</v>
      </c>
      <c r="G16" s="12" t="s">
        <v>93</v>
      </c>
    </row>
    <row r="17" spans="1:7" x14ac:dyDescent="0.35">
      <c r="A17" s="145">
        <v>1800016264</v>
      </c>
      <c r="B17" s="12" t="s">
        <v>23</v>
      </c>
      <c r="C17" s="13">
        <v>46028</v>
      </c>
      <c r="D17" s="42">
        <v>256779450428</v>
      </c>
      <c r="E17" s="12" t="s">
        <v>110</v>
      </c>
      <c r="F17" s="90">
        <v>832.95</v>
      </c>
      <c r="G17" s="12" t="s">
        <v>96</v>
      </c>
    </row>
    <row r="18" spans="1:7" x14ac:dyDescent="0.35">
      <c r="A18" s="145">
        <v>1800016710</v>
      </c>
      <c r="B18" s="12" t="s">
        <v>23</v>
      </c>
      <c r="C18" s="13">
        <v>46028</v>
      </c>
      <c r="D18" s="42">
        <v>256779450686</v>
      </c>
      <c r="E18" s="12" t="s">
        <v>110</v>
      </c>
      <c r="F18" s="90">
        <v>12105.53</v>
      </c>
      <c r="G18" s="12" t="s">
        <v>100</v>
      </c>
    </row>
    <row r="19" spans="1:7" x14ac:dyDescent="0.35">
      <c r="A19" s="145">
        <v>1800016711</v>
      </c>
      <c r="B19" s="12" t="s">
        <v>23</v>
      </c>
      <c r="C19" s="13">
        <v>46028</v>
      </c>
      <c r="D19" s="42">
        <v>256779450687</v>
      </c>
      <c r="E19" s="12" t="s">
        <v>110</v>
      </c>
      <c r="F19" s="90">
        <v>7220.11</v>
      </c>
      <c r="G19" s="12" t="s">
        <v>100</v>
      </c>
    </row>
    <row r="20" spans="1:7" x14ac:dyDescent="0.35">
      <c r="A20" s="145">
        <v>1800016362</v>
      </c>
      <c r="B20" s="12" t="s">
        <v>23</v>
      </c>
      <c r="C20" s="13">
        <v>46028</v>
      </c>
      <c r="D20" s="42">
        <v>256779450460</v>
      </c>
      <c r="E20" s="12" t="s">
        <v>110</v>
      </c>
      <c r="F20" s="90">
        <v>587.32000000000005</v>
      </c>
      <c r="G20" s="12" t="s">
        <v>97</v>
      </c>
    </row>
    <row r="21" spans="1:7" x14ac:dyDescent="0.35">
      <c r="A21" s="145">
        <v>1800016464</v>
      </c>
      <c r="B21" s="12" t="s">
        <v>23</v>
      </c>
      <c r="C21" s="13">
        <v>46028</v>
      </c>
      <c r="D21" s="42">
        <v>256779450509</v>
      </c>
      <c r="E21" s="12" t="s">
        <v>110</v>
      </c>
      <c r="F21" s="90">
        <v>7819.18</v>
      </c>
      <c r="G21" s="12" t="s">
        <v>99</v>
      </c>
    </row>
    <row r="22" spans="1:7" x14ac:dyDescent="0.35">
      <c r="A22" s="145">
        <v>1800005314</v>
      </c>
      <c r="B22" s="12" t="s">
        <v>23</v>
      </c>
      <c r="C22" s="13">
        <v>45750</v>
      </c>
      <c r="D22" s="42">
        <v>256779410206</v>
      </c>
      <c r="E22" s="12" t="s">
        <v>110</v>
      </c>
      <c r="F22" s="90">
        <v>346.96</v>
      </c>
      <c r="G22" s="12" t="s">
        <v>78</v>
      </c>
    </row>
    <row r="23" spans="1:7" x14ac:dyDescent="0.35">
      <c r="A23" s="145">
        <v>1800017209</v>
      </c>
      <c r="B23" s="12" t="s">
        <v>23</v>
      </c>
      <c r="C23" s="13">
        <v>46059</v>
      </c>
      <c r="D23" s="42">
        <v>256779451039</v>
      </c>
      <c r="E23" s="12" t="s">
        <v>110</v>
      </c>
      <c r="F23" s="90">
        <v>59.58</v>
      </c>
      <c r="G23" s="12" t="s">
        <v>689</v>
      </c>
    </row>
    <row r="24" spans="1:7" x14ac:dyDescent="0.35">
      <c r="A24" s="145">
        <v>1800017138</v>
      </c>
      <c r="B24" s="12" t="s">
        <v>23</v>
      </c>
      <c r="C24" s="13">
        <v>46049</v>
      </c>
      <c r="D24" s="42">
        <v>256779451016</v>
      </c>
      <c r="E24" s="12" t="s">
        <v>110</v>
      </c>
      <c r="F24" s="90">
        <v>26.61</v>
      </c>
      <c r="G24" s="12" t="s">
        <v>686</v>
      </c>
    </row>
    <row r="25" spans="1:7" x14ac:dyDescent="0.35">
      <c r="A25" s="145">
        <v>1800011241</v>
      </c>
      <c r="B25" s="12" t="s">
        <v>23</v>
      </c>
      <c r="C25" s="13">
        <v>45863</v>
      </c>
      <c r="D25" s="42">
        <v>256779415973</v>
      </c>
      <c r="E25" s="12" t="s">
        <v>110</v>
      </c>
      <c r="F25" s="90">
        <v>448.06</v>
      </c>
      <c r="G25" s="12" t="s">
        <v>94</v>
      </c>
    </row>
    <row r="26" spans="1:7" x14ac:dyDescent="0.35">
      <c r="A26" s="145">
        <v>1800015839</v>
      </c>
      <c r="B26" s="12" t="s">
        <v>23</v>
      </c>
      <c r="C26" s="13">
        <v>46027</v>
      </c>
      <c r="D26" s="42">
        <v>256779450142</v>
      </c>
      <c r="E26" s="12" t="s">
        <v>110</v>
      </c>
      <c r="F26" s="90">
        <v>69.28</v>
      </c>
      <c r="G26" s="12" t="s">
        <v>39</v>
      </c>
    </row>
    <row r="27" spans="1:7" x14ac:dyDescent="0.35">
      <c r="A27" s="145">
        <v>1800017122</v>
      </c>
      <c r="B27" s="12" t="s">
        <v>23</v>
      </c>
      <c r="C27" s="13">
        <v>46049</v>
      </c>
      <c r="D27" s="42">
        <v>256779451000</v>
      </c>
      <c r="E27" s="12" t="s">
        <v>110</v>
      </c>
      <c r="F27" s="90">
        <v>285.36</v>
      </c>
      <c r="G27" s="12" t="s">
        <v>684</v>
      </c>
    </row>
    <row r="28" spans="1:7" x14ac:dyDescent="0.35">
      <c r="A28" s="145">
        <v>1800016733</v>
      </c>
      <c r="B28" s="12" t="s">
        <v>23</v>
      </c>
      <c r="C28" s="13">
        <v>46034</v>
      </c>
      <c r="D28" s="42">
        <v>256779450704</v>
      </c>
      <c r="E28" s="12" t="s">
        <v>110</v>
      </c>
      <c r="F28" s="90">
        <v>16.68</v>
      </c>
      <c r="G28" s="12" t="s">
        <v>101</v>
      </c>
    </row>
    <row r="29" spans="1:7" x14ac:dyDescent="0.35">
      <c r="A29" s="145">
        <v>1800017223</v>
      </c>
      <c r="B29" s="12" t="s">
        <v>23</v>
      </c>
      <c r="C29" s="13">
        <v>46059</v>
      </c>
      <c r="D29" s="42">
        <v>256779451053</v>
      </c>
      <c r="E29" s="12" t="s">
        <v>110</v>
      </c>
      <c r="F29" s="90">
        <v>27.18</v>
      </c>
      <c r="G29" s="12" t="s">
        <v>691</v>
      </c>
    </row>
    <row r="30" spans="1:7" x14ac:dyDescent="0.35">
      <c r="F30" s="94">
        <f>SUM(F4:F29)</f>
        <v>34851.14</v>
      </c>
    </row>
  </sheetData>
  <autoFilter ref="A3:G29" xr:uid="{F8861A1F-FA70-4719-9386-6F2F9B08D8B3}">
    <sortState xmlns:xlrd2="http://schemas.microsoft.com/office/spreadsheetml/2017/richdata2" ref="A4:G30">
      <sortCondition ref="G3:G29"/>
    </sortState>
  </autoFilter>
  <conditionalFormatting sqref="D62:D1048576"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4318-8DF7-4E09-A597-C4A698C5EB11}">
  <dimension ref="A1:G2"/>
  <sheetViews>
    <sheetView workbookViewId="0">
      <selection activeCell="C2" sqref="C2"/>
    </sheetView>
  </sheetViews>
  <sheetFormatPr defaultRowHeight="14.5" x14ac:dyDescent="0.35"/>
  <cols>
    <col min="1" max="1" width="7.7265625" bestFit="1" customWidth="1"/>
    <col min="2" max="2" width="16.81640625" bestFit="1" customWidth="1"/>
    <col min="3" max="3" width="13.90625" bestFit="1" customWidth="1"/>
    <col min="4" max="4" width="14.36328125" bestFit="1" customWidth="1"/>
    <col min="5" max="5" width="8" bestFit="1" customWidth="1"/>
    <col min="6" max="6" width="8.81640625" bestFit="1" customWidth="1"/>
    <col min="7" max="7" width="30.08984375" bestFit="1" customWidth="1"/>
  </cols>
  <sheetData>
    <row r="1" spans="1:7" ht="43.5" x14ac:dyDescent="0.35">
      <c r="A1" s="2" t="s">
        <v>3</v>
      </c>
      <c r="B1" s="1" t="s">
        <v>1</v>
      </c>
      <c r="C1" s="1" t="s">
        <v>4</v>
      </c>
      <c r="D1" s="1" t="s">
        <v>104</v>
      </c>
      <c r="E1" s="2" t="s">
        <v>105</v>
      </c>
      <c r="F1" s="2" t="s">
        <v>106</v>
      </c>
      <c r="G1" s="1" t="s">
        <v>11</v>
      </c>
    </row>
    <row r="2" spans="1:7" x14ac:dyDescent="0.35">
      <c r="A2" s="3" t="s">
        <v>164</v>
      </c>
      <c r="B2" s="17">
        <v>1700001171</v>
      </c>
      <c r="C2" s="4">
        <v>45729</v>
      </c>
      <c r="D2" s="60" t="s">
        <v>165</v>
      </c>
      <c r="E2" s="3" t="s">
        <v>110</v>
      </c>
      <c r="F2" s="5">
        <v>16009</v>
      </c>
      <c r="G2" s="3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8CB0-F92E-4DF6-9B87-C99208BF5878}">
  <dimension ref="A1:C88"/>
  <sheetViews>
    <sheetView topLeftCell="A20" workbookViewId="0">
      <selection activeCell="C43" sqref="C43"/>
    </sheetView>
  </sheetViews>
  <sheetFormatPr defaultRowHeight="14.5" x14ac:dyDescent="0.35"/>
  <cols>
    <col min="1" max="1" width="45.36328125" bestFit="1" customWidth="1"/>
    <col min="2" max="2" width="15.453125" bestFit="1" customWidth="1"/>
    <col min="3" max="3" width="29.08984375" bestFit="1" customWidth="1"/>
  </cols>
  <sheetData>
    <row r="1" spans="1:3" x14ac:dyDescent="0.35">
      <c r="A1" s="8" t="s">
        <v>11</v>
      </c>
      <c r="B1" s="8" t="s">
        <v>104</v>
      </c>
      <c r="C1" s="8" t="s">
        <v>696</v>
      </c>
    </row>
    <row r="2" spans="1:3" x14ac:dyDescent="0.35">
      <c r="A2" s="8" t="s">
        <v>24</v>
      </c>
      <c r="B2" s="177">
        <v>256779417478</v>
      </c>
      <c r="C2" s="8">
        <v>1002.2</v>
      </c>
    </row>
    <row r="3" spans="1:3" x14ac:dyDescent="0.35">
      <c r="A3" s="8" t="s">
        <v>53</v>
      </c>
      <c r="B3" s="177">
        <v>246779413111</v>
      </c>
      <c r="C3" s="8">
        <v>13.77</v>
      </c>
    </row>
    <row r="4" spans="1:3" x14ac:dyDescent="0.35">
      <c r="A4" s="8" t="s">
        <v>80</v>
      </c>
      <c r="B4" s="177">
        <v>256779410983</v>
      </c>
      <c r="C4" s="8">
        <v>392.35</v>
      </c>
    </row>
    <row r="5" spans="1:3" x14ac:dyDescent="0.35">
      <c r="A5" s="8"/>
      <c r="B5" s="177">
        <v>256779410984</v>
      </c>
      <c r="C5" s="8">
        <v>200.6</v>
      </c>
    </row>
    <row r="6" spans="1:3" x14ac:dyDescent="0.35">
      <c r="A6" s="8"/>
      <c r="B6" s="177">
        <v>256779410985</v>
      </c>
      <c r="C6" s="8">
        <v>106.2</v>
      </c>
    </row>
    <row r="7" spans="1:3" x14ac:dyDescent="0.35">
      <c r="A7" s="8"/>
      <c r="B7" s="177">
        <v>256779410986</v>
      </c>
      <c r="C7" s="8">
        <v>82.6</v>
      </c>
    </row>
    <row r="8" spans="1:3" x14ac:dyDescent="0.35">
      <c r="A8" s="8"/>
      <c r="B8" s="177">
        <v>256779410988</v>
      </c>
      <c r="C8" s="8">
        <v>330.4</v>
      </c>
    </row>
    <row r="9" spans="1:3" x14ac:dyDescent="0.35">
      <c r="A9" s="8"/>
      <c r="B9" s="177">
        <v>256779410989</v>
      </c>
      <c r="C9" s="8">
        <v>82.6</v>
      </c>
    </row>
    <row r="10" spans="1:3" x14ac:dyDescent="0.35">
      <c r="A10" s="8"/>
      <c r="B10" s="177">
        <v>256779410990</v>
      </c>
      <c r="C10" s="8">
        <v>194.7</v>
      </c>
    </row>
    <row r="11" spans="1:3" x14ac:dyDescent="0.35">
      <c r="A11" s="8" t="s">
        <v>83</v>
      </c>
      <c r="B11" s="177">
        <v>256779411719</v>
      </c>
      <c r="C11" s="8">
        <v>488.03</v>
      </c>
    </row>
    <row r="12" spans="1:3" x14ac:dyDescent="0.35">
      <c r="A12" s="8" t="s">
        <v>55</v>
      </c>
      <c r="B12" s="177">
        <v>246779413973</v>
      </c>
      <c r="C12" s="8">
        <v>123.56</v>
      </c>
    </row>
    <row r="13" spans="1:3" x14ac:dyDescent="0.35">
      <c r="A13" s="8" t="s">
        <v>95</v>
      </c>
      <c r="B13" s="177">
        <v>256779450410</v>
      </c>
      <c r="C13" s="8">
        <v>833.03</v>
      </c>
    </row>
    <row r="14" spans="1:3" x14ac:dyDescent="0.35">
      <c r="A14" s="8" t="s">
        <v>54</v>
      </c>
      <c r="B14" s="177">
        <v>246779413112</v>
      </c>
      <c r="C14" s="8">
        <v>13.77</v>
      </c>
    </row>
    <row r="15" spans="1:3" x14ac:dyDescent="0.35">
      <c r="A15" s="8" t="s">
        <v>58</v>
      </c>
      <c r="B15" s="177">
        <v>246779414012</v>
      </c>
      <c r="C15" s="8">
        <v>72.89</v>
      </c>
    </row>
    <row r="16" spans="1:3" x14ac:dyDescent="0.35">
      <c r="A16" s="8"/>
      <c r="B16" s="177">
        <v>246779414013</v>
      </c>
      <c r="C16" s="8">
        <v>81.040000000000006</v>
      </c>
    </row>
    <row r="17" spans="1:3" x14ac:dyDescent="0.35">
      <c r="A17" s="8"/>
      <c r="B17" s="177">
        <v>246779414419</v>
      </c>
      <c r="C17" s="8">
        <v>1003.1</v>
      </c>
    </row>
    <row r="18" spans="1:3" x14ac:dyDescent="0.35">
      <c r="A18" s="8" t="s">
        <v>85</v>
      </c>
      <c r="B18" s="177">
        <v>256779411745</v>
      </c>
      <c r="C18" s="8">
        <v>169.92</v>
      </c>
    </row>
    <row r="19" spans="1:3" x14ac:dyDescent="0.35">
      <c r="A19" s="8" t="s">
        <v>51</v>
      </c>
      <c r="B19" s="177">
        <v>246779413108</v>
      </c>
      <c r="C19" s="8">
        <v>78.12</v>
      </c>
    </row>
    <row r="20" spans="1:3" x14ac:dyDescent="0.35">
      <c r="A20" s="8" t="s">
        <v>52</v>
      </c>
      <c r="B20" s="177">
        <v>246779413109</v>
      </c>
      <c r="C20" s="8">
        <v>166.09</v>
      </c>
    </row>
    <row r="21" spans="1:3" x14ac:dyDescent="0.35">
      <c r="A21" s="8"/>
      <c r="B21" s="177">
        <v>246779413110</v>
      </c>
      <c r="C21" s="8">
        <v>76.72</v>
      </c>
    </row>
    <row r="22" spans="1:3" x14ac:dyDescent="0.35">
      <c r="A22" s="8" t="s">
        <v>98</v>
      </c>
      <c r="B22" s="177">
        <v>256779450541</v>
      </c>
      <c r="C22" s="8">
        <v>1568.64</v>
      </c>
    </row>
    <row r="23" spans="1:3" x14ac:dyDescent="0.35">
      <c r="A23" s="8" t="s">
        <v>82</v>
      </c>
      <c r="B23" s="177">
        <v>256779411213</v>
      </c>
      <c r="C23" s="8">
        <v>66.08</v>
      </c>
    </row>
    <row r="24" spans="1:3" x14ac:dyDescent="0.35">
      <c r="A24" s="8"/>
      <c r="B24" s="177">
        <v>256779411214</v>
      </c>
      <c r="C24" s="8">
        <v>11.8</v>
      </c>
    </row>
    <row r="25" spans="1:3" x14ac:dyDescent="0.35">
      <c r="A25" s="8"/>
      <c r="B25" s="177">
        <v>256779411215</v>
      </c>
      <c r="C25" s="8">
        <v>46.87</v>
      </c>
    </row>
    <row r="26" spans="1:3" x14ac:dyDescent="0.35">
      <c r="A26" s="8"/>
      <c r="B26" s="177">
        <v>256779411216</v>
      </c>
      <c r="C26" s="8">
        <v>91.45</v>
      </c>
    </row>
    <row r="27" spans="1:3" x14ac:dyDescent="0.35">
      <c r="A27" s="8"/>
      <c r="B27" s="177">
        <v>256779411217</v>
      </c>
      <c r="C27" s="8">
        <v>91.45</v>
      </c>
    </row>
    <row r="28" spans="1:3" x14ac:dyDescent="0.35">
      <c r="A28" s="8"/>
      <c r="B28" s="177">
        <v>256779411218</v>
      </c>
      <c r="C28" s="8">
        <v>110.7</v>
      </c>
    </row>
    <row r="29" spans="1:3" x14ac:dyDescent="0.35">
      <c r="A29" s="8"/>
      <c r="B29" s="177">
        <v>256779411219</v>
      </c>
      <c r="C29" s="8">
        <v>35.4</v>
      </c>
    </row>
    <row r="30" spans="1:3" x14ac:dyDescent="0.35">
      <c r="A30" s="8"/>
      <c r="B30" s="177">
        <v>256779411220</v>
      </c>
      <c r="C30" s="8">
        <v>44.25</v>
      </c>
    </row>
    <row r="31" spans="1:3" x14ac:dyDescent="0.35">
      <c r="A31" s="8"/>
      <c r="B31" s="177">
        <v>256779411221</v>
      </c>
      <c r="C31" s="8">
        <v>2.95</v>
      </c>
    </row>
    <row r="32" spans="1:3" x14ac:dyDescent="0.35">
      <c r="A32" s="8"/>
      <c r="B32" s="177">
        <v>256779411222</v>
      </c>
      <c r="C32" s="8">
        <v>105.43</v>
      </c>
    </row>
    <row r="33" spans="1:3" x14ac:dyDescent="0.35">
      <c r="A33" s="8"/>
      <c r="B33" s="177">
        <v>256779411223</v>
      </c>
      <c r="C33" s="8">
        <v>85.55</v>
      </c>
    </row>
    <row r="34" spans="1:3" x14ac:dyDescent="0.35">
      <c r="A34" s="8"/>
      <c r="B34" s="177">
        <v>256779411224</v>
      </c>
      <c r="C34" s="8">
        <v>54.47</v>
      </c>
    </row>
    <row r="35" spans="1:3" x14ac:dyDescent="0.35">
      <c r="A35" s="8"/>
      <c r="B35" s="177">
        <v>256779411225</v>
      </c>
      <c r="C35" s="8">
        <v>66</v>
      </c>
    </row>
    <row r="36" spans="1:3" x14ac:dyDescent="0.35">
      <c r="A36" s="8"/>
      <c r="B36" s="177">
        <v>256779411226</v>
      </c>
      <c r="C36" s="8">
        <v>112.1</v>
      </c>
    </row>
    <row r="37" spans="1:3" x14ac:dyDescent="0.35">
      <c r="A37" s="8"/>
      <c r="B37" s="177">
        <v>256779411227</v>
      </c>
      <c r="C37" s="8">
        <v>2.95</v>
      </c>
    </row>
    <row r="38" spans="1:3" x14ac:dyDescent="0.35">
      <c r="A38" s="8"/>
      <c r="B38" s="177">
        <v>256779411228</v>
      </c>
      <c r="C38" s="8">
        <v>44.25</v>
      </c>
    </row>
    <row r="39" spans="1:3" x14ac:dyDescent="0.35">
      <c r="A39" s="8"/>
      <c r="B39" s="177">
        <v>256779411229</v>
      </c>
      <c r="C39" s="8">
        <v>103.25</v>
      </c>
    </row>
    <row r="40" spans="1:3" x14ac:dyDescent="0.35">
      <c r="A40" s="8"/>
      <c r="B40" s="177">
        <v>256779411230</v>
      </c>
      <c r="C40" s="8">
        <v>29.38</v>
      </c>
    </row>
    <row r="41" spans="1:3" x14ac:dyDescent="0.35">
      <c r="A41" s="8"/>
      <c r="B41" s="177">
        <v>256779411231</v>
      </c>
      <c r="C41" s="8">
        <v>5.9</v>
      </c>
    </row>
    <row r="42" spans="1:3" x14ac:dyDescent="0.35">
      <c r="A42" s="8"/>
      <c r="B42" s="177">
        <v>256779411232</v>
      </c>
      <c r="C42" s="8">
        <v>35.4</v>
      </c>
    </row>
    <row r="43" spans="1:3" x14ac:dyDescent="0.35">
      <c r="A43" s="8"/>
      <c r="B43" s="177">
        <v>256779411233</v>
      </c>
      <c r="C43" s="8">
        <v>20.96</v>
      </c>
    </row>
    <row r="44" spans="1:3" x14ac:dyDescent="0.35">
      <c r="A44" s="8" t="s">
        <v>76</v>
      </c>
      <c r="B44" s="177">
        <v>246779414704</v>
      </c>
      <c r="C44" s="8">
        <v>768.32</v>
      </c>
    </row>
    <row r="45" spans="1:3" x14ac:dyDescent="0.35">
      <c r="A45" s="8"/>
      <c r="B45" s="177">
        <v>246779414803</v>
      </c>
      <c r="C45" s="8">
        <v>17.7</v>
      </c>
    </row>
    <row r="46" spans="1:3" x14ac:dyDescent="0.35">
      <c r="A46" s="8"/>
      <c r="B46" s="177">
        <v>246779414804</v>
      </c>
      <c r="C46" s="8">
        <v>109.15</v>
      </c>
    </row>
    <row r="47" spans="1:3" x14ac:dyDescent="0.35">
      <c r="A47" s="8"/>
      <c r="B47" s="177">
        <v>246779414805</v>
      </c>
      <c r="C47" s="8">
        <v>8.85</v>
      </c>
    </row>
    <row r="48" spans="1:3" x14ac:dyDescent="0.35">
      <c r="A48" s="8"/>
      <c r="B48" s="177">
        <v>246779414806</v>
      </c>
      <c r="C48" s="8">
        <v>203.55</v>
      </c>
    </row>
    <row r="49" spans="1:3" x14ac:dyDescent="0.35">
      <c r="A49" s="8"/>
      <c r="B49" s="177">
        <v>246779414807</v>
      </c>
      <c r="C49" s="8">
        <v>9.4</v>
      </c>
    </row>
    <row r="50" spans="1:3" x14ac:dyDescent="0.35">
      <c r="A50" s="8" t="s">
        <v>28</v>
      </c>
      <c r="B50" s="177">
        <v>256779417820</v>
      </c>
      <c r="C50" s="8">
        <v>131.74</v>
      </c>
    </row>
    <row r="51" spans="1:3" x14ac:dyDescent="0.35">
      <c r="A51" s="8" t="s">
        <v>93</v>
      </c>
      <c r="B51" s="177">
        <v>256779415415</v>
      </c>
      <c r="C51" s="8">
        <v>340.75</v>
      </c>
    </row>
    <row r="52" spans="1:3" x14ac:dyDescent="0.35">
      <c r="A52" s="8" t="s">
        <v>96</v>
      </c>
      <c r="B52" s="177">
        <v>256779450428</v>
      </c>
      <c r="C52" s="8">
        <v>832.95</v>
      </c>
    </row>
    <row r="53" spans="1:3" x14ac:dyDescent="0.35">
      <c r="A53" s="8" t="s">
        <v>100</v>
      </c>
      <c r="B53" s="177">
        <v>256779450686</v>
      </c>
      <c r="C53" s="8">
        <v>12105.53</v>
      </c>
    </row>
    <row r="54" spans="1:3" x14ac:dyDescent="0.35">
      <c r="A54" s="8"/>
      <c r="B54" s="177">
        <v>256779450687</v>
      </c>
      <c r="C54" s="8">
        <v>7220.11</v>
      </c>
    </row>
    <row r="55" spans="1:3" x14ac:dyDescent="0.35">
      <c r="A55" s="8" t="s">
        <v>81</v>
      </c>
      <c r="B55" s="177">
        <v>256779410987</v>
      </c>
      <c r="C55" s="8">
        <v>223.67</v>
      </c>
    </row>
    <row r="56" spans="1:3" x14ac:dyDescent="0.35">
      <c r="A56" s="8" t="s">
        <v>97</v>
      </c>
      <c r="B56" s="177">
        <v>256779450460</v>
      </c>
      <c r="C56" s="8">
        <v>587.32000000000005</v>
      </c>
    </row>
    <row r="57" spans="1:3" x14ac:dyDescent="0.35">
      <c r="A57" s="8"/>
      <c r="B57" s="177">
        <v>256779450509</v>
      </c>
      <c r="C57" s="8">
        <v>7819.18</v>
      </c>
    </row>
    <row r="58" spans="1:3" x14ac:dyDescent="0.35">
      <c r="A58" s="8" t="s">
        <v>78</v>
      </c>
      <c r="B58" s="177">
        <v>256779410206</v>
      </c>
      <c r="C58" s="8">
        <v>346.96</v>
      </c>
    </row>
    <row r="59" spans="1:3" x14ac:dyDescent="0.35">
      <c r="A59" s="8" t="s">
        <v>689</v>
      </c>
      <c r="B59" s="177">
        <v>256779451039</v>
      </c>
      <c r="C59" s="8">
        <v>59.58</v>
      </c>
    </row>
    <row r="60" spans="1:3" x14ac:dyDescent="0.35">
      <c r="A60" s="8" t="s">
        <v>686</v>
      </c>
      <c r="B60" s="177">
        <v>256779451016</v>
      </c>
      <c r="C60" s="8">
        <v>26.61</v>
      </c>
    </row>
    <row r="61" spans="1:3" x14ac:dyDescent="0.35">
      <c r="A61" s="8" t="s">
        <v>92</v>
      </c>
      <c r="B61" s="177">
        <v>256779414841</v>
      </c>
      <c r="C61" s="8">
        <v>165.16</v>
      </c>
    </row>
    <row r="62" spans="1:3" x14ac:dyDescent="0.35">
      <c r="A62" s="8" t="s">
        <v>94</v>
      </c>
      <c r="B62" s="177">
        <v>256779415973</v>
      </c>
      <c r="C62" s="8">
        <v>448.06</v>
      </c>
    </row>
    <row r="63" spans="1:3" x14ac:dyDescent="0.35">
      <c r="A63" s="8" t="s">
        <v>89</v>
      </c>
      <c r="B63" s="177">
        <v>256779411994</v>
      </c>
      <c r="C63" s="8">
        <v>146.81</v>
      </c>
    </row>
    <row r="64" spans="1:3" x14ac:dyDescent="0.35">
      <c r="A64" s="8" t="s">
        <v>48</v>
      </c>
      <c r="B64" s="177">
        <v>246779411997</v>
      </c>
      <c r="C64" s="8">
        <v>23.36</v>
      </c>
    </row>
    <row r="65" spans="1:3" x14ac:dyDescent="0.35">
      <c r="A65" s="8"/>
      <c r="B65" s="177">
        <v>246779411998</v>
      </c>
      <c r="C65" s="8">
        <v>25.69</v>
      </c>
    </row>
    <row r="66" spans="1:3" x14ac:dyDescent="0.35">
      <c r="A66" s="8"/>
      <c r="B66" s="177">
        <v>246779411999</v>
      </c>
      <c r="C66" s="8">
        <v>6.42</v>
      </c>
    </row>
    <row r="67" spans="1:3" x14ac:dyDescent="0.35">
      <c r="A67" s="8" t="s">
        <v>47</v>
      </c>
      <c r="B67" s="177">
        <v>246779411865</v>
      </c>
      <c r="C67" s="8">
        <v>17.75</v>
      </c>
    </row>
    <row r="68" spans="1:3" x14ac:dyDescent="0.35">
      <c r="A68" s="8"/>
      <c r="B68" s="177">
        <v>246779411866</v>
      </c>
      <c r="C68" s="8">
        <v>17.75</v>
      </c>
    </row>
    <row r="69" spans="1:3" x14ac:dyDescent="0.35">
      <c r="A69" s="8"/>
      <c r="B69" s="177">
        <v>246779411867</v>
      </c>
      <c r="C69" s="8">
        <v>23.67</v>
      </c>
    </row>
    <row r="70" spans="1:3" x14ac:dyDescent="0.35">
      <c r="A70" s="8"/>
      <c r="B70" s="177">
        <v>246779411868</v>
      </c>
      <c r="C70" s="8">
        <v>14.2</v>
      </c>
    </row>
    <row r="71" spans="1:3" x14ac:dyDescent="0.35">
      <c r="A71" s="8"/>
      <c r="B71" s="177">
        <v>246779411869</v>
      </c>
      <c r="C71" s="8">
        <v>11.84</v>
      </c>
    </row>
    <row r="72" spans="1:3" x14ac:dyDescent="0.35">
      <c r="A72" s="8"/>
      <c r="B72" s="177">
        <v>246779411870</v>
      </c>
      <c r="C72" s="8">
        <v>1.18</v>
      </c>
    </row>
    <row r="73" spans="1:3" x14ac:dyDescent="0.35">
      <c r="A73" s="8"/>
      <c r="B73" s="177">
        <v>246779411871</v>
      </c>
      <c r="C73" s="8">
        <v>17.75</v>
      </c>
    </row>
    <row r="74" spans="1:3" x14ac:dyDescent="0.35">
      <c r="A74" s="8"/>
      <c r="B74" s="177">
        <v>246779411872</v>
      </c>
      <c r="C74" s="8">
        <v>18.940000000000001</v>
      </c>
    </row>
    <row r="75" spans="1:3" x14ac:dyDescent="0.35">
      <c r="A75" s="8"/>
      <c r="B75" s="177">
        <v>246779411873</v>
      </c>
      <c r="C75" s="8">
        <v>16.57</v>
      </c>
    </row>
    <row r="76" spans="1:3" x14ac:dyDescent="0.35">
      <c r="A76" s="8" t="s">
        <v>46</v>
      </c>
      <c r="B76" s="177">
        <v>246779411658</v>
      </c>
      <c r="C76" s="8">
        <v>149.84</v>
      </c>
    </row>
    <row r="77" spans="1:3" x14ac:dyDescent="0.35">
      <c r="A77" s="8"/>
      <c r="B77" s="177">
        <v>246779411659</v>
      </c>
      <c r="C77" s="8">
        <v>17.84</v>
      </c>
    </row>
    <row r="78" spans="1:3" x14ac:dyDescent="0.35">
      <c r="A78" s="8"/>
      <c r="B78" s="177">
        <v>246779411660</v>
      </c>
      <c r="C78" s="8">
        <v>11.89</v>
      </c>
    </row>
    <row r="79" spans="1:3" x14ac:dyDescent="0.35">
      <c r="A79" s="8"/>
      <c r="B79" s="177">
        <v>246779411661</v>
      </c>
      <c r="C79" s="8">
        <v>0.95</v>
      </c>
    </row>
    <row r="80" spans="1:3" x14ac:dyDescent="0.35">
      <c r="A80" s="8"/>
      <c r="B80" s="177">
        <v>246779411662</v>
      </c>
      <c r="C80" s="8">
        <v>6.54</v>
      </c>
    </row>
    <row r="81" spans="1:3" x14ac:dyDescent="0.35">
      <c r="A81" s="8"/>
      <c r="B81" s="177">
        <v>246779411663</v>
      </c>
      <c r="C81" s="8">
        <v>66.599999999999994</v>
      </c>
    </row>
    <row r="82" spans="1:3" x14ac:dyDescent="0.35">
      <c r="A82" s="8" t="s">
        <v>45</v>
      </c>
      <c r="B82" s="177">
        <v>246779411543</v>
      </c>
      <c r="C82" s="8">
        <v>17.899999999999999</v>
      </c>
    </row>
    <row r="83" spans="1:3" x14ac:dyDescent="0.35">
      <c r="A83" s="8"/>
      <c r="B83" s="177">
        <v>246779411544</v>
      </c>
      <c r="C83" s="8">
        <v>17.899999999999999</v>
      </c>
    </row>
    <row r="84" spans="1:3" x14ac:dyDescent="0.35">
      <c r="A84" s="8"/>
      <c r="B84" s="177">
        <v>246779411545</v>
      </c>
      <c r="C84" s="8">
        <v>38.19</v>
      </c>
    </row>
    <row r="85" spans="1:3" x14ac:dyDescent="0.35">
      <c r="A85" s="8" t="s">
        <v>39</v>
      </c>
      <c r="B85" s="177">
        <v>256779450142</v>
      </c>
      <c r="C85" s="8">
        <v>69.28</v>
      </c>
    </row>
    <row r="86" spans="1:3" x14ac:dyDescent="0.35">
      <c r="A86" s="8" t="s">
        <v>684</v>
      </c>
      <c r="B86" s="177">
        <v>256779451000</v>
      </c>
      <c r="C86" s="8">
        <v>285.36</v>
      </c>
    </row>
    <row r="87" spans="1:3" x14ac:dyDescent="0.35">
      <c r="A87" s="8" t="s">
        <v>101</v>
      </c>
      <c r="B87" s="177">
        <v>256779450704</v>
      </c>
      <c r="C87" s="8">
        <v>16.68</v>
      </c>
    </row>
    <row r="88" spans="1:3" x14ac:dyDescent="0.35">
      <c r="A88" s="8" t="s">
        <v>691</v>
      </c>
      <c r="B88" s="177">
        <v>256779451053</v>
      </c>
      <c r="C88" s="8">
        <v>27.18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1AC2-AF98-4D5C-8543-84E18B28CF04}">
  <dimension ref="A1:K21"/>
  <sheetViews>
    <sheetView topLeftCell="B1" workbookViewId="0">
      <selection activeCell="G11" sqref="G11"/>
    </sheetView>
  </sheetViews>
  <sheetFormatPr defaultRowHeight="14.5" x14ac:dyDescent="0.35"/>
  <cols>
    <col min="1" max="1" width="4.36328125" customWidth="1"/>
    <col min="2" max="2" width="12.7265625" customWidth="1"/>
    <col min="3" max="3" width="13.90625" bestFit="1" customWidth="1"/>
    <col min="4" max="4" width="15.54296875" bestFit="1" customWidth="1"/>
    <col min="5" max="5" width="10.7265625" customWidth="1"/>
    <col min="6" max="6" width="25.54296875" customWidth="1"/>
    <col min="7" max="7" width="35.81640625" customWidth="1"/>
    <col min="8" max="8" width="34.81640625" customWidth="1"/>
    <col min="9" max="9" width="29.08984375" bestFit="1" customWidth="1"/>
    <col min="11" max="11" width="5.90625" bestFit="1" customWidth="1"/>
  </cols>
  <sheetData>
    <row r="1" spans="1:11" x14ac:dyDescent="0.35">
      <c r="A1" s="181" t="s">
        <v>847</v>
      </c>
      <c r="B1" s="181"/>
      <c r="C1" s="181"/>
      <c r="D1" s="181"/>
      <c r="E1" s="181"/>
      <c r="F1" s="181"/>
      <c r="G1" s="181" t="s">
        <v>848</v>
      </c>
      <c r="H1" s="181"/>
      <c r="I1" s="181"/>
    </row>
    <row r="2" spans="1:11" x14ac:dyDescent="0.35">
      <c r="A2" s="168" t="s">
        <v>3</v>
      </c>
      <c r="B2" s="168" t="s">
        <v>1</v>
      </c>
      <c r="C2" s="168" t="s">
        <v>4</v>
      </c>
      <c r="D2" s="168" t="s">
        <v>104</v>
      </c>
      <c r="E2" s="168" t="s">
        <v>106</v>
      </c>
      <c r="F2" s="168" t="s">
        <v>11</v>
      </c>
      <c r="G2" s="168" t="s">
        <v>11</v>
      </c>
      <c r="H2" s="174" t="s">
        <v>104</v>
      </c>
      <c r="I2" s="174" t="s">
        <v>696</v>
      </c>
      <c r="J2" s="164"/>
      <c r="K2" s="164"/>
    </row>
    <row r="3" spans="1:11" x14ac:dyDescent="0.35">
      <c r="A3" s="64" t="s">
        <v>109</v>
      </c>
      <c r="B3" s="146">
        <v>1900008119</v>
      </c>
      <c r="C3" s="65">
        <v>45702</v>
      </c>
      <c r="D3" s="66" t="s">
        <v>754</v>
      </c>
      <c r="E3" s="67">
        <v>-236</v>
      </c>
      <c r="F3" s="64" t="s">
        <v>114</v>
      </c>
      <c r="G3" s="147" t="s">
        <v>80</v>
      </c>
      <c r="H3" s="180" t="s">
        <v>849</v>
      </c>
      <c r="I3" s="175">
        <v>1389.45</v>
      </c>
      <c r="J3" s="178">
        <f>I3+E3</f>
        <v>1153.45</v>
      </c>
      <c r="K3" s="179">
        <f>J3/E3</f>
        <v>-4.8875000000000002</v>
      </c>
    </row>
    <row r="4" spans="1:11" x14ac:dyDescent="0.35">
      <c r="A4" s="64" t="s">
        <v>109</v>
      </c>
      <c r="B4" s="146">
        <v>1900008161</v>
      </c>
      <c r="C4" s="65">
        <v>45702</v>
      </c>
      <c r="D4" s="66" t="s">
        <v>790</v>
      </c>
      <c r="E4" s="67">
        <v>-1100.3900000000001</v>
      </c>
      <c r="F4" s="64" t="s">
        <v>150</v>
      </c>
      <c r="G4" s="147" t="s">
        <v>58</v>
      </c>
      <c r="H4" s="180" t="s">
        <v>850</v>
      </c>
      <c r="I4" s="175">
        <v>1157.03</v>
      </c>
      <c r="J4" s="178">
        <f t="shared" ref="J4:J13" si="0">I4+E4</f>
        <v>56.639999999999873</v>
      </c>
      <c r="K4" s="179">
        <f t="shared" ref="K4:K13" si="1">J4/E4</f>
        <v>-5.1472659693381315E-2</v>
      </c>
    </row>
    <row r="5" spans="1:11" x14ac:dyDescent="0.35">
      <c r="A5" s="64" t="s">
        <v>109</v>
      </c>
      <c r="B5" s="146">
        <v>1900008165</v>
      </c>
      <c r="C5" s="65">
        <v>45702</v>
      </c>
      <c r="D5" s="66" t="s">
        <v>794</v>
      </c>
      <c r="E5" s="67">
        <v>-1142.99</v>
      </c>
      <c r="F5" s="64" t="s">
        <v>154</v>
      </c>
      <c r="G5" s="147" t="s">
        <v>82</v>
      </c>
      <c r="H5" s="180" t="s">
        <v>851</v>
      </c>
      <c r="I5" s="175">
        <v>1166.5900000000001</v>
      </c>
      <c r="J5" s="178">
        <f t="shared" si="0"/>
        <v>23.600000000000136</v>
      </c>
      <c r="K5" s="179">
        <f t="shared" si="1"/>
        <v>-2.0647599716533072E-2</v>
      </c>
    </row>
    <row r="6" spans="1:11" x14ac:dyDescent="0.35">
      <c r="A6" s="64" t="s">
        <v>109</v>
      </c>
      <c r="B6" s="146">
        <v>1900008160</v>
      </c>
      <c r="C6" s="65">
        <v>45702</v>
      </c>
      <c r="D6" s="66" t="s">
        <v>789</v>
      </c>
      <c r="E6" s="67">
        <v>-1093.3599999999999</v>
      </c>
      <c r="F6" s="64" t="s">
        <v>149</v>
      </c>
      <c r="G6" s="147" t="s">
        <v>76</v>
      </c>
      <c r="H6" s="180"/>
      <c r="I6" s="175">
        <v>1116.97</v>
      </c>
      <c r="J6" s="178">
        <f t="shared" si="0"/>
        <v>23.610000000000127</v>
      </c>
      <c r="K6" s="179">
        <f t="shared" si="1"/>
        <v>-2.1593985512548593E-2</v>
      </c>
    </row>
    <row r="7" spans="1:11" x14ac:dyDescent="0.35">
      <c r="A7" s="64" t="s">
        <v>109</v>
      </c>
      <c r="B7" s="146">
        <v>1900008118</v>
      </c>
      <c r="C7" s="65">
        <v>45702</v>
      </c>
      <c r="D7" s="66" t="s">
        <v>753</v>
      </c>
      <c r="E7" s="67">
        <v>-141.07</v>
      </c>
      <c r="F7" s="64" t="s">
        <v>113</v>
      </c>
      <c r="G7" s="147" t="s">
        <v>81</v>
      </c>
      <c r="H7" s="180"/>
      <c r="I7" s="175">
        <v>223.67</v>
      </c>
      <c r="J7" s="178">
        <f t="shared" si="0"/>
        <v>82.6</v>
      </c>
      <c r="K7" s="179">
        <f t="shared" si="1"/>
        <v>-0.58552491670801732</v>
      </c>
    </row>
    <row r="8" spans="1:11" x14ac:dyDescent="0.35">
      <c r="A8" s="64" t="s">
        <v>109</v>
      </c>
      <c r="B8" s="146">
        <v>1900008150</v>
      </c>
      <c r="C8" s="65">
        <v>45702</v>
      </c>
      <c r="D8" s="66" t="s">
        <v>785</v>
      </c>
      <c r="E8" s="67">
        <v>-219.71</v>
      </c>
      <c r="F8" s="64" t="s">
        <v>145</v>
      </c>
      <c r="G8" s="147" t="s">
        <v>89</v>
      </c>
      <c r="H8" s="180"/>
      <c r="I8" s="175">
        <v>146.81</v>
      </c>
      <c r="J8" s="178">
        <f t="shared" si="0"/>
        <v>-72.900000000000006</v>
      </c>
      <c r="K8" s="179">
        <f t="shared" si="1"/>
        <v>0.33180101042283011</v>
      </c>
    </row>
    <row r="9" spans="1:11" x14ac:dyDescent="0.35">
      <c r="A9" s="64" t="s">
        <v>109</v>
      </c>
      <c r="B9" s="146">
        <v>1900008141</v>
      </c>
      <c r="C9" s="65">
        <v>45702</v>
      </c>
      <c r="D9" s="66" t="s">
        <v>776</v>
      </c>
      <c r="E9" s="67">
        <v>-54.67</v>
      </c>
      <c r="F9" s="64" t="s">
        <v>136</v>
      </c>
      <c r="G9" s="147" t="s">
        <v>48</v>
      </c>
      <c r="H9" s="180"/>
      <c r="I9" s="175">
        <v>55.47</v>
      </c>
      <c r="J9" s="178">
        <f t="shared" si="0"/>
        <v>0.79999999999999716</v>
      </c>
      <c r="K9" s="179">
        <f t="shared" si="1"/>
        <v>-1.4633254069873735E-2</v>
      </c>
    </row>
    <row r="10" spans="1:11" x14ac:dyDescent="0.35">
      <c r="A10" s="64" t="s">
        <v>109</v>
      </c>
      <c r="B10" s="146">
        <v>1900008128</v>
      </c>
      <c r="C10" s="65">
        <v>45702</v>
      </c>
      <c r="D10" s="66" t="s">
        <v>763</v>
      </c>
      <c r="E10" s="67">
        <v>-135.81</v>
      </c>
      <c r="F10" s="64" t="s">
        <v>123</v>
      </c>
      <c r="G10" s="147" t="s">
        <v>47</v>
      </c>
      <c r="H10" s="180"/>
      <c r="I10" s="175">
        <v>139.65</v>
      </c>
      <c r="J10" s="178">
        <f t="shared" si="0"/>
        <v>3.8400000000000034</v>
      </c>
      <c r="K10" s="179">
        <f t="shared" si="1"/>
        <v>-2.8274795670421939E-2</v>
      </c>
    </row>
    <row r="11" spans="1:11" x14ac:dyDescent="0.35">
      <c r="A11" s="64" t="s">
        <v>109</v>
      </c>
      <c r="B11" s="146">
        <v>1900008137</v>
      </c>
      <c r="C11" s="65">
        <v>45702</v>
      </c>
      <c r="D11" s="66" t="s">
        <v>772</v>
      </c>
      <c r="E11" s="67">
        <v>-245.49</v>
      </c>
      <c r="F11" s="64" t="s">
        <v>132</v>
      </c>
      <c r="G11" s="147" t="s">
        <v>46</v>
      </c>
      <c r="H11" s="180"/>
      <c r="I11" s="175">
        <v>253.65999999999997</v>
      </c>
      <c r="J11" s="178">
        <f t="shared" si="0"/>
        <v>8.1699999999999591</v>
      </c>
      <c r="K11" s="179">
        <f t="shared" si="1"/>
        <v>-3.3280378019471091E-2</v>
      </c>
    </row>
    <row r="12" spans="1:11" x14ac:dyDescent="0.35">
      <c r="A12" s="64" t="s">
        <v>109</v>
      </c>
      <c r="B12" s="146">
        <v>1900008131</v>
      </c>
      <c r="C12" s="65">
        <v>45702</v>
      </c>
      <c r="D12" s="66" t="s">
        <v>766</v>
      </c>
      <c r="E12" s="67">
        <v>-71.36</v>
      </c>
      <c r="F12" s="64" t="s">
        <v>126</v>
      </c>
      <c r="G12" s="147" t="s">
        <v>45</v>
      </c>
      <c r="H12" s="180"/>
      <c r="I12" s="175">
        <v>73.989999999999995</v>
      </c>
      <c r="J12" s="178">
        <f t="shared" si="0"/>
        <v>2.6299999999999955</v>
      </c>
      <c r="K12" s="179">
        <f t="shared" si="1"/>
        <v>-3.6855381165919222E-2</v>
      </c>
    </row>
    <row r="13" spans="1:11" x14ac:dyDescent="0.35">
      <c r="A13" s="64" t="s">
        <v>109</v>
      </c>
      <c r="B13" s="146">
        <v>1900008121</v>
      </c>
      <c r="C13" s="65">
        <v>45702</v>
      </c>
      <c r="D13" s="66" t="s">
        <v>756</v>
      </c>
      <c r="E13" s="67">
        <v>-165.16</v>
      </c>
      <c r="F13" s="64" t="s">
        <v>116</v>
      </c>
      <c r="G13" s="147" t="s">
        <v>92</v>
      </c>
      <c r="H13" s="180"/>
      <c r="I13" s="175">
        <v>165.16</v>
      </c>
      <c r="J13" s="178">
        <f t="shared" si="0"/>
        <v>0</v>
      </c>
      <c r="K13" s="179">
        <f t="shared" si="1"/>
        <v>0</v>
      </c>
    </row>
    <row r="19" spans="8:8" x14ac:dyDescent="0.35">
      <c r="H19" s="177"/>
    </row>
    <row r="20" spans="8:8" x14ac:dyDescent="0.35">
      <c r="H20" s="177"/>
    </row>
    <row r="21" spans="8:8" x14ac:dyDescent="0.35">
      <c r="H21" s="177"/>
    </row>
  </sheetData>
  <mergeCells count="2">
    <mergeCell ref="A1:F1"/>
    <mergeCell ref="G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0621-5BBF-4881-9D14-69D3E774E5B8}">
  <dimension ref="A1:H41"/>
  <sheetViews>
    <sheetView topLeftCell="D1" zoomScale="115" zoomScaleNormal="115" workbookViewId="0">
      <selection activeCell="G1" sqref="G1:H24"/>
    </sheetView>
  </sheetViews>
  <sheetFormatPr defaultRowHeight="14.5" x14ac:dyDescent="0.35"/>
  <cols>
    <col min="1" max="1" width="10" style="39" bestFit="1" customWidth="1"/>
    <col min="2" max="2" width="19.08984375" style="39" bestFit="1" customWidth="1"/>
    <col min="3" max="3" width="16.1796875" style="39" bestFit="1" customWidth="1"/>
    <col min="4" max="4" width="15.90625" style="39" bestFit="1" customWidth="1"/>
    <col min="5" max="5" width="9.81640625" style="39" bestFit="1" customWidth="1"/>
    <col min="6" max="6" width="34" style="39" bestFit="1" customWidth="1"/>
    <col min="7" max="7" width="41.453125" style="39" customWidth="1"/>
    <col min="8" max="8" width="31.36328125" style="165" bestFit="1" customWidth="1"/>
    <col min="9" max="9" width="8.90625" style="39" bestFit="1" customWidth="1"/>
    <col min="10" max="16384" width="8.7265625" style="39"/>
  </cols>
  <sheetData>
    <row r="1" spans="1:8" s="164" customFormat="1" ht="29" x14ac:dyDescent="0.35">
      <c r="A1" s="167" t="s">
        <v>3</v>
      </c>
      <c r="B1" s="168" t="s">
        <v>1</v>
      </c>
      <c r="C1" s="168" t="s">
        <v>4</v>
      </c>
      <c r="D1" s="168" t="s">
        <v>104</v>
      </c>
      <c r="E1" s="167" t="s">
        <v>106</v>
      </c>
      <c r="F1" s="168" t="s">
        <v>11</v>
      </c>
    </row>
    <row r="2" spans="1:8" x14ac:dyDescent="0.35">
      <c r="A2" s="169" t="s">
        <v>109</v>
      </c>
      <c r="B2" s="170">
        <v>1900008146</v>
      </c>
      <c r="C2" s="171">
        <v>45702</v>
      </c>
      <c r="D2" s="172" t="s">
        <v>781</v>
      </c>
      <c r="E2" s="173">
        <v>-226.56</v>
      </c>
      <c r="F2" s="169" t="s">
        <v>141</v>
      </c>
      <c r="H2" s="39"/>
    </row>
    <row r="3" spans="1:8" x14ac:dyDescent="0.35">
      <c r="A3" s="12" t="s">
        <v>109</v>
      </c>
      <c r="B3" s="145">
        <v>1900008159</v>
      </c>
      <c r="C3" s="13">
        <v>45702</v>
      </c>
      <c r="D3" s="42" t="s">
        <v>788</v>
      </c>
      <c r="E3" s="14">
        <v>-1236.05</v>
      </c>
      <c r="F3" s="12" t="s">
        <v>148</v>
      </c>
      <c r="H3" s="39"/>
    </row>
    <row r="4" spans="1:8" x14ac:dyDescent="0.35">
      <c r="A4" s="12" t="s">
        <v>109</v>
      </c>
      <c r="B4" s="145">
        <v>1900008148</v>
      </c>
      <c r="C4" s="13">
        <v>45702</v>
      </c>
      <c r="D4" s="42" t="s">
        <v>783</v>
      </c>
      <c r="E4" s="14">
        <v>-23.6</v>
      </c>
      <c r="F4" s="12" t="s">
        <v>143</v>
      </c>
      <c r="H4" s="39"/>
    </row>
    <row r="5" spans="1:8" x14ac:dyDescent="0.35">
      <c r="A5" s="12" t="s">
        <v>109</v>
      </c>
      <c r="B5" s="145">
        <v>1900008120</v>
      </c>
      <c r="C5" s="13">
        <v>45702</v>
      </c>
      <c r="D5" s="42" t="s">
        <v>755</v>
      </c>
      <c r="E5" s="14">
        <v>-23.6</v>
      </c>
      <c r="F5" s="12" t="s">
        <v>115</v>
      </c>
      <c r="H5" s="39"/>
    </row>
    <row r="6" spans="1:8" x14ac:dyDescent="0.35">
      <c r="H6" s="39"/>
    </row>
    <row r="7" spans="1:8" x14ac:dyDescent="0.35">
      <c r="A7" s="144"/>
      <c r="B7" s="91"/>
      <c r="C7" s="91"/>
      <c r="D7" s="91"/>
      <c r="E7" s="144"/>
      <c r="F7" s="91"/>
      <c r="H7" s="39"/>
    </row>
    <row r="8" spans="1:8" x14ac:dyDescent="0.35">
      <c r="A8" s="144"/>
      <c r="B8" s="91"/>
      <c r="C8" s="91"/>
      <c r="D8" s="91"/>
      <c r="E8" s="144"/>
      <c r="F8" s="91"/>
      <c r="H8" s="39"/>
    </row>
    <row r="9" spans="1:8" x14ac:dyDescent="0.35">
      <c r="A9" s="8"/>
      <c r="B9" s="8"/>
      <c r="C9" s="8"/>
      <c r="D9" s="8"/>
      <c r="E9" s="8"/>
      <c r="F9" s="8"/>
      <c r="H9" s="39"/>
    </row>
    <row r="10" spans="1:8" x14ac:dyDescent="0.35">
      <c r="A10" s="8"/>
      <c r="B10" s="8"/>
      <c r="C10" s="8"/>
      <c r="D10" s="8"/>
      <c r="E10" s="8"/>
      <c r="F10" s="8"/>
      <c r="H10" s="39"/>
    </row>
    <row r="11" spans="1:8" x14ac:dyDescent="0.35">
      <c r="A11" s="8"/>
      <c r="B11" s="8"/>
      <c r="C11" s="8"/>
      <c r="D11" s="8"/>
      <c r="E11" s="8"/>
      <c r="F11" s="8"/>
      <c r="H11" s="39"/>
    </row>
    <row r="12" spans="1:8" x14ac:dyDescent="0.35">
      <c r="A12" s="8"/>
      <c r="B12" s="8"/>
      <c r="C12" s="8"/>
      <c r="D12" s="8"/>
      <c r="E12" s="8"/>
      <c r="F12" s="8"/>
      <c r="H12" s="39"/>
    </row>
    <row r="13" spans="1:8" x14ac:dyDescent="0.35">
      <c r="A13" s="8"/>
      <c r="B13" s="8"/>
      <c r="C13" s="8"/>
      <c r="D13" s="8"/>
      <c r="E13" s="8"/>
      <c r="F13" s="8"/>
      <c r="H13" s="39"/>
    </row>
    <row r="14" spans="1:8" x14ac:dyDescent="0.35">
      <c r="A14" s="144"/>
      <c r="B14" s="91"/>
      <c r="C14" s="91"/>
      <c r="D14" s="91"/>
      <c r="E14" s="144"/>
      <c r="F14" s="91"/>
      <c r="H14" s="39"/>
    </row>
    <row r="15" spans="1:8" x14ac:dyDescent="0.35">
      <c r="A15" s="144"/>
      <c r="B15" s="91"/>
      <c r="C15" s="91"/>
      <c r="D15" s="91"/>
      <c r="E15" s="144"/>
      <c r="F15" s="91"/>
      <c r="H15" s="39"/>
    </row>
    <row r="16" spans="1:8" x14ac:dyDescent="0.35">
      <c r="A16" s="144"/>
      <c r="B16" s="91"/>
      <c r="C16" s="91"/>
      <c r="D16" s="91"/>
      <c r="E16" s="144"/>
      <c r="F16" s="91"/>
      <c r="H16" s="39"/>
    </row>
    <row r="17" spans="1:8" x14ac:dyDescent="0.35">
      <c r="A17" s="8"/>
      <c r="B17" s="8"/>
      <c r="C17" s="8"/>
      <c r="D17" s="8"/>
      <c r="E17" s="8"/>
      <c r="F17" s="8"/>
      <c r="H17" s="39"/>
    </row>
    <row r="18" spans="1:8" x14ac:dyDescent="0.35">
      <c r="A18" s="144"/>
      <c r="B18" s="91"/>
      <c r="C18" s="91"/>
      <c r="D18" s="91"/>
      <c r="E18" s="144"/>
      <c r="F18" s="91"/>
      <c r="H18" s="39"/>
    </row>
    <row r="19" spans="1:8" x14ac:dyDescent="0.35">
      <c r="A19" s="144"/>
      <c r="B19" s="91"/>
      <c r="C19" s="91"/>
      <c r="D19" s="91"/>
      <c r="E19" s="144"/>
      <c r="F19" s="91"/>
      <c r="H19" s="39"/>
    </row>
    <row r="20" spans="1:8" x14ac:dyDescent="0.35">
      <c r="A20" s="144"/>
      <c r="B20" s="91"/>
      <c r="C20" s="91"/>
      <c r="D20" s="91"/>
      <c r="E20" s="144"/>
      <c r="F20" s="91"/>
      <c r="H20" s="39"/>
    </row>
    <row r="21" spans="1:8" x14ac:dyDescent="0.35">
      <c r="A21" s="144"/>
      <c r="B21" s="91"/>
      <c r="C21" s="91"/>
      <c r="D21" s="91"/>
      <c r="E21" s="144"/>
      <c r="F21" s="91"/>
      <c r="H21" s="39"/>
    </row>
    <row r="22" spans="1:8" x14ac:dyDescent="0.35">
      <c r="A22" s="144"/>
      <c r="B22" s="91"/>
      <c r="C22" s="91"/>
      <c r="D22" s="91"/>
      <c r="E22" s="144"/>
      <c r="F22" s="91"/>
      <c r="H22" s="39"/>
    </row>
    <row r="23" spans="1:8" x14ac:dyDescent="0.35">
      <c r="A23" s="8"/>
      <c r="B23" s="8"/>
      <c r="C23" s="8"/>
      <c r="D23" s="8"/>
      <c r="E23" s="8"/>
      <c r="F23" s="8"/>
      <c r="H23" s="39"/>
    </row>
    <row r="24" spans="1:8" x14ac:dyDescent="0.35">
      <c r="A24" s="8"/>
      <c r="B24" s="8"/>
      <c r="C24" s="8"/>
      <c r="D24" s="8"/>
      <c r="E24" s="8"/>
      <c r="F24" s="8"/>
      <c r="H24" s="39"/>
    </row>
    <row r="25" spans="1:8" x14ac:dyDescent="0.35">
      <c r="A25" s="144"/>
      <c r="B25" s="91"/>
      <c r="C25" s="91"/>
      <c r="D25" s="91"/>
      <c r="E25" s="144"/>
      <c r="F25" s="91"/>
      <c r="G25" s="8"/>
      <c r="H25" s="176"/>
    </row>
    <row r="26" spans="1:8" x14ac:dyDescent="0.35">
      <c r="A26" s="8"/>
      <c r="B26" s="8"/>
      <c r="C26" s="8"/>
      <c r="D26" s="8"/>
      <c r="E26" s="8"/>
      <c r="F26" s="8"/>
      <c r="G26" s="8"/>
      <c r="H26" s="182"/>
    </row>
    <row r="27" spans="1:8" x14ac:dyDescent="0.35">
      <c r="A27" s="8"/>
      <c r="B27" s="8"/>
      <c r="C27" s="8"/>
      <c r="D27" s="8"/>
      <c r="E27" s="8"/>
      <c r="F27" s="8"/>
      <c r="G27" s="8"/>
      <c r="H27" s="176"/>
    </row>
    <row r="28" spans="1:8" x14ac:dyDescent="0.35">
      <c r="A28" s="8"/>
      <c r="B28" s="8"/>
      <c r="C28" s="8"/>
      <c r="D28" s="8"/>
      <c r="E28" s="8"/>
      <c r="F28" s="8"/>
      <c r="G28" s="8"/>
      <c r="H28" s="176"/>
    </row>
    <row r="29" spans="1:8" x14ac:dyDescent="0.35">
      <c r="A29" s="8"/>
      <c r="B29" s="8"/>
      <c r="C29" s="8"/>
      <c r="D29" s="8"/>
      <c r="E29" s="8"/>
      <c r="F29" s="8"/>
      <c r="G29" s="8"/>
      <c r="H29" s="176"/>
    </row>
    <row r="30" spans="1:8" x14ac:dyDescent="0.35">
      <c r="A30" s="8"/>
      <c r="H30" s="39"/>
    </row>
    <row r="31" spans="1:8" x14ac:dyDescent="0.35">
      <c r="A31" s="8"/>
      <c r="H31" s="39"/>
    </row>
    <row r="32" spans="1:8" x14ac:dyDescent="0.35">
      <c r="A32" s="8"/>
      <c r="H32" s="39"/>
    </row>
    <row r="33" spans="1:8" x14ac:dyDescent="0.35">
      <c r="A33" s="8"/>
      <c r="H33" s="39"/>
    </row>
    <row r="34" spans="1:8" x14ac:dyDescent="0.35">
      <c r="A34" s="8"/>
      <c r="H34" s="39"/>
    </row>
    <row r="35" spans="1:8" x14ac:dyDescent="0.35">
      <c r="A35" s="8"/>
      <c r="H35" s="39"/>
    </row>
    <row r="36" spans="1:8" x14ac:dyDescent="0.35">
      <c r="A36" s="8"/>
      <c r="H36" s="39"/>
    </row>
    <row r="37" spans="1:8" x14ac:dyDescent="0.35">
      <c r="A37" s="8"/>
      <c r="H37" s="39"/>
    </row>
    <row r="38" spans="1:8" x14ac:dyDescent="0.35">
      <c r="A38" s="8"/>
      <c r="H38" s="39"/>
    </row>
    <row r="39" spans="1:8" x14ac:dyDescent="0.35">
      <c r="A39" s="8"/>
      <c r="H39" s="39"/>
    </row>
    <row r="41" spans="1:8" x14ac:dyDescent="0.35">
      <c r="E41" s="166">
        <f>SUM(E23:E40)</f>
        <v>0</v>
      </c>
    </row>
  </sheetData>
  <autoFilter ref="G1:H26" xr:uid="{1E6C0621-5BBF-4881-9D14-69D3E774E5B8}">
    <sortState xmlns:xlrd2="http://schemas.microsoft.com/office/spreadsheetml/2017/richdata2" ref="G2:H26">
      <sortCondition ref="G1:G2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F403-109F-4C58-84F9-C097348F0B1B}">
  <dimension ref="A1:J2"/>
  <sheetViews>
    <sheetView workbookViewId="0">
      <selection activeCell="B1" sqref="B1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8" max="8" width="9.453125" bestFit="1" customWidth="1"/>
    <col min="9" max="9" width="39.54296875" bestFit="1" customWidth="1"/>
    <col min="10" max="10" width="16.7265625" bestFit="1" customWidth="1"/>
  </cols>
  <sheetData>
    <row r="1" spans="1:10" ht="58" x14ac:dyDescent="0.35">
      <c r="A1" s="1" t="s">
        <v>1</v>
      </c>
      <c r="B1" s="2" t="s">
        <v>3</v>
      </c>
      <c r="C1" s="1" t="s">
        <v>4</v>
      </c>
      <c r="D1" s="1" t="s">
        <v>104</v>
      </c>
      <c r="E1" s="2" t="s">
        <v>292</v>
      </c>
      <c r="F1" s="2" t="s">
        <v>293</v>
      </c>
      <c r="G1" s="2" t="s">
        <v>294</v>
      </c>
      <c r="H1" s="2" t="s">
        <v>295</v>
      </c>
      <c r="I1" s="1" t="s">
        <v>11</v>
      </c>
      <c r="J1" s="1" t="s">
        <v>10</v>
      </c>
    </row>
    <row r="2" spans="1:10" x14ac:dyDescent="0.35">
      <c r="A2" s="12" t="s">
        <v>439</v>
      </c>
      <c r="B2" s="12" t="s">
        <v>26</v>
      </c>
      <c r="C2" s="13">
        <v>45923</v>
      </c>
      <c r="D2" s="42">
        <v>246779413054</v>
      </c>
      <c r="E2" s="12" t="s">
        <v>110</v>
      </c>
      <c r="F2" s="14">
        <v>-131.74</v>
      </c>
      <c r="G2" s="12" t="s">
        <v>20</v>
      </c>
      <c r="H2" s="14">
        <v>-11420.71</v>
      </c>
      <c r="I2" s="12" t="s">
        <v>27</v>
      </c>
      <c r="J2" s="12" t="s">
        <v>18</v>
      </c>
    </row>
  </sheetData>
  <conditionalFormatting sqref="D1:D2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D19B-13ED-4151-9C3A-F9EE7534CAE0}">
  <dimension ref="A1:R11"/>
  <sheetViews>
    <sheetView topLeftCell="E1" workbookViewId="0">
      <selection activeCell="I10" sqref="I10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5" width="15.54296875" bestFit="1" customWidth="1"/>
    <col min="6" max="6" width="8.26953125" bestFit="1" customWidth="1"/>
    <col min="7" max="7" width="8.81640625" bestFit="1" customWidth="1"/>
    <col min="8" max="9" width="9.453125" bestFit="1" customWidth="1"/>
    <col min="10" max="10" width="37.81640625" bestFit="1" customWidth="1"/>
    <col min="11" max="11" width="10.81640625" bestFit="1" customWidth="1"/>
    <col min="12" max="12" width="3.1796875" bestFit="1" customWidth="1"/>
    <col min="13" max="13" width="10.08984375" bestFit="1" customWidth="1"/>
    <col min="14" max="14" width="12.90625" bestFit="1" customWidth="1"/>
    <col min="16" max="16" width="24.6328125" bestFit="1" customWidth="1"/>
  </cols>
  <sheetData>
    <row r="1" spans="1:18" ht="58" x14ac:dyDescent="0.35">
      <c r="A1" s="1" t="s">
        <v>1</v>
      </c>
      <c r="B1" s="2" t="s">
        <v>3</v>
      </c>
      <c r="C1" s="1" t="s">
        <v>4</v>
      </c>
      <c r="D1" s="1" t="s">
        <v>104</v>
      </c>
      <c r="E1" s="1" t="s">
        <v>819</v>
      </c>
      <c r="F1" s="2" t="s">
        <v>292</v>
      </c>
      <c r="G1" s="2" t="s">
        <v>293</v>
      </c>
      <c r="H1" s="1" t="s">
        <v>183</v>
      </c>
      <c r="I1" s="1" t="s">
        <v>707</v>
      </c>
      <c r="J1" s="1" t="s">
        <v>11</v>
      </c>
      <c r="K1" s="1" t="s">
        <v>821</v>
      </c>
      <c r="L1" s="1" t="s">
        <v>822</v>
      </c>
      <c r="M1" s="1" t="s">
        <v>823</v>
      </c>
      <c r="N1" s="1" t="s">
        <v>820</v>
      </c>
      <c r="O1" s="1" t="s">
        <v>703</v>
      </c>
      <c r="P1" s="1" t="s">
        <v>702</v>
      </c>
      <c r="Q1" s="1" t="s">
        <v>824</v>
      </c>
      <c r="R1" s="1" t="s">
        <v>827</v>
      </c>
    </row>
    <row r="2" spans="1:18" x14ac:dyDescent="0.35">
      <c r="A2" s="12" t="s">
        <v>324</v>
      </c>
      <c r="B2" s="12" t="s">
        <v>23</v>
      </c>
      <c r="C2" s="13">
        <v>45736</v>
      </c>
      <c r="D2" s="42">
        <v>246779413820</v>
      </c>
      <c r="E2" s="12" t="s">
        <v>751</v>
      </c>
      <c r="F2" s="12" t="s">
        <v>110</v>
      </c>
      <c r="G2" s="14">
        <v>354</v>
      </c>
      <c r="H2" s="12">
        <f>_xlfn.XLOOKUP(E2,'Customer Data'!$D:$D,'Customer Data'!$H:$H,,0)</f>
        <v>-200</v>
      </c>
      <c r="I2" s="92">
        <f>G2+H2</f>
        <v>154</v>
      </c>
      <c r="J2" s="12" t="s">
        <v>56</v>
      </c>
      <c r="K2" s="8"/>
      <c r="L2" s="8"/>
      <c r="M2" s="8"/>
      <c r="N2" s="8"/>
      <c r="O2" s="8"/>
      <c r="P2" s="8"/>
      <c r="Q2" s="93">
        <f t="shared" ref="Q2:Q3" si="0">O2+I2</f>
        <v>154</v>
      </c>
      <c r="R2" s="8" t="s">
        <v>825</v>
      </c>
    </row>
    <row r="3" spans="1:18" x14ac:dyDescent="0.35">
      <c r="A3" s="12" t="s">
        <v>460</v>
      </c>
      <c r="B3" s="12" t="s">
        <v>23</v>
      </c>
      <c r="C3" s="13">
        <v>45768</v>
      </c>
      <c r="D3" s="42">
        <v>256779412191</v>
      </c>
      <c r="E3" s="12" t="s">
        <v>798</v>
      </c>
      <c r="F3" s="12" t="s">
        <v>110</v>
      </c>
      <c r="G3" s="14">
        <v>19567.14</v>
      </c>
      <c r="H3" s="12">
        <f>_xlfn.XLOOKUP(E3,'Customer Data'!$D:$D,'Customer Data'!$H:$H,,0)</f>
        <v>-19671.64</v>
      </c>
      <c r="I3" s="92">
        <f t="shared" ref="I3:I10" si="1">G3+H3</f>
        <v>-104.5</v>
      </c>
      <c r="J3" s="12" t="s">
        <v>90</v>
      </c>
      <c r="K3" s="8"/>
      <c r="L3" s="8"/>
      <c r="M3" s="8"/>
      <c r="N3" s="8"/>
      <c r="O3" s="8"/>
      <c r="P3" s="8"/>
      <c r="Q3" s="93">
        <f t="shared" si="0"/>
        <v>-104.5</v>
      </c>
      <c r="R3" s="8" t="s">
        <v>826</v>
      </c>
    </row>
    <row r="4" spans="1:18" x14ac:dyDescent="0.35">
      <c r="A4" s="12" t="s">
        <v>495</v>
      </c>
      <c r="B4" s="12" t="s">
        <v>23</v>
      </c>
      <c r="C4" s="13">
        <v>45904</v>
      </c>
      <c r="D4" s="42">
        <v>256779416958</v>
      </c>
      <c r="E4" s="12"/>
      <c r="F4" s="12" t="s">
        <v>110</v>
      </c>
      <c r="G4" s="14">
        <v>3624.71</v>
      </c>
      <c r="H4" s="12">
        <f>_xlfn.XLOOKUP(D4,'Customer Data'!$D:$D,'Customer Data'!$H:$H,,0)</f>
        <v>-6712.26</v>
      </c>
      <c r="I4" s="92">
        <f t="shared" si="1"/>
        <v>-3087.55</v>
      </c>
      <c r="J4" s="12" t="s">
        <v>496</v>
      </c>
      <c r="K4" s="12" t="s">
        <v>492</v>
      </c>
      <c r="L4" s="12" t="s">
        <v>23</v>
      </c>
      <c r="M4" s="13">
        <v>45889</v>
      </c>
      <c r="N4" s="42">
        <v>256779416698</v>
      </c>
      <c r="O4" s="90">
        <v>3087.55</v>
      </c>
      <c r="P4" s="12" t="s">
        <v>493</v>
      </c>
      <c r="Q4" s="93">
        <f>O4+I4</f>
        <v>0</v>
      </c>
      <c r="R4" s="8" t="s">
        <v>828</v>
      </c>
    </row>
    <row r="5" spans="1:18" x14ac:dyDescent="0.35">
      <c r="A5" s="12" t="s">
        <v>497</v>
      </c>
      <c r="B5" s="12" t="s">
        <v>23</v>
      </c>
      <c r="C5" s="13">
        <v>45904</v>
      </c>
      <c r="D5" s="42">
        <v>256779416959</v>
      </c>
      <c r="E5" s="12"/>
      <c r="F5" s="12" t="s">
        <v>110</v>
      </c>
      <c r="G5" s="14">
        <v>2779.47</v>
      </c>
      <c r="H5" s="12">
        <f>_xlfn.XLOOKUP(D5,'Customer Data'!$D:$D,'Customer Data'!$H:$H,,0)</f>
        <v>-5587.13</v>
      </c>
      <c r="I5" s="92">
        <f t="shared" si="1"/>
        <v>-2807.6600000000003</v>
      </c>
      <c r="J5" s="12" t="s">
        <v>496</v>
      </c>
      <c r="K5" s="12" t="s">
        <v>494</v>
      </c>
      <c r="L5" s="12" t="s">
        <v>23</v>
      </c>
      <c r="M5" s="13">
        <v>45889</v>
      </c>
      <c r="N5" s="42">
        <v>256779416699</v>
      </c>
      <c r="O5" s="90">
        <v>2807.66</v>
      </c>
      <c r="P5" s="12" t="s">
        <v>493</v>
      </c>
      <c r="Q5" s="93">
        <f t="shared" ref="Q5:Q10" si="2">O5+I5</f>
        <v>0</v>
      </c>
      <c r="R5" s="8" t="s">
        <v>828</v>
      </c>
    </row>
    <row r="6" spans="1:18" x14ac:dyDescent="0.35">
      <c r="A6" s="12" t="s">
        <v>501</v>
      </c>
      <c r="B6" s="12" t="s">
        <v>23</v>
      </c>
      <c r="C6" s="13">
        <v>45936</v>
      </c>
      <c r="D6" s="42">
        <v>256779418216</v>
      </c>
      <c r="E6" s="12"/>
      <c r="F6" s="12" t="s">
        <v>110</v>
      </c>
      <c r="G6" s="14">
        <v>3984.09</v>
      </c>
      <c r="H6" s="12">
        <f>_xlfn.XLOOKUP(D6,'Customer Data'!$D:$D,'Customer Data'!$H:$H,,0)</f>
        <v>-8093.39</v>
      </c>
      <c r="I6" s="92">
        <f t="shared" si="1"/>
        <v>-4109.3</v>
      </c>
      <c r="J6" s="12" t="s">
        <v>502</v>
      </c>
      <c r="K6" s="12" t="s">
        <v>498</v>
      </c>
      <c r="L6" s="12" t="s">
        <v>23</v>
      </c>
      <c r="M6" s="13">
        <v>45918</v>
      </c>
      <c r="N6" s="42">
        <v>256779417627</v>
      </c>
      <c r="O6" s="90">
        <v>4109.3</v>
      </c>
      <c r="P6" s="12" t="s">
        <v>499</v>
      </c>
      <c r="Q6" s="93">
        <f t="shared" si="2"/>
        <v>0</v>
      </c>
      <c r="R6" s="8" t="s">
        <v>828</v>
      </c>
    </row>
    <row r="7" spans="1:18" x14ac:dyDescent="0.35">
      <c r="A7" s="12" t="s">
        <v>503</v>
      </c>
      <c r="B7" s="12" t="s">
        <v>23</v>
      </c>
      <c r="C7" s="13">
        <v>45936</v>
      </c>
      <c r="D7" s="42">
        <v>256779418217</v>
      </c>
      <c r="E7" s="12"/>
      <c r="F7" s="12" t="s">
        <v>110</v>
      </c>
      <c r="G7" s="14">
        <v>3863.82</v>
      </c>
      <c r="H7" s="12">
        <f>_xlfn.XLOOKUP(D7,'Customer Data'!$D:$D,'Customer Data'!$H:$H,,0)</f>
        <v>-6196.45</v>
      </c>
      <c r="I7" s="92">
        <f t="shared" si="1"/>
        <v>-2332.6299999999997</v>
      </c>
      <c r="J7" s="12" t="s">
        <v>502</v>
      </c>
      <c r="K7" s="12" t="s">
        <v>500</v>
      </c>
      <c r="L7" s="12" t="s">
        <v>23</v>
      </c>
      <c r="M7" s="13">
        <v>45918</v>
      </c>
      <c r="N7" s="42">
        <v>256779417628</v>
      </c>
      <c r="O7" s="90">
        <v>2332.63</v>
      </c>
      <c r="P7" s="12" t="s">
        <v>499</v>
      </c>
      <c r="Q7" s="93">
        <f t="shared" si="2"/>
        <v>0</v>
      </c>
      <c r="R7" s="8" t="s">
        <v>828</v>
      </c>
    </row>
    <row r="8" spans="1:18" x14ac:dyDescent="0.35">
      <c r="A8" s="12" t="s">
        <v>619</v>
      </c>
      <c r="B8" s="12" t="s">
        <v>23</v>
      </c>
      <c r="C8" s="13">
        <v>45904</v>
      </c>
      <c r="D8" s="42">
        <v>256779417102</v>
      </c>
      <c r="E8" s="12"/>
      <c r="F8" s="12" t="s">
        <v>110</v>
      </c>
      <c r="G8" s="14">
        <v>17.07</v>
      </c>
      <c r="H8" s="12">
        <f>_xlfn.XLOOKUP(D8,'Customer Data'!$D:$D,'Customer Data'!$H:$H,,0)</f>
        <v>-66.22</v>
      </c>
      <c r="I8" s="92">
        <f t="shared" si="1"/>
        <v>-49.15</v>
      </c>
      <c r="J8" s="12" t="s">
        <v>620</v>
      </c>
      <c r="K8" s="12" t="s">
        <v>615</v>
      </c>
      <c r="L8" s="12" t="s">
        <v>23</v>
      </c>
      <c r="M8" s="13">
        <v>45889</v>
      </c>
      <c r="N8" s="42">
        <v>256779416789</v>
      </c>
      <c r="O8" s="90">
        <v>49.15</v>
      </c>
      <c r="P8" s="12" t="s">
        <v>616</v>
      </c>
      <c r="Q8" s="93">
        <f t="shared" si="2"/>
        <v>0</v>
      </c>
      <c r="R8" s="8" t="s">
        <v>828</v>
      </c>
    </row>
    <row r="9" spans="1:18" x14ac:dyDescent="0.35">
      <c r="A9" s="12" t="s">
        <v>641</v>
      </c>
      <c r="B9" s="12" t="s">
        <v>23</v>
      </c>
      <c r="C9" s="13">
        <v>45937</v>
      </c>
      <c r="D9" s="42">
        <v>256779418129</v>
      </c>
      <c r="E9" s="12"/>
      <c r="F9" s="12" t="s">
        <v>110</v>
      </c>
      <c r="G9" s="14">
        <v>82.72</v>
      </c>
      <c r="H9" s="12">
        <f>_xlfn.XLOOKUP(D9,'Customer Data'!$D:$D,'Customer Data'!$H:$H,,0)</f>
        <v>-122.94</v>
      </c>
      <c r="I9" s="92">
        <f t="shared" si="1"/>
        <v>-40.22</v>
      </c>
      <c r="J9" s="12" t="s">
        <v>642</v>
      </c>
      <c r="K9" s="12" t="s">
        <v>634</v>
      </c>
      <c r="L9" s="12" t="s">
        <v>23</v>
      </c>
      <c r="M9" s="13">
        <v>45917</v>
      </c>
      <c r="N9" s="42">
        <v>256779417462</v>
      </c>
      <c r="O9" s="90">
        <v>40.22</v>
      </c>
      <c r="P9" s="12" t="s">
        <v>635</v>
      </c>
      <c r="Q9" s="93">
        <f t="shared" si="2"/>
        <v>0</v>
      </c>
      <c r="R9" s="8" t="s">
        <v>828</v>
      </c>
    </row>
    <row r="10" spans="1:18" x14ac:dyDescent="0.35">
      <c r="A10" s="12" t="s">
        <v>665</v>
      </c>
      <c r="B10" s="12" t="s">
        <v>23</v>
      </c>
      <c r="C10" s="13">
        <v>45785</v>
      </c>
      <c r="D10" s="42">
        <v>256779413572</v>
      </c>
      <c r="E10" s="12"/>
      <c r="F10" s="12" t="s">
        <v>110</v>
      </c>
      <c r="G10" s="14">
        <v>5969.61</v>
      </c>
      <c r="H10" s="12">
        <f>_xlfn.XLOOKUP(D10,'Customer Data'!$D:$D,'Customer Data'!$H:$H,,0)</f>
        <v>-6237.23</v>
      </c>
      <c r="I10" s="92">
        <f t="shared" si="1"/>
        <v>-267.61999999999989</v>
      </c>
      <c r="J10" s="12" t="s">
        <v>666</v>
      </c>
      <c r="K10" s="12" t="s">
        <v>679</v>
      </c>
      <c r="L10" s="12" t="s">
        <v>23</v>
      </c>
      <c r="M10" s="13">
        <v>46036</v>
      </c>
      <c r="N10" s="42">
        <v>256779450748</v>
      </c>
      <c r="O10" s="90">
        <v>267.62</v>
      </c>
      <c r="P10" s="12" t="s">
        <v>681</v>
      </c>
      <c r="Q10" s="93">
        <f t="shared" si="2"/>
        <v>0</v>
      </c>
      <c r="R10" s="8" t="s">
        <v>828</v>
      </c>
    </row>
    <row r="11" spans="1:18" x14ac:dyDescent="0.35">
      <c r="Q11" s="94">
        <f>SUM(Q2:Q10)</f>
        <v>49.5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D8F4-46CA-4627-A723-5D4E847F9D6D}">
  <sheetPr filterMode="1"/>
  <dimension ref="A1:AJ300"/>
  <sheetViews>
    <sheetView topLeftCell="H1" workbookViewId="0">
      <selection activeCell="AD1" sqref="AD1"/>
    </sheetView>
  </sheetViews>
  <sheetFormatPr defaultRowHeight="14.5" x14ac:dyDescent="0.35"/>
  <cols>
    <col min="1" max="1" width="11.453125" hidden="1" customWidth="1"/>
    <col min="2" max="2" width="13.54296875" hidden="1" customWidth="1"/>
    <col min="3" max="3" width="9.81640625" hidden="1" customWidth="1"/>
    <col min="4" max="4" width="27.81640625" hidden="1" customWidth="1"/>
    <col min="5" max="5" width="9.453125" hidden="1" customWidth="1"/>
    <col min="6" max="6" width="6.81640625" hidden="1" customWidth="1"/>
    <col min="7" max="7" width="11.1796875" hidden="1" customWidth="1"/>
    <col min="8" max="8" width="11.54296875" customWidth="1"/>
    <col min="9" max="9" width="4.1796875" customWidth="1"/>
    <col min="10" max="10" width="10.26953125" customWidth="1"/>
    <col min="11" max="11" width="10.08984375" hidden="1" customWidth="1"/>
    <col min="12" max="12" width="20.1796875" hidden="1" customWidth="1"/>
    <col min="13" max="13" width="16.08984375" bestFit="1" customWidth="1"/>
    <col min="14" max="14" width="10.90625" hidden="1" customWidth="1"/>
    <col min="15" max="15" width="20.54296875" hidden="1" customWidth="1"/>
    <col min="16" max="16" width="13.7265625" hidden="1" customWidth="1"/>
    <col min="17" max="17" width="10.1796875" hidden="1" customWidth="1"/>
    <col min="18" max="18" width="10.1796875" customWidth="1"/>
    <col min="19" max="19" width="8.26953125" bestFit="1" customWidth="1"/>
    <col min="20" max="20" width="11.7265625" bestFit="1" customWidth="1"/>
    <col min="21" max="21" width="0" hidden="1" customWidth="1"/>
    <col min="22" max="22" width="13.453125" hidden="1" customWidth="1"/>
    <col min="23" max="23" width="8.453125" hidden="1" customWidth="1"/>
    <col min="24" max="24" width="11.36328125" hidden="1" customWidth="1"/>
    <col min="25" max="25" width="17.26953125" hidden="1" customWidth="1"/>
    <col min="26" max="26" width="14.81640625" hidden="1" customWidth="1"/>
    <col min="27" max="27" width="4.6328125" hidden="1" customWidth="1"/>
    <col min="28" max="28" width="14.6328125" customWidth="1"/>
    <col min="29" max="29" width="12" customWidth="1"/>
    <col min="30" max="30" width="45.7265625" bestFit="1" customWidth="1"/>
    <col min="31" max="33" width="14.08984375" hidden="1" customWidth="1"/>
    <col min="34" max="34" width="19" hidden="1" customWidth="1"/>
    <col min="35" max="35" width="11.90625" hidden="1" customWidth="1"/>
    <col min="36" max="36" width="16.7265625" bestFit="1" customWidth="1"/>
  </cols>
  <sheetData>
    <row r="1" spans="1:36" ht="72.5" x14ac:dyDescent="0.35">
      <c r="A1" s="1" t="s">
        <v>283</v>
      </c>
      <c r="B1" s="1" t="s">
        <v>284</v>
      </c>
      <c r="C1" s="1" t="s">
        <v>12</v>
      </c>
      <c r="D1" s="1" t="s">
        <v>285</v>
      </c>
      <c r="E1" s="1" t="s">
        <v>286</v>
      </c>
      <c r="F1" s="2" t="s">
        <v>287</v>
      </c>
      <c r="G1" s="1" t="s">
        <v>13</v>
      </c>
      <c r="H1" s="1" t="s">
        <v>1</v>
      </c>
      <c r="I1" s="2" t="s">
        <v>3</v>
      </c>
      <c r="J1" s="1" t="s">
        <v>4</v>
      </c>
      <c r="K1" s="1" t="s">
        <v>288</v>
      </c>
      <c r="L1" s="1" t="s">
        <v>289</v>
      </c>
      <c r="M1" s="1" t="s">
        <v>104</v>
      </c>
      <c r="N1" s="1" t="s">
        <v>17</v>
      </c>
      <c r="O1" s="1" t="s">
        <v>290</v>
      </c>
      <c r="P1" s="1" t="s">
        <v>5</v>
      </c>
      <c r="Q1" s="1" t="s">
        <v>291</v>
      </c>
      <c r="R1" s="1" t="s">
        <v>819</v>
      </c>
      <c r="S1" s="2" t="s">
        <v>292</v>
      </c>
      <c r="T1" s="2" t="s">
        <v>293</v>
      </c>
      <c r="U1" s="2" t="s">
        <v>294</v>
      </c>
      <c r="V1" s="2" t="s">
        <v>295</v>
      </c>
      <c r="W1" s="1"/>
      <c r="X1" s="1" t="s">
        <v>709</v>
      </c>
      <c r="Y1" s="1" t="s">
        <v>710</v>
      </c>
      <c r="Z1" s="1" t="s">
        <v>711</v>
      </c>
      <c r="AA1" s="1" t="s">
        <v>712</v>
      </c>
      <c r="AB1" s="1" t="s">
        <v>183</v>
      </c>
      <c r="AC1" s="1" t="s">
        <v>707</v>
      </c>
      <c r="AD1" s="1" t="s">
        <v>11</v>
      </c>
      <c r="AE1" s="1" t="s">
        <v>713</v>
      </c>
      <c r="AF1" s="1" t="s">
        <v>714</v>
      </c>
      <c r="AG1" s="1" t="s">
        <v>715</v>
      </c>
      <c r="AH1" s="1" t="s">
        <v>716</v>
      </c>
      <c r="AI1" s="1" t="s">
        <v>717</v>
      </c>
      <c r="AJ1" s="1" t="s">
        <v>10</v>
      </c>
    </row>
    <row r="2" spans="1:36" hidden="1" x14ac:dyDescent="0.35">
      <c r="A2" s="16" t="s">
        <v>296</v>
      </c>
      <c r="B2" s="16" t="s">
        <v>297</v>
      </c>
      <c r="C2" s="16" t="s">
        <v>21</v>
      </c>
      <c r="D2" s="16" t="s">
        <v>298</v>
      </c>
      <c r="E2" s="16" t="s">
        <v>167</v>
      </c>
      <c r="F2" s="16" t="s">
        <v>303</v>
      </c>
      <c r="G2" s="49">
        <v>45855</v>
      </c>
      <c r="H2" s="16" t="s">
        <v>304</v>
      </c>
      <c r="I2" s="16" t="s">
        <v>19</v>
      </c>
      <c r="J2" s="49">
        <v>45855</v>
      </c>
      <c r="K2" s="49">
        <v>45855</v>
      </c>
      <c r="L2" s="16" t="s">
        <v>305</v>
      </c>
      <c r="M2" s="16" t="s">
        <v>18</v>
      </c>
      <c r="N2" s="16" t="s">
        <v>22</v>
      </c>
      <c r="O2" s="16" t="s">
        <v>300</v>
      </c>
      <c r="P2" s="16" t="s">
        <v>18</v>
      </c>
      <c r="Q2" s="16" t="s">
        <v>306</v>
      </c>
      <c r="R2" s="16" t="e">
        <f>_xlfn.XLOOKUP(M2,'Invoice No Ref'!$C:$C,'Invoice No Ref'!$I:$I,,0)</f>
        <v>#N/A</v>
      </c>
      <c r="S2" s="16" t="s">
        <v>110</v>
      </c>
      <c r="T2" s="50">
        <v>-3814.84</v>
      </c>
      <c r="U2" s="16" t="s">
        <v>20</v>
      </c>
      <c r="V2" s="50">
        <v>-331592.82</v>
      </c>
      <c r="W2" s="16">
        <f>V2/T2</f>
        <v>86.921815855972994</v>
      </c>
      <c r="X2" s="16" t="s">
        <v>718</v>
      </c>
      <c r="Y2" s="16" t="s">
        <v>18</v>
      </c>
      <c r="Z2" s="16" t="s">
        <v>18</v>
      </c>
      <c r="AA2" s="16" t="s">
        <v>299</v>
      </c>
      <c r="AB2" s="16" t="e">
        <f>_xlfn.XLOOKUP(R2,'Customer Data'!$D:$D,'Customer Data'!$F:$F,,0)</f>
        <v>#N/A</v>
      </c>
      <c r="AC2" s="16"/>
      <c r="AD2" s="16" t="s">
        <v>305</v>
      </c>
      <c r="AE2" s="16" t="s">
        <v>18</v>
      </c>
      <c r="AF2" s="16" t="s">
        <v>18</v>
      </c>
      <c r="AG2" s="16" t="s">
        <v>18</v>
      </c>
      <c r="AH2" s="49">
        <v>45855</v>
      </c>
      <c r="AI2" s="49">
        <v>45855</v>
      </c>
      <c r="AJ2" s="16" t="s">
        <v>304</v>
      </c>
    </row>
    <row r="3" spans="1:36" hidden="1" x14ac:dyDescent="0.35">
      <c r="A3" s="16" t="s">
        <v>307</v>
      </c>
      <c r="B3" s="16" t="s">
        <v>297</v>
      </c>
      <c r="C3" s="16" t="s">
        <v>21</v>
      </c>
      <c r="D3" s="16" t="s">
        <v>298</v>
      </c>
      <c r="E3" s="16" t="s">
        <v>167</v>
      </c>
      <c r="F3" s="16" t="s">
        <v>308</v>
      </c>
      <c r="G3" s="49">
        <v>45891</v>
      </c>
      <c r="H3" s="16" t="s">
        <v>309</v>
      </c>
      <c r="I3" s="16" t="s">
        <v>19</v>
      </c>
      <c r="J3" s="49">
        <v>45891</v>
      </c>
      <c r="K3" s="49">
        <v>45891</v>
      </c>
      <c r="L3" s="16" t="s">
        <v>18</v>
      </c>
      <c r="M3" s="16" t="s">
        <v>18</v>
      </c>
      <c r="N3" s="16" t="s">
        <v>22</v>
      </c>
      <c r="O3" s="16" t="s">
        <v>300</v>
      </c>
      <c r="P3" s="16" t="s">
        <v>18</v>
      </c>
      <c r="Q3" s="16" t="s">
        <v>306</v>
      </c>
      <c r="R3" s="16" t="e">
        <f>_xlfn.XLOOKUP(M3,'Invoice No Ref'!$C:$C,'Invoice No Ref'!$I:$I,,0)</f>
        <v>#N/A</v>
      </c>
      <c r="S3" s="16" t="s">
        <v>110</v>
      </c>
      <c r="T3" s="50">
        <v>-123953.28</v>
      </c>
      <c r="U3" s="16" t="s">
        <v>20</v>
      </c>
      <c r="V3" s="50">
        <v>-10774244.689999999</v>
      </c>
      <c r="W3" s="16">
        <f t="shared" ref="W3:W66" si="0">V3/T3</f>
        <v>86.9218199792696</v>
      </c>
      <c r="X3" s="16" t="s">
        <v>719</v>
      </c>
      <c r="Y3" s="16" t="s">
        <v>18</v>
      </c>
      <c r="Z3" s="16" t="s">
        <v>18</v>
      </c>
      <c r="AA3" s="16" t="s">
        <v>302</v>
      </c>
      <c r="AB3" s="16" t="e">
        <f>_xlfn.XLOOKUP(R3,'Customer Data'!$D:$D,'Customer Data'!$F:$F,,0)</f>
        <v>#N/A</v>
      </c>
      <c r="AC3" s="16"/>
      <c r="AD3" s="16" t="s">
        <v>18</v>
      </c>
      <c r="AE3" s="16" t="s">
        <v>18</v>
      </c>
      <c r="AF3" s="16" t="s">
        <v>18</v>
      </c>
      <c r="AG3" s="16" t="s">
        <v>18</v>
      </c>
      <c r="AH3" s="49">
        <v>45891</v>
      </c>
      <c r="AI3" s="49"/>
      <c r="AJ3" s="16" t="s">
        <v>18</v>
      </c>
    </row>
    <row r="4" spans="1:36" hidden="1" x14ac:dyDescent="0.35">
      <c r="A4" s="16" t="s">
        <v>296</v>
      </c>
      <c r="B4" s="16" t="s">
        <v>297</v>
      </c>
      <c r="C4" s="16" t="s">
        <v>21</v>
      </c>
      <c r="D4" s="16" t="s">
        <v>298</v>
      </c>
      <c r="E4" s="16" t="s">
        <v>167</v>
      </c>
      <c r="F4" s="16" t="s">
        <v>303</v>
      </c>
      <c r="G4" s="49">
        <v>45855</v>
      </c>
      <c r="H4" s="16" t="s">
        <v>304</v>
      </c>
      <c r="I4" s="16" t="s">
        <v>19</v>
      </c>
      <c r="J4" s="49">
        <v>45855</v>
      </c>
      <c r="K4" s="49">
        <v>45855</v>
      </c>
      <c r="L4" s="16" t="s">
        <v>305</v>
      </c>
      <c r="M4" s="16" t="s">
        <v>18</v>
      </c>
      <c r="N4" s="16" t="s">
        <v>22</v>
      </c>
      <c r="O4" s="16" t="s">
        <v>300</v>
      </c>
      <c r="P4" s="16" t="s">
        <v>18</v>
      </c>
      <c r="Q4" s="16" t="s">
        <v>306</v>
      </c>
      <c r="R4" s="16" t="e">
        <f>_xlfn.XLOOKUP(M4,'Invoice No Ref'!$C:$C,'Invoice No Ref'!$I:$I,,0)</f>
        <v>#N/A</v>
      </c>
      <c r="S4" s="16" t="s">
        <v>110</v>
      </c>
      <c r="T4" s="50">
        <v>-15968.69</v>
      </c>
      <c r="U4" s="16" t="s">
        <v>20</v>
      </c>
      <c r="V4" s="50">
        <v>-1388027.59</v>
      </c>
      <c r="W4" s="16">
        <f t="shared" si="0"/>
        <v>86.921819510554712</v>
      </c>
      <c r="X4" s="16" t="s">
        <v>18</v>
      </c>
      <c r="Y4" s="16" t="s">
        <v>18</v>
      </c>
      <c r="Z4" s="16" t="s">
        <v>18</v>
      </c>
      <c r="AA4" s="16" t="s">
        <v>310</v>
      </c>
      <c r="AB4" s="16" t="e">
        <f>_xlfn.XLOOKUP(R4,'Customer Data'!$D:$D,'Customer Data'!$F:$F,,0)</f>
        <v>#N/A</v>
      </c>
      <c r="AC4" s="16"/>
      <c r="AD4" s="16" t="s">
        <v>305</v>
      </c>
      <c r="AE4" s="16" t="s">
        <v>18</v>
      </c>
      <c r="AF4" s="16" t="s">
        <v>18</v>
      </c>
      <c r="AG4" s="16" t="s">
        <v>18</v>
      </c>
      <c r="AH4" s="49">
        <v>45855</v>
      </c>
      <c r="AI4" s="49">
        <v>45855</v>
      </c>
      <c r="AJ4" s="16" t="s">
        <v>304</v>
      </c>
    </row>
    <row r="5" spans="1:36" hidden="1" x14ac:dyDescent="0.35">
      <c r="A5" s="16" t="s">
        <v>296</v>
      </c>
      <c r="B5" s="16" t="s">
        <v>297</v>
      </c>
      <c r="C5" s="16" t="s">
        <v>21</v>
      </c>
      <c r="D5" s="16" t="s">
        <v>298</v>
      </c>
      <c r="E5" s="16" t="s">
        <v>167</v>
      </c>
      <c r="F5" s="16" t="s">
        <v>303</v>
      </c>
      <c r="G5" s="49">
        <v>45842</v>
      </c>
      <c r="H5" s="16" t="s">
        <v>313</v>
      </c>
      <c r="I5" s="16" t="s">
        <v>314</v>
      </c>
      <c r="J5" s="49">
        <v>45842</v>
      </c>
      <c r="K5" s="49">
        <v>45842</v>
      </c>
      <c r="L5" s="16" t="s">
        <v>315</v>
      </c>
      <c r="M5" s="16" t="s">
        <v>316</v>
      </c>
      <c r="N5" s="16" t="s">
        <v>22</v>
      </c>
      <c r="O5" s="16" t="s">
        <v>300</v>
      </c>
      <c r="P5" s="16" t="s">
        <v>18</v>
      </c>
      <c r="Q5" s="16" t="s">
        <v>306</v>
      </c>
      <c r="R5" s="16" t="e">
        <f>_xlfn.XLOOKUP(M5,'Invoice No Ref'!$C:$C,'Invoice No Ref'!$I:$I,,0)</f>
        <v>#N/A</v>
      </c>
      <c r="S5" s="16" t="s">
        <v>110</v>
      </c>
      <c r="T5" s="50">
        <v>0</v>
      </c>
      <c r="U5" s="16" t="s">
        <v>20</v>
      </c>
      <c r="V5" s="50">
        <v>0</v>
      </c>
      <c r="W5" s="16" t="e">
        <f t="shared" si="0"/>
        <v>#DIV/0!</v>
      </c>
      <c r="X5" s="16" t="s">
        <v>718</v>
      </c>
      <c r="Y5" s="16" t="s">
        <v>18</v>
      </c>
      <c r="Z5" s="16" t="s">
        <v>18</v>
      </c>
      <c r="AA5" s="16" t="s">
        <v>301</v>
      </c>
      <c r="AB5" s="16" t="e">
        <f>_xlfn.XLOOKUP(R5,'Customer Data'!$D:$D,'Customer Data'!$F:$F,,0)</f>
        <v>#N/A</v>
      </c>
      <c r="AC5" s="16"/>
      <c r="AD5" s="16" t="s">
        <v>18</v>
      </c>
      <c r="AE5" s="16" t="s">
        <v>18</v>
      </c>
      <c r="AF5" s="16" t="s">
        <v>18</v>
      </c>
      <c r="AG5" s="16" t="s">
        <v>18</v>
      </c>
      <c r="AH5" s="49">
        <v>45842</v>
      </c>
      <c r="AI5" s="49">
        <v>45842</v>
      </c>
      <c r="AJ5" s="16" t="s">
        <v>313</v>
      </c>
    </row>
    <row r="6" spans="1:36" x14ac:dyDescent="0.35">
      <c r="A6" s="16" t="s">
        <v>296</v>
      </c>
      <c r="B6" s="16" t="s">
        <v>297</v>
      </c>
      <c r="C6" s="16" t="s">
        <v>21</v>
      </c>
      <c r="D6" s="16" t="s">
        <v>298</v>
      </c>
      <c r="E6" s="16" t="s">
        <v>167</v>
      </c>
      <c r="F6" s="16" t="s">
        <v>310</v>
      </c>
      <c r="G6" s="49">
        <v>45735</v>
      </c>
      <c r="H6" s="16" t="s">
        <v>317</v>
      </c>
      <c r="I6" s="16" t="s">
        <v>23</v>
      </c>
      <c r="J6" s="49">
        <v>45735</v>
      </c>
      <c r="K6" s="49">
        <v>45736</v>
      </c>
      <c r="L6" s="16" t="s">
        <v>315</v>
      </c>
      <c r="M6" s="61">
        <v>246779413054</v>
      </c>
      <c r="N6" s="16" t="s">
        <v>22</v>
      </c>
      <c r="O6" s="16" t="s">
        <v>300</v>
      </c>
      <c r="P6" s="16" t="s">
        <v>18</v>
      </c>
      <c r="Q6" s="16" t="s">
        <v>312</v>
      </c>
      <c r="R6" s="16" t="e">
        <f>_xlfn.XLOOKUP(M6,'Invoice No Ref'!$C:$C,'Invoice No Ref'!$I:$I,,0)</f>
        <v>#N/A</v>
      </c>
      <c r="S6" s="16" t="s">
        <v>110</v>
      </c>
      <c r="T6" s="50">
        <v>131.74</v>
      </c>
      <c r="U6" s="16" t="s">
        <v>20</v>
      </c>
      <c r="V6" s="50">
        <v>11420.71</v>
      </c>
      <c r="W6" s="16">
        <f t="shared" si="0"/>
        <v>86.691285866099875</v>
      </c>
      <c r="X6" s="16" t="s">
        <v>718</v>
      </c>
      <c r="Y6" s="16" t="s">
        <v>18</v>
      </c>
      <c r="Z6" s="16" t="s">
        <v>315</v>
      </c>
      <c r="AA6" s="16" t="s">
        <v>301</v>
      </c>
      <c r="AB6" s="16" t="e">
        <f>_xlfn.XLOOKUP(R6,'Customer Data'!$D:$D,'Customer Data'!$F:$F,,0)</f>
        <v>#N/A</v>
      </c>
      <c r="AC6" s="16"/>
      <c r="AD6" s="16" t="s">
        <v>318</v>
      </c>
      <c r="AE6" s="16" t="s">
        <v>18</v>
      </c>
      <c r="AF6" s="16" t="s">
        <v>18</v>
      </c>
      <c r="AG6" s="16" t="s">
        <v>18</v>
      </c>
      <c r="AH6" s="49">
        <v>45735</v>
      </c>
      <c r="AI6" s="49">
        <v>45842</v>
      </c>
      <c r="AJ6" s="16" t="s">
        <v>313</v>
      </c>
    </row>
    <row r="7" spans="1:36" hidden="1" x14ac:dyDescent="0.35">
      <c r="A7" s="16" t="s">
        <v>296</v>
      </c>
      <c r="B7" s="16" t="s">
        <v>297</v>
      </c>
      <c r="C7" s="16" t="s">
        <v>21</v>
      </c>
      <c r="D7" s="16" t="s">
        <v>298</v>
      </c>
      <c r="E7" s="16" t="s">
        <v>167</v>
      </c>
      <c r="F7" s="16" t="s">
        <v>311</v>
      </c>
      <c r="G7" s="49">
        <v>45976</v>
      </c>
      <c r="H7" s="16" t="s">
        <v>319</v>
      </c>
      <c r="I7" s="16" t="s">
        <v>314</v>
      </c>
      <c r="J7" s="49">
        <v>45976</v>
      </c>
      <c r="K7" s="49">
        <v>45976</v>
      </c>
      <c r="L7" s="16" t="s">
        <v>315</v>
      </c>
      <c r="M7" s="61" t="s">
        <v>316</v>
      </c>
      <c r="N7" s="16" t="s">
        <v>22</v>
      </c>
      <c r="O7" s="16" t="s">
        <v>300</v>
      </c>
      <c r="P7" s="16" t="s">
        <v>18</v>
      </c>
      <c r="Q7" s="16" t="s">
        <v>320</v>
      </c>
      <c r="R7" s="16" t="e">
        <f>_xlfn.XLOOKUP(M7,'Invoice No Ref'!$C:$C,'Invoice No Ref'!$I:$I,,0)</f>
        <v>#N/A</v>
      </c>
      <c r="S7" s="16" t="s">
        <v>110</v>
      </c>
      <c r="T7" s="50">
        <v>3981.8</v>
      </c>
      <c r="U7" s="16" t="s">
        <v>20</v>
      </c>
      <c r="V7" s="50">
        <v>351158.01</v>
      </c>
      <c r="W7" s="16">
        <f t="shared" si="0"/>
        <v>88.190770505801396</v>
      </c>
      <c r="X7" s="16" t="s">
        <v>720</v>
      </c>
      <c r="Y7" s="16" t="s">
        <v>18</v>
      </c>
      <c r="Z7" s="16" t="s">
        <v>18</v>
      </c>
      <c r="AA7" s="16" t="s">
        <v>301</v>
      </c>
      <c r="AB7" s="16" t="e">
        <f>_xlfn.XLOOKUP(R7,'Customer Data'!$D:$D,'Customer Data'!$F:$F,,0)</f>
        <v>#N/A</v>
      </c>
      <c r="AC7" s="16"/>
      <c r="AD7" s="16" t="s">
        <v>18</v>
      </c>
      <c r="AE7" s="16" t="s">
        <v>18</v>
      </c>
      <c r="AF7" s="16" t="s">
        <v>18</v>
      </c>
      <c r="AG7" s="16" t="s">
        <v>18</v>
      </c>
      <c r="AH7" s="49">
        <v>45976</v>
      </c>
      <c r="AI7" s="49">
        <v>45976</v>
      </c>
      <c r="AJ7" s="16" t="s">
        <v>319</v>
      </c>
    </row>
    <row r="8" spans="1:36" hidden="1" x14ac:dyDescent="0.35">
      <c r="A8" s="16" t="s">
        <v>296</v>
      </c>
      <c r="B8" s="16" t="s">
        <v>297</v>
      </c>
      <c r="C8" s="16" t="s">
        <v>21</v>
      </c>
      <c r="D8" s="16" t="s">
        <v>298</v>
      </c>
      <c r="E8" s="16" t="s">
        <v>167</v>
      </c>
      <c r="F8" s="16" t="s">
        <v>311</v>
      </c>
      <c r="G8" s="49">
        <v>45976</v>
      </c>
      <c r="H8" s="16" t="s">
        <v>319</v>
      </c>
      <c r="I8" s="16" t="s">
        <v>314</v>
      </c>
      <c r="J8" s="49">
        <v>45976</v>
      </c>
      <c r="K8" s="49">
        <v>45976</v>
      </c>
      <c r="L8" s="16" t="s">
        <v>315</v>
      </c>
      <c r="M8" s="61" t="s">
        <v>316</v>
      </c>
      <c r="N8" s="16" t="s">
        <v>22</v>
      </c>
      <c r="O8" s="16" t="s">
        <v>300</v>
      </c>
      <c r="P8" s="16" t="s">
        <v>18</v>
      </c>
      <c r="Q8" s="16" t="s">
        <v>306</v>
      </c>
      <c r="R8" s="16" t="e">
        <f>_xlfn.XLOOKUP(M8,'Invoice No Ref'!$C:$C,'Invoice No Ref'!$I:$I,,0)</f>
        <v>#N/A</v>
      </c>
      <c r="S8" s="16" t="s">
        <v>110</v>
      </c>
      <c r="T8" s="50">
        <v>-3981.8</v>
      </c>
      <c r="U8" s="16" t="s">
        <v>20</v>
      </c>
      <c r="V8" s="50">
        <v>-351158.01</v>
      </c>
      <c r="W8" s="16">
        <f t="shared" si="0"/>
        <v>88.190770505801396</v>
      </c>
      <c r="X8" s="16" t="s">
        <v>720</v>
      </c>
      <c r="Y8" s="16" t="s">
        <v>18</v>
      </c>
      <c r="Z8" s="16" t="s">
        <v>18</v>
      </c>
      <c r="AA8" s="16" t="s">
        <v>302</v>
      </c>
      <c r="AB8" s="16" t="e">
        <f>_xlfn.XLOOKUP(R8,'Customer Data'!$D:$D,'Customer Data'!$F:$F,,0)</f>
        <v>#N/A</v>
      </c>
      <c r="AC8" s="16"/>
      <c r="AD8" s="16" t="s">
        <v>18</v>
      </c>
      <c r="AE8" s="16" t="s">
        <v>18</v>
      </c>
      <c r="AF8" s="16" t="s">
        <v>18</v>
      </c>
      <c r="AG8" s="16" t="s">
        <v>18</v>
      </c>
      <c r="AH8" s="49">
        <v>45976</v>
      </c>
      <c r="AI8" s="49">
        <v>45976</v>
      </c>
      <c r="AJ8" s="16" t="s">
        <v>319</v>
      </c>
    </row>
    <row r="9" spans="1:36" hidden="1" x14ac:dyDescent="0.35">
      <c r="A9" s="16" t="s">
        <v>307</v>
      </c>
      <c r="B9" s="16" t="s">
        <v>297</v>
      </c>
      <c r="C9" s="16" t="s">
        <v>21</v>
      </c>
      <c r="D9" s="16" t="s">
        <v>298</v>
      </c>
      <c r="E9" s="16" t="s">
        <v>167</v>
      </c>
      <c r="F9" s="16" t="s">
        <v>310</v>
      </c>
      <c r="G9" s="49">
        <v>45736</v>
      </c>
      <c r="H9" s="16" t="s">
        <v>321</v>
      </c>
      <c r="I9" s="16" t="s">
        <v>23</v>
      </c>
      <c r="J9" s="49">
        <v>45736</v>
      </c>
      <c r="K9" s="49">
        <v>45737</v>
      </c>
      <c r="L9" s="16" t="s">
        <v>315</v>
      </c>
      <c r="M9" s="61">
        <v>246779414343</v>
      </c>
      <c r="N9" s="16" t="s">
        <v>22</v>
      </c>
      <c r="O9" s="16" t="s">
        <v>300</v>
      </c>
      <c r="P9" s="16" t="s">
        <v>18</v>
      </c>
      <c r="Q9" s="16" t="s">
        <v>312</v>
      </c>
      <c r="R9" s="16" t="str">
        <f>_xlfn.XLOOKUP(M9,'Invoice No Ref'!$C:$C,'Invoice No Ref'!$I:$I,,0)</f>
        <v>6779IV124000258</v>
      </c>
      <c r="S9" s="16" t="s">
        <v>110</v>
      </c>
      <c r="T9" s="50">
        <v>118</v>
      </c>
      <c r="U9" s="16" t="s">
        <v>20</v>
      </c>
      <c r="V9" s="50">
        <v>10229.57</v>
      </c>
      <c r="W9" s="16">
        <f t="shared" si="0"/>
        <v>86.691271186440673</v>
      </c>
      <c r="X9" s="16" t="s">
        <v>718</v>
      </c>
      <c r="Y9" s="16" t="s">
        <v>18</v>
      </c>
      <c r="Z9" s="16" t="s">
        <v>315</v>
      </c>
      <c r="AA9" s="16" t="s">
        <v>301</v>
      </c>
      <c r="AB9" s="16">
        <f>_xlfn.XLOOKUP(R9,'Customer Data'!$D:$D,'Customer Data'!$F:$F,,0)</f>
        <v>-118</v>
      </c>
      <c r="AC9" s="62">
        <f t="shared" ref="AC9:AC10" si="1">AB9+T9</f>
        <v>0</v>
      </c>
      <c r="AD9" s="16" t="s">
        <v>68</v>
      </c>
      <c r="AE9" s="16" t="s">
        <v>18</v>
      </c>
      <c r="AF9" s="16" t="s">
        <v>18</v>
      </c>
      <c r="AG9" s="16" t="s">
        <v>18</v>
      </c>
      <c r="AH9" s="49">
        <v>45736</v>
      </c>
      <c r="AI9" s="49"/>
      <c r="AJ9" s="16" t="s">
        <v>18</v>
      </c>
    </row>
    <row r="10" spans="1:36" hidden="1" x14ac:dyDescent="0.35">
      <c r="A10" s="16" t="s">
        <v>307</v>
      </c>
      <c r="B10" s="16" t="s">
        <v>297</v>
      </c>
      <c r="C10" s="16" t="s">
        <v>21</v>
      </c>
      <c r="D10" s="16" t="s">
        <v>298</v>
      </c>
      <c r="E10" s="16" t="s">
        <v>167</v>
      </c>
      <c r="F10" s="16" t="s">
        <v>310</v>
      </c>
      <c r="G10" s="49">
        <v>45736</v>
      </c>
      <c r="H10" s="16" t="s">
        <v>322</v>
      </c>
      <c r="I10" s="16" t="s">
        <v>23</v>
      </c>
      <c r="J10" s="49">
        <v>45736</v>
      </c>
      <c r="K10" s="49">
        <v>45737</v>
      </c>
      <c r="L10" s="16" t="s">
        <v>315</v>
      </c>
      <c r="M10" s="61">
        <v>246779414424</v>
      </c>
      <c r="N10" s="16" t="s">
        <v>22</v>
      </c>
      <c r="O10" s="16" t="s">
        <v>300</v>
      </c>
      <c r="P10" s="16" t="s">
        <v>18</v>
      </c>
      <c r="Q10" s="16" t="s">
        <v>312</v>
      </c>
      <c r="R10" s="16" t="str">
        <f>_xlfn.XLOOKUP(M10,'Invoice No Ref'!$C:$C,'Invoice No Ref'!$I:$I,,0)</f>
        <v>6779IV124000276</v>
      </c>
      <c r="S10" s="16" t="s">
        <v>110</v>
      </c>
      <c r="T10" s="50">
        <v>118</v>
      </c>
      <c r="U10" s="16" t="s">
        <v>20</v>
      </c>
      <c r="V10" s="50">
        <v>10229.57</v>
      </c>
      <c r="W10" s="16">
        <f t="shared" si="0"/>
        <v>86.691271186440673</v>
      </c>
      <c r="X10" s="16" t="s">
        <v>718</v>
      </c>
      <c r="Y10" s="16" t="s">
        <v>18</v>
      </c>
      <c r="Z10" s="16" t="s">
        <v>315</v>
      </c>
      <c r="AA10" s="16" t="s">
        <v>301</v>
      </c>
      <c r="AB10" s="16">
        <f>_xlfn.XLOOKUP(R10,'Customer Data'!$D:$D,'Customer Data'!$F:$F,,0)</f>
        <v>-118</v>
      </c>
      <c r="AC10" s="62">
        <f t="shared" si="1"/>
        <v>0</v>
      </c>
      <c r="AD10" s="16" t="s">
        <v>73</v>
      </c>
      <c r="AE10" s="16" t="s">
        <v>18</v>
      </c>
      <c r="AF10" s="16" t="s">
        <v>18</v>
      </c>
      <c r="AG10" s="16" t="s">
        <v>18</v>
      </c>
      <c r="AH10" s="49">
        <v>45736</v>
      </c>
      <c r="AI10" s="49"/>
      <c r="AJ10" s="16" t="s">
        <v>18</v>
      </c>
    </row>
    <row r="11" spans="1:36" x14ac:dyDescent="0.35">
      <c r="A11" s="16" t="s">
        <v>307</v>
      </c>
      <c r="B11" s="16" t="s">
        <v>297</v>
      </c>
      <c r="C11" s="16" t="s">
        <v>21</v>
      </c>
      <c r="D11" s="16" t="s">
        <v>298</v>
      </c>
      <c r="E11" s="16" t="s">
        <v>167</v>
      </c>
      <c r="F11" s="16" t="s">
        <v>299</v>
      </c>
      <c r="G11" s="49">
        <v>45763</v>
      </c>
      <c r="H11" s="16" t="s">
        <v>323</v>
      </c>
      <c r="I11" s="16" t="s">
        <v>23</v>
      </c>
      <c r="J11" s="49">
        <v>45763</v>
      </c>
      <c r="K11" s="49">
        <v>45763</v>
      </c>
      <c r="L11" s="16" t="s">
        <v>315</v>
      </c>
      <c r="M11" s="61">
        <v>256779411214</v>
      </c>
      <c r="N11" s="16" t="s">
        <v>22</v>
      </c>
      <c r="O11" s="16" t="s">
        <v>300</v>
      </c>
      <c r="P11" s="16" t="s">
        <v>18</v>
      </c>
      <c r="Q11" s="16" t="s">
        <v>312</v>
      </c>
      <c r="R11" s="16" t="e">
        <f>_xlfn.XLOOKUP(M11,'Invoice No Ref'!$C:$C,'Invoice No Ref'!$I:$I,,0)</f>
        <v>#N/A</v>
      </c>
      <c r="S11" s="16" t="s">
        <v>110</v>
      </c>
      <c r="T11" s="50">
        <v>11.8</v>
      </c>
      <c r="U11" s="16" t="s">
        <v>20</v>
      </c>
      <c r="V11" s="50">
        <v>1025.68</v>
      </c>
      <c r="W11" s="16">
        <f t="shared" si="0"/>
        <v>86.922033898305088</v>
      </c>
      <c r="X11" s="16" t="s">
        <v>18</v>
      </c>
      <c r="Y11" s="16" t="s">
        <v>18</v>
      </c>
      <c r="Z11" s="16" t="s">
        <v>315</v>
      </c>
      <c r="AA11" s="16" t="s">
        <v>301</v>
      </c>
      <c r="AB11" s="16" t="e">
        <f>_xlfn.XLOOKUP(R11,'Customer Data'!$D:$D,'Customer Data'!$F:$F,,0)</f>
        <v>#N/A</v>
      </c>
      <c r="AC11" s="16"/>
      <c r="AD11" s="16" t="s">
        <v>82</v>
      </c>
      <c r="AE11" s="16" t="s">
        <v>18</v>
      </c>
      <c r="AF11" s="16" t="s">
        <v>18</v>
      </c>
      <c r="AG11" s="16" t="s">
        <v>18</v>
      </c>
      <c r="AH11" s="49">
        <v>45763</v>
      </c>
      <c r="AI11" s="49"/>
      <c r="AJ11" s="16" t="s">
        <v>18</v>
      </c>
    </row>
    <row r="12" spans="1:36" hidden="1" x14ac:dyDescent="0.35">
      <c r="A12" s="16" t="s">
        <v>307</v>
      </c>
      <c r="B12" s="16" t="s">
        <v>297</v>
      </c>
      <c r="C12" s="16" t="s">
        <v>21</v>
      </c>
      <c r="D12" s="16" t="s">
        <v>298</v>
      </c>
      <c r="E12" s="16" t="s">
        <v>167</v>
      </c>
      <c r="F12" s="16" t="s">
        <v>310</v>
      </c>
      <c r="G12" s="49">
        <v>45736</v>
      </c>
      <c r="H12" s="16" t="s">
        <v>324</v>
      </c>
      <c r="I12" s="16" t="s">
        <v>23</v>
      </c>
      <c r="J12" s="49">
        <v>45736</v>
      </c>
      <c r="K12" s="49">
        <v>45737</v>
      </c>
      <c r="L12" s="16" t="s">
        <v>315</v>
      </c>
      <c r="M12" s="61">
        <v>246779413820</v>
      </c>
      <c r="N12" s="16" t="s">
        <v>22</v>
      </c>
      <c r="O12" s="16" t="s">
        <v>300</v>
      </c>
      <c r="P12" s="16" t="s">
        <v>18</v>
      </c>
      <c r="Q12" s="16" t="s">
        <v>312</v>
      </c>
      <c r="R12" s="16" t="str">
        <f>_xlfn.XLOOKUP(M12,'Invoice No Ref'!$C:$C,'Invoice No Ref'!$I:$I,,0)</f>
        <v>6779IV124000285</v>
      </c>
      <c r="S12" s="16" t="s">
        <v>110</v>
      </c>
      <c r="T12" s="50">
        <v>354</v>
      </c>
      <c r="U12" s="16" t="s">
        <v>20</v>
      </c>
      <c r="V12" s="50">
        <v>30688.71</v>
      </c>
      <c r="W12" s="16">
        <f t="shared" si="0"/>
        <v>86.691271186440673</v>
      </c>
      <c r="X12" s="16" t="s">
        <v>718</v>
      </c>
      <c r="Y12" s="16" t="s">
        <v>18</v>
      </c>
      <c r="Z12" s="16" t="s">
        <v>315</v>
      </c>
      <c r="AA12" s="16" t="s">
        <v>301</v>
      </c>
      <c r="AB12" s="16">
        <f>_xlfn.XLOOKUP(R12,'Customer Data'!$D:$D,'Customer Data'!$F:$F,,0)</f>
        <v>-200</v>
      </c>
      <c r="AC12" s="62">
        <f t="shared" ref="AC12:AC13" si="2">AB12+T12</f>
        <v>154</v>
      </c>
      <c r="AD12" s="16" t="s">
        <v>56</v>
      </c>
      <c r="AE12" s="16" t="s">
        <v>18</v>
      </c>
      <c r="AF12" s="16" t="s">
        <v>18</v>
      </c>
      <c r="AG12" s="16" t="s">
        <v>18</v>
      </c>
      <c r="AH12" s="49">
        <v>45736</v>
      </c>
      <c r="AI12" s="49"/>
      <c r="AJ12" s="16" t="s">
        <v>18</v>
      </c>
    </row>
    <row r="13" spans="1:36" hidden="1" x14ac:dyDescent="0.35">
      <c r="A13" s="16" t="s">
        <v>307</v>
      </c>
      <c r="B13" s="16" t="s">
        <v>297</v>
      </c>
      <c r="C13" s="16" t="s">
        <v>21</v>
      </c>
      <c r="D13" s="16" t="s">
        <v>298</v>
      </c>
      <c r="E13" s="16" t="s">
        <v>167</v>
      </c>
      <c r="F13" s="16" t="s">
        <v>299</v>
      </c>
      <c r="G13" s="49">
        <v>45751</v>
      </c>
      <c r="H13" s="16" t="s">
        <v>325</v>
      </c>
      <c r="I13" s="16" t="s">
        <v>23</v>
      </c>
      <c r="J13" s="49">
        <v>45751</v>
      </c>
      <c r="K13" s="49">
        <v>45752</v>
      </c>
      <c r="L13" s="16" t="s">
        <v>315</v>
      </c>
      <c r="M13" s="61">
        <v>256779410600</v>
      </c>
      <c r="N13" s="16" t="s">
        <v>22</v>
      </c>
      <c r="O13" s="16" t="s">
        <v>300</v>
      </c>
      <c r="P13" s="16" t="s">
        <v>18</v>
      </c>
      <c r="Q13" s="16" t="s">
        <v>312</v>
      </c>
      <c r="R13" s="16" t="str">
        <f>_xlfn.XLOOKUP(M13,'Invoice No Ref'!$C:$C,'Invoice No Ref'!$I:$I,,0)</f>
        <v>6779IV124000274</v>
      </c>
      <c r="S13" s="16" t="s">
        <v>110</v>
      </c>
      <c r="T13" s="50">
        <v>15887.63</v>
      </c>
      <c r="U13" s="16" t="s">
        <v>20</v>
      </c>
      <c r="V13" s="50">
        <v>1380981.72</v>
      </c>
      <c r="W13" s="16">
        <f t="shared" si="0"/>
        <v>86.921820309259473</v>
      </c>
      <c r="X13" s="16" t="s">
        <v>18</v>
      </c>
      <c r="Y13" s="16" t="s">
        <v>18</v>
      </c>
      <c r="Z13" s="16" t="s">
        <v>315</v>
      </c>
      <c r="AA13" s="16" t="s">
        <v>301</v>
      </c>
      <c r="AB13" s="16">
        <f>_xlfn.XLOOKUP(R13,'Customer Data'!$D:$D,'Customer Data'!$F:$F,,0)</f>
        <v>-15887.63</v>
      </c>
      <c r="AC13" s="62">
        <f t="shared" si="2"/>
        <v>0</v>
      </c>
      <c r="AD13" s="16" t="s">
        <v>79</v>
      </c>
      <c r="AE13" s="16" t="s">
        <v>18</v>
      </c>
      <c r="AF13" s="16" t="s">
        <v>18</v>
      </c>
      <c r="AG13" s="16" t="s">
        <v>18</v>
      </c>
      <c r="AH13" s="49">
        <v>45751</v>
      </c>
      <c r="AI13" s="49"/>
      <c r="AJ13" s="16" t="s">
        <v>18</v>
      </c>
    </row>
    <row r="14" spans="1:36" hidden="1" x14ac:dyDescent="0.35">
      <c r="A14" s="16" t="s">
        <v>307</v>
      </c>
      <c r="B14" s="16" t="s">
        <v>297</v>
      </c>
      <c r="C14" s="16" t="s">
        <v>21</v>
      </c>
      <c r="D14" s="16" t="s">
        <v>298</v>
      </c>
      <c r="E14" s="16" t="s">
        <v>167</v>
      </c>
      <c r="F14" s="16" t="s">
        <v>310</v>
      </c>
      <c r="G14" s="49">
        <v>45733</v>
      </c>
      <c r="H14" s="16" t="s">
        <v>326</v>
      </c>
      <c r="I14" s="16" t="s">
        <v>23</v>
      </c>
      <c r="J14" s="49">
        <v>45733</v>
      </c>
      <c r="K14" s="49">
        <v>45733</v>
      </c>
      <c r="L14" s="16" t="s">
        <v>315</v>
      </c>
      <c r="M14" s="61">
        <v>246779411543</v>
      </c>
      <c r="N14" s="16" t="s">
        <v>22</v>
      </c>
      <c r="O14" s="16" t="s">
        <v>300</v>
      </c>
      <c r="P14" s="16" t="s">
        <v>18</v>
      </c>
      <c r="Q14" s="16" t="s">
        <v>312</v>
      </c>
      <c r="R14" s="16" t="e">
        <f>_xlfn.XLOOKUP(M14,'Invoice No Ref'!$C:$C,'Invoice No Ref'!$I:$I,,0)</f>
        <v>#N/A</v>
      </c>
      <c r="S14" s="16" t="s">
        <v>110</v>
      </c>
      <c r="T14" s="50">
        <v>17.899999999999999</v>
      </c>
      <c r="U14" s="16" t="s">
        <v>20</v>
      </c>
      <c r="V14" s="50">
        <v>1551.77</v>
      </c>
      <c r="W14" s="16">
        <f t="shared" si="0"/>
        <v>86.691061452513978</v>
      </c>
      <c r="X14" s="16" t="s">
        <v>718</v>
      </c>
      <c r="Y14" s="16" t="s">
        <v>18</v>
      </c>
      <c r="Z14" s="16" t="s">
        <v>315</v>
      </c>
      <c r="AA14" s="16" t="s">
        <v>301</v>
      </c>
      <c r="AB14" s="16" t="e">
        <f>_xlfn.XLOOKUP(R14,'Customer Data'!$D:$D,'Customer Data'!$F:$F,,0)</f>
        <v>#N/A</v>
      </c>
      <c r="AC14" s="16"/>
      <c r="AD14" s="16" t="s">
        <v>45</v>
      </c>
      <c r="AE14" s="16" t="s">
        <v>18</v>
      </c>
      <c r="AF14" s="16" t="s">
        <v>18</v>
      </c>
      <c r="AG14" s="16" t="s">
        <v>18</v>
      </c>
      <c r="AH14" s="49">
        <v>45733</v>
      </c>
      <c r="AI14" s="49"/>
      <c r="AJ14" s="16" t="s">
        <v>18</v>
      </c>
    </row>
    <row r="15" spans="1:36" hidden="1" x14ac:dyDescent="0.35">
      <c r="A15" s="16" t="s">
        <v>307</v>
      </c>
      <c r="B15" s="16" t="s">
        <v>297</v>
      </c>
      <c r="C15" s="16" t="s">
        <v>21</v>
      </c>
      <c r="D15" s="16" t="s">
        <v>298</v>
      </c>
      <c r="E15" s="16" t="s">
        <v>167</v>
      </c>
      <c r="F15" s="16" t="s">
        <v>310</v>
      </c>
      <c r="G15" s="49">
        <v>45733</v>
      </c>
      <c r="H15" s="16" t="s">
        <v>327</v>
      </c>
      <c r="I15" s="16" t="s">
        <v>23</v>
      </c>
      <c r="J15" s="49">
        <v>45733</v>
      </c>
      <c r="K15" s="49">
        <v>45733</v>
      </c>
      <c r="L15" s="16" t="s">
        <v>315</v>
      </c>
      <c r="M15" s="61">
        <v>246779411544</v>
      </c>
      <c r="N15" s="16" t="s">
        <v>22</v>
      </c>
      <c r="O15" s="16" t="s">
        <v>300</v>
      </c>
      <c r="P15" s="16" t="s">
        <v>18</v>
      </c>
      <c r="Q15" s="16" t="s">
        <v>312</v>
      </c>
      <c r="R15" s="16" t="e">
        <f>_xlfn.XLOOKUP(M15,'Invoice No Ref'!$C:$C,'Invoice No Ref'!$I:$I,,0)</f>
        <v>#N/A</v>
      </c>
      <c r="S15" s="16" t="s">
        <v>110</v>
      </c>
      <c r="T15" s="50">
        <v>17.899999999999999</v>
      </c>
      <c r="U15" s="16" t="s">
        <v>20</v>
      </c>
      <c r="V15" s="50">
        <v>1551.77</v>
      </c>
      <c r="W15" s="16">
        <f t="shared" si="0"/>
        <v>86.691061452513978</v>
      </c>
      <c r="X15" s="16" t="s">
        <v>718</v>
      </c>
      <c r="Y15" s="16" t="s">
        <v>18</v>
      </c>
      <c r="Z15" s="16" t="s">
        <v>315</v>
      </c>
      <c r="AA15" s="16" t="s">
        <v>301</v>
      </c>
      <c r="AB15" s="16" t="e">
        <f>_xlfn.XLOOKUP(R15,'Customer Data'!$D:$D,'Customer Data'!$F:$F,,0)</f>
        <v>#N/A</v>
      </c>
      <c r="AC15" s="16"/>
      <c r="AD15" s="16" t="s">
        <v>45</v>
      </c>
      <c r="AE15" s="16" t="s">
        <v>18</v>
      </c>
      <c r="AF15" s="16" t="s">
        <v>18</v>
      </c>
      <c r="AG15" s="16" t="s">
        <v>18</v>
      </c>
      <c r="AH15" s="49">
        <v>45733</v>
      </c>
      <c r="AI15" s="49"/>
      <c r="AJ15" s="16" t="s">
        <v>18</v>
      </c>
    </row>
    <row r="16" spans="1:36" hidden="1" x14ac:dyDescent="0.35">
      <c r="A16" s="16" t="s">
        <v>307</v>
      </c>
      <c r="B16" s="16" t="s">
        <v>297</v>
      </c>
      <c r="C16" s="16" t="s">
        <v>21</v>
      </c>
      <c r="D16" s="16" t="s">
        <v>298</v>
      </c>
      <c r="E16" s="16" t="s">
        <v>167</v>
      </c>
      <c r="F16" s="16" t="s">
        <v>310</v>
      </c>
      <c r="G16" s="49">
        <v>45733</v>
      </c>
      <c r="H16" s="16" t="s">
        <v>328</v>
      </c>
      <c r="I16" s="16" t="s">
        <v>23</v>
      </c>
      <c r="J16" s="49">
        <v>45733</v>
      </c>
      <c r="K16" s="49">
        <v>45733</v>
      </c>
      <c r="L16" s="16" t="s">
        <v>315</v>
      </c>
      <c r="M16" s="61">
        <v>246779411545</v>
      </c>
      <c r="N16" s="16" t="s">
        <v>22</v>
      </c>
      <c r="O16" s="16" t="s">
        <v>300</v>
      </c>
      <c r="P16" s="16" t="s">
        <v>18</v>
      </c>
      <c r="Q16" s="16" t="s">
        <v>312</v>
      </c>
      <c r="R16" s="16" t="e">
        <f>_xlfn.XLOOKUP(M16,'Invoice No Ref'!$C:$C,'Invoice No Ref'!$I:$I,,0)</f>
        <v>#N/A</v>
      </c>
      <c r="S16" s="16" t="s">
        <v>110</v>
      </c>
      <c r="T16" s="50">
        <v>38.19</v>
      </c>
      <c r="U16" s="16" t="s">
        <v>20</v>
      </c>
      <c r="V16" s="50">
        <v>3310.74</v>
      </c>
      <c r="W16" s="16">
        <f t="shared" si="0"/>
        <v>86.691280439905739</v>
      </c>
      <c r="X16" s="16" t="s">
        <v>718</v>
      </c>
      <c r="Y16" s="16" t="s">
        <v>18</v>
      </c>
      <c r="Z16" s="16" t="s">
        <v>315</v>
      </c>
      <c r="AA16" s="16" t="s">
        <v>301</v>
      </c>
      <c r="AB16" s="16" t="e">
        <f>_xlfn.XLOOKUP(R16,'Customer Data'!$D:$D,'Customer Data'!$F:$F,,0)</f>
        <v>#N/A</v>
      </c>
      <c r="AC16" s="16"/>
      <c r="AD16" s="16" t="s">
        <v>45</v>
      </c>
      <c r="AE16" s="16" t="s">
        <v>18</v>
      </c>
      <c r="AF16" s="16" t="s">
        <v>18</v>
      </c>
      <c r="AG16" s="16" t="s">
        <v>18</v>
      </c>
      <c r="AH16" s="49">
        <v>45733</v>
      </c>
      <c r="AI16" s="49"/>
      <c r="AJ16" s="16" t="s">
        <v>18</v>
      </c>
    </row>
    <row r="17" spans="1:36" hidden="1" x14ac:dyDescent="0.35">
      <c r="A17" s="16" t="s">
        <v>307</v>
      </c>
      <c r="B17" s="16" t="s">
        <v>297</v>
      </c>
      <c r="C17" s="16" t="s">
        <v>21</v>
      </c>
      <c r="D17" s="16" t="s">
        <v>298</v>
      </c>
      <c r="E17" s="16" t="s">
        <v>167</v>
      </c>
      <c r="F17" s="16" t="s">
        <v>310</v>
      </c>
      <c r="G17" s="49">
        <v>45733</v>
      </c>
      <c r="H17" s="16" t="s">
        <v>329</v>
      </c>
      <c r="I17" s="16" t="s">
        <v>23</v>
      </c>
      <c r="J17" s="49">
        <v>45733</v>
      </c>
      <c r="K17" s="49">
        <v>45734</v>
      </c>
      <c r="L17" s="16" t="s">
        <v>315</v>
      </c>
      <c r="M17" s="61">
        <v>246779411658</v>
      </c>
      <c r="N17" s="16" t="s">
        <v>22</v>
      </c>
      <c r="O17" s="16" t="s">
        <v>300</v>
      </c>
      <c r="P17" s="16" t="s">
        <v>18</v>
      </c>
      <c r="Q17" s="16" t="s">
        <v>312</v>
      </c>
      <c r="R17" s="16" t="e">
        <f>_xlfn.XLOOKUP(M17,'Invoice No Ref'!$C:$C,'Invoice No Ref'!$I:$I,,0)</f>
        <v>#N/A</v>
      </c>
      <c r="S17" s="16" t="s">
        <v>110</v>
      </c>
      <c r="T17" s="50">
        <v>149.84</v>
      </c>
      <c r="U17" s="16" t="s">
        <v>20</v>
      </c>
      <c r="V17" s="50">
        <v>12989.82</v>
      </c>
      <c r="W17" s="16">
        <f t="shared" si="0"/>
        <v>86.691270688734647</v>
      </c>
      <c r="X17" s="16" t="s">
        <v>718</v>
      </c>
      <c r="Y17" s="16" t="s">
        <v>18</v>
      </c>
      <c r="Z17" s="16" t="s">
        <v>315</v>
      </c>
      <c r="AA17" s="16" t="s">
        <v>301</v>
      </c>
      <c r="AB17" s="16" t="e">
        <f>_xlfn.XLOOKUP(R17,'Customer Data'!$D:$D,'Customer Data'!$F:$F,,0)</f>
        <v>#N/A</v>
      </c>
      <c r="AC17" s="16"/>
      <c r="AD17" s="16" t="s">
        <v>46</v>
      </c>
      <c r="AE17" s="16" t="s">
        <v>18</v>
      </c>
      <c r="AF17" s="16" t="s">
        <v>18</v>
      </c>
      <c r="AG17" s="16" t="s">
        <v>18</v>
      </c>
      <c r="AH17" s="49">
        <v>45733</v>
      </c>
      <c r="AI17" s="49"/>
      <c r="AJ17" s="16" t="s">
        <v>18</v>
      </c>
    </row>
    <row r="18" spans="1:36" hidden="1" x14ac:dyDescent="0.35">
      <c r="A18" s="16" t="s">
        <v>307</v>
      </c>
      <c r="B18" s="16" t="s">
        <v>297</v>
      </c>
      <c r="C18" s="16" t="s">
        <v>21</v>
      </c>
      <c r="D18" s="16" t="s">
        <v>298</v>
      </c>
      <c r="E18" s="16" t="s">
        <v>167</v>
      </c>
      <c r="F18" s="16" t="s">
        <v>310</v>
      </c>
      <c r="G18" s="49">
        <v>45733</v>
      </c>
      <c r="H18" s="16" t="s">
        <v>330</v>
      </c>
      <c r="I18" s="16" t="s">
        <v>23</v>
      </c>
      <c r="J18" s="49">
        <v>45733</v>
      </c>
      <c r="K18" s="49">
        <v>45734</v>
      </c>
      <c r="L18" s="16" t="s">
        <v>315</v>
      </c>
      <c r="M18" s="61">
        <v>246779411659</v>
      </c>
      <c r="N18" s="16" t="s">
        <v>22</v>
      </c>
      <c r="O18" s="16" t="s">
        <v>300</v>
      </c>
      <c r="P18" s="16" t="s">
        <v>18</v>
      </c>
      <c r="Q18" s="16" t="s">
        <v>312</v>
      </c>
      <c r="R18" s="16" t="e">
        <f>_xlfn.XLOOKUP(M18,'Invoice No Ref'!$C:$C,'Invoice No Ref'!$I:$I,,0)</f>
        <v>#N/A</v>
      </c>
      <c r="S18" s="16" t="s">
        <v>110</v>
      </c>
      <c r="T18" s="50">
        <v>17.84</v>
      </c>
      <c r="U18" s="16" t="s">
        <v>20</v>
      </c>
      <c r="V18" s="50">
        <v>1546.57</v>
      </c>
      <c r="W18" s="16">
        <f t="shared" si="0"/>
        <v>86.691143497757849</v>
      </c>
      <c r="X18" s="16" t="s">
        <v>718</v>
      </c>
      <c r="Y18" s="16" t="s">
        <v>18</v>
      </c>
      <c r="Z18" s="16" t="s">
        <v>315</v>
      </c>
      <c r="AA18" s="16" t="s">
        <v>301</v>
      </c>
      <c r="AB18" s="16" t="e">
        <f>_xlfn.XLOOKUP(R18,'Customer Data'!$D:$D,'Customer Data'!$F:$F,,0)</f>
        <v>#N/A</v>
      </c>
      <c r="AC18" s="16"/>
      <c r="AD18" s="16" t="s">
        <v>46</v>
      </c>
      <c r="AE18" s="16" t="s">
        <v>18</v>
      </c>
      <c r="AF18" s="16" t="s">
        <v>18</v>
      </c>
      <c r="AG18" s="16" t="s">
        <v>18</v>
      </c>
      <c r="AH18" s="49">
        <v>45733</v>
      </c>
      <c r="AI18" s="49"/>
      <c r="AJ18" s="16" t="s">
        <v>18</v>
      </c>
    </row>
    <row r="19" spans="1:36" hidden="1" x14ac:dyDescent="0.35">
      <c r="A19" s="16" t="s">
        <v>307</v>
      </c>
      <c r="B19" s="16" t="s">
        <v>297</v>
      </c>
      <c r="C19" s="16" t="s">
        <v>21</v>
      </c>
      <c r="D19" s="16" t="s">
        <v>298</v>
      </c>
      <c r="E19" s="16" t="s">
        <v>167</v>
      </c>
      <c r="F19" s="16" t="s">
        <v>310</v>
      </c>
      <c r="G19" s="49">
        <v>45733</v>
      </c>
      <c r="H19" s="16" t="s">
        <v>331</v>
      </c>
      <c r="I19" s="16" t="s">
        <v>23</v>
      </c>
      <c r="J19" s="49">
        <v>45733</v>
      </c>
      <c r="K19" s="49">
        <v>45734</v>
      </c>
      <c r="L19" s="16" t="s">
        <v>315</v>
      </c>
      <c r="M19" s="61">
        <v>246779411660</v>
      </c>
      <c r="N19" s="16" t="s">
        <v>22</v>
      </c>
      <c r="O19" s="16" t="s">
        <v>300</v>
      </c>
      <c r="P19" s="16" t="s">
        <v>18</v>
      </c>
      <c r="Q19" s="16" t="s">
        <v>312</v>
      </c>
      <c r="R19" s="16" t="e">
        <f>_xlfn.XLOOKUP(M19,'Invoice No Ref'!$C:$C,'Invoice No Ref'!$I:$I,,0)</f>
        <v>#N/A</v>
      </c>
      <c r="S19" s="16" t="s">
        <v>110</v>
      </c>
      <c r="T19" s="50">
        <v>11.89</v>
      </c>
      <c r="U19" s="16" t="s">
        <v>20</v>
      </c>
      <c r="V19" s="50">
        <v>1030.76</v>
      </c>
      <c r="W19" s="16">
        <f t="shared" si="0"/>
        <v>86.691337258200164</v>
      </c>
      <c r="X19" s="16" t="s">
        <v>718</v>
      </c>
      <c r="Y19" s="16" t="s">
        <v>18</v>
      </c>
      <c r="Z19" s="16" t="s">
        <v>315</v>
      </c>
      <c r="AA19" s="16" t="s">
        <v>301</v>
      </c>
      <c r="AB19" s="16" t="e">
        <f>_xlfn.XLOOKUP(R19,'Customer Data'!$D:$D,'Customer Data'!$F:$F,,0)</f>
        <v>#N/A</v>
      </c>
      <c r="AC19" s="16"/>
      <c r="AD19" s="16" t="s">
        <v>46</v>
      </c>
      <c r="AE19" s="16" t="s">
        <v>18</v>
      </c>
      <c r="AF19" s="16" t="s">
        <v>18</v>
      </c>
      <c r="AG19" s="16" t="s">
        <v>18</v>
      </c>
      <c r="AH19" s="49">
        <v>45733</v>
      </c>
      <c r="AI19" s="49"/>
      <c r="AJ19" s="16" t="s">
        <v>18</v>
      </c>
    </row>
    <row r="20" spans="1:36" hidden="1" x14ac:dyDescent="0.35">
      <c r="A20" s="16" t="s">
        <v>307</v>
      </c>
      <c r="B20" s="16" t="s">
        <v>297</v>
      </c>
      <c r="C20" s="16" t="s">
        <v>21</v>
      </c>
      <c r="D20" s="16" t="s">
        <v>298</v>
      </c>
      <c r="E20" s="16" t="s">
        <v>167</v>
      </c>
      <c r="F20" s="16" t="s">
        <v>310</v>
      </c>
      <c r="G20" s="49">
        <v>45733</v>
      </c>
      <c r="H20" s="16" t="s">
        <v>332</v>
      </c>
      <c r="I20" s="16" t="s">
        <v>23</v>
      </c>
      <c r="J20" s="49">
        <v>45733</v>
      </c>
      <c r="K20" s="49">
        <v>45734</v>
      </c>
      <c r="L20" s="16" t="s">
        <v>315</v>
      </c>
      <c r="M20" s="61">
        <v>246779411661</v>
      </c>
      <c r="N20" s="16" t="s">
        <v>22</v>
      </c>
      <c r="O20" s="16" t="s">
        <v>300</v>
      </c>
      <c r="P20" s="16" t="s">
        <v>18</v>
      </c>
      <c r="Q20" s="16" t="s">
        <v>312</v>
      </c>
      <c r="R20" s="16" t="e">
        <f>_xlfn.XLOOKUP(M20,'Invoice No Ref'!$C:$C,'Invoice No Ref'!$I:$I,,0)</f>
        <v>#N/A</v>
      </c>
      <c r="S20" s="16" t="s">
        <v>110</v>
      </c>
      <c r="T20" s="50">
        <v>0.95</v>
      </c>
      <c r="U20" s="16" t="s">
        <v>20</v>
      </c>
      <c r="V20" s="50">
        <v>82.36</v>
      </c>
      <c r="W20" s="16">
        <f t="shared" si="0"/>
        <v>86.694736842105272</v>
      </c>
      <c r="X20" s="16" t="s">
        <v>718</v>
      </c>
      <c r="Y20" s="16" t="s">
        <v>18</v>
      </c>
      <c r="Z20" s="16" t="s">
        <v>315</v>
      </c>
      <c r="AA20" s="16" t="s">
        <v>301</v>
      </c>
      <c r="AB20" s="16" t="e">
        <f>_xlfn.XLOOKUP(R20,'Customer Data'!$D:$D,'Customer Data'!$F:$F,,0)</f>
        <v>#N/A</v>
      </c>
      <c r="AC20" s="16"/>
      <c r="AD20" s="16" t="s">
        <v>46</v>
      </c>
      <c r="AE20" s="16" t="s">
        <v>18</v>
      </c>
      <c r="AF20" s="16" t="s">
        <v>18</v>
      </c>
      <c r="AG20" s="16" t="s">
        <v>18</v>
      </c>
      <c r="AH20" s="49">
        <v>45733</v>
      </c>
      <c r="AI20" s="49"/>
      <c r="AJ20" s="16" t="s">
        <v>18</v>
      </c>
    </row>
    <row r="21" spans="1:36" hidden="1" x14ac:dyDescent="0.35">
      <c r="A21" s="16" t="s">
        <v>307</v>
      </c>
      <c r="B21" s="16" t="s">
        <v>297</v>
      </c>
      <c r="C21" s="16" t="s">
        <v>21</v>
      </c>
      <c r="D21" s="16" t="s">
        <v>298</v>
      </c>
      <c r="E21" s="16" t="s">
        <v>167</v>
      </c>
      <c r="F21" s="16" t="s">
        <v>310</v>
      </c>
      <c r="G21" s="49">
        <v>45733</v>
      </c>
      <c r="H21" s="16" t="s">
        <v>333</v>
      </c>
      <c r="I21" s="16" t="s">
        <v>23</v>
      </c>
      <c r="J21" s="49">
        <v>45733</v>
      </c>
      <c r="K21" s="49">
        <v>45734</v>
      </c>
      <c r="L21" s="16" t="s">
        <v>315</v>
      </c>
      <c r="M21" s="61">
        <v>246779411662</v>
      </c>
      <c r="N21" s="16" t="s">
        <v>22</v>
      </c>
      <c r="O21" s="16" t="s">
        <v>300</v>
      </c>
      <c r="P21" s="16" t="s">
        <v>18</v>
      </c>
      <c r="Q21" s="16" t="s">
        <v>312</v>
      </c>
      <c r="R21" s="16" t="e">
        <f>_xlfn.XLOOKUP(M21,'Invoice No Ref'!$C:$C,'Invoice No Ref'!$I:$I,,0)</f>
        <v>#N/A</v>
      </c>
      <c r="S21" s="16" t="s">
        <v>110</v>
      </c>
      <c r="T21" s="50">
        <v>6.54</v>
      </c>
      <c r="U21" s="16" t="s">
        <v>20</v>
      </c>
      <c r="V21" s="50">
        <v>566.96</v>
      </c>
      <c r="W21" s="16">
        <f t="shared" si="0"/>
        <v>86.691131498470952</v>
      </c>
      <c r="X21" s="16" t="s">
        <v>718</v>
      </c>
      <c r="Y21" s="16" t="s">
        <v>18</v>
      </c>
      <c r="Z21" s="16" t="s">
        <v>315</v>
      </c>
      <c r="AA21" s="16" t="s">
        <v>301</v>
      </c>
      <c r="AB21" s="16" t="e">
        <f>_xlfn.XLOOKUP(R21,'Customer Data'!$D:$D,'Customer Data'!$F:$F,,0)</f>
        <v>#N/A</v>
      </c>
      <c r="AC21" s="16"/>
      <c r="AD21" s="16" t="s">
        <v>46</v>
      </c>
      <c r="AE21" s="16" t="s">
        <v>18</v>
      </c>
      <c r="AF21" s="16" t="s">
        <v>18</v>
      </c>
      <c r="AG21" s="16" t="s">
        <v>18</v>
      </c>
      <c r="AH21" s="49">
        <v>45733</v>
      </c>
      <c r="AI21" s="49"/>
      <c r="AJ21" s="16" t="s">
        <v>18</v>
      </c>
    </row>
    <row r="22" spans="1:36" hidden="1" x14ac:dyDescent="0.35">
      <c r="A22" s="16" t="s">
        <v>307</v>
      </c>
      <c r="B22" s="16" t="s">
        <v>297</v>
      </c>
      <c r="C22" s="16" t="s">
        <v>21</v>
      </c>
      <c r="D22" s="16" t="s">
        <v>298</v>
      </c>
      <c r="E22" s="16" t="s">
        <v>167</v>
      </c>
      <c r="F22" s="16" t="s">
        <v>310</v>
      </c>
      <c r="G22" s="49">
        <v>45733</v>
      </c>
      <c r="H22" s="16" t="s">
        <v>334</v>
      </c>
      <c r="I22" s="16" t="s">
        <v>23</v>
      </c>
      <c r="J22" s="49">
        <v>45733</v>
      </c>
      <c r="K22" s="49">
        <v>45734</v>
      </c>
      <c r="L22" s="16" t="s">
        <v>315</v>
      </c>
      <c r="M22" s="61">
        <v>246779411663</v>
      </c>
      <c r="N22" s="16" t="s">
        <v>22</v>
      </c>
      <c r="O22" s="16" t="s">
        <v>300</v>
      </c>
      <c r="P22" s="16" t="s">
        <v>18</v>
      </c>
      <c r="Q22" s="16" t="s">
        <v>312</v>
      </c>
      <c r="R22" s="16" t="e">
        <f>_xlfn.XLOOKUP(M22,'Invoice No Ref'!$C:$C,'Invoice No Ref'!$I:$I,,0)</f>
        <v>#N/A</v>
      </c>
      <c r="S22" s="16" t="s">
        <v>110</v>
      </c>
      <c r="T22" s="50">
        <v>66.599999999999994</v>
      </c>
      <c r="U22" s="16" t="s">
        <v>20</v>
      </c>
      <c r="V22" s="50">
        <v>5773.64</v>
      </c>
      <c r="W22" s="16">
        <f t="shared" si="0"/>
        <v>86.691291291291307</v>
      </c>
      <c r="X22" s="16" t="s">
        <v>718</v>
      </c>
      <c r="Y22" s="16" t="s">
        <v>18</v>
      </c>
      <c r="Z22" s="16" t="s">
        <v>315</v>
      </c>
      <c r="AA22" s="16" t="s">
        <v>301</v>
      </c>
      <c r="AB22" s="16" t="e">
        <f>_xlfn.XLOOKUP(R22,'Customer Data'!$D:$D,'Customer Data'!$F:$F,,0)</f>
        <v>#N/A</v>
      </c>
      <c r="AC22" s="16"/>
      <c r="AD22" s="16" t="s">
        <v>46</v>
      </c>
      <c r="AE22" s="16" t="s">
        <v>18</v>
      </c>
      <c r="AF22" s="16" t="s">
        <v>18</v>
      </c>
      <c r="AG22" s="16" t="s">
        <v>18</v>
      </c>
      <c r="AH22" s="49">
        <v>45733</v>
      </c>
      <c r="AI22" s="49"/>
      <c r="AJ22" s="16" t="s">
        <v>18</v>
      </c>
    </row>
    <row r="23" spans="1:36" hidden="1" x14ac:dyDescent="0.35">
      <c r="A23" s="16" t="s">
        <v>307</v>
      </c>
      <c r="B23" s="16" t="s">
        <v>297</v>
      </c>
      <c r="C23" s="16" t="s">
        <v>21</v>
      </c>
      <c r="D23" s="16" t="s">
        <v>298</v>
      </c>
      <c r="E23" s="16" t="s">
        <v>167</v>
      </c>
      <c r="F23" s="16" t="s">
        <v>310</v>
      </c>
      <c r="G23" s="49">
        <v>45733</v>
      </c>
      <c r="H23" s="16" t="s">
        <v>335</v>
      </c>
      <c r="I23" s="16" t="s">
        <v>23</v>
      </c>
      <c r="J23" s="49">
        <v>45733</v>
      </c>
      <c r="K23" s="49">
        <v>45734</v>
      </c>
      <c r="L23" s="16" t="s">
        <v>315</v>
      </c>
      <c r="M23" s="61">
        <v>246779411865</v>
      </c>
      <c r="N23" s="16" t="s">
        <v>22</v>
      </c>
      <c r="O23" s="16" t="s">
        <v>300</v>
      </c>
      <c r="P23" s="16" t="s">
        <v>18</v>
      </c>
      <c r="Q23" s="16" t="s">
        <v>312</v>
      </c>
      <c r="R23" s="16" t="e">
        <f>_xlfn.XLOOKUP(M23,'Invoice No Ref'!$C:$C,'Invoice No Ref'!$I:$I,,0)</f>
        <v>#N/A</v>
      </c>
      <c r="S23" s="16" t="s">
        <v>110</v>
      </c>
      <c r="T23" s="50">
        <v>17.75</v>
      </c>
      <c r="U23" s="16" t="s">
        <v>20</v>
      </c>
      <c r="V23" s="50">
        <v>1538.77</v>
      </c>
      <c r="W23" s="16">
        <f t="shared" si="0"/>
        <v>86.691267605633797</v>
      </c>
      <c r="X23" s="16" t="s">
        <v>718</v>
      </c>
      <c r="Y23" s="16" t="s">
        <v>18</v>
      </c>
      <c r="Z23" s="16" t="s">
        <v>315</v>
      </c>
      <c r="AA23" s="16" t="s">
        <v>301</v>
      </c>
      <c r="AB23" s="16" t="e">
        <f>_xlfn.XLOOKUP(R23,'Customer Data'!$D:$D,'Customer Data'!$F:$F,,0)</f>
        <v>#N/A</v>
      </c>
      <c r="AC23" s="16"/>
      <c r="AD23" s="16" t="s">
        <v>47</v>
      </c>
      <c r="AE23" s="16" t="s">
        <v>18</v>
      </c>
      <c r="AF23" s="16" t="s">
        <v>18</v>
      </c>
      <c r="AG23" s="16" t="s">
        <v>18</v>
      </c>
      <c r="AH23" s="49">
        <v>45733</v>
      </c>
      <c r="AI23" s="49"/>
      <c r="AJ23" s="16" t="s">
        <v>18</v>
      </c>
    </row>
    <row r="24" spans="1:36" hidden="1" x14ac:dyDescent="0.35">
      <c r="A24" s="16" t="s">
        <v>307</v>
      </c>
      <c r="B24" s="16" t="s">
        <v>297</v>
      </c>
      <c r="C24" s="16" t="s">
        <v>21</v>
      </c>
      <c r="D24" s="16" t="s">
        <v>298</v>
      </c>
      <c r="E24" s="16" t="s">
        <v>167</v>
      </c>
      <c r="F24" s="16" t="s">
        <v>310</v>
      </c>
      <c r="G24" s="49">
        <v>45733</v>
      </c>
      <c r="H24" s="16" t="s">
        <v>336</v>
      </c>
      <c r="I24" s="16" t="s">
        <v>23</v>
      </c>
      <c r="J24" s="49">
        <v>45733</v>
      </c>
      <c r="K24" s="49">
        <v>45734</v>
      </c>
      <c r="L24" s="16" t="s">
        <v>315</v>
      </c>
      <c r="M24" s="61">
        <v>246779411866</v>
      </c>
      <c r="N24" s="16" t="s">
        <v>22</v>
      </c>
      <c r="O24" s="16" t="s">
        <v>300</v>
      </c>
      <c r="P24" s="16" t="s">
        <v>18</v>
      </c>
      <c r="Q24" s="16" t="s">
        <v>312</v>
      </c>
      <c r="R24" s="16" t="e">
        <f>_xlfn.XLOOKUP(M24,'Invoice No Ref'!$C:$C,'Invoice No Ref'!$I:$I,,0)</f>
        <v>#N/A</v>
      </c>
      <c r="S24" s="16" t="s">
        <v>110</v>
      </c>
      <c r="T24" s="50">
        <v>17.75</v>
      </c>
      <c r="U24" s="16" t="s">
        <v>20</v>
      </c>
      <c r="V24" s="50">
        <v>1538.77</v>
      </c>
      <c r="W24" s="16">
        <f t="shared" si="0"/>
        <v>86.691267605633797</v>
      </c>
      <c r="X24" s="16" t="s">
        <v>718</v>
      </c>
      <c r="Y24" s="16" t="s">
        <v>18</v>
      </c>
      <c r="Z24" s="16" t="s">
        <v>315</v>
      </c>
      <c r="AA24" s="16" t="s">
        <v>301</v>
      </c>
      <c r="AB24" s="16" t="e">
        <f>_xlfn.XLOOKUP(R24,'Customer Data'!$D:$D,'Customer Data'!$F:$F,,0)</f>
        <v>#N/A</v>
      </c>
      <c r="AC24" s="16"/>
      <c r="AD24" s="16" t="s">
        <v>47</v>
      </c>
      <c r="AE24" s="16" t="s">
        <v>18</v>
      </c>
      <c r="AF24" s="16" t="s">
        <v>18</v>
      </c>
      <c r="AG24" s="16" t="s">
        <v>18</v>
      </c>
      <c r="AH24" s="49">
        <v>45733</v>
      </c>
      <c r="AI24" s="49"/>
      <c r="AJ24" s="16" t="s">
        <v>18</v>
      </c>
    </row>
    <row r="25" spans="1:36" hidden="1" x14ac:dyDescent="0.35">
      <c r="A25" s="16" t="s">
        <v>307</v>
      </c>
      <c r="B25" s="16" t="s">
        <v>297</v>
      </c>
      <c r="C25" s="16" t="s">
        <v>21</v>
      </c>
      <c r="D25" s="16" t="s">
        <v>298</v>
      </c>
      <c r="E25" s="16" t="s">
        <v>167</v>
      </c>
      <c r="F25" s="16" t="s">
        <v>310</v>
      </c>
      <c r="G25" s="49">
        <v>45733</v>
      </c>
      <c r="H25" s="16" t="s">
        <v>337</v>
      </c>
      <c r="I25" s="16" t="s">
        <v>23</v>
      </c>
      <c r="J25" s="49">
        <v>45733</v>
      </c>
      <c r="K25" s="49">
        <v>45734</v>
      </c>
      <c r="L25" s="16" t="s">
        <v>315</v>
      </c>
      <c r="M25" s="61">
        <v>246779411871</v>
      </c>
      <c r="N25" s="16" t="s">
        <v>22</v>
      </c>
      <c r="O25" s="16" t="s">
        <v>300</v>
      </c>
      <c r="P25" s="16" t="s">
        <v>18</v>
      </c>
      <c r="Q25" s="16" t="s">
        <v>312</v>
      </c>
      <c r="R25" s="16" t="e">
        <f>_xlfn.XLOOKUP(M25,'Invoice No Ref'!$C:$C,'Invoice No Ref'!$I:$I,,0)</f>
        <v>#N/A</v>
      </c>
      <c r="S25" s="16" t="s">
        <v>110</v>
      </c>
      <c r="T25" s="50">
        <v>17.75</v>
      </c>
      <c r="U25" s="16" t="s">
        <v>20</v>
      </c>
      <c r="V25" s="50">
        <v>1538.77</v>
      </c>
      <c r="W25" s="16">
        <f t="shared" si="0"/>
        <v>86.691267605633797</v>
      </c>
      <c r="X25" s="16" t="s">
        <v>718</v>
      </c>
      <c r="Y25" s="16" t="s">
        <v>18</v>
      </c>
      <c r="Z25" s="16" t="s">
        <v>315</v>
      </c>
      <c r="AA25" s="16" t="s">
        <v>301</v>
      </c>
      <c r="AB25" s="16" t="e">
        <f>_xlfn.XLOOKUP(R25,'Customer Data'!$D:$D,'Customer Data'!$F:$F,,0)</f>
        <v>#N/A</v>
      </c>
      <c r="AC25" s="16"/>
      <c r="AD25" s="16" t="s">
        <v>47</v>
      </c>
      <c r="AE25" s="16" t="s">
        <v>18</v>
      </c>
      <c r="AF25" s="16" t="s">
        <v>18</v>
      </c>
      <c r="AG25" s="16" t="s">
        <v>18</v>
      </c>
      <c r="AH25" s="49">
        <v>45733</v>
      </c>
      <c r="AI25" s="49"/>
      <c r="AJ25" s="16" t="s">
        <v>18</v>
      </c>
    </row>
    <row r="26" spans="1:36" hidden="1" x14ac:dyDescent="0.35">
      <c r="A26" s="16" t="s">
        <v>307</v>
      </c>
      <c r="B26" s="16" t="s">
        <v>297</v>
      </c>
      <c r="C26" s="16" t="s">
        <v>21</v>
      </c>
      <c r="D26" s="16" t="s">
        <v>298</v>
      </c>
      <c r="E26" s="16" t="s">
        <v>167</v>
      </c>
      <c r="F26" s="16" t="s">
        <v>310</v>
      </c>
      <c r="G26" s="49">
        <v>45733</v>
      </c>
      <c r="H26" s="16" t="s">
        <v>338</v>
      </c>
      <c r="I26" s="16" t="s">
        <v>23</v>
      </c>
      <c r="J26" s="49">
        <v>45733</v>
      </c>
      <c r="K26" s="49">
        <v>45734</v>
      </c>
      <c r="L26" s="16" t="s">
        <v>315</v>
      </c>
      <c r="M26" s="61">
        <v>246779411872</v>
      </c>
      <c r="N26" s="16" t="s">
        <v>22</v>
      </c>
      <c r="O26" s="16" t="s">
        <v>300</v>
      </c>
      <c r="P26" s="16" t="s">
        <v>18</v>
      </c>
      <c r="Q26" s="16" t="s">
        <v>312</v>
      </c>
      <c r="R26" s="16" t="e">
        <f>_xlfn.XLOOKUP(M26,'Invoice No Ref'!$C:$C,'Invoice No Ref'!$I:$I,,0)</f>
        <v>#N/A</v>
      </c>
      <c r="S26" s="16" t="s">
        <v>110</v>
      </c>
      <c r="T26" s="50">
        <v>18.940000000000001</v>
      </c>
      <c r="U26" s="16" t="s">
        <v>20</v>
      </c>
      <c r="V26" s="50">
        <v>1641.93</v>
      </c>
      <c r="W26" s="16">
        <f t="shared" si="0"/>
        <v>86.691129883843715</v>
      </c>
      <c r="X26" s="16" t="s">
        <v>718</v>
      </c>
      <c r="Y26" s="16" t="s">
        <v>18</v>
      </c>
      <c r="Z26" s="16" t="s">
        <v>315</v>
      </c>
      <c r="AA26" s="16" t="s">
        <v>301</v>
      </c>
      <c r="AB26" s="16" t="e">
        <f>_xlfn.XLOOKUP(R26,'Customer Data'!$D:$D,'Customer Data'!$F:$F,,0)</f>
        <v>#N/A</v>
      </c>
      <c r="AC26" s="16"/>
      <c r="AD26" s="16" t="s">
        <v>47</v>
      </c>
      <c r="AE26" s="16" t="s">
        <v>18</v>
      </c>
      <c r="AF26" s="16" t="s">
        <v>18</v>
      </c>
      <c r="AG26" s="16" t="s">
        <v>18</v>
      </c>
      <c r="AH26" s="49">
        <v>45733</v>
      </c>
      <c r="AI26" s="49"/>
      <c r="AJ26" s="16" t="s">
        <v>18</v>
      </c>
    </row>
    <row r="27" spans="1:36" s="72" customFormat="1" hidden="1" x14ac:dyDescent="0.35">
      <c r="A27" s="16" t="s">
        <v>307</v>
      </c>
      <c r="B27" s="16" t="s">
        <v>297</v>
      </c>
      <c r="C27" s="16" t="s">
        <v>21</v>
      </c>
      <c r="D27" s="16" t="s">
        <v>298</v>
      </c>
      <c r="E27" s="16" t="s">
        <v>167</v>
      </c>
      <c r="F27" s="16" t="s">
        <v>310</v>
      </c>
      <c r="G27" s="49">
        <v>45733</v>
      </c>
      <c r="H27" s="68" t="s">
        <v>339</v>
      </c>
      <c r="I27" s="68" t="s">
        <v>23</v>
      </c>
      <c r="J27" s="69">
        <v>45733</v>
      </c>
      <c r="K27" s="49">
        <v>45734</v>
      </c>
      <c r="L27" s="16" t="s">
        <v>315</v>
      </c>
      <c r="M27" s="70">
        <v>246779411997</v>
      </c>
      <c r="N27" s="16" t="s">
        <v>22</v>
      </c>
      <c r="O27" s="16" t="s">
        <v>300</v>
      </c>
      <c r="P27" s="16" t="s">
        <v>18</v>
      </c>
      <c r="Q27" s="16" t="s">
        <v>312</v>
      </c>
      <c r="R27" s="16" t="e">
        <f>_xlfn.XLOOKUP(M27,'Invoice No Ref'!$C:$C,'Invoice No Ref'!$I:$I,,0)</f>
        <v>#N/A</v>
      </c>
      <c r="S27" s="68" t="s">
        <v>110</v>
      </c>
      <c r="T27" s="71">
        <v>23.36</v>
      </c>
      <c r="U27" s="16" t="s">
        <v>20</v>
      </c>
      <c r="V27" s="50">
        <v>2025.11</v>
      </c>
      <c r="W27" s="16">
        <f t="shared" si="0"/>
        <v>86.691352739726028</v>
      </c>
      <c r="X27" s="16" t="s">
        <v>718</v>
      </c>
      <c r="Y27" s="16" t="s">
        <v>18</v>
      </c>
      <c r="Z27" s="16" t="s">
        <v>315</v>
      </c>
      <c r="AA27" s="16" t="s">
        <v>301</v>
      </c>
      <c r="AB27" s="16" t="e">
        <f>_xlfn.XLOOKUP(R27,'Customer Data'!$D:$D,'Customer Data'!$F:$F,,0)</f>
        <v>#N/A</v>
      </c>
      <c r="AC27" s="68"/>
      <c r="AD27" s="68" t="s">
        <v>48</v>
      </c>
      <c r="AE27" s="16" t="s">
        <v>18</v>
      </c>
      <c r="AF27" s="16" t="s">
        <v>18</v>
      </c>
      <c r="AG27" s="16" t="s">
        <v>18</v>
      </c>
      <c r="AH27" s="49">
        <v>45733</v>
      </c>
      <c r="AI27" s="49"/>
      <c r="AJ27" s="68" t="s">
        <v>18</v>
      </c>
    </row>
    <row r="28" spans="1:36" s="72" customFormat="1" hidden="1" x14ac:dyDescent="0.35">
      <c r="A28" s="16" t="s">
        <v>307</v>
      </c>
      <c r="B28" s="16" t="s">
        <v>297</v>
      </c>
      <c r="C28" s="16" t="s">
        <v>21</v>
      </c>
      <c r="D28" s="16" t="s">
        <v>298</v>
      </c>
      <c r="E28" s="16" t="s">
        <v>167</v>
      </c>
      <c r="F28" s="16" t="s">
        <v>310</v>
      </c>
      <c r="G28" s="49">
        <v>45733</v>
      </c>
      <c r="H28" s="68" t="s">
        <v>340</v>
      </c>
      <c r="I28" s="68" t="s">
        <v>23</v>
      </c>
      <c r="J28" s="69">
        <v>45733</v>
      </c>
      <c r="K28" s="49">
        <v>45734</v>
      </c>
      <c r="L28" s="16" t="s">
        <v>315</v>
      </c>
      <c r="M28" s="70">
        <v>246779411998</v>
      </c>
      <c r="N28" s="16" t="s">
        <v>22</v>
      </c>
      <c r="O28" s="16" t="s">
        <v>300</v>
      </c>
      <c r="P28" s="16" t="s">
        <v>18</v>
      </c>
      <c r="Q28" s="16" t="s">
        <v>312</v>
      </c>
      <c r="R28" s="16" t="e">
        <f>_xlfn.XLOOKUP(M28,'Invoice No Ref'!$C:$C,'Invoice No Ref'!$I:$I,,0)</f>
        <v>#N/A</v>
      </c>
      <c r="S28" s="68" t="s">
        <v>110</v>
      </c>
      <c r="T28" s="71">
        <v>25.69</v>
      </c>
      <c r="U28" s="16" t="s">
        <v>20</v>
      </c>
      <c r="V28" s="50">
        <v>2227.1</v>
      </c>
      <c r="W28" s="16">
        <f t="shared" si="0"/>
        <v>86.691319579602947</v>
      </c>
      <c r="X28" s="16" t="s">
        <v>718</v>
      </c>
      <c r="Y28" s="16" t="s">
        <v>18</v>
      </c>
      <c r="Z28" s="16" t="s">
        <v>315</v>
      </c>
      <c r="AA28" s="16" t="s">
        <v>301</v>
      </c>
      <c r="AB28" s="16" t="e">
        <f>_xlfn.XLOOKUP(R28,'Customer Data'!$D:$D,'Customer Data'!$F:$F,,0)</f>
        <v>#N/A</v>
      </c>
      <c r="AC28" s="68"/>
      <c r="AD28" s="68" t="s">
        <v>48</v>
      </c>
      <c r="AE28" s="16" t="s">
        <v>18</v>
      </c>
      <c r="AF28" s="16" t="s">
        <v>18</v>
      </c>
      <c r="AG28" s="16" t="s">
        <v>18</v>
      </c>
      <c r="AH28" s="49">
        <v>45733</v>
      </c>
      <c r="AI28" s="49"/>
      <c r="AJ28" s="68" t="s">
        <v>18</v>
      </c>
    </row>
    <row r="29" spans="1:36" s="72" customFormat="1" hidden="1" x14ac:dyDescent="0.35">
      <c r="A29" s="16" t="s">
        <v>307</v>
      </c>
      <c r="B29" s="16" t="s">
        <v>297</v>
      </c>
      <c r="C29" s="16" t="s">
        <v>21</v>
      </c>
      <c r="D29" s="16" t="s">
        <v>298</v>
      </c>
      <c r="E29" s="16" t="s">
        <v>167</v>
      </c>
      <c r="F29" s="16" t="s">
        <v>310</v>
      </c>
      <c r="G29" s="49">
        <v>45733</v>
      </c>
      <c r="H29" s="68" t="s">
        <v>341</v>
      </c>
      <c r="I29" s="68" t="s">
        <v>23</v>
      </c>
      <c r="J29" s="69">
        <v>45733</v>
      </c>
      <c r="K29" s="49">
        <v>45734</v>
      </c>
      <c r="L29" s="16" t="s">
        <v>315</v>
      </c>
      <c r="M29" s="70">
        <v>246779411999</v>
      </c>
      <c r="N29" s="16" t="s">
        <v>22</v>
      </c>
      <c r="O29" s="16" t="s">
        <v>300</v>
      </c>
      <c r="P29" s="16" t="s">
        <v>18</v>
      </c>
      <c r="Q29" s="16" t="s">
        <v>312</v>
      </c>
      <c r="R29" s="16" t="e">
        <f>_xlfn.XLOOKUP(M29,'Invoice No Ref'!$C:$C,'Invoice No Ref'!$I:$I,,0)</f>
        <v>#N/A</v>
      </c>
      <c r="S29" s="68" t="s">
        <v>110</v>
      </c>
      <c r="T29" s="71">
        <v>6.42</v>
      </c>
      <c r="U29" s="16" t="s">
        <v>20</v>
      </c>
      <c r="V29" s="50">
        <v>556.55999999999995</v>
      </c>
      <c r="W29" s="16">
        <f t="shared" si="0"/>
        <v>86.691588785046719</v>
      </c>
      <c r="X29" s="16" t="s">
        <v>718</v>
      </c>
      <c r="Y29" s="16" t="s">
        <v>18</v>
      </c>
      <c r="Z29" s="16" t="s">
        <v>315</v>
      </c>
      <c r="AA29" s="16" t="s">
        <v>301</v>
      </c>
      <c r="AB29" s="16" t="e">
        <f>_xlfn.XLOOKUP(R29,'Customer Data'!$D:$D,'Customer Data'!$F:$F,,0)</f>
        <v>#N/A</v>
      </c>
      <c r="AC29" s="68"/>
      <c r="AD29" s="68" t="s">
        <v>48</v>
      </c>
      <c r="AE29" s="16" t="s">
        <v>18</v>
      </c>
      <c r="AF29" s="16" t="s">
        <v>18</v>
      </c>
      <c r="AG29" s="16" t="s">
        <v>18</v>
      </c>
      <c r="AH29" s="49">
        <v>45733</v>
      </c>
      <c r="AI29" s="49"/>
      <c r="AJ29" s="68" t="s">
        <v>18</v>
      </c>
    </row>
    <row r="30" spans="1:36" hidden="1" x14ac:dyDescent="0.35">
      <c r="A30" s="16" t="s">
        <v>307</v>
      </c>
      <c r="B30" s="16" t="s">
        <v>297</v>
      </c>
      <c r="C30" s="16" t="s">
        <v>21</v>
      </c>
      <c r="D30" s="16" t="s">
        <v>298</v>
      </c>
      <c r="E30" s="16" t="s">
        <v>167</v>
      </c>
      <c r="F30" s="16" t="s">
        <v>310</v>
      </c>
      <c r="G30" s="49">
        <v>45733</v>
      </c>
      <c r="H30" s="16" t="s">
        <v>342</v>
      </c>
      <c r="I30" s="16" t="s">
        <v>23</v>
      </c>
      <c r="J30" s="49">
        <v>45733</v>
      </c>
      <c r="K30" s="49">
        <v>45734</v>
      </c>
      <c r="L30" s="16" t="s">
        <v>315</v>
      </c>
      <c r="M30" s="61">
        <v>246779411867</v>
      </c>
      <c r="N30" s="16" t="s">
        <v>22</v>
      </c>
      <c r="O30" s="16" t="s">
        <v>300</v>
      </c>
      <c r="P30" s="16" t="s">
        <v>18</v>
      </c>
      <c r="Q30" s="16" t="s">
        <v>312</v>
      </c>
      <c r="R30" s="16" t="e">
        <f>_xlfn.XLOOKUP(M30,'Invoice No Ref'!$C:$C,'Invoice No Ref'!$I:$I,,0)</f>
        <v>#N/A</v>
      </c>
      <c r="S30" s="16" t="s">
        <v>110</v>
      </c>
      <c r="T30" s="50">
        <v>23.67</v>
      </c>
      <c r="U30" s="16" t="s">
        <v>20</v>
      </c>
      <c r="V30" s="50">
        <v>2051.98</v>
      </c>
      <c r="W30" s="16">
        <f t="shared" si="0"/>
        <v>86.691170257710169</v>
      </c>
      <c r="X30" s="16" t="s">
        <v>718</v>
      </c>
      <c r="Y30" s="16" t="s">
        <v>18</v>
      </c>
      <c r="Z30" s="16" t="s">
        <v>315</v>
      </c>
      <c r="AA30" s="16" t="s">
        <v>301</v>
      </c>
      <c r="AB30" s="16" t="e">
        <f>_xlfn.XLOOKUP(R30,'Customer Data'!$D:$D,'Customer Data'!$F:$F,,0)</f>
        <v>#N/A</v>
      </c>
      <c r="AC30" s="16"/>
      <c r="AD30" s="16" t="s">
        <v>47</v>
      </c>
      <c r="AE30" s="16" t="s">
        <v>18</v>
      </c>
      <c r="AF30" s="16" t="s">
        <v>18</v>
      </c>
      <c r="AG30" s="16" t="s">
        <v>18</v>
      </c>
      <c r="AH30" s="49">
        <v>45733</v>
      </c>
      <c r="AI30" s="49"/>
      <c r="AJ30" s="16" t="s">
        <v>18</v>
      </c>
    </row>
    <row r="31" spans="1:36" hidden="1" x14ac:dyDescent="0.35">
      <c r="A31" s="16" t="s">
        <v>307</v>
      </c>
      <c r="B31" s="16" t="s">
        <v>297</v>
      </c>
      <c r="C31" s="16" t="s">
        <v>21</v>
      </c>
      <c r="D31" s="16" t="s">
        <v>298</v>
      </c>
      <c r="E31" s="16" t="s">
        <v>167</v>
      </c>
      <c r="F31" s="16" t="s">
        <v>310</v>
      </c>
      <c r="G31" s="49">
        <v>45733</v>
      </c>
      <c r="H31" s="16" t="s">
        <v>343</v>
      </c>
      <c r="I31" s="16" t="s">
        <v>23</v>
      </c>
      <c r="J31" s="49">
        <v>45733</v>
      </c>
      <c r="K31" s="49">
        <v>45734</v>
      </c>
      <c r="L31" s="16" t="s">
        <v>315</v>
      </c>
      <c r="M31" s="61">
        <v>246779411868</v>
      </c>
      <c r="N31" s="16" t="s">
        <v>22</v>
      </c>
      <c r="O31" s="16" t="s">
        <v>300</v>
      </c>
      <c r="P31" s="16" t="s">
        <v>18</v>
      </c>
      <c r="Q31" s="16" t="s">
        <v>312</v>
      </c>
      <c r="R31" s="16" t="e">
        <f>_xlfn.XLOOKUP(M31,'Invoice No Ref'!$C:$C,'Invoice No Ref'!$I:$I,,0)</f>
        <v>#N/A</v>
      </c>
      <c r="S31" s="16" t="s">
        <v>110</v>
      </c>
      <c r="T31" s="50">
        <v>14.2</v>
      </c>
      <c r="U31" s="16" t="s">
        <v>20</v>
      </c>
      <c r="V31" s="50">
        <v>1231.02</v>
      </c>
      <c r="W31" s="16">
        <f t="shared" si="0"/>
        <v>86.691549295774649</v>
      </c>
      <c r="X31" s="16" t="s">
        <v>718</v>
      </c>
      <c r="Y31" s="16" t="s">
        <v>18</v>
      </c>
      <c r="Z31" s="16" t="s">
        <v>315</v>
      </c>
      <c r="AA31" s="16" t="s">
        <v>301</v>
      </c>
      <c r="AB31" s="16" t="e">
        <f>_xlfn.XLOOKUP(R31,'Customer Data'!$D:$D,'Customer Data'!$F:$F,,0)</f>
        <v>#N/A</v>
      </c>
      <c r="AC31" s="16"/>
      <c r="AD31" s="16" t="s">
        <v>47</v>
      </c>
      <c r="AE31" s="16" t="s">
        <v>18</v>
      </c>
      <c r="AF31" s="16" t="s">
        <v>18</v>
      </c>
      <c r="AG31" s="16" t="s">
        <v>18</v>
      </c>
      <c r="AH31" s="49">
        <v>45733</v>
      </c>
      <c r="AI31" s="49"/>
      <c r="AJ31" s="16" t="s">
        <v>18</v>
      </c>
    </row>
    <row r="32" spans="1:36" hidden="1" x14ac:dyDescent="0.35">
      <c r="A32" s="16" t="s">
        <v>307</v>
      </c>
      <c r="B32" s="16" t="s">
        <v>297</v>
      </c>
      <c r="C32" s="16" t="s">
        <v>21</v>
      </c>
      <c r="D32" s="16" t="s">
        <v>298</v>
      </c>
      <c r="E32" s="16" t="s">
        <v>167</v>
      </c>
      <c r="F32" s="16" t="s">
        <v>310</v>
      </c>
      <c r="G32" s="49">
        <v>45733</v>
      </c>
      <c r="H32" s="16" t="s">
        <v>344</v>
      </c>
      <c r="I32" s="16" t="s">
        <v>23</v>
      </c>
      <c r="J32" s="49">
        <v>45733</v>
      </c>
      <c r="K32" s="49">
        <v>45734</v>
      </c>
      <c r="L32" s="16" t="s">
        <v>315</v>
      </c>
      <c r="M32" s="61">
        <v>246779411869</v>
      </c>
      <c r="N32" s="16" t="s">
        <v>22</v>
      </c>
      <c r="O32" s="16" t="s">
        <v>300</v>
      </c>
      <c r="P32" s="16" t="s">
        <v>18</v>
      </c>
      <c r="Q32" s="16" t="s">
        <v>312</v>
      </c>
      <c r="R32" s="16" t="e">
        <f>_xlfn.XLOOKUP(M32,'Invoice No Ref'!$C:$C,'Invoice No Ref'!$I:$I,,0)</f>
        <v>#N/A</v>
      </c>
      <c r="S32" s="16" t="s">
        <v>110</v>
      </c>
      <c r="T32" s="50">
        <v>11.84</v>
      </c>
      <c r="U32" s="16" t="s">
        <v>20</v>
      </c>
      <c r="V32" s="50">
        <v>1026.42</v>
      </c>
      <c r="W32" s="16">
        <f t="shared" si="0"/>
        <v>86.690878378378386</v>
      </c>
      <c r="X32" s="16" t="s">
        <v>718</v>
      </c>
      <c r="Y32" s="16" t="s">
        <v>18</v>
      </c>
      <c r="Z32" s="16" t="s">
        <v>315</v>
      </c>
      <c r="AA32" s="16" t="s">
        <v>301</v>
      </c>
      <c r="AB32" s="16" t="e">
        <f>_xlfn.XLOOKUP(R32,'Customer Data'!$D:$D,'Customer Data'!$F:$F,,0)</f>
        <v>#N/A</v>
      </c>
      <c r="AC32" s="16"/>
      <c r="AD32" s="16" t="s">
        <v>47</v>
      </c>
      <c r="AE32" s="16" t="s">
        <v>18</v>
      </c>
      <c r="AF32" s="16" t="s">
        <v>18</v>
      </c>
      <c r="AG32" s="16" t="s">
        <v>18</v>
      </c>
      <c r="AH32" s="49">
        <v>45733</v>
      </c>
      <c r="AI32" s="49"/>
      <c r="AJ32" s="16" t="s">
        <v>18</v>
      </c>
    </row>
    <row r="33" spans="1:36" hidden="1" x14ac:dyDescent="0.35">
      <c r="A33" s="16" t="s">
        <v>307</v>
      </c>
      <c r="B33" s="16" t="s">
        <v>297</v>
      </c>
      <c r="C33" s="16" t="s">
        <v>21</v>
      </c>
      <c r="D33" s="16" t="s">
        <v>298</v>
      </c>
      <c r="E33" s="16" t="s">
        <v>167</v>
      </c>
      <c r="F33" s="16" t="s">
        <v>310</v>
      </c>
      <c r="G33" s="49">
        <v>45733</v>
      </c>
      <c r="H33" s="16" t="s">
        <v>345</v>
      </c>
      <c r="I33" s="16" t="s">
        <v>23</v>
      </c>
      <c r="J33" s="49">
        <v>45733</v>
      </c>
      <c r="K33" s="49">
        <v>45734</v>
      </c>
      <c r="L33" s="16" t="s">
        <v>315</v>
      </c>
      <c r="M33" s="61">
        <v>246779411870</v>
      </c>
      <c r="N33" s="16" t="s">
        <v>22</v>
      </c>
      <c r="O33" s="16" t="s">
        <v>300</v>
      </c>
      <c r="P33" s="16" t="s">
        <v>18</v>
      </c>
      <c r="Q33" s="16" t="s">
        <v>312</v>
      </c>
      <c r="R33" s="16" t="e">
        <f>_xlfn.XLOOKUP(M33,'Invoice No Ref'!$C:$C,'Invoice No Ref'!$I:$I,,0)</f>
        <v>#N/A</v>
      </c>
      <c r="S33" s="16" t="s">
        <v>110</v>
      </c>
      <c r="T33" s="50">
        <v>1.18</v>
      </c>
      <c r="U33" s="16" t="s">
        <v>20</v>
      </c>
      <c r="V33" s="50">
        <v>102.3</v>
      </c>
      <c r="W33" s="16">
        <f t="shared" si="0"/>
        <v>86.694915254237287</v>
      </c>
      <c r="X33" s="16" t="s">
        <v>718</v>
      </c>
      <c r="Y33" s="16" t="s">
        <v>18</v>
      </c>
      <c r="Z33" s="16" t="s">
        <v>315</v>
      </c>
      <c r="AA33" s="16" t="s">
        <v>301</v>
      </c>
      <c r="AB33" s="16" t="e">
        <f>_xlfn.XLOOKUP(R33,'Customer Data'!$D:$D,'Customer Data'!$F:$F,,0)</f>
        <v>#N/A</v>
      </c>
      <c r="AC33" s="16"/>
      <c r="AD33" s="16" t="s">
        <v>47</v>
      </c>
      <c r="AE33" s="16" t="s">
        <v>18</v>
      </c>
      <c r="AF33" s="16" t="s">
        <v>18</v>
      </c>
      <c r="AG33" s="16" t="s">
        <v>18</v>
      </c>
      <c r="AH33" s="49">
        <v>45733</v>
      </c>
      <c r="AI33" s="49"/>
      <c r="AJ33" s="16" t="s">
        <v>18</v>
      </c>
    </row>
    <row r="34" spans="1:36" hidden="1" x14ac:dyDescent="0.35">
      <c r="A34" s="16" t="s">
        <v>307</v>
      </c>
      <c r="B34" s="16" t="s">
        <v>297</v>
      </c>
      <c r="C34" s="16" t="s">
        <v>21</v>
      </c>
      <c r="D34" s="16" t="s">
        <v>298</v>
      </c>
      <c r="E34" s="16" t="s">
        <v>167</v>
      </c>
      <c r="F34" s="16" t="s">
        <v>310</v>
      </c>
      <c r="G34" s="49">
        <v>45733</v>
      </c>
      <c r="H34" s="16" t="s">
        <v>346</v>
      </c>
      <c r="I34" s="16" t="s">
        <v>23</v>
      </c>
      <c r="J34" s="49">
        <v>45733</v>
      </c>
      <c r="K34" s="49">
        <v>45734</v>
      </c>
      <c r="L34" s="16" t="s">
        <v>315</v>
      </c>
      <c r="M34" s="61">
        <v>246779411873</v>
      </c>
      <c r="N34" s="16" t="s">
        <v>22</v>
      </c>
      <c r="O34" s="16" t="s">
        <v>300</v>
      </c>
      <c r="P34" s="16" t="s">
        <v>18</v>
      </c>
      <c r="Q34" s="16" t="s">
        <v>312</v>
      </c>
      <c r="R34" s="16" t="e">
        <f>_xlfn.XLOOKUP(M34,'Invoice No Ref'!$C:$C,'Invoice No Ref'!$I:$I,,0)</f>
        <v>#N/A</v>
      </c>
      <c r="S34" s="16" t="s">
        <v>110</v>
      </c>
      <c r="T34" s="50">
        <v>16.57</v>
      </c>
      <c r="U34" s="16" t="s">
        <v>20</v>
      </c>
      <c r="V34" s="50">
        <v>1436.47</v>
      </c>
      <c r="W34" s="16">
        <f t="shared" si="0"/>
        <v>86.691007845503918</v>
      </c>
      <c r="X34" s="16" t="s">
        <v>718</v>
      </c>
      <c r="Y34" s="16" t="s">
        <v>18</v>
      </c>
      <c r="Z34" s="16" t="s">
        <v>315</v>
      </c>
      <c r="AA34" s="16" t="s">
        <v>301</v>
      </c>
      <c r="AB34" s="16" t="e">
        <f>_xlfn.XLOOKUP(R34,'Customer Data'!$D:$D,'Customer Data'!$F:$F,,0)</f>
        <v>#N/A</v>
      </c>
      <c r="AC34" s="16"/>
      <c r="AD34" s="16" t="s">
        <v>47</v>
      </c>
      <c r="AE34" s="16" t="s">
        <v>18</v>
      </c>
      <c r="AF34" s="16" t="s">
        <v>18</v>
      </c>
      <c r="AG34" s="16" t="s">
        <v>18</v>
      </c>
      <c r="AH34" s="49">
        <v>45733</v>
      </c>
      <c r="AI34" s="49"/>
      <c r="AJ34" s="16" t="s">
        <v>18</v>
      </c>
    </row>
    <row r="35" spans="1:36" x14ac:dyDescent="0.35">
      <c r="A35" s="16" t="s">
        <v>307</v>
      </c>
      <c r="B35" s="16" t="s">
        <v>297</v>
      </c>
      <c r="C35" s="16" t="s">
        <v>21</v>
      </c>
      <c r="D35" s="16" t="s">
        <v>298</v>
      </c>
      <c r="E35" s="16" t="s">
        <v>167</v>
      </c>
      <c r="F35" s="16" t="s">
        <v>299</v>
      </c>
      <c r="G35" s="49">
        <v>45762</v>
      </c>
      <c r="H35" s="16" t="s">
        <v>347</v>
      </c>
      <c r="I35" s="16" t="s">
        <v>23</v>
      </c>
      <c r="J35" s="49">
        <v>45762</v>
      </c>
      <c r="K35" s="49">
        <v>45763</v>
      </c>
      <c r="L35" s="16" t="s">
        <v>315</v>
      </c>
      <c r="M35" s="61">
        <v>256779410983</v>
      </c>
      <c r="N35" s="16" t="s">
        <v>22</v>
      </c>
      <c r="O35" s="16" t="s">
        <v>300</v>
      </c>
      <c r="P35" s="16" t="s">
        <v>18</v>
      </c>
      <c r="Q35" s="16" t="s">
        <v>312</v>
      </c>
      <c r="R35" s="16" t="e">
        <f>_xlfn.XLOOKUP(M35,'Invoice No Ref'!$C:$C,'Invoice No Ref'!$I:$I,,0)</f>
        <v>#N/A</v>
      </c>
      <c r="S35" s="16" t="s">
        <v>110</v>
      </c>
      <c r="T35" s="50">
        <v>392.35</v>
      </c>
      <c r="U35" s="16" t="s">
        <v>20</v>
      </c>
      <c r="V35" s="50">
        <v>34103.78</v>
      </c>
      <c r="W35" s="16">
        <f t="shared" si="0"/>
        <v>86.921829998725613</v>
      </c>
      <c r="X35" s="16" t="s">
        <v>18</v>
      </c>
      <c r="Y35" s="16" t="s">
        <v>18</v>
      </c>
      <c r="Z35" s="16" t="s">
        <v>315</v>
      </c>
      <c r="AA35" s="16" t="s">
        <v>301</v>
      </c>
      <c r="AB35" s="16" t="e">
        <f>_xlfn.XLOOKUP(R35,'Customer Data'!$D:$D,'Customer Data'!$F:$F,,0)</f>
        <v>#N/A</v>
      </c>
      <c r="AC35" s="16"/>
      <c r="AD35" s="16" t="s">
        <v>80</v>
      </c>
      <c r="AE35" s="16" t="s">
        <v>18</v>
      </c>
      <c r="AF35" s="16" t="s">
        <v>18</v>
      </c>
      <c r="AG35" s="16" t="s">
        <v>18</v>
      </c>
      <c r="AH35" s="49">
        <v>45762</v>
      </c>
      <c r="AI35" s="49"/>
      <c r="AJ35" s="16" t="s">
        <v>18</v>
      </c>
    </row>
    <row r="36" spans="1:36" x14ac:dyDescent="0.35">
      <c r="A36" s="16" t="s">
        <v>307</v>
      </c>
      <c r="B36" s="16" t="s">
        <v>297</v>
      </c>
      <c r="C36" s="16" t="s">
        <v>21</v>
      </c>
      <c r="D36" s="16" t="s">
        <v>298</v>
      </c>
      <c r="E36" s="16" t="s">
        <v>167</v>
      </c>
      <c r="F36" s="16" t="s">
        <v>299</v>
      </c>
      <c r="G36" s="49">
        <v>45762</v>
      </c>
      <c r="H36" s="16" t="s">
        <v>348</v>
      </c>
      <c r="I36" s="16" t="s">
        <v>23</v>
      </c>
      <c r="J36" s="49">
        <v>45762</v>
      </c>
      <c r="K36" s="49">
        <v>45763</v>
      </c>
      <c r="L36" s="16" t="s">
        <v>315</v>
      </c>
      <c r="M36" s="61">
        <v>256779410984</v>
      </c>
      <c r="N36" s="16" t="s">
        <v>22</v>
      </c>
      <c r="O36" s="16" t="s">
        <v>300</v>
      </c>
      <c r="P36" s="16" t="s">
        <v>18</v>
      </c>
      <c r="Q36" s="16" t="s">
        <v>312</v>
      </c>
      <c r="R36" s="16" t="e">
        <f>_xlfn.XLOOKUP(M36,'Invoice No Ref'!$C:$C,'Invoice No Ref'!$I:$I,,0)</f>
        <v>#N/A</v>
      </c>
      <c r="S36" s="16" t="s">
        <v>110</v>
      </c>
      <c r="T36" s="50">
        <v>200.6</v>
      </c>
      <c r="U36" s="16" t="s">
        <v>20</v>
      </c>
      <c r="V36" s="50">
        <v>17436.52</v>
      </c>
      <c r="W36" s="16">
        <f t="shared" si="0"/>
        <v>86.921834496510471</v>
      </c>
      <c r="X36" s="16" t="s">
        <v>18</v>
      </c>
      <c r="Y36" s="16" t="s">
        <v>18</v>
      </c>
      <c r="Z36" s="16" t="s">
        <v>315</v>
      </c>
      <c r="AA36" s="16" t="s">
        <v>301</v>
      </c>
      <c r="AB36" s="16" t="e">
        <f>_xlfn.XLOOKUP(R36,'Customer Data'!$D:$D,'Customer Data'!$F:$F,,0)</f>
        <v>#N/A</v>
      </c>
      <c r="AC36" s="16"/>
      <c r="AD36" s="16" t="s">
        <v>80</v>
      </c>
      <c r="AE36" s="16" t="s">
        <v>18</v>
      </c>
      <c r="AF36" s="16" t="s">
        <v>18</v>
      </c>
      <c r="AG36" s="16" t="s">
        <v>18</v>
      </c>
      <c r="AH36" s="49">
        <v>45762</v>
      </c>
      <c r="AI36" s="49"/>
      <c r="AJ36" s="16" t="s">
        <v>18</v>
      </c>
    </row>
    <row r="37" spans="1:36" x14ac:dyDescent="0.35">
      <c r="A37" s="16" t="s">
        <v>307</v>
      </c>
      <c r="B37" s="16" t="s">
        <v>297</v>
      </c>
      <c r="C37" s="16" t="s">
        <v>21</v>
      </c>
      <c r="D37" s="16" t="s">
        <v>298</v>
      </c>
      <c r="E37" s="16" t="s">
        <v>167</v>
      </c>
      <c r="F37" s="16" t="s">
        <v>299</v>
      </c>
      <c r="G37" s="49">
        <v>45762</v>
      </c>
      <c r="H37" s="16" t="s">
        <v>349</v>
      </c>
      <c r="I37" s="16" t="s">
        <v>23</v>
      </c>
      <c r="J37" s="49">
        <v>45762</v>
      </c>
      <c r="K37" s="49">
        <v>45763</v>
      </c>
      <c r="L37" s="16" t="s">
        <v>315</v>
      </c>
      <c r="M37" s="61">
        <v>256779410985</v>
      </c>
      <c r="N37" s="16" t="s">
        <v>22</v>
      </c>
      <c r="O37" s="16" t="s">
        <v>300</v>
      </c>
      <c r="P37" s="16" t="s">
        <v>18</v>
      </c>
      <c r="Q37" s="16" t="s">
        <v>312</v>
      </c>
      <c r="R37" s="16" t="e">
        <f>_xlfn.XLOOKUP(M37,'Invoice No Ref'!$C:$C,'Invoice No Ref'!$I:$I,,0)</f>
        <v>#N/A</v>
      </c>
      <c r="S37" s="16" t="s">
        <v>110</v>
      </c>
      <c r="T37" s="50">
        <v>106.2</v>
      </c>
      <c r="U37" s="16" t="s">
        <v>20</v>
      </c>
      <c r="V37" s="50">
        <v>9231.1</v>
      </c>
      <c r="W37" s="16">
        <f t="shared" si="0"/>
        <v>86.921845574387945</v>
      </c>
      <c r="X37" s="16" t="s">
        <v>18</v>
      </c>
      <c r="Y37" s="16" t="s">
        <v>18</v>
      </c>
      <c r="Z37" s="16" t="s">
        <v>315</v>
      </c>
      <c r="AA37" s="16" t="s">
        <v>301</v>
      </c>
      <c r="AB37" s="16" t="e">
        <f>_xlfn.XLOOKUP(R37,'Customer Data'!$D:$D,'Customer Data'!$F:$F,,0)</f>
        <v>#N/A</v>
      </c>
      <c r="AC37" s="16"/>
      <c r="AD37" s="16" t="s">
        <v>80</v>
      </c>
      <c r="AE37" s="16" t="s">
        <v>18</v>
      </c>
      <c r="AF37" s="16" t="s">
        <v>18</v>
      </c>
      <c r="AG37" s="16" t="s">
        <v>18</v>
      </c>
      <c r="AH37" s="49">
        <v>45762</v>
      </c>
      <c r="AI37" s="49"/>
      <c r="AJ37" s="16" t="s">
        <v>18</v>
      </c>
    </row>
    <row r="38" spans="1:36" x14ac:dyDescent="0.35">
      <c r="A38" s="16" t="s">
        <v>307</v>
      </c>
      <c r="B38" s="16" t="s">
        <v>297</v>
      </c>
      <c r="C38" s="16" t="s">
        <v>21</v>
      </c>
      <c r="D38" s="16" t="s">
        <v>298</v>
      </c>
      <c r="E38" s="16" t="s">
        <v>167</v>
      </c>
      <c r="F38" s="16" t="s">
        <v>299</v>
      </c>
      <c r="G38" s="49">
        <v>45762</v>
      </c>
      <c r="H38" s="16" t="s">
        <v>350</v>
      </c>
      <c r="I38" s="16" t="s">
        <v>23</v>
      </c>
      <c r="J38" s="49">
        <v>45762</v>
      </c>
      <c r="K38" s="49">
        <v>45763</v>
      </c>
      <c r="L38" s="16" t="s">
        <v>315</v>
      </c>
      <c r="M38" s="61">
        <v>256779410986</v>
      </c>
      <c r="N38" s="16" t="s">
        <v>22</v>
      </c>
      <c r="O38" s="16" t="s">
        <v>300</v>
      </c>
      <c r="P38" s="16" t="s">
        <v>18</v>
      </c>
      <c r="Q38" s="16" t="s">
        <v>312</v>
      </c>
      <c r="R38" s="16" t="e">
        <f>_xlfn.XLOOKUP(M38,'Invoice No Ref'!$C:$C,'Invoice No Ref'!$I:$I,,0)</f>
        <v>#N/A</v>
      </c>
      <c r="S38" s="16" t="s">
        <v>110</v>
      </c>
      <c r="T38" s="50">
        <v>82.6</v>
      </c>
      <c r="U38" s="16" t="s">
        <v>20</v>
      </c>
      <c r="V38" s="50">
        <v>7179.74</v>
      </c>
      <c r="W38" s="16">
        <f t="shared" si="0"/>
        <v>86.921791767554481</v>
      </c>
      <c r="X38" s="16" t="s">
        <v>18</v>
      </c>
      <c r="Y38" s="16" t="s">
        <v>18</v>
      </c>
      <c r="Z38" s="16" t="s">
        <v>315</v>
      </c>
      <c r="AA38" s="16" t="s">
        <v>301</v>
      </c>
      <c r="AB38" s="16" t="e">
        <f>_xlfn.XLOOKUP(R38,'Customer Data'!$D:$D,'Customer Data'!$F:$F,,0)</f>
        <v>#N/A</v>
      </c>
      <c r="AC38" s="16"/>
      <c r="AD38" s="16" t="s">
        <v>80</v>
      </c>
      <c r="AE38" s="16" t="s">
        <v>18</v>
      </c>
      <c r="AF38" s="16" t="s">
        <v>18</v>
      </c>
      <c r="AG38" s="16" t="s">
        <v>18</v>
      </c>
      <c r="AH38" s="49">
        <v>45762</v>
      </c>
      <c r="AI38" s="49"/>
      <c r="AJ38" s="16" t="s">
        <v>18</v>
      </c>
    </row>
    <row r="39" spans="1:36" x14ac:dyDescent="0.35">
      <c r="A39" s="16" t="s">
        <v>307</v>
      </c>
      <c r="B39" s="16" t="s">
        <v>297</v>
      </c>
      <c r="C39" s="16" t="s">
        <v>21</v>
      </c>
      <c r="D39" s="16" t="s">
        <v>298</v>
      </c>
      <c r="E39" s="16" t="s">
        <v>167</v>
      </c>
      <c r="F39" s="16" t="s">
        <v>299</v>
      </c>
      <c r="G39" s="49">
        <v>45762</v>
      </c>
      <c r="H39" s="16" t="s">
        <v>351</v>
      </c>
      <c r="I39" s="16" t="s">
        <v>23</v>
      </c>
      <c r="J39" s="49">
        <v>45762</v>
      </c>
      <c r="K39" s="49">
        <v>45763</v>
      </c>
      <c r="L39" s="16" t="s">
        <v>315</v>
      </c>
      <c r="M39" s="61">
        <v>256779410987</v>
      </c>
      <c r="N39" s="16" t="s">
        <v>22</v>
      </c>
      <c r="O39" s="16" t="s">
        <v>300</v>
      </c>
      <c r="P39" s="16" t="s">
        <v>18</v>
      </c>
      <c r="Q39" s="16" t="s">
        <v>312</v>
      </c>
      <c r="R39" s="16" t="e">
        <f>_xlfn.XLOOKUP(M39,'Invoice No Ref'!$C:$C,'Invoice No Ref'!$I:$I,,0)</f>
        <v>#N/A</v>
      </c>
      <c r="S39" s="16" t="s">
        <v>110</v>
      </c>
      <c r="T39" s="50">
        <v>223.67</v>
      </c>
      <c r="U39" s="16" t="s">
        <v>20</v>
      </c>
      <c r="V39" s="50">
        <v>19441.8</v>
      </c>
      <c r="W39" s="16">
        <f t="shared" si="0"/>
        <v>86.921804444047041</v>
      </c>
      <c r="X39" s="16" t="s">
        <v>18</v>
      </c>
      <c r="Y39" s="16" t="s">
        <v>18</v>
      </c>
      <c r="Z39" s="16" t="s">
        <v>315</v>
      </c>
      <c r="AA39" s="16" t="s">
        <v>301</v>
      </c>
      <c r="AB39" s="16" t="e">
        <f>_xlfn.XLOOKUP(R39,'Customer Data'!$D:$D,'Customer Data'!$F:$F,,0)</f>
        <v>#N/A</v>
      </c>
      <c r="AC39" s="16"/>
      <c r="AD39" s="16" t="s">
        <v>81</v>
      </c>
      <c r="AE39" s="16" t="s">
        <v>18</v>
      </c>
      <c r="AF39" s="16" t="s">
        <v>18</v>
      </c>
      <c r="AG39" s="16" t="s">
        <v>18</v>
      </c>
      <c r="AH39" s="49">
        <v>45762</v>
      </c>
      <c r="AI39" s="49"/>
      <c r="AJ39" s="16" t="s">
        <v>18</v>
      </c>
    </row>
    <row r="40" spans="1:36" x14ac:dyDescent="0.35">
      <c r="A40" s="16" t="s">
        <v>307</v>
      </c>
      <c r="B40" s="16" t="s">
        <v>297</v>
      </c>
      <c r="C40" s="16" t="s">
        <v>21</v>
      </c>
      <c r="D40" s="16" t="s">
        <v>298</v>
      </c>
      <c r="E40" s="16" t="s">
        <v>167</v>
      </c>
      <c r="F40" s="16" t="s">
        <v>299</v>
      </c>
      <c r="G40" s="49">
        <v>45762</v>
      </c>
      <c r="H40" s="16" t="s">
        <v>352</v>
      </c>
      <c r="I40" s="16" t="s">
        <v>23</v>
      </c>
      <c r="J40" s="49">
        <v>45762</v>
      </c>
      <c r="K40" s="49">
        <v>45763</v>
      </c>
      <c r="L40" s="16" t="s">
        <v>315</v>
      </c>
      <c r="M40" s="61">
        <v>256779410988</v>
      </c>
      <c r="N40" s="16" t="s">
        <v>22</v>
      </c>
      <c r="O40" s="16" t="s">
        <v>300</v>
      </c>
      <c r="P40" s="16" t="s">
        <v>18</v>
      </c>
      <c r="Q40" s="16" t="s">
        <v>312</v>
      </c>
      <c r="R40" s="16" t="e">
        <f>_xlfn.XLOOKUP(M40,'Invoice No Ref'!$C:$C,'Invoice No Ref'!$I:$I,,0)</f>
        <v>#N/A</v>
      </c>
      <c r="S40" s="16" t="s">
        <v>110</v>
      </c>
      <c r="T40" s="50">
        <v>330.4</v>
      </c>
      <c r="U40" s="16" t="s">
        <v>20</v>
      </c>
      <c r="V40" s="50">
        <v>28718.97</v>
      </c>
      <c r="W40" s="16">
        <f t="shared" si="0"/>
        <v>86.921822033898309</v>
      </c>
      <c r="X40" s="16" t="s">
        <v>18</v>
      </c>
      <c r="Y40" s="16" t="s">
        <v>18</v>
      </c>
      <c r="Z40" s="16" t="s">
        <v>315</v>
      </c>
      <c r="AA40" s="16" t="s">
        <v>301</v>
      </c>
      <c r="AB40" s="16" t="e">
        <f>_xlfn.XLOOKUP(R40,'Customer Data'!$D:$D,'Customer Data'!$F:$F,,0)</f>
        <v>#N/A</v>
      </c>
      <c r="AC40" s="16"/>
      <c r="AD40" s="16" t="s">
        <v>80</v>
      </c>
      <c r="AE40" s="16" t="s">
        <v>18</v>
      </c>
      <c r="AF40" s="16" t="s">
        <v>18</v>
      </c>
      <c r="AG40" s="16" t="s">
        <v>18</v>
      </c>
      <c r="AH40" s="49">
        <v>45762</v>
      </c>
      <c r="AI40" s="49"/>
      <c r="AJ40" s="16" t="s">
        <v>18</v>
      </c>
    </row>
    <row r="41" spans="1:36" x14ac:dyDescent="0.35">
      <c r="A41" s="16" t="s">
        <v>307</v>
      </c>
      <c r="B41" s="16" t="s">
        <v>297</v>
      </c>
      <c r="C41" s="16" t="s">
        <v>21</v>
      </c>
      <c r="D41" s="16" t="s">
        <v>298</v>
      </c>
      <c r="E41" s="16" t="s">
        <v>167</v>
      </c>
      <c r="F41" s="16" t="s">
        <v>299</v>
      </c>
      <c r="G41" s="49">
        <v>45762</v>
      </c>
      <c r="H41" s="16" t="s">
        <v>353</v>
      </c>
      <c r="I41" s="16" t="s">
        <v>23</v>
      </c>
      <c r="J41" s="49">
        <v>45762</v>
      </c>
      <c r="K41" s="49">
        <v>45763</v>
      </c>
      <c r="L41" s="16" t="s">
        <v>315</v>
      </c>
      <c r="M41" s="61">
        <v>256779410989</v>
      </c>
      <c r="N41" s="16" t="s">
        <v>22</v>
      </c>
      <c r="O41" s="16" t="s">
        <v>300</v>
      </c>
      <c r="P41" s="16" t="s">
        <v>18</v>
      </c>
      <c r="Q41" s="16" t="s">
        <v>312</v>
      </c>
      <c r="R41" s="16" t="e">
        <f>_xlfn.XLOOKUP(M41,'Invoice No Ref'!$C:$C,'Invoice No Ref'!$I:$I,,0)</f>
        <v>#N/A</v>
      </c>
      <c r="S41" s="16" t="s">
        <v>110</v>
      </c>
      <c r="T41" s="50">
        <v>82.6</v>
      </c>
      <c r="U41" s="16" t="s">
        <v>20</v>
      </c>
      <c r="V41" s="50">
        <v>7179.74</v>
      </c>
      <c r="W41" s="16">
        <f t="shared" si="0"/>
        <v>86.921791767554481</v>
      </c>
      <c r="X41" s="16" t="s">
        <v>18</v>
      </c>
      <c r="Y41" s="16" t="s">
        <v>18</v>
      </c>
      <c r="Z41" s="16" t="s">
        <v>315</v>
      </c>
      <c r="AA41" s="16" t="s">
        <v>301</v>
      </c>
      <c r="AB41" s="16" t="e">
        <f>_xlfn.XLOOKUP(R41,'Customer Data'!$D:$D,'Customer Data'!$F:$F,,0)</f>
        <v>#N/A</v>
      </c>
      <c r="AC41" s="16"/>
      <c r="AD41" s="16" t="s">
        <v>80</v>
      </c>
      <c r="AE41" s="16" t="s">
        <v>18</v>
      </c>
      <c r="AF41" s="16" t="s">
        <v>18</v>
      </c>
      <c r="AG41" s="16" t="s">
        <v>18</v>
      </c>
      <c r="AH41" s="49">
        <v>45762</v>
      </c>
      <c r="AI41" s="49"/>
      <c r="AJ41" s="16" t="s">
        <v>18</v>
      </c>
    </row>
    <row r="42" spans="1:36" x14ac:dyDescent="0.35">
      <c r="A42" s="16" t="s">
        <v>307</v>
      </c>
      <c r="B42" s="16" t="s">
        <v>297</v>
      </c>
      <c r="C42" s="16" t="s">
        <v>21</v>
      </c>
      <c r="D42" s="16" t="s">
        <v>298</v>
      </c>
      <c r="E42" s="16" t="s">
        <v>167</v>
      </c>
      <c r="F42" s="16" t="s">
        <v>299</v>
      </c>
      <c r="G42" s="49">
        <v>45762</v>
      </c>
      <c r="H42" s="16" t="s">
        <v>354</v>
      </c>
      <c r="I42" s="16" t="s">
        <v>23</v>
      </c>
      <c r="J42" s="49">
        <v>45762</v>
      </c>
      <c r="K42" s="49">
        <v>45763</v>
      </c>
      <c r="L42" s="16" t="s">
        <v>315</v>
      </c>
      <c r="M42" s="61">
        <v>256779410990</v>
      </c>
      <c r="N42" s="16" t="s">
        <v>22</v>
      </c>
      <c r="O42" s="16" t="s">
        <v>300</v>
      </c>
      <c r="P42" s="16" t="s">
        <v>18</v>
      </c>
      <c r="Q42" s="16" t="s">
        <v>312</v>
      </c>
      <c r="R42" s="16" t="e">
        <f>_xlfn.XLOOKUP(M42,'Invoice No Ref'!$C:$C,'Invoice No Ref'!$I:$I,,0)</f>
        <v>#N/A</v>
      </c>
      <c r="S42" s="16" t="s">
        <v>110</v>
      </c>
      <c r="T42" s="50">
        <v>194.7</v>
      </c>
      <c r="U42" s="16" t="s">
        <v>20</v>
      </c>
      <c r="V42" s="50">
        <v>16923.68</v>
      </c>
      <c r="W42" s="16">
        <f t="shared" si="0"/>
        <v>86.921828454031854</v>
      </c>
      <c r="X42" s="16" t="s">
        <v>18</v>
      </c>
      <c r="Y42" s="16" t="s">
        <v>18</v>
      </c>
      <c r="Z42" s="16" t="s">
        <v>315</v>
      </c>
      <c r="AA42" s="16" t="s">
        <v>301</v>
      </c>
      <c r="AB42" s="16" t="e">
        <f>_xlfn.XLOOKUP(R42,'Customer Data'!$D:$D,'Customer Data'!$F:$F,,0)</f>
        <v>#N/A</v>
      </c>
      <c r="AC42" s="16"/>
      <c r="AD42" s="16" t="s">
        <v>80</v>
      </c>
      <c r="AE42" s="16" t="s">
        <v>18</v>
      </c>
      <c r="AF42" s="16" t="s">
        <v>18</v>
      </c>
      <c r="AG42" s="16" t="s">
        <v>18</v>
      </c>
      <c r="AH42" s="49">
        <v>45762</v>
      </c>
      <c r="AI42" s="49"/>
      <c r="AJ42" s="16" t="s">
        <v>18</v>
      </c>
    </row>
    <row r="43" spans="1:36" hidden="1" x14ac:dyDescent="0.35">
      <c r="A43" s="16" t="s">
        <v>296</v>
      </c>
      <c r="B43" s="16" t="s">
        <v>297</v>
      </c>
      <c r="C43" s="16" t="s">
        <v>21</v>
      </c>
      <c r="D43" s="16" t="s">
        <v>298</v>
      </c>
      <c r="E43" s="16" t="s">
        <v>167</v>
      </c>
      <c r="F43" s="16" t="s">
        <v>355</v>
      </c>
      <c r="G43" s="49">
        <v>45947</v>
      </c>
      <c r="H43" s="16" t="s">
        <v>356</v>
      </c>
      <c r="I43" s="16" t="s">
        <v>26</v>
      </c>
      <c r="J43" s="49">
        <v>45947</v>
      </c>
      <c r="K43" s="49">
        <v>45953</v>
      </c>
      <c r="L43" s="16" t="s">
        <v>315</v>
      </c>
      <c r="M43" s="61">
        <v>256779421989</v>
      </c>
      <c r="N43" s="16" t="s">
        <v>22</v>
      </c>
      <c r="O43" s="16" t="s">
        <v>300</v>
      </c>
      <c r="P43" s="16" t="s">
        <v>18</v>
      </c>
      <c r="Q43" s="16" t="s">
        <v>311</v>
      </c>
      <c r="R43" s="16" t="e">
        <f>_xlfn.XLOOKUP(M43,'Invoice No Ref'!$C:$C,'Invoice No Ref'!$I:$I,,0)</f>
        <v>#N/A</v>
      </c>
      <c r="S43" s="16" t="s">
        <v>110</v>
      </c>
      <c r="T43" s="50">
        <v>-3981.8</v>
      </c>
      <c r="U43" s="16" t="s">
        <v>20</v>
      </c>
      <c r="V43" s="50">
        <v>-351158.01</v>
      </c>
      <c r="W43" s="16">
        <f t="shared" si="0"/>
        <v>88.190770505801396</v>
      </c>
      <c r="X43" s="16" t="s">
        <v>720</v>
      </c>
      <c r="Y43" s="16" t="s">
        <v>18</v>
      </c>
      <c r="Z43" s="16" t="s">
        <v>721</v>
      </c>
      <c r="AA43" s="16" t="s">
        <v>301</v>
      </c>
      <c r="AB43" s="16" t="e">
        <f>_xlfn.XLOOKUP(R43,'Customer Data'!$D:$D,'Customer Data'!$F:$F,,0)</f>
        <v>#N/A</v>
      </c>
      <c r="AC43" s="16"/>
      <c r="AD43" s="16" t="s">
        <v>357</v>
      </c>
      <c r="AE43" s="16" t="s">
        <v>18</v>
      </c>
      <c r="AF43" s="16" t="s">
        <v>18</v>
      </c>
      <c r="AG43" s="16" t="s">
        <v>18</v>
      </c>
      <c r="AH43" s="49">
        <v>45947</v>
      </c>
      <c r="AI43" s="49">
        <v>45976</v>
      </c>
      <c r="AJ43" s="16" t="s">
        <v>319</v>
      </c>
    </row>
    <row r="44" spans="1:36" hidden="1" x14ac:dyDescent="0.35">
      <c r="A44" s="16" t="s">
        <v>307</v>
      </c>
      <c r="B44" s="16" t="s">
        <v>297</v>
      </c>
      <c r="C44" s="16" t="s">
        <v>21</v>
      </c>
      <c r="D44" s="16" t="s">
        <v>298</v>
      </c>
      <c r="E44" s="16" t="s">
        <v>167</v>
      </c>
      <c r="F44" s="16" t="s">
        <v>299</v>
      </c>
      <c r="G44" s="49">
        <v>45763</v>
      </c>
      <c r="H44" s="16" t="s">
        <v>358</v>
      </c>
      <c r="I44" s="16" t="s">
        <v>23</v>
      </c>
      <c r="J44" s="49">
        <v>45763</v>
      </c>
      <c r="K44" s="49">
        <v>45764</v>
      </c>
      <c r="L44" s="16" t="s">
        <v>315</v>
      </c>
      <c r="M44" s="61">
        <v>256779411719</v>
      </c>
      <c r="N44" s="16" t="s">
        <v>22</v>
      </c>
      <c r="O44" s="16" t="s">
        <v>300</v>
      </c>
      <c r="P44" s="16" t="s">
        <v>18</v>
      </c>
      <c r="Q44" s="16" t="s">
        <v>312</v>
      </c>
      <c r="R44" s="16" t="e">
        <f>_xlfn.XLOOKUP(M44,'Invoice No Ref'!$C:$C,'Invoice No Ref'!$I:$I,,0)</f>
        <v>#N/A</v>
      </c>
      <c r="S44" s="16" t="s">
        <v>110</v>
      </c>
      <c r="T44" s="50">
        <v>488.03</v>
      </c>
      <c r="U44" s="16" t="s">
        <v>20</v>
      </c>
      <c r="V44" s="50">
        <v>42420.46</v>
      </c>
      <c r="W44" s="16">
        <f t="shared" si="0"/>
        <v>86.921828576112134</v>
      </c>
      <c r="X44" s="16" t="s">
        <v>718</v>
      </c>
      <c r="Y44" s="16" t="s">
        <v>18</v>
      </c>
      <c r="Z44" s="16" t="s">
        <v>315</v>
      </c>
      <c r="AA44" s="16" t="s">
        <v>301</v>
      </c>
      <c r="AB44" s="16" t="e">
        <f>_xlfn.XLOOKUP(R44,'Customer Data'!$D:$D,'Customer Data'!$F:$F,,0)</f>
        <v>#N/A</v>
      </c>
      <c r="AC44" s="16"/>
      <c r="AD44" s="16" t="s">
        <v>83</v>
      </c>
      <c r="AE44" s="16" t="s">
        <v>18</v>
      </c>
      <c r="AF44" s="16" t="s">
        <v>18</v>
      </c>
      <c r="AG44" s="16" t="s">
        <v>18</v>
      </c>
      <c r="AH44" s="49">
        <v>45763</v>
      </c>
      <c r="AI44" s="49"/>
      <c r="AJ44" s="16" t="s">
        <v>18</v>
      </c>
    </row>
    <row r="45" spans="1:36" hidden="1" x14ac:dyDescent="0.35">
      <c r="A45" s="16" t="s">
        <v>307</v>
      </c>
      <c r="B45" s="16" t="s">
        <v>297</v>
      </c>
      <c r="C45" s="16" t="s">
        <v>21</v>
      </c>
      <c r="D45" s="16" t="s">
        <v>298</v>
      </c>
      <c r="E45" s="16" t="s">
        <v>167</v>
      </c>
      <c r="F45" s="16" t="s">
        <v>299</v>
      </c>
      <c r="G45" s="49">
        <v>45763</v>
      </c>
      <c r="H45" s="16" t="s">
        <v>359</v>
      </c>
      <c r="I45" s="16" t="s">
        <v>23</v>
      </c>
      <c r="J45" s="49">
        <v>45763</v>
      </c>
      <c r="K45" s="49">
        <v>45764</v>
      </c>
      <c r="L45" s="16" t="s">
        <v>315</v>
      </c>
      <c r="M45" s="61">
        <v>256779411744</v>
      </c>
      <c r="N45" s="16" t="s">
        <v>22</v>
      </c>
      <c r="O45" s="16" t="s">
        <v>300</v>
      </c>
      <c r="P45" s="16" t="s">
        <v>18</v>
      </c>
      <c r="Q45" s="16" t="s">
        <v>312</v>
      </c>
      <c r="R45" s="16" t="str">
        <f>_xlfn.XLOOKUP(M45,'Invoice No Ref'!$C:$C,'Invoice No Ref'!$I:$I,,0)</f>
        <v>6779IV124000269</v>
      </c>
      <c r="S45" s="16" t="s">
        <v>110</v>
      </c>
      <c r="T45" s="50">
        <v>1015.85</v>
      </c>
      <c r="U45" s="16" t="s">
        <v>20</v>
      </c>
      <c r="V45" s="50">
        <v>88299.53</v>
      </c>
      <c r="W45" s="16">
        <f t="shared" si="0"/>
        <v>86.921819166215485</v>
      </c>
      <c r="X45" s="16" t="s">
        <v>718</v>
      </c>
      <c r="Y45" s="16" t="s">
        <v>18</v>
      </c>
      <c r="Z45" s="16" t="s">
        <v>315</v>
      </c>
      <c r="AA45" s="16" t="s">
        <v>301</v>
      </c>
      <c r="AB45" s="16">
        <f>_xlfn.XLOOKUP(R45,'Customer Data'!$D:$D,'Customer Data'!$F:$F,,0)</f>
        <v>-1015.85</v>
      </c>
      <c r="AC45" s="62">
        <f t="shared" ref="AC45" si="3">AB45+T45</f>
        <v>0</v>
      </c>
      <c r="AD45" s="16" t="s">
        <v>84</v>
      </c>
      <c r="AE45" s="16" t="s">
        <v>18</v>
      </c>
      <c r="AF45" s="16" t="s">
        <v>18</v>
      </c>
      <c r="AG45" s="16" t="s">
        <v>18</v>
      </c>
      <c r="AH45" s="49">
        <v>45763</v>
      </c>
      <c r="AI45" s="49"/>
      <c r="AJ45" s="16" t="s">
        <v>18</v>
      </c>
    </row>
    <row r="46" spans="1:36" hidden="1" x14ac:dyDescent="0.35">
      <c r="A46" s="16" t="s">
        <v>307</v>
      </c>
      <c r="B46" s="16" t="s">
        <v>297</v>
      </c>
      <c r="C46" s="16" t="s">
        <v>21</v>
      </c>
      <c r="D46" s="16" t="s">
        <v>298</v>
      </c>
      <c r="E46" s="16" t="s">
        <v>167</v>
      </c>
      <c r="F46" s="16" t="s">
        <v>299</v>
      </c>
      <c r="G46" s="49">
        <v>45763</v>
      </c>
      <c r="H46" s="16" t="s">
        <v>360</v>
      </c>
      <c r="I46" s="16" t="s">
        <v>23</v>
      </c>
      <c r="J46" s="49">
        <v>45763</v>
      </c>
      <c r="K46" s="49">
        <v>45764</v>
      </c>
      <c r="L46" s="16" t="s">
        <v>315</v>
      </c>
      <c r="M46" s="61">
        <v>256779411745</v>
      </c>
      <c r="N46" s="16" t="s">
        <v>22</v>
      </c>
      <c r="O46" s="16" t="s">
        <v>300</v>
      </c>
      <c r="P46" s="16" t="s">
        <v>18</v>
      </c>
      <c r="Q46" s="16" t="s">
        <v>312</v>
      </c>
      <c r="R46" s="16" t="e">
        <f>_xlfn.XLOOKUP(M46,'Invoice No Ref'!$C:$C,'Invoice No Ref'!$I:$I,,0)</f>
        <v>#N/A</v>
      </c>
      <c r="S46" s="16" t="s">
        <v>110</v>
      </c>
      <c r="T46" s="50">
        <v>169.92</v>
      </c>
      <c r="U46" s="16" t="s">
        <v>20</v>
      </c>
      <c r="V46" s="50">
        <v>14769.76</v>
      </c>
      <c r="W46" s="16">
        <f t="shared" si="0"/>
        <v>86.921845574387959</v>
      </c>
      <c r="X46" s="16" t="s">
        <v>718</v>
      </c>
      <c r="Y46" s="16" t="s">
        <v>18</v>
      </c>
      <c r="Z46" s="16" t="s">
        <v>315</v>
      </c>
      <c r="AA46" s="16" t="s">
        <v>301</v>
      </c>
      <c r="AB46" s="16" t="e">
        <f>_xlfn.XLOOKUP(R46,'Customer Data'!$D:$D,'Customer Data'!$F:$F,,0)</f>
        <v>#N/A</v>
      </c>
      <c r="AC46" s="16"/>
      <c r="AD46" s="16" t="s">
        <v>85</v>
      </c>
      <c r="AE46" s="16" t="s">
        <v>18</v>
      </c>
      <c r="AF46" s="16" t="s">
        <v>18</v>
      </c>
      <c r="AG46" s="16" t="s">
        <v>18</v>
      </c>
      <c r="AH46" s="49">
        <v>45763</v>
      </c>
      <c r="AI46" s="49"/>
      <c r="AJ46" s="16" t="s">
        <v>18</v>
      </c>
    </row>
    <row r="47" spans="1:36" hidden="1" x14ac:dyDescent="0.35">
      <c r="A47" s="16" t="s">
        <v>307</v>
      </c>
      <c r="B47" s="16" t="s">
        <v>297</v>
      </c>
      <c r="C47" s="16" t="s">
        <v>21</v>
      </c>
      <c r="D47" s="16" t="s">
        <v>298</v>
      </c>
      <c r="E47" s="16" t="s">
        <v>167</v>
      </c>
      <c r="F47" s="16" t="s">
        <v>299</v>
      </c>
      <c r="G47" s="49">
        <v>45763</v>
      </c>
      <c r="H47" s="16" t="s">
        <v>361</v>
      </c>
      <c r="I47" s="16" t="s">
        <v>23</v>
      </c>
      <c r="J47" s="49">
        <v>45763</v>
      </c>
      <c r="K47" s="49">
        <v>45764</v>
      </c>
      <c r="L47" s="16" t="s">
        <v>315</v>
      </c>
      <c r="M47" s="61">
        <v>256779411746</v>
      </c>
      <c r="N47" s="16" t="s">
        <v>22</v>
      </c>
      <c r="O47" s="16" t="s">
        <v>300</v>
      </c>
      <c r="P47" s="16" t="s">
        <v>18</v>
      </c>
      <c r="Q47" s="16" t="s">
        <v>312</v>
      </c>
      <c r="R47" s="16" t="str">
        <f>_xlfn.XLOOKUP(M47,'Invoice No Ref'!$C:$C,'Invoice No Ref'!$I:$I,,0)</f>
        <v>6779IV124000267</v>
      </c>
      <c r="S47" s="16" t="s">
        <v>110</v>
      </c>
      <c r="T47" s="50">
        <v>141.6</v>
      </c>
      <c r="U47" s="16" t="s">
        <v>20</v>
      </c>
      <c r="V47" s="50">
        <v>12308.13</v>
      </c>
      <c r="W47" s="16">
        <f t="shared" si="0"/>
        <v>86.921822033898309</v>
      </c>
      <c r="X47" s="16" t="s">
        <v>718</v>
      </c>
      <c r="Y47" s="16" t="s">
        <v>18</v>
      </c>
      <c r="Z47" s="16" t="s">
        <v>315</v>
      </c>
      <c r="AA47" s="16" t="s">
        <v>301</v>
      </c>
      <c r="AB47" s="16">
        <f>_xlfn.XLOOKUP(R47,'Customer Data'!$D:$D,'Customer Data'!$F:$F,,0)</f>
        <v>-141.6</v>
      </c>
      <c r="AC47" s="62">
        <f t="shared" ref="AC47:AC49" si="4">AB47+T47</f>
        <v>0</v>
      </c>
      <c r="AD47" s="16" t="s">
        <v>86</v>
      </c>
      <c r="AE47" s="16" t="s">
        <v>18</v>
      </c>
      <c r="AF47" s="16" t="s">
        <v>18</v>
      </c>
      <c r="AG47" s="16" t="s">
        <v>18</v>
      </c>
      <c r="AH47" s="49">
        <v>45763</v>
      </c>
      <c r="AI47" s="49"/>
      <c r="AJ47" s="16" t="s">
        <v>18</v>
      </c>
    </row>
    <row r="48" spans="1:36" hidden="1" x14ac:dyDescent="0.35">
      <c r="A48" s="16" t="s">
        <v>307</v>
      </c>
      <c r="B48" s="16" t="s">
        <v>297</v>
      </c>
      <c r="C48" s="16" t="s">
        <v>21</v>
      </c>
      <c r="D48" s="16" t="s">
        <v>298</v>
      </c>
      <c r="E48" s="16" t="s">
        <v>167</v>
      </c>
      <c r="F48" s="16" t="s">
        <v>299</v>
      </c>
      <c r="G48" s="49">
        <v>45763</v>
      </c>
      <c r="H48" s="16" t="s">
        <v>362</v>
      </c>
      <c r="I48" s="16" t="s">
        <v>23</v>
      </c>
      <c r="J48" s="49">
        <v>45763</v>
      </c>
      <c r="K48" s="49">
        <v>45764</v>
      </c>
      <c r="L48" s="16" t="s">
        <v>315</v>
      </c>
      <c r="M48" s="61">
        <v>256779411830</v>
      </c>
      <c r="N48" s="16" t="s">
        <v>22</v>
      </c>
      <c r="O48" s="16" t="s">
        <v>300</v>
      </c>
      <c r="P48" s="16" t="s">
        <v>18</v>
      </c>
      <c r="Q48" s="16" t="s">
        <v>312</v>
      </c>
      <c r="R48" s="16" t="str">
        <f>_xlfn.XLOOKUP(M48,'Invoice No Ref'!$C:$C,'Invoice No Ref'!$I:$I,,0)</f>
        <v>6779IV124000271</v>
      </c>
      <c r="S48" s="16" t="s">
        <v>110</v>
      </c>
      <c r="T48" s="50">
        <v>1362.36</v>
      </c>
      <c r="U48" s="16" t="s">
        <v>20</v>
      </c>
      <c r="V48" s="50">
        <v>118418.81</v>
      </c>
      <c r="W48" s="16">
        <f t="shared" si="0"/>
        <v>86.921819489709037</v>
      </c>
      <c r="X48" s="16" t="s">
        <v>718</v>
      </c>
      <c r="Y48" s="16" t="s">
        <v>18</v>
      </c>
      <c r="Z48" s="16" t="s">
        <v>315</v>
      </c>
      <c r="AA48" s="16" t="s">
        <v>301</v>
      </c>
      <c r="AB48" s="16">
        <f>_xlfn.XLOOKUP(R48,'Customer Data'!$D:$D,'Customer Data'!$F:$F,,0)</f>
        <v>-1362.36</v>
      </c>
      <c r="AC48" s="62">
        <f t="shared" si="4"/>
        <v>0</v>
      </c>
      <c r="AD48" s="16" t="s">
        <v>87</v>
      </c>
      <c r="AE48" s="16" t="s">
        <v>18</v>
      </c>
      <c r="AF48" s="16" t="s">
        <v>18</v>
      </c>
      <c r="AG48" s="16" t="s">
        <v>18</v>
      </c>
      <c r="AH48" s="49">
        <v>45763</v>
      </c>
      <c r="AI48" s="49"/>
      <c r="AJ48" s="16" t="s">
        <v>18</v>
      </c>
    </row>
    <row r="49" spans="1:36" hidden="1" x14ac:dyDescent="0.35">
      <c r="A49" s="16" t="s">
        <v>307</v>
      </c>
      <c r="B49" s="16" t="s">
        <v>297</v>
      </c>
      <c r="C49" s="16" t="s">
        <v>21</v>
      </c>
      <c r="D49" s="16" t="s">
        <v>298</v>
      </c>
      <c r="E49" s="16" t="s">
        <v>167</v>
      </c>
      <c r="F49" s="16" t="s">
        <v>299</v>
      </c>
      <c r="G49" s="49">
        <v>45763</v>
      </c>
      <c r="H49" s="16" t="s">
        <v>363</v>
      </c>
      <c r="I49" s="16" t="s">
        <v>23</v>
      </c>
      <c r="J49" s="49">
        <v>45763</v>
      </c>
      <c r="K49" s="49">
        <v>45764</v>
      </c>
      <c r="L49" s="16" t="s">
        <v>315</v>
      </c>
      <c r="M49" s="61">
        <v>256779411831</v>
      </c>
      <c r="N49" s="16" t="s">
        <v>22</v>
      </c>
      <c r="O49" s="16" t="s">
        <v>300</v>
      </c>
      <c r="P49" s="16" t="s">
        <v>18</v>
      </c>
      <c r="Q49" s="16" t="s">
        <v>312</v>
      </c>
      <c r="R49" s="16" t="str">
        <f>_xlfn.XLOOKUP(M49,'Invoice No Ref'!$C:$C,'Invoice No Ref'!$I:$I,,0)</f>
        <v>6779IV124000270</v>
      </c>
      <c r="S49" s="16" t="s">
        <v>110</v>
      </c>
      <c r="T49" s="50">
        <v>23.6</v>
      </c>
      <c r="U49" s="16" t="s">
        <v>20</v>
      </c>
      <c r="V49" s="50">
        <v>2051.35</v>
      </c>
      <c r="W49" s="16">
        <f t="shared" si="0"/>
        <v>86.921610169491515</v>
      </c>
      <c r="X49" s="16" t="s">
        <v>718</v>
      </c>
      <c r="Y49" s="16" t="s">
        <v>18</v>
      </c>
      <c r="Z49" s="16" t="s">
        <v>315</v>
      </c>
      <c r="AA49" s="16" t="s">
        <v>301</v>
      </c>
      <c r="AB49" s="16">
        <f>_xlfn.XLOOKUP(R49,'Customer Data'!$D:$D,'Customer Data'!$F:$F,,0)</f>
        <v>-23.6</v>
      </c>
      <c r="AC49" s="62">
        <f t="shared" si="4"/>
        <v>0</v>
      </c>
      <c r="AD49" s="16" t="s">
        <v>88</v>
      </c>
      <c r="AE49" s="16" t="s">
        <v>18</v>
      </c>
      <c r="AF49" s="16" t="s">
        <v>18</v>
      </c>
      <c r="AG49" s="16" t="s">
        <v>18</v>
      </c>
      <c r="AH49" s="49">
        <v>45763</v>
      </c>
      <c r="AI49" s="49"/>
      <c r="AJ49" s="16" t="s">
        <v>18</v>
      </c>
    </row>
    <row r="50" spans="1:36" hidden="1" x14ac:dyDescent="0.35">
      <c r="A50" s="16" t="s">
        <v>307</v>
      </c>
      <c r="B50" s="16" t="s">
        <v>297</v>
      </c>
      <c r="C50" s="16" t="s">
        <v>21</v>
      </c>
      <c r="D50" s="16" t="s">
        <v>298</v>
      </c>
      <c r="E50" s="16" t="s">
        <v>167</v>
      </c>
      <c r="F50" s="16" t="s">
        <v>299</v>
      </c>
      <c r="G50" s="49">
        <v>45763</v>
      </c>
      <c r="H50" s="16" t="s">
        <v>364</v>
      </c>
      <c r="I50" s="16" t="s">
        <v>23</v>
      </c>
      <c r="J50" s="49">
        <v>45763</v>
      </c>
      <c r="K50" s="49">
        <v>45764</v>
      </c>
      <c r="L50" s="16" t="s">
        <v>315</v>
      </c>
      <c r="M50" s="61">
        <v>256779411994</v>
      </c>
      <c r="N50" s="16" t="s">
        <v>22</v>
      </c>
      <c r="O50" s="16" t="s">
        <v>300</v>
      </c>
      <c r="P50" s="16" t="s">
        <v>18</v>
      </c>
      <c r="Q50" s="16" t="s">
        <v>312</v>
      </c>
      <c r="R50" s="16" t="e">
        <f>_xlfn.XLOOKUP(M50,'Invoice No Ref'!$C:$C,'Invoice No Ref'!$I:$I,,0)</f>
        <v>#N/A</v>
      </c>
      <c r="S50" s="16" t="s">
        <v>110</v>
      </c>
      <c r="T50" s="50">
        <v>146.81</v>
      </c>
      <c r="U50" s="16" t="s">
        <v>20</v>
      </c>
      <c r="V50" s="50">
        <v>12760.99</v>
      </c>
      <c r="W50" s="16">
        <f t="shared" si="0"/>
        <v>86.921803691846605</v>
      </c>
      <c r="X50" s="16" t="s">
        <v>718</v>
      </c>
      <c r="Y50" s="16" t="s">
        <v>18</v>
      </c>
      <c r="Z50" s="16" t="s">
        <v>315</v>
      </c>
      <c r="AA50" s="16" t="s">
        <v>301</v>
      </c>
      <c r="AB50" s="16" t="e">
        <f>_xlfn.XLOOKUP(R50,'Customer Data'!$D:$D,'Customer Data'!$F:$F,,0)</f>
        <v>#N/A</v>
      </c>
      <c r="AC50" s="16"/>
      <c r="AD50" s="16" t="s">
        <v>89</v>
      </c>
      <c r="AE50" s="16" t="s">
        <v>18</v>
      </c>
      <c r="AF50" s="16" t="s">
        <v>18</v>
      </c>
      <c r="AG50" s="16" t="s">
        <v>18</v>
      </c>
      <c r="AH50" s="49">
        <v>45763</v>
      </c>
      <c r="AI50" s="49"/>
      <c r="AJ50" s="16" t="s">
        <v>18</v>
      </c>
    </row>
    <row r="51" spans="1:36" hidden="1" x14ac:dyDescent="0.35">
      <c r="A51" s="16" t="s">
        <v>296</v>
      </c>
      <c r="B51" s="16" t="s">
        <v>297</v>
      </c>
      <c r="C51" s="16" t="s">
        <v>21</v>
      </c>
      <c r="D51" s="16" t="s">
        <v>298</v>
      </c>
      <c r="E51" s="16" t="s">
        <v>167</v>
      </c>
      <c r="F51" s="16" t="s">
        <v>299</v>
      </c>
      <c r="G51" s="49">
        <v>45763</v>
      </c>
      <c r="H51" s="16" t="s">
        <v>365</v>
      </c>
      <c r="I51" s="16" t="s">
        <v>23</v>
      </c>
      <c r="J51" s="49">
        <v>45763</v>
      </c>
      <c r="K51" s="49">
        <v>45764</v>
      </c>
      <c r="L51" s="16" t="s">
        <v>315</v>
      </c>
      <c r="M51" s="61">
        <v>256779411729</v>
      </c>
      <c r="N51" s="16" t="s">
        <v>22</v>
      </c>
      <c r="O51" s="16" t="s">
        <v>300</v>
      </c>
      <c r="P51" s="16" t="s">
        <v>18</v>
      </c>
      <c r="Q51" s="16" t="s">
        <v>312</v>
      </c>
      <c r="R51" s="16"/>
      <c r="S51" s="16" t="s">
        <v>110</v>
      </c>
      <c r="T51" s="50">
        <v>51.12</v>
      </c>
      <c r="U51" s="16" t="s">
        <v>20</v>
      </c>
      <c r="V51" s="50">
        <v>4443.4399999999996</v>
      </c>
      <c r="W51" s="16">
        <f t="shared" si="0"/>
        <v>86.921752738654149</v>
      </c>
      <c r="X51" s="16" t="s">
        <v>718</v>
      </c>
      <c r="Y51" s="16" t="s">
        <v>18</v>
      </c>
      <c r="Z51" s="16" t="s">
        <v>315</v>
      </c>
      <c r="AA51" s="16" t="s">
        <v>301</v>
      </c>
      <c r="AB51" s="16">
        <f>_xlfn.XLOOKUP(M51,'Customer Data'!$D:$D,'Customer Data'!$H:$H,,0)</f>
        <v>-51.12</v>
      </c>
      <c r="AC51" s="62">
        <f t="shared" ref="AC51:AC56" si="5">AB51+T51</f>
        <v>0</v>
      </c>
      <c r="AD51" s="16" t="s">
        <v>366</v>
      </c>
      <c r="AE51" s="16" t="s">
        <v>18</v>
      </c>
      <c r="AF51" s="16" t="s">
        <v>18</v>
      </c>
      <c r="AG51" s="16" t="s">
        <v>18</v>
      </c>
      <c r="AH51" s="49">
        <v>45763</v>
      </c>
      <c r="AI51" s="49">
        <v>45855</v>
      </c>
      <c r="AJ51" s="16" t="s">
        <v>304</v>
      </c>
    </row>
    <row r="52" spans="1:36" hidden="1" x14ac:dyDescent="0.35">
      <c r="A52" s="16" t="s">
        <v>296</v>
      </c>
      <c r="B52" s="16" t="s">
        <v>297</v>
      </c>
      <c r="C52" s="16" t="s">
        <v>21</v>
      </c>
      <c r="D52" s="16" t="s">
        <v>298</v>
      </c>
      <c r="E52" s="16" t="s">
        <v>167</v>
      </c>
      <c r="F52" s="16" t="s">
        <v>299</v>
      </c>
      <c r="G52" s="49">
        <v>45763</v>
      </c>
      <c r="H52" s="16" t="s">
        <v>367</v>
      </c>
      <c r="I52" s="16" t="s">
        <v>23</v>
      </c>
      <c r="J52" s="49">
        <v>45763</v>
      </c>
      <c r="K52" s="49">
        <v>45764</v>
      </c>
      <c r="L52" s="16" t="s">
        <v>315</v>
      </c>
      <c r="M52" s="61">
        <v>256779411734</v>
      </c>
      <c r="N52" s="16" t="s">
        <v>22</v>
      </c>
      <c r="O52" s="16" t="s">
        <v>300</v>
      </c>
      <c r="P52" s="16" t="s">
        <v>18</v>
      </c>
      <c r="Q52" s="16" t="s">
        <v>312</v>
      </c>
      <c r="R52" s="16"/>
      <c r="S52" s="16" t="s">
        <v>110</v>
      </c>
      <c r="T52" s="50">
        <v>49.58</v>
      </c>
      <c r="U52" s="16" t="s">
        <v>20</v>
      </c>
      <c r="V52" s="50">
        <v>4309.58</v>
      </c>
      <c r="W52" s="16">
        <f t="shared" si="0"/>
        <v>86.921742638160552</v>
      </c>
      <c r="X52" s="16" t="s">
        <v>718</v>
      </c>
      <c r="Y52" s="16" t="s">
        <v>18</v>
      </c>
      <c r="Z52" s="16" t="s">
        <v>315</v>
      </c>
      <c r="AA52" s="16" t="s">
        <v>301</v>
      </c>
      <c r="AB52" s="16">
        <f>_xlfn.XLOOKUP(M52,'Customer Data'!$D:$D,'Customer Data'!$H:$H,,0)</f>
        <v>-49.58</v>
      </c>
      <c r="AC52" s="62">
        <f t="shared" si="5"/>
        <v>0</v>
      </c>
      <c r="AD52" s="16" t="s">
        <v>368</v>
      </c>
      <c r="AE52" s="16" t="s">
        <v>18</v>
      </c>
      <c r="AF52" s="16" t="s">
        <v>18</v>
      </c>
      <c r="AG52" s="16" t="s">
        <v>18</v>
      </c>
      <c r="AH52" s="49">
        <v>45763</v>
      </c>
      <c r="AI52" s="49">
        <v>45855</v>
      </c>
      <c r="AJ52" s="16" t="s">
        <v>304</v>
      </c>
    </row>
    <row r="53" spans="1:36" hidden="1" x14ac:dyDescent="0.35">
      <c r="A53" s="16" t="s">
        <v>296</v>
      </c>
      <c r="B53" s="16" t="s">
        <v>297</v>
      </c>
      <c r="C53" s="16" t="s">
        <v>21</v>
      </c>
      <c r="D53" s="16" t="s">
        <v>298</v>
      </c>
      <c r="E53" s="16" t="s">
        <v>167</v>
      </c>
      <c r="F53" s="16" t="s">
        <v>299</v>
      </c>
      <c r="G53" s="49">
        <v>45763</v>
      </c>
      <c r="H53" s="16" t="s">
        <v>369</v>
      </c>
      <c r="I53" s="16" t="s">
        <v>23</v>
      </c>
      <c r="J53" s="49">
        <v>45763</v>
      </c>
      <c r="K53" s="49">
        <v>45764</v>
      </c>
      <c r="L53" s="16" t="s">
        <v>315</v>
      </c>
      <c r="M53" s="61">
        <v>256779411924</v>
      </c>
      <c r="N53" s="16" t="s">
        <v>22</v>
      </c>
      <c r="O53" s="16" t="s">
        <v>300</v>
      </c>
      <c r="P53" s="16" t="s">
        <v>18</v>
      </c>
      <c r="Q53" s="16" t="s">
        <v>312</v>
      </c>
      <c r="R53" s="16"/>
      <c r="S53" s="16" t="s">
        <v>110</v>
      </c>
      <c r="T53" s="50">
        <v>13.94</v>
      </c>
      <c r="U53" s="16" t="s">
        <v>20</v>
      </c>
      <c r="V53" s="50">
        <v>1211.69</v>
      </c>
      <c r="W53" s="16">
        <f t="shared" si="0"/>
        <v>86.92180774748924</v>
      </c>
      <c r="X53" s="16" t="s">
        <v>718</v>
      </c>
      <c r="Y53" s="16" t="s">
        <v>18</v>
      </c>
      <c r="Z53" s="16" t="s">
        <v>315</v>
      </c>
      <c r="AA53" s="16" t="s">
        <v>301</v>
      </c>
      <c r="AB53" s="16">
        <f>_xlfn.XLOOKUP(M53,'Customer Data'!$D:$D,'Customer Data'!$H:$H,,0)</f>
        <v>-13.94</v>
      </c>
      <c r="AC53" s="62">
        <f t="shared" si="5"/>
        <v>0</v>
      </c>
      <c r="AD53" s="16" t="s">
        <v>370</v>
      </c>
      <c r="AE53" s="16" t="s">
        <v>18</v>
      </c>
      <c r="AF53" s="16" t="s">
        <v>18</v>
      </c>
      <c r="AG53" s="16" t="s">
        <v>18</v>
      </c>
      <c r="AH53" s="49">
        <v>45763</v>
      </c>
      <c r="AI53" s="49">
        <v>45855</v>
      </c>
      <c r="AJ53" s="16" t="s">
        <v>304</v>
      </c>
    </row>
    <row r="54" spans="1:36" hidden="1" x14ac:dyDescent="0.35">
      <c r="A54" s="16" t="s">
        <v>296</v>
      </c>
      <c r="B54" s="16" t="s">
        <v>297</v>
      </c>
      <c r="C54" s="16" t="s">
        <v>21</v>
      </c>
      <c r="D54" s="16" t="s">
        <v>298</v>
      </c>
      <c r="E54" s="16" t="s">
        <v>167</v>
      </c>
      <c r="F54" s="16" t="s">
        <v>299</v>
      </c>
      <c r="G54" s="49">
        <v>45763</v>
      </c>
      <c r="H54" s="16" t="s">
        <v>371</v>
      </c>
      <c r="I54" s="16" t="s">
        <v>23</v>
      </c>
      <c r="J54" s="49">
        <v>45763</v>
      </c>
      <c r="K54" s="49">
        <v>45764</v>
      </c>
      <c r="L54" s="16" t="s">
        <v>315</v>
      </c>
      <c r="M54" s="61">
        <v>256779411925</v>
      </c>
      <c r="N54" s="16" t="s">
        <v>22</v>
      </c>
      <c r="O54" s="16" t="s">
        <v>300</v>
      </c>
      <c r="P54" s="16" t="s">
        <v>18</v>
      </c>
      <c r="Q54" s="16" t="s">
        <v>312</v>
      </c>
      <c r="R54" s="16"/>
      <c r="S54" s="16" t="s">
        <v>110</v>
      </c>
      <c r="T54" s="50">
        <v>3.48</v>
      </c>
      <c r="U54" s="16" t="s">
        <v>20</v>
      </c>
      <c r="V54" s="50">
        <v>302.49</v>
      </c>
      <c r="W54" s="16">
        <f t="shared" si="0"/>
        <v>86.922413793103445</v>
      </c>
      <c r="X54" s="16" t="s">
        <v>718</v>
      </c>
      <c r="Y54" s="16" t="s">
        <v>18</v>
      </c>
      <c r="Z54" s="16" t="s">
        <v>315</v>
      </c>
      <c r="AA54" s="16" t="s">
        <v>301</v>
      </c>
      <c r="AB54" s="16">
        <f>_xlfn.XLOOKUP(M54,'Customer Data'!$D:$D,'Customer Data'!$H:$H,,0)</f>
        <v>-3.48</v>
      </c>
      <c r="AC54" s="62">
        <f t="shared" si="5"/>
        <v>0</v>
      </c>
      <c r="AD54" s="16" t="s">
        <v>372</v>
      </c>
      <c r="AE54" s="16" t="s">
        <v>18</v>
      </c>
      <c r="AF54" s="16" t="s">
        <v>18</v>
      </c>
      <c r="AG54" s="16" t="s">
        <v>18</v>
      </c>
      <c r="AH54" s="49">
        <v>45763</v>
      </c>
      <c r="AI54" s="49">
        <v>45855</v>
      </c>
      <c r="AJ54" s="16" t="s">
        <v>304</v>
      </c>
    </row>
    <row r="55" spans="1:36" hidden="1" x14ac:dyDescent="0.35">
      <c r="A55" s="16" t="s">
        <v>296</v>
      </c>
      <c r="B55" s="16" t="s">
        <v>297</v>
      </c>
      <c r="C55" s="16" t="s">
        <v>21</v>
      </c>
      <c r="D55" s="16" t="s">
        <v>298</v>
      </c>
      <c r="E55" s="16" t="s">
        <v>167</v>
      </c>
      <c r="F55" s="16" t="s">
        <v>299</v>
      </c>
      <c r="G55" s="49">
        <v>45763</v>
      </c>
      <c r="H55" s="16" t="s">
        <v>373</v>
      </c>
      <c r="I55" s="16" t="s">
        <v>23</v>
      </c>
      <c r="J55" s="49">
        <v>45763</v>
      </c>
      <c r="K55" s="49">
        <v>45764</v>
      </c>
      <c r="L55" s="16" t="s">
        <v>315</v>
      </c>
      <c r="M55" s="61">
        <v>256779411926</v>
      </c>
      <c r="N55" s="16" t="s">
        <v>22</v>
      </c>
      <c r="O55" s="16" t="s">
        <v>300</v>
      </c>
      <c r="P55" s="16" t="s">
        <v>18</v>
      </c>
      <c r="Q55" s="16" t="s">
        <v>312</v>
      </c>
      <c r="R55" s="16"/>
      <c r="S55" s="16" t="s">
        <v>110</v>
      </c>
      <c r="T55" s="50">
        <v>13.94</v>
      </c>
      <c r="U55" s="16" t="s">
        <v>20</v>
      </c>
      <c r="V55" s="50">
        <v>1211.69</v>
      </c>
      <c r="W55" s="16">
        <f t="shared" si="0"/>
        <v>86.92180774748924</v>
      </c>
      <c r="X55" s="16" t="s">
        <v>718</v>
      </c>
      <c r="Y55" s="16" t="s">
        <v>18</v>
      </c>
      <c r="Z55" s="16" t="s">
        <v>315</v>
      </c>
      <c r="AA55" s="16" t="s">
        <v>301</v>
      </c>
      <c r="AB55" s="16">
        <f>_xlfn.XLOOKUP(M55,'Customer Data'!$D:$D,'Customer Data'!$H:$H,,0)</f>
        <v>-13.94</v>
      </c>
      <c r="AC55" s="62">
        <f t="shared" si="5"/>
        <v>0</v>
      </c>
      <c r="AD55" s="16" t="s">
        <v>374</v>
      </c>
      <c r="AE55" s="16" t="s">
        <v>18</v>
      </c>
      <c r="AF55" s="16" t="s">
        <v>18</v>
      </c>
      <c r="AG55" s="16" t="s">
        <v>18</v>
      </c>
      <c r="AH55" s="49">
        <v>45763</v>
      </c>
      <c r="AI55" s="49">
        <v>45855</v>
      </c>
      <c r="AJ55" s="16" t="s">
        <v>304</v>
      </c>
    </row>
    <row r="56" spans="1:36" hidden="1" x14ac:dyDescent="0.35">
      <c r="A56" s="16" t="s">
        <v>296</v>
      </c>
      <c r="B56" s="16" t="s">
        <v>297</v>
      </c>
      <c r="C56" s="16" t="s">
        <v>21</v>
      </c>
      <c r="D56" s="16" t="s">
        <v>298</v>
      </c>
      <c r="E56" s="16" t="s">
        <v>167</v>
      </c>
      <c r="F56" s="16" t="s">
        <v>299</v>
      </c>
      <c r="G56" s="49">
        <v>45763</v>
      </c>
      <c r="H56" s="16" t="s">
        <v>375</v>
      </c>
      <c r="I56" s="16" t="s">
        <v>23</v>
      </c>
      <c r="J56" s="49">
        <v>45763</v>
      </c>
      <c r="K56" s="49">
        <v>45764</v>
      </c>
      <c r="L56" s="16" t="s">
        <v>315</v>
      </c>
      <c r="M56" s="61">
        <v>256779412079</v>
      </c>
      <c r="N56" s="16" t="s">
        <v>22</v>
      </c>
      <c r="O56" s="16" t="s">
        <v>300</v>
      </c>
      <c r="P56" s="16" t="s">
        <v>18</v>
      </c>
      <c r="Q56" s="16" t="s">
        <v>312</v>
      </c>
      <c r="R56" s="16"/>
      <c r="S56" s="16" t="s">
        <v>110</v>
      </c>
      <c r="T56" s="50">
        <v>116.73</v>
      </c>
      <c r="U56" s="16" t="s">
        <v>20</v>
      </c>
      <c r="V56" s="50">
        <v>10146.379999999999</v>
      </c>
      <c r="W56" s="16">
        <f t="shared" si="0"/>
        <v>86.92178531654244</v>
      </c>
      <c r="X56" s="16" t="s">
        <v>718</v>
      </c>
      <c r="Y56" s="16" t="s">
        <v>18</v>
      </c>
      <c r="Z56" s="16" t="s">
        <v>315</v>
      </c>
      <c r="AA56" s="16" t="s">
        <v>301</v>
      </c>
      <c r="AB56" s="16">
        <f>_xlfn.XLOOKUP(M56,'Customer Data'!$D:$D,'Customer Data'!$H:$H,,0)</f>
        <v>-116.73</v>
      </c>
      <c r="AC56" s="62">
        <f t="shared" si="5"/>
        <v>0</v>
      </c>
      <c r="AD56" s="16" t="s">
        <v>376</v>
      </c>
      <c r="AE56" s="16" t="s">
        <v>18</v>
      </c>
      <c r="AF56" s="16" t="s">
        <v>18</v>
      </c>
      <c r="AG56" s="16" t="s">
        <v>18</v>
      </c>
      <c r="AH56" s="49">
        <v>45763</v>
      </c>
      <c r="AI56" s="49">
        <v>45855</v>
      </c>
      <c r="AJ56" s="16" t="s">
        <v>304</v>
      </c>
    </row>
    <row r="57" spans="1:36" x14ac:dyDescent="0.35">
      <c r="A57" s="16" t="s">
        <v>307</v>
      </c>
      <c r="B57" s="16" t="s">
        <v>297</v>
      </c>
      <c r="C57" s="16" t="s">
        <v>21</v>
      </c>
      <c r="D57" s="16" t="s">
        <v>298</v>
      </c>
      <c r="E57" s="16" t="s">
        <v>167</v>
      </c>
      <c r="F57" s="16" t="s">
        <v>299</v>
      </c>
      <c r="G57" s="49">
        <v>45763</v>
      </c>
      <c r="H57" s="16" t="s">
        <v>377</v>
      </c>
      <c r="I57" s="16" t="s">
        <v>23</v>
      </c>
      <c r="J57" s="49">
        <v>45763</v>
      </c>
      <c r="K57" s="49">
        <v>45763</v>
      </c>
      <c r="L57" s="16" t="s">
        <v>315</v>
      </c>
      <c r="M57" s="61">
        <v>256779411215</v>
      </c>
      <c r="N57" s="16" t="s">
        <v>22</v>
      </c>
      <c r="O57" s="16" t="s">
        <v>300</v>
      </c>
      <c r="P57" s="16" t="s">
        <v>18</v>
      </c>
      <c r="Q57" s="16" t="s">
        <v>312</v>
      </c>
      <c r="R57" s="16" t="e">
        <f>_xlfn.XLOOKUP(M57,'Invoice No Ref'!$C:$C,'Invoice No Ref'!$I:$I,,0)</f>
        <v>#N/A</v>
      </c>
      <c r="S57" s="16" t="s">
        <v>110</v>
      </c>
      <c r="T57" s="50">
        <v>46.87</v>
      </c>
      <c r="U57" s="16" t="s">
        <v>20</v>
      </c>
      <c r="V57" s="50">
        <v>4074.03</v>
      </c>
      <c r="W57" s="16">
        <f t="shared" si="0"/>
        <v>86.921911670578197</v>
      </c>
      <c r="X57" s="16" t="s">
        <v>18</v>
      </c>
      <c r="Y57" s="16" t="s">
        <v>18</v>
      </c>
      <c r="Z57" s="16" t="s">
        <v>315</v>
      </c>
      <c r="AA57" s="16" t="s">
        <v>301</v>
      </c>
      <c r="AB57" s="16" t="e">
        <f>_xlfn.XLOOKUP(R57,'Customer Data'!$D:$D,'Customer Data'!$F:$F,,0)</f>
        <v>#N/A</v>
      </c>
      <c r="AC57" s="16"/>
      <c r="AD57" s="16" t="s">
        <v>82</v>
      </c>
      <c r="AE57" s="16" t="s">
        <v>18</v>
      </c>
      <c r="AF57" s="16" t="s">
        <v>18</v>
      </c>
      <c r="AG57" s="16" t="s">
        <v>18</v>
      </c>
      <c r="AH57" s="49">
        <v>45763</v>
      </c>
      <c r="AI57" s="49"/>
      <c r="AJ57" s="16" t="s">
        <v>18</v>
      </c>
    </row>
    <row r="58" spans="1:36" x14ac:dyDescent="0.35">
      <c r="A58" s="16" t="s">
        <v>307</v>
      </c>
      <c r="B58" s="16" t="s">
        <v>297</v>
      </c>
      <c r="C58" s="16" t="s">
        <v>21</v>
      </c>
      <c r="D58" s="16" t="s">
        <v>298</v>
      </c>
      <c r="E58" s="16" t="s">
        <v>167</v>
      </c>
      <c r="F58" s="16" t="s">
        <v>299</v>
      </c>
      <c r="G58" s="49">
        <v>45763</v>
      </c>
      <c r="H58" s="16" t="s">
        <v>378</v>
      </c>
      <c r="I58" s="16" t="s">
        <v>23</v>
      </c>
      <c r="J58" s="49">
        <v>45763</v>
      </c>
      <c r="K58" s="49">
        <v>45763</v>
      </c>
      <c r="L58" s="16" t="s">
        <v>315</v>
      </c>
      <c r="M58" s="61">
        <v>256779411221</v>
      </c>
      <c r="N58" s="16" t="s">
        <v>22</v>
      </c>
      <c r="O58" s="16" t="s">
        <v>300</v>
      </c>
      <c r="P58" s="16" t="s">
        <v>18</v>
      </c>
      <c r="Q58" s="16" t="s">
        <v>312</v>
      </c>
      <c r="R58" s="16" t="e">
        <f>_xlfn.XLOOKUP(M58,'Invoice No Ref'!$C:$C,'Invoice No Ref'!$I:$I,,0)</f>
        <v>#N/A</v>
      </c>
      <c r="S58" s="16" t="s">
        <v>110</v>
      </c>
      <c r="T58" s="50">
        <v>2.95</v>
      </c>
      <c r="U58" s="16" t="s">
        <v>20</v>
      </c>
      <c r="V58" s="50">
        <v>256.42</v>
      </c>
      <c r="W58" s="16">
        <f t="shared" si="0"/>
        <v>86.922033898305088</v>
      </c>
      <c r="X58" s="16" t="s">
        <v>18</v>
      </c>
      <c r="Y58" s="16" t="s">
        <v>18</v>
      </c>
      <c r="Z58" s="16" t="s">
        <v>315</v>
      </c>
      <c r="AA58" s="16" t="s">
        <v>301</v>
      </c>
      <c r="AB58" s="16" t="e">
        <f>_xlfn.XLOOKUP(R58,'Customer Data'!$D:$D,'Customer Data'!$F:$F,,0)</f>
        <v>#N/A</v>
      </c>
      <c r="AC58" s="16"/>
      <c r="AD58" s="16" t="s">
        <v>82</v>
      </c>
      <c r="AE58" s="16" t="s">
        <v>18</v>
      </c>
      <c r="AF58" s="16" t="s">
        <v>18</v>
      </c>
      <c r="AG58" s="16" t="s">
        <v>18</v>
      </c>
      <c r="AH58" s="49">
        <v>45763</v>
      </c>
      <c r="AI58" s="49"/>
      <c r="AJ58" s="16" t="s">
        <v>18</v>
      </c>
    </row>
    <row r="59" spans="1:36" x14ac:dyDescent="0.35">
      <c r="A59" s="16" t="s">
        <v>307</v>
      </c>
      <c r="B59" s="16" t="s">
        <v>297</v>
      </c>
      <c r="C59" s="16" t="s">
        <v>21</v>
      </c>
      <c r="D59" s="16" t="s">
        <v>298</v>
      </c>
      <c r="E59" s="16" t="s">
        <v>167</v>
      </c>
      <c r="F59" s="16" t="s">
        <v>299</v>
      </c>
      <c r="G59" s="49">
        <v>45763</v>
      </c>
      <c r="H59" s="16" t="s">
        <v>379</v>
      </c>
      <c r="I59" s="16" t="s">
        <v>23</v>
      </c>
      <c r="J59" s="49">
        <v>45763</v>
      </c>
      <c r="K59" s="49">
        <v>45763</v>
      </c>
      <c r="L59" s="16" t="s">
        <v>315</v>
      </c>
      <c r="M59" s="61">
        <v>256779411223</v>
      </c>
      <c r="N59" s="16" t="s">
        <v>22</v>
      </c>
      <c r="O59" s="16" t="s">
        <v>300</v>
      </c>
      <c r="P59" s="16" t="s">
        <v>18</v>
      </c>
      <c r="Q59" s="16" t="s">
        <v>312</v>
      </c>
      <c r="R59" s="16" t="e">
        <f>_xlfn.XLOOKUP(M59,'Invoice No Ref'!$C:$C,'Invoice No Ref'!$I:$I,,0)</f>
        <v>#N/A</v>
      </c>
      <c r="S59" s="16" t="s">
        <v>110</v>
      </c>
      <c r="T59" s="50">
        <v>85.55</v>
      </c>
      <c r="U59" s="16" t="s">
        <v>20</v>
      </c>
      <c r="V59" s="50">
        <v>7436.16</v>
      </c>
      <c r="W59" s="16">
        <f t="shared" si="0"/>
        <v>86.921800116890708</v>
      </c>
      <c r="X59" s="16" t="s">
        <v>18</v>
      </c>
      <c r="Y59" s="16" t="s">
        <v>18</v>
      </c>
      <c r="Z59" s="16" t="s">
        <v>315</v>
      </c>
      <c r="AA59" s="16" t="s">
        <v>301</v>
      </c>
      <c r="AB59" s="16" t="e">
        <f>_xlfn.XLOOKUP(R59,'Customer Data'!$D:$D,'Customer Data'!$F:$F,,0)</f>
        <v>#N/A</v>
      </c>
      <c r="AC59" s="16"/>
      <c r="AD59" s="16" t="s">
        <v>82</v>
      </c>
      <c r="AE59" s="16" t="s">
        <v>18</v>
      </c>
      <c r="AF59" s="16" t="s">
        <v>18</v>
      </c>
      <c r="AG59" s="16" t="s">
        <v>18</v>
      </c>
      <c r="AH59" s="49">
        <v>45763</v>
      </c>
      <c r="AI59" s="49"/>
      <c r="AJ59" s="16" t="s">
        <v>18</v>
      </c>
    </row>
    <row r="60" spans="1:36" x14ac:dyDescent="0.35">
      <c r="A60" s="16" t="s">
        <v>307</v>
      </c>
      <c r="B60" s="16" t="s">
        <v>297</v>
      </c>
      <c r="C60" s="16" t="s">
        <v>21</v>
      </c>
      <c r="D60" s="16" t="s">
        <v>298</v>
      </c>
      <c r="E60" s="16" t="s">
        <v>167</v>
      </c>
      <c r="F60" s="16" t="s">
        <v>299</v>
      </c>
      <c r="G60" s="49">
        <v>45763</v>
      </c>
      <c r="H60" s="16" t="s">
        <v>380</v>
      </c>
      <c r="I60" s="16" t="s">
        <v>23</v>
      </c>
      <c r="J60" s="49">
        <v>45763</v>
      </c>
      <c r="K60" s="49">
        <v>45763</v>
      </c>
      <c r="L60" s="16" t="s">
        <v>315</v>
      </c>
      <c r="M60" s="61">
        <v>256779411227</v>
      </c>
      <c r="N60" s="16" t="s">
        <v>22</v>
      </c>
      <c r="O60" s="16" t="s">
        <v>300</v>
      </c>
      <c r="P60" s="16" t="s">
        <v>18</v>
      </c>
      <c r="Q60" s="16" t="s">
        <v>312</v>
      </c>
      <c r="R60" s="16" t="e">
        <f>_xlfn.XLOOKUP(M60,'Invoice No Ref'!$C:$C,'Invoice No Ref'!$I:$I,,0)</f>
        <v>#N/A</v>
      </c>
      <c r="S60" s="16" t="s">
        <v>110</v>
      </c>
      <c r="T60" s="50">
        <v>2.95</v>
      </c>
      <c r="U60" s="16" t="s">
        <v>20</v>
      </c>
      <c r="V60" s="50">
        <v>256.42</v>
      </c>
      <c r="W60" s="16">
        <f t="shared" si="0"/>
        <v>86.922033898305088</v>
      </c>
      <c r="X60" s="16" t="s">
        <v>18</v>
      </c>
      <c r="Y60" s="16" t="s">
        <v>18</v>
      </c>
      <c r="Z60" s="16" t="s">
        <v>315</v>
      </c>
      <c r="AA60" s="16" t="s">
        <v>301</v>
      </c>
      <c r="AB60" s="16" t="e">
        <f>_xlfn.XLOOKUP(R60,'Customer Data'!$D:$D,'Customer Data'!$F:$F,,0)</f>
        <v>#N/A</v>
      </c>
      <c r="AC60" s="16"/>
      <c r="AD60" s="16" t="s">
        <v>82</v>
      </c>
      <c r="AE60" s="16" t="s">
        <v>18</v>
      </c>
      <c r="AF60" s="16" t="s">
        <v>18</v>
      </c>
      <c r="AG60" s="16" t="s">
        <v>18</v>
      </c>
      <c r="AH60" s="49">
        <v>45763</v>
      </c>
      <c r="AI60" s="49"/>
      <c r="AJ60" s="16" t="s">
        <v>18</v>
      </c>
    </row>
    <row r="61" spans="1:36" hidden="1" x14ac:dyDescent="0.35">
      <c r="A61" s="16" t="s">
        <v>296</v>
      </c>
      <c r="B61" s="16" t="s">
        <v>297</v>
      </c>
      <c r="C61" s="16" t="s">
        <v>21</v>
      </c>
      <c r="D61" s="16" t="s">
        <v>298</v>
      </c>
      <c r="E61" s="16" t="s">
        <v>167</v>
      </c>
      <c r="F61" s="16" t="s">
        <v>299</v>
      </c>
      <c r="G61" s="49">
        <v>45763</v>
      </c>
      <c r="H61" s="16" t="s">
        <v>381</v>
      </c>
      <c r="I61" s="16" t="s">
        <v>23</v>
      </c>
      <c r="J61" s="49">
        <v>45763</v>
      </c>
      <c r="K61" s="49">
        <v>45763</v>
      </c>
      <c r="L61" s="16" t="s">
        <v>315</v>
      </c>
      <c r="M61" s="61">
        <v>256779410850</v>
      </c>
      <c r="N61" s="16" t="s">
        <v>22</v>
      </c>
      <c r="O61" s="16" t="s">
        <v>300</v>
      </c>
      <c r="P61" s="16" t="s">
        <v>18</v>
      </c>
      <c r="Q61" s="16" t="s">
        <v>312</v>
      </c>
      <c r="R61" s="16"/>
      <c r="S61" s="16" t="s">
        <v>110</v>
      </c>
      <c r="T61" s="50">
        <v>6562.84</v>
      </c>
      <c r="U61" s="16" t="s">
        <v>20</v>
      </c>
      <c r="V61" s="50">
        <v>570454</v>
      </c>
      <c r="W61" s="16">
        <f t="shared" si="0"/>
        <v>86.921820431398601</v>
      </c>
      <c r="X61" s="16" t="s">
        <v>18</v>
      </c>
      <c r="Y61" s="16" t="s">
        <v>18</v>
      </c>
      <c r="Z61" s="16" t="s">
        <v>315</v>
      </c>
      <c r="AA61" s="16" t="s">
        <v>301</v>
      </c>
      <c r="AB61" s="16">
        <f>_xlfn.XLOOKUP(M61,'Customer Data'!$D:$D,'Customer Data'!$H:$H,,0)</f>
        <v>-6562.84</v>
      </c>
      <c r="AC61" s="62">
        <f t="shared" ref="AC61" si="6">AB61+T61</f>
        <v>0</v>
      </c>
      <c r="AD61" s="16" t="s">
        <v>382</v>
      </c>
      <c r="AE61" s="16" t="s">
        <v>18</v>
      </c>
      <c r="AF61" s="16" t="s">
        <v>18</v>
      </c>
      <c r="AG61" s="16" t="s">
        <v>18</v>
      </c>
      <c r="AH61" s="49">
        <v>45763</v>
      </c>
      <c r="AI61" s="49">
        <v>45855</v>
      </c>
      <c r="AJ61" s="16" t="s">
        <v>304</v>
      </c>
    </row>
    <row r="62" spans="1:36" x14ac:dyDescent="0.35">
      <c r="A62" s="16" t="s">
        <v>307</v>
      </c>
      <c r="B62" s="16" t="s">
        <v>297</v>
      </c>
      <c r="C62" s="16" t="s">
        <v>21</v>
      </c>
      <c r="D62" s="16" t="s">
        <v>298</v>
      </c>
      <c r="E62" s="16" t="s">
        <v>167</v>
      </c>
      <c r="F62" s="16" t="s">
        <v>299</v>
      </c>
      <c r="G62" s="49">
        <v>45763</v>
      </c>
      <c r="H62" s="16" t="s">
        <v>383</v>
      </c>
      <c r="I62" s="16" t="s">
        <v>23</v>
      </c>
      <c r="J62" s="49">
        <v>45763</v>
      </c>
      <c r="K62" s="49">
        <v>45763</v>
      </c>
      <c r="L62" s="16" t="s">
        <v>315</v>
      </c>
      <c r="M62" s="61">
        <v>256779411213</v>
      </c>
      <c r="N62" s="16" t="s">
        <v>22</v>
      </c>
      <c r="O62" s="16" t="s">
        <v>300</v>
      </c>
      <c r="P62" s="16" t="s">
        <v>18</v>
      </c>
      <c r="Q62" s="16" t="s">
        <v>312</v>
      </c>
      <c r="R62" s="16" t="e">
        <f>_xlfn.XLOOKUP(M62,'Invoice No Ref'!$C:$C,'Invoice No Ref'!$I:$I,,0)</f>
        <v>#N/A</v>
      </c>
      <c r="S62" s="16" t="s">
        <v>110</v>
      </c>
      <c r="T62" s="50">
        <v>66.08</v>
      </c>
      <c r="U62" s="16" t="s">
        <v>20</v>
      </c>
      <c r="V62" s="50">
        <v>5743.79</v>
      </c>
      <c r="W62" s="16">
        <f t="shared" si="0"/>
        <v>86.921761501210653</v>
      </c>
      <c r="X62" s="16" t="s">
        <v>18</v>
      </c>
      <c r="Y62" s="16" t="s">
        <v>18</v>
      </c>
      <c r="Z62" s="16" t="s">
        <v>315</v>
      </c>
      <c r="AA62" s="16" t="s">
        <v>301</v>
      </c>
      <c r="AB62" s="16" t="e">
        <f>_xlfn.XLOOKUP(R62,'Customer Data'!$D:$D,'Customer Data'!$F:$F,,0)</f>
        <v>#N/A</v>
      </c>
      <c r="AC62" s="16"/>
      <c r="AD62" s="16" t="s">
        <v>82</v>
      </c>
      <c r="AE62" s="16" t="s">
        <v>18</v>
      </c>
      <c r="AF62" s="16" t="s">
        <v>18</v>
      </c>
      <c r="AG62" s="16" t="s">
        <v>18</v>
      </c>
      <c r="AH62" s="49">
        <v>45763</v>
      </c>
      <c r="AI62" s="49"/>
      <c r="AJ62" s="16" t="s">
        <v>18</v>
      </c>
    </row>
    <row r="63" spans="1:36" x14ac:dyDescent="0.35">
      <c r="A63" s="16" t="s">
        <v>307</v>
      </c>
      <c r="B63" s="16" t="s">
        <v>297</v>
      </c>
      <c r="C63" s="16" t="s">
        <v>21</v>
      </c>
      <c r="D63" s="16" t="s">
        <v>298</v>
      </c>
      <c r="E63" s="16" t="s">
        <v>167</v>
      </c>
      <c r="F63" s="16" t="s">
        <v>299</v>
      </c>
      <c r="G63" s="49">
        <v>45763</v>
      </c>
      <c r="H63" s="16" t="s">
        <v>384</v>
      </c>
      <c r="I63" s="16" t="s">
        <v>23</v>
      </c>
      <c r="J63" s="49">
        <v>45763</v>
      </c>
      <c r="K63" s="49">
        <v>45763</v>
      </c>
      <c r="L63" s="16" t="s">
        <v>315</v>
      </c>
      <c r="M63" s="61">
        <v>256779411216</v>
      </c>
      <c r="N63" s="16" t="s">
        <v>22</v>
      </c>
      <c r="O63" s="16" t="s">
        <v>300</v>
      </c>
      <c r="P63" s="16" t="s">
        <v>18</v>
      </c>
      <c r="Q63" s="16" t="s">
        <v>312</v>
      </c>
      <c r="R63" s="16" t="e">
        <f>_xlfn.XLOOKUP(M63,'Invoice No Ref'!$C:$C,'Invoice No Ref'!$I:$I,,0)</f>
        <v>#N/A</v>
      </c>
      <c r="S63" s="16" t="s">
        <v>110</v>
      </c>
      <c r="T63" s="50">
        <v>91.45</v>
      </c>
      <c r="U63" s="16" t="s">
        <v>20</v>
      </c>
      <c r="V63" s="50">
        <v>7949</v>
      </c>
      <c r="W63" s="16">
        <f t="shared" si="0"/>
        <v>86.921815199562602</v>
      </c>
      <c r="X63" s="16" t="s">
        <v>18</v>
      </c>
      <c r="Y63" s="16" t="s">
        <v>18</v>
      </c>
      <c r="Z63" s="16" t="s">
        <v>315</v>
      </c>
      <c r="AA63" s="16" t="s">
        <v>301</v>
      </c>
      <c r="AB63" s="16" t="e">
        <f>_xlfn.XLOOKUP(R63,'Customer Data'!$D:$D,'Customer Data'!$F:$F,,0)</f>
        <v>#N/A</v>
      </c>
      <c r="AC63" s="16"/>
      <c r="AD63" s="16" t="s">
        <v>82</v>
      </c>
      <c r="AE63" s="16" t="s">
        <v>18</v>
      </c>
      <c r="AF63" s="16" t="s">
        <v>18</v>
      </c>
      <c r="AG63" s="16" t="s">
        <v>18</v>
      </c>
      <c r="AH63" s="49">
        <v>45763</v>
      </c>
      <c r="AI63" s="49"/>
      <c r="AJ63" s="16" t="s">
        <v>18</v>
      </c>
    </row>
    <row r="64" spans="1:36" x14ac:dyDescent="0.35">
      <c r="A64" s="16" t="s">
        <v>307</v>
      </c>
      <c r="B64" s="16" t="s">
        <v>297</v>
      </c>
      <c r="C64" s="16" t="s">
        <v>21</v>
      </c>
      <c r="D64" s="16" t="s">
        <v>298</v>
      </c>
      <c r="E64" s="16" t="s">
        <v>167</v>
      </c>
      <c r="F64" s="16" t="s">
        <v>299</v>
      </c>
      <c r="G64" s="49">
        <v>45763</v>
      </c>
      <c r="H64" s="16" t="s">
        <v>385</v>
      </c>
      <c r="I64" s="16" t="s">
        <v>23</v>
      </c>
      <c r="J64" s="49">
        <v>45763</v>
      </c>
      <c r="K64" s="49">
        <v>45763</v>
      </c>
      <c r="L64" s="16" t="s">
        <v>315</v>
      </c>
      <c r="M64" s="61">
        <v>256779411217</v>
      </c>
      <c r="N64" s="16" t="s">
        <v>22</v>
      </c>
      <c r="O64" s="16" t="s">
        <v>300</v>
      </c>
      <c r="P64" s="16" t="s">
        <v>18</v>
      </c>
      <c r="Q64" s="16" t="s">
        <v>312</v>
      </c>
      <c r="R64" s="16" t="e">
        <f>_xlfn.XLOOKUP(M64,'Invoice No Ref'!$C:$C,'Invoice No Ref'!$I:$I,,0)</f>
        <v>#N/A</v>
      </c>
      <c r="S64" s="16" t="s">
        <v>110</v>
      </c>
      <c r="T64" s="50">
        <v>91.45</v>
      </c>
      <c r="U64" s="16" t="s">
        <v>20</v>
      </c>
      <c r="V64" s="50">
        <v>7949</v>
      </c>
      <c r="W64" s="16">
        <f t="shared" si="0"/>
        <v>86.921815199562602</v>
      </c>
      <c r="X64" s="16" t="s">
        <v>18</v>
      </c>
      <c r="Y64" s="16" t="s">
        <v>18</v>
      </c>
      <c r="Z64" s="16" t="s">
        <v>315</v>
      </c>
      <c r="AA64" s="16" t="s">
        <v>301</v>
      </c>
      <c r="AB64" s="16" t="e">
        <f>_xlfn.XLOOKUP(R64,'Customer Data'!$D:$D,'Customer Data'!$F:$F,,0)</f>
        <v>#N/A</v>
      </c>
      <c r="AC64" s="16"/>
      <c r="AD64" s="16" t="s">
        <v>82</v>
      </c>
      <c r="AE64" s="16" t="s">
        <v>18</v>
      </c>
      <c r="AF64" s="16" t="s">
        <v>18</v>
      </c>
      <c r="AG64" s="16" t="s">
        <v>18</v>
      </c>
      <c r="AH64" s="49">
        <v>45763</v>
      </c>
      <c r="AI64" s="49"/>
      <c r="AJ64" s="16" t="s">
        <v>18</v>
      </c>
    </row>
    <row r="65" spans="1:36" x14ac:dyDescent="0.35">
      <c r="A65" s="16" t="s">
        <v>307</v>
      </c>
      <c r="B65" s="16" t="s">
        <v>297</v>
      </c>
      <c r="C65" s="16" t="s">
        <v>21</v>
      </c>
      <c r="D65" s="16" t="s">
        <v>298</v>
      </c>
      <c r="E65" s="16" t="s">
        <v>167</v>
      </c>
      <c r="F65" s="16" t="s">
        <v>299</v>
      </c>
      <c r="G65" s="49">
        <v>45763</v>
      </c>
      <c r="H65" s="16" t="s">
        <v>386</v>
      </c>
      <c r="I65" s="16" t="s">
        <v>23</v>
      </c>
      <c r="J65" s="49">
        <v>45763</v>
      </c>
      <c r="K65" s="49">
        <v>45763</v>
      </c>
      <c r="L65" s="16" t="s">
        <v>315</v>
      </c>
      <c r="M65" s="61">
        <v>256779411218</v>
      </c>
      <c r="N65" s="16" t="s">
        <v>22</v>
      </c>
      <c r="O65" s="16" t="s">
        <v>300</v>
      </c>
      <c r="P65" s="16" t="s">
        <v>18</v>
      </c>
      <c r="Q65" s="16" t="s">
        <v>312</v>
      </c>
      <c r="R65" s="16" t="e">
        <f>_xlfn.XLOOKUP(M65,'Invoice No Ref'!$C:$C,'Invoice No Ref'!$I:$I,,0)</f>
        <v>#N/A</v>
      </c>
      <c r="S65" s="16" t="s">
        <v>110</v>
      </c>
      <c r="T65" s="50">
        <v>110.7</v>
      </c>
      <c r="U65" s="16" t="s">
        <v>20</v>
      </c>
      <c r="V65" s="50">
        <v>9622.25</v>
      </c>
      <c r="W65" s="16">
        <f t="shared" si="0"/>
        <v>86.921860885275521</v>
      </c>
      <c r="X65" s="16" t="s">
        <v>18</v>
      </c>
      <c r="Y65" s="16" t="s">
        <v>18</v>
      </c>
      <c r="Z65" s="16" t="s">
        <v>315</v>
      </c>
      <c r="AA65" s="16" t="s">
        <v>301</v>
      </c>
      <c r="AB65" s="16" t="e">
        <f>_xlfn.XLOOKUP(R65,'Customer Data'!$D:$D,'Customer Data'!$F:$F,,0)</f>
        <v>#N/A</v>
      </c>
      <c r="AC65" s="16"/>
      <c r="AD65" s="16" t="s">
        <v>82</v>
      </c>
      <c r="AE65" s="16" t="s">
        <v>18</v>
      </c>
      <c r="AF65" s="16" t="s">
        <v>18</v>
      </c>
      <c r="AG65" s="16" t="s">
        <v>18</v>
      </c>
      <c r="AH65" s="49">
        <v>45763</v>
      </c>
      <c r="AI65" s="49"/>
      <c r="AJ65" s="16" t="s">
        <v>18</v>
      </c>
    </row>
    <row r="66" spans="1:36" x14ac:dyDescent="0.35">
      <c r="A66" s="16" t="s">
        <v>307</v>
      </c>
      <c r="B66" s="16" t="s">
        <v>297</v>
      </c>
      <c r="C66" s="16" t="s">
        <v>21</v>
      </c>
      <c r="D66" s="16" t="s">
        <v>298</v>
      </c>
      <c r="E66" s="16" t="s">
        <v>167</v>
      </c>
      <c r="F66" s="16" t="s">
        <v>299</v>
      </c>
      <c r="G66" s="49">
        <v>45763</v>
      </c>
      <c r="H66" s="16" t="s">
        <v>387</v>
      </c>
      <c r="I66" s="16" t="s">
        <v>23</v>
      </c>
      <c r="J66" s="49">
        <v>45763</v>
      </c>
      <c r="K66" s="49">
        <v>45763</v>
      </c>
      <c r="L66" s="16" t="s">
        <v>315</v>
      </c>
      <c r="M66" s="61">
        <v>256779411219</v>
      </c>
      <c r="N66" s="16" t="s">
        <v>22</v>
      </c>
      <c r="O66" s="16" t="s">
        <v>300</v>
      </c>
      <c r="P66" s="16" t="s">
        <v>18</v>
      </c>
      <c r="Q66" s="16" t="s">
        <v>312</v>
      </c>
      <c r="R66" s="16" t="e">
        <f>_xlfn.XLOOKUP(M66,'Invoice No Ref'!$C:$C,'Invoice No Ref'!$I:$I,,0)</f>
        <v>#N/A</v>
      </c>
      <c r="S66" s="16" t="s">
        <v>110</v>
      </c>
      <c r="T66" s="50">
        <v>35.4</v>
      </c>
      <c r="U66" s="16" t="s">
        <v>20</v>
      </c>
      <c r="V66" s="50">
        <v>3077.03</v>
      </c>
      <c r="W66" s="16">
        <f t="shared" si="0"/>
        <v>86.921751412429387</v>
      </c>
      <c r="X66" s="16" t="s">
        <v>18</v>
      </c>
      <c r="Y66" s="16" t="s">
        <v>18</v>
      </c>
      <c r="Z66" s="16" t="s">
        <v>315</v>
      </c>
      <c r="AA66" s="16" t="s">
        <v>301</v>
      </c>
      <c r="AB66" s="16" t="e">
        <f>_xlfn.XLOOKUP(R66,'Customer Data'!$D:$D,'Customer Data'!$F:$F,,0)</f>
        <v>#N/A</v>
      </c>
      <c r="AC66" s="16"/>
      <c r="AD66" s="16" t="s">
        <v>82</v>
      </c>
      <c r="AE66" s="16" t="s">
        <v>18</v>
      </c>
      <c r="AF66" s="16" t="s">
        <v>18</v>
      </c>
      <c r="AG66" s="16" t="s">
        <v>18</v>
      </c>
      <c r="AH66" s="49">
        <v>45763</v>
      </c>
      <c r="AI66" s="49"/>
      <c r="AJ66" s="16" t="s">
        <v>18</v>
      </c>
    </row>
    <row r="67" spans="1:36" x14ac:dyDescent="0.35">
      <c r="A67" s="16" t="s">
        <v>307</v>
      </c>
      <c r="B67" s="16" t="s">
        <v>297</v>
      </c>
      <c r="C67" s="16" t="s">
        <v>21</v>
      </c>
      <c r="D67" s="16" t="s">
        <v>298</v>
      </c>
      <c r="E67" s="16" t="s">
        <v>167</v>
      </c>
      <c r="F67" s="16" t="s">
        <v>299</v>
      </c>
      <c r="G67" s="49">
        <v>45763</v>
      </c>
      <c r="H67" s="16" t="s">
        <v>388</v>
      </c>
      <c r="I67" s="16" t="s">
        <v>23</v>
      </c>
      <c r="J67" s="49">
        <v>45763</v>
      </c>
      <c r="K67" s="49">
        <v>45763</v>
      </c>
      <c r="L67" s="16" t="s">
        <v>315</v>
      </c>
      <c r="M67" s="61">
        <v>256779411220</v>
      </c>
      <c r="N67" s="16" t="s">
        <v>22</v>
      </c>
      <c r="O67" s="16" t="s">
        <v>300</v>
      </c>
      <c r="P67" s="16" t="s">
        <v>18</v>
      </c>
      <c r="Q67" s="16" t="s">
        <v>312</v>
      </c>
      <c r="R67" s="16" t="e">
        <f>_xlfn.XLOOKUP(M67,'Invoice No Ref'!$C:$C,'Invoice No Ref'!$I:$I,,0)</f>
        <v>#N/A</v>
      </c>
      <c r="S67" s="16" t="s">
        <v>110</v>
      </c>
      <c r="T67" s="50">
        <v>44.25</v>
      </c>
      <c r="U67" s="16" t="s">
        <v>20</v>
      </c>
      <c r="V67" s="50">
        <v>3846.29</v>
      </c>
      <c r="W67" s="16">
        <f t="shared" ref="W67:W130" si="7">V67/T67</f>
        <v>86.921807909604524</v>
      </c>
      <c r="X67" s="16" t="s">
        <v>18</v>
      </c>
      <c r="Y67" s="16" t="s">
        <v>18</v>
      </c>
      <c r="Z67" s="16" t="s">
        <v>315</v>
      </c>
      <c r="AA67" s="16" t="s">
        <v>301</v>
      </c>
      <c r="AB67" s="16" t="e">
        <f>_xlfn.XLOOKUP(R67,'Customer Data'!$D:$D,'Customer Data'!$F:$F,,0)</f>
        <v>#N/A</v>
      </c>
      <c r="AC67" s="16"/>
      <c r="AD67" s="16" t="s">
        <v>82</v>
      </c>
      <c r="AE67" s="16" t="s">
        <v>18</v>
      </c>
      <c r="AF67" s="16" t="s">
        <v>18</v>
      </c>
      <c r="AG67" s="16" t="s">
        <v>18</v>
      </c>
      <c r="AH67" s="49">
        <v>45763</v>
      </c>
      <c r="AI67" s="49"/>
      <c r="AJ67" s="16" t="s">
        <v>18</v>
      </c>
    </row>
    <row r="68" spans="1:36" x14ac:dyDescent="0.35">
      <c r="A68" s="16" t="s">
        <v>307</v>
      </c>
      <c r="B68" s="16" t="s">
        <v>297</v>
      </c>
      <c r="C68" s="16" t="s">
        <v>21</v>
      </c>
      <c r="D68" s="16" t="s">
        <v>298</v>
      </c>
      <c r="E68" s="16" t="s">
        <v>167</v>
      </c>
      <c r="F68" s="16" t="s">
        <v>299</v>
      </c>
      <c r="G68" s="49">
        <v>45763</v>
      </c>
      <c r="H68" s="16" t="s">
        <v>389</v>
      </c>
      <c r="I68" s="16" t="s">
        <v>23</v>
      </c>
      <c r="J68" s="49">
        <v>45763</v>
      </c>
      <c r="K68" s="49">
        <v>45763</v>
      </c>
      <c r="L68" s="16" t="s">
        <v>315</v>
      </c>
      <c r="M68" s="61">
        <v>256779411222</v>
      </c>
      <c r="N68" s="16" t="s">
        <v>22</v>
      </c>
      <c r="O68" s="16" t="s">
        <v>300</v>
      </c>
      <c r="P68" s="16" t="s">
        <v>18</v>
      </c>
      <c r="Q68" s="16" t="s">
        <v>312</v>
      </c>
      <c r="R68" s="16" t="e">
        <f>_xlfn.XLOOKUP(M68,'Invoice No Ref'!$C:$C,'Invoice No Ref'!$I:$I,,0)</f>
        <v>#N/A</v>
      </c>
      <c r="S68" s="16" t="s">
        <v>110</v>
      </c>
      <c r="T68" s="50">
        <v>105.43</v>
      </c>
      <c r="U68" s="16" t="s">
        <v>20</v>
      </c>
      <c r="V68" s="50">
        <v>9164.17</v>
      </c>
      <c r="W68" s="16">
        <f t="shared" si="7"/>
        <v>86.921843877454236</v>
      </c>
      <c r="X68" s="16" t="s">
        <v>18</v>
      </c>
      <c r="Y68" s="16" t="s">
        <v>18</v>
      </c>
      <c r="Z68" s="16" t="s">
        <v>315</v>
      </c>
      <c r="AA68" s="16" t="s">
        <v>301</v>
      </c>
      <c r="AB68" s="16" t="e">
        <f>_xlfn.XLOOKUP(R68,'Customer Data'!$D:$D,'Customer Data'!$F:$F,,0)</f>
        <v>#N/A</v>
      </c>
      <c r="AC68" s="16"/>
      <c r="AD68" s="16" t="s">
        <v>82</v>
      </c>
      <c r="AE68" s="16" t="s">
        <v>18</v>
      </c>
      <c r="AF68" s="16" t="s">
        <v>18</v>
      </c>
      <c r="AG68" s="16" t="s">
        <v>18</v>
      </c>
      <c r="AH68" s="49">
        <v>45763</v>
      </c>
      <c r="AI68" s="49"/>
      <c r="AJ68" s="16" t="s">
        <v>18</v>
      </c>
    </row>
    <row r="69" spans="1:36" x14ac:dyDescent="0.35">
      <c r="A69" s="16" t="s">
        <v>307</v>
      </c>
      <c r="B69" s="16" t="s">
        <v>297</v>
      </c>
      <c r="C69" s="16" t="s">
        <v>21</v>
      </c>
      <c r="D69" s="16" t="s">
        <v>298</v>
      </c>
      <c r="E69" s="16" t="s">
        <v>167</v>
      </c>
      <c r="F69" s="16" t="s">
        <v>299</v>
      </c>
      <c r="G69" s="49">
        <v>45763</v>
      </c>
      <c r="H69" s="16" t="s">
        <v>390</v>
      </c>
      <c r="I69" s="16" t="s">
        <v>23</v>
      </c>
      <c r="J69" s="49">
        <v>45763</v>
      </c>
      <c r="K69" s="49">
        <v>45763</v>
      </c>
      <c r="L69" s="16" t="s">
        <v>315</v>
      </c>
      <c r="M69" s="61">
        <v>256779411224</v>
      </c>
      <c r="N69" s="16" t="s">
        <v>22</v>
      </c>
      <c r="O69" s="16" t="s">
        <v>300</v>
      </c>
      <c r="P69" s="16" t="s">
        <v>18</v>
      </c>
      <c r="Q69" s="16" t="s">
        <v>312</v>
      </c>
      <c r="R69" s="16" t="e">
        <f>_xlfn.XLOOKUP(M69,'Invoice No Ref'!$C:$C,'Invoice No Ref'!$I:$I,,0)</f>
        <v>#N/A</v>
      </c>
      <c r="S69" s="16" t="s">
        <v>110</v>
      </c>
      <c r="T69" s="50">
        <v>54.47</v>
      </c>
      <c r="U69" s="16" t="s">
        <v>20</v>
      </c>
      <c r="V69" s="50">
        <v>4734.63</v>
      </c>
      <c r="W69" s="16">
        <f t="shared" si="7"/>
        <v>86.921791812006617</v>
      </c>
      <c r="X69" s="16" t="s">
        <v>18</v>
      </c>
      <c r="Y69" s="16" t="s">
        <v>18</v>
      </c>
      <c r="Z69" s="16" t="s">
        <v>315</v>
      </c>
      <c r="AA69" s="16" t="s">
        <v>301</v>
      </c>
      <c r="AB69" s="16" t="e">
        <f>_xlfn.XLOOKUP(R69,'Customer Data'!$D:$D,'Customer Data'!$F:$F,,0)</f>
        <v>#N/A</v>
      </c>
      <c r="AC69" s="16"/>
      <c r="AD69" s="16" t="s">
        <v>82</v>
      </c>
      <c r="AE69" s="16" t="s">
        <v>18</v>
      </c>
      <c r="AF69" s="16" t="s">
        <v>18</v>
      </c>
      <c r="AG69" s="16" t="s">
        <v>18</v>
      </c>
      <c r="AH69" s="49">
        <v>45763</v>
      </c>
      <c r="AI69" s="49"/>
      <c r="AJ69" s="16" t="s">
        <v>18</v>
      </c>
    </row>
    <row r="70" spans="1:36" x14ac:dyDescent="0.35">
      <c r="A70" s="16" t="s">
        <v>307</v>
      </c>
      <c r="B70" s="16" t="s">
        <v>297</v>
      </c>
      <c r="C70" s="16" t="s">
        <v>21</v>
      </c>
      <c r="D70" s="16" t="s">
        <v>298</v>
      </c>
      <c r="E70" s="16" t="s">
        <v>167</v>
      </c>
      <c r="F70" s="16" t="s">
        <v>299</v>
      </c>
      <c r="G70" s="49">
        <v>45763</v>
      </c>
      <c r="H70" s="16" t="s">
        <v>391</v>
      </c>
      <c r="I70" s="16" t="s">
        <v>23</v>
      </c>
      <c r="J70" s="49">
        <v>45763</v>
      </c>
      <c r="K70" s="49">
        <v>45763</v>
      </c>
      <c r="L70" s="16" t="s">
        <v>315</v>
      </c>
      <c r="M70" s="61">
        <v>256779411225</v>
      </c>
      <c r="N70" s="16" t="s">
        <v>22</v>
      </c>
      <c r="O70" s="16" t="s">
        <v>300</v>
      </c>
      <c r="P70" s="16" t="s">
        <v>18</v>
      </c>
      <c r="Q70" s="16" t="s">
        <v>312</v>
      </c>
      <c r="R70" s="16" t="e">
        <f>_xlfn.XLOOKUP(M70,'Invoice No Ref'!$C:$C,'Invoice No Ref'!$I:$I,,0)</f>
        <v>#N/A</v>
      </c>
      <c r="S70" s="16" t="s">
        <v>110</v>
      </c>
      <c r="T70" s="50">
        <v>66</v>
      </c>
      <c r="U70" s="16" t="s">
        <v>20</v>
      </c>
      <c r="V70" s="50">
        <v>5736.84</v>
      </c>
      <c r="W70" s="16">
        <f t="shared" si="7"/>
        <v>86.921818181818182</v>
      </c>
      <c r="X70" s="16" t="s">
        <v>18</v>
      </c>
      <c r="Y70" s="16" t="s">
        <v>18</v>
      </c>
      <c r="Z70" s="16" t="s">
        <v>315</v>
      </c>
      <c r="AA70" s="16" t="s">
        <v>301</v>
      </c>
      <c r="AB70" s="16" t="e">
        <f>_xlfn.XLOOKUP(R70,'Customer Data'!$D:$D,'Customer Data'!$F:$F,,0)</f>
        <v>#N/A</v>
      </c>
      <c r="AC70" s="16"/>
      <c r="AD70" s="16" t="s">
        <v>82</v>
      </c>
      <c r="AE70" s="16" t="s">
        <v>18</v>
      </c>
      <c r="AF70" s="16" t="s">
        <v>18</v>
      </c>
      <c r="AG70" s="16" t="s">
        <v>18</v>
      </c>
      <c r="AH70" s="49">
        <v>45763</v>
      </c>
      <c r="AI70" s="49"/>
      <c r="AJ70" s="16" t="s">
        <v>18</v>
      </c>
    </row>
    <row r="71" spans="1:36" x14ac:dyDescent="0.35">
      <c r="A71" s="16" t="s">
        <v>307</v>
      </c>
      <c r="B71" s="16" t="s">
        <v>297</v>
      </c>
      <c r="C71" s="16" t="s">
        <v>21</v>
      </c>
      <c r="D71" s="16" t="s">
        <v>298</v>
      </c>
      <c r="E71" s="16" t="s">
        <v>167</v>
      </c>
      <c r="F71" s="16" t="s">
        <v>299</v>
      </c>
      <c r="G71" s="49">
        <v>45763</v>
      </c>
      <c r="H71" s="16" t="s">
        <v>392</v>
      </c>
      <c r="I71" s="16" t="s">
        <v>23</v>
      </c>
      <c r="J71" s="49">
        <v>45763</v>
      </c>
      <c r="K71" s="49">
        <v>45763</v>
      </c>
      <c r="L71" s="16" t="s">
        <v>315</v>
      </c>
      <c r="M71" s="61">
        <v>256779411226</v>
      </c>
      <c r="N71" s="16" t="s">
        <v>22</v>
      </c>
      <c r="O71" s="16" t="s">
        <v>300</v>
      </c>
      <c r="P71" s="16" t="s">
        <v>18</v>
      </c>
      <c r="Q71" s="16" t="s">
        <v>312</v>
      </c>
      <c r="R71" s="16" t="e">
        <f>_xlfn.XLOOKUP(M71,'Invoice No Ref'!$C:$C,'Invoice No Ref'!$I:$I,,0)</f>
        <v>#N/A</v>
      </c>
      <c r="S71" s="16" t="s">
        <v>110</v>
      </c>
      <c r="T71" s="50">
        <v>112.1</v>
      </c>
      <c r="U71" s="16" t="s">
        <v>20</v>
      </c>
      <c r="V71" s="50">
        <v>9743.94</v>
      </c>
      <c r="W71" s="16">
        <f t="shared" si="7"/>
        <v>86.921855486173072</v>
      </c>
      <c r="X71" s="16" t="s">
        <v>18</v>
      </c>
      <c r="Y71" s="16" t="s">
        <v>18</v>
      </c>
      <c r="Z71" s="16" t="s">
        <v>315</v>
      </c>
      <c r="AA71" s="16" t="s">
        <v>301</v>
      </c>
      <c r="AB71" s="16" t="e">
        <f>_xlfn.XLOOKUP(R71,'Customer Data'!$D:$D,'Customer Data'!$F:$F,,0)</f>
        <v>#N/A</v>
      </c>
      <c r="AC71" s="16"/>
      <c r="AD71" s="16" t="s">
        <v>82</v>
      </c>
      <c r="AE71" s="16" t="s">
        <v>18</v>
      </c>
      <c r="AF71" s="16" t="s">
        <v>18</v>
      </c>
      <c r="AG71" s="16" t="s">
        <v>18</v>
      </c>
      <c r="AH71" s="49">
        <v>45763</v>
      </c>
      <c r="AI71" s="49"/>
      <c r="AJ71" s="16" t="s">
        <v>18</v>
      </c>
    </row>
    <row r="72" spans="1:36" x14ac:dyDescent="0.35">
      <c r="A72" s="16" t="s">
        <v>307</v>
      </c>
      <c r="B72" s="16" t="s">
        <v>297</v>
      </c>
      <c r="C72" s="16" t="s">
        <v>21</v>
      </c>
      <c r="D72" s="16" t="s">
        <v>298</v>
      </c>
      <c r="E72" s="16" t="s">
        <v>167</v>
      </c>
      <c r="F72" s="16" t="s">
        <v>299</v>
      </c>
      <c r="G72" s="49">
        <v>45763</v>
      </c>
      <c r="H72" s="16" t="s">
        <v>393</v>
      </c>
      <c r="I72" s="16" t="s">
        <v>23</v>
      </c>
      <c r="J72" s="49">
        <v>45763</v>
      </c>
      <c r="K72" s="49">
        <v>45763</v>
      </c>
      <c r="L72" s="16" t="s">
        <v>315</v>
      </c>
      <c r="M72" s="61">
        <v>256779411228</v>
      </c>
      <c r="N72" s="16" t="s">
        <v>22</v>
      </c>
      <c r="O72" s="16" t="s">
        <v>300</v>
      </c>
      <c r="P72" s="16" t="s">
        <v>18</v>
      </c>
      <c r="Q72" s="16" t="s">
        <v>312</v>
      </c>
      <c r="R72" s="16" t="e">
        <f>_xlfn.XLOOKUP(M72,'Invoice No Ref'!$C:$C,'Invoice No Ref'!$I:$I,,0)</f>
        <v>#N/A</v>
      </c>
      <c r="S72" s="16" t="s">
        <v>110</v>
      </c>
      <c r="T72" s="50">
        <v>44.25</v>
      </c>
      <c r="U72" s="16" t="s">
        <v>20</v>
      </c>
      <c r="V72" s="50">
        <v>3846.29</v>
      </c>
      <c r="W72" s="16">
        <f t="shared" si="7"/>
        <v>86.921807909604524</v>
      </c>
      <c r="X72" s="16" t="s">
        <v>18</v>
      </c>
      <c r="Y72" s="16" t="s">
        <v>18</v>
      </c>
      <c r="Z72" s="16" t="s">
        <v>315</v>
      </c>
      <c r="AA72" s="16" t="s">
        <v>301</v>
      </c>
      <c r="AB72" s="16" t="e">
        <f>_xlfn.XLOOKUP(R72,'Customer Data'!$D:$D,'Customer Data'!$F:$F,,0)</f>
        <v>#N/A</v>
      </c>
      <c r="AC72" s="16"/>
      <c r="AD72" s="16" t="s">
        <v>82</v>
      </c>
      <c r="AE72" s="16" t="s">
        <v>18</v>
      </c>
      <c r="AF72" s="16" t="s">
        <v>18</v>
      </c>
      <c r="AG72" s="16" t="s">
        <v>18</v>
      </c>
      <c r="AH72" s="49">
        <v>45763</v>
      </c>
      <c r="AI72" s="49"/>
      <c r="AJ72" s="16" t="s">
        <v>18</v>
      </c>
    </row>
    <row r="73" spans="1:36" x14ac:dyDescent="0.35">
      <c r="A73" s="16" t="s">
        <v>307</v>
      </c>
      <c r="B73" s="16" t="s">
        <v>297</v>
      </c>
      <c r="C73" s="16" t="s">
        <v>21</v>
      </c>
      <c r="D73" s="16" t="s">
        <v>298</v>
      </c>
      <c r="E73" s="16" t="s">
        <v>167</v>
      </c>
      <c r="F73" s="16" t="s">
        <v>299</v>
      </c>
      <c r="G73" s="49">
        <v>45763</v>
      </c>
      <c r="H73" s="16" t="s">
        <v>394</v>
      </c>
      <c r="I73" s="16" t="s">
        <v>23</v>
      </c>
      <c r="J73" s="49">
        <v>45763</v>
      </c>
      <c r="K73" s="49">
        <v>45763</v>
      </c>
      <c r="L73" s="16" t="s">
        <v>315</v>
      </c>
      <c r="M73" s="61">
        <v>256779411229</v>
      </c>
      <c r="N73" s="16" t="s">
        <v>22</v>
      </c>
      <c r="O73" s="16" t="s">
        <v>300</v>
      </c>
      <c r="P73" s="16" t="s">
        <v>18</v>
      </c>
      <c r="Q73" s="16" t="s">
        <v>312</v>
      </c>
      <c r="R73" s="16" t="e">
        <f>_xlfn.XLOOKUP(M73,'Invoice No Ref'!$C:$C,'Invoice No Ref'!$I:$I,,0)</f>
        <v>#N/A</v>
      </c>
      <c r="S73" s="16" t="s">
        <v>110</v>
      </c>
      <c r="T73" s="50">
        <v>103.25</v>
      </c>
      <c r="U73" s="16" t="s">
        <v>20</v>
      </c>
      <c r="V73" s="50">
        <v>8974.68</v>
      </c>
      <c r="W73" s="16">
        <f t="shared" si="7"/>
        <v>86.921840193704597</v>
      </c>
      <c r="X73" s="16" t="s">
        <v>18</v>
      </c>
      <c r="Y73" s="16" t="s">
        <v>18</v>
      </c>
      <c r="Z73" s="16" t="s">
        <v>315</v>
      </c>
      <c r="AA73" s="16" t="s">
        <v>301</v>
      </c>
      <c r="AB73" s="16" t="e">
        <f>_xlfn.XLOOKUP(R73,'Customer Data'!$D:$D,'Customer Data'!$F:$F,,0)</f>
        <v>#N/A</v>
      </c>
      <c r="AC73" s="16"/>
      <c r="AD73" s="16" t="s">
        <v>82</v>
      </c>
      <c r="AE73" s="16" t="s">
        <v>18</v>
      </c>
      <c r="AF73" s="16" t="s">
        <v>18</v>
      </c>
      <c r="AG73" s="16" t="s">
        <v>18</v>
      </c>
      <c r="AH73" s="49">
        <v>45763</v>
      </c>
      <c r="AI73" s="49"/>
      <c r="AJ73" s="16" t="s">
        <v>18</v>
      </c>
    </row>
    <row r="74" spans="1:36" x14ac:dyDescent="0.35">
      <c r="A74" s="16" t="s">
        <v>307</v>
      </c>
      <c r="B74" s="16" t="s">
        <v>297</v>
      </c>
      <c r="C74" s="16" t="s">
        <v>21</v>
      </c>
      <c r="D74" s="16" t="s">
        <v>298</v>
      </c>
      <c r="E74" s="16" t="s">
        <v>167</v>
      </c>
      <c r="F74" s="16" t="s">
        <v>299</v>
      </c>
      <c r="G74" s="49">
        <v>45763</v>
      </c>
      <c r="H74" s="16" t="s">
        <v>395</v>
      </c>
      <c r="I74" s="16" t="s">
        <v>23</v>
      </c>
      <c r="J74" s="49">
        <v>45763</v>
      </c>
      <c r="K74" s="49">
        <v>45763</v>
      </c>
      <c r="L74" s="16" t="s">
        <v>315</v>
      </c>
      <c r="M74" s="61">
        <v>256779411230</v>
      </c>
      <c r="N74" s="16" t="s">
        <v>22</v>
      </c>
      <c r="O74" s="16" t="s">
        <v>300</v>
      </c>
      <c r="P74" s="16" t="s">
        <v>18</v>
      </c>
      <c r="Q74" s="16" t="s">
        <v>312</v>
      </c>
      <c r="R74" s="16" t="e">
        <f>_xlfn.XLOOKUP(M74,'Invoice No Ref'!$C:$C,'Invoice No Ref'!$I:$I,,0)</f>
        <v>#N/A</v>
      </c>
      <c r="S74" s="16" t="s">
        <v>110</v>
      </c>
      <c r="T74" s="50">
        <v>29.38</v>
      </c>
      <c r="U74" s="16" t="s">
        <v>20</v>
      </c>
      <c r="V74" s="50">
        <v>2553.7600000000002</v>
      </c>
      <c r="W74" s="16">
        <f t="shared" si="7"/>
        <v>86.921715452688915</v>
      </c>
      <c r="X74" s="16" t="s">
        <v>18</v>
      </c>
      <c r="Y74" s="16" t="s">
        <v>18</v>
      </c>
      <c r="Z74" s="16" t="s">
        <v>315</v>
      </c>
      <c r="AA74" s="16" t="s">
        <v>301</v>
      </c>
      <c r="AB74" s="16" t="e">
        <f>_xlfn.XLOOKUP(R74,'Customer Data'!$D:$D,'Customer Data'!$F:$F,,0)</f>
        <v>#N/A</v>
      </c>
      <c r="AC74" s="16"/>
      <c r="AD74" s="16" t="s">
        <v>82</v>
      </c>
      <c r="AE74" s="16" t="s">
        <v>18</v>
      </c>
      <c r="AF74" s="16" t="s">
        <v>18</v>
      </c>
      <c r="AG74" s="16" t="s">
        <v>18</v>
      </c>
      <c r="AH74" s="49">
        <v>45763</v>
      </c>
      <c r="AI74" s="49"/>
      <c r="AJ74" s="16" t="s">
        <v>18</v>
      </c>
    </row>
    <row r="75" spans="1:36" x14ac:dyDescent="0.35">
      <c r="A75" s="16" t="s">
        <v>307</v>
      </c>
      <c r="B75" s="16" t="s">
        <v>297</v>
      </c>
      <c r="C75" s="16" t="s">
        <v>21</v>
      </c>
      <c r="D75" s="16" t="s">
        <v>298</v>
      </c>
      <c r="E75" s="16" t="s">
        <v>167</v>
      </c>
      <c r="F75" s="16" t="s">
        <v>299</v>
      </c>
      <c r="G75" s="49">
        <v>45763</v>
      </c>
      <c r="H75" s="16" t="s">
        <v>396</v>
      </c>
      <c r="I75" s="16" t="s">
        <v>23</v>
      </c>
      <c r="J75" s="49">
        <v>45763</v>
      </c>
      <c r="K75" s="49">
        <v>45763</v>
      </c>
      <c r="L75" s="16" t="s">
        <v>315</v>
      </c>
      <c r="M75" s="61">
        <v>256779411231</v>
      </c>
      <c r="N75" s="16" t="s">
        <v>22</v>
      </c>
      <c r="O75" s="16" t="s">
        <v>300</v>
      </c>
      <c r="P75" s="16" t="s">
        <v>18</v>
      </c>
      <c r="Q75" s="16" t="s">
        <v>312</v>
      </c>
      <c r="R75" s="16" t="e">
        <f>_xlfn.XLOOKUP(M75,'Invoice No Ref'!$C:$C,'Invoice No Ref'!$I:$I,,0)</f>
        <v>#N/A</v>
      </c>
      <c r="S75" s="16" t="s">
        <v>110</v>
      </c>
      <c r="T75" s="50">
        <v>5.9</v>
      </c>
      <c r="U75" s="16" t="s">
        <v>20</v>
      </c>
      <c r="V75" s="50">
        <v>512.84</v>
      </c>
      <c r="W75" s="16">
        <f t="shared" si="7"/>
        <v>86.922033898305088</v>
      </c>
      <c r="X75" s="16" t="s">
        <v>18</v>
      </c>
      <c r="Y75" s="16" t="s">
        <v>18</v>
      </c>
      <c r="Z75" s="16" t="s">
        <v>315</v>
      </c>
      <c r="AA75" s="16" t="s">
        <v>301</v>
      </c>
      <c r="AB75" s="16" t="e">
        <f>_xlfn.XLOOKUP(R75,'Customer Data'!$D:$D,'Customer Data'!$F:$F,,0)</f>
        <v>#N/A</v>
      </c>
      <c r="AC75" s="16"/>
      <c r="AD75" s="16" t="s">
        <v>82</v>
      </c>
      <c r="AE75" s="16" t="s">
        <v>18</v>
      </c>
      <c r="AF75" s="16" t="s">
        <v>18</v>
      </c>
      <c r="AG75" s="16" t="s">
        <v>18</v>
      </c>
      <c r="AH75" s="49">
        <v>45763</v>
      </c>
      <c r="AI75" s="49"/>
      <c r="AJ75" s="16" t="s">
        <v>18</v>
      </c>
    </row>
    <row r="76" spans="1:36" x14ac:dyDescent="0.35">
      <c r="A76" s="16" t="s">
        <v>307</v>
      </c>
      <c r="B76" s="16" t="s">
        <v>297</v>
      </c>
      <c r="C76" s="16" t="s">
        <v>21</v>
      </c>
      <c r="D76" s="16" t="s">
        <v>298</v>
      </c>
      <c r="E76" s="16" t="s">
        <v>167</v>
      </c>
      <c r="F76" s="16" t="s">
        <v>299</v>
      </c>
      <c r="G76" s="49">
        <v>45763</v>
      </c>
      <c r="H76" s="16" t="s">
        <v>397</v>
      </c>
      <c r="I76" s="16" t="s">
        <v>23</v>
      </c>
      <c r="J76" s="49">
        <v>45763</v>
      </c>
      <c r="K76" s="49">
        <v>45763</v>
      </c>
      <c r="L76" s="16" t="s">
        <v>315</v>
      </c>
      <c r="M76" s="61">
        <v>256779411232</v>
      </c>
      <c r="N76" s="16" t="s">
        <v>22</v>
      </c>
      <c r="O76" s="16" t="s">
        <v>300</v>
      </c>
      <c r="P76" s="16" t="s">
        <v>18</v>
      </c>
      <c r="Q76" s="16" t="s">
        <v>312</v>
      </c>
      <c r="R76" s="16" t="e">
        <f>_xlfn.XLOOKUP(M76,'Invoice No Ref'!$C:$C,'Invoice No Ref'!$I:$I,,0)</f>
        <v>#N/A</v>
      </c>
      <c r="S76" s="16" t="s">
        <v>110</v>
      </c>
      <c r="T76" s="50">
        <v>35.4</v>
      </c>
      <c r="U76" s="16" t="s">
        <v>20</v>
      </c>
      <c r="V76" s="50">
        <v>3077.03</v>
      </c>
      <c r="W76" s="16">
        <f t="shared" si="7"/>
        <v>86.921751412429387</v>
      </c>
      <c r="X76" s="16" t="s">
        <v>18</v>
      </c>
      <c r="Y76" s="16" t="s">
        <v>18</v>
      </c>
      <c r="Z76" s="16" t="s">
        <v>315</v>
      </c>
      <c r="AA76" s="16" t="s">
        <v>301</v>
      </c>
      <c r="AB76" s="16" t="e">
        <f>_xlfn.XLOOKUP(R76,'Customer Data'!$D:$D,'Customer Data'!$F:$F,,0)</f>
        <v>#N/A</v>
      </c>
      <c r="AC76" s="16"/>
      <c r="AD76" s="16" t="s">
        <v>82</v>
      </c>
      <c r="AE76" s="16" t="s">
        <v>18</v>
      </c>
      <c r="AF76" s="16" t="s">
        <v>18</v>
      </c>
      <c r="AG76" s="16" t="s">
        <v>18</v>
      </c>
      <c r="AH76" s="49">
        <v>45763</v>
      </c>
      <c r="AI76" s="49"/>
      <c r="AJ76" s="16" t="s">
        <v>18</v>
      </c>
    </row>
    <row r="77" spans="1:36" x14ac:dyDescent="0.35">
      <c r="A77" s="16" t="s">
        <v>307</v>
      </c>
      <c r="B77" s="16" t="s">
        <v>297</v>
      </c>
      <c r="C77" s="16" t="s">
        <v>21</v>
      </c>
      <c r="D77" s="16" t="s">
        <v>298</v>
      </c>
      <c r="E77" s="16" t="s">
        <v>167</v>
      </c>
      <c r="F77" s="16" t="s">
        <v>299</v>
      </c>
      <c r="G77" s="49">
        <v>45763</v>
      </c>
      <c r="H77" s="16" t="s">
        <v>398</v>
      </c>
      <c r="I77" s="16" t="s">
        <v>23</v>
      </c>
      <c r="J77" s="49">
        <v>45763</v>
      </c>
      <c r="K77" s="49">
        <v>45763</v>
      </c>
      <c r="L77" s="16" t="s">
        <v>315</v>
      </c>
      <c r="M77" s="61">
        <v>256779411233</v>
      </c>
      <c r="N77" s="16" t="s">
        <v>22</v>
      </c>
      <c r="O77" s="16" t="s">
        <v>300</v>
      </c>
      <c r="P77" s="16" t="s">
        <v>18</v>
      </c>
      <c r="Q77" s="16" t="s">
        <v>312</v>
      </c>
      <c r="R77" s="16" t="e">
        <f>_xlfn.XLOOKUP(M77,'Invoice No Ref'!$C:$C,'Invoice No Ref'!$I:$I,,0)</f>
        <v>#N/A</v>
      </c>
      <c r="S77" s="16" t="s">
        <v>110</v>
      </c>
      <c r="T77" s="50">
        <v>20.96</v>
      </c>
      <c r="U77" s="16" t="s">
        <v>20</v>
      </c>
      <c r="V77" s="50">
        <v>1821.88</v>
      </c>
      <c r="W77" s="16">
        <f t="shared" si="7"/>
        <v>86.921755725190835</v>
      </c>
      <c r="X77" s="16" t="s">
        <v>18</v>
      </c>
      <c r="Y77" s="16" t="s">
        <v>18</v>
      </c>
      <c r="Z77" s="16" t="s">
        <v>315</v>
      </c>
      <c r="AA77" s="16" t="s">
        <v>301</v>
      </c>
      <c r="AB77" s="16" t="e">
        <f>_xlfn.XLOOKUP(R77,'Customer Data'!$D:$D,'Customer Data'!$F:$F,,0)</f>
        <v>#N/A</v>
      </c>
      <c r="AC77" s="16"/>
      <c r="AD77" s="16" t="s">
        <v>82</v>
      </c>
      <c r="AE77" s="16" t="s">
        <v>18</v>
      </c>
      <c r="AF77" s="16" t="s">
        <v>18</v>
      </c>
      <c r="AG77" s="16" t="s">
        <v>18</v>
      </c>
      <c r="AH77" s="49">
        <v>45763</v>
      </c>
      <c r="AI77" s="49"/>
      <c r="AJ77" s="16" t="s">
        <v>18</v>
      </c>
    </row>
    <row r="78" spans="1:36" hidden="1" x14ac:dyDescent="0.35">
      <c r="A78" s="16" t="s">
        <v>307</v>
      </c>
      <c r="B78" s="16" t="s">
        <v>297</v>
      </c>
      <c r="C78" s="16" t="s">
        <v>21</v>
      </c>
      <c r="D78" s="16" t="s">
        <v>298</v>
      </c>
      <c r="E78" s="16" t="s">
        <v>167</v>
      </c>
      <c r="F78" s="16" t="s">
        <v>303</v>
      </c>
      <c r="G78" s="49">
        <v>45863</v>
      </c>
      <c r="H78" s="16" t="s">
        <v>399</v>
      </c>
      <c r="I78" s="16" t="s">
        <v>23</v>
      </c>
      <c r="J78" s="49">
        <v>45863</v>
      </c>
      <c r="K78" s="49">
        <v>45863</v>
      </c>
      <c r="L78" s="16" t="s">
        <v>315</v>
      </c>
      <c r="M78" s="61">
        <v>256779415973</v>
      </c>
      <c r="N78" s="16" t="s">
        <v>22</v>
      </c>
      <c r="O78" s="16" t="s">
        <v>300</v>
      </c>
      <c r="P78" s="16" t="s">
        <v>18</v>
      </c>
      <c r="Q78" s="16" t="s">
        <v>312</v>
      </c>
      <c r="R78" s="16" t="e">
        <f>_xlfn.XLOOKUP(M78,'Invoice No Ref'!$C:$C,'Invoice No Ref'!$I:$I,,0)</f>
        <v>#N/A</v>
      </c>
      <c r="S78" s="16" t="s">
        <v>110</v>
      </c>
      <c r="T78" s="50">
        <v>448.06</v>
      </c>
      <c r="U78" s="16" t="s">
        <v>20</v>
      </c>
      <c r="V78" s="50">
        <v>38533.46</v>
      </c>
      <c r="W78" s="16">
        <f t="shared" si="7"/>
        <v>86.000669553184835</v>
      </c>
      <c r="X78" s="16" t="s">
        <v>720</v>
      </c>
      <c r="Y78" s="16" t="s">
        <v>18</v>
      </c>
      <c r="Z78" s="16" t="s">
        <v>315</v>
      </c>
      <c r="AA78" s="16" t="s">
        <v>301</v>
      </c>
      <c r="AB78" s="16" t="e">
        <f>_xlfn.XLOOKUP(R78,'Customer Data'!$D:$D,'Customer Data'!$F:$F,,0)</f>
        <v>#N/A</v>
      </c>
      <c r="AC78" s="16"/>
      <c r="AD78" s="16" t="s">
        <v>94</v>
      </c>
      <c r="AE78" s="16" t="s">
        <v>18</v>
      </c>
      <c r="AF78" s="16" t="s">
        <v>18</v>
      </c>
      <c r="AG78" s="16" t="s">
        <v>18</v>
      </c>
      <c r="AH78" s="49">
        <v>45863</v>
      </c>
      <c r="AI78" s="49"/>
      <c r="AJ78" s="16" t="s">
        <v>18</v>
      </c>
    </row>
    <row r="79" spans="1:36" x14ac:dyDescent="0.35">
      <c r="A79" s="16" t="s">
        <v>307</v>
      </c>
      <c r="B79" s="16" t="s">
        <v>297</v>
      </c>
      <c r="C79" s="16" t="s">
        <v>21</v>
      </c>
      <c r="D79" s="16" t="s">
        <v>298</v>
      </c>
      <c r="E79" s="16" t="s">
        <v>167</v>
      </c>
      <c r="F79" s="16" t="s">
        <v>303</v>
      </c>
      <c r="G79" s="49">
        <v>45842</v>
      </c>
      <c r="H79" s="16" t="s">
        <v>400</v>
      </c>
      <c r="I79" s="16" t="s">
        <v>23</v>
      </c>
      <c r="J79" s="49">
        <v>45842</v>
      </c>
      <c r="K79" s="49">
        <v>45846</v>
      </c>
      <c r="L79" s="16" t="s">
        <v>315</v>
      </c>
      <c r="M79" s="61">
        <v>256779414841</v>
      </c>
      <c r="N79" s="16" t="s">
        <v>22</v>
      </c>
      <c r="O79" s="16" t="s">
        <v>300</v>
      </c>
      <c r="P79" s="16" t="s">
        <v>18</v>
      </c>
      <c r="Q79" s="16" t="s">
        <v>312</v>
      </c>
      <c r="R79" s="16" t="e">
        <f>_xlfn.XLOOKUP(M79,'Invoice No Ref'!$C:$C,'Invoice No Ref'!$I:$I,,0)</f>
        <v>#N/A</v>
      </c>
      <c r="S79" s="16" t="s">
        <v>110</v>
      </c>
      <c r="T79" s="50">
        <v>165.16</v>
      </c>
      <c r="U79" s="16" t="s">
        <v>20</v>
      </c>
      <c r="V79" s="50">
        <v>14203.87</v>
      </c>
      <c r="W79" s="16">
        <f t="shared" si="7"/>
        <v>86.000666020828291</v>
      </c>
      <c r="X79" s="16" t="s">
        <v>718</v>
      </c>
      <c r="Y79" s="16" t="s">
        <v>18</v>
      </c>
      <c r="Z79" s="16" t="s">
        <v>315</v>
      </c>
      <c r="AA79" s="16" t="s">
        <v>301</v>
      </c>
      <c r="AB79" s="16" t="e">
        <f>_xlfn.XLOOKUP(R79,'Customer Data'!$D:$D,'Customer Data'!$F:$F,,0)</f>
        <v>#N/A</v>
      </c>
      <c r="AC79" s="16"/>
      <c r="AD79" s="16" t="s">
        <v>92</v>
      </c>
      <c r="AE79" s="16" t="s">
        <v>18</v>
      </c>
      <c r="AF79" s="16" t="s">
        <v>18</v>
      </c>
      <c r="AG79" s="16" t="s">
        <v>18</v>
      </c>
      <c r="AH79" s="49">
        <v>45842</v>
      </c>
      <c r="AI79" s="49"/>
      <c r="AJ79" s="16" t="s">
        <v>18</v>
      </c>
    </row>
    <row r="80" spans="1:36" hidden="1" x14ac:dyDescent="0.35">
      <c r="A80" s="16" t="s">
        <v>307</v>
      </c>
      <c r="B80" s="16" t="s">
        <v>297</v>
      </c>
      <c r="C80" s="16" t="s">
        <v>21</v>
      </c>
      <c r="D80" s="16" t="s">
        <v>298</v>
      </c>
      <c r="E80" s="16" t="s">
        <v>167</v>
      </c>
      <c r="F80" s="16" t="s">
        <v>311</v>
      </c>
      <c r="G80" s="49">
        <v>45966</v>
      </c>
      <c r="H80" s="16" t="s">
        <v>401</v>
      </c>
      <c r="I80" s="16" t="s">
        <v>23</v>
      </c>
      <c r="J80" s="49">
        <v>45966</v>
      </c>
      <c r="K80" s="49">
        <v>45967</v>
      </c>
      <c r="L80" s="16" t="s">
        <v>315</v>
      </c>
      <c r="M80" s="61">
        <v>256779418940</v>
      </c>
      <c r="N80" s="16" t="s">
        <v>22</v>
      </c>
      <c r="O80" s="16" t="s">
        <v>300</v>
      </c>
      <c r="P80" s="16" t="s">
        <v>18</v>
      </c>
      <c r="Q80" s="16" t="s">
        <v>312</v>
      </c>
      <c r="R80" s="16"/>
      <c r="S80" s="16" t="s">
        <v>110</v>
      </c>
      <c r="T80" s="50">
        <v>7238.59</v>
      </c>
      <c r="U80" s="16" t="s">
        <v>20</v>
      </c>
      <c r="V80" s="50">
        <v>637020.46</v>
      </c>
      <c r="W80" s="16">
        <f t="shared" si="7"/>
        <v>88.003390163001356</v>
      </c>
      <c r="X80" s="16" t="s">
        <v>720</v>
      </c>
      <c r="Y80" s="16" t="s">
        <v>18</v>
      </c>
      <c r="Z80" s="16" t="s">
        <v>722</v>
      </c>
      <c r="AA80" s="16" t="s">
        <v>301</v>
      </c>
      <c r="AB80" s="16">
        <f>_xlfn.XLOOKUP(M80,'Customer Data'!$D:$D,'Customer Data'!$H:$H,,0)</f>
        <v>-7238.59</v>
      </c>
      <c r="AC80" s="62">
        <f t="shared" ref="AC80:AC81" si="8">AB80+T80</f>
        <v>0</v>
      </c>
      <c r="AD80" s="16" t="s">
        <v>29</v>
      </c>
      <c r="AE80" s="16" t="s">
        <v>18</v>
      </c>
      <c r="AF80" s="16" t="s">
        <v>18</v>
      </c>
      <c r="AG80" s="16" t="s">
        <v>18</v>
      </c>
      <c r="AH80" s="49">
        <v>45966</v>
      </c>
      <c r="AI80" s="49"/>
      <c r="AJ80" s="16" t="s">
        <v>18</v>
      </c>
    </row>
    <row r="81" spans="1:36" hidden="1" x14ac:dyDescent="0.35">
      <c r="A81" s="16" t="s">
        <v>307</v>
      </c>
      <c r="B81" s="16" t="s">
        <v>297</v>
      </c>
      <c r="C81" s="16" t="s">
        <v>21</v>
      </c>
      <c r="D81" s="16" t="s">
        <v>298</v>
      </c>
      <c r="E81" s="16" t="s">
        <v>167</v>
      </c>
      <c r="F81" s="16" t="s">
        <v>311</v>
      </c>
      <c r="G81" s="49">
        <v>45966</v>
      </c>
      <c r="H81" s="16" t="s">
        <v>402</v>
      </c>
      <c r="I81" s="16" t="s">
        <v>23</v>
      </c>
      <c r="J81" s="49">
        <v>45966</v>
      </c>
      <c r="K81" s="49">
        <v>45967</v>
      </c>
      <c r="L81" s="16" t="s">
        <v>315</v>
      </c>
      <c r="M81" s="61">
        <v>256779418941</v>
      </c>
      <c r="N81" s="16" t="s">
        <v>22</v>
      </c>
      <c r="O81" s="16" t="s">
        <v>300</v>
      </c>
      <c r="P81" s="16" t="s">
        <v>18</v>
      </c>
      <c r="Q81" s="16" t="s">
        <v>312</v>
      </c>
      <c r="R81" s="16"/>
      <c r="S81" s="16" t="s">
        <v>110</v>
      </c>
      <c r="T81" s="50">
        <v>7669.34</v>
      </c>
      <c r="U81" s="16" t="s">
        <v>20</v>
      </c>
      <c r="V81" s="50">
        <v>674927.92</v>
      </c>
      <c r="W81" s="16">
        <f t="shared" si="7"/>
        <v>88.003390122226946</v>
      </c>
      <c r="X81" s="16" t="s">
        <v>720</v>
      </c>
      <c r="Y81" s="16" t="s">
        <v>18</v>
      </c>
      <c r="Z81" s="16" t="s">
        <v>722</v>
      </c>
      <c r="AA81" s="16" t="s">
        <v>301</v>
      </c>
      <c r="AB81" s="16">
        <f>_xlfn.XLOOKUP(M81,'Customer Data'!$D:$D,'Customer Data'!$H:$H,,0)</f>
        <v>-7669.34</v>
      </c>
      <c r="AC81" s="62">
        <f t="shared" si="8"/>
        <v>0</v>
      </c>
      <c r="AD81" s="16" t="s">
        <v>29</v>
      </c>
      <c r="AE81" s="16" t="s">
        <v>18</v>
      </c>
      <c r="AF81" s="16" t="s">
        <v>18</v>
      </c>
      <c r="AG81" s="16" t="s">
        <v>18</v>
      </c>
      <c r="AH81" s="49">
        <v>45966</v>
      </c>
      <c r="AI81" s="49"/>
      <c r="AJ81" s="16" t="s">
        <v>18</v>
      </c>
    </row>
    <row r="82" spans="1:36" hidden="1" x14ac:dyDescent="0.35">
      <c r="A82" s="16" t="s">
        <v>307</v>
      </c>
      <c r="B82" s="16" t="s">
        <v>297</v>
      </c>
      <c r="C82" s="16" t="s">
        <v>21</v>
      </c>
      <c r="D82" s="16" t="s">
        <v>298</v>
      </c>
      <c r="E82" s="16" t="s">
        <v>167</v>
      </c>
      <c r="F82" s="16" t="s">
        <v>303</v>
      </c>
      <c r="G82" s="49">
        <v>45856</v>
      </c>
      <c r="H82" s="16" t="s">
        <v>403</v>
      </c>
      <c r="I82" s="16" t="s">
        <v>23</v>
      </c>
      <c r="J82" s="49">
        <v>45856</v>
      </c>
      <c r="K82" s="49">
        <v>45859</v>
      </c>
      <c r="L82" s="16" t="s">
        <v>315</v>
      </c>
      <c r="M82" s="61">
        <v>256779415415</v>
      </c>
      <c r="N82" s="16" t="s">
        <v>22</v>
      </c>
      <c r="O82" s="16" t="s">
        <v>300</v>
      </c>
      <c r="P82" s="16" t="s">
        <v>18</v>
      </c>
      <c r="Q82" s="16" t="s">
        <v>312</v>
      </c>
      <c r="R82" s="16" t="e">
        <f>_xlfn.XLOOKUP(M82,'Invoice No Ref'!$C:$C,'Invoice No Ref'!$I:$I,,0)</f>
        <v>#N/A</v>
      </c>
      <c r="S82" s="16" t="s">
        <v>110</v>
      </c>
      <c r="T82" s="50">
        <v>340.75</v>
      </c>
      <c r="U82" s="16" t="s">
        <v>20</v>
      </c>
      <c r="V82" s="50">
        <v>29304.73</v>
      </c>
      <c r="W82" s="16">
        <f t="shared" si="7"/>
        <v>86.000674981658108</v>
      </c>
      <c r="X82" s="16" t="s">
        <v>720</v>
      </c>
      <c r="Y82" s="16" t="s">
        <v>18</v>
      </c>
      <c r="Z82" s="16" t="s">
        <v>315</v>
      </c>
      <c r="AA82" s="16" t="s">
        <v>301</v>
      </c>
      <c r="AB82" s="16" t="e">
        <f>_xlfn.XLOOKUP(R82,'Customer Data'!$D:$D,'Customer Data'!$F:$F,,0)</f>
        <v>#N/A</v>
      </c>
      <c r="AC82" s="16"/>
      <c r="AD82" s="16" t="s">
        <v>93</v>
      </c>
      <c r="AE82" s="16" t="s">
        <v>18</v>
      </c>
      <c r="AF82" s="16" t="s">
        <v>18</v>
      </c>
      <c r="AG82" s="16" t="s">
        <v>18</v>
      </c>
      <c r="AH82" s="49">
        <v>45856</v>
      </c>
      <c r="AI82" s="49"/>
      <c r="AJ82" s="16" t="s">
        <v>18</v>
      </c>
    </row>
    <row r="83" spans="1:36" x14ac:dyDescent="0.35">
      <c r="A83" s="16" t="s">
        <v>307</v>
      </c>
      <c r="B83" s="16" t="s">
        <v>297</v>
      </c>
      <c r="C83" s="16" t="s">
        <v>21</v>
      </c>
      <c r="D83" s="16" t="s">
        <v>298</v>
      </c>
      <c r="E83" s="16" t="s">
        <v>167</v>
      </c>
      <c r="F83" s="16" t="s">
        <v>310</v>
      </c>
      <c r="G83" s="49">
        <v>45729</v>
      </c>
      <c r="H83" s="16" t="s">
        <v>404</v>
      </c>
      <c r="I83" s="16" t="s">
        <v>23</v>
      </c>
      <c r="J83" s="49">
        <v>45729</v>
      </c>
      <c r="K83" s="49">
        <v>45731</v>
      </c>
      <c r="L83" s="16" t="s">
        <v>315</v>
      </c>
      <c r="M83" s="61">
        <v>246779411256</v>
      </c>
      <c r="N83" s="16" t="s">
        <v>22</v>
      </c>
      <c r="O83" s="16" t="s">
        <v>300</v>
      </c>
      <c r="P83" s="16" t="s">
        <v>18</v>
      </c>
      <c r="Q83" s="16" t="s">
        <v>312</v>
      </c>
      <c r="R83" s="16" t="str">
        <f>_xlfn.XLOOKUP(M83,'Invoice No Ref'!$C:$C,'Invoice No Ref'!$I:$I,,0)</f>
        <v>6779IV124000241</v>
      </c>
      <c r="S83" s="16" t="s">
        <v>110</v>
      </c>
      <c r="T83" s="50">
        <v>220</v>
      </c>
      <c r="U83" s="16" t="s">
        <v>20</v>
      </c>
      <c r="V83" s="50">
        <v>19072.080000000002</v>
      </c>
      <c r="W83" s="16">
        <f t="shared" si="7"/>
        <v>86.691272727272732</v>
      </c>
      <c r="X83" s="16" t="s">
        <v>718</v>
      </c>
      <c r="Y83" s="16" t="s">
        <v>18</v>
      </c>
      <c r="Z83" s="16" t="s">
        <v>315</v>
      </c>
      <c r="AA83" s="16" t="s">
        <v>301</v>
      </c>
      <c r="AB83" s="16">
        <f>_xlfn.XLOOKUP(R83,'Customer Data'!$D:$D,'Customer Data'!$F:$F,,0)</f>
        <v>-220</v>
      </c>
      <c r="AC83" s="62">
        <f t="shared" ref="AC83:AC88" si="9">AB83+T83</f>
        <v>0</v>
      </c>
      <c r="AD83" s="16" t="s">
        <v>40</v>
      </c>
      <c r="AE83" s="16" t="s">
        <v>18</v>
      </c>
      <c r="AF83" s="16" t="s">
        <v>18</v>
      </c>
      <c r="AG83" s="16" t="s">
        <v>18</v>
      </c>
      <c r="AH83" s="49">
        <v>45729</v>
      </c>
      <c r="AI83" s="49"/>
      <c r="AJ83" s="16" t="s">
        <v>18</v>
      </c>
    </row>
    <row r="84" spans="1:36" hidden="1" x14ac:dyDescent="0.35">
      <c r="A84" s="16" t="s">
        <v>307</v>
      </c>
      <c r="B84" s="16" t="s">
        <v>297</v>
      </c>
      <c r="C84" s="16" t="s">
        <v>21</v>
      </c>
      <c r="D84" s="16" t="s">
        <v>298</v>
      </c>
      <c r="E84" s="16" t="s">
        <v>167</v>
      </c>
      <c r="F84" s="16" t="s">
        <v>310</v>
      </c>
      <c r="G84" s="49">
        <v>45729</v>
      </c>
      <c r="H84" s="16" t="s">
        <v>405</v>
      </c>
      <c r="I84" s="16" t="s">
        <v>23</v>
      </c>
      <c r="J84" s="49">
        <v>45729</v>
      </c>
      <c r="K84" s="49">
        <v>45733</v>
      </c>
      <c r="L84" s="16" t="s">
        <v>315</v>
      </c>
      <c r="M84" s="61">
        <v>246779411286</v>
      </c>
      <c r="N84" s="16" t="s">
        <v>22</v>
      </c>
      <c r="O84" s="16" t="s">
        <v>300</v>
      </c>
      <c r="P84" s="16" t="s">
        <v>18</v>
      </c>
      <c r="Q84" s="16" t="s">
        <v>312</v>
      </c>
      <c r="R84" s="16" t="str">
        <f>_xlfn.XLOOKUP(M84,'Invoice No Ref'!$C:$C,'Invoice No Ref'!$I:$I,,0)</f>
        <v>6779IV124000248</v>
      </c>
      <c r="S84" s="16" t="s">
        <v>110</v>
      </c>
      <c r="T84" s="50">
        <v>670</v>
      </c>
      <c r="U84" s="16" t="s">
        <v>20</v>
      </c>
      <c r="V84" s="50">
        <v>58083.14</v>
      </c>
      <c r="W84" s="16">
        <f t="shared" si="7"/>
        <v>86.691253731343281</v>
      </c>
      <c r="X84" s="16" t="s">
        <v>718</v>
      </c>
      <c r="Y84" s="16" t="s">
        <v>18</v>
      </c>
      <c r="Z84" s="16" t="s">
        <v>315</v>
      </c>
      <c r="AA84" s="16" t="s">
        <v>301</v>
      </c>
      <c r="AB84" s="16">
        <f>_xlfn.XLOOKUP(R84,'Customer Data'!$D:$D,'Customer Data'!$F:$F,,0)</f>
        <v>-670</v>
      </c>
      <c r="AC84" s="62">
        <f t="shared" si="9"/>
        <v>0</v>
      </c>
      <c r="AD84" s="16" t="s">
        <v>44</v>
      </c>
      <c r="AE84" s="16" t="s">
        <v>18</v>
      </c>
      <c r="AF84" s="16" t="s">
        <v>18</v>
      </c>
      <c r="AG84" s="16" t="s">
        <v>18</v>
      </c>
      <c r="AH84" s="49">
        <v>45729</v>
      </c>
      <c r="AI84" s="49"/>
      <c r="AJ84" s="16" t="s">
        <v>18</v>
      </c>
    </row>
    <row r="85" spans="1:36" hidden="1" x14ac:dyDescent="0.35">
      <c r="A85" s="16" t="s">
        <v>307</v>
      </c>
      <c r="B85" s="16" t="s">
        <v>297</v>
      </c>
      <c r="C85" s="16" t="s">
        <v>21</v>
      </c>
      <c r="D85" s="16" t="s">
        <v>298</v>
      </c>
      <c r="E85" s="16" t="s">
        <v>167</v>
      </c>
      <c r="F85" s="16" t="s">
        <v>310</v>
      </c>
      <c r="G85" s="49">
        <v>45729</v>
      </c>
      <c r="H85" s="16" t="s">
        <v>406</v>
      </c>
      <c r="I85" s="16" t="s">
        <v>23</v>
      </c>
      <c r="J85" s="49">
        <v>45729</v>
      </c>
      <c r="K85" s="49">
        <v>45733</v>
      </c>
      <c r="L85" s="16" t="s">
        <v>315</v>
      </c>
      <c r="M85" s="61">
        <v>246779411305</v>
      </c>
      <c r="N85" s="16" t="s">
        <v>22</v>
      </c>
      <c r="O85" s="16" t="s">
        <v>300</v>
      </c>
      <c r="P85" s="16" t="s">
        <v>18</v>
      </c>
      <c r="Q85" s="16" t="s">
        <v>312</v>
      </c>
      <c r="R85" s="16" t="str">
        <f>_xlfn.XLOOKUP(M85,'Invoice No Ref'!$C:$C,'Invoice No Ref'!$I:$I,,0)</f>
        <v>6779IV124000256</v>
      </c>
      <c r="S85" s="16" t="s">
        <v>110</v>
      </c>
      <c r="T85" s="50">
        <v>135</v>
      </c>
      <c r="U85" s="16" t="s">
        <v>20</v>
      </c>
      <c r="V85" s="50">
        <v>11703.32</v>
      </c>
      <c r="W85" s="16">
        <f t="shared" si="7"/>
        <v>86.691259259259255</v>
      </c>
      <c r="X85" s="16" t="s">
        <v>718</v>
      </c>
      <c r="Y85" s="16" t="s">
        <v>18</v>
      </c>
      <c r="Z85" s="16" t="s">
        <v>315</v>
      </c>
      <c r="AA85" s="16" t="s">
        <v>301</v>
      </c>
      <c r="AB85" s="16">
        <f>_xlfn.XLOOKUP(R85,'Customer Data'!$D:$D,'Customer Data'!$F:$F,,0)</f>
        <v>-135</v>
      </c>
      <c r="AC85" s="62">
        <f t="shared" si="9"/>
        <v>0</v>
      </c>
      <c r="AD85" s="16" t="s">
        <v>43</v>
      </c>
      <c r="AE85" s="16" t="s">
        <v>18</v>
      </c>
      <c r="AF85" s="16" t="s">
        <v>18</v>
      </c>
      <c r="AG85" s="16" t="s">
        <v>18</v>
      </c>
      <c r="AH85" s="49">
        <v>45729</v>
      </c>
      <c r="AI85" s="49"/>
      <c r="AJ85" s="16" t="s">
        <v>18</v>
      </c>
    </row>
    <row r="86" spans="1:36" hidden="1" x14ac:dyDescent="0.35">
      <c r="A86" s="16" t="s">
        <v>307</v>
      </c>
      <c r="B86" s="16" t="s">
        <v>297</v>
      </c>
      <c r="C86" s="16" t="s">
        <v>21</v>
      </c>
      <c r="D86" s="16" t="s">
        <v>298</v>
      </c>
      <c r="E86" s="16" t="s">
        <v>167</v>
      </c>
      <c r="F86" s="16" t="s">
        <v>310</v>
      </c>
      <c r="G86" s="49">
        <v>45729</v>
      </c>
      <c r="H86" s="16" t="s">
        <v>407</v>
      </c>
      <c r="I86" s="16" t="s">
        <v>23</v>
      </c>
      <c r="J86" s="49">
        <v>45729</v>
      </c>
      <c r="K86" s="49">
        <v>45733</v>
      </c>
      <c r="L86" s="16" t="s">
        <v>315</v>
      </c>
      <c r="M86" s="61">
        <v>246779411319</v>
      </c>
      <c r="N86" s="16" t="s">
        <v>22</v>
      </c>
      <c r="O86" s="16" t="s">
        <v>300</v>
      </c>
      <c r="P86" s="16" t="s">
        <v>18</v>
      </c>
      <c r="Q86" s="16" t="s">
        <v>312</v>
      </c>
      <c r="R86" s="16" t="str">
        <f>_xlfn.XLOOKUP(M86,'Invoice No Ref'!$C:$C,'Invoice No Ref'!$I:$I,,0)</f>
        <v>6779IV124000264</v>
      </c>
      <c r="S86" s="16" t="s">
        <v>110</v>
      </c>
      <c r="T86" s="50">
        <v>120</v>
      </c>
      <c r="U86" s="16" t="s">
        <v>20</v>
      </c>
      <c r="V86" s="50">
        <v>10402.950000000001</v>
      </c>
      <c r="W86" s="16">
        <f t="shared" si="7"/>
        <v>86.691250000000011</v>
      </c>
      <c r="X86" s="16" t="s">
        <v>718</v>
      </c>
      <c r="Y86" s="16" t="s">
        <v>18</v>
      </c>
      <c r="Z86" s="16" t="s">
        <v>315</v>
      </c>
      <c r="AA86" s="16" t="s">
        <v>301</v>
      </c>
      <c r="AB86" s="16">
        <f>_xlfn.XLOOKUP(R86,'Customer Data'!$D:$D,'Customer Data'!$F:$F,,0)</f>
        <v>-120</v>
      </c>
      <c r="AC86" s="62">
        <f t="shared" si="9"/>
        <v>0</v>
      </c>
      <c r="AD86" s="16" t="s">
        <v>42</v>
      </c>
      <c r="AE86" s="16" t="s">
        <v>18</v>
      </c>
      <c r="AF86" s="16" t="s">
        <v>18</v>
      </c>
      <c r="AG86" s="16" t="s">
        <v>18</v>
      </c>
      <c r="AH86" s="49">
        <v>45729</v>
      </c>
      <c r="AI86" s="49"/>
      <c r="AJ86" s="16" t="s">
        <v>18</v>
      </c>
    </row>
    <row r="87" spans="1:36" hidden="1" x14ac:dyDescent="0.35">
      <c r="A87" s="16" t="s">
        <v>307</v>
      </c>
      <c r="B87" s="16" t="s">
        <v>297</v>
      </c>
      <c r="C87" s="16" t="s">
        <v>21</v>
      </c>
      <c r="D87" s="16" t="s">
        <v>298</v>
      </c>
      <c r="E87" s="16" t="s">
        <v>167</v>
      </c>
      <c r="F87" s="16" t="s">
        <v>310</v>
      </c>
      <c r="G87" s="49">
        <v>45729</v>
      </c>
      <c r="H87" s="16" t="s">
        <v>408</v>
      </c>
      <c r="I87" s="16" t="s">
        <v>23</v>
      </c>
      <c r="J87" s="49">
        <v>45729</v>
      </c>
      <c r="K87" s="49">
        <v>45733</v>
      </c>
      <c r="L87" s="16" t="s">
        <v>315</v>
      </c>
      <c r="M87" s="61">
        <v>246779411330</v>
      </c>
      <c r="N87" s="16" t="s">
        <v>22</v>
      </c>
      <c r="O87" s="16" t="s">
        <v>300</v>
      </c>
      <c r="P87" s="16" t="s">
        <v>18</v>
      </c>
      <c r="Q87" s="16" t="s">
        <v>312</v>
      </c>
      <c r="R87" s="16" t="str">
        <f>_xlfn.XLOOKUP(M87,'Invoice No Ref'!$C:$C,'Invoice No Ref'!$I:$I,,0)</f>
        <v>6779IV124000273</v>
      </c>
      <c r="S87" s="16" t="s">
        <v>110</v>
      </c>
      <c r="T87" s="50">
        <v>85</v>
      </c>
      <c r="U87" s="16" t="s">
        <v>20</v>
      </c>
      <c r="V87" s="50">
        <v>7368.76</v>
      </c>
      <c r="W87" s="16">
        <f t="shared" si="7"/>
        <v>86.691294117647061</v>
      </c>
      <c r="X87" s="16" t="s">
        <v>718</v>
      </c>
      <c r="Y87" s="16" t="s">
        <v>18</v>
      </c>
      <c r="Z87" s="16" t="s">
        <v>315</v>
      </c>
      <c r="AA87" s="16" t="s">
        <v>301</v>
      </c>
      <c r="AB87" s="16">
        <f>_xlfn.XLOOKUP(R87,'Customer Data'!$D:$D,'Customer Data'!$F:$F,,0)</f>
        <v>-85</v>
      </c>
      <c r="AC87" s="62">
        <f t="shared" si="9"/>
        <v>0</v>
      </c>
      <c r="AD87" s="16" t="s">
        <v>41</v>
      </c>
      <c r="AE87" s="16" t="s">
        <v>18</v>
      </c>
      <c r="AF87" s="16" t="s">
        <v>18</v>
      </c>
      <c r="AG87" s="16" t="s">
        <v>18</v>
      </c>
      <c r="AH87" s="49">
        <v>45729</v>
      </c>
      <c r="AI87" s="49"/>
      <c r="AJ87" s="16" t="s">
        <v>18</v>
      </c>
    </row>
    <row r="88" spans="1:36" hidden="1" x14ac:dyDescent="0.35">
      <c r="A88" s="16" t="s">
        <v>307</v>
      </c>
      <c r="B88" s="16" t="s">
        <v>297</v>
      </c>
      <c r="C88" s="16" t="s">
        <v>21</v>
      </c>
      <c r="D88" s="16" t="s">
        <v>298</v>
      </c>
      <c r="E88" s="16" t="s">
        <v>167</v>
      </c>
      <c r="F88" s="16" t="s">
        <v>310</v>
      </c>
      <c r="G88" s="49">
        <v>45736</v>
      </c>
      <c r="H88" s="16" t="s">
        <v>409</v>
      </c>
      <c r="I88" s="16" t="s">
        <v>23</v>
      </c>
      <c r="J88" s="49">
        <v>45736</v>
      </c>
      <c r="K88" s="49">
        <v>45737</v>
      </c>
      <c r="L88" s="16" t="s">
        <v>315</v>
      </c>
      <c r="M88" s="61">
        <v>246779413833</v>
      </c>
      <c r="N88" s="16" t="s">
        <v>22</v>
      </c>
      <c r="O88" s="16" t="s">
        <v>300</v>
      </c>
      <c r="P88" s="16" t="s">
        <v>18</v>
      </c>
      <c r="Q88" s="16" t="s">
        <v>312</v>
      </c>
      <c r="R88" s="16" t="str">
        <f>_xlfn.XLOOKUP(M88,'Invoice No Ref'!$C:$C,'Invoice No Ref'!$I:$I,,0)</f>
        <v>6779IV124000286</v>
      </c>
      <c r="S88" s="16" t="s">
        <v>110</v>
      </c>
      <c r="T88" s="50">
        <v>346.96</v>
      </c>
      <c r="U88" s="16" t="s">
        <v>20</v>
      </c>
      <c r="V88" s="50">
        <v>30078.400000000001</v>
      </c>
      <c r="W88" s="16">
        <f t="shared" si="7"/>
        <v>86.691261240488828</v>
      </c>
      <c r="X88" s="16" t="s">
        <v>718</v>
      </c>
      <c r="Y88" s="16" t="s">
        <v>18</v>
      </c>
      <c r="Z88" s="16" t="s">
        <v>315</v>
      </c>
      <c r="AA88" s="16" t="s">
        <v>301</v>
      </c>
      <c r="AB88" s="16">
        <f>_xlfn.XLOOKUP(R88,'Customer Data'!$D:$D,'Customer Data'!$F:$F,,0)</f>
        <v>-346.96</v>
      </c>
      <c r="AC88" s="62">
        <f t="shared" si="9"/>
        <v>0</v>
      </c>
      <c r="AD88" s="16" t="s">
        <v>57</v>
      </c>
      <c r="AE88" s="16" t="s">
        <v>18</v>
      </c>
      <c r="AF88" s="16" t="s">
        <v>18</v>
      </c>
      <c r="AG88" s="16" t="s">
        <v>18</v>
      </c>
      <c r="AH88" s="49">
        <v>45736</v>
      </c>
      <c r="AI88" s="49"/>
      <c r="AJ88" s="16" t="s">
        <v>18</v>
      </c>
    </row>
    <row r="89" spans="1:36" hidden="1" x14ac:dyDescent="0.35">
      <c r="A89" s="16" t="s">
        <v>307</v>
      </c>
      <c r="B89" s="16" t="s">
        <v>297</v>
      </c>
      <c r="C89" s="16" t="s">
        <v>21</v>
      </c>
      <c r="D89" s="16" t="s">
        <v>298</v>
      </c>
      <c r="E89" s="16" t="s">
        <v>167</v>
      </c>
      <c r="F89" s="16" t="s">
        <v>310</v>
      </c>
      <c r="G89" s="49">
        <v>45736</v>
      </c>
      <c r="H89" s="16" t="s">
        <v>410</v>
      </c>
      <c r="I89" s="16" t="s">
        <v>23</v>
      </c>
      <c r="J89" s="49">
        <v>45736</v>
      </c>
      <c r="K89" s="49">
        <v>45737</v>
      </c>
      <c r="L89" s="16" t="s">
        <v>315</v>
      </c>
      <c r="M89" s="61">
        <v>246779413973</v>
      </c>
      <c r="N89" s="16" t="s">
        <v>22</v>
      </c>
      <c r="O89" s="16" t="s">
        <v>300</v>
      </c>
      <c r="P89" s="16" t="s">
        <v>18</v>
      </c>
      <c r="Q89" s="16" t="s">
        <v>312</v>
      </c>
      <c r="R89" s="16" t="e">
        <f>_xlfn.XLOOKUP(M89,'Invoice No Ref'!$C:$C,'Invoice No Ref'!$I:$I,,0)</f>
        <v>#N/A</v>
      </c>
      <c r="S89" s="16" t="s">
        <v>110</v>
      </c>
      <c r="T89" s="50">
        <v>123.56</v>
      </c>
      <c r="U89" s="16" t="s">
        <v>20</v>
      </c>
      <c r="V89" s="50">
        <v>10711.57</v>
      </c>
      <c r="W89" s="16">
        <f t="shared" si="7"/>
        <v>86.691243120751054</v>
      </c>
      <c r="X89" s="16" t="s">
        <v>718</v>
      </c>
      <c r="Y89" s="16" t="s">
        <v>18</v>
      </c>
      <c r="Z89" s="16" t="s">
        <v>315</v>
      </c>
      <c r="AA89" s="16" t="s">
        <v>301</v>
      </c>
      <c r="AB89" s="16" t="e">
        <f>_xlfn.XLOOKUP(R89,'Customer Data'!$D:$D,'Customer Data'!$F:$F,,0)</f>
        <v>#N/A</v>
      </c>
      <c r="AC89" s="16"/>
      <c r="AD89" s="16" t="s">
        <v>55</v>
      </c>
      <c r="AE89" s="16" t="s">
        <v>18</v>
      </c>
      <c r="AF89" s="16" t="s">
        <v>18</v>
      </c>
      <c r="AG89" s="16" t="s">
        <v>18</v>
      </c>
      <c r="AH89" s="49">
        <v>45736</v>
      </c>
      <c r="AI89" s="49"/>
      <c r="AJ89" s="16" t="s">
        <v>18</v>
      </c>
    </row>
    <row r="90" spans="1:36" hidden="1" x14ac:dyDescent="0.35">
      <c r="A90" s="16" t="s">
        <v>307</v>
      </c>
      <c r="B90" s="16" t="s">
        <v>297</v>
      </c>
      <c r="C90" s="16" t="s">
        <v>21</v>
      </c>
      <c r="D90" s="16" t="s">
        <v>298</v>
      </c>
      <c r="E90" s="16" t="s">
        <v>167</v>
      </c>
      <c r="F90" s="16" t="s">
        <v>310</v>
      </c>
      <c r="G90" s="49">
        <v>45736</v>
      </c>
      <c r="H90" s="16" t="s">
        <v>411</v>
      </c>
      <c r="I90" s="16" t="s">
        <v>23</v>
      </c>
      <c r="J90" s="49">
        <v>45736</v>
      </c>
      <c r="K90" s="49">
        <v>45737</v>
      </c>
      <c r="L90" s="16" t="s">
        <v>315</v>
      </c>
      <c r="M90" s="61">
        <v>246779414012</v>
      </c>
      <c r="N90" s="16" t="s">
        <v>22</v>
      </c>
      <c r="O90" s="16" t="s">
        <v>300</v>
      </c>
      <c r="P90" s="16" t="s">
        <v>18</v>
      </c>
      <c r="Q90" s="16" t="s">
        <v>312</v>
      </c>
      <c r="R90" s="16" t="e">
        <f>_xlfn.XLOOKUP(M90,'Invoice No Ref'!$C:$C,'Invoice No Ref'!$I:$I,,0)</f>
        <v>#N/A</v>
      </c>
      <c r="S90" s="16" t="s">
        <v>110</v>
      </c>
      <c r="T90" s="50">
        <v>72.89</v>
      </c>
      <c r="U90" s="16" t="s">
        <v>20</v>
      </c>
      <c r="V90" s="50">
        <v>6318.93</v>
      </c>
      <c r="W90" s="16">
        <f t="shared" si="7"/>
        <v>86.691315681163402</v>
      </c>
      <c r="X90" s="16" t="s">
        <v>718</v>
      </c>
      <c r="Y90" s="16" t="s">
        <v>18</v>
      </c>
      <c r="Z90" s="16" t="s">
        <v>315</v>
      </c>
      <c r="AA90" s="16" t="s">
        <v>301</v>
      </c>
      <c r="AB90" s="16" t="e">
        <f>_xlfn.XLOOKUP(R90,'Customer Data'!$D:$D,'Customer Data'!$F:$F,,0)</f>
        <v>#N/A</v>
      </c>
      <c r="AC90" s="16"/>
      <c r="AD90" s="16" t="s">
        <v>58</v>
      </c>
      <c r="AE90" s="16" t="s">
        <v>18</v>
      </c>
      <c r="AF90" s="16" t="s">
        <v>18</v>
      </c>
      <c r="AG90" s="16" t="s">
        <v>18</v>
      </c>
      <c r="AH90" s="49">
        <v>45736</v>
      </c>
      <c r="AI90" s="49"/>
      <c r="AJ90" s="16" t="s">
        <v>18</v>
      </c>
    </row>
    <row r="91" spans="1:36" hidden="1" x14ac:dyDescent="0.35">
      <c r="A91" s="16" t="s">
        <v>307</v>
      </c>
      <c r="B91" s="16" t="s">
        <v>297</v>
      </c>
      <c r="C91" s="16" t="s">
        <v>21</v>
      </c>
      <c r="D91" s="16" t="s">
        <v>298</v>
      </c>
      <c r="E91" s="16" t="s">
        <v>167</v>
      </c>
      <c r="F91" s="16" t="s">
        <v>310</v>
      </c>
      <c r="G91" s="49">
        <v>45736</v>
      </c>
      <c r="H91" s="16" t="s">
        <v>412</v>
      </c>
      <c r="I91" s="16" t="s">
        <v>23</v>
      </c>
      <c r="J91" s="49">
        <v>45736</v>
      </c>
      <c r="K91" s="49">
        <v>45737</v>
      </c>
      <c r="L91" s="16" t="s">
        <v>315</v>
      </c>
      <c r="M91" s="61">
        <v>246779414078</v>
      </c>
      <c r="N91" s="16" t="s">
        <v>22</v>
      </c>
      <c r="O91" s="16" t="s">
        <v>300</v>
      </c>
      <c r="P91" s="16" t="s">
        <v>18</v>
      </c>
      <c r="Q91" s="16" t="s">
        <v>312</v>
      </c>
      <c r="R91" s="16" t="str">
        <f>_xlfn.XLOOKUP(M91,'Invoice No Ref'!$C:$C,'Invoice No Ref'!$I:$I,,0)</f>
        <v>6779IV124000245</v>
      </c>
      <c r="S91" s="16" t="s">
        <v>110</v>
      </c>
      <c r="T91" s="50">
        <v>3021.49</v>
      </c>
      <c r="U91" s="16" t="s">
        <v>20</v>
      </c>
      <c r="V91" s="50">
        <v>261936.78</v>
      </c>
      <c r="W91" s="16">
        <f t="shared" si="7"/>
        <v>86.691261596099949</v>
      </c>
      <c r="X91" s="16" t="s">
        <v>718</v>
      </c>
      <c r="Y91" s="16" t="s">
        <v>18</v>
      </c>
      <c r="Z91" s="16" t="s">
        <v>315</v>
      </c>
      <c r="AA91" s="16" t="s">
        <v>301</v>
      </c>
      <c r="AB91" s="16">
        <f>_xlfn.XLOOKUP(R91,'Customer Data'!$D:$D,'Customer Data'!$F:$F,,0)</f>
        <v>-3021.49</v>
      </c>
      <c r="AC91" s="62">
        <f t="shared" ref="AC91:AC95" si="10">AB91+T91</f>
        <v>0</v>
      </c>
      <c r="AD91" s="16" t="s">
        <v>59</v>
      </c>
      <c r="AE91" s="16" t="s">
        <v>18</v>
      </c>
      <c r="AF91" s="16" t="s">
        <v>18</v>
      </c>
      <c r="AG91" s="16" t="s">
        <v>18</v>
      </c>
      <c r="AH91" s="49">
        <v>45736</v>
      </c>
      <c r="AI91" s="49"/>
      <c r="AJ91" s="16" t="s">
        <v>18</v>
      </c>
    </row>
    <row r="92" spans="1:36" hidden="1" x14ac:dyDescent="0.35">
      <c r="A92" s="16" t="s">
        <v>307</v>
      </c>
      <c r="B92" s="16" t="s">
        <v>297</v>
      </c>
      <c r="C92" s="16" t="s">
        <v>21</v>
      </c>
      <c r="D92" s="16" t="s">
        <v>298</v>
      </c>
      <c r="E92" s="16" t="s">
        <v>167</v>
      </c>
      <c r="F92" s="16" t="s">
        <v>310</v>
      </c>
      <c r="G92" s="49">
        <v>45736</v>
      </c>
      <c r="H92" s="16" t="s">
        <v>413</v>
      </c>
      <c r="I92" s="16" t="s">
        <v>23</v>
      </c>
      <c r="J92" s="49">
        <v>45736</v>
      </c>
      <c r="K92" s="49">
        <v>45737</v>
      </c>
      <c r="L92" s="16" t="s">
        <v>315</v>
      </c>
      <c r="M92" s="61">
        <v>246779414079</v>
      </c>
      <c r="N92" s="16" t="s">
        <v>22</v>
      </c>
      <c r="O92" s="16" t="s">
        <v>300</v>
      </c>
      <c r="P92" s="16" t="s">
        <v>18</v>
      </c>
      <c r="Q92" s="16" t="s">
        <v>312</v>
      </c>
      <c r="R92" s="16" t="str">
        <f>_xlfn.XLOOKUP(M92,'Invoice No Ref'!$C:$C,'Invoice No Ref'!$I:$I,,0)</f>
        <v>6779IV124000244</v>
      </c>
      <c r="S92" s="16" t="s">
        <v>110</v>
      </c>
      <c r="T92" s="50">
        <v>169.92</v>
      </c>
      <c r="U92" s="16" t="s">
        <v>20</v>
      </c>
      <c r="V92" s="50">
        <v>14730.58</v>
      </c>
      <c r="W92" s="16">
        <f t="shared" si="7"/>
        <v>86.691266478342754</v>
      </c>
      <c r="X92" s="16" t="s">
        <v>718</v>
      </c>
      <c r="Y92" s="16" t="s">
        <v>18</v>
      </c>
      <c r="Z92" s="16" t="s">
        <v>315</v>
      </c>
      <c r="AA92" s="16" t="s">
        <v>301</v>
      </c>
      <c r="AB92" s="16">
        <f>_xlfn.XLOOKUP(R92,'Customer Data'!$D:$D,'Customer Data'!$F:$F,,0)</f>
        <v>-169.92</v>
      </c>
      <c r="AC92" s="62">
        <f t="shared" si="10"/>
        <v>0</v>
      </c>
      <c r="AD92" s="16" t="s">
        <v>60</v>
      </c>
      <c r="AE92" s="16" t="s">
        <v>18</v>
      </c>
      <c r="AF92" s="16" t="s">
        <v>18</v>
      </c>
      <c r="AG92" s="16" t="s">
        <v>18</v>
      </c>
      <c r="AH92" s="49">
        <v>45736</v>
      </c>
      <c r="AI92" s="49"/>
      <c r="AJ92" s="16" t="s">
        <v>18</v>
      </c>
    </row>
    <row r="93" spans="1:36" hidden="1" x14ac:dyDescent="0.35">
      <c r="A93" s="16" t="s">
        <v>307</v>
      </c>
      <c r="B93" s="16" t="s">
        <v>297</v>
      </c>
      <c r="C93" s="16" t="s">
        <v>21</v>
      </c>
      <c r="D93" s="16" t="s">
        <v>298</v>
      </c>
      <c r="E93" s="16" t="s">
        <v>167</v>
      </c>
      <c r="F93" s="16" t="s">
        <v>310</v>
      </c>
      <c r="G93" s="49">
        <v>45736</v>
      </c>
      <c r="H93" s="16" t="s">
        <v>414</v>
      </c>
      <c r="I93" s="16" t="s">
        <v>23</v>
      </c>
      <c r="J93" s="49">
        <v>45736</v>
      </c>
      <c r="K93" s="49">
        <v>45737</v>
      </c>
      <c r="L93" s="16" t="s">
        <v>315</v>
      </c>
      <c r="M93" s="61">
        <v>246779414080</v>
      </c>
      <c r="N93" s="16" t="s">
        <v>22</v>
      </c>
      <c r="O93" s="16" t="s">
        <v>300</v>
      </c>
      <c r="P93" s="16" t="s">
        <v>18</v>
      </c>
      <c r="Q93" s="16" t="s">
        <v>312</v>
      </c>
      <c r="R93" s="16" t="str">
        <f>_xlfn.XLOOKUP(M93,'Invoice No Ref'!$C:$C,'Invoice No Ref'!$I:$I,,0)</f>
        <v>6779IV124000243</v>
      </c>
      <c r="S93" s="16" t="s">
        <v>110</v>
      </c>
      <c r="T93" s="50">
        <v>519.20000000000005</v>
      </c>
      <c r="U93" s="16" t="s">
        <v>20</v>
      </c>
      <c r="V93" s="50">
        <v>45010.1</v>
      </c>
      <c r="W93" s="16">
        <f t="shared" si="7"/>
        <v>86.69125577812018</v>
      </c>
      <c r="X93" s="16" t="s">
        <v>718</v>
      </c>
      <c r="Y93" s="16" t="s">
        <v>18</v>
      </c>
      <c r="Z93" s="16" t="s">
        <v>315</v>
      </c>
      <c r="AA93" s="16" t="s">
        <v>301</v>
      </c>
      <c r="AB93" s="16">
        <f>_xlfn.XLOOKUP(R93,'Customer Data'!$D:$D,'Customer Data'!$F:$F,,0)</f>
        <v>-519.20000000000005</v>
      </c>
      <c r="AC93" s="62">
        <f t="shared" si="10"/>
        <v>0</v>
      </c>
      <c r="AD93" s="16" t="s">
        <v>61</v>
      </c>
      <c r="AE93" s="16" t="s">
        <v>18</v>
      </c>
      <c r="AF93" s="16" t="s">
        <v>18</v>
      </c>
      <c r="AG93" s="16" t="s">
        <v>18</v>
      </c>
      <c r="AH93" s="49">
        <v>45736</v>
      </c>
      <c r="AI93" s="49"/>
      <c r="AJ93" s="16" t="s">
        <v>18</v>
      </c>
    </row>
    <row r="94" spans="1:36" hidden="1" x14ac:dyDescent="0.35">
      <c r="A94" s="16" t="s">
        <v>307</v>
      </c>
      <c r="B94" s="16" t="s">
        <v>297</v>
      </c>
      <c r="C94" s="16" t="s">
        <v>21</v>
      </c>
      <c r="D94" s="16" t="s">
        <v>298</v>
      </c>
      <c r="E94" s="16" t="s">
        <v>167</v>
      </c>
      <c r="F94" s="16" t="s">
        <v>310</v>
      </c>
      <c r="G94" s="49">
        <v>45736</v>
      </c>
      <c r="H94" s="16" t="s">
        <v>415</v>
      </c>
      <c r="I94" s="16" t="s">
        <v>23</v>
      </c>
      <c r="J94" s="49">
        <v>45736</v>
      </c>
      <c r="K94" s="49">
        <v>45737</v>
      </c>
      <c r="L94" s="16" t="s">
        <v>315</v>
      </c>
      <c r="M94" s="61">
        <v>246779414341</v>
      </c>
      <c r="N94" s="16" t="s">
        <v>22</v>
      </c>
      <c r="O94" s="16" t="s">
        <v>300</v>
      </c>
      <c r="P94" s="16" t="s">
        <v>18</v>
      </c>
      <c r="Q94" s="16" t="s">
        <v>312</v>
      </c>
      <c r="R94" s="16" t="str">
        <f>_xlfn.XLOOKUP(M94,'Invoice No Ref'!$C:$C,'Invoice No Ref'!$I:$I,,0)</f>
        <v>6779IV124000260</v>
      </c>
      <c r="S94" s="16" t="s">
        <v>110</v>
      </c>
      <c r="T94" s="50">
        <v>761.12</v>
      </c>
      <c r="U94" s="16" t="s">
        <v>20</v>
      </c>
      <c r="V94" s="50">
        <v>65982.45</v>
      </c>
      <c r="W94" s="16">
        <f t="shared" si="7"/>
        <v>86.691257620348949</v>
      </c>
      <c r="X94" s="16" t="s">
        <v>718</v>
      </c>
      <c r="Y94" s="16" t="s">
        <v>18</v>
      </c>
      <c r="Z94" s="16" t="s">
        <v>315</v>
      </c>
      <c r="AA94" s="16" t="s">
        <v>301</v>
      </c>
      <c r="AB94" s="16">
        <f>_xlfn.XLOOKUP(R94,'Customer Data'!$D:$D,'Customer Data'!$F:$F,,0)</f>
        <v>-761.12</v>
      </c>
      <c r="AC94" s="62">
        <f t="shared" si="10"/>
        <v>0</v>
      </c>
      <c r="AD94" s="16" t="s">
        <v>66</v>
      </c>
      <c r="AE94" s="16" t="s">
        <v>18</v>
      </c>
      <c r="AF94" s="16" t="s">
        <v>18</v>
      </c>
      <c r="AG94" s="16" t="s">
        <v>18</v>
      </c>
      <c r="AH94" s="49">
        <v>45736</v>
      </c>
      <c r="AI94" s="49"/>
      <c r="AJ94" s="16" t="s">
        <v>18</v>
      </c>
    </row>
    <row r="95" spans="1:36" hidden="1" x14ac:dyDescent="0.35">
      <c r="A95" s="16" t="s">
        <v>307</v>
      </c>
      <c r="B95" s="16" t="s">
        <v>297</v>
      </c>
      <c r="C95" s="16" t="s">
        <v>21</v>
      </c>
      <c r="D95" s="16" t="s">
        <v>298</v>
      </c>
      <c r="E95" s="16" t="s">
        <v>167</v>
      </c>
      <c r="F95" s="16" t="s">
        <v>310</v>
      </c>
      <c r="G95" s="49">
        <v>45736</v>
      </c>
      <c r="H95" s="16" t="s">
        <v>416</v>
      </c>
      <c r="I95" s="16" t="s">
        <v>23</v>
      </c>
      <c r="J95" s="49">
        <v>45736</v>
      </c>
      <c r="K95" s="49">
        <v>45737</v>
      </c>
      <c r="L95" s="16" t="s">
        <v>315</v>
      </c>
      <c r="M95" s="61">
        <v>246779414342</v>
      </c>
      <c r="N95" s="16" t="s">
        <v>22</v>
      </c>
      <c r="O95" s="16" t="s">
        <v>300</v>
      </c>
      <c r="P95" s="16" t="s">
        <v>18</v>
      </c>
      <c r="Q95" s="16" t="s">
        <v>312</v>
      </c>
      <c r="R95" s="16" t="str">
        <f>_xlfn.XLOOKUP(M95,'Invoice No Ref'!$C:$C,'Invoice No Ref'!$I:$I,,0)</f>
        <v>6779IV124000259</v>
      </c>
      <c r="S95" s="16" t="s">
        <v>110</v>
      </c>
      <c r="T95" s="50">
        <v>198.24</v>
      </c>
      <c r="U95" s="16" t="s">
        <v>20</v>
      </c>
      <c r="V95" s="50">
        <v>17185.68</v>
      </c>
      <c r="W95" s="16">
        <f t="shared" si="7"/>
        <v>86.691283292978213</v>
      </c>
      <c r="X95" s="16" t="s">
        <v>718</v>
      </c>
      <c r="Y95" s="16" t="s">
        <v>18</v>
      </c>
      <c r="Z95" s="16" t="s">
        <v>315</v>
      </c>
      <c r="AA95" s="16" t="s">
        <v>301</v>
      </c>
      <c r="AB95" s="16">
        <f>_xlfn.XLOOKUP(R95,'Customer Data'!$D:$D,'Customer Data'!$F:$F,,0)</f>
        <v>-198.24</v>
      </c>
      <c r="AC95" s="62">
        <f t="shared" si="10"/>
        <v>0</v>
      </c>
      <c r="AD95" s="16" t="s">
        <v>67</v>
      </c>
      <c r="AE95" s="16" t="s">
        <v>18</v>
      </c>
      <c r="AF95" s="16" t="s">
        <v>18</v>
      </c>
      <c r="AG95" s="16" t="s">
        <v>18</v>
      </c>
      <c r="AH95" s="49">
        <v>45736</v>
      </c>
      <c r="AI95" s="49"/>
      <c r="AJ95" s="16" t="s">
        <v>18</v>
      </c>
    </row>
    <row r="96" spans="1:36" hidden="1" x14ac:dyDescent="0.35">
      <c r="A96" s="16" t="s">
        <v>307</v>
      </c>
      <c r="B96" s="16" t="s">
        <v>297</v>
      </c>
      <c r="C96" s="16" t="s">
        <v>21</v>
      </c>
      <c r="D96" s="16" t="s">
        <v>298</v>
      </c>
      <c r="E96" s="16" t="s">
        <v>167</v>
      </c>
      <c r="F96" s="16" t="s">
        <v>310</v>
      </c>
      <c r="G96" s="49">
        <v>45736</v>
      </c>
      <c r="H96" s="16" t="s">
        <v>417</v>
      </c>
      <c r="I96" s="16" t="s">
        <v>23</v>
      </c>
      <c r="J96" s="49">
        <v>45736</v>
      </c>
      <c r="K96" s="49">
        <v>45737</v>
      </c>
      <c r="L96" s="16" t="s">
        <v>315</v>
      </c>
      <c r="M96" s="61">
        <v>246779414419</v>
      </c>
      <c r="N96" s="16" t="s">
        <v>22</v>
      </c>
      <c r="O96" s="16" t="s">
        <v>300</v>
      </c>
      <c r="P96" s="16" t="s">
        <v>18</v>
      </c>
      <c r="Q96" s="16" t="s">
        <v>312</v>
      </c>
      <c r="R96" s="16" t="e">
        <f>_xlfn.XLOOKUP(M96,'Invoice No Ref'!$C:$C,'Invoice No Ref'!$I:$I,,0)</f>
        <v>#N/A</v>
      </c>
      <c r="S96" s="16" t="s">
        <v>110</v>
      </c>
      <c r="T96" s="50">
        <v>1003.1</v>
      </c>
      <c r="U96" s="16" t="s">
        <v>20</v>
      </c>
      <c r="V96" s="50">
        <v>86960</v>
      </c>
      <c r="W96" s="16">
        <f t="shared" si="7"/>
        <v>86.691257102980757</v>
      </c>
      <c r="X96" s="16" t="s">
        <v>718</v>
      </c>
      <c r="Y96" s="16" t="s">
        <v>18</v>
      </c>
      <c r="Z96" s="16" t="s">
        <v>315</v>
      </c>
      <c r="AA96" s="16" t="s">
        <v>301</v>
      </c>
      <c r="AB96" s="16" t="e">
        <f>_xlfn.XLOOKUP(R96,'Customer Data'!$D:$D,'Customer Data'!$F:$F,,0)</f>
        <v>#N/A</v>
      </c>
      <c r="AC96" s="16"/>
      <c r="AD96" s="16" t="s">
        <v>58</v>
      </c>
      <c r="AE96" s="16" t="s">
        <v>18</v>
      </c>
      <c r="AF96" s="16" t="s">
        <v>18</v>
      </c>
      <c r="AG96" s="16" t="s">
        <v>18</v>
      </c>
      <c r="AH96" s="49">
        <v>45736</v>
      </c>
      <c r="AI96" s="49"/>
      <c r="AJ96" s="16" t="s">
        <v>18</v>
      </c>
    </row>
    <row r="97" spans="1:36" hidden="1" x14ac:dyDescent="0.35">
      <c r="A97" s="16" t="s">
        <v>307</v>
      </c>
      <c r="B97" s="16" t="s">
        <v>297</v>
      </c>
      <c r="C97" s="16" t="s">
        <v>21</v>
      </c>
      <c r="D97" s="16" t="s">
        <v>298</v>
      </c>
      <c r="E97" s="16" t="s">
        <v>167</v>
      </c>
      <c r="F97" s="16" t="s">
        <v>310</v>
      </c>
      <c r="G97" s="49">
        <v>45736</v>
      </c>
      <c r="H97" s="16" t="s">
        <v>418</v>
      </c>
      <c r="I97" s="16" t="s">
        <v>23</v>
      </c>
      <c r="J97" s="49">
        <v>45736</v>
      </c>
      <c r="K97" s="49">
        <v>45737</v>
      </c>
      <c r="L97" s="16" t="s">
        <v>315</v>
      </c>
      <c r="M97" s="61">
        <v>246779414420</v>
      </c>
      <c r="N97" s="16" t="s">
        <v>22</v>
      </c>
      <c r="O97" s="16" t="s">
        <v>300</v>
      </c>
      <c r="P97" s="16" t="s">
        <v>18</v>
      </c>
      <c r="Q97" s="16" t="s">
        <v>312</v>
      </c>
      <c r="R97" s="16" t="str">
        <f>_xlfn.XLOOKUP(M97,'Invoice No Ref'!$C:$C,'Invoice No Ref'!$I:$I,,0)</f>
        <v>6779IV124000280</v>
      </c>
      <c r="S97" s="16" t="s">
        <v>110</v>
      </c>
      <c r="T97" s="50">
        <v>212.4</v>
      </c>
      <c r="U97" s="16" t="s">
        <v>20</v>
      </c>
      <c r="V97" s="50">
        <v>18413.22</v>
      </c>
      <c r="W97" s="16">
        <f t="shared" si="7"/>
        <v>86.691242937853104</v>
      </c>
      <c r="X97" s="16" t="s">
        <v>718</v>
      </c>
      <c r="Y97" s="16" t="s">
        <v>18</v>
      </c>
      <c r="Z97" s="16" t="s">
        <v>315</v>
      </c>
      <c r="AA97" s="16" t="s">
        <v>301</v>
      </c>
      <c r="AB97" s="16">
        <f>_xlfn.XLOOKUP(R97,'Customer Data'!$D:$D,'Customer Data'!$F:$F,,0)</f>
        <v>-212.4</v>
      </c>
      <c r="AC97" s="62">
        <f t="shared" ref="AC97:AC100" si="11">AB97+T97</f>
        <v>0</v>
      </c>
      <c r="AD97" s="16" t="s">
        <v>69</v>
      </c>
      <c r="AE97" s="16" t="s">
        <v>18</v>
      </c>
      <c r="AF97" s="16" t="s">
        <v>18</v>
      </c>
      <c r="AG97" s="16" t="s">
        <v>18</v>
      </c>
      <c r="AH97" s="49">
        <v>45736</v>
      </c>
      <c r="AI97" s="49"/>
      <c r="AJ97" s="16" t="s">
        <v>18</v>
      </c>
    </row>
    <row r="98" spans="1:36" hidden="1" x14ac:dyDescent="0.35">
      <c r="A98" s="16" t="s">
        <v>307</v>
      </c>
      <c r="B98" s="16" t="s">
        <v>297</v>
      </c>
      <c r="C98" s="16" t="s">
        <v>21</v>
      </c>
      <c r="D98" s="16" t="s">
        <v>298</v>
      </c>
      <c r="E98" s="16" t="s">
        <v>167</v>
      </c>
      <c r="F98" s="16" t="s">
        <v>310</v>
      </c>
      <c r="G98" s="49">
        <v>45736</v>
      </c>
      <c r="H98" s="16" t="s">
        <v>419</v>
      </c>
      <c r="I98" s="16" t="s">
        <v>23</v>
      </c>
      <c r="J98" s="49">
        <v>45736</v>
      </c>
      <c r="K98" s="49">
        <v>45737</v>
      </c>
      <c r="L98" s="16" t="s">
        <v>315</v>
      </c>
      <c r="M98" s="61">
        <v>246779414421</v>
      </c>
      <c r="N98" s="16" t="s">
        <v>22</v>
      </c>
      <c r="O98" s="16" t="s">
        <v>300</v>
      </c>
      <c r="P98" s="16" t="s">
        <v>18</v>
      </c>
      <c r="Q98" s="16" t="s">
        <v>312</v>
      </c>
      <c r="R98" s="16" t="str">
        <f>_xlfn.XLOOKUP(M98,'Invoice No Ref'!$C:$C,'Invoice No Ref'!$I:$I,,0)</f>
        <v>6779IV124000268</v>
      </c>
      <c r="S98" s="16" t="s">
        <v>110</v>
      </c>
      <c r="T98" s="50">
        <v>169.92</v>
      </c>
      <c r="U98" s="16" t="s">
        <v>20</v>
      </c>
      <c r="V98" s="50">
        <v>14730.58</v>
      </c>
      <c r="W98" s="16">
        <f t="shared" si="7"/>
        <v>86.691266478342754</v>
      </c>
      <c r="X98" s="16" t="s">
        <v>718</v>
      </c>
      <c r="Y98" s="16" t="s">
        <v>18</v>
      </c>
      <c r="Z98" s="16" t="s">
        <v>315</v>
      </c>
      <c r="AA98" s="16" t="s">
        <v>301</v>
      </c>
      <c r="AB98" s="16">
        <f>_xlfn.XLOOKUP(R98,'Customer Data'!$D:$D,'Customer Data'!$F:$F,,0)</f>
        <v>-169.92</v>
      </c>
      <c r="AC98" s="62">
        <f t="shared" si="11"/>
        <v>0</v>
      </c>
      <c r="AD98" s="16" t="s">
        <v>70</v>
      </c>
      <c r="AE98" s="16" t="s">
        <v>18</v>
      </c>
      <c r="AF98" s="16" t="s">
        <v>18</v>
      </c>
      <c r="AG98" s="16" t="s">
        <v>18</v>
      </c>
      <c r="AH98" s="49">
        <v>45736</v>
      </c>
      <c r="AI98" s="49"/>
      <c r="AJ98" s="16" t="s">
        <v>18</v>
      </c>
    </row>
    <row r="99" spans="1:36" hidden="1" x14ac:dyDescent="0.35">
      <c r="A99" s="16" t="s">
        <v>307</v>
      </c>
      <c r="B99" s="16" t="s">
        <v>297</v>
      </c>
      <c r="C99" s="16" t="s">
        <v>21</v>
      </c>
      <c r="D99" s="16" t="s">
        <v>298</v>
      </c>
      <c r="E99" s="16" t="s">
        <v>167</v>
      </c>
      <c r="F99" s="16" t="s">
        <v>310</v>
      </c>
      <c r="G99" s="49">
        <v>45736</v>
      </c>
      <c r="H99" s="16" t="s">
        <v>420</v>
      </c>
      <c r="I99" s="16" t="s">
        <v>23</v>
      </c>
      <c r="J99" s="49">
        <v>45736</v>
      </c>
      <c r="K99" s="49">
        <v>45737</v>
      </c>
      <c r="L99" s="16" t="s">
        <v>315</v>
      </c>
      <c r="M99" s="61">
        <v>246779414422</v>
      </c>
      <c r="N99" s="16" t="s">
        <v>22</v>
      </c>
      <c r="O99" s="16" t="s">
        <v>300</v>
      </c>
      <c r="P99" s="16" t="s">
        <v>18</v>
      </c>
      <c r="Q99" s="16" t="s">
        <v>312</v>
      </c>
      <c r="R99" s="16" t="str">
        <f>_xlfn.XLOOKUP(M99,'Invoice No Ref'!$C:$C,'Invoice No Ref'!$I:$I,,0)</f>
        <v>6779IV124000275</v>
      </c>
      <c r="S99" s="16" t="s">
        <v>110</v>
      </c>
      <c r="T99" s="50">
        <v>520.44000000000005</v>
      </c>
      <c r="U99" s="16" t="s">
        <v>20</v>
      </c>
      <c r="V99" s="50">
        <v>45117.599999999999</v>
      </c>
      <c r="W99" s="16">
        <f t="shared" si="7"/>
        <v>86.691261240488799</v>
      </c>
      <c r="X99" s="16" t="s">
        <v>718</v>
      </c>
      <c r="Y99" s="16" t="s">
        <v>18</v>
      </c>
      <c r="Z99" s="16" t="s">
        <v>315</v>
      </c>
      <c r="AA99" s="16" t="s">
        <v>301</v>
      </c>
      <c r="AB99" s="16">
        <f>_xlfn.XLOOKUP(R99,'Customer Data'!$D:$D,'Customer Data'!$F:$F,,0)</f>
        <v>-520.44000000000005</v>
      </c>
      <c r="AC99" s="62">
        <f t="shared" si="11"/>
        <v>0</v>
      </c>
      <c r="AD99" s="16" t="s">
        <v>71</v>
      </c>
      <c r="AE99" s="16" t="s">
        <v>18</v>
      </c>
      <c r="AF99" s="16" t="s">
        <v>18</v>
      </c>
      <c r="AG99" s="16" t="s">
        <v>18</v>
      </c>
      <c r="AH99" s="49">
        <v>45736</v>
      </c>
      <c r="AI99" s="49"/>
      <c r="AJ99" s="16" t="s">
        <v>18</v>
      </c>
    </row>
    <row r="100" spans="1:36" hidden="1" x14ac:dyDescent="0.35">
      <c r="A100" s="16" t="s">
        <v>307</v>
      </c>
      <c r="B100" s="16" t="s">
        <v>297</v>
      </c>
      <c r="C100" s="16" t="s">
        <v>21</v>
      </c>
      <c r="D100" s="16" t="s">
        <v>298</v>
      </c>
      <c r="E100" s="16" t="s">
        <v>167</v>
      </c>
      <c r="F100" s="16" t="s">
        <v>310</v>
      </c>
      <c r="G100" s="49">
        <v>45736</v>
      </c>
      <c r="H100" s="16" t="s">
        <v>421</v>
      </c>
      <c r="I100" s="16" t="s">
        <v>23</v>
      </c>
      <c r="J100" s="49">
        <v>45736</v>
      </c>
      <c r="K100" s="49">
        <v>45737</v>
      </c>
      <c r="L100" s="16" t="s">
        <v>315</v>
      </c>
      <c r="M100" s="61">
        <v>246779414423</v>
      </c>
      <c r="N100" s="16" t="s">
        <v>22</v>
      </c>
      <c r="O100" s="16" t="s">
        <v>300</v>
      </c>
      <c r="P100" s="16" t="s">
        <v>18</v>
      </c>
      <c r="Q100" s="16" t="s">
        <v>312</v>
      </c>
      <c r="R100" s="16" t="str">
        <f>_xlfn.XLOOKUP(M100,'Invoice No Ref'!$C:$C,'Invoice No Ref'!$I:$I,,0)</f>
        <v>6779IV124000277</v>
      </c>
      <c r="S100" s="16" t="s">
        <v>110</v>
      </c>
      <c r="T100" s="50">
        <v>420</v>
      </c>
      <c r="U100" s="16" t="s">
        <v>20</v>
      </c>
      <c r="V100" s="50">
        <v>36410.33</v>
      </c>
      <c r="W100" s="16">
        <f t="shared" si="7"/>
        <v>86.691261904761916</v>
      </c>
      <c r="X100" s="16" t="s">
        <v>718</v>
      </c>
      <c r="Y100" s="16" t="s">
        <v>18</v>
      </c>
      <c r="Z100" s="16" t="s">
        <v>315</v>
      </c>
      <c r="AA100" s="16" t="s">
        <v>301</v>
      </c>
      <c r="AB100" s="16">
        <f>_xlfn.XLOOKUP(R100,'Customer Data'!$D:$D,'Customer Data'!$F:$F,,0)</f>
        <v>-420</v>
      </c>
      <c r="AC100" s="62">
        <f t="shared" si="11"/>
        <v>0</v>
      </c>
      <c r="AD100" s="16" t="s">
        <v>72</v>
      </c>
      <c r="AE100" s="16" t="s">
        <v>18</v>
      </c>
      <c r="AF100" s="16" t="s">
        <v>18</v>
      </c>
      <c r="AG100" s="16" t="s">
        <v>18</v>
      </c>
      <c r="AH100" s="49">
        <v>45736</v>
      </c>
      <c r="AI100" s="49"/>
      <c r="AJ100" s="16" t="s">
        <v>18</v>
      </c>
    </row>
    <row r="101" spans="1:36" hidden="1" x14ac:dyDescent="0.35">
      <c r="A101" s="16" t="s">
        <v>307</v>
      </c>
      <c r="B101" s="16" t="s">
        <v>297</v>
      </c>
      <c r="C101" s="16" t="s">
        <v>21</v>
      </c>
      <c r="D101" s="16" t="s">
        <v>298</v>
      </c>
      <c r="E101" s="16" t="s">
        <v>167</v>
      </c>
      <c r="F101" s="16" t="s">
        <v>310</v>
      </c>
      <c r="G101" s="49">
        <v>45736</v>
      </c>
      <c r="H101" s="16" t="s">
        <v>422</v>
      </c>
      <c r="I101" s="16" t="s">
        <v>23</v>
      </c>
      <c r="J101" s="49">
        <v>45736</v>
      </c>
      <c r="K101" s="49">
        <v>45737</v>
      </c>
      <c r="L101" s="16" t="s">
        <v>315</v>
      </c>
      <c r="M101" s="61">
        <v>246779414803</v>
      </c>
      <c r="N101" s="16" t="s">
        <v>22</v>
      </c>
      <c r="O101" s="16" t="s">
        <v>300</v>
      </c>
      <c r="P101" s="16" t="s">
        <v>18</v>
      </c>
      <c r="Q101" s="16" t="s">
        <v>312</v>
      </c>
      <c r="R101" s="16" t="e">
        <f>_xlfn.XLOOKUP(M101,'Invoice No Ref'!$C:$C,'Invoice No Ref'!$I:$I,,0)</f>
        <v>#N/A</v>
      </c>
      <c r="S101" s="16" t="s">
        <v>110</v>
      </c>
      <c r="T101" s="50">
        <v>17.7</v>
      </c>
      <c r="U101" s="16" t="s">
        <v>20</v>
      </c>
      <c r="V101" s="50">
        <v>1534.44</v>
      </c>
      <c r="W101" s="16">
        <f t="shared" si="7"/>
        <v>86.69152542372882</v>
      </c>
      <c r="X101" s="16" t="s">
        <v>718</v>
      </c>
      <c r="Y101" s="16" t="s">
        <v>18</v>
      </c>
      <c r="Z101" s="16" t="s">
        <v>315</v>
      </c>
      <c r="AA101" s="16" t="s">
        <v>301</v>
      </c>
      <c r="AB101" s="16" t="e">
        <f>_xlfn.XLOOKUP(R101,'Customer Data'!$D:$D,'Customer Data'!$F:$F,,0)</f>
        <v>#N/A</v>
      </c>
      <c r="AC101" s="16"/>
      <c r="AD101" s="16" t="s">
        <v>76</v>
      </c>
      <c r="AE101" s="16" t="s">
        <v>18</v>
      </c>
      <c r="AF101" s="16" t="s">
        <v>18</v>
      </c>
      <c r="AG101" s="16" t="s">
        <v>18</v>
      </c>
      <c r="AH101" s="49">
        <v>45736</v>
      </c>
      <c r="AI101" s="49"/>
      <c r="AJ101" s="16" t="s">
        <v>18</v>
      </c>
    </row>
    <row r="102" spans="1:36" hidden="1" x14ac:dyDescent="0.35">
      <c r="A102" s="16" t="s">
        <v>307</v>
      </c>
      <c r="B102" s="16" t="s">
        <v>297</v>
      </c>
      <c r="C102" s="16" t="s">
        <v>21</v>
      </c>
      <c r="D102" s="16" t="s">
        <v>298</v>
      </c>
      <c r="E102" s="16" t="s">
        <v>167</v>
      </c>
      <c r="F102" s="16" t="s">
        <v>310</v>
      </c>
      <c r="G102" s="49">
        <v>45736</v>
      </c>
      <c r="H102" s="16" t="s">
        <v>423</v>
      </c>
      <c r="I102" s="16" t="s">
        <v>23</v>
      </c>
      <c r="J102" s="49">
        <v>45736</v>
      </c>
      <c r="K102" s="49">
        <v>45737</v>
      </c>
      <c r="L102" s="16" t="s">
        <v>315</v>
      </c>
      <c r="M102" s="61">
        <v>246779414804</v>
      </c>
      <c r="N102" s="16" t="s">
        <v>22</v>
      </c>
      <c r="O102" s="16" t="s">
        <v>300</v>
      </c>
      <c r="P102" s="16" t="s">
        <v>18</v>
      </c>
      <c r="Q102" s="16" t="s">
        <v>312</v>
      </c>
      <c r="R102" s="16" t="e">
        <f>_xlfn.XLOOKUP(M102,'Invoice No Ref'!$C:$C,'Invoice No Ref'!$I:$I,,0)</f>
        <v>#N/A</v>
      </c>
      <c r="S102" s="16" t="s">
        <v>110</v>
      </c>
      <c r="T102" s="50">
        <v>109.15</v>
      </c>
      <c r="U102" s="16" t="s">
        <v>20</v>
      </c>
      <c r="V102" s="50">
        <v>9462.35</v>
      </c>
      <c r="W102" s="16">
        <f t="shared" si="7"/>
        <v>86.691250572606506</v>
      </c>
      <c r="X102" s="16" t="s">
        <v>718</v>
      </c>
      <c r="Y102" s="16" t="s">
        <v>18</v>
      </c>
      <c r="Z102" s="16" t="s">
        <v>315</v>
      </c>
      <c r="AA102" s="16" t="s">
        <v>301</v>
      </c>
      <c r="AB102" s="16" t="e">
        <f>_xlfn.XLOOKUP(R102,'Customer Data'!$D:$D,'Customer Data'!$F:$F,,0)</f>
        <v>#N/A</v>
      </c>
      <c r="AC102" s="16"/>
      <c r="AD102" s="16" t="s">
        <v>76</v>
      </c>
      <c r="AE102" s="16" t="s">
        <v>18</v>
      </c>
      <c r="AF102" s="16" t="s">
        <v>18</v>
      </c>
      <c r="AG102" s="16" t="s">
        <v>18</v>
      </c>
      <c r="AH102" s="49">
        <v>45736</v>
      </c>
      <c r="AI102" s="49"/>
      <c r="AJ102" s="16" t="s">
        <v>18</v>
      </c>
    </row>
    <row r="103" spans="1:36" hidden="1" x14ac:dyDescent="0.35">
      <c r="A103" s="16" t="s">
        <v>307</v>
      </c>
      <c r="B103" s="16" t="s">
        <v>297</v>
      </c>
      <c r="C103" s="16" t="s">
        <v>21</v>
      </c>
      <c r="D103" s="16" t="s">
        <v>298</v>
      </c>
      <c r="E103" s="16" t="s">
        <v>167</v>
      </c>
      <c r="F103" s="16" t="s">
        <v>310</v>
      </c>
      <c r="G103" s="49">
        <v>45736</v>
      </c>
      <c r="H103" s="16" t="s">
        <v>424</v>
      </c>
      <c r="I103" s="16" t="s">
        <v>23</v>
      </c>
      <c r="J103" s="49">
        <v>45736</v>
      </c>
      <c r="K103" s="49">
        <v>45737</v>
      </c>
      <c r="L103" s="16" t="s">
        <v>315</v>
      </c>
      <c r="M103" s="61">
        <v>246779414805</v>
      </c>
      <c r="N103" s="16" t="s">
        <v>22</v>
      </c>
      <c r="O103" s="16" t="s">
        <v>300</v>
      </c>
      <c r="P103" s="16" t="s">
        <v>18</v>
      </c>
      <c r="Q103" s="16" t="s">
        <v>312</v>
      </c>
      <c r="R103" s="16" t="e">
        <f>_xlfn.XLOOKUP(M103,'Invoice No Ref'!$C:$C,'Invoice No Ref'!$I:$I,,0)</f>
        <v>#N/A</v>
      </c>
      <c r="S103" s="16" t="s">
        <v>110</v>
      </c>
      <c r="T103" s="50">
        <v>8.85</v>
      </c>
      <c r="U103" s="16" t="s">
        <v>20</v>
      </c>
      <c r="V103" s="50">
        <v>767.22</v>
      </c>
      <c r="W103" s="16">
        <f t="shared" si="7"/>
        <v>86.69152542372882</v>
      </c>
      <c r="X103" s="16" t="s">
        <v>718</v>
      </c>
      <c r="Y103" s="16" t="s">
        <v>18</v>
      </c>
      <c r="Z103" s="16" t="s">
        <v>315</v>
      </c>
      <c r="AA103" s="16" t="s">
        <v>301</v>
      </c>
      <c r="AB103" s="16" t="e">
        <f>_xlfn.XLOOKUP(R103,'Customer Data'!$D:$D,'Customer Data'!$F:$F,,0)</f>
        <v>#N/A</v>
      </c>
      <c r="AC103" s="16"/>
      <c r="AD103" s="16" t="s">
        <v>76</v>
      </c>
      <c r="AE103" s="16" t="s">
        <v>18</v>
      </c>
      <c r="AF103" s="16" t="s">
        <v>18</v>
      </c>
      <c r="AG103" s="16" t="s">
        <v>18</v>
      </c>
      <c r="AH103" s="49">
        <v>45736</v>
      </c>
      <c r="AI103" s="49"/>
      <c r="AJ103" s="16" t="s">
        <v>18</v>
      </c>
    </row>
    <row r="104" spans="1:36" hidden="1" x14ac:dyDescent="0.35">
      <c r="A104" s="16" t="s">
        <v>307</v>
      </c>
      <c r="B104" s="16" t="s">
        <v>297</v>
      </c>
      <c r="C104" s="16" t="s">
        <v>21</v>
      </c>
      <c r="D104" s="16" t="s">
        <v>298</v>
      </c>
      <c r="E104" s="16" t="s">
        <v>167</v>
      </c>
      <c r="F104" s="16" t="s">
        <v>310</v>
      </c>
      <c r="G104" s="49">
        <v>45736</v>
      </c>
      <c r="H104" s="16" t="s">
        <v>425</v>
      </c>
      <c r="I104" s="16" t="s">
        <v>23</v>
      </c>
      <c r="J104" s="49">
        <v>45736</v>
      </c>
      <c r="K104" s="49">
        <v>45737</v>
      </c>
      <c r="L104" s="16" t="s">
        <v>315</v>
      </c>
      <c r="M104" s="61">
        <v>246779414806</v>
      </c>
      <c r="N104" s="16" t="s">
        <v>22</v>
      </c>
      <c r="O104" s="16" t="s">
        <v>300</v>
      </c>
      <c r="P104" s="16" t="s">
        <v>18</v>
      </c>
      <c r="Q104" s="16" t="s">
        <v>312</v>
      </c>
      <c r="R104" s="16" t="e">
        <f>_xlfn.XLOOKUP(M104,'Invoice No Ref'!$C:$C,'Invoice No Ref'!$I:$I,,0)</f>
        <v>#N/A</v>
      </c>
      <c r="S104" s="16" t="s">
        <v>110</v>
      </c>
      <c r="T104" s="50">
        <v>203.55</v>
      </c>
      <c r="U104" s="16" t="s">
        <v>20</v>
      </c>
      <c r="V104" s="50">
        <v>17646.009999999998</v>
      </c>
      <c r="W104" s="16">
        <f t="shared" si="7"/>
        <v>86.691279783836876</v>
      </c>
      <c r="X104" s="16" t="s">
        <v>718</v>
      </c>
      <c r="Y104" s="16" t="s">
        <v>18</v>
      </c>
      <c r="Z104" s="16" t="s">
        <v>315</v>
      </c>
      <c r="AA104" s="16" t="s">
        <v>301</v>
      </c>
      <c r="AB104" s="16" t="e">
        <f>_xlfn.XLOOKUP(R104,'Customer Data'!$D:$D,'Customer Data'!$F:$F,,0)</f>
        <v>#N/A</v>
      </c>
      <c r="AC104" s="16"/>
      <c r="AD104" s="16" t="s">
        <v>76</v>
      </c>
      <c r="AE104" s="16" t="s">
        <v>18</v>
      </c>
      <c r="AF104" s="16" t="s">
        <v>18</v>
      </c>
      <c r="AG104" s="16" t="s">
        <v>18</v>
      </c>
      <c r="AH104" s="49">
        <v>45736</v>
      </c>
      <c r="AI104" s="49"/>
      <c r="AJ104" s="16" t="s">
        <v>18</v>
      </c>
    </row>
    <row r="105" spans="1:36" hidden="1" x14ac:dyDescent="0.35">
      <c r="A105" s="16" t="s">
        <v>307</v>
      </c>
      <c r="B105" s="16" t="s">
        <v>297</v>
      </c>
      <c r="C105" s="16" t="s">
        <v>21</v>
      </c>
      <c r="D105" s="16" t="s">
        <v>298</v>
      </c>
      <c r="E105" s="16" t="s">
        <v>167</v>
      </c>
      <c r="F105" s="16" t="s">
        <v>310</v>
      </c>
      <c r="G105" s="49">
        <v>45736</v>
      </c>
      <c r="H105" s="16" t="s">
        <v>426</v>
      </c>
      <c r="I105" s="16" t="s">
        <v>23</v>
      </c>
      <c r="J105" s="49">
        <v>45736</v>
      </c>
      <c r="K105" s="49">
        <v>45737</v>
      </c>
      <c r="L105" s="16" t="s">
        <v>315</v>
      </c>
      <c r="M105" s="61">
        <v>246779414807</v>
      </c>
      <c r="N105" s="16" t="s">
        <v>22</v>
      </c>
      <c r="O105" s="16" t="s">
        <v>300</v>
      </c>
      <c r="P105" s="16" t="s">
        <v>18</v>
      </c>
      <c r="Q105" s="16" t="s">
        <v>312</v>
      </c>
      <c r="R105" s="16" t="e">
        <f>_xlfn.XLOOKUP(M105,'Invoice No Ref'!$C:$C,'Invoice No Ref'!$I:$I,,0)</f>
        <v>#N/A</v>
      </c>
      <c r="S105" s="16" t="s">
        <v>110</v>
      </c>
      <c r="T105" s="50">
        <v>9.4</v>
      </c>
      <c r="U105" s="16" t="s">
        <v>20</v>
      </c>
      <c r="V105" s="50">
        <v>814.9</v>
      </c>
      <c r="W105" s="16">
        <f t="shared" si="7"/>
        <v>86.691489361702125</v>
      </c>
      <c r="X105" s="16" t="s">
        <v>718</v>
      </c>
      <c r="Y105" s="16" t="s">
        <v>18</v>
      </c>
      <c r="Z105" s="16" t="s">
        <v>315</v>
      </c>
      <c r="AA105" s="16" t="s">
        <v>301</v>
      </c>
      <c r="AB105" s="16" t="e">
        <f>_xlfn.XLOOKUP(R105,'Customer Data'!$D:$D,'Customer Data'!$F:$F,,0)</f>
        <v>#N/A</v>
      </c>
      <c r="AC105" s="16"/>
      <c r="AD105" s="16" t="s">
        <v>76</v>
      </c>
      <c r="AE105" s="16" t="s">
        <v>18</v>
      </c>
      <c r="AF105" s="16" t="s">
        <v>18</v>
      </c>
      <c r="AG105" s="16" t="s">
        <v>18</v>
      </c>
      <c r="AH105" s="49">
        <v>45736</v>
      </c>
      <c r="AI105" s="49"/>
      <c r="AJ105" s="16" t="s">
        <v>18</v>
      </c>
    </row>
    <row r="106" spans="1:36" hidden="1" x14ac:dyDescent="0.35">
      <c r="A106" s="16" t="s">
        <v>307</v>
      </c>
      <c r="B106" s="16" t="s">
        <v>297</v>
      </c>
      <c r="C106" s="16" t="s">
        <v>21</v>
      </c>
      <c r="D106" s="16" t="s">
        <v>298</v>
      </c>
      <c r="E106" s="16" t="s">
        <v>167</v>
      </c>
      <c r="F106" s="16" t="s">
        <v>310</v>
      </c>
      <c r="G106" s="49">
        <v>45736</v>
      </c>
      <c r="H106" s="16" t="s">
        <v>427</v>
      </c>
      <c r="I106" s="16" t="s">
        <v>23</v>
      </c>
      <c r="J106" s="49">
        <v>45736</v>
      </c>
      <c r="K106" s="49">
        <v>45737</v>
      </c>
      <c r="L106" s="16" t="s">
        <v>315</v>
      </c>
      <c r="M106" s="61">
        <v>246779414013</v>
      </c>
      <c r="N106" s="16" t="s">
        <v>22</v>
      </c>
      <c r="O106" s="16" t="s">
        <v>300</v>
      </c>
      <c r="P106" s="16" t="s">
        <v>18</v>
      </c>
      <c r="Q106" s="16" t="s">
        <v>312</v>
      </c>
      <c r="R106" s="16" t="e">
        <f>_xlfn.XLOOKUP(M106,'Invoice No Ref'!$C:$C,'Invoice No Ref'!$I:$I,,0)</f>
        <v>#N/A</v>
      </c>
      <c r="S106" s="16" t="s">
        <v>110</v>
      </c>
      <c r="T106" s="50">
        <v>81.040000000000006</v>
      </c>
      <c r="U106" s="16" t="s">
        <v>20</v>
      </c>
      <c r="V106" s="50">
        <v>7025.46</v>
      </c>
      <c r="W106" s="16">
        <f t="shared" si="7"/>
        <v>86.691263573543921</v>
      </c>
      <c r="X106" s="16" t="s">
        <v>718</v>
      </c>
      <c r="Y106" s="16" t="s">
        <v>18</v>
      </c>
      <c r="Z106" s="16" t="s">
        <v>315</v>
      </c>
      <c r="AA106" s="16" t="s">
        <v>301</v>
      </c>
      <c r="AB106" s="16" t="e">
        <f>_xlfn.XLOOKUP(R106,'Customer Data'!$D:$D,'Customer Data'!$F:$F,,0)</f>
        <v>#N/A</v>
      </c>
      <c r="AC106" s="16"/>
      <c r="AD106" s="16" t="s">
        <v>58</v>
      </c>
      <c r="AE106" s="16" t="s">
        <v>18</v>
      </c>
      <c r="AF106" s="16" t="s">
        <v>18</v>
      </c>
      <c r="AG106" s="16" t="s">
        <v>18</v>
      </c>
      <c r="AH106" s="49">
        <v>45736</v>
      </c>
      <c r="AI106" s="49"/>
      <c r="AJ106" s="16" t="s">
        <v>18</v>
      </c>
    </row>
    <row r="107" spans="1:36" hidden="1" x14ac:dyDescent="0.35">
      <c r="A107" s="16" t="s">
        <v>307</v>
      </c>
      <c r="B107" s="16" t="s">
        <v>297</v>
      </c>
      <c r="C107" s="16" t="s">
        <v>21</v>
      </c>
      <c r="D107" s="16" t="s">
        <v>298</v>
      </c>
      <c r="E107" s="16" t="s">
        <v>167</v>
      </c>
      <c r="F107" s="16" t="s">
        <v>310</v>
      </c>
      <c r="G107" s="49">
        <v>45736</v>
      </c>
      <c r="H107" s="16" t="s">
        <v>428</v>
      </c>
      <c r="I107" s="16" t="s">
        <v>23</v>
      </c>
      <c r="J107" s="49">
        <v>45736</v>
      </c>
      <c r="K107" s="49">
        <v>45737</v>
      </c>
      <c r="L107" s="16" t="s">
        <v>315</v>
      </c>
      <c r="M107" s="61">
        <v>246779414174</v>
      </c>
      <c r="N107" s="16" t="s">
        <v>22</v>
      </c>
      <c r="O107" s="16" t="s">
        <v>300</v>
      </c>
      <c r="P107" s="16" t="s">
        <v>18</v>
      </c>
      <c r="Q107" s="16" t="s">
        <v>312</v>
      </c>
      <c r="R107" s="16" t="str">
        <f>_xlfn.XLOOKUP(M107,'Invoice No Ref'!$C:$C,'Invoice No Ref'!$I:$I,,0)</f>
        <v>6779IV124000246</v>
      </c>
      <c r="S107" s="16" t="s">
        <v>110</v>
      </c>
      <c r="T107" s="50">
        <v>976.39</v>
      </c>
      <c r="U107" s="16" t="s">
        <v>20</v>
      </c>
      <c r="V107" s="50">
        <v>84644.479999999996</v>
      </c>
      <c r="W107" s="16">
        <f t="shared" si="7"/>
        <v>86.691260664283732</v>
      </c>
      <c r="X107" s="16" t="s">
        <v>718</v>
      </c>
      <c r="Y107" s="16" t="s">
        <v>18</v>
      </c>
      <c r="Z107" s="16" t="s">
        <v>315</v>
      </c>
      <c r="AA107" s="16" t="s">
        <v>301</v>
      </c>
      <c r="AB107" s="16">
        <f>_xlfn.XLOOKUP(R107,'Customer Data'!$D:$D,'Customer Data'!$F:$F,,0)</f>
        <v>-976.39</v>
      </c>
      <c r="AC107" s="62">
        <f t="shared" ref="AC107:AC111" si="12">AB107+T107</f>
        <v>0</v>
      </c>
      <c r="AD107" s="16" t="s">
        <v>62</v>
      </c>
      <c r="AE107" s="16" t="s">
        <v>18</v>
      </c>
      <c r="AF107" s="16" t="s">
        <v>18</v>
      </c>
      <c r="AG107" s="16" t="s">
        <v>18</v>
      </c>
      <c r="AH107" s="49">
        <v>45736</v>
      </c>
      <c r="AI107" s="49"/>
      <c r="AJ107" s="16" t="s">
        <v>18</v>
      </c>
    </row>
    <row r="108" spans="1:36" hidden="1" x14ac:dyDescent="0.35">
      <c r="A108" s="16" t="s">
        <v>307</v>
      </c>
      <c r="B108" s="16" t="s">
        <v>297</v>
      </c>
      <c r="C108" s="16" t="s">
        <v>21</v>
      </c>
      <c r="D108" s="16" t="s">
        <v>298</v>
      </c>
      <c r="E108" s="16" t="s">
        <v>167</v>
      </c>
      <c r="F108" s="16" t="s">
        <v>310</v>
      </c>
      <c r="G108" s="49">
        <v>45736</v>
      </c>
      <c r="H108" s="16" t="s">
        <v>429</v>
      </c>
      <c r="I108" s="16" t="s">
        <v>23</v>
      </c>
      <c r="J108" s="49">
        <v>45736</v>
      </c>
      <c r="K108" s="49">
        <v>45737</v>
      </c>
      <c r="L108" s="16" t="s">
        <v>315</v>
      </c>
      <c r="M108" s="61">
        <v>246779414554</v>
      </c>
      <c r="N108" s="16" t="s">
        <v>22</v>
      </c>
      <c r="O108" s="16" t="s">
        <v>300</v>
      </c>
      <c r="P108" s="16" t="s">
        <v>18</v>
      </c>
      <c r="Q108" s="16" t="s">
        <v>312</v>
      </c>
      <c r="R108" s="16" t="str">
        <f>_xlfn.XLOOKUP(M108,'Invoice No Ref'!$C:$C,'Invoice No Ref'!$I:$I,,0)</f>
        <v>6779IV124000253</v>
      </c>
      <c r="S108" s="16" t="s">
        <v>110</v>
      </c>
      <c r="T108" s="50">
        <v>94.4</v>
      </c>
      <c r="U108" s="16" t="s">
        <v>20</v>
      </c>
      <c r="V108" s="50">
        <v>8183.65</v>
      </c>
      <c r="W108" s="16">
        <f t="shared" si="7"/>
        <v>86.691207627118629</v>
      </c>
      <c r="X108" s="16" t="s">
        <v>718</v>
      </c>
      <c r="Y108" s="16" t="s">
        <v>18</v>
      </c>
      <c r="Z108" s="16" t="s">
        <v>315</v>
      </c>
      <c r="AA108" s="16" t="s">
        <v>301</v>
      </c>
      <c r="AB108" s="16">
        <f>_xlfn.XLOOKUP(R108,'Customer Data'!$D:$D,'Customer Data'!$F:$F,,0)</f>
        <v>-94.4</v>
      </c>
      <c r="AC108" s="62">
        <f t="shared" si="12"/>
        <v>0</v>
      </c>
      <c r="AD108" s="16" t="s">
        <v>65</v>
      </c>
      <c r="AE108" s="16" t="s">
        <v>18</v>
      </c>
      <c r="AF108" s="16" t="s">
        <v>18</v>
      </c>
      <c r="AG108" s="16" t="s">
        <v>18</v>
      </c>
      <c r="AH108" s="49">
        <v>45736</v>
      </c>
      <c r="AI108" s="49"/>
      <c r="AJ108" s="16" t="s">
        <v>18</v>
      </c>
    </row>
    <row r="109" spans="1:36" hidden="1" x14ac:dyDescent="0.35">
      <c r="A109" s="16" t="s">
        <v>307</v>
      </c>
      <c r="B109" s="16" t="s">
        <v>297</v>
      </c>
      <c r="C109" s="16" t="s">
        <v>21</v>
      </c>
      <c r="D109" s="16" t="s">
        <v>298</v>
      </c>
      <c r="E109" s="16" t="s">
        <v>167</v>
      </c>
      <c r="F109" s="16" t="s">
        <v>310</v>
      </c>
      <c r="G109" s="49">
        <v>45736</v>
      </c>
      <c r="H109" s="16" t="s">
        <v>430</v>
      </c>
      <c r="I109" s="16" t="s">
        <v>23</v>
      </c>
      <c r="J109" s="49">
        <v>45736</v>
      </c>
      <c r="K109" s="49">
        <v>45737</v>
      </c>
      <c r="L109" s="16" t="s">
        <v>315</v>
      </c>
      <c r="M109" s="61">
        <v>246779414555</v>
      </c>
      <c r="N109" s="16" t="s">
        <v>22</v>
      </c>
      <c r="O109" s="16" t="s">
        <v>300</v>
      </c>
      <c r="P109" s="16" t="s">
        <v>18</v>
      </c>
      <c r="Q109" s="16" t="s">
        <v>312</v>
      </c>
      <c r="R109" s="16" t="str">
        <f>_xlfn.XLOOKUP(M109,'Invoice No Ref'!$C:$C,'Invoice No Ref'!$I:$I,,0)</f>
        <v>6779IV124000254</v>
      </c>
      <c r="S109" s="16" t="s">
        <v>110</v>
      </c>
      <c r="T109" s="50">
        <v>1548.45</v>
      </c>
      <c r="U109" s="16" t="s">
        <v>20</v>
      </c>
      <c r="V109" s="50">
        <v>134237.07999999999</v>
      </c>
      <c r="W109" s="16">
        <f t="shared" si="7"/>
        <v>86.691259000936412</v>
      </c>
      <c r="X109" s="16" t="s">
        <v>718</v>
      </c>
      <c r="Y109" s="16" t="s">
        <v>18</v>
      </c>
      <c r="Z109" s="16" t="s">
        <v>315</v>
      </c>
      <c r="AA109" s="16" t="s">
        <v>301</v>
      </c>
      <c r="AB109" s="16">
        <f>_xlfn.XLOOKUP(R109,'Customer Data'!$D:$D,'Customer Data'!$F:$F,,0)</f>
        <v>-1548.45</v>
      </c>
      <c r="AC109" s="62">
        <f t="shared" si="12"/>
        <v>0</v>
      </c>
      <c r="AD109" s="16" t="s">
        <v>74</v>
      </c>
      <c r="AE109" s="16" t="s">
        <v>18</v>
      </c>
      <c r="AF109" s="16" t="s">
        <v>18</v>
      </c>
      <c r="AG109" s="16" t="s">
        <v>18</v>
      </c>
      <c r="AH109" s="49">
        <v>45736</v>
      </c>
      <c r="AI109" s="49"/>
      <c r="AJ109" s="16" t="s">
        <v>18</v>
      </c>
    </row>
    <row r="110" spans="1:36" hidden="1" x14ac:dyDescent="0.35">
      <c r="A110" s="16" t="s">
        <v>307</v>
      </c>
      <c r="B110" s="16" t="s">
        <v>297</v>
      </c>
      <c r="C110" s="16" t="s">
        <v>21</v>
      </c>
      <c r="D110" s="16" t="s">
        <v>298</v>
      </c>
      <c r="E110" s="16" t="s">
        <v>167</v>
      </c>
      <c r="F110" s="16" t="s">
        <v>310</v>
      </c>
      <c r="G110" s="49">
        <v>45736</v>
      </c>
      <c r="H110" s="16" t="s">
        <v>431</v>
      </c>
      <c r="I110" s="16" t="s">
        <v>23</v>
      </c>
      <c r="J110" s="49">
        <v>45736</v>
      </c>
      <c r="K110" s="49">
        <v>45737</v>
      </c>
      <c r="L110" s="16" t="s">
        <v>315</v>
      </c>
      <c r="M110" s="61">
        <v>246779414628</v>
      </c>
      <c r="N110" s="16" t="s">
        <v>22</v>
      </c>
      <c r="O110" s="16" t="s">
        <v>300</v>
      </c>
      <c r="P110" s="16" t="s">
        <v>18</v>
      </c>
      <c r="Q110" s="16" t="s">
        <v>312</v>
      </c>
      <c r="R110" s="16" t="str">
        <f>_xlfn.XLOOKUP(M110,'Invoice No Ref'!$C:$C,'Invoice No Ref'!$I:$I,,0)</f>
        <v>6779IV124000262</v>
      </c>
      <c r="S110" s="16" t="s">
        <v>110</v>
      </c>
      <c r="T110" s="50">
        <v>1838.27</v>
      </c>
      <c r="U110" s="16" t="s">
        <v>20</v>
      </c>
      <c r="V110" s="50">
        <v>159361.94</v>
      </c>
      <c r="W110" s="16">
        <f t="shared" si="7"/>
        <v>86.69125862903708</v>
      </c>
      <c r="X110" s="16" t="s">
        <v>718</v>
      </c>
      <c r="Y110" s="16" t="s">
        <v>18</v>
      </c>
      <c r="Z110" s="16" t="s">
        <v>315</v>
      </c>
      <c r="AA110" s="16" t="s">
        <v>301</v>
      </c>
      <c r="AB110" s="16">
        <f>_xlfn.XLOOKUP(R110,'Customer Data'!$D:$D,'Customer Data'!$F:$F,,0)</f>
        <v>-1838.27</v>
      </c>
      <c r="AC110" s="62">
        <f t="shared" si="12"/>
        <v>0</v>
      </c>
      <c r="AD110" s="16" t="s">
        <v>75</v>
      </c>
      <c r="AE110" s="16" t="s">
        <v>18</v>
      </c>
      <c r="AF110" s="16" t="s">
        <v>18</v>
      </c>
      <c r="AG110" s="16" t="s">
        <v>18</v>
      </c>
      <c r="AH110" s="49">
        <v>45736</v>
      </c>
      <c r="AI110" s="49"/>
      <c r="AJ110" s="16" t="s">
        <v>18</v>
      </c>
    </row>
    <row r="111" spans="1:36" hidden="1" x14ac:dyDescent="0.35">
      <c r="A111" s="16" t="s">
        <v>307</v>
      </c>
      <c r="B111" s="16" t="s">
        <v>297</v>
      </c>
      <c r="C111" s="16" t="s">
        <v>21</v>
      </c>
      <c r="D111" s="16" t="s">
        <v>298</v>
      </c>
      <c r="E111" s="16" t="s">
        <v>167</v>
      </c>
      <c r="F111" s="16" t="s">
        <v>310</v>
      </c>
      <c r="G111" s="49">
        <v>45736</v>
      </c>
      <c r="H111" s="16" t="s">
        <v>432</v>
      </c>
      <c r="I111" s="16" t="s">
        <v>23</v>
      </c>
      <c r="J111" s="49">
        <v>45736</v>
      </c>
      <c r="K111" s="49">
        <v>45737</v>
      </c>
      <c r="L111" s="16" t="s">
        <v>315</v>
      </c>
      <c r="M111" s="61">
        <v>246779414629</v>
      </c>
      <c r="N111" s="16" t="s">
        <v>22</v>
      </c>
      <c r="O111" s="16" t="s">
        <v>300</v>
      </c>
      <c r="P111" s="16" t="s">
        <v>18</v>
      </c>
      <c r="Q111" s="16" t="s">
        <v>312</v>
      </c>
      <c r="R111" s="16" t="str">
        <f>_xlfn.XLOOKUP(M111,'Invoice No Ref'!$C:$C,'Invoice No Ref'!$I:$I,,0)</f>
        <v>6779IV124000261</v>
      </c>
      <c r="S111" s="16" t="s">
        <v>110</v>
      </c>
      <c r="T111" s="50">
        <v>23.6</v>
      </c>
      <c r="U111" s="16" t="s">
        <v>20</v>
      </c>
      <c r="V111" s="50">
        <v>2045.91</v>
      </c>
      <c r="W111" s="16">
        <f t="shared" si="7"/>
        <v>86.691101694915247</v>
      </c>
      <c r="X111" s="16" t="s">
        <v>718</v>
      </c>
      <c r="Y111" s="16" t="s">
        <v>18</v>
      </c>
      <c r="Z111" s="16" t="s">
        <v>315</v>
      </c>
      <c r="AA111" s="16" t="s">
        <v>301</v>
      </c>
      <c r="AB111" s="16">
        <f>_xlfn.XLOOKUP(R111,'Customer Data'!$D:$D,'Customer Data'!$F:$F,,0)</f>
        <v>-23.6</v>
      </c>
      <c r="AC111" s="62">
        <f t="shared" si="12"/>
        <v>0</v>
      </c>
      <c r="AD111" s="16" t="s">
        <v>68</v>
      </c>
      <c r="AE111" s="16" t="s">
        <v>18</v>
      </c>
      <c r="AF111" s="16" t="s">
        <v>18</v>
      </c>
      <c r="AG111" s="16" t="s">
        <v>18</v>
      </c>
      <c r="AH111" s="49">
        <v>45736</v>
      </c>
      <c r="AI111" s="49"/>
      <c r="AJ111" s="16" t="s">
        <v>18</v>
      </c>
    </row>
    <row r="112" spans="1:36" hidden="1" x14ac:dyDescent="0.35">
      <c r="A112" s="16" t="s">
        <v>307</v>
      </c>
      <c r="B112" s="16" t="s">
        <v>297</v>
      </c>
      <c r="C112" s="16" t="s">
        <v>21</v>
      </c>
      <c r="D112" s="16" t="s">
        <v>298</v>
      </c>
      <c r="E112" s="16" t="s">
        <v>167</v>
      </c>
      <c r="F112" s="16" t="s">
        <v>310</v>
      </c>
      <c r="G112" s="49">
        <v>45736</v>
      </c>
      <c r="H112" s="16" t="s">
        <v>433</v>
      </c>
      <c r="I112" s="16" t="s">
        <v>23</v>
      </c>
      <c r="J112" s="49">
        <v>45736</v>
      </c>
      <c r="K112" s="49">
        <v>45737</v>
      </c>
      <c r="L112" s="16" t="s">
        <v>315</v>
      </c>
      <c r="M112" s="61">
        <v>246779414704</v>
      </c>
      <c r="N112" s="16" t="s">
        <v>22</v>
      </c>
      <c r="O112" s="16" t="s">
        <v>300</v>
      </c>
      <c r="P112" s="16" t="s">
        <v>18</v>
      </c>
      <c r="Q112" s="16" t="s">
        <v>312</v>
      </c>
      <c r="R112" s="16" t="e">
        <f>_xlfn.XLOOKUP(M112,'Invoice No Ref'!$C:$C,'Invoice No Ref'!$I:$I,,0)</f>
        <v>#N/A</v>
      </c>
      <c r="S112" s="16" t="s">
        <v>110</v>
      </c>
      <c r="T112" s="50">
        <v>768.32</v>
      </c>
      <c r="U112" s="16" t="s">
        <v>20</v>
      </c>
      <c r="V112" s="50">
        <v>66606.63</v>
      </c>
      <c r="W112" s="16">
        <f t="shared" si="7"/>
        <v>86.691261453561012</v>
      </c>
      <c r="X112" s="16" t="s">
        <v>718</v>
      </c>
      <c r="Y112" s="16" t="s">
        <v>18</v>
      </c>
      <c r="Z112" s="16" t="s">
        <v>315</v>
      </c>
      <c r="AA112" s="16" t="s">
        <v>301</v>
      </c>
      <c r="AB112" s="16" t="e">
        <f>_xlfn.XLOOKUP(R112,'Customer Data'!$D:$D,'Customer Data'!$F:$F,,0)</f>
        <v>#N/A</v>
      </c>
      <c r="AC112" s="16"/>
      <c r="AD112" s="16" t="s">
        <v>76</v>
      </c>
      <c r="AE112" s="16" t="s">
        <v>18</v>
      </c>
      <c r="AF112" s="16" t="s">
        <v>18</v>
      </c>
      <c r="AG112" s="16" t="s">
        <v>18</v>
      </c>
      <c r="AH112" s="49">
        <v>45736</v>
      </c>
      <c r="AI112" s="49"/>
      <c r="AJ112" s="16" t="s">
        <v>18</v>
      </c>
    </row>
    <row r="113" spans="1:36" hidden="1" x14ac:dyDescent="0.35">
      <c r="A113" s="16" t="s">
        <v>307</v>
      </c>
      <c r="B113" s="16" t="s">
        <v>297</v>
      </c>
      <c r="C113" s="16" t="s">
        <v>21</v>
      </c>
      <c r="D113" s="16" t="s">
        <v>298</v>
      </c>
      <c r="E113" s="16" t="s">
        <v>167</v>
      </c>
      <c r="F113" s="16" t="s">
        <v>310</v>
      </c>
      <c r="G113" s="49">
        <v>45736</v>
      </c>
      <c r="H113" s="16" t="s">
        <v>434</v>
      </c>
      <c r="I113" s="16" t="s">
        <v>23</v>
      </c>
      <c r="J113" s="49">
        <v>45736</v>
      </c>
      <c r="K113" s="49">
        <v>45737</v>
      </c>
      <c r="L113" s="16" t="s">
        <v>315</v>
      </c>
      <c r="M113" s="61">
        <v>246779414705</v>
      </c>
      <c r="N113" s="16" t="s">
        <v>22</v>
      </c>
      <c r="O113" s="16" t="s">
        <v>300</v>
      </c>
      <c r="P113" s="16" t="s">
        <v>18</v>
      </c>
      <c r="Q113" s="16" t="s">
        <v>312</v>
      </c>
      <c r="R113" s="16" t="str">
        <f>_xlfn.XLOOKUP(M113,'Invoice No Ref'!$C:$C,'Invoice No Ref'!$I:$I,,0)</f>
        <v>6779IV124000283</v>
      </c>
      <c r="S113" s="16" t="s">
        <v>110</v>
      </c>
      <c r="T113" s="50">
        <v>218.93</v>
      </c>
      <c r="U113" s="16" t="s">
        <v>20</v>
      </c>
      <c r="V113" s="50">
        <v>18979.32</v>
      </c>
      <c r="W113" s="16">
        <f t="shared" si="7"/>
        <v>86.691271182569764</v>
      </c>
      <c r="X113" s="16" t="s">
        <v>718</v>
      </c>
      <c r="Y113" s="16" t="s">
        <v>18</v>
      </c>
      <c r="Z113" s="16" t="s">
        <v>315</v>
      </c>
      <c r="AA113" s="16" t="s">
        <v>301</v>
      </c>
      <c r="AB113" s="16">
        <f>_xlfn.XLOOKUP(R113,'Customer Data'!$D:$D,'Customer Data'!$F:$F,,0)</f>
        <v>-218.93</v>
      </c>
      <c r="AC113" s="62">
        <f t="shared" ref="AC113:AC115" si="13">AB113+T113</f>
        <v>0</v>
      </c>
      <c r="AD113" s="16" t="s">
        <v>77</v>
      </c>
      <c r="AE113" s="16" t="s">
        <v>18</v>
      </c>
      <c r="AF113" s="16" t="s">
        <v>18</v>
      </c>
      <c r="AG113" s="16" t="s">
        <v>18</v>
      </c>
      <c r="AH113" s="49">
        <v>45736</v>
      </c>
      <c r="AI113" s="49"/>
      <c r="AJ113" s="16" t="s">
        <v>18</v>
      </c>
    </row>
    <row r="114" spans="1:36" hidden="1" x14ac:dyDescent="0.35">
      <c r="A114" s="16" t="s">
        <v>307</v>
      </c>
      <c r="B114" s="16" t="s">
        <v>297</v>
      </c>
      <c r="C114" s="16" t="s">
        <v>21</v>
      </c>
      <c r="D114" s="16" t="s">
        <v>298</v>
      </c>
      <c r="E114" s="16" t="s">
        <v>167</v>
      </c>
      <c r="F114" s="16" t="s">
        <v>435</v>
      </c>
      <c r="G114" s="49">
        <v>45999</v>
      </c>
      <c r="H114" s="16" t="s">
        <v>436</v>
      </c>
      <c r="I114" s="16" t="s">
        <v>23</v>
      </c>
      <c r="J114" s="49">
        <v>45999</v>
      </c>
      <c r="K114" s="49">
        <v>46000</v>
      </c>
      <c r="L114" s="16" t="s">
        <v>315</v>
      </c>
      <c r="M114" s="61">
        <v>256779419829</v>
      </c>
      <c r="N114" s="16" t="s">
        <v>22</v>
      </c>
      <c r="O114" s="16" t="s">
        <v>300</v>
      </c>
      <c r="P114" s="16" t="s">
        <v>18</v>
      </c>
      <c r="Q114" s="16" t="s">
        <v>312</v>
      </c>
      <c r="R114" s="16"/>
      <c r="S114" s="16" t="s">
        <v>110</v>
      </c>
      <c r="T114" s="50">
        <v>55.89</v>
      </c>
      <c r="U114" s="16" t="s">
        <v>20</v>
      </c>
      <c r="V114" s="50">
        <v>4957.45</v>
      </c>
      <c r="W114" s="16">
        <f t="shared" si="7"/>
        <v>88.700125246018956</v>
      </c>
      <c r="X114" s="16" t="s">
        <v>720</v>
      </c>
      <c r="Y114" s="16" t="s">
        <v>18</v>
      </c>
      <c r="Z114" s="16" t="s">
        <v>723</v>
      </c>
      <c r="AA114" s="16" t="s">
        <v>301</v>
      </c>
      <c r="AB114" s="16">
        <f>_xlfn.XLOOKUP(M114,'Customer Data'!$D:$D,'Customer Data'!$H:$H,,0)</f>
        <v>-55.89</v>
      </c>
      <c r="AC114" s="62">
        <f t="shared" si="13"/>
        <v>0</v>
      </c>
      <c r="AD114" s="16" t="s">
        <v>34</v>
      </c>
      <c r="AE114" s="16" t="s">
        <v>18</v>
      </c>
      <c r="AF114" s="16" t="s">
        <v>18</v>
      </c>
      <c r="AG114" s="16" t="s">
        <v>18</v>
      </c>
      <c r="AH114" s="49">
        <v>45999</v>
      </c>
      <c r="AI114" s="49"/>
      <c r="AJ114" s="16" t="s">
        <v>18</v>
      </c>
    </row>
    <row r="115" spans="1:36" hidden="1" x14ac:dyDescent="0.35">
      <c r="A115" s="16" t="s">
        <v>307</v>
      </c>
      <c r="B115" s="16" t="s">
        <v>297</v>
      </c>
      <c r="C115" s="16" t="s">
        <v>21</v>
      </c>
      <c r="D115" s="16" t="s">
        <v>298</v>
      </c>
      <c r="E115" s="16" t="s">
        <v>167</v>
      </c>
      <c r="F115" s="16" t="s">
        <v>435</v>
      </c>
      <c r="G115" s="49">
        <v>45999</v>
      </c>
      <c r="H115" s="16" t="s">
        <v>437</v>
      </c>
      <c r="I115" s="16" t="s">
        <v>23</v>
      </c>
      <c r="J115" s="49">
        <v>45999</v>
      </c>
      <c r="K115" s="49">
        <v>46000</v>
      </c>
      <c r="L115" s="16" t="s">
        <v>315</v>
      </c>
      <c r="M115" s="61">
        <v>256779419839</v>
      </c>
      <c r="N115" s="16" t="s">
        <v>22</v>
      </c>
      <c r="O115" s="16" t="s">
        <v>300</v>
      </c>
      <c r="P115" s="16" t="s">
        <v>18</v>
      </c>
      <c r="Q115" s="16" t="s">
        <v>312</v>
      </c>
      <c r="R115" s="16"/>
      <c r="S115" s="16" t="s">
        <v>110</v>
      </c>
      <c r="T115" s="50">
        <v>8184.96</v>
      </c>
      <c r="U115" s="16" t="s">
        <v>20</v>
      </c>
      <c r="V115" s="50">
        <v>726007.1</v>
      </c>
      <c r="W115" s="16">
        <f t="shared" si="7"/>
        <v>88.700140257252329</v>
      </c>
      <c r="X115" s="16" t="s">
        <v>720</v>
      </c>
      <c r="Y115" s="16" t="s">
        <v>18</v>
      </c>
      <c r="Z115" s="16" t="s">
        <v>724</v>
      </c>
      <c r="AA115" s="16" t="s">
        <v>301</v>
      </c>
      <c r="AB115" s="16">
        <f>_xlfn.XLOOKUP(M115,'Customer Data'!$D:$D,'Customer Data'!$H:$H,,0)</f>
        <v>-8184.96</v>
      </c>
      <c r="AC115" s="62">
        <f t="shared" si="13"/>
        <v>0</v>
      </c>
      <c r="AD115" s="16" t="s">
        <v>35</v>
      </c>
      <c r="AE115" s="16" t="s">
        <v>18</v>
      </c>
      <c r="AF115" s="16" t="s">
        <v>18</v>
      </c>
      <c r="AG115" s="16" t="s">
        <v>18</v>
      </c>
      <c r="AH115" s="49">
        <v>45999</v>
      </c>
      <c r="AI115" s="49"/>
      <c r="AJ115" s="16" t="s">
        <v>18</v>
      </c>
    </row>
    <row r="116" spans="1:36" hidden="1" x14ac:dyDescent="0.35">
      <c r="A116" s="16" t="s">
        <v>307</v>
      </c>
      <c r="B116" s="16" t="s">
        <v>297</v>
      </c>
      <c r="C116" s="16" t="s">
        <v>21</v>
      </c>
      <c r="D116" s="16" t="s">
        <v>298</v>
      </c>
      <c r="E116" s="16" t="s">
        <v>167</v>
      </c>
      <c r="F116" s="16" t="s">
        <v>438</v>
      </c>
      <c r="G116" s="49">
        <v>45923</v>
      </c>
      <c r="H116" s="16" t="s">
        <v>439</v>
      </c>
      <c r="I116" s="16" t="s">
        <v>26</v>
      </c>
      <c r="J116" s="49">
        <v>45923</v>
      </c>
      <c r="K116" s="49">
        <v>45923</v>
      </c>
      <c r="L116" s="16" t="s">
        <v>315</v>
      </c>
      <c r="M116" s="61">
        <v>256779421875</v>
      </c>
      <c r="N116" s="16" t="s">
        <v>22</v>
      </c>
      <c r="O116" s="16" t="s">
        <v>300</v>
      </c>
      <c r="P116" s="16" t="s">
        <v>18</v>
      </c>
      <c r="Q116" s="16" t="s">
        <v>311</v>
      </c>
      <c r="R116" s="16" t="e">
        <f>_xlfn.XLOOKUP(M116,'Invoice No Ref'!$C:$C,'Invoice No Ref'!$I:$I,,0)</f>
        <v>#N/A</v>
      </c>
      <c r="S116" s="16" t="s">
        <v>110</v>
      </c>
      <c r="T116" s="50">
        <v>-131.74</v>
      </c>
      <c r="U116" s="16" t="s">
        <v>20</v>
      </c>
      <c r="V116" s="50">
        <v>-11420.71</v>
      </c>
      <c r="W116" s="16">
        <f t="shared" si="7"/>
        <v>86.691285866099875</v>
      </c>
      <c r="X116" s="16" t="s">
        <v>718</v>
      </c>
      <c r="Y116" s="16" t="s">
        <v>18</v>
      </c>
      <c r="Z116" s="16" t="s">
        <v>725</v>
      </c>
      <c r="AA116" s="16" t="s">
        <v>301</v>
      </c>
      <c r="AB116" s="16" t="e">
        <f>_xlfn.XLOOKUP(R116,'Customer Data'!$D:$D,'Customer Data'!$F:$F,,0)</f>
        <v>#N/A</v>
      </c>
      <c r="AC116" s="16"/>
      <c r="AD116" s="16" t="s">
        <v>27</v>
      </c>
      <c r="AE116" s="16" t="s">
        <v>18</v>
      </c>
      <c r="AF116" s="16" t="s">
        <v>18</v>
      </c>
      <c r="AG116" s="16" t="s">
        <v>18</v>
      </c>
      <c r="AH116" s="49">
        <v>45923</v>
      </c>
      <c r="AI116" s="49"/>
      <c r="AJ116" s="16" t="s">
        <v>18</v>
      </c>
    </row>
    <row r="117" spans="1:36" hidden="1" x14ac:dyDescent="0.35">
      <c r="A117" s="16" t="s">
        <v>307</v>
      </c>
      <c r="B117" s="16" t="s">
        <v>297</v>
      </c>
      <c r="C117" s="16" t="s">
        <v>21</v>
      </c>
      <c r="D117" s="16" t="s">
        <v>298</v>
      </c>
      <c r="E117" s="16" t="s">
        <v>167</v>
      </c>
      <c r="F117" s="16" t="s">
        <v>299</v>
      </c>
      <c r="G117" s="49">
        <v>45750</v>
      </c>
      <c r="H117" s="16" t="s">
        <v>440</v>
      </c>
      <c r="I117" s="16" t="s">
        <v>23</v>
      </c>
      <c r="J117" s="49">
        <v>45750</v>
      </c>
      <c r="K117" s="49">
        <v>45752</v>
      </c>
      <c r="L117" s="16" t="s">
        <v>315</v>
      </c>
      <c r="M117" s="61">
        <v>256779410206</v>
      </c>
      <c r="N117" s="16" t="s">
        <v>22</v>
      </c>
      <c r="O117" s="16" t="s">
        <v>300</v>
      </c>
      <c r="P117" s="16" t="s">
        <v>18</v>
      </c>
      <c r="Q117" s="16" t="s">
        <v>312</v>
      </c>
      <c r="R117" s="16" t="e">
        <f>_xlfn.XLOOKUP(M117,'Invoice No Ref'!$C:$C,'Invoice No Ref'!$I:$I,,0)</f>
        <v>#N/A</v>
      </c>
      <c r="S117" s="16" t="s">
        <v>110</v>
      </c>
      <c r="T117" s="50">
        <v>346.96</v>
      </c>
      <c r="U117" s="16" t="s">
        <v>20</v>
      </c>
      <c r="V117" s="50">
        <v>30158.39</v>
      </c>
      <c r="W117" s="16">
        <f t="shared" si="7"/>
        <v>86.921806548305284</v>
      </c>
      <c r="X117" s="16" t="s">
        <v>18</v>
      </c>
      <c r="Y117" s="16" t="s">
        <v>18</v>
      </c>
      <c r="Z117" s="16" t="s">
        <v>315</v>
      </c>
      <c r="AA117" s="16" t="s">
        <v>301</v>
      </c>
      <c r="AB117" s="16" t="e">
        <f>_xlfn.XLOOKUP(R117,'Customer Data'!$D:$D,'Customer Data'!$F:$F,,0)</f>
        <v>#N/A</v>
      </c>
      <c r="AC117" s="16"/>
      <c r="AD117" s="16" t="s">
        <v>78</v>
      </c>
      <c r="AE117" s="16" t="s">
        <v>18</v>
      </c>
      <c r="AF117" s="16" t="s">
        <v>18</v>
      </c>
      <c r="AG117" s="16" t="s">
        <v>18</v>
      </c>
      <c r="AH117" s="49">
        <v>45750</v>
      </c>
      <c r="AI117" s="49"/>
      <c r="AJ117" s="16" t="s">
        <v>18</v>
      </c>
    </row>
    <row r="118" spans="1:36" hidden="1" x14ac:dyDescent="0.35">
      <c r="A118" s="16" t="s">
        <v>296</v>
      </c>
      <c r="B118" s="16" t="s">
        <v>297</v>
      </c>
      <c r="C118" s="16" t="s">
        <v>21</v>
      </c>
      <c r="D118" s="16" t="s">
        <v>298</v>
      </c>
      <c r="E118" s="16" t="s">
        <v>167</v>
      </c>
      <c r="F118" s="16" t="s">
        <v>299</v>
      </c>
      <c r="G118" s="49">
        <v>45750</v>
      </c>
      <c r="H118" s="16" t="s">
        <v>441</v>
      </c>
      <c r="I118" s="16" t="s">
        <v>23</v>
      </c>
      <c r="J118" s="49">
        <v>45750</v>
      </c>
      <c r="K118" s="49">
        <v>45752</v>
      </c>
      <c r="L118" s="16" t="s">
        <v>315</v>
      </c>
      <c r="M118" s="61">
        <v>256779410025</v>
      </c>
      <c r="N118" s="16" t="s">
        <v>22</v>
      </c>
      <c r="O118" s="16" t="s">
        <v>300</v>
      </c>
      <c r="P118" s="16" t="s">
        <v>18</v>
      </c>
      <c r="Q118" s="16" t="s">
        <v>312</v>
      </c>
      <c r="R118" s="16"/>
      <c r="S118" s="16" t="s">
        <v>110</v>
      </c>
      <c r="T118" s="50">
        <v>407.28</v>
      </c>
      <c r="U118" s="16" t="s">
        <v>20</v>
      </c>
      <c r="V118" s="50">
        <v>35401.519999999997</v>
      </c>
      <c r="W118" s="16">
        <f t="shared" si="7"/>
        <v>86.921822824592411</v>
      </c>
      <c r="X118" s="16" t="s">
        <v>18</v>
      </c>
      <c r="Y118" s="16" t="s">
        <v>18</v>
      </c>
      <c r="Z118" s="16" t="s">
        <v>315</v>
      </c>
      <c r="AA118" s="16" t="s">
        <v>301</v>
      </c>
      <c r="AB118" s="16">
        <f>_xlfn.XLOOKUP(M118,'Customer Data'!$D:$D,'Customer Data'!$H:$H,,0)</f>
        <v>-407.28</v>
      </c>
      <c r="AC118" s="62">
        <f t="shared" ref="AC118:AC132" si="14">AB118+T118</f>
        <v>0</v>
      </c>
      <c r="AD118" s="16" t="s">
        <v>442</v>
      </c>
      <c r="AE118" s="16" t="s">
        <v>18</v>
      </c>
      <c r="AF118" s="16" t="s">
        <v>18</v>
      </c>
      <c r="AG118" s="16" t="s">
        <v>18</v>
      </c>
      <c r="AH118" s="49">
        <v>45750</v>
      </c>
      <c r="AI118" s="49">
        <v>45855</v>
      </c>
      <c r="AJ118" s="16" t="s">
        <v>304</v>
      </c>
    </row>
    <row r="119" spans="1:36" hidden="1" x14ac:dyDescent="0.35">
      <c r="A119" s="16" t="s">
        <v>296</v>
      </c>
      <c r="B119" s="16" t="s">
        <v>297</v>
      </c>
      <c r="C119" s="16" t="s">
        <v>21</v>
      </c>
      <c r="D119" s="16" t="s">
        <v>298</v>
      </c>
      <c r="E119" s="16" t="s">
        <v>167</v>
      </c>
      <c r="F119" s="16" t="s">
        <v>299</v>
      </c>
      <c r="G119" s="49">
        <v>45750</v>
      </c>
      <c r="H119" s="16" t="s">
        <v>443</v>
      </c>
      <c r="I119" s="16" t="s">
        <v>23</v>
      </c>
      <c r="J119" s="49">
        <v>45750</v>
      </c>
      <c r="K119" s="49">
        <v>45752</v>
      </c>
      <c r="L119" s="16" t="s">
        <v>315</v>
      </c>
      <c r="M119" s="61">
        <v>256779410026</v>
      </c>
      <c r="N119" s="16" t="s">
        <v>22</v>
      </c>
      <c r="O119" s="16" t="s">
        <v>300</v>
      </c>
      <c r="P119" s="16" t="s">
        <v>18</v>
      </c>
      <c r="Q119" s="16" t="s">
        <v>312</v>
      </c>
      <c r="R119" s="16"/>
      <c r="S119" s="16" t="s">
        <v>110</v>
      </c>
      <c r="T119" s="50">
        <v>45.68</v>
      </c>
      <c r="U119" s="16" t="s">
        <v>20</v>
      </c>
      <c r="V119" s="50">
        <v>3970.59</v>
      </c>
      <c r="W119" s="16">
        <f t="shared" si="7"/>
        <v>86.921847635726792</v>
      </c>
      <c r="X119" s="16" t="s">
        <v>18</v>
      </c>
      <c r="Y119" s="16" t="s">
        <v>18</v>
      </c>
      <c r="Z119" s="16" t="s">
        <v>315</v>
      </c>
      <c r="AA119" s="16" t="s">
        <v>301</v>
      </c>
      <c r="AB119" s="16">
        <f>_xlfn.XLOOKUP(M119,'Customer Data'!$D:$D,'Customer Data'!$H:$H,,0)</f>
        <v>-45.68</v>
      </c>
      <c r="AC119" s="62">
        <f t="shared" si="14"/>
        <v>0</v>
      </c>
      <c r="AD119" s="16" t="s">
        <v>444</v>
      </c>
      <c r="AE119" s="16" t="s">
        <v>18</v>
      </c>
      <c r="AF119" s="16" t="s">
        <v>18</v>
      </c>
      <c r="AG119" s="16" t="s">
        <v>18</v>
      </c>
      <c r="AH119" s="49">
        <v>45750</v>
      </c>
      <c r="AI119" s="49">
        <v>45855</v>
      </c>
      <c r="AJ119" s="16" t="s">
        <v>304</v>
      </c>
    </row>
    <row r="120" spans="1:36" hidden="1" x14ac:dyDescent="0.35">
      <c r="A120" s="16" t="s">
        <v>296</v>
      </c>
      <c r="B120" s="16" t="s">
        <v>297</v>
      </c>
      <c r="C120" s="16" t="s">
        <v>21</v>
      </c>
      <c r="D120" s="16" t="s">
        <v>298</v>
      </c>
      <c r="E120" s="16" t="s">
        <v>167</v>
      </c>
      <c r="F120" s="16" t="s">
        <v>299</v>
      </c>
      <c r="G120" s="49">
        <v>45750</v>
      </c>
      <c r="H120" s="16" t="s">
        <v>445</v>
      </c>
      <c r="I120" s="16" t="s">
        <v>23</v>
      </c>
      <c r="J120" s="49">
        <v>45750</v>
      </c>
      <c r="K120" s="49">
        <v>45752</v>
      </c>
      <c r="L120" s="16" t="s">
        <v>315</v>
      </c>
      <c r="M120" s="61">
        <v>256779410027</v>
      </c>
      <c r="N120" s="16" t="s">
        <v>22</v>
      </c>
      <c r="O120" s="16" t="s">
        <v>300</v>
      </c>
      <c r="P120" s="16" t="s">
        <v>18</v>
      </c>
      <c r="Q120" s="16" t="s">
        <v>312</v>
      </c>
      <c r="R120" s="16"/>
      <c r="S120" s="16" t="s">
        <v>110</v>
      </c>
      <c r="T120" s="50">
        <v>56.64</v>
      </c>
      <c r="U120" s="16" t="s">
        <v>20</v>
      </c>
      <c r="V120" s="50">
        <v>4923.25</v>
      </c>
      <c r="W120" s="16">
        <f t="shared" si="7"/>
        <v>86.921786723163848</v>
      </c>
      <c r="X120" s="16" t="s">
        <v>18</v>
      </c>
      <c r="Y120" s="16" t="s">
        <v>18</v>
      </c>
      <c r="Z120" s="16" t="s">
        <v>315</v>
      </c>
      <c r="AA120" s="16" t="s">
        <v>301</v>
      </c>
      <c r="AB120" s="16">
        <f>_xlfn.XLOOKUP(M120,'Customer Data'!$D:$D,'Customer Data'!$H:$H,,0)</f>
        <v>-56.64</v>
      </c>
      <c r="AC120" s="62">
        <f t="shared" si="14"/>
        <v>0</v>
      </c>
      <c r="AD120" s="16" t="s">
        <v>446</v>
      </c>
      <c r="AE120" s="16" t="s">
        <v>18</v>
      </c>
      <c r="AF120" s="16" t="s">
        <v>18</v>
      </c>
      <c r="AG120" s="16" t="s">
        <v>18</v>
      </c>
      <c r="AH120" s="49">
        <v>45750</v>
      </c>
      <c r="AI120" s="49">
        <v>45855</v>
      </c>
      <c r="AJ120" s="16" t="s">
        <v>304</v>
      </c>
    </row>
    <row r="121" spans="1:36" hidden="1" x14ac:dyDescent="0.35">
      <c r="A121" s="16" t="s">
        <v>296</v>
      </c>
      <c r="B121" s="16" t="s">
        <v>297</v>
      </c>
      <c r="C121" s="16" t="s">
        <v>21</v>
      </c>
      <c r="D121" s="16" t="s">
        <v>298</v>
      </c>
      <c r="E121" s="16" t="s">
        <v>167</v>
      </c>
      <c r="F121" s="16" t="s">
        <v>299</v>
      </c>
      <c r="G121" s="49">
        <v>45750</v>
      </c>
      <c r="H121" s="16" t="s">
        <v>447</v>
      </c>
      <c r="I121" s="16" t="s">
        <v>23</v>
      </c>
      <c r="J121" s="49">
        <v>45750</v>
      </c>
      <c r="K121" s="49">
        <v>45752</v>
      </c>
      <c r="L121" s="16" t="s">
        <v>315</v>
      </c>
      <c r="M121" s="61">
        <v>256779410028</v>
      </c>
      <c r="N121" s="16" t="s">
        <v>22</v>
      </c>
      <c r="O121" s="16" t="s">
        <v>300</v>
      </c>
      <c r="P121" s="16" t="s">
        <v>18</v>
      </c>
      <c r="Q121" s="16" t="s">
        <v>312</v>
      </c>
      <c r="R121" s="16"/>
      <c r="S121" s="16" t="s">
        <v>110</v>
      </c>
      <c r="T121" s="50">
        <v>455.62</v>
      </c>
      <c r="U121" s="16" t="s">
        <v>20</v>
      </c>
      <c r="V121" s="50">
        <v>39603.32</v>
      </c>
      <c r="W121" s="16">
        <f t="shared" si="7"/>
        <v>86.921820815591943</v>
      </c>
      <c r="X121" s="16" t="s">
        <v>18</v>
      </c>
      <c r="Y121" s="16" t="s">
        <v>18</v>
      </c>
      <c r="Z121" s="16" t="s">
        <v>315</v>
      </c>
      <c r="AA121" s="16" t="s">
        <v>301</v>
      </c>
      <c r="AB121" s="16">
        <f>_xlfn.XLOOKUP(M121,'Customer Data'!$D:$D,'Customer Data'!$H:$H,,0)</f>
        <v>-455.62</v>
      </c>
      <c r="AC121" s="62">
        <f t="shared" si="14"/>
        <v>0</v>
      </c>
      <c r="AD121" s="16" t="s">
        <v>448</v>
      </c>
      <c r="AE121" s="16" t="s">
        <v>18</v>
      </c>
      <c r="AF121" s="16" t="s">
        <v>18</v>
      </c>
      <c r="AG121" s="16" t="s">
        <v>18</v>
      </c>
      <c r="AH121" s="49">
        <v>45750</v>
      </c>
      <c r="AI121" s="49">
        <v>45855</v>
      </c>
      <c r="AJ121" s="16" t="s">
        <v>304</v>
      </c>
    </row>
    <row r="122" spans="1:36" hidden="1" x14ac:dyDescent="0.35">
      <c r="A122" s="16" t="s">
        <v>296</v>
      </c>
      <c r="B122" s="16" t="s">
        <v>297</v>
      </c>
      <c r="C122" s="16" t="s">
        <v>21</v>
      </c>
      <c r="D122" s="16" t="s">
        <v>298</v>
      </c>
      <c r="E122" s="16" t="s">
        <v>167</v>
      </c>
      <c r="F122" s="16" t="s">
        <v>299</v>
      </c>
      <c r="G122" s="49">
        <v>45750</v>
      </c>
      <c r="H122" s="16" t="s">
        <v>449</v>
      </c>
      <c r="I122" s="16" t="s">
        <v>23</v>
      </c>
      <c r="J122" s="49">
        <v>45750</v>
      </c>
      <c r="K122" s="49">
        <v>45752</v>
      </c>
      <c r="L122" s="16" t="s">
        <v>315</v>
      </c>
      <c r="M122" s="61">
        <v>256779410029</v>
      </c>
      <c r="N122" s="16" t="s">
        <v>22</v>
      </c>
      <c r="O122" s="16" t="s">
        <v>300</v>
      </c>
      <c r="P122" s="16" t="s">
        <v>18</v>
      </c>
      <c r="Q122" s="16" t="s">
        <v>312</v>
      </c>
      <c r="R122" s="16"/>
      <c r="S122" s="16" t="s">
        <v>110</v>
      </c>
      <c r="T122" s="50">
        <v>210</v>
      </c>
      <c r="U122" s="16" t="s">
        <v>20</v>
      </c>
      <c r="V122" s="50">
        <v>18253.580000000002</v>
      </c>
      <c r="W122" s="16">
        <f t="shared" si="7"/>
        <v>86.921809523809529</v>
      </c>
      <c r="X122" s="16" t="s">
        <v>18</v>
      </c>
      <c r="Y122" s="16" t="s">
        <v>18</v>
      </c>
      <c r="Z122" s="16" t="s">
        <v>315</v>
      </c>
      <c r="AA122" s="16" t="s">
        <v>301</v>
      </c>
      <c r="AB122" s="16">
        <f>_xlfn.XLOOKUP(M122,'Customer Data'!$D:$D,'Customer Data'!$H:$H,,0)</f>
        <v>-210</v>
      </c>
      <c r="AC122" s="62">
        <f t="shared" si="14"/>
        <v>0</v>
      </c>
      <c r="AD122" s="16" t="s">
        <v>450</v>
      </c>
      <c r="AE122" s="16" t="s">
        <v>18</v>
      </c>
      <c r="AF122" s="16" t="s">
        <v>18</v>
      </c>
      <c r="AG122" s="16" t="s">
        <v>18</v>
      </c>
      <c r="AH122" s="49">
        <v>45750</v>
      </c>
      <c r="AI122" s="49">
        <v>45855</v>
      </c>
      <c r="AJ122" s="16" t="s">
        <v>304</v>
      </c>
    </row>
    <row r="123" spans="1:36" hidden="1" x14ac:dyDescent="0.35">
      <c r="A123" s="16" t="s">
        <v>296</v>
      </c>
      <c r="B123" s="16" t="s">
        <v>297</v>
      </c>
      <c r="C123" s="16" t="s">
        <v>21</v>
      </c>
      <c r="D123" s="16" t="s">
        <v>298</v>
      </c>
      <c r="E123" s="16" t="s">
        <v>167</v>
      </c>
      <c r="F123" s="16" t="s">
        <v>299</v>
      </c>
      <c r="G123" s="49">
        <v>45750</v>
      </c>
      <c r="H123" s="16" t="s">
        <v>451</v>
      </c>
      <c r="I123" s="16" t="s">
        <v>23</v>
      </c>
      <c r="J123" s="49">
        <v>45750</v>
      </c>
      <c r="K123" s="49">
        <v>45752</v>
      </c>
      <c r="L123" s="16" t="s">
        <v>315</v>
      </c>
      <c r="M123" s="61">
        <v>256779410030</v>
      </c>
      <c r="N123" s="16" t="s">
        <v>22</v>
      </c>
      <c r="O123" s="16" t="s">
        <v>300</v>
      </c>
      <c r="P123" s="16" t="s">
        <v>18</v>
      </c>
      <c r="Q123" s="16" t="s">
        <v>312</v>
      </c>
      <c r="R123" s="16"/>
      <c r="S123" s="16" t="s">
        <v>110</v>
      </c>
      <c r="T123" s="50">
        <v>70.8</v>
      </c>
      <c r="U123" s="16" t="s">
        <v>20</v>
      </c>
      <c r="V123" s="50">
        <v>6154.06</v>
      </c>
      <c r="W123" s="16">
        <f t="shared" si="7"/>
        <v>86.921751412429387</v>
      </c>
      <c r="X123" s="16" t="s">
        <v>18</v>
      </c>
      <c r="Y123" s="16" t="s">
        <v>18</v>
      </c>
      <c r="Z123" s="16" t="s">
        <v>315</v>
      </c>
      <c r="AA123" s="16" t="s">
        <v>301</v>
      </c>
      <c r="AB123" s="16">
        <f>_xlfn.XLOOKUP(M123,'Customer Data'!$D:$D,'Customer Data'!$H:$H,,0)</f>
        <v>-70.8</v>
      </c>
      <c r="AC123" s="62">
        <f t="shared" si="14"/>
        <v>0</v>
      </c>
      <c r="AD123" s="16" t="s">
        <v>452</v>
      </c>
      <c r="AE123" s="16" t="s">
        <v>18</v>
      </c>
      <c r="AF123" s="16" t="s">
        <v>18</v>
      </c>
      <c r="AG123" s="16" t="s">
        <v>18</v>
      </c>
      <c r="AH123" s="49">
        <v>45750</v>
      </c>
      <c r="AI123" s="49">
        <v>45855</v>
      </c>
      <c r="AJ123" s="16" t="s">
        <v>304</v>
      </c>
    </row>
    <row r="124" spans="1:36" hidden="1" x14ac:dyDescent="0.35">
      <c r="A124" s="16" t="s">
        <v>296</v>
      </c>
      <c r="B124" s="16" t="s">
        <v>297</v>
      </c>
      <c r="C124" s="16" t="s">
        <v>21</v>
      </c>
      <c r="D124" s="16" t="s">
        <v>298</v>
      </c>
      <c r="E124" s="16" t="s">
        <v>167</v>
      </c>
      <c r="F124" s="16" t="s">
        <v>299</v>
      </c>
      <c r="G124" s="49">
        <v>45750</v>
      </c>
      <c r="H124" s="16" t="s">
        <v>453</v>
      </c>
      <c r="I124" s="16" t="s">
        <v>23</v>
      </c>
      <c r="J124" s="49">
        <v>45750</v>
      </c>
      <c r="K124" s="49">
        <v>45752</v>
      </c>
      <c r="L124" s="16" t="s">
        <v>315</v>
      </c>
      <c r="M124" s="61">
        <v>256779410096</v>
      </c>
      <c r="N124" s="16" t="s">
        <v>22</v>
      </c>
      <c r="O124" s="16" t="s">
        <v>300</v>
      </c>
      <c r="P124" s="16" t="s">
        <v>18</v>
      </c>
      <c r="Q124" s="16" t="s">
        <v>312</v>
      </c>
      <c r="R124" s="16"/>
      <c r="S124" s="16" t="s">
        <v>110</v>
      </c>
      <c r="T124" s="50">
        <v>936.54</v>
      </c>
      <c r="U124" s="16" t="s">
        <v>20</v>
      </c>
      <c r="V124" s="50">
        <v>81405.759999999995</v>
      </c>
      <c r="W124" s="16">
        <f t="shared" si="7"/>
        <v>86.921818608922194</v>
      </c>
      <c r="X124" s="16" t="s">
        <v>18</v>
      </c>
      <c r="Y124" s="16" t="s">
        <v>18</v>
      </c>
      <c r="Z124" s="16" t="s">
        <v>315</v>
      </c>
      <c r="AA124" s="16" t="s">
        <v>301</v>
      </c>
      <c r="AB124" s="16">
        <f>_xlfn.XLOOKUP(M124,'Customer Data'!$D:$D,'Customer Data'!$H:$H,,0)</f>
        <v>-936.54</v>
      </c>
      <c r="AC124" s="62">
        <f t="shared" si="14"/>
        <v>0</v>
      </c>
      <c r="AD124" s="16" t="s">
        <v>454</v>
      </c>
      <c r="AE124" s="16" t="s">
        <v>18</v>
      </c>
      <c r="AF124" s="16" t="s">
        <v>18</v>
      </c>
      <c r="AG124" s="16" t="s">
        <v>18</v>
      </c>
      <c r="AH124" s="49">
        <v>45750</v>
      </c>
      <c r="AI124" s="49">
        <v>45855</v>
      </c>
      <c r="AJ124" s="16" t="s">
        <v>304</v>
      </c>
    </row>
    <row r="125" spans="1:36" hidden="1" x14ac:dyDescent="0.35">
      <c r="A125" s="16" t="s">
        <v>296</v>
      </c>
      <c r="B125" s="16" t="s">
        <v>297</v>
      </c>
      <c r="C125" s="16" t="s">
        <v>21</v>
      </c>
      <c r="D125" s="16" t="s">
        <v>298</v>
      </c>
      <c r="E125" s="16" t="s">
        <v>167</v>
      </c>
      <c r="F125" s="16" t="s">
        <v>299</v>
      </c>
      <c r="G125" s="49">
        <v>45750</v>
      </c>
      <c r="H125" s="16" t="s">
        <v>455</v>
      </c>
      <c r="I125" s="16" t="s">
        <v>23</v>
      </c>
      <c r="J125" s="49">
        <v>45750</v>
      </c>
      <c r="K125" s="49">
        <v>45752</v>
      </c>
      <c r="L125" s="16" t="s">
        <v>315</v>
      </c>
      <c r="M125" s="61">
        <v>256779410097</v>
      </c>
      <c r="N125" s="16" t="s">
        <v>22</v>
      </c>
      <c r="O125" s="16" t="s">
        <v>300</v>
      </c>
      <c r="P125" s="16" t="s">
        <v>18</v>
      </c>
      <c r="Q125" s="16" t="s">
        <v>312</v>
      </c>
      <c r="R125" s="16"/>
      <c r="S125" s="16" t="s">
        <v>110</v>
      </c>
      <c r="T125" s="50">
        <v>191.18</v>
      </c>
      <c r="U125" s="16" t="s">
        <v>20</v>
      </c>
      <c r="V125" s="50">
        <v>16617.71</v>
      </c>
      <c r="W125" s="16">
        <f t="shared" si="7"/>
        <v>86.921801443665643</v>
      </c>
      <c r="X125" s="16" t="s">
        <v>18</v>
      </c>
      <c r="Y125" s="16" t="s">
        <v>18</v>
      </c>
      <c r="Z125" s="16" t="s">
        <v>315</v>
      </c>
      <c r="AA125" s="16" t="s">
        <v>301</v>
      </c>
      <c r="AB125" s="16">
        <f>_xlfn.XLOOKUP(M125,'Customer Data'!$D:$D,'Customer Data'!$H:$H,,0)</f>
        <v>-191.18</v>
      </c>
      <c r="AC125" s="62">
        <f t="shared" si="14"/>
        <v>0</v>
      </c>
      <c r="AD125" s="16" t="s">
        <v>456</v>
      </c>
      <c r="AE125" s="16" t="s">
        <v>18</v>
      </c>
      <c r="AF125" s="16" t="s">
        <v>18</v>
      </c>
      <c r="AG125" s="16" t="s">
        <v>18</v>
      </c>
      <c r="AH125" s="49">
        <v>45750</v>
      </c>
      <c r="AI125" s="49">
        <v>45855</v>
      </c>
      <c r="AJ125" s="16" t="s">
        <v>304</v>
      </c>
    </row>
    <row r="126" spans="1:36" hidden="1" x14ac:dyDescent="0.35">
      <c r="A126" s="16" t="s">
        <v>296</v>
      </c>
      <c r="B126" s="16" t="s">
        <v>297</v>
      </c>
      <c r="C126" s="16" t="s">
        <v>21</v>
      </c>
      <c r="D126" s="16" t="s">
        <v>298</v>
      </c>
      <c r="E126" s="16" t="s">
        <v>167</v>
      </c>
      <c r="F126" s="16" t="s">
        <v>299</v>
      </c>
      <c r="G126" s="49">
        <v>45750</v>
      </c>
      <c r="H126" s="16" t="s">
        <v>457</v>
      </c>
      <c r="I126" s="16" t="s">
        <v>23</v>
      </c>
      <c r="J126" s="49">
        <v>45750</v>
      </c>
      <c r="K126" s="49">
        <v>45752</v>
      </c>
      <c r="L126" s="16" t="s">
        <v>315</v>
      </c>
      <c r="M126" s="61">
        <v>256779410180</v>
      </c>
      <c r="N126" s="16" t="s">
        <v>22</v>
      </c>
      <c r="O126" s="16" t="s">
        <v>300</v>
      </c>
      <c r="P126" s="16" t="s">
        <v>18</v>
      </c>
      <c r="Q126" s="16" t="s">
        <v>312</v>
      </c>
      <c r="R126" s="16"/>
      <c r="S126" s="16" t="s">
        <v>110</v>
      </c>
      <c r="T126" s="50">
        <v>68.150000000000006</v>
      </c>
      <c r="U126" s="16" t="s">
        <v>20</v>
      </c>
      <c r="V126" s="50">
        <v>5923.72</v>
      </c>
      <c r="W126" s="16">
        <f t="shared" si="7"/>
        <v>86.921790168745417</v>
      </c>
      <c r="X126" s="16" t="s">
        <v>18</v>
      </c>
      <c r="Y126" s="16" t="s">
        <v>18</v>
      </c>
      <c r="Z126" s="16" t="s">
        <v>315</v>
      </c>
      <c r="AA126" s="16" t="s">
        <v>301</v>
      </c>
      <c r="AB126" s="16">
        <f>_xlfn.XLOOKUP(M126,'Customer Data'!$D:$D,'Customer Data'!$H:$H,,0)</f>
        <v>-68.150000000000006</v>
      </c>
      <c r="AC126" s="62">
        <f t="shared" si="14"/>
        <v>0</v>
      </c>
      <c r="AD126" s="16" t="s">
        <v>458</v>
      </c>
      <c r="AE126" s="16" t="s">
        <v>18</v>
      </c>
      <c r="AF126" s="16" t="s">
        <v>18</v>
      </c>
      <c r="AG126" s="16" t="s">
        <v>18</v>
      </c>
      <c r="AH126" s="49">
        <v>45750</v>
      </c>
      <c r="AI126" s="49">
        <v>45855</v>
      </c>
      <c r="AJ126" s="16" t="s">
        <v>304</v>
      </c>
    </row>
    <row r="127" spans="1:36" hidden="1" x14ac:dyDescent="0.35">
      <c r="A127" s="16" t="s">
        <v>296</v>
      </c>
      <c r="B127" s="16" t="s">
        <v>297</v>
      </c>
      <c r="C127" s="16" t="s">
        <v>21</v>
      </c>
      <c r="D127" s="16" t="s">
        <v>298</v>
      </c>
      <c r="E127" s="16" t="s">
        <v>167</v>
      </c>
      <c r="F127" s="16" t="s">
        <v>299</v>
      </c>
      <c r="G127" s="49">
        <v>45750</v>
      </c>
      <c r="H127" s="16" t="s">
        <v>459</v>
      </c>
      <c r="I127" s="16" t="s">
        <v>23</v>
      </c>
      <c r="J127" s="49">
        <v>45750</v>
      </c>
      <c r="K127" s="49">
        <v>45752</v>
      </c>
      <c r="L127" s="16" t="s">
        <v>315</v>
      </c>
      <c r="M127" s="61">
        <v>256779410384</v>
      </c>
      <c r="N127" s="16" t="s">
        <v>22</v>
      </c>
      <c r="O127" s="16" t="s">
        <v>300</v>
      </c>
      <c r="P127" s="16" t="s">
        <v>18</v>
      </c>
      <c r="Q127" s="16" t="s">
        <v>312</v>
      </c>
      <c r="R127" s="16"/>
      <c r="S127" s="16" t="s">
        <v>110</v>
      </c>
      <c r="T127" s="50">
        <v>6963.96</v>
      </c>
      <c r="U127" s="16" t="s">
        <v>20</v>
      </c>
      <c r="V127" s="50">
        <v>605320.07999999996</v>
      </c>
      <c r="W127" s="16">
        <f t="shared" si="7"/>
        <v>86.921820343597602</v>
      </c>
      <c r="X127" s="16" t="s">
        <v>18</v>
      </c>
      <c r="Y127" s="16" t="s">
        <v>18</v>
      </c>
      <c r="Z127" s="16" t="s">
        <v>315</v>
      </c>
      <c r="AA127" s="16" t="s">
        <v>301</v>
      </c>
      <c r="AB127" s="16">
        <f>_xlfn.XLOOKUP(M127,'Customer Data'!$D:$D,'Customer Data'!$H:$H,,0)</f>
        <v>-6963.96</v>
      </c>
      <c r="AC127" s="62">
        <f t="shared" si="14"/>
        <v>0</v>
      </c>
      <c r="AD127" s="16" t="s">
        <v>382</v>
      </c>
      <c r="AE127" s="16" t="s">
        <v>18</v>
      </c>
      <c r="AF127" s="16" t="s">
        <v>18</v>
      </c>
      <c r="AG127" s="16" t="s">
        <v>18</v>
      </c>
      <c r="AH127" s="49">
        <v>45750</v>
      </c>
      <c r="AI127" s="49">
        <v>45855</v>
      </c>
      <c r="AJ127" s="16" t="s">
        <v>304</v>
      </c>
    </row>
    <row r="128" spans="1:36" x14ac:dyDescent="0.35">
      <c r="A128" s="16" t="s">
        <v>307</v>
      </c>
      <c r="B128" s="16" t="s">
        <v>297</v>
      </c>
      <c r="C128" s="16" t="s">
        <v>21</v>
      </c>
      <c r="D128" s="16" t="s">
        <v>298</v>
      </c>
      <c r="E128" s="16" t="s">
        <v>167</v>
      </c>
      <c r="F128" s="16" t="s">
        <v>299</v>
      </c>
      <c r="G128" s="49">
        <v>45768</v>
      </c>
      <c r="H128" s="16" t="s">
        <v>460</v>
      </c>
      <c r="I128" s="16" t="s">
        <v>23</v>
      </c>
      <c r="J128" s="49">
        <v>45768</v>
      </c>
      <c r="K128" s="49">
        <v>45769</v>
      </c>
      <c r="L128" s="16" t="s">
        <v>315</v>
      </c>
      <c r="M128" s="61">
        <v>256779412191</v>
      </c>
      <c r="N128" s="16" t="s">
        <v>22</v>
      </c>
      <c r="O128" s="16" t="s">
        <v>300</v>
      </c>
      <c r="P128" s="16" t="s">
        <v>18</v>
      </c>
      <c r="Q128" s="16" t="s">
        <v>312</v>
      </c>
      <c r="R128" s="16" t="str">
        <f>_xlfn.XLOOKUP(M128,'Invoice No Ref'!$C:$C,'Invoice No Ref'!$I:$I,,0)</f>
        <v>6779IV124000234</v>
      </c>
      <c r="S128" s="16" t="s">
        <v>110</v>
      </c>
      <c r="T128" s="50">
        <v>19567.14</v>
      </c>
      <c r="U128" s="16" t="s">
        <v>20</v>
      </c>
      <c r="V128" s="50">
        <v>1700811.42</v>
      </c>
      <c r="W128" s="16">
        <f t="shared" si="7"/>
        <v>86.921819949159655</v>
      </c>
      <c r="X128" s="16" t="s">
        <v>718</v>
      </c>
      <c r="Y128" s="16" t="s">
        <v>18</v>
      </c>
      <c r="Z128" s="16" t="s">
        <v>315</v>
      </c>
      <c r="AA128" s="16" t="s">
        <v>301</v>
      </c>
      <c r="AB128" s="16">
        <f>_xlfn.XLOOKUP(R128,'Customer Data'!$D:$D,'Customer Data'!$F:$F,,0)</f>
        <v>-19671.64</v>
      </c>
      <c r="AC128" s="62">
        <f t="shared" si="14"/>
        <v>-104.5</v>
      </c>
      <c r="AD128" s="16" t="s">
        <v>90</v>
      </c>
      <c r="AE128" s="16" t="s">
        <v>18</v>
      </c>
      <c r="AF128" s="16" t="s">
        <v>18</v>
      </c>
      <c r="AG128" s="16" t="s">
        <v>18</v>
      </c>
      <c r="AH128" s="49">
        <v>45768</v>
      </c>
      <c r="AI128" s="49"/>
      <c r="AJ128" s="16" t="s">
        <v>18</v>
      </c>
    </row>
    <row r="129" spans="1:36" hidden="1" x14ac:dyDescent="0.35">
      <c r="A129" s="16" t="s">
        <v>307</v>
      </c>
      <c r="B129" s="16" t="s">
        <v>297</v>
      </c>
      <c r="C129" s="16" t="s">
        <v>21</v>
      </c>
      <c r="D129" s="16" t="s">
        <v>298</v>
      </c>
      <c r="E129" s="16" t="s">
        <v>167</v>
      </c>
      <c r="F129" s="16" t="s">
        <v>299</v>
      </c>
      <c r="G129" s="49">
        <v>45768</v>
      </c>
      <c r="H129" s="16" t="s">
        <v>461</v>
      </c>
      <c r="I129" s="16" t="s">
        <v>23</v>
      </c>
      <c r="J129" s="49">
        <v>45768</v>
      </c>
      <c r="K129" s="49">
        <v>45769</v>
      </c>
      <c r="L129" s="16" t="s">
        <v>315</v>
      </c>
      <c r="M129" s="61">
        <v>256779412350</v>
      </c>
      <c r="N129" s="16" t="s">
        <v>22</v>
      </c>
      <c r="O129" s="16" t="s">
        <v>300</v>
      </c>
      <c r="P129" s="16" t="s">
        <v>18</v>
      </c>
      <c r="Q129" s="16" t="s">
        <v>312</v>
      </c>
      <c r="R129" s="16" t="str">
        <f>_xlfn.XLOOKUP(M129,'Invoice No Ref'!$C:$C,'Invoice No Ref'!$I:$I,,0)</f>
        <v>6779IV124000242</v>
      </c>
      <c r="S129" s="16" t="s">
        <v>110</v>
      </c>
      <c r="T129" s="50">
        <v>22667.75</v>
      </c>
      <c r="U129" s="16" t="s">
        <v>20</v>
      </c>
      <c r="V129" s="50">
        <v>1970322.09</v>
      </c>
      <c r="W129" s="16">
        <f t="shared" si="7"/>
        <v>86.921820207122451</v>
      </c>
      <c r="X129" s="16" t="s">
        <v>718</v>
      </c>
      <c r="Y129" s="16" t="s">
        <v>18</v>
      </c>
      <c r="Z129" s="16" t="s">
        <v>315</v>
      </c>
      <c r="AA129" s="16" t="s">
        <v>301</v>
      </c>
      <c r="AB129" s="16">
        <f>_xlfn.XLOOKUP(R129,'Customer Data'!$D:$D,'Customer Data'!$F:$F,,0)</f>
        <v>-22667.75</v>
      </c>
      <c r="AC129" s="62">
        <f t="shared" si="14"/>
        <v>0</v>
      </c>
      <c r="AD129" s="16" t="s">
        <v>50</v>
      </c>
      <c r="AE129" s="16" t="s">
        <v>18</v>
      </c>
      <c r="AF129" s="16" t="s">
        <v>18</v>
      </c>
      <c r="AG129" s="16" t="s">
        <v>18</v>
      </c>
      <c r="AH129" s="49">
        <v>45768</v>
      </c>
      <c r="AI129" s="49"/>
      <c r="AJ129" s="16" t="s">
        <v>18</v>
      </c>
    </row>
    <row r="130" spans="1:36" hidden="1" x14ac:dyDescent="0.35">
      <c r="A130" s="16" t="s">
        <v>307</v>
      </c>
      <c r="B130" s="16" t="s">
        <v>297</v>
      </c>
      <c r="C130" s="16" t="s">
        <v>21</v>
      </c>
      <c r="D130" s="16" t="s">
        <v>298</v>
      </c>
      <c r="E130" s="16" t="s">
        <v>167</v>
      </c>
      <c r="F130" s="16" t="s">
        <v>299</v>
      </c>
      <c r="G130" s="49">
        <v>45768</v>
      </c>
      <c r="H130" s="16" t="s">
        <v>462</v>
      </c>
      <c r="I130" s="16" t="s">
        <v>23</v>
      </c>
      <c r="J130" s="49">
        <v>45768</v>
      </c>
      <c r="K130" s="49">
        <v>45769</v>
      </c>
      <c r="L130" s="16" t="s">
        <v>315</v>
      </c>
      <c r="M130" s="61">
        <v>256779412380</v>
      </c>
      <c r="N130" s="16" t="s">
        <v>22</v>
      </c>
      <c r="O130" s="16" t="s">
        <v>300</v>
      </c>
      <c r="P130" s="16" t="s">
        <v>18</v>
      </c>
      <c r="Q130" s="16" t="s">
        <v>312</v>
      </c>
      <c r="R130" s="16" t="str">
        <f>_xlfn.XLOOKUP(M130,'Invoice No Ref'!$C:$C,'Invoice No Ref'!$I:$I,,0)</f>
        <v>6779IV124000265</v>
      </c>
      <c r="S130" s="16" t="s">
        <v>110</v>
      </c>
      <c r="T130" s="50">
        <v>16559.87</v>
      </c>
      <c r="U130" s="16" t="s">
        <v>20</v>
      </c>
      <c r="V130" s="50">
        <v>1439414.04</v>
      </c>
      <c r="W130" s="16">
        <f t="shared" si="7"/>
        <v>86.921820038442334</v>
      </c>
      <c r="X130" s="16" t="s">
        <v>718</v>
      </c>
      <c r="Y130" s="16" t="s">
        <v>18</v>
      </c>
      <c r="Z130" s="16" t="s">
        <v>315</v>
      </c>
      <c r="AA130" s="16" t="s">
        <v>301</v>
      </c>
      <c r="AB130" s="16">
        <f>_xlfn.XLOOKUP(R130,'Customer Data'!$D:$D,'Customer Data'!$F:$F,,0)</f>
        <v>-16559.87</v>
      </c>
      <c r="AC130" s="62">
        <f t="shared" si="14"/>
        <v>0</v>
      </c>
      <c r="AD130" s="16" t="s">
        <v>91</v>
      </c>
      <c r="AE130" s="16" t="s">
        <v>18</v>
      </c>
      <c r="AF130" s="16" t="s">
        <v>18</v>
      </c>
      <c r="AG130" s="16" t="s">
        <v>18</v>
      </c>
      <c r="AH130" s="49">
        <v>45768</v>
      </c>
      <c r="AI130" s="49"/>
      <c r="AJ130" s="16" t="s">
        <v>18</v>
      </c>
    </row>
    <row r="131" spans="1:36" hidden="1" x14ac:dyDescent="0.35">
      <c r="A131" s="16" t="s">
        <v>307</v>
      </c>
      <c r="B131" s="16" t="s">
        <v>297</v>
      </c>
      <c r="C131" s="16" t="s">
        <v>21</v>
      </c>
      <c r="D131" s="16" t="s">
        <v>298</v>
      </c>
      <c r="E131" s="16" t="s">
        <v>167</v>
      </c>
      <c r="F131" s="16" t="s">
        <v>310</v>
      </c>
      <c r="G131" s="49">
        <v>45734</v>
      </c>
      <c r="H131" s="16" t="s">
        <v>463</v>
      </c>
      <c r="I131" s="16" t="s">
        <v>23</v>
      </c>
      <c r="J131" s="49">
        <v>45734</v>
      </c>
      <c r="K131" s="49">
        <v>45735</v>
      </c>
      <c r="L131" s="16" t="s">
        <v>315</v>
      </c>
      <c r="M131" s="61">
        <v>246779412401</v>
      </c>
      <c r="N131" s="16" t="s">
        <v>22</v>
      </c>
      <c r="O131" s="16" t="s">
        <v>300</v>
      </c>
      <c r="P131" s="16" t="s">
        <v>18</v>
      </c>
      <c r="Q131" s="16" t="s">
        <v>312</v>
      </c>
      <c r="R131" s="16" t="str">
        <f>_xlfn.XLOOKUP(M131,'Invoice No Ref'!$C:$C,'Invoice No Ref'!$I:$I,,0)</f>
        <v>6779IV124000249</v>
      </c>
      <c r="S131" s="16" t="s">
        <v>110</v>
      </c>
      <c r="T131" s="50">
        <v>23761.19</v>
      </c>
      <c r="U131" s="16" t="s">
        <v>20</v>
      </c>
      <c r="V131" s="50">
        <v>2059887.5</v>
      </c>
      <c r="W131" s="16">
        <f t="shared" ref="W131:W194" si="15">V131/T131</f>
        <v>86.691259991608163</v>
      </c>
      <c r="X131" s="16" t="s">
        <v>718</v>
      </c>
      <c r="Y131" s="16" t="s">
        <v>18</v>
      </c>
      <c r="Z131" s="16" t="s">
        <v>315</v>
      </c>
      <c r="AA131" s="16" t="s">
        <v>301</v>
      </c>
      <c r="AB131" s="16">
        <f>_xlfn.XLOOKUP(R131,'Customer Data'!$D:$D,'Customer Data'!$F:$F,,0)</f>
        <v>-23761.19</v>
      </c>
      <c r="AC131" s="62">
        <f t="shared" si="14"/>
        <v>0</v>
      </c>
      <c r="AD131" s="16" t="s">
        <v>49</v>
      </c>
      <c r="AE131" s="16" t="s">
        <v>18</v>
      </c>
      <c r="AF131" s="16" t="s">
        <v>18</v>
      </c>
      <c r="AG131" s="16" t="s">
        <v>18</v>
      </c>
      <c r="AH131" s="49">
        <v>45734</v>
      </c>
      <c r="AI131" s="49"/>
      <c r="AJ131" s="16" t="s">
        <v>18</v>
      </c>
    </row>
    <row r="132" spans="1:36" hidden="1" x14ac:dyDescent="0.35">
      <c r="A132" s="16" t="s">
        <v>307</v>
      </c>
      <c r="B132" s="16" t="s">
        <v>297</v>
      </c>
      <c r="C132" s="16" t="s">
        <v>21</v>
      </c>
      <c r="D132" s="16" t="s">
        <v>298</v>
      </c>
      <c r="E132" s="16" t="s">
        <v>167</v>
      </c>
      <c r="F132" s="16" t="s">
        <v>310</v>
      </c>
      <c r="G132" s="49">
        <v>45734</v>
      </c>
      <c r="H132" s="16" t="s">
        <v>464</v>
      </c>
      <c r="I132" s="16" t="s">
        <v>23</v>
      </c>
      <c r="J132" s="49">
        <v>45734</v>
      </c>
      <c r="K132" s="49">
        <v>45735</v>
      </c>
      <c r="L132" s="16" t="s">
        <v>315</v>
      </c>
      <c r="M132" s="61">
        <v>246779412406</v>
      </c>
      <c r="N132" s="16" t="s">
        <v>22</v>
      </c>
      <c r="O132" s="16" t="s">
        <v>300</v>
      </c>
      <c r="P132" s="16" t="s">
        <v>18</v>
      </c>
      <c r="Q132" s="16" t="s">
        <v>312</v>
      </c>
      <c r="R132" s="16" t="str">
        <f>_xlfn.XLOOKUP(M132,'Invoice No Ref'!$C:$C,'Invoice No Ref'!$I:$I,,0)</f>
        <v>6779IV124000257</v>
      </c>
      <c r="S132" s="16" t="s">
        <v>110</v>
      </c>
      <c r="T132" s="50">
        <v>19515.21</v>
      </c>
      <c r="U132" s="16" t="s">
        <v>20</v>
      </c>
      <c r="V132" s="50">
        <v>1691798.14</v>
      </c>
      <c r="W132" s="16">
        <f t="shared" si="15"/>
        <v>86.691259791721436</v>
      </c>
      <c r="X132" s="16" t="s">
        <v>718</v>
      </c>
      <c r="Y132" s="16" t="s">
        <v>18</v>
      </c>
      <c r="Z132" s="16" t="s">
        <v>315</v>
      </c>
      <c r="AA132" s="16" t="s">
        <v>301</v>
      </c>
      <c r="AB132" s="16">
        <f>_xlfn.XLOOKUP(R132,'Customer Data'!$D:$D,'Customer Data'!$F:$F,,0)</f>
        <v>-19515.21</v>
      </c>
      <c r="AC132" s="62">
        <f t="shared" si="14"/>
        <v>0</v>
      </c>
      <c r="AD132" s="16" t="s">
        <v>50</v>
      </c>
      <c r="AE132" s="16" t="s">
        <v>18</v>
      </c>
      <c r="AF132" s="16" t="s">
        <v>18</v>
      </c>
      <c r="AG132" s="16" t="s">
        <v>18</v>
      </c>
      <c r="AH132" s="49">
        <v>45734</v>
      </c>
      <c r="AI132" s="49"/>
      <c r="AJ132" s="16" t="s">
        <v>18</v>
      </c>
    </row>
    <row r="133" spans="1:36" hidden="1" x14ac:dyDescent="0.35">
      <c r="A133" s="16" t="s">
        <v>307</v>
      </c>
      <c r="B133" s="16" t="s">
        <v>297</v>
      </c>
      <c r="C133" s="16" t="s">
        <v>21</v>
      </c>
      <c r="D133" s="16" t="s">
        <v>298</v>
      </c>
      <c r="E133" s="16" t="s">
        <v>167</v>
      </c>
      <c r="F133" s="16" t="s">
        <v>310</v>
      </c>
      <c r="G133" s="49">
        <v>45735</v>
      </c>
      <c r="H133" s="16" t="s">
        <v>465</v>
      </c>
      <c r="I133" s="16" t="s">
        <v>23</v>
      </c>
      <c r="J133" s="49">
        <v>45735</v>
      </c>
      <c r="K133" s="49">
        <v>45736</v>
      </c>
      <c r="L133" s="16" t="s">
        <v>315</v>
      </c>
      <c r="M133" s="61">
        <v>246779413108</v>
      </c>
      <c r="N133" s="16" t="s">
        <v>22</v>
      </c>
      <c r="O133" s="16" t="s">
        <v>300</v>
      </c>
      <c r="P133" s="16" t="s">
        <v>18</v>
      </c>
      <c r="Q133" s="16" t="s">
        <v>312</v>
      </c>
      <c r="R133" s="16" t="e">
        <f>_xlfn.XLOOKUP(M133,'Invoice No Ref'!$C:$C,'Invoice No Ref'!$I:$I,,0)</f>
        <v>#N/A</v>
      </c>
      <c r="S133" s="16" t="s">
        <v>110</v>
      </c>
      <c r="T133" s="50">
        <v>78.12</v>
      </c>
      <c r="U133" s="16" t="s">
        <v>20</v>
      </c>
      <c r="V133" s="50">
        <v>6772.32</v>
      </c>
      <c r="W133" s="16">
        <f t="shared" si="15"/>
        <v>86.691244239631331</v>
      </c>
      <c r="X133" s="16" t="s">
        <v>718</v>
      </c>
      <c r="Y133" s="16" t="s">
        <v>18</v>
      </c>
      <c r="Z133" s="16" t="s">
        <v>315</v>
      </c>
      <c r="AA133" s="16" t="s">
        <v>301</v>
      </c>
      <c r="AB133" s="16" t="e">
        <f>_xlfn.XLOOKUP(R133,'Customer Data'!$D:$D,'Customer Data'!$F:$F,,0)</f>
        <v>#N/A</v>
      </c>
      <c r="AC133" s="16"/>
      <c r="AD133" s="16" t="s">
        <v>51</v>
      </c>
      <c r="AE133" s="16" t="s">
        <v>18</v>
      </c>
      <c r="AF133" s="16" t="s">
        <v>18</v>
      </c>
      <c r="AG133" s="16" t="s">
        <v>18</v>
      </c>
      <c r="AH133" s="49">
        <v>45735</v>
      </c>
      <c r="AI133" s="49"/>
      <c r="AJ133" s="16" t="s">
        <v>18</v>
      </c>
    </row>
    <row r="134" spans="1:36" hidden="1" x14ac:dyDescent="0.35">
      <c r="A134" s="16" t="s">
        <v>307</v>
      </c>
      <c r="B134" s="16" t="s">
        <v>297</v>
      </c>
      <c r="C134" s="16" t="s">
        <v>21</v>
      </c>
      <c r="D134" s="16" t="s">
        <v>298</v>
      </c>
      <c r="E134" s="16" t="s">
        <v>167</v>
      </c>
      <c r="F134" s="16" t="s">
        <v>310</v>
      </c>
      <c r="G134" s="49">
        <v>45735</v>
      </c>
      <c r="H134" s="16" t="s">
        <v>466</v>
      </c>
      <c r="I134" s="16" t="s">
        <v>23</v>
      </c>
      <c r="J134" s="49">
        <v>45735</v>
      </c>
      <c r="K134" s="49">
        <v>45736</v>
      </c>
      <c r="L134" s="16" t="s">
        <v>315</v>
      </c>
      <c r="M134" s="61">
        <v>246779413109</v>
      </c>
      <c r="N134" s="16" t="s">
        <v>22</v>
      </c>
      <c r="O134" s="16" t="s">
        <v>300</v>
      </c>
      <c r="P134" s="16" t="s">
        <v>18</v>
      </c>
      <c r="Q134" s="16" t="s">
        <v>312</v>
      </c>
      <c r="R134" s="16" t="e">
        <f>_xlfn.XLOOKUP(M134,'Invoice No Ref'!$C:$C,'Invoice No Ref'!$I:$I,,0)</f>
        <v>#N/A</v>
      </c>
      <c r="S134" s="16" t="s">
        <v>110</v>
      </c>
      <c r="T134" s="50">
        <v>166.09</v>
      </c>
      <c r="U134" s="16" t="s">
        <v>20</v>
      </c>
      <c r="V134" s="50">
        <v>14398.55</v>
      </c>
      <c r="W134" s="16">
        <f t="shared" si="15"/>
        <v>86.691251730989222</v>
      </c>
      <c r="X134" s="16" t="s">
        <v>718</v>
      </c>
      <c r="Y134" s="16" t="s">
        <v>18</v>
      </c>
      <c r="Z134" s="16" t="s">
        <v>315</v>
      </c>
      <c r="AA134" s="16" t="s">
        <v>301</v>
      </c>
      <c r="AB134" s="16" t="e">
        <f>_xlfn.XLOOKUP(R134,'Customer Data'!$D:$D,'Customer Data'!$F:$F,,0)</f>
        <v>#N/A</v>
      </c>
      <c r="AC134" s="16"/>
      <c r="AD134" s="16" t="s">
        <v>52</v>
      </c>
      <c r="AE134" s="16" t="s">
        <v>18</v>
      </c>
      <c r="AF134" s="16" t="s">
        <v>18</v>
      </c>
      <c r="AG134" s="16" t="s">
        <v>18</v>
      </c>
      <c r="AH134" s="49">
        <v>45735</v>
      </c>
      <c r="AI134" s="49"/>
      <c r="AJ134" s="16" t="s">
        <v>18</v>
      </c>
    </row>
    <row r="135" spans="1:36" hidden="1" x14ac:dyDescent="0.35">
      <c r="A135" s="16" t="s">
        <v>307</v>
      </c>
      <c r="B135" s="16" t="s">
        <v>297</v>
      </c>
      <c r="C135" s="16" t="s">
        <v>21</v>
      </c>
      <c r="D135" s="16" t="s">
        <v>298</v>
      </c>
      <c r="E135" s="16" t="s">
        <v>167</v>
      </c>
      <c r="F135" s="16" t="s">
        <v>310</v>
      </c>
      <c r="G135" s="49">
        <v>45735</v>
      </c>
      <c r="H135" s="16" t="s">
        <v>467</v>
      </c>
      <c r="I135" s="16" t="s">
        <v>23</v>
      </c>
      <c r="J135" s="49">
        <v>45735</v>
      </c>
      <c r="K135" s="49">
        <v>45736</v>
      </c>
      <c r="L135" s="16" t="s">
        <v>315</v>
      </c>
      <c r="M135" s="61">
        <v>246779413110</v>
      </c>
      <c r="N135" s="16" t="s">
        <v>22</v>
      </c>
      <c r="O135" s="16" t="s">
        <v>300</v>
      </c>
      <c r="P135" s="16" t="s">
        <v>18</v>
      </c>
      <c r="Q135" s="16" t="s">
        <v>312</v>
      </c>
      <c r="R135" s="16" t="e">
        <f>_xlfn.XLOOKUP(M135,'Invoice No Ref'!$C:$C,'Invoice No Ref'!$I:$I,,0)</f>
        <v>#N/A</v>
      </c>
      <c r="S135" s="16" t="s">
        <v>110</v>
      </c>
      <c r="T135" s="50">
        <v>76.72</v>
      </c>
      <c r="U135" s="16" t="s">
        <v>20</v>
      </c>
      <c r="V135" s="50">
        <v>6650.95</v>
      </c>
      <c r="W135" s="16">
        <f t="shared" si="15"/>
        <v>86.691214807090716</v>
      </c>
      <c r="X135" s="16" t="s">
        <v>718</v>
      </c>
      <c r="Y135" s="16" t="s">
        <v>18</v>
      </c>
      <c r="Z135" s="16" t="s">
        <v>315</v>
      </c>
      <c r="AA135" s="16" t="s">
        <v>301</v>
      </c>
      <c r="AB135" s="16" t="e">
        <f>_xlfn.XLOOKUP(R135,'Customer Data'!$D:$D,'Customer Data'!$F:$F,,0)</f>
        <v>#N/A</v>
      </c>
      <c r="AC135" s="16"/>
      <c r="AD135" s="16" t="s">
        <v>52</v>
      </c>
      <c r="AE135" s="16" t="s">
        <v>18</v>
      </c>
      <c r="AF135" s="16" t="s">
        <v>18</v>
      </c>
      <c r="AG135" s="16" t="s">
        <v>18</v>
      </c>
      <c r="AH135" s="49">
        <v>45735</v>
      </c>
      <c r="AI135" s="49"/>
      <c r="AJ135" s="16" t="s">
        <v>18</v>
      </c>
    </row>
    <row r="136" spans="1:36" hidden="1" x14ac:dyDescent="0.35">
      <c r="A136" s="16" t="s">
        <v>307</v>
      </c>
      <c r="B136" s="16" t="s">
        <v>297</v>
      </c>
      <c r="C136" s="16" t="s">
        <v>21</v>
      </c>
      <c r="D136" s="16" t="s">
        <v>298</v>
      </c>
      <c r="E136" s="16" t="s">
        <v>167</v>
      </c>
      <c r="F136" s="16" t="s">
        <v>310</v>
      </c>
      <c r="G136" s="49">
        <v>45735</v>
      </c>
      <c r="H136" s="16" t="s">
        <v>468</v>
      </c>
      <c r="I136" s="16" t="s">
        <v>23</v>
      </c>
      <c r="J136" s="49">
        <v>45735</v>
      </c>
      <c r="K136" s="49">
        <v>45736</v>
      </c>
      <c r="L136" s="16" t="s">
        <v>315</v>
      </c>
      <c r="M136" s="61">
        <v>246779413111</v>
      </c>
      <c r="N136" s="16" t="s">
        <v>22</v>
      </c>
      <c r="O136" s="16" t="s">
        <v>300</v>
      </c>
      <c r="P136" s="16" t="s">
        <v>18</v>
      </c>
      <c r="Q136" s="16" t="s">
        <v>312</v>
      </c>
      <c r="R136" s="16" t="e">
        <f>_xlfn.XLOOKUP(M136,'Invoice No Ref'!$C:$C,'Invoice No Ref'!$I:$I,,0)</f>
        <v>#N/A</v>
      </c>
      <c r="S136" s="16" t="s">
        <v>110</v>
      </c>
      <c r="T136" s="50">
        <v>13.77</v>
      </c>
      <c r="U136" s="16" t="s">
        <v>20</v>
      </c>
      <c r="V136" s="50">
        <v>1193.74</v>
      </c>
      <c r="W136" s="16">
        <f t="shared" si="15"/>
        <v>86.691358024691368</v>
      </c>
      <c r="X136" s="16" t="s">
        <v>718</v>
      </c>
      <c r="Y136" s="16" t="s">
        <v>18</v>
      </c>
      <c r="Z136" s="16" t="s">
        <v>315</v>
      </c>
      <c r="AA136" s="16" t="s">
        <v>301</v>
      </c>
      <c r="AB136" s="16" t="e">
        <f>_xlfn.XLOOKUP(R136,'Customer Data'!$D:$D,'Customer Data'!$F:$F,,0)</f>
        <v>#N/A</v>
      </c>
      <c r="AC136" s="16"/>
      <c r="AD136" s="16" t="s">
        <v>53</v>
      </c>
      <c r="AE136" s="16" t="s">
        <v>18</v>
      </c>
      <c r="AF136" s="16" t="s">
        <v>18</v>
      </c>
      <c r="AG136" s="16" t="s">
        <v>18</v>
      </c>
      <c r="AH136" s="49">
        <v>45735</v>
      </c>
      <c r="AI136" s="49"/>
      <c r="AJ136" s="16" t="s">
        <v>18</v>
      </c>
    </row>
    <row r="137" spans="1:36" hidden="1" x14ac:dyDescent="0.35">
      <c r="A137" s="16" t="s">
        <v>307</v>
      </c>
      <c r="B137" s="16" t="s">
        <v>297</v>
      </c>
      <c r="C137" s="16" t="s">
        <v>21</v>
      </c>
      <c r="D137" s="16" t="s">
        <v>298</v>
      </c>
      <c r="E137" s="16" t="s">
        <v>167</v>
      </c>
      <c r="F137" s="16" t="s">
        <v>310</v>
      </c>
      <c r="G137" s="49">
        <v>45735</v>
      </c>
      <c r="H137" s="16" t="s">
        <v>469</v>
      </c>
      <c r="I137" s="16" t="s">
        <v>23</v>
      </c>
      <c r="J137" s="49">
        <v>45735</v>
      </c>
      <c r="K137" s="49">
        <v>45736</v>
      </c>
      <c r="L137" s="16" t="s">
        <v>315</v>
      </c>
      <c r="M137" s="61">
        <v>246779413112</v>
      </c>
      <c r="N137" s="16" t="s">
        <v>22</v>
      </c>
      <c r="O137" s="16" t="s">
        <v>300</v>
      </c>
      <c r="P137" s="16" t="s">
        <v>18</v>
      </c>
      <c r="Q137" s="16" t="s">
        <v>312</v>
      </c>
      <c r="R137" s="16" t="e">
        <f>_xlfn.XLOOKUP(M137,'Invoice No Ref'!$C:$C,'Invoice No Ref'!$I:$I,,0)</f>
        <v>#N/A</v>
      </c>
      <c r="S137" s="16" t="s">
        <v>110</v>
      </c>
      <c r="T137" s="50">
        <v>13.77</v>
      </c>
      <c r="U137" s="16" t="s">
        <v>20</v>
      </c>
      <c r="V137" s="50">
        <v>1193.74</v>
      </c>
      <c r="W137" s="16">
        <f t="shared" si="15"/>
        <v>86.691358024691368</v>
      </c>
      <c r="X137" s="16" t="s">
        <v>718</v>
      </c>
      <c r="Y137" s="16" t="s">
        <v>18</v>
      </c>
      <c r="Z137" s="16" t="s">
        <v>315</v>
      </c>
      <c r="AA137" s="16" t="s">
        <v>301</v>
      </c>
      <c r="AB137" s="16" t="e">
        <f>_xlfn.XLOOKUP(R137,'Customer Data'!$D:$D,'Customer Data'!$F:$F,,0)</f>
        <v>#N/A</v>
      </c>
      <c r="AC137" s="16"/>
      <c r="AD137" s="16" t="s">
        <v>54</v>
      </c>
      <c r="AE137" s="16" t="s">
        <v>18</v>
      </c>
      <c r="AF137" s="16" t="s">
        <v>18</v>
      </c>
      <c r="AG137" s="16" t="s">
        <v>18</v>
      </c>
      <c r="AH137" s="49">
        <v>45735</v>
      </c>
      <c r="AI137" s="49"/>
      <c r="AJ137" s="16" t="s">
        <v>18</v>
      </c>
    </row>
    <row r="138" spans="1:36" x14ac:dyDescent="0.35">
      <c r="A138" s="16" t="s">
        <v>307</v>
      </c>
      <c r="B138" s="16" t="s">
        <v>297</v>
      </c>
      <c r="C138" s="16" t="s">
        <v>21</v>
      </c>
      <c r="D138" s="16" t="s">
        <v>298</v>
      </c>
      <c r="E138" s="16" t="s">
        <v>167</v>
      </c>
      <c r="F138" s="16" t="s">
        <v>438</v>
      </c>
      <c r="G138" s="49">
        <v>45924</v>
      </c>
      <c r="H138" s="16" t="s">
        <v>470</v>
      </c>
      <c r="I138" s="16" t="s">
        <v>23</v>
      </c>
      <c r="J138" s="49">
        <v>45924</v>
      </c>
      <c r="K138" s="49">
        <v>45924</v>
      </c>
      <c r="L138" s="16" t="s">
        <v>315</v>
      </c>
      <c r="M138" s="61">
        <v>256779417820</v>
      </c>
      <c r="N138" s="16" t="s">
        <v>22</v>
      </c>
      <c r="O138" s="16" t="s">
        <v>300</v>
      </c>
      <c r="P138" s="16" t="s">
        <v>18</v>
      </c>
      <c r="Q138" s="16" t="s">
        <v>312</v>
      </c>
      <c r="R138" s="16" t="e">
        <f>_xlfn.XLOOKUP(M138,'Invoice No Ref'!$C:$C,'Invoice No Ref'!$I:$I,,0)</f>
        <v>#N/A</v>
      </c>
      <c r="S138" s="16" t="s">
        <v>110</v>
      </c>
      <c r="T138" s="50">
        <v>131.74</v>
      </c>
      <c r="U138" s="16" t="s">
        <v>20</v>
      </c>
      <c r="V138" s="50">
        <v>11420.71</v>
      </c>
      <c r="W138" s="16">
        <f t="shared" si="15"/>
        <v>86.691285866099875</v>
      </c>
      <c r="X138" s="16" t="s">
        <v>720</v>
      </c>
      <c r="Y138" s="16" t="s">
        <v>18</v>
      </c>
      <c r="Z138" s="16" t="s">
        <v>726</v>
      </c>
      <c r="AA138" s="16" t="s">
        <v>301</v>
      </c>
      <c r="AB138" s="16" t="e">
        <f>_xlfn.XLOOKUP(R138,'Customer Data'!$D:$D,'Customer Data'!$F:$F,,0)</f>
        <v>#N/A</v>
      </c>
      <c r="AC138" s="16"/>
      <c r="AD138" s="16" t="s">
        <v>28</v>
      </c>
      <c r="AE138" s="16" t="s">
        <v>18</v>
      </c>
      <c r="AF138" s="16" t="s">
        <v>18</v>
      </c>
      <c r="AG138" s="16" t="s">
        <v>18</v>
      </c>
      <c r="AH138" s="49">
        <v>45924</v>
      </c>
      <c r="AI138" s="49"/>
      <c r="AJ138" s="16" t="s">
        <v>18</v>
      </c>
    </row>
    <row r="139" spans="1:36" hidden="1" x14ac:dyDescent="0.35">
      <c r="A139" s="16" t="s">
        <v>307</v>
      </c>
      <c r="B139" s="16" t="s">
        <v>297</v>
      </c>
      <c r="C139" s="16" t="s">
        <v>21</v>
      </c>
      <c r="D139" s="16" t="s">
        <v>298</v>
      </c>
      <c r="E139" s="16" t="s">
        <v>167</v>
      </c>
      <c r="F139" s="16" t="s">
        <v>311</v>
      </c>
      <c r="G139" s="49">
        <v>45981</v>
      </c>
      <c r="H139" s="16" t="s">
        <v>471</v>
      </c>
      <c r="I139" s="16" t="s">
        <v>23</v>
      </c>
      <c r="J139" s="49">
        <v>45981</v>
      </c>
      <c r="K139" s="49">
        <v>45982</v>
      </c>
      <c r="L139" s="16" t="s">
        <v>315</v>
      </c>
      <c r="M139" s="61">
        <v>256779419451</v>
      </c>
      <c r="N139" s="16" t="s">
        <v>22</v>
      </c>
      <c r="O139" s="16" t="s">
        <v>300</v>
      </c>
      <c r="P139" s="16" t="s">
        <v>18</v>
      </c>
      <c r="Q139" s="16" t="s">
        <v>312</v>
      </c>
      <c r="R139" s="16"/>
      <c r="S139" s="16" t="s">
        <v>110</v>
      </c>
      <c r="T139" s="50">
        <v>103.11</v>
      </c>
      <c r="U139" s="16" t="s">
        <v>20</v>
      </c>
      <c r="V139" s="50">
        <v>9074.0300000000007</v>
      </c>
      <c r="W139" s="16">
        <f t="shared" si="15"/>
        <v>88.003394433129671</v>
      </c>
      <c r="X139" s="16" t="s">
        <v>720</v>
      </c>
      <c r="Y139" s="16" t="s">
        <v>18</v>
      </c>
      <c r="Z139" s="16" t="s">
        <v>727</v>
      </c>
      <c r="AA139" s="16" t="s">
        <v>301</v>
      </c>
      <c r="AB139" s="16">
        <f>_xlfn.XLOOKUP(M139,'Customer Data'!$D:$D,'Customer Data'!$H:$H,,0)</f>
        <v>-103.11</v>
      </c>
      <c r="AC139" s="62">
        <f t="shared" ref="AC139:AC143" si="16">AB139+T139</f>
        <v>0</v>
      </c>
      <c r="AD139" s="16" t="s">
        <v>30</v>
      </c>
      <c r="AE139" s="16" t="s">
        <v>18</v>
      </c>
      <c r="AF139" s="16" t="s">
        <v>18</v>
      </c>
      <c r="AG139" s="16" t="s">
        <v>18</v>
      </c>
      <c r="AH139" s="49">
        <v>45981</v>
      </c>
      <c r="AI139" s="49"/>
      <c r="AJ139" s="16" t="s">
        <v>18</v>
      </c>
    </row>
    <row r="140" spans="1:36" hidden="1" x14ac:dyDescent="0.35">
      <c r="A140" s="16" t="s">
        <v>307</v>
      </c>
      <c r="B140" s="16" t="s">
        <v>297</v>
      </c>
      <c r="C140" s="16" t="s">
        <v>21</v>
      </c>
      <c r="D140" s="16" t="s">
        <v>298</v>
      </c>
      <c r="E140" s="16" t="s">
        <v>167</v>
      </c>
      <c r="F140" s="16" t="s">
        <v>311</v>
      </c>
      <c r="G140" s="49">
        <v>45981</v>
      </c>
      <c r="H140" s="16" t="s">
        <v>472</v>
      </c>
      <c r="I140" s="16" t="s">
        <v>23</v>
      </c>
      <c r="J140" s="49">
        <v>45981</v>
      </c>
      <c r="K140" s="49">
        <v>45982</v>
      </c>
      <c r="L140" s="16" t="s">
        <v>315</v>
      </c>
      <c r="M140" s="61">
        <v>256779419459</v>
      </c>
      <c r="N140" s="16" t="s">
        <v>22</v>
      </c>
      <c r="O140" s="16" t="s">
        <v>300</v>
      </c>
      <c r="P140" s="16" t="s">
        <v>18</v>
      </c>
      <c r="Q140" s="16" t="s">
        <v>312</v>
      </c>
      <c r="R140" s="16"/>
      <c r="S140" s="16" t="s">
        <v>110</v>
      </c>
      <c r="T140" s="50">
        <v>13.52</v>
      </c>
      <c r="U140" s="16" t="s">
        <v>20</v>
      </c>
      <c r="V140" s="50">
        <v>1189.81</v>
      </c>
      <c r="W140" s="16">
        <f t="shared" si="15"/>
        <v>88.003698224852073</v>
      </c>
      <c r="X140" s="16" t="s">
        <v>720</v>
      </c>
      <c r="Y140" s="16" t="s">
        <v>18</v>
      </c>
      <c r="Z140" s="16" t="s">
        <v>727</v>
      </c>
      <c r="AA140" s="16" t="s">
        <v>301</v>
      </c>
      <c r="AB140" s="16">
        <f>_xlfn.XLOOKUP(M140,'Customer Data'!$D:$D,'Customer Data'!$H:$H,,0)</f>
        <v>-13.52</v>
      </c>
      <c r="AC140" s="62">
        <f t="shared" si="16"/>
        <v>0</v>
      </c>
      <c r="AD140" s="16" t="s">
        <v>31</v>
      </c>
      <c r="AE140" s="16" t="s">
        <v>18</v>
      </c>
      <c r="AF140" s="16" t="s">
        <v>18</v>
      </c>
      <c r="AG140" s="16" t="s">
        <v>18</v>
      </c>
      <c r="AH140" s="49">
        <v>45981</v>
      </c>
      <c r="AI140" s="49"/>
      <c r="AJ140" s="16" t="s">
        <v>18</v>
      </c>
    </row>
    <row r="141" spans="1:36" hidden="1" x14ac:dyDescent="0.35">
      <c r="A141" s="16" t="s">
        <v>296</v>
      </c>
      <c r="B141" s="16" t="s">
        <v>297</v>
      </c>
      <c r="C141" s="16" t="s">
        <v>21</v>
      </c>
      <c r="D141" s="16" t="s">
        <v>298</v>
      </c>
      <c r="E141" s="16" t="s">
        <v>167</v>
      </c>
      <c r="F141" s="16" t="s">
        <v>299</v>
      </c>
      <c r="G141" s="49">
        <v>45769</v>
      </c>
      <c r="H141" s="16" t="s">
        <v>473</v>
      </c>
      <c r="I141" s="16" t="s">
        <v>23</v>
      </c>
      <c r="J141" s="49">
        <v>45769</v>
      </c>
      <c r="K141" s="49">
        <v>45770</v>
      </c>
      <c r="L141" s="16" t="s">
        <v>315</v>
      </c>
      <c r="M141" s="61">
        <v>256779412594</v>
      </c>
      <c r="N141" s="16" t="s">
        <v>22</v>
      </c>
      <c r="O141" s="16" t="s">
        <v>300</v>
      </c>
      <c r="P141" s="16" t="s">
        <v>18</v>
      </c>
      <c r="Q141" s="16" t="s">
        <v>312</v>
      </c>
      <c r="R141" s="16"/>
      <c r="S141" s="16" t="s">
        <v>110</v>
      </c>
      <c r="T141" s="50">
        <v>1779.06</v>
      </c>
      <c r="U141" s="16" t="s">
        <v>20</v>
      </c>
      <c r="V141" s="50">
        <v>154639.13</v>
      </c>
      <c r="W141" s="16">
        <f t="shared" si="15"/>
        <v>86.921818263577407</v>
      </c>
      <c r="X141" s="16" t="s">
        <v>718</v>
      </c>
      <c r="Y141" s="16" t="s">
        <v>18</v>
      </c>
      <c r="Z141" s="16" t="s">
        <v>315</v>
      </c>
      <c r="AA141" s="16" t="s">
        <v>301</v>
      </c>
      <c r="AB141" s="16">
        <f>_xlfn.XLOOKUP(M141,'Customer Data'!$D:$D,'Customer Data'!$H:$H,,0)</f>
        <v>-1779.06</v>
      </c>
      <c r="AC141" s="62">
        <f t="shared" si="16"/>
        <v>0</v>
      </c>
      <c r="AD141" s="16" t="s">
        <v>474</v>
      </c>
      <c r="AE141" s="16" t="s">
        <v>18</v>
      </c>
      <c r="AF141" s="16" t="s">
        <v>18</v>
      </c>
      <c r="AG141" s="16" t="s">
        <v>18</v>
      </c>
      <c r="AH141" s="49">
        <v>45769</v>
      </c>
      <c r="AI141" s="49">
        <v>45855</v>
      </c>
      <c r="AJ141" s="16" t="s">
        <v>304</v>
      </c>
    </row>
    <row r="142" spans="1:36" hidden="1" x14ac:dyDescent="0.35">
      <c r="A142" s="16" t="s">
        <v>296</v>
      </c>
      <c r="B142" s="16" t="s">
        <v>297</v>
      </c>
      <c r="C142" s="16" t="s">
        <v>21</v>
      </c>
      <c r="D142" s="16" t="s">
        <v>298</v>
      </c>
      <c r="E142" s="16" t="s">
        <v>167</v>
      </c>
      <c r="F142" s="16" t="s">
        <v>299</v>
      </c>
      <c r="G142" s="49">
        <v>45769</v>
      </c>
      <c r="H142" s="16" t="s">
        <v>475</v>
      </c>
      <c r="I142" s="16" t="s">
        <v>23</v>
      </c>
      <c r="J142" s="49">
        <v>45769</v>
      </c>
      <c r="K142" s="49">
        <v>45770</v>
      </c>
      <c r="L142" s="16" t="s">
        <v>315</v>
      </c>
      <c r="M142" s="61">
        <v>256779412627</v>
      </c>
      <c r="N142" s="16" t="s">
        <v>22</v>
      </c>
      <c r="O142" s="16" t="s">
        <v>300</v>
      </c>
      <c r="P142" s="16" t="s">
        <v>18</v>
      </c>
      <c r="Q142" s="16" t="s">
        <v>312</v>
      </c>
      <c r="R142" s="16"/>
      <c r="S142" s="16" t="s">
        <v>110</v>
      </c>
      <c r="T142" s="50">
        <v>1786.99</v>
      </c>
      <c r="U142" s="16" t="s">
        <v>20</v>
      </c>
      <c r="V142" s="50">
        <v>155328.42000000001</v>
      </c>
      <c r="W142" s="16">
        <f t="shared" si="15"/>
        <v>86.92181825304003</v>
      </c>
      <c r="X142" s="16" t="s">
        <v>718</v>
      </c>
      <c r="Y142" s="16" t="s">
        <v>18</v>
      </c>
      <c r="Z142" s="16" t="s">
        <v>315</v>
      </c>
      <c r="AA142" s="16" t="s">
        <v>301</v>
      </c>
      <c r="AB142" s="16">
        <f>_xlfn.XLOOKUP(M142,'Customer Data'!$D:$D,'Customer Data'!$H:$H,,0)</f>
        <v>-1786.99</v>
      </c>
      <c r="AC142" s="62">
        <f t="shared" si="16"/>
        <v>0</v>
      </c>
      <c r="AD142" s="16" t="s">
        <v>476</v>
      </c>
      <c r="AE142" s="16" t="s">
        <v>18</v>
      </c>
      <c r="AF142" s="16" t="s">
        <v>18</v>
      </c>
      <c r="AG142" s="16" t="s">
        <v>18</v>
      </c>
      <c r="AH142" s="49">
        <v>45769</v>
      </c>
      <c r="AI142" s="49">
        <v>45855</v>
      </c>
      <c r="AJ142" s="16" t="s">
        <v>304</v>
      </c>
    </row>
    <row r="143" spans="1:36" hidden="1" x14ac:dyDescent="0.35">
      <c r="A143" s="16" t="s">
        <v>307</v>
      </c>
      <c r="B143" s="16" t="s">
        <v>297</v>
      </c>
      <c r="C143" s="16" t="s">
        <v>21</v>
      </c>
      <c r="D143" s="16" t="s">
        <v>298</v>
      </c>
      <c r="E143" s="16" t="s">
        <v>167</v>
      </c>
      <c r="F143" s="16" t="s">
        <v>435</v>
      </c>
      <c r="G143" s="49">
        <v>45996</v>
      </c>
      <c r="H143" s="16" t="s">
        <v>477</v>
      </c>
      <c r="I143" s="16" t="s">
        <v>23</v>
      </c>
      <c r="J143" s="49">
        <v>45996</v>
      </c>
      <c r="K143" s="49">
        <v>46000</v>
      </c>
      <c r="L143" s="16" t="s">
        <v>315</v>
      </c>
      <c r="M143" s="61">
        <v>256779419881</v>
      </c>
      <c r="N143" s="16" t="s">
        <v>22</v>
      </c>
      <c r="O143" s="16" t="s">
        <v>300</v>
      </c>
      <c r="P143" s="16" t="s">
        <v>18</v>
      </c>
      <c r="Q143" s="16" t="s">
        <v>312</v>
      </c>
      <c r="R143" s="16"/>
      <c r="S143" s="16" t="s">
        <v>110</v>
      </c>
      <c r="T143" s="50">
        <v>3279.81</v>
      </c>
      <c r="U143" s="16" t="s">
        <v>20</v>
      </c>
      <c r="V143" s="50">
        <v>290919.61</v>
      </c>
      <c r="W143" s="16">
        <f t="shared" si="15"/>
        <v>88.700141166713919</v>
      </c>
      <c r="X143" s="16" t="s">
        <v>720</v>
      </c>
      <c r="Y143" s="16" t="s">
        <v>18</v>
      </c>
      <c r="Z143" s="16" t="s">
        <v>728</v>
      </c>
      <c r="AA143" s="16" t="s">
        <v>301</v>
      </c>
      <c r="AB143" s="16">
        <f>_xlfn.XLOOKUP(M143,'Customer Data'!$D:$D,'Customer Data'!$H:$H,,0)</f>
        <v>-3279.81</v>
      </c>
      <c r="AC143" s="62">
        <f t="shared" si="16"/>
        <v>0</v>
      </c>
      <c r="AD143" s="16" t="s">
        <v>36</v>
      </c>
      <c r="AE143" s="16" t="s">
        <v>18</v>
      </c>
      <c r="AF143" s="16" t="s">
        <v>18</v>
      </c>
      <c r="AG143" s="16" t="s">
        <v>18</v>
      </c>
      <c r="AH143" s="49">
        <v>45996</v>
      </c>
      <c r="AI143" s="49"/>
      <c r="AJ143" s="16" t="s">
        <v>18</v>
      </c>
    </row>
    <row r="144" spans="1:36" hidden="1" x14ac:dyDescent="0.35">
      <c r="A144" s="16" t="s">
        <v>296</v>
      </c>
      <c r="B144" s="16" t="s">
        <v>297</v>
      </c>
      <c r="C144" s="16" t="s">
        <v>21</v>
      </c>
      <c r="D144" s="16" t="s">
        <v>298</v>
      </c>
      <c r="E144" s="16" t="s">
        <v>167</v>
      </c>
      <c r="F144" s="16" t="s">
        <v>478</v>
      </c>
      <c r="G144" s="49">
        <v>45799</v>
      </c>
      <c r="H144" s="16" t="s">
        <v>479</v>
      </c>
      <c r="I144" s="16" t="s">
        <v>26</v>
      </c>
      <c r="J144" s="49">
        <v>45799</v>
      </c>
      <c r="K144" s="49">
        <v>45800</v>
      </c>
      <c r="L144" s="16" t="s">
        <v>315</v>
      </c>
      <c r="M144" s="61">
        <v>256779421058</v>
      </c>
      <c r="N144" s="16" t="s">
        <v>22</v>
      </c>
      <c r="O144" s="16" t="s">
        <v>300</v>
      </c>
      <c r="P144" s="16" t="s">
        <v>18</v>
      </c>
      <c r="Q144" s="16" t="s">
        <v>311</v>
      </c>
      <c r="R144" s="16" t="e">
        <f>_xlfn.XLOOKUP(M144,'Invoice No Ref'!$C:$C,'Invoice No Ref'!$I:$I,,0)</f>
        <v>#N/A</v>
      </c>
      <c r="S144" s="16" t="s">
        <v>110</v>
      </c>
      <c r="T144" s="50">
        <v>-131.74</v>
      </c>
      <c r="U144" s="16" t="s">
        <v>20</v>
      </c>
      <c r="V144" s="50">
        <v>-11420.71</v>
      </c>
      <c r="W144" s="16">
        <f t="shared" si="15"/>
        <v>86.691285866099875</v>
      </c>
      <c r="X144" s="16" t="s">
        <v>718</v>
      </c>
      <c r="Y144" s="16" t="s">
        <v>18</v>
      </c>
      <c r="Z144" s="16" t="s">
        <v>315</v>
      </c>
      <c r="AA144" s="16" t="s">
        <v>301</v>
      </c>
      <c r="AB144" s="16" t="e">
        <f>_xlfn.XLOOKUP(R144,'Customer Data'!$D:$D,'Customer Data'!$F:$F,,0)</f>
        <v>#N/A</v>
      </c>
      <c r="AC144" s="16"/>
      <c r="AD144" s="16" t="s">
        <v>480</v>
      </c>
      <c r="AE144" s="16" t="s">
        <v>18</v>
      </c>
      <c r="AF144" s="16" t="s">
        <v>18</v>
      </c>
      <c r="AG144" s="16" t="s">
        <v>18</v>
      </c>
      <c r="AH144" s="49">
        <v>45799</v>
      </c>
      <c r="AI144" s="49">
        <v>45842</v>
      </c>
      <c r="AJ144" s="16" t="s">
        <v>313</v>
      </c>
    </row>
    <row r="145" spans="1:36" hidden="1" x14ac:dyDescent="0.35">
      <c r="A145" s="16" t="s">
        <v>307</v>
      </c>
      <c r="B145" s="16" t="s">
        <v>297</v>
      </c>
      <c r="C145" s="16" t="s">
        <v>21</v>
      </c>
      <c r="D145" s="16" t="s">
        <v>298</v>
      </c>
      <c r="E145" s="16" t="s">
        <v>167</v>
      </c>
      <c r="F145" s="16" t="s">
        <v>435</v>
      </c>
      <c r="G145" s="49">
        <v>45994</v>
      </c>
      <c r="H145" s="16" t="s">
        <v>481</v>
      </c>
      <c r="I145" s="16" t="s">
        <v>23</v>
      </c>
      <c r="J145" s="49">
        <v>45994</v>
      </c>
      <c r="K145" s="49">
        <v>45995</v>
      </c>
      <c r="L145" s="16" t="s">
        <v>315</v>
      </c>
      <c r="M145" s="61">
        <v>256779419674</v>
      </c>
      <c r="N145" s="16" t="s">
        <v>22</v>
      </c>
      <c r="O145" s="16" t="s">
        <v>300</v>
      </c>
      <c r="P145" s="16" t="s">
        <v>18</v>
      </c>
      <c r="Q145" s="16" t="s">
        <v>312</v>
      </c>
      <c r="R145" s="16"/>
      <c r="S145" s="16" t="s">
        <v>110</v>
      </c>
      <c r="T145" s="50">
        <v>8917.61</v>
      </c>
      <c r="U145" s="16" t="s">
        <v>20</v>
      </c>
      <c r="V145" s="50">
        <v>790993.26</v>
      </c>
      <c r="W145" s="16">
        <f t="shared" si="15"/>
        <v>88.700140508499473</v>
      </c>
      <c r="X145" s="16" t="s">
        <v>720</v>
      </c>
      <c r="Y145" s="16" t="s">
        <v>18</v>
      </c>
      <c r="Z145" s="16" t="s">
        <v>729</v>
      </c>
      <c r="AA145" s="16" t="s">
        <v>301</v>
      </c>
      <c r="AB145" s="16">
        <f>_xlfn.XLOOKUP(M145,'Customer Data'!$D:$D,'Customer Data'!$H:$H,,0)</f>
        <v>-8917.61</v>
      </c>
      <c r="AC145" s="62">
        <f t="shared" ref="AC145:AC151" si="17">AB145+T145</f>
        <v>0</v>
      </c>
      <c r="AD145" s="16" t="s">
        <v>32</v>
      </c>
      <c r="AE145" s="16" t="s">
        <v>18</v>
      </c>
      <c r="AF145" s="16" t="s">
        <v>18</v>
      </c>
      <c r="AG145" s="16" t="s">
        <v>18</v>
      </c>
      <c r="AH145" s="49">
        <v>45994</v>
      </c>
      <c r="AI145" s="49"/>
      <c r="AJ145" s="16" t="s">
        <v>18</v>
      </c>
    </row>
    <row r="146" spans="1:36" hidden="1" x14ac:dyDescent="0.35">
      <c r="A146" s="16" t="s">
        <v>307</v>
      </c>
      <c r="B146" s="16" t="s">
        <v>297</v>
      </c>
      <c r="C146" s="16" t="s">
        <v>21</v>
      </c>
      <c r="D146" s="16" t="s">
        <v>298</v>
      </c>
      <c r="E146" s="16" t="s">
        <v>167</v>
      </c>
      <c r="F146" s="16" t="s">
        <v>435</v>
      </c>
      <c r="G146" s="49">
        <v>45994</v>
      </c>
      <c r="H146" s="16" t="s">
        <v>482</v>
      </c>
      <c r="I146" s="16" t="s">
        <v>23</v>
      </c>
      <c r="J146" s="49">
        <v>45994</v>
      </c>
      <c r="K146" s="49">
        <v>45995</v>
      </c>
      <c r="L146" s="16" t="s">
        <v>315</v>
      </c>
      <c r="M146" s="61">
        <v>256779419675</v>
      </c>
      <c r="N146" s="16" t="s">
        <v>22</v>
      </c>
      <c r="O146" s="16" t="s">
        <v>300</v>
      </c>
      <c r="P146" s="16" t="s">
        <v>18</v>
      </c>
      <c r="Q146" s="16" t="s">
        <v>312</v>
      </c>
      <c r="R146" s="16"/>
      <c r="S146" s="16" t="s">
        <v>110</v>
      </c>
      <c r="T146" s="50">
        <v>7536.01</v>
      </c>
      <c r="U146" s="16" t="s">
        <v>20</v>
      </c>
      <c r="V146" s="50">
        <v>668445.14</v>
      </c>
      <c r="W146" s="16">
        <f t="shared" si="15"/>
        <v>88.700139729113943</v>
      </c>
      <c r="X146" s="16" t="s">
        <v>720</v>
      </c>
      <c r="Y146" s="16" t="s">
        <v>18</v>
      </c>
      <c r="Z146" s="16" t="s">
        <v>729</v>
      </c>
      <c r="AA146" s="16" t="s">
        <v>301</v>
      </c>
      <c r="AB146" s="16">
        <f>_xlfn.XLOOKUP(M146,'Customer Data'!$D:$D,'Customer Data'!$H:$H,,0)</f>
        <v>-7536.01</v>
      </c>
      <c r="AC146" s="62">
        <f t="shared" si="17"/>
        <v>0</v>
      </c>
      <c r="AD146" s="16" t="s">
        <v>32</v>
      </c>
      <c r="AE146" s="16" t="s">
        <v>18</v>
      </c>
      <c r="AF146" s="16" t="s">
        <v>18</v>
      </c>
      <c r="AG146" s="16" t="s">
        <v>18</v>
      </c>
      <c r="AH146" s="49">
        <v>45994</v>
      </c>
      <c r="AI146" s="49"/>
      <c r="AJ146" s="16" t="s">
        <v>18</v>
      </c>
    </row>
    <row r="147" spans="1:36" hidden="1" x14ac:dyDescent="0.35">
      <c r="A147" s="16" t="s">
        <v>307</v>
      </c>
      <c r="B147" s="16" t="s">
        <v>297</v>
      </c>
      <c r="C147" s="16" t="s">
        <v>21</v>
      </c>
      <c r="D147" s="16" t="s">
        <v>298</v>
      </c>
      <c r="E147" s="16" t="s">
        <v>167</v>
      </c>
      <c r="F147" s="16" t="s">
        <v>310</v>
      </c>
      <c r="G147" s="49">
        <v>45737</v>
      </c>
      <c r="H147" s="16" t="s">
        <v>483</v>
      </c>
      <c r="I147" s="16" t="s">
        <v>23</v>
      </c>
      <c r="J147" s="49">
        <v>45737</v>
      </c>
      <c r="K147" s="49">
        <v>45737</v>
      </c>
      <c r="L147" s="16" t="s">
        <v>315</v>
      </c>
      <c r="M147" s="61">
        <v>246779414250</v>
      </c>
      <c r="N147" s="16" t="s">
        <v>22</v>
      </c>
      <c r="O147" s="16" t="s">
        <v>300</v>
      </c>
      <c r="P147" s="16" t="s">
        <v>18</v>
      </c>
      <c r="Q147" s="16" t="s">
        <v>312</v>
      </c>
      <c r="R147" s="16" t="str">
        <f>_xlfn.XLOOKUP(M147,'Invoice No Ref'!$C:$C,'Invoice No Ref'!$I:$I,,0)</f>
        <v>6779IV124000252</v>
      </c>
      <c r="S147" s="16" t="s">
        <v>110</v>
      </c>
      <c r="T147" s="50">
        <v>459.91</v>
      </c>
      <c r="U147" s="16" t="s">
        <v>20</v>
      </c>
      <c r="V147" s="50">
        <v>39870.18</v>
      </c>
      <c r="W147" s="16">
        <f t="shared" si="15"/>
        <v>86.691265682416116</v>
      </c>
      <c r="X147" s="16" t="s">
        <v>718</v>
      </c>
      <c r="Y147" s="16" t="s">
        <v>18</v>
      </c>
      <c r="Z147" s="16" t="s">
        <v>315</v>
      </c>
      <c r="AA147" s="16" t="s">
        <v>301</v>
      </c>
      <c r="AB147" s="16">
        <f>_xlfn.XLOOKUP(R147,'Customer Data'!$D:$D,'Customer Data'!$F:$F,,0)</f>
        <v>-459.91</v>
      </c>
      <c r="AC147" s="62">
        <f t="shared" si="17"/>
        <v>0</v>
      </c>
      <c r="AD147" s="16" t="s">
        <v>63</v>
      </c>
      <c r="AE147" s="16" t="s">
        <v>18</v>
      </c>
      <c r="AF147" s="16" t="s">
        <v>18</v>
      </c>
      <c r="AG147" s="16" t="s">
        <v>18</v>
      </c>
      <c r="AH147" s="49">
        <v>45737</v>
      </c>
      <c r="AI147" s="49"/>
      <c r="AJ147" s="16" t="s">
        <v>18</v>
      </c>
    </row>
    <row r="148" spans="1:36" hidden="1" x14ac:dyDescent="0.35">
      <c r="A148" s="16" t="s">
        <v>307</v>
      </c>
      <c r="B148" s="16" t="s">
        <v>297</v>
      </c>
      <c r="C148" s="16" t="s">
        <v>21</v>
      </c>
      <c r="D148" s="16" t="s">
        <v>298</v>
      </c>
      <c r="E148" s="16" t="s">
        <v>167</v>
      </c>
      <c r="F148" s="16" t="s">
        <v>310</v>
      </c>
      <c r="G148" s="49">
        <v>45737</v>
      </c>
      <c r="H148" s="16" t="s">
        <v>484</v>
      </c>
      <c r="I148" s="16" t="s">
        <v>23</v>
      </c>
      <c r="J148" s="49">
        <v>45737</v>
      </c>
      <c r="K148" s="49">
        <v>45737</v>
      </c>
      <c r="L148" s="16" t="s">
        <v>315</v>
      </c>
      <c r="M148" s="61">
        <v>246779414251</v>
      </c>
      <c r="N148" s="16" t="s">
        <v>22</v>
      </c>
      <c r="O148" s="16" t="s">
        <v>300</v>
      </c>
      <c r="P148" s="16" t="s">
        <v>18</v>
      </c>
      <c r="Q148" s="16" t="s">
        <v>312</v>
      </c>
      <c r="R148" s="16" t="str">
        <f>_xlfn.XLOOKUP(M148,'Invoice No Ref'!$C:$C,'Invoice No Ref'!$I:$I,,0)</f>
        <v>6779IV124000251</v>
      </c>
      <c r="S148" s="16" t="s">
        <v>110</v>
      </c>
      <c r="T148" s="50">
        <v>28.32</v>
      </c>
      <c r="U148" s="16" t="s">
        <v>20</v>
      </c>
      <c r="V148" s="50">
        <v>2455.1</v>
      </c>
      <c r="W148" s="16">
        <f t="shared" si="15"/>
        <v>86.691384180790962</v>
      </c>
      <c r="X148" s="16" t="s">
        <v>718</v>
      </c>
      <c r="Y148" s="16" t="s">
        <v>18</v>
      </c>
      <c r="Z148" s="16" t="s">
        <v>315</v>
      </c>
      <c r="AA148" s="16" t="s">
        <v>301</v>
      </c>
      <c r="AB148" s="16">
        <f>_xlfn.XLOOKUP(R148,'Customer Data'!$D:$D,'Customer Data'!$F:$F,,0)</f>
        <v>-28.32</v>
      </c>
      <c r="AC148" s="62">
        <f t="shared" si="17"/>
        <v>0</v>
      </c>
      <c r="AD148" s="16" t="s">
        <v>64</v>
      </c>
      <c r="AE148" s="16" t="s">
        <v>18</v>
      </c>
      <c r="AF148" s="16" t="s">
        <v>18</v>
      </c>
      <c r="AG148" s="16" t="s">
        <v>18</v>
      </c>
      <c r="AH148" s="49">
        <v>45737</v>
      </c>
      <c r="AI148" s="49"/>
      <c r="AJ148" s="16" t="s">
        <v>18</v>
      </c>
    </row>
    <row r="149" spans="1:36" hidden="1" x14ac:dyDescent="0.35">
      <c r="A149" s="16" t="s">
        <v>307</v>
      </c>
      <c r="B149" s="16" t="s">
        <v>297</v>
      </c>
      <c r="C149" s="16" t="s">
        <v>21</v>
      </c>
      <c r="D149" s="16" t="s">
        <v>298</v>
      </c>
      <c r="E149" s="16" t="s">
        <v>167</v>
      </c>
      <c r="F149" s="16" t="s">
        <v>310</v>
      </c>
      <c r="G149" s="49">
        <v>45737</v>
      </c>
      <c r="H149" s="16" t="s">
        <v>485</v>
      </c>
      <c r="I149" s="16" t="s">
        <v>23</v>
      </c>
      <c r="J149" s="49">
        <v>45737</v>
      </c>
      <c r="K149" s="49">
        <v>45737</v>
      </c>
      <c r="L149" s="16" t="s">
        <v>315</v>
      </c>
      <c r="M149" s="61">
        <v>246779414252</v>
      </c>
      <c r="N149" s="16" t="s">
        <v>22</v>
      </c>
      <c r="O149" s="16" t="s">
        <v>300</v>
      </c>
      <c r="P149" s="16" t="s">
        <v>18</v>
      </c>
      <c r="Q149" s="16" t="s">
        <v>312</v>
      </c>
      <c r="R149" s="16" t="str">
        <f>_xlfn.XLOOKUP(M149,'Invoice No Ref'!$C:$C,'Invoice No Ref'!$I:$I,,0)</f>
        <v>6779IV124000250</v>
      </c>
      <c r="S149" s="16" t="s">
        <v>110</v>
      </c>
      <c r="T149" s="50">
        <v>70.8</v>
      </c>
      <c r="U149" s="16" t="s">
        <v>20</v>
      </c>
      <c r="V149" s="50">
        <v>6137.74</v>
      </c>
      <c r="W149" s="16">
        <f t="shared" si="15"/>
        <v>86.691242937853104</v>
      </c>
      <c r="X149" s="16" t="s">
        <v>718</v>
      </c>
      <c r="Y149" s="16" t="s">
        <v>18</v>
      </c>
      <c r="Z149" s="16" t="s">
        <v>315</v>
      </c>
      <c r="AA149" s="16" t="s">
        <v>301</v>
      </c>
      <c r="AB149" s="16">
        <f>_xlfn.XLOOKUP(R149,'Customer Data'!$D:$D,'Customer Data'!$F:$F,,0)</f>
        <v>-70.8</v>
      </c>
      <c r="AC149" s="62">
        <f t="shared" si="17"/>
        <v>0</v>
      </c>
      <c r="AD149" s="16" t="s">
        <v>65</v>
      </c>
      <c r="AE149" s="16" t="s">
        <v>18</v>
      </c>
      <c r="AF149" s="16" t="s">
        <v>18</v>
      </c>
      <c r="AG149" s="16" t="s">
        <v>18</v>
      </c>
      <c r="AH149" s="49">
        <v>45737</v>
      </c>
      <c r="AI149" s="49"/>
      <c r="AJ149" s="16" t="s">
        <v>18</v>
      </c>
    </row>
    <row r="150" spans="1:36" hidden="1" x14ac:dyDescent="0.35">
      <c r="A150" s="16" t="s">
        <v>307</v>
      </c>
      <c r="B150" s="16" t="s">
        <v>297</v>
      </c>
      <c r="C150" s="16" t="s">
        <v>21</v>
      </c>
      <c r="D150" s="16" t="s">
        <v>298</v>
      </c>
      <c r="E150" s="16" t="s">
        <v>167</v>
      </c>
      <c r="F150" s="16" t="s">
        <v>435</v>
      </c>
      <c r="G150" s="49">
        <v>45997</v>
      </c>
      <c r="H150" s="16" t="s">
        <v>486</v>
      </c>
      <c r="I150" s="16" t="s">
        <v>23</v>
      </c>
      <c r="J150" s="49">
        <v>45997</v>
      </c>
      <c r="K150" s="49">
        <v>46000</v>
      </c>
      <c r="L150" s="16" t="s">
        <v>315</v>
      </c>
      <c r="M150" s="61">
        <v>256779419939</v>
      </c>
      <c r="N150" s="16" t="s">
        <v>22</v>
      </c>
      <c r="O150" s="16" t="s">
        <v>300</v>
      </c>
      <c r="P150" s="16" t="s">
        <v>18</v>
      </c>
      <c r="Q150" s="16" t="s">
        <v>312</v>
      </c>
      <c r="R150" s="16"/>
      <c r="S150" s="16" t="s">
        <v>110</v>
      </c>
      <c r="T150" s="50">
        <v>753.92</v>
      </c>
      <c r="U150" s="16" t="s">
        <v>20</v>
      </c>
      <c r="V150" s="50">
        <v>66872.81</v>
      </c>
      <c r="W150" s="16">
        <f t="shared" si="15"/>
        <v>88.70014059847199</v>
      </c>
      <c r="X150" s="16" t="s">
        <v>720</v>
      </c>
      <c r="Y150" s="16" t="s">
        <v>18</v>
      </c>
      <c r="Z150" s="16" t="s">
        <v>730</v>
      </c>
      <c r="AA150" s="16" t="s">
        <v>301</v>
      </c>
      <c r="AB150" s="16">
        <f>_xlfn.XLOOKUP(M150,'Customer Data'!$D:$D,'Customer Data'!$H:$H,,0)</f>
        <v>-753.92</v>
      </c>
      <c r="AC150" s="62">
        <f t="shared" si="17"/>
        <v>0</v>
      </c>
      <c r="AD150" s="16" t="s">
        <v>37</v>
      </c>
      <c r="AE150" s="16" t="s">
        <v>18</v>
      </c>
      <c r="AF150" s="16" t="s">
        <v>18</v>
      </c>
      <c r="AG150" s="16" t="s">
        <v>18</v>
      </c>
      <c r="AH150" s="49">
        <v>45997</v>
      </c>
      <c r="AI150" s="49"/>
      <c r="AJ150" s="16" t="s">
        <v>18</v>
      </c>
    </row>
    <row r="151" spans="1:36" hidden="1" x14ac:dyDescent="0.35">
      <c r="A151" s="16" t="s">
        <v>307</v>
      </c>
      <c r="B151" s="16" t="s">
        <v>297</v>
      </c>
      <c r="C151" s="16" t="s">
        <v>21</v>
      </c>
      <c r="D151" s="16" t="s">
        <v>298</v>
      </c>
      <c r="E151" s="16" t="s">
        <v>167</v>
      </c>
      <c r="F151" s="16" t="s">
        <v>435</v>
      </c>
      <c r="G151" s="49">
        <v>45997</v>
      </c>
      <c r="H151" s="16" t="s">
        <v>487</v>
      </c>
      <c r="I151" s="16" t="s">
        <v>23</v>
      </c>
      <c r="J151" s="49">
        <v>45997</v>
      </c>
      <c r="K151" s="49">
        <v>46000</v>
      </c>
      <c r="L151" s="16" t="s">
        <v>315</v>
      </c>
      <c r="M151" s="61">
        <v>256779419977</v>
      </c>
      <c r="N151" s="16" t="s">
        <v>22</v>
      </c>
      <c r="O151" s="16" t="s">
        <v>300</v>
      </c>
      <c r="P151" s="16" t="s">
        <v>18</v>
      </c>
      <c r="Q151" s="16" t="s">
        <v>312</v>
      </c>
      <c r="R151" s="16"/>
      <c r="S151" s="16" t="s">
        <v>110</v>
      </c>
      <c r="T151" s="50">
        <v>605.37</v>
      </c>
      <c r="U151" s="16" t="s">
        <v>20</v>
      </c>
      <c r="V151" s="50">
        <v>53696.4</v>
      </c>
      <c r="W151" s="16">
        <f t="shared" si="15"/>
        <v>88.700133802467917</v>
      </c>
      <c r="X151" s="16" t="s">
        <v>720</v>
      </c>
      <c r="Y151" s="16" t="s">
        <v>18</v>
      </c>
      <c r="Z151" s="16" t="s">
        <v>731</v>
      </c>
      <c r="AA151" s="16" t="s">
        <v>301</v>
      </c>
      <c r="AB151" s="16">
        <f>_xlfn.XLOOKUP(M151,'Customer Data'!$D:$D,'Customer Data'!$H:$H,,0)</f>
        <v>-605.37</v>
      </c>
      <c r="AC151" s="62">
        <f t="shared" si="17"/>
        <v>0</v>
      </c>
      <c r="AD151" s="16" t="s">
        <v>38</v>
      </c>
      <c r="AE151" s="16" t="s">
        <v>18</v>
      </c>
      <c r="AF151" s="16" t="s">
        <v>18</v>
      </c>
      <c r="AG151" s="16" t="s">
        <v>18</v>
      </c>
      <c r="AH151" s="49">
        <v>45997</v>
      </c>
      <c r="AI151" s="49"/>
      <c r="AJ151" s="16" t="s">
        <v>18</v>
      </c>
    </row>
    <row r="152" spans="1:36" hidden="1" x14ac:dyDescent="0.35">
      <c r="A152" s="16" t="s">
        <v>307</v>
      </c>
      <c r="B152" s="16" t="s">
        <v>297</v>
      </c>
      <c r="C152" s="16" t="s">
        <v>21</v>
      </c>
      <c r="D152" s="16" t="s">
        <v>298</v>
      </c>
      <c r="E152" s="16" t="s">
        <v>167</v>
      </c>
      <c r="F152" s="16" t="s">
        <v>438</v>
      </c>
      <c r="G152" s="49">
        <v>45920</v>
      </c>
      <c r="H152" s="16" t="s">
        <v>488</v>
      </c>
      <c r="I152" s="16" t="s">
        <v>23</v>
      </c>
      <c r="J152" s="49">
        <v>45920</v>
      </c>
      <c r="K152" s="49">
        <v>45922</v>
      </c>
      <c r="L152" s="16" t="s">
        <v>315</v>
      </c>
      <c r="M152" s="61">
        <v>256779417478</v>
      </c>
      <c r="N152" s="16" t="s">
        <v>22</v>
      </c>
      <c r="O152" s="16" t="s">
        <v>300</v>
      </c>
      <c r="P152" s="16" t="s">
        <v>18</v>
      </c>
      <c r="Q152" s="16" t="s">
        <v>312</v>
      </c>
      <c r="R152" s="16" t="e">
        <f>_xlfn.XLOOKUP(M152,'Invoice No Ref'!$C:$C,'Invoice No Ref'!$I:$I,,0)</f>
        <v>#N/A</v>
      </c>
      <c r="S152" s="16" t="s">
        <v>110</v>
      </c>
      <c r="T152" s="50">
        <v>1002.2</v>
      </c>
      <c r="U152" s="16" t="s">
        <v>20</v>
      </c>
      <c r="V152" s="50">
        <v>87706.86</v>
      </c>
      <c r="W152" s="16">
        <f t="shared" si="15"/>
        <v>87.514328477349821</v>
      </c>
      <c r="X152" s="16" t="s">
        <v>720</v>
      </c>
      <c r="Y152" s="16" t="s">
        <v>18</v>
      </c>
      <c r="Z152" s="16" t="s">
        <v>732</v>
      </c>
      <c r="AA152" s="16" t="s">
        <v>301</v>
      </c>
      <c r="AB152" s="16" t="e">
        <f>_xlfn.XLOOKUP(R152,'Customer Data'!$D:$D,'Customer Data'!$F:$F,,0)</f>
        <v>#N/A</v>
      </c>
      <c r="AC152" s="16"/>
      <c r="AD152" s="16" t="s">
        <v>24</v>
      </c>
      <c r="AE152" s="16" t="s">
        <v>18</v>
      </c>
      <c r="AF152" s="16" t="s">
        <v>18</v>
      </c>
      <c r="AG152" s="16" t="s">
        <v>18</v>
      </c>
      <c r="AH152" s="49">
        <v>45920</v>
      </c>
      <c r="AI152" s="49"/>
      <c r="AJ152" s="16" t="s">
        <v>18</v>
      </c>
    </row>
    <row r="153" spans="1:36" hidden="1" x14ac:dyDescent="0.35">
      <c r="A153" s="16" t="s">
        <v>296</v>
      </c>
      <c r="B153" s="16" t="s">
        <v>297</v>
      </c>
      <c r="C153" s="16" t="s">
        <v>21</v>
      </c>
      <c r="D153" s="16" t="s">
        <v>298</v>
      </c>
      <c r="E153" s="16" t="s">
        <v>167</v>
      </c>
      <c r="F153" s="16" t="s">
        <v>355</v>
      </c>
      <c r="G153" s="49">
        <v>45935</v>
      </c>
      <c r="H153" s="16" t="s">
        <v>489</v>
      </c>
      <c r="I153" s="16" t="s">
        <v>23</v>
      </c>
      <c r="J153" s="49">
        <v>45935</v>
      </c>
      <c r="K153" s="49">
        <v>45937</v>
      </c>
      <c r="L153" s="16" t="s">
        <v>315</v>
      </c>
      <c r="M153" s="61">
        <v>256779418050</v>
      </c>
      <c r="N153" s="16" t="s">
        <v>22</v>
      </c>
      <c r="O153" s="16" t="s">
        <v>300</v>
      </c>
      <c r="P153" s="16" t="s">
        <v>18</v>
      </c>
      <c r="Q153" s="16" t="s">
        <v>312</v>
      </c>
      <c r="R153" s="16" t="e">
        <f>_xlfn.XLOOKUP(M153,'Invoice No Ref'!$C:$C,'Invoice No Ref'!$I:$I,,0)</f>
        <v>#N/A</v>
      </c>
      <c r="S153" s="16" t="s">
        <v>110</v>
      </c>
      <c r="T153" s="50">
        <v>3981.8</v>
      </c>
      <c r="U153" s="16" t="s">
        <v>20</v>
      </c>
      <c r="V153" s="50">
        <v>351158.01</v>
      </c>
      <c r="W153" s="16">
        <f t="shared" si="15"/>
        <v>88.190770505801396</v>
      </c>
      <c r="X153" s="16" t="s">
        <v>720</v>
      </c>
      <c r="Y153" s="16" t="s">
        <v>18</v>
      </c>
      <c r="Z153" s="16" t="s">
        <v>733</v>
      </c>
      <c r="AA153" s="16" t="s">
        <v>301</v>
      </c>
      <c r="AB153" s="16" t="e">
        <f>_xlfn.XLOOKUP(R153,'Customer Data'!$D:$D,'Customer Data'!$F:$F,,0)</f>
        <v>#N/A</v>
      </c>
      <c r="AC153" s="16"/>
      <c r="AD153" s="16" t="s">
        <v>272</v>
      </c>
      <c r="AE153" s="16" t="s">
        <v>18</v>
      </c>
      <c r="AF153" s="16" t="s">
        <v>18</v>
      </c>
      <c r="AG153" s="16" t="s">
        <v>18</v>
      </c>
      <c r="AH153" s="49">
        <v>45935</v>
      </c>
      <c r="AI153" s="49">
        <v>45976</v>
      </c>
      <c r="AJ153" s="16" t="s">
        <v>319</v>
      </c>
    </row>
    <row r="154" spans="1:36" hidden="1" x14ac:dyDescent="0.35">
      <c r="A154" s="16" t="s">
        <v>296</v>
      </c>
      <c r="B154" s="16" t="s">
        <v>297</v>
      </c>
      <c r="C154" s="16" t="s">
        <v>21</v>
      </c>
      <c r="D154" s="16" t="s">
        <v>298</v>
      </c>
      <c r="E154" s="16" t="s">
        <v>175</v>
      </c>
      <c r="F154" s="16" t="s">
        <v>301</v>
      </c>
      <c r="G154" s="49">
        <v>46024</v>
      </c>
      <c r="H154" s="16" t="s">
        <v>490</v>
      </c>
      <c r="I154" s="16" t="s">
        <v>19</v>
      </c>
      <c r="J154" s="49">
        <v>46024</v>
      </c>
      <c r="K154" s="49">
        <v>46024</v>
      </c>
      <c r="L154" s="16" t="s">
        <v>491</v>
      </c>
      <c r="M154" s="61" t="s">
        <v>18</v>
      </c>
      <c r="N154" s="16" t="s">
        <v>22</v>
      </c>
      <c r="O154" s="16" t="s">
        <v>300</v>
      </c>
      <c r="P154" s="16" t="s">
        <v>18</v>
      </c>
      <c r="Q154" s="16" t="s">
        <v>306</v>
      </c>
      <c r="R154" s="16" t="e">
        <f>_xlfn.XLOOKUP(M154,'Invoice No Ref'!$C:$C,'Invoice No Ref'!$I:$I,,0)</f>
        <v>#N/A</v>
      </c>
      <c r="S154" s="16" t="s">
        <v>110</v>
      </c>
      <c r="T154" s="50">
        <v>-37332.980000000003</v>
      </c>
      <c r="U154" s="16" t="s">
        <v>20</v>
      </c>
      <c r="V154" s="50">
        <v>-3268983.99</v>
      </c>
      <c r="W154" s="16">
        <f t="shared" si="15"/>
        <v>87.562899881016733</v>
      </c>
      <c r="X154" s="16" t="s">
        <v>720</v>
      </c>
      <c r="Y154" s="16" t="s">
        <v>18</v>
      </c>
      <c r="Z154" s="16" t="s">
        <v>18</v>
      </c>
      <c r="AA154" s="16" t="s">
        <v>310</v>
      </c>
      <c r="AB154" s="16" t="e">
        <f>_xlfn.XLOOKUP(R154,'Customer Data'!$D:$D,'Customer Data'!$F:$F,,0)</f>
        <v>#N/A</v>
      </c>
      <c r="AC154" s="16"/>
      <c r="AD154" s="16" t="s">
        <v>491</v>
      </c>
      <c r="AE154" s="16" t="s">
        <v>18</v>
      </c>
      <c r="AF154" s="16" t="s">
        <v>18</v>
      </c>
      <c r="AG154" s="16" t="s">
        <v>18</v>
      </c>
      <c r="AH154" s="49">
        <v>46024</v>
      </c>
      <c r="AI154" s="49">
        <v>46024</v>
      </c>
      <c r="AJ154" s="16" t="s">
        <v>490</v>
      </c>
    </row>
    <row r="155" spans="1:36" x14ac:dyDescent="0.35">
      <c r="A155" s="16" t="s">
        <v>296</v>
      </c>
      <c r="B155" s="16" t="s">
        <v>297</v>
      </c>
      <c r="C155" s="16" t="s">
        <v>21</v>
      </c>
      <c r="D155" s="16" t="s">
        <v>298</v>
      </c>
      <c r="E155" s="16" t="s">
        <v>167</v>
      </c>
      <c r="F155" s="16" t="s">
        <v>308</v>
      </c>
      <c r="G155" s="49">
        <v>45889</v>
      </c>
      <c r="H155" s="16" t="s">
        <v>492</v>
      </c>
      <c r="I155" s="16" t="s">
        <v>23</v>
      </c>
      <c r="J155" s="49">
        <v>45889</v>
      </c>
      <c r="K155" s="49">
        <v>45891</v>
      </c>
      <c r="L155" s="16" t="s">
        <v>315</v>
      </c>
      <c r="M155" s="61">
        <v>256779416698</v>
      </c>
      <c r="N155" s="16" t="s">
        <v>22</v>
      </c>
      <c r="O155" s="16" t="s">
        <v>300</v>
      </c>
      <c r="P155" s="16" t="s">
        <v>18</v>
      </c>
      <c r="Q155" s="16" t="s">
        <v>312</v>
      </c>
      <c r="R155" s="16" t="e">
        <f>_xlfn.XLOOKUP(M155,'Invoice No Ref'!$C:$C,'Invoice No Ref'!$I:$I,,0)</f>
        <v>#N/A</v>
      </c>
      <c r="S155" s="16" t="s">
        <v>110</v>
      </c>
      <c r="T155" s="50">
        <v>3087.55</v>
      </c>
      <c r="U155" s="16" t="s">
        <v>20</v>
      </c>
      <c r="V155" s="50">
        <v>265622.3</v>
      </c>
      <c r="W155" s="16">
        <f t="shared" si="15"/>
        <v>86.030120969700889</v>
      </c>
      <c r="X155" s="16" t="s">
        <v>720</v>
      </c>
      <c r="Y155" s="16" t="s">
        <v>18</v>
      </c>
      <c r="Z155" s="16" t="s">
        <v>315</v>
      </c>
      <c r="AA155" s="16" t="s">
        <v>301</v>
      </c>
      <c r="AB155" s="16" t="e">
        <f>_xlfn.XLOOKUP(R155,'Customer Data'!$D:$D,'Customer Data'!$F:$F,,0)</f>
        <v>#N/A</v>
      </c>
      <c r="AC155" s="16"/>
      <c r="AD155" s="16" t="s">
        <v>493</v>
      </c>
      <c r="AE155" s="16" t="s">
        <v>18</v>
      </c>
      <c r="AF155" s="16" t="s">
        <v>18</v>
      </c>
      <c r="AG155" s="16" t="s">
        <v>18</v>
      </c>
      <c r="AH155" s="49">
        <v>45889</v>
      </c>
      <c r="AI155" s="49">
        <v>46024</v>
      </c>
      <c r="AJ155" s="16" t="s">
        <v>490</v>
      </c>
    </row>
    <row r="156" spans="1:36" x14ac:dyDescent="0.35">
      <c r="A156" s="16" t="s">
        <v>296</v>
      </c>
      <c r="B156" s="16" t="s">
        <v>297</v>
      </c>
      <c r="C156" s="16" t="s">
        <v>21</v>
      </c>
      <c r="D156" s="16" t="s">
        <v>298</v>
      </c>
      <c r="E156" s="16" t="s">
        <v>167</v>
      </c>
      <c r="F156" s="16" t="s">
        <v>308</v>
      </c>
      <c r="G156" s="49">
        <v>45889</v>
      </c>
      <c r="H156" s="16" t="s">
        <v>494</v>
      </c>
      <c r="I156" s="16" t="s">
        <v>23</v>
      </c>
      <c r="J156" s="49">
        <v>45889</v>
      </c>
      <c r="K156" s="49">
        <v>45891</v>
      </c>
      <c r="L156" s="16" t="s">
        <v>315</v>
      </c>
      <c r="M156" s="61">
        <v>256779416699</v>
      </c>
      <c r="N156" s="16" t="s">
        <v>22</v>
      </c>
      <c r="O156" s="16" t="s">
        <v>300</v>
      </c>
      <c r="P156" s="16" t="s">
        <v>18</v>
      </c>
      <c r="Q156" s="16" t="s">
        <v>312</v>
      </c>
      <c r="R156" s="16" t="e">
        <f>_xlfn.XLOOKUP(M156,'Invoice No Ref'!$C:$C,'Invoice No Ref'!$I:$I,,0)</f>
        <v>#N/A</v>
      </c>
      <c r="S156" s="16" t="s">
        <v>110</v>
      </c>
      <c r="T156" s="50">
        <v>2807.66</v>
      </c>
      <c r="U156" s="16" t="s">
        <v>20</v>
      </c>
      <c r="V156" s="50">
        <v>241543.33</v>
      </c>
      <c r="W156" s="16">
        <f t="shared" si="15"/>
        <v>86.030121168517553</v>
      </c>
      <c r="X156" s="16" t="s">
        <v>720</v>
      </c>
      <c r="Y156" s="16" t="s">
        <v>18</v>
      </c>
      <c r="Z156" s="16" t="s">
        <v>315</v>
      </c>
      <c r="AA156" s="16" t="s">
        <v>301</v>
      </c>
      <c r="AB156" s="16" t="e">
        <f>_xlfn.XLOOKUP(R156,'Customer Data'!$D:$D,'Customer Data'!$F:$F,,0)</f>
        <v>#N/A</v>
      </c>
      <c r="AC156" s="16"/>
      <c r="AD156" s="16" t="s">
        <v>493</v>
      </c>
      <c r="AE156" s="16" t="s">
        <v>18</v>
      </c>
      <c r="AF156" s="16" t="s">
        <v>18</v>
      </c>
      <c r="AG156" s="16" t="s">
        <v>18</v>
      </c>
      <c r="AH156" s="49">
        <v>45889</v>
      </c>
      <c r="AI156" s="49">
        <v>46024</v>
      </c>
      <c r="AJ156" s="16" t="s">
        <v>490</v>
      </c>
    </row>
    <row r="157" spans="1:36" x14ac:dyDescent="0.35">
      <c r="A157" s="16" t="s">
        <v>296</v>
      </c>
      <c r="B157" s="16" t="s">
        <v>297</v>
      </c>
      <c r="C157" s="16" t="s">
        <v>21</v>
      </c>
      <c r="D157" s="16" t="s">
        <v>298</v>
      </c>
      <c r="E157" s="16" t="s">
        <v>167</v>
      </c>
      <c r="F157" s="16" t="s">
        <v>438</v>
      </c>
      <c r="G157" s="49">
        <v>45904</v>
      </c>
      <c r="H157" s="16" t="s">
        <v>495</v>
      </c>
      <c r="I157" s="16" t="s">
        <v>23</v>
      </c>
      <c r="J157" s="49">
        <v>45904</v>
      </c>
      <c r="K157" s="49">
        <v>45908</v>
      </c>
      <c r="L157" s="16" t="s">
        <v>315</v>
      </c>
      <c r="M157" s="61">
        <v>256779416958</v>
      </c>
      <c r="N157" s="16" t="s">
        <v>22</v>
      </c>
      <c r="O157" s="16" t="s">
        <v>300</v>
      </c>
      <c r="P157" s="16" t="s">
        <v>18</v>
      </c>
      <c r="Q157" s="16" t="s">
        <v>312</v>
      </c>
      <c r="R157" s="16"/>
      <c r="S157" s="16" t="s">
        <v>110</v>
      </c>
      <c r="T157" s="50">
        <v>3624.71</v>
      </c>
      <c r="U157" s="16" t="s">
        <v>20</v>
      </c>
      <c r="V157" s="50">
        <v>317214.07</v>
      </c>
      <c r="W157" s="16">
        <f t="shared" si="15"/>
        <v>87.514330801636547</v>
      </c>
      <c r="X157" s="16" t="s">
        <v>720</v>
      </c>
      <c r="Y157" s="16" t="s">
        <v>18</v>
      </c>
      <c r="Z157" s="16" t="s">
        <v>315</v>
      </c>
      <c r="AA157" s="16" t="s">
        <v>301</v>
      </c>
      <c r="AB157" s="16">
        <f>_xlfn.XLOOKUP(M157,'Customer Data'!$D:$D,'Customer Data'!$H:$H,,0)</f>
        <v>-6712.26</v>
      </c>
      <c r="AC157" s="62">
        <f t="shared" ref="AC157:AC158" si="18">AB157+T157</f>
        <v>-3087.55</v>
      </c>
      <c r="AD157" s="16" t="s">
        <v>496</v>
      </c>
      <c r="AE157" s="16" t="s">
        <v>18</v>
      </c>
      <c r="AF157" s="16" t="s">
        <v>18</v>
      </c>
      <c r="AG157" s="16" t="s">
        <v>18</v>
      </c>
      <c r="AH157" s="49">
        <v>45904</v>
      </c>
      <c r="AI157" s="49">
        <v>46024</v>
      </c>
      <c r="AJ157" s="16" t="s">
        <v>490</v>
      </c>
    </row>
    <row r="158" spans="1:36" x14ac:dyDescent="0.35">
      <c r="A158" s="16" t="s">
        <v>296</v>
      </c>
      <c r="B158" s="16" t="s">
        <v>297</v>
      </c>
      <c r="C158" s="16" t="s">
        <v>21</v>
      </c>
      <c r="D158" s="16" t="s">
        <v>298</v>
      </c>
      <c r="E158" s="16" t="s">
        <v>167</v>
      </c>
      <c r="F158" s="16" t="s">
        <v>438</v>
      </c>
      <c r="G158" s="49">
        <v>45904</v>
      </c>
      <c r="H158" s="16" t="s">
        <v>497</v>
      </c>
      <c r="I158" s="16" t="s">
        <v>23</v>
      </c>
      <c r="J158" s="49">
        <v>45904</v>
      </c>
      <c r="K158" s="49">
        <v>45908</v>
      </c>
      <c r="L158" s="16" t="s">
        <v>315</v>
      </c>
      <c r="M158" s="61">
        <v>256779416959</v>
      </c>
      <c r="N158" s="16" t="s">
        <v>22</v>
      </c>
      <c r="O158" s="16" t="s">
        <v>300</v>
      </c>
      <c r="P158" s="16" t="s">
        <v>18</v>
      </c>
      <c r="Q158" s="16" t="s">
        <v>312</v>
      </c>
      <c r="R158" s="16"/>
      <c r="S158" s="16" t="s">
        <v>110</v>
      </c>
      <c r="T158" s="50">
        <v>2779.47</v>
      </c>
      <c r="U158" s="16" t="s">
        <v>20</v>
      </c>
      <c r="V158" s="50">
        <v>243243.45</v>
      </c>
      <c r="W158" s="16">
        <f t="shared" si="15"/>
        <v>87.514328271217181</v>
      </c>
      <c r="X158" s="16" t="s">
        <v>720</v>
      </c>
      <c r="Y158" s="16" t="s">
        <v>18</v>
      </c>
      <c r="Z158" s="16" t="s">
        <v>315</v>
      </c>
      <c r="AA158" s="16" t="s">
        <v>301</v>
      </c>
      <c r="AB158" s="16">
        <f>_xlfn.XLOOKUP(M158,'Customer Data'!$D:$D,'Customer Data'!$H:$H,,0)</f>
        <v>-5587.13</v>
      </c>
      <c r="AC158" s="62">
        <f t="shared" si="18"/>
        <v>-2807.6600000000003</v>
      </c>
      <c r="AD158" s="16" t="s">
        <v>496</v>
      </c>
      <c r="AE158" s="16" t="s">
        <v>18</v>
      </c>
      <c r="AF158" s="16" t="s">
        <v>18</v>
      </c>
      <c r="AG158" s="16" t="s">
        <v>18</v>
      </c>
      <c r="AH158" s="49">
        <v>45904</v>
      </c>
      <c r="AI158" s="49">
        <v>46024</v>
      </c>
      <c r="AJ158" s="16" t="s">
        <v>490</v>
      </c>
    </row>
    <row r="159" spans="1:36" hidden="1" x14ac:dyDescent="0.35">
      <c r="A159" s="16" t="s">
        <v>296</v>
      </c>
      <c r="B159" s="16" t="s">
        <v>297</v>
      </c>
      <c r="C159" s="16" t="s">
        <v>21</v>
      </c>
      <c r="D159" s="16" t="s">
        <v>298</v>
      </c>
      <c r="E159" s="16" t="s">
        <v>167</v>
      </c>
      <c r="F159" s="16" t="s">
        <v>438</v>
      </c>
      <c r="G159" s="49">
        <v>45918</v>
      </c>
      <c r="H159" s="16" t="s">
        <v>498</v>
      </c>
      <c r="I159" s="16" t="s">
        <v>23</v>
      </c>
      <c r="J159" s="49">
        <v>45918</v>
      </c>
      <c r="K159" s="49">
        <v>45922</v>
      </c>
      <c r="L159" s="16" t="s">
        <v>315</v>
      </c>
      <c r="M159" s="61">
        <v>256779417627</v>
      </c>
      <c r="N159" s="16" t="s">
        <v>22</v>
      </c>
      <c r="O159" s="16" t="s">
        <v>300</v>
      </c>
      <c r="P159" s="16" t="s">
        <v>18</v>
      </c>
      <c r="Q159" s="16" t="s">
        <v>312</v>
      </c>
      <c r="R159" s="16" t="e">
        <f>_xlfn.XLOOKUP(M159,'Invoice No Ref'!$C:$C,'Invoice No Ref'!$I:$I,,0)</f>
        <v>#N/A</v>
      </c>
      <c r="S159" s="16" t="s">
        <v>110</v>
      </c>
      <c r="T159" s="50">
        <v>4109.3</v>
      </c>
      <c r="U159" s="16" t="s">
        <v>20</v>
      </c>
      <c r="V159" s="50">
        <v>359622.64</v>
      </c>
      <c r="W159" s="16">
        <f t="shared" si="15"/>
        <v>87.514330907940519</v>
      </c>
      <c r="X159" s="16" t="s">
        <v>720</v>
      </c>
      <c r="Y159" s="16" t="s">
        <v>18</v>
      </c>
      <c r="Z159" s="16" t="s">
        <v>734</v>
      </c>
      <c r="AA159" s="16" t="s">
        <v>301</v>
      </c>
      <c r="AB159" s="16" t="e">
        <f>_xlfn.XLOOKUP(R159,'Customer Data'!$D:$D,'Customer Data'!$F:$F,,0)</f>
        <v>#N/A</v>
      </c>
      <c r="AC159" s="16"/>
      <c r="AD159" s="16" t="s">
        <v>499</v>
      </c>
      <c r="AE159" s="16" t="s">
        <v>18</v>
      </c>
      <c r="AF159" s="16" t="s">
        <v>18</v>
      </c>
      <c r="AG159" s="16" t="s">
        <v>18</v>
      </c>
      <c r="AH159" s="49">
        <v>45918</v>
      </c>
      <c r="AI159" s="49">
        <v>46024</v>
      </c>
      <c r="AJ159" s="16" t="s">
        <v>490</v>
      </c>
    </row>
    <row r="160" spans="1:36" hidden="1" x14ac:dyDescent="0.35">
      <c r="A160" s="16" t="s">
        <v>296</v>
      </c>
      <c r="B160" s="16" t="s">
        <v>297</v>
      </c>
      <c r="C160" s="16" t="s">
        <v>21</v>
      </c>
      <c r="D160" s="16" t="s">
        <v>298</v>
      </c>
      <c r="E160" s="16" t="s">
        <v>167</v>
      </c>
      <c r="F160" s="16" t="s">
        <v>438</v>
      </c>
      <c r="G160" s="49">
        <v>45918</v>
      </c>
      <c r="H160" s="16" t="s">
        <v>500</v>
      </c>
      <c r="I160" s="16" t="s">
        <v>23</v>
      </c>
      <c r="J160" s="49">
        <v>45918</v>
      </c>
      <c r="K160" s="49">
        <v>45922</v>
      </c>
      <c r="L160" s="16" t="s">
        <v>315</v>
      </c>
      <c r="M160" s="61">
        <v>256779417628</v>
      </c>
      <c r="N160" s="16" t="s">
        <v>22</v>
      </c>
      <c r="O160" s="16" t="s">
        <v>300</v>
      </c>
      <c r="P160" s="16" t="s">
        <v>18</v>
      </c>
      <c r="Q160" s="16" t="s">
        <v>312</v>
      </c>
      <c r="R160" s="16" t="e">
        <f>_xlfn.XLOOKUP(M160,'Invoice No Ref'!$C:$C,'Invoice No Ref'!$I:$I,,0)</f>
        <v>#N/A</v>
      </c>
      <c r="S160" s="16" t="s">
        <v>110</v>
      </c>
      <c r="T160" s="50">
        <v>2332.63</v>
      </c>
      <c r="U160" s="16" t="s">
        <v>20</v>
      </c>
      <c r="V160" s="50">
        <v>204138.55</v>
      </c>
      <c r="W160" s="16">
        <f t="shared" si="15"/>
        <v>87.514329319266224</v>
      </c>
      <c r="X160" s="16" t="s">
        <v>720</v>
      </c>
      <c r="Y160" s="16" t="s">
        <v>18</v>
      </c>
      <c r="Z160" s="16" t="s">
        <v>734</v>
      </c>
      <c r="AA160" s="16" t="s">
        <v>301</v>
      </c>
      <c r="AB160" s="16" t="e">
        <f>_xlfn.XLOOKUP(R160,'Customer Data'!$D:$D,'Customer Data'!$F:$F,,0)</f>
        <v>#N/A</v>
      </c>
      <c r="AC160" s="16"/>
      <c r="AD160" s="16" t="s">
        <v>499</v>
      </c>
      <c r="AE160" s="16" t="s">
        <v>18</v>
      </c>
      <c r="AF160" s="16" t="s">
        <v>18</v>
      </c>
      <c r="AG160" s="16" t="s">
        <v>18</v>
      </c>
      <c r="AH160" s="49">
        <v>45918</v>
      </c>
      <c r="AI160" s="49">
        <v>46024</v>
      </c>
      <c r="AJ160" s="16" t="s">
        <v>490</v>
      </c>
    </row>
    <row r="161" spans="1:36" hidden="1" x14ac:dyDescent="0.35">
      <c r="A161" s="16" t="s">
        <v>296</v>
      </c>
      <c r="B161" s="16" t="s">
        <v>297</v>
      </c>
      <c r="C161" s="16" t="s">
        <v>21</v>
      </c>
      <c r="D161" s="16" t="s">
        <v>298</v>
      </c>
      <c r="E161" s="16" t="s">
        <v>167</v>
      </c>
      <c r="F161" s="16" t="s">
        <v>355</v>
      </c>
      <c r="G161" s="49">
        <v>45936</v>
      </c>
      <c r="H161" s="16" t="s">
        <v>501</v>
      </c>
      <c r="I161" s="16" t="s">
        <v>23</v>
      </c>
      <c r="J161" s="49">
        <v>45936</v>
      </c>
      <c r="K161" s="49">
        <v>45939</v>
      </c>
      <c r="L161" s="16" t="s">
        <v>315</v>
      </c>
      <c r="M161" s="61">
        <v>256779418216</v>
      </c>
      <c r="N161" s="16" t="s">
        <v>22</v>
      </c>
      <c r="O161" s="16" t="s">
        <v>300</v>
      </c>
      <c r="P161" s="16" t="s">
        <v>18</v>
      </c>
      <c r="Q161" s="16" t="s">
        <v>312</v>
      </c>
      <c r="R161" s="16"/>
      <c r="S161" s="16" t="s">
        <v>110</v>
      </c>
      <c r="T161" s="50">
        <v>3984.09</v>
      </c>
      <c r="U161" s="16" t="s">
        <v>20</v>
      </c>
      <c r="V161" s="50">
        <v>351359.96</v>
      </c>
      <c r="W161" s="16">
        <f t="shared" si="15"/>
        <v>88.190768782833729</v>
      </c>
      <c r="X161" s="16" t="s">
        <v>720</v>
      </c>
      <c r="Y161" s="16" t="s">
        <v>18</v>
      </c>
      <c r="Z161" s="16" t="s">
        <v>735</v>
      </c>
      <c r="AA161" s="16" t="s">
        <v>301</v>
      </c>
      <c r="AB161" s="16">
        <f>_xlfn.XLOOKUP(M161,'Customer Data'!$D:$D,'Customer Data'!$H:$H,,0)</f>
        <v>-8093.39</v>
      </c>
      <c r="AC161" s="62">
        <f t="shared" ref="AC161:AC171" si="19">AB161+T161</f>
        <v>-4109.3</v>
      </c>
      <c r="AD161" s="16" t="s">
        <v>502</v>
      </c>
      <c r="AE161" s="16" t="s">
        <v>18</v>
      </c>
      <c r="AF161" s="16" t="s">
        <v>18</v>
      </c>
      <c r="AG161" s="16" t="s">
        <v>18</v>
      </c>
      <c r="AH161" s="49">
        <v>45936</v>
      </c>
      <c r="AI161" s="49">
        <v>46024</v>
      </c>
      <c r="AJ161" s="16" t="s">
        <v>490</v>
      </c>
    </row>
    <row r="162" spans="1:36" hidden="1" x14ac:dyDescent="0.35">
      <c r="A162" s="16" t="s">
        <v>296</v>
      </c>
      <c r="B162" s="16" t="s">
        <v>297</v>
      </c>
      <c r="C162" s="16" t="s">
        <v>21</v>
      </c>
      <c r="D162" s="16" t="s">
        <v>298</v>
      </c>
      <c r="E162" s="16" t="s">
        <v>167</v>
      </c>
      <c r="F162" s="16" t="s">
        <v>355</v>
      </c>
      <c r="G162" s="49">
        <v>45936</v>
      </c>
      <c r="H162" s="16" t="s">
        <v>503</v>
      </c>
      <c r="I162" s="16" t="s">
        <v>23</v>
      </c>
      <c r="J162" s="49">
        <v>45936</v>
      </c>
      <c r="K162" s="49">
        <v>45939</v>
      </c>
      <c r="L162" s="16" t="s">
        <v>315</v>
      </c>
      <c r="M162" s="61">
        <v>256779418217</v>
      </c>
      <c r="N162" s="16" t="s">
        <v>22</v>
      </c>
      <c r="O162" s="16" t="s">
        <v>300</v>
      </c>
      <c r="P162" s="16" t="s">
        <v>18</v>
      </c>
      <c r="Q162" s="16" t="s">
        <v>312</v>
      </c>
      <c r="R162" s="16"/>
      <c r="S162" s="16" t="s">
        <v>110</v>
      </c>
      <c r="T162" s="50">
        <v>3863.82</v>
      </c>
      <c r="U162" s="16" t="s">
        <v>20</v>
      </c>
      <c r="V162" s="50">
        <v>340753.26</v>
      </c>
      <c r="W162" s="16">
        <f t="shared" si="15"/>
        <v>88.19076975635511</v>
      </c>
      <c r="X162" s="16" t="s">
        <v>720</v>
      </c>
      <c r="Y162" s="16" t="s">
        <v>18</v>
      </c>
      <c r="Z162" s="16" t="s">
        <v>735</v>
      </c>
      <c r="AA162" s="16" t="s">
        <v>301</v>
      </c>
      <c r="AB162" s="16">
        <f>_xlfn.XLOOKUP(M162,'Customer Data'!$D:$D,'Customer Data'!$H:$H,,0)</f>
        <v>-6196.45</v>
      </c>
      <c r="AC162" s="62">
        <f t="shared" si="19"/>
        <v>-2332.6299999999997</v>
      </c>
      <c r="AD162" s="16" t="s">
        <v>502</v>
      </c>
      <c r="AE162" s="16" t="s">
        <v>18</v>
      </c>
      <c r="AF162" s="16" t="s">
        <v>18</v>
      </c>
      <c r="AG162" s="16" t="s">
        <v>18</v>
      </c>
      <c r="AH162" s="49">
        <v>45936</v>
      </c>
      <c r="AI162" s="49">
        <v>46024</v>
      </c>
      <c r="AJ162" s="16" t="s">
        <v>490</v>
      </c>
    </row>
    <row r="163" spans="1:36" hidden="1" x14ac:dyDescent="0.35">
      <c r="A163" s="16" t="s">
        <v>296</v>
      </c>
      <c r="B163" s="16" t="s">
        <v>297</v>
      </c>
      <c r="C163" s="16" t="s">
        <v>21</v>
      </c>
      <c r="D163" s="16" t="s">
        <v>298</v>
      </c>
      <c r="E163" s="16" t="s">
        <v>167</v>
      </c>
      <c r="F163" s="16" t="s">
        <v>311</v>
      </c>
      <c r="G163" s="49">
        <v>45966</v>
      </c>
      <c r="H163" s="16" t="s">
        <v>504</v>
      </c>
      <c r="I163" s="16" t="s">
        <v>23</v>
      </c>
      <c r="J163" s="49">
        <v>45966</v>
      </c>
      <c r="K163" s="49">
        <v>45967</v>
      </c>
      <c r="L163" s="16" t="s">
        <v>315</v>
      </c>
      <c r="M163" s="61">
        <v>256779418840</v>
      </c>
      <c r="N163" s="16" t="s">
        <v>22</v>
      </c>
      <c r="O163" s="16" t="s">
        <v>300</v>
      </c>
      <c r="P163" s="16" t="s">
        <v>18</v>
      </c>
      <c r="Q163" s="16" t="s">
        <v>312</v>
      </c>
      <c r="R163" s="16"/>
      <c r="S163" s="16" t="s">
        <v>110</v>
      </c>
      <c r="T163" s="50">
        <v>15.78</v>
      </c>
      <c r="U163" s="16" t="s">
        <v>20</v>
      </c>
      <c r="V163" s="50">
        <v>1388.69</v>
      </c>
      <c r="W163" s="16">
        <f t="shared" si="15"/>
        <v>88.003168567807364</v>
      </c>
      <c r="X163" s="16" t="s">
        <v>720</v>
      </c>
      <c r="Y163" s="16" t="s">
        <v>18</v>
      </c>
      <c r="Z163" s="16" t="s">
        <v>315</v>
      </c>
      <c r="AA163" s="16" t="s">
        <v>301</v>
      </c>
      <c r="AB163" s="16">
        <f>_xlfn.XLOOKUP(M163,'Customer Data'!$D:$D,'Customer Data'!$H:$H,,0)</f>
        <v>-15.78</v>
      </c>
      <c r="AC163" s="62">
        <f t="shared" si="19"/>
        <v>0</v>
      </c>
      <c r="AD163" s="16" t="s">
        <v>278</v>
      </c>
      <c r="AE163" s="16" t="s">
        <v>18</v>
      </c>
      <c r="AF163" s="16" t="s">
        <v>18</v>
      </c>
      <c r="AG163" s="16" t="s">
        <v>18</v>
      </c>
      <c r="AH163" s="49">
        <v>45966</v>
      </c>
      <c r="AI163" s="49">
        <v>46024</v>
      </c>
      <c r="AJ163" s="16" t="s">
        <v>490</v>
      </c>
    </row>
    <row r="164" spans="1:36" hidden="1" x14ac:dyDescent="0.35">
      <c r="A164" s="16" t="s">
        <v>296</v>
      </c>
      <c r="B164" s="16" t="s">
        <v>297</v>
      </c>
      <c r="C164" s="16" t="s">
        <v>21</v>
      </c>
      <c r="D164" s="16" t="s">
        <v>298</v>
      </c>
      <c r="E164" s="16" t="s">
        <v>167</v>
      </c>
      <c r="F164" s="16" t="s">
        <v>311</v>
      </c>
      <c r="G164" s="49">
        <v>45964</v>
      </c>
      <c r="H164" s="16" t="s">
        <v>505</v>
      </c>
      <c r="I164" s="16" t="s">
        <v>23</v>
      </c>
      <c r="J164" s="49">
        <v>45964</v>
      </c>
      <c r="K164" s="49">
        <v>45967</v>
      </c>
      <c r="L164" s="16" t="s">
        <v>315</v>
      </c>
      <c r="M164" s="61">
        <v>256779419103</v>
      </c>
      <c r="N164" s="16" t="s">
        <v>22</v>
      </c>
      <c r="O164" s="16" t="s">
        <v>300</v>
      </c>
      <c r="P164" s="16" t="s">
        <v>18</v>
      </c>
      <c r="Q164" s="16" t="s">
        <v>312</v>
      </c>
      <c r="R164" s="16"/>
      <c r="S164" s="16" t="s">
        <v>110</v>
      </c>
      <c r="T164" s="50">
        <v>6342.78</v>
      </c>
      <c r="U164" s="16" t="s">
        <v>20</v>
      </c>
      <c r="V164" s="50">
        <v>558186.14</v>
      </c>
      <c r="W164" s="16">
        <f t="shared" si="15"/>
        <v>88.003389680865496</v>
      </c>
      <c r="X164" s="16" t="s">
        <v>720</v>
      </c>
      <c r="Y164" s="16" t="s">
        <v>18</v>
      </c>
      <c r="Z164" s="16" t="s">
        <v>736</v>
      </c>
      <c r="AA164" s="16" t="s">
        <v>301</v>
      </c>
      <c r="AB164" s="16">
        <f>_xlfn.XLOOKUP(M164,'Customer Data'!$D:$D,'Customer Data'!$H:$H,,0)</f>
        <v>-6342.78</v>
      </c>
      <c r="AC164" s="62">
        <f t="shared" si="19"/>
        <v>0</v>
      </c>
      <c r="AD164" s="16" t="s">
        <v>506</v>
      </c>
      <c r="AE164" s="16" t="s">
        <v>18</v>
      </c>
      <c r="AF164" s="16" t="s">
        <v>18</v>
      </c>
      <c r="AG164" s="16" t="s">
        <v>18</v>
      </c>
      <c r="AH164" s="49">
        <v>45964</v>
      </c>
      <c r="AI164" s="49">
        <v>46024</v>
      </c>
      <c r="AJ164" s="16" t="s">
        <v>490</v>
      </c>
    </row>
    <row r="165" spans="1:36" hidden="1" x14ac:dyDescent="0.35">
      <c r="A165" s="16" t="s">
        <v>296</v>
      </c>
      <c r="B165" s="16" t="s">
        <v>297</v>
      </c>
      <c r="C165" s="16" t="s">
        <v>21</v>
      </c>
      <c r="D165" s="16" t="s">
        <v>298</v>
      </c>
      <c r="E165" s="16" t="s">
        <v>167</v>
      </c>
      <c r="F165" s="16" t="s">
        <v>311</v>
      </c>
      <c r="G165" s="49">
        <v>45966</v>
      </c>
      <c r="H165" s="16" t="s">
        <v>507</v>
      </c>
      <c r="I165" s="16" t="s">
        <v>23</v>
      </c>
      <c r="J165" s="49">
        <v>45966</v>
      </c>
      <c r="K165" s="49">
        <v>45967</v>
      </c>
      <c r="L165" s="16" t="s">
        <v>315</v>
      </c>
      <c r="M165" s="61">
        <v>256779419145</v>
      </c>
      <c r="N165" s="16" t="s">
        <v>22</v>
      </c>
      <c r="O165" s="16" t="s">
        <v>300</v>
      </c>
      <c r="P165" s="16" t="s">
        <v>18</v>
      </c>
      <c r="Q165" s="16" t="s">
        <v>312</v>
      </c>
      <c r="R165" s="16"/>
      <c r="S165" s="16" t="s">
        <v>110</v>
      </c>
      <c r="T165" s="50">
        <v>2892.9</v>
      </c>
      <c r="U165" s="16" t="s">
        <v>20</v>
      </c>
      <c r="V165" s="50">
        <v>254585.01</v>
      </c>
      <c r="W165" s="16">
        <f t="shared" si="15"/>
        <v>88.00339106087317</v>
      </c>
      <c r="X165" s="16" t="s">
        <v>720</v>
      </c>
      <c r="Y165" s="16" t="s">
        <v>18</v>
      </c>
      <c r="Z165" s="16" t="s">
        <v>737</v>
      </c>
      <c r="AA165" s="16" t="s">
        <v>301</v>
      </c>
      <c r="AB165" s="16">
        <f>_xlfn.XLOOKUP(M165,'Customer Data'!$D:$D,'Customer Data'!$H:$H,,0)</f>
        <v>-2892.9</v>
      </c>
      <c r="AC165" s="62">
        <f t="shared" si="19"/>
        <v>0</v>
      </c>
      <c r="AD165" s="16" t="s">
        <v>272</v>
      </c>
      <c r="AE165" s="16" t="s">
        <v>18</v>
      </c>
      <c r="AF165" s="16" t="s">
        <v>18</v>
      </c>
      <c r="AG165" s="16" t="s">
        <v>18</v>
      </c>
      <c r="AH165" s="49">
        <v>45966</v>
      </c>
      <c r="AI165" s="49">
        <v>46024</v>
      </c>
      <c r="AJ165" s="16" t="s">
        <v>490</v>
      </c>
    </row>
    <row r="166" spans="1:36" hidden="1" x14ac:dyDescent="0.35">
      <c r="A166" s="16" t="s">
        <v>296</v>
      </c>
      <c r="B166" s="16" t="s">
        <v>297</v>
      </c>
      <c r="C166" s="16" t="s">
        <v>21</v>
      </c>
      <c r="D166" s="16" t="s">
        <v>298</v>
      </c>
      <c r="E166" s="16" t="s">
        <v>167</v>
      </c>
      <c r="F166" s="16" t="s">
        <v>311</v>
      </c>
      <c r="G166" s="49">
        <v>45966</v>
      </c>
      <c r="H166" s="16" t="s">
        <v>508</v>
      </c>
      <c r="I166" s="16" t="s">
        <v>23</v>
      </c>
      <c r="J166" s="49">
        <v>45966</v>
      </c>
      <c r="K166" s="49">
        <v>45967</v>
      </c>
      <c r="L166" s="16" t="s">
        <v>315</v>
      </c>
      <c r="M166" s="61">
        <v>256779419092</v>
      </c>
      <c r="N166" s="16" t="s">
        <v>22</v>
      </c>
      <c r="O166" s="16" t="s">
        <v>300</v>
      </c>
      <c r="P166" s="16" t="s">
        <v>18</v>
      </c>
      <c r="Q166" s="16" t="s">
        <v>312</v>
      </c>
      <c r="R166" s="16"/>
      <c r="S166" s="16" t="s">
        <v>110</v>
      </c>
      <c r="T166" s="50">
        <v>41.3</v>
      </c>
      <c r="U166" s="16" t="s">
        <v>20</v>
      </c>
      <c r="V166" s="50">
        <v>3634.54</v>
      </c>
      <c r="W166" s="16">
        <f t="shared" si="15"/>
        <v>88.003389830508482</v>
      </c>
      <c r="X166" s="16" t="s">
        <v>720</v>
      </c>
      <c r="Y166" s="16" t="s">
        <v>18</v>
      </c>
      <c r="Z166" s="16" t="s">
        <v>738</v>
      </c>
      <c r="AA166" s="16" t="s">
        <v>301</v>
      </c>
      <c r="AB166" s="16">
        <f>_xlfn.XLOOKUP(M166,'Customer Data'!$D:$D,'Customer Data'!$H:$H,,0)</f>
        <v>-41.3</v>
      </c>
      <c r="AC166" s="62">
        <f t="shared" si="19"/>
        <v>0</v>
      </c>
      <c r="AD166" s="16" t="s">
        <v>276</v>
      </c>
      <c r="AE166" s="16" t="s">
        <v>18</v>
      </c>
      <c r="AF166" s="16" t="s">
        <v>18</v>
      </c>
      <c r="AG166" s="16" t="s">
        <v>18</v>
      </c>
      <c r="AH166" s="49">
        <v>45966</v>
      </c>
      <c r="AI166" s="49">
        <v>46024</v>
      </c>
      <c r="AJ166" s="16" t="s">
        <v>490</v>
      </c>
    </row>
    <row r="167" spans="1:36" hidden="1" x14ac:dyDescent="0.35">
      <c r="A167" s="16" t="s">
        <v>296</v>
      </c>
      <c r="B167" s="16" t="s">
        <v>297</v>
      </c>
      <c r="C167" s="16" t="s">
        <v>21</v>
      </c>
      <c r="D167" s="16" t="s">
        <v>298</v>
      </c>
      <c r="E167" s="16" t="s">
        <v>167</v>
      </c>
      <c r="F167" s="16" t="s">
        <v>311</v>
      </c>
      <c r="G167" s="49">
        <v>45966</v>
      </c>
      <c r="H167" s="16" t="s">
        <v>509</v>
      </c>
      <c r="I167" s="16" t="s">
        <v>23</v>
      </c>
      <c r="J167" s="49">
        <v>45966</v>
      </c>
      <c r="K167" s="49">
        <v>45967</v>
      </c>
      <c r="L167" s="16" t="s">
        <v>315</v>
      </c>
      <c r="M167" s="61">
        <v>256779419187</v>
      </c>
      <c r="N167" s="16" t="s">
        <v>22</v>
      </c>
      <c r="O167" s="16" t="s">
        <v>300</v>
      </c>
      <c r="P167" s="16" t="s">
        <v>18</v>
      </c>
      <c r="Q167" s="16" t="s">
        <v>312</v>
      </c>
      <c r="R167" s="16"/>
      <c r="S167" s="16" t="s">
        <v>110</v>
      </c>
      <c r="T167" s="50">
        <v>503.26</v>
      </c>
      <c r="U167" s="16" t="s">
        <v>20</v>
      </c>
      <c r="V167" s="50">
        <v>44288.59</v>
      </c>
      <c r="W167" s="16">
        <f t="shared" si="15"/>
        <v>88.003397846043782</v>
      </c>
      <c r="X167" s="16" t="s">
        <v>720</v>
      </c>
      <c r="Y167" s="16" t="s">
        <v>18</v>
      </c>
      <c r="Z167" s="16" t="s">
        <v>739</v>
      </c>
      <c r="AA167" s="16" t="s">
        <v>301</v>
      </c>
      <c r="AB167" s="16">
        <f>_xlfn.XLOOKUP(M167,'Customer Data'!$D:$D,'Customer Data'!$H:$H,,0)</f>
        <v>-503.26</v>
      </c>
      <c r="AC167" s="62">
        <f t="shared" si="19"/>
        <v>0</v>
      </c>
      <c r="AD167" s="16" t="s">
        <v>275</v>
      </c>
      <c r="AE167" s="16" t="s">
        <v>18</v>
      </c>
      <c r="AF167" s="16" t="s">
        <v>18</v>
      </c>
      <c r="AG167" s="16" t="s">
        <v>18</v>
      </c>
      <c r="AH167" s="49">
        <v>45966</v>
      </c>
      <c r="AI167" s="49">
        <v>46024</v>
      </c>
      <c r="AJ167" s="16" t="s">
        <v>490</v>
      </c>
    </row>
    <row r="168" spans="1:36" hidden="1" x14ac:dyDescent="0.35">
      <c r="A168" s="16" t="s">
        <v>296</v>
      </c>
      <c r="B168" s="16" t="s">
        <v>297</v>
      </c>
      <c r="C168" s="16" t="s">
        <v>21</v>
      </c>
      <c r="D168" s="16" t="s">
        <v>298</v>
      </c>
      <c r="E168" s="16" t="s">
        <v>167</v>
      </c>
      <c r="F168" s="16" t="s">
        <v>311</v>
      </c>
      <c r="G168" s="49">
        <v>45966</v>
      </c>
      <c r="H168" s="16" t="s">
        <v>510</v>
      </c>
      <c r="I168" s="16" t="s">
        <v>23</v>
      </c>
      <c r="J168" s="49">
        <v>45966</v>
      </c>
      <c r="K168" s="49">
        <v>45967</v>
      </c>
      <c r="L168" s="16" t="s">
        <v>315</v>
      </c>
      <c r="M168" s="61">
        <v>256779419078</v>
      </c>
      <c r="N168" s="16" t="s">
        <v>22</v>
      </c>
      <c r="O168" s="16" t="s">
        <v>300</v>
      </c>
      <c r="P168" s="16" t="s">
        <v>18</v>
      </c>
      <c r="Q168" s="16" t="s">
        <v>312</v>
      </c>
      <c r="R168" s="16"/>
      <c r="S168" s="16" t="s">
        <v>110</v>
      </c>
      <c r="T168" s="50">
        <v>394.16</v>
      </c>
      <c r="U168" s="16" t="s">
        <v>20</v>
      </c>
      <c r="V168" s="50">
        <v>34687.42</v>
      </c>
      <c r="W168" s="16">
        <f t="shared" si="15"/>
        <v>88.00339963466611</v>
      </c>
      <c r="X168" s="16" t="s">
        <v>720</v>
      </c>
      <c r="Y168" s="16" t="s">
        <v>18</v>
      </c>
      <c r="Z168" s="16" t="s">
        <v>740</v>
      </c>
      <c r="AA168" s="16" t="s">
        <v>301</v>
      </c>
      <c r="AB168" s="16">
        <f>_xlfn.XLOOKUP(M168,'Customer Data'!$D:$D,'Customer Data'!$H:$H,,0)</f>
        <v>-394.16</v>
      </c>
      <c r="AC168" s="62">
        <f t="shared" si="19"/>
        <v>0</v>
      </c>
      <c r="AD168" s="16" t="s">
        <v>511</v>
      </c>
      <c r="AE168" s="16" t="s">
        <v>18</v>
      </c>
      <c r="AF168" s="16" t="s">
        <v>18</v>
      </c>
      <c r="AG168" s="16" t="s">
        <v>18</v>
      </c>
      <c r="AH168" s="49">
        <v>45966</v>
      </c>
      <c r="AI168" s="49">
        <v>46024</v>
      </c>
      <c r="AJ168" s="16" t="s">
        <v>490</v>
      </c>
    </row>
    <row r="169" spans="1:36" hidden="1" x14ac:dyDescent="0.35">
      <c r="A169" s="16" t="s">
        <v>296</v>
      </c>
      <c r="B169" s="16" t="s">
        <v>297</v>
      </c>
      <c r="C169" s="16" t="s">
        <v>21</v>
      </c>
      <c r="D169" s="16" t="s">
        <v>298</v>
      </c>
      <c r="E169" s="16" t="s">
        <v>167</v>
      </c>
      <c r="F169" s="16" t="s">
        <v>311</v>
      </c>
      <c r="G169" s="49">
        <v>45966</v>
      </c>
      <c r="H169" s="16" t="s">
        <v>512</v>
      </c>
      <c r="I169" s="16" t="s">
        <v>23</v>
      </c>
      <c r="J169" s="49">
        <v>45966</v>
      </c>
      <c r="K169" s="49">
        <v>45968</v>
      </c>
      <c r="L169" s="16" t="s">
        <v>513</v>
      </c>
      <c r="M169" s="61">
        <v>256779419214</v>
      </c>
      <c r="N169" s="16" t="s">
        <v>22</v>
      </c>
      <c r="O169" s="16" t="s">
        <v>300</v>
      </c>
      <c r="P169" s="16" t="s">
        <v>18</v>
      </c>
      <c r="Q169" s="16" t="s">
        <v>312</v>
      </c>
      <c r="R169" s="16"/>
      <c r="S169" s="16" t="s">
        <v>110</v>
      </c>
      <c r="T169" s="50">
        <v>485.95</v>
      </c>
      <c r="U169" s="16" t="s">
        <v>20</v>
      </c>
      <c r="V169" s="50">
        <v>42765.25</v>
      </c>
      <c r="W169" s="16">
        <f t="shared" si="15"/>
        <v>88.003395411050519</v>
      </c>
      <c r="X169" s="16" t="s">
        <v>720</v>
      </c>
      <c r="Y169" s="16" t="s">
        <v>18</v>
      </c>
      <c r="Z169" s="16" t="s">
        <v>315</v>
      </c>
      <c r="AA169" s="16" t="s">
        <v>301</v>
      </c>
      <c r="AB169" s="16">
        <f>_xlfn.XLOOKUP(M169,'Customer Data'!$D:$D,'Customer Data'!$H:$H,,0)</f>
        <v>-485.95</v>
      </c>
      <c r="AC169" s="62">
        <f t="shared" si="19"/>
        <v>0</v>
      </c>
      <c r="AD169" s="16" t="s">
        <v>274</v>
      </c>
      <c r="AE169" s="16" t="s">
        <v>18</v>
      </c>
      <c r="AF169" s="16" t="s">
        <v>18</v>
      </c>
      <c r="AG169" s="16" t="s">
        <v>18</v>
      </c>
      <c r="AH169" s="49">
        <v>45966</v>
      </c>
      <c r="AI169" s="49">
        <v>46024</v>
      </c>
      <c r="AJ169" s="16" t="s">
        <v>490</v>
      </c>
    </row>
    <row r="170" spans="1:36" hidden="1" x14ac:dyDescent="0.35">
      <c r="A170" s="16" t="s">
        <v>296</v>
      </c>
      <c r="B170" s="16" t="s">
        <v>297</v>
      </c>
      <c r="C170" s="16" t="s">
        <v>21</v>
      </c>
      <c r="D170" s="16" t="s">
        <v>298</v>
      </c>
      <c r="E170" s="16" t="s">
        <v>167</v>
      </c>
      <c r="F170" s="16" t="s">
        <v>311</v>
      </c>
      <c r="G170" s="49">
        <v>45966</v>
      </c>
      <c r="H170" s="16" t="s">
        <v>514</v>
      </c>
      <c r="I170" s="16" t="s">
        <v>23</v>
      </c>
      <c r="J170" s="49">
        <v>45966</v>
      </c>
      <c r="K170" s="49">
        <v>45968</v>
      </c>
      <c r="L170" s="16" t="s">
        <v>315</v>
      </c>
      <c r="M170" s="61">
        <v>256779419239</v>
      </c>
      <c r="N170" s="16" t="s">
        <v>22</v>
      </c>
      <c r="O170" s="16" t="s">
        <v>300</v>
      </c>
      <c r="P170" s="16" t="s">
        <v>18</v>
      </c>
      <c r="Q170" s="16" t="s">
        <v>312</v>
      </c>
      <c r="R170" s="16"/>
      <c r="S170" s="16" t="s">
        <v>110</v>
      </c>
      <c r="T170" s="50">
        <v>67.62</v>
      </c>
      <c r="U170" s="16" t="s">
        <v>20</v>
      </c>
      <c r="V170" s="50">
        <v>5950.79</v>
      </c>
      <c r="W170" s="16">
        <f t="shared" si="15"/>
        <v>88.003401360544217</v>
      </c>
      <c r="X170" s="16" t="s">
        <v>720</v>
      </c>
      <c r="Y170" s="16" t="s">
        <v>18</v>
      </c>
      <c r="Z170" s="16" t="s">
        <v>741</v>
      </c>
      <c r="AA170" s="16" t="s">
        <v>301</v>
      </c>
      <c r="AB170" s="16">
        <f>_xlfn.XLOOKUP(M170,'Customer Data'!$D:$D,'Customer Data'!$H:$H,,0)</f>
        <v>-67.62</v>
      </c>
      <c r="AC170" s="62">
        <f t="shared" si="19"/>
        <v>0</v>
      </c>
      <c r="AD170" s="16" t="s">
        <v>273</v>
      </c>
      <c r="AE170" s="16" t="s">
        <v>18</v>
      </c>
      <c r="AF170" s="16" t="s">
        <v>18</v>
      </c>
      <c r="AG170" s="16" t="s">
        <v>18</v>
      </c>
      <c r="AH170" s="49">
        <v>45966</v>
      </c>
      <c r="AI170" s="49">
        <v>46024</v>
      </c>
      <c r="AJ170" s="16" t="s">
        <v>490</v>
      </c>
    </row>
    <row r="171" spans="1:36" hidden="1" x14ac:dyDescent="0.35">
      <c r="A171" s="16" t="s">
        <v>307</v>
      </c>
      <c r="B171" s="16" t="s">
        <v>297</v>
      </c>
      <c r="C171" s="16" t="s">
        <v>21</v>
      </c>
      <c r="D171" s="16" t="s">
        <v>298</v>
      </c>
      <c r="E171" s="16" t="s">
        <v>175</v>
      </c>
      <c r="F171" s="16" t="s">
        <v>301</v>
      </c>
      <c r="G171" s="49">
        <v>46024</v>
      </c>
      <c r="H171" s="16" t="s">
        <v>515</v>
      </c>
      <c r="I171" s="16" t="s">
        <v>23</v>
      </c>
      <c r="J171" s="49">
        <v>46024</v>
      </c>
      <c r="K171" s="49">
        <v>46024</v>
      </c>
      <c r="L171" s="16" t="s">
        <v>315</v>
      </c>
      <c r="M171" s="61">
        <v>256779450072</v>
      </c>
      <c r="N171" s="16" t="s">
        <v>22</v>
      </c>
      <c r="O171" s="16" t="s">
        <v>300</v>
      </c>
      <c r="P171" s="16" t="s">
        <v>18</v>
      </c>
      <c r="Q171" s="16" t="s">
        <v>312</v>
      </c>
      <c r="R171" s="16"/>
      <c r="S171" s="16" t="s">
        <v>110</v>
      </c>
      <c r="T171" s="50">
        <v>118</v>
      </c>
      <c r="U171" s="16" t="s">
        <v>20</v>
      </c>
      <c r="V171" s="50">
        <v>10707.69</v>
      </c>
      <c r="W171" s="16">
        <f t="shared" si="15"/>
        <v>90.743135593220345</v>
      </c>
      <c r="X171" s="16" t="s">
        <v>720</v>
      </c>
      <c r="Y171" s="16" t="s">
        <v>18</v>
      </c>
      <c r="Z171" s="16" t="s">
        <v>742</v>
      </c>
      <c r="AA171" s="16" t="s">
        <v>301</v>
      </c>
      <c r="AB171" s="16">
        <f>_xlfn.XLOOKUP(M171,'Customer Data'!$D:$D,'Customer Data'!$H:$H,,0)</f>
        <v>-118</v>
      </c>
      <c r="AC171" s="62">
        <f t="shared" si="19"/>
        <v>0</v>
      </c>
      <c r="AD171" s="16" t="s">
        <v>33</v>
      </c>
      <c r="AE171" s="16" t="s">
        <v>18</v>
      </c>
      <c r="AF171" s="16" t="s">
        <v>18</v>
      </c>
      <c r="AG171" s="16" t="s">
        <v>18</v>
      </c>
      <c r="AH171" s="49">
        <v>46024</v>
      </c>
      <c r="AI171" s="49"/>
      <c r="AJ171" s="16" t="s">
        <v>18</v>
      </c>
    </row>
    <row r="172" spans="1:36" hidden="1" x14ac:dyDescent="0.35">
      <c r="A172" s="16" t="s">
        <v>307</v>
      </c>
      <c r="B172" s="16" t="s">
        <v>297</v>
      </c>
      <c r="C172" s="16" t="s">
        <v>21</v>
      </c>
      <c r="D172" s="16" t="s">
        <v>298</v>
      </c>
      <c r="E172" s="16" t="s">
        <v>175</v>
      </c>
      <c r="F172" s="16" t="s">
        <v>301</v>
      </c>
      <c r="G172" s="49">
        <v>46027</v>
      </c>
      <c r="H172" s="16" t="s">
        <v>516</v>
      </c>
      <c r="I172" s="16" t="s">
        <v>23</v>
      </c>
      <c r="J172" s="49">
        <v>46027</v>
      </c>
      <c r="K172" s="49">
        <v>46027</v>
      </c>
      <c r="L172" s="16" t="s">
        <v>517</v>
      </c>
      <c r="M172" s="61">
        <v>256779450142</v>
      </c>
      <c r="N172" s="16" t="s">
        <v>22</v>
      </c>
      <c r="O172" s="16" t="s">
        <v>300</v>
      </c>
      <c r="P172" s="16" t="s">
        <v>18</v>
      </c>
      <c r="Q172" s="16" t="s">
        <v>312</v>
      </c>
      <c r="R172" s="16" t="e">
        <f>_xlfn.XLOOKUP(M172,'Invoice No Ref'!$C:$C,'Invoice No Ref'!$I:$I,,0)</f>
        <v>#N/A</v>
      </c>
      <c r="S172" s="16" t="s">
        <v>110</v>
      </c>
      <c r="T172" s="50">
        <v>69.28</v>
      </c>
      <c r="U172" s="16" t="s">
        <v>20</v>
      </c>
      <c r="V172" s="50">
        <v>6286.68</v>
      </c>
      <c r="W172" s="16">
        <f t="shared" si="15"/>
        <v>90.743071593533486</v>
      </c>
      <c r="X172" s="16" t="s">
        <v>720</v>
      </c>
      <c r="Y172" s="16" t="s">
        <v>18</v>
      </c>
      <c r="Z172" s="16" t="s">
        <v>517</v>
      </c>
      <c r="AA172" s="16" t="s">
        <v>301</v>
      </c>
      <c r="AB172" s="16" t="e">
        <f>_xlfn.XLOOKUP(R172,'Customer Data'!$D:$D,'Customer Data'!$F:$F,,0)</f>
        <v>#N/A</v>
      </c>
      <c r="AC172" s="16"/>
      <c r="AD172" s="16" t="s">
        <v>39</v>
      </c>
      <c r="AE172" s="16" t="s">
        <v>18</v>
      </c>
      <c r="AF172" s="16" t="s">
        <v>18</v>
      </c>
      <c r="AG172" s="16" t="s">
        <v>18</v>
      </c>
      <c r="AH172" s="49">
        <v>46027</v>
      </c>
      <c r="AI172" s="49"/>
      <c r="AJ172" s="16" t="s">
        <v>18</v>
      </c>
    </row>
    <row r="173" spans="1:36" hidden="1" x14ac:dyDescent="0.35">
      <c r="A173" s="16" t="s">
        <v>307</v>
      </c>
      <c r="B173" s="16" t="s">
        <v>297</v>
      </c>
      <c r="C173" s="16" t="s">
        <v>21</v>
      </c>
      <c r="D173" s="16" t="s">
        <v>298</v>
      </c>
      <c r="E173" s="16" t="s">
        <v>175</v>
      </c>
      <c r="F173" s="16" t="s">
        <v>301</v>
      </c>
      <c r="G173" s="49">
        <v>46028</v>
      </c>
      <c r="H173" s="16" t="s">
        <v>518</v>
      </c>
      <c r="I173" s="16" t="s">
        <v>23</v>
      </c>
      <c r="J173" s="49">
        <v>46028</v>
      </c>
      <c r="K173" s="49">
        <v>46031</v>
      </c>
      <c r="L173" s="16" t="s">
        <v>519</v>
      </c>
      <c r="M173" s="61">
        <v>256779450410</v>
      </c>
      <c r="N173" s="16" t="s">
        <v>22</v>
      </c>
      <c r="O173" s="16" t="s">
        <v>300</v>
      </c>
      <c r="P173" s="16" t="s">
        <v>18</v>
      </c>
      <c r="Q173" s="16" t="s">
        <v>312</v>
      </c>
      <c r="R173" s="16" t="e">
        <f>_xlfn.XLOOKUP(M173,'Invoice No Ref'!$C:$C,'Invoice No Ref'!$I:$I,,0)</f>
        <v>#N/A</v>
      </c>
      <c r="S173" s="16" t="s">
        <v>110</v>
      </c>
      <c r="T173" s="50">
        <v>833.03</v>
      </c>
      <c r="U173" s="16" t="s">
        <v>20</v>
      </c>
      <c r="V173" s="50">
        <v>75591.759999999995</v>
      </c>
      <c r="W173" s="16">
        <f t="shared" si="15"/>
        <v>90.743142503871411</v>
      </c>
      <c r="X173" s="16" t="s">
        <v>720</v>
      </c>
      <c r="Y173" s="16" t="s">
        <v>18</v>
      </c>
      <c r="Z173" s="16" t="s">
        <v>315</v>
      </c>
      <c r="AA173" s="16" t="s">
        <v>301</v>
      </c>
      <c r="AB173" s="16" t="e">
        <f>_xlfn.XLOOKUP(R173,'Customer Data'!$D:$D,'Customer Data'!$F:$F,,0)</f>
        <v>#N/A</v>
      </c>
      <c r="AC173" s="16"/>
      <c r="AD173" s="16" t="s">
        <v>95</v>
      </c>
      <c r="AE173" s="16" t="s">
        <v>18</v>
      </c>
      <c r="AF173" s="16" t="s">
        <v>18</v>
      </c>
      <c r="AG173" s="16" t="s">
        <v>18</v>
      </c>
      <c r="AH173" s="49">
        <v>46028</v>
      </c>
      <c r="AI173" s="49"/>
      <c r="AJ173" s="16" t="s">
        <v>18</v>
      </c>
    </row>
    <row r="174" spans="1:36" hidden="1" x14ac:dyDescent="0.35">
      <c r="A174" s="16" t="s">
        <v>307</v>
      </c>
      <c r="B174" s="16" t="s">
        <v>297</v>
      </c>
      <c r="C174" s="16" t="s">
        <v>21</v>
      </c>
      <c r="D174" s="16" t="s">
        <v>298</v>
      </c>
      <c r="E174" s="16" t="s">
        <v>175</v>
      </c>
      <c r="F174" s="16" t="s">
        <v>301</v>
      </c>
      <c r="G174" s="49">
        <v>46028</v>
      </c>
      <c r="H174" s="16" t="s">
        <v>520</v>
      </c>
      <c r="I174" s="16" t="s">
        <v>23</v>
      </c>
      <c r="J174" s="49">
        <v>46028</v>
      </c>
      <c r="K174" s="49">
        <v>46031</v>
      </c>
      <c r="L174" s="16" t="s">
        <v>521</v>
      </c>
      <c r="M174" s="61">
        <v>256779450428</v>
      </c>
      <c r="N174" s="16" t="s">
        <v>22</v>
      </c>
      <c r="O174" s="16" t="s">
        <v>300</v>
      </c>
      <c r="P174" s="16" t="s">
        <v>18</v>
      </c>
      <c r="Q174" s="16" t="s">
        <v>312</v>
      </c>
      <c r="R174" s="16" t="e">
        <f>_xlfn.XLOOKUP(M174,'Invoice No Ref'!$C:$C,'Invoice No Ref'!$I:$I,,0)</f>
        <v>#N/A</v>
      </c>
      <c r="S174" s="16" t="s">
        <v>110</v>
      </c>
      <c r="T174" s="50">
        <v>832.95</v>
      </c>
      <c r="U174" s="16" t="s">
        <v>20</v>
      </c>
      <c r="V174" s="50">
        <v>75584.5</v>
      </c>
      <c r="W174" s="16">
        <f t="shared" si="15"/>
        <v>90.743141845248815</v>
      </c>
      <c r="X174" s="16" t="s">
        <v>720</v>
      </c>
      <c r="Y174" s="16" t="s">
        <v>18</v>
      </c>
      <c r="Z174" s="16" t="s">
        <v>315</v>
      </c>
      <c r="AA174" s="16" t="s">
        <v>301</v>
      </c>
      <c r="AB174" s="16" t="e">
        <f>_xlfn.XLOOKUP(R174,'Customer Data'!$D:$D,'Customer Data'!$F:$F,,0)</f>
        <v>#N/A</v>
      </c>
      <c r="AC174" s="16"/>
      <c r="AD174" s="16" t="s">
        <v>96</v>
      </c>
      <c r="AE174" s="16" t="s">
        <v>18</v>
      </c>
      <c r="AF174" s="16" t="s">
        <v>18</v>
      </c>
      <c r="AG174" s="16" t="s">
        <v>18</v>
      </c>
      <c r="AH174" s="49">
        <v>46028</v>
      </c>
      <c r="AI174" s="49"/>
      <c r="AJ174" s="16" t="s">
        <v>18</v>
      </c>
    </row>
    <row r="175" spans="1:36" hidden="1" x14ac:dyDescent="0.35">
      <c r="A175" s="16" t="s">
        <v>307</v>
      </c>
      <c r="B175" s="16" t="s">
        <v>297</v>
      </c>
      <c r="C175" s="16" t="s">
        <v>21</v>
      </c>
      <c r="D175" s="16" t="s">
        <v>298</v>
      </c>
      <c r="E175" s="16" t="s">
        <v>175</v>
      </c>
      <c r="F175" s="16" t="s">
        <v>301</v>
      </c>
      <c r="G175" s="49">
        <v>46028</v>
      </c>
      <c r="H175" s="16" t="s">
        <v>522</v>
      </c>
      <c r="I175" s="16" t="s">
        <v>23</v>
      </c>
      <c r="J175" s="49">
        <v>46028</v>
      </c>
      <c r="K175" s="49">
        <v>46034</v>
      </c>
      <c r="L175" s="16" t="s">
        <v>523</v>
      </c>
      <c r="M175" s="61">
        <v>256779450460</v>
      </c>
      <c r="N175" s="16" t="s">
        <v>22</v>
      </c>
      <c r="O175" s="16" t="s">
        <v>300</v>
      </c>
      <c r="P175" s="16" t="s">
        <v>18</v>
      </c>
      <c r="Q175" s="16" t="s">
        <v>312</v>
      </c>
      <c r="R175" s="16" t="e">
        <f>_xlfn.XLOOKUP(M175,'Invoice No Ref'!$C:$C,'Invoice No Ref'!$I:$I,,0)</f>
        <v>#N/A</v>
      </c>
      <c r="S175" s="16" t="s">
        <v>110</v>
      </c>
      <c r="T175" s="50">
        <v>587.32000000000005</v>
      </c>
      <c r="U175" s="16" t="s">
        <v>20</v>
      </c>
      <c r="V175" s="50">
        <v>53295.26</v>
      </c>
      <c r="W175" s="16">
        <f t="shared" si="15"/>
        <v>90.743138323230937</v>
      </c>
      <c r="X175" s="16" t="s">
        <v>720</v>
      </c>
      <c r="Y175" s="16" t="s">
        <v>18</v>
      </c>
      <c r="Z175" s="16" t="s">
        <v>315</v>
      </c>
      <c r="AA175" s="16" t="s">
        <v>301</v>
      </c>
      <c r="AB175" s="16" t="e">
        <f>_xlfn.XLOOKUP(R175,'Customer Data'!$D:$D,'Customer Data'!$F:$F,,0)</f>
        <v>#N/A</v>
      </c>
      <c r="AC175" s="16"/>
      <c r="AD175" s="16" t="s">
        <v>97</v>
      </c>
      <c r="AE175" s="16" t="s">
        <v>18</v>
      </c>
      <c r="AF175" s="16" t="s">
        <v>18</v>
      </c>
      <c r="AG175" s="16" t="s">
        <v>18</v>
      </c>
      <c r="AH175" s="49">
        <v>46028</v>
      </c>
      <c r="AI175" s="49"/>
      <c r="AJ175" s="16" t="s">
        <v>18</v>
      </c>
    </row>
    <row r="176" spans="1:36" hidden="1" x14ac:dyDescent="0.35">
      <c r="A176" s="16" t="s">
        <v>307</v>
      </c>
      <c r="B176" s="16" t="s">
        <v>297</v>
      </c>
      <c r="C176" s="16" t="s">
        <v>21</v>
      </c>
      <c r="D176" s="16" t="s">
        <v>298</v>
      </c>
      <c r="E176" s="16" t="s">
        <v>175</v>
      </c>
      <c r="F176" s="16" t="s">
        <v>301</v>
      </c>
      <c r="G176" s="49">
        <v>46028</v>
      </c>
      <c r="H176" s="16" t="s">
        <v>524</v>
      </c>
      <c r="I176" s="16" t="s">
        <v>23</v>
      </c>
      <c r="J176" s="49">
        <v>46028</v>
      </c>
      <c r="K176" s="49">
        <v>46034</v>
      </c>
      <c r="L176" s="16" t="s">
        <v>525</v>
      </c>
      <c r="M176" s="61">
        <v>256779450509</v>
      </c>
      <c r="N176" s="16" t="s">
        <v>22</v>
      </c>
      <c r="O176" s="16" t="s">
        <v>300</v>
      </c>
      <c r="P176" s="16" t="s">
        <v>18</v>
      </c>
      <c r="Q176" s="16" t="s">
        <v>312</v>
      </c>
      <c r="R176" s="16" t="e">
        <f>_xlfn.XLOOKUP(M176,'Invoice No Ref'!$C:$C,'Invoice No Ref'!$I:$I,,0)</f>
        <v>#N/A</v>
      </c>
      <c r="S176" s="16" t="s">
        <v>110</v>
      </c>
      <c r="T176" s="50">
        <v>7819.18</v>
      </c>
      <c r="U176" s="16" t="s">
        <v>20</v>
      </c>
      <c r="V176" s="50">
        <v>709536.95</v>
      </c>
      <c r="W176" s="16">
        <f t="shared" si="15"/>
        <v>90.74314058507413</v>
      </c>
      <c r="X176" s="16" t="s">
        <v>720</v>
      </c>
      <c r="Y176" s="16" t="s">
        <v>18</v>
      </c>
      <c r="Z176" s="16" t="s">
        <v>315</v>
      </c>
      <c r="AA176" s="16" t="s">
        <v>301</v>
      </c>
      <c r="AB176" s="16" t="e">
        <f>_xlfn.XLOOKUP(R176,'Customer Data'!$D:$D,'Customer Data'!$F:$F,,0)</f>
        <v>#N/A</v>
      </c>
      <c r="AC176" s="16"/>
      <c r="AD176" s="16" t="s">
        <v>99</v>
      </c>
      <c r="AE176" s="16" t="s">
        <v>18</v>
      </c>
      <c r="AF176" s="16" t="s">
        <v>18</v>
      </c>
      <c r="AG176" s="16" t="s">
        <v>18</v>
      </c>
      <c r="AH176" s="49">
        <v>46028</v>
      </c>
      <c r="AI176" s="49"/>
      <c r="AJ176" s="16" t="s">
        <v>18</v>
      </c>
    </row>
    <row r="177" spans="1:36" hidden="1" x14ac:dyDescent="0.35">
      <c r="A177" s="16" t="s">
        <v>307</v>
      </c>
      <c r="B177" s="16" t="s">
        <v>297</v>
      </c>
      <c r="C177" s="16" t="s">
        <v>21</v>
      </c>
      <c r="D177" s="16" t="s">
        <v>298</v>
      </c>
      <c r="E177" s="16" t="s">
        <v>175</v>
      </c>
      <c r="F177" s="16" t="s">
        <v>301</v>
      </c>
      <c r="G177" s="49">
        <v>46034</v>
      </c>
      <c r="H177" s="16" t="s">
        <v>526</v>
      </c>
      <c r="I177" s="16" t="s">
        <v>23</v>
      </c>
      <c r="J177" s="49">
        <v>46034</v>
      </c>
      <c r="K177" s="49">
        <v>46034</v>
      </c>
      <c r="L177" s="16" t="s">
        <v>527</v>
      </c>
      <c r="M177" s="61">
        <v>256779450541</v>
      </c>
      <c r="N177" s="16" t="s">
        <v>22</v>
      </c>
      <c r="O177" s="16" t="s">
        <v>300</v>
      </c>
      <c r="P177" s="16" t="s">
        <v>18</v>
      </c>
      <c r="Q177" s="16" t="s">
        <v>312</v>
      </c>
      <c r="R177" s="16" t="e">
        <f>_xlfn.XLOOKUP(M177,'Invoice No Ref'!$C:$C,'Invoice No Ref'!$I:$I,,0)</f>
        <v>#N/A</v>
      </c>
      <c r="S177" s="16" t="s">
        <v>110</v>
      </c>
      <c r="T177" s="50">
        <v>1568.64</v>
      </c>
      <c r="U177" s="16" t="s">
        <v>20</v>
      </c>
      <c r="V177" s="50">
        <v>142343.32</v>
      </c>
      <c r="W177" s="16">
        <f t="shared" si="15"/>
        <v>90.743140554875566</v>
      </c>
      <c r="X177" s="16" t="s">
        <v>720</v>
      </c>
      <c r="Y177" s="16" t="s">
        <v>18</v>
      </c>
      <c r="Z177" s="16" t="s">
        <v>315</v>
      </c>
      <c r="AA177" s="16" t="s">
        <v>301</v>
      </c>
      <c r="AB177" s="16" t="e">
        <f>_xlfn.XLOOKUP(R177,'Customer Data'!$D:$D,'Customer Data'!$F:$F,,0)</f>
        <v>#N/A</v>
      </c>
      <c r="AC177" s="16"/>
      <c r="AD177" s="16" t="s">
        <v>98</v>
      </c>
      <c r="AE177" s="16" t="s">
        <v>18</v>
      </c>
      <c r="AF177" s="16" t="s">
        <v>18</v>
      </c>
      <c r="AG177" s="16" t="s">
        <v>18</v>
      </c>
      <c r="AH177" s="49">
        <v>46034</v>
      </c>
      <c r="AI177" s="49"/>
      <c r="AJ177" s="16" t="s">
        <v>18</v>
      </c>
    </row>
    <row r="178" spans="1:36" hidden="1" x14ac:dyDescent="0.35">
      <c r="A178" s="16" t="s">
        <v>307</v>
      </c>
      <c r="B178" s="16" t="s">
        <v>297</v>
      </c>
      <c r="C178" s="16" t="s">
        <v>21</v>
      </c>
      <c r="D178" s="16" t="s">
        <v>298</v>
      </c>
      <c r="E178" s="16" t="s">
        <v>175</v>
      </c>
      <c r="F178" s="16" t="s">
        <v>301</v>
      </c>
      <c r="G178" s="49">
        <v>46028</v>
      </c>
      <c r="H178" s="16" t="s">
        <v>528</v>
      </c>
      <c r="I178" s="16" t="s">
        <v>23</v>
      </c>
      <c r="J178" s="49">
        <v>46028</v>
      </c>
      <c r="K178" s="49">
        <v>46035</v>
      </c>
      <c r="L178" s="16" t="s">
        <v>529</v>
      </c>
      <c r="M178" s="61">
        <v>256779450686</v>
      </c>
      <c r="N178" s="16" t="s">
        <v>22</v>
      </c>
      <c r="O178" s="16" t="s">
        <v>300</v>
      </c>
      <c r="P178" s="16" t="s">
        <v>18</v>
      </c>
      <c r="Q178" s="16" t="s">
        <v>312</v>
      </c>
      <c r="R178" s="16" t="e">
        <f>_xlfn.XLOOKUP(M178,'Invoice No Ref'!$C:$C,'Invoice No Ref'!$I:$I,,0)</f>
        <v>#N/A</v>
      </c>
      <c r="S178" s="16" t="s">
        <v>110</v>
      </c>
      <c r="T178" s="50">
        <v>12105.53</v>
      </c>
      <c r="U178" s="16" t="s">
        <v>20</v>
      </c>
      <c r="V178" s="50">
        <v>1098493.8</v>
      </c>
      <c r="W178" s="16">
        <f t="shared" si="15"/>
        <v>90.743139705572574</v>
      </c>
      <c r="X178" s="16" t="s">
        <v>720</v>
      </c>
      <c r="Y178" s="16" t="s">
        <v>18</v>
      </c>
      <c r="Z178" s="16" t="s">
        <v>315</v>
      </c>
      <c r="AA178" s="16" t="s">
        <v>301</v>
      </c>
      <c r="AB178" s="16" t="e">
        <f>_xlfn.XLOOKUP(R178,'Customer Data'!$D:$D,'Customer Data'!$F:$F,,0)</f>
        <v>#N/A</v>
      </c>
      <c r="AC178" s="16"/>
      <c r="AD178" s="16" t="s">
        <v>100</v>
      </c>
      <c r="AE178" s="16" t="s">
        <v>18</v>
      </c>
      <c r="AF178" s="16" t="s">
        <v>18</v>
      </c>
      <c r="AG178" s="16" t="s">
        <v>18</v>
      </c>
      <c r="AH178" s="49">
        <v>46028</v>
      </c>
      <c r="AI178" s="49"/>
      <c r="AJ178" s="16" t="s">
        <v>18</v>
      </c>
    </row>
    <row r="179" spans="1:36" hidden="1" x14ac:dyDescent="0.35">
      <c r="A179" s="16" t="s">
        <v>307</v>
      </c>
      <c r="B179" s="16" t="s">
        <v>297</v>
      </c>
      <c r="C179" s="16" t="s">
        <v>21</v>
      </c>
      <c r="D179" s="16" t="s">
        <v>298</v>
      </c>
      <c r="E179" s="16" t="s">
        <v>175</v>
      </c>
      <c r="F179" s="16" t="s">
        <v>301</v>
      </c>
      <c r="G179" s="49">
        <v>46028</v>
      </c>
      <c r="H179" s="16" t="s">
        <v>530</v>
      </c>
      <c r="I179" s="16" t="s">
        <v>23</v>
      </c>
      <c r="J179" s="49">
        <v>46028</v>
      </c>
      <c r="K179" s="49">
        <v>46035</v>
      </c>
      <c r="L179" s="16" t="s">
        <v>529</v>
      </c>
      <c r="M179" s="61">
        <v>256779450687</v>
      </c>
      <c r="N179" s="16" t="s">
        <v>22</v>
      </c>
      <c r="O179" s="16" t="s">
        <v>300</v>
      </c>
      <c r="P179" s="16" t="s">
        <v>18</v>
      </c>
      <c r="Q179" s="16" t="s">
        <v>312</v>
      </c>
      <c r="R179" s="16" t="e">
        <f>_xlfn.XLOOKUP(M179,'Invoice No Ref'!$C:$C,'Invoice No Ref'!$I:$I,,0)</f>
        <v>#N/A</v>
      </c>
      <c r="S179" s="16" t="s">
        <v>110</v>
      </c>
      <c r="T179" s="50">
        <v>7220.11</v>
      </c>
      <c r="U179" s="16" t="s">
        <v>20</v>
      </c>
      <c r="V179" s="50">
        <v>655175.44999999995</v>
      </c>
      <c r="W179" s="16">
        <f t="shared" si="15"/>
        <v>90.743139647456886</v>
      </c>
      <c r="X179" s="16" t="s">
        <v>720</v>
      </c>
      <c r="Y179" s="16" t="s">
        <v>18</v>
      </c>
      <c r="Z179" s="16" t="s">
        <v>315</v>
      </c>
      <c r="AA179" s="16" t="s">
        <v>301</v>
      </c>
      <c r="AB179" s="16" t="e">
        <f>_xlfn.XLOOKUP(R179,'Customer Data'!$D:$D,'Customer Data'!$F:$F,,0)</f>
        <v>#N/A</v>
      </c>
      <c r="AC179" s="16"/>
      <c r="AD179" s="16" t="s">
        <v>100</v>
      </c>
      <c r="AE179" s="16" t="s">
        <v>18</v>
      </c>
      <c r="AF179" s="16" t="s">
        <v>18</v>
      </c>
      <c r="AG179" s="16" t="s">
        <v>18</v>
      </c>
      <c r="AH179" s="49">
        <v>46028</v>
      </c>
      <c r="AI179" s="49"/>
      <c r="AJ179" s="16" t="s">
        <v>18</v>
      </c>
    </row>
    <row r="180" spans="1:36" hidden="1" x14ac:dyDescent="0.35">
      <c r="A180" s="16" t="s">
        <v>307</v>
      </c>
      <c r="B180" s="16" t="s">
        <v>297</v>
      </c>
      <c r="C180" s="16" t="s">
        <v>21</v>
      </c>
      <c r="D180" s="16" t="s">
        <v>298</v>
      </c>
      <c r="E180" s="16" t="s">
        <v>175</v>
      </c>
      <c r="F180" s="16" t="s">
        <v>301</v>
      </c>
      <c r="G180" s="49">
        <v>46034</v>
      </c>
      <c r="H180" s="16" t="s">
        <v>531</v>
      </c>
      <c r="I180" s="16" t="s">
        <v>23</v>
      </c>
      <c r="J180" s="49">
        <v>46034</v>
      </c>
      <c r="K180" s="49">
        <v>46035</v>
      </c>
      <c r="L180" s="16" t="s">
        <v>532</v>
      </c>
      <c r="M180" s="61">
        <v>256779450704</v>
      </c>
      <c r="N180" s="16" t="s">
        <v>22</v>
      </c>
      <c r="O180" s="16" t="s">
        <v>300</v>
      </c>
      <c r="P180" s="16" t="s">
        <v>18</v>
      </c>
      <c r="Q180" s="16" t="s">
        <v>312</v>
      </c>
      <c r="R180" s="16" t="e">
        <f>_xlfn.XLOOKUP(M180,'Invoice No Ref'!$C:$C,'Invoice No Ref'!$I:$I,,0)</f>
        <v>#N/A</v>
      </c>
      <c r="S180" s="16" t="s">
        <v>110</v>
      </c>
      <c r="T180" s="50">
        <v>16.68</v>
      </c>
      <c r="U180" s="16" t="s">
        <v>20</v>
      </c>
      <c r="V180" s="50">
        <v>1513.6</v>
      </c>
      <c r="W180" s="16">
        <f t="shared" si="15"/>
        <v>90.743405275779367</v>
      </c>
      <c r="X180" s="16" t="s">
        <v>720</v>
      </c>
      <c r="Y180" s="16" t="s">
        <v>18</v>
      </c>
      <c r="Z180" s="16" t="s">
        <v>315</v>
      </c>
      <c r="AA180" s="16" t="s">
        <v>301</v>
      </c>
      <c r="AB180" s="16" t="e">
        <f>_xlfn.XLOOKUP(R180,'Customer Data'!$D:$D,'Customer Data'!$F:$F,,0)</f>
        <v>#N/A</v>
      </c>
      <c r="AC180" s="16"/>
      <c r="AD180" s="16" t="s">
        <v>101</v>
      </c>
      <c r="AE180" s="16" t="s">
        <v>18</v>
      </c>
      <c r="AF180" s="16" t="s">
        <v>18</v>
      </c>
      <c r="AG180" s="16" t="s">
        <v>18</v>
      </c>
      <c r="AH180" s="49">
        <v>46034</v>
      </c>
      <c r="AI180" s="49"/>
      <c r="AJ180" s="16" t="s">
        <v>18</v>
      </c>
    </row>
    <row r="181" spans="1:36" hidden="1" x14ac:dyDescent="0.35">
      <c r="A181" s="16" t="s">
        <v>307</v>
      </c>
      <c r="B181" s="16" t="s">
        <v>297</v>
      </c>
      <c r="C181" s="16" t="s">
        <v>21</v>
      </c>
      <c r="D181" s="16" t="s">
        <v>298</v>
      </c>
      <c r="E181" s="16" t="s">
        <v>175</v>
      </c>
      <c r="F181" s="16" t="s">
        <v>301</v>
      </c>
      <c r="G181" s="49">
        <v>46034</v>
      </c>
      <c r="H181" s="16" t="s">
        <v>533</v>
      </c>
      <c r="I181" s="16" t="s">
        <v>23</v>
      </c>
      <c r="J181" s="49">
        <v>46034</v>
      </c>
      <c r="K181" s="49">
        <v>46035</v>
      </c>
      <c r="L181" s="16" t="s">
        <v>534</v>
      </c>
      <c r="M181" s="61">
        <v>256779450736</v>
      </c>
      <c r="N181" s="16" t="s">
        <v>22</v>
      </c>
      <c r="O181" s="16" t="s">
        <v>300</v>
      </c>
      <c r="P181" s="16" t="s">
        <v>18</v>
      </c>
      <c r="Q181" s="16" t="s">
        <v>312</v>
      </c>
      <c r="R181" s="16"/>
      <c r="S181" s="16" t="s">
        <v>110</v>
      </c>
      <c r="T181" s="50">
        <v>349.09</v>
      </c>
      <c r="U181" s="16" t="s">
        <v>20</v>
      </c>
      <c r="V181" s="50">
        <v>31677.52</v>
      </c>
      <c r="W181" s="16">
        <f t="shared" si="15"/>
        <v>90.743132143573305</v>
      </c>
      <c r="X181" s="16" t="s">
        <v>720</v>
      </c>
      <c r="Y181" s="16" t="s">
        <v>18</v>
      </c>
      <c r="Z181" s="16" t="s">
        <v>315</v>
      </c>
      <c r="AA181" s="16" t="s">
        <v>301</v>
      </c>
      <c r="AB181" s="16">
        <f>_xlfn.XLOOKUP(M181,'Customer Data'!$D:$D,'Customer Data'!$H:$H,,0)</f>
        <v>-349.09</v>
      </c>
      <c r="AC181" s="62">
        <f t="shared" ref="AC181:AC182" si="20">AB181+T181</f>
        <v>0</v>
      </c>
      <c r="AD181" s="16" t="s">
        <v>102</v>
      </c>
      <c r="AE181" s="16" t="s">
        <v>18</v>
      </c>
      <c r="AF181" s="16" t="s">
        <v>18</v>
      </c>
      <c r="AG181" s="16" t="s">
        <v>18</v>
      </c>
      <c r="AH181" s="49">
        <v>46034</v>
      </c>
      <c r="AI181" s="49"/>
      <c r="AJ181" s="16" t="s">
        <v>18</v>
      </c>
    </row>
    <row r="182" spans="1:36" hidden="1" x14ac:dyDescent="0.35">
      <c r="A182" s="16" t="s">
        <v>307</v>
      </c>
      <c r="B182" s="16" t="s">
        <v>297</v>
      </c>
      <c r="C182" s="16" t="s">
        <v>21</v>
      </c>
      <c r="D182" s="16" t="s">
        <v>298</v>
      </c>
      <c r="E182" s="16" t="s">
        <v>175</v>
      </c>
      <c r="F182" s="16" t="s">
        <v>301</v>
      </c>
      <c r="G182" s="49">
        <v>46034</v>
      </c>
      <c r="H182" s="16" t="s">
        <v>535</v>
      </c>
      <c r="I182" s="16" t="s">
        <v>23</v>
      </c>
      <c r="J182" s="49">
        <v>46034</v>
      </c>
      <c r="K182" s="49">
        <v>46035</v>
      </c>
      <c r="L182" s="16" t="s">
        <v>534</v>
      </c>
      <c r="M182" s="61">
        <v>256779450747</v>
      </c>
      <c r="N182" s="16" t="s">
        <v>22</v>
      </c>
      <c r="O182" s="16" t="s">
        <v>300</v>
      </c>
      <c r="P182" s="16" t="s">
        <v>18</v>
      </c>
      <c r="Q182" s="16" t="s">
        <v>312</v>
      </c>
      <c r="R182" s="16"/>
      <c r="S182" s="16" t="s">
        <v>110</v>
      </c>
      <c r="T182" s="50">
        <v>46.95</v>
      </c>
      <c r="U182" s="16" t="s">
        <v>20</v>
      </c>
      <c r="V182" s="50">
        <v>4260.3900000000003</v>
      </c>
      <c r="W182" s="16">
        <f t="shared" si="15"/>
        <v>90.743130990415338</v>
      </c>
      <c r="X182" s="16" t="s">
        <v>720</v>
      </c>
      <c r="Y182" s="16" t="s">
        <v>18</v>
      </c>
      <c r="Z182" s="16" t="s">
        <v>315</v>
      </c>
      <c r="AA182" s="16" t="s">
        <v>301</v>
      </c>
      <c r="AB182" s="16">
        <f>_xlfn.XLOOKUP(M182,'Customer Data'!$D:$D,'Customer Data'!$H:$H,,0)</f>
        <v>-46.95</v>
      </c>
      <c r="AC182" s="62">
        <f t="shared" si="20"/>
        <v>0</v>
      </c>
      <c r="AD182" s="16" t="s">
        <v>103</v>
      </c>
      <c r="AE182" s="16" t="s">
        <v>18</v>
      </c>
      <c r="AF182" s="16" t="s">
        <v>18</v>
      </c>
      <c r="AG182" s="16" t="s">
        <v>18</v>
      </c>
      <c r="AH182" s="49">
        <v>46034</v>
      </c>
      <c r="AI182" s="49"/>
      <c r="AJ182" s="16" t="s">
        <v>18</v>
      </c>
    </row>
    <row r="183" spans="1:36" hidden="1" x14ac:dyDescent="0.35">
      <c r="A183" s="16" t="s">
        <v>296</v>
      </c>
      <c r="B183" s="16" t="s">
        <v>297</v>
      </c>
      <c r="C183" s="16" t="s">
        <v>21</v>
      </c>
      <c r="D183" s="16" t="s">
        <v>298</v>
      </c>
      <c r="E183" s="16" t="s">
        <v>175</v>
      </c>
      <c r="F183" s="16" t="s">
        <v>301</v>
      </c>
      <c r="G183" s="49">
        <v>46036</v>
      </c>
      <c r="H183" s="16" t="s">
        <v>536</v>
      </c>
      <c r="I183" s="16" t="s">
        <v>19</v>
      </c>
      <c r="J183" s="49">
        <v>46036</v>
      </c>
      <c r="K183" s="49">
        <v>46036</v>
      </c>
      <c r="L183" s="16" t="s">
        <v>537</v>
      </c>
      <c r="M183" s="61" t="s">
        <v>18</v>
      </c>
      <c r="N183" s="16" t="s">
        <v>22</v>
      </c>
      <c r="O183" s="16" t="s">
        <v>300</v>
      </c>
      <c r="P183" s="16" t="s">
        <v>18</v>
      </c>
      <c r="Q183" s="16" t="s">
        <v>320</v>
      </c>
      <c r="R183" s="16" t="e">
        <f>_xlfn.XLOOKUP(M183,'Invoice No Ref'!$C:$C,'Invoice No Ref'!$I:$I,,0)</f>
        <v>#N/A</v>
      </c>
      <c r="S183" s="16" t="s">
        <v>110</v>
      </c>
      <c r="T183" s="50">
        <v>19147.47</v>
      </c>
      <c r="U183" s="16" t="s">
        <v>20</v>
      </c>
      <c r="V183" s="50">
        <v>1636932.15</v>
      </c>
      <c r="W183" s="16">
        <f t="shared" si="15"/>
        <v>85.490780244074017</v>
      </c>
      <c r="X183" s="16" t="s">
        <v>719</v>
      </c>
      <c r="Y183" s="16" t="s">
        <v>18</v>
      </c>
      <c r="Z183" s="16" t="s">
        <v>18</v>
      </c>
      <c r="AA183" s="16" t="s">
        <v>302</v>
      </c>
      <c r="AB183" s="16" t="e">
        <f>_xlfn.XLOOKUP(R183,'Customer Data'!$D:$D,'Customer Data'!$F:$F,,0)</f>
        <v>#N/A</v>
      </c>
      <c r="AC183" s="16"/>
      <c r="AD183" s="16" t="s">
        <v>18</v>
      </c>
      <c r="AE183" s="16" t="s">
        <v>18</v>
      </c>
      <c r="AF183" s="16" t="s">
        <v>18</v>
      </c>
      <c r="AG183" s="16" t="s">
        <v>18</v>
      </c>
      <c r="AH183" s="49">
        <v>46036</v>
      </c>
      <c r="AI183" s="49">
        <v>46036</v>
      </c>
      <c r="AJ183" s="16">
        <v>1400002443</v>
      </c>
    </row>
    <row r="184" spans="1:36" hidden="1" x14ac:dyDescent="0.35">
      <c r="A184" s="16" t="s">
        <v>296</v>
      </c>
      <c r="B184" s="16" t="s">
        <v>297</v>
      </c>
      <c r="C184" s="16" t="s">
        <v>21</v>
      </c>
      <c r="D184" s="16" t="s">
        <v>298</v>
      </c>
      <c r="E184" s="16" t="s">
        <v>175</v>
      </c>
      <c r="F184" s="16" t="s">
        <v>301</v>
      </c>
      <c r="G184" s="49">
        <v>46036</v>
      </c>
      <c r="H184" s="16" t="s">
        <v>536</v>
      </c>
      <c r="I184" s="16" t="s">
        <v>19</v>
      </c>
      <c r="J184" s="49">
        <v>46036</v>
      </c>
      <c r="K184" s="49">
        <v>46036</v>
      </c>
      <c r="L184" s="16" t="s">
        <v>537</v>
      </c>
      <c r="M184" s="61" t="s">
        <v>18</v>
      </c>
      <c r="N184" s="16" t="s">
        <v>22</v>
      </c>
      <c r="O184" s="16" t="s">
        <v>300</v>
      </c>
      <c r="P184" s="16" t="s">
        <v>18</v>
      </c>
      <c r="Q184" s="16" t="s">
        <v>306</v>
      </c>
      <c r="R184" s="16" t="e">
        <f>_xlfn.XLOOKUP(M184,'Invoice No Ref'!$C:$C,'Invoice No Ref'!$I:$I,,0)</f>
        <v>#N/A</v>
      </c>
      <c r="S184" s="16" t="s">
        <v>110</v>
      </c>
      <c r="T184" s="50">
        <v>-3919.27</v>
      </c>
      <c r="U184" s="16" t="s">
        <v>20</v>
      </c>
      <c r="V184" s="50">
        <v>-340363.54</v>
      </c>
      <c r="W184" s="16">
        <f t="shared" si="15"/>
        <v>86.843606079703619</v>
      </c>
      <c r="X184" s="16" t="s">
        <v>718</v>
      </c>
      <c r="Y184" s="16" t="s">
        <v>18</v>
      </c>
      <c r="Z184" s="16" t="s">
        <v>18</v>
      </c>
      <c r="AA184" s="16" t="s">
        <v>310</v>
      </c>
      <c r="AB184" s="16" t="e">
        <f>_xlfn.XLOOKUP(R184,'Customer Data'!$D:$D,'Customer Data'!$F:$F,,0)</f>
        <v>#N/A</v>
      </c>
      <c r="AC184" s="16"/>
      <c r="AD184" s="16" t="s">
        <v>18</v>
      </c>
      <c r="AE184" s="16" t="s">
        <v>18</v>
      </c>
      <c r="AF184" s="16" t="s">
        <v>18</v>
      </c>
      <c r="AG184" s="16" t="s">
        <v>18</v>
      </c>
      <c r="AH184" s="49">
        <v>46036</v>
      </c>
      <c r="AI184" s="49">
        <v>46036</v>
      </c>
      <c r="AJ184" s="16" t="s">
        <v>536</v>
      </c>
    </row>
    <row r="185" spans="1:36" hidden="1" x14ac:dyDescent="0.35">
      <c r="A185" s="16" t="s">
        <v>296</v>
      </c>
      <c r="B185" s="16" t="s">
        <v>297</v>
      </c>
      <c r="C185" s="16" t="s">
        <v>21</v>
      </c>
      <c r="D185" s="16" t="s">
        <v>298</v>
      </c>
      <c r="E185" s="16" t="s">
        <v>175</v>
      </c>
      <c r="F185" s="16" t="s">
        <v>301</v>
      </c>
      <c r="G185" s="49">
        <v>46036</v>
      </c>
      <c r="H185" s="16" t="s">
        <v>536</v>
      </c>
      <c r="I185" s="16" t="s">
        <v>19</v>
      </c>
      <c r="J185" s="49">
        <v>46036</v>
      </c>
      <c r="K185" s="49">
        <v>46036</v>
      </c>
      <c r="L185" s="16" t="s">
        <v>537</v>
      </c>
      <c r="M185" s="61" t="s">
        <v>18</v>
      </c>
      <c r="N185" s="16" t="s">
        <v>22</v>
      </c>
      <c r="O185" s="16" t="s">
        <v>300</v>
      </c>
      <c r="P185" s="16" t="s">
        <v>18</v>
      </c>
      <c r="Q185" s="16" t="s">
        <v>306</v>
      </c>
      <c r="R185" s="16" t="e">
        <f>_xlfn.XLOOKUP(M185,'Invoice No Ref'!$C:$C,'Invoice No Ref'!$I:$I,,0)</f>
        <v>#N/A</v>
      </c>
      <c r="S185" s="16" t="s">
        <v>110</v>
      </c>
      <c r="T185" s="50">
        <v>-14302.59</v>
      </c>
      <c r="U185" s="16" t="s">
        <v>20</v>
      </c>
      <c r="V185" s="50">
        <v>-1243207.1499999999</v>
      </c>
      <c r="W185" s="16">
        <f t="shared" si="15"/>
        <v>86.921819754324204</v>
      </c>
      <c r="X185" s="16" t="s">
        <v>18</v>
      </c>
      <c r="Y185" s="16" t="s">
        <v>18</v>
      </c>
      <c r="Z185" s="16" t="s">
        <v>18</v>
      </c>
      <c r="AA185" s="16" t="s">
        <v>299</v>
      </c>
      <c r="AB185" s="16" t="e">
        <f>_xlfn.XLOOKUP(R185,'Customer Data'!$D:$D,'Customer Data'!$F:$F,,0)</f>
        <v>#N/A</v>
      </c>
      <c r="AC185" s="16"/>
      <c r="AD185" s="16" t="s">
        <v>18</v>
      </c>
      <c r="AE185" s="16" t="s">
        <v>18</v>
      </c>
      <c r="AF185" s="16" t="s">
        <v>18</v>
      </c>
      <c r="AG185" s="16" t="s">
        <v>18</v>
      </c>
      <c r="AH185" s="49">
        <v>46036</v>
      </c>
      <c r="AI185" s="49">
        <v>46036</v>
      </c>
      <c r="AJ185" s="16" t="s">
        <v>536</v>
      </c>
    </row>
    <row r="186" spans="1:36" hidden="1" x14ac:dyDescent="0.35">
      <c r="A186" s="16" t="s">
        <v>296</v>
      </c>
      <c r="B186" s="16" t="s">
        <v>297</v>
      </c>
      <c r="C186" s="16" t="s">
        <v>21</v>
      </c>
      <c r="D186" s="16" t="s">
        <v>298</v>
      </c>
      <c r="E186" s="16" t="s">
        <v>175</v>
      </c>
      <c r="F186" s="16" t="s">
        <v>301</v>
      </c>
      <c r="G186" s="49">
        <v>46036</v>
      </c>
      <c r="H186" s="16" t="s">
        <v>536</v>
      </c>
      <c r="I186" s="16" t="s">
        <v>19</v>
      </c>
      <c r="J186" s="49">
        <v>46036</v>
      </c>
      <c r="K186" s="49">
        <v>46036</v>
      </c>
      <c r="L186" s="16" t="s">
        <v>537</v>
      </c>
      <c r="M186" s="61" t="s">
        <v>18</v>
      </c>
      <c r="N186" s="16" t="s">
        <v>22</v>
      </c>
      <c r="O186" s="16" t="s">
        <v>300</v>
      </c>
      <c r="P186" s="16" t="s">
        <v>18</v>
      </c>
      <c r="Q186" s="16" t="s">
        <v>306</v>
      </c>
      <c r="R186" s="16" t="e">
        <f>_xlfn.XLOOKUP(M186,'Invoice No Ref'!$C:$C,'Invoice No Ref'!$I:$I,,0)</f>
        <v>#N/A</v>
      </c>
      <c r="S186" s="16" t="s">
        <v>110</v>
      </c>
      <c r="T186" s="50">
        <v>-950.61</v>
      </c>
      <c r="U186" s="16" t="s">
        <v>20</v>
      </c>
      <c r="V186" s="50">
        <v>-83192</v>
      </c>
      <c r="W186" s="16">
        <f t="shared" si="15"/>
        <v>87.514332902031327</v>
      </c>
      <c r="X186" s="16" t="s">
        <v>720</v>
      </c>
      <c r="Y186" s="16" t="s">
        <v>18</v>
      </c>
      <c r="Z186" s="16" t="s">
        <v>18</v>
      </c>
      <c r="AA186" s="16" t="s">
        <v>478</v>
      </c>
      <c r="AB186" s="16" t="e">
        <f>_xlfn.XLOOKUP(R186,'Customer Data'!$D:$D,'Customer Data'!$F:$F,,0)</f>
        <v>#N/A</v>
      </c>
      <c r="AC186" s="16"/>
      <c r="AD186" s="16" t="s">
        <v>18</v>
      </c>
      <c r="AE186" s="16" t="s">
        <v>18</v>
      </c>
      <c r="AF186" s="16" t="s">
        <v>18</v>
      </c>
      <c r="AG186" s="16" t="s">
        <v>18</v>
      </c>
      <c r="AH186" s="49">
        <v>46036</v>
      </c>
      <c r="AI186" s="49">
        <v>46036</v>
      </c>
      <c r="AJ186" s="16" t="s">
        <v>536</v>
      </c>
    </row>
    <row r="187" spans="1:36" hidden="1" x14ac:dyDescent="0.35">
      <c r="A187" s="16" t="s">
        <v>296</v>
      </c>
      <c r="B187" s="16" t="s">
        <v>297</v>
      </c>
      <c r="C187" s="16" t="s">
        <v>21</v>
      </c>
      <c r="D187" s="16" t="s">
        <v>298</v>
      </c>
      <c r="E187" s="16" t="s">
        <v>167</v>
      </c>
      <c r="F187" s="16" t="s">
        <v>303</v>
      </c>
      <c r="G187" s="49">
        <v>45839</v>
      </c>
      <c r="H187" s="16" t="s">
        <v>538</v>
      </c>
      <c r="I187" s="16" t="s">
        <v>19</v>
      </c>
      <c r="J187" s="49">
        <v>45832</v>
      </c>
      <c r="K187" s="49">
        <v>45832</v>
      </c>
      <c r="L187" s="16" t="s">
        <v>537</v>
      </c>
      <c r="M187" s="61" t="s">
        <v>18</v>
      </c>
      <c r="N187" s="16" t="s">
        <v>22</v>
      </c>
      <c r="O187" s="16" t="s">
        <v>300</v>
      </c>
      <c r="P187" s="16" t="s">
        <v>18</v>
      </c>
      <c r="Q187" s="16" t="s">
        <v>306</v>
      </c>
      <c r="R187" s="16" t="e">
        <f>_xlfn.XLOOKUP(M187,'Invoice No Ref'!$C:$C,'Invoice No Ref'!$I:$I,,0)</f>
        <v>#N/A</v>
      </c>
      <c r="S187" s="16" t="s">
        <v>110</v>
      </c>
      <c r="T187" s="50">
        <v>-19147.47</v>
      </c>
      <c r="U187" s="16" t="s">
        <v>20</v>
      </c>
      <c r="V187" s="50">
        <v>-1636932.15</v>
      </c>
      <c r="W187" s="16">
        <f t="shared" si="15"/>
        <v>85.490780244074017</v>
      </c>
      <c r="X187" s="16" t="s">
        <v>719</v>
      </c>
      <c r="Y187" s="16" t="s">
        <v>18</v>
      </c>
      <c r="Z187" s="16" t="s">
        <v>18</v>
      </c>
      <c r="AA187" s="16" t="s">
        <v>302</v>
      </c>
      <c r="AB187" s="16" t="e">
        <f>_xlfn.XLOOKUP(R187,'Customer Data'!$D:$D,'Customer Data'!$F:$F,,0)</f>
        <v>#N/A</v>
      </c>
      <c r="AC187" s="16"/>
      <c r="AD187" s="16" t="s">
        <v>18</v>
      </c>
      <c r="AE187" s="16" t="s">
        <v>18</v>
      </c>
      <c r="AF187" s="16" t="s">
        <v>18</v>
      </c>
      <c r="AG187" s="16" t="s">
        <v>18</v>
      </c>
      <c r="AH187" s="49">
        <v>45832</v>
      </c>
      <c r="AI187" s="49">
        <v>46036</v>
      </c>
      <c r="AJ187" s="16" t="s">
        <v>536</v>
      </c>
    </row>
    <row r="188" spans="1:36" hidden="1" x14ac:dyDescent="0.35">
      <c r="A188" s="16" t="s">
        <v>296</v>
      </c>
      <c r="B188" s="16" t="s">
        <v>297</v>
      </c>
      <c r="C188" s="16" t="s">
        <v>21</v>
      </c>
      <c r="D188" s="16" t="s">
        <v>298</v>
      </c>
      <c r="E188" s="16" t="s">
        <v>167</v>
      </c>
      <c r="F188" s="16" t="s">
        <v>310</v>
      </c>
      <c r="G188" s="49">
        <v>45735</v>
      </c>
      <c r="H188" s="16" t="s">
        <v>539</v>
      </c>
      <c r="I188" s="16" t="s">
        <v>23</v>
      </c>
      <c r="J188" s="49">
        <v>45735</v>
      </c>
      <c r="K188" s="49">
        <v>45736</v>
      </c>
      <c r="L188" s="16" t="s">
        <v>315</v>
      </c>
      <c r="M188" s="61">
        <v>246779413236</v>
      </c>
      <c r="N188" s="16" t="s">
        <v>22</v>
      </c>
      <c r="O188" s="16" t="s">
        <v>300</v>
      </c>
      <c r="P188" s="16" t="s">
        <v>18</v>
      </c>
      <c r="Q188" s="16" t="s">
        <v>312</v>
      </c>
      <c r="R188" s="16"/>
      <c r="S188" s="16" t="s">
        <v>110</v>
      </c>
      <c r="T188" s="50">
        <v>36.380000000000003</v>
      </c>
      <c r="U188" s="16" t="s">
        <v>20</v>
      </c>
      <c r="V188" s="50">
        <v>3153.83</v>
      </c>
      <c r="W188" s="16">
        <f t="shared" si="15"/>
        <v>86.691313908741051</v>
      </c>
      <c r="X188" s="16" t="s">
        <v>718</v>
      </c>
      <c r="Y188" s="16" t="s">
        <v>18</v>
      </c>
      <c r="Z188" s="16" t="s">
        <v>315</v>
      </c>
      <c r="AA188" s="16" t="s">
        <v>301</v>
      </c>
      <c r="AB188" s="16">
        <f>_xlfn.XLOOKUP(M188,'Customer Data'!$D:$D,'Customer Data'!$H:$H,,0)</f>
        <v>-36.380000000000003</v>
      </c>
      <c r="AC188" s="62">
        <f t="shared" ref="AC188:AC210" si="21">AB188+T188</f>
        <v>0</v>
      </c>
      <c r="AD188" s="16" t="s">
        <v>540</v>
      </c>
      <c r="AE188" s="16" t="s">
        <v>18</v>
      </c>
      <c r="AF188" s="16" t="s">
        <v>18</v>
      </c>
      <c r="AG188" s="16" t="s">
        <v>18</v>
      </c>
      <c r="AH188" s="49">
        <v>45735</v>
      </c>
      <c r="AI188" s="49">
        <v>46036</v>
      </c>
      <c r="AJ188" s="16" t="s">
        <v>536</v>
      </c>
    </row>
    <row r="189" spans="1:36" hidden="1" x14ac:dyDescent="0.35">
      <c r="A189" s="16" t="s">
        <v>296</v>
      </c>
      <c r="B189" s="16" t="s">
        <v>297</v>
      </c>
      <c r="C189" s="16" t="s">
        <v>21</v>
      </c>
      <c r="D189" s="16" t="s">
        <v>298</v>
      </c>
      <c r="E189" s="16" t="s">
        <v>167</v>
      </c>
      <c r="F189" s="16" t="s">
        <v>310</v>
      </c>
      <c r="G189" s="49">
        <v>45735</v>
      </c>
      <c r="H189" s="16" t="s">
        <v>541</v>
      </c>
      <c r="I189" s="16" t="s">
        <v>23</v>
      </c>
      <c r="J189" s="49">
        <v>45735</v>
      </c>
      <c r="K189" s="49">
        <v>45736</v>
      </c>
      <c r="L189" s="16" t="s">
        <v>315</v>
      </c>
      <c r="M189" s="61">
        <v>246779413237</v>
      </c>
      <c r="N189" s="16" t="s">
        <v>22</v>
      </c>
      <c r="O189" s="16" t="s">
        <v>300</v>
      </c>
      <c r="P189" s="16" t="s">
        <v>18</v>
      </c>
      <c r="Q189" s="16" t="s">
        <v>312</v>
      </c>
      <c r="R189" s="16"/>
      <c r="S189" s="16" t="s">
        <v>110</v>
      </c>
      <c r="T189" s="50">
        <v>27.3</v>
      </c>
      <c r="U189" s="16" t="s">
        <v>20</v>
      </c>
      <c r="V189" s="50">
        <v>2366.67</v>
      </c>
      <c r="W189" s="16">
        <f t="shared" si="15"/>
        <v>86.691208791208794</v>
      </c>
      <c r="X189" s="16" t="s">
        <v>718</v>
      </c>
      <c r="Y189" s="16" t="s">
        <v>18</v>
      </c>
      <c r="Z189" s="16" t="s">
        <v>315</v>
      </c>
      <c r="AA189" s="16" t="s">
        <v>301</v>
      </c>
      <c r="AB189" s="16">
        <f>_xlfn.XLOOKUP(M189,'Customer Data'!$D:$D,'Customer Data'!$H:$H,,0)</f>
        <v>-27.3</v>
      </c>
      <c r="AC189" s="62">
        <f t="shared" si="21"/>
        <v>0</v>
      </c>
      <c r="AD189" s="16" t="s">
        <v>542</v>
      </c>
      <c r="AE189" s="16" t="s">
        <v>18</v>
      </c>
      <c r="AF189" s="16" t="s">
        <v>18</v>
      </c>
      <c r="AG189" s="16" t="s">
        <v>18</v>
      </c>
      <c r="AH189" s="49">
        <v>45735</v>
      </c>
      <c r="AI189" s="49">
        <v>46036</v>
      </c>
      <c r="AJ189" s="16" t="s">
        <v>536</v>
      </c>
    </row>
    <row r="190" spans="1:36" hidden="1" x14ac:dyDescent="0.35">
      <c r="A190" s="16" t="s">
        <v>296</v>
      </c>
      <c r="B190" s="16" t="s">
        <v>297</v>
      </c>
      <c r="C190" s="16" t="s">
        <v>21</v>
      </c>
      <c r="D190" s="16" t="s">
        <v>298</v>
      </c>
      <c r="E190" s="16" t="s">
        <v>167</v>
      </c>
      <c r="F190" s="16" t="s">
        <v>310</v>
      </c>
      <c r="G190" s="49">
        <v>45735</v>
      </c>
      <c r="H190" s="16" t="s">
        <v>543</v>
      </c>
      <c r="I190" s="16" t="s">
        <v>23</v>
      </c>
      <c r="J190" s="49">
        <v>45735</v>
      </c>
      <c r="K190" s="49">
        <v>45736</v>
      </c>
      <c r="L190" s="16" t="s">
        <v>315</v>
      </c>
      <c r="M190" s="61">
        <v>246779413238</v>
      </c>
      <c r="N190" s="16" t="s">
        <v>22</v>
      </c>
      <c r="O190" s="16" t="s">
        <v>300</v>
      </c>
      <c r="P190" s="16" t="s">
        <v>18</v>
      </c>
      <c r="Q190" s="16" t="s">
        <v>312</v>
      </c>
      <c r="R190" s="16"/>
      <c r="S190" s="16" t="s">
        <v>110</v>
      </c>
      <c r="T190" s="50">
        <v>20.47</v>
      </c>
      <c r="U190" s="16" t="s">
        <v>20</v>
      </c>
      <c r="V190" s="50">
        <v>1774.57</v>
      </c>
      <c r="W190" s="16">
        <f t="shared" si="15"/>
        <v>86.691255495847585</v>
      </c>
      <c r="X190" s="16" t="s">
        <v>718</v>
      </c>
      <c r="Y190" s="16" t="s">
        <v>18</v>
      </c>
      <c r="Z190" s="16" t="s">
        <v>315</v>
      </c>
      <c r="AA190" s="16" t="s">
        <v>301</v>
      </c>
      <c r="AB190" s="16">
        <f>_xlfn.XLOOKUP(M190,'Customer Data'!$D:$D,'Customer Data'!$H:$H,,0)</f>
        <v>-20.47</v>
      </c>
      <c r="AC190" s="62">
        <f t="shared" si="21"/>
        <v>0</v>
      </c>
      <c r="AD190" s="16" t="s">
        <v>544</v>
      </c>
      <c r="AE190" s="16" t="s">
        <v>18</v>
      </c>
      <c r="AF190" s="16" t="s">
        <v>18</v>
      </c>
      <c r="AG190" s="16" t="s">
        <v>18</v>
      </c>
      <c r="AH190" s="49">
        <v>45735</v>
      </c>
      <c r="AI190" s="49">
        <v>46036</v>
      </c>
      <c r="AJ190" s="16" t="s">
        <v>536</v>
      </c>
    </row>
    <row r="191" spans="1:36" hidden="1" x14ac:dyDescent="0.35">
      <c r="A191" s="16" t="s">
        <v>296</v>
      </c>
      <c r="B191" s="16" t="s">
        <v>297</v>
      </c>
      <c r="C191" s="16" t="s">
        <v>21</v>
      </c>
      <c r="D191" s="16" t="s">
        <v>298</v>
      </c>
      <c r="E191" s="16" t="s">
        <v>167</v>
      </c>
      <c r="F191" s="16" t="s">
        <v>310</v>
      </c>
      <c r="G191" s="49">
        <v>45735</v>
      </c>
      <c r="H191" s="16" t="s">
        <v>545</v>
      </c>
      <c r="I191" s="16" t="s">
        <v>23</v>
      </c>
      <c r="J191" s="49">
        <v>45735</v>
      </c>
      <c r="K191" s="49">
        <v>45736</v>
      </c>
      <c r="L191" s="16" t="s">
        <v>315</v>
      </c>
      <c r="M191" s="61">
        <v>246779413239</v>
      </c>
      <c r="N191" s="16" t="s">
        <v>22</v>
      </c>
      <c r="O191" s="16" t="s">
        <v>300</v>
      </c>
      <c r="P191" s="16" t="s">
        <v>18</v>
      </c>
      <c r="Q191" s="16" t="s">
        <v>312</v>
      </c>
      <c r="R191" s="16"/>
      <c r="S191" s="16" t="s">
        <v>110</v>
      </c>
      <c r="T191" s="50">
        <v>68.239999999999995</v>
      </c>
      <c r="U191" s="16" t="s">
        <v>20</v>
      </c>
      <c r="V191" s="50">
        <v>5915.81</v>
      </c>
      <c r="W191" s="16">
        <f t="shared" si="15"/>
        <v>86.691236811254413</v>
      </c>
      <c r="X191" s="16" t="s">
        <v>718</v>
      </c>
      <c r="Y191" s="16" t="s">
        <v>18</v>
      </c>
      <c r="Z191" s="16" t="s">
        <v>315</v>
      </c>
      <c r="AA191" s="16" t="s">
        <v>301</v>
      </c>
      <c r="AB191" s="16">
        <f>_xlfn.XLOOKUP(M191,'Customer Data'!$D:$D,'Customer Data'!$H:$H,,0)</f>
        <v>-68.239999999999995</v>
      </c>
      <c r="AC191" s="62">
        <f t="shared" si="21"/>
        <v>0</v>
      </c>
      <c r="AD191" s="16" t="s">
        <v>546</v>
      </c>
      <c r="AE191" s="16" t="s">
        <v>18</v>
      </c>
      <c r="AF191" s="16" t="s">
        <v>18</v>
      </c>
      <c r="AG191" s="16" t="s">
        <v>18</v>
      </c>
      <c r="AH191" s="49">
        <v>45735</v>
      </c>
      <c r="AI191" s="49">
        <v>46036</v>
      </c>
      <c r="AJ191" s="16" t="s">
        <v>536</v>
      </c>
    </row>
    <row r="192" spans="1:36" hidden="1" x14ac:dyDescent="0.35">
      <c r="A192" s="16" t="s">
        <v>296</v>
      </c>
      <c r="B192" s="16" t="s">
        <v>297</v>
      </c>
      <c r="C192" s="16" t="s">
        <v>21</v>
      </c>
      <c r="D192" s="16" t="s">
        <v>298</v>
      </c>
      <c r="E192" s="16" t="s">
        <v>167</v>
      </c>
      <c r="F192" s="16" t="s">
        <v>310</v>
      </c>
      <c r="G192" s="49">
        <v>45736</v>
      </c>
      <c r="H192" s="16" t="s">
        <v>547</v>
      </c>
      <c r="I192" s="16" t="s">
        <v>23</v>
      </c>
      <c r="J192" s="49">
        <v>45736</v>
      </c>
      <c r="K192" s="49">
        <v>45736</v>
      </c>
      <c r="L192" s="16" t="s">
        <v>315</v>
      </c>
      <c r="M192" s="61">
        <v>246779413638</v>
      </c>
      <c r="N192" s="16" t="s">
        <v>22</v>
      </c>
      <c r="O192" s="16" t="s">
        <v>300</v>
      </c>
      <c r="P192" s="16" t="s">
        <v>18</v>
      </c>
      <c r="Q192" s="16" t="s">
        <v>312</v>
      </c>
      <c r="R192" s="16"/>
      <c r="S192" s="16" t="s">
        <v>110</v>
      </c>
      <c r="T192" s="50">
        <v>59.41</v>
      </c>
      <c r="U192" s="16" t="s">
        <v>20</v>
      </c>
      <c r="V192" s="50">
        <v>5150.33</v>
      </c>
      <c r="W192" s="16">
        <f t="shared" si="15"/>
        <v>86.691297761319646</v>
      </c>
      <c r="X192" s="16" t="s">
        <v>718</v>
      </c>
      <c r="Y192" s="16" t="s">
        <v>18</v>
      </c>
      <c r="Z192" s="16" t="s">
        <v>315</v>
      </c>
      <c r="AA192" s="16" t="s">
        <v>301</v>
      </c>
      <c r="AB192" s="16">
        <f>_xlfn.XLOOKUP(M192,'Customer Data'!$D:$D,'Customer Data'!$H:$H,,0)</f>
        <v>-59.41</v>
      </c>
      <c r="AC192" s="62">
        <f t="shared" si="21"/>
        <v>0</v>
      </c>
      <c r="AD192" s="16" t="s">
        <v>548</v>
      </c>
      <c r="AE192" s="16" t="s">
        <v>18</v>
      </c>
      <c r="AF192" s="16" t="s">
        <v>18</v>
      </c>
      <c r="AG192" s="16" t="s">
        <v>18</v>
      </c>
      <c r="AH192" s="49">
        <v>45736</v>
      </c>
      <c r="AI192" s="49">
        <v>46036</v>
      </c>
      <c r="AJ192" s="16" t="s">
        <v>536</v>
      </c>
    </row>
    <row r="193" spans="1:36" hidden="1" x14ac:dyDescent="0.35">
      <c r="A193" s="16" t="s">
        <v>296</v>
      </c>
      <c r="B193" s="16" t="s">
        <v>297</v>
      </c>
      <c r="C193" s="16" t="s">
        <v>21</v>
      </c>
      <c r="D193" s="16" t="s">
        <v>298</v>
      </c>
      <c r="E193" s="16" t="s">
        <v>167</v>
      </c>
      <c r="F193" s="16" t="s">
        <v>310</v>
      </c>
      <c r="G193" s="49">
        <v>45736</v>
      </c>
      <c r="H193" s="16" t="s">
        <v>549</v>
      </c>
      <c r="I193" s="16" t="s">
        <v>23</v>
      </c>
      <c r="J193" s="49">
        <v>45736</v>
      </c>
      <c r="K193" s="49">
        <v>45737</v>
      </c>
      <c r="L193" s="16" t="s">
        <v>315</v>
      </c>
      <c r="M193" s="61">
        <v>246779413811</v>
      </c>
      <c r="N193" s="16" t="s">
        <v>22</v>
      </c>
      <c r="O193" s="16" t="s">
        <v>300</v>
      </c>
      <c r="P193" s="16" t="s">
        <v>18</v>
      </c>
      <c r="Q193" s="16" t="s">
        <v>312</v>
      </c>
      <c r="R193" s="16"/>
      <c r="S193" s="16" t="s">
        <v>110</v>
      </c>
      <c r="T193" s="50">
        <v>200.6</v>
      </c>
      <c r="U193" s="16" t="s">
        <v>20</v>
      </c>
      <c r="V193" s="50">
        <v>17390.27</v>
      </c>
      <c r="W193" s="16">
        <f t="shared" si="15"/>
        <v>86.691276171485555</v>
      </c>
      <c r="X193" s="16" t="s">
        <v>718</v>
      </c>
      <c r="Y193" s="16" t="s">
        <v>18</v>
      </c>
      <c r="Z193" s="16" t="s">
        <v>315</v>
      </c>
      <c r="AA193" s="16" t="s">
        <v>301</v>
      </c>
      <c r="AB193" s="16">
        <f>_xlfn.XLOOKUP(M193,'Customer Data'!$D:$D,'Customer Data'!$H:$H,,0)</f>
        <v>-200.6</v>
      </c>
      <c r="AC193" s="62">
        <f t="shared" si="21"/>
        <v>0</v>
      </c>
      <c r="AD193" s="16" t="s">
        <v>550</v>
      </c>
      <c r="AE193" s="16" t="s">
        <v>18</v>
      </c>
      <c r="AF193" s="16" t="s">
        <v>18</v>
      </c>
      <c r="AG193" s="16" t="s">
        <v>18</v>
      </c>
      <c r="AH193" s="49">
        <v>45736</v>
      </c>
      <c r="AI193" s="49">
        <v>46036</v>
      </c>
      <c r="AJ193" s="16" t="s">
        <v>536</v>
      </c>
    </row>
    <row r="194" spans="1:36" hidden="1" x14ac:dyDescent="0.35">
      <c r="A194" s="16" t="s">
        <v>296</v>
      </c>
      <c r="B194" s="16" t="s">
        <v>297</v>
      </c>
      <c r="C194" s="16" t="s">
        <v>21</v>
      </c>
      <c r="D194" s="16" t="s">
        <v>298</v>
      </c>
      <c r="E194" s="16" t="s">
        <v>167</v>
      </c>
      <c r="F194" s="16" t="s">
        <v>310</v>
      </c>
      <c r="G194" s="49">
        <v>45736</v>
      </c>
      <c r="H194" s="16" t="s">
        <v>551</v>
      </c>
      <c r="I194" s="16" t="s">
        <v>23</v>
      </c>
      <c r="J194" s="49">
        <v>45736</v>
      </c>
      <c r="K194" s="49">
        <v>45737</v>
      </c>
      <c r="L194" s="16" t="s">
        <v>315</v>
      </c>
      <c r="M194" s="61">
        <v>246779414481</v>
      </c>
      <c r="N194" s="16" t="s">
        <v>22</v>
      </c>
      <c r="O194" s="16" t="s">
        <v>300</v>
      </c>
      <c r="P194" s="16" t="s">
        <v>18</v>
      </c>
      <c r="Q194" s="16" t="s">
        <v>312</v>
      </c>
      <c r="R194" s="16"/>
      <c r="S194" s="16" t="s">
        <v>110</v>
      </c>
      <c r="T194" s="50">
        <v>42.48</v>
      </c>
      <c r="U194" s="16" t="s">
        <v>20</v>
      </c>
      <c r="V194" s="50">
        <v>3682.64</v>
      </c>
      <c r="W194" s="16">
        <f t="shared" si="15"/>
        <v>86.691148775894547</v>
      </c>
      <c r="X194" s="16" t="s">
        <v>718</v>
      </c>
      <c r="Y194" s="16" t="s">
        <v>18</v>
      </c>
      <c r="Z194" s="16" t="s">
        <v>315</v>
      </c>
      <c r="AA194" s="16" t="s">
        <v>301</v>
      </c>
      <c r="AB194" s="16">
        <f>_xlfn.XLOOKUP(M194,'Customer Data'!$D:$D,'Customer Data'!$H:$H,,0)</f>
        <v>-42.48</v>
      </c>
      <c r="AC194" s="62">
        <f t="shared" si="21"/>
        <v>0</v>
      </c>
      <c r="AD194" s="16" t="s">
        <v>552</v>
      </c>
      <c r="AE194" s="16" t="s">
        <v>18</v>
      </c>
      <c r="AF194" s="16" t="s">
        <v>18</v>
      </c>
      <c r="AG194" s="16" t="s">
        <v>18</v>
      </c>
      <c r="AH194" s="49">
        <v>45736</v>
      </c>
      <c r="AI194" s="49">
        <v>46036</v>
      </c>
      <c r="AJ194" s="16" t="s">
        <v>536</v>
      </c>
    </row>
    <row r="195" spans="1:36" hidden="1" x14ac:dyDescent="0.35">
      <c r="A195" s="16" t="s">
        <v>296</v>
      </c>
      <c r="B195" s="16" t="s">
        <v>297</v>
      </c>
      <c r="C195" s="16" t="s">
        <v>21</v>
      </c>
      <c r="D195" s="16" t="s">
        <v>298</v>
      </c>
      <c r="E195" s="16" t="s">
        <v>167</v>
      </c>
      <c r="F195" s="16" t="s">
        <v>310</v>
      </c>
      <c r="G195" s="49">
        <v>45736</v>
      </c>
      <c r="H195" s="16" t="s">
        <v>553</v>
      </c>
      <c r="I195" s="16" t="s">
        <v>23</v>
      </c>
      <c r="J195" s="49">
        <v>45736</v>
      </c>
      <c r="K195" s="49">
        <v>45737</v>
      </c>
      <c r="L195" s="16" t="s">
        <v>315</v>
      </c>
      <c r="M195" s="61">
        <v>246779414482</v>
      </c>
      <c r="N195" s="16" t="s">
        <v>22</v>
      </c>
      <c r="O195" s="16" t="s">
        <v>300</v>
      </c>
      <c r="P195" s="16" t="s">
        <v>18</v>
      </c>
      <c r="Q195" s="16" t="s">
        <v>312</v>
      </c>
      <c r="R195" s="16"/>
      <c r="S195" s="16" t="s">
        <v>110</v>
      </c>
      <c r="T195" s="50">
        <v>177</v>
      </c>
      <c r="U195" s="16" t="s">
        <v>20</v>
      </c>
      <c r="V195" s="50">
        <v>15344.35</v>
      </c>
      <c r="W195" s="16">
        <f t="shared" ref="W195:W258" si="22">V195/T195</f>
        <v>86.691242937853104</v>
      </c>
      <c r="X195" s="16" t="s">
        <v>718</v>
      </c>
      <c r="Y195" s="16" t="s">
        <v>18</v>
      </c>
      <c r="Z195" s="16" t="s">
        <v>315</v>
      </c>
      <c r="AA195" s="16" t="s">
        <v>301</v>
      </c>
      <c r="AB195" s="16">
        <f>_xlfn.XLOOKUP(M195,'Customer Data'!$D:$D,'Customer Data'!$H:$H,,0)</f>
        <v>-177</v>
      </c>
      <c r="AC195" s="62">
        <f t="shared" si="21"/>
        <v>0</v>
      </c>
      <c r="AD195" s="16" t="s">
        <v>554</v>
      </c>
      <c r="AE195" s="16" t="s">
        <v>18</v>
      </c>
      <c r="AF195" s="16" t="s">
        <v>18</v>
      </c>
      <c r="AG195" s="16" t="s">
        <v>18</v>
      </c>
      <c r="AH195" s="49">
        <v>45736</v>
      </c>
      <c r="AI195" s="49">
        <v>46036</v>
      </c>
      <c r="AJ195" s="16" t="s">
        <v>536</v>
      </c>
    </row>
    <row r="196" spans="1:36" hidden="1" x14ac:dyDescent="0.35">
      <c r="A196" s="16" t="s">
        <v>296</v>
      </c>
      <c r="B196" s="16" t="s">
        <v>297</v>
      </c>
      <c r="C196" s="16" t="s">
        <v>21</v>
      </c>
      <c r="D196" s="16" t="s">
        <v>298</v>
      </c>
      <c r="E196" s="16" t="s">
        <v>167</v>
      </c>
      <c r="F196" s="16" t="s">
        <v>310</v>
      </c>
      <c r="G196" s="49">
        <v>45736</v>
      </c>
      <c r="H196" s="16" t="s">
        <v>555</v>
      </c>
      <c r="I196" s="16" t="s">
        <v>23</v>
      </c>
      <c r="J196" s="49">
        <v>45736</v>
      </c>
      <c r="K196" s="49">
        <v>45737</v>
      </c>
      <c r="L196" s="16" t="s">
        <v>315</v>
      </c>
      <c r="M196" s="61">
        <v>246779414483</v>
      </c>
      <c r="N196" s="16" t="s">
        <v>22</v>
      </c>
      <c r="O196" s="16" t="s">
        <v>300</v>
      </c>
      <c r="P196" s="16" t="s">
        <v>18</v>
      </c>
      <c r="Q196" s="16" t="s">
        <v>312</v>
      </c>
      <c r="R196" s="16"/>
      <c r="S196" s="16" t="s">
        <v>110</v>
      </c>
      <c r="T196" s="50">
        <v>23.6</v>
      </c>
      <c r="U196" s="16" t="s">
        <v>20</v>
      </c>
      <c r="V196" s="50">
        <v>2045.91</v>
      </c>
      <c r="W196" s="16">
        <f t="shared" si="22"/>
        <v>86.691101694915247</v>
      </c>
      <c r="X196" s="16" t="s">
        <v>718</v>
      </c>
      <c r="Y196" s="16" t="s">
        <v>18</v>
      </c>
      <c r="Z196" s="16" t="s">
        <v>315</v>
      </c>
      <c r="AA196" s="16" t="s">
        <v>301</v>
      </c>
      <c r="AB196" s="16">
        <f>_xlfn.XLOOKUP(M196,'Customer Data'!$D:$D,'Customer Data'!$H:$H,,0)</f>
        <v>-23.6</v>
      </c>
      <c r="AC196" s="62">
        <f t="shared" si="21"/>
        <v>0</v>
      </c>
      <c r="AD196" s="16" t="s">
        <v>556</v>
      </c>
      <c r="AE196" s="16" t="s">
        <v>18</v>
      </c>
      <c r="AF196" s="16" t="s">
        <v>18</v>
      </c>
      <c r="AG196" s="16" t="s">
        <v>18</v>
      </c>
      <c r="AH196" s="49">
        <v>45736</v>
      </c>
      <c r="AI196" s="49">
        <v>46036</v>
      </c>
      <c r="AJ196" s="16" t="s">
        <v>536</v>
      </c>
    </row>
    <row r="197" spans="1:36" hidden="1" x14ac:dyDescent="0.35">
      <c r="A197" s="16" t="s">
        <v>296</v>
      </c>
      <c r="B197" s="16" t="s">
        <v>297</v>
      </c>
      <c r="C197" s="16" t="s">
        <v>21</v>
      </c>
      <c r="D197" s="16" t="s">
        <v>298</v>
      </c>
      <c r="E197" s="16" t="s">
        <v>167</v>
      </c>
      <c r="F197" s="16" t="s">
        <v>310</v>
      </c>
      <c r="G197" s="49">
        <v>45736</v>
      </c>
      <c r="H197" s="16" t="s">
        <v>557</v>
      </c>
      <c r="I197" s="16" t="s">
        <v>23</v>
      </c>
      <c r="J197" s="49">
        <v>45736</v>
      </c>
      <c r="K197" s="49">
        <v>45737</v>
      </c>
      <c r="L197" s="16" t="s">
        <v>315</v>
      </c>
      <c r="M197" s="61">
        <v>246779414484</v>
      </c>
      <c r="N197" s="16" t="s">
        <v>22</v>
      </c>
      <c r="O197" s="16" t="s">
        <v>300</v>
      </c>
      <c r="P197" s="16" t="s">
        <v>18</v>
      </c>
      <c r="Q197" s="16" t="s">
        <v>312</v>
      </c>
      <c r="R197" s="16"/>
      <c r="S197" s="16" t="s">
        <v>110</v>
      </c>
      <c r="T197" s="50">
        <v>173.48</v>
      </c>
      <c r="U197" s="16" t="s">
        <v>20</v>
      </c>
      <c r="V197" s="50">
        <v>15039.2</v>
      </c>
      <c r="W197" s="16">
        <f t="shared" si="22"/>
        <v>86.691261240488828</v>
      </c>
      <c r="X197" s="16" t="s">
        <v>718</v>
      </c>
      <c r="Y197" s="16" t="s">
        <v>18</v>
      </c>
      <c r="Z197" s="16" t="s">
        <v>315</v>
      </c>
      <c r="AA197" s="16" t="s">
        <v>301</v>
      </c>
      <c r="AB197" s="16">
        <f>_xlfn.XLOOKUP(M197,'Customer Data'!$D:$D,'Customer Data'!$H:$H,,0)</f>
        <v>-173.48</v>
      </c>
      <c r="AC197" s="62">
        <f t="shared" si="21"/>
        <v>0</v>
      </c>
      <c r="AD197" s="16" t="s">
        <v>558</v>
      </c>
      <c r="AE197" s="16" t="s">
        <v>18</v>
      </c>
      <c r="AF197" s="16" t="s">
        <v>18</v>
      </c>
      <c r="AG197" s="16" t="s">
        <v>18</v>
      </c>
      <c r="AH197" s="49">
        <v>45736</v>
      </c>
      <c r="AI197" s="49">
        <v>46036</v>
      </c>
      <c r="AJ197" s="16" t="s">
        <v>536</v>
      </c>
    </row>
    <row r="198" spans="1:36" hidden="1" x14ac:dyDescent="0.35">
      <c r="A198" s="16" t="s">
        <v>296</v>
      </c>
      <c r="B198" s="16" t="s">
        <v>297</v>
      </c>
      <c r="C198" s="16" t="s">
        <v>21</v>
      </c>
      <c r="D198" s="16" t="s">
        <v>298</v>
      </c>
      <c r="E198" s="16" t="s">
        <v>167</v>
      </c>
      <c r="F198" s="16" t="s">
        <v>310</v>
      </c>
      <c r="G198" s="49">
        <v>45736</v>
      </c>
      <c r="H198" s="16" t="s">
        <v>559</v>
      </c>
      <c r="I198" s="16" t="s">
        <v>23</v>
      </c>
      <c r="J198" s="49">
        <v>45736</v>
      </c>
      <c r="K198" s="49">
        <v>45737</v>
      </c>
      <c r="L198" s="16" t="s">
        <v>315</v>
      </c>
      <c r="M198" s="61">
        <v>246779414755</v>
      </c>
      <c r="N198" s="16" t="s">
        <v>22</v>
      </c>
      <c r="O198" s="16" t="s">
        <v>300</v>
      </c>
      <c r="P198" s="16" t="s">
        <v>18</v>
      </c>
      <c r="Q198" s="16" t="s">
        <v>312</v>
      </c>
      <c r="R198" s="16"/>
      <c r="S198" s="16" t="s">
        <v>110</v>
      </c>
      <c r="T198" s="50">
        <v>419.36</v>
      </c>
      <c r="U198" s="16" t="s">
        <v>20</v>
      </c>
      <c r="V198" s="50">
        <v>36354.85</v>
      </c>
      <c r="W198" s="16">
        <f t="shared" si="22"/>
        <v>86.691267645936662</v>
      </c>
      <c r="X198" s="16" t="s">
        <v>718</v>
      </c>
      <c r="Y198" s="16" t="s">
        <v>18</v>
      </c>
      <c r="Z198" s="16" t="s">
        <v>315</v>
      </c>
      <c r="AA198" s="16" t="s">
        <v>301</v>
      </c>
      <c r="AB198" s="16">
        <f>_xlfn.XLOOKUP(M198,'Customer Data'!$D:$D,'Customer Data'!$H:$H,,0)</f>
        <v>-419.36</v>
      </c>
      <c r="AC198" s="62">
        <f t="shared" si="21"/>
        <v>0</v>
      </c>
      <c r="AD198" s="16" t="s">
        <v>560</v>
      </c>
      <c r="AE198" s="16" t="s">
        <v>18</v>
      </c>
      <c r="AF198" s="16" t="s">
        <v>18</v>
      </c>
      <c r="AG198" s="16" t="s">
        <v>18</v>
      </c>
      <c r="AH198" s="49">
        <v>45736</v>
      </c>
      <c r="AI198" s="49">
        <v>46036</v>
      </c>
      <c r="AJ198" s="16" t="s">
        <v>536</v>
      </c>
    </row>
    <row r="199" spans="1:36" hidden="1" x14ac:dyDescent="0.35">
      <c r="A199" s="16" t="s">
        <v>296</v>
      </c>
      <c r="B199" s="16" t="s">
        <v>297</v>
      </c>
      <c r="C199" s="16" t="s">
        <v>21</v>
      </c>
      <c r="D199" s="16" t="s">
        <v>298</v>
      </c>
      <c r="E199" s="16" t="s">
        <v>167</v>
      </c>
      <c r="F199" s="16" t="s">
        <v>310</v>
      </c>
      <c r="G199" s="49">
        <v>45736</v>
      </c>
      <c r="H199" s="16" t="s">
        <v>561</v>
      </c>
      <c r="I199" s="16" t="s">
        <v>23</v>
      </c>
      <c r="J199" s="49">
        <v>45736</v>
      </c>
      <c r="K199" s="49">
        <v>45737</v>
      </c>
      <c r="L199" s="16" t="s">
        <v>315</v>
      </c>
      <c r="M199" s="61">
        <v>246779414756</v>
      </c>
      <c r="N199" s="16" t="s">
        <v>22</v>
      </c>
      <c r="O199" s="16" t="s">
        <v>300</v>
      </c>
      <c r="P199" s="16" t="s">
        <v>18</v>
      </c>
      <c r="Q199" s="16" t="s">
        <v>312</v>
      </c>
      <c r="R199" s="16"/>
      <c r="S199" s="16" t="s">
        <v>110</v>
      </c>
      <c r="T199" s="50">
        <v>81.209999999999994</v>
      </c>
      <c r="U199" s="16" t="s">
        <v>20</v>
      </c>
      <c r="V199" s="50">
        <v>7040.2</v>
      </c>
      <c r="W199" s="16">
        <f t="shared" si="22"/>
        <v>86.691294175594138</v>
      </c>
      <c r="X199" s="16" t="s">
        <v>718</v>
      </c>
      <c r="Y199" s="16" t="s">
        <v>18</v>
      </c>
      <c r="Z199" s="16" t="s">
        <v>315</v>
      </c>
      <c r="AA199" s="16" t="s">
        <v>301</v>
      </c>
      <c r="AB199" s="16">
        <f>_xlfn.XLOOKUP(M199,'Customer Data'!$D:$D,'Customer Data'!$H:$H,,0)</f>
        <v>-81.209999999999994</v>
      </c>
      <c r="AC199" s="62">
        <f t="shared" si="21"/>
        <v>0</v>
      </c>
      <c r="AD199" s="16" t="s">
        <v>552</v>
      </c>
      <c r="AE199" s="16" t="s">
        <v>18</v>
      </c>
      <c r="AF199" s="16" t="s">
        <v>18</v>
      </c>
      <c r="AG199" s="16" t="s">
        <v>18</v>
      </c>
      <c r="AH199" s="49">
        <v>45736</v>
      </c>
      <c r="AI199" s="49">
        <v>46036</v>
      </c>
      <c r="AJ199" s="16" t="s">
        <v>536</v>
      </c>
    </row>
    <row r="200" spans="1:36" hidden="1" x14ac:dyDescent="0.35">
      <c r="A200" s="16" t="s">
        <v>296</v>
      </c>
      <c r="B200" s="16" t="s">
        <v>297</v>
      </c>
      <c r="C200" s="16" t="s">
        <v>21</v>
      </c>
      <c r="D200" s="16" t="s">
        <v>298</v>
      </c>
      <c r="E200" s="16" t="s">
        <v>167</v>
      </c>
      <c r="F200" s="16" t="s">
        <v>299</v>
      </c>
      <c r="G200" s="49">
        <v>45751</v>
      </c>
      <c r="H200" s="16" t="s">
        <v>562</v>
      </c>
      <c r="I200" s="16" t="s">
        <v>23</v>
      </c>
      <c r="J200" s="49">
        <v>45751</v>
      </c>
      <c r="K200" s="49">
        <v>45752</v>
      </c>
      <c r="L200" s="16" t="s">
        <v>315</v>
      </c>
      <c r="M200" s="61">
        <v>256779410724</v>
      </c>
      <c r="N200" s="16" t="s">
        <v>22</v>
      </c>
      <c r="O200" s="16" t="s">
        <v>300</v>
      </c>
      <c r="P200" s="16" t="s">
        <v>18</v>
      </c>
      <c r="Q200" s="16" t="s">
        <v>312</v>
      </c>
      <c r="R200" s="16"/>
      <c r="S200" s="16" t="s">
        <v>110</v>
      </c>
      <c r="T200" s="50">
        <v>14302.59</v>
      </c>
      <c r="U200" s="16" t="s">
        <v>20</v>
      </c>
      <c r="V200" s="50">
        <v>1243207.1499999999</v>
      </c>
      <c r="W200" s="16">
        <f t="shared" si="22"/>
        <v>86.921819754324204</v>
      </c>
      <c r="X200" s="16" t="s">
        <v>18</v>
      </c>
      <c r="Y200" s="16" t="s">
        <v>18</v>
      </c>
      <c r="Z200" s="16" t="s">
        <v>315</v>
      </c>
      <c r="AA200" s="16" t="s">
        <v>301</v>
      </c>
      <c r="AB200" s="16">
        <f>_xlfn.XLOOKUP(M200,'Customer Data'!$D:$D,'Customer Data'!$H:$H,,0)</f>
        <v>-14302.59</v>
      </c>
      <c r="AC200" s="62">
        <f t="shared" si="21"/>
        <v>0</v>
      </c>
      <c r="AD200" s="16" t="s">
        <v>563</v>
      </c>
      <c r="AE200" s="16" t="s">
        <v>18</v>
      </c>
      <c r="AF200" s="16" t="s">
        <v>18</v>
      </c>
      <c r="AG200" s="16" t="s">
        <v>18</v>
      </c>
      <c r="AH200" s="49">
        <v>45751</v>
      </c>
      <c r="AI200" s="49">
        <v>46036</v>
      </c>
      <c r="AJ200" s="16" t="s">
        <v>536</v>
      </c>
    </row>
    <row r="201" spans="1:36" hidden="1" x14ac:dyDescent="0.35">
      <c r="A201" s="16" t="s">
        <v>296</v>
      </c>
      <c r="B201" s="16" t="s">
        <v>297</v>
      </c>
      <c r="C201" s="16" t="s">
        <v>21</v>
      </c>
      <c r="D201" s="16" t="s">
        <v>298</v>
      </c>
      <c r="E201" s="16" t="s">
        <v>167</v>
      </c>
      <c r="F201" s="16" t="s">
        <v>299</v>
      </c>
      <c r="G201" s="49">
        <v>45763</v>
      </c>
      <c r="H201" s="16" t="s">
        <v>564</v>
      </c>
      <c r="I201" s="16" t="s">
        <v>23</v>
      </c>
      <c r="J201" s="49">
        <v>45763</v>
      </c>
      <c r="K201" s="49">
        <v>45764</v>
      </c>
      <c r="L201" s="16" t="s">
        <v>315</v>
      </c>
      <c r="M201" s="61">
        <v>256779411990</v>
      </c>
      <c r="N201" s="16" t="s">
        <v>22</v>
      </c>
      <c r="O201" s="16" t="s">
        <v>300</v>
      </c>
      <c r="P201" s="16" t="s">
        <v>18</v>
      </c>
      <c r="Q201" s="16" t="s">
        <v>312</v>
      </c>
      <c r="R201" s="16"/>
      <c r="S201" s="16" t="s">
        <v>110</v>
      </c>
      <c r="T201" s="50">
        <v>84</v>
      </c>
      <c r="U201" s="16" t="s">
        <v>20</v>
      </c>
      <c r="V201" s="50">
        <v>7301.43</v>
      </c>
      <c r="W201" s="16">
        <f t="shared" si="22"/>
        <v>86.921785714285718</v>
      </c>
      <c r="X201" s="16" t="s">
        <v>718</v>
      </c>
      <c r="Y201" s="16" t="s">
        <v>18</v>
      </c>
      <c r="Z201" s="16" t="s">
        <v>315</v>
      </c>
      <c r="AA201" s="16" t="s">
        <v>301</v>
      </c>
      <c r="AB201" s="16">
        <f>_xlfn.XLOOKUP(M201,'Customer Data'!$D:$D,'Customer Data'!$H:$H,,0)</f>
        <v>-84</v>
      </c>
      <c r="AC201" s="62">
        <f t="shared" si="21"/>
        <v>0</v>
      </c>
      <c r="AD201" s="16" t="s">
        <v>565</v>
      </c>
      <c r="AE201" s="16" t="s">
        <v>18</v>
      </c>
      <c r="AF201" s="16" t="s">
        <v>18</v>
      </c>
      <c r="AG201" s="16" t="s">
        <v>18</v>
      </c>
      <c r="AH201" s="49">
        <v>45763</v>
      </c>
      <c r="AI201" s="49">
        <v>46036</v>
      </c>
      <c r="AJ201" s="16" t="s">
        <v>536</v>
      </c>
    </row>
    <row r="202" spans="1:36" hidden="1" x14ac:dyDescent="0.35">
      <c r="A202" s="16" t="s">
        <v>296</v>
      </c>
      <c r="B202" s="16" t="s">
        <v>297</v>
      </c>
      <c r="C202" s="16" t="s">
        <v>21</v>
      </c>
      <c r="D202" s="16" t="s">
        <v>298</v>
      </c>
      <c r="E202" s="16" t="s">
        <v>167</v>
      </c>
      <c r="F202" s="16" t="s">
        <v>299</v>
      </c>
      <c r="G202" s="49">
        <v>45763</v>
      </c>
      <c r="H202" s="16" t="s">
        <v>566</v>
      </c>
      <c r="I202" s="16" t="s">
        <v>23</v>
      </c>
      <c r="J202" s="49">
        <v>45763</v>
      </c>
      <c r="K202" s="49">
        <v>45764</v>
      </c>
      <c r="L202" s="16" t="s">
        <v>315</v>
      </c>
      <c r="M202" s="61">
        <v>256779412034</v>
      </c>
      <c r="N202" s="16" t="s">
        <v>22</v>
      </c>
      <c r="O202" s="16" t="s">
        <v>300</v>
      </c>
      <c r="P202" s="16" t="s">
        <v>18</v>
      </c>
      <c r="Q202" s="16" t="s">
        <v>312</v>
      </c>
      <c r="R202" s="16"/>
      <c r="S202" s="16" t="s">
        <v>110</v>
      </c>
      <c r="T202" s="50">
        <v>117.05</v>
      </c>
      <c r="U202" s="16" t="s">
        <v>20</v>
      </c>
      <c r="V202" s="50">
        <v>10174.200000000001</v>
      </c>
      <c r="W202" s="16">
        <f t="shared" si="22"/>
        <v>86.921828278513459</v>
      </c>
      <c r="X202" s="16" t="s">
        <v>718</v>
      </c>
      <c r="Y202" s="16" t="s">
        <v>18</v>
      </c>
      <c r="Z202" s="16" t="s">
        <v>315</v>
      </c>
      <c r="AA202" s="16" t="s">
        <v>301</v>
      </c>
      <c r="AB202" s="16">
        <f>_xlfn.XLOOKUP(M202,'Customer Data'!$D:$D,'Customer Data'!$H:$H,,0)</f>
        <v>-117.05</v>
      </c>
      <c r="AC202" s="62">
        <f t="shared" si="21"/>
        <v>0</v>
      </c>
      <c r="AD202" s="16" t="s">
        <v>567</v>
      </c>
      <c r="AE202" s="16" t="s">
        <v>18</v>
      </c>
      <c r="AF202" s="16" t="s">
        <v>18</v>
      </c>
      <c r="AG202" s="16" t="s">
        <v>18</v>
      </c>
      <c r="AH202" s="49">
        <v>45763</v>
      </c>
      <c r="AI202" s="49">
        <v>46036</v>
      </c>
      <c r="AJ202" s="16" t="s">
        <v>536</v>
      </c>
    </row>
    <row r="203" spans="1:36" hidden="1" x14ac:dyDescent="0.35">
      <c r="A203" s="16" t="s">
        <v>296</v>
      </c>
      <c r="B203" s="16" t="s">
        <v>297</v>
      </c>
      <c r="C203" s="16" t="s">
        <v>21</v>
      </c>
      <c r="D203" s="16" t="s">
        <v>298</v>
      </c>
      <c r="E203" s="16" t="s">
        <v>167</v>
      </c>
      <c r="F203" s="16" t="s">
        <v>299</v>
      </c>
      <c r="G203" s="49">
        <v>45769</v>
      </c>
      <c r="H203" s="16" t="s">
        <v>568</v>
      </c>
      <c r="I203" s="16" t="s">
        <v>23</v>
      </c>
      <c r="J203" s="49">
        <v>45769</v>
      </c>
      <c r="K203" s="49">
        <v>45770</v>
      </c>
      <c r="L203" s="16" t="s">
        <v>315</v>
      </c>
      <c r="M203" s="61">
        <v>256779412510</v>
      </c>
      <c r="N203" s="16" t="s">
        <v>22</v>
      </c>
      <c r="O203" s="16" t="s">
        <v>300</v>
      </c>
      <c r="P203" s="16" t="s">
        <v>18</v>
      </c>
      <c r="Q203" s="16" t="s">
        <v>312</v>
      </c>
      <c r="R203" s="16"/>
      <c r="S203" s="16" t="s">
        <v>110</v>
      </c>
      <c r="T203" s="50">
        <v>330.03</v>
      </c>
      <c r="U203" s="16" t="s">
        <v>20</v>
      </c>
      <c r="V203" s="50">
        <v>28686.81</v>
      </c>
      <c r="W203" s="16">
        <f t="shared" si="22"/>
        <v>86.921825288610137</v>
      </c>
      <c r="X203" s="16" t="s">
        <v>718</v>
      </c>
      <c r="Y203" s="16" t="s">
        <v>18</v>
      </c>
      <c r="Z203" s="16" t="s">
        <v>315</v>
      </c>
      <c r="AA203" s="16" t="s">
        <v>301</v>
      </c>
      <c r="AB203" s="16">
        <f>_xlfn.XLOOKUP(M203,'Customer Data'!$D:$D,'Customer Data'!$H:$H,,0)</f>
        <v>-330.03</v>
      </c>
      <c r="AC203" s="62">
        <f t="shared" si="21"/>
        <v>0</v>
      </c>
      <c r="AD203" s="16" t="s">
        <v>554</v>
      </c>
      <c r="AE203" s="16" t="s">
        <v>18</v>
      </c>
      <c r="AF203" s="16" t="s">
        <v>18</v>
      </c>
      <c r="AG203" s="16" t="s">
        <v>18</v>
      </c>
      <c r="AH203" s="49">
        <v>45769</v>
      </c>
      <c r="AI203" s="49">
        <v>46036</v>
      </c>
      <c r="AJ203" s="16" t="s">
        <v>536</v>
      </c>
    </row>
    <row r="204" spans="1:36" hidden="1" x14ac:dyDescent="0.35">
      <c r="A204" s="16" t="s">
        <v>296</v>
      </c>
      <c r="B204" s="16" t="s">
        <v>297</v>
      </c>
      <c r="C204" s="16" t="s">
        <v>21</v>
      </c>
      <c r="D204" s="16" t="s">
        <v>298</v>
      </c>
      <c r="E204" s="16" t="s">
        <v>167</v>
      </c>
      <c r="F204" s="16" t="s">
        <v>299</v>
      </c>
      <c r="G204" s="49">
        <v>45769</v>
      </c>
      <c r="H204" s="16" t="s">
        <v>569</v>
      </c>
      <c r="I204" s="16" t="s">
        <v>23</v>
      </c>
      <c r="J204" s="49">
        <v>45769</v>
      </c>
      <c r="K204" s="49">
        <v>45770</v>
      </c>
      <c r="L204" s="16" t="s">
        <v>315</v>
      </c>
      <c r="M204" s="61">
        <v>256779412517</v>
      </c>
      <c r="N204" s="16" t="s">
        <v>22</v>
      </c>
      <c r="O204" s="16" t="s">
        <v>300</v>
      </c>
      <c r="P204" s="16" t="s">
        <v>18</v>
      </c>
      <c r="Q204" s="16" t="s">
        <v>312</v>
      </c>
      <c r="R204" s="16"/>
      <c r="S204" s="16" t="s">
        <v>110</v>
      </c>
      <c r="T204" s="50">
        <v>262.18</v>
      </c>
      <c r="U204" s="16" t="s">
        <v>20</v>
      </c>
      <c r="V204" s="50">
        <v>22789.16</v>
      </c>
      <c r="W204" s="16">
        <f t="shared" si="22"/>
        <v>86.921809443893508</v>
      </c>
      <c r="X204" s="16" t="s">
        <v>718</v>
      </c>
      <c r="Y204" s="16" t="s">
        <v>18</v>
      </c>
      <c r="Z204" s="16" t="s">
        <v>315</v>
      </c>
      <c r="AA204" s="16" t="s">
        <v>301</v>
      </c>
      <c r="AB204" s="16">
        <f>_xlfn.XLOOKUP(M204,'Customer Data'!$D:$D,'Customer Data'!$H:$H,,0)</f>
        <v>-262.18</v>
      </c>
      <c r="AC204" s="62">
        <f t="shared" si="21"/>
        <v>0</v>
      </c>
      <c r="AD204" s="16" t="s">
        <v>554</v>
      </c>
      <c r="AE204" s="16" t="s">
        <v>18</v>
      </c>
      <c r="AF204" s="16" t="s">
        <v>18</v>
      </c>
      <c r="AG204" s="16" t="s">
        <v>18</v>
      </c>
      <c r="AH204" s="49">
        <v>45769</v>
      </c>
      <c r="AI204" s="49">
        <v>46036</v>
      </c>
      <c r="AJ204" s="16" t="s">
        <v>536</v>
      </c>
    </row>
    <row r="205" spans="1:36" hidden="1" x14ac:dyDescent="0.35">
      <c r="A205" s="16" t="s">
        <v>296</v>
      </c>
      <c r="B205" s="16" t="s">
        <v>297</v>
      </c>
      <c r="C205" s="16" t="s">
        <v>21</v>
      </c>
      <c r="D205" s="16" t="s">
        <v>298</v>
      </c>
      <c r="E205" s="16" t="s">
        <v>167</v>
      </c>
      <c r="F205" s="16" t="s">
        <v>299</v>
      </c>
      <c r="G205" s="49">
        <v>45769</v>
      </c>
      <c r="H205" s="16" t="s">
        <v>570</v>
      </c>
      <c r="I205" s="16" t="s">
        <v>23</v>
      </c>
      <c r="J205" s="49">
        <v>45769</v>
      </c>
      <c r="K205" s="49">
        <v>45770</v>
      </c>
      <c r="L205" s="16" t="s">
        <v>315</v>
      </c>
      <c r="M205" s="61">
        <v>256779412521</v>
      </c>
      <c r="N205" s="16" t="s">
        <v>22</v>
      </c>
      <c r="O205" s="16" t="s">
        <v>300</v>
      </c>
      <c r="P205" s="16" t="s">
        <v>18</v>
      </c>
      <c r="Q205" s="16" t="s">
        <v>312</v>
      </c>
      <c r="R205" s="16"/>
      <c r="S205" s="16" t="s">
        <v>110</v>
      </c>
      <c r="T205" s="50">
        <v>171.87</v>
      </c>
      <c r="U205" s="16" t="s">
        <v>20</v>
      </c>
      <c r="V205" s="50">
        <v>14939.25</v>
      </c>
      <c r="W205" s="16">
        <f t="shared" si="22"/>
        <v>86.921801361494147</v>
      </c>
      <c r="X205" s="16" t="s">
        <v>718</v>
      </c>
      <c r="Y205" s="16" t="s">
        <v>18</v>
      </c>
      <c r="Z205" s="16" t="s">
        <v>315</v>
      </c>
      <c r="AA205" s="16" t="s">
        <v>301</v>
      </c>
      <c r="AB205" s="16">
        <f>_xlfn.XLOOKUP(M205,'Customer Data'!$D:$D,'Customer Data'!$H:$H,,0)</f>
        <v>-171.87</v>
      </c>
      <c r="AC205" s="62">
        <f t="shared" si="21"/>
        <v>0</v>
      </c>
      <c r="AD205" s="16" t="s">
        <v>554</v>
      </c>
      <c r="AE205" s="16" t="s">
        <v>18</v>
      </c>
      <c r="AF205" s="16" t="s">
        <v>18</v>
      </c>
      <c r="AG205" s="16" t="s">
        <v>18</v>
      </c>
      <c r="AH205" s="49">
        <v>45769</v>
      </c>
      <c r="AI205" s="49">
        <v>46036</v>
      </c>
      <c r="AJ205" s="16" t="s">
        <v>536</v>
      </c>
    </row>
    <row r="206" spans="1:36" hidden="1" x14ac:dyDescent="0.35">
      <c r="A206" s="16" t="s">
        <v>296</v>
      </c>
      <c r="B206" s="16" t="s">
        <v>297</v>
      </c>
      <c r="C206" s="16" t="s">
        <v>21</v>
      </c>
      <c r="D206" s="16" t="s">
        <v>298</v>
      </c>
      <c r="E206" s="16" t="s">
        <v>167</v>
      </c>
      <c r="F206" s="16" t="s">
        <v>299</v>
      </c>
      <c r="G206" s="49">
        <v>45769</v>
      </c>
      <c r="H206" s="16" t="s">
        <v>571</v>
      </c>
      <c r="I206" s="16" t="s">
        <v>23</v>
      </c>
      <c r="J206" s="49">
        <v>45769</v>
      </c>
      <c r="K206" s="49">
        <v>45770</v>
      </c>
      <c r="L206" s="16" t="s">
        <v>315</v>
      </c>
      <c r="M206" s="61">
        <v>256779412522</v>
      </c>
      <c r="N206" s="16" t="s">
        <v>22</v>
      </c>
      <c r="O206" s="16" t="s">
        <v>300</v>
      </c>
      <c r="P206" s="16" t="s">
        <v>18</v>
      </c>
      <c r="Q206" s="16" t="s">
        <v>312</v>
      </c>
      <c r="R206" s="16"/>
      <c r="S206" s="16" t="s">
        <v>110</v>
      </c>
      <c r="T206" s="50">
        <v>310.27</v>
      </c>
      <c r="U206" s="16" t="s">
        <v>20</v>
      </c>
      <c r="V206" s="50">
        <v>26969.23</v>
      </c>
      <c r="W206" s="16">
        <f t="shared" si="22"/>
        <v>86.921810036419899</v>
      </c>
      <c r="X206" s="16" t="s">
        <v>718</v>
      </c>
      <c r="Y206" s="16" t="s">
        <v>18</v>
      </c>
      <c r="Z206" s="16" t="s">
        <v>315</v>
      </c>
      <c r="AA206" s="16" t="s">
        <v>301</v>
      </c>
      <c r="AB206" s="16">
        <f>_xlfn.XLOOKUP(M206,'Customer Data'!$D:$D,'Customer Data'!$H:$H,,0)</f>
        <v>-310.27</v>
      </c>
      <c r="AC206" s="62">
        <f t="shared" si="21"/>
        <v>0</v>
      </c>
      <c r="AD206" s="16" t="s">
        <v>554</v>
      </c>
      <c r="AE206" s="16" t="s">
        <v>18</v>
      </c>
      <c r="AF206" s="16" t="s">
        <v>18</v>
      </c>
      <c r="AG206" s="16" t="s">
        <v>18</v>
      </c>
      <c r="AH206" s="49">
        <v>45769</v>
      </c>
      <c r="AI206" s="49">
        <v>46036</v>
      </c>
      <c r="AJ206" s="16" t="s">
        <v>536</v>
      </c>
    </row>
    <row r="207" spans="1:36" hidden="1" x14ac:dyDescent="0.35">
      <c r="A207" s="16" t="s">
        <v>296</v>
      </c>
      <c r="B207" s="16" t="s">
        <v>297</v>
      </c>
      <c r="C207" s="16" t="s">
        <v>21</v>
      </c>
      <c r="D207" s="16" t="s">
        <v>298</v>
      </c>
      <c r="E207" s="16" t="s">
        <v>167</v>
      </c>
      <c r="F207" s="16" t="s">
        <v>299</v>
      </c>
      <c r="G207" s="49">
        <v>45769</v>
      </c>
      <c r="H207" s="16" t="s">
        <v>572</v>
      </c>
      <c r="I207" s="16" t="s">
        <v>23</v>
      </c>
      <c r="J207" s="49">
        <v>45769</v>
      </c>
      <c r="K207" s="49">
        <v>45770</v>
      </c>
      <c r="L207" s="16" t="s">
        <v>315</v>
      </c>
      <c r="M207" s="61">
        <v>256779412543</v>
      </c>
      <c r="N207" s="16" t="s">
        <v>22</v>
      </c>
      <c r="O207" s="16" t="s">
        <v>300</v>
      </c>
      <c r="P207" s="16" t="s">
        <v>18</v>
      </c>
      <c r="Q207" s="16" t="s">
        <v>312</v>
      </c>
      <c r="R207" s="16"/>
      <c r="S207" s="16" t="s">
        <v>110</v>
      </c>
      <c r="T207" s="50">
        <v>310.27</v>
      </c>
      <c r="U207" s="16" t="s">
        <v>20</v>
      </c>
      <c r="V207" s="50">
        <v>26969.23</v>
      </c>
      <c r="W207" s="16">
        <f t="shared" si="22"/>
        <v>86.921810036419899</v>
      </c>
      <c r="X207" s="16" t="s">
        <v>718</v>
      </c>
      <c r="Y207" s="16" t="s">
        <v>18</v>
      </c>
      <c r="Z207" s="16" t="s">
        <v>315</v>
      </c>
      <c r="AA207" s="16" t="s">
        <v>301</v>
      </c>
      <c r="AB207" s="16">
        <f>_xlfn.XLOOKUP(M207,'Customer Data'!$D:$D,'Customer Data'!$H:$H,,0)</f>
        <v>-310.27</v>
      </c>
      <c r="AC207" s="62">
        <f t="shared" si="21"/>
        <v>0</v>
      </c>
      <c r="AD207" s="16" t="s">
        <v>554</v>
      </c>
      <c r="AE207" s="16" t="s">
        <v>18</v>
      </c>
      <c r="AF207" s="16" t="s">
        <v>18</v>
      </c>
      <c r="AG207" s="16" t="s">
        <v>18</v>
      </c>
      <c r="AH207" s="49">
        <v>45769</v>
      </c>
      <c r="AI207" s="49">
        <v>46036</v>
      </c>
      <c r="AJ207" s="16" t="s">
        <v>536</v>
      </c>
    </row>
    <row r="208" spans="1:36" hidden="1" x14ac:dyDescent="0.35">
      <c r="A208" s="16" t="s">
        <v>296</v>
      </c>
      <c r="B208" s="16" t="s">
        <v>297</v>
      </c>
      <c r="C208" s="16" t="s">
        <v>21</v>
      </c>
      <c r="D208" s="16" t="s">
        <v>298</v>
      </c>
      <c r="E208" s="16" t="s">
        <v>167</v>
      </c>
      <c r="F208" s="16" t="s">
        <v>299</v>
      </c>
      <c r="G208" s="49">
        <v>45769</v>
      </c>
      <c r="H208" s="16" t="s">
        <v>573</v>
      </c>
      <c r="I208" s="16" t="s">
        <v>23</v>
      </c>
      <c r="J208" s="49">
        <v>45769</v>
      </c>
      <c r="K208" s="49">
        <v>45770</v>
      </c>
      <c r="L208" s="16" t="s">
        <v>315</v>
      </c>
      <c r="M208" s="61">
        <v>256779412544</v>
      </c>
      <c r="N208" s="16" t="s">
        <v>22</v>
      </c>
      <c r="O208" s="16" t="s">
        <v>300</v>
      </c>
      <c r="P208" s="16" t="s">
        <v>18</v>
      </c>
      <c r="Q208" s="16" t="s">
        <v>312</v>
      </c>
      <c r="R208" s="16"/>
      <c r="S208" s="16" t="s">
        <v>110</v>
      </c>
      <c r="T208" s="50">
        <v>500.56</v>
      </c>
      <c r="U208" s="16" t="s">
        <v>20</v>
      </c>
      <c r="V208" s="50">
        <v>43509.59</v>
      </c>
      <c r="W208" s="16">
        <f t="shared" si="22"/>
        <v>86.921827553140474</v>
      </c>
      <c r="X208" s="16" t="s">
        <v>718</v>
      </c>
      <c r="Y208" s="16" t="s">
        <v>18</v>
      </c>
      <c r="Z208" s="16" t="s">
        <v>315</v>
      </c>
      <c r="AA208" s="16" t="s">
        <v>301</v>
      </c>
      <c r="AB208" s="16">
        <f>_xlfn.XLOOKUP(M208,'Customer Data'!$D:$D,'Customer Data'!$H:$H,,0)</f>
        <v>-500.56</v>
      </c>
      <c r="AC208" s="62">
        <f t="shared" si="21"/>
        <v>0</v>
      </c>
      <c r="AD208" s="16" t="s">
        <v>554</v>
      </c>
      <c r="AE208" s="16" t="s">
        <v>18</v>
      </c>
      <c r="AF208" s="16" t="s">
        <v>18</v>
      </c>
      <c r="AG208" s="16" t="s">
        <v>18</v>
      </c>
      <c r="AH208" s="49">
        <v>45769</v>
      </c>
      <c r="AI208" s="49">
        <v>46036</v>
      </c>
      <c r="AJ208" s="16" t="s">
        <v>536</v>
      </c>
    </row>
    <row r="209" spans="1:36" hidden="1" x14ac:dyDescent="0.35">
      <c r="A209" s="16" t="s">
        <v>296</v>
      </c>
      <c r="B209" s="16" t="s">
        <v>297</v>
      </c>
      <c r="C209" s="16" t="s">
        <v>21</v>
      </c>
      <c r="D209" s="16" t="s">
        <v>298</v>
      </c>
      <c r="E209" s="16" t="s">
        <v>167</v>
      </c>
      <c r="F209" s="16" t="s">
        <v>299</v>
      </c>
      <c r="G209" s="49">
        <v>45769</v>
      </c>
      <c r="H209" s="16" t="s">
        <v>574</v>
      </c>
      <c r="I209" s="16" t="s">
        <v>23</v>
      </c>
      <c r="J209" s="49">
        <v>45769</v>
      </c>
      <c r="K209" s="49">
        <v>45770</v>
      </c>
      <c r="L209" s="16" t="s">
        <v>315</v>
      </c>
      <c r="M209" s="61">
        <v>256779412584</v>
      </c>
      <c r="N209" s="16" t="s">
        <v>22</v>
      </c>
      <c r="O209" s="16" t="s">
        <v>300</v>
      </c>
      <c r="P209" s="16" t="s">
        <v>18</v>
      </c>
      <c r="Q209" s="16" t="s">
        <v>312</v>
      </c>
      <c r="R209" s="16"/>
      <c r="S209" s="16" t="s">
        <v>110</v>
      </c>
      <c r="T209" s="50">
        <v>503.51</v>
      </c>
      <c r="U209" s="16" t="s">
        <v>20</v>
      </c>
      <c r="V209" s="50">
        <v>43766.01</v>
      </c>
      <c r="W209" s="16">
        <f t="shared" si="22"/>
        <v>86.921828762090129</v>
      </c>
      <c r="X209" s="16" t="s">
        <v>718</v>
      </c>
      <c r="Y209" s="16" t="s">
        <v>18</v>
      </c>
      <c r="Z209" s="16" t="s">
        <v>315</v>
      </c>
      <c r="AA209" s="16" t="s">
        <v>301</v>
      </c>
      <c r="AB209" s="16">
        <f>_xlfn.XLOOKUP(M209,'Customer Data'!$D:$D,'Customer Data'!$H:$H,,0)</f>
        <v>-503.51</v>
      </c>
      <c r="AC209" s="62">
        <f t="shared" si="21"/>
        <v>0</v>
      </c>
      <c r="AD209" s="16" t="s">
        <v>554</v>
      </c>
      <c r="AE209" s="16" t="s">
        <v>18</v>
      </c>
      <c r="AF209" s="16" t="s">
        <v>18</v>
      </c>
      <c r="AG209" s="16" t="s">
        <v>18</v>
      </c>
      <c r="AH209" s="49">
        <v>45769</v>
      </c>
      <c r="AI209" s="49">
        <v>46036</v>
      </c>
      <c r="AJ209" s="16" t="s">
        <v>536</v>
      </c>
    </row>
    <row r="210" spans="1:36" hidden="1" x14ac:dyDescent="0.35">
      <c r="A210" s="16" t="s">
        <v>296</v>
      </c>
      <c r="B210" s="16" t="s">
        <v>297</v>
      </c>
      <c r="C210" s="16" t="s">
        <v>21</v>
      </c>
      <c r="D210" s="16" t="s">
        <v>298</v>
      </c>
      <c r="E210" s="16" t="s">
        <v>167</v>
      </c>
      <c r="F210" s="16" t="s">
        <v>438</v>
      </c>
      <c r="G210" s="49">
        <v>45919</v>
      </c>
      <c r="H210" s="16" t="s">
        <v>575</v>
      </c>
      <c r="I210" s="16" t="s">
        <v>23</v>
      </c>
      <c r="J210" s="49">
        <v>45919</v>
      </c>
      <c r="K210" s="49">
        <v>45923</v>
      </c>
      <c r="L210" s="16" t="s">
        <v>315</v>
      </c>
      <c r="M210" s="61">
        <v>256779417737</v>
      </c>
      <c r="N210" s="16" t="s">
        <v>22</v>
      </c>
      <c r="O210" s="16" t="s">
        <v>300</v>
      </c>
      <c r="P210" s="16" t="s">
        <v>18</v>
      </c>
      <c r="Q210" s="16" t="s">
        <v>312</v>
      </c>
      <c r="R210" s="16"/>
      <c r="S210" s="16" t="s">
        <v>110</v>
      </c>
      <c r="T210" s="50">
        <v>950.61</v>
      </c>
      <c r="U210" s="16" t="s">
        <v>20</v>
      </c>
      <c r="V210" s="50">
        <v>83192</v>
      </c>
      <c r="W210" s="16">
        <f t="shared" si="22"/>
        <v>87.514332902031327</v>
      </c>
      <c r="X210" s="16" t="s">
        <v>720</v>
      </c>
      <c r="Y210" s="16" t="s">
        <v>18</v>
      </c>
      <c r="Z210" s="16" t="s">
        <v>743</v>
      </c>
      <c r="AA210" s="16" t="s">
        <v>301</v>
      </c>
      <c r="AB210" s="16">
        <f>_xlfn.XLOOKUP(M210,'Customer Data'!$D:$D,'Customer Data'!$H:$H,,0)</f>
        <v>-950.61</v>
      </c>
      <c r="AC210" s="62">
        <f t="shared" si="21"/>
        <v>0</v>
      </c>
      <c r="AD210" s="16" t="s">
        <v>560</v>
      </c>
      <c r="AE210" s="16" t="s">
        <v>18</v>
      </c>
      <c r="AF210" s="16" t="s">
        <v>18</v>
      </c>
      <c r="AG210" s="16" t="s">
        <v>18</v>
      </c>
      <c r="AH210" s="49">
        <v>45919</v>
      </c>
      <c r="AI210" s="49">
        <v>46036</v>
      </c>
      <c r="AJ210" s="16" t="s">
        <v>536</v>
      </c>
    </row>
    <row r="211" spans="1:36" hidden="1" x14ac:dyDescent="0.35">
      <c r="A211" s="16" t="s">
        <v>296</v>
      </c>
      <c r="B211" s="16" t="s">
        <v>297</v>
      </c>
      <c r="C211" s="16" t="s">
        <v>21</v>
      </c>
      <c r="D211" s="16" t="s">
        <v>298</v>
      </c>
      <c r="E211" s="16" t="s">
        <v>175</v>
      </c>
      <c r="F211" s="16" t="s">
        <v>301</v>
      </c>
      <c r="G211" s="49">
        <v>46036</v>
      </c>
      <c r="H211" s="16" t="s">
        <v>576</v>
      </c>
      <c r="I211" s="16" t="s">
        <v>19</v>
      </c>
      <c r="J211" s="49">
        <v>46036</v>
      </c>
      <c r="K211" s="49">
        <v>46036</v>
      </c>
      <c r="L211" s="16" t="s">
        <v>577</v>
      </c>
      <c r="M211" s="61" t="s">
        <v>18</v>
      </c>
      <c r="N211" s="16" t="s">
        <v>22</v>
      </c>
      <c r="O211" s="16" t="s">
        <v>300</v>
      </c>
      <c r="P211" s="16" t="s">
        <v>18</v>
      </c>
      <c r="Q211" s="16" t="s">
        <v>320</v>
      </c>
      <c r="R211" s="16" t="e">
        <f>_xlfn.XLOOKUP(M211,'Invoice No Ref'!$C:$C,'Invoice No Ref'!$I:$I,,0)</f>
        <v>#N/A</v>
      </c>
      <c r="S211" s="16" t="s">
        <v>110</v>
      </c>
      <c r="T211" s="50">
        <v>6725.14</v>
      </c>
      <c r="U211" s="16" t="s">
        <v>20</v>
      </c>
      <c r="V211" s="50">
        <v>588546.12</v>
      </c>
      <c r="W211" s="16">
        <f t="shared" si="22"/>
        <v>87.514329813208349</v>
      </c>
      <c r="X211" s="16" t="s">
        <v>719</v>
      </c>
      <c r="Y211" s="16" t="s">
        <v>18</v>
      </c>
      <c r="Z211" s="16" t="s">
        <v>18</v>
      </c>
      <c r="AA211" s="16" t="s">
        <v>302</v>
      </c>
      <c r="AB211" s="16" t="e">
        <f>_xlfn.XLOOKUP(R211,'Customer Data'!$D:$D,'Customer Data'!$F:$F,,0)</f>
        <v>#N/A</v>
      </c>
      <c r="AC211" s="16"/>
      <c r="AD211" s="16" t="s">
        <v>18</v>
      </c>
      <c r="AE211" s="16" t="s">
        <v>18</v>
      </c>
      <c r="AF211" s="16" t="s">
        <v>18</v>
      </c>
      <c r="AG211" s="16" t="s">
        <v>18</v>
      </c>
      <c r="AH211" s="49">
        <v>46036</v>
      </c>
      <c r="AI211" s="49">
        <v>46036</v>
      </c>
      <c r="AJ211" s="16" t="s">
        <v>576</v>
      </c>
    </row>
    <row r="212" spans="1:36" hidden="1" x14ac:dyDescent="0.35">
      <c r="A212" s="16" t="s">
        <v>296</v>
      </c>
      <c r="B212" s="16" t="s">
        <v>297</v>
      </c>
      <c r="C212" s="16" t="s">
        <v>21</v>
      </c>
      <c r="D212" s="16" t="s">
        <v>298</v>
      </c>
      <c r="E212" s="16" t="s">
        <v>175</v>
      </c>
      <c r="F212" s="16" t="s">
        <v>301</v>
      </c>
      <c r="G212" s="49">
        <v>46036</v>
      </c>
      <c r="H212" s="16" t="s">
        <v>576</v>
      </c>
      <c r="I212" s="16" t="s">
        <v>19</v>
      </c>
      <c r="J212" s="49">
        <v>46036</v>
      </c>
      <c r="K212" s="49">
        <v>46036</v>
      </c>
      <c r="L212" s="16" t="s">
        <v>577</v>
      </c>
      <c r="M212" s="61" t="s">
        <v>18</v>
      </c>
      <c r="N212" s="16" t="s">
        <v>22</v>
      </c>
      <c r="O212" s="16" t="s">
        <v>300</v>
      </c>
      <c r="P212" s="16" t="s">
        <v>18</v>
      </c>
      <c r="Q212" s="16" t="s">
        <v>306</v>
      </c>
      <c r="R212" s="16" t="e">
        <f>_xlfn.XLOOKUP(M212,'Invoice No Ref'!$C:$C,'Invoice No Ref'!$I:$I,,0)</f>
        <v>#N/A</v>
      </c>
      <c r="S212" s="16" t="s">
        <v>110</v>
      </c>
      <c r="T212" s="50">
        <v>-6750.14</v>
      </c>
      <c r="U212" s="16" t="s">
        <v>20</v>
      </c>
      <c r="V212" s="50">
        <v>-579307.31000000006</v>
      </c>
      <c r="W212" s="16">
        <f t="shared" si="22"/>
        <v>85.821525183181393</v>
      </c>
      <c r="X212" s="16" t="s">
        <v>720</v>
      </c>
      <c r="Y212" s="16" t="s">
        <v>18</v>
      </c>
      <c r="Z212" s="16" t="s">
        <v>18</v>
      </c>
      <c r="AA212" s="16" t="s">
        <v>310</v>
      </c>
      <c r="AB212" s="16" t="e">
        <f>_xlfn.XLOOKUP(R212,'Customer Data'!$D:$D,'Customer Data'!$F:$F,,0)</f>
        <v>#N/A</v>
      </c>
      <c r="AC212" s="16"/>
      <c r="AD212" s="16" t="s">
        <v>18</v>
      </c>
      <c r="AE212" s="16" t="s">
        <v>18</v>
      </c>
      <c r="AF212" s="16" t="s">
        <v>18</v>
      </c>
      <c r="AG212" s="16" t="s">
        <v>18</v>
      </c>
      <c r="AH212" s="49">
        <v>46036</v>
      </c>
      <c r="AI212" s="49">
        <v>46036</v>
      </c>
      <c r="AJ212" s="16" t="s">
        <v>576</v>
      </c>
    </row>
    <row r="213" spans="1:36" hidden="1" x14ac:dyDescent="0.35">
      <c r="A213" s="16" t="s">
        <v>296</v>
      </c>
      <c r="B213" s="16" t="s">
        <v>297</v>
      </c>
      <c r="C213" s="16" t="s">
        <v>21</v>
      </c>
      <c r="D213" s="16" t="s">
        <v>298</v>
      </c>
      <c r="E213" s="16" t="s">
        <v>167</v>
      </c>
      <c r="F213" s="16" t="s">
        <v>438</v>
      </c>
      <c r="G213" s="49">
        <v>45925</v>
      </c>
      <c r="H213" s="16" t="s">
        <v>578</v>
      </c>
      <c r="I213" s="16" t="s">
        <v>19</v>
      </c>
      <c r="J213" s="49">
        <v>45924</v>
      </c>
      <c r="K213" s="49">
        <v>45925</v>
      </c>
      <c r="L213" s="16" t="s">
        <v>577</v>
      </c>
      <c r="M213" s="61" t="s">
        <v>18</v>
      </c>
      <c r="N213" s="16" t="s">
        <v>22</v>
      </c>
      <c r="O213" s="16" t="s">
        <v>300</v>
      </c>
      <c r="P213" s="16" t="s">
        <v>18</v>
      </c>
      <c r="Q213" s="16" t="s">
        <v>306</v>
      </c>
      <c r="R213" s="16" t="e">
        <f>_xlfn.XLOOKUP(M213,'Invoice No Ref'!$C:$C,'Invoice No Ref'!$I:$I,,0)</f>
        <v>#N/A</v>
      </c>
      <c r="S213" s="16" t="s">
        <v>110</v>
      </c>
      <c r="T213" s="50">
        <v>-6725.14</v>
      </c>
      <c r="U213" s="16" t="s">
        <v>20</v>
      </c>
      <c r="V213" s="50">
        <v>-588546.12</v>
      </c>
      <c r="W213" s="16">
        <f t="shared" si="22"/>
        <v>87.514329813208349</v>
      </c>
      <c r="X213" s="16" t="s">
        <v>719</v>
      </c>
      <c r="Y213" s="16" t="s">
        <v>18</v>
      </c>
      <c r="Z213" s="16" t="s">
        <v>18</v>
      </c>
      <c r="AA213" s="16" t="s">
        <v>302</v>
      </c>
      <c r="AB213" s="16" t="e">
        <f>_xlfn.XLOOKUP(R213,'Customer Data'!$D:$D,'Customer Data'!$F:$F,,0)</f>
        <v>#N/A</v>
      </c>
      <c r="AC213" s="16"/>
      <c r="AD213" s="16" t="s">
        <v>18</v>
      </c>
      <c r="AE213" s="16" t="s">
        <v>18</v>
      </c>
      <c r="AF213" s="16" t="s">
        <v>18</v>
      </c>
      <c r="AG213" s="16" t="s">
        <v>18</v>
      </c>
      <c r="AH213" s="49">
        <v>45924</v>
      </c>
      <c r="AI213" s="49">
        <v>46036</v>
      </c>
      <c r="AJ213" s="16" t="s">
        <v>576</v>
      </c>
    </row>
    <row r="214" spans="1:36" hidden="1" x14ac:dyDescent="0.35">
      <c r="A214" s="16" t="s">
        <v>296</v>
      </c>
      <c r="B214" s="16" t="s">
        <v>297</v>
      </c>
      <c r="C214" s="16" t="s">
        <v>21</v>
      </c>
      <c r="D214" s="16" t="s">
        <v>298</v>
      </c>
      <c r="E214" s="16" t="s">
        <v>167</v>
      </c>
      <c r="F214" s="16" t="s">
        <v>579</v>
      </c>
      <c r="G214" s="49">
        <v>45813</v>
      </c>
      <c r="H214" s="16" t="s">
        <v>580</v>
      </c>
      <c r="I214" s="16" t="s">
        <v>23</v>
      </c>
      <c r="J214" s="49">
        <v>45813</v>
      </c>
      <c r="K214" s="49">
        <v>45817</v>
      </c>
      <c r="L214" s="16" t="s">
        <v>315</v>
      </c>
      <c r="M214" s="61">
        <v>256779414082</v>
      </c>
      <c r="N214" s="16" t="s">
        <v>22</v>
      </c>
      <c r="O214" s="16" t="s">
        <v>300</v>
      </c>
      <c r="P214" s="16" t="s">
        <v>18</v>
      </c>
      <c r="Q214" s="16" t="s">
        <v>312</v>
      </c>
      <c r="R214" s="16"/>
      <c r="S214" s="16" t="s">
        <v>110</v>
      </c>
      <c r="T214" s="50">
        <v>2321.64</v>
      </c>
      <c r="U214" s="16" t="s">
        <v>20</v>
      </c>
      <c r="V214" s="50">
        <v>198478.81</v>
      </c>
      <c r="W214" s="16">
        <f t="shared" si="22"/>
        <v>85.490778070674182</v>
      </c>
      <c r="X214" s="16" t="s">
        <v>720</v>
      </c>
      <c r="Y214" s="16" t="s">
        <v>18</v>
      </c>
      <c r="Z214" s="16" t="s">
        <v>315</v>
      </c>
      <c r="AA214" s="16" t="s">
        <v>301</v>
      </c>
      <c r="AB214" s="16">
        <f>_xlfn.XLOOKUP(M214,'Customer Data'!$D:$D,'Customer Data'!$H:$H,,0)</f>
        <v>-2321.64</v>
      </c>
      <c r="AC214" s="62">
        <f t="shared" ref="AC214:AC221" si="23">AB214+T214</f>
        <v>0</v>
      </c>
      <c r="AD214" s="16" t="s">
        <v>581</v>
      </c>
      <c r="AE214" s="16" t="s">
        <v>18</v>
      </c>
      <c r="AF214" s="16" t="s">
        <v>18</v>
      </c>
      <c r="AG214" s="16" t="s">
        <v>18</v>
      </c>
      <c r="AH214" s="49">
        <v>45813</v>
      </c>
      <c r="AI214" s="49">
        <v>46036</v>
      </c>
      <c r="AJ214" s="16" t="s">
        <v>576</v>
      </c>
    </row>
    <row r="215" spans="1:36" hidden="1" x14ac:dyDescent="0.35">
      <c r="A215" s="16" t="s">
        <v>296</v>
      </c>
      <c r="B215" s="16" t="s">
        <v>297</v>
      </c>
      <c r="C215" s="16" t="s">
        <v>21</v>
      </c>
      <c r="D215" s="16" t="s">
        <v>298</v>
      </c>
      <c r="E215" s="16" t="s">
        <v>167</v>
      </c>
      <c r="F215" s="16" t="s">
        <v>579</v>
      </c>
      <c r="G215" s="49">
        <v>45827</v>
      </c>
      <c r="H215" s="16" t="s">
        <v>582</v>
      </c>
      <c r="I215" s="16" t="s">
        <v>23</v>
      </c>
      <c r="J215" s="49">
        <v>45827</v>
      </c>
      <c r="K215" s="49">
        <v>45829</v>
      </c>
      <c r="L215" s="16" t="s">
        <v>315</v>
      </c>
      <c r="M215" s="61">
        <v>256779414727</v>
      </c>
      <c r="N215" s="16" t="s">
        <v>22</v>
      </c>
      <c r="O215" s="16" t="s">
        <v>300</v>
      </c>
      <c r="P215" s="16" t="s">
        <v>18</v>
      </c>
      <c r="Q215" s="16" t="s">
        <v>312</v>
      </c>
      <c r="R215" s="16"/>
      <c r="S215" s="16" t="s">
        <v>110</v>
      </c>
      <c r="T215" s="50">
        <v>49.94</v>
      </c>
      <c r="U215" s="16" t="s">
        <v>20</v>
      </c>
      <c r="V215" s="50">
        <v>4269.41</v>
      </c>
      <c r="W215" s="16">
        <f t="shared" si="22"/>
        <v>85.490788946736089</v>
      </c>
      <c r="X215" s="16" t="s">
        <v>720</v>
      </c>
      <c r="Y215" s="16" t="s">
        <v>18</v>
      </c>
      <c r="Z215" s="16" t="s">
        <v>315</v>
      </c>
      <c r="AA215" s="16" t="s">
        <v>301</v>
      </c>
      <c r="AB215" s="16">
        <f>_xlfn.XLOOKUP(M215,'Customer Data'!$D:$D,'Customer Data'!$H:$H,,0)</f>
        <v>-49.94</v>
      </c>
      <c r="AC215" s="62">
        <f t="shared" si="23"/>
        <v>0</v>
      </c>
      <c r="AD215" s="16" t="s">
        <v>240</v>
      </c>
      <c r="AE215" s="16" t="s">
        <v>18</v>
      </c>
      <c r="AF215" s="16" t="s">
        <v>18</v>
      </c>
      <c r="AG215" s="16" t="s">
        <v>18</v>
      </c>
      <c r="AH215" s="49">
        <v>45827</v>
      </c>
      <c r="AI215" s="49">
        <v>46036</v>
      </c>
      <c r="AJ215" s="16" t="s">
        <v>576</v>
      </c>
    </row>
    <row r="216" spans="1:36" hidden="1" x14ac:dyDescent="0.35">
      <c r="A216" s="16" t="s">
        <v>296</v>
      </c>
      <c r="B216" s="16" t="s">
        <v>297</v>
      </c>
      <c r="C216" s="16" t="s">
        <v>21</v>
      </c>
      <c r="D216" s="16" t="s">
        <v>298</v>
      </c>
      <c r="E216" s="16" t="s">
        <v>167</v>
      </c>
      <c r="F216" s="16" t="s">
        <v>303</v>
      </c>
      <c r="G216" s="49">
        <v>45842</v>
      </c>
      <c r="H216" s="16" t="s">
        <v>583</v>
      </c>
      <c r="I216" s="16" t="s">
        <v>23</v>
      </c>
      <c r="J216" s="49">
        <v>45842</v>
      </c>
      <c r="K216" s="49">
        <v>45847</v>
      </c>
      <c r="L216" s="16" t="s">
        <v>315</v>
      </c>
      <c r="M216" s="61">
        <v>256779414864</v>
      </c>
      <c r="N216" s="16" t="s">
        <v>22</v>
      </c>
      <c r="O216" s="16" t="s">
        <v>300</v>
      </c>
      <c r="P216" s="16" t="s">
        <v>18</v>
      </c>
      <c r="Q216" s="16" t="s">
        <v>312</v>
      </c>
      <c r="R216" s="16"/>
      <c r="S216" s="16" t="s">
        <v>110</v>
      </c>
      <c r="T216" s="50">
        <v>3008.54</v>
      </c>
      <c r="U216" s="16" t="s">
        <v>20</v>
      </c>
      <c r="V216" s="50">
        <v>258736.46</v>
      </c>
      <c r="W216" s="16">
        <f t="shared" si="22"/>
        <v>86.000671422018655</v>
      </c>
      <c r="X216" s="16" t="s">
        <v>720</v>
      </c>
      <c r="Y216" s="16" t="s">
        <v>18</v>
      </c>
      <c r="Z216" s="16" t="s">
        <v>315</v>
      </c>
      <c r="AA216" s="16" t="s">
        <v>301</v>
      </c>
      <c r="AB216" s="16">
        <f>_xlfn.XLOOKUP(M216,'Customer Data'!$D:$D,'Customer Data'!$H:$H,,0)</f>
        <v>-3008.54</v>
      </c>
      <c r="AC216" s="62">
        <f t="shared" si="23"/>
        <v>0</v>
      </c>
      <c r="AD216" s="16" t="s">
        <v>584</v>
      </c>
      <c r="AE216" s="16" t="s">
        <v>18</v>
      </c>
      <c r="AF216" s="16" t="s">
        <v>18</v>
      </c>
      <c r="AG216" s="16" t="s">
        <v>18</v>
      </c>
      <c r="AH216" s="49">
        <v>45842</v>
      </c>
      <c r="AI216" s="49">
        <v>46036</v>
      </c>
      <c r="AJ216" s="16" t="s">
        <v>576</v>
      </c>
    </row>
    <row r="217" spans="1:36" hidden="1" x14ac:dyDescent="0.35">
      <c r="A217" s="16" t="s">
        <v>296</v>
      </c>
      <c r="B217" s="16" t="s">
        <v>297</v>
      </c>
      <c r="C217" s="16" t="s">
        <v>21</v>
      </c>
      <c r="D217" s="16" t="s">
        <v>298</v>
      </c>
      <c r="E217" s="16" t="s">
        <v>167</v>
      </c>
      <c r="F217" s="16" t="s">
        <v>303</v>
      </c>
      <c r="G217" s="49">
        <v>45842</v>
      </c>
      <c r="H217" s="16" t="s">
        <v>585</v>
      </c>
      <c r="I217" s="16" t="s">
        <v>23</v>
      </c>
      <c r="J217" s="49">
        <v>45842</v>
      </c>
      <c r="K217" s="49">
        <v>45847</v>
      </c>
      <c r="L217" s="16" t="s">
        <v>315</v>
      </c>
      <c r="M217" s="61">
        <v>256779414896</v>
      </c>
      <c r="N217" s="16" t="s">
        <v>22</v>
      </c>
      <c r="O217" s="16" t="s">
        <v>300</v>
      </c>
      <c r="P217" s="16" t="s">
        <v>18</v>
      </c>
      <c r="Q217" s="16" t="s">
        <v>312</v>
      </c>
      <c r="R217" s="16"/>
      <c r="S217" s="16" t="s">
        <v>110</v>
      </c>
      <c r="T217" s="50">
        <v>182.09</v>
      </c>
      <c r="U217" s="16" t="s">
        <v>20</v>
      </c>
      <c r="V217" s="50">
        <v>15659.86</v>
      </c>
      <c r="W217" s="16">
        <f t="shared" si="22"/>
        <v>86.000659014772921</v>
      </c>
      <c r="X217" s="16" t="s">
        <v>720</v>
      </c>
      <c r="Y217" s="16" t="s">
        <v>18</v>
      </c>
      <c r="Z217" s="16" t="s">
        <v>315</v>
      </c>
      <c r="AA217" s="16" t="s">
        <v>301</v>
      </c>
      <c r="AB217" s="16">
        <f>_xlfn.XLOOKUP(M217,'Customer Data'!$D:$D,'Customer Data'!$H:$H,,0)</f>
        <v>-182.09</v>
      </c>
      <c r="AC217" s="62">
        <f t="shared" si="23"/>
        <v>0</v>
      </c>
      <c r="AD217" s="16" t="s">
        <v>241</v>
      </c>
      <c r="AE217" s="16" t="s">
        <v>18</v>
      </c>
      <c r="AF217" s="16" t="s">
        <v>18</v>
      </c>
      <c r="AG217" s="16" t="s">
        <v>18</v>
      </c>
      <c r="AH217" s="49">
        <v>45842</v>
      </c>
      <c r="AI217" s="49">
        <v>46036</v>
      </c>
      <c r="AJ217" s="16" t="s">
        <v>576</v>
      </c>
    </row>
    <row r="218" spans="1:36" hidden="1" x14ac:dyDescent="0.35">
      <c r="A218" s="16" t="s">
        <v>296</v>
      </c>
      <c r="B218" s="16" t="s">
        <v>297</v>
      </c>
      <c r="C218" s="16" t="s">
        <v>21</v>
      </c>
      <c r="D218" s="16" t="s">
        <v>298</v>
      </c>
      <c r="E218" s="16" t="s">
        <v>167</v>
      </c>
      <c r="F218" s="16" t="s">
        <v>303</v>
      </c>
      <c r="G218" s="49">
        <v>45842</v>
      </c>
      <c r="H218" s="16" t="s">
        <v>586</v>
      </c>
      <c r="I218" s="16" t="s">
        <v>23</v>
      </c>
      <c r="J218" s="49">
        <v>45842</v>
      </c>
      <c r="K218" s="49">
        <v>45847</v>
      </c>
      <c r="L218" s="16" t="s">
        <v>315</v>
      </c>
      <c r="M218" s="61">
        <v>256779414994</v>
      </c>
      <c r="N218" s="16" t="s">
        <v>22</v>
      </c>
      <c r="O218" s="16" t="s">
        <v>300</v>
      </c>
      <c r="P218" s="16" t="s">
        <v>18</v>
      </c>
      <c r="Q218" s="16" t="s">
        <v>312</v>
      </c>
      <c r="R218" s="16"/>
      <c r="S218" s="16" t="s">
        <v>110</v>
      </c>
      <c r="T218" s="50">
        <v>1081.83</v>
      </c>
      <c r="U218" s="16" t="s">
        <v>20</v>
      </c>
      <c r="V218" s="50">
        <v>93038.1</v>
      </c>
      <c r="W218" s="16">
        <f t="shared" si="22"/>
        <v>86.000665538947899</v>
      </c>
      <c r="X218" s="16" t="s">
        <v>720</v>
      </c>
      <c r="Y218" s="16" t="s">
        <v>18</v>
      </c>
      <c r="Z218" s="16" t="s">
        <v>315</v>
      </c>
      <c r="AA218" s="16" t="s">
        <v>301</v>
      </c>
      <c r="AB218" s="16">
        <f>_xlfn.XLOOKUP(M218,'Customer Data'!$D:$D,'Customer Data'!$H:$H,,0)</f>
        <v>-1081.83</v>
      </c>
      <c r="AC218" s="62">
        <f t="shared" si="23"/>
        <v>0</v>
      </c>
      <c r="AD218" s="16" t="s">
        <v>587</v>
      </c>
      <c r="AE218" s="16" t="s">
        <v>18</v>
      </c>
      <c r="AF218" s="16" t="s">
        <v>18</v>
      </c>
      <c r="AG218" s="16" t="s">
        <v>18</v>
      </c>
      <c r="AH218" s="49">
        <v>45842</v>
      </c>
      <c r="AI218" s="49">
        <v>46036</v>
      </c>
      <c r="AJ218" s="16" t="s">
        <v>576</v>
      </c>
    </row>
    <row r="219" spans="1:36" hidden="1" x14ac:dyDescent="0.35">
      <c r="A219" s="16" t="s">
        <v>296</v>
      </c>
      <c r="B219" s="16" t="s">
        <v>297</v>
      </c>
      <c r="C219" s="16" t="s">
        <v>21</v>
      </c>
      <c r="D219" s="16" t="s">
        <v>298</v>
      </c>
      <c r="E219" s="16" t="s">
        <v>167</v>
      </c>
      <c r="F219" s="16" t="s">
        <v>303</v>
      </c>
      <c r="G219" s="49">
        <v>45842</v>
      </c>
      <c r="H219" s="16" t="s">
        <v>588</v>
      </c>
      <c r="I219" s="16" t="s">
        <v>23</v>
      </c>
      <c r="J219" s="49">
        <v>45842</v>
      </c>
      <c r="K219" s="49">
        <v>45847</v>
      </c>
      <c r="L219" s="16" t="s">
        <v>315</v>
      </c>
      <c r="M219" s="61">
        <v>256779415029</v>
      </c>
      <c r="N219" s="16" t="s">
        <v>22</v>
      </c>
      <c r="O219" s="16" t="s">
        <v>300</v>
      </c>
      <c r="P219" s="16" t="s">
        <v>18</v>
      </c>
      <c r="Q219" s="16" t="s">
        <v>312</v>
      </c>
      <c r="R219" s="16"/>
      <c r="S219" s="16" t="s">
        <v>110</v>
      </c>
      <c r="T219" s="50">
        <v>56.41</v>
      </c>
      <c r="U219" s="16" t="s">
        <v>20</v>
      </c>
      <c r="V219" s="50">
        <v>4851.3</v>
      </c>
      <c r="W219" s="16">
        <f t="shared" si="22"/>
        <v>86.000709094132247</v>
      </c>
      <c r="X219" s="16" t="s">
        <v>720</v>
      </c>
      <c r="Y219" s="16" t="s">
        <v>18</v>
      </c>
      <c r="Z219" s="16" t="s">
        <v>315</v>
      </c>
      <c r="AA219" s="16" t="s">
        <v>301</v>
      </c>
      <c r="AB219" s="16">
        <f>_xlfn.XLOOKUP(M219,'Customer Data'!$D:$D,'Customer Data'!$H:$H,,0)</f>
        <v>-56.41</v>
      </c>
      <c r="AC219" s="62">
        <f t="shared" si="23"/>
        <v>0</v>
      </c>
      <c r="AD219" s="16" t="s">
        <v>242</v>
      </c>
      <c r="AE219" s="16" t="s">
        <v>18</v>
      </c>
      <c r="AF219" s="16" t="s">
        <v>18</v>
      </c>
      <c r="AG219" s="16" t="s">
        <v>18</v>
      </c>
      <c r="AH219" s="49">
        <v>45842</v>
      </c>
      <c r="AI219" s="49">
        <v>46036</v>
      </c>
      <c r="AJ219" s="16" t="s">
        <v>576</v>
      </c>
    </row>
    <row r="220" spans="1:36" hidden="1" x14ac:dyDescent="0.35">
      <c r="A220" s="16" t="s">
        <v>296</v>
      </c>
      <c r="B220" s="16" t="s">
        <v>297</v>
      </c>
      <c r="C220" s="16" t="s">
        <v>21</v>
      </c>
      <c r="D220" s="16" t="s">
        <v>298</v>
      </c>
      <c r="E220" s="16" t="s">
        <v>167</v>
      </c>
      <c r="F220" s="16" t="s">
        <v>303</v>
      </c>
      <c r="G220" s="49">
        <v>45842</v>
      </c>
      <c r="H220" s="16" t="s">
        <v>589</v>
      </c>
      <c r="I220" s="16" t="s">
        <v>23</v>
      </c>
      <c r="J220" s="49">
        <v>45842</v>
      </c>
      <c r="K220" s="49">
        <v>45847</v>
      </c>
      <c r="L220" s="16" t="s">
        <v>315</v>
      </c>
      <c r="M220" s="61">
        <v>256779415042</v>
      </c>
      <c r="N220" s="16" t="s">
        <v>22</v>
      </c>
      <c r="O220" s="16" t="s">
        <v>300</v>
      </c>
      <c r="P220" s="16" t="s">
        <v>18</v>
      </c>
      <c r="Q220" s="16" t="s">
        <v>312</v>
      </c>
      <c r="R220" s="16"/>
      <c r="S220" s="16" t="s">
        <v>110</v>
      </c>
      <c r="T220" s="50">
        <v>32.15</v>
      </c>
      <c r="U220" s="16" t="s">
        <v>20</v>
      </c>
      <c r="V220" s="50">
        <v>2764.92</v>
      </c>
      <c r="W220" s="16">
        <f t="shared" si="22"/>
        <v>86.000622083981341</v>
      </c>
      <c r="X220" s="16" t="s">
        <v>720</v>
      </c>
      <c r="Y220" s="16" t="s">
        <v>18</v>
      </c>
      <c r="Z220" s="16" t="s">
        <v>315</v>
      </c>
      <c r="AA220" s="16" t="s">
        <v>301</v>
      </c>
      <c r="AB220" s="16">
        <f>_xlfn.XLOOKUP(M220,'Customer Data'!$D:$D,'Customer Data'!$H:$H,,0)</f>
        <v>-32.15</v>
      </c>
      <c r="AC220" s="62">
        <f t="shared" si="23"/>
        <v>0</v>
      </c>
      <c r="AD220" s="16" t="s">
        <v>243</v>
      </c>
      <c r="AE220" s="16" t="s">
        <v>18</v>
      </c>
      <c r="AF220" s="16" t="s">
        <v>18</v>
      </c>
      <c r="AG220" s="16" t="s">
        <v>18</v>
      </c>
      <c r="AH220" s="49">
        <v>45842</v>
      </c>
      <c r="AI220" s="49">
        <v>46036</v>
      </c>
      <c r="AJ220" s="16" t="s">
        <v>576</v>
      </c>
    </row>
    <row r="221" spans="1:36" hidden="1" x14ac:dyDescent="0.35">
      <c r="A221" s="16" t="s">
        <v>296</v>
      </c>
      <c r="B221" s="16" t="s">
        <v>297</v>
      </c>
      <c r="C221" s="16" t="s">
        <v>21</v>
      </c>
      <c r="D221" s="16" t="s">
        <v>298</v>
      </c>
      <c r="E221" s="16" t="s">
        <v>167</v>
      </c>
      <c r="F221" s="16" t="s">
        <v>303</v>
      </c>
      <c r="G221" s="49">
        <v>45842</v>
      </c>
      <c r="H221" s="16" t="s">
        <v>590</v>
      </c>
      <c r="I221" s="16" t="s">
        <v>23</v>
      </c>
      <c r="J221" s="49">
        <v>45842</v>
      </c>
      <c r="K221" s="49">
        <v>45847</v>
      </c>
      <c r="L221" s="16" t="s">
        <v>315</v>
      </c>
      <c r="M221" s="61">
        <v>256779415231</v>
      </c>
      <c r="N221" s="16" t="s">
        <v>22</v>
      </c>
      <c r="O221" s="16" t="s">
        <v>300</v>
      </c>
      <c r="P221" s="16" t="s">
        <v>18</v>
      </c>
      <c r="Q221" s="16" t="s">
        <v>312</v>
      </c>
      <c r="R221" s="16"/>
      <c r="S221" s="16" t="s">
        <v>110</v>
      </c>
      <c r="T221" s="50">
        <v>17.54</v>
      </c>
      <c r="U221" s="16" t="s">
        <v>20</v>
      </c>
      <c r="V221" s="50">
        <v>1508.45</v>
      </c>
      <c r="W221" s="16">
        <f t="shared" si="22"/>
        <v>86.0005701254276</v>
      </c>
      <c r="X221" s="16" t="s">
        <v>720</v>
      </c>
      <c r="Y221" s="16" t="s">
        <v>18</v>
      </c>
      <c r="Z221" s="16" t="s">
        <v>315</v>
      </c>
      <c r="AA221" s="16" t="s">
        <v>301</v>
      </c>
      <c r="AB221" s="16">
        <f>_xlfn.XLOOKUP(M221,'Customer Data'!$D:$D,'Customer Data'!$H:$H,,0)</f>
        <v>-17.54</v>
      </c>
      <c r="AC221" s="62">
        <f t="shared" si="23"/>
        <v>0</v>
      </c>
      <c r="AD221" s="16" t="s">
        <v>239</v>
      </c>
      <c r="AE221" s="16" t="s">
        <v>18</v>
      </c>
      <c r="AF221" s="16" t="s">
        <v>18</v>
      </c>
      <c r="AG221" s="16" t="s">
        <v>18</v>
      </c>
      <c r="AH221" s="49">
        <v>45842</v>
      </c>
      <c r="AI221" s="49">
        <v>46036</v>
      </c>
      <c r="AJ221" s="16" t="s">
        <v>576</v>
      </c>
    </row>
    <row r="222" spans="1:36" hidden="1" x14ac:dyDescent="0.35">
      <c r="A222" s="16" t="s">
        <v>296</v>
      </c>
      <c r="B222" s="16" t="s">
        <v>297</v>
      </c>
      <c r="C222" s="16" t="s">
        <v>21</v>
      </c>
      <c r="D222" s="16" t="s">
        <v>298</v>
      </c>
      <c r="E222" s="16" t="s">
        <v>175</v>
      </c>
      <c r="F222" s="16" t="s">
        <v>301</v>
      </c>
      <c r="G222" s="49">
        <v>46036</v>
      </c>
      <c r="H222" s="16" t="s">
        <v>591</v>
      </c>
      <c r="I222" s="16" t="s">
        <v>19</v>
      </c>
      <c r="J222" s="49">
        <v>46036</v>
      </c>
      <c r="K222" s="49">
        <v>46036</v>
      </c>
      <c r="L222" s="16" t="s">
        <v>592</v>
      </c>
      <c r="M222" s="61" t="s">
        <v>18</v>
      </c>
      <c r="N222" s="16" t="s">
        <v>22</v>
      </c>
      <c r="O222" s="16" t="s">
        <v>300</v>
      </c>
      <c r="P222" s="16" t="s">
        <v>18</v>
      </c>
      <c r="Q222" s="16" t="s">
        <v>320</v>
      </c>
      <c r="R222" s="16" t="e">
        <f>_xlfn.XLOOKUP(M222,'Invoice No Ref'!$C:$C,'Invoice No Ref'!$I:$I,,0)</f>
        <v>#N/A</v>
      </c>
      <c r="S222" s="16" t="s">
        <v>110</v>
      </c>
      <c r="T222" s="50">
        <v>29511.15</v>
      </c>
      <c r="U222" s="16" t="s">
        <v>20</v>
      </c>
      <c r="V222" s="50">
        <v>2582648.52</v>
      </c>
      <c r="W222" s="16">
        <f t="shared" si="22"/>
        <v>87.514330007471742</v>
      </c>
      <c r="X222" s="16" t="s">
        <v>719</v>
      </c>
      <c r="Y222" s="16" t="s">
        <v>18</v>
      </c>
      <c r="Z222" s="16" t="s">
        <v>18</v>
      </c>
      <c r="AA222" s="16" t="s">
        <v>302</v>
      </c>
      <c r="AB222" s="16" t="e">
        <f>_xlfn.XLOOKUP(R222,'Customer Data'!$D:$D,'Customer Data'!$F:$F,,0)</f>
        <v>#N/A</v>
      </c>
      <c r="AC222" s="16"/>
      <c r="AD222" s="16" t="s">
        <v>18</v>
      </c>
      <c r="AE222" s="16" t="s">
        <v>18</v>
      </c>
      <c r="AF222" s="16" t="s">
        <v>18</v>
      </c>
      <c r="AG222" s="16" t="s">
        <v>18</v>
      </c>
      <c r="AH222" s="49">
        <v>46036</v>
      </c>
      <c r="AI222" s="49">
        <v>46036</v>
      </c>
      <c r="AJ222" s="16" t="s">
        <v>591</v>
      </c>
    </row>
    <row r="223" spans="1:36" hidden="1" x14ac:dyDescent="0.35">
      <c r="A223" s="16" t="s">
        <v>296</v>
      </c>
      <c r="B223" s="16" t="s">
        <v>297</v>
      </c>
      <c r="C223" s="16" t="s">
        <v>21</v>
      </c>
      <c r="D223" s="16" t="s">
        <v>298</v>
      </c>
      <c r="E223" s="16" t="s">
        <v>175</v>
      </c>
      <c r="F223" s="16" t="s">
        <v>301</v>
      </c>
      <c r="G223" s="49">
        <v>46036</v>
      </c>
      <c r="H223" s="16" t="s">
        <v>591</v>
      </c>
      <c r="I223" s="16" t="s">
        <v>19</v>
      </c>
      <c r="J223" s="49">
        <v>46036</v>
      </c>
      <c r="K223" s="49">
        <v>46036</v>
      </c>
      <c r="L223" s="16" t="s">
        <v>592</v>
      </c>
      <c r="M223" s="61" t="s">
        <v>18</v>
      </c>
      <c r="N223" s="16" t="s">
        <v>22</v>
      </c>
      <c r="O223" s="16" t="s">
        <v>300</v>
      </c>
      <c r="P223" s="16" t="s">
        <v>18</v>
      </c>
      <c r="Q223" s="16" t="s">
        <v>306</v>
      </c>
      <c r="R223" s="16" t="e">
        <f>_xlfn.XLOOKUP(M223,'Invoice No Ref'!$C:$C,'Invoice No Ref'!$I:$I,,0)</f>
        <v>#N/A</v>
      </c>
      <c r="S223" s="16" t="s">
        <v>110</v>
      </c>
      <c r="T223" s="50">
        <v>-29535.85</v>
      </c>
      <c r="U223" s="16" t="s">
        <v>20</v>
      </c>
      <c r="V223" s="50">
        <v>-2540552.7799999998</v>
      </c>
      <c r="W223" s="16">
        <f t="shared" si="22"/>
        <v>86.015902030921737</v>
      </c>
      <c r="X223" s="16" t="s">
        <v>720</v>
      </c>
      <c r="Y223" s="16" t="s">
        <v>18</v>
      </c>
      <c r="Z223" s="16" t="s">
        <v>18</v>
      </c>
      <c r="AA223" s="16" t="s">
        <v>310</v>
      </c>
      <c r="AB223" s="16" t="e">
        <f>_xlfn.XLOOKUP(R223,'Customer Data'!$D:$D,'Customer Data'!$F:$F,,0)</f>
        <v>#N/A</v>
      </c>
      <c r="AC223" s="16"/>
      <c r="AD223" s="16" t="s">
        <v>18</v>
      </c>
      <c r="AE223" s="16" t="s">
        <v>18</v>
      </c>
      <c r="AF223" s="16" t="s">
        <v>18</v>
      </c>
      <c r="AG223" s="16" t="s">
        <v>18</v>
      </c>
      <c r="AH223" s="49">
        <v>46036</v>
      </c>
      <c r="AI223" s="49">
        <v>46036</v>
      </c>
      <c r="AJ223" s="16" t="s">
        <v>591</v>
      </c>
    </row>
    <row r="224" spans="1:36" hidden="1" x14ac:dyDescent="0.35">
      <c r="A224" s="16" t="s">
        <v>296</v>
      </c>
      <c r="B224" s="16" t="s">
        <v>297</v>
      </c>
      <c r="C224" s="16" t="s">
        <v>21</v>
      </c>
      <c r="D224" s="16" t="s">
        <v>298</v>
      </c>
      <c r="E224" s="16" t="s">
        <v>167</v>
      </c>
      <c r="F224" s="16" t="s">
        <v>355</v>
      </c>
      <c r="G224" s="49">
        <v>45931</v>
      </c>
      <c r="H224" s="16" t="s">
        <v>593</v>
      </c>
      <c r="I224" s="16" t="s">
        <v>19</v>
      </c>
      <c r="J224" s="49">
        <v>45931</v>
      </c>
      <c r="K224" s="49">
        <v>45931</v>
      </c>
      <c r="L224" s="16" t="s">
        <v>592</v>
      </c>
      <c r="M224" s="61" t="s">
        <v>18</v>
      </c>
      <c r="N224" s="16" t="s">
        <v>22</v>
      </c>
      <c r="O224" s="16" t="s">
        <v>300</v>
      </c>
      <c r="P224" s="16" t="s">
        <v>18</v>
      </c>
      <c r="Q224" s="16" t="s">
        <v>306</v>
      </c>
      <c r="R224" s="16" t="e">
        <f>_xlfn.XLOOKUP(M224,'Invoice No Ref'!$C:$C,'Invoice No Ref'!$I:$I,,0)</f>
        <v>#N/A</v>
      </c>
      <c r="S224" s="16" t="s">
        <v>110</v>
      </c>
      <c r="T224" s="50">
        <v>-29511.15</v>
      </c>
      <c r="U224" s="16" t="s">
        <v>20</v>
      </c>
      <c r="V224" s="50">
        <v>-2582648.52</v>
      </c>
      <c r="W224" s="16">
        <f t="shared" si="22"/>
        <v>87.514330007471742</v>
      </c>
      <c r="X224" s="16" t="s">
        <v>719</v>
      </c>
      <c r="Y224" s="16" t="s">
        <v>18</v>
      </c>
      <c r="Z224" s="16" t="s">
        <v>18</v>
      </c>
      <c r="AA224" s="16" t="s">
        <v>302</v>
      </c>
      <c r="AB224" s="16" t="e">
        <f>_xlfn.XLOOKUP(R224,'Customer Data'!$D:$D,'Customer Data'!$F:$F,,0)</f>
        <v>#N/A</v>
      </c>
      <c r="AC224" s="16"/>
      <c r="AD224" s="16" t="s">
        <v>18</v>
      </c>
      <c r="AE224" s="16" t="s">
        <v>18</v>
      </c>
      <c r="AF224" s="16" t="s">
        <v>18</v>
      </c>
      <c r="AG224" s="16" t="s">
        <v>18</v>
      </c>
      <c r="AH224" s="49">
        <v>45931</v>
      </c>
      <c r="AI224" s="49">
        <v>46036</v>
      </c>
      <c r="AJ224" s="16" t="s">
        <v>591</v>
      </c>
    </row>
    <row r="225" spans="1:36" hidden="1" x14ac:dyDescent="0.35">
      <c r="A225" s="16" t="s">
        <v>296</v>
      </c>
      <c r="B225" s="16" t="s">
        <v>297</v>
      </c>
      <c r="C225" s="16" t="s">
        <v>21</v>
      </c>
      <c r="D225" s="16" t="s">
        <v>298</v>
      </c>
      <c r="E225" s="16" t="s">
        <v>167</v>
      </c>
      <c r="F225" s="16" t="s">
        <v>303</v>
      </c>
      <c r="G225" s="49">
        <v>45843</v>
      </c>
      <c r="H225" s="16" t="s">
        <v>594</v>
      </c>
      <c r="I225" s="16" t="s">
        <v>23</v>
      </c>
      <c r="J225" s="49">
        <v>45843</v>
      </c>
      <c r="K225" s="49">
        <v>45847</v>
      </c>
      <c r="L225" s="16" t="s">
        <v>315</v>
      </c>
      <c r="M225" s="61">
        <v>256779415152</v>
      </c>
      <c r="N225" s="16" t="s">
        <v>22</v>
      </c>
      <c r="O225" s="16" t="s">
        <v>300</v>
      </c>
      <c r="P225" s="16" t="s">
        <v>18</v>
      </c>
      <c r="Q225" s="16" t="s">
        <v>312</v>
      </c>
      <c r="R225" s="16"/>
      <c r="S225" s="16" t="s">
        <v>110</v>
      </c>
      <c r="T225" s="50">
        <v>9905.27</v>
      </c>
      <c r="U225" s="16" t="s">
        <v>20</v>
      </c>
      <c r="V225" s="50">
        <v>851859.86</v>
      </c>
      <c r="W225" s="16">
        <f t="shared" si="22"/>
        <v>86.000670350227708</v>
      </c>
      <c r="X225" s="16" t="s">
        <v>720</v>
      </c>
      <c r="Y225" s="16" t="s">
        <v>18</v>
      </c>
      <c r="Z225" s="16" t="s">
        <v>315</v>
      </c>
      <c r="AA225" s="16" t="s">
        <v>301</v>
      </c>
      <c r="AB225" s="16">
        <f>_xlfn.XLOOKUP(M225,'Customer Data'!$D:$D,'Customer Data'!$H:$H,,0)</f>
        <v>-9905.27</v>
      </c>
      <c r="AC225" s="62">
        <f t="shared" ref="AC225:AC234" si="24">AB225+T225</f>
        <v>0</v>
      </c>
      <c r="AD225" s="16" t="s">
        <v>595</v>
      </c>
      <c r="AE225" s="16" t="s">
        <v>18</v>
      </c>
      <c r="AF225" s="16" t="s">
        <v>18</v>
      </c>
      <c r="AG225" s="16" t="s">
        <v>18</v>
      </c>
      <c r="AH225" s="49">
        <v>45843</v>
      </c>
      <c r="AI225" s="49">
        <v>46036</v>
      </c>
      <c r="AJ225" s="16" t="s">
        <v>591</v>
      </c>
    </row>
    <row r="226" spans="1:36" hidden="1" x14ac:dyDescent="0.35">
      <c r="A226" s="16" t="s">
        <v>296</v>
      </c>
      <c r="B226" s="16" t="s">
        <v>297</v>
      </c>
      <c r="C226" s="16" t="s">
        <v>21</v>
      </c>
      <c r="D226" s="16" t="s">
        <v>298</v>
      </c>
      <c r="E226" s="16" t="s">
        <v>167</v>
      </c>
      <c r="F226" s="16" t="s">
        <v>303</v>
      </c>
      <c r="G226" s="49">
        <v>45843</v>
      </c>
      <c r="H226" s="16" t="s">
        <v>596</v>
      </c>
      <c r="I226" s="16" t="s">
        <v>23</v>
      </c>
      <c r="J226" s="49">
        <v>45843</v>
      </c>
      <c r="K226" s="49">
        <v>45847</v>
      </c>
      <c r="L226" s="16" t="s">
        <v>315</v>
      </c>
      <c r="M226" s="61">
        <v>256779415153</v>
      </c>
      <c r="N226" s="16" t="s">
        <v>22</v>
      </c>
      <c r="O226" s="16" t="s">
        <v>300</v>
      </c>
      <c r="P226" s="16" t="s">
        <v>18</v>
      </c>
      <c r="Q226" s="16" t="s">
        <v>312</v>
      </c>
      <c r="R226" s="16"/>
      <c r="S226" s="16" t="s">
        <v>110</v>
      </c>
      <c r="T226" s="50">
        <v>4354.62</v>
      </c>
      <c r="U226" s="16" t="s">
        <v>20</v>
      </c>
      <c r="V226" s="50">
        <v>374500.24</v>
      </c>
      <c r="W226" s="16">
        <f t="shared" si="22"/>
        <v>86.000670552195146</v>
      </c>
      <c r="X226" s="16" t="s">
        <v>720</v>
      </c>
      <c r="Y226" s="16" t="s">
        <v>18</v>
      </c>
      <c r="Z226" s="16" t="s">
        <v>315</v>
      </c>
      <c r="AA226" s="16" t="s">
        <v>301</v>
      </c>
      <c r="AB226" s="16">
        <f>_xlfn.XLOOKUP(M226,'Customer Data'!$D:$D,'Customer Data'!$H:$H,,0)</f>
        <v>-4354.62</v>
      </c>
      <c r="AC226" s="62">
        <f t="shared" si="24"/>
        <v>0</v>
      </c>
      <c r="AD226" s="16" t="s">
        <v>595</v>
      </c>
      <c r="AE226" s="16" t="s">
        <v>18</v>
      </c>
      <c r="AF226" s="16" t="s">
        <v>18</v>
      </c>
      <c r="AG226" s="16" t="s">
        <v>18</v>
      </c>
      <c r="AH226" s="49">
        <v>45843</v>
      </c>
      <c r="AI226" s="49">
        <v>46036</v>
      </c>
      <c r="AJ226" s="16" t="s">
        <v>591</v>
      </c>
    </row>
    <row r="227" spans="1:36" hidden="1" x14ac:dyDescent="0.35">
      <c r="A227" s="16" t="s">
        <v>296</v>
      </c>
      <c r="B227" s="16" t="s">
        <v>297</v>
      </c>
      <c r="C227" s="16" t="s">
        <v>21</v>
      </c>
      <c r="D227" s="16" t="s">
        <v>298</v>
      </c>
      <c r="E227" s="16" t="s">
        <v>167</v>
      </c>
      <c r="F227" s="16" t="s">
        <v>308</v>
      </c>
      <c r="G227" s="49">
        <v>45877</v>
      </c>
      <c r="H227" s="16" t="s">
        <v>597</v>
      </c>
      <c r="I227" s="16" t="s">
        <v>23</v>
      </c>
      <c r="J227" s="49">
        <v>45877</v>
      </c>
      <c r="K227" s="49">
        <v>45877</v>
      </c>
      <c r="L227" s="16" t="s">
        <v>315</v>
      </c>
      <c r="M227" s="61">
        <v>256779416301</v>
      </c>
      <c r="N227" s="16" t="s">
        <v>22</v>
      </c>
      <c r="O227" s="16" t="s">
        <v>300</v>
      </c>
      <c r="P227" s="16" t="s">
        <v>18</v>
      </c>
      <c r="Q227" s="16" t="s">
        <v>312</v>
      </c>
      <c r="R227" s="16"/>
      <c r="S227" s="16" t="s">
        <v>110</v>
      </c>
      <c r="T227" s="50">
        <v>8709.59</v>
      </c>
      <c r="U227" s="16" t="s">
        <v>20</v>
      </c>
      <c r="V227" s="50">
        <v>749287.07</v>
      </c>
      <c r="W227" s="16">
        <f t="shared" si="22"/>
        <v>86.03011967268263</v>
      </c>
      <c r="X227" s="16" t="s">
        <v>720</v>
      </c>
      <c r="Y227" s="16" t="s">
        <v>18</v>
      </c>
      <c r="Z227" s="16" t="s">
        <v>315</v>
      </c>
      <c r="AA227" s="16" t="s">
        <v>301</v>
      </c>
      <c r="AB227" s="16">
        <f>_xlfn.XLOOKUP(M227,'Customer Data'!$D:$D,'Customer Data'!$H:$H,,0)</f>
        <v>-8709.89</v>
      </c>
      <c r="AC227" s="62">
        <f t="shared" si="24"/>
        <v>-0.2999999999992724</v>
      </c>
      <c r="AD227" s="16" t="s">
        <v>598</v>
      </c>
      <c r="AE227" s="16" t="s">
        <v>18</v>
      </c>
      <c r="AF227" s="16" t="s">
        <v>18</v>
      </c>
      <c r="AG227" s="16" t="s">
        <v>18</v>
      </c>
      <c r="AH227" s="49">
        <v>45877</v>
      </c>
      <c r="AI227" s="49">
        <v>46036</v>
      </c>
      <c r="AJ227" s="16" t="s">
        <v>591</v>
      </c>
    </row>
    <row r="228" spans="1:36" hidden="1" x14ac:dyDescent="0.35">
      <c r="A228" s="16" t="s">
        <v>296</v>
      </c>
      <c r="B228" s="16" t="s">
        <v>297</v>
      </c>
      <c r="C228" s="16" t="s">
        <v>21</v>
      </c>
      <c r="D228" s="16" t="s">
        <v>298</v>
      </c>
      <c r="E228" s="16" t="s">
        <v>167</v>
      </c>
      <c r="F228" s="16" t="s">
        <v>308</v>
      </c>
      <c r="G228" s="49">
        <v>45877</v>
      </c>
      <c r="H228" s="16" t="s">
        <v>599</v>
      </c>
      <c r="I228" s="16" t="s">
        <v>23</v>
      </c>
      <c r="J228" s="49">
        <v>45877</v>
      </c>
      <c r="K228" s="49">
        <v>45877</v>
      </c>
      <c r="L228" s="16" t="s">
        <v>315</v>
      </c>
      <c r="M228" s="61">
        <v>256779416302</v>
      </c>
      <c r="N228" s="16" t="s">
        <v>22</v>
      </c>
      <c r="O228" s="16" t="s">
        <v>300</v>
      </c>
      <c r="P228" s="16" t="s">
        <v>18</v>
      </c>
      <c r="Q228" s="16" t="s">
        <v>312</v>
      </c>
      <c r="R228" s="16"/>
      <c r="S228" s="16" t="s">
        <v>110</v>
      </c>
      <c r="T228" s="50">
        <v>5299.43</v>
      </c>
      <c r="U228" s="16" t="s">
        <v>20</v>
      </c>
      <c r="V228" s="50">
        <v>455910.6</v>
      </c>
      <c r="W228" s="16">
        <f t="shared" si="22"/>
        <v>86.030120220476533</v>
      </c>
      <c r="X228" s="16" t="s">
        <v>720</v>
      </c>
      <c r="Y228" s="16" t="s">
        <v>18</v>
      </c>
      <c r="Z228" s="16" t="s">
        <v>315</v>
      </c>
      <c r="AA228" s="16" t="s">
        <v>301</v>
      </c>
      <c r="AB228" s="16">
        <f>_xlfn.XLOOKUP(M228,'Customer Data'!$D:$D,'Customer Data'!$H:$H,,0)</f>
        <v>-5299.43</v>
      </c>
      <c r="AC228" s="62">
        <f t="shared" si="24"/>
        <v>0</v>
      </c>
      <c r="AD228" s="16" t="s">
        <v>598</v>
      </c>
      <c r="AE228" s="16" t="s">
        <v>18</v>
      </c>
      <c r="AF228" s="16" t="s">
        <v>18</v>
      </c>
      <c r="AG228" s="16" t="s">
        <v>18</v>
      </c>
      <c r="AH228" s="49">
        <v>45877</v>
      </c>
      <c r="AI228" s="49">
        <v>46036</v>
      </c>
      <c r="AJ228" s="16" t="s">
        <v>591</v>
      </c>
    </row>
    <row r="229" spans="1:36" hidden="1" x14ac:dyDescent="0.35">
      <c r="A229" s="16" t="s">
        <v>296</v>
      </c>
      <c r="B229" s="16" t="s">
        <v>297</v>
      </c>
      <c r="C229" s="16" t="s">
        <v>21</v>
      </c>
      <c r="D229" s="16" t="s">
        <v>298</v>
      </c>
      <c r="E229" s="16" t="s">
        <v>167</v>
      </c>
      <c r="F229" s="16" t="s">
        <v>308</v>
      </c>
      <c r="G229" s="49">
        <v>45877</v>
      </c>
      <c r="H229" s="16" t="s">
        <v>600</v>
      </c>
      <c r="I229" s="16" t="s">
        <v>23</v>
      </c>
      <c r="J229" s="49">
        <v>45877</v>
      </c>
      <c r="K229" s="49">
        <v>45877</v>
      </c>
      <c r="L229" s="16" t="s">
        <v>315</v>
      </c>
      <c r="M229" s="61">
        <v>256779416477</v>
      </c>
      <c r="N229" s="16" t="s">
        <v>22</v>
      </c>
      <c r="O229" s="16" t="s">
        <v>300</v>
      </c>
      <c r="P229" s="16" t="s">
        <v>18</v>
      </c>
      <c r="Q229" s="16" t="s">
        <v>312</v>
      </c>
      <c r="R229" s="16"/>
      <c r="S229" s="16" t="s">
        <v>110</v>
      </c>
      <c r="T229" s="50">
        <v>45.69</v>
      </c>
      <c r="U229" s="16" t="s">
        <v>20</v>
      </c>
      <c r="V229" s="50">
        <v>3930.72</v>
      </c>
      <c r="W229" s="16">
        <f t="shared" si="22"/>
        <v>86.030203545633611</v>
      </c>
      <c r="X229" s="16" t="s">
        <v>720</v>
      </c>
      <c r="Y229" s="16" t="s">
        <v>18</v>
      </c>
      <c r="Z229" s="16" t="s">
        <v>315</v>
      </c>
      <c r="AA229" s="16" t="s">
        <v>301</v>
      </c>
      <c r="AB229" s="16">
        <f>_xlfn.XLOOKUP(M229,'Customer Data'!$D:$D,'Customer Data'!$H:$H,,0)</f>
        <v>-45.69</v>
      </c>
      <c r="AC229" s="62">
        <f t="shared" si="24"/>
        <v>0</v>
      </c>
      <c r="AD229" s="16" t="s">
        <v>250</v>
      </c>
      <c r="AE229" s="16" t="s">
        <v>18</v>
      </c>
      <c r="AF229" s="16" t="s">
        <v>18</v>
      </c>
      <c r="AG229" s="16" t="s">
        <v>18</v>
      </c>
      <c r="AH229" s="49">
        <v>45877</v>
      </c>
      <c r="AI229" s="49">
        <v>46036</v>
      </c>
      <c r="AJ229" s="16" t="s">
        <v>591</v>
      </c>
    </row>
    <row r="230" spans="1:36" hidden="1" x14ac:dyDescent="0.35">
      <c r="A230" s="16" t="s">
        <v>296</v>
      </c>
      <c r="B230" s="16" t="s">
        <v>297</v>
      </c>
      <c r="C230" s="16" t="s">
        <v>21</v>
      </c>
      <c r="D230" s="16" t="s">
        <v>298</v>
      </c>
      <c r="E230" s="16" t="s">
        <v>167</v>
      </c>
      <c r="F230" s="16" t="s">
        <v>308</v>
      </c>
      <c r="G230" s="49">
        <v>45877</v>
      </c>
      <c r="H230" s="16" t="s">
        <v>601</v>
      </c>
      <c r="I230" s="16" t="s">
        <v>23</v>
      </c>
      <c r="J230" s="49">
        <v>45877</v>
      </c>
      <c r="K230" s="49">
        <v>45877</v>
      </c>
      <c r="L230" s="16" t="s">
        <v>315</v>
      </c>
      <c r="M230" s="61">
        <v>256779416099</v>
      </c>
      <c r="N230" s="16" t="s">
        <v>22</v>
      </c>
      <c r="O230" s="16" t="s">
        <v>300</v>
      </c>
      <c r="P230" s="16" t="s">
        <v>18</v>
      </c>
      <c r="Q230" s="16" t="s">
        <v>312</v>
      </c>
      <c r="R230" s="16"/>
      <c r="S230" s="16" t="s">
        <v>110</v>
      </c>
      <c r="T230" s="50">
        <v>277.3</v>
      </c>
      <c r="U230" s="16" t="s">
        <v>20</v>
      </c>
      <c r="V230" s="50">
        <v>23856.15</v>
      </c>
      <c r="W230" s="16">
        <f t="shared" si="22"/>
        <v>86.030111792282725</v>
      </c>
      <c r="X230" s="16" t="s">
        <v>720</v>
      </c>
      <c r="Y230" s="16" t="s">
        <v>18</v>
      </c>
      <c r="Z230" s="16" t="s">
        <v>315</v>
      </c>
      <c r="AA230" s="16" t="s">
        <v>301</v>
      </c>
      <c r="AB230" s="16">
        <f>_xlfn.XLOOKUP(M230,'Customer Data'!$D:$D,'Customer Data'!$H:$H,,0)</f>
        <v>-277.3</v>
      </c>
      <c r="AC230" s="62">
        <f t="shared" si="24"/>
        <v>0</v>
      </c>
      <c r="AD230" s="16" t="s">
        <v>246</v>
      </c>
      <c r="AE230" s="16" t="s">
        <v>18</v>
      </c>
      <c r="AF230" s="16" t="s">
        <v>18</v>
      </c>
      <c r="AG230" s="16" t="s">
        <v>18</v>
      </c>
      <c r="AH230" s="49">
        <v>45877</v>
      </c>
      <c r="AI230" s="49">
        <v>46036</v>
      </c>
      <c r="AJ230" s="16" t="s">
        <v>591</v>
      </c>
    </row>
    <row r="231" spans="1:36" hidden="1" x14ac:dyDescent="0.35">
      <c r="A231" s="16" t="s">
        <v>296</v>
      </c>
      <c r="B231" s="16" t="s">
        <v>297</v>
      </c>
      <c r="C231" s="16" t="s">
        <v>21</v>
      </c>
      <c r="D231" s="16" t="s">
        <v>298</v>
      </c>
      <c r="E231" s="16" t="s">
        <v>167</v>
      </c>
      <c r="F231" s="16" t="s">
        <v>308</v>
      </c>
      <c r="G231" s="49">
        <v>45877</v>
      </c>
      <c r="H231" s="16" t="s">
        <v>602</v>
      </c>
      <c r="I231" s="16" t="s">
        <v>23</v>
      </c>
      <c r="J231" s="49">
        <v>45877</v>
      </c>
      <c r="K231" s="49">
        <v>45877</v>
      </c>
      <c r="L231" s="16" t="s">
        <v>315</v>
      </c>
      <c r="M231" s="61">
        <v>256779416105</v>
      </c>
      <c r="N231" s="16" t="s">
        <v>22</v>
      </c>
      <c r="O231" s="16" t="s">
        <v>300</v>
      </c>
      <c r="P231" s="16" t="s">
        <v>18</v>
      </c>
      <c r="Q231" s="16" t="s">
        <v>312</v>
      </c>
      <c r="R231" s="16"/>
      <c r="S231" s="16" t="s">
        <v>110</v>
      </c>
      <c r="T231" s="50">
        <v>46.6</v>
      </c>
      <c r="U231" s="16" t="s">
        <v>20</v>
      </c>
      <c r="V231" s="50">
        <v>4009</v>
      </c>
      <c r="W231" s="16">
        <f t="shared" si="22"/>
        <v>86.030042918454939</v>
      </c>
      <c r="X231" s="16" t="s">
        <v>720</v>
      </c>
      <c r="Y231" s="16" t="s">
        <v>18</v>
      </c>
      <c r="Z231" s="16" t="s">
        <v>315</v>
      </c>
      <c r="AA231" s="16" t="s">
        <v>301</v>
      </c>
      <c r="AB231" s="16">
        <f>_xlfn.XLOOKUP(M231,'Customer Data'!$D:$D,'Customer Data'!$H:$H,,0)</f>
        <v>-46.6</v>
      </c>
      <c r="AC231" s="62">
        <f t="shared" si="24"/>
        <v>0</v>
      </c>
      <c r="AD231" s="16" t="s">
        <v>247</v>
      </c>
      <c r="AE231" s="16" t="s">
        <v>18</v>
      </c>
      <c r="AF231" s="16" t="s">
        <v>18</v>
      </c>
      <c r="AG231" s="16" t="s">
        <v>18</v>
      </c>
      <c r="AH231" s="49">
        <v>45877</v>
      </c>
      <c r="AI231" s="49">
        <v>46036</v>
      </c>
      <c r="AJ231" s="16" t="s">
        <v>591</v>
      </c>
    </row>
    <row r="232" spans="1:36" hidden="1" x14ac:dyDescent="0.35">
      <c r="A232" s="16" t="s">
        <v>296</v>
      </c>
      <c r="B232" s="16" t="s">
        <v>297</v>
      </c>
      <c r="C232" s="16" t="s">
        <v>21</v>
      </c>
      <c r="D232" s="16" t="s">
        <v>298</v>
      </c>
      <c r="E232" s="16" t="s">
        <v>167</v>
      </c>
      <c r="F232" s="16" t="s">
        <v>308</v>
      </c>
      <c r="G232" s="49">
        <v>45877</v>
      </c>
      <c r="H232" s="16" t="s">
        <v>603</v>
      </c>
      <c r="I232" s="16" t="s">
        <v>23</v>
      </c>
      <c r="J232" s="49">
        <v>45877</v>
      </c>
      <c r="K232" s="49">
        <v>45877</v>
      </c>
      <c r="L232" s="16" t="s">
        <v>315</v>
      </c>
      <c r="M232" s="61">
        <v>256779416129</v>
      </c>
      <c r="N232" s="16" t="s">
        <v>22</v>
      </c>
      <c r="O232" s="16" t="s">
        <v>300</v>
      </c>
      <c r="P232" s="16" t="s">
        <v>18</v>
      </c>
      <c r="Q232" s="16" t="s">
        <v>312</v>
      </c>
      <c r="R232" s="16"/>
      <c r="S232" s="16" t="s">
        <v>110</v>
      </c>
      <c r="T232" s="50">
        <v>160.55000000000001</v>
      </c>
      <c r="U232" s="16" t="s">
        <v>20</v>
      </c>
      <c r="V232" s="50">
        <v>13812.14</v>
      </c>
      <c r="W232" s="16">
        <f t="shared" si="22"/>
        <v>86.030146371846769</v>
      </c>
      <c r="X232" s="16" t="s">
        <v>720</v>
      </c>
      <c r="Y232" s="16" t="s">
        <v>18</v>
      </c>
      <c r="Z232" s="16" t="s">
        <v>315</v>
      </c>
      <c r="AA232" s="16" t="s">
        <v>301</v>
      </c>
      <c r="AB232" s="16">
        <f>_xlfn.XLOOKUP(M232,'Customer Data'!$D:$D,'Customer Data'!$H:$H,,0)</f>
        <v>-160.55000000000001</v>
      </c>
      <c r="AC232" s="62">
        <f t="shared" si="24"/>
        <v>0</v>
      </c>
      <c r="AD232" s="16" t="s">
        <v>248</v>
      </c>
      <c r="AE232" s="16" t="s">
        <v>18</v>
      </c>
      <c r="AF232" s="16" t="s">
        <v>18</v>
      </c>
      <c r="AG232" s="16" t="s">
        <v>18</v>
      </c>
      <c r="AH232" s="49">
        <v>45877</v>
      </c>
      <c r="AI232" s="49">
        <v>46036</v>
      </c>
      <c r="AJ232" s="16" t="s">
        <v>591</v>
      </c>
    </row>
    <row r="233" spans="1:36" hidden="1" x14ac:dyDescent="0.35">
      <c r="A233" s="16" t="s">
        <v>296</v>
      </c>
      <c r="B233" s="16" t="s">
        <v>297</v>
      </c>
      <c r="C233" s="16" t="s">
        <v>21</v>
      </c>
      <c r="D233" s="16" t="s">
        <v>298</v>
      </c>
      <c r="E233" s="16" t="s">
        <v>167</v>
      </c>
      <c r="F233" s="16" t="s">
        <v>308</v>
      </c>
      <c r="G233" s="49">
        <v>45877</v>
      </c>
      <c r="H233" s="16" t="s">
        <v>604</v>
      </c>
      <c r="I233" s="16" t="s">
        <v>23</v>
      </c>
      <c r="J233" s="49">
        <v>45877</v>
      </c>
      <c r="K233" s="49">
        <v>45877</v>
      </c>
      <c r="L233" s="16" t="s">
        <v>315</v>
      </c>
      <c r="M233" s="61">
        <v>256779416145</v>
      </c>
      <c r="N233" s="16" t="s">
        <v>22</v>
      </c>
      <c r="O233" s="16" t="s">
        <v>300</v>
      </c>
      <c r="P233" s="16" t="s">
        <v>18</v>
      </c>
      <c r="Q233" s="16" t="s">
        <v>312</v>
      </c>
      <c r="R233" s="16"/>
      <c r="S233" s="16" t="s">
        <v>110</v>
      </c>
      <c r="T233" s="50">
        <v>188.46</v>
      </c>
      <c r="U233" s="16" t="s">
        <v>20</v>
      </c>
      <c r="V233" s="50">
        <v>16213.24</v>
      </c>
      <c r="W233" s="16">
        <f t="shared" si="22"/>
        <v>86.030139021543022</v>
      </c>
      <c r="X233" s="16" t="s">
        <v>720</v>
      </c>
      <c r="Y233" s="16" t="s">
        <v>18</v>
      </c>
      <c r="Z233" s="16" t="s">
        <v>315</v>
      </c>
      <c r="AA233" s="16" t="s">
        <v>301</v>
      </c>
      <c r="AB233" s="16">
        <f>_xlfn.XLOOKUP(M233,'Customer Data'!$D:$D,'Customer Data'!$H:$H,,0)</f>
        <v>-188.46</v>
      </c>
      <c r="AC233" s="62">
        <f t="shared" si="24"/>
        <v>0</v>
      </c>
      <c r="AD233" s="16" t="s">
        <v>249</v>
      </c>
      <c r="AE233" s="16" t="s">
        <v>18</v>
      </c>
      <c r="AF233" s="16" t="s">
        <v>18</v>
      </c>
      <c r="AG233" s="16" t="s">
        <v>18</v>
      </c>
      <c r="AH233" s="49">
        <v>45877</v>
      </c>
      <c r="AI233" s="49">
        <v>46036</v>
      </c>
      <c r="AJ233" s="16" t="s">
        <v>591</v>
      </c>
    </row>
    <row r="234" spans="1:36" hidden="1" x14ac:dyDescent="0.35">
      <c r="A234" s="16" t="s">
        <v>296</v>
      </c>
      <c r="B234" s="16" t="s">
        <v>297</v>
      </c>
      <c r="C234" s="16" t="s">
        <v>21</v>
      </c>
      <c r="D234" s="16" t="s">
        <v>298</v>
      </c>
      <c r="E234" s="16" t="s">
        <v>167</v>
      </c>
      <c r="F234" s="16" t="s">
        <v>308</v>
      </c>
      <c r="G234" s="49">
        <v>45877</v>
      </c>
      <c r="H234" s="16" t="s">
        <v>605</v>
      </c>
      <c r="I234" s="16" t="s">
        <v>23</v>
      </c>
      <c r="J234" s="49">
        <v>45877</v>
      </c>
      <c r="K234" s="49">
        <v>45877</v>
      </c>
      <c r="L234" s="16" t="s">
        <v>315</v>
      </c>
      <c r="M234" s="61">
        <v>256779416498</v>
      </c>
      <c r="N234" s="16" t="s">
        <v>22</v>
      </c>
      <c r="O234" s="16" t="s">
        <v>300</v>
      </c>
      <c r="P234" s="16" t="s">
        <v>18</v>
      </c>
      <c r="Q234" s="16" t="s">
        <v>312</v>
      </c>
      <c r="R234" s="16"/>
      <c r="S234" s="16" t="s">
        <v>110</v>
      </c>
      <c r="T234" s="50">
        <v>548.34</v>
      </c>
      <c r="U234" s="16" t="s">
        <v>20</v>
      </c>
      <c r="V234" s="50">
        <v>47173.760000000002</v>
      </c>
      <c r="W234" s="16">
        <f t="shared" si="22"/>
        <v>86.03012729328519</v>
      </c>
      <c r="X234" s="16" t="s">
        <v>720</v>
      </c>
      <c r="Y234" s="16" t="s">
        <v>18</v>
      </c>
      <c r="Z234" s="16" t="s">
        <v>315</v>
      </c>
      <c r="AA234" s="16" t="s">
        <v>301</v>
      </c>
      <c r="AB234" s="16">
        <f>_xlfn.XLOOKUP(M234,'Customer Data'!$D:$D,'Customer Data'!$H:$H,,0)</f>
        <v>-548.34</v>
      </c>
      <c r="AC234" s="62">
        <f t="shared" si="24"/>
        <v>0</v>
      </c>
      <c r="AD234" s="16" t="s">
        <v>251</v>
      </c>
      <c r="AE234" s="16" t="s">
        <v>18</v>
      </c>
      <c r="AF234" s="16" t="s">
        <v>18</v>
      </c>
      <c r="AG234" s="16" t="s">
        <v>18</v>
      </c>
      <c r="AH234" s="49">
        <v>45877</v>
      </c>
      <c r="AI234" s="49">
        <v>46036</v>
      </c>
      <c r="AJ234" s="16" t="s">
        <v>591</v>
      </c>
    </row>
    <row r="235" spans="1:36" hidden="1" x14ac:dyDescent="0.35">
      <c r="A235" s="16" t="s">
        <v>296</v>
      </c>
      <c r="B235" s="16" t="s">
        <v>297</v>
      </c>
      <c r="C235" s="16" t="s">
        <v>21</v>
      </c>
      <c r="D235" s="16" t="s">
        <v>298</v>
      </c>
      <c r="E235" s="16" t="s">
        <v>175</v>
      </c>
      <c r="F235" s="16" t="s">
        <v>301</v>
      </c>
      <c r="G235" s="49">
        <v>46036</v>
      </c>
      <c r="H235" s="16" t="s">
        <v>606</v>
      </c>
      <c r="I235" s="16" t="s">
        <v>19</v>
      </c>
      <c r="J235" s="49">
        <v>46036</v>
      </c>
      <c r="K235" s="49">
        <v>46036</v>
      </c>
      <c r="L235" s="16" t="s">
        <v>607</v>
      </c>
      <c r="M235" s="61" t="s">
        <v>18</v>
      </c>
      <c r="N235" s="16" t="s">
        <v>22</v>
      </c>
      <c r="O235" s="16" t="s">
        <v>300</v>
      </c>
      <c r="P235" s="16" t="s">
        <v>18</v>
      </c>
      <c r="Q235" s="16" t="s">
        <v>320</v>
      </c>
      <c r="R235" s="16" t="e">
        <f>_xlfn.XLOOKUP(M235,'Invoice No Ref'!$C:$C,'Invoice No Ref'!$I:$I,,0)</f>
        <v>#N/A</v>
      </c>
      <c r="S235" s="16" t="s">
        <v>110</v>
      </c>
      <c r="T235" s="50">
        <v>8284.99</v>
      </c>
      <c r="U235" s="16" t="s">
        <v>20</v>
      </c>
      <c r="V235" s="50">
        <v>730659.65</v>
      </c>
      <c r="W235" s="16">
        <f t="shared" si="22"/>
        <v>88.190770296644899</v>
      </c>
      <c r="X235" s="16" t="s">
        <v>719</v>
      </c>
      <c r="Y235" s="16" t="s">
        <v>18</v>
      </c>
      <c r="Z235" s="16" t="s">
        <v>18</v>
      </c>
      <c r="AA235" s="16" t="s">
        <v>302</v>
      </c>
      <c r="AB235" s="16" t="e">
        <f>_xlfn.XLOOKUP(R235,'Customer Data'!$D:$D,'Customer Data'!$F:$F,,0)</f>
        <v>#N/A</v>
      </c>
      <c r="AC235" s="16"/>
      <c r="AD235" s="16" t="s">
        <v>18</v>
      </c>
      <c r="AE235" s="16" t="s">
        <v>18</v>
      </c>
      <c r="AF235" s="16" t="s">
        <v>18</v>
      </c>
      <c r="AG235" s="16" t="s">
        <v>18</v>
      </c>
      <c r="AH235" s="49">
        <v>46036</v>
      </c>
      <c r="AI235" s="49">
        <v>46036</v>
      </c>
      <c r="AJ235" s="16" t="s">
        <v>606</v>
      </c>
    </row>
    <row r="236" spans="1:36" hidden="1" x14ac:dyDescent="0.35">
      <c r="A236" s="16" t="s">
        <v>296</v>
      </c>
      <c r="B236" s="16" t="s">
        <v>297</v>
      </c>
      <c r="C236" s="16" t="s">
        <v>21</v>
      </c>
      <c r="D236" s="16" t="s">
        <v>298</v>
      </c>
      <c r="E236" s="16" t="s">
        <v>175</v>
      </c>
      <c r="F236" s="16" t="s">
        <v>301</v>
      </c>
      <c r="G236" s="49">
        <v>46036</v>
      </c>
      <c r="H236" s="16" t="s">
        <v>606</v>
      </c>
      <c r="I236" s="16" t="s">
        <v>19</v>
      </c>
      <c r="J236" s="49">
        <v>46036</v>
      </c>
      <c r="K236" s="49">
        <v>46036</v>
      </c>
      <c r="L236" s="16" t="s">
        <v>607</v>
      </c>
      <c r="M236" s="61" t="s">
        <v>18</v>
      </c>
      <c r="N236" s="16" t="s">
        <v>22</v>
      </c>
      <c r="O236" s="16" t="s">
        <v>300</v>
      </c>
      <c r="P236" s="16" t="s">
        <v>18</v>
      </c>
      <c r="Q236" s="16" t="s">
        <v>306</v>
      </c>
      <c r="R236" s="16" t="e">
        <f>_xlfn.XLOOKUP(M236,'Invoice No Ref'!$C:$C,'Invoice No Ref'!$I:$I,,0)</f>
        <v>#N/A</v>
      </c>
      <c r="S236" s="16" t="s">
        <v>110</v>
      </c>
      <c r="T236" s="50">
        <v>-8309.99</v>
      </c>
      <c r="U236" s="16" t="s">
        <v>20</v>
      </c>
      <c r="V236" s="50">
        <v>-714909.44</v>
      </c>
      <c r="W236" s="16">
        <f t="shared" si="22"/>
        <v>86.030120373189376</v>
      </c>
      <c r="X236" s="16" t="s">
        <v>720</v>
      </c>
      <c r="Y236" s="16" t="s">
        <v>18</v>
      </c>
      <c r="Z236" s="16" t="s">
        <v>18</v>
      </c>
      <c r="AA236" s="16" t="s">
        <v>310</v>
      </c>
      <c r="AB236" s="16" t="e">
        <f>_xlfn.XLOOKUP(R236,'Customer Data'!$D:$D,'Customer Data'!$F:$F,,0)</f>
        <v>#N/A</v>
      </c>
      <c r="AC236" s="16"/>
      <c r="AD236" s="16" t="s">
        <v>18</v>
      </c>
      <c r="AE236" s="16" t="s">
        <v>18</v>
      </c>
      <c r="AF236" s="16" t="s">
        <v>18</v>
      </c>
      <c r="AG236" s="16" t="s">
        <v>18</v>
      </c>
      <c r="AH236" s="49">
        <v>46036</v>
      </c>
      <c r="AI236" s="49">
        <v>46036</v>
      </c>
      <c r="AJ236" s="16" t="s">
        <v>606</v>
      </c>
    </row>
    <row r="237" spans="1:36" hidden="1" x14ac:dyDescent="0.35">
      <c r="A237" s="16" t="s">
        <v>296</v>
      </c>
      <c r="B237" s="16" t="s">
        <v>297</v>
      </c>
      <c r="C237" s="16" t="s">
        <v>21</v>
      </c>
      <c r="D237" s="16" t="s">
        <v>298</v>
      </c>
      <c r="E237" s="16" t="s">
        <v>167</v>
      </c>
      <c r="F237" s="16" t="s">
        <v>355</v>
      </c>
      <c r="G237" s="49">
        <v>45955</v>
      </c>
      <c r="H237" s="16" t="s">
        <v>608</v>
      </c>
      <c r="I237" s="16" t="s">
        <v>19</v>
      </c>
      <c r="J237" s="49">
        <v>45955</v>
      </c>
      <c r="K237" s="49">
        <v>45955</v>
      </c>
      <c r="L237" s="16" t="s">
        <v>607</v>
      </c>
      <c r="M237" s="61" t="s">
        <v>18</v>
      </c>
      <c r="N237" s="16" t="s">
        <v>22</v>
      </c>
      <c r="O237" s="16" t="s">
        <v>300</v>
      </c>
      <c r="P237" s="16" t="s">
        <v>18</v>
      </c>
      <c r="Q237" s="16" t="s">
        <v>306</v>
      </c>
      <c r="R237" s="16" t="e">
        <f>_xlfn.XLOOKUP(M237,'Invoice No Ref'!$C:$C,'Invoice No Ref'!$I:$I,,0)</f>
        <v>#N/A</v>
      </c>
      <c r="S237" s="16" t="s">
        <v>110</v>
      </c>
      <c r="T237" s="50">
        <v>-8284.99</v>
      </c>
      <c r="U237" s="16" t="s">
        <v>20</v>
      </c>
      <c r="V237" s="50">
        <v>-730659.65</v>
      </c>
      <c r="W237" s="16">
        <f t="shared" si="22"/>
        <v>88.190770296644899</v>
      </c>
      <c r="X237" s="16" t="s">
        <v>719</v>
      </c>
      <c r="Y237" s="16" t="s">
        <v>18</v>
      </c>
      <c r="Z237" s="16" t="s">
        <v>18</v>
      </c>
      <c r="AA237" s="16" t="s">
        <v>302</v>
      </c>
      <c r="AB237" s="16" t="e">
        <f>_xlfn.XLOOKUP(R237,'Customer Data'!$D:$D,'Customer Data'!$F:$F,,0)</f>
        <v>#N/A</v>
      </c>
      <c r="AC237" s="16"/>
      <c r="AD237" s="16" t="s">
        <v>18</v>
      </c>
      <c r="AE237" s="16" t="s">
        <v>18</v>
      </c>
      <c r="AF237" s="16" t="s">
        <v>18</v>
      </c>
      <c r="AG237" s="16" t="s">
        <v>18</v>
      </c>
      <c r="AH237" s="49">
        <v>45955</v>
      </c>
      <c r="AI237" s="49">
        <v>46036</v>
      </c>
      <c r="AJ237" s="16" t="s">
        <v>606</v>
      </c>
    </row>
    <row r="238" spans="1:36" hidden="1" x14ac:dyDescent="0.35">
      <c r="A238" s="16" t="s">
        <v>296</v>
      </c>
      <c r="B238" s="16" t="s">
        <v>297</v>
      </c>
      <c r="C238" s="16" t="s">
        <v>21</v>
      </c>
      <c r="D238" s="16" t="s">
        <v>298</v>
      </c>
      <c r="E238" s="16" t="s">
        <v>167</v>
      </c>
      <c r="F238" s="16" t="s">
        <v>308</v>
      </c>
      <c r="G238" s="49">
        <v>45877</v>
      </c>
      <c r="H238" s="16" t="s">
        <v>609</v>
      </c>
      <c r="I238" s="16" t="s">
        <v>23</v>
      </c>
      <c r="J238" s="49">
        <v>45877</v>
      </c>
      <c r="K238" s="49">
        <v>45877</v>
      </c>
      <c r="L238" s="16" t="s">
        <v>315</v>
      </c>
      <c r="M238" s="61">
        <v>256779416189</v>
      </c>
      <c r="N238" s="16" t="s">
        <v>22</v>
      </c>
      <c r="O238" s="16" t="s">
        <v>300</v>
      </c>
      <c r="P238" s="16" t="s">
        <v>18</v>
      </c>
      <c r="Q238" s="16" t="s">
        <v>312</v>
      </c>
      <c r="R238" s="16"/>
      <c r="S238" s="16" t="s">
        <v>110</v>
      </c>
      <c r="T238" s="50">
        <v>2574.62</v>
      </c>
      <c r="U238" s="16" t="s">
        <v>20</v>
      </c>
      <c r="V238" s="50">
        <v>221494.87</v>
      </c>
      <c r="W238" s="16">
        <f t="shared" si="22"/>
        <v>86.030120949887745</v>
      </c>
      <c r="X238" s="16" t="s">
        <v>720</v>
      </c>
      <c r="Y238" s="16" t="s">
        <v>18</v>
      </c>
      <c r="Z238" s="16" t="s">
        <v>315</v>
      </c>
      <c r="AA238" s="16" t="s">
        <v>301</v>
      </c>
      <c r="AB238" s="16">
        <f>_xlfn.XLOOKUP(M238,'Customer Data'!$D:$D,'Customer Data'!$H:$H,,0)</f>
        <v>-2574.62</v>
      </c>
      <c r="AC238" s="62">
        <f t="shared" ref="AC238:AC239" si="25">AB238+T238</f>
        <v>0</v>
      </c>
      <c r="AD238" s="16" t="s">
        <v>610</v>
      </c>
      <c r="AE238" s="16" t="s">
        <v>18</v>
      </c>
      <c r="AF238" s="16" t="s">
        <v>18</v>
      </c>
      <c r="AG238" s="16" t="s">
        <v>18</v>
      </c>
      <c r="AH238" s="49">
        <v>45877</v>
      </c>
      <c r="AI238" s="49">
        <v>46036</v>
      </c>
      <c r="AJ238" s="16" t="s">
        <v>606</v>
      </c>
    </row>
    <row r="239" spans="1:36" hidden="1" x14ac:dyDescent="0.35">
      <c r="A239" s="16" t="s">
        <v>296</v>
      </c>
      <c r="B239" s="16" t="s">
        <v>297</v>
      </c>
      <c r="C239" s="16" t="s">
        <v>21</v>
      </c>
      <c r="D239" s="16" t="s">
        <v>298</v>
      </c>
      <c r="E239" s="16" t="s">
        <v>167</v>
      </c>
      <c r="F239" s="16" t="s">
        <v>308</v>
      </c>
      <c r="G239" s="49">
        <v>45877</v>
      </c>
      <c r="H239" s="16" t="s">
        <v>611</v>
      </c>
      <c r="I239" s="16" t="s">
        <v>23</v>
      </c>
      <c r="J239" s="49">
        <v>45877</v>
      </c>
      <c r="K239" s="49">
        <v>45877</v>
      </c>
      <c r="L239" s="16" t="s">
        <v>315</v>
      </c>
      <c r="M239" s="61">
        <v>256779416151</v>
      </c>
      <c r="N239" s="16" t="s">
        <v>22</v>
      </c>
      <c r="O239" s="16" t="s">
        <v>300</v>
      </c>
      <c r="P239" s="16" t="s">
        <v>18</v>
      </c>
      <c r="Q239" s="16" t="s">
        <v>312</v>
      </c>
      <c r="R239" s="16"/>
      <c r="S239" s="16" t="s">
        <v>110</v>
      </c>
      <c r="T239" s="50">
        <v>5735.37</v>
      </c>
      <c r="U239" s="16" t="s">
        <v>20</v>
      </c>
      <c r="V239" s="50">
        <v>493414.57</v>
      </c>
      <c r="W239" s="16">
        <f t="shared" si="22"/>
        <v>86.030120114308232</v>
      </c>
      <c r="X239" s="16" t="s">
        <v>720</v>
      </c>
      <c r="Y239" s="16" t="s">
        <v>18</v>
      </c>
      <c r="Z239" s="16" t="s">
        <v>315</v>
      </c>
      <c r="AA239" s="16" t="s">
        <v>301</v>
      </c>
      <c r="AB239" s="16">
        <f>_xlfn.XLOOKUP(M239,'Customer Data'!$D:$D,'Customer Data'!$H:$H,,0)</f>
        <v>-5735.37</v>
      </c>
      <c r="AC239" s="62">
        <f t="shared" si="25"/>
        <v>0</v>
      </c>
      <c r="AD239" s="16" t="s">
        <v>255</v>
      </c>
      <c r="AE239" s="16" t="s">
        <v>18</v>
      </c>
      <c r="AF239" s="16" t="s">
        <v>18</v>
      </c>
      <c r="AG239" s="16" t="s">
        <v>18</v>
      </c>
      <c r="AH239" s="49">
        <v>45877</v>
      </c>
      <c r="AI239" s="49">
        <v>46036</v>
      </c>
      <c r="AJ239" s="16" t="s">
        <v>606</v>
      </c>
    </row>
    <row r="240" spans="1:36" hidden="1" x14ac:dyDescent="0.35">
      <c r="A240" s="16" t="s">
        <v>296</v>
      </c>
      <c r="B240" s="16" t="s">
        <v>297</v>
      </c>
      <c r="C240" s="16" t="s">
        <v>21</v>
      </c>
      <c r="D240" s="16" t="s">
        <v>298</v>
      </c>
      <c r="E240" s="16" t="s">
        <v>175</v>
      </c>
      <c r="F240" s="16" t="s">
        <v>301</v>
      </c>
      <c r="G240" s="49">
        <v>46036</v>
      </c>
      <c r="H240" s="16" t="s">
        <v>612</v>
      </c>
      <c r="I240" s="16" t="s">
        <v>19</v>
      </c>
      <c r="J240" s="49">
        <v>46036</v>
      </c>
      <c r="K240" s="49">
        <v>46036</v>
      </c>
      <c r="L240" s="16" t="s">
        <v>613</v>
      </c>
      <c r="M240" s="61" t="s">
        <v>18</v>
      </c>
      <c r="N240" s="16" t="s">
        <v>22</v>
      </c>
      <c r="O240" s="16" t="s">
        <v>300</v>
      </c>
      <c r="P240" s="16" t="s">
        <v>18</v>
      </c>
      <c r="Q240" s="16" t="s">
        <v>320</v>
      </c>
      <c r="R240" s="16" t="e">
        <f>_xlfn.XLOOKUP(M240,'Invoice No Ref'!$C:$C,'Invoice No Ref'!$I:$I,,0)</f>
        <v>#N/A</v>
      </c>
      <c r="S240" s="16" t="s">
        <v>110</v>
      </c>
      <c r="T240" s="50">
        <v>79.94</v>
      </c>
      <c r="U240" s="16" t="s">
        <v>20</v>
      </c>
      <c r="V240" s="50">
        <v>7049.97</v>
      </c>
      <c r="W240" s="16">
        <f t="shared" si="22"/>
        <v>88.190768076057054</v>
      </c>
      <c r="X240" s="16" t="s">
        <v>719</v>
      </c>
      <c r="Y240" s="16" t="s">
        <v>18</v>
      </c>
      <c r="Z240" s="16" t="s">
        <v>18</v>
      </c>
      <c r="AA240" s="16" t="s">
        <v>301</v>
      </c>
      <c r="AB240" s="16" t="e">
        <f>_xlfn.XLOOKUP(R240,'Customer Data'!$D:$D,'Customer Data'!$F:$F,,0)</f>
        <v>#N/A</v>
      </c>
      <c r="AC240" s="16"/>
      <c r="AD240" s="16" t="s">
        <v>18</v>
      </c>
      <c r="AE240" s="16" t="s">
        <v>18</v>
      </c>
      <c r="AF240" s="16" t="s">
        <v>18</v>
      </c>
      <c r="AG240" s="16" t="s">
        <v>18</v>
      </c>
      <c r="AH240" s="49">
        <v>46036</v>
      </c>
      <c r="AI240" s="49">
        <v>46036</v>
      </c>
      <c r="AJ240" s="16" t="s">
        <v>612</v>
      </c>
    </row>
    <row r="241" spans="1:36" hidden="1" x14ac:dyDescent="0.35">
      <c r="A241" s="16" t="s">
        <v>296</v>
      </c>
      <c r="B241" s="16" t="s">
        <v>297</v>
      </c>
      <c r="C241" s="16" t="s">
        <v>21</v>
      </c>
      <c r="D241" s="16" t="s">
        <v>298</v>
      </c>
      <c r="E241" s="16" t="s">
        <v>175</v>
      </c>
      <c r="F241" s="16" t="s">
        <v>301</v>
      </c>
      <c r="G241" s="49">
        <v>46036</v>
      </c>
      <c r="H241" s="16" t="s">
        <v>612</v>
      </c>
      <c r="I241" s="16" t="s">
        <v>19</v>
      </c>
      <c r="J241" s="49">
        <v>46036</v>
      </c>
      <c r="K241" s="49">
        <v>46036</v>
      </c>
      <c r="L241" s="16" t="s">
        <v>613</v>
      </c>
      <c r="M241" s="61" t="s">
        <v>18</v>
      </c>
      <c r="N241" s="16" t="s">
        <v>22</v>
      </c>
      <c r="O241" s="16" t="s">
        <v>300</v>
      </c>
      <c r="P241" s="16" t="s">
        <v>18</v>
      </c>
      <c r="Q241" s="16" t="s">
        <v>306</v>
      </c>
      <c r="R241" s="16" t="e">
        <f>_xlfn.XLOOKUP(M241,'Invoice No Ref'!$C:$C,'Invoice No Ref'!$I:$I,,0)</f>
        <v>#N/A</v>
      </c>
      <c r="S241" s="16" t="s">
        <v>110</v>
      </c>
      <c r="T241" s="50">
        <v>-79.94</v>
      </c>
      <c r="U241" s="16" t="s">
        <v>20</v>
      </c>
      <c r="V241" s="50">
        <v>-6902.58</v>
      </c>
      <c r="W241" s="16">
        <f t="shared" si="22"/>
        <v>86.34701025769327</v>
      </c>
      <c r="X241" s="16" t="s">
        <v>720</v>
      </c>
      <c r="Y241" s="16" t="s">
        <v>18</v>
      </c>
      <c r="Z241" s="16" t="s">
        <v>18</v>
      </c>
      <c r="AA241" s="16" t="s">
        <v>302</v>
      </c>
      <c r="AB241" s="16" t="e">
        <f>_xlfn.XLOOKUP(R241,'Customer Data'!$D:$D,'Customer Data'!$F:$F,,0)</f>
        <v>#N/A</v>
      </c>
      <c r="AC241" s="16"/>
      <c r="AD241" s="16" t="s">
        <v>18</v>
      </c>
      <c r="AE241" s="16" t="s">
        <v>18</v>
      </c>
      <c r="AF241" s="16" t="s">
        <v>18</v>
      </c>
      <c r="AG241" s="16" t="s">
        <v>18</v>
      </c>
      <c r="AH241" s="49">
        <v>46036</v>
      </c>
      <c r="AI241" s="49">
        <v>46036</v>
      </c>
      <c r="AJ241" s="16" t="s">
        <v>612</v>
      </c>
    </row>
    <row r="242" spans="1:36" hidden="1" x14ac:dyDescent="0.35">
      <c r="A242" s="16" t="s">
        <v>296</v>
      </c>
      <c r="B242" s="16" t="s">
        <v>297</v>
      </c>
      <c r="C242" s="16" t="s">
        <v>21</v>
      </c>
      <c r="D242" s="16" t="s">
        <v>298</v>
      </c>
      <c r="E242" s="16" t="s">
        <v>167</v>
      </c>
      <c r="F242" s="16" t="s">
        <v>355</v>
      </c>
      <c r="G242" s="49">
        <v>45960</v>
      </c>
      <c r="H242" s="16" t="s">
        <v>614</v>
      </c>
      <c r="I242" s="16" t="s">
        <v>19</v>
      </c>
      <c r="J242" s="49">
        <v>45960</v>
      </c>
      <c r="K242" s="49">
        <v>45960</v>
      </c>
      <c r="L242" s="16" t="s">
        <v>613</v>
      </c>
      <c r="M242" s="61" t="s">
        <v>18</v>
      </c>
      <c r="N242" s="16" t="s">
        <v>22</v>
      </c>
      <c r="O242" s="16" t="s">
        <v>300</v>
      </c>
      <c r="P242" s="16" t="s">
        <v>18</v>
      </c>
      <c r="Q242" s="16" t="s">
        <v>306</v>
      </c>
      <c r="R242" s="16" t="e">
        <f>_xlfn.XLOOKUP(M242,'Invoice No Ref'!$C:$C,'Invoice No Ref'!$I:$I,,0)</f>
        <v>#N/A</v>
      </c>
      <c r="S242" s="16" t="s">
        <v>110</v>
      </c>
      <c r="T242" s="50">
        <v>-79.94</v>
      </c>
      <c r="U242" s="16" t="s">
        <v>20</v>
      </c>
      <c r="V242" s="50">
        <v>-7049.97</v>
      </c>
      <c r="W242" s="16">
        <f t="shared" si="22"/>
        <v>88.190768076057054</v>
      </c>
      <c r="X242" s="16" t="s">
        <v>719</v>
      </c>
      <c r="Y242" s="16" t="s">
        <v>18</v>
      </c>
      <c r="Z242" s="16" t="s">
        <v>18</v>
      </c>
      <c r="AA242" s="16" t="s">
        <v>302</v>
      </c>
      <c r="AB242" s="16" t="e">
        <f>_xlfn.XLOOKUP(R242,'Customer Data'!$D:$D,'Customer Data'!$F:$F,,0)</f>
        <v>#N/A</v>
      </c>
      <c r="AC242" s="16"/>
      <c r="AD242" s="16" t="s">
        <v>18</v>
      </c>
      <c r="AE242" s="16" t="s">
        <v>18</v>
      </c>
      <c r="AF242" s="16" t="s">
        <v>18</v>
      </c>
      <c r="AG242" s="16" t="s">
        <v>18</v>
      </c>
      <c r="AH242" s="49">
        <v>45960</v>
      </c>
      <c r="AI242" s="49">
        <v>46036</v>
      </c>
      <c r="AJ242" s="16" t="s">
        <v>612</v>
      </c>
    </row>
    <row r="243" spans="1:36" x14ac:dyDescent="0.35">
      <c r="A243" s="16" t="s">
        <v>296</v>
      </c>
      <c r="B243" s="16" t="s">
        <v>297</v>
      </c>
      <c r="C243" s="16" t="s">
        <v>21</v>
      </c>
      <c r="D243" s="16" t="s">
        <v>298</v>
      </c>
      <c r="E243" s="16" t="s">
        <v>167</v>
      </c>
      <c r="F243" s="16" t="s">
        <v>308</v>
      </c>
      <c r="G243" s="49">
        <v>45889</v>
      </c>
      <c r="H243" s="16" t="s">
        <v>615</v>
      </c>
      <c r="I243" s="16" t="s">
        <v>23</v>
      </c>
      <c r="J243" s="49">
        <v>45889</v>
      </c>
      <c r="K243" s="49">
        <v>45891</v>
      </c>
      <c r="L243" s="16" t="s">
        <v>315</v>
      </c>
      <c r="M243" s="61">
        <v>256779416789</v>
      </c>
      <c r="N243" s="16" t="s">
        <v>22</v>
      </c>
      <c r="O243" s="16" t="s">
        <v>300</v>
      </c>
      <c r="P243" s="16" t="s">
        <v>18</v>
      </c>
      <c r="Q243" s="16" t="s">
        <v>312</v>
      </c>
      <c r="R243" s="16" t="e">
        <f>_xlfn.XLOOKUP(M243,'Invoice No Ref'!$C:$C,'Invoice No Ref'!$I:$I,,0)</f>
        <v>#N/A</v>
      </c>
      <c r="S243" s="16" t="s">
        <v>110</v>
      </c>
      <c r="T243" s="50">
        <v>49.15</v>
      </c>
      <c r="U243" s="16" t="s">
        <v>20</v>
      </c>
      <c r="V243" s="50">
        <v>4228.38</v>
      </c>
      <c r="W243" s="16">
        <f t="shared" si="22"/>
        <v>86.030111902339783</v>
      </c>
      <c r="X243" s="16" t="s">
        <v>720</v>
      </c>
      <c r="Y243" s="16" t="s">
        <v>18</v>
      </c>
      <c r="Z243" s="16" t="s">
        <v>315</v>
      </c>
      <c r="AA243" s="16" t="s">
        <v>301</v>
      </c>
      <c r="AB243" s="16" t="e">
        <f>_xlfn.XLOOKUP(R243,'Customer Data'!$D:$D,'Customer Data'!$F:$F,,0)</f>
        <v>#N/A</v>
      </c>
      <c r="AC243" s="16"/>
      <c r="AD243" s="16" t="s">
        <v>616</v>
      </c>
      <c r="AE243" s="16" t="s">
        <v>18</v>
      </c>
      <c r="AF243" s="16" t="s">
        <v>18</v>
      </c>
      <c r="AG243" s="16" t="s">
        <v>18</v>
      </c>
      <c r="AH243" s="49">
        <v>45889</v>
      </c>
      <c r="AI243" s="49">
        <v>46036</v>
      </c>
      <c r="AJ243" s="16" t="s">
        <v>612</v>
      </c>
    </row>
    <row r="244" spans="1:36" x14ac:dyDescent="0.35">
      <c r="A244" s="16" t="s">
        <v>296</v>
      </c>
      <c r="B244" s="16" t="s">
        <v>297</v>
      </c>
      <c r="C244" s="16" t="s">
        <v>21</v>
      </c>
      <c r="D244" s="16" t="s">
        <v>298</v>
      </c>
      <c r="E244" s="16" t="s">
        <v>167</v>
      </c>
      <c r="F244" s="16" t="s">
        <v>308</v>
      </c>
      <c r="G244" s="49">
        <v>45889</v>
      </c>
      <c r="H244" s="16" t="s">
        <v>617</v>
      </c>
      <c r="I244" s="16" t="s">
        <v>23</v>
      </c>
      <c r="J244" s="49">
        <v>45889</v>
      </c>
      <c r="K244" s="49">
        <v>45891</v>
      </c>
      <c r="L244" s="16" t="s">
        <v>315</v>
      </c>
      <c r="M244" s="61">
        <v>256779416792</v>
      </c>
      <c r="N244" s="16" t="s">
        <v>22</v>
      </c>
      <c r="O244" s="16" t="s">
        <v>300</v>
      </c>
      <c r="P244" s="16" t="s">
        <v>18</v>
      </c>
      <c r="Q244" s="16" t="s">
        <v>312</v>
      </c>
      <c r="R244" s="16"/>
      <c r="S244" s="16" t="s">
        <v>110</v>
      </c>
      <c r="T244" s="50">
        <v>13.72</v>
      </c>
      <c r="U244" s="16" t="s">
        <v>20</v>
      </c>
      <c r="V244" s="50">
        <v>1180.33</v>
      </c>
      <c r="W244" s="16">
        <f t="shared" si="22"/>
        <v>86.029883381924193</v>
      </c>
      <c r="X244" s="16" t="s">
        <v>720</v>
      </c>
      <c r="Y244" s="16" t="s">
        <v>18</v>
      </c>
      <c r="Z244" s="16" t="s">
        <v>315</v>
      </c>
      <c r="AA244" s="16" t="s">
        <v>301</v>
      </c>
      <c r="AB244" s="16">
        <f>_xlfn.XLOOKUP(M244,'Customer Data'!$D:$D,'Customer Data'!$H:$H,,0)</f>
        <v>-13.72</v>
      </c>
      <c r="AC244" s="62">
        <f t="shared" ref="AC244:AC245" si="26">AB244+T244</f>
        <v>0</v>
      </c>
      <c r="AD244" s="16" t="s">
        <v>618</v>
      </c>
      <c r="AE244" s="16" t="s">
        <v>18</v>
      </c>
      <c r="AF244" s="16" t="s">
        <v>18</v>
      </c>
      <c r="AG244" s="16" t="s">
        <v>18</v>
      </c>
      <c r="AH244" s="49">
        <v>45889</v>
      </c>
      <c r="AI244" s="49">
        <v>46036</v>
      </c>
      <c r="AJ244" s="16" t="s">
        <v>612</v>
      </c>
    </row>
    <row r="245" spans="1:36" x14ac:dyDescent="0.35">
      <c r="A245" s="16" t="s">
        <v>296</v>
      </c>
      <c r="B245" s="16" t="s">
        <v>297</v>
      </c>
      <c r="C245" s="16" t="s">
        <v>21</v>
      </c>
      <c r="D245" s="16" t="s">
        <v>298</v>
      </c>
      <c r="E245" s="16" t="s">
        <v>167</v>
      </c>
      <c r="F245" s="16" t="s">
        <v>438</v>
      </c>
      <c r="G245" s="49">
        <v>45904</v>
      </c>
      <c r="H245" s="16" t="s">
        <v>619</v>
      </c>
      <c r="I245" s="16" t="s">
        <v>23</v>
      </c>
      <c r="J245" s="49">
        <v>45904</v>
      </c>
      <c r="K245" s="49">
        <v>45909</v>
      </c>
      <c r="L245" s="16" t="s">
        <v>315</v>
      </c>
      <c r="M245" s="61">
        <v>256779417102</v>
      </c>
      <c r="N245" s="16" t="s">
        <v>22</v>
      </c>
      <c r="O245" s="16" t="s">
        <v>300</v>
      </c>
      <c r="P245" s="16" t="s">
        <v>18</v>
      </c>
      <c r="Q245" s="16" t="s">
        <v>312</v>
      </c>
      <c r="R245" s="16"/>
      <c r="S245" s="16" t="s">
        <v>110</v>
      </c>
      <c r="T245" s="50">
        <v>17.07</v>
      </c>
      <c r="U245" s="16" t="s">
        <v>20</v>
      </c>
      <c r="V245" s="50">
        <v>1493.87</v>
      </c>
      <c r="W245" s="16">
        <f t="shared" si="22"/>
        <v>87.514352665495011</v>
      </c>
      <c r="X245" s="16" t="s">
        <v>720</v>
      </c>
      <c r="Y245" s="16" t="s">
        <v>18</v>
      </c>
      <c r="Z245" s="16" t="s">
        <v>315</v>
      </c>
      <c r="AA245" s="16" t="s">
        <v>301</v>
      </c>
      <c r="AB245" s="16">
        <f>_xlfn.XLOOKUP(M245,'Customer Data'!$D:$D,'Customer Data'!$H:$H,,0)</f>
        <v>-66.22</v>
      </c>
      <c r="AC245" s="62">
        <f t="shared" si="26"/>
        <v>-49.15</v>
      </c>
      <c r="AD245" s="16" t="s">
        <v>620</v>
      </c>
      <c r="AE245" s="16" t="s">
        <v>18</v>
      </c>
      <c r="AF245" s="16" t="s">
        <v>18</v>
      </c>
      <c r="AG245" s="16" t="s">
        <v>18</v>
      </c>
      <c r="AH245" s="49">
        <v>45904</v>
      </c>
      <c r="AI245" s="49">
        <v>46036</v>
      </c>
      <c r="AJ245" s="16" t="s">
        <v>612</v>
      </c>
    </row>
    <row r="246" spans="1:36" hidden="1" x14ac:dyDescent="0.35">
      <c r="A246" s="16" t="s">
        <v>296</v>
      </c>
      <c r="B246" s="16" t="s">
        <v>297</v>
      </c>
      <c r="C246" s="16" t="s">
        <v>21</v>
      </c>
      <c r="D246" s="16" t="s">
        <v>298</v>
      </c>
      <c r="E246" s="16" t="s">
        <v>175</v>
      </c>
      <c r="F246" s="16" t="s">
        <v>301</v>
      </c>
      <c r="G246" s="49">
        <v>46036</v>
      </c>
      <c r="H246" s="16" t="s">
        <v>621</v>
      </c>
      <c r="I246" s="16" t="s">
        <v>19</v>
      </c>
      <c r="J246" s="49">
        <v>46036</v>
      </c>
      <c r="K246" s="49">
        <v>46036</v>
      </c>
      <c r="L246" s="16" t="s">
        <v>622</v>
      </c>
      <c r="M246" s="61" t="s">
        <v>18</v>
      </c>
      <c r="N246" s="16" t="s">
        <v>22</v>
      </c>
      <c r="O246" s="16" t="s">
        <v>300</v>
      </c>
      <c r="P246" s="16" t="s">
        <v>18</v>
      </c>
      <c r="Q246" s="16" t="s">
        <v>320</v>
      </c>
      <c r="R246" s="16" t="e">
        <f>_xlfn.XLOOKUP(M246,'Invoice No Ref'!$C:$C,'Invoice No Ref'!$I:$I,,0)</f>
        <v>#N/A</v>
      </c>
      <c r="S246" s="16" t="s">
        <v>110</v>
      </c>
      <c r="T246" s="50">
        <v>22948.48</v>
      </c>
      <c r="U246" s="16" t="s">
        <v>20</v>
      </c>
      <c r="V246" s="50">
        <v>2019544.04</v>
      </c>
      <c r="W246" s="16">
        <f t="shared" si="22"/>
        <v>88.003390202749813</v>
      </c>
      <c r="X246" s="16" t="s">
        <v>719</v>
      </c>
      <c r="Y246" s="16" t="s">
        <v>18</v>
      </c>
      <c r="Z246" s="16" t="s">
        <v>18</v>
      </c>
      <c r="AA246" s="16" t="s">
        <v>302</v>
      </c>
      <c r="AB246" s="16" t="e">
        <f>_xlfn.XLOOKUP(R246,'Customer Data'!$D:$D,'Customer Data'!$F:$F,,0)</f>
        <v>#N/A</v>
      </c>
      <c r="AC246" s="16"/>
      <c r="AD246" s="16" t="s">
        <v>18</v>
      </c>
      <c r="AE246" s="16" t="s">
        <v>18</v>
      </c>
      <c r="AF246" s="16" t="s">
        <v>18</v>
      </c>
      <c r="AG246" s="16" t="s">
        <v>18</v>
      </c>
      <c r="AH246" s="49">
        <v>46036</v>
      </c>
      <c r="AI246" s="49">
        <v>46036</v>
      </c>
      <c r="AJ246" s="16" t="s">
        <v>621</v>
      </c>
    </row>
    <row r="247" spans="1:36" hidden="1" x14ac:dyDescent="0.35">
      <c r="A247" s="16" t="s">
        <v>296</v>
      </c>
      <c r="B247" s="16" t="s">
        <v>297</v>
      </c>
      <c r="C247" s="16" t="s">
        <v>21</v>
      </c>
      <c r="D247" s="16" t="s">
        <v>298</v>
      </c>
      <c r="E247" s="16" t="s">
        <v>175</v>
      </c>
      <c r="F247" s="16" t="s">
        <v>301</v>
      </c>
      <c r="G247" s="49">
        <v>46036</v>
      </c>
      <c r="H247" s="16" t="s">
        <v>621</v>
      </c>
      <c r="I247" s="16" t="s">
        <v>19</v>
      </c>
      <c r="J247" s="49">
        <v>46036</v>
      </c>
      <c r="K247" s="49">
        <v>46036</v>
      </c>
      <c r="L247" s="16" t="s">
        <v>622</v>
      </c>
      <c r="M247" s="61" t="s">
        <v>18</v>
      </c>
      <c r="N247" s="16" t="s">
        <v>22</v>
      </c>
      <c r="O247" s="16" t="s">
        <v>300</v>
      </c>
      <c r="P247" s="16" t="s">
        <v>18</v>
      </c>
      <c r="Q247" s="16" t="s">
        <v>306</v>
      </c>
      <c r="R247" s="16" t="e">
        <f>_xlfn.XLOOKUP(M247,'Invoice No Ref'!$C:$C,'Invoice No Ref'!$I:$I,,0)</f>
        <v>#N/A</v>
      </c>
      <c r="S247" s="16" t="s">
        <v>110</v>
      </c>
      <c r="T247" s="50">
        <v>-22973.48</v>
      </c>
      <c r="U247" s="16" t="s">
        <v>20</v>
      </c>
      <c r="V247" s="50">
        <v>-2019614.34</v>
      </c>
      <c r="W247" s="16">
        <f t="shared" si="22"/>
        <v>87.910683971257299</v>
      </c>
      <c r="X247" s="16" t="s">
        <v>720</v>
      </c>
      <c r="Y247" s="16" t="s">
        <v>18</v>
      </c>
      <c r="Z247" s="16" t="s">
        <v>18</v>
      </c>
      <c r="AA247" s="16" t="s">
        <v>310</v>
      </c>
      <c r="AB247" s="16" t="e">
        <f>_xlfn.XLOOKUP(R247,'Customer Data'!$D:$D,'Customer Data'!$F:$F,,0)</f>
        <v>#N/A</v>
      </c>
      <c r="AC247" s="16"/>
      <c r="AD247" s="16" t="s">
        <v>18</v>
      </c>
      <c r="AE247" s="16" t="s">
        <v>18</v>
      </c>
      <c r="AF247" s="16" t="s">
        <v>18</v>
      </c>
      <c r="AG247" s="16" t="s">
        <v>18</v>
      </c>
      <c r="AH247" s="49">
        <v>46036</v>
      </c>
      <c r="AI247" s="49">
        <v>46036</v>
      </c>
      <c r="AJ247" s="16" t="s">
        <v>621</v>
      </c>
    </row>
    <row r="248" spans="1:36" hidden="1" x14ac:dyDescent="0.35">
      <c r="A248" s="16" t="s">
        <v>296</v>
      </c>
      <c r="B248" s="16" t="s">
        <v>297</v>
      </c>
      <c r="C248" s="16" t="s">
        <v>21</v>
      </c>
      <c r="D248" s="16" t="s">
        <v>298</v>
      </c>
      <c r="E248" s="16" t="s">
        <v>167</v>
      </c>
      <c r="F248" s="16" t="s">
        <v>311</v>
      </c>
      <c r="G248" s="49">
        <v>45977</v>
      </c>
      <c r="H248" s="16" t="s">
        <v>623</v>
      </c>
      <c r="I248" s="16" t="s">
        <v>19</v>
      </c>
      <c r="J248" s="49">
        <v>45977</v>
      </c>
      <c r="K248" s="49">
        <v>45977</v>
      </c>
      <c r="L248" s="16" t="s">
        <v>622</v>
      </c>
      <c r="M248" s="61" t="s">
        <v>18</v>
      </c>
      <c r="N248" s="16" t="s">
        <v>22</v>
      </c>
      <c r="O248" s="16" t="s">
        <v>300</v>
      </c>
      <c r="P248" s="16" t="s">
        <v>18</v>
      </c>
      <c r="Q248" s="16" t="s">
        <v>306</v>
      </c>
      <c r="R248" s="16" t="e">
        <f>_xlfn.XLOOKUP(M248,'Invoice No Ref'!$C:$C,'Invoice No Ref'!$I:$I,,0)</f>
        <v>#N/A</v>
      </c>
      <c r="S248" s="16" t="s">
        <v>110</v>
      </c>
      <c r="T248" s="50">
        <v>-22948.48</v>
      </c>
      <c r="U248" s="16" t="s">
        <v>20</v>
      </c>
      <c r="V248" s="50">
        <v>-2019544.04</v>
      </c>
      <c r="W248" s="16">
        <f t="shared" si="22"/>
        <v>88.003390202749813</v>
      </c>
      <c r="X248" s="16" t="s">
        <v>719</v>
      </c>
      <c r="Y248" s="16" t="s">
        <v>18</v>
      </c>
      <c r="Z248" s="16" t="s">
        <v>18</v>
      </c>
      <c r="AA248" s="16" t="s">
        <v>302</v>
      </c>
      <c r="AB248" s="16" t="e">
        <f>_xlfn.XLOOKUP(R248,'Customer Data'!$D:$D,'Customer Data'!$F:$F,,0)</f>
        <v>#N/A</v>
      </c>
      <c r="AC248" s="16"/>
      <c r="AD248" s="16" t="s">
        <v>18</v>
      </c>
      <c r="AE248" s="16" t="s">
        <v>18</v>
      </c>
      <c r="AF248" s="16" t="s">
        <v>18</v>
      </c>
      <c r="AG248" s="16" t="s">
        <v>18</v>
      </c>
      <c r="AH248" s="49">
        <v>45977</v>
      </c>
      <c r="AI248" s="49">
        <v>46036</v>
      </c>
      <c r="AJ248" s="16" t="s">
        <v>621</v>
      </c>
    </row>
    <row r="249" spans="1:36" x14ac:dyDescent="0.35">
      <c r="A249" s="16" t="s">
        <v>296</v>
      </c>
      <c r="B249" s="16" t="s">
        <v>297</v>
      </c>
      <c r="C249" s="16" t="s">
        <v>21</v>
      </c>
      <c r="D249" s="16" t="s">
        <v>298</v>
      </c>
      <c r="E249" s="16" t="s">
        <v>167</v>
      </c>
      <c r="F249" s="16" t="s">
        <v>438</v>
      </c>
      <c r="G249" s="49">
        <v>45904</v>
      </c>
      <c r="H249" s="16" t="s">
        <v>624</v>
      </c>
      <c r="I249" s="16" t="s">
        <v>23</v>
      </c>
      <c r="J249" s="49">
        <v>45904</v>
      </c>
      <c r="K249" s="49">
        <v>45909</v>
      </c>
      <c r="L249" s="16" t="s">
        <v>315</v>
      </c>
      <c r="M249" s="61">
        <v>256779417182</v>
      </c>
      <c r="N249" s="16" t="s">
        <v>22</v>
      </c>
      <c r="O249" s="16" t="s">
        <v>300</v>
      </c>
      <c r="P249" s="16" t="s">
        <v>18</v>
      </c>
      <c r="Q249" s="16" t="s">
        <v>312</v>
      </c>
      <c r="R249" s="16"/>
      <c r="S249" s="16" t="s">
        <v>110</v>
      </c>
      <c r="T249" s="50">
        <v>985.4</v>
      </c>
      <c r="U249" s="16" t="s">
        <v>20</v>
      </c>
      <c r="V249" s="50">
        <v>86236.62</v>
      </c>
      <c r="W249" s="16">
        <f t="shared" si="22"/>
        <v>87.514329206413635</v>
      </c>
      <c r="X249" s="16" t="s">
        <v>720</v>
      </c>
      <c r="Y249" s="16" t="s">
        <v>18</v>
      </c>
      <c r="Z249" s="16" t="s">
        <v>315</v>
      </c>
      <c r="AA249" s="16" t="s">
        <v>301</v>
      </c>
      <c r="AB249" s="16">
        <f>_xlfn.XLOOKUP(M249,'Customer Data'!$D:$D,'Customer Data'!$H:$H,,0)</f>
        <v>-985.4</v>
      </c>
      <c r="AC249" s="62">
        <f t="shared" ref="AC249:AC256" si="27">AB249+T249</f>
        <v>0</v>
      </c>
      <c r="AD249" s="16" t="s">
        <v>265</v>
      </c>
      <c r="AE249" s="16" t="s">
        <v>18</v>
      </c>
      <c r="AF249" s="16" t="s">
        <v>18</v>
      </c>
      <c r="AG249" s="16" t="s">
        <v>18</v>
      </c>
      <c r="AH249" s="49">
        <v>45904</v>
      </c>
      <c r="AI249" s="49">
        <v>46036</v>
      </c>
      <c r="AJ249" s="16" t="s">
        <v>621</v>
      </c>
    </row>
    <row r="250" spans="1:36" x14ac:dyDescent="0.35">
      <c r="A250" s="16" t="s">
        <v>296</v>
      </c>
      <c r="B250" s="16" t="s">
        <v>297</v>
      </c>
      <c r="C250" s="16" t="s">
        <v>21</v>
      </c>
      <c r="D250" s="16" t="s">
        <v>298</v>
      </c>
      <c r="E250" s="16" t="s">
        <v>167</v>
      </c>
      <c r="F250" s="16" t="s">
        <v>438</v>
      </c>
      <c r="G250" s="49">
        <v>45904</v>
      </c>
      <c r="H250" s="16" t="s">
        <v>625</v>
      </c>
      <c r="I250" s="16" t="s">
        <v>23</v>
      </c>
      <c r="J250" s="49">
        <v>45904</v>
      </c>
      <c r="K250" s="49">
        <v>45909</v>
      </c>
      <c r="L250" s="16" t="s">
        <v>315</v>
      </c>
      <c r="M250" s="61">
        <v>256779417189</v>
      </c>
      <c r="N250" s="16" t="s">
        <v>22</v>
      </c>
      <c r="O250" s="16" t="s">
        <v>300</v>
      </c>
      <c r="P250" s="16" t="s">
        <v>18</v>
      </c>
      <c r="Q250" s="16" t="s">
        <v>312</v>
      </c>
      <c r="R250" s="16"/>
      <c r="S250" s="16" t="s">
        <v>110</v>
      </c>
      <c r="T250" s="50">
        <v>24.9</v>
      </c>
      <c r="U250" s="16" t="s">
        <v>20</v>
      </c>
      <c r="V250" s="50">
        <v>2179.11</v>
      </c>
      <c r="W250" s="16">
        <f t="shared" si="22"/>
        <v>87.514457831325316</v>
      </c>
      <c r="X250" s="16" t="s">
        <v>720</v>
      </c>
      <c r="Y250" s="16" t="s">
        <v>18</v>
      </c>
      <c r="Z250" s="16" t="s">
        <v>315</v>
      </c>
      <c r="AA250" s="16" t="s">
        <v>301</v>
      </c>
      <c r="AB250" s="16">
        <f>_xlfn.XLOOKUP(M250,'Customer Data'!$D:$D,'Customer Data'!$H:$H,,0)</f>
        <v>-24.9</v>
      </c>
      <c r="AC250" s="62">
        <f t="shared" si="27"/>
        <v>0</v>
      </c>
      <c r="AD250" s="16" t="s">
        <v>262</v>
      </c>
      <c r="AE250" s="16" t="s">
        <v>18</v>
      </c>
      <c r="AF250" s="16" t="s">
        <v>18</v>
      </c>
      <c r="AG250" s="16" t="s">
        <v>18</v>
      </c>
      <c r="AH250" s="49">
        <v>45904</v>
      </c>
      <c r="AI250" s="49">
        <v>46036</v>
      </c>
      <c r="AJ250" s="16" t="s">
        <v>621</v>
      </c>
    </row>
    <row r="251" spans="1:36" x14ac:dyDescent="0.35">
      <c r="A251" s="16" t="s">
        <v>296</v>
      </c>
      <c r="B251" s="16" t="s">
        <v>297</v>
      </c>
      <c r="C251" s="16" t="s">
        <v>21</v>
      </c>
      <c r="D251" s="16" t="s">
        <v>298</v>
      </c>
      <c r="E251" s="16" t="s">
        <v>167</v>
      </c>
      <c r="F251" s="16" t="s">
        <v>438</v>
      </c>
      <c r="G251" s="49">
        <v>45904</v>
      </c>
      <c r="H251" s="16" t="s">
        <v>626</v>
      </c>
      <c r="I251" s="16" t="s">
        <v>23</v>
      </c>
      <c r="J251" s="49">
        <v>45904</v>
      </c>
      <c r="K251" s="49">
        <v>45909</v>
      </c>
      <c r="L251" s="16" t="s">
        <v>315</v>
      </c>
      <c r="M251" s="61">
        <v>256779417233</v>
      </c>
      <c r="N251" s="16" t="s">
        <v>22</v>
      </c>
      <c r="O251" s="16" t="s">
        <v>300</v>
      </c>
      <c r="P251" s="16" t="s">
        <v>18</v>
      </c>
      <c r="Q251" s="16" t="s">
        <v>312</v>
      </c>
      <c r="R251" s="16"/>
      <c r="S251" s="16" t="s">
        <v>110</v>
      </c>
      <c r="T251" s="50">
        <v>710.32</v>
      </c>
      <c r="U251" s="16" t="s">
        <v>20</v>
      </c>
      <c r="V251" s="50">
        <v>62163.18</v>
      </c>
      <c r="W251" s="16">
        <f t="shared" si="22"/>
        <v>87.514331568870361</v>
      </c>
      <c r="X251" s="16" t="s">
        <v>720</v>
      </c>
      <c r="Y251" s="16" t="s">
        <v>18</v>
      </c>
      <c r="Z251" s="16" t="s">
        <v>315</v>
      </c>
      <c r="AA251" s="16" t="s">
        <v>301</v>
      </c>
      <c r="AB251" s="16">
        <f>_xlfn.XLOOKUP(M251,'Customer Data'!$D:$D,'Customer Data'!$H:$H,,0)</f>
        <v>-710.32</v>
      </c>
      <c r="AC251" s="62">
        <f t="shared" si="27"/>
        <v>0</v>
      </c>
      <c r="AD251" s="16" t="s">
        <v>260</v>
      </c>
      <c r="AE251" s="16" t="s">
        <v>18</v>
      </c>
      <c r="AF251" s="16" t="s">
        <v>18</v>
      </c>
      <c r="AG251" s="16" t="s">
        <v>18</v>
      </c>
      <c r="AH251" s="49">
        <v>45904</v>
      </c>
      <c r="AI251" s="49">
        <v>46036</v>
      </c>
      <c r="AJ251" s="16" t="s">
        <v>621</v>
      </c>
    </row>
    <row r="252" spans="1:36" x14ac:dyDescent="0.35">
      <c r="A252" s="16" t="s">
        <v>296</v>
      </c>
      <c r="B252" s="16" t="s">
        <v>297</v>
      </c>
      <c r="C252" s="16" t="s">
        <v>21</v>
      </c>
      <c r="D252" s="16" t="s">
        <v>298</v>
      </c>
      <c r="E252" s="16" t="s">
        <v>167</v>
      </c>
      <c r="F252" s="16" t="s">
        <v>438</v>
      </c>
      <c r="G252" s="49">
        <v>45904</v>
      </c>
      <c r="H252" s="16" t="s">
        <v>627</v>
      </c>
      <c r="I252" s="16" t="s">
        <v>23</v>
      </c>
      <c r="J252" s="49">
        <v>45904</v>
      </c>
      <c r="K252" s="49">
        <v>45909</v>
      </c>
      <c r="L252" s="16" t="s">
        <v>315</v>
      </c>
      <c r="M252" s="61">
        <v>256779417249</v>
      </c>
      <c r="N252" s="16" t="s">
        <v>22</v>
      </c>
      <c r="O252" s="16" t="s">
        <v>300</v>
      </c>
      <c r="P252" s="16" t="s">
        <v>18</v>
      </c>
      <c r="Q252" s="16" t="s">
        <v>312</v>
      </c>
      <c r="R252" s="16"/>
      <c r="S252" s="16" t="s">
        <v>110</v>
      </c>
      <c r="T252" s="50">
        <v>59</v>
      </c>
      <c r="U252" s="16" t="s">
        <v>20</v>
      </c>
      <c r="V252" s="50">
        <v>5163.3500000000004</v>
      </c>
      <c r="W252" s="16">
        <f t="shared" si="22"/>
        <v>87.51440677966103</v>
      </c>
      <c r="X252" s="16" t="s">
        <v>720</v>
      </c>
      <c r="Y252" s="16" t="s">
        <v>18</v>
      </c>
      <c r="Z252" s="16" t="s">
        <v>315</v>
      </c>
      <c r="AA252" s="16" t="s">
        <v>301</v>
      </c>
      <c r="AB252" s="16">
        <f>_xlfn.XLOOKUP(M252,'Customer Data'!$D:$D,'Customer Data'!$H:$H,,0)</f>
        <v>-59</v>
      </c>
      <c r="AC252" s="62">
        <f t="shared" si="27"/>
        <v>0</v>
      </c>
      <c r="AD252" s="16" t="s">
        <v>628</v>
      </c>
      <c r="AE252" s="16" t="s">
        <v>18</v>
      </c>
      <c r="AF252" s="16" t="s">
        <v>18</v>
      </c>
      <c r="AG252" s="16" t="s">
        <v>18</v>
      </c>
      <c r="AH252" s="49">
        <v>45904</v>
      </c>
      <c r="AI252" s="49">
        <v>46036</v>
      </c>
      <c r="AJ252" s="16" t="s">
        <v>621</v>
      </c>
    </row>
    <row r="253" spans="1:36" x14ac:dyDescent="0.35">
      <c r="A253" s="16" t="s">
        <v>296</v>
      </c>
      <c r="B253" s="16" t="s">
        <v>297</v>
      </c>
      <c r="C253" s="16" t="s">
        <v>21</v>
      </c>
      <c r="D253" s="16" t="s">
        <v>298</v>
      </c>
      <c r="E253" s="16" t="s">
        <v>167</v>
      </c>
      <c r="F253" s="16" t="s">
        <v>438</v>
      </c>
      <c r="G253" s="49">
        <v>45904</v>
      </c>
      <c r="H253" s="16" t="s">
        <v>629</v>
      </c>
      <c r="I253" s="16" t="s">
        <v>23</v>
      </c>
      <c r="J253" s="49">
        <v>45904</v>
      </c>
      <c r="K253" s="49">
        <v>45909</v>
      </c>
      <c r="L253" s="16" t="s">
        <v>315</v>
      </c>
      <c r="M253" s="61">
        <v>256779417254</v>
      </c>
      <c r="N253" s="16" t="s">
        <v>22</v>
      </c>
      <c r="O253" s="16" t="s">
        <v>300</v>
      </c>
      <c r="P253" s="16" t="s">
        <v>18</v>
      </c>
      <c r="Q253" s="16" t="s">
        <v>312</v>
      </c>
      <c r="R253" s="16"/>
      <c r="S253" s="16" t="s">
        <v>110</v>
      </c>
      <c r="T253" s="50">
        <v>51.22</v>
      </c>
      <c r="U253" s="16" t="s">
        <v>20</v>
      </c>
      <c r="V253" s="50">
        <v>4482.4799999999996</v>
      </c>
      <c r="W253" s="16">
        <f t="shared" si="22"/>
        <v>87.51425224521671</v>
      </c>
      <c r="X253" s="16" t="s">
        <v>720</v>
      </c>
      <c r="Y253" s="16" t="s">
        <v>18</v>
      </c>
      <c r="Z253" s="16" t="s">
        <v>315</v>
      </c>
      <c r="AA253" s="16" t="s">
        <v>301</v>
      </c>
      <c r="AB253" s="16">
        <f>_xlfn.XLOOKUP(M253,'Customer Data'!$D:$D,'Customer Data'!$H:$H,,0)</f>
        <v>-51.22</v>
      </c>
      <c r="AC253" s="62">
        <f t="shared" si="27"/>
        <v>0</v>
      </c>
      <c r="AD253" s="16" t="s">
        <v>258</v>
      </c>
      <c r="AE253" s="16" t="s">
        <v>18</v>
      </c>
      <c r="AF253" s="16" t="s">
        <v>18</v>
      </c>
      <c r="AG253" s="16" t="s">
        <v>18</v>
      </c>
      <c r="AH253" s="49">
        <v>45904</v>
      </c>
      <c r="AI253" s="49">
        <v>46036</v>
      </c>
      <c r="AJ253" s="16" t="s">
        <v>621</v>
      </c>
    </row>
    <row r="254" spans="1:36" x14ac:dyDescent="0.35">
      <c r="A254" s="16" t="s">
        <v>296</v>
      </c>
      <c r="B254" s="16" t="s">
        <v>297</v>
      </c>
      <c r="C254" s="16" t="s">
        <v>21</v>
      </c>
      <c r="D254" s="16" t="s">
        <v>298</v>
      </c>
      <c r="E254" s="16" t="s">
        <v>167</v>
      </c>
      <c r="F254" s="16" t="s">
        <v>438</v>
      </c>
      <c r="G254" s="49">
        <v>45904</v>
      </c>
      <c r="H254" s="16" t="s">
        <v>630</v>
      </c>
      <c r="I254" s="16" t="s">
        <v>23</v>
      </c>
      <c r="J254" s="49">
        <v>45904</v>
      </c>
      <c r="K254" s="49">
        <v>45909</v>
      </c>
      <c r="L254" s="16" t="s">
        <v>315</v>
      </c>
      <c r="M254" s="61">
        <v>256779417193</v>
      </c>
      <c r="N254" s="16" t="s">
        <v>22</v>
      </c>
      <c r="O254" s="16" t="s">
        <v>300</v>
      </c>
      <c r="P254" s="16" t="s">
        <v>18</v>
      </c>
      <c r="Q254" s="16" t="s">
        <v>312</v>
      </c>
      <c r="R254" s="16"/>
      <c r="S254" s="16" t="s">
        <v>110</v>
      </c>
      <c r="T254" s="50">
        <v>620.1</v>
      </c>
      <c r="U254" s="16" t="s">
        <v>20</v>
      </c>
      <c r="V254" s="50">
        <v>54267.64</v>
      </c>
      <c r="W254" s="16">
        <f t="shared" si="22"/>
        <v>87.514336397355265</v>
      </c>
      <c r="X254" s="16" t="s">
        <v>720</v>
      </c>
      <c r="Y254" s="16" t="s">
        <v>18</v>
      </c>
      <c r="Z254" s="16" t="s">
        <v>315</v>
      </c>
      <c r="AA254" s="16" t="s">
        <v>301</v>
      </c>
      <c r="AB254" s="16">
        <f>_xlfn.XLOOKUP(M254,'Customer Data'!$D:$D,'Customer Data'!$H:$H,,0)</f>
        <v>-620.1</v>
      </c>
      <c r="AC254" s="62">
        <f t="shared" si="27"/>
        <v>0</v>
      </c>
      <c r="AD254" s="16" t="s">
        <v>261</v>
      </c>
      <c r="AE254" s="16" t="s">
        <v>18</v>
      </c>
      <c r="AF254" s="16" t="s">
        <v>18</v>
      </c>
      <c r="AG254" s="16" t="s">
        <v>18</v>
      </c>
      <c r="AH254" s="49">
        <v>45904</v>
      </c>
      <c r="AI254" s="49">
        <v>46036</v>
      </c>
      <c r="AJ254" s="16" t="s">
        <v>621</v>
      </c>
    </row>
    <row r="255" spans="1:36" x14ac:dyDescent="0.35">
      <c r="A255" s="16" t="s">
        <v>296</v>
      </c>
      <c r="B255" s="16" t="s">
        <v>297</v>
      </c>
      <c r="C255" s="16" t="s">
        <v>21</v>
      </c>
      <c r="D255" s="16" t="s">
        <v>298</v>
      </c>
      <c r="E255" s="16" t="s">
        <v>167</v>
      </c>
      <c r="F255" s="16" t="s">
        <v>438</v>
      </c>
      <c r="G255" s="49">
        <v>45904</v>
      </c>
      <c r="H255" s="16" t="s">
        <v>631</v>
      </c>
      <c r="I255" s="16" t="s">
        <v>23</v>
      </c>
      <c r="J255" s="49">
        <v>45904</v>
      </c>
      <c r="K255" s="49">
        <v>45909</v>
      </c>
      <c r="L255" s="16" t="s">
        <v>315</v>
      </c>
      <c r="M255" s="61">
        <v>256779417265</v>
      </c>
      <c r="N255" s="16" t="s">
        <v>22</v>
      </c>
      <c r="O255" s="16" t="s">
        <v>300</v>
      </c>
      <c r="P255" s="16" t="s">
        <v>18</v>
      </c>
      <c r="Q255" s="16" t="s">
        <v>312</v>
      </c>
      <c r="R255" s="16"/>
      <c r="S255" s="16" t="s">
        <v>110</v>
      </c>
      <c r="T255" s="50">
        <v>4958.09</v>
      </c>
      <c r="U255" s="16" t="s">
        <v>20</v>
      </c>
      <c r="V255" s="50">
        <v>433903.92</v>
      </c>
      <c r="W255" s="16">
        <f t="shared" si="22"/>
        <v>87.514329106571282</v>
      </c>
      <c r="X255" s="16" t="s">
        <v>720</v>
      </c>
      <c r="Y255" s="16" t="s">
        <v>18</v>
      </c>
      <c r="Z255" s="16" t="s">
        <v>315</v>
      </c>
      <c r="AA255" s="16" t="s">
        <v>301</v>
      </c>
      <c r="AB255" s="16">
        <f>_xlfn.XLOOKUP(M255,'Customer Data'!$D:$D,'Customer Data'!$H:$H,,0)</f>
        <v>-4958.09</v>
      </c>
      <c r="AC255" s="62">
        <f t="shared" si="27"/>
        <v>0</v>
      </c>
      <c r="AD255" s="16" t="s">
        <v>264</v>
      </c>
      <c r="AE255" s="16" t="s">
        <v>18</v>
      </c>
      <c r="AF255" s="16" t="s">
        <v>18</v>
      </c>
      <c r="AG255" s="16" t="s">
        <v>18</v>
      </c>
      <c r="AH255" s="49">
        <v>45904</v>
      </c>
      <c r="AI255" s="49">
        <v>46036</v>
      </c>
      <c r="AJ255" s="16" t="s">
        <v>621</v>
      </c>
    </row>
    <row r="256" spans="1:36" x14ac:dyDescent="0.35">
      <c r="A256" s="16" t="s">
        <v>296</v>
      </c>
      <c r="B256" s="16" t="s">
        <v>297</v>
      </c>
      <c r="C256" s="16" t="s">
        <v>21</v>
      </c>
      <c r="D256" s="16" t="s">
        <v>298</v>
      </c>
      <c r="E256" s="16" t="s">
        <v>167</v>
      </c>
      <c r="F256" s="16" t="s">
        <v>438</v>
      </c>
      <c r="G256" s="49">
        <v>45904</v>
      </c>
      <c r="H256" s="16" t="s">
        <v>632</v>
      </c>
      <c r="I256" s="16" t="s">
        <v>23</v>
      </c>
      <c r="J256" s="49">
        <v>45904</v>
      </c>
      <c r="K256" s="49">
        <v>45909</v>
      </c>
      <c r="L256" s="16" t="s">
        <v>315</v>
      </c>
      <c r="M256" s="61">
        <v>256779417294</v>
      </c>
      <c r="N256" s="16" t="s">
        <v>22</v>
      </c>
      <c r="O256" s="16" t="s">
        <v>300</v>
      </c>
      <c r="P256" s="16" t="s">
        <v>18</v>
      </c>
      <c r="Q256" s="16" t="s">
        <v>312</v>
      </c>
      <c r="R256" s="16"/>
      <c r="S256" s="16" t="s">
        <v>110</v>
      </c>
      <c r="T256" s="50">
        <v>2063.13</v>
      </c>
      <c r="U256" s="16" t="s">
        <v>20</v>
      </c>
      <c r="V256" s="50">
        <v>180553.44</v>
      </c>
      <c r="W256" s="16">
        <f t="shared" si="22"/>
        <v>87.51433016823951</v>
      </c>
      <c r="X256" s="16" t="s">
        <v>720</v>
      </c>
      <c r="Y256" s="16" t="s">
        <v>18</v>
      </c>
      <c r="Z256" s="16" t="s">
        <v>744</v>
      </c>
      <c r="AA256" s="16" t="s">
        <v>301</v>
      </c>
      <c r="AB256" s="16">
        <f>_xlfn.XLOOKUP(M256,'Customer Data'!$D:$D,'Customer Data'!$H:$H,,0)</f>
        <v>-2063.13</v>
      </c>
      <c r="AC256" s="62">
        <f t="shared" si="27"/>
        <v>0</v>
      </c>
      <c r="AD256" s="16" t="s">
        <v>633</v>
      </c>
      <c r="AE256" s="16" t="s">
        <v>18</v>
      </c>
      <c r="AF256" s="16" t="s">
        <v>18</v>
      </c>
      <c r="AG256" s="16" t="s">
        <v>18</v>
      </c>
      <c r="AH256" s="49">
        <v>45904</v>
      </c>
      <c r="AI256" s="49">
        <v>46036</v>
      </c>
      <c r="AJ256" s="16" t="s">
        <v>621</v>
      </c>
    </row>
    <row r="257" spans="1:36" hidden="1" x14ac:dyDescent="0.35">
      <c r="A257" s="16" t="s">
        <v>296</v>
      </c>
      <c r="B257" s="16" t="s">
        <v>297</v>
      </c>
      <c r="C257" s="16" t="s">
        <v>21</v>
      </c>
      <c r="D257" s="16" t="s">
        <v>298</v>
      </c>
      <c r="E257" s="16" t="s">
        <v>167</v>
      </c>
      <c r="F257" s="16" t="s">
        <v>438</v>
      </c>
      <c r="G257" s="49">
        <v>45917</v>
      </c>
      <c r="H257" s="16" t="s">
        <v>634</v>
      </c>
      <c r="I257" s="16" t="s">
        <v>23</v>
      </c>
      <c r="J257" s="49">
        <v>45917</v>
      </c>
      <c r="K257" s="49">
        <v>45922</v>
      </c>
      <c r="L257" s="16" t="s">
        <v>315</v>
      </c>
      <c r="M257" s="61">
        <v>256779417462</v>
      </c>
      <c r="N257" s="16" t="s">
        <v>22</v>
      </c>
      <c r="O257" s="16" t="s">
        <v>300</v>
      </c>
      <c r="P257" s="16" t="s">
        <v>18</v>
      </c>
      <c r="Q257" s="16" t="s">
        <v>312</v>
      </c>
      <c r="R257" s="16" t="e">
        <f>_xlfn.XLOOKUP(M257,'Invoice No Ref'!$C:$C,'Invoice No Ref'!$I:$I,,0)</f>
        <v>#N/A</v>
      </c>
      <c r="S257" s="16" t="s">
        <v>110</v>
      </c>
      <c r="T257" s="50">
        <v>40.22</v>
      </c>
      <c r="U257" s="16" t="s">
        <v>20</v>
      </c>
      <c r="V257" s="50">
        <v>3519.83</v>
      </c>
      <c r="W257" s="16">
        <f t="shared" si="22"/>
        <v>87.514420686225762</v>
      </c>
      <c r="X257" s="16" t="s">
        <v>720</v>
      </c>
      <c r="Y257" s="16" t="s">
        <v>18</v>
      </c>
      <c r="Z257" s="16" t="s">
        <v>745</v>
      </c>
      <c r="AA257" s="16" t="s">
        <v>301</v>
      </c>
      <c r="AB257" s="16" t="e">
        <f>_xlfn.XLOOKUP(R257,'Customer Data'!$D:$D,'Customer Data'!$F:$F,,0)</f>
        <v>#N/A</v>
      </c>
      <c r="AC257" s="16"/>
      <c r="AD257" s="16" t="s">
        <v>635</v>
      </c>
      <c r="AE257" s="16" t="s">
        <v>18</v>
      </c>
      <c r="AF257" s="16" t="s">
        <v>18</v>
      </c>
      <c r="AG257" s="16" t="s">
        <v>18</v>
      </c>
      <c r="AH257" s="49">
        <v>45917</v>
      </c>
      <c r="AI257" s="49">
        <v>46036</v>
      </c>
      <c r="AJ257" s="16" t="s">
        <v>621</v>
      </c>
    </row>
    <row r="258" spans="1:36" hidden="1" x14ac:dyDescent="0.35">
      <c r="A258" s="16" t="s">
        <v>296</v>
      </c>
      <c r="B258" s="16" t="s">
        <v>297</v>
      </c>
      <c r="C258" s="16" t="s">
        <v>21</v>
      </c>
      <c r="D258" s="16" t="s">
        <v>298</v>
      </c>
      <c r="E258" s="16" t="s">
        <v>167</v>
      </c>
      <c r="F258" s="16" t="s">
        <v>355</v>
      </c>
      <c r="G258" s="49">
        <v>45935</v>
      </c>
      <c r="H258" s="16" t="s">
        <v>636</v>
      </c>
      <c r="I258" s="16" t="s">
        <v>23</v>
      </c>
      <c r="J258" s="49">
        <v>45935</v>
      </c>
      <c r="K258" s="49">
        <v>45937</v>
      </c>
      <c r="L258" s="16" t="s">
        <v>315</v>
      </c>
      <c r="M258" s="61">
        <v>256779417882</v>
      </c>
      <c r="N258" s="16" t="s">
        <v>22</v>
      </c>
      <c r="O258" s="16" t="s">
        <v>300</v>
      </c>
      <c r="P258" s="16" t="s">
        <v>18</v>
      </c>
      <c r="Q258" s="16" t="s">
        <v>312</v>
      </c>
      <c r="R258" s="16"/>
      <c r="S258" s="16" t="s">
        <v>110</v>
      </c>
      <c r="T258" s="50">
        <v>603.79999999999995</v>
      </c>
      <c r="U258" s="16" t="s">
        <v>20</v>
      </c>
      <c r="V258" s="50">
        <v>53249.59</v>
      </c>
      <c r="W258" s="16">
        <f t="shared" si="22"/>
        <v>88.190775091089762</v>
      </c>
      <c r="X258" s="16" t="s">
        <v>720</v>
      </c>
      <c r="Y258" s="16" t="s">
        <v>18</v>
      </c>
      <c r="Z258" s="16" t="s">
        <v>746</v>
      </c>
      <c r="AA258" s="16" t="s">
        <v>301</v>
      </c>
      <c r="AB258" s="16">
        <f>_xlfn.XLOOKUP(M258,'Customer Data'!$D:$D,'Customer Data'!$H:$H,,0)</f>
        <v>-603.79999999999995</v>
      </c>
      <c r="AC258" s="62">
        <f t="shared" ref="AC258:AC264" si="28">AB258+T258</f>
        <v>0</v>
      </c>
      <c r="AD258" s="16" t="s">
        <v>269</v>
      </c>
      <c r="AE258" s="16" t="s">
        <v>18</v>
      </c>
      <c r="AF258" s="16" t="s">
        <v>18</v>
      </c>
      <c r="AG258" s="16" t="s">
        <v>18</v>
      </c>
      <c r="AH258" s="49">
        <v>45935</v>
      </c>
      <c r="AI258" s="49">
        <v>46036</v>
      </c>
      <c r="AJ258" s="16" t="s">
        <v>621</v>
      </c>
    </row>
    <row r="259" spans="1:36" hidden="1" x14ac:dyDescent="0.35">
      <c r="A259" s="16" t="s">
        <v>296</v>
      </c>
      <c r="B259" s="16" t="s">
        <v>297</v>
      </c>
      <c r="C259" s="16" t="s">
        <v>21</v>
      </c>
      <c r="D259" s="16" t="s">
        <v>298</v>
      </c>
      <c r="E259" s="16" t="s">
        <v>167</v>
      </c>
      <c r="F259" s="16" t="s">
        <v>355</v>
      </c>
      <c r="G259" s="49">
        <v>45935</v>
      </c>
      <c r="H259" s="16" t="s">
        <v>637</v>
      </c>
      <c r="I259" s="16" t="s">
        <v>23</v>
      </c>
      <c r="J259" s="49">
        <v>45935</v>
      </c>
      <c r="K259" s="49">
        <v>45937</v>
      </c>
      <c r="L259" s="16" t="s">
        <v>315</v>
      </c>
      <c r="M259" s="61">
        <v>256779417910</v>
      </c>
      <c r="N259" s="16" t="s">
        <v>22</v>
      </c>
      <c r="O259" s="16" t="s">
        <v>300</v>
      </c>
      <c r="P259" s="16" t="s">
        <v>18</v>
      </c>
      <c r="Q259" s="16" t="s">
        <v>312</v>
      </c>
      <c r="R259" s="16"/>
      <c r="S259" s="16" t="s">
        <v>110</v>
      </c>
      <c r="T259" s="50">
        <v>7291.31</v>
      </c>
      <c r="U259" s="16" t="s">
        <v>20</v>
      </c>
      <c r="V259" s="50">
        <v>643026.24</v>
      </c>
      <c r="W259" s="16">
        <f t="shared" ref="W259:W295" si="29">V259/T259</f>
        <v>88.190769559928185</v>
      </c>
      <c r="X259" s="16" t="s">
        <v>720</v>
      </c>
      <c r="Y259" s="16" t="s">
        <v>18</v>
      </c>
      <c r="Z259" s="16" t="s">
        <v>315</v>
      </c>
      <c r="AA259" s="16" t="s">
        <v>301</v>
      </c>
      <c r="AB259" s="16">
        <f>_xlfn.XLOOKUP(M259,'Customer Data'!$D:$D,'Customer Data'!$H:$H,,0)</f>
        <v>-7291.31</v>
      </c>
      <c r="AC259" s="62">
        <f t="shared" si="28"/>
        <v>0</v>
      </c>
      <c r="AD259" s="16" t="s">
        <v>271</v>
      </c>
      <c r="AE259" s="16" t="s">
        <v>18</v>
      </c>
      <c r="AF259" s="16" t="s">
        <v>18</v>
      </c>
      <c r="AG259" s="16" t="s">
        <v>18</v>
      </c>
      <c r="AH259" s="49">
        <v>45935</v>
      </c>
      <c r="AI259" s="49">
        <v>46036</v>
      </c>
      <c r="AJ259" s="16" t="s">
        <v>621</v>
      </c>
    </row>
    <row r="260" spans="1:36" hidden="1" x14ac:dyDescent="0.35">
      <c r="A260" s="16" t="s">
        <v>296</v>
      </c>
      <c r="B260" s="16" t="s">
        <v>297</v>
      </c>
      <c r="C260" s="16" t="s">
        <v>21</v>
      </c>
      <c r="D260" s="16" t="s">
        <v>298</v>
      </c>
      <c r="E260" s="16" t="s">
        <v>167</v>
      </c>
      <c r="F260" s="16" t="s">
        <v>355</v>
      </c>
      <c r="G260" s="49">
        <v>45935</v>
      </c>
      <c r="H260" s="16" t="s">
        <v>638</v>
      </c>
      <c r="I260" s="16" t="s">
        <v>23</v>
      </c>
      <c r="J260" s="49">
        <v>45935</v>
      </c>
      <c r="K260" s="49">
        <v>45937</v>
      </c>
      <c r="L260" s="16" t="s">
        <v>315</v>
      </c>
      <c r="M260" s="61">
        <v>256779417953</v>
      </c>
      <c r="N260" s="16" t="s">
        <v>22</v>
      </c>
      <c r="O260" s="16" t="s">
        <v>300</v>
      </c>
      <c r="P260" s="16" t="s">
        <v>18</v>
      </c>
      <c r="Q260" s="16" t="s">
        <v>312</v>
      </c>
      <c r="R260" s="16"/>
      <c r="S260" s="16" t="s">
        <v>110</v>
      </c>
      <c r="T260" s="50">
        <v>3981.8</v>
      </c>
      <c r="U260" s="16" t="s">
        <v>20</v>
      </c>
      <c r="V260" s="50">
        <v>351158.01</v>
      </c>
      <c r="W260" s="16">
        <f t="shared" si="29"/>
        <v>88.190770505801396</v>
      </c>
      <c r="X260" s="16" t="s">
        <v>720</v>
      </c>
      <c r="Y260" s="16" t="s">
        <v>18</v>
      </c>
      <c r="Z260" s="16" t="s">
        <v>747</v>
      </c>
      <c r="AA260" s="16" t="s">
        <v>301</v>
      </c>
      <c r="AB260" s="16">
        <f>_xlfn.XLOOKUP(M260,'Customer Data'!$D:$D,'Customer Data'!$H:$H,,0)</f>
        <v>-3981.8</v>
      </c>
      <c r="AC260" s="62">
        <f t="shared" si="28"/>
        <v>0</v>
      </c>
      <c r="AD260" s="16" t="s">
        <v>272</v>
      </c>
      <c r="AE260" s="16" t="s">
        <v>18</v>
      </c>
      <c r="AF260" s="16" t="s">
        <v>18</v>
      </c>
      <c r="AG260" s="16" t="s">
        <v>18</v>
      </c>
      <c r="AH260" s="49">
        <v>45935</v>
      </c>
      <c r="AI260" s="49">
        <v>46036</v>
      </c>
      <c r="AJ260" s="16" t="s">
        <v>621</v>
      </c>
    </row>
    <row r="261" spans="1:36" hidden="1" x14ac:dyDescent="0.35">
      <c r="A261" s="16" t="s">
        <v>296</v>
      </c>
      <c r="B261" s="16" t="s">
        <v>297</v>
      </c>
      <c r="C261" s="16" t="s">
        <v>21</v>
      </c>
      <c r="D261" s="16" t="s">
        <v>298</v>
      </c>
      <c r="E261" s="16" t="s">
        <v>167</v>
      </c>
      <c r="F261" s="16" t="s">
        <v>355</v>
      </c>
      <c r="G261" s="49">
        <v>45938</v>
      </c>
      <c r="H261" s="16" t="s">
        <v>639</v>
      </c>
      <c r="I261" s="16" t="s">
        <v>23</v>
      </c>
      <c r="J261" s="49">
        <v>45938</v>
      </c>
      <c r="K261" s="49">
        <v>45939</v>
      </c>
      <c r="L261" s="16" t="s">
        <v>315</v>
      </c>
      <c r="M261" s="61">
        <v>256779418096</v>
      </c>
      <c r="N261" s="16" t="s">
        <v>22</v>
      </c>
      <c r="O261" s="16" t="s">
        <v>300</v>
      </c>
      <c r="P261" s="16" t="s">
        <v>18</v>
      </c>
      <c r="Q261" s="16" t="s">
        <v>312</v>
      </c>
      <c r="R261" s="16"/>
      <c r="S261" s="16" t="s">
        <v>110</v>
      </c>
      <c r="T261" s="50">
        <v>67.58</v>
      </c>
      <c r="U261" s="16" t="s">
        <v>20</v>
      </c>
      <c r="V261" s="50">
        <v>5959.93</v>
      </c>
      <c r="W261" s="16">
        <f t="shared" si="29"/>
        <v>88.19073690440959</v>
      </c>
      <c r="X261" s="16" t="s">
        <v>720</v>
      </c>
      <c r="Y261" s="16" t="s">
        <v>18</v>
      </c>
      <c r="Z261" s="16" t="s">
        <v>748</v>
      </c>
      <c r="AA261" s="16" t="s">
        <v>301</v>
      </c>
      <c r="AB261" s="16">
        <f>_xlfn.XLOOKUP(M261,'Customer Data'!$D:$D,'Customer Data'!$H:$H,,0)</f>
        <v>-67.58</v>
      </c>
      <c r="AC261" s="62">
        <f t="shared" si="28"/>
        <v>0</v>
      </c>
      <c r="AD261" s="16" t="s">
        <v>268</v>
      </c>
      <c r="AE261" s="16" t="s">
        <v>18</v>
      </c>
      <c r="AF261" s="16" t="s">
        <v>18</v>
      </c>
      <c r="AG261" s="16" t="s">
        <v>18</v>
      </c>
      <c r="AH261" s="49">
        <v>45938</v>
      </c>
      <c r="AI261" s="49">
        <v>46036</v>
      </c>
      <c r="AJ261" s="16" t="s">
        <v>621</v>
      </c>
    </row>
    <row r="262" spans="1:36" hidden="1" x14ac:dyDescent="0.35">
      <c r="A262" s="16" t="s">
        <v>296</v>
      </c>
      <c r="B262" s="16" t="s">
        <v>297</v>
      </c>
      <c r="C262" s="16" t="s">
        <v>21</v>
      </c>
      <c r="D262" s="16" t="s">
        <v>298</v>
      </c>
      <c r="E262" s="16" t="s">
        <v>167</v>
      </c>
      <c r="F262" s="16" t="s">
        <v>355</v>
      </c>
      <c r="G262" s="49">
        <v>45935</v>
      </c>
      <c r="H262" s="16" t="s">
        <v>640</v>
      </c>
      <c r="I262" s="16" t="s">
        <v>23</v>
      </c>
      <c r="J262" s="49">
        <v>45935</v>
      </c>
      <c r="K262" s="49">
        <v>45940</v>
      </c>
      <c r="L262" s="16" t="s">
        <v>315</v>
      </c>
      <c r="M262" s="61">
        <v>256779418379</v>
      </c>
      <c r="N262" s="16" t="s">
        <v>22</v>
      </c>
      <c r="O262" s="16" t="s">
        <v>300</v>
      </c>
      <c r="P262" s="16" t="s">
        <v>18</v>
      </c>
      <c r="Q262" s="16" t="s">
        <v>312</v>
      </c>
      <c r="R262" s="16"/>
      <c r="S262" s="16" t="s">
        <v>110</v>
      </c>
      <c r="T262" s="50">
        <v>1379.83</v>
      </c>
      <c r="U262" s="16" t="s">
        <v>20</v>
      </c>
      <c r="V262" s="50">
        <v>121688.27</v>
      </c>
      <c r="W262" s="16">
        <f t="shared" si="29"/>
        <v>88.190769877448673</v>
      </c>
      <c r="X262" s="16" t="s">
        <v>720</v>
      </c>
      <c r="Y262" s="16" t="s">
        <v>18</v>
      </c>
      <c r="Z262" s="16" t="s">
        <v>749</v>
      </c>
      <c r="AA262" s="16" t="s">
        <v>301</v>
      </c>
      <c r="AB262" s="16">
        <f>_xlfn.XLOOKUP(M262,'Customer Data'!$D:$D,'Customer Data'!$H:$H,,0)</f>
        <v>-1379.83</v>
      </c>
      <c r="AC262" s="62">
        <f t="shared" si="28"/>
        <v>0</v>
      </c>
      <c r="AD262" s="16" t="s">
        <v>270</v>
      </c>
      <c r="AE262" s="16" t="s">
        <v>18</v>
      </c>
      <c r="AF262" s="16" t="s">
        <v>18</v>
      </c>
      <c r="AG262" s="16" t="s">
        <v>18</v>
      </c>
      <c r="AH262" s="49">
        <v>45935</v>
      </c>
      <c r="AI262" s="49">
        <v>46036</v>
      </c>
      <c r="AJ262" s="16" t="s">
        <v>621</v>
      </c>
    </row>
    <row r="263" spans="1:36" hidden="1" x14ac:dyDescent="0.35">
      <c r="A263" s="16" t="s">
        <v>296</v>
      </c>
      <c r="B263" s="16" t="s">
        <v>297</v>
      </c>
      <c r="C263" s="16" t="s">
        <v>21</v>
      </c>
      <c r="D263" s="16" t="s">
        <v>298</v>
      </c>
      <c r="E263" s="16" t="s">
        <v>167</v>
      </c>
      <c r="F263" s="16" t="s">
        <v>355</v>
      </c>
      <c r="G263" s="49">
        <v>45937</v>
      </c>
      <c r="H263" s="16" t="s">
        <v>641</v>
      </c>
      <c r="I263" s="16" t="s">
        <v>23</v>
      </c>
      <c r="J263" s="49">
        <v>45937</v>
      </c>
      <c r="K263" s="49">
        <v>45939</v>
      </c>
      <c r="L263" s="16" t="s">
        <v>315</v>
      </c>
      <c r="M263" s="61">
        <v>256779418129</v>
      </c>
      <c r="N263" s="16" t="s">
        <v>22</v>
      </c>
      <c r="O263" s="16" t="s">
        <v>300</v>
      </c>
      <c r="P263" s="16" t="s">
        <v>18</v>
      </c>
      <c r="Q263" s="16" t="s">
        <v>312</v>
      </c>
      <c r="R263" s="16"/>
      <c r="S263" s="16" t="s">
        <v>110</v>
      </c>
      <c r="T263" s="50">
        <v>82.72</v>
      </c>
      <c r="U263" s="16" t="s">
        <v>20</v>
      </c>
      <c r="V263" s="50">
        <v>7295.14</v>
      </c>
      <c r="W263" s="16">
        <f t="shared" si="29"/>
        <v>88.190764023210832</v>
      </c>
      <c r="X263" s="16" t="s">
        <v>720</v>
      </c>
      <c r="Y263" s="16" t="s">
        <v>18</v>
      </c>
      <c r="Z263" s="16" t="s">
        <v>750</v>
      </c>
      <c r="AA263" s="16" t="s">
        <v>301</v>
      </c>
      <c r="AB263" s="16">
        <f>_xlfn.XLOOKUP(M263,'Customer Data'!$D:$D,'Customer Data'!$H:$H,,0)</f>
        <v>-122.94</v>
      </c>
      <c r="AC263" s="62">
        <f t="shared" si="28"/>
        <v>-40.22</v>
      </c>
      <c r="AD263" s="16" t="s">
        <v>642</v>
      </c>
      <c r="AE263" s="16" t="s">
        <v>18</v>
      </c>
      <c r="AF263" s="16" t="s">
        <v>18</v>
      </c>
      <c r="AG263" s="16" t="s">
        <v>18</v>
      </c>
      <c r="AH263" s="49">
        <v>45937</v>
      </c>
      <c r="AI263" s="49">
        <v>46036</v>
      </c>
      <c r="AJ263" s="16" t="s">
        <v>621</v>
      </c>
    </row>
    <row r="264" spans="1:36" hidden="1" x14ac:dyDescent="0.35">
      <c r="A264" s="16" t="s">
        <v>296</v>
      </c>
      <c r="B264" s="16" t="s">
        <v>297</v>
      </c>
      <c r="C264" s="16" t="s">
        <v>21</v>
      </c>
      <c r="D264" s="16" t="s">
        <v>298</v>
      </c>
      <c r="E264" s="16" t="s">
        <v>167</v>
      </c>
      <c r="F264" s="16" t="s">
        <v>355</v>
      </c>
      <c r="G264" s="49">
        <v>45937</v>
      </c>
      <c r="H264" s="16" t="s">
        <v>643</v>
      </c>
      <c r="I264" s="16" t="s">
        <v>23</v>
      </c>
      <c r="J264" s="49">
        <v>45937</v>
      </c>
      <c r="K264" s="49">
        <v>45939</v>
      </c>
      <c r="L264" s="16" t="s">
        <v>315</v>
      </c>
      <c r="M264" s="61">
        <v>256779418145</v>
      </c>
      <c r="N264" s="16" t="s">
        <v>22</v>
      </c>
      <c r="O264" s="16" t="s">
        <v>300</v>
      </c>
      <c r="P264" s="16" t="s">
        <v>18</v>
      </c>
      <c r="Q264" s="16" t="s">
        <v>312</v>
      </c>
      <c r="R264" s="16"/>
      <c r="S264" s="16" t="s">
        <v>110</v>
      </c>
      <c r="T264" s="50">
        <v>54.06</v>
      </c>
      <c r="U264" s="16" t="s">
        <v>20</v>
      </c>
      <c r="V264" s="50">
        <v>4767.59</v>
      </c>
      <c r="W264" s="16">
        <f t="shared" si="29"/>
        <v>88.190714021457637</v>
      </c>
      <c r="X264" s="16" t="s">
        <v>720</v>
      </c>
      <c r="Y264" s="16" t="s">
        <v>18</v>
      </c>
      <c r="Z264" s="16" t="s">
        <v>750</v>
      </c>
      <c r="AA264" s="16" t="s">
        <v>301</v>
      </c>
      <c r="AB264" s="16">
        <f>_xlfn.XLOOKUP(M264,'Customer Data'!$D:$D,'Customer Data'!$H:$H,,0)</f>
        <v>-54.06</v>
      </c>
      <c r="AC264" s="62">
        <f t="shared" si="28"/>
        <v>0</v>
      </c>
      <c r="AD264" s="16" t="s">
        <v>266</v>
      </c>
      <c r="AE264" s="16" t="s">
        <v>18</v>
      </c>
      <c r="AF264" s="16" t="s">
        <v>18</v>
      </c>
      <c r="AG264" s="16" t="s">
        <v>18</v>
      </c>
      <c r="AH264" s="49">
        <v>45937</v>
      </c>
      <c r="AI264" s="49">
        <v>46036</v>
      </c>
      <c r="AJ264" s="16" t="s">
        <v>621</v>
      </c>
    </row>
    <row r="265" spans="1:36" hidden="1" x14ac:dyDescent="0.35">
      <c r="A265" s="16" t="s">
        <v>296</v>
      </c>
      <c r="B265" s="16" t="s">
        <v>297</v>
      </c>
      <c r="C265" s="16" t="s">
        <v>21</v>
      </c>
      <c r="D265" s="16" t="s">
        <v>298</v>
      </c>
      <c r="E265" s="16" t="s">
        <v>175</v>
      </c>
      <c r="F265" s="16" t="s">
        <v>301</v>
      </c>
      <c r="G265" s="49">
        <v>46038</v>
      </c>
      <c r="H265" s="16" t="s">
        <v>644</v>
      </c>
      <c r="I265" s="16" t="s">
        <v>19</v>
      </c>
      <c r="J265" s="49">
        <v>46038</v>
      </c>
      <c r="K265" s="49">
        <v>46038</v>
      </c>
      <c r="L265" s="16" t="s">
        <v>645</v>
      </c>
      <c r="M265" s="61" t="s">
        <v>18</v>
      </c>
      <c r="N265" s="16" t="s">
        <v>22</v>
      </c>
      <c r="O265" s="16" t="s">
        <v>300</v>
      </c>
      <c r="P265" s="16" t="s">
        <v>18</v>
      </c>
      <c r="Q265" s="16" t="s">
        <v>320</v>
      </c>
      <c r="R265" s="16" t="e">
        <f>_xlfn.XLOOKUP(M265,'Invoice No Ref'!$C:$C,'Invoice No Ref'!$I:$I,,0)</f>
        <v>#N/A</v>
      </c>
      <c r="S265" s="16" t="s">
        <v>110</v>
      </c>
      <c r="T265" s="50">
        <v>34610.14</v>
      </c>
      <c r="U265" s="16" t="s">
        <v>20</v>
      </c>
      <c r="V265" s="50">
        <v>2977514.5</v>
      </c>
      <c r="W265" s="16">
        <f t="shared" si="29"/>
        <v>86.030120074637082</v>
      </c>
      <c r="X265" s="16" t="s">
        <v>719</v>
      </c>
      <c r="Y265" s="16" t="s">
        <v>18</v>
      </c>
      <c r="Z265" s="16" t="s">
        <v>18</v>
      </c>
      <c r="AA265" s="16" t="s">
        <v>302</v>
      </c>
      <c r="AB265" s="16" t="e">
        <f>_xlfn.XLOOKUP(R265,'Customer Data'!$D:$D,'Customer Data'!$F:$F,,0)</f>
        <v>#N/A</v>
      </c>
      <c r="AC265" s="16"/>
      <c r="AD265" s="16" t="s">
        <v>18</v>
      </c>
      <c r="AE265" s="16" t="s">
        <v>18</v>
      </c>
      <c r="AF265" s="16" t="s">
        <v>18</v>
      </c>
      <c r="AG265" s="16" t="s">
        <v>18</v>
      </c>
      <c r="AH265" s="49">
        <v>46038</v>
      </c>
      <c r="AI265" s="49">
        <v>46038</v>
      </c>
      <c r="AJ265" s="16" t="s">
        <v>644</v>
      </c>
    </row>
    <row r="266" spans="1:36" hidden="1" x14ac:dyDescent="0.35">
      <c r="A266" s="16" t="s">
        <v>296</v>
      </c>
      <c r="B266" s="16" t="s">
        <v>297</v>
      </c>
      <c r="C266" s="16" t="s">
        <v>21</v>
      </c>
      <c r="D266" s="16" t="s">
        <v>298</v>
      </c>
      <c r="E266" s="16" t="s">
        <v>175</v>
      </c>
      <c r="F266" s="16" t="s">
        <v>301</v>
      </c>
      <c r="G266" s="49">
        <v>46038</v>
      </c>
      <c r="H266" s="16" t="s">
        <v>644</v>
      </c>
      <c r="I266" s="16" t="s">
        <v>19</v>
      </c>
      <c r="J266" s="49">
        <v>46038</v>
      </c>
      <c r="K266" s="49">
        <v>46038</v>
      </c>
      <c r="L266" s="16" t="s">
        <v>645</v>
      </c>
      <c r="M266" s="61" t="s">
        <v>18</v>
      </c>
      <c r="N266" s="16" t="s">
        <v>22</v>
      </c>
      <c r="O266" s="16" t="s">
        <v>300</v>
      </c>
      <c r="P266" s="16" t="s">
        <v>18</v>
      </c>
      <c r="Q266" s="16" t="s">
        <v>306</v>
      </c>
      <c r="R266" s="16" t="e">
        <f>_xlfn.XLOOKUP(M266,'Invoice No Ref'!$C:$C,'Invoice No Ref'!$I:$I,,0)</f>
        <v>#N/A</v>
      </c>
      <c r="S266" s="16" t="s">
        <v>110</v>
      </c>
      <c r="T266" s="50">
        <v>-23971.14</v>
      </c>
      <c r="U266" s="16" t="s">
        <v>20</v>
      </c>
      <c r="V266" s="50">
        <v>-2066072.67</v>
      </c>
      <c r="W266" s="16">
        <f t="shared" si="29"/>
        <v>86.190004730688656</v>
      </c>
      <c r="X266" s="16" t="s">
        <v>718</v>
      </c>
      <c r="Y266" s="16" t="s">
        <v>18</v>
      </c>
      <c r="Z266" s="16" t="s">
        <v>18</v>
      </c>
      <c r="AA266" s="16" t="s">
        <v>310</v>
      </c>
      <c r="AB266" s="16" t="e">
        <f>_xlfn.XLOOKUP(R266,'Customer Data'!$D:$D,'Customer Data'!$F:$F,,0)</f>
        <v>#N/A</v>
      </c>
      <c r="AC266" s="16"/>
      <c r="AD266" s="16" t="s">
        <v>18</v>
      </c>
      <c r="AE266" s="16" t="s">
        <v>18</v>
      </c>
      <c r="AF266" s="16" t="s">
        <v>18</v>
      </c>
      <c r="AG266" s="16" t="s">
        <v>18</v>
      </c>
      <c r="AH266" s="49">
        <v>46038</v>
      </c>
      <c r="AI266" s="49">
        <v>46038</v>
      </c>
      <c r="AJ266" s="16" t="s">
        <v>644</v>
      </c>
    </row>
    <row r="267" spans="1:36" hidden="1" x14ac:dyDescent="0.35">
      <c r="A267" s="16" t="s">
        <v>296</v>
      </c>
      <c r="B267" s="16" t="s">
        <v>297</v>
      </c>
      <c r="C267" s="16" t="s">
        <v>21</v>
      </c>
      <c r="D267" s="16" t="s">
        <v>298</v>
      </c>
      <c r="E267" s="16" t="s">
        <v>175</v>
      </c>
      <c r="F267" s="16" t="s">
        <v>301</v>
      </c>
      <c r="G267" s="49">
        <v>46038</v>
      </c>
      <c r="H267" s="16" t="s">
        <v>644</v>
      </c>
      <c r="I267" s="16" t="s">
        <v>19</v>
      </c>
      <c r="J267" s="49">
        <v>46038</v>
      </c>
      <c r="K267" s="49">
        <v>46038</v>
      </c>
      <c r="L267" s="16" t="s">
        <v>645</v>
      </c>
      <c r="M267" s="61" t="s">
        <v>18</v>
      </c>
      <c r="N267" s="16" t="s">
        <v>22</v>
      </c>
      <c r="O267" s="16" t="s">
        <v>300</v>
      </c>
      <c r="P267" s="16" t="s">
        <v>18</v>
      </c>
      <c r="Q267" s="16" t="s">
        <v>306</v>
      </c>
      <c r="R267" s="16" t="e">
        <f>_xlfn.XLOOKUP(M267,'Invoice No Ref'!$C:$C,'Invoice No Ref'!$I:$I,,0)</f>
        <v>#N/A</v>
      </c>
      <c r="S267" s="16" t="s">
        <v>110</v>
      </c>
      <c r="T267" s="50">
        <v>-18.809999999999999</v>
      </c>
      <c r="U267" s="16" t="s">
        <v>20</v>
      </c>
      <c r="V267" s="50">
        <v>-1617.35</v>
      </c>
      <c r="W267" s="16">
        <f t="shared" si="29"/>
        <v>85.983519404572036</v>
      </c>
      <c r="X267" s="16" t="s">
        <v>718</v>
      </c>
      <c r="Y267" s="16" t="s">
        <v>18</v>
      </c>
      <c r="Z267" s="16" t="s">
        <v>18</v>
      </c>
      <c r="AA267" s="16" t="s">
        <v>299</v>
      </c>
      <c r="AB267" s="16" t="e">
        <f>_xlfn.XLOOKUP(R267,'Customer Data'!$D:$D,'Customer Data'!$F:$F,,0)</f>
        <v>#N/A</v>
      </c>
      <c r="AC267" s="16"/>
      <c r="AD267" s="16" t="s">
        <v>18</v>
      </c>
      <c r="AE267" s="16" t="s">
        <v>18</v>
      </c>
      <c r="AF267" s="16" t="s">
        <v>18</v>
      </c>
      <c r="AG267" s="16" t="s">
        <v>18</v>
      </c>
      <c r="AH267" s="49">
        <v>46038</v>
      </c>
      <c r="AI267" s="49">
        <v>46038</v>
      </c>
      <c r="AJ267" s="16" t="s">
        <v>644</v>
      </c>
    </row>
    <row r="268" spans="1:36" hidden="1" x14ac:dyDescent="0.35">
      <c r="A268" s="16" t="s">
        <v>296</v>
      </c>
      <c r="B268" s="16" t="s">
        <v>297</v>
      </c>
      <c r="C268" s="16" t="s">
        <v>21</v>
      </c>
      <c r="D268" s="16" t="s">
        <v>298</v>
      </c>
      <c r="E268" s="16" t="s">
        <v>175</v>
      </c>
      <c r="F268" s="16" t="s">
        <v>301</v>
      </c>
      <c r="G268" s="49">
        <v>46038</v>
      </c>
      <c r="H268" s="16" t="s">
        <v>644</v>
      </c>
      <c r="I268" s="16" t="s">
        <v>19</v>
      </c>
      <c r="J268" s="49">
        <v>46038</v>
      </c>
      <c r="K268" s="49">
        <v>46038</v>
      </c>
      <c r="L268" s="16" t="s">
        <v>645</v>
      </c>
      <c r="M268" s="61" t="s">
        <v>18</v>
      </c>
      <c r="N268" s="16" t="s">
        <v>22</v>
      </c>
      <c r="O268" s="16" t="s">
        <v>300</v>
      </c>
      <c r="P268" s="16" t="s">
        <v>18</v>
      </c>
      <c r="Q268" s="16" t="s">
        <v>306</v>
      </c>
      <c r="R268" s="16" t="e">
        <f>_xlfn.XLOOKUP(M268,'Invoice No Ref'!$C:$C,'Invoice No Ref'!$I:$I,,0)</f>
        <v>#N/A</v>
      </c>
      <c r="S268" s="16" t="s">
        <v>110</v>
      </c>
      <c r="T268" s="50">
        <v>-10645.19</v>
      </c>
      <c r="U268" s="16" t="s">
        <v>20</v>
      </c>
      <c r="V268" s="50">
        <v>-911491.71</v>
      </c>
      <c r="W268" s="16">
        <f t="shared" si="29"/>
        <v>85.624747890831443</v>
      </c>
      <c r="X268" s="16" t="s">
        <v>720</v>
      </c>
      <c r="Y268" s="16" t="s">
        <v>18</v>
      </c>
      <c r="Z268" s="16" t="s">
        <v>18</v>
      </c>
      <c r="AA268" s="16" t="s">
        <v>478</v>
      </c>
      <c r="AB268" s="16" t="e">
        <f>_xlfn.XLOOKUP(R268,'Customer Data'!$D:$D,'Customer Data'!$F:$F,,0)</f>
        <v>#N/A</v>
      </c>
      <c r="AC268" s="16"/>
      <c r="AD268" s="16" t="s">
        <v>18</v>
      </c>
      <c r="AE268" s="16" t="s">
        <v>18</v>
      </c>
      <c r="AF268" s="16" t="s">
        <v>18</v>
      </c>
      <c r="AG268" s="16" t="s">
        <v>18</v>
      </c>
      <c r="AH268" s="49">
        <v>46038</v>
      </c>
      <c r="AI268" s="49">
        <v>46038</v>
      </c>
      <c r="AJ268" s="16" t="s">
        <v>644</v>
      </c>
    </row>
    <row r="269" spans="1:36" hidden="1" x14ac:dyDescent="0.35">
      <c r="A269" s="16" t="s">
        <v>296</v>
      </c>
      <c r="B269" s="16" t="s">
        <v>297</v>
      </c>
      <c r="C269" s="16" t="s">
        <v>21</v>
      </c>
      <c r="D269" s="16" t="s">
        <v>298</v>
      </c>
      <c r="E269" s="16" t="s">
        <v>167</v>
      </c>
      <c r="F269" s="16" t="s">
        <v>308</v>
      </c>
      <c r="G269" s="49">
        <v>45892</v>
      </c>
      <c r="H269" s="16" t="s">
        <v>646</v>
      </c>
      <c r="I269" s="16" t="s">
        <v>19</v>
      </c>
      <c r="J269" s="49">
        <v>45892</v>
      </c>
      <c r="K269" s="49">
        <v>45892</v>
      </c>
      <c r="L269" s="16" t="s">
        <v>645</v>
      </c>
      <c r="M269" s="61" t="s">
        <v>18</v>
      </c>
      <c r="N269" s="16" t="s">
        <v>22</v>
      </c>
      <c r="O269" s="16" t="s">
        <v>300</v>
      </c>
      <c r="P269" s="16" t="s">
        <v>18</v>
      </c>
      <c r="Q269" s="16" t="s">
        <v>306</v>
      </c>
      <c r="R269" s="16" t="e">
        <f>_xlfn.XLOOKUP(M269,'Invoice No Ref'!$C:$C,'Invoice No Ref'!$I:$I,,0)</f>
        <v>#N/A</v>
      </c>
      <c r="S269" s="16" t="s">
        <v>110</v>
      </c>
      <c r="T269" s="50">
        <v>-34610.14</v>
      </c>
      <c r="U269" s="16" t="s">
        <v>20</v>
      </c>
      <c r="V269" s="50">
        <v>-2977514.5</v>
      </c>
      <c r="W269" s="16">
        <f t="shared" si="29"/>
        <v>86.030120074637082</v>
      </c>
      <c r="X269" s="16" t="s">
        <v>719</v>
      </c>
      <c r="Y269" s="16" t="s">
        <v>18</v>
      </c>
      <c r="Z269" s="16" t="s">
        <v>18</v>
      </c>
      <c r="AA269" s="16" t="s">
        <v>302</v>
      </c>
      <c r="AB269" s="16" t="e">
        <f>_xlfn.XLOOKUP(R269,'Customer Data'!$D:$D,'Customer Data'!$F:$F,,0)</f>
        <v>#N/A</v>
      </c>
      <c r="AC269" s="16"/>
      <c r="AD269" s="16" t="s">
        <v>18</v>
      </c>
      <c r="AE269" s="16" t="s">
        <v>18</v>
      </c>
      <c r="AF269" s="16" t="s">
        <v>18</v>
      </c>
      <c r="AG269" s="16" t="s">
        <v>18</v>
      </c>
      <c r="AH269" s="49">
        <v>45892</v>
      </c>
      <c r="AI269" s="49">
        <v>46038</v>
      </c>
      <c r="AJ269" s="16" t="s">
        <v>644</v>
      </c>
    </row>
    <row r="270" spans="1:36" hidden="1" x14ac:dyDescent="0.35">
      <c r="A270" s="16" t="s">
        <v>296</v>
      </c>
      <c r="B270" s="16" t="s">
        <v>297</v>
      </c>
      <c r="C270" s="16" t="s">
        <v>21</v>
      </c>
      <c r="D270" s="16" t="s">
        <v>298</v>
      </c>
      <c r="E270" s="16" t="s">
        <v>167</v>
      </c>
      <c r="F270" s="16" t="s">
        <v>299</v>
      </c>
      <c r="G270" s="49">
        <v>45770</v>
      </c>
      <c r="H270" s="16" t="s">
        <v>647</v>
      </c>
      <c r="I270" s="16" t="s">
        <v>23</v>
      </c>
      <c r="J270" s="49">
        <v>45770</v>
      </c>
      <c r="K270" s="49">
        <v>45773</v>
      </c>
      <c r="L270" s="16" t="s">
        <v>315</v>
      </c>
      <c r="M270" s="61">
        <v>256779412687</v>
      </c>
      <c r="N270" s="16" t="s">
        <v>22</v>
      </c>
      <c r="O270" s="16" t="s">
        <v>300</v>
      </c>
      <c r="P270" s="16" t="s">
        <v>18</v>
      </c>
      <c r="Q270" s="16" t="s">
        <v>312</v>
      </c>
      <c r="R270" s="16"/>
      <c r="S270" s="16" t="s">
        <v>110</v>
      </c>
      <c r="T270" s="50">
        <v>488.03</v>
      </c>
      <c r="U270" s="16" t="s">
        <v>20</v>
      </c>
      <c r="V270" s="50">
        <v>42420.46</v>
      </c>
      <c r="W270" s="16">
        <f t="shared" si="29"/>
        <v>86.921828576112134</v>
      </c>
      <c r="X270" s="16" t="s">
        <v>718</v>
      </c>
      <c r="Y270" s="16" t="s">
        <v>18</v>
      </c>
      <c r="Z270" s="16" t="s">
        <v>315</v>
      </c>
      <c r="AA270" s="16" t="s">
        <v>301</v>
      </c>
      <c r="AB270" s="16">
        <f>_xlfn.XLOOKUP(M270,'Customer Data'!$D:$D,'Customer Data'!$H:$H,,0)</f>
        <v>-488.03</v>
      </c>
      <c r="AC270" s="62">
        <f t="shared" ref="AC270:AC290" si="30">AB270+T270</f>
        <v>0</v>
      </c>
      <c r="AD270" s="16" t="s">
        <v>224</v>
      </c>
      <c r="AE270" s="16" t="s">
        <v>18</v>
      </c>
      <c r="AF270" s="16" t="s">
        <v>18</v>
      </c>
      <c r="AG270" s="16" t="s">
        <v>18</v>
      </c>
      <c r="AH270" s="49">
        <v>45770</v>
      </c>
      <c r="AI270" s="49">
        <v>46038</v>
      </c>
      <c r="AJ270" s="16" t="s">
        <v>644</v>
      </c>
    </row>
    <row r="271" spans="1:36" hidden="1" x14ac:dyDescent="0.35">
      <c r="A271" s="16" t="s">
        <v>296</v>
      </c>
      <c r="B271" s="16" t="s">
        <v>297</v>
      </c>
      <c r="C271" s="16" t="s">
        <v>21</v>
      </c>
      <c r="D271" s="16" t="s">
        <v>298</v>
      </c>
      <c r="E271" s="16" t="s">
        <v>167</v>
      </c>
      <c r="F271" s="16" t="s">
        <v>299</v>
      </c>
      <c r="G271" s="49">
        <v>45771</v>
      </c>
      <c r="H271" s="16" t="s">
        <v>648</v>
      </c>
      <c r="I271" s="16" t="s">
        <v>23</v>
      </c>
      <c r="J271" s="49">
        <v>45771</v>
      </c>
      <c r="K271" s="49">
        <v>45773</v>
      </c>
      <c r="L271" s="16" t="s">
        <v>315</v>
      </c>
      <c r="M271" s="61">
        <v>256779412721</v>
      </c>
      <c r="N271" s="16" t="s">
        <v>22</v>
      </c>
      <c r="O271" s="16" t="s">
        <v>300</v>
      </c>
      <c r="P271" s="16" t="s">
        <v>18</v>
      </c>
      <c r="Q271" s="16" t="s">
        <v>312</v>
      </c>
      <c r="R271" s="16"/>
      <c r="S271" s="16" t="s">
        <v>110</v>
      </c>
      <c r="T271" s="50">
        <v>5874.03</v>
      </c>
      <c r="U271" s="16" t="s">
        <v>20</v>
      </c>
      <c r="V271" s="50">
        <v>510581.38</v>
      </c>
      <c r="W271" s="16">
        <f t="shared" si="29"/>
        <v>86.921820283519153</v>
      </c>
      <c r="X271" s="16" t="s">
        <v>718</v>
      </c>
      <c r="Y271" s="16" t="s">
        <v>18</v>
      </c>
      <c r="Z271" s="16" t="s">
        <v>315</v>
      </c>
      <c r="AA271" s="16" t="s">
        <v>301</v>
      </c>
      <c r="AB271" s="16">
        <f>_xlfn.XLOOKUP(M271,'Customer Data'!$D:$D,'Customer Data'!$H:$H,,0)</f>
        <v>-5874.03</v>
      </c>
      <c r="AC271" s="62">
        <f t="shared" si="30"/>
        <v>0</v>
      </c>
      <c r="AD271" s="16" t="s">
        <v>232</v>
      </c>
      <c r="AE271" s="16" t="s">
        <v>18</v>
      </c>
      <c r="AF271" s="16" t="s">
        <v>18</v>
      </c>
      <c r="AG271" s="16" t="s">
        <v>18</v>
      </c>
      <c r="AH271" s="49">
        <v>45771</v>
      </c>
      <c r="AI271" s="49">
        <v>46038</v>
      </c>
      <c r="AJ271" s="16" t="s">
        <v>644</v>
      </c>
    </row>
    <row r="272" spans="1:36" hidden="1" x14ac:dyDescent="0.35">
      <c r="A272" s="16" t="s">
        <v>296</v>
      </c>
      <c r="B272" s="16" t="s">
        <v>297</v>
      </c>
      <c r="C272" s="16" t="s">
        <v>21</v>
      </c>
      <c r="D272" s="16" t="s">
        <v>298</v>
      </c>
      <c r="E272" s="16" t="s">
        <v>167</v>
      </c>
      <c r="F272" s="16" t="s">
        <v>299</v>
      </c>
      <c r="G272" s="49">
        <v>45770</v>
      </c>
      <c r="H272" s="16" t="s">
        <v>649</v>
      </c>
      <c r="I272" s="16" t="s">
        <v>23</v>
      </c>
      <c r="J272" s="49">
        <v>45770</v>
      </c>
      <c r="K272" s="49">
        <v>45776</v>
      </c>
      <c r="L272" s="16" t="s">
        <v>315</v>
      </c>
      <c r="M272" s="61">
        <v>256779412871</v>
      </c>
      <c r="N272" s="16" t="s">
        <v>22</v>
      </c>
      <c r="O272" s="16" t="s">
        <v>300</v>
      </c>
      <c r="P272" s="16" t="s">
        <v>18</v>
      </c>
      <c r="Q272" s="16" t="s">
        <v>312</v>
      </c>
      <c r="R272" s="16"/>
      <c r="S272" s="16" t="s">
        <v>110</v>
      </c>
      <c r="T272" s="50">
        <v>118.31</v>
      </c>
      <c r="U272" s="16" t="s">
        <v>20</v>
      </c>
      <c r="V272" s="50">
        <v>10283.719999999999</v>
      </c>
      <c r="W272" s="16">
        <f t="shared" si="29"/>
        <v>86.921815569267167</v>
      </c>
      <c r="X272" s="16" t="s">
        <v>718</v>
      </c>
      <c r="Y272" s="16" t="s">
        <v>18</v>
      </c>
      <c r="Z272" s="16" t="s">
        <v>315</v>
      </c>
      <c r="AA272" s="16" t="s">
        <v>301</v>
      </c>
      <c r="AB272" s="16">
        <f>_xlfn.XLOOKUP(M272,'Customer Data'!$D:$D,'Customer Data'!$H:$H,,0)</f>
        <v>-118.31</v>
      </c>
      <c r="AC272" s="62">
        <f t="shared" si="30"/>
        <v>0</v>
      </c>
      <c r="AD272" s="16" t="s">
        <v>650</v>
      </c>
      <c r="AE272" s="16" t="s">
        <v>18</v>
      </c>
      <c r="AF272" s="16" t="s">
        <v>18</v>
      </c>
      <c r="AG272" s="16" t="s">
        <v>18</v>
      </c>
      <c r="AH272" s="49">
        <v>45770</v>
      </c>
      <c r="AI272" s="49">
        <v>46038</v>
      </c>
      <c r="AJ272" s="16" t="s">
        <v>644</v>
      </c>
    </row>
    <row r="273" spans="1:36" hidden="1" x14ac:dyDescent="0.35">
      <c r="A273" s="16" t="s">
        <v>296</v>
      </c>
      <c r="B273" s="16" t="s">
        <v>297</v>
      </c>
      <c r="C273" s="16" t="s">
        <v>21</v>
      </c>
      <c r="D273" s="16" t="s">
        <v>298</v>
      </c>
      <c r="E273" s="16" t="s">
        <v>167</v>
      </c>
      <c r="F273" s="16" t="s">
        <v>299</v>
      </c>
      <c r="G273" s="49">
        <v>45770</v>
      </c>
      <c r="H273" s="16" t="s">
        <v>651</v>
      </c>
      <c r="I273" s="16" t="s">
        <v>23</v>
      </c>
      <c r="J273" s="49">
        <v>45770</v>
      </c>
      <c r="K273" s="49">
        <v>45776</v>
      </c>
      <c r="L273" s="16" t="s">
        <v>315</v>
      </c>
      <c r="M273" s="61">
        <v>256779412872</v>
      </c>
      <c r="N273" s="16" t="s">
        <v>22</v>
      </c>
      <c r="O273" s="16" t="s">
        <v>300</v>
      </c>
      <c r="P273" s="16" t="s">
        <v>18</v>
      </c>
      <c r="Q273" s="16" t="s">
        <v>312</v>
      </c>
      <c r="R273" s="16"/>
      <c r="S273" s="16" t="s">
        <v>110</v>
      </c>
      <c r="T273" s="50">
        <v>852.86</v>
      </c>
      <c r="U273" s="16" t="s">
        <v>20</v>
      </c>
      <c r="V273" s="50">
        <v>74132.14</v>
      </c>
      <c r="W273" s="16">
        <f t="shared" si="29"/>
        <v>86.921816007316551</v>
      </c>
      <c r="X273" s="16" t="s">
        <v>718</v>
      </c>
      <c r="Y273" s="16" t="s">
        <v>18</v>
      </c>
      <c r="Z273" s="16" t="s">
        <v>315</v>
      </c>
      <c r="AA273" s="16" t="s">
        <v>301</v>
      </c>
      <c r="AB273" s="16">
        <f>_xlfn.XLOOKUP(M273,'Customer Data'!$D:$D,'Customer Data'!$H:$H,,0)</f>
        <v>-852.86</v>
      </c>
      <c r="AC273" s="62">
        <f t="shared" si="30"/>
        <v>0</v>
      </c>
      <c r="AD273" s="16" t="s">
        <v>652</v>
      </c>
      <c r="AE273" s="16" t="s">
        <v>18</v>
      </c>
      <c r="AF273" s="16" t="s">
        <v>18</v>
      </c>
      <c r="AG273" s="16" t="s">
        <v>18</v>
      </c>
      <c r="AH273" s="49">
        <v>45770</v>
      </c>
      <c r="AI273" s="49">
        <v>46038</v>
      </c>
      <c r="AJ273" s="16" t="s">
        <v>644</v>
      </c>
    </row>
    <row r="274" spans="1:36" hidden="1" x14ac:dyDescent="0.35">
      <c r="A274" s="16" t="s">
        <v>296</v>
      </c>
      <c r="B274" s="16" t="s">
        <v>297</v>
      </c>
      <c r="C274" s="16" t="s">
        <v>21</v>
      </c>
      <c r="D274" s="16" t="s">
        <v>298</v>
      </c>
      <c r="E274" s="16" t="s">
        <v>167</v>
      </c>
      <c r="F274" s="16" t="s">
        <v>299</v>
      </c>
      <c r="G274" s="49">
        <v>45770</v>
      </c>
      <c r="H274" s="16" t="s">
        <v>653</v>
      </c>
      <c r="I274" s="16" t="s">
        <v>23</v>
      </c>
      <c r="J274" s="49">
        <v>45770</v>
      </c>
      <c r="K274" s="49">
        <v>45776</v>
      </c>
      <c r="L274" s="16" t="s">
        <v>315</v>
      </c>
      <c r="M274" s="61">
        <v>256779412900</v>
      </c>
      <c r="N274" s="16" t="s">
        <v>22</v>
      </c>
      <c r="O274" s="16" t="s">
        <v>300</v>
      </c>
      <c r="P274" s="16" t="s">
        <v>18</v>
      </c>
      <c r="Q274" s="16" t="s">
        <v>312</v>
      </c>
      <c r="R274" s="16"/>
      <c r="S274" s="16" t="s">
        <v>110</v>
      </c>
      <c r="T274" s="50">
        <v>455.8</v>
      </c>
      <c r="U274" s="16" t="s">
        <v>20</v>
      </c>
      <c r="V274" s="50">
        <v>39618.97</v>
      </c>
      <c r="W274" s="16">
        <f t="shared" si="29"/>
        <v>86.921829749890307</v>
      </c>
      <c r="X274" s="16" t="s">
        <v>718</v>
      </c>
      <c r="Y274" s="16" t="s">
        <v>18</v>
      </c>
      <c r="Z274" s="16" t="s">
        <v>315</v>
      </c>
      <c r="AA274" s="16" t="s">
        <v>301</v>
      </c>
      <c r="AB274" s="16">
        <f>_xlfn.XLOOKUP(M274,'Customer Data'!$D:$D,'Customer Data'!$H:$H,,0)</f>
        <v>-455.8</v>
      </c>
      <c r="AC274" s="62">
        <f t="shared" si="30"/>
        <v>0</v>
      </c>
      <c r="AD274" s="16" t="s">
        <v>654</v>
      </c>
      <c r="AE274" s="16" t="s">
        <v>18</v>
      </c>
      <c r="AF274" s="16" t="s">
        <v>18</v>
      </c>
      <c r="AG274" s="16" t="s">
        <v>18</v>
      </c>
      <c r="AH274" s="49">
        <v>45770</v>
      </c>
      <c r="AI274" s="49">
        <v>46038</v>
      </c>
      <c r="AJ274" s="16" t="s">
        <v>644</v>
      </c>
    </row>
    <row r="275" spans="1:36" hidden="1" x14ac:dyDescent="0.35">
      <c r="A275" s="16" t="s">
        <v>296</v>
      </c>
      <c r="B275" s="16" t="s">
        <v>297</v>
      </c>
      <c r="C275" s="16" t="s">
        <v>21</v>
      </c>
      <c r="D275" s="16" t="s">
        <v>298</v>
      </c>
      <c r="E275" s="16" t="s">
        <v>167</v>
      </c>
      <c r="F275" s="16" t="s">
        <v>478</v>
      </c>
      <c r="G275" s="49">
        <v>45787</v>
      </c>
      <c r="H275" s="16" t="s">
        <v>655</v>
      </c>
      <c r="I275" s="16" t="s">
        <v>23</v>
      </c>
      <c r="J275" s="49">
        <v>45787</v>
      </c>
      <c r="K275" s="49">
        <v>45792</v>
      </c>
      <c r="L275" s="16" t="s">
        <v>315</v>
      </c>
      <c r="M275" s="61">
        <v>256779413223</v>
      </c>
      <c r="N275" s="16" t="s">
        <v>22</v>
      </c>
      <c r="O275" s="16" t="s">
        <v>300</v>
      </c>
      <c r="P275" s="16" t="s">
        <v>18</v>
      </c>
      <c r="Q275" s="16" t="s">
        <v>312</v>
      </c>
      <c r="R275" s="16"/>
      <c r="S275" s="16" t="s">
        <v>110</v>
      </c>
      <c r="T275" s="50">
        <v>109.35</v>
      </c>
      <c r="U275" s="16" t="s">
        <v>20</v>
      </c>
      <c r="V275" s="50">
        <v>9402.32</v>
      </c>
      <c r="W275" s="16">
        <f t="shared" si="29"/>
        <v>85.983721993598536</v>
      </c>
      <c r="X275" s="16" t="s">
        <v>718</v>
      </c>
      <c r="Y275" s="16" t="s">
        <v>18</v>
      </c>
      <c r="Z275" s="16" t="s">
        <v>315</v>
      </c>
      <c r="AA275" s="16" t="s">
        <v>301</v>
      </c>
      <c r="AB275" s="16">
        <f>_xlfn.XLOOKUP(M275,'Customer Data'!$D:$D,'Customer Data'!$H:$H,,0)</f>
        <v>-109.35</v>
      </c>
      <c r="AC275" s="62">
        <f t="shared" si="30"/>
        <v>0</v>
      </c>
      <c r="AD275" s="16" t="s">
        <v>656</v>
      </c>
      <c r="AE275" s="16" t="s">
        <v>18</v>
      </c>
      <c r="AF275" s="16" t="s">
        <v>18</v>
      </c>
      <c r="AG275" s="16" t="s">
        <v>18</v>
      </c>
      <c r="AH275" s="49">
        <v>45787</v>
      </c>
      <c r="AI275" s="49">
        <v>46038</v>
      </c>
      <c r="AJ275" s="16" t="s">
        <v>644</v>
      </c>
    </row>
    <row r="276" spans="1:36" hidden="1" x14ac:dyDescent="0.35">
      <c r="A276" s="16" t="s">
        <v>296</v>
      </c>
      <c r="B276" s="16" t="s">
        <v>297</v>
      </c>
      <c r="C276" s="16" t="s">
        <v>21</v>
      </c>
      <c r="D276" s="16" t="s">
        <v>298</v>
      </c>
      <c r="E276" s="16" t="s">
        <v>167</v>
      </c>
      <c r="F276" s="16" t="s">
        <v>478</v>
      </c>
      <c r="G276" s="49">
        <v>45793</v>
      </c>
      <c r="H276" s="16" t="s">
        <v>657</v>
      </c>
      <c r="I276" s="16" t="s">
        <v>23</v>
      </c>
      <c r="J276" s="49">
        <v>45793</v>
      </c>
      <c r="K276" s="49">
        <v>45800</v>
      </c>
      <c r="L276" s="16" t="s">
        <v>315</v>
      </c>
      <c r="M276" s="61">
        <v>256779413259</v>
      </c>
      <c r="N276" s="16" t="s">
        <v>22</v>
      </c>
      <c r="O276" s="16" t="s">
        <v>300</v>
      </c>
      <c r="P276" s="16" t="s">
        <v>18</v>
      </c>
      <c r="Q276" s="16" t="s">
        <v>312</v>
      </c>
      <c r="R276" s="16"/>
      <c r="S276" s="16" t="s">
        <v>110</v>
      </c>
      <c r="T276" s="50">
        <v>18.809999999999999</v>
      </c>
      <c r="U276" s="16" t="s">
        <v>20</v>
      </c>
      <c r="V276" s="50">
        <v>1617.35</v>
      </c>
      <c r="W276" s="16">
        <f t="shared" si="29"/>
        <v>85.983519404572036</v>
      </c>
      <c r="X276" s="16" t="s">
        <v>718</v>
      </c>
      <c r="Y276" s="16" t="s">
        <v>18</v>
      </c>
      <c r="Z276" s="16" t="s">
        <v>315</v>
      </c>
      <c r="AA276" s="16" t="s">
        <v>301</v>
      </c>
      <c r="AB276" s="16">
        <f>_xlfn.XLOOKUP(M276,'Customer Data'!$D:$D,'Customer Data'!$H:$H,,0)</f>
        <v>-18.809999999999999</v>
      </c>
      <c r="AC276" s="62">
        <f t="shared" si="30"/>
        <v>0</v>
      </c>
      <c r="AD276" s="16" t="s">
        <v>229</v>
      </c>
      <c r="AE276" s="16" t="s">
        <v>18</v>
      </c>
      <c r="AF276" s="16" t="s">
        <v>18</v>
      </c>
      <c r="AG276" s="16" t="s">
        <v>18</v>
      </c>
      <c r="AH276" s="49">
        <v>45793</v>
      </c>
      <c r="AI276" s="49">
        <v>46038</v>
      </c>
      <c r="AJ276" s="16" t="s">
        <v>644</v>
      </c>
    </row>
    <row r="277" spans="1:36" hidden="1" x14ac:dyDescent="0.35">
      <c r="A277" s="16" t="s">
        <v>296</v>
      </c>
      <c r="B277" s="16" t="s">
        <v>297</v>
      </c>
      <c r="C277" s="16" t="s">
        <v>21</v>
      </c>
      <c r="D277" s="16" t="s">
        <v>298</v>
      </c>
      <c r="E277" s="16" t="s">
        <v>167</v>
      </c>
      <c r="F277" s="16" t="s">
        <v>478</v>
      </c>
      <c r="G277" s="49">
        <v>45793</v>
      </c>
      <c r="H277" s="16" t="s">
        <v>658</v>
      </c>
      <c r="I277" s="16" t="s">
        <v>23</v>
      </c>
      <c r="J277" s="49">
        <v>45793</v>
      </c>
      <c r="K277" s="49">
        <v>45800</v>
      </c>
      <c r="L277" s="16" t="s">
        <v>315</v>
      </c>
      <c r="M277" s="61">
        <v>256779413261</v>
      </c>
      <c r="N277" s="16" t="s">
        <v>22</v>
      </c>
      <c r="O277" s="16" t="s">
        <v>300</v>
      </c>
      <c r="P277" s="16" t="s">
        <v>18</v>
      </c>
      <c r="Q277" s="16" t="s">
        <v>312</v>
      </c>
      <c r="R277" s="16"/>
      <c r="S277" s="16" t="s">
        <v>110</v>
      </c>
      <c r="T277" s="50">
        <v>191.49</v>
      </c>
      <c r="U277" s="16" t="s">
        <v>20</v>
      </c>
      <c r="V277" s="50">
        <v>16465.02</v>
      </c>
      <c r="W277" s="16">
        <f t="shared" si="29"/>
        <v>85.983706720977594</v>
      </c>
      <c r="X277" s="16" t="s">
        <v>718</v>
      </c>
      <c r="Y277" s="16" t="s">
        <v>18</v>
      </c>
      <c r="Z277" s="16" t="s">
        <v>315</v>
      </c>
      <c r="AA277" s="16" t="s">
        <v>301</v>
      </c>
      <c r="AB277" s="16">
        <f>_xlfn.XLOOKUP(M277,'Customer Data'!$D:$D,'Customer Data'!$H:$H,,0)</f>
        <v>-191.49</v>
      </c>
      <c r="AC277" s="62">
        <f t="shared" si="30"/>
        <v>0</v>
      </c>
      <c r="AD277" s="16" t="s">
        <v>230</v>
      </c>
      <c r="AE277" s="16" t="s">
        <v>18</v>
      </c>
      <c r="AF277" s="16" t="s">
        <v>18</v>
      </c>
      <c r="AG277" s="16" t="s">
        <v>18</v>
      </c>
      <c r="AH277" s="49">
        <v>45793</v>
      </c>
      <c r="AI277" s="49">
        <v>46038</v>
      </c>
      <c r="AJ277" s="16" t="s">
        <v>644</v>
      </c>
    </row>
    <row r="278" spans="1:36" hidden="1" x14ac:dyDescent="0.35">
      <c r="A278" s="16" t="s">
        <v>296</v>
      </c>
      <c r="B278" s="16" t="s">
        <v>297</v>
      </c>
      <c r="C278" s="16" t="s">
        <v>21</v>
      </c>
      <c r="D278" s="16" t="s">
        <v>298</v>
      </c>
      <c r="E278" s="16" t="s">
        <v>167</v>
      </c>
      <c r="F278" s="16" t="s">
        <v>478</v>
      </c>
      <c r="G278" s="49">
        <v>45793</v>
      </c>
      <c r="H278" s="16" t="s">
        <v>659</v>
      </c>
      <c r="I278" s="16" t="s">
        <v>23</v>
      </c>
      <c r="J278" s="49">
        <v>45793</v>
      </c>
      <c r="K278" s="49">
        <v>45800</v>
      </c>
      <c r="L278" s="16" t="s">
        <v>315</v>
      </c>
      <c r="M278" s="61">
        <v>256779413289</v>
      </c>
      <c r="N278" s="16" t="s">
        <v>22</v>
      </c>
      <c r="O278" s="16" t="s">
        <v>300</v>
      </c>
      <c r="P278" s="16" t="s">
        <v>18</v>
      </c>
      <c r="Q278" s="16" t="s">
        <v>312</v>
      </c>
      <c r="R278" s="16"/>
      <c r="S278" s="16" t="s">
        <v>110</v>
      </c>
      <c r="T278" s="50">
        <v>3196.12</v>
      </c>
      <c r="U278" s="16" t="s">
        <v>20</v>
      </c>
      <c r="V278" s="50">
        <v>274814.21999999997</v>
      </c>
      <c r="W278" s="16">
        <f t="shared" si="29"/>
        <v>85.983698985019331</v>
      </c>
      <c r="X278" s="16" t="s">
        <v>718</v>
      </c>
      <c r="Y278" s="16" t="s">
        <v>18</v>
      </c>
      <c r="Z278" s="16" t="s">
        <v>315</v>
      </c>
      <c r="AA278" s="16" t="s">
        <v>301</v>
      </c>
      <c r="AB278" s="16">
        <f>_xlfn.XLOOKUP(M278,'Customer Data'!$D:$D,'Customer Data'!$H:$H,,0)</f>
        <v>-3196.12</v>
      </c>
      <c r="AC278" s="62">
        <f t="shared" si="30"/>
        <v>0</v>
      </c>
      <c r="AD278" s="16" t="s">
        <v>660</v>
      </c>
      <c r="AE278" s="16" t="s">
        <v>18</v>
      </c>
      <c r="AF278" s="16" t="s">
        <v>18</v>
      </c>
      <c r="AG278" s="16" t="s">
        <v>18</v>
      </c>
      <c r="AH278" s="49">
        <v>45793</v>
      </c>
      <c r="AI278" s="49">
        <v>46038</v>
      </c>
      <c r="AJ278" s="16" t="s">
        <v>644</v>
      </c>
    </row>
    <row r="279" spans="1:36" hidden="1" x14ac:dyDescent="0.35">
      <c r="A279" s="16" t="s">
        <v>296</v>
      </c>
      <c r="B279" s="16" t="s">
        <v>297</v>
      </c>
      <c r="C279" s="16" t="s">
        <v>21</v>
      </c>
      <c r="D279" s="16" t="s">
        <v>298</v>
      </c>
      <c r="E279" s="16" t="s">
        <v>167</v>
      </c>
      <c r="F279" s="16" t="s">
        <v>478</v>
      </c>
      <c r="G279" s="49">
        <v>45793</v>
      </c>
      <c r="H279" s="16" t="s">
        <v>661</v>
      </c>
      <c r="I279" s="16" t="s">
        <v>23</v>
      </c>
      <c r="J279" s="49">
        <v>45793</v>
      </c>
      <c r="K279" s="49">
        <v>45800</v>
      </c>
      <c r="L279" s="16" t="s">
        <v>315</v>
      </c>
      <c r="M279" s="61">
        <v>256779413327</v>
      </c>
      <c r="N279" s="16" t="s">
        <v>22</v>
      </c>
      <c r="O279" s="16" t="s">
        <v>300</v>
      </c>
      <c r="P279" s="16" t="s">
        <v>18</v>
      </c>
      <c r="Q279" s="16" t="s">
        <v>312</v>
      </c>
      <c r="R279" s="16"/>
      <c r="S279" s="16" t="s">
        <v>110</v>
      </c>
      <c r="T279" s="50">
        <v>1174.06</v>
      </c>
      <c r="U279" s="16" t="s">
        <v>20</v>
      </c>
      <c r="V279" s="50">
        <v>100950.02</v>
      </c>
      <c r="W279" s="16">
        <f t="shared" si="29"/>
        <v>85.983697596374981</v>
      </c>
      <c r="X279" s="16" t="s">
        <v>718</v>
      </c>
      <c r="Y279" s="16" t="s">
        <v>18</v>
      </c>
      <c r="Z279" s="16" t="s">
        <v>315</v>
      </c>
      <c r="AA279" s="16" t="s">
        <v>301</v>
      </c>
      <c r="AB279" s="16">
        <f>_xlfn.XLOOKUP(M279,'Customer Data'!$D:$D,'Customer Data'!$H:$H,,0)</f>
        <v>-1174.06</v>
      </c>
      <c r="AC279" s="62">
        <f t="shared" si="30"/>
        <v>0</v>
      </c>
      <c r="AD279" s="16" t="s">
        <v>662</v>
      </c>
      <c r="AE279" s="16" t="s">
        <v>18</v>
      </c>
      <c r="AF279" s="16" t="s">
        <v>18</v>
      </c>
      <c r="AG279" s="16" t="s">
        <v>18</v>
      </c>
      <c r="AH279" s="49">
        <v>45793</v>
      </c>
      <c r="AI279" s="49">
        <v>46038</v>
      </c>
      <c r="AJ279" s="16" t="s">
        <v>644</v>
      </c>
    </row>
    <row r="280" spans="1:36" hidden="1" x14ac:dyDescent="0.35">
      <c r="A280" s="16" t="s">
        <v>296</v>
      </c>
      <c r="B280" s="16" t="s">
        <v>297</v>
      </c>
      <c r="C280" s="16" t="s">
        <v>21</v>
      </c>
      <c r="D280" s="16" t="s">
        <v>298</v>
      </c>
      <c r="E280" s="16" t="s">
        <v>167</v>
      </c>
      <c r="F280" s="16" t="s">
        <v>478</v>
      </c>
      <c r="G280" s="49">
        <v>45797</v>
      </c>
      <c r="H280" s="16" t="s">
        <v>663</v>
      </c>
      <c r="I280" s="16" t="s">
        <v>23</v>
      </c>
      <c r="J280" s="49">
        <v>45797</v>
      </c>
      <c r="K280" s="49">
        <v>45805</v>
      </c>
      <c r="L280" s="16" t="s">
        <v>315</v>
      </c>
      <c r="M280" s="61">
        <v>256779413463</v>
      </c>
      <c r="N280" s="16" t="s">
        <v>22</v>
      </c>
      <c r="O280" s="16" t="s">
        <v>300</v>
      </c>
      <c r="P280" s="16" t="s">
        <v>18</v>
      </c>
      <c r="Q280" s="16" t="s">
        <v>312</v>
      </c>
      <c r="R280" s="16"/>
      <c r="S280" s="16" t="s">
        <v>110</v>
      </c>
      <c r="T280" s="50">
        <v>297.43</v>
      </c>
      <c r="U280" s="16" t="s">
        <v>20</v>
      </c>
      <c r="V280" s="50">
        <v>25574.13</v>
      </c>
      <c r="W280" s="16">
        <f t="shared" si="29"/>
        <v>85.98369364220153</v>
      </c>
      <c r="X280" s="16" t="s">
        <v>718</v>
      </c>
      <c r="Y280" s="16" t="s">
        <v>18</v>
      </c>
      <c r="Z280" s="16" t="s">
        <v>315</v>
      </c>
      <c r="AA280" s="16" t="s">
        <v>301</v>
      </c>
      <c r="AB280" s="16">
        <f>_xlfn.XLOOKUP(M280,'Customer Data'!$D:$D,'Customer Data'!$H:$H,,0)</f>
        <v>-297.43</v>
      </c>
      <c r="AC280" s="62">
        <f t="shared" si="30"/>
        <v>0</v>
      </c>
      <c r="AD280" s="16" t="s">
        <v>664</v>
      </c>
      <c r="AE280" s="16" t="s">
        <v>18</v>
      </c>
      <c r="AF280" s="16" t="s">
        <v>18</v>
      </c>
      <c r="AG280" s="16" t="s">
        <v>18</v>
      </c>
      <c r="AH280" s="49">
        <v>45797</v>
      </c>
      <c r="AI280" s="49">
        <v>46038</v>
      </c>
      <c r="AJ280" s="16" t="s">
        <v>644</v>
      </c>
    </row>
    <row r="281" spans="1:36" hidden="1" x14ac:dyDescent="0.35">
      <c r="A281" s="16" t="s">
        <v>296</v>
      </c>
      <c r="B281" s="16" t="s">
        <v>297</v>
      </c>
      <c r="C281" s="16" t="s">
        <v>21</v>
      </c>
      <c r="D281" s="16" t="s">
        <v>298</v>
      </c>
      <c r="E281" s="16" t="s">
        <v>167</v>
      </c>
      <c r="F281" s="16" t="s">
        <v>478</v>
      </c>
      <c r="G281" s="49">
        <v>45785</v>
      </c>
      <c r="H281" s="16" t="s">
        <v>665</v>
      </c>
      <c r="I281" s="16" t="s">
        <v>23</v>
      </c>
      <c r="J281" s="49">
        <v>45785</v>
      </c>
      <c r="K281" s="49">
        <v>45805</v>
      </c>
      <c r="L281" s="16" t="s">
        <v>315</v>
      </c>
      <c r="M281" s="61">
        <v>256779413572</v>
      </c>
      <c r="N281" s="16" t="s">
        <v>22</v>
      </c>
      <c r="O281" s="16" t="s">
        <v>300</v>
      </c>
      <c r="P281" s="16" t="s">
        <v>18</v>
      </c>
      <c r="Q281" s="16" t="s">
        <v>312</v>
      </c>
      <c r="R281" s="16"/>
      <c r="S281" s="16" t="s">
        <v>110</v>
      </c>
      <c r="T281" s="50">
        <v>5969.61</v>
      </c>
      <c r="U281" s="16" t="s">
        <v>20</v>
      </c>
      <c r="V281" s="50">
        <v>513289.16</v>
      </c>
      <c r="W281" s="16">
        <f t="shared" si="29"/>
        <v>85.983700777772754</v>
      </c>
      <c r="X281" s="16" t="s">
        <v>718</v>
      </c>
      <c r="Y281" s="16" t="s">
        <v>18</v>
      </c>
      <c r="Z281" s="16" t="s">
        <v>315</v>
      </c>
      <c r="AA281" s="16" t="s">
        <v>301</v>
      </c>
      <c r="AB281" s="16">
        <f>_xlfn.XLOOKUP(M281,'Customer Data'!$D:$D,'Customer Data'!$H:$H,,0)</f>
        <v>-6237.23</v>
      </c>
      <c r="AC281" s="62">
        <f t="shared" si="30"/>
        <v>-267.61999999999989</v>
      </c>
      <c r="AD281" s="16" t="s">
        <v>666</v>
      </c>
      <c r="AE281" s="16" t="s">
        <v>18</v>
      </c>
      <c r="AF281" s="16" t="s">
        <v>18</v>
      </c>
      <c r="AG281" s="16" t="s">
        <v>18</v>
      </c>
      <c r="AH281" s="49">
        <v>45785</v>
      </c>
      <c r="AI281" s="49">
        <v>46038</v>
      </c>
      <c r="AJ281" s="16" t="s">
        <v>644</v>
      </c>
    </row>
    <row r="282" spans="1:36" hidden="1" x14ac:dyDescent="0.35">
      <c r="A282" s="16" t="s">
        <v>296</v>
      </c>
      <c r="B282" s="16" t="s">
        <v>297</v>
      </c>
      <c r="C282" s="16" t="s">
        <v>21</v>
      </c>
      <c r="D282" s="16" t="s">
        <v>298</v>
      </c>
      <c r="E282" s="16" t="s">
        <v>167</v>
      </c>
      <c r="F282" s="16" t="s">
        <v>478</v>
      </c>
      <c r="G282" s="49">
        <v>45797</v>
      </c>
      <c r="H282" s="16" t="s">
        <v>667</v>
      </c>
      <c r="I282" s="16" t="s">
        <v>23</v>
      </c>
      <c r="J282" s="49">
        <v>45797</v>
      </c>
      <c r="K282" s="49">
        <v>45805</v>
      </c>
      <c r="L282" s="16" t="s">
        <v>315</v>
      </c>
      <c r="M282" s="61">
        <v>256779413820</v>
      </c>
      <c r="N282" s="16" t="s">
        <v>22</v>
      </c>
      <c r="O282" s="16" t="s">
        <v>300</v>
      </c>
      <c r="P282" s="16" t="s">
        <v>18</v>
      </c>
      <c r="Q282" s="16" t="s">
        <v>312</v>
      </c>
      <c r="R282" s="16"/>
      <c r="S282" s="16" t="s">
        <v>110</v>
      </c>
      <c r="T282" s="50">
        <v>41.55</v>
      </c>
      <c r="U282" s="16" t="s">
        <v>20</v>
      </c>
      <c r="V282" s="50">
        <v>3572.62</v>
      </c>
      <c r="W282" s="16">
        <f t="shared" si="29"/>
        <v>85.983634175691947</v>
      </c>
      <c r="X282" s="16" t="s">
        <v>720</v>
      </c>
      <c r="Y282" s="16" t="s">
        <v>18</v>
      </c>
      <c r="Z282" s="16" t="s">
        <v>18</v>
      </c>
      <c r="AA282" s="16" t="s">
        <v>301</v>
      </c>
      <c r="AB282" s="16">
        <f>_xlfn.XLOOKUP(M282,'Customer Data'!$D:$D,'Customer Data'!$H:$H,,0)</f>
        <v>-41.55</v>
      </c>
      <c r="AC282" s="62">
        <f t="shared" si="30"/>
        <v>0</v>
      </c>
      <c r="AD282" s="16" t="s">
        <v>668</v>
      </c>
      <c r="AE282" s="16" t="s">
        <v>18</v>
      </c>
      <c r="AF282" s="16" t="s">
        <v>18</v>
      </c>
      <c r="AG282" s="16" t="s">
        <v>18</v>
      </c>
      <c r="AH282" s="49">
        <v>45797</v>
      </c>
      <c r="AI282" s="49">
        <v>46038</v>
      </c>
      <c r="AJ282" s="16" t="s">
        <v>644</v>
      </c>
    </row>
    <row r="283" spans="1:36" hidden="1" x14ac:dyDescent="0.35">
      <c r="A283" s="16" t="s">
        <v>296</v>
      </c>
      <c r="B283" s="16" t="s">
        <v>297</v>
      </c>
      <c r="C283" s="16" t="s">
        <v>21</v>
      </c>
      <c r="D283" s="16" t="s">
        <v>298</v>
      </c>
      <c r="E283" s="16" t="s">
        <v>167</v>
      </c>
      <c r="F283" s="16" t="s">
        <v>478</v>
      </c>
      <c r="G283" s="49">
        <v>45797</v>
      </c>
      <c r="H283" s="16" t="s">
        <v>669</v>
      </c>
      <c r="I283" s="16" t="s">
        <v>23</v>
      </c>
      <c r="J283" s="49">
        <v>45797</v>
      </c>
      <c r="K283" s="49">
        <v>45805</v>
      </c>
      <c r="L283" s="16" t="s">
        <v>315</v>
      </c>
      <c r="M283" s="61">
        <v>256779413865</v>
      </c>
      <c r="N283" s="16" t="s">
        <v>22</v>
      </c>
      <c r="O283" s="16" t="s">
        <v>300</v>
      </c>
      <c r="P283" s="16" t="s">
        <v>18</v>
      </c>
      <c r="Q283" s="16" t="s">
        <v>312</v>
      </c>
      <c r="R283" s="16"/>
      <c r="S283" s="16" t="s">
        <v>110</v>
      </c>
      <c r="T283" s="50">
        <v>452.8</v>
      </c>
      <c r="U283" s="16" t="s">
        <v>20</v>
      </c>
      <c r="V283" s="50">
        <v>38933.42</v>
      </c>
      <c r="W283" s="16">
        <f t="shared" si="29"/>
        <v>85.983701413427553</v>
      </c>
      <c r="X283" s="16" t="s">
        <v>718</v>
      </c>
      <c r="Y283" s="16" t="s">
        <v>18</v>
      </c>
      <c r="Z283" s="16" t="s">
        <v>315</v>
      </c>
      <c r="AA283" s="16" t="s">
        <v>301</v>
      </c>
      <c r="AB283" s="16">
        <f>_xlfn.XLOOKUP(M283,'Customer Data'!$D:$D,'Customer Data'!$H:$H,,0)</f>
        <v>-452.8</v>
      </c>
      <c r="AC283" s="62">
        <f t="shared" si="30"/>
        <v>0</v>
      </c>
      <c r="AD283" s="16" t="s">
        <v>219</v>
      </c>
      <c r="AE283" s="16" t="s">
        <v>18</v>
      </c>
      <c r="AF283" s="16" t="s">
        <v>18</v>
      </c>
      <c r="AG283" s="16" t="s">
        <v>18</v>
      </c>
      <c r="AH283" s="49">
        <v>45797</v>
      </c>
      <c r="AI283" s="49">
        <v>46038</v>
      </c>
      <c r="AJ283" s="16" t="s">
        <v>644</v>
      </c>
    </row>
    <row r="284" spans="1:36" hidden="1" x14ac:dyDescent="0.35">
      <c r="A284" s="16" t="s">
        <v>296</v>
      </c>
      <c r="B284" s="16" t="s">
        <v>297</v>
      </c>
      <c r="C284" s="16" t="s">
        <v>21</v>
      </c>
      <c r="D284" s="16" t="s">
        <v>298</v>
      </c>
      <c r="E284" s="16" t="s">
        <v>167</v>
      </c>
      <c r="F284" s="16" t="s">
        <v>579</v>
      </c>
      <c r="G284" s="49">
        <v>45813</v>
      </c>
      <c r="H284" s="16" t="s">
        <v>670</v>
      </c>
      <c r="I284" s="16" t="s">
        <v>23</v>
      </c>
      <c r="J284" s="49">
        <v>45813</v>
      </c>
      <c r="K284" s="49">
        <v>45817</v>
      </c>
      <c r="L284" s="16" t="s">
        <v>315</v>
      </c>
      <c r="M284" s="61">
        <v>256779414081</v>
      </c>
      <c r="N284" s="16" t="s">
        <v>22</v>
      </c>
      <c r="O284" s="16" t="s">
        <v>300</v>
      </c>
      <c r="P284" s="16" t="s">
        <v>18</v>
      </c>
      <c r="Q284" s="16" t="s">
        <v>312</v>
      </c>
      <c r="R284" s="16"/>
      <c r="S284" s="16" t="s">
        <v>110</v>
      </c>
      <c r="T284" s="50">
        <v>10336.02</v>
      </c>
      <c r="U284" s="16" t="s">
        <v>20</v>
      </c>
      <c r="V284" s="50">
        <v>883634.41</v>
      </c>
      <c r="W284" s="16">
        <f t="shared" si="29"/>
        <v>85.490779816602526</v>
      </c>
      <c r="X284" s="16" t="s">
        <v>720</v>
      </c>
      <c r="Y284" s="16" t="s">
        <v>18</v>
      </c>
      <c r="Z284" s="16" t="s">
        <v>315</v>
      </c>
      <c r="AA284" s="16" t="s">
        <v>301</v>
      </c>
      <c r="AB284" s="16">
        <f>_xlfn.XLOOKUP(M284,'Customer Data'!$D:$D,'Customer Data'!$H:$H,,0)</f>
        <v>-10336.02</v>
      </c>
      <c r="AC284" s="62">
        <f t="shared" si="30"/>
        <v>0</v>
      </c>
      <c r="AD284" s="16" t="s">
        <v>581</v>
      </c>
      <c r="AE284" s="16" t="s">
        <v>18</v>
      </c>
      <c r="AF284" s="16" t="s">
        <v>18</v>
      </c>
      <c r="AG284" s="16" t="s">
        <v>18</v>
      </c>
      <c r="AH284" s="49">
        <v>45813</v>
      </c>
      <c r="AI284" s="49">
        <v>46038</v>
      </c>
      <c r="AJ284" s="16" t="s">
        <v>644</v>
      </c>
    </row>
    <row r="285" spans="1:36" hidden="1" x14ac:dyDescent="0.35">
      <c r="A285" s="16" t="s">
        <v>296</v>
      </c>
      <c r="B285" s="16" t="s">
        <v>297</v>
      </c>
      <c r="C285" s="16" t="s">
        <v>21</v>
      </c>
      <c r="D285" s="16" t="s">
        <v>298</v>
      </c>
      <c r="E285" s="16" t="s">
        <v>167</v>
      </c>
      <c r="F285" s="16" t="s">
        <v>579</v>
      </c>
      <c r="G285" s="49">
        <v>45812</v>
      </c>
      <c r="H285" s="16" t="s">
        <v>671</v>
      </c>
      <c r="I285" s="16" t="s">
        <v>23</v>
      </c>
      <c r="J285" s="49">
        <v>45812</v>
      </c>
      <c r="K285" s="49">
        <v>45817</v>
      </c>
      <c r="L285" s="16" t="s">
        <v>315</v>
      </c>
      <c r="M285" s="61">
        <v>256779414168</v>
      </c>
      <c r="N285" s="16" t="s">
        <v>22</v>
      </c>
      <c r="O285" s="16" t="s">
        <v>300</v>
      </c>
      <c r="P285" s="16" t="s">
        <v>18</v>
      </c>
      <c r="Q285" s="16" t="s">
        <v>312</v>
      </c>
      <c r="R285" s="16"/>
      <c r="S285" s="16" t="s">
        <v>110</v>
      </c>
      <c r="T285" s="50">
        <v>376.19</v>
      </c>
      <c r="U285" s="16" t="s">
        <v>20</v>
      </c>
      <c r="V285" s="50">
        <v>32160.78</v>
      </c>
      <c r="W285" s="16">
        <f t="shared" si="29"/>
        <v>85.49078922884712</v>
      </c>
      <c r="X285" s="16" t="s">
        <v>718</v>
      </c>
      <c r="Y285" s="16" t="s">
        <v>18</v>
      </c>
      <c r="Z285" s="16" t="s">
        <v>315</v>
      </c>
      <c r="AA285" s="16" t="s">
        <v>301</v>
      </c>
      <c r="AB285" s="16">
        <f>_xlfn.XLOOKUP(M285,'Customer Data'!$D:$D,'Customer Data'!$H:$H,,0)</f>
        <v>-376.19</v>
      </c>
      <c r="AC285" s="62">
        <f t="shared" si="30"/>
        <v>0</v>
      </c>
      <c r="AD285" s="16" t="s">
        <v>220</v>
      </c>
      <c r="AE285" s="16" t="s">
        <v>18</v>
      </c>
      <c r="AF285" s="16" t="s">
        <v>18</v>
      </c>
      <c r="AG285" s="16" t="s">
        <v>18</v>
      </c>
      <c r="AH285" s="49">
        <v>45812</v>
      </c>
      <c r="AI285" s="49">
        <v>46038</v>
      </c>
      <c r="AJ285" s="16" t="s">
        <v>644</v>
      </c>
    </row>
    <row r="286" spans="1:36" hidden="1" x14ac:dyDescent="0.35">
      <c r="A286" s="16" t="s">
        <v>296</v>
      </c>
      <c r="B286" s="16" t="s">
        <v>297</v>
      </c>
      <c r="C286" s="16" t="s">
        <v>21</v>
      </c>
      <c r="D286" s="16" t="s">
        <v>298</v>
      </c>
      <c r="E286" s="16" t="s">
        <v>167</v>
      </c>
      <c r="F286" s="16" t="s">
        <v>579</v>
      </c>
      <c r="G286" s="49">
        <v>45812</v>
      </c>
      <c r="H286" s="16" t="s">
        <v>672</v>
      </c>
      <c r="I286" s="16" t="s">
        <v>23</v>
      </c>
      <c r="J286" s="49">
        <v>45812</v>
      </c>
      <c r="K286" s="49">
        <v>45817</v>
      </c>
      <c r="L286" s="16" t="s">
        <v>315</v>
      </c>
      <c r="M286" s="61">
        <v>256779414181</v>
      </c>
      <c r="N286" s="16" t="s">
        <v>22</v>
      </c>
      <c r="O286" s="16" t="s">
        <v>300</v>
      </c>
      <c r="P286" s="16" t="s">
        <v>18</v>
      </c>
      <c r="Q286" s="16" t="s">
        <v>312</v>
      </c>
      <c r="R286" s="16"/>
      <c r="S286" s="16" t="s">
        <v>110</v>
      </c>
      <c r="T286" s="50">
        <v>914.7</v>
      </c>
      <c r="U286" s="16" t="s">
        <v>20</v>
      </c>
      <c r="V286" s="50">
        <v>78198.42</v>
      </c>
      <c r="W286" s="16">
        <f t="shared" si="29"/>
        <v>85.490783863561816</v>
      </c>
      <c r="X286" s="16" t="s">
        <v>718</v>
      </c>
      <c r="Y286" s="16" t="s">
        <v>18</v>
      </c>
      <c r="Z286" s="16" t="s">
        <v>315</v>
      </c>
      <c r="AA286" s="16" t="s">
        <v>301</v>
      </c>
      <c r="AB286" s="16">
        <f>_xlfn.XLOOKUP(M286,'Customer Data'!$D:$D,'Customer Data'!$H:$H,,0)</f>
        <v>-914.7</v>
      </c>
      <c r="AC286" s="62">
        <f t="shared" si="30"/>
        <v>0</v>
      </c>
      <c r="AD286" s="16" t="s">
        <v>673</v>
      </c>
      <c r="AE286" s="16" t="s">
        <v>18</v>
      </c>
      <c r="AF286" s="16" t="s">
        <v>18</v>
      </c>
      <c r="AG286" s="16" t="s">
        <v>18</v>
      </c>
      <c r="AH286" s="49">
        <v>45812</v>
      </c>
      <c r="AI286" s="49">
        <v>46038</v>
      </c>
      <c r="AJ286" s="16" t="s">
        <v>644</v>
      </c>
    </row>
    <row r="287" spans="1:36" hidden="1" x14ac:dyDescent="0.35">
      <c r="A287" s="16" t="s">
        <v>296</v>
      </c>
      <c r="B287" s="16" t="s">
        <v>297</v>
      </c>
      <c r="C287" s="16" t="s">
        <v>21</v>
      </c>
      <c r="D287" s="16" t="s">
        <v>298</v>
      </c>
      <c r="E287" s="16" t="s">
        <v>167</v>
      </c>
      <c r="F287" s="16" t="s">
        <v>579</v>
      </c>
      <c r="G287" s="49">
        <v>45812</v>
      </c>
      <c r="H287" s="16" t="s">
        <v>674</v>
      </c>
      <c r="I287" s="16" t="s">
        <v>23</v>
      </c>
      <c r="J287" s="49">
        <v>45812</v>
      </c>
      <c r="K287" s="49">
        <v>45817</v>
      </c>
      <c r="L287" s="16" t="s">
        <v>315</v>
      </c>
      <c r="M287" s="61">
        <v>256779414255</v>
      </c>
      <c r="N287" s="16" t="s">
        <v>22</v>
      </c>
      <c r="O287" s="16" t="s">
        <v>300</v>
      </c>
      <c r="P287" s="16" t="s">
        <v>18</v>
      </c>
      <c r="Q287" s="16" t="s">
        <v>312</v>
      </c>
      <c r="R287" s="16"/>
      <c r="S287" s="16" t="s">
        <v>110</v>
      </c>
      <c r="T287" s="50">
        <v>520.44000000000005</v>
      </c>
      <c r="U287" s="16" t="s">
        <v>20</v>
      </c>
      <c r="V287" s="50">
        <v>44492.82</v>
      </c>
      <c r="W287" s="16">
        <f t="shared" si="29"/>
        <v>85.490777034816688</v>
      </c>
      <c r="X287" s="16" t="s">
        <v>718</v>
      </c>
      <c r="Y287" s="16" t="s">
        <v>18</v>
      </c>
      <c r="Z287" s="16" t="s">
        <v>315</v>
      </c>
      <c r="AA287" s="16" t="s">
        <v>301</v>
      </c>
      <c r="AB287" s="16">
        <f>_xlfn.XLOOKUP(M287,'Customer Data'!$D:$D,'Customer Data'!$H:$H,,0)</f>
        <v>-520.44000000000005</v>
      </c>
      <c r="AC287" s="62">
        <f t="shared" si="30"/>
        <v>0</v>
      </c>
      <c r="AD287" s="16" t="s">
        <v>221</v>
      </c>
      <c r="AE287" s="16" t="s">
        <v>18</v>
      </c>
      <c r="AF287" s="16" t="s">
        <v>18</v>
      </c>
      <c r="AG287" s="16" t="s">
        <v>18</v>
      </c>
      <c r="AH287" s="49">
        <v>45812</v>
      </c>
      <c r="AI287" s="49">
        <v>46038</v>
      </c>
      <c r="AJ287" s="16" t="s">
        <v>644</v>
      </c>
    </row>
    <row r="288" spans="1:36" hidden="1" x14ac:dyDescent="0.35">
      <c r="A288" s="16" t="s">
        <v>296</v>
      </c>
      <c r="B288" s="16" t="s">
        <v>297</v>
      </c>
      <c r="C288" s="16" t="s">
        <v>21</v>
      </c>
      <c r="D288" s="16" t="s">
        <v>298</v>
      </c>
      <c r="E288" s="16" t="s">
        <v>167</v>
      </c>
      <c r="F288" s="16" t="s">
        <v>579</v>
      </c>
      <c r="G288" s="49">
        <v>45812</v>
      </c>
      <c r="H288" s="16" t="s">
        <v>675</v>
      </c>
      <c r="I288" s="16" t="s">
        <v>23</v>
      </c>
      <c r="J288" s="49">
        <v>45812</v>
      </c>
      <c r="K288" s="49">
        <v>45817</v>
      </c>
      <c r="L288" s="16" t="s">
        <v>315</v>
      </c>
      <c r="M288" s="61">
        <v>256779414265</v>
      </c>
      <c r="N288" s="16" t="s">
        <v>22</v>
      </c>
      <c r="O288" s="16" t="s">
        <v>300</v>
      </c>
      <c r="P288" s="16" t="s">
        <v>18</v>
      </c>
      <c r="Q288" s="16" t="s">
        <v>312</v>
      </c>
      <c r="R288" s="16"/>
      <c r="S288" s="16" t="s">
        <v>110</v>
      </c>
      <c r="T288" s="50">
        <v>149.11000000000001</v>
      </c>
      <c r="U288" s="16" t="s">
        <v>20</v>
      </c>
      <c r="V288" s="50">
        <v>12747.53</v>
      </c>
      <c r="W288" s="16">
        <f t="shared" si="29"/>
        <v>85.490778619810868</v>
      </c>
      <c r="X288" s="16" t="s">
        <v>718</v>
      </c>
      <c r="Y288" s="16" t="s">
        <v>18</v>
      </c>
      <c r="Z288" s="16" t="s">
        <v>315</v>
      </c>
      <c r="AA288" s="16" t="s">
        <v>301</v>
      </c>
      <c r="AB288" s="16">
        <f>_xlfn.XLOOKUP(M288,'Customer Data'!$D:$D,'Customer Data'!$H:$H,,0)</f>
        <v>-149.11000000000001</v>
      </c>
      <c r="AC288" s="62">
        <f t="shared" si="30"/>
        <v>0</v>
      </c>
      <c r="AD288" s="16" t="s">
        <v>222</v>
      </c>
      <c r="AE288" s="16" t="s">
        <v>18</v>
      </c>
      <c r="AF288" s="16" t="s">
        <v>18</v>
      </c>
      <c r="AG288" s="16" t="s">
        <v>18</v>
      </c>
      <c r="AH288" s="49">
        <v>45812</v>
      </c>
      <c r="AI288" s="49">
        <v>46038</v>
      </c>
      <c r="AJ288" s="16" t="s">
        <v>644</v>
      </c>
    </row>
    <row r="289" spans="1:36" hidden="1" x14ac:dyDescent="0.35">
      <c r="A289" s="16" t="s">
        <v>296</v>
      </c>
      <c r="B289" s="16" t="s">
        <v>297</v>
      </c>
      <c r="C289" s="16" t="s">
        <v>21</v>
      </c>
      <c r="D289" s="16" t="s">
        <v>298</v>
      </c>
      <c r="E289" s="16" t="s">
        <v>167</v>
      </c>
      <c r="F289" s="16" t="s">
        <v>579</v>
      </c>
      <c r="G289" s="49">
        <v>45812</v>
      </c>
      <c r="H289" s="16" t="s">
        <v>676</v>
      </c>
      <c r="I289" s="16" t="s">
        <v>23</v>
      </c>
      <c r="J289" s="49">
        <v>45812</v>
      </c>
      <c r="K289" s="49">
        <v>45817</v>
      </c>
      <c r="L289" s="16" t="s">
        <v>315</v>
      </c>
      <c r="M289" s="61">
        <v>256779414281</v>
      </c>
      <c r="N289" s="16" t="s">
        <v>22</v>
      </c>
      <c r="O289" s="16" t="s">
        <v>300</v>
      </c>
      <c r="P289" s="16" t="s">
        <v>18</v>
      </c>
      <c r="Q289" s="16" t="s">
        <v>312</v>
      </c>
      <c r="R289" s="16"/>
      <c r="S289" s="16" t="s">
        <v>110</v>
      </c>
      <c r="T289" s="50">
        <v>59</v>
      </c>
      <c r="U289" s="16" t="s">
        <v>20</v>
      </c>
      <c r="V289" s="50">
        <v>5043.96</v>
      </c>
      <c r="W289" s="16">
        <f t="shared" si="29"/>
        <v>85.490847457627126</v>
      </c>
      <c r="X289" s="16" t="s">
        <v>718</v>
      </c>
      <c r="Y289" s="16" t="s">
        <v>18</v>
      </c>
      <c r="Z289" s="16" t="s">
        <v>315</v>
      </c>
      <c r="AA289" s="16" t="s">
        <v>301</v>
      </c>
      <c r="AB289" s="16">
        <f>_xlfn.XLOOKUP(M289,'Customer Data'!$D:$D,'Customer Data'!$H:$H,,0)</f>
        <v>-59</v>
      </c>
      <c r="AC289" s="62">
        <f t="shared" si="30"/>
        <v>0</v>
      </c>
      <c r="AD289" s="16" t="s">
        <v>223</v>
      </c>
      <c r="AE289" s="16" t="s">
        <v>18</v>
      </c>
      <c r="AF289" s="16" t="s">
        <v>18</v>
      </c>
      <c r="AG289" s="16" t="s">
        <v>18</v>
      </c>
      <c r="AH289" s="49">
        <v>45812</v>
      </c>
      <c r="AI289" s="49">
        <v>46038</v>
      </c>
      <c r="AJ289" s="16" t="s">
        <v>644</v>
      </c>
    </row>
    <row r="290" spans="1:36" hidden="1" x14ac:dyDescent="0.35">
      <c r="A290" s="16" t="s">
        <v>296</v>
      </c>
      <c r="B290" s="16" t="s">
        <v>297</v>
      </c>
      <c r="C290" s="16" t="s">
        <v>21</v>
      </c>
      <c r="D290" s="16" t="s">
        <v>298</v>
      </c>
      <c r="E290" s="16" t="s">
        <v>167</v>
      </c>
      <c r="F290" s="16" t="s">
        <v>579</v>
      </c>
      <c r="G290" s="49">
        <v>45812</v>
      </c>
      <c r="H290" s="16" t="s">
        <v>677</v>
      </c>
      <c r="I290" s="16" t="s">
        <v>23</v>
      </c>
      <c r="J290" s="49">
        <v>45812</v>
      </c>
      <c r="K290" s="49">
        <v>45817</v>
      </c>
      <c r="L290" s="16" t="s">
        <v>315</v>
      </c>
      <c r="M290" s="61">
        <v>256779414292</v>
      </c>
      <c r="N290" s="16" t="s">
        <v>22</v>
      </c>
      <c r="O290" s="16" t="s">
        <v>300</v>
      </c>
      <c r="P290" s="16" t="s">
        <v>18</v>
      </c>
      <c r="Q290" s="16" t="s">
        <v>312</v>
      </c>
      <c r="R290" s="16"/>
      <c r="S290" s="16" t="s">
        <v>110</v>
      </c>
      <c r="T290" s="50">
        <v>2771.81</v>
      </c>
      <c r="U290" s="16" t="s">
        <v>20</v>
      </c>
      <c r="V290" s="50">
        <v>236964.2</v>
      </c>
      <c r="W290" s="16">
        <f t="shared" si="29"/>
        <v>85.490780392595454</v>
      </c>
      <c r="X290" s="16" t="s">
        <v>718</v>
      </c>
      <c r="Y290" s="16" t="s">
        <v>18</v>
      </c>
      <c r="Z290" s="16" t="s">
        <v>315</v>
      </c>
      <c r="AA290" s="16" t="s">
        <v>301</v>
      </c>
      <c r="AB290" s="16">
        <f>_xlfn.XLOOKUP(M290,'Customer Data'!$D:$D,'Customer Data'!$H:$H,,0)</f>
        <v>-2771.81</v>
      </c>
      <c r="AC290" s="62">
        <f t="shared" si="30"/>
        <v>0</v>
      </c>
      <c r="AD290" s="16" t="s">
        <v>678</v>
      </c>
      <c r="AE290" s="16" t="s">
        <v>18</v>
      </c>
      <c r="AF290" s="16" t="s">
        <v>18</v>
      </c>
      <c r="AG290" s="16" t="s">
        <v>18</v>
      </c>
      <c r="AH290" s="49">
        <v>45812</v>
      </c>
      <c r="AI290" s="49">
        <v>46038</v>
      </c>
      <c r="AJ290" s="16" t="s">
        <v>644</v>
      </c>
    </row>
    <row r="291" spans="1:36" hidden="1" x14ac:dyDescent="0.35">
      <c r="A291" s="16" t="s">
        <v>296</v>
      </c>
      <c r="B291" s="16" t="s">
        <v>297</v>
      </c>
      <c r="C291" s="16" t="s">
        <v>21</v>
      </c>
      <c r="D291" s="16" t="s">
        <v>298</v>
      </c>
      <c r="E291" s="16" t="s">
        <v>175</v>
      </c>
      <c r="F291" s="16" t="s">
        <v>301</v>
      </c>
      <c r="G291" s="49">
        <v>46036</v>
      </c>
      <c r="H291" s="16" t="s">
        <v>679</v>
      </c>
      <c r="I291" s="16" t="s">
        <v>23</v>
      </c>
      <c r="J291" s="49">
        <v>46036</v>
      </c>
      <c r="K291" s="49">
        <v>46036</v>
      </c>
      <c r="L291" s="16" t="s">
        <v>680</v>
      </c>
      <c r="M291" s="61">
        <v>256779450748</v>
      </c>
      <c r="N291" s="16" t="s">
        <v>22</v>
      </c>
      <c r="O291" s="16" t="s">
        <v>300</v>
      </c>
      <c r="P291" s="16" t="s">
        <v>18</v>
      </c>
      <c r="Q291" s="16" t="s">
        <v>312</v>
      </c>
      <c r="R291" s="16" t="e">
        <f>_xlfn.XLOOKUP(M291,'Invoice No Ref'!$C:$C,'Invoice No Ref'!$I:$I,,0)</f>
        <v>#N/A</v>
      </c>
      <c r="S291" s="16" t="s">
        <v>110</v>
      </c>
      <c r="T291" s="50">
        <v>267.62</v>
      </c>
      <c r="U291" s="16" t="s">
        <v>20</v>
      </c>
      <c r="V291" s="50">
        <v>24284.68</v>
      </c>
      <c r="W291" s="16">
        <f t="shared" si="29"/>
        <v>90.74314326283536</v>
      </c>
      <c r="X291" s="16" t="s">
        <v>720</v>
      </c>
      <c r="Y291" s="16" t="s">
        <v>18</v>
      </c>
      <c r="Z291" s="16" t="s">
        <v>315</v>
      </c>
      <c r="AA291" s="16" t="s">
        <v>301</v>
      </c>
      <c r="AB291" s="16" t="e">
        <f>_xlfn.XLOOKUP(R291,'Customer Data'!$D:$D,'Customer Data'!$F:$F,,0)</f>
        <v>#N/A</v>
      </c>
      <c r="AC291" s="16"/>
      <c r="AD291" s="16" t="s">
        <v>681</v>
      </c>
      <c r="AE291" s="16" t="s">
        <v>18</v>
      </c>
      <c r="AF291" s="16" t="s">
        <v>18</v>
      </c>
      <c r="AG291" s="16" t="s">
        <v>18</v>
      </c>
      <c r="AH291" s="49">
        <v>46036</v>
      </c>
      <c r="AI291" s="49">
        <v>46038</v>
      </c>
      <c r="AJ291" s="16" t="s">
        <v>644</v>
      </c>
    </row>
    <row r="292" spans="1:36" hidden="1" x14ac:dyDescent="0.35">
      <c r="A292" s="16" t="s">
        <v>307</v>
      </c>
      <c r="B292" s="16" t="s">
        <v>297</v>
      </c>
      <c r="C292" s="16" t="s">
        <v>21</v>
      </c>
      <c r="D292" s="16" t="s">
        <v>298</v>
      </c>
      <c r="E292" s="16" t="s">
        <v>175</v>
      </c>
      <c r="F292" s="16" t="s">
        <v>301</v>
      </c>
      <c r="G292" s="49">
        <v>46049</v>
      </c>
      <c r="H292" s="16" t="s">
        <v>682</v>
      </c>
      <c r="I292" s="16" t="s">
        <v>23</v>
      </c>
      <c r="J292" s="49">
        <v>46049</v>
      </c>
      <c r="K292" s="49">
        <v>46049</v>
      </c>
      <c r="L292" s="16" t="s">
        <v>683</v>
      </c>
      <c r="M292" s="61">
        <v>256779451000</v>
      </c>
      <c r="N292" s="16" t="s">
        <v>22</v>
      </c>
      <c r="O292" s="16" t="s">
        <v>300</v>
      </c>
      <c r="P292" s="16" t="s">
        <v>18</v>
      </c>
      <c r="Q292" s="16" t="s">
        <v>312</v>
      </c>
      <c r="R292" s="16" t="e">
        <f>_xlfn.XLOOKUP(M292,'Invoice No Ref'!$C:$C,'Invoice No Ref'!$I:$I,,0)</f>
        <v>#N/A</v>
      </c>
      <c r="S292" s="16" t="s">
        <v>110</v>
      </c>
      <c r="T292" s="50">
        <v>285.36</v>
      </c>
      <c r="U292" s="16" t="s">
        <v>20</v>
      </c>
      <c r="V292" s="50">
        <v>25894.46</v>
      </c>
      <c r="W292" s="16">
        <f t="shared" si="29"/>
        <v>90.743131483038965</v>
      </c>
      <c r="X292" s="16" t="s">
        <v>720</v>
      </c>
      <c r="Y292" s="16" t="s">
        <v>18</v>
      </c>
      <c r="Z292" s="16" t="s">
        <v>315</v>
      </c>
      <c r="AA292" s="16" t="s">
        <v>301</v>
      </c>
      <c r="AB292" s="16" t="e">
        <f>_xlfn.XLOOKUP(R292,'Customer Data'!$D:$D,'Customer Data'!$F:$F,,0)</f>
        <v>#N/A</v>
      </c>
      <c r="AC292" s="16"/>
      <c r="AD292" s="16" t="s">
        <v>684</v>
      </c>
      <c r="AE292" s="16" t="s">
        <v>18</v>
      </c>
      <c r="AF292" s="16" t="s">
        <v>18</v>
      </c>
      <c r="AG292" s="16" t="s">
        <v>18</v>
      </c>
      <c r="AH292" s="49">
        <v>46049</v>
      </c>
      <c r="AI292" s="49"/>
      <c r="AJ292" s="16" t="s">
        <v>18</v>
      </c>
    </row>
    <row r="293" spans="1:36" hidden="1" x14ac:dyDescent="0.35">
      <c r="A293" s="16" t="s">
        <v>307</v>
      </c>
      <c r="B293" s="16" t="s">
        <v>297</v>
      </c>
      <c r="C293" s="16" t="s">
        <v>21</v>
      </c>
      <c r="D293" s="16" t="s">
        <v>298</v>
      </c>
      <c r="E293" s="16" t="s">
        <v>175</v>
      </c>
      <c r="F293" s="16" t="s">
        <v>301</v>
      </c>
      <c r="G293" s="49">
        <v>46049</v>
      </c>
      <c r="H293" s="16" t="s">
        <v>685</v>
      </c>
      <c r="I293" s="16" t="s">
        <v>23</v>
      </c>
      <c r="J293" s="49">
        <v>46049</v>
      </c>
      <c r="K293" s="49">
        <v>46049</v>
      </c>
      <c r="L293" s="16" t="s">
        <v>683</v>
      </c>
      <c r="M293" s="61">
        <v>256779451016</v>
      </c>
      <c r="N293" s="16" t="s">
        <v>22</v>
      </c>
      <c r="O293" s="16" t="s">
        <v>300</v>
      </c>
      <c r="P293" s="16" t="s">
        <v>18</v>
      </c>
      <c r="Q293" s="16" t="s">
        <v>312</v>
      </c>
      <c r="R293" s="16" t="e">
        <f>_xlfn.XLOOKUP(M293,'Invoice No Ref'!$C:$C,'Invoice No Ref'!$I:$I,,0)</f>
        <v>#N/A</v>
      </c>
      <c r="S293" s="16" t="s">
        <v>110</v>
      </c>
      <c r="T293" s="50">
        <v>26.61</v>
      </c>
      <c r="U293" s="16" t="s">
        <v>20</v>
      </c>
      <c r="V293" s="50">
        <v>2414.67</v>
      </c>
      <c r="W293" s="16">
        <f t="shared" si="29"/>
        <v>90.74295377677565</v>
      </c>
      <c r="X293" s="16" t="s">
        <v>720</v>
      </c>
      <c r="Y293" s="16" t="s">
        <v>18</v>
      </c>
      <c r="Z293" s="16" t="s">
        <v>315</v>
      </c>
      <c r="AA293" s="16" t="s">
        <v>301</v>
      </c>
      <c r="AB293" s="16" t="e">
        <f>_xlfn.XLOOKUP(R293,'Customer Data'!$D:$D,'Customer Data'!$F:$F,,0)</f>
        <v>#N/A</v>
      </c>
      <c r="AC293" s="16"/>
      <c r="AD293" s="16" t="s">
        <v>686</v>
      </c>
      <c r="AE293" s="16" t="s">
        <v>18</v>
      </c>
      <c r="AF293" s="16" t="s">
        <v>18</v>
      </c>
      <c r="AG293" s="16" t="s">
        <v>18</v>
      </c>
      <c r="AH293" s="49">
        <v>46049</v>
      </c>
      <c r="AI293" s="49"/>
      <c r="AJ293" s="16" t="s">
        <v>18</v>
      </c>
    </row>
    <row r="294" spans="1:36" hidden="1" x14ac:dyDescent="0.35">
      <c r="A294" s="16" t="s">
        <v>307</v>
      </c>
      <c r="B294" s="16" t="s">
        <v>297</v>
      </c>
      <c r="C294" s="16" t="s">
        <v>21</v>
      </c>
      <c r="D294" s="16" t="s">
        <v>298</v>
      </c>
      <c r="E294" s="16" t="s">
        <v>175</v>
      </c>
      <c r="F294" s="16" t="s">
        <v>302</v>
      </c>
      <c r="G294" s="49">
        <v>46059</v>
      </c>
      <c r="H294" s="16" t="s">
        <v>687</v>
      </c>
      <c r="I294" s="16" t="s">
        <v>23</v>
      </c>
      <c r="J294" s="49">
        <v>46059</v>
      </c>
      <c r="K294" s="49">
        <v>46059</v>
      </c>
      <c r="L294" s="16" t="s">
        <v>688</v>
      </c>
      <c r="M294" s="61">
        <v>256779451039</v>
      </c>
      <c r="N294" s="16" t="s">
        <v>22</v>
      </c>
      <c r="O294" s="16" t="s">
        <v>300</v>
      </c>
      <c r="P294" s="16" t="s">
        <v>18</v>
      </c>
      <c r="Q294" s="16" t="s">
        <v>312</v>
      </c>
      <c r="R294" s="16" t="e">
        <f>_xlfn.XLOOKUP(M294,'Invoice No Ref'!$C:$C,'Invoice No Ref'!$I:$I,,0)</f>
        <v>#N/A</v>
      </c>
      <c r="S294" s="16" t="s">
        <v>110</v>
      </c>
      <c r="T294" s="50">
        <v>59.58</v>
      </c>
      <c r="U294" s="16" t="s">
        <v>20</v>
      </c>
      <c r="V294" s="50">
        <v>5382.17</v>
      </c>
      <c r="W294" s="16">
        <f t="shared" si="29"/>
        <v>90.335179590466609</v>
      </c>
      <c r="X294" s="16" t="s">
        <v>720</v>
      </c>
      <c r="Y294" s="16" t="s">
        <v>18</v>
      </c>
      <c r="Z294" s="16" t="s">
        <v>315</v>
      </c>
      <c r="AA294" s="16" t="s">
        <v>301</v>
      </c>
      <c r="AB294" s="16" t="e">
        <f>_xlfn.XLOOKUP(R294,'Customer Data'!$D:$D,'Customer Data'!$F:$F,,0)</f>
        <v>#N/A</v>
      </c>
      <c r="AC294" s="16"/>
      <c r="AD294" s="16" t="s">
        <v>689</v>
      </c>
      <c r="AE294" s="16" t="s">
        <v>18</v>
      </c>
      <c r="AF294" s="16" t="s">
        <v>18</v>
      </c>
      <c r="AG294" s="16" t="s">
        <v>18</v>
      </c>
      <c r="AH294" s="49">
        <v>46059</v>
      </c>
      <c r="AI294" s="49"/>
      <c r="AJ294" s="16" t="s">
        <v>18</v>
      </c>
    </row>
    <row r="295" spans="1:36" hidden="1" x14ac:dyDescent="0.35">
      <c r="A295" s="16" t="s">
        <v>307</v>
      </c>
      <c r="B295" s="16" t="s">
        <v>297</v>
      </c>
      <c r="C295" s="16" t="s">
        <v>21</v>
      </c>
      <c r="D295" s="16" t="s">
        <v>298</v>
      </c>
      <c r="E295" s="16" t="s">
        <v>175</v>
      </c>
      <c r="F295" s="16" t="s">
        <v>302</v>
      </c>
      <c r="G295" s="49">
        <v>46059</v>
      </c>
      <c r="H295" s="16" t="s">
        <v>690</v>
      </c>
      <c r="I295" s="16" t="s">
        <v>23</v>
      </c>
      <c r="J295" s="49">
        <v>46059</v>
      </c>
      <c r="K295" s="49">
        <v>46059</v>
      </c>
      <c r="L295" s="16" t="s">
        <v>688</v>
      </c>
      <c r="M295" s="61">
        <v>256779451053</v>
      </c>
      <c r="N295" s="16" t="s">
        <v>22</v>
      </c>
      <c r="O295" s="16" t="s">
        <v>300</v>
      </c>
      <c r="P295" s="16" t="s">
        <v>18</v>
      </c>
      <c r="Q295" s="16" t="s">
        <v>312</v>
      </c>
      <c r="R295" s="16" t="e">
        <f>_xlfn.XLOOKUP(M295,'Invoice No Ref'!$C:$C,'Invoice No Ref'!$I:$I,,0)</f>
        <v>#N/A</v>
      </c>
      <c r="S295" s="16" t="s">
        <v>110</v>
      </c>
      <c r="T295" s="50">
        <v>27.18</v>
      </c>
      <c r="U295" s="16" t="s">
        <v>20</v>
      </c>
      <c r="V295" s="50">
        <v>2455.31</v>
      </c>
      <c r="W295" s="16">
        <f t="shared" si="29"/>
        <v>90.335172921265638</v>
      </c>
      <c r="X295" s="16" t="s">
        <v>720</v>
      </c>
      <c r="Y295" s="16" t="s">
        <v>18</v>
      </c>
      <c r="Z295" s="16" t="s">
        <v>315</v>
      </c>
      <c r="AA295" s="16" t="s">
        <v>301</v>
      </c>
      <c r="AB295" s="16" t="e">
        <f>_xlfn.XLOOKUP(R295,'Customer Data'!$D:$D,'Customer Data'!$F:$F,,0)</f>
        <v>#N/A</v>
      </c>
      <c r="AC295" s="16"/>
      <c r="AD295" s="16" t="s">
        <v>691</v>
      </c>
      <c r="AE295" s="16" t="s">
        <v>18</v>
      </c>
      <c r="AF295" s="16" t="s">
        <v>18</v>
      </c>
      <c r="AG295" s="16" t="s">
        <v>18</v>
      </c>
      <c r="AH295" s="49">
        <v>46059</v>
      </c>
      <c r="AI295" s="49"/>
      <c r="AJ295" s="16" t="s">
        <v>18</v>
      </c>
    </row>
    <row r="296" spans="1:36" hidden="1" x14ac:dyDescent="0.35">
      <c r="A296" s="16"/>
      <c r="B296" s="16"/>
      <c r="C296" s="16"/>
      <c r="D296" s="16"/>
      <c r="E296" s="16"/>
      <c r="F296" s="16"/>
      <c r="G296" s="49"/>
      <c r="H296" s="16"/>
      <c r="I296" s="16"/>
      <c r="J296" s="49"/>
      <c r="K296" s="49"/>
      <c r="L296" s="16"/>
      <c r="M296" s="16"/>
      <c r="N296" s="16"/>
      <c r="O296" s="16"/>
      <c r="P296" s="16"/>
      <c r="Q296" s="16"/>
      <c r="R296" s="16"/>
      <c r="S296" s="16"/>
      <c r="T296" s="50">
        <f>SUM(T2:T295)</f>
        <v>95447.699999999895</v>
      </c>
      <c r="U296" s="16"/>
      <c r="V296" s="50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49"/>
      <c r="AI296" s="49"/>
      <c r="AJ296" s="16"/>
    </row>
    <row r="297" spans="1:36" hidden="1" x14ac:dyDescent="0.35">
      <c r="A297" s="51" t="s">
        <v>18</v>
      </c>
      <c r="B297" s="51" t="s">
        <v>18</v>
      </c>
      <c r="C297" s="51" t="s">
        <v>18</v>
      </c>
      <c r="D297" s="51" t="s">
        <v>18</v>
      </c>
      <c r="E297" s="51" t="s">
        <v>18</v>
      </c>
      <c r="F297" s="51" t="s">
        <v>18</v>
      </c>
      <c r="G297" s="52"/>
      <c r="H297" s="51" t="s">
        <v>18</v>
      </c>
      <c r="I297" s="51" t="s">
        <v>18</v>
      </c>
      <c r="J297" s="52"/>
      <c r="K297" s="52"/>
      <c r="L297" s="51" t="s">
        <v>18</v>
      </c>
      <c r="M297" s="51" t="s">
        <v>18</v>
      </c>
      <c r="N297" s="51" t="s">
        <v>22</v>
      </c>
      <c r="O297" s="51" t="s">
        <v>18</v>
      </c>
      <c r="P297" s="51" t="s">
        <v>18</v>
      </c>
      <c r="Q297" s="51" t="s">
        <v>18</v>
      </c>
      <c r="R297" s="51"/>
      <c r="S297" s="51" t="s">
        <v>20</v>
      </c>
      <c r="T297" s="53">
        <v>0</v>
      </c>
      <c r="U297" s="51" t="s">
        <v>20</v>
      </c>
      <c r="V297" s="53">
        <v>8472907.1600000001</v>
      </c>
      <c r="W297" s="51"/>
      <c r="X297" s="51" t="s">
        <v>18</v>
      </c>
      <c r="Y297" s="51" t="s">
        <v>18</v>
      </c>
      <c r="Z297" s="51" t="s">
        <v>18</v>
      </c>
      <c r="AA297" s="51" t="s">
        <v>18</v>
      </c>
      <c r="AB297" s="51"/>
      <c r="AC297" s="51"/>
      <c r="AD297" s="51" t="s">
        <v>18</v>
      </c>
      <c r="AE297" s="51" t="s">
        <v>18</v>
      </c>
      <c r="AF297" s="51" t="s">
        <v>18</v>
      </c>
      <c r="AG297" s="51" t="s">
        <v>18</v>
      </c>
      <c r="AH297" s="52"/>
      <c r="AI297" s="52"/>
      <c r="AJ297" s="51" t="s">
        <v>18</v>
      </c>
    </row>
    <row r="298" spans="1:36" hidden="1" x14ac:dyDescent="0.35">
      <c r="A298" s="51" t="s">
        <v>18</v>
      </c>
      <c r="B298" s="51" t="s">
        <v>18</v>
      </c>
      <c r="C298" s="51" t="s">
        <v>18</v>
      </c>
      <c r="D298" s="51" t="s">
        <v>18</v>
      </c>
      <c r="E298" s="51" t="s">
        <v>18</v>
      </c>
      <c r="F298" s="51" t="s">
        <v>18</v>
      </c>
      <c r="G298" s="52"/>
      <c r="H298" s="51" t="s">
        <v>18</v>
      </c>
      <c r="I298" s="51" t="s">
        <v>18</v>
      </c>
      <c r="J298" s="52"/>
      <c r="K298" s="52"/>
      <c r="L298" s="51" t="s">
        <v>18</v>
      </c>
      <c r="M298" s="51" t="s">
        <v>18</v>
      </c>
      <c r="N298" s="51" t="s">
        <v>18</v>
      </c>
      <c r="O298" s="51" t="s">
        <v>18</v>
      </c>
      <c r="P298" s="51" t="s">
        <v>18</v>
      </c>
      <c r="Q298" s="51" t="s">
        <v>18</v>
      </c>
      <c r="R298" s="51"/>
      <c r="S298" s="51" t="s">
        <v>110</v>
      </c>
      <c r="T298" s="53">
        <v>95447.7</v>
      </c>
      <c r="U298" s="51" t="s">
        <v>18</v>
      </c>
      <c r="V298" s="54"/>
      <c r="W298" s="51"/>
      <c r="X298" s="51" t="s">
        <v>18</v>
      </c>
      <c r="Y298" s="51" t="s">
        <v>18</v>
      </c>
      <c r="Z298" s="51" t="s">
        <v>18</v>
      </c>
      <c r="AA298" s="51" t="s">
        <v>18</v>
      </c>
      <c r="AB298" s="51"/>
      <c r="AC298" s="51"/>
      <c r="AD298" s="51" t="s">
        <v>18</v>
      </c>
      <c r="AE298" s="51" t="s">
        <v>18</v>
      </c>
      <c r="AF298" s="51" t="s">
        <v>18</v>
      </c>
      <c r="AG298" s="51" t="s">
        <v>18</v>
      </c>
      <c r="AH298" s="52"/>
      <c r="AI298" s="52"/>
      <c r="AJ298" s="51" t="s">
        <v>18</v>
      </c>
    </row>
    <row r="299" spans="1:36" hidden="1" x14ac:dyDescent="0.35">
      <c r="A299" s="55" t="s">
        <v>18</v>
      </c>
      <c r="B299" s="55" t="s">
        <v>18</v>
      </c>
      <c r="C299" s="55" t="s">
        <v>18</v>
      </c>
      <c r="D299" s="55" t="s">
        <v>18</v>
      </c>
      <c r="E299" s="55" t="s">
        <v>18</v>
      </c>
      <c r="F299" s="55" t="s">
        <v>18</v>
      </c>
      <c r="G299" s="56"/>
      <c r="H299" s="55" t="s">
        <v>18</v>
      </c>
      <c r="I299" s="55" t="s">
        <v>18</v>
      </c>
      <c r="J299" s="56"/>
      <c r="K299" s="56"/>
      <c r="L299" s="55" t="s">
        <v>18</v>
      </c>
      <c r="M299" s="55" t="s">
        <v>18</v>
      </c>
      <c r="N299" s="55" t="s">
        <v>18</v>
      </c>
      <c r="O299" s="55" t="s">
        <v>18</v>
      </c>
      <c r="P299" s="55" t="s">
        <v>18</v>
      </c>
      <c r="Q299" s="55" t="s">
        <v>18</v>
      </c>
      <c r="R299" s="55"/>
      <c r="S299" s="55" t="s">
        <v>20</v>
      </c>
      <c r="T299" s="57">
        <v>0</v>
      </c>
      <c r="U299" s="55" t="s">
        <v>20</v>
      </c>
      <c r="V299" s="57">
        <v>8472907.1600000001</v>
      </c>
      <c r="W299" s="55"/>
      <c r="X299" s="55" t="s">
        <v>18</v>
      </c>
      <c r="Y299" s="55" t="s">
        <v>18</v>
      </c>
      <c r="Z299" s="55" t="s">
        <v>18</v>
      </c>
      <c r="AA299" s="55" t="s">
        <v>18</v>
      </c>
      <c r="AB299" s="55"/>
      <c r="AC299" s="55"/>
      <c r="AD299" s="55" t="s">
        <v>18</v>
      </c>
      <c r="AE299" s="55" t="s">
        <v>18</v>
      </c>
      <c r="AF299" s="55" t="s">
        <v>18</v>
      </c>
      <c r="AG299" s="55" t="s">
        <v>18</v>
      </c>
      <c r="AH299" s="56"/>
      <c r="AI299" s="56"/>
      <c r="AJ299" s="55" t="s">
        <v>18</v>
      </c>
    </row>
    <row r="300" spans="1:36" hidden="1" x14ac:dyDescent="0.35">
      <c r="A300" s="55" t="s">
        <v>18</v>
      </c>
      <c r="B300" s="55" t="s">
        <v>18</v>
      </c>
      <c r="C300" s="55" t="s">
        <v>18</v>
      </c>
      <c r="D300" s="55" t="s">
        <v>18</v>
      </c>
      <c r="E300" s="55" t="s">
        <v>18</v>
      </c>
      <c r="F300" s="55" t="s">
        <v>18</v>
      </c>
      <c r="G300" s="56"/>
      <c r="H300" s="55" t="s">
        <v>18</v>
      </c>
      <c r="I300" s="55" t="s">
        <v>18</v>
      </c>
      <c r="J300" s="56"/>
      <c r="K300" s="56"/>
      <c r="L300" s="55" t="s">
        <v>18</v>
      </c>
      <c r="M300" s="55" t="s">
        <v>18</v>
      </c>
      <c r="N300" s="55" t="s">
        <v>18</v>
      </c>
      <c r="O300" s="55" t="s">
        <v>18</v>
      </c>
      <c r="P300" s="55" t="s">
        <v>18</v>
      </c>
      <c r="Q300" s="55" t="s">
        <v>18</v>
      </c>
      <c r="R300" s="55"/>
      <c r="S300" s="55" t="s">
        <v>110</v>
      </c>
      <c r="T300" s="57">
        <v>95447.7</v>
      </c>
      <c r="U300" s="55" t="s">
        <v>18</v>
      </c>
      <c r="V300" s="58"/>
      <c r="W300" s="55"/>
      <c r="X300" s="55" t="s">
        <v>18</v>
      </c>
      <c r="Y300" s="55" t="s">
        <v>18</v>
      </c>
      <c r="Z300" s="55" t="s">
        <v>18</v>
      </c>
      <c r="AA300" s="55" t="s">
        <v>18</v>
      </c>
      <c r="AB300" s="55"/>
      <c r="AC300" s="55"/>
      <c r="AD300" s="55" t="s">
        <v>18</v>
      </c>
      <c r="AE300" s="55" t="s">
        <v>18</v>
      </c>
      <c r="AF300" s="55" t="s">
        <v>18</v>
      </c>
      <c r="AG300" s="55" t="s">
        <v>18</v>
      </c>
      <c r="AH300" s="56"/>
      <c r="AI300" s="56"/>
      <c r="AJ300" s="55" t="s">
        <v>18</v>
      </c>
    </row>
  </sheetData>
  <autoFilter ref="A1:AJ300" xr:uid="{EEB9D8F4-46CA-4627-A723-5D4E847F9D6D}">
    <filterColumn colId="29">
      <filters>
        <filter val="Bond Stamp Paper Chgs 01 - 31 Aug 25"/>
        <filter val="CY Destuff Charges August 2024"/>
        <filter val="Detention Chgs - 01 - 31 AUG 25"/>
        <filter val="Empty Lolo Chgs - 01 - 31 AUG 25"/>
        <filter val="Outbound chgs - 16 - 31 Aug 25"/>
        <filter val="Outbound Handling Charges Aug 2024"/>
        <filter val="Port SSR Charges - Shifting for Aug to Dec,24."/>
        <filter val="Port SSR Charges - Shifting for Aug to Dec,24. Exc"/>
        <filter val="PORT SSR Chgs Aug 25"/>
        <filter val="Scanning  Chgs - 16 - 31 Aug 25"/>
        <filter val="Scanning Charges for the month of August, 2024"/>
        <filter val="Storage 1-15 Aug-25,WH-9"/>
        <filter val="Storage Charges for Aug 2024"/>
        <filter val="Transportation In Charges August 2024"/>
        <filter val="Transportation In Chgs - 16 - 31 Aug 25"/>
        <filter val="VAS- 1-31 Aug-24,"/>
        <filter val="VAS -16-31 Aug 25"/>
        <filter val="VAS-Aug 25, 1-15"/>
        <filter val="Weighment-Aug 25, 1-15"/>
        <filter val="WH 09- Storage - 16-31 Aug 25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FFF3-7CAA-48C4-A19D-95FE7393FF5E}">
  <sheetPr filterMode="1"/>
  <dimension ref="A1:N193"/>
  <sheetViews>
    <sheetView workbookViewId="0">
      <selection activeCell="M5" sqref="M5"/>
    </sheetView>
  </sheetViews>
  <sheetFormatPr defaultRowHeight="14.5" x14ac:dyDescent="0.35"/>
  <cols>
    <col min="1" max="1" width="2.7265625" bestFit="1" customWidth="1"/>
    <col min="2" max="2" width="10.81640625" bestFit="1" customWidth="1"/>
    <col min="3" max="3" width="10.08984375" bestFit="1" customWidth="1"/>
    <col min="4" max="4" width="15.54296875" bestFit="1" customWidth="1"/>
    <col min="5" max="6" width="10.08984375" bestFit="1" customWidth="1"/>
    <col min="7" max="7" width="4.26953125" hidden="1" customWidth="1"/>
    <col min="8" max="8" width="10.26953125" hidden="1" customWidth="1"/>
    <col min="9" max="9" width="10.26953125" bestFit="1" customWidth="1"/>
    <col min="10" max="10" width="10.81640625" customWidth="1"/>
    <col min="11" max="11" width="10.81640625" bestFit="1" customWidth="1"/>
    <col min="12" max="12" width="10.08984375" bestFit="1" customWidth="1"/>
    <col min="13" max="13" width="45.36328125" bestFit="1" customWidth="1"/>
    <col min="14" max="14" width="14.08984375" bestFit="1" customWidth="1"/>
    <col min="16" max="16" width="6.81640625" bestFit="1" customWidth="1"/>
  </cols>
  <sheetData>
    <row r="1" spans="1:13" s="63" customFormat="1" x14ac:dyDescent="0.35">
      <c r="A1" s="1" t="s">
        <v>3</v>
      </c>
      <c r="B1" s="1" t="s">
        <v>1</v>
      </c>
      <c r="C1" s="1" t="s">
        <v>4</v>
      </c>
      <c r="D1" s="1" t="s">
        <v>104</v>
      </c>
      <c r="E1" s="1" t="s">
        <v>105</v>
      </c>
      <c r="F1" s="1" t="s">
        <v>106</v>
      </c>
      <c r="G1" s="1" t="s">
        <v>8</v>
      </c>
      <c r="H1" s="1" t="s">
        <v>107</v>
      </c>
      <c r="I1" s="1" t="s">
        <v>183</v>
      </c>
      <c r="J1" s="1" t="s">
        <v>707</v>
      </c>
      <c r="K1" s="1" t="s">
        <v>10</v>
      </c>
      <c r="L1" s="1" t="s">
        <v>108</v>
      </c>
      <c r="M1" s="1" t="s">
        <v>11</v>
      </c>
    </row>
    <row r="2" spans="1:13" hidden="1" x14ac:dyDescent="0.35">
      <c r="A2" s="3" t="s">
        <v>109</v>
      </c>
      <c r="B2" s="17">
        <v>1900008116</v>
      </c>
      <c r="C2" s="4">
        <v>45702</v>
      </c>
      <c r="D2" s="60" t="s">
        <v>751</v>
      </c>
      <c r="E2" s="3" t="s">
        <v>110</v>
      </c>
      <c r="F2" s="5">
        <v>-200</v>
      </c>
      <c r="G2" s="3" t="s">
        <v>110</v>
      </c>
      <c r="H2" s="5">
        <v>-200</v>
      </c>
      <c r="I2" s="59">
        <f>_xlfn.XLOOKUP(D2,'Ascendus data'!$R:$R,'Ascendus data'!$T:$T,,0)</f>
        <v>354</v>
      </c>
      <c r="J2" s="137">
        <f t="shared" ref="J2:J33" si="0">H2+I2</f>
        <v>154</v>
      </c>
      <c r="K2" s="17">
        <v>2000002627</v>
      </c>
      <c r="L2" s="4">
        <v>45751</v>
      </c>
      <c r="M2" s="3" t="s">
        <v>111</v>
      </c>
    </row>
    <row r="3" spans="1:13" hidden="1" x14ac:dyDescent="0.35">
      <c r="A3" s="3" t="s">
        <v>109</v>
      </c>
      <c r="B3" s="17">
        <v>1900008117</v>
      </c>
      <c r="C3" s="4">
        <v>45702</v>
      </c>
      <c r="D3" s="60" t="s">
        <v>752</v>
      </c>
      <c r="E3" s="3" t="s">
        <v>110</v>
      </c>
      <c r="F3" s="5">
        <v>-169.92</v>
      </c>
      <c r="G3" s="3" t="s">
        <v>110</v>
      </c>
      <c r="H3" s="5">
        <v>-169.92</v>
      </c>
      <c r="I3" s="59">
        <f>_xlfn.XLOOKUP(D3,'Ascendus data'!$R:$R,'Ascendus data'!$T:$T,,0)</f>
        <v>169.92</v>
      </c>
      <c r="J3" s="137">
        <f t="shared" si="0"/>
        <v>0</v>
      </c>
      <c r="K3" s="17">
        <v>2000002627</v>
      </c>
      <c r="L3" s="4">
        <v>45751</v>
      </c>
      <c r="M3" s="3" t="s">
        <v>112</v>
      </c>
    </row>
    <row r="4" spans="1:13" hidden="1" x14ac:dyDescent="0.35">
      <c r="A4" s="3" t="s">
        <v>109</v>
      </c>
      <c r="B4" s="17">
        <v>1900008118</v>
      </c>
      <c r="C4" s="4">
        <v>45702</v>
      </c>
      <c r="D4" s="60" t="s">
        <v>753</v>
      </c>
      <c r="E4" s="3" t="s">
        <v>110</v>
      </c>
      <c r="F4" s="5">
        <v>-141.07</v>
      </c>
      <c r="G4" s="3" t="s">
        <v>110</v>
      </c>
      <c r="H4" s="5">
        <v>-141.07</v>
      </c>
      <c r="I4" s="59" t="e">
        <f>_xlfn.XLOOKUP(D4,'Ascendus data'!$R:$R,'Ascendus data'!$T:$T,,0)</f>
        <v>#N/A</v>
      </c>
      <c r="J4" s="137" t="e">
        <f t="shared" si="0"/>
        <v>#N/A</v>
      </c>
      <c r="K4" s="17">
        <v>2000002627</v>
      </c>
      <c r="L4" s="4">
        <v>45751</v>
      </c>
      <c r="M4" s="3" t="s">
        <v>113</v>
      </c>
    </row>
    <row r="5" spans="1:13" x14ac:dyDescent="0.35">
      <c r="A5" s="3" t="s">
        <v>109</v>
      </c>
      <c r="B5" s="17">
        <v>1900008119</v>
      </c>
      <c r="C5" s="4">
        <v>45702</v>
      </c>
      <c r="D5" s="60" t="s">
        <v>754</v>
      </c>
      <c r="E5" s="3" t="s">
        <v>110</v>
      </c>
      <c r="F5" s="5">
        <v>-236</v>
      </c>
      <c r="G5" s="3" t="s">
        <v>110</v>
      </c>
      <c r="H5" s="5">
        <v>-236</v>
      </c>
      <c r="I5" s="59" t="e">
        <f>_xlfn.XLOOKUP(D5,'Ascendus data'!$R:$R,'Ascendus data'!$T:$T,,0)</f>
        <v>#N/A</v>
      </c>
      <c r="J5" s="137" t="e">
        <f t="shared" si="0"/>
        <v>#N/A</v>
      </c>
      <c r="K5" s="17">
        <v>2000002627</v>
      </c>
      <c r="L5" s="4">
        <v>45751</v>
      </c>
      <c r="M5" s="3" t="s">
        <v>114</v>
      </c>
    </row>
    <row r="6" spans="1:13" hidden="1" x14ac:dyDescent="0.35">
      <c r="A6" s="3" t="s">
        <v>109</v>
      </c>
      <c r="B6" s="17">
        <v>1900008120</v>
      </c>
      <c r="C6" s="4">
        <v>45702</v>
      </c>
      <c r="D6" s="60" t="s">
        <v>755</v>
      </c>
      <c r="E6" s="3" t="s">
        <v>110</v>
      </c>
      <c r="F6" s="5">
        <v>-23.6</v>
      </c>
      <c r="G6" s="3" t="s">
        <v>110</v>
      </c>
      <c r="H6" s="5">
        <v>-23.6</v>
      </c>
      <c r="I6" s="59" t="e">
        <f>_xlfn.XLOOKUP(D6,'Ascendus data'!$R:$R,'Ascendus data'!$T:$T,,0)</f>
        <v>#N/A</v>
      </c>
      <c r="J6" s="137" t="e">
        <f t="shared" si="0"/>
        <v>#N/A</v>
      </c>
      <c r="K6" s="17">
        <v>2000002627</v>
      </c>
      <c r="L6" s="4">
        <v>45751</v>
      </c>
      <c r="M6" s="3" t="s">
        <v>115</v>
      </c>
    </row>
    <row r="7" spans="1:13" hidden="1" x14ac:dyDescent="0.35">
      <c r="A7" s="3" t="s">
        <v>109</v>
      </c>
      <c r="B7" s="17">
        <v>1900008121</v>
      </c>
      <c r="C7" s="4">
        <v>45702</v>
      </c>
      <c r="D7" s="60" t="s">
        <v>756</v>
      </c>
      <c r="E7" s="3" t="s">
        <v>110</v>
      </c>
      <c r="F7" s="5">
        <v>-165.16</v>
      </c>
      <c r="G7" s="3" t="s">
        <v>110</v>
      </c>
      <c r="H7" s="5">
        <v>-165.16</v>
      </c>
      <c r="I7" s="59" t="e">
        <f>_xlfn.XLOOKUP(D7,'Ascendus data'!$R:$R,'Ascendus data'!$T:$T,,0)</f>
        <v>#N/A</v>
      </c>
      <c r="J7" s="137" t="e">
        <f t="shared" si="0"/>
        <v>#N/A</v>
      </c>
      <c r="K7" s="17">
        <v>2000002627</v>
      </c>
      <c r="L7" s="4">
        <v>45751</v>
      </c>
      <c r="M7" s="3" t="s">
        <v>116</v>
      </c>
    </row>
    <row r="8" spans="1:13" hidden="1" x14ac:dyDescent="0.35">
      <c r="A8" s="3" t="s">
        <v>109</v>
      </c>
      <c r="B8" s="17">
        <v>1900008122</v>
      </c>
      <c r="C8" s="4">
        <v>45702</v>
      </c>
      <c r="D8" s="60" t="s">
        <v>757</v>
      </c>
      <c r="E8" s="3" t="s">
        <v>110</v>
      </c>
      <c r="F8" s="5">
        <v>-220</v>
      </c>
      <c r="G8" s="3" t="s">
        <v>110</v>
      </c>
      <c r="H8" s="5">
        <v>-220</v>
      </c>
      <c r="I8" s="59">
        <f>_xlfn.XLOOKUP(D8,'Ascendus data'!$R:$R,'Ascendus data'!$T:$T,,0)</f>
        <v>220</v>
      </c>
      <c r="J8" s="137">
        <f t="shared" si="0"/>
        <v>0</v>
      </c>
      <c r="K8" s="17">
        <v>2000002627</v>
      </c>
      <c r="L8" s="4">
        <v>45751</v>
      </c>
      <c r="M8" s="3" t="s">
        <v>117</v>
      </c>
    </row>
    <row r="9" spans="1:13" x14ac:dyDescent="0.35">
      <c r="A9" s="3" t="s">
        <v>109</v>
      </c>
      <c r="B9" s="17">
        <v>1900008123</v>
      </c>
      <c r="C9" s="4">
        <v>45702</v>
      </c>
      <c r="D9" s="60" t="s">
        <v>758</v>
      </c>
      <c r="E9" s="3" t="s">
        <v>110</v>
      </c>
      <c r="F9" s="5">
        <v>-519.20000000000005</v>
      </c>
      <c r="G9" s="3" t="s">
        <v>110</v>
      </c>
      <c r="H9" s="5">
        <v>-519.20000000000005</v>
      </c>
      <c r="I9" s="59">
        <f>_xlfn.XLOOKUP(D9,'Ascendus data'!$R:$R,'Ascendus data'!$T:$T,,0)</f>
        <v>519.20000000000005</v>
      </c>
      <c r="J9" s="137">
        <f t="shared" si="0"/>
        <v>0</v>
      </c>
      <c r="K9" s="17">
        <v>2000002627</v>
      </c>
      <c r="L9" s="4">
        <v>45751</v>
      </c>
      <c r="M9" s="3" t="s">
        <v>118</v>
      </c>
    </row>
    <row r="10" spans="1:13" hidden="1" x14ac:dyDescent="0.35">
      <c r="A10" s="3" t="s">
        <v>109</v>
      </c>
      <c r="B10" s="17">
        <v>1900008124</v>
      </c>
      <c r="C10" s="4">
        <v>45702</v>
      </c>
      <c r="D10" s="60" t="s">
        <v>759</v>
      </c>
      <c r="E10" s="3" t="s">
        <v>110</v>
      </c>
      <c r="F10" s="5">
        <v>-135</v>
      </c>
      <c r="G10" s="3" t="s">
        <v>110</v>
      </c>
      <c r="H10" s="5">
        <v>-135</v>
      </c>
      <c r="I10" s="59">
        <f>_xlfn.XLOOKUP(D10,'Ascendus data'!$R:$R,'Ascendus data'!$T:$T,,0)</f>
        <v>135</v>
      </c>
      <c r="J10" s="137">
        <f t="shared" si="0"/>
        <v>0</v>
      </c>
      <c r="K10" s="17">
        <v>2000002627</v>
      </c>
      <c r="L10" s="4">
        <v>45751</v>
      </c>
      <c r="M10" s="3" t="s">
        <v>119</v>
      </c>
    </row>
    <row r="11" spans="1:13" x14ac:dyDescent="0.35">
      <c r="A11" s="3" t="s">
        <v>109</v>
      </c>
      <c r="B11" s="17">
        <v>1900008125</v>
      </c>
      <c r="C11" s="4">
        <v>45702</v>
      </c>
      <c r="D11" s="60" t="s">
        <v>760</v>
      </c>
      <c r="E11" s="3" t="s">
        <v>110</v>
      </c>
      <c r="F11" s="5">
        <v>-118</v>
      </c>
      <c r="G11" s="3" t="s">
        <v>110</v>
      </c>
      <c r="H11" s="5">
        <v>-118</v>
      </c>
      <c r="I11" s="59">
        <f>_xlfn.XLOOKUP(D11,'Ascendus data'!$R:$R,'Ascendus data'!$T:$T,,0)</f>
        <v>118</v>
      </c>
      <c r="J11" s="137">
        <f t="shared" si="0"/>
        <v>0</v>
      </c>
      <c r="K11" s="17">
        <v>2000002627</v>
      </c>
      <c r="L11" s="4">
        <v>45751</v>
      </c>
      <c r="M11" s="3" t="s">
        <v>120</v>
      </c>
    </row>
    <row r="12" spans="1:13" hidden="1" x14ac:dyDescent="0.35">
      <c r="A12" s="3" t="s">
        <v>109</v>
      </c>
      <c r="B12" s="17">
        <v>1900008126</v>
      </c>
      <c r="C12" s="4">
        <v>45702</v>
      </c>
      <c r="D12" s="60" t="s">
        <v>761</v>
      </c>
      <c r="E12" s="3" t="s">
        <v>110</v>
      </c>
      <c r="F12" s="5">
        <v>-761.12</v>
      </c>
      <c r="G12" s="3" t="s">
        <v>110</v>
      </c>
      <c r="H12" s="5">
        <v>-761.12</v>
      </c>
      <c r="I12" s="59">
        <f>_xlfn.XLOOKUP(D12,'Ascendus data'!$R:$R,'Ascendus data'!$T:$T,,0)</f>
        <v>761.12</v>
      </c>
      <c r="J12" s="137">
        <f t="shared" si="0"/>
        <v>0</v>
      </c>
      <c r="K12" s="17">
        <v>2000002627</v>
      </c>
      <c r="L12" s="4">
        <v>45751</v>
      </c>
      <c r="M12" s="3" t="s">
        <v>121</v>
      </c>
    </row>
    <row r="13" spans="1:13" hidden="1" x14ac:dyDescent="0.35">
      <c r="A13" s="3" t="s">
        <v>109</v>
      </c>
      <c r="B13" s="17">
        <v>1900008127</v>
      </c>
      <c r="C13" s="4">
        <v>45702</v>
      </c>
      <c r="D13" s="60" t="s">
        <v>762</v>
      </c>
      <c r="E13" s="3" t="s">
        <v>110</v>
      </c>
      <c r="F13" s="5">
        <v>-23.6</v>
      </c>
      <c r="G13" s="3" t="s">
        <v>110</v>
      </c>
      <c r="H13" s="5">
        <v>-23.6</v>
      </c>
      <c r="I13" s="59">
        <f>_xlfn.XLOOKUP(D13,'Ascendus data'!$R:$R,'Ascendus data'!$T:$T,,0)</f>
        <v>23.6</v>
      </c>
      <c r="J13" s="137">
        <f t="shared" si="0"/>
        <v>0</v>
      </c>
      <c r="K13" s="17">
        <v>2000002627</v>
      </c>
      <c r="L13" s="4">
        <v>45751</v>
      </c>
      <c r="M13" s="3" t="s">
        <v>122</v>
      </c>
    </row>
    <row r="14" spans="1:13" hidden="1" x14ac:dyDescent="0.35">
      <c r="A14" s="3" t="s">
        <v>109</v>
      </c>
      <c r="B14" s="17">
        <v>1900008128</v>
      </c>
      <c r="C14" s="4">
        <v>45702</v>
      </c>
      <c r="D14" s="60" t="s">
        <v>763</v>
      </c>
      <c r="E14" s="3" t="s">
        <v>110</v>
      </c>
      <c r="F14" s="5">
        <v>-135.81</v>
      </c>
      <c r="G14" s="3" t="s">
        <v>110</v>
      </c>
      <c r="H14" s="5">
        <v>-135.81</v>
      </c>
      <c r="I14" s="59" t="e">
        <f>_xlfn.XLOOKUP(D14,'Ascendus data'!$R:$R,'Ascendus data'!$T:$T,,0)</f>
        <v>#N/A</v>
      </c>
      <c r="J14" s="137" t="e">
        <f t="shared" si="0"/>
        <v>#N/A</v>
      </c>
      <c r="K14" s="17">
        <v>2000002627</v>
      </c>
      <c r="L14" s="4">
        <v>45751</v>
      </c>
      <c r="M14" s="3" t="s">
        <v>123</v>
      </c>
    </row>
    <row r="15" spans="1:13" hidden="1" x14ac:dyDescent="0.35">
      <c r="A15" s="3" t="s">
        <v>109</v>
      </c>
      <c r="B15" s="17">
        <v>1900008129</v>
      </c>
      <c r="C15" s="4">
        <v>45702</v>
      </c>
      <c r="D15" s="60" t="s">
        <v>764</v>
      </c>
      <c r="E15" s="3" t="s">
        <v>110</v>
      </c>
      <c r="F15" s="5">
        <v>-120</v>
      </c>
      <c r="G15" s="3" t="s">
        <v>110</v>
      </c>
      <c r="H15" s="5">
        <v>-120</v>
      </c>
      <c r="I15" s="59">
        <f>_xlfn.XLOOKUP(D15,'Ascendus data'!$R:$R,'Ascendus data'!$T:$T,,0)</f>
        <v>120</v>
      </c>
      <c r="J15" s="137">
        <f t="shared" si="0"/>
        <v>0</v>
      </c>
      <c r="K15" s="17">
        <v>2000002627</v>
      </c>
      <c r="L15" s="4">
        <v>45751</v>
      </c>
      <c r="M15" s="3" t="s">
        <v>124</v>
      </c>
    </row>
    <row r="16" spans="1:13" x14ac:dyDescent="0.35">
      <c r="A16" s="3" t="s">
        <v>109</v>
      </c>
      <c r="B16" s="17">
        <v>1900008130</v>
      </c>
      <c r="C16" s="4">
        <v>45702</v>
      </c>
      <c r="D16" s="60" t="s">
        <v>765</v>
      </c>
      <c r="E16" s="3" t="s">
        <v>110</v>
      </c>
      <c r="F16" s="5">
        <v>-141.6</v>
      </c>
      <c r="G16" s="3" t="s">
        <v>110</v>
      </c>
      <c r="H16" s="5">
        <v>-141.6</v>
      </c>
      <c r="I16" s="59">
        <f>_xlfn.XLOOKUP(D16,'Ascendus data'!$R:$R,'Ascendus data'!$T:$T,,0)</f>
        <v>141.6</v>
      </c>
      <c r="J16" s="137">
        <f t="shared" si="0"/>
        <v>0</v>
      </c>
      <c r="K16" s="17">
        <v>2000002627</v>
      </c>
      <c r="L16" s="4">
        <v>45751</v>
      </c>
      <c r="M16" s="3" t="s">
        <v>125</v>
      </c>
    </row>
    <row r="17" spans="1:13" hidden="1" x14ac:dyDescent="0.35">
      <c r="A17" s="3" t="s">
        <v>109</v>
      </c>
      <c r="B17" s="17">
        <v>1900008131</v>
      </c>
      <c r="C17" s="4">
        <v>45702</v>
      </c>
      <c r="D17" s="60" t="s">
        <v>766</v>
      </c>
      <c r="E17" s="3" t="s">
        <v>110</v>
      </c>
      <c r="F17" s="5">
        <v>-71.36</v>
      </c>
      <c r="G17" s="3" t="s">
        <v>110</v>
      </c>
      <c r="H17" s="5">
        <v>-71.36</v>
      </c>
      <c r="I17" s="59" t="e">
        <f>_xlfn.XLOOKUP(D17,'Ascendus data'!$R:$R,'Ascendus data'!$T:$T,,0)</f>
        <v>#N/A</v>
      </c>
      <c r="J17" s="137" t="e">
        <f t="shared" si="0"/>
        <v>#N/A</v>
      </c>
      <c r="K17" s="17">
        <v>2000002627</v>
      </c>
      <c r="L17" s="4">
        <v>45751</v>
      </c>
      <c r="M17" s="3" t="s">
        <v>126</v>
      </c>
    </row>
    <row r="18" spans="1:13" hidden="1" x14ac:dyDescent="0.35">
      <c r="A18" s="3" t="s">
        <v>109</v>
      </c>
      <c r="B18" s="17">
        <v>1900008132</v>
      </c>
      <c r="C18" s="4">
        <v>45702</v>
      </c>
      <c r="D18" s="60" t="s">
        <v>767</v>
      </c>
      <c r="E18" s="3" t="s">
        <v>110</v>
      </c>
      <c r="F18" s="5">
        <v>-670</v>
      </c>
      <c r="G18" s="3" t="s">
        <v>110</v>
      </c>
      <c r="H18" s="5">
        <v>-670</v>
      </c>
      <c r="I18" s="59">
        <f>_xlfn.XLOOKUP(D18,'Ascendus data'!$R:$R,'Ascendus data'!$T:$T,,0)</f>
        <v>670</v>
      </c>
      <c r="J18" s="137">
        <f t="shared" si="0"/>
        <v>0</v>
      </c>
      <c r="K18" s="17">
        <v>2000002627</v>
      </c>
      <c r="L18" s="4">
        <v>45751</v>
      </c>
      <c r="M18" s="3" t="s">
        <v>127</v>
      </c>
    </row>
    <row r="19" spans="1:13" x14ac:dyDescent="0.35">
      <c r="A19" s="3" t="s">
        <v>109</v>
      </c>
      <c r="B19" s="17">
        <v>1900008133</v>
      </c>
      <c r="C19" s="4">
        <v>45702</v>
      </c>
      <c r="D19" s="60" t="s">
        <v>768</v>
      </c>
      <c r="E19" s="3" t="s">
        <v>110</v>
      </c>
      <c r="F19" s="5">
        <v>-70.8</v>
      </c>
      <c r="G19" s="3" t="s">
        <v>110</v>
      </c>
      <c r="H19" s="5">
        <v>-70.8</v>
      </c>
      <c r="I19" s="59">
        <f>_xlfn.XLOOKUP(D19,'Ascendus data'!$R:$R,'Ascendus data'!$T:$T,,0)</f>
        <v>70.8</v>
      </c>
      <c r="J19" s="137">
        <f t="shared" si="0"/>
        <v>0</v>
      </c>
      <c r="K19" s="17">
        <v>2000002627</v>
      </c>
      <c r="L19" s="4">
        <v>45751</v>
      </c>
      <c r="M19" s="3" t="s">
        <v>128</v>
      </c>
    </row>
    <row r="20" spans="1:13" hidden="1" x14ac:dyDescent="0.35">
      <c r="A20" s="3" t="s">
        <v>109</v>
      </c>
      <c r="B20" s="17">
        <v>1900008134</v>
      </c>
      <c r="C20" s="4">
        <v>45702</v>
      </c>
      <c r="D20" s="60" t="s">
        <v>769</v>
      </c>
      <c r="E20" s="3" t="s">
        <v>110</v>
      </c>
      <c r="F20" s="5">
        <v>-28.32</v>
      </c>
      <c r="G20" s="3" t="s">
        <v>110</v>
      </c>
      <c r="H20" s="5">
        <v>-28.32</v>
      </c>
      <c r="I20" s="59">
        <f>_xlfn.XLOOKUP(D20,'Ascendus data'!$R:$R,'Ascendus data'!$T:$T,,0)</f>
        <v>28.32</v>
      </c>
      <c r="J20" s="137">
        <f t="shared" si="0"/>
        <v>0</v>
      </c>
      <c r="K20" s="17">
        <v>2000002627</v>
      </c>
      <c r="L20" s="4">
        <v>45751</v>
      </c>
      <c r="M20" s="3" t="s">
        <v>129</v>
      </c>
    </row>
    <row r="21" spans="1:13" hidden="1" x14ac:dyDescent="0.35">
      <c r="A21" s="3" t="s">
        <v>109</v>
      </c>
      <c r="B21" s="17">
        <v>1900008135</v>
      </c>
      <c r="C21" s="4">
        <v>45702</v>
      </c>
      <c r="D21" s="60" t="s">
        <v>770</v>
      </c>
      <c r="E21" s="3" t="s">
        <v>110</v>
      </c>
      <c r="F21" s="5">
        <v>-459.91</v>
      </c>
      <c r="G21" s="3" t="s">
        <v>110</v>
      </c>
      <c r="H21" s="5">
        <v>-459.91</v>
      </c>
      <c r="I21" s="59">
        <f>_xlfn.XLOOKUP(D21,'Ascendus data'!$R:$R,'Ascendus data'!$T:$T,,0)</f>
        <v>459.91</v>
      </c>
      <c r="J21" s="137">
        <f t="shared" si="0"/>
        <v>0</v>
      </c>
      <c r="K21" s="17">
        <v>2000002627</v>
      </c>
      <c r="L21" s="4">
        <v>45751</v>
      </c>
      <c r="M21" s="3" t="s">
        <v>130</v>
      </c>
    </row>
    <row r="22" spans="1:13" hidden="1" x14ac:dyDescent="0.35">
      <c r="A22" s="3" t="s">
        <v>109</v>
      </c>
      <c r="B22" s="17">
        <v>1900008136</v>
      </c>
      <c r="C22" s="4">
        <v>45702</v>
      </c>
      <c r="D22" s="60" t="s">
        <v>771</v>
      </c>
      <c r="E22" s="3" t="s">
        <v>110</v>
      </c>
      <c r="F22" s="5">
        <v>-94.4</v>
      </c>
      <c r="G22" s="3" t="s">
        <v>110</v>
      </c>
      <c r="H22" s="5">
        <v>-94.4</v>
      </c>
      <c r="I22" s="59">
        <f>_xlfn.XLOOKUP(D22,'Ascendus data'!$R:$R,'Ascendus data'!$T:$T,,0)</f>
        <v>94.4</v>
      </c>
      <c r="J22" s="137">
        <f t="shared" si="0"/>
        <v>0</v>
      </c>
      <c r="K22" s="17">
        <v>2000002627</v>
      </c>
      <c r="L22" s="4">
        <v>45751</v>
      </c>
      <c r="M22" s="3" t="s">
        <v>131</v>
      </c>
    </row>
    <row r="23" spans="1:13" hidden="1" x14ac:dyDescent="0.35">
      <c r="A23" s="3" t="s">
        <v>109</v>
      </c>
      <c r="B23" s="17">
        <v>1900008137</v>
      </c>
      <c r="C23" s="4">
        <v>45702</v>
      </c>
      <c r="D23" s="60" t="s">
        <v>772</v>
      </c>
      <c r="E23" s="3" t="s">
        <v>110</v>
      </c>
      <c r="F23" s="5">
        <v>-245.49</v>
      </c>
      <c r="G23" s="3" t="s">
        <v>110</v>
      </c>
      <c r="H23" s="5">
        <v>-245.49</v>
      </c>
      <c r="I23" s="59" t="e">
        <f>_xlfn.XLOOKUP(D23,'Ascendus data'!$R:$R,'Ascendus data'!$T:$T,,0)</f>
        <v>#N/A</v>
      </c>
      <c r="J23" s="137" t="e">
        <f t="shared" si="0"/>
        <v>#N/A</v>
      </c>
      <c r="K23" s="17">
        <v>2000002627</v>
      </c>
      <c r="L23" s="4">
        <v>45751</v>
      </c>
      <c r="M23" s="3" t="s">
        <v>132</v>
      </c>
    </row>
    <row r="24" spans="1:13" hidden="1" x14ac:dyDescent="0.35">
      <c r="A24" s="3" t="s">
        <v>109</v>
      </c>
      <c r="B24" s="17">
        <v>1900008138</v>
      </c>
      <c r="C24" s="4">
        <v>45702</v>
      </c>
      <c r="D24" s="60" t="s">
        <v>773</v>
      </c>
      <c r="E24" s="3" t="s">
        <v>110</v>
      </c>
      <c r="F24" s="5">
        <v>-198.24</v>
      </c>
      <c r="G24" s="3" t="s">
        <v>110</v>
      </c>
      <c r="H24" s="5">
        <v>-198.24</v>
      </c>
      <c r="I24" s="59">
        <f>_xlfn.XLOOKUP(D24,'Ascendus data'!$R:$R,'Ascendus data'!$T:$T,,0)</f>
        <v>198.24</v>
      </c>
      <c r="J24" s="137">
        <f t="shared" si="0"/>
        <v>0</v>
      </c>
      <c r="K24" s="17">
        <v>2000002627</v>
      </c>
      <c r="L24" s="4">
        <v>45751</v>
      </c>
      <c r="M24" s="3" t="s">
        <v>133</v>
      </c>
    </row>
    <row r="25" spans="1:13" hidden="1" x14ac:dyDescent="0.35">
      <c r="A25" s="3" t="s">
        <v>109</v>
      </c>
      <c r="B25" s="17">
        <v>1900008139</v>
      </c>
      <c r="C25" s="4">
        <v>45702</v>
      </c>
      <c r="D25" s="60" t="s">
        <v>774</v>
      </c>
      <c r="E25" s="3" t="s">
        <v>110</v>
      </c>
      <c r="F25" s="5">
        <v>-169.92</v>
      </c>
      <c r="G25" s="3" t="s">
        <v>110</v>
      </c>
      <c r="H25" s="5">
        <v>-169.92</v>
      </c>
      <c r="I25" s="59">
        <f>_xlfn.XLOOKUP(D25,'Ascendus data'!$R:$R,'Ascendus data'!$T:$T,,0)</f>
        <v>169.92</v>
      </c>
      <c r="J25" s="137">
        <f t="shared" si="0"/>
        <v>0</v>
      </c>
      <c r="K25" s="17">
        <v>2000002627</v>
      </c>
      <c r="L25" s="4">
        <v>45751</v>
      </c>
      <c r="M25" s="3" t="s">
        <v>134</v>
      </c>
    </row>
    <row r="26" spans="1:13" hidden="1" x14ac:dyDescent="0.35">
      <c r="A26" s="3" t="s">
        <v>109</v>
      </c>
      <c r="B26" s="17">
        <v>1900008140</v>
      </c>
      <c r="C26" s="4">
        <v>45702</v>
      </c>
      <c r="D26" s="60" t="s">
        <v>775</v>
      </c>
      <c r="E26" s="3" t="s">
        <v>110</v>
      </c>
      <c r="F26" s="5">
        <v>-23.6</v>
      </c>
      <c r="G26" s="3" t="s">
        <v>110</v>
      </c>
      <c r="H26" s="5">
        <v>-23.6</v>
      </c>
      <c r="I26" s="59">
        <f>_xlfn.XLOOKUP(D26,'Ascendus data'!$R:$R,'Ascendus data'!$T:$T,,0)</f>
        <v>23.6</v>
      </c>
      <c r="J26" s="137">
        <f t="shared" si="0"/>
        <v>0</v>
      </c>
      <c r="K26" s="17">
        <v>2000002627</v>
      </c>
      <c r="L26" s="4">
        <v>45751</v>
      </c>
      <c r="M26" s="3" t="s">
        <v>135</v>
      </c>
    </row>
    <row r="27" spans="1:13" hidden="1" x14ac:dyDescent="0.35">
      <c r="A27" s="3" t="s">
        <v>109</v>
      </c>
      <c r="B27" s="17">
        <v>1900008141</v>
      </c>
      <c r="C27" s="4">
        <v>45702</v>
      </c>
      <c r="D27" s="60" t="s">
        <v>776</v>
      </c>
      <c r="E27" s="3" t="s">
        <v>110</v>
      </c>
      <c r="F27" s="5">
        <v>-54.67</v>
      </c>
      <c r="G27" s="3" t="s">
        <v>110</v>
      </c>
      <c r="H27" s="5">
        <v>-54.67</v>
      </c>
      <c r="I27" s="59" t="e">
        <f>_xlfn.XLOOKUP(D27,'Ascendus data'!$R:$R,'Ascendus data'!$T:$T,,0)</f>
        <v>#N/A</v>
      </c>
      <c r="J27" s="137" t="e">
        <f t="shared" si="0"/>
        <v>#N/A</v>
      </c>
      <c r="K27" s="17">
        <v>2000002627</v>
      </c>
      <c r="L27" s="4">
        <v>45751</v>
      </c>
      <c r="M27" s="3" t="s">
        <v>136</v>
      </c>
    </row>
    <row r="28" spans="1:13" hidden="1" x14ac:dyDescent="0.35">
      <c r="A28" s="3" t="s">
        <v>109</v>
      </c>
      <c r="B28" s="17">
        <v>1900008142</v>
      </c>
      <c r="C28" s="4">
        <v>45702</v>
      </c>
      <c r="D28" s="60" t="s">
        <v>777</v>
      </c>
      <c r="E28" s="3" t="s">
        <v>110</v>
      </c>
      <c r="F28" s="5">
        <v>-85</v>
      </c>
      <c r="G28" s="3" t="s">
        <v>110</v>
      </c>
      <c r="H28" s="5">
        <v>-85</v>
      </c>
      <c r="I28" s="59">
        <f>_xlfn.XLOOKUP(D28,'Ascendus data'!$R:$R,'Ascendus data'!$T:$T,,0)</f>
        <v>85</v>
      </c>
      <c r="J28" s="137">
        <f t="shared" si="0"/>
        <v>0</v>
      </c>
      <c r="K28" s="17">
        <v>2000002627</v>
      </c>
      <c r="L28" s="4">
        <v>45751</v>
      </c>
      <c r="M28" s="3" t="s">
        <v>137</v>
      </c>
    </row>
    <row r="29" spans="1:13" hidden="1" x14ac:dyDescent="0.35">
      <c r="A29" s="3" t="s">
        <v>109</v>
      </c>
      <c r="B29" s="17">
        <v>1900008143</v>
      </c>
      <c r="C29" s="4">
        <v>45702</v>
      </c>
      <c r="D29" s="60" t="s">
        <v>778</v>
      </c>
      <c r="E29" s="3" t="s">
        <v>110</v>
      </c>
      <c r="F29" s="5">
        <v>-520.44000000000005</v>
      </c>
      <c r="G29" s="3" t="s">
        <v>110</v>
      </c>
      <c r="H29" s="5">
        <v>-520.44000000000005</v>
      </c>
      <c r="I29" s="59">
        <f>_xlfn.XLOOKUP(D29,'Ascendus data'!$R:$R,'Ascendus data'!$T:$T,,0)</f>
        <v>520.44000000000005</v>
      </c>
      <c r="J29" s="137">
        <f t="shared" si="0"/>
        <v>0</v>
      </c>
      <c r="K29" s="17">
        <v>2000002627</v>
      </c>
      <c r="L29" s="4">
        <v>45751</v>
      </c>
      <c r="M29" s="3" t="s">
        <v>138</v>
      </c>
    </row>
    <row r="30" spans="1:13" x14ac:dyDescent="0.35">
      <c r="A30" s="3" t="s">
        <v>109</v>
      </c>
      <c r="B30" s="17">
        <v>1900008144</v>
      </c>
      <c r="C30" s="4">
        <v>45702</v>
      </c>
      <c r="D30" s="60" t="s">
        <v>779</v>
      </c>
      <c r="E30" s="3" t="s">
        <v>110</v>
      </c>
      <c r="F30" s="5">
        <v>-118</v>
      </c>
      <c r="G30" s="3" t="s">
        <v>110</v>
      </c>
      <c r="H30" s="5">
        <v>-118</v>
      </c>
      <c r="I30" s="59">
        <f>_xlfn.XLOOKUP(D30,'Ascendus data'!$R:$R,'Ascendus data'!$T:$T,,0)</f>
        <v>118</v>
      </c>
      <c r="J30" s="137">
        <f t="shared" si="0"/>
        <v>0</v>
      </c>
      <c r="K30" s="17">
        <v>2000002627</v>
      </c>
      <c r="L30" s="4">
        <v>45751</v>
      </c>
      <c r="M30" s="3" t="s">
        <v>139</v>
      </c>
    </row>
    <row r="31" spans="1:13" hidden="1" x14ac:dyDescent="0.35">
      <c r="A31" s="3" t="s">
        <v>109</v>
      </c>
      <c r="B31" s="17">
        <v>1900008145</v>
      </c>
      <c r="C31" s="4">
        <v>45702</v>
      </c>
      <c r="D31" s="60" t="s">
        <v>780</v>
      </c>
      <c r="E31" s="3" t="s">
        <v>110</v>
      </c>
      <c r="F31" s="5">
        <v>-420</v>
      </c>
      <c r="G31" s="3" t="s">
        <v>110</v>
      </c>
      <c r="H31" s="5">
        <v>-420</v>
      </c>
      <c r="I31" s="59">
        <f>_xlfn.XLOOKUP(D31,'Ascendus data'!$R:$R,'Ascendus data'!$T:$T,,0)</f>
        <v>420</v>
      </c>
      <c r="J31" s="137">
        <f t="shared" si="0"/>
        <v>0</v>
      </c>
      <c r="K31" s="17">
        <v>2000002627</v>
      </c>
      <c r="L31" s="4">
        <v>45751</v>
      </c>
      <c r="M31" s="3" t="s">
        <v>140</v>
      </c>
    </row>
    <row r="32" spans="1:13" hidden="1" x14ac:dyDescent="0.35">
      <c r="A32" s="3" t="s">
        <v>109</v>
      </c>
      <c r="B32" s="17">
        <v>1900008146</v>
      </c>
      <c r="C32" s="4">
        <v>45702</v>
      </c>
      <c r="D32" s="60" t="s">
        <v>781</v>
      </c>
      <c r="E32" s="3" t="s">
        <v>110</v>
      </c>
      <c r="F32" s="5">
        <v>-226.56</v>
      </c>
      <c r="G32" s="3" t="s">
        <v>110</v>
      </c>
      <c r="H32" s="5">
        <v>-226.56</v>
      </c>
      <c r="I32" s="59" t="e">
        <f>_xlfn.XLOOKUP(D32,'Ascendus data'!$R:$R,'Ascendus data'!$T:$T,,0)</f>
        <v>#N/A</v>
      </c>
      <c r="J32" s="137" t="e">
        <f t="shared" si="0"/>
        <v>#N/A</v>
      </c>
      <c r="K32" s="17">
        <v>2000002627</v>
      </c>
      <c r="L32" s="4">
        <v>45751</v>
      </c>
      <c r="M32" s="3" t="s">
        <v>141</v>
      </c>
    </row>
    <row r="33" spans="1:13" hidden="1" x14ac:dyDescent="0.35">
      <c r="A33" s="3" t="s">
        <v>109</v>
      </c>
      <c r="B33" s="17">
        <v>1900008147</v>
      </c>
      <c r="C33" s="4">
        <v>45702</v>
      </c>
      <c r="D33" s="60" t="s">
        <v>782</v>
      </c>
      <c r="E33" s="3" t="s">
        <v>110</v>
      </c>
      <c r="F33" s="5">
        <v>-212.4</v>
      </c>
      <c r="G33" s="3" t="s">
        <v>110</v>
      </c>
      <c r="H33" s="5">
        <v>-212.4</v>
      </c>
      <c r="I33" s="59">
        <f>_xlfn.XLOOKUP(D33,'Ascendus data'!$R:$R,'Ascendus data'!$T:$T,,0)</f>
        <v>212.4</v>
      </c>
      <c r="J33" s="137">
        <f t="shared" si="0"/>
        <v>0</v>
      </c>
      <c r="K33" s="17">
        <v>2000002627</v>
      </c>
      <c r="L33" s="4">
        <v>45751</v>
      </c>
      <c r="M33" s="3" t="s">
        <v>142</v>
      </c>
    </row>
    <row r="34" spans="1:13" hidden="1" x14ac:dyDescent="0.35">
      <c r="A34" s="3" t="s">
        <v>109</v>
      </c>
      <c r="B34" s="17">
        <v>1900008148</v>
      </c>
      <c r="C34" s="4">
        <v>45702</v>
      </c>
      <c r="D34" s="60" t="s">
        <v>783</v>
      </c>
      <c r="E34" s="3" t="s">
        <v>110</v>
      </c>
      <c r="F34" s="5">
        <v>-23.6</v>
      </c>
      <c r="G34" s="3" t="s">
        <v>110</v>
      </c>
      <c r="H34" s="5">
        <v>-23.6</v>
      </c>
      <c r="I34" s="59" t="e">
        <f>_xlfn.XLOOKUP(D34,'Ascendus data'!$R:$R,'Ascendus data'!$T:$T,,0)</f>
        <v>#N/A</v>
      </c>
      <c r="J34" s="137" t="e">
        <f t="shared" ref="J34:J65" si="1">H34+I34</f>
        <v>#N/A</v>
      </c>
      <c r="K34" s="17">
        <v>2000002627</v>
      </c>
      <c r="L34" s="4">
        <v>45751</v>
      </c>
      <c r="M34" s="3" t="s">
        <v>143</v>
      </c>
    </row>
    <row r="35" spans="1:13" hidden="1" x14ac:dyDescent="0.35">
      <c r="A35" s="3" t="s">
        <v>109</v>
      </c>
      <c r="B35" s="17">
        <v>1900008149</v>
      </c>
      <c r="C35" s="4">
        <v>45702</v>
      </c>
      <c r="D35" s="60" t="s">
        <v>784</v>
      </c>
      <c r="E35" s="3" t="s">
        <v>110</v>
      </c>
      <c r="F35" s="5">
        <v>-218.93</v>
      </c>
      <c r="G35" s="3" t="s">
        <v>110</v>
      </c>
      <c r="H35" s="5">
        <v>-218.93</v>
      </c>
      <c r="I35" s="59">
        <f>_xlfn.XLOOKUP(D35,'Ascendus data'!$R:$R,'Ascendus data'!$T:$T,,0)</f>
        <v>218.93</v>
      </c>
      <c r="J35" s="137">
        <f t="shared" si="1"/>
        <v>0</v>
      </c>
      <c r="K35" s="17">
        <v>2000002627</v>
      </c>
      <c r="L35" s="4">
        <v>45751</v>
      </c>
      <c r="M35" s="3" t="s">
        <v>144</v>
      </c>
    </row>
    <row r="36" spans="1:13" hidden="1" x14ac:dyDescent="0.35">
      <c r="A36" s="3" t="s">
        <v>109</v>
      </c>
      <c r="B36" s="17">
        <v>1900008150</v>
      </c>
      <c r="C36" s="4">
        <v>45702</v>
      </c>
      <c r="D36" s="60" t="s">
        <v>785</v>
      </c>
      <c r="E36" s="3" t="s">
        <v>110</v>
      </c>
      <c r="F36" s="5">
        <v>-219.71</v>
      </c>
      <c r="G36" s="3" t="s">
        <v>110</v>
      </c>
      <c r="H36" s="5">
        <v>-219.71</v>
      </c>
      <c r="I36" s="59" t="e">
        <f>_xlfn.XLOOKUP(D36,'Ascendus data'!$R:$R,'Ascendus data'!$T:$T,,0)</f>
        <v>#N/A</v>
      </c>
      <c r="J36" s="137" t="e">
        <f t="shared" si="1"/>
        <v>#N/A</v>
      </c>
      <c r="K36" s="17">
        <v>2000002627</v>
      </c>
      <c r="L36" s="4">
        <v>45751</v>
      </c>
      <c r="M36" s="3" t="s">
        <v>145</v>
      </c>
    </row>
    <row r="37" spans="1:13" hidden="1" x14ac:dyDescent="0.35">
      <c r="A37" s="3" t="s">
        <v>109</v>
      </c>
      <c r="B37" s="17">
        <v>1900008151</v>
      </c>
      <c r="C37" s="4">
        <v>45702</v>
      </c>
      <c r="D37" s="60" t="s">
        <v>786</v>
      </c>
      <c r="E37" s="3" t="s">
        <v>110</v>
      </c>
      <c r="F37" s="5">
        <v>-346.96</v>
      </c>
      <c r="G37" s="3" t="s">
        <v>110</v>
      </c>
      <c r="H37" s="5">
        <v>-346.96</v>
      </c>
      <c r="I37" s="59">
        <f>_xlfn.XLOOKUP(D37,'Ascendus data'!$R:$R,'Ascendus data'!$T:$T,,0)</f>
        <v>346.96</v>
      </c>
      <c r="J37" s="137">
        <f t="shared" si="1"/>
        <v>0</v>
      </c>
      <c r="K37" s="17">
        <v>2000002627</v>
      </c>
      <c r="L37" s="4">
        <v>45751</v>
      </c>
      <c r="M37" s="3" t="s">
        <v>146</v>
      </c>
    </row>
    <row r="38" spans="1:13" hidden="1" x14ac:dyDescent="0.35">
      <c r="A38" s="3" t="s">
        <v>109</v>
      </c>
      <c r="B38" s="17">
        <v>1900008158</v>
      </c>
      <c r="C38" s="4">
        <v>45702</v>
      </c>
      <c r="D38" s="60" t="s">
        <v>787</v>
      </c>
      <c r="E38" s="3" t="s">
        <v>110</v>
      </c>
      <c r="F38" s="5">
        <v>-3021.49</v>
      </c>
      <c r="G38" s="3" t="s">
        <v>110</v>
      </c>
      <c r="H38" s="5">
        <v>-3021.49</v>
      </c>
      <c r="I38" s="59">
        <f>_xlfn.XLOOKUP(D38,'Ascendus data'!$R:$R,'Ascendus data'!$T:$T,,0)</f>
        <v>3021.49</v>
      </c>
      <c r="J38" s="137">
        <f t="shared" si="1"/>
        <v>0</v>
      </c>
      <c r="K38" s="17">
        <v>2000002627</v>
      </c>
      <c r="L38" s="4">
        <v>45751</v>
      </c>
      <c r="M38" s="3" t="s">
        <v>147</v>
      </c>
    </row>
    <row r="39" spans="1:13" hidden="1" x14ac:dyDescent="0.35">
      <c r="A39" s="3" t="s">
        <v>109</v>
      </c>
      <c r="B39" s="17">
        <v>1900008159</v>
      </c>
      <c r="C39" s="4">
        <v>45702</v>
      </c>
      <c r="D39" s="60" t="s">
        <v>788</v>
      </c>
      <c r="E39" s="3" t="s">
        <v>110</v>
      </c>
      <c r="F39" s="5">
        <v>-1236.05</v>
      </c>
      <c r="G39" s="3" t="s">
        <v>110</v>
      </c>
      <c r="H39" s="5">
        <v>-1236.05</v>
      </c>
      <c r="I39" s="59" t="e">
        <f>_xlfn.XLOOKUP(D39,'Ascendus data'!$R:$R,'Ascendus data'!$T:$T,,0)</f>
        <v>#N/A</v>
      </c>
      <c r="J39" s="137" t="e">
        <f t="shared" si="1"/>
        <v>#N/A</v>
      </c>
      <c r="K39" s="17">
        <v>2000002627</v>
      </c>
      <c r="L39" s="4">
        <v>45751</v>
      </c>
      <c r="M39" s="3" t="s">
        <v>148</v>
      </c>
    </row>
    <row r="40" spans="1:13" hidden="1" x14ac:dyDescent="0.35">
      <c r="A40" s="3" t="s">
        <v>109</v>
      </c>
      <c r="B40" s="17">
        <v>1900008160</v>
      </c>
      <c r="C40" s="4">
        <v>45702</v>
      </c>
      <c r="D40" s="60" t="s">
        <v>789</v>
      </c>
      <c r="E40" s="3" t="s">
        <v>110</v>
      </c>
      <c r="F40" s="5">
        <v>-1093.3599999999999</v>
      </c>
      <c r="G40" s="3" t="s">
        <v>110</v>
      </c>
      <c r="H40" s="5">
        <v>-1093.3599999999999</v>
      </c>
      <c r="I40" s="59" t="e">
        <f>_xlfn.XLOOKUP(D40,'Ascendus data'!$R:$R,'Ascendus data'!$T:$T,,0)</f>
        <v>#N/A</v>
      </c>
      <c r="J40" s="137" t="e">
        <f t="shared" si="1"/>
        <v>#N/A</v>
      </c>
      <c r="K40" s="17">
        <v>2000002627</v>
      </c>
      <c r="L40" s="4">
        <v>45751</v>
      </c>
      <c r="M40" s="3" t="s">
        <v>149</v>
      </c>
    </row>
    <row r="41" spans="1:13" hidden="1" x14ac:dyDescent="0.35">
      <c r="A41" s="3" t="s">
        <v>109</v>
      </c>
      <c r="B41" s="17">
        <v>1900008161</v>
      </c>
      <c r="C41" s="4">
        <v>45702</v>
      </c>
      <c r="D41" s="60" t="s">
        <v>790</v>
      </c>
      <c r="E41" s="3" t="s">
        <v>110</v>
      </c>
      <c r="F41" s="5">
        <v>-1100.3900000000001</v>
      </c>
      <c r="G41" s="3" t="s">
        <v>110</v>
      </c>
      <c r="H41" s="5">
        <v>-1100.3900000000001</v>
      </c>
      <c r="I41" s="59" t="e">
        <f>_xlfn.XLOOKUP(D41,'Ascendus data'!$R:$R,'Ascendus data'!$T:$T,,0)</f>
        <v>#N/A</v>
      </c>
      <c r="J41" s="137" t="e">
        <f t="shared" si="1"/>
        <v>#N/A</v>
      </c>
      <c r="K41" s="17">
        <v>2000002627</v>
      </c>
      <c r="L41" s="4">
        <v>45751</v>
      </c>
      <c r="M41" s="3" t="s">
        <v>150</v>
      </c>
    </row>
    <row r="42" spans="1:13" hidden="1" x14ac:dyDescent="0.35">
      <c r="A42" s="3" t="s">
        <v>109</v>
      </c>
      <c r="B42" s="17">
        <v>1900008162</v>
      </c>
      <c r="C42" s="4">
        <v>45702</v>
      </c>
      <c r="D42" s="60" t="s">
        <v>791</v>
      </c>
      <c r="E42" s="3" t="s">
        <v>110</v>
      </c>
      <c r="F42" s="5">
        <v>-1362.36</v>
      </c>
      <c r="G42" s="3" t="s">
        <v>110</v>
      </c>
      <c r="H42" s="5">
        <v>-1362.36</v>
      </c>
      <c r="I42" s="59">
        <f>_xlfn.XLOOKUP(D42,'Ascendus data'!$R:$R,'Ascendus data'!$T:$T,,0)</f>
        <v>1362.36</v>
      </c>
      <c r="J42" s="137">
        <f t="shared" si="1"/>
        <v>0</v>
      </c>
      <c r="K42" s="17">
        <v>2000002627</v>
      </c>
      <c r="L42" s="4">
        <v>45751</v>
      </c>
      <c r="M42" s="3" t="s">
        <v>151</v>
      </c>
    </row>
    <row r="43" spans="1:13" hidden="1" x14ac:dyDescent="0.35">
      <c r="A43" s="3" t="s">
        <v>109</v>
      </c>
      <c r="B43" s="17">
        <v>1900008163</v>
      </c>
      <c r="C43" s="4">
        <v>45702</v>
      </c>
      <c r="D43" s="60" t="s">
        <v>792</v>
      </c>
      <c r="E43" s="3" t="s">
        <v>110</v>
      </c>
      <c r="F43" s="5">
        <v>-1015.85</v>
      </c>
      <c r="G43" s="3" t="s">
        <v>110</v>
      </c>
      <c r="H43" s="5">
        <v>-1015.85</v>
      </c>
      <c r="I43" s="59">
        <f>_xlfn.XLOOKUP(D43,'Ascendus data'!$R:$R,'Ascendus data'!$T:$T,,0)</f>
        <v>1015.85</v>
      </c>
      <c r="J43" s="137">
        <f t="shared" si="1"/>
        <v>0</v>
      </c>
      <c r="K43" s="17">
        <v>2000002627</v>
      </c>
      <c r="L43" s="4">
        <v>45751</v>
      </c>
      <c r="M43" s="3" t="s">
        <v>152</v>
      </c>
    </row>
    <row r="44" spans="1:13" hidden="1" x14ac:dyDescent="0.35">
      <c r="A44" s="3" t="s">
        <v>109</v>
      </c>
      <c r="B44" s="17">
        <v>1900008164</v>
      </c>
      <c r="C44" s="4">
        <v>45702</v>
      </c>
      <c r="D44" s="60" t="s">
        <v>793</v>
      </c>
      <c r="E44" s="3" t="s">
        <v>110</v>
      </c>
      <c r="F44" s="5">
        <v>-1548.45</v>
      </c>
      <c r="G44" s="3" t="s">
        <v>110</v>
      </c>
      <c r="H44" s="5">
        <v>-1548.45</v>
      </c>
      <c r="I44" s="59">
        <f>_xlfn.XLOOKUP(D44,'Ascendus data'!$R:$R,'Ascendus data'!$T:$T,,0)</f>
        <v>1548.45</v>
      </c>
      <c r="J44" s="137">
        <f t="shared" si="1"/>
        <v>0</v>
      </c>
      <c r="K44" s="17">
        <v>2000002627</v>
      </c>
      <c r="L44" s="4">
        <v>45751</v>
      </c>
      <c r="M44" s="3" t="s">
        <v>153</v>
      </c>
    </row>
    <row r="45" spans="1:13" hidden="1" x14ac:dyDescent="0.35">
      <c r="A45" s="3" t="s">
        <v>109</v>
      </c>
      <c r="B45" s="17">
        <v>1900008165</v>
      </c>
      <c r="C45" s="4">
        <v>45702</v>
      </c>
      <c r="D45" s="60" t="s">
        <v>794</v>
      </c>
      <c r="E45" s="3" t="s">
        <v>110</v>
      </c>
      <c r="F45" s="5">
        <v>-1142.99</v>
      </c>
      <c r="G45" s="3" t="s">
        <v>110</v>
      </c>
      <c r="H45" s="5">
        <v>-1142.99</v>
      </c>
      <c r="I45" s="59" t="e">
        <f>_xlfn.XLOOKUP(D45,'Ascendus data'!$R:$R,'Ascendus data'!$T:$T,,0)</f>
        <v>#N/A</v>
      </c>
      <c r="J45" s="137" t="e">
        <f t="shared" si="1"/>
        <v>#N/A</v>
      </c>
      <c r="K45" s="17">
        <v>2000002627</v>
      </c>
      <c r="L45" s="4">
        <v>45751</v>
      </c>
      <c r="M45" s="3" t="s">
        <v>154</v>
      </c>
    </row>
    <row r="46" spans="1:13" hidden="1" x14ac:dyDescent="0.35">
      <c r="A46" s="3" t="s">
        <v>109</v>
      </c>
      <c r="B46" s="17">
        <v>1900008166</v>
      </c>
      <c r="C46" s="4">
        <v>45702</v>
      </c>
      <c r="D46" s="60" t="s">
        <v>795</v>
      </c>
      <c r="E46" s="3" t="s">
        <v>110</v>
      </c>
      <c r="F46" s="5">
        <v>-1838.27</v>
      </c>
      <c r="G46" s="3" t="s">
        <v>110</v>
      </c>
      <c r="H46" s="5">
        <v>-1838.27</v>
      </c>
      <c r="I46" s="59">
        <f>_xlfn.XLOOKUP(D46,'Ascendus data'!$R:$R,'Ascendus data'!$T:$T,,0)</f>
        <v>1838.27</v>
      </c>
      <c r="J46" s="137">
        <f t="shared" si="1"/>
        <v>0</v>
      </c>
      <c r="K46" s="17">
        <v>2000002627</v>
      </c>
      <c r="L46" s="4">
        <v>45751</v>
      </c>
      <c r="M46" s="3" t="s">
        <v>155</v>
      </c>
    </row>
    <row r="47" spans="1:13" hidden="1" x14ac:dyDescent="0.35">
      <c r="A47" s="3" t="s">
        <v>109</v>
      </c>
      <c r="B47" s="17">
        <v>1900008167</v>
      </c>
      <c r="C47" s="4">
        <v>45702</v>
      </c>
      <c r="D47" s="60" t="s">
        <v>796</v>
      </c>
      <c r="E47" s="3" t="s">
        <v>110</v>
      </c>
      <c r="F47" s="5">
        <v>-976.39</v>
      </c>
      <c r="G47" s="3" t="s">
        <v>110</v>
      </c>
      <c r="H47" s="5">
        <v>-976.39</v>
      </c>
      <c r="I47" s="59">
        <f>_xlfn.XLOOKUP(D47,'Ascendus data'!$R:$R,'Ascendus data'!$T:$T,,0)</f>
        <v>976.39</v>
      </c>
      <c r="J47" s="137">
        <f t="shared" si="1"/>
        <v>0</v>
      </c>
      <c r="K47" s="17">
        <v>2000002627</v>
      </c>
      <c r="L47" s="4">
        <v>45751</v>
      </c>
      <c r="M47" s="3" t="s">
        <v>156</v>
      </c>
    </row>
    <row r="48" spans="1:13" hidden="1" x14ac:dyDescent="0.35">
      <c r="A48" s="3" t="s">
        <v>157</v>
      </c>
      <c r="B48" s="17">
        <v>5100012792</v>
      </c>
      <c r="C48" s="4">
        <v>45702</v>
      </c>
      <c r="D48" s="60" t="s">
        <v>797</v>
      </c>
      <c r="E48" s="3" t="s">
        <v>110</v>
      </c>
      <c r="F48" s="5">
        <v>-15887.63</v>
      </c>
      <c r="G48" s="3" t="s">
        <v>110</v>
      </c>
      <c r="H48" s="5">
        <v>-15887.63</v>
      </c>
      <c r="I48" s="59">
        <f>_xlfn.XLOOKUP(D48,'Ascendus data'!$R:$R,'Ascendus data'!$T:$T,,0)</f>
        <v>15887.63</v>
      </c>
      <c r="J48" s="137">
        <f t="shared" si="1"/>
        <v>0</v>
      </c>
      <c r="K48" s="17">
        <v>2000002627</v>
      </c>
      <c r="L48" s="4">
        <v>45751</v>
      </c>
      <c r="M48" s="3" t="s">
        <v>158</v>
      </c>
    </row>
    <row r="49" spans="1:14" hidden="1" x14ac:dyDescent="0.35">
      <c r="A49" s="3" t="s">
        <v>157</v>
      </c>
      <c r="B49" s="17">
        <v>5100012793</v>
      </c>
      <c r="C49" s="4">
        <v>45702</v>
      </c>
      <c r="D49" s="60" t="s">
        <v>798</v>
      </c>
      <c r="E49" s="3" t="s">
        <v>110</v>
      </c>
      <c r="F49" s="5">
        <v>-19671.64</v>
      </c>
      <c r="G49" s="3" t="s">
        <v>110</v>
      </c>
      <c r="H49" s="5">
        <v>-19671.64</v>
      </c>
      <c r="I49" s="59">
        <f>_xlfn.XLOOKUP(D49,'Ascendus data'!$R:$R,'Ascendus data'!$T:$T,,0)</f>
        <v>19567.14</v>
      </c>
      <c r="J49" s="137">
        <f t="shared" si="1"/>
        <v>-104.5</v>
      </c>
      <c r="K49" s="17">
        <v>2000002627</v>
      </c>
      <c r="L49" s="4">
        <v>45751</v>
      </c>
      <c r="M49" s="3" t="s">
        <v>159</v>
      </c>
    </row>
    <row r="50" spans="1:14" hidden="1" x14ac:dyDescent="0.35">
      <c r="A50" s="3" t="s">
        <v>157</v>
      </c>
      <c r="B50" s="17">
        <v>5100012794</v>
      </c>
      <c r="C50" s="4">
        <v>45702</v>
      </c>
      <c r="D50" s="60" t="s">
        <v>799</v>
      </c>
      <c r="E50" s="3" t="s">
        <v>110</v>
      </c>
      <c r="F50" s="5">
        <v>-22667.75</v>
      </c>
      <c r="G50" s="3" t="s">
        <v>110</v>
      </c>
      <c r="H50" s="5">
        <v>-22667.75</v>
      </c>
      <c r="I50" s="59">
        <f>_xlfn.XLOOKUP(D50,'Ascendus data'!$R:$R,'Ascendus data'!$T:$T,,0)</f>
        <v>22667.75</v>
      </c>
      <c r="J50" s="137">
        <f t="shared" si="1"/>
        <v>0</v>
      </c>
      <c r="K50" s="17">
        <v>2000002627</v>
      </c>
      <c r="L50" s="4">
        <v>45751</v>
      </c>
      <c r="M50" s="3" t="s">
        <v>160</v>
      </c>
    </row>
    <row r="51" spans="1:14" hidden="1" x14ac:dyDescent="0.35">
      <c r="A51" s="3" t="s">
        <v>157</v>
      </c>
      <c r="B51" s="17">
        <v>5100012795</v>
      </c>
      <c r="C51" s="4">
        <v>45702</v>
      </c>
      <c r="D51" s="60" t="s">
        <v>800</v>
      </c>
      <c r="E51" s="3" t="s">
        <v>110</v>
      </c>
      <c r="F51" s="5">
        <v>-23761.19</v>
      </c>
      <c r="G51" s="3" t="s">
        <v>110</v>
      </c>
      <c r="H51" s="5">
        <v>-23761.19</v>
      </c>
      <c r="I51" s="59">
        <f>_xlfn.XLOOKUP(D51,'Ascendus data'!$R:$R,'Ascendus data'!$T:$T,,0)</f>
        <v>23761.19</v>
      </c>
      <c r="J51" s="137">
        <f t="shared" si="1"/>
        <v>0</v>
      </c>
      <c r="K51" s="17">
        <v>2000002627</v>
      </c>
      <c r="L51" s="4">
        <v>45751</v>
      </c>
      <c r="M51" s="3" t="s">
        <v>161</v>
      </c>
    </row>
    <row r="52" spans="1:14" hidden="1" x14ac:dyDescent="0.35">
      <c r="A52" s="3" t="s">
        <v>157</v>
      </c>
      <c r="B52" s="17">
        <v>5100012796</v>
      </c>
      <c r="C52" s="4">
        <v>45702</v>
      </c>
      <c r="D52" s="60" t="s">
        <v>801</v>
      </c>
      <c r="E52" s="3" t="s">
        <v>110</v>
      </c>
      <c r="F52" s="5">
        <v>-19515.21</v>
      </c>
      <c r="G52" s="3" t="s">
        <v>110</v>
      </c>
      <c r="H52" s="5">
        <v>-19515.21</v>
      </c>
      <c r="I52" s="59">
        <f>_xlfn.XLOOKUP(D52,'Ascendus data'!$R:$R,'Ascendus data'!$T:$T,,0)</f>
        <v>19515.21</v>
      </c>
      <c r="J52" s="137">
        <f t="shared" si="1"/>
        <v>0</v>
      </c>
      <c r="K52" s="17">
        <v>2000002627</v>
      </c>
      <c r="L52" s="4">
        <v>45751</v>
      </c>
      <c r="M52" s="3" t="s">
        <v>162</v>
      </c>
    </row>
    <row r="53" spans="1:14" hidden="1" x14ac:dyDescent="0.35">
      <c r="A53" s="3" t="s">
        <v>157</v>
      </c>
      <c r="B53" s="17">
        <v>5100012797</v>
      </c>
      <c r="C53" s="4">
        <v>45702</v>
      </c>
      <c r="D53" s="60" t="s">
        <v>802</v>
      </c>
      <c r="E53" s="3" t="s">
        <v>110</v>
      </c>
      <c r="F53" s="5">
        <v>-16559.87</v>
      </c>
      <c r="G53" s="3" t="s">
        <v>110</v>
      </c>
      <c r="H53" s="5">
        <v>-16559.87</v>
      </c>
      <c r="I53" s="59">
        <f>_xlfn.XLOOKUP(D53,'Ascendus data'!$R:$R,'Ascendus data'!$T:$T,,0)</f>
        <v>16559.87</v>
      </c>
      <c r="J53" s="137">
        <f t="shared" si="1"/>
        <v>0</v>
      </c>
      <c r="K53" s="17">
        <v>2000002627</v>
      </c>
      <c r="L53" s="4">
        <v>45751</v>
      </c>
      <c r="M53" s="3" t="s">
        <v>163</v>
      </c>
    </row>
    <row r="54" spans="1:14" hidden="1" x14ac:dyDescent="0.35">
      <c r="A54" s="3" t="s">
        <v>164</v>
      </c>
      <c r="B54" s="17">
        <v>1700001171</v>
      </c>
      <c r="C54" s="4">
        <v>45729</v>
      </c>
      <c r="D54" s="60" t="s">
        <v>165</v>
      </c>
      <c r="E54" s="3" t="s">
        <v>110</v>
      </c>
      <c r="F54" s="5">
        <v>16009</v>
      </c>
      <c r="G54" s="3" t="s">
        <v>110</v>
      </c>
      <c r="H54" s="5">
        <v>16009</v>
      </c>
      <c r="I54" s="59" t="e">
        <f>_xlfn.XLOOKUP(D54,'Ascendus data'!$R:$R,'Ascendus data'!$T:$T,,0)</f>
        <v>#N/A</v>
      </c>
      <c r="J54" s="137" t="e">
        <f t="shared" si="1"/>
        <v>#N/A</v>
      </c>
      <c r="K54" s="17">
        <v>2000002627</v>
      </c>
      <c r="L54" s="4">
        <v>45751</v>
      </c>
      <c r="M54" s="3" t="s">
        <v>166</v>
      </c>
    </row>
    <row r="55" spans="1:14" s="16" customFormat="1" ht="14" hidden="1" customHeight="1" x14ac:dyDescent="0.35">
      <c r="A55" s="3" t="s">
        <v>803</v>
      </c>
      <c r="B55" s="3">
        <v>2000002627</v>
      </c>
      <c r="C55" s="4">
        <v>45751</v>
      </c>
      <c r="D55" s="3" t="s">
        <v>815</v>
      </c>
      <c r="E55" s="3" t="s">
        <v>110</v>
      </c>
      <c r="F55" s="5">
        <v>123978.28</v>
      </c>
      <c r="G55" s="3" t="s">
        <v>110</v>
      </c>
      <c r="H55" s="5">
        <v>123978.28</v>
      </c>
      <c r="I55" s="59" t="e">
        <f>_xlfn.XLOOKUP(D55,'Ascendus data'!$R:$R,'Ascendus data'!$T:$T,,0)</f>
        <v>#N/A</v>
      </c>
      <c r="J55" s="137" t="e">
        <f t="shared" si="1"/>
        <v>#N/A</v>
      </c>
      <c r="K55" s="3"/>
      <c r="L55" s="3"/>
      <c r="M55" s="3"/>
      <c r="N55" s="3"/>
    </row>
    <row r="56" spans="1:14" hidden="1" x14ac:dyDescent="0.35">
      <c r="A56" s="3" t="s">
        <v>109</v>
      </c>
      <c r="B56" s="17">
        <v>1900008240</v>
      </c>
      <c r="C56" s="4">
        <v>45735</v>
      </c>
      <c r="D56" s="60">
        <v>246779413236</v>
      </c>
      <c r="E56" s="3" t="s">
        <v>110</v>
      </c>
      <c r="F56" s="5">
        <v>-36.380000000000003</v>
      </c>
      <c r="G56" s="3" t="s">
        <v>110</v>
      </c>
      <c r="H56" s="5">
        <v>-36.380000000000003</v>
      </c>
      <c r="I56" s="3">
        <f>_xlfn.XLOOKUP(D56,'Ascendus data'!$M:$M,'Ascendus data'!$T:$T,,0)</f>
        <v>36.380000000000003</v>
      </c>
      <c r="J56" s="137">
        <f t="shared" si="1"/>
        <v>0</v>
      </c>
      <c r="K56" s="17">
        <v>2000002693</v>
      </c>
      <c r="L56" s="4">
        <v>45824</v>
      </c>
      <c r="M56" s="3" t="s">
        <v>184</v>
      </c>
    </row>
    <row r="57" spans="1:14" hidden="1" x14ac:dyDescent="0.35">
      <c r="A57" s="3" t="s">
        <v>109</v>
      </c>
      <c r="B57" s="17">
        <v>1900008241</v>
      </c>
      <c r="C57" s="4">
        <v>45735</v>
      </c>
      <c r="D57" s="60">
        <v>246779413237</v>
      </c>
      <c r="E57" s="3" t="s">
        <v>110</v>
      </c>
      <c r="F57" s="5">
        <v>-27.3</v>
      </c>
      <c r="G57" s="3" t="s">
        <v>110</v>
      </c>
      <c r="H57" s="5">
        <v>-27.3</v>
      </c>
      <c r="I57" s="3">
        <f>_xlfn.XLOOKUP(D57,'Ascendus data'!$M:$M,'Ascendus data'!$T:$T,,0)</f>
        <v>27.3</v>
      </c>
      <c r="J57" s="137">
        <f t="shared" si="1"/>
        <v>0</v>
      </c>
      <c r="K57" s="17">
        <v>2000002693</v>
      </c>
      <c r="L57" s="4">
        <v>45824</v>
      </c>
      <c r="M57" s="3" t="s">
        <v>184</v>
      </c>
    </row>
    <row r="58" spans="1:14" hidden="1" x14ac:dyDescent="0.35">
      <c r="A58" s="3" t="s">
        <v>109</v>
      </c>
      <c r="B58" s="17">
        <v>1900008242</v>
      </c>
      <c r="C58" s="4">
        <v>45735</v>
      </c>
      <c r="D58" s="60">
        <v>246779413238</v>
      </c>
      <c r="E58" s="3" t="s">
        <v>110</v>
      </c>
      <c r="F58" s="5">
        <v>-20.47</v>
      </c>
      <c r="G58" s="3" t="s">
        <v>110</v>
      </c>
      <c r="H58" s="5">
        <v>-20.47</v>
      </c>
      <c r="I58" s="3">
        <f>_xlfn.XLOOKUP(D58,'Ascendus data'!$M:$M,'Ascendus data'!$T:$T,,0)</f>
        <v>20.47</v>
      </c>
      <c r="J58" s="137">
        <f t="shared" si="1"/>
        <v>0</v>
      </c>
      <c r="K58" s="17">
        <v>2000002693</v>
      </c>
      <c r="L58" s="4">
        <v>45824</v>
      </c>
      <c r="M58" s="3" t="s">
        <v>184</v>
      </c>
    </row>
    <row r="59" spans="1:14" hidden="1" x14ac:dyDescent="0.35">
      <c r="A59" s="3" t="s">
        <v>109</v>
      </c>
      <c r="B59" s="17">
        <v>1900008243</v>
      </c>
      <c r="C59" s="4">
        <v>45735</v>
      </c>
      <c r="D59" s="60">
        <v>246779413239</v>
      </c>
      <c r="E59" s="3" t="s">
        <v>110</v>
      </c>
      <c r="F59" s="5">
        <v>-68.239999999999995</v>
      </c>
      <c r="G59" s="3" t="s">
        <v>110</v>
      </c>
      <c r="H59" s="5">
        <v>-68.239999999999995</v>
      </c>
      <c r="I59" s="3">
        <f>_xlfn.XLOOKUP(D59,'Ascendus data'!$M:$M,'Ascendus data'!$T:$T,,0)</f>
        <v>68.239999999999995</v>
      </c>
      <c r="J59" s="137">
        <f t="shared" si="1"/>
        <v>0</v>
      </c>
      <c r="K59" s="17">
        <v>2000002693</v>
      </c>
      <c r="L59" s="4">
        <v>45824</v>
      </c>
      <c r="M59" s="3" t="s">
        <v>184</v>
      </c>
    </row>
    <row r="60" spans="1:14" hidden="1" x14ac:dyDescent="0.35">
      <c r="A60" s="3" t="s">
        <v>109</v>
      </c>
      <c r="B60" s="17">
        <v>1900008244</v>
      </c>
      <c r="C60" s="4">
        <v>45736</v>
      </c>
      <c r="D60" s="60">
        <v>246779413638</v>
      </c>
      <c r="E60" s="3" t="s">
        <v>110</v>
      </c>
      <c r="F60" s="5">
        <v>-59.41</v>
      </c>
      <c r="G60" s="3" t="s">
        <v>110</v>
      </c>
      <c r="H60" s="5">
        <v>-59.41</v>
      </c>
      <c r="I60" s="3">
        <f>_xlfn.XLOOKUP(D60,'Ascendus data'!$M:$M,'Ascendus data'!$T:$T,,0)</f>
        <v>59.41</v>
      </c>
      <c r="J60" s="137">
        <f t="shared" si="1"/>
        <v>0</v>
      </c>
      <c r="K60" s="17">
        <v>2000002693</v>
      </c>
      <c r="L60" s="4">
        <v>45824</v>
      </c>
      <c r="M60" s="3" t="s">
        <v>185</v>
      </c>
    </row>
    <row r="61" spans="1:14" hidden="1" x14ac:dyDescent="0.35">
      <c r="A61" s="3" t="s">
        <v>109</v>
      </c>
      <c r="B61" s="17">
        <v>1900008245</v>
      </c>
      <c r="C61" s="4">
        <v>45736</v>
      </c>
      <c r="D61" s="60">
        <v>246779413811</v>
      </c>
      <c r="E61" s="3" t="s">
        <v>110</v>
      </c>
      <c r="F61" s="5">
        <v>-200.6</v>
      </c>
      <c r="G61" s="3" t="s">
        <v>110</v>
      </c>
      <c r="H61" s="5">
        <v>-200.6</v>
      </c>
      <c r="I61" s="3">
        <f>_xlfn.XLOOKUP(D61,'Ascendus data'!$M:$M,'Ascendus data'!$T:$T,,0)</f>
        <v>200.6</v>
      </c>
      <c r="J61" s="137">
        <f t="shared" si="1"/>
        <v>0</v>
      </c>
      <c r="K61" s="17">
        <v>2000002693</v>
      </c>
      <c r="L61" s="4">
        <v>45824</v>
      </c>
      <c r="M61" s="3" t="s">
        <v>186</v>
      </c>
    </row>
    <row r="62" spans="1:14" hidden="1" x14ac:dyDescent="0.35">
      <c r="A62" s="3" t="s">
        <v>109</v>
      </c>
      <c r="B62" s="17">
        <v>1900008246</v>
      </c>
      <c r="C62" s="4">
        <v>45736</v>
      </c>
      <c r="D62" s="60">
        <v>246779414481</v>
      </c>
      <c r="E62" s="3" t="s">
        <v>110</v>
      </c>
      <c r="F62" s="5">
        <v>-42.48</v>
      </c>
      <c r="G62" s="3" t="s">
        <v>110</v>
      </c>
      <c r="H62" s="5">
        <v>-42.48</v>
      </c>
      <c r="I62" s="3">
        <f>_xlfn.XLOOKUP(D62,'Ascendus data'!$M:$M,'Ascendus data'!$T:$T,,0)</f>
        <v>42.48</v>
      </c>
      <c r="J62" s="137">
        <f t="shared" si="1"/>
        <v>0</v>
      </c>
      <c r="K62" s="17">
        <v>2000002693</v>
      </c>
      <c r="L62" s="4">
        <v>45824</v>
      </c>
      <c r="M62" s="3" t="s">
        <v>187</v>
      </c>
    </row>
    <row r="63" spans="1:14" hidden="1" x14ac:dyDescent="0.35">
      <c r="A63" s="3" t="s">
        <v>109</v>
      </c>
      <c r="B63" s="17">
        <v>1900008247</v>
      </c>
      <c r="C63" s="4">
        <v>45736</v>
      </c>
      <c r="D63" s="60">
        <v>246779414482</v>
      </c>
      <c r="E63" s="3" t="s">
        <v>110</v>
      </c>
      <c r="F63" s="5">
        <v>-177</v>
      </c>
      <c r="G63" s="3" t="s">
        <v>110</v>
      </c>
      <c r="H63" s="5">
        <v>-177</v>
      </c>
      <c r="I63" s="3">
        <f>_xlfn.XLOOKUP(D63,'Ascendus data'!$M:$M,'Ascendus data'!$T:$T,,0)</f>
        <v>177</v>
      </c>
      <c r="J63" s="137">
        <f t="shared" si="1"/>
        <v>0</v>
      </c>
      <c r="K63" s="17">
        <v>2000002693</v>
      </c>
      <c r="L63" s="4">
        <v>45824</v>
      </c>
      <c r="M63" s="3" t="s">
        <v>188</v>
      </c>
    </row>
    <row r="64" spans="1:14" hidden="1" x14ac:dyDescent="0.35">
      <c r="A64" s="3" t="s">
        <v>109</v>
      </c>
      <c r="B64" s="17">
        <v>1900008248</v>
      </c>
      <c r="C64" s="4">
        <v>45736</v>
      </c>
      <c r="D64" s="60">
        <v>246779414483</v>
      </c>
      <c r="E64" s="3" t="s">
        <v>110</v>
      </c>
      <c r="F64" s="5">
        <v>-23.6</v>
      </c>
      <c r="G64" s="3" t="s">
        <v>110</v>
      </c>
      <c r="H64" s="5">
        <v>-23.6</v>
      </c>
      <c r="I64" s="3">
        <f>_xlfn.XLOOKUP(D64,'Ascendus data'!$M:$M,'Ascendus data'!$T:$T,,0)</f>
        <v>23.6</v>
      </c>
      <c r="J64" s="137">
        <f t="shared" si="1"/>
        <v>0</v>
      </c>
      <c r="K64" s="17">
        <v>2000002693</v>
      </c>
      <c r="L64" s="4">
        <v>45824</v>
      </c>
      <c r="M64" s="3" t="s">
        <v>189</v>
      </c>
    </row>
    <row r="65" spans="1:13" hidden="1" x14ac:dyDescent="0.35">
      <c r="A65" s="3" t="s">
        <v>109</v>
      </c>
      <c r="B65" s="17">
        <v>1900008249</v>
      </c>
      <c r="C65" s="4">
        <v>45736</v>
      </c>
      <c r="D65" s="60">
        <v>246779414484</v>
      </c>
      <c r="E65" s="3" t="s">
        <v>110</v>
      </c>
      <c r="F65" s="5">
        <v>-173.48</v>
      </c>
      <c r="G65" s="3" t="s">
        <v>110</v>
      </c>
      <c r="H65" s="5">
        <v>-173.48</v>
      </c>
      <c r="I65" s="3">
        <f>_xlfn.XLOOKUP(D65,'Ascendus data'!$M:$M,'Ascendus data'!$T:$T,,0)</f>
        <v>173.48</v>
      </c>
      <c r="J65" s="137">
        <f t="shared" si="1"/>
        <v>0</v>
      </c>
      <c r="K65" s="17">
        <v>2000002693</v>
      </c>
      <c r="L65" s="4">
        <v>45824</v>
      </c>
      <c r="M65" s="3" t="s">
        <v>190</v>
      </c>
    </row>
    <row r="66" spans="1:13" hidden="1" x14ac:dyDescent="0.35">
      <c r="A66" s="3" t="s">
        <v>109</v>
      </c>
      <c r="B66" s="17">
        <v>1900008250</v>
      </c>
      <c r="C66" s="4">
        <v>45736</v>
      </c>
      <c r="D66" s="60">
        <v>246779414755</v>
      </c>
      <c r="E66" s="3" t="s">
        <v>110</v>
      </c>
      <c r="F66" s="5">
        <v>-419.36</v>
      </c>
      <c r="G66" s="3" t="s">
        <v>110</v>
      </c>
      <c r="H66" s="5">
        <v>-419.36</v>
      </c>
      <c r="I66" s="3">
        <f>_xlfn.XLOOKUP(D66,'Ascendus data'!$M:$M,'Ascendus data'!$T:$T,,0)</f>
        <v>419.36</v>
      </c>
      <c r="J66" s="137">
        <f t="shared" ref="J66:J97" si="2">H66+I66</f>
        <v>0</v>
      </c>
      <c r="K66" s="17">
        <v>2000002693</v>
      </c>
      <c r="L66" s="4">
        <v>45824</v>
      </c>
      <c r="M66" s="3" t="s">
        <v>191</v>
      </c>
    </row>
    <row r="67" spans="1:13" hidden="1" x14ac:dyDescent="0.35">
      <c r="A67" s="3" t="s">
        <v>109</v>
      </c>
      <c r="B67" s="17">
        <v>1900008251</v>
      </c>
      <c r="C67" s="4">
        <v>45736</v>
      </c>
      <c r="D67" s="60">
        <v>246779414756</v>
      </c>
      <c r="E67" s="3" t="s">
        <v>110</v>
      </c>
      <c r="F67" s="5">
        <v>-81.209999999999994</v>
      </c>
      <c r="G67" s="3" t="s">
        <v>110</v>
      </c>
      <c r="H67" s="5">
        <v>-81.209999999999994</v>
      </c>
      <c r="I67" s="3">
        <f>_xlfn.XLOOKUP(D67,'Ascendus data'!$M:$M,'Ascendus data'!$T:$T,,0)</f>
        <v>81.209999999999994</v>
      </c>
      <c r="J67" s="137">
        <f t="shared" si="2"/>
        <v>0</v>
      </c>
      <c r="K67" s="17">
        <v>2000002693</v>
      </c>
      <c r="L67" s="4">
        <v>45824</v>
      </c>
      <c r="M67" s="3" t="s">
        <v>187</v>
      </c>
    </row>
    <row r="68" spans="1:13" hidden="1" x14ac:dyDescent="0.35">
      <c r="A68" s="3" t="s">
        <v>109</v>
      </c>
      <c r="B68" s="17">
        <v>1900008252</v>
      </c>
      <c r="C68" s="4">
        <v>45763</v>
      </c>
      <c r="D68" s="60">
        <v>256779411990</v>
      </c>
      <c r="E68" s="3" t="s">
        <v>110</v>
      </c>
      <c r="F68" s="5">
        <v>-84</v>
      </c>
      <c r="G68" s="3" t="s">
        <v>110</v>
      </c>
      <c r="H68" s="5">
        <v>-84</v>
      </c>
      <c r="I68" s="3">
        <f>_xlfn.XLOOKUP(D68,'Ascendus data'!$M:$M,'Ascendus data'!$T:$T,,0)</f>
        <v>84</v>
      </c>
      <c r="J68" s="137">
        <f t="shared" si="2"/>
        <v>0</v>
      </c>
      <c r="K68" s="17">
        <v>2000002693</v>
      </c>
      <c r="L68" s="4">
        <v>45824</v>
      </c>
      <c r="M68" s="3" t="s">
        <v>192</v>
      </c>
    </row>
    <row r="69" spans="1:13" hidden="1" x14ac:dyDescent="0.35">
      <c r="A69" s="3" t="s">
        <v>109</v>
      </c>
      <c r="B69" s="17">
        <v>1900008253</v>
      </c>
      <c r="C69" s="4">
        <v>45763</v>
      </c>
      <c r="D69" s="60">
        <v>256779412034</v>
      </c>
      <c r="E69" s="3" t="s">
        <v>110</v>
      </c>
      <c r="F69" s="5">
        <v>-117.05</v>
      </c>
      <c r="G69" s="3" t="s">
        <v>110</v>
      </c>
      <c r="H69" s="5">
        <v>-117.05</v>
      </c>
      <c r="I69" s="3">
        <f>_xlfn.XLOOKUP(D69,'Ascendus data'!$M:$M,'Ascendus data'!$T:$T,,0)</f>
        <v>117.05</v>
      </c>
      <c r="J69" s="137">
        <f t="shared" si="2"/>
        <v>0</v>
      </c>
      <c r="K69" s="17">
        <v>2000002693</v>
      </c>
      <c r="L69" s="4">
        <v>45824</v>
      </c>
      <c r="M69" s="3" t="s">
        <v>193</v>
      </c>
    </row>
    <row r="70" spans="1:13" hidden="1" x14ac:dyDescent="0.35">
      <c r="A70" s="3" t="s">
        <v>109</v>
      </c>
      <c r="B70" s="17">
        <v>1900008254</v>
      </c>
      <c r="C70" s="4">
        <v>45769</v>
      </c>
      <c r="D70" s="60">
        <v>256779412510</v>
      </c>
      <c r="E70" s="3" t="s">
        <v>110</v>
      </c>
      <c r="F70" s="5">
        <v>-330.03</v>
      </c>
      <c r="G70" s="3" t="s">
        <v>110</v>
      </c>
      <c r="H70" s="5">
        <v>-330.03</v>
      </c>
      <c r="I70" s="3">
        <f>_xlfn.XLOOKUP(D70,'Ascendus data'!$M:$M,'Ascendus data'!$T:$T,,0)</f>
        <v>330.03</v>
      </c>
      <c r="J70" s="137">
        <f t="shared" si="2"/>
        <v>0</v>
      </c>
      <c r="K70" s="17">
        <v>2000002693</v>
      </c>
      <c r="L70" s="4">
        <v>45824</v>
      </c>
      <c r="M70" s="3" t="s">
        <v>194</v>
      </c>
    </row>
    <row r="71" spans="1:13" hidden="1" x14ac:dyDescent="0.35">
      <c r="A71" s="3" t="s">
        <v>109</v>
      </c>
      <c r="B71" s="17">
        <v>1900008255</v>
      </c>
      <c r="C71" s="4">
        <v>45769</v>
      </c>
      <c r="D71" s="60">
        <v>256779412517</v>
      </c>
      <c r="E71" s="3" t="s">
        <v>110</v>
      </c>
      <c r="F71" s="5">
        <v>-262.18</v>
      </c>
      <c r="G71" s="3" t="s">
        <v>110</v>
      </c>
      <c r="H71" s="5">
        <v>-262.18</v>
      </c>
      <c r="I71" s="3">
        <f>_xlfn.XLOOKUP(D71,'Ascendus data'!$M:$M,'Ascendus data'!$T:$T,,0)</f>
        <v>262.18</v>
      </c>
      <c r="J71" s="137">
        <f t="shared" si="2"/>
        <v>0</v>
      </c>
      <c r="K71" s="17">
        <v>2000002693</v>
      </c>
      <c r="L71" s="4">
        <v>45824</v>
      </c>
      <c r="M71" s="3" t="s">
        <v>195</v>
      </c>
    </row>
    <row r="72" spans="1:13" hidden="1" x14ac:dyDescent="0.35">
      <c r="A72" s="3" t="s">
        <v>109</v>
      </c>
      <c r="B72" s="17">
        <v>1900008256</v>
      </c>
      <c r="C72" s="4">
        <v>45769</v>
      </c>
      <c r="D72" s="60">
        <v>256779412521</v>
      </c>
      <c r="E72" s="3" t="s">
        <v>110</v>
      </c>
      <c r="F72" s="5">
        <v>-171.87</v>
      </c>
      <c r="G72" s="3" t="s">
        <v>110</v>
      </c>
      <c r="H72" s="5">
        <v>-171.87</v>
      </c>
      <c r="I72" s="3">
        <f>_xlfn.XLOOKUP(D72,'Ascendus data'!$M:$M,'Ascendus data'!$T:$T,,0)</f>
        <v>171.87</v>
      </c>
      <c r="J72" s="137">
        <f t="shared" si="2"/>
        <v>0</v>
      </c>
      <c r="K72" s="17">
        <v>2000002693</v>
      </c>
      <c r="L72" s="4">
        <v>45824</v>
      </c>
      <c r="M72" s="3" t="s">
        <v>195</v>
      </c>
    </row>
    <row r="73" spans="1:13" x14ac:dyDescent="0.35">
      <c r="A73" s="3" t="s">
        <v>109</v>
      </c>
      <c r="B73" s="17">
        <v>1900008257</v>
      </c>
      <c r="C73" s="4">
        <v>45769</v>
      </c>
      <c r="D73" s="60">
        <v>256779412522</v>
      </c>
      <c r="E73" s="3" t="s">
        <v>110</v>
      </c>
      <c r="F73" s="5">
        <v>-310.27</v>
      </c>
      <c r="G73" s="3" t="s">
        <v>110</v>
      </c>
      <c r="H73" s="5">
        <v>-310.27</v>
      </c>
      <c r="I73" s="3">
        <f>_xlfn.XLOOKUP(D73,'Ascendus data'!$M:$M,'Ascendus data'!$T:$T,,0)</f>
        <v>310.27</v>
      </c>
      <c r="J73" s="137">
        <f t="shared" si="2"/>
        <v>0</v>
      </c>
      <c r="K73" s="17">
        <v>2000002693</v>
      </c>
      <c r="L73" s="4">
        <v>45824</v>
      </c>
      <c r="M73" s="3" t="s">
        <v>196</v>
      </c>
    </row>
    <row r="74" spans="1:13" hidden="1" x14ac:dyDescent="0.35">
      <c r="A74" s="3" t="s">
        <v>109</v>
      </c>
      <c r="B74" s="17">
        <v>1900008258</v>
      </c>
      <c r="C74" s="4">
        <v>45769</v>
      </c>
      <c r="D74" s="60">
        <v>256779412543</v>
      </c>
      <c r="E74" s="3" t="s">
        <v>110</v>
      </c>
      <c r="F74" s="5">
        <v>-310.27</v>
      </c>
      <c r="G74" s="3" t="s">
        <v>110</v>
      </c>
      <c r="H74" s="5">
        <v>-310.27</v>
      </c>
      <c r="I74" s="3">
        <f>_xlfn.XLOOKUP(D74,'Ascendus data'!$M:$M,'Ascendus data'!$T:$T,,0)</f>
        <v>310.27</v>
      </c>
      <c r="J74" s="137">
        <f t="shared" si="2"/>
        <v>0</v>
      </c>
      <c r="K74" s="17">
        <v>2000002693</v>
      </c>
      <c r="L74" s="4">
        <v>45824</v>
      </c>
      <c r="M74" s="3" t="s">
        <v>197</v>
      </c>
    </row>
    <row r="75" spans="1:13" hidden="1" x14ac:dyDescent="0.35">
      <c r="A75" s="3" t="s">
        <v>109</v>
      </c>
      <c r="B75" s="17">
        <v>1900008259</v>
      </c>
      <c r="C75" s="4">
        <v>45769</v>
      </c>
      <c r="D75" s="60">
        <v>256779412584</v>
      </c>
      <c r="E75" s="3" t="s">
        <v>110</v>
      </c>
      <c r="F75" s="5">
        <v>-503.51</v>
      </c>
      <c r="G75" s="3" t="s">
        <v>110</v>
      </c>
      <c r="H75" s="5">
        <v>-503.51</v>
      </c>
      <c r="I75" s="3">
        <f>_xlfn.XLOOKUP(D75,'Ascendus data'!$M:$M,'Ascendus data'!$T:$T,,0)</f>
        <v>503.51</v>
      </c>
      <c r="J75" s="137">
        <f t="shared" si="2"/>
        <v>0</v>
      </c>
      <c r="K75" s="17">
        <v>2000002693</v>
      </c>
      <c r="L75" s="4">
        <v>45824</v>
      </c>
      <c r="M75" s="3" t="s">
        <v>198</v>
      </c>
    </row>
    <row r="76" spans="1:13" hidden="1" x14ac:dyDescent="0.35">
      <c r="A76" s="3" t="s">
        <v>109</v>
      </c>
      <c r="B76" s="17">
        <v>1900008260</v>
      </c>
      <c r="C76" s="4">
        <v>45769</v>
      </c>
      <c r="D76" s="60">
        <v>256779412544</v>
      </c>
      <c r="E76" s="3" t="s">
        <v>110</v>
      </c>
      <c r="F76" s="5">
        <v>-500.56</v>
      </c>
      <c r="G76" s="3" t="s">
        <v>110</v>
      </c>
      <c r="H76" s="5">
        <v>-500.56</v>
      </c>
      <c r="I76" s="3">
        <f>_xlfn.XLOOKUP(D76,'Ascendus data'!$M:$M,'Ascendus data'!$T:$T,,0)</f>
        <v>500.56</v>
      </c>
      <c r="J76" s="137">
        <f t="shared" si="2"/>
        <v>0</v>
      </c>
      <c r="K76" s="17">
        <v>2000002693</v>
      </c>
      <c r="L76" s="4">
        <v>45824</v>
      </c>
      <c r="M76" s="3" t="s">
        <v>199</v>
      </c>
    </row>
    <row r="77" spans="1:13" hidden="1" x14ac:dyDescent="0.35">
      <c r="A77" s="3" t="s">
        <v>157</v>
      </c>
      <c r="B77" s="17">
        <v>5100012941</v>
      </c>
      <c r="C77" s="4">
        <v>45751</v>
      </c>
      <c r="D77" s="60">
        <v>256779410724</v>
      </c>
      <c r="E77" s="3" t="s">
        <v>110</v>
      </c>
      <c r="F77" s="5">
        <v>-14302.59</v>
      </c>
      <c r="G77" s="3" t="s">
        <v>110</v>
      </c>
      <c r="H77" s="5">
        <v>-14302.59</v>
      </c>
      <c r="I77" s="3">
        <f>_xlfn.XLOOKUP(D77,'Ascendus data'!$M:$M,'Ascendus data'!$T:$T,,0)</f>
        <v>14302.59</v>
      </c>
      <c r="J77" s="137">
        <f t="shared" si="2"/>
        <v>0</v>
      </c>
      <c r="K77" s="17">
        <v>2000002693</v>
      </c>
      <c r="L77" s="4">
        <v>45824</v>
      </c>
      <c r="M77" s="3" t="s">
        <v>200</v>
      </c>
    </row>
    <row r="78" spans="1:13" hidden="1" x14ac:dyDescent="0.35">
      <c r="A78" s="3" t="s">
        <v>109</v>
      </c>
      <c r="B78" s="17">
        <v>1900008262</v>
      </c>
      <c r="C78" s="4">
        <v>45736</v>
      </c>
      <c r="D78" s="89">
        <v>256779417737</v>
      </c>
      <c r="E78" s="3" t="s">
        <v>110</v>
      </c>
      <c r="F78" s="5">
        <v>-950.61</v>
      </c>
      <c r="G78" s="3" t="s">
        <v>110</v>
      </c>
      <c r="H78" s="5">
        <v>-950.61</v>
      </c>
      <c r="I78" s="3">
        <f>_xlfn.XLOOKUP(D78,'Ascendus data'!$M:$M,'Ascendus data'!$T:$T,,0)</f>
        <v>950.61</v>
      </c>
      <c r="J78" s="137">
        <f t="shared" si="2"/>
        <v>0</v>
      </c>
      <c r="K78" s="17">
        <v>2000002693</v>
      </c>
      <c r="L78" s="4">
        <v>45824</v>
      </c>
      <c r="M78" s="3" t="s">
        <v>191</v>
      </c>
    </row>
    <row r="79" spans="1:13" hidden="1" x14ac:dyDescent="0.35">
      <c r="A79" s="3" t="s">
        <v>803</v>
      </c>
      <c r="B79" s="17">
        <v>2000002693</v>
      </c>
      <c r="C79" s="4">
        <v>45824</v>
      </c>
      <c r="D79" s="60" t="s">
        <v>815</v>
      </c>
      <c r="E79" s="3" t="s">
        <v>110</v>
      </c>
      <c r="F79" s="5">
        <v>19172.47</v>
      </c>
      <c r="G79" s="3" t="s">
        <v>110</v>
      </c>
      <c r="H79" s="5">
        <v>19172.47</v>
      </c>
      <c r="I79" s="59" t="e">
        <f>_xlfn.XLOOKUP(D79,'Ascendus data'!$R:$R,'Ascendus data'!$T:$T,,0)</f>
        <v>#N/A</v>
      </c>
      <c r="J79" s="137" t="e">
        <f t="shared" si="2"/>
        <v>#N/A</v>
      </c>
      <c r="K79" s="3">
        <v>2000002693</v>
      </c>
      <c r="L79" s="4">
        <v>45824</v>
      </c>
      <c r="M79" s="3" t="s">
        <v>18</v>
      </c>
    </row>
    <row r="80" spans="1:13" hidden="1" x14ac:dyDescent="0.35">
      <c r="A80" s="3" t="s">
        <v>109</v>
      </c>
      <c r="B80" s="17">
        <v>1900008270</v>
      </c>
      <c r="C80" s="4">
        <v>45763</v>
      </c>
      <c r="D80" s="60">
        <v>256779411925</v>
      </c>
      <c r="E80" s="3" t="s">
        <v>110</v>
      </c>
      <c r="F80" s="5">
        <v>-3.48</v>
      </c>
      <c r="G80" s="3" t="s">
        <v>110</v>
      </c>
      <c r="H80" s="5">
        <v>-3.48</v>
      </c>
      <c r="I80" s="3">
        <f>_xlfn.XLOOKUP(D80,'Ascendus data'!$M:$M,'Ascendus data'!$T:$T,,0)</f>
        <v>3.48</v>
      </c>
      <c r="J80" s="137">
        <f t="shared" si="2"/>
        <v>0</v>
      </c>
      <c r="K80" s="17">
        <v>2000002708</v>
      </c>
      <c r="L80" s="4">
        <v>45833</v>
      </c>
      <c r="M80" s="3" t="s">
        <v>201</v>
      </c>
    </row>
    <row r="81" spans="1:13" hidden="1" x14ac:dyDescent="0.35">
      <c r="A81" s="3" t="s">
        <v>109</v>
      </c>
      <c r="B81" s="17">
        <v>1900008271</v>
      </c>
      <c r="C81" s="4">
        <v>45763</v>
      </c>
      <c r="D81" s="60">
        <v>256779411926</v>
      </c>
      <c r="E81" s="3" t="s">
        <v>110</v>
      </c>
      <c r="F81" s="5">
        <v>-13.94</v>
      </c>
      <c r="G81" s="3" t="s">
        <v>110</v>
      </c>
      <c r="H81" s="5">
        <v>-13.94</v>
      </c>
      <c r="I81" s="3">
        <f>_xlfn.XLOOKUP(D81,'Ascendus data'!$M:$M,'Ascendus data'!$T:$T,,0)</f>
        <v>13.94</v>
      </c>
      <c r="J81" s="137">
        <f t="shared" si="2"/>
        <v>0</v>
      </c>
      <c r="K81" s="17">
        <v>2000002708</v>
      </c>
      <c r="L81" s="4">
        <v>45833</v>
      </c>
      <c r="M81" s="3" t="s">
        <v>202</v>
      </c>
    </row>
    <row r="82" spans="1:13" hidden="1" x14ac:dyDescent="0.35">
      <c r="A82" s="3" t="s">
        <v>109</v>
      </c>
      <c r="B82" s="17">
        <v>1900008272</v>
      </c>
      <c r="C82" s="4">
        <v>45763</v>
      </c>
      <c r="D82" s="60">
        <v>256779412079</v>
      </c>
      <c r="E82" s="3" t="s">
        <v>110</v>
      </c>
      <c r="F82" s="5">
        <v>-116.73</v>
      </c>
      <c r="G82" s="3" t="s">
        <v>110</v>
      </c>
      <c r="H82" s="5">
        <v>-116.73</v>
      </c>
      <c r="I82" s="3">
        <f>_xlfn.XLOOKUP(D82,'Ascendus data'!$M:$M,'Ascendus data'!$T:$T,,0)</f>
        <v>116.73</v>
      </c>
      <c r="J82" s="137">
        <f t="shared" si="2"/>
        <v>0</v>
      </c>
      <c r="K82" s="17">
        <v>2000002708</v>
      </c>
      <c r="L82" s="4">
        <v>45833</v>
      </c>
      <c r="M82" s="3" t="s">
        <v>203</v>
      </c>
    </row>
    <row r="83" spans="1:13" hidden="1" x14ac:dyDescent="0.35">
      <c r="A83" s="3" t="s">
        <v>109</v>
      </c>
      <c r="B83" s="17">
        <v>1900008273</v>
      </c>
      <c r="C83" s="4">
        <v>45750</v>
      </c>
      <c r="D83" s="60">
        <v>256779410026</v>
      </c>
      <c r="E83" s="3" t="s">
        <v>110</v>
      </c>
      <c r="F83" s="5">
        <v>-45.68</v>
      </c>
      <c r="G83" s="3" t="s">
        <v>110</v>
      </c>
      <c r="H83" s="5">
        <v>-45.68</v>
      </c>
      <c r="I83" s="3">
        <f>_xlfn.XLOOKUP(D83,'Ascendus data'!$M:$M,'Ascendus data'!$T:$T,,0)</f>
        <v>45.68</v>
      </c>
      <c r="J83" s="137">
        <f t="shared" si="2"/>
        <v>0</v>
      </c>
      <c r="K83" s="17">
        <v>2000002708</v>
      </c>
      <c r="L83" s="4">
        <v>45833</v>
      </c>
      <c r="M83" s="3" t="s">
        <v>204</v>
      </c>
    </row>
    <row r="84" spans="1:13" hidden="1" x14ac:dyDescent="0.35">
      <c r="A84" s="3" t="s">
        <v>109</v>
      </c>
      <c r="B84" s="17">
        <v>1900008274</v>
      </c>
      <c r="C84" s="4">
        <v>45750</v>
      </c>
      <c r="D84" s="60">
        <v>256779410027</v>
      </c>
      <c r="E84" s="3" t="s">
        <v>110</v>
      </c>
      <c r="F84" s="5">
        <v>-56.64</v>
      </c>
      <c r="G84" s="3" t="s">
        <v>110</v>
      </c>
      <c r="H84" s="5">
        <v>-56.64</v>
      </c>
      <c r="I84" s="3">
        <f>_xlfn.XLOOKUP(D84,'Ascendus data'!$M:$M,'Ascendus data'!$T:$T,,0)</f>
        <v>56.64</v>
      </c>
      <c r="J84" s="137">
        <f t="shared" si="2"/>
        <v>0</v>
      </c>
      <c r="K84" s="17">
        <v>2000002708</v>
      </c>
      <c r="L84" s="4">
        <v>45833</v>
      </c>
      <c r="M84" s="3" t="s">
        <v>205</v>
      </c>
    </row>
    <row r="85" spans="1:13" hidden="1" x14ac:dyDescent="0.35">
      <c r="A85" s="3" t="s">
        <v>109</v>
      </c>
      <c r="B85" s="17">
        <v>1900008275</v>
      </c>
      <c r="C85" s="4">
        <v>45750</v>
      </c>
      <c r="D85" s="60">
        <v>256779410028</v>
      </c>
      <c r="E85" s="3" t="s">
        <v>110</v>
      </c>
      <c r="F85" s="5">
        <v>-455.62</v>
      </c>
      <c r="G85" s="3" t="s">
        <v>110</v>
      </c>
      <c r="H85" s="5">
        <v>-455.62</v>
      </c>
      <c r="I85" s="3">
        <f>_xlfn.XLOOKUP(D85,'Ascendus data'!$M:$M,'Ascendus data'!$T:$T,,0)</f>
        <v>455.62</v>
      </c>
      <c r="J85" s="137">
        <f t="shared" si="2"/>
        <v>0</v>
      </c>
      <c r="K85" s="17">
        <v>2000002708</v>
      </c>
      <c r="L85" s="4">
        <v>45833</v>
      </c>
      <c r="M85" s="3" t="s">
        <v>206</v>
      </c>
    </row>
    <row r="86" spans="1:13" hidden="1" x14ac:dyDescent="0.35">
      <c r="A86" s="3" t="s">
        <v>109</v>
      </c>
      <c r="B86" s="17">
        <v>1900008276</v>
      </c>
      <c r="C86" s="4">
        <v>45750</v>
      </c>
      <c r="D86" s="60">
        <v>256779410029</v>
      </c>
      <c r="E86" s="3" t="s">
        <v>110</v>
      </c>
      <c r="F86" s="5">
        <v>-210</v>
      </c>
      <c r="G86" s="3" t="s">
        <v>110</v>
      </c>
      <c r="H86" s="5">
        <v>-210</v>
      </c>
      <c r="I86" s="3">
        <f>_xlfn.XLOOKUP(D86,'Ascendus data'!$M:$M,'Ascendus data'!$T:$T,,0)</f>
        <v>210</v>
      </c>
      <c r="J86" s="137">
        <f t="shared" si="2"/>
        <v>0</v>
      </c>
      <c r="K86" s="17">
        <v>2000002708</v>
      </c>
      <c r="L86" s="4">
        <v>45833</v>
      </c>
      <c r="M86" s="3" t="s">
        <v>207</v>
      </c>
    </row>
    <row r="87" spans="1:13" x14ac:dyDescent="0.35">
      <c r="A87" s="3" t="s">
        <v>109</v>
      </c>
      <c r="B87" s="17">
        <v>1900008277</v>
      </c>
      <c r="C87" s="4">
        <v>45750</v>
      </c>
      <c r="D87" s="60">
        <v>256779410030</v>
      </c>
      <c r="E87" s="3" t="s">
        <v>110</v>
      </c>
      <c r="F87" s="5">
        <v>-70.8</v>
      </c>
      <c r="G87" s="3" t="s">
        <v>110</v>
      </c>
      <c r="H87" s="5">
        <v>-70.8</v>
      </c>
      <c r="I87" s="3">
        <f>_xlfn.XLOOKUP(D87,'Ascendus data'!$M:$M,'Ascendus data'!$T:$T,,0)</f>
        <v>70.8</v>
      </c>
      <c r="J87" s="137">
        <f t="shared" si="2"/>
        <v>0</v>
      </c>
      <c r="K87" s="17">
        <v>2000002708</v>
      </c>
      <c r="L87" s="4">
        <v>45833</v>
      </c>
      <c r="M87" s="3" t="s">
        <v>208</v>
      </c>
    </row>
    <row r="88" spans="1:13" hidden="1" x14ac:dyDescent="0.35">
      <c r="A88" s="3" t="s">
        <v>109</v>
      </c>
      <c r="B88" s="17">
        <v>1900008278</v>
      </c>
      <c r="C88" s="4">
        <v>45750</v>
      </c>
      <c r="D88" s="60">
        <v>256779410097</v>
      </c>
      <c r="E88" s="3" t="s">
        <v>110</v>
      </c>
      <c r="F88" s="5">
        <v>-191.18</v>
      </c>
      <c r="G88" s="3" t="s">
        <v>110</v>
      </c>
      <c r="H88" s="5">
        <v>-191.18</v>
      </c>
      <c r="I88" s="3">
        <f>_xlfn.XLOOKUP(D88,'Ascendus data'!$M:$M,'Ascendus data'!$T:$T,,0)</f>
        <v>191.18</v>
      </c>
      <c r="J88" s="137">
        <f t="shared" si="2"/>
        <v>0</v>
      </c>
      <c r="K88" s="17">
        <v>2000002708</v>
      </c>
      <c r="L88" s="4">
        <v>45833</v>
      </c>
      <c r="M88" s="3" t="s">
        <v>209</v>
      </c>
    </row>
    <row r="89" spans="1:13" hidden="1" x14ac:dyDescent="0.35">
      <c r="A89" s="3" t="s">
        <v>109</v>
      </c>
      <c r="B89" s="17">
        <v>1900008279</v>
      </c>
      <c r="C89" s="4">
        <v>45750</v>
      </c>
      <c r="D89" s="60">
        <v>256779410025</v>
      </c>
      <c r="E89" s="3" t="s">
        <v>110</v>
      </c>
      <c r="F89" s="5">
        <v>-407.28</v>
      </c>
      <c r="G89" s="3" t="s">
        <v>110</v>
      </c>
      <c r="H89" s="5">
        <v>-407.28</v>
      </c>
      <c r="I89" s="3">
        <f>_xlfn.XLOOKUP(D89,'Ascendus data'!$M:$M,'Ascendus data'!$T:$T,,0)</f>
        <v>407.28</v>
      </c>
      <c r="J89" s="137">
        <f t="shared" si="2"/>
        <v>0</v>
      </c>
      <c r="K89" s="17">
        <v>2000002708</v>
      </c>
      <c r="L89" s="4">
        <v>45833</v>
      </c>
      <c r="M89" s="3" t="s">
        <v>209</v>
      </c>
    </row>
    <row r="90" spans="1:13" hidden="1" x14ac:dyDescent="0.35">
      <c r="A90" s="3" t="s">
        <v>109</v>
      </c>
      <c r="B90" s="17">
        <v>1900008280</v>
      </c>
      <c r="C90" s="4">
        <v>45750</v>
      </c>
      <c r="D90" s="60">
        <v>256779410180</v>
      </c>
      <c r="E90" s="3" t="s">
        <v>110</v>
      </c>
      <c r="F90" s="5">
        <v>-68.150000000000006</v>
      </c>
      <c r="G90" s="3" t="s">
        <v>110</v>
      </c>
      <c r="H90" s="5">
        <v>-68.150000000000006</v>
      </c>
      <c r="I90" s="3">
        <f>_xlfn.XLOOKUP(D90,'Ascendus data'!$M:$M,'Ascendus data'!$T:$T,,0)</f>
        <v>68.150000000000006</v>
      </c>
      <c r="J90" s="137">
        <f t="shared" si="2"/>
        <v>0</v>
      </c>
      <c r="K90" s="17">
        <v>2000002708</v>
      </c>
      <c r="L90" s="4">
        <v>45833</v>
      </c>
      <c r="M90" s="3" t="s">
        <v>210</v>
      </c>
    </row>
    <row r="91" spans="1:13" hidden="1" x14ac:dyDescent="0.35">
      <c r="A91" s="3" t="s">
        <v>109</v>
      </c>
      <c r="B91" s="17">
        <v>1900008281</v>
      </c>
      <c r="C91" s="4">
        <v>45763</v>
      </c>
      <c r="D91" s="60">
        <v>256779411729</v>
      </c>
      <c r="E91" s="3" t="s">
        <v>110</v>
      </c>
      <c r="F91" s="5">
        <v>-51.12</v>
      </c>
      <c r="G91" s="3" t="s">
        <v>110</v>
      </c>
      <c r="H91" s="5">
        <v>-51.12</v>
      </c>
      <c r="I91" s="3">
        <f>_xlfn.XLOOKUP(D91,'Ascendus data'!$M:$M,'Ascendus data'!$T:$T,,0)</f>
        <v>51.12</v>
      </c>
      <c r="J91" s="137">
        <f t="shared" si="2"/>
        <v>0</v>
      </c>
      <c r="K91" s="17">
        <v>2000002708</v>
      </c>
      <c r="L91" s="4">
        <v>45833</v>
      </c>
      <c r="M91" s="3" t="s">
        <v>211</v>
      </c>
    </row>
    <row r="92" spans="1:13" hidden="1" x14ac:dyDescent="0.35">
      <c r="A92" s="3" t="s">
        <v>109</v>
      </c>
      <c r="B92" s="17">
        <v>1900008282</v>
      </c>
      <c r="C92" s="4">
        <v>45763</v>
      </c>
      <c r="D92" s="60">
        <v>256779411734</v>
      </c>
      <c r="E92" s="3" t="s">
        <v>110</v>
      </c>
      <c r="F92" s="5">
        <v>-49.58</v>
      </c>
      <c r="G92" s="3" t="s">
        <v>110</v>
      </c>
      <c r="H92" s="5">
        <v>-49.58</v>
      </c>
      <c r="I92" s="3">
        <f>_xlfn.XLOOKUP(D92,'Ascendus data'!$M:$M,'Ascendus data'!$T:$T,,0)</f>
        <v>49.58</v>
      </c>
      <c r="J92" s="137">
        <f t="shared" si="2"/>
        <v>0</v>
      </c>
      <c r="K92" s="17">
        <v>2000002708</v>
      </c>
      <c r="L92" s="4">
        <v>45833</v>
      </c>
      <c r="M92" s="3" t="s">
        <v>212</v>
      </c>
    </row>
    <row r="93" spans="1:13" hidden="1" x14ac:dyDescent="0.35">
      <c r="A93" s="3" t="s">
        <v>109</v>
      </c>
      <c r="B93" s="17">
        <v>1900008283</v>
      </c>
      <c r="C93" s="4">
        <v>45763</v>
      </c>
      <c r="D93" s="60">
        <v>256779411924</v>
      </c>
      <c r="E93" s="3" t="s">
        <v>110</v>
      </c>
      <c r="F93" s="5">
        <v>-13.94</v>
      </c>
      <c r="G93" s="3" t="s">
        <v>110</v>
      </c>
      <c r="H93" s="5">
        <v>-13.94</v>
      </c>
      <c r="I93" s="3">
        <f>_xlfn.XLOOKUP(D93,'Ascendus data'!$M:$M,'Ascendus data'!$T:$T,,0)</f>
        <v>13.94</v>
      </c>
      <c r="J93" s="137">
        <f t="shared" si="2"/>
        <v>0</v>
      </c>
      <c r="K93" s="17">
        <v>2000002708</v>
      </c>
      <c r="L93" s="4">
        <v>45833</v>
      </c>
      <c r="M93" s="3" t="s">
        <v>213</v>
      </c>
    </row>
    <row r="94" spans="1:13" hidden="1" x14ac:dyDescent="0.35">
      <c r="A94" s="3" t="s">
        <v>157</v>
      </c>
      <c r="B94" s="17">
        <v>5100012957</v>
      </c>
      <c r="C94" s="4">
        <v>45750</v>
      </c>
      <c r="D94" s="60">
        <v>256779410384</v>
      </c>
      <c r="E94" s="3" t="s">
        <v>110</v>
      </c>
      <c r="F94" s="5">
        <v>-6963.96</v>
      </c>
      <c r="G94" s="3" t="s">
        <v>110</v>
      </c>
      <c r="H94" s="5">
        <v>-6963.96</v>
      </c>
      <c r="I94" s="3">
        <f>_xlfn.XLOOKUP(D94,'Ascendus data'!$M:$M,'Ascendus data'!$T:$T,,0)</f>
        <v>6963.96</v>
      </c>
      <c r="J94" s="137">
        <f t="shared" si="2"/>
        <v>0</v>
      </c>
      <c r="K94" s="17">
        <v>2000002708</v>
      </c>
      <c r="L94" s="4">
        <v>45833</v>
      </c>
      <c r="M94" s="3" t="s">
        <v>214</v>
      </c>
    </row>
    <row r="95" spans="1:13" hidden="1" x14ac:dyDescent="0.35">
      <c r="A95" s="3" t="s">
        <v>157</v>
      </c>
      <c r="B95" s="17">
        <v>5100012958</v>
      </c>
      <c r="C95" s="4">
        <v>45763</v>
      </c>
      <c r="D95" s="60">
        <v>256779410850</v>
      </c>
      <c r="E95" s="3" t="s">
        <v>110</v>
      </c>
      <c r="F95" s="5">
        <v>-6562.84</v>
      </c>
      <c r="G95" s="3" t="s">
        <v>110</v>
      </c>
      <c r="H95" s="5">
        <v>-6562.84</v>
      </c>
      <c r="I95" s="3">
        <f>_xlfn.XLOOKUP(D95,'Ascendus data'!$M:$M,'Ascendus data'!$T:$T,,0)</f>
        <v>6562.84</v>
      </c>
      <c r="J95" s="137">
        <f t="shared" si="2"/>
        <v>0</v>
      </c>
      <c r="K95" s="17">
        <v>2000002708</v>
      </c>
      <c r="L95" s="4">
        <v>45833</v>
      </c>
      <c r="M95" s="3" t="s">
        <v>214</v>
      </c>
    </row>
    <row r="96" spans="1:13" hidden="1" x14ac:dyDescent="0.35">
      <c r="A96" s="3" t="s">
        <v>109</v>
      </c>
      <c r="B96" s="17">
        <v>1900008288</v>
      </c>
      <c r="C96" s="4">
        <v>45769</v>
      </c>
      <c r="D96" s="60">
        <v>256779412627</v>
      </c>
      <c r="E96" s="3" t="s">
        <v>110</v>
      </c>
      <c r="F96" s="5">
        <v>-1786.99</v>
      </c>
      <c r="G96" s="3" t="s">
        <v>110</v>
      </c>
      <c r="H96" s="5">
        <v>-1786.99</v>
      </c>
      <c r="I96" s="3">
        <f>_xlfn.XLOOKUP(D96,'Ascendus data'!$M:$M,'Ascendus data'!$T:$T,,0)</f>
        <v>1786.99</v>
      </c>
      <c r="J96" s="137">
        <f t="shared" si="2"/>
        <v>0</v>
      </c>
      <c r="K96" s="17">
        <v>2000002708</v>
      </c>
      <c r="L96" s="4">
        <v>45833</v>
      </c>
      <c r="M96" s="3" t="s">
        <v>215</v>
      </c>
    </row>
    <row r="97" spans="1:13" hidden="1" x14ac:dyDescent="0.35">
      <c r="A97" s="3" t="s">
        <v>109</v>
      </c>
      <c r="B97" s="17">
        <v>1900008289</v>
      </c>
      <c r="C97" s="4">
        <v>45750</v>
      </c>
      <c r="D97" s="60">
        <v>256779410096</v>
      </c>
      <c r="E97" s="3" t="s">
        <v>110</v>
      </c>
      <c r="F97" s="5">
        <v>-936.54</v>
      </c>
      <c r="G97" s="3" t="s">
        <v>110</v>
      </c>
      <c r="H97" s="5">
        <v>-936.54</v>
      </c>
      <c r="I97" s="3">
        <f>_xlfn.XLOOKUP(D97,'Ascendus data'!$M:$M,'Ascendus data'!$T:$T,,0)</f>
        <v>936.54</v>
      </c>
      <c r="J97" s="137">
        <f t="shared" si="2"/>
        <v>0</v>
      </c>
      <c r="K97" s="17">
        <v>2000002708</v>
      </c>
      <c r="L97" s="4">
        <v>45833</v>
      </c>
      <c r="M97" s="3" t="s">
        <v>205</v>
      </c>
    </row>
    <row r="98" spans="1:13" hidden="1" x14ac:dyDescent="0.35">
      <c r="A98" s="3" t="s">
        <v>109</v>
      </c>
      <c r="B98" s="17">
        <v>1900008290</v>
      </c>
      <c r="C98" s="4">
        <v>45769</v>
      </c>
      <c r="D98" s="60">
        <v>256779412594</v>
      </c>
      <c r="E98" s="3" t="s">
        <v>110</v>
      </c>
      <c r="F98" s="5">
        <v>-1779.06</v>
      </c>
      <c r="G98" s="3" t="s">
        <v>110</v>
      </c>
      <c r="H98" s="5">
        <v>-1779.06</v>
      </c>
      <c r="I98" s="3">
        <f>_xlfn.XLOOKUP(D98,'Ascendus data'!$M:$M,'Ascendus data'!$T:$T,,0)</f>
        <v>1779.06</v>
      </c>
      <c r="J98" s="137">
        <f t="shared" ref="J98:J129" si="3">H98+I98</f>
        <v>0</v>
      </c>
      <c r="K98" s="17">
        <v>2000002708</v>
      </c>
      <c r="L98" s="4">
        <v>45833</v>
      </c>
      <c r="M98" s="3" t="s">
        <v>216</v>
      </c>
    </row>
    <row r="99" spans="1:13" hidden="1" x14ac:dyDescent="0.35">
      <c r="A99" s="3" t="s">
        <v>803</v>
      </c>
      <c r="B99" s="17">
        <v>2000002708</v>
      </c>
      <c r="C99" s="4">
        <v>45833</v>
      </c>
      <c r="D99" s="60" t="s">
        <v>815</v>
      </c>
      <c r="E99" s="3" t="s">
        <v>110</v>
      </c>
      <c r="F99" s="5">
        <v>19783.53</v>
      </c>
      <c r="G99" s="3" t="s">
        <v>110</v>
      </c>
      <c r="H99" s="5">
        <v>19783.53</v>
      </c>
      <c r="I99" s="59" t="e">
        <f>_xlfn.XLOOKUP(D99,'Ascendus data'!$R:$R,'Ascendus data'!$T:$T,,0)</f>
        <v>#N/A</v>
      </c>
      <c r="J99" s="137" t="e">
        <f t="shared" si="3"/>
        <v>#N/A</v>
      </c>
      <c r="K99" s="17">
        <v>2000002708</v>
      </c>
      <c r="L99" s="4">
        <v>45833</v>
      </c>
      <c r="M99" s="3" t="s">
        <v>18</v>
      </c>
    </row>
    <row r="100" spans="1:13" hidden="1" x14ac:dyDescent="0.35">
      <c r="A100" s="3" t="s">
        <v>109</v>
      </c>
      <c r="B100" s="17">
        <v>1900008320</v>
      </c>
      <c r="C100" s="4">
        <v>45797</v>
      </c>
      <c r="D100" s="60">
        <v>256779413463</v>
      </c>
      <c r="E100" s="3" t="s">
        <v>110</v>
      </c>
      <c r="F100" s="5">
        <v>-297.43</v>
      </c>
      <c r="G100" s="3" t="s">
        <v>110</v>
      </c>
      <c r="H100" s="5">
        <v>-297.43</v>
      </c>
      <c r="I100" s="3">
        <f>_xlfn.XLOOKUP(D100,'Ascendus data'!$M:$M,'Ascendus data'!$T:$T,,0)</f>
        <v>297.43</v>
      </c>
      <c r="J100" s="137">
        <f t="shared" si="3"/>
        <v>0</v>
      </c>
      <c r="K100" s="17">
        <v>2000002752</v>
      </c>
      <c r="L100" s="4">
        <v>45884</v>
      </c>
      <c r="M100" s="3" t="s">
        <v>217</v>
      </c>
    </row>
    <row r="101" spans="1:13" hidden="1" x14ac:dyDescent="0.35">
      <c r="A101" s="3" t="s">
        <v>109</v>
      </c>
      <c r="B101" s="17">
        <v>1900008321</v>
      </c>
      <c r="C101" s="4">
        <v>45797</v>
      </c>
      <c r="D101" s="60">
        <v>256779413820</v>
      </c>
      <c r="E101" s="3" t="s">
        <v>110</v>
      </c>
      <c r="F101" s="5">
        <v>-41.55</v>
      </c>
      <c r="G101" s="3" t="s">
        <v>110</v>
      </c>
      <c r="H101" s="5">
        <v>-41.55</v>
      </c>
      <c r="I101" s="3">
        <f>_xlfn.XLOOKUP(D101,'Ascendus data'!$M:$M,'Ascendus data'!$T:$T,,0)</f>
        <v>41.55</v>
      </c>
      <c r="J101" s="137">
        <f t="shared" si="3"/>
        <v>0</v>
      </c>
      <c r="K101" s="17">
        <v>2000002752</v>
      </c>
      <c r="L101" s="4">
        <v>45884</v>
      </c>
      <c r="M101" s="3" t="s">
        <v>218</v>
      </c>
    </row>
    <row r="102" spans="1:13" hidden="1" x14ac:dyDescent="0.35">
      <c r="A102" s="3" t="s">
        <v>109</v>
      </c>
      <c r="B102" s="17">
        <v>1900008322</v>
      </c>
      <c r="C102" s="4">
        <v>45797</v>
      </c>
      <c r="D102" s="60">
        <v>256779413865</v>
      </c>
      <c r="E102" s="3" t="s">
        <v>110</v>
      </c>
      <c r="F102" s="5">
        <v>-452.8</v>
      </c>
      <c r="G102" s="3" t="s">
        <v>110</v>
      </c>
      <c r="H102" s="5">
        <v>-452.8</v>
      </c>
      <c r="I102" s="3">
        <f>_xlfn.XLOOKUP(D102,'Ascendus data'!$M:$M,'Ascendus data'!$T:$T,,0)</f>
        <v>452.8</v>
      </c>
      <c r="J102" s="137">
        <f t="shared" si="3"/>
        <v>0</v>
      </c>
      <c r="K102" s="17">
        <v>2000002752</v>
      </c>
      <c r="L102" s="4">
        <v>45884</v>
      </c>
      <c r="M102" s="3" t="s">
        <v>219</v>
      </c>
    </row>
    <row r="103" spans="1:13" hidden="1" x14ac:dyDescent="0.35">
      <c r="A103" s="3" t="s">
        <v>109</v>
      </c>
      <c r="B103" s="17">
        <v>1900008323</v>
      </c>
      <c r="C103" s="4">
        <v>45812</v>
      </c>
      <c r="D103" s="60">
        <v>256779414168</v>
      </c>
      <c r="E103" s="3" t="s">
        <v>110</v>
      </c>
      <c r="F103" s="5">
        <v>-376.19</v>
      </c>
      <c r="G103" s="3" t="s">
        <v>110</v>
      </c>
      <c r="H103" s="5">
        <v>-376.19</v>
      </c>
      <c r="I103" s="3">
        <f>_xlfn.XLOOKUP(D103,'Ascendus data'!$M:$M,'Ascendus data'!$T:$T,,0)</f>
        <v>376.19</v>
      </c>
      <c r="J103" s="137">
        <f t="shared" si="3"/>
        <v>0</v>
      </c>
      <c r="K103" s="17">
        <v>2000002752</v>
      </c>
      <c r="L103" s="4">
        <v>45884</v>
      </c>
      <c r="M103" s="3" t="s">
        <v>220</v>
      </c>
    </row>
    <row r="104" spans="1:13" hidden="1" x14ac:dyDescent="0.35">
      <c r="A104" s="3" t="s">
        <v>109</v>
      </c>
      <c r="B104" s="17">
        <v>1900008324</v>
      </c>
      <c r="C104" s="4">
        <v>45812</v>
      </c>
      <c r="D104" s="60">
        <v>256779414255</v>
      </c>
      <c r="E104" s="3" t="s">
        <v>110</v>
      </c>
      <c r="F104" s="5">
        <v>-520.44000000000005</v>
      </c>
      <c r="G104" s="3" t="s">
        <v>110</v>
      </c>
      <c r="H104" s="5">
        <v>-520.44000000000005</v>
      </c>
      <c r="I104" s="3">
        <f>_xlfn.XLOOKUP(D104,'Ascendus data'!$M:$M,'Ascendus data'!$T:$T,,0)</f>
        <v>520.44000000000005</v>
      </c>
      <c r="J104" s="137">
        <f t="shared" si="3"/>
        <v>0</v>
      </c>
      <c r="K104" s="17">
        <v>2000002752</v>
      </c>
      <c r="L104" s="4">
        <v>45884</v>
      </c>
      <c r="M104" s="3" t="s">
        <v>221</v>
      </c>
    </row>
    <row r="105" spans="1:13" hidden="1" x14ac:dyDescent="0.35">
      <c r="A105" s="3" t="s">
        <v>109</v>
      </c>
      <c r="B105" s="17">
        <v>1900008325</v>
      </c>
      <c r="C105" s="4">
        <v>45812</v>
      </c>
      <c r="D105" s="60">
        <v>256779414265</v>
      </c>
      <c r="E105" s="3" t="s">
        <v>110</v>
      </c>
      <c r="F105" s="5">
        <v>-149.11000000000001</v>
      </c>
      <c r="G105" s="3" t="s">
        <v>110</v>
      </c>
      <c r="H105" s="5">
        <v>-149.11000000000001</v>
      </c>
      <c r="I105" s="3">
        <f>_xlfn.XLOOKUP(D105,'Ascendus data'!$M:$M,'Ascendus data'!$T:$T,,0)</f>
        <v>149.11000000000001</v>
      </c>
      <c r="J105" s="137">
        <f t="shared" si="3"/>
        <v>0</v>
      </c>
      <c r="K105" s="17">
        <v>2000002752</v>
      </c>
      <c r="L105" s="4">
        <v>45884</v>
      </c>
      <c r="M105" s="3" t="s">
        <v>222</v>
      </c>
    </row>
    <row r="106" spans="1:13" hidden="1" x14ac:dyDescent="0.35">
      <c r="A106" s="3" t="s">
        <v>109</v>
      </c>
      <c r="B106" s="17">
        <v>1900008326</v>
      </c>
      <c r="C106" s="4">
        <v>45812</v>
      </c>
      <c r="D106" s="60">
        <v>256779414281</v>
      </c>
      <c r="E106" s="3" t="s">
        <v>110</v>
      </c>
      <c r="F106" s="5">
        <v>-59</v>
      </c>
      <c r="G106" s="3" t="s">
        <v>110</v>
      </c>
      <c r="H106" s="5">
        <v>-59</v>
      </c>
      <c r="I106" s="3">
        <f>_xlfn.XLOOKUP(D106,'Ascendus data'!$M:$M,'Ascendus data'!$T:$T,,0)</f>
        <v>59</v>
      </c>
      <c r="J106" s="137">
        <f t="shared" si="3"/>
        <v>0</v>
      </c>
      <c r="K106" s="17">
        <v>2000002752</v>
      </c>
      <c r="L106" s="4">
        <v>45884</v>
      </c>
      <c r="M106" s="3" t="s">
        <v>223</v>
      </c>
    </row>
    <row r="107" spans="1:13" hidden="1" x14ac:dyDescent="0.35">
      <c r="A107" s="3" t="s">
        <v>109</v>
      </c>
      <c r="B107" s="17">
        <v>1900008327</v>
      </c>
      <c r="C107" s="4">
        <v>45770</v>
      </c>
      <c r="D107" s="60">
        <v>256779412687</v>
      </c>
      <c r="E107" s="3" t="s">
        <v>110</v>
      </c>
      <c r="F107" s="5">
        <v>-488.03</v>
      </c>
      <c r="G107" s="3" t="s">
        <v>110</v>
      </c>
      <c r="H107" s="5">
        <v>-488.03</v>
      </c>
      <c r="I107" s="3">
        <f>_xlfn.XLOOKUP(D107,'Ascendus data'!$M:$M,'Ascendus data'!$T:$T,,0)</f>
        <v>488.03</v>
      </c>
      <c r="J107" s="137">
        <f t="shared" si="3"/>
        <v>0</v>
      </c>
      <c r="K107" s="17">
        <v>2000002752</v>
      </c>
      <c r="L107" s="4">
        <v>45884</v>
      </c>
      <c r="M107" s="3" t="s">
        <v>224</v>
      </c>
    </row>
    <row r="108" spans="1:13" hidden="1" x14ac:dyDescent="0.35">
      <c r="A108" s="3" t="s">
        <v>109</v>
      </c>
      <c r="B108" s="17">
        <v>1900008328</v>
      </c>
      <c r="C108" s="4">
        <v>45770</v>
      </c>
      <c r="D108" s="60">
        <v>256779412871</v>
      </c>
      <c r="E108" s="3" t="s">
        <v>110</v>
      </c>
      <c r="F108" s="5">
        <v>-118.31</v>
      </c>
      <c r="G108" s="3" t="s">
        <v>110</v>
      </c>
      <c r="H108" s="5">
        <v>-118.31</v>
      </c>
      <c r="I108" s="3">
        <f>_xlfn.XLOOKUP(D108,'Ascendus data'!$M:$M,'Ascendus data'!$T:$T,,0)</f>
        <v>118.31</v>
      </c>
      <c r="J108" s="137">
        <f t="shared" si="3"/>
        <v>0</v>
      </c>
      <c r="K108" s="17">
        <v>2000002752</v>
      </c>
      <c r="L108" s="4">
        <v>45884</v>
      </c>
      <c r="M108" s="3" t="s">
        <v>225</v>
      </c>
    </row>
    <row r="109" spans="1:13" hidden="1" x14ac:dyDescent="0.35">
      <c r="A109" s="3" t="s">
        <v>109</v>
      </c>
      <c r="B109" s="17">
        <v>1900008329</v>
      </c>
      <c r="C109" s="4">
        <v>45770</v>
      </c>
      <c r="D109" s="60">
        <v>256779412872</v>
      </c>
      <c r="E109" s="3" t="s">
        <v>110</v>
      </c>
      <c r="F109" s="5">
        <v>-852.86</v>
      </c>
      <c r="G109" s="3" t="s">
        <v>110</v>
      </c>
      <c r="H109" s="5">
        <v>-852.86</v>
      </c>
      <c r="I109" s="3">
        <f>_xlfn.XLOOKUP(D109,'Ascendus data'!$M:$M,'Ascendus data'!$T:$T,,0)</f>
        <v>852.86</v>
      </c>
      <c r="J109" s="137">
        <f t="shared" si="3"/>
        <v>0</v>
      </c>
      <c r="K109" s="17">
        <v>2000002752</v>
      </c>
      <c r="L109" s="4">
        <v>45884</v>
      </c>
      <c r="M109" s="3" t="s">
        <v>226</v>
      </c>
    </row>
    <row r="110" spans="1:13" hidden="1" x14ac:dyDescent="0.35">
      <c r="A110" s="3" t="s">
        <v>109</v>
      </c>
      <c r="B110" s="17">
        <v>1900008330</v>
      </c>
      <c r="C110" s="4">
        <v>45770</v>
      </c>
      <c r="D110" s="60">
        <v>256779412900</v>
      </c>
      <c r="E110" s="3" t="s">
        <v>110</v>
      </c>
      <c r="F110" s="5">
        <v>-455.8</v>
      </c>
      <c r="G110" s="3" t="s">
        <v>110</v>
      </c>
      <c r="H110" s="5">
        <v>-455.8</v>
      </c>
      <c r="I110" s="3">
        <f>_xlfn.XLOOKUP(D110,'Ascendus data'!$M:$M,'Ascendus data'!$T:$T,,0)</f>
        <v>455.8</v>
      </c>
      <c r="J110" s="137">
        <f t="shared" si="3"/>
        <v>0</v>
      </c>
      <c r="K110" s="17">
        <v>2000002752</v>
      </c>
      <c r="L110" s="4">
        <v>45884</v>
      </c>
      <c r="M110" s="3" t="s">
        <v>227</v>
      </c>
    </row>
    <row r="111" spans="1:13" hidden="1" x14ac:dyDescent="0.35">
      <c r="A111" s="3" t="s">
        <v>109</v>
      </c>
      <c r="B111" s="17">
        <v>1900008331</v>
      </c>
      <c r="C111" s="4">
        <v>45787</v>
      </c>
      <c r="D111" s="60">
        <v>256779413223</v>
      </c>
      <c r="E111" s="3" t="s">
        <v>110</v>
      </c>
      <c r="F111" s="5">
        <v>-109.35</v>
      </c>
      <c r="G111" s="3" t="s">
        <v>110</v>
      </c>
      <c r="H111" s="5">
        <v>-109.35</v>
      </c>
      <c r="I111" s="3">
        <f>_xlfn.XLOOKUP(D111,'Ascendus data'!$M:$M,'Ascendus data'!$T:$T,,0)</f>
        <v>109.35</v>
      </c>
      <c r="J111" s="137">
        <f t="shared" si="3"/>
        <v>0</v>
      </c>
      <c r="K111" s="17">
        <v>2000002752</v>
      </c>
      <c r="L111" s="4">
        <v>45884</v>
      </c>
      <c r="M111" s="3" t="s">
        <v>228</v>
      </c>
    </row>
    <row r="112" spans="1:13" hidden="1" x14ac:dyDescent="0.35">
      <c r="A112" s="3" t="s">
        <v>109</v>
      </c>
      <c r="B112" s="17">
        <v>1900008332</v>
      </c>
      <c r="C112" s="4">
        <v>45793</v>
      </c>
      <c r="D112" s="60">
        <v>256779413259</v>
      </c>
      <c r="E112" s="3" t="s">
        <v>110</v>
      </c>
      <c r="F112" s="5">
        <v>-18.809999999999999</v>
      </c>
      <c r="G112" s="3" t="s">
        <v>110</v>
      </c>
      <c r="H112" s="5">
        <v>-18.809999999999999</v>
      </c>
      <c r="I112" s="3">
        <f>_xlfn.XLOOKUP(D112,'Ascendus data'!$M:$M,'Ascendus data'!$T:$T,,0)</f>
        <v>18.809999999999999</v>
      </c>
      <c r="J112" s="137">
        <f t="shared" si="3"/>
        <v>0</v>
      </c>
      <c r="K112" s="17">
        <v>2000002752</v>
      </c>
      <c r="L112" s="4">
        <v>45884</v>
      </c>
      <c r="M112" s="3" t="s">
        <v>229</v>
      </c>
    </row>
    <row r="113" spans="1:13" hidden="1" x14ac:dyDescent="0.35">
      <c r="A113" s="3" t="s">
        <v>109</v>
      </c>
      <c r="B113" s="17">
        <v>1900008333</v>
      </c>
      <c r="C113" s="4">
        <v>45793</v>
      </c>
      <c r="D113" s="60">
        <v>256779413261</v>
      </c>
      <c r="E113" s="3" t="s">
        <v>110</v>
      </c>
      <c r="F113" s="5">
        <v>-191.49</v>
      </c>
      <c r="G113" s="3" t="s">
        <v>110</v>
      </c>
      <c r="H113" s="5">
        <v>-191.49</v>
      </c>
      <c r="I113" s="3">
        <f>_xlfn.XLOOKUP(D113,'Ascendus data'!$M:$M,'Ascendus data'!$T:$T,,0)</f>
        <v>191.49</v>
      </c>
      <c r="J113" s="137">
        <f t="shared" si="3"/>
        <v>0</v>
      </c>
      <c r="K113" s="17">
        <v>2000002752</v>
      </c>
      <c r="L113" s="4">
        <v>45884</v>
      </c>
      <c r="M113" s="3" t="s">
        <v>230</v>
      </c>
    </row>
    <row r="114" spans="1:13" hidden="1" x14ac:dyDescent="0.35">
      <c r="A114" s="3" t="s">
        <v>157</v>
      </c>
      <c r="B114" s="17">
        <v>5100013078</v>
      </c>
      <c r="C114" s="4">
        <v>45782</v>
      </c>
      <c r="D114" s="60">
        <v>256779413572</v>
      </c>
      <c r="E114" s="3" t="s">
        <v>110</v>
      </c>
      <c r="F114" s="5">
        <v>-6237.23</v>
      </c>
      <c r="G114" s="3" t="s">
        <v>110</v>
      </c>
      <c r="H114" s="5">
        <v>-6237.23</v>
      </c>
      <c r="I114" s="3">
        <f>_xlfn.XLOOKUP(D114,'Ascendus data'!$M:$M,'Ascendus data'!$T:$T,,0)</f>
        <v>5969.61</v>
      </c>
      <c r="J114" s="137">
        <f t="shared" si="3"/>
        <v>-267.61999999999989</v>
      </c>
      <c r="K114" s="17">
        <v>2000002752</v>
      </c>
      <c r="L114" s="4">
        <v>45884</v>
      </c>
      <c r="M114" s="3" t="s">
        <v>231</v>
      </c>
    </row>
    <row r="115" spans="1:13" hidden="1" x14ac:dyDescent="0.35">
      <c r="A115" s="3" t="s">
        <v>157</v>
      </c>
      <c r="B115" s="17">
        <v>5100013079</v>
      </c>
      <c r="C115" s="4">
        <v>45771</v>
      </c>
      <c r="D115" s="60">
        <v>256779412721</v>
      </c>
      <c r="E115" s="3" t="s">
        <v>110</v>
      </c>
      <c r="F115" s="5">
        <v>-5874.03</v>
      </c>
      <c r="G115" s="3" t="s">
        <v>110</v>
      </c>
      <c r="H115" s="5">
        <v>-5874.03</v>
      </c>
      <c r="I115" s="3">
        <f>_xlfn.XLOOKUP(D115,'Ascendus data'!$M:$M,'Ascendus data'!$T:$T,,0)</f>
        <v>5874.03</v>
      </c>
      <c r="J115" s="137">
        <f t="shared" si="3"/>
        <v>0</v>
      </c>
      <c r="K115" s="17">
        <v>2000002752</v>
      </c>
      <c r="L115" s="4">
        <v>45884</v>
      </c>
      <c r="M115" s="3" t="s">
        <v>232</v>
      </c>
    </row>
    <row r="116" spans="1:13" hidden="1" x14ac:dyDescent="0.35">
      <c r="A116" s="3" t="s">
        <v>157</v>
      </c>
      <c r="B116" s="17">
        <v>5100013080</v>
      </c>
      <c r="C116" s="4">
        <v>45813</v>
      </c>
      <c r="D116" s="60">
        <v>256779414081</v>
      </c>
      <c r="E116" s="3" t="s">
        <v>110</v>
      </c>
      <c r="F116" s="5">
        <v>-10336.02</v>
      </c>
      <c r="G116" s="3" t="s">
        <v>110</v>
      </c>
      <c r="H116" s="5">
        <v>-10336.02</v>
      </c>
      <c r="I116" s="3">
        <f>_xlfn.XLOOKUP(D116,'Ascendus data'!$M:$M,'Ascendus data'!$T:$T,,0)</f>
        <v>10336.02</v>
      </c>
      <c r="J116" s="137">
        <f t="shared" si="3"/>
        <v>0</v>
      </c>
      <c r="K116" s="17">
        <v>2000002752</v>
      </c>
      <c r="L116" s="4">
        <v>45884</v>
      </c>
      <c r="M116" s="3" t="s">
        <v>233</v>
      </c>
    </row>
    <row r="117" spans="1:13" hidden="1" x14ac:dyDescent="0.35">
      <c r="A117" s="3" t="s">
        <v>109</v>
      </c>
      <c r="B117" s="17">
        <v>1900008335</v>
      </c>
      <c r="C117" s="4">
        <v>45812</v>
      </c>
      <c r="D117" s="60">
        <v>256779414181</v>
      </c>
      <c r="E117" s="3" t="s">
        <v>110</v>
      </c>
      <c r="F117" s="5">
        <v>-914.7</v>
      </c>
      <c r="G117" s="3" t="s">
        <v>110</v>
      </c>
      <c r="H117" s="5">
        <v>-914.7</v>
      </c>
      <c r="I117" s="3">
        <f>_xlfn.XLOOKUP(D117,'Ascendus data'!$M:$M,'Ascendus data'!$T:$T,,0)</f>
        <v>914.7</v>
      </c>
      <c r="J117" s="137">
        <f t="shared" si="3"/>
        <v>0</v>
      </c>
      <c r="K117" s="17">
        <v>2000002752</v>
      </c>
      <c r="L117" s="4">
        <v>45884</v>
      </c>
      <c r="M117" s="3" t="s">
        <v>234</v>
      </c>
    </row>
    <row r="118" spans="1:13" hidden="1" x14ac:dyDescent="0.35">
      <c r="A118" s="3" t="s">
        <v>109</v>
      </c>
      <c r="B118" s="17">
        <v>1900008336</v>
      </c>
      <c r="C118" s="4">
        <v>45793</v>
      </c>
      <c r="D118" s="60">
        <v>256779413327</v>
      </c>
      <c r="E118" s="3" t="s">
        <v>110</v>
      </c>
      <c r="F118" s="5">
        <v>-1174.06</v>
      </c>
      <c r="G118" s="3" t="s">
        <v>110</v>
      </c>
      <c r="H118" s="5">
        <v>-1174.06</v>
      </c>
      <c r="I118" s="3">
        <f>_xlfn.XLOOKUP(D118,'Ascendus data'!$M:$M,'Ascendus data'!$T:$T,,0)</f>
        <v>1174.06</v>
      </c>
      <c r="J118" s="137">
        <f t="shared" si="3"/>
        <v>0</v>
      </c>
      <c r="K118" s="17">
        <v>2000002752</v>
      </c>
      <c r="L118" s="4">
        <v>45884</v>
      </c>
      <c r="M118" s="3" t="s">
        <v>235</v>
      </c>
    </row>
    <row r="119" spans="1:13" hidden="1" x14ac:dyDescent="0.35">
      <c r="A119" s="3" t="s">
        <v>109</v>
      </c>
      <c r="B119" s="17">
        <v>1900008337</v>
      </c>
      <c r="C119" s="4">
        <v>45812</v>
      </c>
      <c r="D119" s="60">
        <v>256779414292</v>
      </c>
      <c r="E119" s="3" t="s">
        <v>110</v>
      </c>
      <c r="F119" s="5">
        <v>-2771.81</v>
      </c>
      <c r="G119" s="3" t="s">
        <v>110</v>
      </c>
      <c r="H119" s="5">
        <v>-2771.81</v>
      </c>
      <c r="I119" s="3">
        <f>_xlfn.XLOOKUP(D119,'Ascendus data'!$M:$M,'Ascendus data'!$T:$T,,0)</f>
        <v>2771.81</v>
      </c>
      <c r="J119" s="137">
        <f t="shared" si="3"/>
        <v>0</v>
      </c>
      <c r="K119" s="17">
        <v>2000002752</v>
      </c>
      <c r="L119" s="4">
        <v>45884</v>
      </c>
      <c r="M119" s="3" t="s">
        <v>236</v>
      </c>
    </row>
    <row r="120" spans="1:13" hidden="1" x14ac:dyDescent="0.35">
      <c r="A120" s="3" t="s">
        <v>109</v>
      </c>
      <c r="B120" s="17">
        <v>1900008338</v>
      </c>
      <c r="C120" s="4">
        <v>45793</v>
      </c>
      <c r="D120" s="60">
        <v>256779413289</v>
      </c>
      <c r="E120" s="3" t="s">
        <v>110</v>
      </c>
      <c r="F120" s="5">
        <v>-3196.12</v>
      </c>
      <c r="G120" s="3" t="s">
        <v>110</v>
      </c>
      <c r="H120" s="5">
        <v>-3196.12</v>
      </c>
      <c r="I120" s="3">
        <f>_xlfn.XLOOKUP(D120,'Ascendus data'!$M:$M,'Ascendus data'!$T:$T,,0)</f>
        <v>3196.12</v>
      </c>
      <c r="J120" s="137">
        <f t="shared" si="3"/>
        <v>0</v>
      </c>
      <c r="K120" s="17">
        <v>2000002752</v>
      </c>
      <c r="L120" s="4">
        <v>45884</v>
      </c>
      <c r="M120" s="3" t="s">
        <v>237</v>
      </c>
    </row>
    <row r="121" spans="1:13" hidden="1" x14ac:dyDescent="0.35">
      <c r="A121" s="3" t="s">
        <v>803</v>
      </c>
      <c r="B121" s="17">
        <v>2000002752</v>
      </c>
      <c r="C121" s="4">
        <v>45884</v>
      </c>
      <c r="D121" s="60" t="s">
        <v>815</v>
      </c>
      <c r="E121" s="3" t="s">
        <v>110</v>
      </c>
      <c r="F121" s="5">
        <v>34635.14</v>
      </c>
      <c r="G121" s="3" t="s">
        <v>110</v>
      </c>
      <c r="H121" s="5">
        <v>34635.14</v>
      </c>
      <c r="I121" s="59" t="e">
        <f>_xlfn.XLOOKUP(D121,'Ascendus data'!$R:$R,'Ascendus data'!$T:$T,,0)</f>
        <v>#N/A</v>
      </c>
      <c r="J121" s="137" t="e">
        <f t="shared" si="3"/>
        <v>#N/A</v>
      </c>
      <c r="K121" s="17">
        <v>2000002752</v>
      </c>
      <c r="L121" s="4">
        <v>45884</v>
      </c>
      <c r="M121" s="3" t="s">
        <v>18</v>
      </c>
    </row>
    <row r="122" spans="1:13" hidden="1" x14ac:dyDescent="0.35">
      <c r="A122" s="3" t="s">
        <v>157</v>
      </c>
      <c r="B122" s="17">
        <v>5100013131</v>
      </c>
      <c r="C122" s="4">
        <v>45813</v>
      </c>
      <c r="D122" s="60">
        <v>256779414082</v>
      </c>
      <c r="E122" s="3" t="s">
        <v>110</v>
      </c>
      <c r="F122" s="5">
        <v>-2321.64</v>
      </c>
      <c r="G122" s="3" t="s">
        <v>110</v>
      </c>
      <c r="H122" s="5">
        <v>-2321.64</v>
      </c>
      <c r="I122" s="3">
        <f>_xlfn.XLOOKUP(D122,'Ascendus data'!$M:$M,'Ascendus data'!$T:$T,,0)</f>
        <v>2321.64</v>
      </c>
      <c r="J122" s="137">
        <f t="shared" si="3"/>
        <v>0</v>
      </c>
      <c r="K122" s="17">
        <v>2000002776</v>
      </c>
      <c r="L122" s="4">
        <v>45915</v>
      </c>
      <c r="M122" s="3" t="s">
        <v>238</v>
      </c>
    </row>
    <row r="123" spans="1:13" hidden="1" x14ac:dyDescent="0.35">
      <c r="A123" s="3" t="s">
        <v>109</v>
      </c>
      <c r="B123" s="17">
        <v>1900008359</v>
      </c>
      <c r="C123" s="4">
        <v>45842</v>
      </c>
      <c r="D123" s="60">
        <v>256779415231</v>
      </c>
      <c r="E123" s="3" t="s">
        <v>110</v>
      </c>
      <c r="F123" s="5">
        <v>-17.54</v>
      </c>
      <c r="G123" s="3" t="s">
        <v>110</v>
      </c>
      <c r="H123" s="5">
        <v>-17.54</v>
      </c>
      <c r="I123" s="3">
        <f>_xlfn.XLOOKUP(D123,'Ascendus data'!$M:$M,'Ascendus data'!$T:$T,,0)</f>
        <v>17.54</v>
      </c>
      <c r="J123" s="137">
        <f t="shared" si="3"/>
        <v>0</v>
      </c>
      <c r="K123" s="17">
        <v>2000002776</v>
      </c>
      <c r="L123" s="4">
        <v>45915</v>
      </c>
      <c r="M123" s="3" t="s">
        <v>239</v>
      </c>
    </row>
    <row r="124" spans="1:13" hidden="1" x14ac:dyDescent="0.35">
      <c r="A124" s="3" t="s">
        <v>109</v>
      </c>
      <c r="B124" s="17">
        <v>1900008360</v>
      </c>
      <c r="C124" s="4">
        <v>45827</v>
      </c>
      <c r="D124" s="60">
        <v>256779414727</v>
      </c>
      <c r="E124" s="3" t="s">
        <v>110</v>
      </c>
      <c r="F124" s="5">
        <v>-49.94</v>
      </c>
      <c r="G124" s="3" t="s">
        <v>110</v>
      </c>
      <c r="H124" s="5">
        <v>-49.94</v>
      </c>
      <c r="I124" s="3">
        <f>_xlfn.XLOOKUP(D124,'Ascendus data'!$M:$M,'Ascendus data'!$T:$T,,0)</f>
        <v>49.94</v>
      </c>
      <c r="J124" s="137">
        <f t="shared" si="3"/>
        <v>0</v>
      </c>
      <c r="K124" s="17">
        <v>2000002776</v>
      </c>
      <c r="L124" s="4">
        <v>45915</v>
      </c>
      <c r="M124" s="3" t="s">
        <v>240</v>
      </c>
    </row>
    <row r="125" spans="1:13" hidden="1" x14ac:dyDescent="0.35">
      <c r="A125" s="3" t="s">
        <v>109</v>
      </c>
      <c r="B125" s="17">
        <v>1900008361</v>
      </c>
      <c r="C125" s="4">
        <v>45842</v>
      </c>
      <c r="D125" s="60">
        <v>256779414896</v>
      </c>
      <c r="E125" s="3" t="s">
        <v>110</v>
      </c>
      <c r="F125" s="5">
        <v>-182.09</v>
      </c>
      <c r="G125" s="3" t="s">
        <v>110</v>
      </c>
      <c r="H125" s="5">
        <v>-182.09</v>
      </c>
      <c r="I125" s="3">
        <f>_xlfn.XLOOKUP(D125,'Ascendus data'!$M:$M,'Ascendus data'!$T:$T,,0)</f>
        <v>182.09</v>
      </c>
      <c r="J125" s="137">
        <f t="shared" si="3"/>
        <v>0</v>
      </c>
      <c r="K125" s="17">
        <v>2000002776</v>
      </c>
      <c r="L125" s="4">
        <v>45915</v>
      </c>
      <c r="M125" s="3" t="s">
        <v>241</v>
      </c>
    </row>
    <row r="126" spans="1:13" hidden="1" x14ac:dyDescent="0.35">
      <c r="A126" s="3" t="s">
        <v>109</v>
      </c>
      <c r="B126" s="17">
        <v>1900008362</v>
      </c>
      <c r="C126" s="4">
        <v>45842</v>
      </c>
      <c r="D126" s="60">
        <v>256779415029</v>
      </c>
      <c r="E126" s="3" t="s">
        <v>110</v>
      </c>
      <c r="F126" s="5">
        <v>-56.41</v>
      </c>
      <c r="G126" s="3" t="s">
        <v>110</v>
      </c>
      <c r="H126" s="5">
        <v>-56.41</v>
      </c>
      <c r="I126" s="3">
        <f>_xlfn.XLOOKUP(D126,'Ascendus data'!$M:$M,'Ascendus data'!$T:$T,,0)</f>
        <v>56.41</v>
      </c>
      <c r="J126" s="137">
        <f t="shared" si="3"/>
        <v>0</v>
      </c>
      <c r="K126" s="17">
        <v>2000002776</v>
      </c>
      <c r="L126" s="4">
        <v>45915</v>
      </c>
      <c r="M126" s="3" t="s">
        <v>242</v>
      </c>
    </row>
    <row r="127" spans="1:13" hidden="1" x14ac:dyDescent="0.35">
      <c r="A127" s="3" t="s">
        <v>109</v>
      </c>
      <c r="B127" s="17">
        <v>1900008363</v>
      </c>
      <c r="C127" s="4">
        <v>45842</v>
      </c>
      <c r="D127" s="60">
        <v>256779415042</v>
      </c>
      <c r="E127" s="3" t="s">
        <v>110</v>
      </c>
      <c r="F127" s="5">
        <v>-32.15</v>
      </c>
      <c r="G127" s="3" t="s">
        <v>110</v>
      </c>
      <c r="H127" s="5">
        <v>-32.15</v>
      </c>
      <c r="I127" s="3">
        <f>_xlfn.XLOOKUP(D127,'Ascendus data'!$M:$M,'Ascendus data'!$T:$T,,0)</f>
        <v>32.15</v>
      </c>
      <c r="J127" s="137">
        <f t="shared" si="3"/>
        <v>0</v>
      </c>
      <c r="K127" s="17">
        <v>2000002776</v>
      </c>
      <c r="L127" s="4">
        <v>45915</v>
      </c>
      <c r="M127" s="3" t="s">
        <v>243</v>
      </c>
    </row>
    <row r="128" spans="1:13" hidden="1" x14ac:dyDescent="0.35">
      <c r="A128" s="3" t="s">
        <v>109</v>
      </c>
      <c r="B128" s="17">
        <v>1900008365</v>
      </c>
      <c r="C128" s="4">
        <v>45842</v>
      </c>
      <c r="D128" s="60">
        <v>256779414994</v>
      </c>
      <c r="E128" s="3" t="s">
        <v>110</v>
      </c>
      <c r="F128" s="5">
        <v>-1081.83</v>
      </c>
      <c r="G128" s="3" t="s">
        <v>110</v>
      </c>
      <c r="H128" s="5">
        <v>-1081.83</v>
      </c>
      <c r="I128" s="3">
        <f>_xlfn.XLOOKUP(D128,'Ascendus data'!$M:$M,'Ascendus data'!$T:$T,,0)</f>
        <v>1081.83</v>
      </c>
      <c r="J128" s="137">
        <f t="shared" si="3"/>
        <v>0</v>
      </c>
      <c r="K128" s="17">
        <v>2000002776</v>
      </c>
      <c r="L128" s="4">
        <v>45915</v>
      </c>
      <c r="M128" s="3" t="s">
        <v>244</v>
      </c>
    </row>
    <row r="129" spans="1:13" hidden="1" x14ac:dyDescent="0.35">
      <c r="A129" s="3" t="s">
        <v>109</v>
      </c>
      <c r="B129" s="17">
        <v>1900008366</v>
      </c>
      <c r="C129" s="4">
        <v>45842</v>
      </c>
      <c r="D129" s="60">
        <v>256779414864</v>
      </c>
      <c r="E129" s="3" t="s">
        <v>110</v>
      </c>
      <c r="F129" s="5">
        <v>-3008.54</v>
      </c>
      <c r="G129" s="3" t="s">
        <v>110</v>
      </c>
      <c r="H129" s="5">
        <v>-3008.54</v>
      </c>
      <c r="I129" s="3">
        <f>_xlfn.XLOOKUP(D129,'Ascendus data'!$M:$M,'Ascendus data'!$T:$T,,0)</f>
        <v>3008.54</v>
      </c>
      <c r="J129" s="137">
        <f t="shared" si="3"/>
        <v>0</v>
      </c>
      <c r="K129" s="17">
        <v>2000002776</v>
      </c>
      <c r="L129" s="4">
        <v>45915</v>
      </c>
      <c r="M129" s="3" t="s">
        <v>245</v>
      </c>
    </row>
    <row r="130" spans="1:13" hidden="1" x14ac:dyDescent="0.35">
      <c r="A130" s="3" t="s">
        <v>803</v>
      </c>
      <c r="B130" s="17">
        <v>2000002776</v>
      </c>
      <c r="C130" s="4">
        <v>45915</v>
      </c>
      <c r="D130" s="60" t="s">
        <v>815</v>
      </c>
      <c r="E130" s="3" t="s">
        <v>110</v>
      </c>
      <c r="F130" s="5">
        <v>6750.14</v>
      </c>
      <c r="G130" s="3" t="s">
        <v>110</v>
      </c>
      <c r="H130" s="5">
        <v>6750.14</v>
      </c>
      <c r="I130" s="59" t="e">
        <f>_xlfn.XLOOKUP(D130,'Ascendus data'!$R:$R,'Ascendus data'!$T:$T,,0)</f>
        <v>#N/A</v>
      </c>
      <c r="J130" s="137" t="e">
        <f t="shared" ref="J130:J161" si="4">H130+I130</f>
        <v>#N/A</v>
      </c>
      <c r="K130" s="17">
        <v>2000002776</v>
      </c>
      <c r="L130" s="4">
        <v>45915</v>
      </c>
      <c r="M130" s="3" t="s">
        <v>18</v>
      </c>
    </row>
    <row r="131" spans="1:13" hidden="1" x14ac:dyDescent="0.35">
      <c r="A131" s="3" t="s">
        <v>109</v>
      </c>
      <c r="B131" s="17">
        <v>1900008385</v>
      </c>
      <c r="C131" s="4">
        <v>45877</v>
      </c>
      <c r="D131" s="60">
        <v>256779416099</v>
      </c>
      <c r="E131" s="3" t="s">
        <v>110</v>
      </c>
      <c r="F131" s="5">
        <v>-277.3</v>
      </c>
      <c r="G131" s="3" t="s">
        <v>110</v>
      </c>
      <c r="H131" s="5">
        <v>-277.3</v>
      </c>
      <c r="I131" s="3">
        <f>_xlfn.XLOOKUP(D131,'Ascendus data'!$M:$M,'Ascendus data'!$T:$T,,0)</f>
        <v>277.3</v>
      </c>
      <c r="J131" s="137">
        <f t="shared" si="4"/>
        <v>0</v>
      </c>
      <c r="K131" s="17">
        <v>2000002790</v>
      </c>
      <c r="L131" s="4">
        <v>45925</v>
      </c>
      <c r="M131" s="3" t="s">
        <v>246</v>
      </c>
    </row>
    <row r="132" spans="1:13" hidden="1" x14ac:dyDescent="0.35">
      <c r="A132" s="3" t="s">
        <v>109</v>
      </c>
      <c r="B132" s="17">
        <v>1900008386</v>
      </c>
      <c r="C132" s="4">
        <v>45877</v>
      </c>
      <c r="D132" s="60">
        <v>256779416105</v>
      </c>
      <c r="E132" s="3" t="s">
        <v>110</v>
      </c>
      <c r="F132" s="5">
        <v>-46.6</v>
      </c>
      <c r="G132" s="3" t="s">
        <v>110</v>
      </c>
      <c r="H132" s="5">
        <v>-46.6</v>
      </c>
      <c r="I132" s="3">
        <f>_xlfn.XLOOKUP(D132,'Ascendus data'!$M:$M,'Ascendus data'!$T:$T,,0)</f>
        <v>46.6</v>
      </c>
      <c r="J132" s="137">
        <f t="shared" si="4"/>
        <v>0</v>
      </c>
      <c r="K132" s="17">
        <v>2000002790</v>
      </c>
      <c r="L132" s="4">
        <v>45925</v>
      </c>
      <c r="M132" s="3" t="s">
        <v>247</v>
      </c>
    </row>
    <row r="133" spans="1:13" hidden="1" x14ac:dyDescent="0.35">
      <c r="A133" s="3" t="s">
        <v>109</v>
      </c>
      <c r="B133" s="17">
        <v>1900008387</v>
      </c>
      <c r="C133" s="4">
        <v>45877</v>
      </c>
      <c r="D133" s="60">
        <v>256779416129</v>
      </c>
      <c r="E133" s="3" t="s">
        <v>110</v>
      </c>
      <c r="F133" s="5">
        <v>-160.55000000000001</v>
      </c>
      <c r="G133" s="3" t="s">
        <v>110</v>
      </c>
      <c r="H133" s="5">
        <v>-160.55000000000001</v>
      </c>
      <c r="I133" s="3">
        <f>_xlfn.XLOOKUP(D133,'Ascendus data'!$M:$M,'Ascendus data'!$T:$T,,0)</f>
        <v>160.55000000000001</v>
      </c>
      <c r="J133" s="137">
        <f t="shared" si="4"/>
        <v>0</v>
      </c>
      <c r="K133" s="17">
        <v>2000002790</v>
      </c>
      <c r="L133" s="4">
        <v>45925</v>
      </c>
      <c r="M133" s="3" t="s">
        <v>248</v>
      </c>
    </row>
    <row r="134" spans="1:13" hidden="1" x14ac:dyDescent="0.35">
      <c r="A134" s="3" t="s">
        <v>109</v>
      </c>
      <c r="B134" s="17">
        <v>1900008388</v>
      </c>
      <c r="C134" s="4">
        <v>45877</v>
      </c>
      <c r="D134" s="60">
        <v>256779416145</v>
      </c>
      <c r="E134" s="3" t="s">
        <v>110</v>
      </c>
      <c r="F134" s="5">
        <v>-188.46</v>
      </c>
      <c r="G134" s="3" t="s">
        <v>110</v>
      </c>
      <c r="H134" s="5">
        <v>-188.46</v>
      </c>
      <c r="I134" s="3">
        <f>_xlfn.XLOOKUP(D134,'Ascendus data'!$M:$M,'Ascendus data'!$T:$T,,0)</f>
        <v>188.46</v>
      </c>
      <c r="J134" s="137">
        <f t="shared" si="4"/>
        <v>0</v>
      </c>
      <c r="K134" s="17">
        <v>2000002790</v>
      </c>
      <c r="L134" s="4">
        <v>45925</v>
      </c>
      <c r="M134" s="3" t="s">
        <v>249</v>
      </c>
    </row>
    <row r="135" spans="1:13" hidden="1" x14ac:dyDescent="0.35">
      <c r="A135" s="3" t="s">
        <v>109</v>
      </c>
      <c r="B135" s="17">
        <v>1900008389</v>
      </c>
      <c r="C135" s="4">
        <v>45877</v>
      </c>
      <c r="D135" s="60">
        <v>256779416477</v>
      </c>
      <c r="E135" s="3" t="s">
        <v>110</v>
      </c>
      <c r="F135" s="5">
        <v>-45.69</v>
      </c>
      <c r="G135" s="3" t="s">
        <v>110</v>
      </c>
      <c r="H135" s="5">
        <v>-45.69</v>
      </c>
      <c r="I135" s="3">
        <f>_xlfn.XLOOKUP(D135,'Ascendus data'!$M:$M,'Ascendus data'!$T:$T,,0)</f>
        <v>45.69</v>
      </c>
      <c r="J135" s="137">
        <f t="shared" si="4"/>
        <v>0</v>
      </c>
      <c r="K135" s="17">
        <v>2000002790</v>
      </c>
      <c r="L135" s="4">
        <v>45925</v>
      </c>
      <c r="M135" s="3" t="s">
        <v>250</v>
      </c>
    </row>
    <row r="136" spans="1:13" hidden="1" x14ac:dyDescent="0.35">
      <c r="A136" s="3" t="s">
        <v>109</v>
      </c>
      <c r="B136" s="17">
        <v>1900008390</v>
      </c>
      <c r="C136" s="4">
        <v>45877</v>
      </c>
      <c r="D136" s="60">
        <v>256779416498</v>
      </c>
      <c r="E136" s="3" t="s">
        <v>110</v>
      </c>
      <c r="F136" s="5">
        <v>-548.34</v>
      </c>
      <c r="G136" s="3" t="s">
        <v>110</v>
      </c>
      <c r="H136" s="5">
        <v>-548.34</v>
      </c>
      <c r="I136" s="3">
        <f>_xlfn.XLOOKUP(D136,'Ascendus data'!$M:$M,'Ascendus data'!$T:$T,,0)</f>
        <v>548.34</v>
      </c>
      <c r="J136" s="137">
        <f t="shared" si="4"/>
        <v>0</v>
      </c>
      <c r="K136" s="17">
        <v>2000002790</v>
      </c>
      <c r="L136" s="4">
        <v>45925</v>
      </c>
      <c r="M136" s="3" t="s">
        <v>251</v>
      </c>
    </row>
    <row r="137" spans="1:13" hidden="1" x14ac:dyDescent="0.35">
      <c r="A137" s="3" t="s">
        <v>157</v>
      </c>
      <c r="B137" s="17">
        <v>5100013195</v>
      </c>
      <c r="C137" s="4">
        <v>45843</v>
      </c>
      <c r="D137" s="60">
        <v>256779415152</v>
      </c>
      <c r="E137" s="3" t="s">
        <v>110</v>
      </c>
      <c r="F137" s="5">
        <v>-9905.27</v>
      </c>
      <c r="G137" s="3" t="s">
        <v>110</v>
      </c>
      <c r="H137" s="5">
        <v>-9905.27</v>
      </c>
      <c r="I137" s="3">
        <f>_xlfn.XLOOKUP(D137,'Ascendus data'!$M:$M,'Ascendus data'!$T:$T,,0)</f>
        <v>9905.27</v>
      </c>
      <c r="J137" s="137">
        <f t="shared" si="4"/>
        <v>0</v>
      </c>
      <c r="K137" s="17">
        <v>2000002790</v>
      </c>
      <c r="L137" s="4">
        <v>45925</v>
      </c>
      <c r="M137" s="3" t="s">
        <v>252</v>
      </c>
    </row>
    <row r="138" spans="1:13" hidden="1" x14ac:dyDescent="0.35">
      <c r="A138" s="3" t="s">
        <v>157</v>
      </c>
      <c r="B138" s="17">
        <v>5100013199</v>
      </c>
      <c r="C138" s="4">
        <v>45877</v>
      </c>
      <c r="D138" s="60">
        <v>256779416302</v>
      </c>
      <c r="E138" s="3" t="s">
        <v>110</v>
      </c>
      <c r="F138" s="5">
        <v>-5299.43</v>
      </c>
      <c r="G138" s="3" t="s">
        <v>110</v>
      </c>
      <c r="H138" s="5">
        <v>-5299.43</v>
      </c>
      <c r="I138" s="3">
        <f>_xlfn.XLOOKUP(D138,'Ascendus data'!$M:$M,'Ascendus data'!$T:$T,,0)</f>
        <v>5299.43</v>
      </c>
      <c r="J138" s="137">
        <f t="shared" si="4"/>
        <v>0</v>
      </c>
      <c r="K138" s="17">
        <v>2000002790</v>
      </c>
      <c r="L138" s="4">
        <v>45925</v>
      </c>
      <c r="M138" s="3" t="s">
        <v>253</v>
      </c>
    </row>
    <row r="139" spans="1:13" hidden="1" x14ac:dyDescent="0.35">
      <c r="A139" s="3" t="s">
        <v>157</v>
      </c>
      <c r="B139" s="17">
        <v>5100013200</v>
      </c>
      <c r="C139" s="4">
        <v>45843</v>
      </c>
      <c r="D139" s="60">
        <v>256779415153</v>
      </c>
      <c r="E139" s="3" t="s">
        <v>110</v>
      </c>
      <c r="F139" s="5">
        <v>-4354.62</v>
      </c>
      <c r="G139" s="3" t="s">
        <v>110</v>
      </c>
      <c r="H139" s="5">
        <v>-4354.62</v>
      </c>
      <c r="I139" s="3">
        <f>_xlfn.XLOOKUP(D139,'Ascendus data'!$M:$M,'Ascendus data'!$T:$T,,0)</f>
        <v>4354.62</v>
      </c>
      <c r="J139" s="137">
        <f t="shared" si="4"/>
        <v>0</v>
      </c>
      <c r="K139" s="17">
        <v>2000002790</v>
      </c>
      <c r="L139" s="4">
        <v>45925</v>
      </c>
      <c r="M139" s="3" t="s">
        <v>252</v>
      </c>
    </row>
    <row r="140" spans="1:13" hidden="1" x14ac:dyDescent="0.35">
      <c r="A140" s="3" t="s">
        <v>157</v>
      </c>
      <c r="B140" s="17">
        <v>5100013203</v>
      </c>
      <c r="C140" s="4">
        <v>45877</v>
      </c>
      <c r="D140" s="60">
        <v>256779416301</v>
      </c>
      <c r="E140" s="3" t="s">
        <v>110</v>
      </c>
      <c r="F140" s="5">
        <v>-8709.89</v>
      </c>
      <c r="G140" s="3" t="s">
        <v>110</v>
      </c>
      <c r="H140" s="5">
        <v>-8709.89</v>
      </c>
      <c r="I140" s="3">
        <f>_xlfn.XLOOKUP(D140,'Ascendus data'!$M:$M,'Ascendus data'!$T:$T,,0)</f>
        <v>8709.59</v>
      </c>
      <c r="J140" s="137">
        <f t="shared" si="4"/>
        <v>-0.2999999999992724</v>
      </c>
      <c r="K140" s="17">
        <v>2000002790</v>
      </c>
      <c r="L140" s="4">
        <v>45925</v>
      </c>
      <c r="M140" s="3" t="s">
        <v>253</v>
      </c>
    </row>
    <row r="141" spans="1:13" hidden="1" x14ac:dyDescent="0.35">
      <c r="A141" s="3" t="s">
        <v>109</v>
      </c>
      <c r="B141" s="17">
        <v>1900008398</v>
      </c>
      <c r="C141" s="4">
        <v>45877</v>
      </c>
      <c r="D141" s="60">
        <v>256779416189</v>
      </c>
      <c r="E141" s="3" t="s">
        <v>110</v>
      </c>
      <c r="F141" s="5">
        <v>-2574.62</v>
      </c>
      <c r="G141" s="3" t="s">
        <v>110</v>
      </c>
      <c r="H141" s="5">
        <v>-2574.62</v>
      </c>
      <c r="I141" s="3">
        <f>_xlfn.XLOOKUP(D141,'Ascendus data'!$M:$M,'Ascendus data'!$T:$T,,0)</f>
        <v>2574.62</v>
      </c>
      <c r="J141" s="137">
        <f t="shared" si="4"/>
        <v>0</v>
      </c>
      <c r="K141" s="17">
        <v>2000002809</v>
      </c>
      <c r="L141" s="4">
        <v>45945</v>
      </c>
      <c r="M141" s="3" t="s">
        <v>254</v>
      </c>
    </row>
    <row r="142" spans="1:13" hidden="1" x14ac:dyDescent="0.35">
      <c r="A142" s="3" t="s">
        <v>109</v>
      </c>
      <c r="B142" s="17">
        <v>1900008399</v>
      </c>
      <c r="C142" s="4">
        <v>45877</v>
      </c>
      <c r="D142" s="60">
        <v>256779416151</v>
      </c>
      <c r="E142" s="3" t="s">
        <v>110</v>
      </c>
      <c r="F142" s="5">
        <v>-5735.37</v>
      </c>
      <c r="G142" s="3" t="s">
        <v>110</v>
      </c>
      <c r="H142" s="5">
        <v>-5735.37</v>
      </c>
      <c r="I142" s="3">
        <f>_xlfn.XLOOKUP(D142,'Ascendus data'!$M:$M,'Ascendus data'!$T:$T,,0)</f>
        <v>5735.37</v>
      </c>
      <c r="J142" s="137">
        <f t="shared" si="4"/>
        <v>0</v>
      </c>
      <c r="K142" s="17">
        <v>2000002809</v>
      </c>
      <c r="L142" s="4">
        <v>45945</v>
      </c>
      <c r="M142" s="3" t="s">
        <v>255</v>
      </c>
    </row>
    <row r="143" spans="1:13" hidden="1" x14ac:dyDescent="0.35">
      <c r="A143" s="3" t="s">
        <v>803</v>
      </c>
      <c r="B143" s="17">
        <v>2000002790</v>
      </c>
      <c r="C143" s="4">
        <v>45925</v>
      </c>
      <c r="D143" s="60" t="s">
        <v>815</v>
      </c>
      <c r="E143" s="3" t="s">
        <v>110</v>
      </c>
      <c r="F143" s="5">
        <v>29536.15</v>
      </c>
      <c r="G143" s="3" t="s">
        <v>110</v>
      </c>
      <c r="H143" s="5">
        <v>29536.15</v>
      </c>
      <c r="I143" s="59" t="e">
        <f>_xlfn.XLOOKUP(D143,'Ascendus data'!$R:$R,'Ascendus data'!$T:$T,,0)</f>
        <v>#N/A</v>
      </c>
      <c r="J143" s="137" t="e">
        <f t="shared" si="4"/>
        <v>#N/A</v>
      </c>
      <c r="K143" s="17">
        <v>2000002790</v>
      </c>
      <c r="L143" s="4">
        <v>45925</v>
      </c>
      <c r="M143" s="3" t="s">
        <v>18</v>
      </c>
    </row>
    <row r="144" spans="1:13" hidden="1" x14ac:dyDescent="0.35">
      <c r="A144" s="3" t="s">
        <v>109</v>
      </c>
      <c r="B144" s="17">
        <v>1900008420</v>
      </c>
      <c r="C144" s="4">
        <v>45889</v>
      </c>
      <c r="D144" s="60">
        <v>256779416792</v>
      </c>
      <c r="E144" s="3" t="s">
        <v>110</v>
      </c>
      <c r="F144" s="5">
        <v>-13.72</v>
      </c>
      <c r="G144" s="3" t="s">
        <v>110</v>
      </c>
      <c r="H144" s="5">
        <v>-13.72</v>
      </c>
      <c r="I144" s="3">
        <f>_xlfn.XLOOKUP(D144,'Ascendus data'!$M:$M,'Ascendus data'!$T:$T,,0)</f>
        <v>13.72</v>
      </c>
      <c r="J144" s="137">
        <f t="shared" si="4"/>
        <v>0</v>
      </c>
      <c r="K144" s="17">
        <v>2000002815</v>
      </c>
      <c r="L144" s="4">
        <v>45954</v>
      </c>
      <c r="M144" s="3" t="s">
        <v>256</v>
      </c>
    </row>
    <row r="145" spans="1:13" hidden="1" x14ac:dyDescent="0.35">
      <c r="A145" s="3" t="s">
        <v>109</v>
      </c>
      <c r="B145" s="17">
        <v>1900008421</v>
      </c>
      <c r="C145" s="4">
        <v>45904</v>
      </c>
      <c r="D145" s="60">
        <v>256779417102</v>
      </c>
      <c r="E145" s="3" t="s">
        <v>110</v>
      </c>
      <c r="F145" s="5">
        <v>-66.22</v>
      </c>
      <c r="G145" s="3" t="s">
        <v>110</v>
      </c>
      <c r="H145" s="5">
        <v>-66.22</v>
      </c>
      <c r="I145" s="3">
        <f>_xlfn.XLOOKUP(D145,'Ascendus data'!$M:$M,'Ascendus data'!$T:$T,,0)</f>
        <v>17.07</v>
      </c>
      <c r="J145" s="137">
        <f t="shared" si="4"/>
        <v>-49.15</v>
      </c>
      <c r="K145" s="17">
        <v>2000002815</v>
      </c>
      <c r="L145" s="4">
        <v>45954</v>
      </c>
      <c r="M145" s="3" t="s">
        <v>257</v>
      </c>
    </row>
    <row r="146" spans="1:13" hidden="1" x14ac:dyDescent="0.35">
      <c r="A146" s="3" t="s">
        <v>803</v>
      </c>
      <c r="B146" s="17">
        <v>2000002809</v>
      </c>
      <c r="C146" s="4">
        <v>45945</v>
      </c>
      <c r="D146" s="60" t="s">
        <v>815</v>
      </c>
      <c r="E146" s="3" t="s">
        <v>110</v>
      </c>
      <c r="F146" s="5">
        <v>8309.99</v>
      </c>
      <c r="G146" s="3" t="s">
        <v>110</v>
      </c>
      <c r="H146" s="5">
        <v>8309.99</v>
      </c>
      <c r="I146" s="59" t="e">
        <f>_xlfn.XLOOKUP(D146,'Ascendus data'!$R:$R,'Ascendus data'!$T:$T,,0)</f>
        <v>#N/A</v>
      </c>
      <c r="J146" s="137" t="e">
        <f t="shared" si="4"/>
        <v>#N/A</v>
      </c>
      <c r="K146" s="17">
        <v>2000002809</v>
      </c>
      <c r="L146" s="4">
        <v>45945</v>
      </c>
      <c r="M146" s="3" t="s">
        <v>18</v>
      </c>
    </row>
    <row r="147" spans="1:13" hidden="1" x14ac:dyDescent="0.35">
      <c r="A147" s="3" t="s">
        <v>803</v>
      </c>
      <c r="B147" s="17">
        <v>2000002815</v>
      </c>
      <c r="C147" s="4">
        <v>45954</v>
      </c>
      <c r="D147" s="60" t="s">
        <v>815</v>
      </c>
      <c r="E147" s="3" t="s">
        <v>110</v>
      </c>
      <c r="F147" s="5">
        <v>79.94</v>
      </c>
      <c r="G147" s="3" t="s">
        <v>110</v>
      </c>
      <c r="H147" s="5">
        <v>79.94</v>
      </c>
      <c r="I147" s="59" t="e">
        <f>_xlfn.XLOOKUP(D147,'Ascendus data'!$R:$R,'Ascendus data'!$T:$T,,0)</f>
        <v>#N/A</v>
      </c>
      <c r="J147" s="137" t="e">
        <f t="shared" si="4"/>
        <v>#N/A</v>
      </c>
      <c r="K147" s="17">
        <v>2000002815</v>
      </c>
      <c r="L147" s="4">
        <v>45954</v>
      </c>
      <c r="M147" s="3" t="s">
        <v>18</v>
      </c>
    </row>
    <row r="148" spans="1:13" hidden="1" x14ac:dyDescent="0.35">
      <c r="A148" s="3" t="s">
        <v>109</v>
      </c>
      <c r="B148" s="17">
        <v>1900008431</v>
      </c>
      <c r="C148" s="4">
        <v>45904</v>
      </c>
      <c r="D148" s="60">
        <v>256779417254</v>
      </c>
      <c r="E148" s="3" t="s">
        <v>110</v>
      </c>
      <c r="F148" s="5">
        <v>-51.22</v>
      </c>
      <c r="G148" s="3" t="s">
        <v>110</v>
      </c>
      <c r="H148" s="5">
        <v>-51.22</v>
      </c>
      <c r="I148" s="3">
        <f>_xlfn.XLOOKUP(D148,'Ascendus data'!$M:$M,'Ascendus data'!$T:$T,,0)</f>
        <v>51.22</v>
      </c>
      <c r="J148" s="137">
        <f t="shared" si="4"/>
        <v>0</v>
      </c>
      <c r="K148" s="17">
        <v>2000002840</v>
      </c>
      <c r="L148" s="4">
        <v>45975</v>
      </c>
      <c r="M148" s="3" t="s">
        <v>258</v>
      </c>
    </row>
    <row r="149" spans="1:13" hidden="1" x14ac:dyDescent="0.35">
      <c r="A149" s="3" t="s">
        <v>109</v>
      </c>
      <c r="B149" s="17">
        <v>1900008432</v>
      </c>
      <c r="C149" s="4">
        <v>45904</v>
      </c>
      <c r="D149" s="60">
        <v>256779417249</v>
      </c>
      <c r="E149" s="3" t="s">
        <v>110</v>
      </c>
      <c r="F149" s="5">
        <v>-59</v>
      </c>
      <c r="G149" s="3" t="s">
        <v>110</v>
      </c>
      <c r="H149" s="5">
        <v>-59</v>
      </c>
      <c r="I149" s="3">
        <f>_xlfn.XLOOKUP(D149,'Ascendus data'!$M:$M,'Ascendus data'!$T:$T,,0)</f>
        <v>59</v>
      </c>
      <c r="J149" s="137">
        <f t="shared" si="4"/>
        <v>0</v>
      </c>
      <c r="K149" s="17">
        <v>2000002840</v>
      </c>
      <c r="L149" s="4">
        <v>45975</v>
      </c>
      <c r="M149" s="3" t="s">
        <v>259</v>
      </c>
    </row>
    <row r="150" spans="1:13" hidden="1" x14ac:dyDescent="0.35">
      <c r="A150" s="3" t="s">
        <v>109</v>
      </c>
      <c r="B150" s="17">
        <v>1900008433</v>
      </c>
      <c r="C150" s="4">
        <v>45904</v>
      </c>
      <c r="D150" s="60">
        <v>256779417233</v>
      </c>
      <c r="E150" s="3" t="s">
        <v>110</v>
      </c>
      <c r="F150" s="5">
        <v>-710.32</v>
      </c>
      <c r="G150" s="3" t="s">
        <v>110</v>
      </c>
      <c r="H150" s="5">
        <v>-710.32</v>
      </c>
      <c r="I150" s="3">
        <f>_xlfn.XLOOKUP(D150,'Ascendus data'!$M:$M,'Ascendus data'!$T:$T,,0)</f>
        <v>710.32</v>
      </c>
      <c r="J150" s="137">
        <f t="shared" si="4"/>
        <v>0</v>
      </c>
      <c r="K150" s="17">
        <v>2000002840</v>
      </c>
      <c r="L150" s="4">
        <v>45975</v>
      </c>
      <c r="M150" s="3" t="s">
        <v>260</v>
      </c>
    </row>
    <row r="151" spans="1:13" hidden="1" x14ac:dyDescent="0.35">
      <c r="A151" s="3" t="s">
        <v>109</v>
      </c>
      <c r="B151" s="17">
        <v>1900008434</v>
      </c>
      <c r="C151" s="4">
        <v>45904</v>
      </c>
      <c r="D151" s="60">
        <v>256779417193</v>
      </c>
      <c r="E151" s="3" t="s">
        <v>110</v>
      </c>
      <c r="F151" s="5">
        <v>-620.1</v>
      </c>
      <c r="G151" s="3" t="s">
        <v>110</v>
      </c>
      <c r="H151" s="5">
        <v>-620.1</v>
      </c>
      <c r="I151" s="3">
        <f>_xlfn.XLOOKUP(D151,'Ascendus data'!$M:$M,'Ascendus data'!$T:$T,,0)</f>
        <v>620.1</v>
      </c>
      <c r="J151" s="137">
        <f t="shared" si="4"/>
        <v>0</v>
      </c>
      <c r="K151" s="17">
        <v>2000002840</v>
      </c>
      <c r="L151" s="4">
        <v>45975</v>
      </c>
      <c r="M151" s="3" t="s">
        <v>261</v>
      </c>
    </row>
    <row r="152" spans="1:13" hidden="1" x14ac:dyDescent="0.35">
      <c r="A152" s="3" t="s">
        <v>109</v>
      </c>
      <c r="B152" s="17">
        <v>1900008435</v>
      </c>
      <c r="C152" s="4">
        <v>45904</v>
      </c>
      <c r="D152" s="60">
        <v>256779417189</v>
      </c>
      <c r="E152" s="3" t="s">
        <v>110</v>
      </c>
      <c r="F152" s="5">
        <v>-24.9</v>
      </c>
      <c r="G152" s="3" t="s">
        <v>110</v>
      </c>
      <c r="H152" s="5">
        <v>-24.9</v>
      </c>
      <c r="I152" s="3">
        <f>_xlfn.XLOOKUP(D152,'Ascendus data'!$M:$M,'Ascendus data'!$T:$T,,0)</f>
        <v>24.9</v>
      </c>
      <c r="J152" s="137">
        <f t="shared" si="4"/>
        <v>0</v>
      </c>
      <c r="K152" s="17">
        <v>2000002840</v>
      </c>
      <c r="L152" s="4">
        <v>45975</v>
      </c>
      <c r="M152" s="3" t="s">
        <v>262</v>
      </c>
    </row>
    <row r="153" spans="1:13" hidden="1" x14ac:dyDescent="0.35">
      <c r="A153" s="3" t="s">
        <v>109</v>
      </c>
      <c r="B153" s="17">
        <v>1900008436</v>
      </c>
      <c r="C153" s="4">
        <v>45904</v>
      </c>
      <c r="D153" s="60">
        <v>256779417294</v>
      </c>
      <c r="E153" s="3" t="s">
        <v>110</v>
      </c>
      <c r="F153" s="5">
        <v>-2063.13</v>
      </c>
      <c r="G153" s="3" t="s">
        <v>110</v>
      </c>
      <c r="H153" s="5">
        <v>-2063.13</v>
      </c>
      <c r="I153" s="3">
        <f>_xlfn.XLOOKUP(D153,'Ascendus data'!$M:$M,'Ascendus data'!$T:$T,,0)</f>
        <v>2063.13</v>
      </c>
      <c r="J153" s="137">
        <f t="shared" si="4"/>
        <v>0</v>
      </c>
      <c r="K153" s="17">
        <v>2000002840</v>
      </c>
      <c r="L153" s="4">
        <v>45975</v>
      </c>
      <c r="M153" s="3" t="s">
        <v>263</v>
      </c>
    </row>
    <row r="154" spans="1:13" hidden="1" x14ac:dyDescent="0.35">
      <c r="A154" s="3" t="s">
        <v>109</v>
      </c>
      <c r="B154" s="17">
        <v>1900008437</v>
      </c>
      <c r="C154" s="4">
        <v>45904</v>
      </c>
      <c r="D154" s="60">
        <v>256779417265</v>
      </c>
      <c r="E154" s="3" t="s">
        <v>110</v>
      </c>
      <c r="F154" s="5">
        <v>-4958.09</v>
      </c>
      <c r="G154" s="3" t="s">
        <v>110</v>
      </c>
      <c r="H154" s="5">
        <v>-4958.09</v>
      </c>
      <c r="I154" s="3">
        <f>_xlfn.XLOOKUP(D154,'Ascendus data'!$M:$M,'Ascendus data'!$T:$T,,0)</f>
        <v>4958.09</v>
      </c>
      <c r="J154" s="137">
        <f t="shared" si="4"/>
        <v>0</v>
      </c>
      <c r="K154" s="17">
        <v>2000002840</v>
      </c>
      <c r="L154" s="4">
        <v>45975</v>
      </c>
      <c r="M154" s="3" t="s">
        <v>264</v>
      </c>
    </row>
    <row r="155" spans="1:13" hidden="1" x14ac:dyDescent="0.35">
      <c r="A155" s="3" t="s">
        <v>109</v>
      </c>
      <c r="B155" s="17">
        <v>1900008438</v>
      </c>
      <c r="C155" s="4">
        <v>45904</v>
      </c>
      <c r="D155" s="60">
        <v>256779417182</v>
      </c>
      <c r="E155" s="3" t="s">
        <v>110</v>
      </c>
      <c r="F155" s="5">
        <v>-985.4</v>
      </c>
      <c r="G155" s="3" t="s">
        <v>110</v>
      </c>
      <c r="H155" s="5">
        <v>-985.4</v>
      </c>
      <c r="I155" s="3">
        <f>_xlfn.XLOOKUP(D155,'Ascendus data'!$M:$M,'Ascendus data'!$T:$T,,0)</f>
        <v>985.4</v>
      </c>
      <c r="J155" s="137">
        <f t="shared" si="4"/>
        <v>0</v>
      </c>
      <c r="K155" s="17">
        <v>2000002840</v>
      </c>
      <c r="L155" s="4">
        <v>45975</v>
      </c>
      <c r="M155" s="3" t="s">
        <v>265</v>
      </c>
    </row>
    <row r="156" spans="1:13" hidden="1" x14ac:dyDescent="0.35">
      <c r="A156" s="3" t="s">
        <v>109</v>
      </c>
      <c r="B156" s="17">
        <v>1900008450</v>
      </c>
      <c r="C156" s="4">
        <v>45937</v>
      </c>
      <c r="D156" s="60">
        <v>256779418145</v>
      </c>
      <c r="E156" s="3" t="s">
        <v>110</v>
      </c>
      <c r="F156" s="5">
        <v>-54.06</v>
      </c>
      <c r="G156" s="3" t="s">
        <v>110</v>
      </c>
      <c r="H156" s="5">
        <v>-54.06</v>
      </c>
      <c r="I156" s="3">
        <f>_xlfn.XLOOKUP(D156,'Ascendus data'!$M:$M,'Ascendus data'!$T:$T,,0)</f>
        <v>54.06</v>
      </c>
      <c r="J156" s="137">
        <f t="shared" si="4"/>
        <v>0</v>
      </c>
      <c r="K156" s="17">
        <v>2000002840</v>
      </c>
      <c r="L156" s="4">
        <v>45975</v>
      </c>
      <c r="M156" s="3" t="s">
        <v>266</v>
      </c>
    </row>
    <row r="157" spans="1:13" hidden="1" x14ac:dyDescent="0.35">
      <c r="A157" s="3" t="s">
        <v>109</v>
      </c>
      <c r="B157" s="17">
        <v>1900008451</v>
      </c>
      <c r="C157" s="4">
        <v>45937</v>
      </c>
      <c r="D157" s="60">
        <v>256779418129</v>
      </c>
      <c r="E157" s="3" t="s">
        <v>110</v>
      </c>
      <c r="F157" s="5">
        <v>-122.94</v>
      </c>
      <c r="G157" s="3" t="s">
        <v>110</v>
      </c>
      <c r="H157" s="5">
        <v>-122.94</v>
      </c>
      <c r="I157" s="3">
        <f>_xlfn.XLOOKUP(D157,'Ascendus data'!$M:$M,'Ascendus data'!$T:$T,,0)</f>
        <v>82.72</v>
      </c>
      <c r="J157" s="137">
        <f t="shared" si="4"/>
        <v>-40.22</v>
      </c>
      <c r="K157" s="17">
        <v>2000002840</v>
      </c>
      <c r="L157" s="4">
        <v>45975</v>
      </c>
      <c r="M157" s="3" t="s">
        <v>267</v>
      </c>
    </row>
    <row r="158" spans="1:13" hidden="1" x14ac:dyDescent="0.35">
      <c r="A158" s="3" t="s">
        <v>109</v>
      </c>
      <c r="B158" s="17">
        <v>1900008452</v>
      </c>
      <c r="C158" s="4">
        <v>45938</v>
      </c>
      <c r="D158" s="60">
        <v>256779418096</v>
      </c>
      <c r="E158" s="3" t="s">
        <v>110</v>
      </c>
      <c r="F158" s="5">
        <v>-67.58</v>
      </c>
      <c r="G158" s="3" t="s">
        <v>110</v>
      </c>
      <c r="H158" s="5">
        <v>-67.58</v>
      </c>
      <c r="I158" s="3">
        <f>_xlfn.XLOOKUP(D158,'Ascendus data'!$M:$M,'Ascendus data'!$T:$T,,0)</f>
        <v>67.58</v>
      </c>
      <c r="J158" s="137">
        <f t="shared" si="4"/>
        <v>0</v>
      </c>
      <c r="K158" s="17">
        <v>2000002840</v>
      </c>
      <c r="L158" s="4">
        <v>45975</v>
      </c>
      <c r="M158" s="3" t="s">
        <v>268</v>
      </c>
    </row>
    <row r="159" spans="1:13" hidden="1" x14ac:dyDescent="0.35">
      <c r="A159" s="3" t="s">
        <v>109</v>
      </c>
      <c r="B159" s="17">
        <v>1900008453</v>
      </c>
      <c r="C159" s="4">
        <v>45935</v>
      </c>
      <c r="D159" s="60">
        <v>256779417882</v>
      </c>
      <c r="E159" s="3" t="s">
        <v>110</v>
      </c>
      <c r="F159" s="5">
        <v>-603.79999999999995</v>
      </c>
      <c r="G159" s="3" t="s">
        <v>110</v>
      </c>
      <c r="H159" s="5">
        <v>-603.79999999999995</v>
      </c>
      <c r="I159" s="3">
        <f>_xlfn.XLOOKUP(D159,'Ascendus data'!$M:$M,'Ascendus data'!$T:$T,,0)</f>
        <v>603.79999999999995</v>
      </c>
      <c r="J159" s="137">
        <f t="shared" si="4"/>
        <v>0</v>
      </c>
      <c r="K159" s="17">
        <v>2000002840</v>
      </c>
      <c r="L159" s="4">
        <v>45975</v>
      </c>
      <c r="M159" s="3" t="s">
        <v>269</v>
      </c>
    </row>
    <row r="160" spans="1:13" hidden="1" x14ac:dyDescent="0.35">
      <c r="A160" s="3" t="s">
        <v>109</v>
      </c>
      <c r="B160" s="17">
        <v>1900008454</v>
      </c>
      <c r="C160" s="4">
        <v>45935</v>
      </c>
      <c r="D160" s="60">
        <v>256779418379</v>
      </c>
      <c r="E160" s="3" t="s">
        <v>110</v>
      </c>
      <c r="F160" s="5">
        <v>-1379.83</v>
      </c>
      <c r="G160" s="3" t="s">
        <v>110</v>
      </c>
      <c r="H160" s="5">
        <v>-1379.83</v>
      </c>
      <c r="I160" s="3">
        <f>_xlfn.XLOOKUP(D160,'Ascendus data'!$M:$M,'Ascendus data'!$T:$T,,0)</f>
        <v>1379.83</v>
      </c>
      <c r="J160" s="137">
        <f t="shared" si="4"/>
        <v>0</v>
      </c>
      <c r="K160" s="17">
        <v>2000002840</v>
      </c>
      <c r="L160" s="4">
        <v>45975</v>
      </c>
      <c r="M160" s="3" t="s">
        <v>270</v>
      </c>
    </row>
    <row r="161" spans="1:13" hidden="1" x14ac:dyDescent="0.35">
      <c r="A161" s="3" t="s">
        <v>109</v>
      </c>
      <c r="B161" s="17">
        <v>1900008455</v>
      </c>
      <c r="C161" s="4">
        <v>45935</v>
      </c>
      <c r="D161" s="60">
        <v>256779417910</v>
      </c>
      <c r="E161" s="3" t="s">
        <v>110</v>
      </c>
      <c r="F161" s="5">
        <v>-7291.31</v>
      </c>
      <c r="G161" s="3" t="s">
        <v>110</v>
      </c>
      <c r="H161" s="5">
        <v>-7291.31</v>
      </c>
      <c r="I161" s="3">
        <f>_xlfn.XLOOKUP(D161,'Ascendus data'!$M:$M,'Ascendus data'!$T:$T,,0)</f>
        <v>7291.31</v>
      </c>
      <c r="J161" s="137">
        <f t="shared" si="4"/>
        <v>0</v>
      </c>
      <c r="K161" s="17">
        <v>2000002840</v>
      </c>
      <c r="L161" s="4">
        <v>45975</v>
      </c>
      <c r="M161" s="3" t="s">
        <v>271</v>
      </c>
    </row>
    <row r="162" spans="1:13" hidden="1" x14ac:dyDescent="0.35">
      <c r="A162" s="3" t="s">
        <v>109</v>
      </c>
      <c r="B162" s="17">
        <v>1900008456</v>
      </c>
      <c r="C162" s="4">
        <v>45935</v>
      </c>
      <c r="D162" s="60">
        <v>256779417953</v>
      </c>
      <c r="E162" s="3" t="s">
        <v>110</v>
      </c>
      <c r="F162" s="5">
        <v>-3981.8</v>
      </c>
      <c r="G162" s="3" t="s">
        <v>110</v>
      </c>
      <c r="H162" s="5">
        <v>-3981.8</v>
      </c>
      <c r="I162" s="3">
        <f>_xlfn.XLOOKUP(D162,'Ascendus data'!$M:$M,'Ascendus data'!$T:$T,,0)</f>
        <v>3981.8</v>
      </c>
      <c r="J162" s="137">
        <f t="shared" ref="J162:J190" si="5">H162+I162</f>
        <v>0</v>
      </c>
      <c r="K162" s="17">
        <v>2000002840</v>
      </c>
      <c r="L162" s="4">
        <v>45975</v>
      </c>
      <c r="M162" s="3" t="s">
        <v>272</v>
      </c>
    </row>
    <row r="163" spans="1:13" hidden="1" x14ac:dyDescent="0.35">
      <c r="A163" s="3" t="s">
        <v>803</v>
      </c>
      <c r="B163" s="17">
        <v>2000002840</v>
      </c>
      <c r="C163" s="4">
        <v>45975</v>
      </c>
      <c r="D163" s="60" t="s">
        <v>815</v>
      </c>
      <c r="E163" s="3" t="s">
        <v>110</v>
      </c>
      <c r="F163" s="5">
        <v>22973.48</v>
      </c>
      <c r="G163" s="3" t="s">
        <v>110</v>
      </c>
      <c r="H163" s="5">
        <v>22973.48</v>
      </c>
      <c r="I163" s="59" t="e">
        <f>_xlfn.XLOOKUP(D163,'Ascendus data'!$R:$R,'Ascendus data'!$T:$T,,0)</f>
        <v>#N/A</v>
      </c>
      <c r="J163" s="137" t="e">
        <f t="shared" si="5"/>
        <v>#N/A</v>
      </c>
      <c r="K163" s="17">
        <v>2000002840</v>
      </c>
      <c r="L163" s="4">
        <v>45975</v>
      </c>
      <c r="M163" s="3" t="s">
        <v>18</v>
      </c>
    </row>
    <row r="164" spans="1:13" hidden="1" x14ac:dyDescent="0.35">
      <c r="A164" s="3" t="s">
        <v>109</v>
      </c>
      <c r="B164" s="17">
        <v>1900008479</v>
      </c>
      <c r="C164" s="4">
        <v>45966</v>
      </c>
      <c r="D164" s="60">
        <v>256779419239</v>
      </c>
      <c r="E164" s="3" t="s">
        <v>110</v>
      </c>
      <c r="F164" s="5">
        <v>-67.62</v>
      </c>
      <c r="G164" s="3" t="s">
        <v>110</v>
      </c>
      <c r="H164" s="5">
        <v>-67.62</v>
      </c>
      <c r="I164" s="3">
        <f>_xlfn.XLOOKUP(D164,'Ascendus data'!$M:$M,'Ascendus data'!$T:$T,,0)</f>
        <v>67.62</v>
      </c>
      <c r="J164" s="137">
        <f t="shared" si="5"/>
        <v>0</v>
      </c>
      <c r="K164" s="17">
        <v>2000002884</v>
      </c>
      <c r="L164" s="4">
        <v>46015</v>
      </c>
      <c r="M164" s="3" t="s">
        <v>273</v>
      </c>
    </row>
    <row r="165" spans="1:13" hidden="1" x14ac:dyDescent="0.35">
      <c r="A165" s="3" t="s">
        <v>109</v>
      </c>
      <c r="B165" s="17">
        <v>1900008480</v>
      </c>
      <c r="C165" s="4">
        <v>45966</v>
      </c>
      <c r="D165" s="60">
        <v>256779419214</v>
      </c>
      <c r="E165" s="3" t="s">
        <v>110</v>
      </c>
      <c r="F165" s="5">
        <v>-485.95</v>
      </c>
      <c r="G165" s="3" t="s">
        <v>110</v>
      </c>
      <c r="H165" s="5">
        <v>-485.95</v>
      </c>
      <c r="I165" s="3">
        <f>_xlfn.XLOOKUP(D165,'Ascendus data'!$M:$M,'Ascendus data'!$T:$T,,0)</f>
        <v>485.95</v>
      </c>
      <c r="J165" s="137">
        <f t="shared" si="5"/>
        <v>0</v>
      </c>
      <c r="K165" s="17">
        <v>2000002884</v>
      </c>
      <c r="L165" s="4">
        <v>46015</v>
      </c>
      <c r="M165" s="3" t="s">
        <v>274</v>
      </c>
    </row>
    <row r="166" spans="1:13" hidden="1" x14ac:dyDescent="0.35">
      <c r="A166" s="3" t="s">
        <v>109</v>
      </c>
      <c r="B166" s="17">
        <v>1900008481</v>
      </c>
      <c r="C166" s="4">
        <v>45966</v>
      </c>
      <c r="D166" s="60">
        <v>256779419187</v>
      </c>
      <c r="E166" s="3" t="s">
        <v>110</v>
      </c>
      <c r="F166" s="5">
        <v>-503.26</v>
      </c>
      <c r="G166" s="3" t="s">
        <v>110</v>
      </c>
      <c r="H166" s="5">
        <v>-503.26</v>
      </c>
      <c r="I166" s="3">
        <f>_xlfn.XLOOKUP(D166,'Ascendus data'!$M:$M,'Ascendus data'!$T:$T,,0)</f>
        <v>503.26</v>
      </c>
      <c r="J166" s="137">
        <f t="shared" si="5"/>
        <v>0</v>
      </c>
      <c r="K166" s="17">
        <v>2000002884</v>
      </c>
      <c r="L166" s="4">
        <v>46015</v>
      </c>
      <c r="M166" s="3" t="s">
        <v>275</v>
      </c>
    </row>
    <row r="167" spans="1:13" hidden="1" x14ac:dyDescent="0.35">
      <c r="A167" s="3" t="s">
        <v>109</v>
      </c>
      <c r="B167" s="17">
        <v>1900008482</v>
      </c>
      <c r="C167" s="4">
        <v>45966</v>
      </c>
      <c r="D167" s="60">
        <v>256779419092</v>
      </c>
      <c r="E167" s="3" t="s">
        <v>110</v>
      </c>
      <c r="F167" s="5">
        <v>-41.3</v>
      </c>
      <c r="G167" s="3" t="s">
        <v>110</v>
      </c>
      <c r="H167" s="5">
        <v>-41.3</v>
      </c>
      <c r="I167" s="3">
        <f>_xlfn.XLOOKUP(D167,'Ascendus data'!$M:$M,'Ascendus data'!$T:$T,,0)</f>
        <v>41.3</v>
      </c>
      <c r="J167" s="137">
        <f t="shared" si="5"/>
        <v>0</v>
      </c>
      <c r="K167" s="17">
        <v>2000002884</v>
      </c>
      <c r="L167" s="4">
        <v>46015</v>
      </c>
      <c r="M167" s="3" t="s">
        <v>276</v>
      </c>
    </row>
    <row r="168" spans="1:13" hidden="1" x14ac:dyDescent="0.35">
      <c r="A168" s="3" t="s">
        <v>109</v>
      </c>
      <c r="B168" s="17">
        <v>1900008483</v>
      </c>
      <c r="C168" s="4">
        <v>45966</v>
      </c>
      <c r="D168" s="60">
        <v>256779419078</v>
      </c>
      <c r="E168" s="3" t="s">
        <v>110</v>
      </c>
      <c r="F168" s="5">
        <v>-394.16</v>
      </c>
      <c r="G168" s="3" t="s">
        <v>110</v>
      </c>
      <c r="H168" s="5">
        <v>-394.16</v>
      </c>
      <c r="I168" s="3">
        <f>_xlfn.XLOOKUP(D168,'Ascendus data'!$M:$M,'Ascendus data'!$T:$T,,0)</f>
        <v>394.16</v>
      </c>
      <c r="J168" s="137">
        <f t="shared" si="5"/>
        <v>0</v>
      </c>
      <c r="K168" s="17">
        <v>2000002884</v>
      </c>
      <c r="L168" s="4">
        <v>46015</v>
      </c>
      <c r="M168" s="3" t="s">
        <v>277</v>
      </c>
    </row>
    <row r="169" spans="1:13" hidden="1" x14ac:dyDescent="0.35">
      <c r="A169" s="3" t="s">
        <v>109</v>
      </c>
      <c r="B169" s="17">
        <v>1900008484</v>
      </c>
      <c r="C169" s="4">
        <v>45966</v>
      </c>
      <c r="D169" s="60">
        <v>256779418840</v>
      </c>
      <c r="E169" s="3" t="s">
        <v>110</v>
      </c>
      <c r="F169" s="5">
        <v>-15.78</v>
      </c>
      <c r="G169" s="3" t="s">
        <v>110</v>
      </c>
      <c r="H169" s="5">
        <v>-15.78</v>
      </c>
      <c r="I169" s="3">
        <f>_xlfn.XLOOKUP(D169,'Ascendus data'!$M:$M,'Ascendus data'!$T:$T,,0)</f>
        <v>15.78</v>
      </c>
      <c r="J169" s="137">
        <f t="shared" si="5"/>
        <v>0</v>
      </c>
      <c r="K169" s="17">
        <v>2000002884</v>
      </c>
      <c r="L169" s="4">
        <v>46015</v>
      </c>
      <c r="M169" s="3" t="s">
        <v>278</v>
      </c>
    </row>
    <row r="170" spans="1:13" hidden="1" x14ac:dyDescent="0.35">
      <c r="A170" s="3" t="s">
        <v>157</v>
      </c>
      <c r="B170" s="17">
        <v>5100013426</v>
      </c>
      <c r="C170" s="4">
        <v>45936</v>
      </c>
      <c r="D170" s="60">
        <v>256779418216</v>
      </c>
      <c r="E170" s="3" t="s">
        <v>110</v>
      </c>
      <c r="F170" s="5">
        <v>-8093.39</v>
      </c>
      <c r="G170" s="3" t="s">
        <v>110</v>
      </c>
      <c r="H170" s="5">
        <v>-8093.39</v>
      </c>
      <c r="I170" s="3">
        <f>_xlfn.XLOOKUP(D170,'Ascendus data'!$M:$M,'Ascendus data'!$T:$T,,0)</f>
        <v>3984.09</v>
      </c>
      <c r="J170" s="137">
        <f t="shared" si="5"/>
        <v>-4109.3</v>
      </c>
      <c r="K170" s="17">
        <v>2000002884</v>
      </c>
      <c r="L170" s="4">
        <v>46015</v>
      </c>
      <c r="M170" s="3" t="s">
        <v>279</v>
      </c>
    </row>
    <row r="171" spans="1:13" hidden="1" x14ac:dyDescent="0.35">
      <c r="A171" s="3" t="s">
        <v>157</v>
      </c>
      <c r="B171" s="17">
        <v>5100013427</v>
      </c>
      <c r="C171" s="4">
        <v>45904</v>
      </c>
      <c r="D171" s="60">
        <v>256779416959</v>
      </c>
      <c r="E171" s="3" t="s">
        <v>110</v>
      </c>
      <c r="F171" s="5">
        <v>-5587.13</v>
      </c>
      <c r="G171" s="3" t="s">
        <v>110</v>
      </c>
      <c r="H171" s="5">
        <v>-5587.13</v>
      </c>
      <c r="I171" s="3">
        <f>_xlfn.XLOOKUP(D171,'Ascendus data'!$M:$M,'Ascendus data'!$T:$T,,0)</f>
        <v>2779.47</v>
      </c>
      <c r="J171" s="137">
        <f t="shared" si="5"/>
        <v>-2807.6600000000003</v>
      </c>
      <c r="K171" s="17">
        <v>2000002884</v>
      </c>
      <c r="L171" s="4">
        <v>46015</v>
      </c>
      <c r="M171" s="3" t="s">
        <v>280</v>
      </c>
    </row>
    <row r="172" spans="1:13" hidden="1" x14ac:dyDescent="0.35">
      <c r="A172" s="3" t="s">
        <v>157</v>
      </c>
      <c r="B172" s="17">
        <v>5100013428</v>
      </c>
      <c r="C172" s="4">
        <v>45904</v>
      </c>
      <c r="D172" s="60">
        <v>256779416958</v>
      </c>
      <c r="E172" s="3" t="s">
        <v>110</v>
      </c>
      <c r="F172" s="5">
        <v>-6712.26</v>
      </c>
      <c r="G172" s="3" t="s">
        <v>110</v>
      </c>
      <c r="H172" s="5">
        <v>-6712.26</v>
      </c>
      <c r="I172" s="3">
        <f>_xlfn.XLOOKUP(D172,'Ascendus data'!$M:$M,'Ascendus data'!$T:$T,,0)</f>
        <v>3624.71</v>
      </c>
      <c r="J172" s="137">
        <f t="shared" si="5"/>
        <v>-3087.55</v>
      </c>
      <c r="K172" s="17">
        <v>2000002884</v>
      </c>
      <c r="L172" s="4">
        <v>46015</v>
      </c>
      <c r="M172" s="3" t="s">
        <v>280</v>
      </c>
    </row>
    <row r="173" spans="1:13" hidden="1" x14ac:dyDescent="0.35">
      <c r="A173" s="3" t="s">
        <v>157</v>
      </c>
      <c r="B173" s="17">
        <v>5100013429</v>
      </c>
      <c r="C173" s="4">
        <v>45936</v>
      </c>
      <c r="D173" s="60">
        <v>256779418217</v>
      </c>
      <c r="E173" s="3" t="s">
        <v>110</v>
      </c>
      <c r="F173" s="5">
        <v>-6196.45</v>
      </c>
      <c r="G173" s="3" t="s">
        <v>110</v>
      </c>
      <c r="H173" s="5">
        <v>-6196.45</v>
      </c>
      <c r="I173" s="3">
        <f>_xlfn.XLOOKUP(D173,'Ascendus data'!$M:$M,'Ascendus data'!$T:$T,,0)</f>
        <v>3863.82</v>
      </c>
      <c r="J173" s="137">
        <f t="shared" si="5"/>
        <v>-2332.6299999999997</v>
      </c>
      <c r="K173" s="17">
        <v>2000002884</v>
      </c>
      <c r="L173" s="4">
        <v>46015</v>
      </c>
      <c r="M173" s="3" t="s">
        <v>279</v>
      </c>
    </row>
    <row r="174" spans="1:13" hidden="1" x14ac:dyDescent="0.35">
      <c r="A174" s="3" t="s">
        <v>109</v>
      </c>
      <c r="B174" s="17">
        <v>1900008485</v>
      </c>
      <c r="C174" s="4">
        <v>45966</v>
      </c>
      <c r="D174" s="60">
        <v>256779419145</v>
      </c>
      <c r="E174" s="3" t="s">
        <v>110</v>
      </c>
      <c r="F174" s="5">
        <v>-2892.9</v>
      </c>
      <c r="G174" s="3" t="s">
        <v>110</v>
      </c>
      <c r="H174" s="5">
        <v>-2892.9</v>
      </c>
      <c r="I174" s="3">
        <f>_xlfn.XLOOKUP(D174,'Ascendus data'!$M:$M,'Ascendus data'!$T:$T,,0)</f>
        <v>2892.9</v>
      </c>
      <c r="J174" s="137">
        <f t="shared" si="5"/>
        <v>0</v>
      </c>
      <c r="K174" s="17">
        <v>2000002884</v>
      </c>
      <c r="L174" s="4">
        <v>46015</v>
      </c>
      <c r="M174" s="3" t="s">
        <v>281</v>
      </c>
    </row>
    <row r="175" spans="1:13" hidden="1" x14ac:dyDescent="0.35">
      <c r="A175" s="3" t="s">
        <v>109</v>
      </c>
      <c r="B175" s="17">
        <v>1900008486</v>
      </c>
      <c r="C175" s="4">
        <v>45964</v>
      </c>
      <c r="D175" s="60">
        <v>256779419103</v>
      </c>
      <c r="E175" s="3" t="s">
        <v>110</v>
      </c>
      <c r="F175" s="5">
        <v>-6342.78</v>
      </c>
      <c r="G175" s="3" t="s">
        <v>110</v>
      </c>
      <c r="H175" s="5">
        <v>-6342.78</v>
      </c>
      <c r="I175" s="3">
        <f>_xlfn.XLOOKUP(D175,'Ascendus data'!$M:$M,'Ascendus data'!$T:$T,,0)</f>
        <v>6342.78</v>
      </c>
      <c r="J175" s="137">
        <f t="shared" si="5"/>
        <v>0</v>
      </c>
      <c r="K175" s="17">
        <v>2000002884</v>
      </c>
      <c r="L175" s="4">
        <v>46015</v>
      </c>
      <c r="M175" s="3" t="s">
        <v>282</v>
      </c>
    </row>
    <row r="176" spans="1:13" hidden="1" x14ac:dyDescent="0.35">
      <c r="A176" s="3" t="s">
        <v>803</v>
      </c>
      <c r="B176" s="17">
        <v>2000002884</v>
      </c>
      <c r="C176" s="4">
        <v>46015</v>
      </c>
      <c r="D176" s="60" t="s">
        <v>815</v>
      </c>
      <c r="E176" s="3" t="s">
        <v>110</v>
      </c>
      <c r="F176" s="5">
        <v>37332.980000000003</v>
      </c>
      <c r="G176" s="3" t="s">
        <v>110</v>
      </c>
      <c r="H176" s="5">
        <v>37332.980000000003</v>
      </c>
      <c r="I176" s="59" t="e">
        <f>_xlfn.XLOOKUP(D176,'Ascendus data'!$R:$R,'Ascendus data'!$T:$T,,0)</f>
        <v>#N/A</v>
      </c>
      <c r="J176" s="137" t="e">
        <f t="shared" si="5"/>
        <v>#N/A</v>
      </c>
      <c r="K176" s="17">
        <v>2000002884</v>
      </c>
      <c r="L176" s="4">
        <v>46015</v>
      </c>
      <c r="M176" s="3" t="s">
        <v>18</v>
      </c>
    </row>
    <row r="177" spans="1:13" hidden="1" x14ac:dyDescent="0.35">
      <c r="A177" s="3" t="s">
        <v>109</v>
      </c>
      <c r="B177" s="17">
        <v>1900008544</v>
      </c>
      <c r="C177" s="4">
        <v>45997</v>
      </c>
      <c r="D177" s="60">
        <v>256779419977</v>
      </c>
      <c r="E177" s="3" t="s">
        <v>110</v>
      </c>
      <c r="F177" s="5">
        <v>-605.37</v>
      </c>
      <c r="G177" s="3" t="s">
        <v>110</v>
      </c>
      <c r="H177" s="5">
        <v>-605.37</v>
      </c>
      <c r="I177" s="3">
        <f>_xlfn.XLOOKUP(D177,'Ascendus data'!$M:$M,'Ascendus data'!$T:$T,,0)</f>
        <v>605.37</v>
      </c>
      <c r="J177" s="137">
        <f t="shared" si="5"/>
        <v>0</v>
      </c>
      <c r="K177" s="17">
        <v>2000002966</v>
      </c>
      <c r="L177" s="4">
        <v>46097</v>
      </c>
      <c r="M177" s="3" t="s">
        <v>38</v>
      </c>
    </row>
    <row r="178" spans="1:13" hidden="1" x14ac:dyDescent="0.35">
      <c r="A178" s="3" t="s">
        <v>109</v>
      </c>
      <c r="B178" s="17">
        <v>1900008545</v>
      </c>
      <c r="C178" s="4">
        <v>45997</v>
      </c>
      <c r="D178" s="60">
        <v>256779419939</v>
      </c>
      <c r="E178" s="3" t="s">
        <v>110</v>
      </c>
      <c r="F178" s="5">
        <v>-753.92</v>
      </c>
      <c r="G178" s="3" t="s">
        <v>110</v>
      </c>
      <c r="H178" s="5">
        <v>-753.92</v>
      </c>
      <c r="I178" s="3">
        <f>_xlfn.XLOOKUP(D178,'Ascendus data'!$M:$M,'Ascendus data'!$T:$T,,0)</f>
        <v>753.92</v>
      </c>
      <c r="J178" s="137">
        <f t="shared" si="5"/>
        <v>0</v>
      </c>
      <c r="K178" s="17">
        <v>2000002966</v>
      </c>
      <c r="L178" s="4">
        <v>46097</v>
      </c>
      <c r="M178" s="3" t="s">
        <v>804</v>
      </c>
    </row>
    <row r="179" spans="1:13" hidden="1" x14ac:dyDescent="0.35">
      <c r="A179" s="3" t="s">
        <v>109</v>
      </c>
      <c r="B179" s="17">
        <v>1900008546</v>
      </c>
      <c r="C179" s="4">
        <v>45999</v>
      </c>
      <c r="D179" s="60">
        <v>256779419829</v>
      </c>
      <c r="E179" s="3" t="s">
        <v>110</v>
      </c>
      <c r="F179" s="5">
        <v>-55.89</v>
      </c>
      <c r="G179" s="3" t="s">
        <v>110</v>
      </c>
      <c r="H179" s="5">
        <v>-55.89</v>
      </c>
      <c r="I179" s="3">
        <f>_xlfn.XLOOKUP(D179,'Ascendus data'!$M:$M,'Ascendus data'!$T:$T,,0)</f>
        <v>55.89</v>
      </c>
      <c r="J179" s="137">
        <f t="shared" si="5"/>
        <v>0</v>
      </c>
      <c r="K179" s="17">
        <v>2000002966</v>
      </c>
      <c r="L179" s="4">
        <v>46097</v>
      </c>
      <c r="M179" s="3" t="s">
        <v>34</v>
      </c>
    </row>
    <row r="180" spans="1:13" hidden="1" x14ac:dyDescent="0.35">
      <c r="A180" s="3" t="s">
        <v>109</v>
      </c>
      <c r="B180" s="17">
        <v>1900008547</v>
      </c>
      <c r="C180" s="4">
        <v>45981</v>
      </c>
      <c r="D180" s="60">
        <v>256779419459</v>
      </c>
      <c r="E180" s="3" t="s">
        <v>110</v>
      </c>
      <c r="F180" s="5">
        <v>-13.52</v>
      </c>
      <c r="G180" s="3" t="s">
        <v>110</v>
      </c>
      <c r="H180" s="5">
        <v>-13.52</v>
      </c>
      <c r="I180" s="3">
        <f>_xlfn.XLOOKUP(D180,'Ascendus data'!$M:$M,'Ascendus data'!$T:$T,,0)</f>
        <v>13.52</v>
      </c>
      <c r="J180" s="137">
        <f t="shared" si="5"/>
        <v>0</v>
      </c>
      <c r="K180" s="17">
        <v>2000002966</v>
      </c>
      <c r="L180" s="4">
        <v>46097</v>
      </c>
      <c r="M180" s="3" t="s">
        <v>805</v>
      </c>
    </row>
    <row r="181" spans="1:13" hidden="1" x14ac:dyDescent="0.35">
      <c r="A181" s="3" t="s">
        <v>109</v>
      </c>
      <c r="B181" s="17">
        <v>1900008548</v>
      </c>
      <c r="C181" s="4">
        <v>45981</v>
      </c>
      <c r="D181" s="60">
        <v>256779419451</v>
      </c>
      <c r="E181" s="3" t="s">
        <v>110</v>
      </c>
      <c r="F181" s="5">
        <v>-103.11</v>
      </c>
      <c r="G181" s="3" t="s">
        <v>110</v>
      </c>
      <c r="H181" s="5">
        <v>-103.11</v>
      </c>
      <c r="I181" s="3">
        <f>_xlfn.XLOOKUP(D181,'Ascendus data'!$M:$M,'Ascendus data'!$T:$T,,0)</f>
        <v>103.11</v>
      </c>
      <c r="J181" s="137">
        <f t="shared" si="5"/>
        <v>0</v>
      </c>
      <c r="K181" s="17">
        <v>2000002966</v>
      </c>
      <c r="L181" s="4">
        <v>46097</v>
      </c>
      <c r="M181" s="3" t="s">
        <v>806</v>
      </c>
    </row>
    <row r="182" spans="1:13" hidden="1" x14ac:dyDescent="0.35">
      <c r="A182" s="3" t="s">
        <v>109</v>
      </c>
      <c r="B182" s="17">
        <v>1900008549</v>
      </c>
      <c r="C182" s="4">
        <v>46024</v>
      </c>
      <c r="D182" s="60">
        <v>256779450072</v>
      </c>
      <c r="E182" s="3" t="s">
        <v>110</v>
      </c>
      <c r="F182" s="5">
        <v>-118</v>
      </c>
      <c r="G182" s="3" t="s">
        <v>110</v>
      </c>
      <c r="H182" s="5">
        <v>-118</v>
      </c>
      <c r="I182" s="3">
        <f>_xlfn.XLOOKUP(D182,'Ascendus data'!$M:$M,'Ascendus data'!$T:$T,,0)</f>
        <v>118</v>
      </c>
      <c r="J182" s="137">
        <f t="shared" si="5"/>
        <v>0</v>
      </c>
      <c r="K182" s="17">
        <v>2000002966</v>
      </c>
      <c r="L182" s="4">
        <v>46097</v>
      </c>
      <c r="M182" s="3" t="s">
        <v>807</v>
      </c>
    </row>
    <row r="183" spans="1:13" hidden="1" x14ac:dyDescent="0.35">
      <c r="A183" s="3" t="s">
        <v>109</v>
      </c>
      <c r="B183" s="17">
        <v>1900008554</v>
      </c>
      <c r="C183" s="4">
        <v>45996</v>
      </c>
      <c r="D183" s="60">
        <v>256779419881</v>
      </c>
      <c r="E183" s="3" t="s">
        <v>110</v>
      </c>
      <c r="F183" s="5">
        <v>-3279.81</v>
      </c>
      <c r="G183" s="3" t="s">
        <v>110</v>
      </c>
      <c r="H183" s="5">
        <v>-3279.81</v>
      </c>
      <c r="I183" s="3">
        <f>_xlfn.XLOOKUP(D183,'Ascendus data'!$M:$M,'Ascendus data'!$T:$T,,0)</f>
        <v>3279.81</v>
      </c>
      <c r="J183" s="137">
        <f t="shared" si="5"/>
        <v>0</v>
      </c>
      <c r="K183" s="17">
        <v>2000002966</v>
      </c>
      <c r="L183" s="4">
        <v>46097</v>
      </c>
      <c r="M183" s="3" t="s">
        <v>808</v>
      </c>
    </row>
    <row r="184" spans="1:13" hidden="1" x14ac:dyDescent="0.35">
      <c r="A184" s="3" t="s">
        <v>109</v>
      </c>
      <c r="B184" s="17">
        <v>1900008555</v>
      </c>
      <c r="C184" s="4">
        <v>45999</v>
      </c>
      <c r="D184" s="60">
        <v>256779419839</v>
      </c>
      <c r="E184" s="3" t="s">
        <v>110</v>
      </c>
      <c r="F184" s="5">
        <v>-8184.96</v>
      </c>
      <c r="G184" s="3" t="s">
        <v>110</v>
      </c>
      <c r="H184" s="5">
        <v>-8184.96</v>
      </c>
      <c r="I184" s="3">
        <f>_xlfn.XLOOKUP(D184,'Ascendus data'!$M:$M,'Ascendus data'!$T:$T,,0)</f>
        <v>8184.96</v>
      </c>
      <c r="J184" s="137">
        <f t="shared" si="5"/>
        <v>0</v>
      </c>
      <c r="K184" s="17">
        <v>2000002966</v>
      </c>
      <c r="L184" s="4">
        <v>46097</v>
      </c>
      <c r="M184" s="3" t="s">
        <v>809</v>
      </c>
    </row>
    <row r="185" spans="1:13" hidden="1" x14ac:dyDescent="0.35">
      <c r="A185" s="3" t="s">
        <v>109</v>
      </c>
      <c r="B185" s="17">
        <v>1900008556</v>
      </c>
      <c r="C185" s="4">
        <v>46034</v>
      </c>
      <c r="D185" s="60">
        <v>256779450736</v>
      </c>
      <c r="E185" s="3" t="s">
        <v>110</v>
      </c>
      <c r="F185" s="5">
        <v>-349.09</v>
      </c>
      <c r="G185" s="3" t="s">
        <v>110</v>
      </c>
      <c r="H185" s="5">
        <v>-349.09</v>
      </c>
      <c r="I185" s="3">
        <f>_xlfn.XLOOKUP(D185,'Ascendus data'!$M:$M,'Ascendus data'!$T:$T,,0)</f>
        <v>349.09</v>
      </c>
      <c r="J185" s="137">
        <f t="shared" si="5"/>
        <v>0</v>
      </c>
      <c r="K185" s="17">
        <v>2000002966</v>
      </c>
      <c r="L185" s="4">
        <v>46097</v>
      </c>
      <c r="M185" s="3" t="s">
        <v>810</v>
      </c>
    </row>
    <row r="186" spans="1:13" hidden="1" x14ac:dyDescent="0.35">
      <c r="A186" s="3" t="s">
        <v>109</v>
      </c>
      <c r="B186" s="17">
        <v>1900008557</v>
      </c>
      <c r="C186" s="4">
        <v>46034</v>
      </c>
      <c r="D186" s="60">
        <v>256779450747</v>
      </c>
      <c r="E186" s="3" t="s">
        <v>110</v>
      </c>
      <c r="F186" s="5">
        <v>-46.95</v>
      </c>
      <c r="G186" s="3" t="s">
        <v>110</v>
      </c>
      <c r="H186" s="5">
        <v>-46.95</v>
      </c>
      <c r="I186" s="3">
        <f>_xlfn.XLOOKUP(D186,'Ascendus data'!$M:$M,'Ascendus data'!$T:$T,,0)</f>
        <v>46.95</v>
      </c>
      <c r="J186" s="137">
        <f t="shared" si="5"/>
        <v>0</v>
      </c>
      <c r="K186" s="17">
        <v>2000002966</v>
      </c>
      <c r="L186" s="4">
        <v>46097</v>
      </c>
      <c r="M186" s="3" t="s">
        <v>811</v>
      </c>
    </row>
    <row r="187" spans="1:13" hidden="1" x14ac:dyDescent="0.35">
      <c r="A187" s="3" t="s">
        <v>157</v>
      </c>
      <c r="B187" s="17">
        <v>5100013655</v>
      </c>
      <c r="C187" s="4">
        <v>45994</v>
      </c>
      <c r="D187" s="60">
        <v>256779419674</v>
      </c>
      <c r="E187" s="3" t="s">
        <v>110</v>
      </c>
      <c r="F187" s="5">
        <v>-8917.61</v>
      </c>
      <c r="G187" s="3" t="s">
        <v>110</v>
      </c>
      <c r="H187" s="5">
        <v>-8917.61</v>
      </c>
      <c r="I187" s="3">
        <f>_xlfn.XLOOKUP(D187,'Ascendus data'!$M:$M,'Ascendus data'!$T:$T,,0)</f>
        <v>8917.61</v>
      </c>
      <c r="J187" s="137">
        <f t="shared" si="5"/>
        <v>0</v>
      </c>
      <c r="K187" s="17">
        <v>2000002966</v>
      </c>
      <c r="L187" s="4">
        <v>46097</v>
      </c>
      <c r="M187" s="3" t="s">
        <v>812</v>
      </c>
    </row>
    <row r="188" spans="1:13" hidden="1" x14ac:dyDescent="0.35">
      <c r="A188" s="3" t="s">
        <v>157</v>
      </c>
      <c r="B188" s="17">
        <v>5100013656</v>
      </c>
      <c r="C188" s="4">
        <v>45966</v>
      </c>
      <c r="D188" s="60">
        <v>256779418941</v>
      </c>
      <c r="E188" s="3" t="s">
        <v>110</v>
      </c>
      <c r="F188" s="5">
        <v>-7669.34</v>
      </c>
      <c r="G188" s="3" t="s">
        <v>110</v>
      </c>
      <c r="H188" s="5">
        <v>-7669.34</v>
      </c>
      <c r="I188" s="3">
        <f>_xlfn.XLOOKUP(D188,'Ascendus data'!$M:$M,'Ascendus data'!$T:$T,,0)</f>
        <v>7669.34</v>
      </c>
      <c r="J188" s="137">
        <f t="shared" si="5"/>
        <v>0</v>
      </c>
      <c r="K188" s="17">
        <v>2000002966</v>
      </c>
      <c r="L188" s="4">
        <v>46097</v>
      </c>
      <c r="M188" s="3" t="s">
        <v>813</v>
      </c>
    </row>
    <row r="189" spans="1:13" hidden="1" x14ac:dyDescent="0.35">
      <c r="A189" s="3" t="s">
        <v>157</v>
      </c>
      <c r="B189" s="17">
        <v>5100013657</v>
      </c>
      <c r="C189" s="4">
        <v>45966</v>
      </c>
      <c r="D189" s="60">
        <v>256779418940</v>
      </c>
      <c r="E189" s="3" t="s">
        <v>110</v>
      </c>
      <c r="F189" s="5">
        <v>-7238.59</v>
      </c>
      <c r="G189" s="3" t="s">
        <v>110</v>
      </c>
      <c r="H189" s="5">
        <v>-7238.59</v>
      </c>
      <c r="I189" s="3">
        <f>_xlfn.XLOOKUP(D189,'Ascendus data'!$M:$M,'Ascendus data'!$T:$T,,0)</f>
        <v>7238.59</v>
      </c>
      <c r="J189" s="137">
        <f t="shared" si="5"/>
        <v>0</v>
      </c>
      <c r="K189" s="17">
        <v>2000002966</v>
      </c>
      <c r="L189" s="4">
        <v>46097</v>
      </c>
      <c r="M189" s="3" t="s">
        <v>814</v>
      </c>
    </row>
    <row r="190" spans="1:13" hidden="1" x14ac:dyDescent="0.35">
      <c r="A190" s="3" t="s">
        <v>157</v>
      </c>
      <c r="B190" s="17">
        <v>5100013658</v>
      </c>
      <c r="C190" s="4">
        <v>45994</v>
      </c>
      <c r="D190" s="60">
        <v>256779419675</v>
      </c>
      <c r="E190" s="3" t="s">
        <v>110</v>
      </c>
      <c r="F190" s="5">
        <v>-7536.01</v>
      </c>
      <c r="G190" s="3" t="s">
        <v>110</v>
      </c>
      <c r="H190" s="5">
        <v>-7536.01</v>
      </c>
      <c r="I190" s="3">
        <f>_xlfn.XLOOKUP(D190,'Ascendus data'!$M:$M,'Ascendus data'!$T:$T,,0)</f>
        <v>7536.01</v>
      </c>
      <c r="J190" s="137">
        <f t="shared" si="5"/>
        <v>0</v>
      </c>
      <c r="K190" s="17">
        <v>2000002966</v>
      </c>
      <c r="L190" s="4">
        <v>46097</v>
      </c>
      <c r="M190" s="3" t="s">
        <v>812</v>
      </c>
    </row>
    <row r="191" spans="1:13" hidden="1" x14ac:dyDescent="0.35">
      <c r="A191" s="3" t="s">
        <v>803</v>
      </c>
      <c r="B191" s="17">
        <v>2000002966</v>
      </c>
      <c r="C191" s="4">
        <v>46097</v>
      </c>
      <c r="D191" s="60" t="s">
        <v>815</v>
      </c>
      <c r="E191" s="3" t="s">
        <v>110</v>
      </c>
      <c r="F191" s="5">
        <v>44872.17</v>
      </c>
      <c r="G191" s="3" t="s">
        <v>110</v>
      </c>
      <c r="H191" s="5" t="s">
        <v>843</v>
      </c>
      <c r="I191" s="59" t="e">
        <f>_xlfn.XLOOKUP(D191,'Ascendus data'!$R:$R,'Ascendus data'!$T:$T,,0)</f>
        <v>#N/A</v>
      </c>
      <c r="J191" s="137" t="e">
        <f>I191-F191</f>
        <v>#N/A</v>
      </c>
      <c r="K191" s="17">
        <v>2000002966</v>
      </c>
      <c r="L191" s="4">
        <v>46097</v>
      </c>
      <c r="M191" s="3" t="s">
        <v>18</v>
      </c>
    </row>
    <row r="192" spans="1:13" x14ac:dyDescent="0.35">
      <c r="A192" s="3"/>
      <c r="B192" s="3"/>
      <c r="C192" s="4"/>
      <c r="D192" s="3"/>
      <c r="E192" s="3"/>
      <c r="F192" s="5"/>
      <c r="G192" s="3"/>
      <c r="H192" s="5"/>
      <c r="I192" s="3"/>
      <c r="J192" s="3"/>
      <c r="K192" s="3"/>
      <c r="L192" s="4"/>
      <c r="M192" s="3"/>
    </row>
    <row r="193" spans="1:13" x14ac:dyDescent="0.35">
      <c r="A193" s="55" t="s">
        <v>18</v>
      </c>
      <c r="B193" s="55" t="s">
        <v>18</v>
      </c>
      <c r="C193" s="56"/>
      <c r="D193" s="55" t="s">
        <v>816</v>
      </c>
      <c r="E193" s="55" t="s">
        <v>110</v>
      </c>
      <c r="F193" s="57">
        <f>SUM(F2:F192)</f>
        <v>0</v>
      </c>
      <c r="G193" s="55" t="s">
        <v>110</v>
      </c>
      <c r="H193" s="57">
        <v>123978.28</v>
      </c>
      <c r="I193" s="55"/>
      <c r="J193" s="55"/>
      <c r="K193" s="55" t="s">
        <v>18</v>
      </c>
      <c r="L193" s="56"/>
      <c r="M193" s="55" t="s">
        <v>18</v>
      </c>
    </row>
  </sheetData>
  <autoFilter ref="A1:M191" xr:uid="{4821FFF3-7CAA-48C4-A19D-95FE7393FF5E}">
    <filterColumn colId="12">
      <filters>
        <filter val="CY - Destuff charges - March 2025"/>
        <filter val="CY - WH DESTUFF Feb'25"/>
        <filter val="CY Destuff Charges-Aug24"/>
        <filter val="CY Destuff Charges-Dec24"/>
        <filter val="CY Destuff Charges-Jan25"/>
        <filter val="CY Destuff Charges-Nov24"/>
        <filter val="CY Destuff Charges-Oct24"/>
        <filter val="CY Destuff Charges-Sep24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48A1-8E2C-4CA9-82BA-B3570F491B64}">
  <dimension ref="A4:H33"/>
  <sheetViews>
    <sheetView topLeftCell="A11" workbookViewId="0">
      <selection activeCell="A17" sqref="A2:H17"/>
    </sheetView>
  </sheetViews>
  <sheetFormatPr defaultRowHeight="14.5" x14ac:dyDescent="0.35"/>
  <cols>
    <col min="1" max="1" width="7.26953125" bestFit="1" customWidth="1"/>
    <col min="2" max="2" width="9.7265625" bestFit="1" customWidth="1"/>
    <col min="3" max="3" width="10.36328125" bestFit="1" customWidth="1"/>
    <col min="4" max="4" width="11.81640625" bestFit="1" customWidth="1"/>
    <col min="5" max="5" width="9.7265625" bestFit="1" customWidth="1"/>
    <col min="6" max="6" width="10.36328125" bestFit="1" customWidth="1"/>
    <col min="7" max="7" width="11.81640625" bestFit="1" customWidth="1"/>
    <col min="8" max="8" width="10.453125" bestFit="1" customWidth="1"/>
    <col min="9" max="9" width="33" bestFit="1" customWidth="1"/>
  </cols>
  <sheetData>
    <row r="4" spans="1:8" x14ac:dyDescent="0.35">
      <c r="C4" s="6" t="s">
        <v>178</v>
      </c>
      <c r="D4" s="6" t="s">
        <v>3</v>
      </c>
    </row>
    <row r="5" spans="1:8" x14ac:dyDescent="0.35">
      <c r="C5" t="s">
        <v>180</v>
      </c>
      <c r="F5" t="s">
        <v>700</v>
      </c>
    </row>
    <row r="6" spans="1:8" x14ac:dyDescent="0.35">
      <c r="A6" s="6" t="s">
        <v>181</v>
      </c>
      <c r="B6" s="6" t="s">
        <v>4</v>
      </c>
      <c r="C6" t="s">
        <v>164</v>
      </c>
      <c r="D6" t="s">
        <v>109</v>
      </c>
      <c r="E6" t="s">
        <v>157</v>
      </c>
      <c r="F6" t="s">
        <v>164</v>
      </c>
      <c r="G6" t="s">
        <v>109</v>
      </c>
      <c r="H6" t="s">
        <v>157</v>
      </c>
    </row>
    <row r="7" spans="1:8" x14ac:dyDescent="0.35">
      <c r="A7" t="s">
        <v>179</v>
      </c>
      <c r="C7" s="7"/>
      <c r="D7" s="7">
        <v>-21923.99</v>
      </c>
      <c r="E7" s="7">
        <v>-118063.28999999998</v>
      </c>
      <c r="F7" s="7"/>
      <c r="G7" s="7">
        <v>-21923.99</v>
      </c>
      <c r="H7" s="7">
        <v>-118063.28999999998</v>
      </c>
    </row>
    <row r="8" spans="1:8" x14ac:dyDescent="0.35">
      <c r="A8" t="s">
        <v>168</v>
      </c>
      <c r="C8" s="7">
        <v>16009</v>
      </c>
      <c r="D8" s="7">
        <v>-2280.1400000000003</v>
      </c>
      <c r="E8" s="7"/>
      <c r="F8" s="7">
        <v>16009</v>
      </c>
      <c r="G8" s="7">
        <v>-2280.1400000000003</v>
      </c>
      <c r="H8" s="7"/>
    </row>
    <row r="9" spans="1:8" x14ac:dyDescent="0.35">
      <c r="A9" t="s">
        <v>169</v>
      </c>
      <c r="C9" s="7"/>
      <c r="D9" s="7">
        <v>-10761.47</v>
      </c>
      <c r="E9" s="7">
        <v>-33703.42</v>
      </c>
      <c r="F9" s="7"/>
      <c r="G9" s="7">
        <v>-10761.47</v>
      </c>
      <c r="H9" s="7">
        <v>-33703.42</v>
      </c>
    </row>
    <row r="10" spans="1:8" x14ac:dyDescent="0.35">
      <c r="A10" t="s">
        <v>692</v>
      </c>
      <c r="C10" s="7"/>
      <c r="D10" s="7">
        <v>-5481.61</v>
      </c>
      <c r="E10" s="7">
        <v>-6237.23</v>
      </c>
      <c r="F10" s="7"/>
      <c r="G10" s="7">
        <v>-5481.61</v>
      </c>
      <c r="H10" s="7">
        <v>-6237.23</v>
      </c>
    </row>
    <row r="11" spans="1:8" x14ac:dyDescent="0.35">
      <c r="A11" t="s">
        <v>693</v>
      </c>
      <c r="C11" s="7"/>
      <c r="D11" s="7">
        <v>-4841.1899999999996</v>
      </c>
      <c r="E11" s="7">
        <v>-12657.66</v>
      </c>
      <c r="F11" s="7"/>
      <c r="G11" s="7">
        <v>-4841.1899999999996</v>
      </c>
      <c r="H11" s="7">
        <v>-12657.66</v>
      </c>
    </row>
    <row r="12" spans="1:8" x14ac:dyDescent="0.35">
      <c r="A12" t="s">
        <v>170</v>
      </c>
      <c r="C12" s="7"/>
      <c r="D12" s="7">
        <v>-4378.5599999999995</v>
      </c>
      <c r="E12" s="7">
        <v>-14259.89</v>
      </c>
      <c r="F12" s="7"/>
      <c r="G12" s="7">
        <v>-4378.5599999999995</v>
      </c>
      <c r="H12" s="7">
        <v>-14259.89</v>
      </c>
    </row>
    <row r="13" spans="1:8" x14ac:dyDescent="0.35">
      <c r="A13" t="s">
        <v>171</v>
      </c>
      <c r="C13" s="7"/>
      <c r="D13" s="7">
        <v>-9590.65</v>
      </c>
      <c r="E13" s="7">
        <v>-14009.32</v>
      </c>
      <c r="F13" s="7"/>
      <c r="G13" s="7">
        <v>-9590.65</v>
      </c>
      <c r="H13" s="7">
        <v>-14009.32</v>
      </c>
    </row>
    <row r="14" spans="1:8" x14ac:dyDescent="0.35">
      <c r="A14" t="s">
        <v>172</v>
      </c>
      <c r="C14" s="7"/>
      <c r="D14" s="7">
        <v>-9538.3799999999992</v>
      </c>
      <c r="E14" s="7">
        <v>-12299.39</v>
      </c>
      <c r="F14" s="7"/>
      <c r="G14" s="7">
        <v>-9538.3799999999992</v>
      </c>
      <c r="H14" s="7">
        <v>-12299.39</v>
      </c>
    </row>
    <row r="15" spans="1:8" x14ac:dyDescent="0.35">
      <c r="A15" t="s">
        <v>694</v>
      </c>
      <c r="C15" s="7"/>
      <c r="D15" s="7">
        <v>-13501.32</v>
      </c>
      <c r="E15" s="7">
        <v>-14289.84</v>
      </c>
      <c r="F15" s="7"/>
      <c r="G15" s="7">
        <v>-13501.32</v>
      </c>
      <c r="H15" s="7">
        <v>-14289.84</v>
      </c>
    </row>
    <row r="16" spans="1:8" x14ac:dyDescent="0.35">
      <c r="A16" t="s">
        <v>173</v>
      </c>
      <c r="C16" s="7"/>
      <c r="D16" s="7">
        <v>-10743.75</v>
      </c>
      <c r="E16" s="7"/>
      <c r="F16" s="7"/>
      <c r="G16" s="7">
        <v>-10743.75</v>
      </c>
      <c r="H16" s="7"/>
    </row>
    <row r="19" spans="1:7" x14ac:dyDescent="0.35">
      <c r="E19" s="39"/>
      <c r="F19" s="39"/>
      <c r="G19" s="39"/>
    </row>
    <row r="20" spans="1:7" x14ac:dyDescent="0.35">
      <c r="A20" s="34"/>
      <c r="B20" s="157" t="s">
        <v>180</v>
      </c>
      <c r="C20" s="157"/>
      <c r="D20" s="157"/>
      <c r="E20" s="158"/>
      <c r="F20" s="158"/>
      <c r="G20" s="158"/>
    </row>
    <row r="21" spans="1:7" x14ac:dyDescent="0.35">
      <c r="A21" s="34" t="s">
        <v>181</v>
      </c>
      <c r="B21" s="34" t="s">
        <v>164</v>
      </c>
      <c r="C21" s="34" t="s">
        <v>109</v>
      </c>
      <c r="D21" s="34" t="s">
        <v>157</v>
      </c>
      <c r="E21" s="39"/>
      <c r="F21" s="39"/>
      <c r="G21" s="39"/>
    </row>
    <row r="22" spans="1:7" x14ac:dyDescent="0.35">
      <c r="A22" s="8" t="s">
        <v>179</v>
      </c>
      <c r="B22" s="9"/>
      <c r="C22" s="9">
        <v>-21923.99</v>
      </c>
      <c r="D22" s="9">
        <v>-118063.28999999998</v>
      </c>
      <c r="E22" s="40"/>
      <c r="F22" s="40"/>
      <c r="G22" s="40"/>
    </row>
    <row r="23" spans="1:7" x14ac:dyDescent="0.35">
      <c r="A23" s="8" t="s">
        <v>168</v>
      </c>
      <c r="B23" s="9">
        <v>16009</v>
      </c>
      <c r="C23" s="9">
        <v>-2280.1400000000003</v>
      </c>
      <c r="D23" s="9"/>
      <c r="E23" s="40"/>
      <c r="F23" s="40"/>
      <c r="G23" s="40"/>
    </row>
    <row r="24" spans="1:7" x14ac:dyDescent="0.35">
      <c r="A24" s="8" t="s">
        <v>169</v>
      </c>
      <c r="B24" s="9"/>
      <c r="C24" s="9">
        <v>-10761.47</v>
      </c>
      <c r="D24" s="9">
        <v>-33703.42</v>
      </c>
      <c r="E24" s="40"/>
      <c r="F24" s="40"/>
      <c r="G24" s="40"/>
    </row>
    <row r="25" spans="1:7" x14ac:dyDescent="0.35">
      <c r="A25" s="8" t="s">
        <v>692</v>
      </c>
      <c r="B25" s="9"/>
      <c r="C25" s="9">
        <v>-5481.61</v>
      </c>
      <c r="D25" s="9">
        <v>-6237.23</v>
      </c>
      <c r="E25" s="40"/>
      <c r="F25" s="40"/>
      <c r="G25" s="40"/>
    </row>
    <row r="26" spans="1:7" x14ac:dyDescent="0.35">
      <c r="A26" s="8" t="s">
        <v>693</v>
      </c>
      <c r="B26" s="9"/>
      <c r="C26" s="9">
        <v>-4841.1899999999996</v>
      </c>
      <c r="D26" s="9">
        <v>-12657.66</v>
      </c>
      <c r="E26" s="40"/>
      <c r="F26" s="40"/>
      <c r="G26" s="40"/>
    </row>
    <row r="27" spans="1:7" x14ac:dyDescent="0.35">
      <c r="A27" s="8" t="s">
        <v>170</v>
      </c>
      <c r="B27" s="9"/>
      <c r="C27" s="9">
        <v>-4378.5599999999995</v>
      </c>
      <c r="D27" s="9">
        <v>-14259.89</v>
      </c>
      <c r="E27" s="40"/>
      <c r="F27" s="40"/>
      <c r="G27" s="40"/>
    </row>
    <row r="28" spans="1:7" x14ac:dyDescent="0.35">
      <c r="A28" s="8" t="s">
        <v>171</v>
      </c>
      <c r="B28" s="9"/>
      <c r="C28" s="9">
        <v>-9590.65</v>
      </c>
      <c r="D28" s="9">
        <v>-14009.32</v>
      </c>
      <c r="E28" s="40"/>
      <c r="F28" s="40"/>
      <c r="G28" s="40"/>
    </row>
    <row r="29" spans="1:7" x14ac:dyDescent="0.35">
      <c r="A29" s="8" t="s">
        <v>172</v>
      </c>
      <c r="B29" s="9"/>
      <c r="C29" s="9">
        <v>-9538.3799999999992</v>
      </c>
      <c r="D29" s="9">
        <v>-12299.39</v>
      </c>
      <c r="E29" s="40"/>
      <c r="F29" s="40"/>
      <c r="G29" s="40"/>
    </row>
    <row r="30" spans="1:7" x14ac:dyDescent="0.35">
      <c r="A30" s="8" t="s">
        <v>694</v>
      </c>
      <c r="B30" s="9"/>
      <c r="C30" s="9">
        <v>-13501.32</v>
      </c>
      <c r="D30" s="9">
        <v>-14289.84</v>
      </c>
      <c r="E30" s="40"/>
      <c r="F30" s="40"/>
      <c r="G30" s="40"/>
    </row>
    <row r="31" spans="1:7" x14ac:dyDescent="0.35">
      <c r="A31" s="8" t="s">
        <v>173</v>
      </c>
      <c r="B31" s="9"/>
      <c r="C31" s="9">
        <v>-10743.75</v>
      </c>
      <c r="D31" s="9"/>
      <c r="E31" s="40"/>
      <c r="F31" s="40"/>
      <c r="G31" s="40"/>
    </row>
    <row r="32" spans="1:7" x14ac:dyDescent="0.35">
      <c r="A32" s="34" t="s">
        <v>182</v>
      </c>
      <c r="B32" s="35">
        <f>SUM(B22:B31)</f>
        <v>16009</v>
      </c>
      <c r="C32" s="35">
        <f t="shared" ref="C32:D32" si="0">SUM(C22:C31)</f>
        <v>-93041.06</v>
      </c>
      <c r="D32" s="35">
        <f t="shared" si="0"/>
        <v>-225520.04</v>
      </c>
      <c r="E32" s="41"/>
      <c r="F32" s="41"/>
      <c r="G32" s="41"/>
    </row>
    <row r="33" spans="5:7" x14ac:dyDescent="0.35">
      <c r="E33" s="39"/>
      <c r="F33" s="39"/>
      <c r="G33" s="39"/>
    </row>
  </sheetData>
  <mergeCells count="2">
    <mergeCell ref="B20:D20"/>
    <mergeCell ref="E20:G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48CC-72AB-4B4F-9841-AED5989BC87A}">
  <dimension ref="A1:S137"/>
  <sheetViews>
    <sheetView topLeftCell="A2" zoomScale="70" zoomScaleNormal="70" workbookViewId="0">
      <selection activeCell="F2" sqref="F2"/>
    </sheetView>
  </sheetViews>
  <sheetFormatPr defaultRowHeight="14.5" x14ac:dyDescent="0.35"/>
  <cols>
    <col min="1" max="1" width="24.453125" bestFit="1" customWidth="1"/>
    <col min="2" max="2" width="16.81640625" bestFit="1" customWidth="1"/>
    <col min="3" max="3" width="12.90625" bestFit="1" customWidth="1"/>
    <col min="4" max="4" width="10" bestFit="1" customWidth="1"/>
    <col min="5" max="5" width="16.1796875" bestFit="1" customWidth="1"/>
    <col min="6" max="6" width="16" bestFit="1" customWidth="1"/>
    <col min="7" max="7" width="9.81640625" bestFit="1" customWidth="1"/>
    <col min="8" max="8" width="15.26953125" bestFit="1" customWidth="1"/>
    <col min="9" max="9" width="10.54296875" bestFit="1" customWidth="1"/>
    <col min="10" max="10" width="9.81640625" bestFit="1" customWidth="1"/>
    <col min="11" max="11" width="19" bestFit="1" customWidth="1"/>
    <col min="12" max="12" width="45.36328125" bestFit="1" customWidth="1"/>
    <col min="13" max="13" width="11.1796875" bestFit="1" customWidth="1"/>
    <col min="14" max="14" width="13.453125" bestFit="1" customWidth="1"/>
    <col min="15" max="15" width="10.7265625" bestFit="1" customWidth="1"/>
    <col min="16" max="16" width="11.1796875" bestFit="1" customWidth="1"/>
    <col min="17" max="17" width="17.54296875" bestFit="1" customWidth="1"/>
    <col min="18" max="18" width="13.1796875" bestFit="1" customWidth="1"/>
    <col min="19" max="19" width="9.90625" bestFit="1" customWidth="1"/>
  </cols>
  <sheetData>
    <row r="1" spans="1:19" ht="43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183</v>
      </c>
    </row>
    <row r="2" spans="1:19" x14ac:dyDescent="0.35">
      <c r="A2" s="10" t="s">
        <v>18</v>
      </c>
      <c r="B2" s="11">
        <v>1400000999</v>
      </c>
      <c r="C2" s="11" t="e">
        <v>#N/A</v>
      </c>
      <c r="D2" s="12" t="s">
        <v>19</v>
      </c>
      <c r="E2" s="13">
        <v>45891</v>
      </c>
      <c r="F2" s="12" t="s">
        <v>18</v>
      </c>
      <c r="G2" s="10" t="s">
        <v>18</v>
      </c>
      <c r="H2" s="14">
        <v>-10774244.689999999</v>
      </c>
      <c r="I2" s="12" t="s">
        <v>20</v>
      </c>
      <c r="J2" s="12" t="e">
        <v>#N/A</v>
      </c>
      <c r="K2" s="12" t="s">
        <v>18</v>
      </c>
      <c r="L2" s="12" t="s">
        <v>18</v>
      </c>
      <c r="M2" s="12" t="s">
        <v>21</v>
      </c>
      <c r="N2" s="13">
        <v>45891</v>
      </c>
      <c r="O2" s="12" t="s">
        <v>18</v>
      </c>
      <c r="P2" s="12" t="s">
        <v>18</v>
      </c>
      <c r="Q2" s="12" t="s">
        <v>18</v>
      </c>
      <c r="R2" s="12" t="s">
        <v>22</v>
      </c>
      <c r="S2" s="8"/>
    </row>
    <row r="3" spans="1:19" x14ac:dyDescent="0.35">
      <c r="A3" s="10" t="s">
        <v>18</v>
      </c>
      <c r="B3" s="11">
        <v>1800012797</v>
      </c>
      <c r="C3" s="15">
        <v>256779417478</v>
      </c>
      <c r="D3" s="12" t="s">
        <v>23</v>
      </c>
      <c r="E3" s="13">
        <v>45920</v>
      </c>
      <c r="F3" s="12" t="s">
        <v>18</v>
      </c>
      <c r="G3" s="10" t="s">
        <v>18</v>
      </c>
      <c r="H3" s="14">
        <v>87706.86</v>
      </c>
      <c r="I3" s="12" t="s">
        <v>20</v>
      </c>
      <c r="J3" s="12">
        <v>1002.2</v>
      </c>
      <c r="K3" s="12" t="s">
        <v>18</v>
      </c>
      <c r="L3" s="12" t="s">
        <v>24</v>
      </c>
      <c r="M3" s="12" t="s">
        <v>21</v>
      </c>
      <c r="N3" s="13">
        <v>45920</v>
      </c>
      <c r="O3" s="12" t="s">
        <v>25</v>
      </c>
      <c r="P3" s="12" t="s">
        <v>18</v>
      </c>
      <c r="Q3" s="12" t="s">
        <v>18</v>
      </c>
      <c r="R3" s="12" t="s">
        <v>22</v>
      </c>
      <c r="S3" s="8"/>
    </row>
    <row r="4" spans="1:19" x14ac:dyDescent="0.35">
      <c r="A4" s="10" t="s">
        <v>18</v>
      </c>
      <c r="B4" s="11">
        <v>1600002320</v>
      </c>
      <c r="C4" s="15">
        <v>256779421875</v>
      </c>
      <c r="D4" s="12" t="s">
        <v>26</v>
      </c>
      <c r="E4" s="13">
        <v>45923</v>
      </c>
      <c r="F4" s="12" t="s">
        <v>18</v>
      </c>
      <c r="G4" s="10" t="s">
        <v>18</v>
      </c>
      <c r="H4" s="14">
        <v>-11420.71</v>
      </c>
      <c r="I4" s="12" t="s">
        <v>20</v>
      </c>
      <c r="J4" s="12">
        <v>-131.74</v>
      </c>
      <c r="K4" s="12" t="s">
        <v>18</v>
      </c>
      <c r="L4" s="12" t="s">
        <v>27</v>
      </c>
      <c r="M4" s="12" t="s">
        <v>21</v>
      </c>
      <c r="N4" s="13">
        <v>45923</v>
      </c>
      <c r="O4" s="12" t="s">
        <v>25</v>
      </c>
      <c r="P4" s="12" t="s">
        <v>18</v>
      </c>
      <c r="Q4" s="12" t="s">
        <v>18</v>
      </c>
      <c r="R4" s="12" t="s">
        <v>22</v>
      </c>
      <c r="S4" s="8"/>
    </row>
    <row r="5" spans="1:19" x14ac:dyDescent="0.35">
      <c r="A5" s="10" t="s">
        <v>18</v>
      </c>
      <c r="B5" s="11">
        <v>1800013204</v>
      </c>
      <c r="C5" s="15">
        <v>256779417820</v>
      </c>
      <c r="D5" s="12" t="s">
        <v>23</v>
      </c>
      <c r="E5" s="13">
        <v>45924</v>
      </c>
      <c r="F5" s="12" t="s">
        <v>18</v>
      </c>
      <c r="G5" s="10" t="s">
        <v>18</v>
      </c>
      <c r="H5" s="14">
        <v>11420.71</v>
      </c>
      <c r="I5" s="12" t="s">
        <v>20</v>
      </c>
      <c r="J5" s="12">
        <v>131.74</v>
      </c>
      <c r="K5" s="12" t="s">
        <v>18</v>
      </c>
      <c r="L5" s="12" t="s">
        <v>28</v>
      </c>
      <c r="M5" s="12" t="s">
        <v>21</v>
      </c>
      <c r="N5" s="13">
        <v>45924</v>
      </c>
      <c r="O5" s="12" t="s">
        <v>25</v>
      </c>
      <c r="P5" s="12" t="s">
        <v>18</v>
      </c>
      <c r="Q5" s="12" t="s">
        <v>18</v>
      </c>
      <c r="R5" s="12" t="s">
        <v>22</v>
      </c>
      <c r="S5" s="8"/>
    </row>
    <row r="6" spans="1:19" x14ac:dyDescent="0.35">
      <c r="A6" s="10" t="s">
        <v>18</v>
      </c>
      <c r="B6" s="11">
        <v>1800014423</v>
      </c>
      <c r="C6" s="15">
        <v>256779418940</v>
      </c>
      <c r="D6" s="12" t="s">
        <v>23</v>
      </c>
      <c r="E6" s="13">
        <v>45966</v>
      </c>
      <c r="F6" s="12" t="s">
        <v>18</v>
      </c>
      <c r="G6" s="10" t="s">
        <v>18</v>
      </c>
      <c r="H6" s="14">
        <v>637020.46</v>
      </c>
      <c r="I6" s="12" t="s">
        <v>20</v>
      </c>
      <c r="J6" s="12">
        <v>7238.59</v>
      </c>
      <c r="K6" s="12" t="s">
        <v>18</v>
      </c>
      <c r="L6" s="12" t="s">
        <v>29</v>
      </c>
      <c r="M6" s="12" t="s">
        <v>21</v>
      </c>
      <c r="N6" s="13">
        <v>45966</v>
      </c>
      <c r="O6" s="12" t="s">
        <v>25</v>
      </c>
      <c r="P6" s="12" t="s">
        <v>18</v>
      </c>
      <c r="Q6" s="12" t="s">
        <v>18</v>
      </c>
      <c r="R6" s="12" t="s">
        <v>22</v>
      </c>
      <c r="S6" s="8"/>
    </row>
    <row r="7" spans="1:19" x14ac:dyDescent="0.35">
      <c r="A7" s="10" t="s">
        <v>18</v>
      </c>
      <c r="B7" s="11">
        <v>1800014424</v>
      </c>
      <c r="C7" s="15">
        <v>256779418941</v>
      </c>
      <c r="D7" s="12" t="s">
        <v>23</v>
      </c>
      <c r="E7" s="13">
        <v>45966</v>
      </c>
      <c r="F7" s="12" t="s">
        <v>18</v>
      </c>
      <c r="G7" s="10" t="s">
        <v>18</v>
      </c>
      <c r="H7" s="14">
        <v>674927.92</v>
      </c>
      <c r="I7" s="12" t="s">
        <v>20</v>
      </c>
      <c r="J7" s="12">
        <v>7669.34</v>
      </c>
      <c r="K7" s="12" t="s">
        <v>18</v>
      </c>
      <c r="L7" s="12" t="s">
        <v>29</v>
      </c>
      <c r="M7" s="12" t="s">
        <v>21</v>
      </c>
      <c r="N7" s="13">
        <v>45966</v>
      </c>
      <c r="O7" s="12" t="s">
        <v>25</v>
      </c>
      <c r="P7" s="12" t="s">
        <v>18</v>
      </c>
      <c r="Q7" s="12" t="s">
        <v>18</v>
      </c>
      <c r="R7" s="12" t="s">
        <v>22</v>
      </c>
      <c r="S7" s="8"/>
    </row>
    <row r="8" spans="1:19" x14ac:dyDescent="0.35">
      <c r="A8" s="10" t="s">
        <v>18</v>
      </c>
      <c r="B8" s="11">
        <v>1800014902</v>
      </c>
      <c r="C8" s="15">
        <v>256779419451</v>
      </c>
      <c r="D8" s="12" t="s">
        <v>23</v>
      </c>
      <c r="E8" s="13">
        <v>45981</v>
      </c>
      <c r="F8" s="12" t="s">
        <v>18</v>
      </c>
      <c r="G8" s="10" t="s">
        <v>18</v>
      </c>
      <c r="H8" s="14">
        <v>9074.0300000000007</v>
      </c>
      <c r="I8" s="12" t="s">
        <v>20</v>
      </c>
      <c r="J8" s="12">
        <v>103.11</v>
      </c>
      <c r="K8" s="12" t="s">
        <v>18</v>
      </c>
      <c r="L8" s="12" t="s">
        <v>30</v>
      </c>
      <c r="M8" s="12" t="s">
        <v>21</v>
      </c>
      <c r="N8" s="13">
        <v>45981</v>
      </c>
      <c r="O8" s="12" t="s">
        <v>25</v>
      </c>
      <c r="P8" s="12" t="s">
        <v>18</v>
      </c>
      <c r="Q8" s="12" t="s">
        <v>18</v>
      </c>
      <c r="R8" s="12" t="s">
        <v>22</v>
      </c>
      <c r="S8" s="8"/>
    </row>
    <row r="9" spans="1:19" x14ac:dyDescent="0.35">
      <c r="A9" s="10" t="s">
        <v>18</v>
      </c>
      <c r="B9" s="11">
        <v>1800014910</v>
      </c>
      <c r="C9" s="15">
        <v>256779419459</v>
      </c>
      <c r="D9" s="12" t="s">
        <v>23</v>
      </c>
      <c r="E9" s="13">
        <v>45981</v>
      </c>
      <c r="F9" s="12" t="s">
        <v>18</v>
      </c>
      <c r="G9" s="10" t="s">
        <v>18</v>
      </c>
      <c r="H9" s="14">
        <v>1189.81</v>
      </c>
      <c r="I9" s="12" t="s">
        <v>20</v>
      </c>
      <c r="J9" s="12">
        <v>13.52</v>
      </c>
      <c r="K9" s="12" t="s">
        <v>18</v>
      </c>
      <c r="L9" s="12" t="s">
        <v>31</v>
      </c>
      <c r="M9" s="12" t="s">
        <v>21</v>
      </c>
      <c r="N9" s="13">
        <v>45981</v>
      </c>
      <c r="O9" s="12" t="s">
        <v>25</v>
      </c>
      <c r="P9" s="12" t="s">
        <v>18</v>
      </c>
      <c r="Q9" s="12" t="s">
        <v>18</v>
      </c>
      <c r="R9" s="12" t="s">
        <v>22</v>
      </c>
      <c r="S9" s="8"/>
    </row>
    <row r="10" spans="1:19" x14ac:dyDescent="0.35">
      <c r="A10" s="10" t="s">
        <v>18</v>
      </c>
      <c r="B10" s="11">
        <v>1800015173</v>
      </c>
      <c r="C10" s="15">
        <v>256779419674</v>
      </c>
      <c r="D10" s="12" t="s">
        <v>23</v>
      </c>
      <c r="E10" s="13">
        <v>45994</v>
      </c>
      <c r="F10" s="12" t="s">
        <v>18</v>
      </c>
      <c r="G10" s="10" t="s">
        <v>18</v>
      </c>
      <c r="H10" s="14">
        <v>790993.26</v>
      </c>
      <c r="I10" s="12" t="s">
        <v>20</v>
      </c>
      <c r="J10" s="12">
        <v>8917.61</v>
      </c>
      <c r="K10" s="12" t="s">
        <v>18</v>
      </c>
      <c r="L10" s="12" t="s">
        <v>32</v>
      </c>
      <c r="M10" s="12" t="s">
        <v>21</v>
      </c>
      <c r="N10" s="13">
        <v>45994</v>
      </c>
      <c r="O10" s="12" t="s">
        <v>25</v>
      </c>
      <c r="P10" s="12" t="s">
        <v>18</v>
      </c>
      <c r="Q10" s="12" t="s">
        <v>18</v>
      </c>
      <c r="R10" s="12" t="s">
        <v>22</v>
      </c>
      <c r="S10" s="8"/>
    </row>
    <row r="11" spans="1:19" x14ac:dyDescent="0.35">
      <c r="A11" s="10" t="s">
        <v>18</v>
      </c>
      <c r="B11" s="11">
        <v>1800015174</v>
      </c>
      <c r="C11" s="15">
        <v>256779419675</v>
      </c>
      <c r="D11" s="12" t="s">
        <v>23</v>
      </c>
      <c r="E11" s="13">
        <v>45994</v>
      </c>
      <c r="F11" s="12" t="s">
        <v>18</v>
      </c>
      <c r="G11" s="10" t="s">
        <v>18</v>
      </c>
      <c r="H11" s="14">
        <v>668445.14</v>
      </c>
      <c r="I11" s="12" t="s">
        <v>20</v>
      </c>
      <c r="J11" s="12">
        <v>7536.01</v>
      </c>
      <c r="K11" s="12" t="s">
        <v>18</v>
      </c>
      <c r="L11" s="12" t="s">
        <v>32</v>
      </c>
      <c r="M11" s="12" t="s">
        <v>21</v>
      </c>
      <c r="N11" s="13">
        <v>45994</v>
      </c>
      <c r="O11" s="12" t="s">
        <v>25</v>
      </c>
      <c r="P11" s="12" t="s">
        <v>18</v>
      </c>
      <c r="Q11" s="12" t="s">
        <v>18</v>
      </c>
      <c r="R11" s="12" t="s">
        <v>22</v>
      </c>
      <c r="S11" s="8"/>
    </row>
    <row r="12" spans="1:19" x14ac:dyDescent="0.35">
      <c r="A12" s="10" t="s">
        <v>18</v>
      </c>
      <c r="B12" s="11">
        <v>1800015716</v>
      </c>
      <c r="C12" s="15">
        <v>256779450072</v>
      </c>
      <c r="D12" s="12" t="s">
        <v>23</v>
      </c>
      <c r="E12" s="13">
        <v>46024</v>
      </c>
      <c r="F12" s="12" t="s">
        <v>18</v>
      </c>
      <c r="G12" s="10" t="s">
        <v>18</v>
      </c>
      <c r="H12" s="14">
        <v>10707.69</v>
      </c>
      <c r="I12" s="12" t="s">
        <v>20</v>
      </c>
      <c r="J12" s="12">
        <v>118</v>
      </c>
      <c r="K12" s="12" t="s">
        <v>18</v>
      </c>
      <c r="L12" s="12" t="s">
        <v>33</v>
      </c>
      <c r="M12" s="12" t="s">
        <v>21</v>
      </c>
      <c r="N12" s="13">
        <v>46024</v>
      </c>
      <c r="O12" s="12" t="s">
        <v>25</v>
      </c>
      <c r="P12" s="12" t="s">
        <v>18</v>
      </c>
      <c r="Q12" s="12" t="s">
        <v>18</v>
      </c>
      <c r="R12" s="12" t="s">
        <v>22</v>
      </c>
      <c r="S12" s="8"/>
    </row>
    <row r="13" spans="1:19" x14ac:dyDescent="0.35">
      <c r="A13" s="10" t="s">
        <v>18</v>
      </c>
      <c r="B13" s="11">
        <v>1800015380</v>
      </c>
      <c r="C13" s="15">
        <v>256779419829</v>
      </c>
      <c r="D13" s="12" t="s">
        <v>23</v>
      </c>
      <c r="E13" s="13">
        <v>45999</v>
      </c>
      <c r="F13" s="12" t="s">
        <v>18</v>
      </c>
      <c r="G13" s="10" t="s">
        <v>18</v>
      </c>
      <c r="H13" s="14">
        <v>4957.45</v>
      </c>
      <c r="I13" s="12" t="s">
        <v>20</v>
      </c>
      <c r="J13" s="12">
        <v>55.89</v>
      </c>
      <c r="K13" s="12" t="s">
        <v>18</v>
      </c>
      <c r="L13" s="12" t="s">
        <v>34</v>
      </c>
      <c r="M13" s="12" t="s">
        <v>21</v>
      </c>
      <c r="N13" s="13">
        <v>45999</v>
      </c>
      <c r="O13" s="12" t="s">
        <v>25</v>
      </c>
      <c r="P13" s="12" t="s">
        <v>18</v>
      </c>
      <c r="Q13" s="12" t="s">
        <v>18</v>
      </c>
      <c r="R13" s="12" t="s">
        <v>22</v>
      </c>
      <c r="S13" s="8"/>
    </row>
    <row r="14" spans="1:19" x14ac:dyDescent="0.35">
      <c r="A14" s="10" t="s">
        <v>18</v>
      </c>
      <c r="B14" s="11">
        <v>1800015390</v>
      </c>
      <c r="C14" s="15">
        <v>256779419839</v>
      </c>
      <c r="D14" s="12" t="s">
        <v>23</v>
      </c>
      <c r="E14" s="13">
        <v>45999</v>
      </c>
      <c r="F14" s="12" t="s">
        <v>18</v>
      </c>
      <c r="G14" s="10" t="s">
        <v>18</v>
      </c>
      <c r="H14" s="14">
        <v>726007.1</v>
      </c>
      <c r="I14" s="12" t="s">
        <v>20</v>
      </c>
      <c r="J14" s="12">
        <v>3122.18</v>
      </c>
      <c r="K14" s="12" t="s">
        <v>18</v>
      </c>
      <c r="L14" s="12" t="s">
        <v>35</v>
      </c>
      <c r="M14" s="12" t="s">
        <v>21</v>
      </c>
      <c r="N14" s="13">
        <v>45999</v>
      </c>
      <c r="O14" s="12" t="s">
        <v>25</v>
      </c>
      <c r="P14" s="12" t="s">
        <v>18</v>
      </c>
      <c r="Q14" s="12" t="s">
        <v>18</v>
      </c>
      <c r="R14" s="12" t="s">
        <v>22</v>
      </c>
      <c r="S14" s="8"/>
    </row>
    <row r="15" spans="1:19" x14ac:dyDescent="0.35">
      <c r="A15" s="10" t="s">
        <v>18</v>
      </c>
      <c r="B15" s="11">
        <v>1800015252</v>
      </c>
      <c r="C15" s="15">
        <v>256779419881</v>
      </c>
      <c r="D15" s="12" t="s">
        <v>23</v>
      </c>
      <c r="E15" s="13">
        <v>45996</v>
      </c>
      <c r="F15" s="12" t="s">
        <v>18</v>
      </c>
      <c r="G15" s="10" t="s">
        <v>18</v>
      </c>
      <c r="H15" s="14">
        <v>290919.61</v>
      </c>
      <c r="I15" s="12" t="s">
        <v>20</v>
      </c>
      <c r="J15" s="12">
        <v>1878.82</v>
      </c>
      <c r="K15" s="12" t="s">
        <v>18</v>
      </c>
      <c r="L15" s="12" t="s">
        <v>36</v>
      </c>
      <c r="M15" s="12" t="s">
        <v>21</v>
      </c>
      <c r="N15" s="13">
        <v>45996</v>
      </c>
      <c r="O15" s="12" t="s">
        <v>25</v>
      </c>
      <c r="P15" s="12" t="s">
        <v>18</v>
      </c>
      <c r="Q15" s="12" t="s">
        <v>18</v>
      </c>
      <c r="R15" s="12" t="s">
        <v>22</v>
      </c>
      <c r="S15" s="8"/>
    </row>
    <row r="16" spans="1:19" x14ac:dyDescent="0.35">
      <c r="A16" s="10" t="s">
        <v>18</v>
      </c>
      <c r="B16" s="11">
        <v>1800015438</v>
      </c>
      <c r="C16" s="15">
        <v>256779419939</v>
      </c>
      <c r="D16" s="12" t="s">
        <v>23</v>
      </c>
      <c r="E16" s="13">
        <v>45997</v>
      </c>
      <c r="F16" s="12" t="s">
        <v>18</v>
      </c>
      <c r="G16" s="10" t="s">
        <v>18</v>
      </c>
      <c r="H16" s="14">
        <v>66872.81</v>
      </c>
      <c r="I16" s="12" t="s">
        <v>20</v>
      </c>
      <c r="J16" s="12">
        <v>753.92</v>
      </c>
      <c r="K16" s="12" t="s">
        <v>18</v>
      </c>
      <c r="L16" s="12" t="s">
        <v>37</v>
      </c>
      <c r="M16" s="12" t="s">
        <v>21</v>
      </c>
      <c r="N16" s="13">
        <v>45997</v>
      </c>
      <c r="O16" s="12" t="s">
        <v>25</v>
      </c>
      <c r="P16" s="12" t="s">
        <v>18</v>
      </c>
      <c r="Q16" s="12" t="s">
        <v>18</v>
      </c>
      <c r="R16" s="12" t="s">
        <v>22</v>
      </c>
      <c r="S16" s="8"/>
    </row>
    <row r="17" spans="1:19" x14ac:dyDescent="0.35">
      <c r="A17" s="10" t="s">
        <v>18</v>
      </c>
      <c r="B17" s="11">
        <v>1800015460</v>
      </c>
      <c r="C17" s="15">
        <v>256779419977</v>
      </c>
      <c r="D17" s="12" t="s">
        <v>23</v>
      </c>
      <c r="E17" s="13">
        <v>45997</v>
      </c>
      <c r="F17" s="12" t="s">
        <v>18</v>
      </c>
      <c r="G17" s="10" t="s">
        <v>18</v>
      </c>
      <c r="H17" s="14">
        <v>53696.4</v>
      </c>
      <c r="I17" s="12" t="s">
        <v>20</v>
      </c>
      <c r="J17" s="12">
        <v>605.37</v>
      </c>
      <c r="K17" s="12" t="s">
        <v>18</v>
      </c>
      <c r="L17" s="12" t="s">
        <v>38</v>
      </c>
      <c r="M17" s="12" t="s">
        <v>21</v>
      </c>
      <c r="N17" s="13">
        <v>45997</v>
      </c>
      <c r="O17" s="12" t="s">
        <v>25</v>
      </c>
      <c r="P17" s="12" t="s">
        <v>18</v>
      </c>
      <c r="Q17" s="12" t="s">
        <v>18</v>
      </c>
      <c r="R17" s="12" t="s">
        <v>22</v>
      </c>
      <c r="S17" s="8"/>
    </row>
    <row r="18" spans="1:19" x14ac:dyDescent="0.35">
      <c r="A18" s="10" t="s">
        <v>18</v>
      </c>
      <c r="B18" s="11">
        <v>1800015839</v>
      </c>
      <c r="C18" s="15">
        <v>256779450142</v>
      </c>
      <c r="D18" s="12" t="s">
        <v>23</v>
      </c>
      <c r="E18" s="13">
        <v>46027</v>
      </c>
      <c r="F18" s="12" t="s">
        <v>18</v>
      </c>
      <c r="G18" s="10" t="s">
        <v>18</v>
      </c>
      <c r="H18" s="14">
        <v>6286.68</v>
      </c>
      <c r="I18" s="12" t="s">
        <v>20</v>
      </c>
      <c r="J18" s="12">
        <v>69.28</v>
      </c>
      <c r="K18" s="12" t="s">
        <v>18</v>
      </c>
      <c r="L18" s="12" t="s">
        <v>39</v>
      </c>
      <c r="M18" s="12" t="s">
        <v>21</v>
      </c>
      <c r="N18" s="13">
        <v>46027</v>
      </c>
      <c r="O18" s="12" t="s">
        <v>25</v>
      </c>
      <c r="P18" s="12" t="s">
        <v>18</v>
      </c>
      <c r="Q18" s="12" t="s">
        <v>18</v>
      </c>
      <c r="R18" s="12" t="s">
        <v>22</v>
      </c>
      <c r="S18" s="8"/>
    </row>
    <row r="19" spans="1:19" x14ac:dyDescent="0.35">
      <c r="A19" s="10" t="s">
        <v>18</v>
      </c>
      <c r="B19" s="11">
        <v>1800001388</v>
      </c>
      <c r="C19" s="15">
        <v>246779411256</v>
      </c>
      <c r="D19" s="12" t="s">
        <v>23</v>
      </c>
      <c r="E19" s="13">
        <v>45729</v>
      </c>
      <c r="F19" s="12" t="s">
        <v>18</v>
      </c>
      <c r="G19" s="10" t="s">
        <v>18</v>
      </c>
      <c r="H19" s="14">
        <v>19072.080000000002</v>
      </c>
      <c r="I19" s="12" t="s">
        <v>20</v>
      </c>
      <c r="J19" s="12">
        <v>220</v>
      </c>
      <c r="K19" s="12" t="s">
        <v>18</v>
      </c>
      <c r="L19" s="12" t="s">
        <v>40</v>
      </c>
      <c r="M19" s="12" t="s">
        <v>21</v>
      </c>
      <c r="N19" s="13">
        <v>45729</v>
      </c>
      <c r="O19" s="12" t="s">
        <v>25</v>
      </c>
      <c r="P19" s="12" t="s">
        <v>18</v>
      </c>
      <c r="Q19" s="12" t="s">
        <v>18</v>
      </c>
      <c r="R19" s="12" t="s">
        <v>22</v>
      </c>
      <c r="S19" s="8"/>
    </row>
    <row r="20" spans="1:19" x14ac:dyDescent="0.35">
      <c r="A20" s="10" t="s">
        <v>18</v>
      </c>
      <c r="B20" s="11">
        <v>1800001417</v>
      </c>
      <c r="C20" s="15">
        <v>246779411330</v>
      </c>
      <c r="D20" s="12" t="s">
        <v>23</v>
      </c>
      <c r="E20" s="13">
        <v>45729</v>
      </c>
      <c r="F20" s="12" t="s">
        <v>18</v>
      </c>
      <c r="G20" s="10" t="s">
        <v>18</v>
      </c>
      <c r="H20" s="14">
        <v>7368.76</v>
      </c>
      <c r="I20" s="12" t="s">
        <v>20</v>
      </c>
      <c r="J20" s="12">
        <v>85</v>
      </c>
      <c r="K20" s="12" t="s">
        <v>18</v>
      </c>
      <c r="L20" s="12" t="s">
        <v>41</v>
      </c>
      <c r="M20" s="12" t="s">
        <v>21</v>
      </c>
      <c r="N20" s="13">
        <v>45729</v>
      </c>
      <c r="O20" s="12" t="s">
        <v>25</v>
      </c>
      <c r="P20" s="12" t="s">
        <v>18</v>
      </c>
      <c r="Q20" s="12" t="s">
        <v>18</v>
      </c>
      <c r="R20" s="12" t="s">
        <v>22</v>
      </c>
      <c r="S20" s="8"/>
    </row>
    <row r="21" spans="1:19" x14ac:dyDescent="0.35">
      <c r="A21" s="10" t="s">
        <v>18</v>
      </c>
      <c r="B21" s="11">
        <v>1800001430</v>
      </c>
      <c r="C21" s="15">
        <v>246779411319</v>
      </c>
      <c r="D21" s="12" t="s">
        <v>23</v>
      </c>
      <c r="E21" s="13">
        <v>45729</v>
      </c>
      <c r="F21" s="12" t="s">
        <v>18</v>
      </c>
      <c r="G21" s="10" t="s">
        <v>18</v>
      </c>
      <c r="H21" s="14">
        <v>10402.950000000001</v>
      </c>
      <c r="I21" s="12" t="s">
        <v>20</v>
      </c>
      <c r="J21" s="12">
        <v>120</v>
      </c>
      <c r="K21" s="12" t="s">
        <v>18</v>
      </c>
      <c r="L21" s="12" t="s">
        <v>42</v>
      </c>
      <c r="M21" s="12" t="s">
        <v>21</v>
      </c>
      <c r="N21" s="13">
        <v>45729</v>
      </c>
      <c r="O21" s="12" t="s">
        <v>25</v>
      </c>
      <c r="P21" s="12" t="s">
        <v>18</v>
      </c>
      <c r="Q21" s="12" t="s">
        <v>18</v>
      </c>
      <c r="R21" s="12" t="s">
        <v>22</v>
      </c>
      <c r="S21" s="8"/>
    </row>
    <row r="22" spans="1:19" x14ac:dyDescent="0.35">
      <c r="A22" s="10" t="s">
        <v>18</v>
      </c>
      <c r="B22" s="11">
        <v>1800001441</v>
      </c>
      <c r="C22" s="15">
        <v>246779411305</v>
      </c>
      <c r="D22" s="12" t="s">
        <v>23</v>
      </c>
      <c r="E22" s="13">
        <v>45729</v>
      </c>
      <c r="F22" s="12" t="s">
        <v>18</v>
      </c>
      <c r="G22" s="10" t="s">
        <v>18</v>
      </c>
      <c r="H22" s="14">
        <v>11703.32</v>
      </c>
      <c r="I22" s="12" t="s">
        <v>20</v>
      </c>
      <c r="J22" s="12">
        <v>135</v>
      </c>
      <c r="K22" s="12" t="s">
        <v>18</v>
      </c>
      <c r="L22" s="12" t="s">
        <v>43</v>
      </c>
      <c r="M22" s="12" t="s">
        <v>21</v>
      </c>
      <c r="N22" s="13">
        <v>45729</v>
      </c>
      <c r="O22" s="12" t="s">
        <v>25</v>
      </c>
      <c r="P22" s="12" t="s">
        <v>18</v>
      </c>
      <c r="Q22" s="12" t="s">
        <v>18</v>
      </c>
      <c r="R22" s="12" t="s">
        <v>22</v>
      </c>
      <c r="S22" s="8"/>
    </row>
    <row r="23" spans="1:19" x14ac:dyDescent="0.35">
      <c r="A23" s="10" t="s">
        <v>18</v>
      </c>
      <c r="B23" s="11">
        <v>1800001454</v>
      </c>
      <c r="C23" s="15">
        <v>246779411286</v>
      </c>
      <c r="D23" s="12" t="s">
        <v>23</v>
      </c>
      <c r="E23" s="13">
        <v>45729</v>
      </c>
      <c r="F23" s="12" t="s">
        <v>18</v>
      </c>
      <c r="G23" s="10" t="s">
        <v>18</v>
      </c>
      <c r="H23" s="14">
        <v>58083.14</v>
      </c>
      <c r="I23" s="12" t="s">
        <v>20</v>
      </c>
      <c r="J23" s="12">
        <v>670</v>
      </c>
      <c r="K23" s="12" t="s">
        <v>18</v>
      </c>
      <c r="L23" s="12" t="s">
        <v>44</v>
      </c>
      <c r="M23" s="12" t="s">
        <v>21</v>
      </c>
      <c r="N23" s="13">
        <v>45729</v>
      </c>
      <c r="O23" s="12" t="s">
        <v>25</v>
      </c>
      <c r="P23" s="12" t="s">
        <v>18</v>
      </c>
      <c r="Q23" s="12" t="s">
        <v>18</v>
      </c>
      <c r="R23" s="12" t="s">
        <v>22</v>
      </c>
      <c r="S23" s="8"/>
    </row>
    <row r="24" spans="1:19" x14ac:dyDescent="0.35">
      <c r="A24" s="10" t="s">
        <v>18</v>
      </c>
      <c r="B24" s="11">
        <v>1800001878</v>
      </c>
      <c r="C24" s="15">
        <v>246779411543</v>
      </c>
      <c r="D24" s="12" t="s">
        <v>23</v>
      </c>
      <c r="E24" s="13">
        <v>45733</v>
      </c>
      <c r="F24" s="12" t="s">
        <v>18</v>
      </c>
      <c r="G24" s="10" t="s">
        <v>18</v>
      </c>
      <c r="H24" s="14">
        <v>1551.77</v>
      </c>
      <c r="I24" s="12" t="s">
        <v>20</v>
      </c>
      <c r="J24" s="12">
        <v>17.899999999999999</v>
      </c>
      <c r="K24" s="12" t="s">
        <v>18</v>
      </c>
      <c r="L24" s="12" t="s">
        <v>45</v>
      </c>
      <c r="M24" s="12" t="s">
        <v>21</v>
      </c>
      <c r="N24" s="13">
        <v>45733</v>
      </c>
      <c r="O24" s="12" t="s">
        <v>25</v>
      </c>
      <c r="P24" s="12" t="s">
        <v>18</v>
      </c>
      <c r="Q24" s="12" t="s">
        <v>18</v>
      </c>
      <c r="R24" s="12" t="s">
        <v>22</v>
      </c>
      <c r="S24" s="8"/>
    </row>
    <row r="25" spans="1:19" x14ac:dyDescent="0.35">
      <c r="A25" s="10" t="s">
        <v>18</v>
      </c>
      <c r="B25" s="11">
        <v>1800001879</v>
      </c>
      <c r="C25" s="15">
        <v>246779411544</v>
      </c>
      <c r="D25" s="12" t="s">
        <v>23</v>
      </c>
      <c r="E25" s="13">
        <v>45733</v>
      </c>
      <c r="F25" s="12" t="s">
        <v>18</v>
      </c>
      <c r="G25" s="10" t="s">
        <v>18</v>
      </c>
      <c r="H25" s="14">
        <v>1551.77</v>
      </c>
      <c r="I25" s="12" t="s">
        <v>20</v>
      </c>
      <c r="J25" s="12">
        <v>17.899999999999999</v>
      </c>
      <c r="K25" s="12" t="s">
        <v>18</v>
      </c>
      <c r="L25" s="12" t="s">
        <v>45</v>
      </c>
      <c r="M25" s="12" t="s">
        <v>21</v>
      </c>
      <c r="N25" s="13">
        <v>45733</v>
      </c>
      <c r="O25" s="12" t="s">
        <v>25</v>
      </c>
      <c r="P25" s="12" t="s">
        <v>18</v>
      </c>
      <c r="Q25" s="12" t="s">
        <v>18</v>
      </c>
      <c r="R25" s="12" t="s">
        <v>22</v>
      </c>
      <c r="S25" s="8"/>
    </row>
    <row r="26" spans="1:19" x14ac:dyDescent="0.35">
      <c r="A26" s="10" t="s">
        <v>18</v>
      </c>
      <c r="B26" s="11">
        <v>1800001880</v>
      </c>
      <c r="C26" s="15">
        <v>246779411545</v>
      </c>
      <c r="D26" s="12" t="s">
        <v>23</v>
      </c>
      <c r="E26" s="13">
        <v>45733</v>
      </c>
      <c r="F26" s="12" t="s">
        <v>18</v>
      </c>
      <c r="G26" s="10" t="s">
        <v>18</v>
      </c>
      <c r="H26" s="14">
        <v>3310.74</v>
      </c>
      <c r="I26" s="12" t="s">
        <v>20</v>
      </c>
      <c r="J26" s="12">
        <v>38.19</v>
      </c>
      <c r="K26" s="12" t="s">
        <v>18</v>
      </c>
      <c r="L26" s="12" t="s">
        <v>45</v>
      </c>
      <c r="M26" s="12" t="s">
        <v>21</v>
      </c>
      <c r="N26" s="13">
        <v>45733</v>
      </c>
      <c r="O26" s="12" t="s">
        <v>25</v>
      </c>
      <c r="P26" s="12" t="s">
        <v>18</v>
      </c>
      <c r="Q26" s="12" t="s">
        <v>18</v>
      </c>
      <c r="R26" s="12" t="s">
        <v>22</v>
      </c>
      <c r="S26" s="8"/>
    </row>
    <row r="27" spans="1:19" x14ac:dyDescent="0.35">
      <c r="A27" s="10" t="s">
        <v>18</v>
      </c>
      <c r="B27" s="11">
        <v>1800001993</v>
      </c>
      <c r="C27" s="15">
        <v>246779411658</v>
      </c>
      <c r="D27" s="12" t="s">
        <v>23</v>
      </c>
      <c r="E27" s="13">
        <v>45733</v>
      </c>
      <c r="F27" s="12" t="s">
        <v>18</v>
      </c>
      <c r="G27" s="10" t="s">
        <v>18</v>
      </c>
      <c r="H27" s="14">
        <v>12989.82</v>
      </c>
      <c r="I27" s="12" t="s">
        <v>20</v>
      </c>
      <c r="J27" s="12">
        <v>149.84</v>
      </c>
      <c r="K27" s="12" t="s">
        <v>18</v>
      </c>
      <c r="L27" s="12" t="s">
        <v>46</v>
      </c>
      <c r="M27" s="12" t="s">
        <v>21</v>
      </c>
      <c r="N27" s="13">
        <v>45733</v>
      </c>
      <c r="O27" s="12" t="s">
        <v>25</v>
      </c>
      <c r="P27" s="12" t="s">
        <v>18</v>
      </c>
      <c r="Q27" s="12" t="s">
        <v>18</v>
      </c>
      <c r="R27" s="12" t="s">
        <v>22</v>
      </c>
      <c r="S27" s="8"/>
    </row>
    <row r="28" spans="1:19" x14ac:dyDescent="0.35">
      <c r="A28" s="10" t="s">
        <v>18</v>
      </c>
      <c r="B28" s="11">
        <v>1800001994</v>
      </c>
      <c r="C28" s="15">
        <v>246779411659</v>
      </c>
      <c r="D28" s="12" t="s">
        <v>23</v>
      </c>
      <c r="E28" s="13">
        <v>45733</v>
      </c>
      <c r="F28" s="12" t="s">
        <v>18</v>
      </c>
      <c r="G28" s="10" t="s">
        <v>18</v>
      </c>
      <c r="H28" s="14">
        <v>1546.57</v>
      </c>
      <c r="I28" s="12" t="s">
        <v>20</v>
      </c>
      <c r="J28" s="12">
        <v>17.84</v>
      </c>
      <c r="K28" s="12" t="s">
        <v>18</v>
      </c>
      <c r="L28" s="12" t="s">
        <v>46</v>
      </c>
      <c r="M28" s="12" t="s">
        <v>21</v>
      </c>
      <c r="N28" s="13">
        <v>45733</v>
      </c>
      <c r="O28" s="12" t="s">
        <v>25</v>
      </c>
      <c r="P28" s="12" t="s">
        <v>18</v>
      </c>
      <c r="Q28" s="12" t="s">
        <v>18</v>
      </c>
      <c r="R28" s="12" t="s">
        <v>22</v>
      </c>
      <c r="S28" s="8"/>
    </row>
    <row r="29" spans="1:19" x14ac:dyDescent="0.35">
      <c r="A29" s="10" t="s">
        <v>18</v>
      </c>
      <c r="B29" s="11">
        <v>1800001995</v>
      </c>
      <c r="C29" s="15">
        <v>246779411660</v>
      </c>
      <c r="D29" s="12" t="s">
        <v>23</v>
      </c>
      <c r="E29" s="13">
        <v>45733</v>
      </c>
      <c r="F29" s="12" t="s">
        <v>18</v>
      </c>
      <c r="G29" s="10" t="s">
        <v>18</v>
      </c>
      <c r="H29" s="14">
        <v>1030.76</v>
      </c>
      <c r="I29" s="12" t="s">
        <v>20</v>
      </c>
      <c r="J29" s="12">
        <v>11.89</v>
      </c>
      <c r="K29" s="12" t="s">
        <v>18</v>
      </c>
      <c r="L29" s="12" t="s">
        <v>46</v>
      </c>
      <c r="M29" s="12" t="s">
        <v>21</v>
      </c>
      <c r="N29" s="13">
        <v>45733</v>
      </c>
      <c r="O29" s="12" t="s">
        <v>25</v>
      </c>
      <c r="P29" s="12" t="s">
        <v>18</v>
      </c>
      <c r="Q29" s="12" t="s">
        <v>18</v>
      </c>
      <c r="R29" s="12" t="s">
        <v>22</v>
      </c>
      <c r="S29" s="8"/>
    </row>
    <row r="30" spans="1:19" x14ac:dyDescent="0.35">
      <c r="A30" s="10" t="s">
        <v>18</v>
      </c>
      <c r="B30" s="11">
        <v>1800001996</v>
      </c>
      <c r="C30" s="15">
        <v>246779411661</v>
      </c>
      <c r="D30" s="12" t="s">
        <v>23</v>
      </c>
      <c r="E30" s="13">
        <v>45733</v>
      </c>
      <c r="F30" s="12" t="s">
        <v>18</v>
      </c>
      <c r="G30" s="10" t="s">
        <v>18</v>
      </c>
      <c r="H30" s="14">
        <v>82.36</v>
      </c>
      <c r="I30" s="12" t="s">
        <v>20</v>
      </c>
      <c r="J30" s="12">
        <v>0.95</v>
      </c>
      <c r="K30" s="12" t="s">
        <v>18</v>
      </c>
      <c r="L30" s="12" t="s">
        <v>46</v>
      </c>
      <c r="M30" s="12" t="s">
        <v>21</v>
      </c>
      <c r="N30" s="13">
        <v>45733</v>
      </c>
      <c r="O30" s="12" t="s">
        <v>25</v>
      </c>
      <c r="P30" s="12" t="s">
        <v>18</v>
      </c>
      <c r="Q30" s="12" t="s">
        <v>18</v>
      </c>
      <c r="R30" s="12" t="s">
        <v>22</v>
      </c>
      <c r="S30" s="8"/>
    </row>
    <row r="31" spans="1:19" x14ac:dyDescent="0.35">
      <c r="A31" s="10" t="s">
        <v>18</v>
      </c>
      <c r="B31" s="11">
        <v>1800001997</v>
      </c>
      <c r="C31" s="15">
        <v>246779411662</v>
      </c>
      <c r="D31" s="12" t="s">
        <v>23</v>
      </c>
      <c r="E31" s="13">
        <v>45733</v>
      </c>
      <c r="F31" s="12" t="s">
        <v>18</v>
      </c>
      <c r="G31" s="10" t="s">
        <v>18</v>
      </c>
      <c r="H31" s="14">
        <v>566.96</v>
      </c>
      <c r="I31" s="12" t="s">
        <v>20</v>
      </c>
      <c r="J31" s="12">
        <v>6.54</v>
      </c>
      <c r="K31" s="12" t="s">
        <v>18</v>
      </c>
      <c r="L31" s="12" t="s">
        <v>46</v>
      </c>
      <c r="M31" s="12" t="s">
        <v>21</v>
      </c>
      <c r="N31" s="13">
        <v>45733</v>
      </c>
      <c r="O31" s="12" t="s">
        <v>25</v>
      </c>
      <c r="P31" s="12" t="s">
        <v>18</v>
      </c>
      <c r="Q31" s="12" t="s">
        <v>18</v>
      </c>
      <c r="R31" s="12" t="s">
        <v>22</v>
      </c>
      <c r="S31" s="8"/>
    </row>
    <row r="32" spans="1:19" x14ac:dyDescent="0.35">
      <c r="A32" s="10" t="s">
        <v>18</v>
      </c>
      <c r="B32" s="11">
        <v>1800001998</v>
      </c>
      <c r="C32" s="15">
        <v>246779411663</v>
      </c>
      <c r="D32" s="12" t="s">
        <v>23</v>
      </c>
      <c r="E32" s="13">
        <v>45733</v>
      </c>
      <c r="F32" s="12" t="s">
        <v>18</v>
      </c>
      <c r="G32" s="10" t="s">
        <v>18</v>
      </c>
      <c r="H32" s="14">
        <v>5773.64</v>
      </c>
      <c r="I32" s="12" t="s">
        <v>20</v>
      </c>
      <c r="J32" s="12">
        <v>66.599999999999994</v>
      </c>
      <c r="K32" s="12" t="s">
        <v>18</v>
      </c>
      <c r="L32" s="12" t="s">
        <v>46</v>
      </c>
      <c r="M32" s="12" t="s">
        <v>21</v>
      </c>
      <c r="N32" s="13">
        <v>45733</v>
      </c>
      <c r="O32" s="12" t="s">
        <v>25</v>
      </c>
      <c r="P32" s="12" t="s">
        <v>18</v>
      </c>
      <c r="Q32" s="12" t="s">
        <v>18</v>
      </c>
      <c r="R32" s="12" t="s">
        <v>22</v>
      </c>
      <c r="S32" s="8"/>
    </row>
    <row r="33" spans="1:19" x14ac:dyDescent="0.35">
      <c r="A33" s="10" t="s">
        <v>18</v>
      </c>
      <c r="B33" s="11">
        <v>1800002200</v>
      </c>
      <c r="C33" s="15">
        <v>246779411865</v>
      </c>
      <c r="D33" s="12" t="s">
        <v>23</v>
      </c>
      <c r="E33" s="13">
        <v>45733</v>
      </c>
      <c r="F33" s="12" t="s">
        <v>18</v>
      </c>
      <c r="G33" s="10" t="s">
        <v>18</v>
      </c>
      <c r="H33" s="14">
        <v>1538.77</v>
      </c>
      <c r="I33" s="12" t="s">
        <v>20</v>
      </c>
      <c r="J33" s="12">
        <v>17.75</v>
      </c>
      <c r="K33" s="12" t="s">
        <v>18</v>
      </c>
      <c r="L33" s="12" t="s">
        <v>47</v>
      </c>
      <c r="M33" s="12" t="s">
        <v>21</v>
      </c>
      <c r="N33" s="13">
        <v>45733</v>
      </c>
      <c r="O33" s="12" t="s">
        <v>25</v>
      </c>
      <c r="P33" s="12" t="s">
        <v>18</v>
      </c>
      <c r="Q33" s="12" t="s">
        <v>18</v>
      </c>
      <c r="R33" s="12" t="s">
        <v>22</v>
      </c>
      <c r="S33" s="8"/>
    </row>
    <row r="34" spans="1:19" x14ac:dyDescent="0.35">
      <c r="A34" s="10" t="s">
        <v>18</v>
      </c>
      <c r="B34" s="11">
        <v>1800002201</v>
      </c>
      <c r="C34" s="15">
        <v>246779411866</v>
      </c>
      <c r="D34" s="12" t="s">
        <v>23</v>
      </c>
      <c r="E34" s="13">
        <v>45733</v>
      </c>
      <c r="F34" s="12" t="s">
        <v>18</v>
      </c>
      <c r="G34" s="10" t="s">
        <v>18</v>
      </c>
      <c r="H34" s="14">
        <v>1538.77</v>
      </c>
      <c r="I34" s="12" t="s">
        <v>20</v>
      </c>
      <c r="J34" s="12">
        <v>17.75</v>
      </c>
      <c r="K34" s="12" t="s">
        <v>18</v>
      </c>
      <c r="L34" s="12" t="s">
        <v>47</v>
      </c>
      <c r="M34" s="12" t="s">
        <v>21</v>
      </c>
      <c r="N34" s="13">
        <v>45733</v>
      </c>
      <c r="O34" s="12" t="s">
        <v>25</v>
      </c>
      <c r="P34" s="12" t="s">
        <v>18</v>
      </c>
      <c r="Q34" s="12" t="s">
        <v>18</v>
      </c>
      <c r="R34" s="12" t="s">
        <v>22</v>
      </c>
      <c r="S34" s="8"/>
    </row>
    <row r="35" spans="1:19" x14ac:dyDescent="0.35">
      <c r="A35" s="10" t="s">
        <v>18</v>
      </c>
      <c r="B35" s="11">
        <v>1800002202</v>
      </c>
      <c r="C35" s="15">
        <v>246779411867</v>
      </c>
      <c r="D35" s="12" t="s">
        <v>23</v>
      </c>
      <c r="E35" s="13">
        <v>45733</v>
      </c>
      <c r="F35" s="12" t="s">
        <v>18</v>
      </c>
      <c r="G35" s="10" t="s">
        <v>18</v>
      </c>
      <c r="H35" s="14">
        <v>2051.98</v>
      </c>
      <c r="I35" s="12" t="s">
        <v>20</v>
      </c>
      <c r="J35" s="12">
        <v>23.67</v>
      </c>
      <c r="K35" s="12" t="s">
        <v>18</v>
      </c>
      <c r="L35" s="12" t="s">
        <v>47</v>
      </c>
      <c r="M35" s="12" t="s">
        <v>21</v>
      </c>
      <c r="N35" s="13">
        <v>45733</v>
      </c>
      <c r="O35" s="12" t="s">
        <v>25</v>
      </c>
      <c r="P35" s="12" t="s">
        <v>18</v>
      </c>
      <c r="Q35" s="12" t="s">
        <v>18</v>
      </c>
      <c r="R35" s="12" t="s">
        <v>22</v>
      </c>
      <c r="S35" s="8"/>
    </row>
    <row r="36" spans="1:19" x14ac:dyDescent="0.35">
      <c r="A36" s="10" t="s">
        <v>18</v>
      </c>
      <c r="B36" s="11">
        <v>1800002203</v>
      </c>
      <c r="C36" s="15">
        <v>246779411868</v>
      </c>
      <c r="D36" s="12" t="s">
        <v>23</v>
      </c>
      <c r="E36" s="13">
        <v>45733</v>
      </c>
      <c r="F36" s="12" t="s">
        <v>18</v>
      </c>
      <c r="G36" s="10" t="s">
        <v>18</v>
      </c>
      <c r="H36" s="14">
        <v>1231.02</v>
      </c>
      <c r="I36" s="12" t="s">
        <v>20</v>
      </c>
      <c r="J36" s="12">
        <v>14.2</v>
      </c>
      <c r="K36" s="12" t="s">
        <v>18</v>
      </c>
      <c r="L36" s="12" t="s">
        <v>47</v>
      </c>
      <c r="M36" s="12" t="s">
        <v>21</v>
      </c>
      <c r="N36" s="13">
        <v>45733</v>
      </c>
      <c r="O36" s="12" t="s">
        <v>25</v>
      </c>
      <c r="P36" s="12" t="s">
        <v>18</v>
      </c>
      <c r="Q36" s="12" t="s">
        <v>18</v>
      </c>
      <c r="R36" s="12" t="s">
        <v>22</v>
      </c>
      <c r="S36" s="8"/>
    </row>
    <row r="37" spans="1:19" x14ac:dyDescent="0.35">
      <c r="A37" s="10" t="s">
        <v>18</v>
      </c>
      <c r="B37" s="11">
        <v>1800002204</v>
      </c>
      <c r="C37" s="15">
        <v>246779411869</v>
      </c>
      <c r="D37" s="12" t="s">
        <v>23</v>
      </c>
      <c r="E37" s="13">
        <v>45733</v>
      </c>
      <c r="F37" s="12" t="s">
        <v>18</v>
      </c>
      <c r="G37" s="10" t="s">
        <v>18</v>
      </c>
      <c r="H37" s="14">
        <v>1026.42</v>
      </c>
      <c r="I37" s="12" t="s">
        <v>20</v>
      </c>
      <c r="J37" s="12">
        <v>11.84</v>
      </c>
      <c r="K37" s="12" t="s">
        <v>18</v>
      </c>
      <c r="L37" s="12" t="s">
        <v>47</v>
      </c>
      <c r="M37" s="12" t="s">
        <v>21</v>
      </c>
      <c r="N37" s="13">
        <v>45733</v>
      </c>
      <c r="O37" s="12" t="s">
        <v>25</v>
      </c>
      <c r="P37" s="12" t="s">
        <v>18</v>
      </c>
      <c r="Q37" s="12" t="s">
        <v>18</v>
      </c>
      <c r="R37" s="12" t="s">
        <v>22</v>
      </c>
      <c r="S37" s="8"/>
    </row>
    <row r="38" spans="1:19" x14ac:dyDescent="0.35">
      <c r="A38" s="10" t="s">
        <v>18</v>
      </c>
      <c r="B38" s="11">
        <v>1800002205</v>
      </c>
      <c r="C38" s="15">
        <v>246779411870</v>
      </c>
      <c r="D38" s="12" t="s">
        <v>23</v>
      </c>
      <c r="E38" s="13">
        <v>45733</v>
      </c>
      <c r="F38" s="12" t="s">
        <v>18</v>
      </c>
      <c r="G38" s="10" t="s">
        <v>18</v>
      </c>
      <c r="H38" s="14">
        <v>102.3</v>
      </c>
      <c r="I38" s="12" t="s">
        <v>20</v>
      </c>
      <c r="J38" s="12">
        <v>1.18</v>
      </c>
      <c r="K38" s="12" t="s">
        <v>18</v>
      </c>
      <c r="L38" s="12" t="s">
        <v>47</v>
      </c>
      <c r="M38" s="12" t="s">
        <v>21</v>
      </c>
      <c r="N38" s="13">
        <v>45733</v>
      </c>
      <c r="O38" s="12" t="s">
        <v>25</v>
      </c>
      <c r="P38" s="12" t="s">
        <v>18</v>
      </c>
      <c r="Q38" s="12" t="s">
        <v>18</v>
      </c>
      <c r="R38" s="12" t="s">
        <v>22</v>
      </c>
      <c r="S38" s="8"/>
    </row>
    <row r="39" spans="1:19" x14ac:dyDescent="0.35">
      <c r="A39" s="10" t="s">
        <v>18</v>
      </c>
      <c r="B39" s="11">
        <v>1800002206</v>
      </c>
      <c r="C39" s="15">
        <v>246779411871</v>
      </c>
      <c r="D39" s="12" t="s">
        <v>23</v>
      </c>
      <c r="E39" s="13">
        <v>45733</v>
      </c>
      <c r="F39" s="12" t="s">
        <v>18</v>
      </c>
      <c r="G39" s="10" t="s">
        <v>18</v>
      </c>
      <c r="H39" s="14">
        <v>1538.77</v>
      </c>
      <c r="I39" s="12" t="s">
        <v>20</v>
      </c>
      <c r="J39" s="12">
        <v>17.75</v>
      </c>
      <c r="K39" s="12" t="s">
        <v>18</v>
      </c>
      <c r="L39" s="12" t="s">
        <v>47</v>
      </c>
      <c r="M39" s="12" t="s">
        <v>21</v>
      </c>
      <c r="N39" s="13">
        <v>45733</v>
      </c>
      <c r="O39" s="12" t="s">
        <v>25</v>
      </c>
      <c r="P39" s="12" t="s">
        <v>18</v>
      </c>
      <c r="Q39" s="12" t="s">
        <v>18</v>
      </c>
      <c r="R39" s="12" t="s">
        <v>22</v>
      </c>
      <c r="S39" s="8"/>
    </row>
    <row r="40" spans="1:19" x14ac:dyDescent="0.35">
      <c r="A40" s="10" t="s">
        <v>18</v>
      </c>
      <c r="B40" s="11">
        <v>1800002207</v>
      </c>
      <c r="C40" s="15">
        <v>246779411872</v>
      </c>
      <c r="D40" s="12" t="s">
        <v>23</v>
      </c>
      <c r="E40" s="13">
        <v>45733</v>
      </c>
      <c r="F40" s="12" t="s">
        <v>18</v>
      </c>
      <c r="G40" s="10" t="s">
        <v>18</v>
      </c>
      <c r="H40" s="14">
        <v>1641.93</v>
      </c>
      <c r="I40" s="12" t="s">
        <v>20</v>
      </c>
      <c r="J40" s="12">
        <v>18.940000000000001</v>
      </c>
      <c r="K40" s="12" t="s">
        <v>18</v>
      </c>
      <c r="L40" s="12" t="s">
        <v>47</v>
      </c>
      <c r="M40" s="12" t="s">
        <v>21</v>
      </c>
      <c r="N40" s="13">
        <v>45733</v>
      </c>
      <c r="O40" s="12" t="s">
        <v>25</v>
      </c>
      <c r="P40" s="12" t="s">
        <v>18</v>
      </c>
      <c r="Q40" s="12" t="s">
        <v>18</v>
      </c>
      <c r="R40" s="12" t="s">
        <v>22</v>
      </c>
      <c r="S40" s="8"/>
    </row>
    <row r="41" spans="1:19" x14ac:dyDescent="0.35">
      <c r="A41" s="10" t="s">
        <v>18</v>
      </c>
      <c r="B41" s="11">
        <v>1800002208</v>
      </c>
      <c r="C41" s="15">
        <v>246779411873</v>
      </c>
      <c r="D41" s="12" t="s">
        <v>23</v>
      </c>
      <c r="E41" s="13">
        <v>45733</v>
      </c>
      <c r="F41" s="12" t="s">
        <v>18</v>
      </c>
      <c r="G41" s="10" t="s">
        <v>18</v>
      </c>
      <c r="H41" s="14">
        <v>1436.47</v>
      </c>
      <c r="I41" s="12" t="s">
        <v>20</v>
      </c>
      <c r="J41" s="12">
        <v>16.57</v>
      </c>
      <c r="K41" s="12" t="s">
        <v>18</v>
      </c>
      <c r="L41" s="12" t="s">
        <v>47</v>
      </c>
      <c r="M41" s="12" t="s">
        <v>21</v>
      </c>
      <c r="N41" s="13">
        <v>45733</v>
      </c>
      <c r="O41" s="12" t="s">
        <v>25</v>
      </c>
      <c r="P41" s="12" t="s">
        <v>18</v>
      </c>
      <c r="Q41" s="12" t="s">
        <v>18</v>
      </c>
      <c r="R41" s="12" t="s">
        <v>22</v>
      </c>
      <c r="S41" s="8"/>
    </row>
    <row r="42" spans="1:19" x14ac:dyDescent="0.35">
      <c r="A42" s="10" t="s">
        <v>18</v>
      </c>
      <c r="B42" s="11">
        <v>1800002332</v>
      </c>
      <c r="C42" s="15">
        <v>246779411997</v>
      </c>
      <c r="D42" s="12" t="s">
        <v>23</v>
      </c>
      <c r="E42" s="13">
        <v>45733</v>
      </c>
      <c r="F42" s="12" t="s">
        <v>18</v>
      </c>
      <c r="G42" s="10" t="s">
        <v>18</v>
      </c>
      <c r="H42" s="14">
        <v>2025.11</v>
      </c>
      <c r="I42" s="12" t="s">
        <v>20</v>
      </c>
      <c r="J42" s="12">
        <v>23.36</v>
      </c>
      <c r="K42" s="12" t="s">
        <v>18</v>
      </c>
      <c r="L42" s="12" t="s">
        <v>48</v>
      </c>
      <c r="M42" s="12" t="s">
        <v>21</v>
      </c>
      <c r="N42" s="13">
        <v>45733</v>
      </c>
      <c r="O42" s="12" t="s">
        <v>25</v>
      </c>
      <c r="P42" s="12" t="s">
        <v>18</v>
      </c>
      <c r="Q42" s="12" t="s">
        <v>18</v>
      </c>
      <c r="R42" s="12" t="s">
        <v>22</v>
      </c>
      <c r="S42" s="8"/>
    </row>
    <row r="43" spans="1:19" x14ac:dyDescent="0.35">
      <c r="A43" s="10" t="s">
        <v>18</v>
      </c>
      <c r="B43" s="11">
        <v>1800002333</v>
      </c>
      <c r="C43" s="15">
        <v>246779411998</v>
      </c>
      <c r="D43" s="12" t="s">
        <v>23</v>
      </c>
      <c r="E43" s="13">
        <v>45733</v>
      </c>
      <c r="F43" s="12" t="s">
        <v>18</v>
      </c>
      <c r="G43" s="10" t="s">
        <v>18</v>
      </c>
      <c r="H43" s="14">
        <v>2227.1</v>
      </c>
      <c r="I43" s="12" t="s">
        <v>20</v>
      </c>
      <c r="J43" s="12">
        <v>25.69</v>
      </c>
      <c r="K43" s="12" t="s">
        <v>18</v>
      </c>
      <c r="L43" s="12" t="s">
        <v>48</v>
      </c>
      <c r="M43" s="12" t="s">
        <v>21</v>
      </c>
      <c r="N43" s="13">
        <v>45733</v>
      </c>
      <c r="O43" s="12" t="s">
        <v>25</v>
      </c>
      <c r="P43" s="12" t="s">
        <v>18</v>
      </c>
      <c r="Q43" s="12" t="s">
        <v>18</v>
      </c>
      <c r="R43" s="12" t="s">
        <v>22</v>
      </c>
      <c r="S43" s="8"/>
    </row>
    <row r="44" spans="1:19" x14ac:dyDescent="0.35">
      <c r="A44" s="10" t="s">
        <v>18</v>
      </c>
      <c r="B44" s="11">
        <v>1800002334</v>
      </c>
      <c r="C44" s="15">
        <v>246779411999</v>
      </c>
      <c r="D44" s="12" t="s">
        <v>23</v>
      </c>
      <c r="E44" s="13">
        <v>45733</v>
      </c>
      <c r="F44" s="12" t="s">
        <v>18</v>
      </c>
      <c r="G44" s="10" t="s">
        <v>18</v>
      </c>
      <c r="H44" s="14">
        <v>556.55999999999995</v>
      </c>
      <c r="I44" s="12" t="s">
        <v>20</v>
      </c>
      <c r="J44" s="12">
        <v>6.42</v>
      </c>
      <c r="K44" s="12" t="s">
        <v>18</v>
      </c>
      <c r="L44" s="12" t="s">
        <v>48</v>
      </c>
      <c r="M44" s="12" t="s">
        <v>21</v>
      </c>
      <c r="N44" s="13">
        <v>45733</v>
      </c>
      <c r="O44" s="12" t="s">
        <v>25</v>
      </c>
      <c r="P44" s="12" t="s">
        <v>18</v>
      </c>
      <c r="Q44" s="12" t="s">
        <v>18</v>
      </c>
      <c r="R44" s="12" t="s">
        <v>22</v>
      </c>
      <c r="S44" s="8"/>
    </row>
    <row r="45" spans="1:19" x14ac:dyDescent="0.35">
      <c r="A45" s="10" t="s">
        <v>18</v>
      </c>
      <c r="B45" s="11">
        <v>1800002534</v>
      </c>
      <c r="C45" s="15">
        <v>246779412401</v>
      </c>
      <c r="D45" s="12" t="s">
        <v>23</v>
      </c>
      <c r="E45" s="13">
        <v>45734</v>
      </c>
      <c r="F45" s="12" t="s">
        <v>18</v>
      </c>
      <c r="G45" s="10" t="s">
        <v>18</v>
      </c>
      <c r="H45" s="14">
        <v>2059887.5</v>
      </c>
      <c r="I45" s="12" t="s">
        <v>20</v>
      </c>
      <c r="J45" s="12">
        <v>23761.19</v>
      </c>
      <c r="K45" s="12" t="s">
        <v>18</v>
      </c>
      <c r="L45" s="12" t="s">
        <v>49</v>
      </c>
      <c r="M45" s="12" t="s">
        <v>21</v>
      </c>
      <c r="N45" s="13">
        <v>45734</v>
      </c>
      <c r="O45" s="12" t="s">
        <v>25</v>
      </c>
      <c r="P45" s="12" t="s">
        <v>18</v>
      </c>
      <c r="Q45" s="12" t="s">
        <v>18</v>
      </c>
      <c r="R45" s="12" t="s">
        <v>22</v>
      </c>
      <c r="S45" s="8"/>
    </row>
    <row r="46" spans="1:19" x14ac:dyDescent="0.35">
      <c r="A46" s="10" t="s">
        <v>18</v>
      </c>
      <c r="B46" s="11">
        <v>1800002539</v>
      </c>
      <c r="C46" s="15">
        <v>246779412406</v>
      </c>
      <c r="D46" s="12" t="s">
        <v>23</v>
      </c>
      <c r="E46" s="13">
        <v>45734</v>
      </c>
      <c r="F46" s="12" t="s">
        <v>18</v>
      </c>
      <c r="G46" s="10" t="s">
        <v>18</v>
      </c>
      <c r="H46" s="14">
        <v>1691798.14</v>
      </c>
      <c r="I46" s="12" t="s">
        <v>20</v>
      </c>
      <c r="J46" s="12">
        <v>19515.21</v>
      </c>
      <c r="K46" s="12" t="s">
        <v>18</v>
      </c>
      <c r="L46" s="12" t="s">
        <v>50</v>
      </c>
      <c r="M46" s="12" t="s">
        <v>21</v>
      </c>
      <c r="N46" s="13">
        <v>45734</v>
      </c>
      <c r="O46" s="12" t="s">
        <v>25</v>
      </c>
      <c r="P46" s="12" t="s">
        <v>18</v>
      </c>
      <c r="Q46" s="12" t="s">
        <v>18</v>
      </c>
      <c r="R46" s="12" t="s">
        <v>22</v>
      </c>
      <c r="S46" s="8"/>
    </row>
    <row r="47" spans="1:19" x14ac:dyDescent="0.35">
      <c r="A47" s="10" t="s">
        <v>18</v>
      </c>
      <c r="B47" s="11">
        <v>1800003241</v>
      </c>
      <c r="C47" s="15">
        <v>246779413108</v>
      </c>
      <c r="D47" s="12" t="s">
        <v>23</v>
      </c>
      <c r="E47" s="13">
        <v>45735</v>
      </c>
      <c r="F47" s="12" t="s">
        <v>18</v>
      </c>
      <c r="G47" s="10" t="s">
        <v>18</v>
      </c>
      <c r="H47" s="14">
        <v>6772.32</v>
      </c>
      <c r="I47" s="12" t="s">
        <v>20</v>
      </c>
      <c r="J47" s="12">
        <v>78.12</v>
      </c>
      <c r="K47" s="12" t="s">
        <v>18</v>
      </c>
      <c r="L47" s="12" t="s">
        <v>51</v>
      </c>
      <c r="M47" s="12" t="s">
        <v>21</v>
      </c>
      <c r="N47" s="13">
        <v>45735</v>
      </c>
      <c r="O47" s="12" t="s">
        <v>25</v>
      </c>
      <c r="P47" s="12" t="s">
        <v>18</v>
      </c>
      <c r="Q47" s="12" t="s">
        <v>18</v>
      </c>
      <c r="R47" s="12" t="s">
        <v>22</v>
      </c>
      <c r="S47" s="8"/>
    </row>
    <row r="48" spans="1:19" x14ac:dyDescent="0.35">
      <c r="A48" s="10" t="s">
        <v>18</v>
      </c>
      <c r="B48" s="11">
        <v>1800003242</v>
      </c>
      <c r="C48" s="15">
        <v>246779413109</v>
      </c>
      <c r="D48" s="12" t="s">
        <v>23</v>
      </c>
      <c r="E48" s="13">
        <v>45735</v>
      </c>
      <c r="F48" s="12" t="s">
        <v>18</v>
      </c>
      <c r="G48" s="10" t="s">
        <v>18</v>
      </c>
      <c r="H48" s="14">
        <v>14398.55</v>
      </c>
      <c r="I48" s="12" t="s">
        <v>20</v>
      </c>
      <c r="J48" s="12">
        <v>166.09</v>
      </c>
      <c r="K48" s="12" t="s">
        <v>18</v>
      </c>
      <c r="L48" s="12" t="s">
        <v>52</v>
      </c>
      <c r="M48" s="12" t="s">
        <v>21</v>
      </c>
      <c r="N48" s="13">
        <v>45735</v>
      </c>
      <c r="O48" s="12" t="s">
        <v>25</v>
      </c>
      <c r="P48" s="12" t="s">
        <v>18</v>
      </c>
      <c r="Q48" s="12" t="s">
        <v>18</v>
      </c>
      <c r="R48" s="12" t="s">
        <v>22</v>
      </c>
      <c r="S48" s="8"/>
    </row>
    <row r="49" spans="1:19" x14ac:dyDescent="0.35">
      <c r="A49" s="10" t="s">
        <v>18</v>
      </c>
      <c r="B49" s="11">
        <v>1800003243</v>
      </c>
      <c r="C49" s="15">
        <v>246779413110</v>
      </c>
      <c r="D49" s="12" t="s">
        <v>23</v>
      </c>
      <c r="E49" s="13">
        <v>45735</v>
      </c>
      <c r="F49" s="12" t="s">
        <v>18</v>
      </c>
      <c r="G49" s="10" t="s">
        <v>18</v>
      </c>
      <c r="H49" s="14">
        <v>6650.95</v>
      </c>
      <c r="I49" s="12" t="s">
        <v>20</v>
      </c>
      <c r="J49" s="12">
        <v>76.72</v>
      </c>
      <c r="K49" s="12" t="s">
        <v>18</v>
      </c>
      <c r="L49" s="12" t="s">
        <v>52</v>
      </c>
      <c r="M49" s="12" t="s">
        <v>21</v>
      </c>
      <c r="N49" s="13">
        <v>45735</v>
      </c>
      <c r="O49" s="12" t="s">
        <v>25</v>
      </c>
      <c r="P49" s="12" t="s">
        <v>18</v>
      </c>
      <c r="Q49" s="12" t="s">
        <v>18</v>
      </c>
      <c r="R49" s="12" t="s">
        <v>22</v>
      </c>
      <c r="S49" s="8"/>
    </row>
    <row r="50" spans="1:19" x14ac:dyDescent="0.35">
      <c r="A50" s="10" t="s">
        <v>18</v>
      </c>
      <c r="B50" s="11">
        <v>1800003244</v>
      </c>
      <c r="C50" s="15">
        <v>246779413111</v>
      </c>
      <c r="D50" s="12" t="s">
        <v>23</v>
      </c>
      <c r="E50" s="13">
        <v>45735</v>
      </c>
      <c r="F50" s="12" t="s">
        <v>18</v>
      </c>
      <c r="G50" s="10" t="s">
        <v>18</v>
      </c>
      <c r="H50" s="14">
        <v>1193.74</v>
      </c>
      <c r="I50" s="12" t="s">
        <v>20</v>
      </c>
      <c r="J50" s="12">
        <v>13.77</v>
      </c>
      <c r="K50" s="12" t="s">
        <v>18</v>
      </c>
      <c r="L50" s="12" t="s">
        <v>53</v>
      </c>
      <c r="M50" s="12" t="s">
        <v>21</v>
      </c>
      <c r="N50" s="13">
        <v>45735</v>
      </c>
      <c r="O50" s="12" t="s">
        <v>25</v>
      </c>
      <c r="P50" s="12" t="s">
        <v>18</v>
      </c>
      <c r="Q50" s="12" t="s">
        <v>18</v>
      </c>
      <c r="R50" s="12" t="s">
        <v>22</v>
      </c>
      <c r="S50" s="8"/>
    </row>
    <row r="51" spans="1:19" x14ac:dyDescent="0.35">
      <c r="A51" s="10" t="s">
        <v>18</v>
      </c>
      <c r="B51" s="11">
        <v>1800003245</v>
      </c>
      <c r="C51" s="15">
        <v>246779413112</v>
      </c>
      <c r="D51" s="12" t="s">
        <v>23</v>
      </c>
      <c r="E51" s="13">
        <v>45735</v>
      </c>
      <c r="F51" s="12" t="s">
        <v>18</v>
      </c>
      <c r="G51" s="10" t="s">
        <v>18</v>
      </c>
      <c r="H51" s="14">
        <v>1193.74</v>
      </c>
      <c r="I51" s="12" t="s">
        <v>20</v>
      </c>
      <c r="J51" s="12">
        <v>13.77</v>
      </c>
      <c r="K51" s="12" t="s">
        <v>18</v>
      </c>
      <c r="L51" s="12" t="s">
        <v>54</v>
      </c>
      <c r="M51" s="12" t="s">
        <v>21</v>
      </c>
      <c r="N51" s="13">
        <v>45735</v>
      </c>
      <c r="O51" s="12" t="s">
        <v>25</v>
      </c>
      <c r="P51" s="12" t="s">
        <v>18</v>
      </c>
      <c r="Q51" s="12" t="s">
        <v>18</v>
      </c>
      <c r="R51" s="12" t="s">
        <v>22</v>
      </c>
      <c r="S51" s="8"/>
    </row>
    <row r="52" spans="1:19" x14ac:dyDescent="0.35">
      <c r="A52" s="10" t="s">
        <v>18</v>
      </c>
      <c r="B52" s="11">
        <v>1800003944</v>
      </c>
      <c r="C52" s="15">
        <v>246779413973</v>
      </c>
      <c r="D52" s="12" t="s">
        <v>23</v>
      </c>
      <c r="E52" s="13">
        <v>45736</v>
      </c>
      <c r="F52" s="12" t="s">
        <v>18</v>
      </c>
      <c r="G52" s="10" t="s">
        <v>18</v>
      </c>
      <c r="H52" s="14">
        <v>10711.57</v>
      </c>
      <c r="I52" s="12" t="s">
        <v>20</v>
      </c>
      <c r="J52" s="12">
        <v>123.56</v>
      </c>
      <c r="K52" s="12" t="s">
        <v>18</v>
      </c>
      <c r="L52" s="12" t="s">
        <v>55</v>
      </c>
      <c r="M52" s="12" t="s">
        <v>21</v>
      </c>
      <c r="N52" s="13">
        <v>45736</v>
      </c>
      <c r="O52" s="12" t="s">
        <v>25</v>
      </c>
      <c r="P52" s="12" t="s">
        <v>18</v>
      </c>
      <c r="Q52" s="12" t="s">
        <v>18</v>
      </c>
      <c r="R52" s="12" t="s">
        <v>22</v>
      </c>
      <c r="S52" s="8"/>
    </row>
    <row r="53" spans="1:19" x14ac:dyDescent="0.35">
      <c r="A53" s="10" t="s">
        <v>18</v>
      </c>
      <c r="B53" s="11">
        <v>1800003964</v>
      </c>
      <c r="C53" s="15">
        <v>246779413820</v>
      </c>
      <c r="D53" s="12" t="s">
        <v>23</v>
      </c>
      <c r="E53" s="13">
        <v>45736</v>
      </c>
      <c r="F53" s="12" t="s">
        <v>18</v>
      </c>
      <c r="G53" s="10" t="s">
        <v>18</v>
      </c>
      <c r="H53" s="14">
        <v>30688.71</v>
      </c>
      <c r="I53" s="12" t="s">
        <v>20</v>
      </c>
      <c r="J53" s="12">
        <v>354</v>
      </c>
      <c r="K53" s="12" t="s">
        <v>18</v>
      </c>
      <c r="L53" s="12" t="s">
        <v>56</v>
      </c>
      <c r="M53" s="12" t="s">
        <v>21</v>
      </c>
      <c r="N53" s="13">
        <v>45736</v>
      </c>
      <c r="O53" s="12" t="s">
        <v>25</v>
      </c>
      <c r="P53" s="12" t="s">
        <v>18</v>
      </c>
      <c r="Q53" s="12" t="s">
        <v>18</v>
      </c>
      <c r="R53" s="12" t="s">
        <v>22</v>
      </c>
      <c r="S53" s="8"/>
    </row>
    <row r="54" spans="1:19" x14ac:dyDescent="0.35">
      <c r="A54" s="10" t="s">
        <v>18</v>
      </c>
      <c r="B54" s="11">
        <v>1800003977</v>
      </c>
      <c r="C54" s="15">
        <v>246779413833</v>
      </c>
      <c r="D54" s="12" t="s">
        <v>23</v>
      </c>
      <c r="E54" s="13">
        <v>45736</v>
      </c>
      <c r="F54" s="12" t="s">
        <v>18</v>
      </c>
      <c r="G54" s="10" t="s">
        <v>18</v>
      </c>
      <c r="H54" s="14">
        <v>30078.400000000001</v>
      </c>
      <c r="I54" s="12" t="s">
        <v>20</v>
      </c>
      <c r="J54" s="12">
        <v>346.96</v>
      </c>
      <c r="K54" s="12" t="s">
        <v>18</v>
      </c>
      <c r="L54" s="12" t="s">
        <v>57</v>
      </c>
      <c r="M54" s="12" t="s">
        <v>21</v>
      </c>
      <c r="N54" s="13">
        <v>45736</v>
      </c>
      <c r="O54" s="12" t="s">
        <v>25</v>
      </c>
      <c r="P54" s="12" t="s">
        <v>18</v>
      </c>
      <c r="Q54" s="12" t="s">
        <v>18</v>
      </c>
      <c r="R54" s="12" t="s">
        <v>22</v>
      </c>
      <c r="S54" s="8"/>
    </row>
    <row r="55" spans="1:19" x14ac:dyDescent="0.35">
      <c r="A55" s="10" t="s">
        <v>18</v>
      </c>
      <c r="B55" s="11">
        <v>1800004144</v>
      </c>
      <c r="C55" s="15">
        <v>246779414012</v>
      </c>
      <c r="D55" s="12" t="s">
        <v>23</v>
      </c>
      <c r="E55" s="13">
        <v>45736</v>
      </c>
      <c r="F55" s="12" t="s">
        <v>18</v>
      </c>
      <c r="G55" s="10" t="s">
        <v>18</v>
      </c>
      <c r="H55" s="14">
        <v>6318.93</v>
      </c>
      <c r="I55" s="12" t="s">
        <v>20</v>
      </c>
      <c r="J55" s="12">
        <v>44.57</v>
      </c>
      <c r="K55" s="12" t="s">
        <v>18</v>
      </c>
      <c r="L55" s="12" t="s">
        <v>58</v>
      </c>
      <c r="M55" s="12" t="s">
        <v>21</v>
      </c>
      <c r="N55" s="13">
        <v>45736</v>
      </c>
      <c r="O55" s="12" t="s">
        <v>25</v>
      </c>
      <c r="P55" s="12" t="s">
        <v>18</v>
      </c>
      <c r="Q55" s="12" t="s">
        <v>18</v>
      </c>
      <c r="R55" s="12" t="s">
        <v>22</v>
      </c>
      <c r="S55" s="8"/>
    </row>
    <row r="56" spans="1:19" x14ac:dyDescent="0.35">
      <c r="A56" s="10" t="s">
        <v>18</v>
      </c>
      <c r="B56" s="11">
        <v>1800004145</v>
      </c>
      <c r="C56" s="15">
        <v>246779414013</v>
      </c>
      <c r="D56" s="12" t="s">
        <v>23</v>
      </c>
      <c r="E56" s="13">
        <v>45736</v>
      </c>
      <c r="F56" s="12" t="s">
        <v>18</v>
      </c>
      <c r="G56" s="10" t="s">
        <v>18</v>
      </c>
      <c r="H56" s="14">
        <v>7025.46</v>
      </c>
      <c r="I56" s="12" t="s">
        <v>20</v>
      </c>
      <c r="J56" s="12">
        <v>52.72</v>
      </c>
      <c r="K56" s="12" t="s">
        <v>18</v>
      </c>
      <c r="L56" s="12" t="s">
        <v>58</v>
      </c>
      <c r="M56" s="12" t="s">
        <v>21</v>
      </c>
      <c r="N56" s="13">
        <v>45736</v>
      </c>
      <c r="O56" s="12" t="s">
        <v>25</v>
      </c>
      <c r="P56" s="12" t="s">
        <v>18</v>
      </c>
      <c r="Q56" s="12" t="s">
        <v>18</v>
      </c>
      <c r="R56" s="12" t="s">
        <v>22</v>
      </c>
      <c r="S56" s="8"/>
    </row>
    <row r="57" spans="1:19" x14ac:dyDescent="0.35">
      <c r="A57" s="10" t="s">
        <v>18</v>
      </c>
      <c r="B57" s="11">
        <v>1800004210</v>
      </c>
      <c r="C57" s="15">
        <v>246779414078</v>
      </c>
      <c r="D57" s="12" t="s">
        <v>23</v>
      </c>
      <c r="E57" s="13">
        <v>45736</v>
      </c>
      <c r="F57" s="12" t="s">
        <v>18</v>
      </c>
      <c r="G57" s="10" t="s">
        <v>18</v>
      </c>
      <c r="H57" s="14">
        <v>261936.78</v>
      </c>
      <c r="I57" s="12" t="s">
        <v>20</v>
      </c>
      <c r="J57" s="12">
        <v>3021.49</v>
      </c>
      <c r="K57" s="12" t="s">
        <v>18</v>
      </c>
      <c r="L57" s="12" t="s">
        <v>59</v>
      </c>
      <c r="M57" s="12" t="s">
        <v>21</v>
      </c>
      <c r="N57" s="13">
        <v>45736</v>
      </c>
      <c r="O57" s="12" t="s">
        <v>25</v>
      </c>
      <c r="P57" s="12" t="s">
        <v>18</v>
      </c>
      <c r="Q57" s="12" t="s">
        <v>18</v>
      </c>
      <c r="R57" s="12" t="s">
        <v>22</v>
      </c>
      <c r="S57" s="8"/>
    </row>
    <row r="58" spans="1:19" x14ac:dyDescent="0.35">
      <c r="A58" s="10" t="s">
        <v>18</v>
      </c>
      <c r="B58" s="11">
        <v>1800004211</v>
      </c>
      <c r="C58" s="15">
        <v>246779414079</v>
      </c>
      <c r="D58" s="12" t="s">
        <v>23</v>
      </c>
      <c r="E58" s="13">
        <v>45736</v>
      </c>
      <c r="F58" s="12" t="s">
        <v>18</v>
      </c>
      <c r="G58" s="10" t="s">
        <v>18</v>
      </c>
      <c r="H58" s="14">
        <v>14730.58</v>
      </c>
      <c r="I58" s="12" t="s">
        <v>20</v>
      </c>
      <c r="J58" s="12">
        <v>169.92</v>
      </c>
      <c r="K58" s="12" t="s">
        <v>18</v>
      </c>
      <c r="L58" s="12" t="s">
        <v>60</v>
      </c>
      <c r="M58" s="12" t="s">
        <v>21</v>
      </c>
      <c r="N58" s="13">
        <v>45736</v>
      </c>
      <c r="O58" s="12" t="s">
        <v>25</v>
      </c>
      <c r="P58" s="12" t="s">
        <v>18</v>
      </c>
      <c r="Q58" s="12" t="s">
        <v>18</v>
      </c>
      <c r="R58" s="12" t="s">
        <v>22</v>
      </c>
      <c r="S58" s="8"/>
    </row>
    <row r="59" spans="1:19" x14ac:dyDescent="0.35">
      <c r="A59" s="10" t="s">
        <v>18</v>
      </c>
      <c r="B59" s="11">
        <v>1800004212</v>
      </c>
      <c r="C59" s="15">
        <v>246779414080</v>
      </c>
      <c r="D59" s="12" t="s">
        <v>23</v>
      </c>
      <c r="E59" s="13">
        <v>45736</v>
      </c>
      <c r="F59" s="12" t="s">
        <v>18</v>
      </c>
      <c r="G59" s="10" t="s">
        <v>18</v>
      </c>
      <c r="H59" s="14">
        <v>45010.1</v>
      </c>
      <c r="I59" s="12" t="s">
        <v>20</v>
      </c>
      <c r="J59" s="12">
        <v>519.20000000000005</v>
      </c>
      <c r="K59" s="12" t="s">
        <v>18</v>
      </c>
      <c r="L59" s="12" t="s">
        <v>61</v>
      </c>
      <c r="M59" s="12" t="s">
        <v>21</v>
      </c>
      <c r="N59" s="13">
        <v>45736</v>
      </c>
      <c r="O59" s="12" t="s">
        <v>25</v>
      </c>
      <c r="P59" s="12" t="s">
        <v>18</v>
      </c>
      <c r="Q59" s="12" t="s">
        <v>18</v>
      </c>
      <c r="R59" s="12" t="s">
        <v>22</v>
      </c>
      <c r="S59" s="8"/>
    </row>
    <row r="60" spans="1:19" x14ac:dyDescent="0.35">
      <c r="A60" s="10" t="s">
        <v>18</v>
      </c>
      <c r="B60" s="11">
        <v>1800004306</v>
      </c>
      <c r="C60" s="15">
        <v>246779414174</v>
      </c>
      <c r="D60" s="12" t="s">
        <v>23</v>
      </c>
      <c r="E60" s="13">
        <v>45736</v>
      </c>
      <c r="F60" s="12" t="s">
        <v>18</v>
      </c>
      <c r="G60" s="10" t="s">
        <v>18</v>
      </c>
      <c r="H60" s="14">
        <v>84644.479999999996</v>
      </c>
      <c r="I60" s="12" t="s">
        <v>20</v>
      </c>
      <c r="J60" s="12">
        <v>976.39</v>
      </c>
      <c r="K60" s="12" t="s">
        <v>18</v>
      </c>
      <c r="L60" s="12" t="s">
        <v>62</v>
      </c>
      <c r="M60" s="12" t="s">
        <v>21</v>
      </c>
      <c r="N60" s="13">
        <v>45736</v>
      </c>
      <c r="O60" s="12" t="s">
        <v>25</v>
      </c>
      <c r="P60" s="12" t="s">
        <v>18</v>
      </c>
      <c r="Q60" s="12" t="s">
        <v>18</v>
      </c>
      <c r="R60" s="12" t="s">
        <v>22</v>
      </c>
      <c r="S60" s="8"/>
    </row>
    <row r="61" spans="1:19" x14ac:dyDescent="0.35">
      <c r="A61" s="10" t="s">
        <v>18</v>
      </c>
      <c r="B61" s="11">
        <v>1800004382</v>
      </c>
      <c r="C61" s="15">
        <v>246779414250</v>
      </c>
      <c r="D61" s="12" t="s">
        <v>23</v>
      </c>
      <c r="E61" s="13">
        <v>45737</v>
      </c>
      <c r="F61" s="12" t="s">
        <v>18</v>
      </c>
      <c r="G61" s="10" t="s">
        <v>18</v>
      </c>
      <c r="H61" s="14">
        <v>39870.18</v>
      </c>
      <c r="I61" s="12" t="s">
        <v>20</v>
      </c>
      <c r="J61" s="12">
        <v>459.91</v>
      </c>
      <c r="K61" s="12" t="s">
        <v>18</v>
      </c>
      <c r="L61" s="12" t="s">
        <v>63</v>
      </c>
      <c r="M61" s="12" t="s">
        <v>21</v>
      </c>
      <c r="N61" s="13">
        <v>45737</v>
      </c>
      <c r="O61" s="12" t="s">
        <v>25</v>
      </c>
      <c r="P61" s="12" t="s">
        <v>18</v>
      </c>
      <c r="Q61" s="12" t="s">
        <v>18</v>
      </c>
      <c r="R61" s="12" t="s">
        <v>22</v>
      </c>
      <c r="S61" s="8"/>
    </row>
    <row r="62" spans="1:19" x14ac:dyDescent="0.35">
      <c r="A62" s="10" t="s">
        <v>18</v>
      </c>
      <c r="B62" s="11">
        <v>1800004383</v>
      </c>
      <c r="C62" s="15">
        <v>246779414251</v>
      </c>
      <c r="D62" s="12" t="s">
        <v>23</v>
      </c>
      <c r="E62" s="13">
        <v>45737</v>
      </c>
      <c r="F62" s="12" t="s">
        <v>18</v>
      </c>
      <c r="G62" s="10" t="s">
        <v>18</v>
      </c>
      <c r="H62" s="14">
        <v>2455.1</v>
      </c>
      <c r="I62" s="12" t="s">
        <v>20</v>
      </c>
      <c r="J62" s="12">
        <v>28.32</v>
      </c>
      <c r="K62" s="12" t="s">
        <v>18</v>
      </c>
      <c r="L62" s="12" t="s">
        <v>64</v>
      </c>
      <c r="M62" s="12" t="s">
        <v>21</v>
      </c>
      <c r="N62" s="13">
        <v>45737</v>
      </c>
      <c r="O62" s="12" t="s">
        <v>25</v>
      </c>
      <c r="P62" s="12" t="s">
        <v>18</v>
      </c>
      <c r="Q62" s="12" t="s">
        <v>18</v>
      </c>
      <c r="R62" s="12" t="s">
        <v>22</v>
      </c>
      <c r="S62" s="8"/>
    </row>
    <row r="63" spans="1:19" x14ac:dyDescent="0.35">
      <c r="A63" s="10" t="s">
        <v>18</v>
      </c>
      <c r="B63" s="11">
        <v>1800004384</v>
      </c>
      <c r="C63" s="15">
        <v>246779414252</v>
      </c>
      <c r="D63" s="12" t="s">
        <v>23</v>
      </c>
      <c r="E63" s="13">
        <v>45737</v>
      </c>
      <c r="F63" s="12" t="s">
        <v>18</v>
      </c>
      <c r="G63" s="10" t="s">
        <v>18</v>
      </c>
      <c r="H63" s="14">
        <v>6137.74</v>
      </c>
      <c r="I63" s="12" t="s">
        <v>20</v>
      </c>
      <c r="J63" s="12">
        <v>70.8</v>
      </c>
      <c r="K63" s="12" t="s">
        <v>18</v>
      </c>
      <c r="L63" s="12" t="s">
        <v>65</v>
      </c>
      <c r="M63" s="12" t="s">
        <v>21</v>
      </c>
      <c r="N63" s="13">
        <v>45737</v>
      </c>
      <c r="O63" s="12" t="s">
        <v>25</v>
      </c>
      <c r="P63" s="12" t="s">
        <v>18</v>
      </c>
      <c r="Q63" s="12" t="s">
        <v>18</v>
      </c>
      <c r="R63" s="12" t="s">
        <v>22</v>
      </c>
      <c r="S63" s="8"/>
    </row>
    <row r="64" spans="1:19" x14ac:dyDescent="0.35">
      <c r="A64" s="10" t="s">
        <v>18</v>
      </c>
      <c r="B64" s="11">
        <v>1800004473</v>
      </c>
      <c r="C64" s="15">
        <v>246779414341</v>
      </c>
      <c r="D64" s="12" t="s">
        <v>23</v>
      </c>
      <c r="E64" s="13">
        <v>45736</v>
      </c>
      <c r="F64" s="12" t="s">
        <v>18</v>
      </c>
      <c r="G64" s="10" t="s">
        <v>18</v>
      </c>
      <c r="H64" s="14">
        <v>65982.45</v>
      </c>
      <c r="I64" s="12" t="s">
        <v>20</v>
      </c>
      <c r="J64" s="12">
        <v>761.12</v>
      </c>
      <c r="K64" s="12" t="s">
        <v>18</v>
      </c>
      <c r="L64" s="12" t="s">
        <v>66</v>
      </c>
      <c r="M64" s="12" t="s">
        <v>21</v>
      </c>
      <c r="N64" s="13">
        <v>45736</v>
      </c>
      <c r="O64" s="12" t="s">
        <v>25</v>
      </c>
      <c r="P64" s="12" t="s">
        <v>18</v>
      </c>
      <c r="Q64" s="12" t="s">
        <v>18</v>
      </c>
      <c r="R64" s="12" t="s">
        <v>22</v>
      </c>
      <c r="S64" s="8"/>
    </row>
    <row r="65" spans="1:19" x14ac:dyDescent="0.35">
      <c r="A65" s="10" t="s">
        <v>18</v>
      </c>
      <c r="B65" s="11">
        <v>1800004474</v>
      </c>
      <c r="C65" s="15">
        <v>246779414342</v>
      </c>
      <c r="D65" s="12" t="s">
        <v>23</v>
      </c>
      <c r="E65" s="13">
        <v>45736</v>
      </c>
      <c r="F65" s="12" t="s">
        <v>18</v>
      </c>
      <c r="G65" s="10" t="s">
        <v>18</v>
      </c>
      <c r="H65" s="14">
        <v>17185.68</v>
      </c>
      <c r="I65" s="12" t="s">
        <v>20</v>
      </c>
      <c r="J65" s="12">
        <v>198.24</v>
      </c>
      <c r="K65" s="12" t="s">
        <v>18</v>
      </c>
      <c r="L65" s="12" t="s">
        <v>67</v>
      </c>
      <c r="M65" s="12" t="s">
        <v>21</v>
      </c>
      <c r="N65" s="13">
        <v>45736</v>
      </c>
      <c r="O65" s="12" t="s">
        <v>25</v>
      </c>
      <c r="P65" s="12" t="s">
        <v>18</v>
      </c>
      <c r="Q65" s="12" t="s">
        <v>18</v>
      </c>
      <c r="R65" s="12" t="s">
        <v>22</v>
      </c>
      <c r="S65" s="8"/>
    </row>
    <row r="66" spans="1:19" x14ac:dyDescent="0.35">
      <c r="A66" s="10" t="s">
        <v>18</v>
      </c>
      <c r="B66" s="11">
        <v>1800004475</v>
      </c>
      <c r="C66" s="15">
        <v>246779414343</v>
      </c>
      <c r="D66" s="12" t="s">
        <v>23</v>
      </c>
      <c r="E66" s="13">
        <v>45736</v>
      </c>
      <c r="F66" s="12" t="s">
        <v>18</v>
      </c>
      <c r="G66" s="10" t="s">
        <v>18</v>
      </c>
      <c r="H66" s="14">
        <v>10229.57</v>
      </c>
      <c r="I66" s="12" t="s">
        <v>20</v>
      </c>
      <c r="J66" s="12">
        <v>118</v>
      </c>
      <c r="K66" s="12" t="s">
        <v>18</v>
      </c>
      <c r="L66" s="12" t="s">
        <v>68</v>
      </c>
      <c r="M66" s="12" t="s">
        <v>21</v>
      </c>
      <c r="N66" s="13">
        <v>45736</v>
      </c>
      <c r="O66" s="12" t="s">
        <v>25</v>
      </c>
      <c r="P66" s="12" t="s">
        <v>18</v>
      </c>
      <c r="Q66" s="12" t="s">
        <v>18</v>
      </c>
      <c r="R66" s="12" t="s">
        <v>22</v>
      </c>
      <c r="S66" s="8"/>
    </row>
    <row r="67" spans="1:19" x14ac:dyDescent="0.35">
      <c r="A67" s="10" t="s">
        <v>18</v>
      </c>
      <c r="B67" s="11">
        <v>1800004551</v>
      </c>
      <c r="C67" s="15">
        <v>246779414419</v>
      </c>
      <c r="D67" s="12" t="s">
        <v>23</v>
      </c>
      <c r="E67" s="13">
        <v>45736</v>
      </c>
      <c r="F67" s="12" t="s">
        <v>18</v>
      </c>
      <c r="G67" s="10" t="s">
        <v>18</v>
      </c>
      <c r="H67" s="14">
        <v>86960</v>
      </c>
      <c r="I67" s="12" t="s">
        <v>20</v>
      </c>
      <c r="J67" s="12">
        <v>1003.1</v>
      </c>
      <c r="K67" s="12" t="s">
        <v>18</v>
      </c>
      <c r="L67" s="12" t="s">
        <v>58</v>
      </c>
      <c r="M67" s="12" t="s">
        <v>21</v>
      </c>
      <c r="N67" s="13">
        <v>45736</v>
      </c>
      <c r="O67" s="12" t="s">
        <v>25</v>
      </c>
      <c r="P67" s="12" t="s">
        <v>18</v>
      </c>
      <c r="Q67" s="12" t="s">
        <v>18</v>
      </c>
      <c r="R67" s="12" t="s">
        <v>22</v>
      </c>
      <c r="S67" s="8"/>
    </row>
    <row r="68" spans="1:19" x14ac:dyDescent="0.35">
      <c r="A68" s="10" t="s">
        <v>18</v>
      </c>
      <c r="B68" s="11">
        <v>1800004552</v>
      </c>
      <c r="C68" s="15">
        <v>246779414420</v>
      </c>
      <c r="D68" s="12" t="s">
        <v>23</v>
      </c>
      <c r="E68" s="13">
        <v>45736</v>
      </c>
      <c r="F68" s="12" t="s">
        <v>18</v>
      </c>
      <c r="G68" s="10" t="s">
        <v>18</v>
      </c>
      <c r="H68" s="14">
        <v>18413.22</v>
      </c>
      <c r="I68" s="12" t="s">
        <v>20</v>
      </c>
      <c r="J68" s="12">
        <v>212.4</v>
      </c>
      <c r="K68" s="12" t="s">
        <v>18</v>
      </c>
      <c r="L68" s="12" t="s">
        <v>69</v>
      </c>
      <c r="M68" s="12" t="s">
        <v>21</v>
      </c>
      <c r="N68" s="13">
        <v>45736</v>
      </c>
      <c r="O68" s="12" t="s">
        <v>25</v>
      </c>
      <c r="P68" s="12" t="s">
        <v>18</v>
      </c>
      <c r="Q68" s="12" t="s">
        <v>18</v>
      </c>
      <c r="R68" s="12" t="s">
        <v>22</v>
      </c>
      <c r="S68" s="8"/>
    </row>
    <row r="69" spans="1:19" x14ac:dyDescent="0.35">
      <c r="A69" s="10" t="s">
        <v>18</v>
      </c>
      <c r="B69" s="11">
        <v>1800004553</v>
      </c>
      <c r="C69" s="15">
        <v>246779414421</v>
      </c>
      <c r="D69" s="12" t="s">
        <v>23</v>
      </c>
      <c r="E69" s="13">
        <v>45736</v>
      </c>
      <c r="F69" s="12" t="s">
        <v>18</v>
      </c>
      <c r="G69" s="10" t="s">
        <v>18</v>
      </c>
      <c r="H69" s="14">
        <v>14730.58</v>
      </c>
      <c r="I69" s="12" t="s">
        <v>20</v>
      </c>
      <c r="J69" s="12">
        <v>169.92</v>
      </c>
      <c r="K69" s="12" t="s">
        <v>18</v>
      </c>
      <c r="L69" s="12" t="s">
        <v>70</v>
      </c>
      <c r="M69" s="12" t="s">
        <v>21</v>
      </c>
      <c r="N69" s="13">
        <v>45736</v>
      </c>
      <c r="O69" s="12" t="s">
        <v>25</v>
      </c>
      <c r="P69" s="12" t="s">
        <v>18</v>
      </c>
      <c r="Q69" s="12" t="s">
        <v>18</v>
      </c>
      <c r="R69" s="12" t="s">
        <v>22</v>
      </c>
      <c r="S69" s="8"/>
    </row>
    <row r="70" spans="1:19" x14ac:dyDescent="0.35">
      <c r="A70" s="10" t="s">
        <v>18</v>
      </c>
      <c r="B70" s="11">
        <v>1800004554</v>
      </c>
      <c r="C70" s="15">
        <v>246779414422</v>
      </c>
      <c r="D70" s="12" t="s">
        <v>23</v>
      </c>
      <c r="E70" s="13">
        <v>45736</v>
      </c>
      <c r="F70" s="12" t="s">
        <v>18</v>
      </c>
      <c r="G70" s="10" t="s">
        <v>18</v>
      </c>
      <c r="H70" s="14">
        <v>45117.599999999999</v>
      </c>
      <c r="I70" s="12" t="s">
        <v>20</v>
      </c>
      <c r="J70" s="12">
        <v>520.44000000000005</v>
      </c>
      <c r="K70" s="12" t="s">
        <v>18</v>
      </c>
      <c r="L70" s="12" t="s">
        <v>71</v>
      </c>
      <c r="M70" s="12" t="s">
        <v>21</v>
      </c>
      <c r="N70" s="13">
        <v>45736</v>
      </c>
      <c r="O70" s="12" t="s">
        <v>25</v>
      </c>
      <c r="P70" s="12" t="s">
        <v>18</v>
      </c>
      <c r="Q70" s="12" t="s">
        <v>18</v>
      </c>
      <c r="R70" s="12" t="s">
        <v>22</v>
      </c>
      <c r="S70" s="8"/>
    </row>
    <row r="71" spans="1:19" x14ac:dyDescent="0.35">
      <c r="A71" s="10" t="s">
        <v>18</v>
      </c>
      <c r="B71" s="11">
        <v>1800004555</v>
      </c>
      <c r="C71" s="15">
        <v>246779414423</v>
      </c>
      <c r="D71" s="12" t="s">
        <v>23</v>
      </c>
      <c r="E71" s="13">
        <v>45736</v>
      </c>
      <c r="F71" s="12" t="s">
        <v>18</v>
      </c>
      <c r="G71" s="10" t="s">
        <v>18</v>
      </c>
      <c r="H71" s="14">
        <v>36410.33</v>
      </c>
      <c r="I71" s="12" t="s">
        <v>20</v>
      </c>
      <c r="J71" s="12">
        <v>420</v>
      </c>
      <c r="K71" s="12" t="s">
        <v>18</v>
      </c>
      <c r="L71" s="12" t="s">
        <v>72</v>
      </c>
      <c r="M71" s="12" t="s">
        <v>21</v>
      </c>
      <c r="N71" s="13">
        <v>45736</v>
      </c>
      <c r="O71" s="12" t="s">
        <v>25</v>
      </c>
      <c r="P71" s="12" t="s">
        <v>18</v>
      </c>
      <c r="Q71" s="12" t="s">
        <v>18</v>
      </c>
      <c r="R71" s="12" t="s">
        <v>22</v>
      </c>
      <c r="S71" s="8"/>
    </row>
    <row r="72" spans="1:19" x14ac:dyDescent="0.35">
      <c r="A72" s="10" t="s">
        <v>18</v>
      </c>
      <c r="B72" s="11">
        <v>1800004556</v>
      </c>
      <c r="C72" s="15">
        <v>246779414424</v>
      </c>
      <c r="D72" s="12" t="s">
        <v>23</v>
      </c>
      <c r="E72" s="13">
        <v>45736</v>
      </c>
      <c r="F72" s="12" t="s">
        <v>18</v>
      </c>
      <c r="G72" s="10" t="s">
        <v>18</v>
      </c>
      <c r="H72" s="14">
        <v>10229.57</v>
      </c>
      <c r="I72" s="12" t="s">
        <v>20</v>
      </c>
      <c r="J72" s="12">
        <v>118</v>
      </c>
      <c r="K72" s="12" t="s">
        <v>18</v>
      </c>
      <c r="L72" s="12" t="s">
        <v>73</v>
      </c>
      <c r="M72" s="12" t="s">
        <v>21</v>
      </c>
      <c r="N72" s="13">
        <v>45736</v>
      </c>
      <c r="O72" s="12" t="s">
        <v>25</v>
      </c>
      <c r="P72" s="12" t="s">
        <v>18</v>
      </c>
      <c r="Q72" s="12" t="s">
        <v>18</v>
      </c>
      <c r="R72" s="12" t="s">
        <v>22</v>
      </c>
      <c r="S72" s="8"/>
    </row>
    <row r="73" spans="1:19" x14ac:dyDescent="0.35">
      <c r="A73" s="10" t="s">
        <v>18</v>
      </c>
      <c r="B73" s="11">
        <v>1800004686</v>
      </c>
      <c r="C73" s="15">
        <v>246779414554</v>
      </c>
      <c r="D73" s="12" t="s">
        <v>23</v>
      </c>
      <c r="E73" s="13">
        <v>45736</v>
      </c>
      <c r="F73" s="12" t="s">
        <v>18</v>
      </c>
      <c r="G73" s="10" t="s">
        <v>18</v>
      </c>
      <c r="H73" s="14">
        <v>8183.65</v>
      </c>
      <c r="I73" s="12" t="s">
        <v>20</v>
      </c>
      <c r="J73" s="12">
        <v>94.4</v>
      </c>
      <c r="K73" s="12" t="s">
        <v>18</v>
      </c>
      <c r="L73" s="12" t="s">
        <v>65</v>
      </c>
      <c r="M73" s="12" t="s">
        <v>21</v>
      </c>
      <c r="N73" s="13">
        <v>45736</v>
      </c>
      <c r="O73" s="12" t="s">
        <v>25</v>
      </c>
      <c r="P73" s="12" t="s">
        <v>18</v>
      </c>
      <c r="Q73" s="12" t="s">
        <v>18</v>
      </c>
      <c r="R73" s="12" t="s">
        <v>22</v>
      </c>
      <c r="S73" s="8"/>
    </row>
    <row r="74" spans="1:19" x14ac:dyDescent="0.35">
      <c r="A74" s="10" t="s">
        <v>18</v>
      </c>
      <c r="B74" s="11">
        <v>1800004687</v>
      </c>
      <c r="C74" s="15">
        <v>246779414555</v>
      </c>
      <c r="D74" s="12" t="s">
        <v>23</v>
      </c>
      <c r="E74" s="13">
        <v>45736</v>
      </c>
      <c r="F74" s="12" t="s">
        <v>18</v>
      </c>
      <c r="G74" s="10" t="s">
        <v>18</v>
      </c>
      <c r="H74" s="14">
        <v>134237.07999999999</v>
      </c>
      <c r="I74" s="12" t="s">
        <v>20</v>
      </c>
      <c r="J74" s="12">
        <v>1548.45</v>
      </c>
      <c r="K74" s="12" t="s">
        <v>18</v>
      </c>
      <c r="L74" s="12" t="s">
        <v>74</v>
      </c>
      <c r="M74" s="12" t="s">
        <v>21</v>
      </c>
      <c r="N74" s="13">
        <v>45736</v>
      </c>
      <c r="O74" s="12" t="s">
        <v>25</v>
      </c>
      <c r="P74" s="12" t="s">
        <v>18</v>
      </c>
      <c r="Q74" s="12" t="s">
        <v>18</v>
      </c>
      <c r="R74" s="12" t="s">
        <v>22</v>
      </c>
      <c r="S74" s="8"/>
    </row>
    <row r="75" spans="1:19" x14ac:dyDescent="0.35">
      <c r="A75" s="10" t="s">
        <v>18</v>
      </c>
      <c r="B75" s="11">
        <v>1800004760</v>
      </c>
      <c r="C75" s="15">
        <v>246779414628</v>
      </c>
      <c r="D75" s="12" t="s">
        <v>23</v>
      </c>
      <c r="E75" s="13">
        <v>45736</v>
      </c>
      <c r="F75" s="12" t="s">
        <v>18</v>
      </c>
      <c r="G75" s="10" t="s">
        <v>18</v>
      </c>
      <c r="H75" s="14">
        <v>159361.94</v>
      </c>
      <c r="I75" s="12" t="s">
        <v>20</v>
      </c>
      <c r="J75" s="12">
        <v>1838.27</v>
      </c>
      <c r="K75" s="12" t="s">
        <v>18</v>
      </c>
      <c r="L75" s="12" t="s">
        <v>75</v>
      </c>
      <c r="M75" s="12" t="s">
        <v>21</v>
      </c>
      <c r="N75" s="13">
        <v>45736</v>
      </c>
      <c r="O75" s="12" t="s">
        <v>25</v>
      </c>
      <c r="P75" s="12" t="s">
        <v>18</v>
      </c>
      <c r="Q75" s="12" t="s">
        <v>18</v>
      </c>
      <c r="R75" s="12" t="s">
        <v>22</v>
      </c>
      <c r="S75" s="8"/>
    </row>
    <row r="76" spans="1:19" x14ac:dyDescent="0.35">
      <c r="A76" s="10" t="s">
        <v>18</v>
      </c>
      <c r="B76" s="11">
        <v>1800004761</v>
      </c>
      <c r="C76" s="15">
        <v>246779414629</v>
      </c>
      <c r="D76" s="12" t="s">
        <v>23</v>
      </c>
      <c r="E76" s="13">
        <v>45736</v>
      </c>
      <c r="F76" s="12" t="s">
        <v>18</v>
      </c>
      <c r="G76" s="10" t="s">
        <v>18</v>
      </c>
      <c r="H76" s="14">
        <v>2045.91</v>
      </c>
      <c r="I76" s="12" t="s">
        <v>20</v>
      </c>
      <c r="J76" s="12">
        <v>23.6</v>
      </c>
      <c r="K76" s="12" t="s">
        <v>18</v>
      </c>
      <c r="L76" s="12" t="s">
        <v>68</v>
      </c>
      <c r="M76" s="12" t="s">
        <v>21</v>
      </c>
      <c r="N76" s="13">
        <v>45736</v>
      </c>
      <c r="O76" s="12" t="s">
        <v>25</v>
      </c>
      <c r="P76" s="12" t="s">
        <v>18</v>
      </c>
      <c r="Q76" s="12" t="s">
        <v>18</v>
      </c>
      <c r="R76" s="12" t="s">
        <v>22</v>
      </c>
      <c r="S76" s="8"/>
    </row>
    <row r="77" spans="1:19" x14ac:dyDescent="0.35">
      <c r="A77" s="10" t="s">
        <v>18</v>
      </c>
      <c r="B77" s="11">
        <v>1800004836</v>
      </c>
      <c r="C77" s="15">
        <v>246779414704</v>
      </c>
      <c r="D77" s="12" t="s">
        <v>23</v>
      </c>
      <c r="E77" s="13">
        <v>45736</v>
      </c>
      <c r="F77" s="12" t="s">
        <v>18</v>
      </c>
      <c r="G77" s="10" t="s">
        <v>18</v>
      </c>
      <c r="H77" s="14">
        <v>66606.63</v>
      </c>
      <c r="I77" s="12" t="s">
        <v>20</v>
      </c>
      <c r="J77" s="12">
        <v>768.32</v>
      </c>
      <c r="K77" s="12" t="s">
        <v>18</v>
      </c>
      <c r="L77" s="12" t="s">
        <v>76</v>
      </c>
      <c r="M77" s="12" t="s">
        <v>21</v>
      </c>
      <c r="N77" s="13">
        <v>45736</v>
      </c>
      <c r="O77" s="12" t="s">
        <v>25</v>
      </c>
      <c r="P77" s="12" t="s">
        <v>18</v>
      </c>
      <c r="Q77" s="12" t="s">
        <v>18</v>
      </c>
      <c r="R77" s="12" t="s">
        <v>22</v>
      </c>
      <c r="S77" s="8"/>
    </row>
    <row r="78" spans="1:19" x14ac:dyDescent="0.35">
      <c r="A78" s="10" t="s">
        <v>18</v>
      </c>
      <c r="B78" s="11">
        <v>1800004837</v>
      </c>
      <c r="C78" s="15">
        <v>246779414705</v>
      </c>
      <c r="D78" s="12" t="s">
        <v>23</v>
      </c>
      <c r="E78" s="13">
        <v>45736</v>
      </c>
      <c r="F78" s="12" t="s">
        <v>18</v>
      </c>
      <c r="G78" s="10" t="s">
        <v>18</v>
      </c>
      <c r="H78" s="14">
        <v>18979.32</v>
      </c>
      <c r="I78" s="12" t="s">
        <v>20</v>
      </c>
      <c r="J78" s="12">
        <v>218.93</v>
      </c>
      <c r="K78" s="12" t="s">
        <v>18</v>
      </c>
      <c r="L78" s="12" t="s">
        <v>77</v>
      </c>
      <c r="M78" s="12" t="s">
        <v>21</v>
      </c>
      <c r="N78" s="13">
        <v>45736</v>
      </c>
      <c r="O78" s="12" t="s">
        <v>25</v>
      </c>
      <c r="P78" s="12" t="s">
        <v>18</v>
      </c>
      <c r="Q78" s="12" t="s">
        <v>18</v>
      </c>
      <c r="R78" s="12" t="s">
        <v>22</v>
      </c>
      <c r="S78" s="8"/>
    </row>
    <row r="79" spans="1:19" x14ac:dyDescent="0.35">
      <c r="A79" s="10" t="s">
        <v>18</v>
      </c>
      <c r="B79" s="11">
        <v>1800004935</v>
      </c>
      <c r="C79" s="15">
        <v>246779414803</v>
      </c>
      <c r="D79" s="12" t="s">
        <v>23</v>
      </c>
      <c r="E79" s="13">
        <v>45736</v>
      </c>
      <c r="F79" s="12" t="s">
        <v>18</v>
      </c>
      <c r="G79" s="10" t="s">
        <v>18</v>
      </c>
      <c r="H79" s="14">
        <v>1534.44</v>
      </c>
      <c r="I79" s="12" t="s">
        <v>20</v>
      </c>
      <c r="J79" s="12">
        <v>17.7</v>
      </c>
      <c r="K79" s="12" t="s">
        <v>18</v>
      </c>
      <c r="L79" s="12" t="s">
        <v>76</v>
      </c>
      <c r="M79" s="12" t="s">
        <v>21</v>
      </c>
      <c r="N79" s="13">
        <v>45736</v>
      </c>
      <c r="O79" s="12" t="s">
        <v>25</v>
      </c>
      <c r="P79" s="12" t="s">
        <v>18</v>
      </c>
      <c r="Q79" s="12" t="s">
        <v>18</v>
      </c>
      <c r="R79" s="12" t="s">
        <v>22</v>
      </c>
      <c r="S79" s="8"/>
    </row>
    <row r="80" spans="1:19" x14ac:dyDescent="0.35">
      <c r="A80" s="10" t="s">
        <v>18</v>
      </c>
      <c r="B80" s="11">
        <v>1800004936</v>
      </c>
      <c r="C80" s="15">
        <v>246779414804</v>
      </c>
      <c r="D80" s="12" t="s">
        <v>23</v>
      </c>
      <c r="E80" s="13">
        <v>45736</v>
      </c>
      <c r="F80" s="12" t="s">
        <v>18</v>
      </c>
      <c r="G80" s="10" t="s">
        <v>18</v>
      </c>
      <c r="H80" s="14">
        <v>9462.35</v>
      </c>
      <c r="I80" s="12" t="s">
        <v>20</v>
      </c>
      <c r="J80" s="12">
        <v>109.15</v>
      </c>
      <c r="K80" s="12" t="s">
        <v>18</v>
      </c>
      <c r="L80" s="12" t="s">
        <v>76</v>
      </c>
      <c r="M80" s="12" t="s">
        <v>21</v>
      </c>
      <c r="N80" s="13">
        <v>45736</v>
      </c>
      <c r="O80" s="12" t="s">
        <v>25</v>
      </c>
      <c r="P80" s="12" t="s">
        <v>18</v>
      </c>
      <c r="Q80" s="12" t="s">
        <v>18</v>
      </c>
      <c r="R80" s="12" t="s">
        <v>22</v>
      </c>
      <c r="S80" s="8"/>
    </row>
    <row r="81" spans="1:19" x14ac:dyDescent="0.35">
      <c r="A81" s="10" t="s">
        <v>18</v>
      </c>
      <c r="B81" s="11">
        <v>1800004937</v>
      </c>
      <c r="C81" s="15">
        <v>246779414805</v>
      </c>
      <c r="D81" s="12" t="s">
        <v>23</v>
      </c>
      <c r="E81" s="13">
        <v>45736</v>
      </c>
      <c r="F81" s="12" t="s">
        <v>18</v>
      </c>
      <c r="G81" s="10" t="s">
        <v>18</v>
      </c>
      <c r="H81" s="14">
        <v>767.22</v>
      </c>
      <c r="I81" s="12" t="s">
        <v>20</v>
      </c>
      <c r="J81" s="12">
        <v>8.85</v>
      </c>
      <c r="K81" s="12" t="s">
        <v>18</v>
      </c>
      <c r="L81" s="12" t="s">
        <v>76</v>
      </c>
      <c r="M81" s="12" t="s">
        <v>21</v>
      </c>
      <c r="N81" s="13">
        <v>45736</v>
      </c>
      <c r="O81" s="12" t="s">
        <v>25</v>
      </c>
      <c r="P81" s="12" t="s">
        <v>18</v>
      </c>
      <c r="Q81" s="12" t="s">
        <v>18</v>
      </c>
      <c r="R81" s="12" t="s">
        <v>22</v>
      </c>
      <c r="S81" s="8"/>
    </row>
    <row r="82" spans="1:19" x14ac:dyDescent="0.35">
      <c r="A82" s="10" t="s">
        <v>18</v>
      </c>
      <c r="B82" s="11">
        <v>1800004938</v>
      </c>
      <c r="C82" s="15">
        <v>246779414806</v>
      </c>
      <c r="D82" s="12" t="s">
        <v>23</v>
      </c>
      <c r="E82" s="13">
        <v>45736</v>
      </c>
      <c r="F82" s="12" t="s">
        <v>18</v>
      </c>
      <c r="G82" s="10" t="s">
        <v>18</v>
      </c>
      <c r="H82" s="14">
        <v>17646.009999999998</v>
      </c>
      <c r="I82" s="12" t="s">
        <v>20</v>
      </c>
      <c r="J82" s="12">
        <v>179.95</v>
      </c>
      <c r="K82" s="12" t="s">
        <v>18</v>
      </c>
      <c r="L82" s="12" t="s">
        <v>76</v>
      </c>
      <c r="M82" s="12" t="s">
        <v>21</v>
      </c>
      <c r="N82" s="13">
        <v>45736</v>
      </c>
      <c r="O82" s="12" t="s">
        <v>25</v>
      </c>
      <c r="P82" s="12" t="s">
        <v>18</v>
      </c>
      <c r="Q82" s="12" t="s">
        <v>18</v>
      </c>
      <c r="R82" s="12" t="s">
        <v>22</v>
      </c>
      <c r="S82" s="8"/>
    </row>
    <row r="83" spans="1:19" x14ac:dyDescent="0.35">
      <c r="A83" s="10" t="s">
        <v>18</v>
      </c>
      <c r="B83" s="11">
        <v>1800004939</v>
      </c>
      <c r="C83" s="15">
        <v>246779414807</v>
      </c>
      <c r="D83" s="12" t="s">
        <v>23</v>
      </c>
      <c r="E83" s="13">
        <v>45736</v>
      </c>
      <c r="F83" s="12" t="s">
        <v>18</v>
      </c>
      <c r="G83" s="10" t="s">
        <v>18</v>
      </c>
      <c r="H83" s="14">
        <v>814.9</v>
      </c>
      <c r="I83" s="12" t="s">
        <v>20</v>
      </c>
      <c r="J83" s="12">
        <v>9.4</v>
      </c>
      <c r="K83" s="12" t="s">
        <v>18</v>
      </c>
      <c r="L83" s="12" t="s">
        <v>76</v>
      </c>
      <c r="M83" s="12" t="s">
        <v>21</v>
      </c>
      <c r="N83" s="13">
        <v>45736</v>
      </c>
      <c r="O83" s="12" t="s">
        <v>25</v>
      </c>
      <c r="P83" s="12" t="s">
        <v>18</v>
      </c>
      <c r="Q83" s="12" t="s">
        <v>18</v>
      </c>
      <c r="R83" s="12" t="s">
        <v>22</v>
      </c>
      <c r="S83" s="8"/>
    </row>
    <row r="84" spans="1:19" x14ac:dyDescent="0.35">
      <c r="A84" s="10" t="s">
        <v>18</v>
      </c>
      <c r="B84" s="11">
        <v>1800005314</v>
      </c>
      <c r="C84" s="15">
        <v>256779410206</v>
      </c>
      <c r="D84" s="12" t="s">
        <v>23</v>
      </c>
      <c r="E84" s="13">
        <v>45750</v>
      </c>
      <c r="F84" s="12" t="s">
        <v>18</v>
      </c>
      <c r="G84" s="10" t="s">
        <v>18</v>
      </c>
      <c r="H84" s="14">
        <v>30158.39</v>
      </c>
      <c r="I84" s="12" t="s">
        <v>20</v>
      </c>
      <c r="J84" s="12">
        <v>346.96</v>
      </c>
      <c r="K84" s="12" t="s">
        <v>18</v>
      </c>
      <c r="L84" s="12" t="s">
        <v>78</v>
      </c>
      <c r="M84" s="12" t="s">
        <v>21</v>
      </c>
      <c r="N84" s="13">
        <v>45750</v>
      </c>
      <c r="O84" s="12" t="s">
        <v>25</v>
      </c>
      <c r="P84" s="12" t="s">
        <v>18</v>
      </c>
      <c r="Q84" s="12" t="s">
        <v>18</v>
      </c>
      <c r="R84" s="12" t="s">
        <v>22</v>
      </c>
      <c r="S84" s="8"/>
    </row>
    <row r="85" spans="1:19" x14ac:dyDescent="0.35">
      <c r="A85" s="10" t="s">
        <v>18</v>
      </c>
      <c r="B85" s="11">
        <v>1800005708</v>
      </c>
      <c r="C85" s="15">
        <v>256779410600</v>
      </c>
      <c r="D85" s="12" t="s">
        <v>23</v>
      </c>
      <c r="E85" s="13">
        <v>45751</v>
      </c>
      <c r="F85" s="12" t="s">
        <v>18</v>
      </c>
      <c r="G85" s="10" t="s">
        <v>18</v>
      </c>
      <c r="H85" s="14">
        <v>1380981.72</v>
      </c>
      <c r="I85" s="12" t="s">
        <v>20</v>
      </c>
      <c r="J85" s="12">
        <v>15887.63</v>
      </c>
      <c r="K85" s="12" t="s">
        <v>18</v>
      </c>
      <c r="L85" s="12" t="s">
        <v>79</v>
      </c>
      <c r="M85" s="12" t="s">
        <v>21</v>
      </c>
      <c r="N85" s="13">
        <v>45751</v>
      </c>
      <c r="O85" s="12" t="s">
        <v>25</v>
      </c>
      <c r="P85" s="12" t="s">
        <v>18</v>
      </c>
      <c r="Q85" s="12" t="s">
        <v>18</v>
      </c>
      <c r="R85" s="12" t="s">
        <v>22</v>
      </c>
      <c r="S85" s="8"/>
    </row>
    <row r="86" spans="1:19" x14ac:dyDescent="0.35">
      <c r="A86" s="10" t="s">
        <v>18</v>
      </c>
      <c r="B86" s="11">
        <v>1800006092</v>
      </c>
      <c r="C86" s="15">
        <v>256779410983</v>
      </c>
      <c r="D86" s="12" t="s">
        <v>23</v>
      </c>
      <c r="E86" s="13">
        <v>45762</v>
      </c>
      <c r="F86" s="12" t="s">
        <v>18</v>
      </c>
      <c r="G86" s="10" t="s">
        <v>18</v>
      </c>
      <c r="H86" s="14">
        <v>34103.78</v>
      </c>
      <c r="I86" s="12" t="s">
        <v>20</v>
      </c>
      <c r="J86" s="12">
        <v>47.2</v>
      </c>
      <c r="K86" s="12" t="s">
        <v>18</v>
      </c>
      <c r="L86" s="12" t="s">
        <v>80</v>
      </c>
      <c r="M86" s="12" t="s">
        <v>21</v>
      </c>
      <c r="N86" s="13">
        <v>45762</v>
      </c>
      <c r="O86" s="12" t="s">
        <v>25</v>
      </c>
      <c r="P86" s="12" t="s">
        <v>18</v>
      </c>
      <c r="Q86" s="12" t="s">
        <v>18</v>
      </c>
      <c r="R86" s="12" t="s">
        <v>22</v>
      </c>
      <c r="S86" s="8"/>
    </row>
    <row r="87" spans="1:19" x14ac:dyDescent="0.35">
      <c r="A87" s="10" t="s">
        <v>18</v>
      </c>
      <c r="B87" s="11">
        <v>1800006093</v>
      </c>
      <c r="C87" s="15">
        <v>256779410984</v>
      </c>
      <c r="D87" s="12" t="s">
        <v>23</v>
      </c>
      <c r="E87" s="13">
        <v>45762</v>
      </c>
      <c r="F87" s="12" t="s">
        <v>18</v>
      </c>
      <c r="G87" s="10" t="s">
        <v>18</v>
      </c>
      <c r="H87" s="14">
        <v>17436.52</v>
      </c>
      <c r="I87" s="12" t="s">
        <v>20</v>
      </c>
      <c r="J87" s="12">
        <v>23.6</v>
      </c>
      <c r="K87" s="12" t="s">
        <v>18</v>
      </c>
      <c r="L87" s="12" t="s">
        <v>80</v>
      </c>
      <c r="M87" s="12" t="s">
        <v>21</v>
      </c>
      <c r="N87" s="13">
        <v>45762</v>
      </c>
      <c r="O87" s="12" t="s">
        <v>25</v>
      </c>
      <c r="P87" s="12" t="s">
        <v>18</v>
      </c>
      <c r="Q87" s="12" t="s">
        <v>18</v>
      </c>
      <c r="R87" s="12" t="s">
        <v>22</v>
      </c>
      <c r="S87" s="8"/>
    </row>
    <row r="88" spans="1:19" x14ac:dyDescent="0.35">
      <c r="A88" s="10" t="s">
        <v>18</v>
      </c>
      <c r="B88" s="11">
        <v>1800006094</v>
      </c>
      <c r="C88" s="15">
        <v>256779410985</v>
      </c>
      <c r="D88" s="12" t="s">
        <v>23</v>
      </c>
      <c r="E88" s="13">
        <v>45762</v>
      </c>
      <c r="F88" s="12" t="s">
        <v>18</v>
      </c>
      <c r="G88" s="10" t="s">
        <v>18</v>
      </c>
      <c r="H88" s="14">
        <v>9231.1</v>
      </c>
      <c r="I88" s="12" t="s">
        <v>20</v>
      </c>
      <c r="J88" s="12">
        <v>23.6</v>
      </c>
      <c r="K88" s="12" t="s">
        <v>18</v>
      </c>
      <c r="L88" s="12" t="s">
        <v>80</v>
      </c>
      <c r="M88" s="12" t="s">
        <v>21</v>
      </c>
      <c r="N88" s="13">
        <v>45762</v>
      </c>
      <c r="O88" s="12" t="s">
        <v>25</v>
      </c>
      <c r="P88" s="12" t="s">
        <v>18</v>
      </c>
      <c r="Q88" s="12" t="s">
        <v>18</v>
      </c>
      <c r="R88" s="12" t="s">
        <v>22</v>
      </c>
      <c r="S88" s="8"/>
    </row>
    <row r="89" spans="1:19" x14ac:dyDescent="0.35">
      <c r="A89" s="10" t="s">
        <v>18</v>
      </c>
      <c r="B89" s="11">
        <v>1800006095</v>
      </c>
      <c r="C89" s="15">
        <v>256779410986</v>
      </c>
      <c r="D89" s="12" t="s">
        <v>23</v>
      </c>
      <c r="E89" s="13">
        <v>45762</v>
      </c>
      <c r="F89" s="12" t="s">
        <v>18</v>
      </c>
      <c r="G89" s="10" t="s">
        <v>18</v>
      </c>
      <c r="H89" s="14">
        <v>7179.74</v>
      </c>
      <c r="I89" s="12" t="s">
        <v>20</v>
      </c>
      <c r="J89" s="12">
        <v>23.6</v>
      </c>
      <c r="K89" s="12" t="s">
        <v>18</v>
      </c>
      <c r="L89" s="12" t="s">
        <v>80</v>
      </c>
      <c r="M89" s="12" t="s">
        <v>21</v>
      </c>
      <c r="N89" s="13">
        <v>45762</v>
      </c>
      <c r="O89" s="12" t="s">
        <v>25</v>
      </c>
      <c r="P89" s="12" t="s">
        <v>18</v>
      </c>
      <c r="Q89" s="12" t="s">
        <v>18</v>
      </c>
      <c r="R89" s="12" t="s">
        <v>22</v>
      </c>
      <c r="S89" s="8"/>
    </row>
    <row r="90" spans="1:19" x14ac:dyDescent="0.35">
      <c r="A90" s="10" t="s">
        <v>18</v>
      </c>
      <c r="B90" s="11">
        <v>1800006096</v>
      </c>
      <c r="C90" s="15">
        <v>256779410987</v>
      </c>
      <c r="D90" s="12" t="s">
        <v>23</v>
      </c>
      <c r="E90" s="13">
        <v>45762</v>
      </c>
      <c r="F90" s="12" t="s">
        <v>18</v>
      </c>
      <c r="G90" s="10" t="s">
        <v>18</v>
      </c>
      <c r="H90" s="14">
        <v>19441.8</v>
      </c>
      <c r="I90" s="12" t="s">
        <v>20</v>
      </c>
      <c r="J90" s="12">
        <v>141.07</v>
      </c>
      <c r="K90" s="12" t="s">
        <v>18</v>
      </c>
      <c r="L90" s="12" t="s">
        <v>81</v>
      </c>
      <c r="M90" s="12" t="s">
        <v>21</v>
      </c>
      <c r="N90" s="13">
        <v>45762</v>
      </c>
      <c r="O90" s="12" t="s">
        <v>25</v>
      </c>
      <c r="P90" s="12" t="s">
        <v>18</v>
      </c>
      <c r="Q90" s="12" t="s">
        <v>18</v>
      </c>
      <c r="R90" s="12" t="s">
        <v>22</v>
      </c>
      <c r="S90" s="8"/>
    </row>
    <row r="91" spans="1:19" x14ac:dyDescent="0.35">
      <c r="A91" s="10" t="s">
        <v>18</v>
      </c>
      <c r="B91" s="11">
        <v>1800006097</v>
      </c>
      <c r="C91" s="15">
        <v>256779410988</v>
      </c>
      <c r="D91" s="12" t="s">
        <v>23</v>
      </c>
      <c r="E91" s="13">
        <v>45762</v>
      </c>
      <c r="F91" s="12" t="s">
        <v>18</v>
      </c>
      <c r="G91" s="10" t="s">
        <v>18</v>
      </c>
      <c r="H91" s="14">
        <v>28718.97</v>
      </c>
      <c r="I91" s="12" t="s">
        <v>20</v>
      </c>
      <c r="J91" s="12">
        <v>47.2</v>
      </c>
      <c r="K91" s="12" t="s">
        <v>18</v>
      </c>
      <c r="L91" s="12" t="s">
        <v>80</v>
      </c>
      <c r="M91" s="12" t="s">
        <v>21</v>
      </c>
      <c r="N91" s="13">
        <v>45762</v>
      </c>
      <c r="O91" s="12" t="s">
        <v>25</v>
      </c>
      <c r="P91" s="12" t="s">
        <v>18</v>
      </c>
      <c r="Q91" s="12" t="s">
        <v>18</v>
      </c>
      <c r="R91" s="12" t="s">
        <v>22</v>
      </c>
      <c r="S91" s="8"/>
    </row>
    <row r="92" spans="1:19" x14ac:dyDescent="0.35">
      <c r="A92" s="10" t="s">
        <v>18</v>
      </c>
      <c r="B92" s="11">
        <v>1800006098</v>
      </c>
      <c r="C92" s="15">
        <v>256779410989</v>
      </c>
      <c r="D92" s="12" t="s">
        <v>23</v>
      </c>
      <c r="E92" s="13">
        <v>45762</v>
      </c>
      <c r="F92" s="12" t="s">
        <v>18</v>
      </c>
      <c r="G92" s="10" t="s">
        <v>18</v>
      </c>
      <c r="H92" s="14">
        <v>7179.74</v>
      </c>
      <c r="I92" s="12" t="s">
        <v>20</v>
      </c>
      <c r="J92" s="12">
        <v>23.6</v>
      </c>
      <c r="K92" s="12" t="s">
        <v>18</v>
      </c>
      <c r="L92" s="12" t="s">
        <v>80</v>
      </c>
      <c r="M92" s="12" t="s">
        <v>21</v>
      </c>
      <c r="N92" s="13">
        <v>45762</v>
      </c>
      <c r="O92" s="12" t="s">
        <v>25</v>
      </c>
      <c r="P92" s="12" t="s">
        <v>18</v>
      </c>
      <c r="Q92" s="12" t="s">
        <v>18</v>
      </c>
      <c r="R92" s="12" t="s">
        <v>22</v>
      </c>
      <c r="S92" s="8"/>
    </row>
    <row r="93" spans="1:19" x14ac:dyDescent="0.35">
      <c r="A93" s="10" t="s">
        <v>18</v>
      </c>
      <c r="B93" s="11">
        <v>1800006099</v>
      </c>
      <c r="C93" s="15">
        <v>256779410990</v>
      </c>
      <c r="D93" s="12" t="s">
        <v>23</v>
      </c>
      <c r="E93" s="13">
        <v>45762</v>
      </c>
      <c r="F93" s="12" t="s">
        <v>18</v>
      </c>
      <c r="G93" s="10" t="s">
        <v>18</v>
      </c>
      <c r="H93" s="14">
        <v>16923.68</v>
      </c>
      <c r="I93" s="12" t="s">
        <v>20</v>
      </c>
      <c r="J93" s="12">
        <v>23.6</v>
      </c>
      <c r="K93" s="12" t="s">
        <v>18</v>
      </c>
      <c r="L93" s="12" t="s">
        <v>80</v>
      </c>
      <c r="M93" s="12" t="s">
        <v>21</v>
      </c>
      <c r="N93" s="13">
        <v>45762</v>
      </c>
      <c r="O93" s="12" t="s">
        <v>25</v>
      </c>
      <c r="P93" s="12" t="s">
        <v>18</v>
      </c>
      <c r="Q93" s="12" t="s">
        <v>18</v>
      </c>
      <c r="R93" s="12" t="s">
        <v>22</v>
      </c>
      <c r="S93" s="8"/>
    </row>
    <row r="94" spans="1:19" x14ac:dyDescent="0.35">
      <c r="A94" s="10" t="s">
        <v>18</v>
      </c>
      <c r="B94" s="11">
        <v>1800006322</v>
      </c>
      <c r="C94" s="15">
        <v>256779411213</v>
      </c>
      <c r="D94" s="12" t="s">
        <v>23</v>
      </c>
      <c r="E94" s="13">
        <v>45763</v>
      </c>
      <c r="F94" s="12" t="s">
        <v>18</v>
      </c>
      <c r="G94" s="10" t="s">
        <v>18</v>
      </c>
      <c r="H94" s="14">
        <v>5743.79</v>
      </c>
      <c r="I94" s="12" t="s">
        <v>20</v>
      </c>
      <c r="J94" s="12">
        <v>23.6</v>
      </c>
      <c r="K94" s="12" t="s">
        <v>18</v>
      </c>
      <c r="L94" s="12" t="s">
        <v>82</v>
      </c>
      <c r="M94" s="12" t="s">
        <v>21</v>
      </c>
      <c r="N94" s="13">
        <v>45763</v>
      </c>
      <c r="O94" s="12" t="s">
        <v>25</v>
      </c>
      <c r="P94" s="12" t="s">
        <v>18</v>
      </c>
      <c r="Q94" s="12" t="s">
        <v>18</v>
      </c>
      <c r="R94" s="12" t="s">
        <v>22</v>
      </c>
      <c r="S94" s="8"/>
    </row>
    <row r="95" spans="1:19" x14ac:dyDescent="0.35">
      <c r="A95" s="10" t="s">
        <v>18</v>
      </c>
      <c r="B95" s="11">
        <v>1800006323</v>
      </c>
      <c r="C95" s="15">
        <v>256779411214</v>
      </c>
      <c r="D95" s="12" t="s">
        <v>23</v>
      </c>
      <c r="E95" s="13">
        <v>45763</v>
      </c>
      <c r="F95" s="12" t="s">
        <v>18</v>
      </c>
      <c r="G95" s="10" t="s">
        <v>18</v>
      </c>
      <c r="H95" s="14">
        <v>1025.68</v>
      </c>
      <c r="I95" s="12" t="s">
        <v>20</v>
      </c>
      <c r="J95" s="12">
        <v>11.8</v>
      </c>
      <c r="K95" s="12" t="s">
        <v>18</v>
      </c>
      <c r="L95" s="12" t="s">
        <v>82</v>
      </c>
      <c r="M95" s="12" t="s">
        <v>21</v>
      </c>
      <c r="N95" s="13">
        <v>45763</v>
      </c>
      <c r="O95" s="12" t="s">
        <v>25</v>
      </c>
      <c r="P95" s="12" t="s">
        <v>18</v>
      </c>
      <c r="Q95" s="12" t="s">
        <v>18</v>
      </c>
      <c r="R95" s="12" t="s">
        <v>22</v>
      </c>
      <c r="S95" s="8"/>
    </row>
    <row r="96" spans="1:19" x14ac:dyDescent="0.35">
      <c r="A96" s="10" t="s">
        <v>18</v>
      </c>
      <c r="B96" s="11">
        <v>1800006324</v>
      </c>
      <c r="C96" s="15">
        <v>256779411215</v>
      </c>
      <c r="D96" s="12" t="s">
        <v>23</v>
      </c>
      <c r="E96" s="13">
        <v>45763</v>
      </c>
      <c r="F96" s="12" t="s">
        <v>18</v>
      </c>
      <c r="G96" s="10" t="s">
        <v>18</v>
      </c>
      <c r="H96" s="14">
        <v>4074.03</v>
      </c>
      <c r="I96" s="12" t="s">
        <v>20</v>
      </c>
      <c r="J96" s="12">
        <v>46.87</v>
      </c>
      <c r="K96" s="12" t="s">
        <v>18</v>
      </c>
      <c r="L96" s="12" t="s">
        <v>82</v>
      </c>
      <c r="M96" s="12" t="s">
        <v>21</v>
      </c>
      <c r="N96" s="13">
        <v>45763</v>
      </c>
      <c r="O96" s="12" t="s">
        <v>25</v>
      </c>
      <c r="P96" s="12" t="s">
        <v>18</v>
      </c>
      <c r="Q96" s="12" t="s">
        <v>18</v>
      </c>
      <c r="R96" s="12" t="s">
        <v>22</v>
      </c>
      <c r="S96" s="8"/>
    </row>
    <row r="97" spans="1:19" x14ac:dyDescent="0.35">
      <c r="A97" s="10" t="s">
        <v>18</v>
      </c>
      <c r="B97" s="11">
        <v>1800006325</v>
      </c>
      <c r="C97" s="15">
        <v>256779411216</v>
      </c>
      <c r="D97" s="12" t="s">
        <v>23</v>
      </c>
      <c r="E97" s="13">
        <v>45763</v>
      </c>
      <c r="F97" s="12" t="s">
        <v>18</v>
      </c>
      <c r="G97" s="10" t="s">
        <v>18</v>
      </c>
      <c r="H97" s="14">
        <v>7949</v>
      </c>
      <c r="I97" s="12" t="s">
        <v>20</v>
      </c>
      <c r="J97" s="12">
        <v>91.45</v>
      </c>
      <c r="K97" s="12" t="s">
        <v>18</v>
      </c>
      <c r="L97" s="12" t="s">
        <v>82</v>
      </c>
      <c r="M97" s="12" t="s">
        <v>21</v>
      </c>
      <c r="N97" s="13">
        <v>45763</v>
      </c>
      <c r="O97" s="12" t="s">
        <v>25</v>
      </c>
      <c r="P97" s="12" t="s">
        <v>18</v>
      </c>
      <c r="Q97" s="12" t="s">
        <v>18</v>
      </c>
      <c r="R97" s="12" t="s">
        <v>22</v>
      </c>
      <c r="S97" s="8"/>
    </row>
    <row r="98" spans="1:19" x14ac:dyDescent="0.35">
      <c r="A98" s="10" t="s">
        <v>18</v>
      </c>
      <c r="B98" s="11">
        <v>1800006326</v>
      </c>
      <c r="C98" s="15">
        <v>256779411217</v>
      </c>
      <c r="D98" s="12" t="s">
        <v>23</v>
      </c>
      <c r="E98" s="13">
        <v>45763</v>
      </c>
      <c r="F98" s="12" t="s">
        <v>18</v>
      </c>
      <c r="G98" s="10" t="s">
        <v>18</v>
      </c>
      <c r="H98" s="14">
        <v>7949</v>
      </c>
      <c r="I98" s="12" t="s">
        <v>20</v>
      </c>
      <c r="J98" s="12">
        <v>91.45</v>
      </c>
      <c r="K98" s="12" t="s">
        <v>18</v>
      </c>
      <c r="L98" s="12" t="s">
        <v>82</v>
      </c>
      <c r="M98" s="12" t="s">
        <v>21</v>
      </c>
      <c r="N98" s="13">
        <v>45763</v>
      </c>
      <c r="O98" s="12" t="s">
        <v>25</v>
      </c>
      <c r="P98" s="12" t="s">
        <v>18</v>
      </c>
      <c r="Q98" s="12" t="s">
        <v>18</v>
      </c>
      <c r="R98" s="12" t="s">
        <v>22</v>
      </c>
      <c r="S98" s="8"/>
    </row>
    <row r="99" spans="1:19" x14ac:dyDescent="0.35">
      <c r="A99" s="10" t="s">
        <v>18</v>
      </c>
      <c r="B99" s="11">
        <v>1800006327</v>
      </c>
      <c r="C99" s="15">
        <v>256779411218</v>
      </c>
      <c r="D99" s="12" t="s">
        <v>23</v>
      </c>
      <c r="E99" s="13">
        <v>45763</v>
      </c>
      <c r="F99" s="12" t="s">
        <v>18</v>
      </c>
      <c r="G99" s="10" t="s">
        <v>18</v>
      </c>
      <c r="H99" s="14">
        <v>9622.25</v>
      </c>
      <c r="I99" s="12" t="s">
        <v>20</v>
      </c>
      <c r="J99" s="12">
        <v>110.7</v>
      </c>
      <c r="K99" s="12" t="s">
        <v>18</v>
      </c>
      <c r="L99" s="12" t="s">
        <v>82</v>
      </c>
      <c r="M99" s="12" t="s">
        <v>21</v>
      </c>
      <c r="N99" s="13">
        <v>45763</v>
      </c>
      <c r="O99" s="12" t="s">
        <v>25</v>
      </c>
      <c r="P99" s="12" t="s">
        <v>18</v>
      </c>
      <c r="Q99" s="12" t="s">
        <v>18</v>
      </c>
      <c r="R99" s="12" t="s">
        <v>22</v>
      </c>
      <c r="S99" s="8"/>
    </row>
    <row r="100" spans="1:19" x14ac:dyDescent="0.35">
      <c r="A100" s="10" t="s">
        <v>18</v>
      </c>
      <c r="B100" s="11">
        <v>1800006328</v>
      </c>
      <c r="C100" s="15">
        <v>256779411219</v>
      </c>
      <c r="D100" s="12" t="s">
        <v>23</v>
      </c>
      <c r="E100" s="13">
        <v>45763</v>
      </c>
      <c r="F100" s="12" t="s">
        <v>18</v>
      </c>
      <c r="G100" s="10" t="s">
        <v>18</v>
      </c>
      <c r="H100" s="14">
        <v>3077.03</v>
      </c>
      <c r="I100" s="12" t="s">
        <v>20</v>
      </c>
      <c r="J100" s="12">
        <v>35.4</v>
      </c>
      <c r="K100" s="12" t="s">
        <v>18</v>
      </c>
      <c r="L100" s="12" t="s">
        <v>82</v>
      </c>
      <c r="M100" s="12" t="s">
        <v>21</v>
      </c>
      <c r="N100" s="13">
        <v>45763</v>
      </c>
      <c r="O100" s="12" t="s">
        <v>25</v>
      </c>
      <c r="P100" s="12" t="s">
        <v>18</v>
      </c>
      <c r="Q100" s="12" t="s">
        <v>18</v>
      </c>
      <c r="R100" s="12" t="s">
        <v>22</v>
      </c>
      <c r="S100" s="8"/>
    </row>
    <row r="101" spans="1:19" x14ac:dyDescent="0.35">
      <c r="A101" s="10" t="s">
        <v>18</v>
      </c>
      <c r="B101" s="11">
        <v>1800006329</v>
      </c>
      <c r="C101" s="15">
        <v>256779411220</v>
      </c>
      <c r="D101" s="12" t="s">
        <v>23</v>
      </c>
      <c r="E101" s="13">
        <v>45763</v>
      </c>
      <c r="F101" s="12" t="s">
        <v>18</v>
      </c>
      <c r="G101" s="10" t="s">
        <v>18</v>
      </c>
      <c r="H101" s="14">
        <v>3846.29</v>
      </c>
      <c r="I101" s="12" t="s">
        <v>20</v>
      </c>
      <c r="J101" s="12">
        <v>44.25</v>
      </c>
      <c r="K101" s="12" t="s">
        <v>18</v>
      </c>
      <c r="L101" s="12" t="s">
        <v>82</v>
      </c>
      <c r="M101" s="12" t="s">
        <v>21</v>
      </c>
      <c r="N101" s="13">
        <v>45763</v>
      </c>
      <c r="O101" s="12" t="s">
        <v>25</v>
      </c>
      <c r="P101" s="12" t="s">
        <v>18</v>
      </c>
      <c r="Q101" s="12" t="s">
        <v>18</v>
      </c>
      <c r="R101" s="12" t="s">
        <v>22</v>
      </c>
      <c r="S101" s="8"/>
    </row>
    <row r="102" spans="1:19" x14ac:dyDescent="0.35">
      <c r="A102" s="10" t="s">
        <v>18</v>
      </c>
      <c r="B102" s="11">
        <v>1800006330</v>
      </c>
      <c r="C102" s="15">
        <v>256779411221</v>
      </c>
      <c r="D102" s="12" t="s">
        <v>23</v>
      </c>
      <c r="E102" s="13">
        <v>45763</v>
      </c>
      <c r="F102" s="12" t="s">
        <v>18</v>
      </c>
      <c r="G102" s="10" t="s">
        <v>18</v>
      </c>
      <c r="H102" s="14">
        <v>256.42</v>
      </c>
      <c r="I102" s="12" t="s">
        <v>20</v>
      </c>
      <c r="J102" s="12">
        <v>2.95</v>
      </c>
      <c r="K102" s="12" t="s">
        <v>18</v>
      </c>
      <c r="L102" s="12" t="s">
        <v>82</v>
      </c>
      <c r="M102" s="12" t="s">
        <v>21</v>
      </c>
      <c r="N102" s="13">
        <v>45763</v>
      </c>
      <c r="O102" s="12" t="s">
        <v>25</v>
      </c>
      <c r="P102" s="12" t="s">
        <v>18</v>
      </c>
      <c r="Q102" s="12" t="s">
        <v>18</v>
      </c>
      <c r="R102" s="12" t="s">
        <v>22</v>
      </c>
      <c r="S102" s="8"/>
    </row>
    <row r="103" spans="1:19" x14ac:dyDescent="0.35">
      <c r="A103" s="10" t="s">
        <v>18</v>
      </c>
      <c r="B103" s="11">
        <v>1800006331</v>
      </c>
      <c r="C103" s="15">
        <v>256779411222</v>
      </c>
      <c r="D103" s="12" t="s">
        <v>23</v>
      </c>
      <c r="E103" s="13">
        <v>45763</v>
      </c>
      <c r="F103" s="12" t="s">
        <v>18</v>
      </c>
      <c r="G103" s="10" t="s">
        <v>18</v>
      </c>
      <c r="H103" s="14">
        <v>9164.17</v>
      </c>
      <c r="I103" s="12" t="s">
        <v>20</v>
      </c>
      <c r="J103" s="12">
        <v>105.43</v>
      </c>
      <c r="K103" s="12" t="s">
        <v>18</v>
      </c>
      <c r="L103" s="12" t="s">
        <v>82</v>
      </c>
      <c r="M103" s="12" t="s">
        <v>21</v>
      </c>
      <c r="N103" s="13">
        <v>45763</v>
      </c>
      <c r="O103" s="12" t="s">
        <v>25</v>
      </c>
      <c r="P103" s="12" t="s">
        <v>18</v>
      </c>
      <c r="Q103" s="12" t="s">
        <v>18</v>
      </c>
      <c r="R103" s="12" t="s">
        <v>22</v>
      </c>
      <c r="S103" s="8"/>
    </row>
    <row r="104" spans="1:19" x14ac:dyDescent="0.35">
      <c r="A104" s="10" t="s">
        <v>18</v>
      </c>
      <c r="B104" s="11">
        <v>1800006332</v>
      </c>
      <c r="C104" s="15">
        <v>256779411223</v>
      </c>
      <c r="D104" s="12" t="s">
        <v>23</v>
      </c>
      <c r="E104" s="13">
        <v>45763</v>
      </c>
      <c r="F104" s="12" t="s">
        <v>18</v>
      </c>
      <c r="G104" s="10" t="s">
        <v>18</v>
      </c>
      <c r="H104" s="14">
        <v>7436.16</v>
      </c>
      <c r="I104" s="12" t="s">
        <v>20</v>
      </c>
      <c r="J104" s="12">
        <v>85.55</v>
      </c>
      <c r="K104" s="12" t="s">
        <v>18</v>
      </c>
      <c r="L104" s="12" t="s">
        <v>82</v>
      </c>
      <c r="M104" s="12" t="s">
        <v>21</v>
      </c>
      <c r="N104" s="13">
        <v>45763</v>
      </c>
      <c r="O104" s="12" t="s">
        <v>25</v>
      </c>
      <c r="P104" s="12" t="s">
        <v>18</v>
      </c>
      <c r="Q104" s="12" t="s">
        <v>18</v>
      </c>
      <c r="R104" s="12" t="s">
        <v>22</v>
      </c>
      <c r="S104" s="8"/>
    </row>
    <row r="105" spans="1:19" x14ac:dyDescent="0.35">
      <c r="A105" s="10" t="s">
        <v>18</v>
      </c>
      <c r="B105" s="11">
        <v>1800006333</v>
      </c>
      <c r="C105" s="15">
        <v>256779411224</v>
      </c>
      <c r="D105" s="12" t="s">
        <v>23</v>
      </c>
      <c r="E105" s="13">
        <v>45763</v>
      </c>
      <c r="F105" s="12" t="s">
        <v>18</v>
      </c>
      <c r="G105" s="10" t="s">
        <v>18</v>
      </c>
      <c r="H105" s="14">
        <v>4734.63</v>
      </c>
      <c r="I105" s="12" t="s">
        <v>20</v>
      </c>
      <c r="J105" s="12">
        <v>54.47</v>
      </c>
      <c r="K105" s="12" t="s">
        <v>18</v>
      </c>
      <c r="L105" s="12" t="s">
        <v>82</v>
      </c>
      <c r="M105" s="12" t="s">
        <v>21</v>
      </c>
      <c r="N105" s="13">
        <v>45763</v>
      </c>
      <c r="O105" s="12" t="s">
        <v>25</v>
      </c>
      <c r="P105" s="12" t="s">
        <v>18</v>
      </c>
      <c r="Q105" s="12" t="s">
        <v>18</v>
      </c>
      <c r="R105" s="12" t="s">
        <v>22</v>
      </c>
      <c r="S105" s="8"/>
    </row>
    <row r="106" spans="1:19" x14ac:dyDescent="0.35">
      <c r="A106" s="10" t="s">
        <v>18</v>
      </c>
      <c r="B106" s="11">
        <v>1800006334</v>
      </c>
      <c r="C106" s="15">
        <v>256779411225</v>
      </c>
      <c r="D106" s="12" t="s">
        <v>23</v>
      </c>
      <c r="E106" s="13">
        <v>45763</v>
      </c>
      <c r="F106" s="12" t="s">
        <v>18</v>
      </c>
      <c r="G106" s="10" t="s">
        <v>18</v>
      </c>
      <c r="H106" s="14">
        <v>5736.84</v>
      </c>
      <c r="I106" s="12" t="s">
        <v>20</v>
      </c>
      <c r="J106" s="12">
        <v>66</v>
      </c>
      <c r="K106" s="12" t="s">
        <v>18</v>
      </c>
      <c r="L106" s="12" t="s">
        <v>82</v>
      </c>
      <c r="M106" s="12" t="s">
        <v>21</v>
      </c>
      <c r="N106" s="13">
        <v>45763</v>
      </c>
      <c r="O106" s="12" t="s">
        <v>25</v>
      </c>
      <c r="P106" s="12" t="s">
        <v>18</v>
      </c>
      <c r="Q106" s="12" t="s">
        <v>18</v>
      </c>
      <c r="R106" s="12" t="s">
        <v>22</v>
      </c>
      <c r="S106" s="8"/>
    </row>
    <row r="107" spans="1:19" x14ac:dyDescent="0.35">
      <c r="A107" s="10" t="s">
        <v>18</v>
      </c>
      <c r="B107" s="11">
        <v>1800006335</v>
      </c>
      <c r="C107" s="15">
        <v>256779411226</v>
      </c>
      <c r="D107" s="12" t="s">
        <v>23</v>
      </c>
      <c r="E107" s="13">
        <v>45763</v>
      </c>
      <c r="F107" s="12" t="s">
        <v>18</v>
      </c>
      <c r="G107" s="10" t="s">
        <v>18</v>
      </c>
      <c r="H107" s="14">
        <v>9743.94</v>
      </c>
      <c r="I107" s="12" t="s">
        <v>20</v>
      </c>
      <c r="J107" s="12">
        <v>112.1</v>
      </c>
      <c r="K107" s="12" t="s">
        <v>18</v>
      </c>
      <c r="L107" s="12" t="s">
        <v>82</v>
      </c>
      <c r="M107" s="12" t="s">
        <v>21</v>
      </c>
      <c r="N107" s="13">
        <v>45763</v>
      </c>
      <c r="O107" s="12" t="s">
        <v>25</v>
      </c>
      <c r="P107" s="12" t="s">
        <v>18</v>
      </c>
      <c r="Q107" s="12" t="s">
        <v>18</v>
      </c>
      <c r="R107" s="12" t="s">
        <v>22</v>
      </c>
      <c r="S107" s="8"/>
    </row>
    <row r="108" spans="1:19" x14ac:dyDescent="0.35">
      <c r="A108" s="10" t="s">
        <v>18</v>
      </c>
      <c r="B108" s="11">
        <v>1800006336</v>
      </c>
      <c r="C108" s="15">
        <v>256779411227</v>
      </c>
      <c r="D108" s="12" t="s">
        <v>23</v>
      </c>
      <c r="E108" s="13">
        <v>45763</v>
      </c>
      <c r="F108" s="12" t="s">
        <v>18</v>
      </c>
      <c r="G108" s="10" t="s">
        <v>18</v>
      </c>
      <c r="H108" s="14">
        <v>256.42</v>
      </c>
      <c r="I108" s="12" t="s">
        <v>20</v>
      </c>
      <c r="J108" s="12">
        <v>2.95</v>
      </c>
      <c r="K108" s="12" t="s">
        <v>18</v>
      </c>
      <c r="L108" s="12" t="s">
        <v>82</v>
      </c>
      <c r="M108" s="12" t="s">
        <v>21</v>
      </c>
      <c r="N108" s="13">
        <v>45763</v>
      </c>
      <c r="O108" s="12" t="s">
        <v>25</v>
      </c>
      <c r="P108" s="12" t="s">
        <v>18</v>
      </c>
      <c r="Q108" s="12" t="s">
        <v>18</v>
      </c>
      <c r="R108" s="12" t="s">
        <v>22</v>
      </c>
      <c r="S108" s="8"/>
    </row>
    <row r="109" spans="1:19" x14ac:dyDescent="0.35">
      <c r="A109" s="10" t="s">
        <v>18</v>
      </c>
      <c r="B109" s="11">
        <v>1800006337</v>
      </c>
      <c r="C109" s="15">
        <v>256779411228</v>
      </c>
      <c r="D109" s="12" t="s">
        <v>23</v>
      </c>
      <c r="E109" s="13">
        <v>45763</v>
      </c>
      <c r="F109" s="12" t="s">
        <v>18</v>
      </c>
      <c r="G109" s="10" t="s">
        <v>18</v>
      </c>
      <c r="H109" s="14">
        <v>3846.29</v>
      </c>
      <c r="I109" s="12" t="s">
        <v>20</v>
      </c>
      <c r="J109" s="12">
        <v>44.25</v>
      </c>
      <c r="K109" s="12" t="s">
        <v>18</v>
      </c>
      <c r="L109" s="12" t="s">
        <v>82</v>
      </c>
      <c r="M109" s="12" t="s">
        <v>21</v>
      </c>
      <c r="N109" s="13">
        <v>45763</v>
      </c>
      <c r="O109" s="12" t="s">
        <v>25</v>
      </c>
      <c r="P109" s="12" t="s">
        <v>18</v>
      </c>
      <c r="Q109" s="12" t="s">
        <v>18</v>
      </c>
      <c r="R109" s="12" t="s">
        <v>22</v>
      </c>
      <c r="S109" s="8"/>
    </row>
    <row r="110" spans="1:19" x14ac:dyDescent="0.35">
      <c r="A110" s="10" t="s">
        <v>18</v>
      </c>
      <c r="B110" s="11">
        <v>1800006338</v>
      </c>
      <c r="C110" s="15">
        <v>256779411229</v>
      </c>
      <c r="D110" s="12" t="s">
        <v>23</v>
      </c>
      <c r="E110" s="13">
        <v>45763</v>
      </c>
      <c r="F110" s="12" t="s">
        <v>18</v>
      </c>
      <c r="G110" s="10" t="s">
        <v>18</v>
      </c>
      <c r="H110" s="14">
        <v>8974.68</v>
      </c>
      <c r="I110" s="12" t="s">
        <v>20</v>
      </c>
      <c r="J110" s="12">
        <v>103.25</v>
      </c>
      <c r="K110" s="12" t="s">
        <v>18</v>
      </c>
      <c r="L110" s="12" t="s">
        <v>82</v>
      </c>
      <c r="M110" s="12" t="s">
        <v>21</v>
      </c>
      <c r="N110" s="13">
        <v>45763</v>
      </c>
      <c r="O110" s="12" t="s">
        <v>25</v>
      </c>
      <c r="P110" s="12" t="s">
        <v>18</v>
      </c>
      <c r="Q110" s="12" t="s">
        <v>18</v>
      </c>
      <c r="R110" s="12" t="s">
        <v>22</v>
      </c>
      <c r="S110" s="8"/>
    </row>
    <row r="111" spans="1:19" x14ac:dyDescent="0.35">
      <c r="A111" s="10" t="s">
        <v>18</v>
      </c>
      <c r="B111" s="11">
        <v>1800006339</v>
      </c>
      <c r="C111" s="15">
        <v>256779411230</v>
      </c>
      <c r="D111" s="12" t="s">
        <v>23</v>
      </c>
      <c r="E111" s="13">
        <v>45763</v>
      </c>
      <c r="F111" s="12" t="s">
        <v>18</v>
      </c>
      <c r="G111" s="10" t="s">
        <v>18</v>
      </c>
      <c r="H111" s="14">
        <v>2553.7600000000002</v>
      </c>
      <c r="I111" s="12" t="s">
        <v>20</v>
      </c>
      <c r="J111" s="12">
        <v>29.38</v>
      </c>
      <c r="K111" s="12" t="s">
        <v>18</v>
      </c>
      <c r="L111" s="12" t="s">
        <v>82</v>
      </c>
      <c r="M111" s="12" t="s">
        <v>21</v>
      </c>
      <c r="N111" s="13">
        <v>45763</v>
      </c>
      <c r="O111" s="12" t="s">
        <v>25</v>
      </c>
      <c r="P111" s="12" t="s">
        <v>18</v>
      </c>
      <c r="Q111" s="12" t="s">
        <v>18</v>
      </c>
      <c r="R111" s="12" t="s">
        <v>22</v>
      </c>
      <c r="S111" s="8"/>
    </row>
    <row r="112" spans="1:19" x14ac:dyDescent="0.35">
      <c r="A112" s="10" t="s">
        <v>18</v>
      </c>
      <c r="B112" s="11">
        <v>1800006340</v>
      </c>
      <c r="C112" s="15">
        <v>256779411231</v>
      </c>
      <c r="D112" s="12" t="s">
        <v>23</v>
      </c>
      <c r="E112" s="13">
        <v>45763</v>
      </c>
      <c r="F112" s="12" t="s">
        <v>18</v>
      </c>
      <c r="G112" s="10" t="s">
        <v>18</v>
      </c>
      <c r="H112" s="14">
        <v>512.84</v>
      </c>
      <c r="I112" s="12" t="s">
        <v>20</v>
      </c>
      <c r="J112" s="12">
        <v>5.9</v>
      </c>
      <c r="K112" s="12" t="s">
        <v>18</v>
      </c>
      <c r="L112" s="12" t="s">
        <v>82</v>
      </c>
      <c r="M112" s="12" t="s">
        <v>21</v>
      </c>
      <c r="N112" s="13">
        <v>45763</v>
      </c>
      <c r="O112" s="12" t="s">
        <v>25</v>
      </c>
      <c r="P112" s="12" t="s">
        <v>18</v>
      </c>
      <c r="Q112" s="12" t="s">
        <v>18</v>
      </c>
      <c r="R112" s="12" t="s">
        <v>22</v>
      </c>
      <c r="S112" s="8"/>
    </row>
    <row r="113" spans="1:19" x14ac:dyDescent="0.35">
      <c r="A113" s="10" t="s">
        <v>18</v>
      </c>
      <c r="B113" s="11">
        <v>1800006341</v>
      </c>
      <c r="C113" s="15">
        <v>256779411232</v>
      </c>
      <c r="D113" s="12" t="s">
        <v>23</v>
      </c>
      <c r="E113" s="13">
        <v>45763</v>
      </c>
      <c r="F113" s="12" t="s">
        <v>18</v>
      </c>
      <c r="G113" s="10" t="s">
        <v>18</v>
      </c>
      <c r="H113" s="14">
        <v>3077.03</v>
      </c>
      <c r="I113" s="12" t="s">
        <v>20</v>
      </c>
      <c r="J113" s="12">
        <v>35.4</v>
      </c>
      <c r="K113" s="12" t="s">
        <v>18</v>
      </c>
      <c r="L113" s="12" t="s">
        <v>82</v>
      </c>
      <c r="M113" s="12" t="s">
        <v>21</v>
      </c>
      <c r="N113" s="13">
        <v>45763</v>
      </c>
      <c r="O113" s="12" t="s">
        <v>25</v>
      </c>
      <c r="P113" s="12" t="s">
        <v>18</v>
      </c>
      <c r="Q113" s="12" t="s">
        <v>18</v>
      </c>
      <c r="R113" s="12" t="s">
        <v>22</v>
      </c>
      <c r="S113" s="8"/>
    </row>
    <row r="114" spans="1:19" x14ac:dyDescent="0.35">
      <c r="A114" s="10" t="s">
        <v>18</v>
      </c>
      <c r="B114" s="11">
        <v>1800006342</v>
      </c>
      <c r="C114" s="15">
        <v>256779411233</v>
      </c>
      <c r="D114" s="12" t="s">
        <v>23</v>
      </c>
      <c r="E114" s="13">
        <v>45763</v>
      </c>
      <c r="F114" s="12" t="s">
        <v>18</v>
      </c>
      <c r="G114" s="10" t="s">
        <v>18</v>
      </c>
      <c r="H114" s="14">
        <v>1821.88</v>
      </c>
      <c r="I114" s="12" t="s">
        <v>20</v>
      </c>
      <c r="J114" s="12">
        <v>20.96</v>
      </c>
      <c r="K114" s="12" t="s">
        <v>18</v>
      </c>
      <c r="L114" s="12" t="s">
        <v>82</v>
      </c>
      <c r="M114" s="12" t="s">
        <v>21</v>
      </c>
      <c r="N114" s="13">
        <v>45763</v>
      </c>
      <c r="O114" s="12" t="s">
        <v>25</v>
      </c>
      <c r="P114" s="12" t="s">
        <v>18</v>
      </c>
      <c r="Q114" s="12" t="s">
        <v>18</v>
      </c>
      <c r="R114" s="12" t="s">
        <v>22</v>
      </c>
      <c r="S114" s="8"/>
    </row>
    <row r="115" spans="1:19" x14ac:dyDescent="0.35">
      <c r="A115" s="10" t="s">
        <v>18</v>
      </c>
      <c r="B115" s="11">
        <v>1800006828</v>
      </c>
      <c r="C115" s="15">
        <v>256779411719</v>
      </c>
      <c r="D115" s="12" t="s">
        <v>23</v>
      </c>
      <c r="E115" s="13">
        <v>45763</v>
      </c>
      <c r="F115" s="12" t="s">
        <v>18</v>
      </c>
      <c r="G115" s="10" t="s">
        <v>18</v>
      </c>
      <c r="H115" s="14">
        <v>42420.46</v>
      </c>
      <c r="I115" s="12" t="s">
        <v>20</v>
      </c>
      <c r="J115" s="12">
        <v>488.03</v>
      </c>
      <c r="K115" s="12" t="s">
        <v>18</v>
      </c>
      <c r="L115" s="12" t="s">
        <v>83</v>
      </c>
      <c r="M115" s="12" t="s">
        <v>21</v>
      </c>
      <c r="N115" s="13">
        <v>45763</v>
      </c>
      <c r="O115" s="12" t="s">
        <v>25</v>
      </c>
      <c r="P115" s="12" t="s">
        <v>18</v>
      </c>
      <c r="Q115" s="12" t="s">
        <v>18</v>
      </c>
      <c r="R115" s="12" t="s">
        <v>22</v>
      </c>
      <c r="S115" s="8"/>
    </row>
    <row r="116" spans="1:19" x14ac:dyDescent="0.35">
      <c r="A116" s="10" t="s">
        <v>18</v>
      </c>
      <c r="B116" s="11">
        <v>1800006853</v>
      </c>
      <c r="C116" s="15">
        <v>256779411744</v>
      </c>
      <c r="D116" s="12" t="s">
        <v>23</v>
      </c>
      <c r="E116" s="13">
        <v>45763</v>
      </c>
      <c r="F116" s="12" t="s">
        <v>18</v>
      </c>
      <c r="G116" s="10" t="s">
        <v>18</v>
      </c>
      <c r="H116" s="14">
        <v>88299.53</v>
      </c>
      <c r="I116" s="12" t="s">
        <v>20</v>
      </c>
      <c r="J116" s="12">
        <v>1015.85</v>
      </c>
      <c r="K116" s="12" t="s">
        <v>18</v>
      </c>
      <c r="L116" s="12" t="s">
        <v>84</v>
      </c>
      <c r="M116" s="12" t="s">
        <v>21</v>
      </c>
      <c r="N116" s="13">
        <v>45763</v>
      </c>
      <c r="O116" s="12" t="s">
        <v>25</v>
      </c>
      <c r="P116" s="12" t="s">
        <v>18</v>
      </c>
      <c r="Q116" s="12" t="s">
        <v>18</v>
      </c>
      <c r="R116" s="12" t="s">
        <v>22</v>
      </c>
      <c r="S116" s="8"/>
    </row>
    <row r="117" spans="1:19" x14ac:dyDescent="0.35">
      <c r="A117" s="10" t="s">
        <v>18</v>
      </c>
      <c r="B117" s="11">
        <v>1800006854</v>
      </c>
      <c r="C117" s="15">
        <v>256779411745</v>
      </c>
      <c r="D117" s="12" t="s">
        <v>23</v>
      </c>
      <c r="E117" s="13">
        <v>45763</v>
      </c>
      <c r="F117" s="12" t="s">
        <v>18</v>
      </c>
      <c r="G117" s="10" t="s">
        <v>18</v>
      </c>
      <c r="H117" s="14">
        <v>14769.76</v>
      </c>
      <c r="I117" s="12" t="s">
        <v>20</v>
      </c>
      <c r="J117" s="12">
        <v>169.92</v>
      </c>
      <c r="K117" s="12" t="s">
        <v>18</v>
      </c>
      <c r="L117" s="12" t="s">
        <v>85</v>
      </c>
      <c r="M117" s="12" t="s">
        <v>21</v>
      </c>
      <c r="N117" s="13">
        <v>45763</v>
      </c>
      <c r="O117" s="12" t="s">
        <v>25</v>
      </c>
      <c r="P117" s="12" t="s">
        <v>18</v>
      </c>
      <c r="Q117" s="12" t="s">
        <v>18</v>
      </c>
      <c r="R117" s="12" t="s">
        <v>22</v>
      </c>
      <c r="S117" s="8"/>
    </row>
    <row r="118" spans="1:19" x14ac:dyDescent="0.35">
      <c r="A118" s="10" t="s">
        <v>18</v>
      </c>
      <c r="B118" s="11">
        <v>1800006855</v>
      </c>
      <c r="C118" s="15">
        <v>256779411746</v>
      </c>
      <c r="D118" s="12" t="s">
        <v>23</v>
      </c>
      <c r="E118" s="13">
        <v>45763</v>
      </c>
      <c r="F118" s="12" t="s">
        <v>18</v>
      </c>
      <c r="G118" s="10" t="s">
        <v>18</v>
      </c>
      <c r="H118" s="14">
        <v>12308.13</v>
      </c>
      <c r="I118" s="12" t="s">
        <v>20</v>
      </c>
      <c r="J118" s="12">
        <v>141.6</v>
      </c>
      <c r="K118" s="12" t="s">
        <v>18</v>
      </c>
      <c r="L118" s="12" t="s">
        <v>86</v>
      </c>
      <c r="M118" s="12" t="s">
        <v>21</v>
      </c>
      <c r="N118" s="13">
        <v>45763</v>
      </c>
      <c r="O118" s="12" t="s">
        <v>25</v>
      </c>
      <c r="P118" s="12" t="s">
        <v>18</v>
      </c>
      <c r="Q118" s="12" t="s">
        <v>18</v>
      </c>
      <c r="R118" s="12" t="s">
        <v>22</v>
      </c>
      <c r="S118" s="8"/>
    </row>
    <row r="119" spans="1:19" x14ac:dyDescent="0.35">
      <c r="A119" s="10" t="s">
        <v>18</v>
      </c>
      <c r="B119" s="11">
        <v>1800006939</v>
      </c>
      <c r="C119" s="15">
        <v>256779411830</v>
      </c>
      <c r="D119" s="12" t="s">
        <v>23</v>
      </c>
      <c r="E119" s="13">
        <v>45763</v>
      </c>
      <c r="F119" s="12" t="s">
        <v>18</v>
      </c>
      <c r="G119" s="10" t="s">
        <v>18</v>
      </c>
      <c r="H119" s="14">
        <v>118418.81</v>
      </c>
      <c r="I119" s="12" t="s">
        <v>20</v>
      </c>
      <c r="J119" s="12">
        <v>1362.36</v>
      </c>
      <c r="K119" s="12" t="s">
        <v>18</v>
      </c>
      <c r="L119" s="12" t="s">
        <v>87</v>
      </c>
      <c r="M119" s="12" t="s">
        <v>21</v>
      </c>
      <c r="N119" s="13">
        <v>45763</v>
      </c>
      <c r="O119" s="12" t="s">
        <v>25</v>
      </c>
      <c r="P119" s="12" t="s">
        <v>18</v>
      </c>
      <c r="Q119" s="12" t="s">
        <v>18</v>
      </c>
      <c r="R119" s="12" t="s">
        <v>22</v>
      </c>
      <c r="S119" s="8"/>
    </row>
    <row r="120" spans="1:19" x14ac:dyDescent="0.35">
      <c r="A120" s="10" t="s">
        <v>18</v>
      </c>
      <c r="B120" s="11">
        <v>1800006940</v>
      </c>
      <c r="C120" s="15">
        <v>256779411831</v>
      </c>
      <c r="D120" s="12" t="s">
        <v>23</v>
      </c>
      <c r="E120" s="13">
        <v>45763</v>
      </c>
      <c r="F120" s="12" t="s">
        <v>18</v>
      </c>
      <c r="G120" s="10" t="s">
        <v>18</v>
      </c>
      <c r="H120" s="14">
        <v>2051.35</v>
      </c>
      <c r="I120" s="12" t="s">
        <v>20</v>
      </c>
      <c r="J120" s="12">
        <v>23.6</v>
      </c>
      <c r="K120" s="12" t="s">
        <v>18</v>
      </c>
      <c r="L120" s="12" t="s">
        <v>88</v>
      </c>
      <c r="M120" s="12" t="s">
        <v>21</v>
      </c>
      <c r="N120" s="13">
        <v>45763</v>
      </c>
      <c r="O120" s="12" t="s">
        <v>25</v>
      </c>
      <c r="P120" s="12" t="s">
        <v>18</v>
      </c>
      <c r="Q120" s="12" t="s">
        <v>18</v>
      </c>
      <c r="R120" s="12" t="s">
        <v>22</v>
      </c>
      <c r="S120" s="8"/>
    </row>
    <row r="121" spans="1:19" x14ac:dyDescent="0.35">
      <c r="A121" s="10" t="s">
        <v>18</v>
      </c>
      <c r="B121" s="11">
        <v>1800007103</v>
      </c>
      <c r="C121" s="15">
        <v>256779411994</v>
      </c>
      <c r="D121" s="12" t="s">
        <v>23</v>
      </c>
      <c r="E121" s="13">
        <v>45763</v>
      </c>
      <c r="F121" s="12" t="s">
        <v>18</v>
      </c>
      <c r="G121" s="10" t="s">
        <v>18</v>
      </c>
      <c r="H121" s="14">
        <v>12760.99</v>
      </c>
      <c r="I121" s="12" t="s">
        <v>20</v>
      </c>
      <c r="J121" s="12">
        <v>146.81</v>
      </c>
      <c r="K121" s="12" t="s">
        <v>18</v>
      </c>
      <c r="L121" s="12" t="s">
        <v>89</v>
      </c>
      <c r="M121" s="12" t="s">
        <v>21</v>
      </c>
      <c r="N121" s="13">
        <v>45763</v>
      </c>
      <c r="O121" s="12" t="s">
        <v>25</v>
      </c>
      <c r="P121" s="12" t="s">
        <v>18</v>
      </c>
      <c r="Q121" s="12" t="s">
        <v>18</v>
      </c>
      <c r="R121" s="12" t="s">
        <v>22</v>
      </c>
      <c r="S121" s="8"/>
    </row>
    <row r="122" spans="1:19" x14ac:dyDescent="0.35">
      <c r="A122" s="10" t="s">
        <v>18</v>
      </c>
      <c r="B122" s="11">
        <v>1800007300</v>
      </c>
      <c r="C122" s="15">
        <v>256779412191</v>
      </c>
      <c r="D122" s="12" t="s">
        <v>23</v>
      </c>
      <c r="E122" s="13">
        <v>45768</v>
      </c>
      <c r="F122" s="12" t="s">
        <v>18</v>
      </c>
      <c r="G122" s="10" t="s">
        <v>18</v>
      </c>
      <c r="H122" s="14">
        <v>1700811.42</v>
      </c>
      <c r="I122" s="12" t="s">
        <v>20</v>
      </c>
      <c r="J122" s="12">
        <v>19567.14</v>
      </c>
      <c r="K122" s="12" t="s">
        <v>18</v>
      </c>
      <c r="L122" s="12" t="s">
        <v>90</v>
      </c>
      <c r="M122" s="12" t="s">
        <v>21</v>
      </c>
      <c r="N122" s="13">
        <v>45768</v>
      </c>
      <c r="O122" s="12" t="s">
        <v>25</v>
      </c>
      <c r="P122" s="12" t="s">
        <v>18</v>
      </c>
      <c r="Q122" s="12" t="s">
        <v>18</v>
      </c>
      <c r="R122" s="12" t="s">
        <v>22</v>
      </c>
      <c r="S122" s="8"/>
    </row>
    <row r="123" spans="1:19" x14ac:dyDescent="0.35">
      <c r="A123" s="10" t="s">
        <v>18</v>
      </c>
      <c r="B123" s="11">
        <v>1800007459</v>
      </c>
      <c r="C123" s="15">
        <v>256779412350</v>
      </c>
      <c r="D123" s="12" t="s">
        <v>23</v>
      </c>
      <c r="E123" s="13">
        <v>45768</v>
      </c>
      <c r="F123" s="12" t="s">
        <v>18</v>
      </c>
      <c r="G123" s="10" t="s">
        <v>18</v>
      </c>
      <c r="H123" s="14">
        <v>1970322.09</v>
      </c>
      <c r="I123" s="12" t="s">
        <v>20</v>
      </c>
      <c r="J123" s="12">
        <v>22667.75</v>
      </c>
      <c r="K123" s="12" t="s">
        <v>18</v>
      </c>
      <c r="L123" s="12" t="s">
        <v>50</v>
      </c>
      <c r="M123" s="12" t="s">
        <v>21</v>
      </c>
      <c r="N123" s="13">
        <v>45768</v>
      </c>
      <c r="O123" s="12" t="s">
        <v>25</v>
      </c>
      <c r="P123" s="12" t="s">
        <v>18</v>
      </c>
      <c r="Q123" s="12" t="s">
        <v>18</v>
      </c>
      <c r="R123" s="12" t="s">
        <v>22</v>
      </c>
      <c r="S123" s="8"/>
    </row>
    <row r="124" spans="1:19" x14ac:dyDescent="0.35">
      <c r="A124" s="10" t="s">
        <v>18</v>
      </c>
      <c r="B124" s="11">
        <v>1800007489</v>
      </c>
      <c r="C124" s="15">
        <v>256779412380</v>
      </c>
      <c r="D124" s="12" t="s">
        <v>23</v>
      </c>
      <c r="E124" s="13">
        <v>45768</v>
      </c>
      <c r="F124" s="12" t="s">
        <v>18</v>
      </c>
      <c r="G124" s="10" t="s">
        <v>18</v>
      </c>
      <c r="H124" s="14">
        <v>1439414.04</v>
      </c>
      <c r="I124" s="12" t="s">
        <v>20</v>
      </c>
      <c r="J124" s="12">
        <v>16559.87</v>
      </c>
      <c r="K124" s="12" t="s">
        <v>18</v>
      </c>
      <c r="L124" s="12" t="s">
        <v>91</v>
      </c>
      <c r="M124" s="12" t="s">
        <v>21</v>
      </c>
      <c r="N124" s="13">
        <v>45768</v>
      </c>
      <c r="O124" s="12" t="s">
        <v>25</v>
      </c>
      <c r="P124" s="12" t="s">
        <v>18</v>
      </c>
      <c r="Q124" s="12" t="s">
        <v>18</v>
      </c>
      <c r="R124" s="12" t="s">
        <v>22</v>
      </c>
      <c r="S124" s="8"/>
    </row>
    <row r="125" spans="1:19" x14ac:dyDescent="0.35">
      <c r="A125" s="10" t="s">
        <v>18</v>
      </c>
      <c r="B125" s="11">
        <v>1800010077</v>
      </c>
      <c r="C125" s="15">
        <v>256779414841</v>
      </c>
      <c r="D125" s="12" t="s">
        <v>23</v>
      </c>
      <c r="E125" s="13">
        <v>45842</v>
      </c>
      <c r="F125" s="12" t="s">
        <v>18</v>
      </c>
      <c r="G125" s="10" t="s">
        <v>18</v>
      </c>
      <c r="H125" s="14">
        <v>14203.87</v>
      </c>
      <c r="I125" s="12" t="s">
        <v>20</v>
      </c>
      <c r="J125" s="12">
        <v>165.16</v>
      </c>
      <c r="K125" s="12" t="s">
        <v>18</v>
      </c>
      <c r="L125" s="12" t="s">
        <v>92</v>
      </c>
      <c r="M125" s="12" t="s">
        <v>21</v>
      </c>
      <c r="N125" s="13">
        <v>45842</v>
      </c>
      <c r="O125" s="12" t="s">
        <v>25</v>
      </c>
      <c r="P125" s="12" t="s">
        <v>18</v>
      </c>
      <c r="Q125" s="12" t="s">
        <v>18</v>
      </c>
      <c r="R125" s="12" t="s">
        <v>22</v>
      </c>
      <c r="S125" s="8"/>
    </row>
    <row r="126" spans="1:19" x14ac:dyDescent="0.35">
      <c r="A126" s="10" t="s">
        <v>18</v>
      </c>
      <c r="B126" s="11">
        <v>1800010753</v>
      </c>
      <c r="C126" s="15">
        <v>256779415415</v>
      </c>
      <c r="D126" s="12" t="s">
        <v>23</v>
      </c>
      <c r="E126" s="13">
        <v>45856</v>
      </c>
      <c r="F126" s="12" t="s">
        <v>18</v>
      </c>
      <c r="G126" s="10" t="s">
        <v>18</v>
      </c>
      <c r="H126" s="14">
        <v>29304.73</v>
      </c>
      <c r="I126" s="12" t="s">
        <v>20</v>
      </c>
      <c r="J126" s="12">
        <v>340.75</v>
      </c>
      <c r="K126" s="12" t="s">
        <v>18</v>
      </c>
      <c r="L126" s="12" t="s">
        <v>93</v>
      </c>
      <c r="M126" s="12" t="s">
        <v>21</v>
      </c>
      <c r="N126" s="13">
        <v>45856</v>
      </c>
      <c r="O126" s="12" t="s">
        <v>25</v>
      </c>
      <c r="P126" s="12" t="s">
        <v>18</v>
      </c>
      <c r="Q126" s="12" t="s">
        <v>18</v>
      </c>
      <c r="R126" s="12" t="s">
        <v>22</v>
      </c>
      <c r="S126" s="8"/>
    </row>
    <row r="127" spans="1:19" x14ac:dyDescent="0.35">
      <c r="A127" s="10" t="s">
        <v>18</v>
      </c>
      <c r="B127" s="11">
        <v>1800011241</v>
      </c>
      <c r="C127" s="15">
        <v>256779415973</v>
      </c>
      <c r="D127" s="12" t="s">
        <v>23</v>
      </c>
      <c r="E127" s="13">
        <v>45863</v>
      </c>
      <c r="F127" s="12" t="s">
        <v>18</v>
      </c>
      <c r="G127" s="10" t="s">
        <v>18</v>
      </c>
      <c r="H127" s="14">
        <v>38533.46</v>
      </c>
      <c r="I127" s="12" t="s">
        <v>20</v>
      </c>
      <c r="J127" s="12">
        <v>448.06</v>
      </c>
      <c r="K127" s="12" t="s">
        <v>18</v>
      </c>
      <c r="L127" s="12" t="s">
        <v>94</v>
      </c>
      <c r="M127" s="12" t="s">
        <v>21</v>
      </c>
      <c r="N127" s="13">
        <v>45863</v>
      </c>
      <c r="O127" s="12" t="s">
        <v>25</v>
      </c>
      <c r="P127" s="12" t="s">
        <v>18</v>
      </c>
      <c r="Q127" s="12" t="s">
        <v>18</v>
      </c>
      <c r="R127" s="12" t="s">
        <v>22</v>
      </c>
      <c r="S127" s="8"/>
    </row>
    <row r="128" spans="1:19" x14ac:dyDescent="0.35">
      <c r="A128" s="10" t="s">
        <v>18</v>
      </c>
      <c r="B128" s="11">
        <v>1800016238</v>
      </c>
      <c r="C128" s="15">
        <v>256779450410</v>
      </c>
      <c r="D128" s="12" t="s">
        <v>23</v>
      </c>
      <c r="E128" s="13">
        <v>46028</v>
      </c>
      <c r="F128" s="12" t="s">
        <v>18</v>
      </c>
      <c r="G128" s="10" t="s">
        <v>18</v>
      </c>
      <c r="H128" s="14">
        <v>75591.759999999995</v>
      </c>
      <c r="I128" s="12" t="s">
        <v>20</v>
      </c>
      <c r="J128" s="12">
        <v>833.03</v>
      </c>
      <c r="K128" s="12" t="s">
        <v>18</v>
      </c>
      <c r="L128" s="12" t="s">
        <v>95</v>
      </c>
      <c r="M128" s="12" t="s">
        <v>21</v>
      </c>
      <c r="N128" s="13">
        <v>46028</v>
      </c>
      <c r="O128" s="12" t="s">
        <v>25</v>
      </c>
      <c r="P128" s="12" t="s">
        <v>18</v>
      </c>
      <c r="Q128" s="12" t="s">
        <v>18</v>
      </c>
      <c r="R128" s="12" t="s">
        <v>22</v>
      </c>
      <c r="S128" s="8"/>
    </row>
    <row r="129" spans="1:19" x14ac:dyDescent="0.35">
      <c r="A129" s="10" t="s">
        <v>18</v>
      </c>
      <c r="B129" s="11">
        <v>1800016264</v>
      </c>
      <c r="C129" s="15">
        <v>256779450428</v>
      </c>
      <c r="D129" s="12" t="s">
        <v>23</v>
      </c>
      <c r="E129" s="13">
        <v>46028</v>
      </c>
      <c r="F129" s="12" t="s">
        <v>18</v>
      </c>
      <c r="G129" s="10" t="s">
        <v>18</v>
      </c>
      <c r="H129" s="14">
        <v>75584.5</v>
      </c>
      <c r="I129" s="12" t="s">
        <v>20</v>
      </c>
      <c r="J129" s="12">
        <v>832.95</v>
      </c>
      <c r="K129" s="12" t="s">
        <v>18</v>
      </c>
      <c r="L129" s="12" t="s">
        <v>96</v>
      </c>
      <c r="M129" s="12" t="s">
        <v>21</v>
      </c>
      <c r="N129" s="13">
        <v>46028</v>
      </c>
      <c r="O129" s="12" t="s">
        <v>25</v>
      </c>
      <c r="P129" s="12" t="s">
        <v>18</v>
      </c>
      <c r="Q129" s="12" t="s">
        <v>18</v>
      </c>
      <c r="R129" s="12" t="s">
        <v>22</v>
      </c>
      <c r="S129" s="8"/>
    </row>
    <row r="130" spans="1:19" x14ac:dyDescent="0.35">
      <c r="A130" s="10" t="s">
        <v>18</v>
      </c>
      <c r="B130" s="11">
        <v>1800016362</v>
      </c>
      <c r="C130" s="15">
        <v>256779450460</v>
      </c>
      <c r="D130" s="12" t="s">
        <v>23</v>
      </c>
      <c r="E130" s="13">
        <v>46028</v>
      </c>
      <c r="F130" s="12" t="s">
        <v>18</v>
      </c>
      <c r="G130" s="10" t="s">
        <v>18</v>
      </c>
      <c r="H130" s="14">
        <v>53295.26</v>
      </c>
      <c r="I130" s="12" t="s">
        <v>20</v>
      </c>
      <c r="J130" s="12">
        <v>587.32000000000005</v>
      </c>
      <c r="K130" s="12" t="s">
        <v>18</v>
      </c>
      <c r="L130" s="12" t="s">
        <v>97</v>
      </c>
      <c r="M130" s="12" t="s">
        <v>21</v>
      </c>
      <c r="N130" s="13">
        <v>46028</v>
      </c>
      <c r="O130" s="12" t="s">
        <v>25</v>
      </c>
      <c r="P130" s="12" t="s">
        <v>18</v>
      </c>
      <c r="Q130" s="12" t="s">
        <v>18</v>
      </c>
      <c r="R130" s="12" t="s">
        <v>22</v>
      </c>
      <c r="S130" s="8"/>
    </row>
    <row r="131" spans="1:19" x14ac:dyDescent="0.35">
      <c r="A131" s="10" t="s">
        <v>18</v>
      </c>
      <c r="B131" s="11">
        <v>1800016374</v>
      </c>
      <c r="C131" s="15">
        <v>256779450541</v>
      </c>
      <c r="D131" s="12" t="s">
        <v>23</v>
      </c>
      <c r="E131" s="13">
        <v>46034</v>
      </c>
      <c r="F131" s="12" t="s">
        <v>18</v>
      </c>
      <c r="G131" s="10" t="s">
        <v>18</v>
      </c>
      <c r="H131" s="14">
        <v>142343.32</v>
      </c>
      <c r="I131" s="12" t="s">
        <v>20</v>
      </c>
      <c r="J131" s="12">
        <v>1320.78</v>
      </c>
      <c r="K131" s="12" t="s">
        <v>18</v>
      </c>
      <c r="L131" s="12" t="s">
        <v>98</v>
      </c>
      <c r="M131" s="12" t="s">
        <v>21</v>
      </c>
      <c r="N131" s="13">
        <v>46034</v>
      </c>
      <c r="O131" s="12" t="s">
        <v>25</v>
      </c>
      <c r="P131" s="12" t="s">
        <v>18</v>
      </c>
      <c r="Q131" s="12" t="s">
        <v>18</v>
      </c>
      <c r="R131" s="12" t="s">
        <v>22</v>
      </c>
      <c r="S131" s="8"/>
    </row>
    <row r="132" spans="1:19" x14ac:dyDescent="0.35">
      <c r="A132" s="10" t="s">
        <v>18</v>
      </c>
      <c r="B132" s="11">
        <v>1800016464</v>
      </c>
      <c r="C132" s="15">
        <v>256779450509</v>
      </c>
      <c r="D132" s="12" t="s">
        <v>23</v>
      </c>
      <c r="E132" s="13">
        <v>46028</v>
      </c>
      <c r="F132" s="12" t="s">
        <v>18</v>
      </c>
      <c r="G132" s="10" t="s">
        <v>18</v>
      </c>
      <c r="H132" s="14">
        <v>709536.95</v>
      </c>
      <c r="I132" s="12" t="s">
        <v>20</v>
      </c>
      <c r="J132" s="12">
        <v>2366.27</v>
      </c>
      <c r="K132" s="12" t="s">
        <v>18</v>
      </c>
      <c r="L132" s="12" t="s">
        <v>99</v>
      </c>
      <c r="M132" s="12" t="s">
        <v>21</v>
      </c>
      <c r="N132" s="13">
        <v>46028</v>
      </c>
      <c r="O132" s="12" t="s">
        <v>25</v>
      </c>
      <c r="P132" s="12" t="s">
        <v>18</v>
      </c>
      <c r="Q132" s="12" t="s">
        <v>18</v>
      </c>
      <c r="R132" s="12" t="s">
        <v>22</v>
      </c>
      <c r="S132" s="8"/>
    </row>
    <row r="133" spans="1:19" x14ac:dyDescent="0.35">
      <c r="A133" s="10" t="s">
        <v>18</v>
      </c>
      <c r="B133" s="11">
        <v>1800016710</v>
      </c>
      <c r="C133" s="15">
        <v>256779450686</v>
      </c>
      <c r="D133" s="12" t="s">
        <v>23</v>
      </c>
      <c r="E133" s="13">
        <v>46028</v>
      </c>
      <c r="F133" s="12" t="s">
        <v>18</v>
      </c>
      <c r="G133" s="10" t="s">
        <v>18</v>
      </c>
      <c r="H133" s="14">
        <v>1098493.8</v>
      </c>
      <c r="I133" s="12" t="s">
        <v>20</v>
      </c>
      <c r="J133" s="12">
        <v>12105.53</v>
      </c>
      <c r="K133" s="12" t="s">
        <v>18</v>
      </c>
      <c r="L133" s="12" t="s">
        <v>100</v>
      </c>
      <c r="M133" s="12" t="s">
        <v>21</v>
      </c>
      <c r="N133" s="13">
        <v>46028</v>
      </c>
      <c r="O133" s="12" t="s">
        <v>25</v>
      </c>
      <c r="P133" s="12" t="s">
        <v>18</v>
      </c>
      <c r="Q133" s="12" t="s">
        <v>18</v>
      </c>
      <c r="R133" s="12" t="s">
        <v>22</v>
      </c>
      <c r="S133" s="8"/>
    </row>
    <row r="134" spans="1:19" x14ac:dyDescent="0.35">
      <c r="A134" s="10" t="s">
        <v>18</v>
      </c>
      <c r="B134" s="11">
        <v>1800016711</v>
      </c>
      <c r="C134" s="15">
        <v>256779450687</v>
      </c>
      <c r="D134" s="12" t="s">
        <v>23</v>
      </c>
      <c r="E134" s="13">
        <v>46028</v>
      </c>
      <c r="F134" s="12" t="s">
        <v>18</v>
      </c>
      <c r="G134" s="10" t="s">
        <v>18</v>
      </c>
      <c r="H134" s="14">
        <v>655175.44999999995</v>
      </c>
      <c r="I134" s="12" t="s">
        <v>20</v>
      </c>
      <c r="J134" s="12">
        <v>7220.11</v>
      </c>
      <c r="K134" s="12" t="s">
        <v>18</v>
      </c>
      <c r="L134" s="12" t="s">
        <v>100</v>
      </c>
      <c r="M134" s="12" t="s">
        <v>21</v>
      </c>
      <c r="N134" s="13">
        <v>46028</v>
      </c>
      <c r="O134" s="12" t="s">
        <v>25</v>
      </c>
      <c r="P134" s="12" t="s">
        <v>18</v>
      </c>
      <c r="Q134" s="12" t="s">
        <v>18</v>
      </c>
      <c r="R134" s="12" t="s">
        <v>22</v>
      </c>
      <c r="S134" s="8"/>
    </row>
    <row r="135" spans="1:19" x14ac:dyDescent="0.35">
      <c r="A135" s="10" t="s">
        <v>18</v>
      </c>
      <c r="B135" s="11">
        <v>1800016733</v>
      </c>
      <c r="C135" s="15">
        <v>256779450704</v>
      </c>
      <c r="D135" s="12" t="s">
        <v>23</v>
      </c>
      <c r="E135" s="13">
        <v>46034</v>
      </c>
      <c r="F135" s="12" t="s">
        <v>18</v>
      </c>
      <c r="G135" s="10" t="s">
        <v>18</v>
      </c>
      <c r="H135" s="14">
        <v>1513.6</v>
      </c>
      <c r="I135" s="12" t="s">
        <v>20</v>
      </c>
      <c r="J135" s="12">
        <v>16.68</v>
      </c>
      <c r="K135" s="12" t="s">
        <v>18</v>
      </c>
      <c r="L135" s="12" t="s">
        <v>101</v>
      </c>
      <c r="M135" s="12" t="s">
        <v>21</v>
      </c>
      <c r="N135" s="13">
        <v>46034</v>
      </c>
      <c r="O135" s="12" t="s">
        <v>25</v>
      </c>
      <c r="P135" s="12" t="s">
        <v>18</v>
      </c>
      <c r="Q135" s="12" t="s">
        <v>18</v>
      </c>
      <c r="R135" s="12" t="s">
        <v>22</v>
      </c>
      <c r="S135" s="8"/>
    </row>
    <row r="136" spans="1:19" x14ac:dyDescent="0.35">
      <c r="A136" s="10" t="s">
        <v>18</v>
      </c>
      <c r="B136" s="11">
        <v>1800016800</v>
      </c>
      <c r="C136" s="15">
        <v>256779450736</v>
      </c>
      <c r="D136" s="12" t="s">
        <v>23</v>
      </c>
      <c r="E136" s="13">
        <v>46034</v>
      </c>
      <c r="F136" s="12" t="s">
        <v>18</v>
      </c>
      <c r="G136" s="10" t="s">
        <v>18</v>
      </c>
      <c r="H136" s="14">
        <v>31677.52</v>
      </c>
      <c r="I136" s="12" t="s">
        <v>20</v>
      </c>
      <c r="J136" s="12">
        <v>349.09</v>
      </c>
      <c r="K136" s="12" t="s">
        <v>18</v>
      </c>
      <c r="L136" s="12" t="s">
        <v>102</v>
      </c>
      <c r="M136" s="12" t="s">
        <v>21</v>
      </c>
      <c r="N136" s="13">
        <v>46034</v>
      </c>
      <c r="O136" s="12" t="s">
        <v>25</v>
      </c>
      <c r="P136" s="12" t="s">
        <v>18</v>
      </c>
      <c r="Q136" s="12" t="s">
        <v>18</v>
      </c>
      <c r="R136" s="12" t="s">
        <v>22</v>
      </c>
      <c r="S136" s="8"/>
    </row>
    <row r="137" spans="1:19" x14ac:dyDescent="0.35">
      <c r="A137" s="10" t="s">
        <v>18</v>
      </c>
      <c r="B137" s="11">
        <v>1800016811</v>
      </c>
      <c r="C137" s="15">
        <v>256779450747</v>
      </c>
      <c r="D137" s="12" t="s">
        <v>23</v>
      </c>
      <c r="E137" s="13">
        <v>46034</v>
      </c>
      <c r="F137" s="12" t="s">
        <v>18</v>
      </c>
      <c r="G137" s="10" t="s">
        <v>18</v>
      </c>
      <c r="H137" s="14">
        <v>4260.3900000000003</v>
      </c>
      <c r="I137" s="12" t="s">
        <v>20</v>
      </c>
      <c r="J137" s="12">
        <v>46.95</v>
      </c>
      <c r="K137" s="12" t="s">
        <v>18</v>
      </c>
      <c r="L137" s="12" t="s">
        <v>103</v>
      </c>
      <c r="M137" s="12" t="s">
        <v>21</v>
      </c>
      <c r="N137" s="13">
        <v>46034</v>
      </c>
      <c r="O137" s="12" t="s">
        <v>25</v>
      </c>
      <c r="P137" s="12" t="s">
        <v>18</v>
      </c>
      <c r="Q137" s="12" t="s">
        <v>18</v>
      </c>
      <c r="R137" s="12" t="s">
        <v>22</v>
      </c>
      <c r="S137" s="8"/>
    </row>
  </sheetData>
  <autoFilter ref="C1:S1" xr:uid="{910048CC-72AB-4B4F-9841-AED5989BC87A}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DD4D-4E6B-4BDE-ABF2-31241E001AD6}">
  <dimension ref="A1:H17"/>
  <sheetViews>
    <sheetView workbookViewId="0">
      <selection activeCell="A17" sqref="A2:H17"/>
    </sheetView>
  </sheetViews>
  <sheetFormatPr defaultRowHeight="14.5" x14ac:dyDescent="0.35"/>
  <cols>
    <col min="1" max="1" width="6.26953125" bestFit="1" customWidth="1"/>
    <col min="2" max="2" width="14.81640625" bestFit="1" customWidth="1"/>
    <col min="3" max="3" width="14.453125" bestFit="1" customWidth="1"/>
    <col min="4" max="4" width="8.90625" bestFit="1" customWidth="1"/>
    <col min="5" max="5" width="11.81640625" bestFit="1" customWidth="1"/>
    <col min="6" max="6" width="14.453125" bestFit="1" customWidth="1"/>
    <col min="7" max="7" width="11.36328125" bestFit="1" customWidth="1"/>
    <col min="8" max="8" width="12" bestFit="1" customWidth="1"/>
  </cols>
  <sheetData>
    <row r="1" spans="1:8" ht="15" thickBot="1" x14ac:dyDescent="0.4"/>
    <row r="2" spans="1:8" x14ac:dyDescent="0.35">
      <c r="A2" s="23"/>
      <c r="B2" s="24"/>
      <c r="C2" s="159" t="s">
        <v>696</v>
      </c>
      <c r="D2" s="160"/>
      <c r="E2" s="161"/>
      <c r="F2" s="159" t="s">
        <v>695</v>
      </c>
      <c r="G2" s="160"/>
      <c r="H2" s="161"/>
    </row>
    <row r="3" spans="1:8" ht="15" thickBot="1" x14ac:dyDescent="0.4">
      <c r="A3" s="20" t="s">
        <v>177</v>
      </c>
      <c r="B3" s="22" t="s">
        <v>4</v>
      </c>
      <c r="C3" s="20" t="s">
        <v>697</v>
      </c>
      <c r="D3" s="21" t="s">
        <v>698</v>
      </c>
      <c r="E3" s="22" t="s">
        <v>699</v>
      </c>
      <c r="F3" s="20" t="s">
        <v>697</v>
      </c>
      <c r="G3" s="21" t="s">
        <v>698</v>
      </c>
      <c r="H3" s="22" t="s">
        <v>699</v>
      </c>
    </row>
    <row r="4" spans="1:8" x14ac:dyDescent="0.35">
      <c r="A4" s="26">
        <v>2025</v>
      </c>
      <c r="B4" s="27" t="s">
        <v>179</v>
      </c>
      <c r="C4" s="28"/>
      <c r="D4" s="29"/>
      <c r="E4" s="27"/>
      <c r="F4" s="28"/>
      <c r="G4" s="29"/>
      <c r="H4" s="27"/>
    </row>
    <row r="5" spans="1:8" x14ac:dyDescent="0.35">
      <c r="A5" s="25">
        <v>2025</v>
      </c>
      <c r="B5" s="19" t="s">
        <v>168</v>
      </c>
      <c r="C5" s="18"/>
      <c r="D5" s="9">
        <v>63058.479999999989</v>
      </c>
      <c r="E5" s="19"/>
      <c r="F5" s="18"/>
      <c r="G5" s="9">
        <v>5466619.1400000006</v>
      </c>
      <c r="H5" s="19"/>
    </row>
    <row r="6" spans="1:8" x14ac:dyDescent="0.35">
      <c r="A6" s="25">
        <v>2025</v>
      </c>
      <c r="B6" s="19" t="s">
        <v>169</v>
      </c>
      <c r="C6" s="18"/>
      <c r="D6" s="9">
        <v>125751.77999999998</v>
      </c>
      <c r="E6" s="19"/>
      <c r="F6" s="18"/>
      <c r="G6" s="9">
        <v>10930573.590000005</v>
      </c>
      <c r="H6" s="19"/>
    </row>
    <row r="7" spans="1:8" x14ac:dyDescent="0.35">
      <c r="A7" s="25">
        <v>2025</v>
      </c>
      <c r="B7" s="19" t="s">
        <v>692</v>
      </c>
      <c r="C7" s="18">
        <v>-473.94000000000005</v>
      </c>
      <c r="D7" s="9">
        <v>11457.669999999998</v>
      </c>
      <c r="E7" s="19"/>
      <c r="F7" s="18">
        <v>-41086.47</v>
      </c>
      <c r="G7" s="9">
        <v>985172.85</v>
      </c>
      <c r="H7" s="19"/>
    </row>
    <row r="8" spans="1:8" x14ac:dyDescent="0.35">
      <c r="A8" s="25">
        <v>2025</v>
      </c>
      <c r="B8" s="19" t="s">
        <v>693</v>
      </c>
      <c r="C8" s="18"/>
      <c r="D8" s="9">
        <v>17599.150000000001</v>
      </c>
      <c r="E8" s="19">
        <v>-19376.22</v>
      </c>
      <c r="F8" s="18"/>
      <c r="G8" s="9">
        <v>1504565.06</v>
      </c>
      <c r="H8" s="19">
        <v>-1656776.4899999998</v>
      </c>
    </row>
    <row r="9" spans="1:8" x14ac:dyDescent="0.35">
      <c r="A9" s="25">
        <v>2025</v>
      </c>
      <c r="B9" s="19" t="s">
        <v>170</v>
      </c>
      <c r="C9" s="18"/>
      <c r="D9" s="9">
        <v>19661.849999999999</v>
      </c>
      <c r="E9" s="19">
        <v>-19783.53</v>
      </c>
      <c r="F9" s="18"/>
      <c r="G9" s="9">
        <v>1690932.28</v>
      </c>
      <c r="H9" s="19">
        <v>-1719620.4100000001</v>
      </c>
    </row>
    <row r="10" spans="1:8" x14ac:dyDescent="0.35">
      <c r="A10" s="25">
        <v>2025</v>
      </c>
      <c r="B10" s="19" t="s">
        <v>171</v>
      </c>
      <c r="C10" s="18"/>
      <c r="D10" s="9">
        <v>29638.909999999996</v>
      </c>
      <c r="E10" s="19">
        <v>-158563.41999999998</v>
      </c>
      <c r="F10" s="18"/>
      <c r="G10" s="9">
        <v>2549838.9999999995</v>
      </c>
      <c r="H10" s="19">
        <v>-13751759.189999999</v>
      </c>
    </row>
    <row r="11" spans="1:8" x14ac:dyDescent="0.35">
      <c r="A11" s="25">
        <v>2025</v>
      </c>
      <c r="B11" s="19" t="s">
        <v>172</v>
      </c>
      <c r="C11" s="18">
        <v>-1082.3300000000002</v>
      </c>
      <c r="D11" s="9">
        <v>24505.420000000002</v>
      </c>
      <c r="E11" s="19">
        <v>-6725.14</v>
      </c>
      <c r="F11" s="18">
        <v>-94610.97</v>
      </c>
      <c r="G11" s="9">
        <v>2144466.9900000002</v>
      </c>
      <c r="H11" s="19">
        <v>-588546.12</v>
      </c>
    </row>
    <row r="12" spans="1:8" x14ac:dyDescent="0.35">
      <c r="A12" s="25">
        <v>2025</v>
      </c>
      <c r="B12" s="19" t="s">
        <v>694</v>
      </c>
      <c r="C12" s="18">
        <v>-3981.8</v>
      </c>
      <c r="D12" s="9">
        <v>25315.59</v>
      </c>
      <c r="E12" s="19">
        <v>-38217.410000000003</v>
      </c>
      <c r="F12" s="18">
        <v>-351158.01</v>
      </c>
      <c r="G12" s="9">
        <v>2233401.37</v>
      </c>
      <c r="H12" s="19">
        <v>-3349729.0300000003</v>
      </c>
    </row>
    <row r="13" spans="1:8" x14ac:dyDescent="0.35">
      <c r="A13" s="25">
        <v>2025</v>
      </c>
      <c r="B13" s="19" t="s">
        <v>173</v>
      </c>
      <c r="C13" s="18">
        <v>-171.1</v>
      </c>
      <c r="D13" s="9">
        <v>25800.22</v>
      </c>
      <c r="E13" s="19">
        <v>-22948.48</v>
      </c>
      <c r="F13" s="18">
        <v>-15057.369999999999</v>
      </c>
      <c r="G13" s="9">
        <v>2270506.8399999994</v>
      </c>
      <c r="H13" s="19">
        <v>-2019544.04</v>
      </c>
    </row>
    <row r="14" spans="1:8" x14ac:dyDescent="0.35">
      <c r="A14" s="25">
        <v>2025</v>
      </c>
      <c r="B14" s="19" t="s">
        <v>174</v>
      </c>
      <c r="C14" s="18"/>
      <c r="D14" s="9">
        <v>29373.839999999997</v>
      </c>
      <c r="E14" s="19">
        <v>-31.91</v>
      </c>
      <c r="F14" s="18"/>
      <c r="G14" s="9">
        <v>2605463.73</v>
      </c>
      <c r="H14" s="19">
        <v>-2830.42</v>
      </c>
    </row>
    <row r="15" spans="1:8" x14ac:dyDescent="0.35">
      <c r="A15" s="25">
        <v>2026</v>
      </c>
      <c r="B15" s="19" t="s">
        <v>176</v>
      </c>
      <c r="C15" s="18"/>
      <c r="D15" s="9">
        <v>32187.510000000002</v>
      </c>
      <c r="E15" s="19">
        <v>-37482.68</v>
      </c>
      <c r="F15" s="18"/>
      <c r="G15" s="9">
        <v>2920817.94</v>
      </c>
      <c r="H15" s="19">
        <v>-3233319.9099999997</v>
      </c>
    </row>
    <row r="16" spans="1:8" ht="15" thickBot="1" x14ac:dyDescent="0.4">
      <c r="A16" s="30">
        <v>2026</v>
      </c>
      <c r="B16" s="31" t="s">
        <v>179</v>
      </c>
      <c r="C16" s="32"/>
      <c r="D16" s="33">
        <v>86.759999999999991</v>
      </c>
      <c r="E16" s="31"/>
      <c r="F16" s="32"/>
      <c r="G16" s="33">
        <v>7837.48</v>
      </c>
      <c r="H16" s="31"/>
    </row>
    <row r="17" spans="1:8" ht="15" thickBot="1" x14ac:dyDescent="0.4">
      <c r="A17" s="162" t="s">
        <v>182</v>
      </c>
      <c r="B17" s="163"/>
      <c r="C17" s="36">
        <f>SUM(C4:C16)</f>
        <v>-5709.170000000001</v>
      </c>
      <c r="D17" s="37">
        <f t="shared" ref="D17:E17" si="0">SUM(D4:D16)</f>
        <v>404437.17999999993</v>
      </c>
      <c r="E17" s="38">
        <f t="shared" si="0"/>
        <v>-303128.78999999998</v>
      </c>
      <c r="F17" s="36">
        <f>SUM(F4:F16)</f>
        <v>-501912.82</v>
      </c>
      <c r="G17" s="37">
        <f>SUM(G5:G16)</f>
        <v>35310196.270000003</v>
      </c>
      <c r="H17" s="38">
        <f>SUM(H5:H16)</f>
        <v>-26322125.610000003</v>
      </c>
    </row>
  </sheetData>
  <mergeCells count="3">
    <mergeCell ref="C2:E2"/>
    <mergeCell ref="F2:H2"/>
    <mergeCell ref="A17:B1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Invoice No Ref</vt:lpstr>
      <vt:lpstr>Payment Reco</vt:lpstr>
      <vt:lpstr>Invoices Not in customer books</vt:lpstr>
      <vt:lpstr>CN not in Ascendus Books</vt:lpstr>
      <vt:lpstr>Sheet1</vt:lpstr>
      <vt:lpstr>Sheet2</vt:lpstr>
      <vt:lpstr>invoice not in Ascendus Books</vt:lpstr>
      <vt:lpstr>Duplicate CN in Ascendus Books</vt:lpstr>
      <vt:lpstr>Diffrence in Customer Books</vt:lpstr>
      <vt:lpstr>Ascendus data</vt:lpstr>
      <vt:lpstr>Customer Data</vt:lpstr>
      <vt:lpstr>Pivot - customer data</vt:lpstr>
      <vt:lpstr>Asendus Data</vt:lpstr>
      <vt:lpstr>Ascendus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cp:lastPrinted>2026-03-21T12:32:14Z</cp:lastPrinted>
  <dcterms:created xsi:type="dcterms:W3CDTF">2026-02-06T09:49:04Z</dcterms:created>
  <dcterms:modified xsi:type="dcterms:W3CDTF">2026-03-30T12:58:26Z</dcterms:modified>
</cp:coreProperties>
</file>